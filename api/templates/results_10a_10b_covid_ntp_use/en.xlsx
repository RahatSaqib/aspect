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$\Ubuntu-20.04\home\maiki\.oh-my-zsh\aspect\api\templates\results_10a_10b_covid_ntp_use\"/>
    </mc:Choice>
  </mc:AlternateContent>
  <xr:revisionPtr revIDLastSave="0" documentId="13_ncr:1_{BA27C885-52F3-4B59-87AF-5A35FFB17E75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January" sheetId="1" r:id="rId1"/>
  </sheets>
  <definedNames>
    <definedName name="_xlnm._FilterDatabase" localSheetId="0" hidden="1">January!$A$3:$BI$4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G5" i="1" l="1"/>
  <c r="AW5" i="1"/>
  <c r="AX5" i="1"/>
  <c r="AY5" i="1"/>
  <c r="AZ5" i="1"/>
  <c r="AV5" i="1"/>
  <c r="AT5" i="1"/>
  <c r="AS5" i="1"/>
  <c r="AP5" i="1"/>
  <c r="AO5" i="1"/>
  <c r="AM5" i="1"/>
  <c r="AL5" i="1"/>
  <c r="AN5" i="1" s="1"/>
  <c r="AK5" i="1"/>
  <c r="AG5" i="1"/>
  <c r="AF5" i="1"/>
  <c r="H5" i="1"/>
  <c r="AR5" i="1" l="1"/>
</calcChain>
</file>

<file path=xl/sharedStrings.xml><?xml version="1.0" encoding="utf-8"?>
<sst xmlns="http://schemas.openxmlformats.org/spreadsheetml/2006/main" count="114" uniqueCount="88">
  <si>
    <t>Sl No.</t>
  </si>
  <si>
    <t>Division</t>
  </si>
  <si>
    <t>District / Area</t>
  </si>
  <si>
    <t>Name of GeneXpert Site</t>
  </si>
  <si>
    <t>Presumptive DS TB Cases</t>
  </si>
  <si>
    <t>Presumptive DR TB Cases</t>
  </si>
  <si>
    <t>Presumptive Smear Negative TB Cases</t>
  </si>
  <si>
    <t>Total Presumptive DS-TB Cases Tested</t>
  </si>
  <si>
    <t>Total Presumptive DR-TB Cases Tested</t>
  </si>
  <si>
    <t>Total Presumptive Tested</t>
  </si>
  <si>
    <t>Number of MTB detected-DS TB</t>
  </si>
  <si>
    <t>Number of MTB not detected (N)- DS TB</t>
  </si>
  <si>
    <t>Number of MTB detected-DR TB</t>
  </si>
  <si>
    <t>Number of MTB not detected (N)- DR TB</t>
  </si>
  <si>
    <t>Number of MTB detected-Total</t>
  </si>
  <si>
    <t>Number of MTB not detected -Total</t>
  </si>
  <si>
    <t>Number of for DS-TB</t>
  </si>
  <si>
    <t>Number of for DR-TB</t>
  </si>
  <si>
    <t>Total</t>
  </si>
  <si>
    <t>Reported/ Not Reported</t>
  </si>
  <si>
    <t>Formula</t>
  </si>
  <si>
    <t>Unknown History</t>
  </si>
  <si>
    <t>New</t>
  </si>
  <si>
    <r>
      <rPr>
        <b/>
        <sz val="7"/>
        <color indexed="63"/>
        <rFont val="Arial Narrow"/>
        <family val="2"/>
      </rPr>
      <t xml:space="preserve">Total
</t>
    </r>
    <r>
      <rPr>
        <sz val="6"/>
        <color indexed="63"/>
        <rFont val="Arial Narrow"/>
        <family val="2"/>
      </rPr>
      <t>(Column 1- Column 2)</t>
    </r>
  </si>
  <si>
    <t>Failures of CAT I (remain positive at month 5 or later/ Smear negative patients become smear positive at month 2)</t>
  </si>
  <si>
    <t>Failures of CAT II (remain positive at month 5 or 8)</t>
  </si>
  <si>
    <t>Non converters of CAT I (remain positive at month 2)</t>
  </si>
  <si>
    <t>Non converters of CAT II (remain positive at month 3)</t>
  </si>
  <si>
    <t>Relapses (CAT I)</t>
  </si>
  <si>
    <t>Relapses (CAT II)</t>
  </si>
  <si>
    <t>Treatment after loss to follow up (CAT I)</t>
  </si>
  <si>
    <t>Treatment after loss to follow up (CAT II)</t>
  </si>
  <si>
    <t>Close contacts of DR TB patient with symptoms</t>
  </si>
  <si>
    <t>HIV infected person with TB S/S</t>
  </si>
  <si>
    <t>Others (Pulmonary clinically diagnosed)</t>
  </si>
  <si>
    <t>Others (Extra Pulmonary)</t>
  </si>
  <si>
    <t>Others (Pulmonary bacteriologically confirmed)</t>
  </si>
  <si>
    <t>Others (Total)</t>
  </si>
  <si>
    <t>Previously Treated</t>
  </si>
  <si>
    <t>Rif Resistance not detected (T)</t>
  </si>
  <si>
    <t>Rif Resistance detected (RR)</t>
  </si>
  <si>
    <t>Rif Resistance indeterminate (TI)</t>
  </si>
  <si>
    <t>Invalid (I)</t>
  </si>
  <si>
    <t>No result (I)</t>
  </si>
  <si>
    <t>Error (I)</t>
  </si>
  <si>
    <t>Unknown history</t>
  </si>
  <si>
    <t>Prev. treated</t>
  </si>
  <si>
    <t>&lt;Table&gt;</t>
  </si>
  <si>
    <t>&lt;siteId&gt;</t>
  </si>
  <si>
    <t>&lt;siteName&gt;</t>
  </si>
  <si>
    <t>&lt;stateName&gt;</t>
  </si>
  <si>
    <t>&lt;lgaName&gt;</t>
  </si>
  <si>
    <t>&lt;empty&gt;</t>
  </si>
  <si>
    <t>&lt;presumptiveNew&gt;</t>
  </si>
  <si>
    <t>&lt;presumptiveUnknown&gt;</t>
  </si>
  <si>
    <t>&lt;col3&gt;</t>
  </si>
  <si>
    <t>&lt;col4&gt;</t>
  </si>
  <si>
    <t>&lt;col5&gt;</t>
  </si>
  <si>
    <t>&lt;col6&gt;</t>
  </si>
  <si>
    <t>&lt;col7&gt;</t>
  </si>
  <si>
    <t>&lt;col8&gt;</t>
  </si>
  <si>
    <t>&lt;col9&gt;</t>
  </si>
  <si>
    <t>&lt;col10&gt;</t>
  </si>
  <si>
    <t>&lt;col11Unknown&gt;</t>
  </si>
  <si>
    <t>&lt;col11Prev&gt;</t>
  </si>
  <si>
    <t>&lt;col11New&gt;</t>
  </si>
  <si>
    <t>&lt;col12Unknown&gt;</t>
  </si>
  <si>
    <t>&lt;col12New&gt;</t>
  </si>
  <si>
    <t>&lt;col12Prev&gt;</t>
  </si>
  <si>
    <t>&lt;pulmUnknown&gt;</t>
  </si>
  <si>
    <t>&lt;pulmNew&gt;</t>
  </si>
  <si>
    <t>&lt;pulmPrev&gt;</t>
  </si>
  <si>
    <t>&lt;extraPulmUnknown&gt;</t>
  </si>
  <si>
    <t>&lt;extraPulmNew&gt;</t>
  </si>
  <si>
    <t>&lt;extraPulmPrev&gt;</t>
  </si>
  <si>
    <t>&lt;pulmBactUnknown&gt;</t>
  </si>
  <si>
    <t>&lt;pulmBactNew&gt;</t>
  </si>
  <si>
    <t>&lt;smearUnknown&gt;</t>
  </si>
  <si>
    <t>&lt;smearNew&gt;</t>
  </si>
  <si>
    <t>&lt;smearPrev&gt;</t>
  </si>
  <si>
    <t>&lt;presumtiveTbIndeterminated&gt;</t>
  </si>
  <si>
    <t>&lt;presumtiveDrTbIndeterminated&gt;</t>
  </si>
  <si>
    <t>&lt;presumptiveTbInvalid&gt;</t>
  </si>
  <si>
    <t>&lt;presumptiveTbNoResult&gt;</t>
  </si>
  <si>
    <t>&lt;presumptiveDrTbInvalid&gt;</t>
  </si>
  <si>
    <t>&lt;presumptiveDrTbNoResult&gt;</t>
  </si>
  <si>
    <t>&lt;presumptiveDrTbError&gt;</t>
  </si>
  <si>
    <t>&lt;deviceName&gt;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</si>
</sst>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General"/>
    <numFmt numFmtId="165" formatCode="[$$-409]#,##0.00;[Red]&quot;-&quot;[$$-409]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9"/>
      <color indexed="63"/>
      <name val="Arial Narrow"/>
      <family val="2"/>
    </font>
    <font>
      <b/>
      <sz val="12"/>
      <color theme="1"/>
      <name val="Calibri"/>
      <family val="2"/>
      <scheme val="minor"/>
    </font>
    <font>
      <b/>
      <sz val="12"/>
      <color indexed="63"/>
      <name val="Arial Narrow"/>
      <family val="2"/>
    </font>
    <font>
      <sz val="11"/>
      <color rgb="FF000000"/>
      <name val="Calibri"/>
      <family val="2"/>
    </font>
    <font>
      <b/>
      <sz val="8"/>
      <color theme="1"/>
      <name val="Arial Narrow"/>
      <family val="2"/>
    </font>
    <font>
      <b/>
      <sz val="9"/>
      <color indexed="63"/>
      <name val="Arial Narrow"/>
      <family val="2"/>
    </font>
    <font>
      <sz val="7"/>
      <color indexed="63"/>
      <name val="Arial Narrow"/>
      <family val="2"/>
    </font>
    <font>
      <b/>
      <sz val="7"/>
      <color indexed="63"/>
      <name val="Arial Narrow"/>
      <family val="2"/>
    </font>
    <font>
      <sz val="6"/>
      <color indexed="63"/>
      <name val="Arial Narrow"/>
      <family val="2"/>
    </font>
    <font>
      <sz val="6.5"/>
      <color indexed="63"/>
      <name val="Arial Narrow"/>
      <family val="2"/>
    </font>
    <font>
      <sz val="11"/>
      <color theme="1"/>
      <name val="Arial"/>
      <family val="2"/>
    </font>
    <font>
      <b/>
      <i/>
      <sz val="16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u/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7" fillId="0" borderId="0"/>
    <xf numFmtId="0" fontId="14" fillId="0" borderId="0"/>
    <xf numFmtId="164" fontId="7" fillId="0" borderId="0"/>
    <xf numFmtId="0" fontId="15" fillId="0" borderId="0">
      <alignment horizontal="center"/>
    </xf>
    <xf numFmtId="0" fontId="15" fillId="0" borderId="0">
      <alignment horizontal="center" textRotation="90"/>
    </xf>
    <xf numFmtId="0" fontId="1" fillId="0" borderId="0"/>
    <xf numFmtId="164" fontId="7" fillId="0" borderId="0"/>
    <xf numFmtId="164" fontId="7" fillId="0" borderId="0"/>
    <xf numFmtId="0" fontId="16" fillId="0" borderId="0"/>
    <xf numFmtId="0" fontId="14" fillId="0" borderId="0"/>
    <xf numFmtId="0" fontId="17" fillId="0" borderId="0"/>
    <xf numFmtId="165" fontId="17" fillId="0" borderId="0"/>
  </cellStyleXfs>
  <cellXfs count="45">
    <xf numFmtId="0" fontId="0" fillId="0" borderId="0" xfId="0"/>
    <xf numFmtId="0" fontId="0" fillId="0" borderId="0" xfId="0" applyProtection="1">
      <protection hidden="1"/>
    </xf>
    <xf numFmtId="0" fontId="13" fillId="5" borderId="2" xfId="0" applyFont="1" applyFill="1" applyBorder="1" applyAlignment="1" applyProtection="1">
      <alignment horizontal="center" vertical="center" wrapText="1"/>
      <protection hidden="1"/>
    </xf>
    <xf numFmtId="0" fontId="13" fillId="6" borderId="2" xfId="0" applyFont="1" applyFill="1" applyBorder="1" applyAlignment="1" applyProtection="1">
      <alignment horizontal="center" vertical="center" wrapText="1"/>
      <protection hidden="1"/>
    </xf>
    <xf numFmtId="0" fontId="0" fillId="8" borderId="0" xfId="0" applyFill="1"/>
    <xf numFmtId="0" fontId="0" fillId="9" borderId="0" xfId="0" applyFill="1"/>
    <xf numFmtId="0" fontId="2" fillId="0" borderId="0" xfId="0" applyFont="1"/>
    <xf numFmtId="0" fontId="2" fillId="8" borderId="0" xfId="0" applyFont="1" applyFill="1"/>
    <xf numFmtId="0" fontId="2" fillId="9" borderId="0" xfId="0" applyFont="1" applyFill="1"/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10" xfId="0" applyFont="1" applyBorder="1" applyAlignment="1" applyProtection="1">
      <alignment horizontal="center" vertical="center" wrapText="1"/>
      <protection hidden="1"/>
    </xf>
    <xf numFmtId="0" fontId="1" fillId="4" borderId="2" xfId="0" applyFont="1" applyFill="1" applyBorder="1" applyAlignment="1" applyProtection="1">
      <alignment horizontal="center" vertical="center" wrapText="1"/>
      <protection hidden="1"/>
    </xf>
    <xf numFmtId="0" fontId="1" fillId="9" borderId="2" xfId="0" applyFont="1" applyFill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6" fillId="2" borderId="2" xfId="0" applyFont="1" applyFill="1" applyBorder="1" applyAlignment="1" applyProtection="1">
      <alignment horizontal="center" vertical="center" wrapText="1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2" fillId="4" borderId="2" xfId="0" applyFont="1" applyFill="1" applyBorder="1" applyAlignment="1" applyProtection="1">
      <alignment horizontal="center" vertical="center" wrapText="1"/>
      <protection hidden="1"/>
    </xf>
    <xf numFmtId="0" fontId="1" fillId="8" borderId="2" xfId="0" applyFont="1" applyFill="1" applyBorder="1" applyAlignment="1" applyProtection="1">
      <alignment horizontal="center" vertical="center" wrapText="1"/>
      <protection hidden="1"/>
    </xf>
    <xf numFmtId="0" fontId="10" fillId="6" borderId="3" xfId="0" applyFont="1" applyFill="1" applyBorder="1" applyAlignment="1" applyProtection="1">
      <alignment horizontal="center" vertical="center" wrapText="1"/>
      <protection hidden="1"/>
    </xf>
    <xf numFmtId="0" fontId="10" fillId="6" borderId="10" xfId="0" applyFont="1" applyFill="1" applyBorder="1" applyAlignment="1" applyProtection="1">
      <alignment horizontal="center" vertical="center" wrapText="1"/>
      <protection hidden="1"/>
    </xf>
    <xf numFmtId="0" fontId="6" fillId="4" borderId="2" xfId="0" applyFont="1" applyFill="1" applyBorder="1" applyAlignment="1" applyProtection="1">
      <alignment horizontal="center" vertical="center" wrapText="1"/>
      <protection hidden="1"/>
    </xf>
    <xf numFmtId="0" fontId="10" fillId="7" borderId="2" xfId="0" applyFont="1" applyFill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2" fillId="0" borderId="5" xfId="0" applyFont="1" applyBorder="1" applyAlignment="1" applyProtection="1">
      <alignment horizontal="center" vertical="center" wrapText="1"/>
      <protection hidden="1"/>
    </xf>
    <xf numFmtId="0" fontId="2" fillId="4" borderId="6" xfId="0" applyFont="1" applyFill="1" applyBorder="1" applyAlignment="1" applyProtection="1">
      <alignment horizontal="center" vertical="center"/>
      <protection hidden="1"/>
    </xf>
    <xf numFmtId="0" fontId="2" fillId="4" borderId="1" xfId="0" applyFont="1" applyFill="1" applyBorder="1" applyAlignment="1" applyProtection="1">
      <alignment horizontal="center" vertical="center"/>
      <protection hidden="1"/>
    </xf>
    <xf numFmtId="0" fontId="2" fillId="4" borderId="11" xfId="0" applyFont="1" applyFill="1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/>
      <protection hidden="1"/>
    </xf>
    <xf numFmtId="0" fontId="8" fillId="0" borderId="3" xfId="1" applyFont="1" applyBorder="1" applyAlignment="1" applyProtection="1">
      <alignment horizontal="center" vertical="center" wrapText="1"/>
      <protection hidden="1"/>
    </xf>
    <xf numFmtId="0" fontId="8" fillId="0" borderId="10" xfId="1" applyFont="1" applyBorder="1" applyAlignment="1" applyProtection="1">
      <alignment horizontal="center" vertical="center" wrapText="1"/>
      <protection hidden="1"/>
    </xf>
    <xf numFmtId="0" fontId="9" fillId="0" borderId="2" xfId="1" applyFont="1" applyBorder="1" applyAlignment="1" applyProtection="1">
      <alignment horizontal="center" vertical="center" wrapText="1"/>
      <protection hidden="1"/>
    </xf>
    <xf numFmtId="0" fontId="10" fillId="0" borderId="2" xfId="1" applyFont="1" applyBorder="1" applyAlignment="1" applyProtection="1">
      <alignment horizontal="center" vertical="center" wrapText="1"/>
      <protection hidden="1"/>
    </xf>
    <xf numFmtId="0" fontId="10" fillId="5" borderId="2" xfId="0" applyFont="1" applyFill="1" applyBorder="1" applyAlignment="1" applyProtection="1">
      <alignment horizontal="center" vertical="center" wrapText="1"/>
      <protection hidden="1"/>
    </xf>
    <xf numFmtId="0" fontId="2" fillId="4" borderId="6" xfId="0" applyFont="1" applyFill="1" applyBorder="1" applyAlignment="1" applyProtection="1">
      <alignment horizontal="center" vertical="center" wrapText="1"/>
      <protection hidden="1"/>
    </xf>
    <xf numFmtId="0" fontId="2" fillId="4" borderId="1" xfId="0" applyFont="1" applyFill="1" applyBorder="1" applyAlignment="1" applyProtection="1">
      <alignment horizontal="center" vertical="center" wrapText="1"/>
      <protection hidden="1"/>
    </xf>
    <xf numFmtId="0" fontId="2" fillId="4" borderId="11" xfId="0" applyFont="1" applyFill="1" applyBorder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/>
      <protection hidden="1"/>
    </xf>
    <xf numFmtId="0" fontId="10" fillId="6" borderId="2" xfId="0" applyFont="1" applyFill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 wrapText="1"/>
      <protection hidden="1"/>
    </xf>
    <xf numFmtId="0" fontId="4" fillId="0" borderId="3" xfId="0" applyFont="1" applyBorder="1" applyAlignment="1" applyProtection="1">
      <alignment horizontal="center" vertical="center" wrapText="1"/>
      <protection hidden="1"/>
    </xf>
    <xf numFmtId="0" fontId="4" fillId="0" borderId="9" xfId="0" applyFont="1" applyBorder="1" applyAlignment="1" applyProtection="1">
      <alignment horizontal="center" vertical="center" wrapText="1"/>
      <protection hidden="1"/>
    </xf>
    <xf numFmtId="0" fontId="4" fillId="0" borderId="10" xfId="0" applyFont="1" applyBorder="1" applyAlignment="1" applyProtection="1">
      <alignment horizontal="center" vertical="center" wrapText="1"/>
      <protection hidden="1"/>
    </xf>
  </cellXfs>
  <cellStyles count="13">
    <cellStyle name="ConditionalStyle_1" xfId="2" xr:uid="{00000000-0005-0000-0000-000000000000}"/>
    <cellStyle name="Excel Built-in Normal" xfId="3" xr:uid="{00000000-0005-0000-0000-000001000000}"/>
    <cellStyle name="Heading" xfId="4" xr:uid="{00000000-0005-0000-0000-000002000000}"/>
    <cellStyle name="Heading1" xfId="5" xr:uid="{00000000-0005-0000-0000-000003000000}"/>
    <cellStyle name="Normal" xfId="0" builtinId="0"/>
    <cellStyle name="Normal 2" xfId="6" xr:uid="{00000000-0005-0000-0000-000006000000}"/>
    <cellStyle name="Normal 2 2" xfId="7" xr:uid="{00000000-0005-0000-0000-000007000000}"/>
    <cellStyle name="Normal 3" xfId="1" xr:uid="{00000000-0005-0000-0000-000008000000}"/>
    <cellStyle name="Normal 3 2" xfId="8" xr:uid="{00000000-0005-0000-0000-000009000000}"/>
    <cellStyle name="Normal 4" xfId="9" xr:uid="{00000000-0005-0000-0000-00000A000000}"/>
    <cellStyle name="Normal 5" xfId="10" xr:uid="{00000000-0005-0000-0000-00000B000000}"/>
    <cellStyle name="Result" xfId="11" xr:uid="{00000000-0005-0000-0000-00000C000000}"/>
    <cellStyle name="Result2" xfId="12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BI5"/>
  <sheetViews>
    <sheetView tabSelected="1" zoomScale="115" zoomScaleNormal="115" workbookViewId="0">
      <selection activeCell="F15" sqref="F15"/>
    </sheetView>
  </sheetViews>
  <sheetFormatPr baseColWidth="10" defaultColWidth="8.88671875" defaultRowHeight="14.4" x14ac:dyDescent="0.3"/>
  <cols>
    <col min="1" max="1" width="11.6640625" customWidth="1"/>
    <col min="2" max="2" width="13.6640625" customWidth="1"/>
    <col min="3" max="3" width="16.5546875" customWidth="1"/>
    <col min="4" max="4" width="31.33203125" customWidth="1"/>
    <col min="5" max="5" width="11.77734375" bestFit="1" customWidth="1"/>
    <col min="6" max="6" width="21.109375" bestFit="1" customWidth="1"/>
    <col min="7" max="7" width="16.88671875" bestFit="1" customWidth="1"/>
    <col min="8" max="8" width="15.21875" bestFit="1" customWidth="1"/>
    <col min="9" max="9" width="10.109375" customWidth="1"/>
    <col min="10" max="16" width="9.109375" customWidth="1"/>
    <col min="17" max="17" width="15.6640625" bestFit="1" customWidth="1"/>
    <col min="18" max="19" width="11.33203125" bestFit="1" customWidth="1"/>
    <col min="20" max="20" width="9.109375" customWidth="1"/>
    <col min="21" max="21" width="10.6640625" customWidth="1"/>
    <col min="22" max="22" width="10.77734375" customWidth="1"/>
    <col min="23" max="23" width="15.44140625" bestFit="1" customWidth="1"/>
    <col min="24" max="24" width="13.33203125" customWidth="1"/>
    <col min="25" max="25" width="13.44140625" customWidth="1"/>
    <col min="26" max="26" width="19.88671875" bestFit="1" customWidth="1"/>
    <col min="27" max="28" width="15.44140625" bestFit="1" customWidth="1"/>
    <col min="29" max="29" width="19.109375" bestFit="1" customWidth="1"/>
    <col min="30" max="30" width="14.6640625" bestFit="1" customWidth="1"/>
    <col min="31" max="31" width="8.44140625" bestFit="1" customWidth="1"/>
    <col min="32" max="32" width="10.109375" customWidth="1"/>
    <col min="33" max="33" width="9.109375" customWidth="1"/>
    <col min="34" max="34" width="16.33203125" bestFit="1" customWidth="1"/>
    <col min="35" max="36" width="11.88671875" bestFit="1" customWidth="1"/>
    <col min="37" max="37" width="13.77734375" customWidth="1"/>
    <col min="38" max="45" width="9.109375" customWidth="1"/>
    <col min="46" max="46" width="9.109375" style="4" customWidth="1"/>
    <col min="47" max="48" width="9.109375" customWidth="1"/>
    <col min="50" max="50" width="9.109375" style="5"/>
    <col min="51" max="52" width="9.44140625" bestFit="1" customWidth="1"/>
    <col min="59" max="59" width="21.88671875" bestFit="1" customWidth="1"/>
    <col min="60" max="60" width="13.5546875" customWidth="1"/>
    <col min="61" max="61" width="9.109375" customWidth="1"/>
  </cols>
  <sheetData>
    <row r="1" spans="1:61" x14ac:dyDescent="0.3">
      <c r="A1" t="s">
        <v>47</v>
      </c>
      <c r="B1">
        <v>3</v>
      </c>
    </row>
    <row r="2" spans="1:61" s="1" customFormat="1" ht="30.75" customHeight="1" x14ac:dyDescent="0.3">
      <c r="A2" s="40" t="s">
        <v>0</v>
      </c>
      <c r="B2" s="41" t="s">
        <v>1</v>
      </c>
      <c r="C2" s="41" t="s">
        <v>2</v>
      </c>
      <c r="D2" s="41" t="s">
        <v>3</v>
      </c>
      <c r="E2" s="42"/>
      <c r="F2" s="38" t="s">
        <v>4</v>
      </c>
      <c r="G2" s="38"/>
      <c r="H2" s="38"/>
      <c r="I2" s="14" t="s">
        <v>5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5" t="s">
        <v>6</v>
      </c>
      <c r="AI2" s="15"/>
      <c r="AJ2" s="15"/>
      <c r="AK2" s="15"/>
      <c r="AL2" s="16" t="s">
        <v>7</v>
      </c>
      <c r="AM2" s="16" t="s">
        <v>8</v>
      </c>
      <c r="AN2" s="16" t="s">
        <v>9</v>
      </c>
      <c r="AO2" s="22" t="s">
        <v>10</v>
      </c>
      <c r="AP2" s="23"/>
      <c r="AQ2" s="23"/>
      <c r="AR2" s="34" t="s">
        <v>11</v>
      </c>
      <c r="AS2" s="22" t="s">
        <v>12</v>
      </c>
      <c r="AT2" s="23"/>
      <c r="AU2" s="23"/>
      <c r="AV2" s="34" t="s">
        <v>13</v>
      </c>
      <c r="AW2" s="22" t="s">
        <v>14</v>
      </c>
      <c r="AX2" s="23"/>
      <c r="AY2" s="23"/>
      <c r="AZ2" s="34" t="s">
        <v>15</v>
      </c>
      <c r="BA2" s="22" t="s">
        <v>16</v>
      </c>
      <c r="BB2" s="23"/>
      <c r="BC2" s="37"/>
      <c r="BD2" s="22" t="s">
        <v>17</v>
      </c>
      <c r="BE2" s="23"/>
      <c r="BF2" s="23"/>
      <c r="BG2" s="24" t="s">
        <v>18</v>
      </c>
      <c r="BH2" s="27" t="s">
        <v>19</v>
      </c>
      <c r="BI2" s="28" t="s">
        <v>20</v>
      </c>
    </row>
    <row r="3" spans="1:61" s="1" customFormat="1" ht="27" customHeight="1" x14ac:dyDescent="0.3">
      <c r="A3" s="40"/>
      <c r="B3" s="41"/>
      <c r="C3" s="41"/>
      <c r="D3" s="41"/>
      <c r="E3" s="43"/>
      <c r="F3" s="29" t="s">
        <v>21</v>
      </c>
      <c r="G3" s="31" t="s">
        <v>22</v>
      </c>
      <c r="H3" s="32" t="s">
        <v>23</v>
      </c>
      <c r="I3" s="33" t="s">
        <v>24</v>
      </c>
      <c r="J3" s="33" t="s">
        <v>25</v>
      </c>
      <c r="K3" s="33" t="s">
        <v>26</v>
      </c>
      <c r="L3" s="33" t="s">
        <v>27</v>
      </c>
      <c r="M3" s="33" t="s">
        <v>28</v>
      </c>
      <c r="N3" s="33" t="s">
        <v>29</v>
      </c>
      <c r="O3" s="33" t="s">
        <v>30</v>
      </c>
      <c r="P3" s="33" t="s">
        <v>31</v>
      </c>
      <c r="Q3" s="33" t="s">
        <v>32</v>
      </c>
      <c r="R3" s="33"/>
      <c r="S3" s="33"/>
      <c r="T3" s="33" t="s">
        <v>33</v>
      </c>
      <c r="U3" s="33"/>
      <c r="V3" s="33"/>
      <c r="W3" s="39" t="s">
        <v>34</v>
      </c>
      <c r="X3" s="39"/>
      <c r="Y3" s="39"/>
      <c r="Z3" s="39" t="s">
        <v>35</v>
      </c>
      <c r="AA3" s="39"/>
      <c r="AB3" s="39"/>
      <c r="AC3" s="39" t="s">
        <v>36</v>
      </c>
      <c r="AD3" s="39"/>
      <c r="AE3" s="39"/>
      <c r="AF3" s="18" t="s">
        <v>37</v>
      </c>
      <c r="AG3" s="20" t="s">
        <v>18</v>
      </c>
      <c r="AH3" s="21" t="s">
        <v>21</v>
      </c>
      <c r="AI3" s="21" t="s">
        <v>22</v>
      </c>
      <c r="AJ3" s="21" t="s">
        <v>38</v>
      </c>
      <c r="AK3" s="20" t="s">
        <v>18</v>
      </c>
      <c r="AL3" s="16"/>
      <c r="AM3" s="16"/>
      <c r="AN3" s="16"/>
      <c r="AO3" s="11" t="s">
        <v>39</v>
      </c>
      <c r="AP3" s="11" t="s">
        <v>40</v>
      </c>
      <c r="AQ3" s="13" t="s">
        <v>41</v>
      </c>
      <c r="AR3" s="35"/>
      <c r="AS3" s="11" t="s">
        <v>39</v>
      </c>
      <c r="AT3" s="17" t="s">
        <v>40</v>
      </c>
      <c r="AU3" s="13" t="s">
        <v>41</v>
      </c>
      <c r="AV3" s="35"/>
      <c r="AW3" s="11" t="s">
        <v>39</v>
      </c>
      <c r="AX3" s="12" t="s">
        <v>40</v>
      </c>
      <c r="AY3" s="13" t="s">
        <v>41</v>
      </c>
      <c r="AZ3" s="35"/>
      <c r="BA3" s="9" t="s">
        <v>42</v>
      </c>
      <c r="BB3" s="9" t="s">
        <v>43</v>
      </c>
      <c r="BC3" s="9" t="s">
        <v>44</v>
      </c>
      <c r="BD3" s="9" t="s">
        <v>42</v>
      </c>
      <c r="BE3" s="9" t="s">
        <v>43</v>
      </c>
      <c r="BF3" s="9" t="s">
        <v>44</v>
      </c>
      <c r="BG3" s="25"/>
      <c r="BH3" s="27"/>
      <c r="BI3" s="28"/>
    </row>
    <row r="4" spans="1:61" s="1" customFormat="1" ht="44.4" customHeight="1" x14ac:dyDescent="0.3">
      <c r="A4" s="40"/>
      <c r="B4" s="41"/>
      <c r="C4" s="41"/>
      <c r="D4" s="41"/>
      <c r="E4" s="44"/>
      <c r="F4" s="30"/>
      <c r="G4" s="31"/>
      <c r="H4" s="32"/>
      <c r="I4" s="33"/>
      <c r="J4" s="33"/>
      <c r="K4" s="33"/>
      <c r="L4" s="33"/>
      <c r="M4" s="33"/>
      <c r="N4" s="33"/>
      <c r="O4" s="33"/>
      <c r="P4" s="33"/>
      <c r="Q4" s="2" t="s">
        <v>45</v>
      </c>
      <c r="R4" s="2" t="s">
        <v>22</v>
      </c>
      <c r="S4" s="2" t="s">
        <v>46</v>
      </c>
      <c r="T4" s="2" t="s">
        <v>45</v>
      </c>
      <c r="U4" s="2" t="s">
        <v>22</v>
      </c>
      <c r="V4" s="2" t="s">
        <v>46</v>
      </c>
      <c r="W4" s="3" t="s">
        <v>45</v>
      </c>
      <c r="X4" s="3" t="s">
        <v>22</v>
      </c>
      <c r="Y4" s="3" t="s">
        <v>46</v>
      </c>
      <c r="Z4" s="3" t="s">
        <v>45</v>
      </c>
      <c r="AA4" s="3" t="s">
        <v>22</v>
      </c>
      <c r="AB4" s="3" t="s">
        <v>46</v>
      </c>
      <c r="AC4" s="3" t="s">
        <v>45</v>
      </c>
      <c r="AD4" s="3" t="s">
        <v>22</v>
      </c>
      <c r="AE4" s="3" t="s">
        <v>46</v>
      </c>
      <c r="AF4" s="19"/>
      <c r="AG4" s="20"/>
      <c r="AH4" s="21"/>
      <c r="AI4" s="21"/>
      <c r="AJ4" s="21"/>
      <c r="AK4" s="20"/>
      <c r="AL4" s="16"/>
      <c r="AM4" s="16"/>
      <c r="AN4" s="16"/>
      <c r="AO4" s="11"/>
      <c r="AP4" s="11"/>
      <c r="AQ4" s="13"/>
      <c r="AR4" s="36"/>
      <c r="AS4" s="11"/>
      <c r="AT4" s="17"/>
      <c r="AU4" s="13"/>
      <c r="AV4" s="36"/>
      <c r="AW4" s="11"/>
      <c r="AX4" s="12"/>
      <c r="AY4" s="13"/>
      <c r="AZ4" s="36"/>
      <c r="BA4" s="10"/>
      <c r="BB4" s="10"/>
      <c r="BC4" s="10"/>
      <c r="BD4" s="10"/>
      <c r="BE4" s="10"/>
      <c r="BF4" s="10"/>
      <c r="BG4" s="26"/>
      <c r="BH4" s="27"/>
      <c r="BI4" s="28"/>
    </row>
    <row r="5" spans="1:61" ht="13.2" customHeight="1" x14ac:dyDescent="0.3">
      <c r="A5" t="s">
        <v>48</v>
      </c>
      <c r="B5" t="s">
        <v>50</v>
      </c>
      <c r="C5" t="s">
        <v>51</v>
      </c>
      <c r="D5" t="s">
        <v>49</v>
      </c>
      <c r="E5" t="s">
        <v>87</v>
      </c>
      <c r="F5" t="s">
        <v>54</v>
      </c>
      <c r="G5" t="s">
        <v>53</v>
      </c>
      <c r="H5" s="6" t="e">
        <f>F5+G5</f>
        <v>#VALUE!</v>
      </c>
      <c r="I5" t="s">
        <v>55</v>
      </c>
      <c r="J5" t="s">
        <v>56</v>
      </c>
      <c r="K5" t="s">
        <v>57</v>
      </c>
      <c r="L5" t="s">
        <v>58</v>
      </c>
      <c r="M5" t="s">
        <v>59</v>
      </c>
      <c r="N5" t="s">
        <v>60</v>
      </c>
      <c r="O5" t="s">
        <v>61</v>
      </c>
      <c r="P5" t="s">
        <v>62</v>
      </c>
      <c r="Q5" t="s">
        <v>63</v>
      </c>
      <c r="R5" t="s">
        <v>65</v>
      </c>
      <c r="S5" t="s">
        <v>64</v>
      </c>
      <c r="T5" t="s">
        <v>66</v>
      </c>
      <c r="U5" t="s">
        <v>67</v>
      </c>
      <c r="V5" t="s">
        <v>68</v>
      </c>
      <c r="W5" t="s">
        <v>69</v>
      </c>
      <c r="X5" t="s">
        <v>70</v>
      </c>
      <c r="Y5" t="s">
        <v>71</v>
      </c>
      <c r="Z5" t="s">
        <v>72</v>
      </c>
      <c r="AA5" t="s">
        <v>73</v>
      </c>
      <c r="AB5" t="s">
        <v>74</v>
      </c>
      <c r="AC5" t="s">
        <v>75</v>
      </c>
      <c r="AD5" t="s">
        <v>76</v>
      </c>
      <c r="AE5" t="s">
        <v>52</v>
      </c>
      <c r="AF5" s="6">
        <f>SUM(W5:AD5)</f>
        <v>0</v>
      </c>
      <c r="AG5" s="6">
        <f>SUM(I5:V5)</f>
        <v>0</v>
      </c>
      <c r="AH5" t="s">
        <v>77</v>
      </c>
      <c r="AI5" t="s">
        <v>78</v>
      </c>
      <c r="AJ5" t="s">
        <v>79</v>
      </c>
      <c r="AK5" s="6">
        <f>SUM(AH5:AJ5)</f>
        <v>0</v>
      </c>
      <c r="AL5" s="6" t="e">
        <f>IF(MOD(ROW()-5,3) =0, SUM(H5+AK5),"")</f>
        <v>#VALUE!</v>
      </c>
      <c r="AM5" s="6">
        <f>IF(MOD(ROW()-5,3) =0, AG5,"")</f>
        <v>0</v>
      </c>
      <c r="AN5" s="6" t="e">
        <f>IF(MOD(ROW()-5,3) =0, AL5+AM5,"")</f>
        <v>#VALUE!</v>
      </c>
      <c r="AO5" s="6">
        <f>IF(MOD(ROW()-5,3) =0, H6+AK6-H7-AK7,"")</f>
        <v>0</v>
      </c>
      <c r="AP5" s="6">
        <f>IF(MOD(ROW()-5,3) =0, H7+AK7,"")</f>
        <v>0</v>
      </c>
      <c r="AQ5" s="6" t="s">
        <v>80</v>
      </c>
      <c r="AR5" s="6" t="e">
        <f>IF(MOD(ROW()-5,3) =0,AL5-H6-AK6,"")</f>
        <v>#VALUE!</v>
      </c>
      <c r="AS5" s="6">
        <f>IF(MOD(ROW()-5,3) =0,AG6-AG7,"")</f>
        <v>0</v>
      </c>
      <c r="AT5" s="7">
        <f>IF(MOD(ROW()-5,3) =0,AG7,"")</f>
        <v>0</v>
      </c>
      <c r="AU5" s="6" t="s">
        <v>81</v>
      </c>
      <c r="AV5" s="6">
        <f>AG5-AG6</f>
        <v>0</v>
      </c>
      <c r="AW5" s="6">
        <f>IF(MOD(ROW()-5,3)=0,AO5+AS5,"")</f>
        <v>0</v>
      </c>
      <c r="AX5" s="8">
        <f>IF(MOD(ROW()-5,3)=0,AP5+AT5,"")</f>
        <v>0</v>
      </c>
      <c r="AY5" s="6" t="e">
        <f>IF(MOD(ROW()-5,3)=0,AQ5+AU5,"")</f>
        <v>#VALUE!</v>
      </c>
      <c r="AZ5" s="6" t="e">
        <f>IF(MOD(ROW()-5,3) =0,AR5+AV5,"")</f>
        <v>#VALUE!</v>
      </c>
      <c r="BA5" t="s">
        <v>82</v>
      </c>
      <c r="BB5" t="s">
        <v>83</v>
      </c>
      <c r="BD5" t="s">
        <v>84</v>
      </c>
      <c r="BE5" t="s">
        <v>85</v>
      </c>
      <c r="BF5" t="s">
        <v>86</v>
      </c>
      <c r="BG5">
        <f>IF(MOD(ROW()-5,3) =0,SUM(BA5:BF5),"")</f>
        <v>0</v>
      </c>
    </row>
  </sheetData>
  <mergeCells count="59">
    <mergeCell ref="AM2:AM4"/>
    <mergeCell ref="AN2:AN4"/>
    <mergeCell ref="AO2:AQ2"/>
    <mergeCell ref="L3:L4"/>
    <mergeCell ref="M3:M4"/>
    <mergeCell ref="N3:N4"/>
    <mergeCell ref="O3:O4"/>
    <mergeCell ref="A2:A4"/>
    <mergeCell ref="B2:B4"/>
    <mergeCell ref="C2:C4"/>
    <mergeCell ref="D2:D4"/>
    <mergeCell ref="E2:E4"/>
    <mergeCell ref="F2:H2"/>
    <mergeCell ref="AI3:AI4"/>
    <mergeCell ref="AJ3:AJ4"/>
    <mergeCell ref="AK3:AK4"/>
    <mergeCell ref="P3:P4"/>
    <mergeCell ref="Q3:S3"/>
    <mergeCell ref="T3:V3"/>
    <mergeCell ref="W3:Y3"/>
    <mergeCell ref="Z3:AB3"/>
    <mergeCell ref="AC3:AE3"/>
    <mergeCell ref="BD2:BF2"/>
    <mergeCell ref="BG2:BG4"/>
    <mergeCell ref="BH2:BH4"/>
    <mergeCell ref="BI2:BI4"/>
    <mergeCell ref="F3:F4"/>
    <mergeCell ref="G3:G4"/>
    <mergeCell ref="H3:H4"/>
    <mergeCell ref="I3:I4"/>
    <mergeCell ref="J3:J4"/>
    <mergeCell ref="K3:K4"/>
    <mergeCell ref="AR2:AR4"/>
    <mergeCell ref="AS2:AU2"/>
    <mergeCell ref="AV2:AV4"/>
    <mergeCell ref="AW2:AY2"/>
    <mergeCell ref="AZ2:AZ4"/>
    <mergeCell ref="BA2:BC2"/>
    <mergeCell ref="AW3:AW4"/>
    <mergeCell ref="AX3:AX4"/>
    <mergeCell ref="AY3:AY4"/>
    <mergeCell ref="BA3:BA4"/>
    <mergeCell ref="I2:AG2"/>
    <mergeCell ref="AH2:AK2"/>
    <mergeCell ref="AL2:AL4"/>
    <mergeCell ref="AO3:AO4"/>
    <mergeCell ref="AP3:AP4"/>
    <mergeCell ref="AQ3:AQ4"/>
    <mergeCell ref="AS3:AS4"/>
    <mergeCell ref="AT3:AT4"/>
    <mergeCell ref="AU3:AU4"/>
    <mergeCell ref="AF3:AF4"/>
    <mergeCell ref="AG3:AG4"/>
    <mergeCell ref="AH3:AH4"/>
    <mergeCell ref="BB3:BB4"/>
    <mergeCell ref="BC3:BC4"/>
    <mergeCell ref="BD3:BD4"/>
    <mergeCell ref="BE3:BE4"/>
    <mergeCell ref="BF3:BF4"/>
  </mergeCells>
  <pageMargins left="0.7" right="0.7" top="0.75" bottom="0.75" header="0.3" footer="0.3"/>
  <pageSetup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January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Tonmoy M&amp;E</dc:creator>
  <cp:lastModifiedBy>Miguel Nahara</cp:lastModifiedBy>
  <dcterms:created xsi:type="dcterms:W3CDTF">2022-03-08T05:54:42Z</dcterms:created>
  <dcterms:modified xsi:type="dcterms:W3CDTF">2022-04-26T13:58:56Z</dcterms:modified>
</cp:coreProperties>
</file>