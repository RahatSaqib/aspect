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and_site_summary_report/"/>
    </mc:Choice>
  </mc:AlternateContent>
  <xr:revisionPtr revIDLastSave="0" documentId="13_ncr:1_{2EA0531E-4AE5-8C4A-B523-4D9C64E43C05}" xr6:coauthVersionLast="47" xr6:coauthVersionMax="47" xr10:uidLastSave="{00000000-0000-0000-0000-000000000000}"/>
  <bookViews>
    <workbookView xWindow="4360" yWindow="760" windowWidth="29040" windowHeight="16440" tabRatio="500" xr2:uid="{00000000-000D-0000-FFFF-FFFF00000000}"/>
  </bookViews>
  <sheets>
    <sheet name="Короткий опис пристрою та сайту" sheetId="1" r:id="rId1"/>
    <sheet name="Інвентаризація" sheetId="2" r:id="rId2"/>
    <sheet name="Пристрої TB Дотягнутися" sheetId="5" r:id="rId3"/>
    <sheet name="Помилки за пристроями" sheetId="3" r:id="rId4"/>
    <sheet name="Коди помилок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" i="5" l="1"/>
  <c r="K11" i="3"/>
  <c r="J11" i="3"/>
  <c r="I11" i="3"/>
  <c r="H11" i="3"/>
  <c r="G11" i="3"/>
  <c r="F11" i="3"/>
  <c r="E11" i="3"/>
  <c r="D11" i="3"/>
  <c r="C11" i="3"/>
  <c r="B11" i="3"/>
  <c r="AE11" i="5"/>
  <c r="AD11" i="5"/>
  <c r="AC11" i="5"/>
  <c r="AB11" i="5"/>
  <c r="AA11" i="5"/>
  <c r="Z11" i="5"/>
  <c r="Y11" i="5"/>
  <c r="X11" i="5"/>
  <c r="W11" i="5"/>
  <c r="V11" i="5"/>
  <c r="U11" i="5"/>
  <c r="T11" i="5"/>
  <c r="R11" i="5"/>
  <c r="Q11" i="5"/>
  <c r="P11" i="5"/>
  <c r="J11" i="5"/>
  <c r="I11" i="5"/>
  <c r="AF10" i="5"/>
  <c r="AF11" i="5" s="1"/>
  <c r="S10" i="5"/>
  <c r="S11" i="5" s="1"/>
  <c r="N10" i="5"/>
  <c r="N11" i="5" s="1"/>
  <c r="M10" i="5"/>
  <c r="M11" i="5" s="1"/>
  <c r="L10" i="5"/>
  <c r="L11" i="5" s="1"/>
  <c r="K10" i="5"/>
  <c r="O10" i="5" s="1"/>
  <c r="O11" i="5" s="1"/>
  <c r="H10" i="5"/>
  <c r="H11" i="5" s="1"/>
  <c r="F10" i="5"/>
  <c r="F11" i="5" s="1"/>
  <c r="I10" i="2"/>
  <c r="H10" i="2"/>
  <c r="G10" i="2"/>
  <c r="F10" i="2"/>
  <c r="E10" i="2"/>
  <c r="D10" i="2"/>
  <c r="C10" i="2"/>
  <c r="T10" i="1"/>
  <c r="S10" i="1"/>
  <c r="L10" i="3"/>
  <c r="L11" i="3" s="1"/>
  <c r="K11" i="5" l="1"/>
</calcChain>
</file>

<file path=xl/sharedStrings.xml><?xml version="1.0" encoding="utf-8"?>
<sst xmlns="http://schemas.openxmlformats.org/spreadsheetml/2006/main" count="209" uniqueCount="155">
  <si>
    <t>Дати: &lt;Dates&gt;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</si>
  <si>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</si>
  <si>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</si>
  <si>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</si>
  <si>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</si>
  <si>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</si>
  <si>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пристрій</t>
  </si>
  <si>
    <t>Держава</t>
  </si>
  <si>
    <t>Район</t>
  </si>
  <si>
    <t>Серійний</t>
  </si>
  <si>
    <t>Серійний номер приладу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</si>
  <si>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</si>
  <si>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</si>
  <si>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</si>
  <si>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</si>
  <si>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</si>
  <si>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</si>
  <si>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</si>
  <si>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</si>
  <si>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</si>
  <si>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</si>
  <si>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</si>
  <si>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</si>
  <si>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</si>
  <si>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</si>
  <si>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</si>
  <si>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</si>
  <si>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</si>
  <si>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</si>
  <si>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</si>
  <si>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</si>
  <si>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</si>
  <si>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</si>
  <si>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</si>
  <si>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</si>
  <si>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</si>
  <si>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</si>
  <si>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</si>
  <si>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</si>
  <si>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</si>
  <si>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</si>
  <si>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</si>
  <si>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</si>
  <si>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</si>
  <si>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</si>
  <si>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Примітки: цей звіт містить лише ті витратні матеріали, які колись відстежувалися на сайтах</t>
  </si>
  <si>
    <t>Сайт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</si>
  <si>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</si>
  <si>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</si>
  <si>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</si>
  <si>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</si>
  <si>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</si>
  <si>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</si>
  <si>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</si>
  <si>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</si>
  <si>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</si>
  <si>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</si>
  <si>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</si>
  <si>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</si>
  <si>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</si>
  <si>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</si>
  <si>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</si>
  <si>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Тип помилки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</si>
  <si>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</si>
  <si>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</si>
  <si>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</si>
  <si>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</si>
  <si>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</si>
  <si>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</si>
  <si>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</si>
  <si>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</si>
  <si>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</si>
  <si>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</si>
  <si>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</si>
  <si>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</si>
  <si>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</si>
  <si>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</si>
  <si>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</si>
  <si>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</si>
  <si>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</si>
  <si>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</si>
  <si>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</si>
  <si>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</si>
  <si>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</si>
  <si>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</si>
  <si>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</si>
  <si>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</si>
  <si>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</si>
  <si>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</si>
  <si>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</si>
  <si>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</si>
  <si>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</si>
  <si>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</si>
  <si>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</si>
  <si>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</si>
  <si>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</si>
  <si>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</si>
  <si>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</si>
  <si>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</si>
  <si>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</si>
  <si>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</si>
  <si>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</si>
  <si>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</si>
  <si>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</si>
  <si>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</si>
  <si>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</si>
  <si>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</si>
  <si>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</si>
  <si>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</si>
  <si>
    <t>Оновлення останнього
результату</t>
  </si>
  <si>
    <t>Зведений звіт про пристрій та сайт</t>
  </si>
  <si>
    <t>Інвентаризація пристроїв та об'єктів</t>
  </si>
  <si>
    <t>Помилки за пристроями</t>
  </si>
  <si>
    <t>Примітки. Категорії результатів представляють усі можливі комбінації результатів, які пристрій надсилає до Aspect. Наприклад, MTB Detected не включає MTB Detected і Rif Detected, оскільки вони вважаються різними результатами</t>
  </si>
  <si>
    <t>#SUM_DYNAMIC</t>
  </si>
  <si>
    <t>Підсумки</t>
  </si>
  <si>
    <t>Загальна кількість неузгоджених результатів</t>
  </si>
  <si>
    <t>&lt;StatesLabel&gt;: &lt;States&gt;</t>
  </si>
  <si>
    <t>&lt;LgasLabel&gt;: &lt;Lgas&gt;</t>
  </si>
  <si>
    <t>BK(cn,rec)</t>
  </si>
  <si>
    <t>BK+</t>
  </si>
  <si>
    <t>BK-</t>
  </si>
  <si>
    <t>%BK+</t>
  </si>
  <si>
    <t>Xpert Tests</t>
  </si>
  <si>
    <t>Xpert+</t>
  </si>
  <si>
    <t>Xpert-</t>
  </si>
  <si>
    <t>%Xpert+</t>
  </si>
  <si>
    <t>%Xpert-</t>
  </si>
  <si>
    <t>Xpert RIF+</t>
  </si>
  <si>
    <t>Xpert 
Rif IND</t>
  </si>
  <si>
    <t>Other Error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</si>
  <si>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</si>
  <si>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</si>
  <si>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</si>
  <si>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</si>
  <si>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</si>
  <si>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</si>
  <si>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</si>
  <si>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</si>
  <si>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</si>
  <si>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</si>
  <si>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&lt;noResults&gt;</t>
  </si>
  <si>
    <t>BK Всього</t>
  </si>
  <si>
    <t>%Тести Xpert</t>
  </si>
  <si>
    <t>Xpert
Помилка/Недійсний</t>
  </si>
  <si>
    <t>%Xpert
Збільшення</t>
  </si>
  <si>
    <t>%Xpert
 Помилка/Недійсний</t>
  </si>
  <si>
    <t>Xpert+
 Оброблено</t>
  </si>
  <si>
    <t>%Xpert+
Оброблено</t>
  </si>
  <si>
    <t>Xpert
За день</t>
  </si>
  <si>
    <t>Неправильні результати</t>
  </si>
  <si>
    <t>Немає результатів</t>
  </si>
  <si>
    <t>Всього помилок, недійсних результатів, без результатів</t>
  </si>
  <si>
    <t>Перелік пристроїв для виявлення туберкульозу</t>
  </si>
  <si>
    <t>Пристрій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</si>
</sst>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 d&quot;, &quot;yyyy;@"/>
    <numFmt numFmtId="165" formatCode="yyyy\-mm\-dd\ hh:mm"/>
    <numFmt numFmtId="166" formatCode="[$-409]mmmm\ d&quot;, &quot;yyyy"/>
  </numFmts>
  <fonts count="12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b/>
      <sz val="16"/>
      <color rgb="FF000000"/>
      <name val="Calibri"/>
      <family val="2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ABEBEF"/>
        <bgColor theme="4" tint="0.79995117038483843"/>
      </patternFill>
    </fill>
    <fill>
      <patternFill patternType="solid">
        <fgColor rgb="FFFFFFFF"/>
        <bgColor rgb="FFFFFFFF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3" fillId="0" borderId="0" xfId="0" applyFont="1"/>
    <xf numFmtId="0" fontId="0" fillId="0" borderId="0" xfId="0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5" fillId="3" borderId="3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5" fillId="0" borderId="9" xfId="0" applyFont="1" applyBorder="1" applyAlignment="1">
      <alignment vertical="center" wrapText="1"/>
    </xf>
    <xf numFmtId="0" fontId="6" fillId="0" borderId="0" xfId="0" applyFont="1"/>
    <xf numFmtId="165" fontId="8" fillId="2" borderId="10" xfId="0" applyNumberFormat="1" applyFont="1" applyFill="1" applyBorder="1"/>
    <xf numFmtId="165" fontId="8" fillId="2" borderId="10" xfId="0" applyNumberFormat="1" applyFont="1" applyFill="1" applyBorder="1" applyAlignment="1">
      <alignment wrapText="1"/>
    </xf>
    <xf numFmtId="166" fontId="9" fillId="0" borderId="11" xfId="0" applyNumberFormat="1" applyFont="1" applyBorder="1"/>
    <xf numFmtId="14" fontId="9" fillId="0" borderId="11" xfId="0" applyNumberFormat="1" applyFont="1" applyBorder="1"/>
    <xf numFmtId="14" fontId="9" fillId="0" borderId="11" xfId="0" applyNumberFormat="1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11" xfId="0" applyFont="1" applyBorder="1"/>
    <xf numFmtId="0" fontId="10" fillId="0" borderId="0" xfId="0" applyFont="1" applyAlignment="1">
      <alignment horizontal="left"/>
    </xf>
    <xf numFmtId="0" fontId="10" fillId="0" borderId="0" xfId="0" applyFont="1"/>
    <xf numFmtId="0" fontId="5" fillId="0" borderId="0" xfId="0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vertical="top"/>
    </xf>
    <xf numFmtId="0" fontId="9" fillId="0" borderId="0" xfId="0" applyFont="1" applyAlignment="1">
      <alignment wrapText="1"/>
    </xf>
    <xf numFmtId="0" fontId="9" fillId="0" borderId="12" xfId="0" applyFont="1" applyBorder="1"/>
    <xf numFmtId="0" fontId="9" fillId="0" borderId="12" xfId="0" applyFont="1" applyBorder="1" applyAlignment="1">
      <alignment horizontal="right"/>
    </xf>
    <xf numFmtId="0" fontId="10" fillId="0" borderId="0" xfId="1" applyFont="1"/>
    <xf numFmtId="0" fontId="9" fillId="0" borderId="0" xfId="1" applyFont="1" applyAlignment="1">
      <alignment horizontal="center"/>
    </xf>
    <xf numFmtId="0" fontId="6" fillId="0" borderId="0" xfId="1"/>
    <xf numFmtId="0" fontId="5" fillId="0" borderId="0" xfId="1" applyFont="1"/>
    <xf numFmtId="0" fontId="9" fillId="0" borderId="0" xfId="1" applyFont="1" applyAlignment="1">
      <alignment horizontal="left"/>
    </xf>
    <xf numFmtId="0" fontId="9" fillId="0" borderId="0" xfId="1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/>
    </xf>
    <xf numFmtId="0" fontId="9" fillId="0" borderId="12" xfId="0" applyFont="1" applyBorder="1" applyAlignment="1">
      <alignment horizontal="left"/>
    </xf>
    <xf numFmtId="0" fontId="9" fillId="0" borderId="12" xfId="0" applyFont="1" applyBorder="1" applyAlignment="1">
      <alignment horizontal="center"/>
    </xf>
    <xf numFmtId="10" fontId="9" fillId="0" borderId="12" xfId="0" applyNumberFormat="1" applyFont="1" applyBorder="1" applyAlignment="1">
      <alignment horizontal="center"/>
    </xf>
    <xf numFmtId="10" fontId="9" fillId="4" borderId="12" xfId="0" applyNumberFormat="1" applyFont="1" applyFill="1" applyBorder="1" applyAlignment="1">
      <alignment horizontal="center"/>
    </xf>
    <xf numFmtId="2" fontId="9" fillId="0" borderId="12" xfId="0" applyNumberFormat="1" applyFont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9" fillId="0" borderId="0" xfId="0" applyFont="1" applyAlignment="1">
      <alignment horizontal="left"/>
    </xf>
    <xf numFmtId="0" fontId="0" fillId="0" borderId="0" xfId="0"/>
    <xf numFmtId="0" fontId="4" fillId="2" borderId="12" xfId="0" applyFont="1" applyFill="1" applyBorder="1" applyAlignment="1">
      <alignment horizontal="center" vertical="center"/>
    </xf>
    <xf numFmtId="0" fontId="11" fillId="0" borderId="11" xfId="0" applyFont="1" applyBorder="1"/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/>
    </xf>
    <xf numFmtId="0" fontId="11" fillId="0" borderId="14" xfId="0" applyFont="1" applyBorder="1"/>
    <xf numFmtId="0" fontId="11" fillId="0" borderId="15" xfId="0" applyFont="1" applyBorder="1"/>
    <xf numFmtId="0" fontId="4" fillId="2" borderId="12" xfId="0" applyFont="1" applyFill="1" applyBorder="1" applyAlignment="1">
      <alignment horizontal="left" vertical="center" wrapText="1"/>
    </xf>
    <xf numFmtId="0" fontId="4" fillId="2" borderId="12" xfId="0" applyFont="1" applyFill="1" applyBorder="1" applyAlignment="1">
      <alignment horizontal="center" wrapText="1"/>
    </xf>
    <xf numFmtId="0" fontId="7" fillId="0" borderId="16" xfId="0" applyFont="1" applyBorder="1"/>
    <xf numFmtId="0" fontId="6" fillId="0" borderId="17" xfId="0" applyFont="1" applyBorder="1"/>
    <xf numFmtId="0" fontId="6" fillId="0" borderId="18" xfId="0" applyFont="1" applyBorder="1"/>
    <xf numFmtId="0" fontId="7" fillId="0" borderId="19" xfId="0" applyFont="1" applyBorder="1"/>
    <xf numFmtId="0" fontId="0" fillId="0" borderId="20" xfId="0" applyBorder="1"/>
    <xf numFmtId="2" fontId="0" fillId="0" borderId="20" xfId="0" applyNumberFormat="1" applyBorder="1"/>
    <xf numFmtId="0" fontId="0" fillId="0" borderId="21" xfId="0" applyBorder="1"/>
    <xf numFmtId="0" fontId="7" fillId="0" borderId="22" xfId="0" applyFont="1" applyBorder="1"/>
    <xf numFmtId="0" fontId="9" fillId="0" borderId="17" xfId="0" applyFont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1" fontId="9" fillId="0" borderId="23" xfId="0" applyNumberFormat="1" applyFont="1" applyBorder="1" applyAlignment="1">
      <alignment horizontal="center"/>
    </xf>
    <xf numFmtId="0" fontId="9" fillId="0" borderId="23" xfId="0" applyFont="1" applyBorder="1" applyAlignment="1">
      <alignment horizontal="center"/>
    </xf>
  </cellXfs>
  <cellStyles count="2">
    <cellStyle name="Normal" xfId="0" builtinId="0"/>
    <cellStyle name="Normal 2" xfId="1" xr:uid="{994C754A-0304-DA47-8BA6-B130055F053D}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"/>
  <sheetViews>
    <sheetView showGridLines="0" tabSelected="1" zoomScaleNormal="100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6" x14ac:dyDescent="0.2"/>
  <cols>
    <col min="1" max="3" width="27" customWidth="1"/>
    <col min="4" max="4" width="15.1640625" customWidth="1"/>
    <col min="5" max="5" width="31.33203125" customWidth="1"/>
    <col min="6" max="6" width="22" customWidth="1"/>
    <col min="7" max="9" width="19" customWidth="1"/>
    <col min="10" max="10" width="14.6640625" style="1" customWidth="1"/>
    <col min="11" max="11" width="14.33203125" style="2" customWidth="1"/>
    <col min="12" max="14" width="14.33203125" style="1" customWidth="1"/>
    <col min="15" max="15" width="13.1640625" style="1" customWidth="1"/>
    <col min="16" max="16" width="10.5" style="1" customWidth="1"/>
    <col min="17" max="17" width="18.1640625" style="1" customWidth="1"/>
    <col min="18" max="18" width="11" style="2" customWidth="1"/>
    <col min="19" max="19" width="14" customWidth="1"/>
    <col min="1015" max="1024" width="9.1640625" customWidth="1"/>
  </cols>
  <sheetData>
    <row r="1" spans="1:21" ht="21" x14ac:dyDescent="0.25">
      <c r="A1" s="3" t="s">
        <v>110</v>
      </c>
      <c r="B1" s="3"/>
      <c r="C1" s="3"/>
      <c r="D1" s="3"/>
      <c r="E1" s="3"/>
    </row>
    <row r="2" spans="1:21" ht="15" customHeight="1" x14ac:dyDescent="0.2">
      <c r="A2" t="s">
        <v>0</v>
      </c>
      <c r="E2" s="50" t="s">
        <v>113</v>
      </c>
      <c r="F2" s="50"/>
      <c r="G2" s="50"/>
    </row>
    <row r="3" spans="1:21" x14ac:dyDescent="0.2">
      <c r="A3" t="s">
        <v>1</v>
      </c>
      <c r="C3" s="49"/>
      <c r="D3" s="49"/>
      <c r="E3" s="50"/>
      <c r="F3" s="50"/>
      <c r="G3" s="50"/>
    </row>
    <row r="4" spans="1:21" x14ac:dyDescent="0.2">
      <c r="A4" t="s">
        <v>2</v>
      </c>
      <c r="E4" s="50"/>
      <c r="F4" s="50"/>
      <c r="G4" s="50"/>
    </row>
    <row r="5" spans="1:21" ht="17" x14ac:dyDescent="0.2">
      <c r="A5" s="4" t="s">
        <v>3</v>
      </c>
      <c r="E5" s="50"/>
      <c r="F5" s="50"/>
      <c r="G5" s="50"/>
    </row>
    <row r="6" spans="1:21" x14ac:dyDescent="0.2">
      <c r="A6" t="s">
        <v>4</v>
      </c>
      <c r="E6" s="50"/>
      <c r="F6" s="50"/>
      <c r="G6" s="50"/>
    </row>
    <row r="7" spans="1:21" ht="17" thickBot="1" x14ac:dyDescent="0.25">
      <c r="A7" t="s">
        <v>5</v>
      </c>
      <c r="C7" s="5"/>
      <c r="D7" s="4"/>
    </row>
    <row r="8" spans="1:21" ht="67.5" customHeight="1" thickBot="1" x14ac:dyDescent="0.25">
      <c r="A8" s="22" t="s">
        <v>6</v>
      </c>
      <c r="B8" s="22" t="s">
        <v>7</v>
      </c>
      <c r="C8" s="22" t="s">
        <v>8</v>
      </c>
      <c r="D8" s="22" t="s">
        <v>9</v>
      </c>
      <c r="E8" s="22" t="s">
        <v>10</v>
      </c>
      <c r="F8" s="22" t="s">
        <v>109</v>
      </c>
      <c r="G8" s="22" t="s">
        <v>11</v>
      </c>
      <c r="H8" s="22" t="s">
        <v>12</v>
      </c>
      <c r="I8" s="22" t="s">
        <v>13</v>
      </c>
      <c r="J8" s="22" t="s">
        <v>14</v>
      </c>
      <c r="K8" s="23" t="s">
        <v>15</v>
      </c>
      <c r="L8" s="23" t="s">
        <v>16</v>
      </c>
      <c r="M8" s="23" t="s">
        <v>17</v>
      </c>
      <c r="N8" s="23" t="s">
        <v>18</v>
      </c>
      <c r="O8" s="23" t="s">
        <v>19</v>
      </c>
      <c r="P8" s="23" t="s">
        <v>20</v>
      </c>
      <c r="Q8" s="23" t="s">
        <v>21</v>
      </c>
      <c r="R8" s="23" t="s">
        <v>22</v>
      </c>
      <c r="S8" s="22" t="s">
        <v>23</v>
      </c>
      <c r="T8" s="22" t="s">
        <v>24</v>
      </c>
    </row>
    <row r="9" spans="1:21" ht="15.75" customHeight="1" thickBot="1" x14ac:dyDescent="0.25">
      <c r="A9" s="24" t="s">
        <v>25</v>
      </c>
      <c r="B9" s="24" t="s">
        <v>26</v>
      </c>
      <c r="C9" s="24" t="s">
        <v>27</v>
      </c>
      <c r="D9" s="24" t="s">
        <v>28</v>
      </c>
      <c r="E9" s="24" t="s">
        <v>29</v>
      </c>
      <c r="F9" s="25" t="s">
        <v>30</v>
      </c>
      <c r="G9" s="24" t="s">
        <v>31</v>
      </c>
      <c r="H9" s="24" t="s">
        <v>32</v>
      </c>
      <c r="I9" s="25" t="s">
        <v>33</v>
      </c>
      <c r="J9" s="26" t="s">
        <v>34</v>
      </c>
      <c r="K9" s="26" t="s">
        <v>35</v>
      </c>
      <c r="L9" s="27" t="s">
        <v>36</v>
      </c>
      <c r="M9" s="27" t="s">
        <v>37</v>
      </c>
      <c r="N9" s="27" t="s">
        <v>38</v>
      </c>
      <c r="O9" s="27" t="s">
        <v>39</v>
      </c>
      <c r="P9" s="27" t="s">
        <v>40</v>
      </c>
      <c r="Q9" s="27" t="s">
        <v>41</v>
      </c>
      <c r="R9" s="26" t="s">
        <v>42</v>
      </c>
      <c r="S9" s="28" t="s">
        <v>43</v>
      </c>
      <c r="T9" s="28" t="s">
        <v>44</v>
      </c>
    </row>
    <row r="10" spans="1:21" ht="15.75" customHeight="1" thickBot="1" x14ac:dyDescent="0.25">
      <c r="A10" s="61" t="s">
        <v>115</v>
      </c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>
        <f>SUM(S$9:S9)</f>
        <v>0</v>
      </c>
      <c r="T10" s="63">
        <f>SUM(T$9:T9)</f>
        <v>0</v>
      </c>
      <c r="U10" s="21" t="s">
        <v>114</v>
      </c>
    </row>
    <row r="11" spans="1:21" x14ac:dyDescent="0.2">
      <c r="A11" s="6"/>
      <c r="B11" s="6"/>
      <c r="C11" s="6"/>
      <c r="D11" s="6"/>
      <c r="E11" s="6"/>
    </row>
  </sheetData>
  <mergeCells count="2">
    <mergeCell ref="C3:D3"/>
    <mergeCell ref="E2:G6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showGridLines="0" zoomScaleNormal="100" workbookViewId="0">
      <selection activeCell="A9" sqref="A9"/>
    </sheetView>
  </sheetViews>
  <sheetFormatPr baseColWidth="10" defaultColWidth="8.6640625" defaultRowHeight="16" x14ac:dyDescent="0.2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spans="1:9" ht="21" x14ac:dyDescent="0.25">
      <c r="A1" s="29" t="s">
        <v>111</v>
      </c>
      <c r="B1" s="30"/>
      <c r="C1" s="30"/>
      <c r="D1" s="30"/>
    </row>
    <row r="2" spans="1:9" x14ac:dyDescent="0.2">
      <c r="A2" s="31" t="s">
        <v>0</v>
      </c>
      <c r="C2" s="51" t="s">
        <v>45</v>
      </c>
      <c r="D2" s="52"/>
      <c r="E2" s="52"/>
      <c r="F2" s="52"/>
      <c r="G2" s="52"/>
    </row>
    <row r="3" spans="1:9" ht="15" customHeight="1" x14ac:dyDescent="0.2">
      <c r="A3" s="31" t="s">
        <v>1</v>
      </c>
    </row>
    <row r="4" spans="1:9" x14ac:dyDescent="0.2">
      <c r="A4" s="32" t="s">
        <v>2</v>
      </c>
    </row>
    <row r="5" spans="1:9" x14ac:dyDescent="0.2">
      <c r="A5" s="32" t="s">
        <v>3</v>
      </c>
    </row>
    <row r="6" spans="1:9" x14ac:dyDescent="0.2">
      <c r="A6" s="31" t="s">
        <v>4</v>
      </c>
      <c r="C6" s="33"/>
      <c r="D6" s="34"/>
    </row>
    <row r="7" spans="1:9" ht="17" thickBot="1" x14ac:dyDescent="0.25">
      <c r="A7" s="31" t="s">
        <v>5</v>
      </c>
      <c r="C7" s="33"/>
      <c r="D7" s="34"/>
    </row>
    <row r="8" spans="1:9" ht="54" customHeight="1" thickBot="1" x14ac:dyDescent="0.25">
      <c r="A8" s="22" t="s">
        <v>46</v>
      </c>
      <c r="B8" s="22" t="s">
        <v>47</v>
      </c>
      <c r="C8" s="22" t="s">
        <v>48</v>
      </c>
      <c r="D8" s="22" t="s">
        <v>49</v>
      </c>
      <c r="E8" s="22" t="s">
        <v>50</v>
      </c>
      <c r="F8" s="22" t="s">
        <v>51</v>
      </c>
      <c r="G8" s="22" t="s">
        <v>52</v>
      </c>
      <c r="H8" s="22" t="s">
        <v>53</v>
      </c>
      <c r="I8" s="22" t="s">
        <v>116</v>
      </c>
    </row>
    <row r="9" spans="1:9" ht="15.75" customHeight="1" thickBot="1" x14ac:dyDescent="0.25">
      <c r="A9" s="35" t="s">
        <v>54</v>
      </c>
      <c r="B9" s="35" t="s">
        <v>55</v>
      </c>
      <c r="C9" s="36" t="s">
        <v>56</v>
      </c>
      <c r="D9" s="35" t="s">
        <v>57</v>
      </c>
      <c r="E9" s="35" t="s">
        <v>58</v>
      </c>
      <c r="F9" s="35" t="s">
        <v>59</v>
      </c>
      <c r="G9" s="35" t="s">
        <v>60</v>
      </c>
      <c r="H9" s="35" t="s">
        <v>61</v>
      </c>
      <c r="I9" s="35"/>
    </row>
    <row r="10" spans="1:9" ht="15.75" customHeight="1" thickBot="1" x14ac:dyDescent="0.25">
      <c r="A10" s="64" t="s">
        <v>115</v>
      </c>
      <c r="B10" s="65"/>
      <c r="C10" s="66" t="e">
        <f>AVERAGE(C$9:C9)</f>
        <v>#DIV/0!</v>
      </c>
      <c r="D10" s="65">
        <f>SUM(D$9:D9)</f>
        <v>0</v>
      </c>
      <c r="E10" s="65">
        <f>SUM(E$9:E9)</f>
        <v>0</v>
      </c>
      <c r="F10" s="65">
        <f>SUM(F$9:F9)</f>
        <v>0</v>
      </c>
      <c r="G10" s="66" t="e">
        <f>AVERAGE(G$9:G9)</f>
        <v>#DIV/0!</v>
      </c>
      <c r="H10" s="65">
        <f>SUM(H$9:H9)</f>
        <v>0</v>
      </c>
      <c r="I10" s="67">
        <f>SUM(I$9:I9)</f>
        <v>0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DF93-35E5-4843-9683-108BB323F8A2}">
  <dimension ref="A1:AF1000"/>
  <sheetViews>
    <sheetView showGridLines="0" workbookViewId="0">
      <selection activeCell="A10" sqref="A10"/>
    </sheetView>
  </sheetViews>
  <sheetFormatPr baseColWidth="10" defaultColWidth="11.1640625" defaultRowHeight="15" customHeight="1" x14ac:dyDescent="0.2"/>
  <cols>
    <col min="1" max="1" width="33.1640625" style="39" customWidth="1"/>
    <col min="2" max="2" width="8.5" style="39" customWidth="1"/>
    <col min="3" max="3" width="12.6640625" style="39" customWidth="1"/>
    <col min="4" max="4" width="7.33203125" style="39" customWidth="1"/>
    <col min="5" max="5" width="12.5" style="39" customWidth="1"/>
    <col min="6" max="6" width="13.5" style="39" customWidth="1"/>
    <col min="7" max="7" width="14.1640625" style="39" customWidth="1"/>
    <col min="8" max="8" width="13.33203125" style="39" customWidth="1"/>
    <col min="9" max="9" width="12.5" style="39" customWidth="1"/>
    <col min="10" max="10" width="12.6640625" style="39" customWidth="1"/>
    <col min="11" max="11" width="14.1640625" style="39" customWidth="1"/>
    <col min="12" max="13" width="16.1640625" style="39" customWidth="1"/>
    <col min="14" max="14" width="18.1640625" style="39" customWidth="1"/>
    <col min="15" max="15" width="19.83203125" style="39" customWidth="1"/>
    <col min="16" max="16" width="17" style="39" customWidth="1"/>
    <col min="17" max="17" width="18.33203125" style="39" customWidth="1"/>
    <col min="18" max="20" width="12.5" style="39" customWidth="1"/>
    <col min="21" max="28" width="8.6640625" style="39" customWidth="1"/>
    <col min="29" max="29" width="12.1640625" style="39" customWidth="1"/>
    <col min="30" max="31" width="14.1640625" style="39" customWidth="1"/>
    <col min="32" max="32" width="15.5" style="39" customWidth="1"/>
    <col min="33" max="16384" width="11.1640625" style="39"/>
  </cols>
  <sheetData>
    <row r="1" spans="1:32" ht="21.75" customHeight="1" x14ac:dyDescent="0.25">
      <c r="A1" s="37" t="s">
        <v>153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</row>
    <row r="2" spans="1:32" ht="15.75" customHeight="1" x14ac:dyDescent="0.2">
      <c r="A2" s="40" t="s">
        <v>0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</row>
    <row r="3" spans="1:32" ht="15.75" customHeight="1" x14ac:dyDescent="0.2">
      <c r="A3" s="40" t="s">
        <v>117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customHeight="1" x14ac:dyDescent="0.2">
      <c r="A4" s="41" t="s">
        <v>118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</row>
    <row r="5" spans="1:32" ht="15.75" customHeight="1" x14ac:dyDescent="0.2">
      <c r="A5" s="41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</row>
    <row r="6" spans="1:32" ht="15.75" customHeight="1" x14ac:dyDescent="0.2">
      <c r="A6" s="40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</row>
    <row r="7" spans="1:32" ht="15.75" customHeight="1" x14ac:dyDescent="0.2">
      <c r="A7" s="42" t="s">
        <v>5</v>
      </c>
      <c r="B7" s="38">
        <v>2</v>
      </c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</row>
    <row r="8" spans="1:32" customFormat="1" ht="15" customHeight="1" x14ac:dyDescent="0.2">
      <c r="A8" s="55" t="s">
        <v>154</v>
      </c>
      <c r="B8" s="53" t="s">
        <v>142</v>
      </c>
      <c r="C8" s="53" t="s">
        <v>119</v>
      </c>
      <c r="D8" s="53" t="s">
        <v>120</v>
      </c>
      <c r="E8" s="53" t="s">
        <v>121</v>
      </c>
      <c r="F8" s="53" t="s">
        <v>122</v>
      </c>
      <c r="G8" s="53" t="s">
        <v>123</v>
      </c>
      <c r="H8" s="53" t="s">
        <v>143</v>
      </c>
      <c r="I8" s="53" t="s">
        <v>124</v>
      </c>
      <c r="J8" s="53" t="s">
        <v>125</v>
      </c>
      <c r="K8" s="53" t="s">
        <v>144</v>
      </c>
      <c r="L8" s="53" t="s">
        <v>126</v>
      </c>
      <c r="M8" s="53" t="s">
        <v>127</v>
      </c>
      <c r="N8" s="53" t="s">
        <v>145</v>
      </c>
      <c r="O8" s="53" t="s">
        <v>146</v>
      </c>
      <c r="P8" s="53" t="s">
        <v>128</v>
      </c>
      <c r="Q8" s="53" t="s">
        <v>129</v>
      </c>
      <c r="R8" s="53" t="s">
        <v>147</v>
      </c>
      <c r="S8" s="53" t="s">
        <v>148</v>
      </c>
      <c r="T8" s="53" t="s">
        <v>149</v>
      </c>
      <c r="U8" s="56" t="s">
        <v>62</v>
      </c>
      <c r="V8" s="57"/>
      <c r="W8" s="57"/>
      <c r="X8" s="57"/>
      <c r="Y8" s="57"/>
      <c r="Z8" s="57"/>
      <c r="AA8" s="57"/>
      <c r="AB8" s="57"/>
      <c r="AC8" s="58"/>
      <c r="AD8" s="55" t="s">
        <v>150</v>
      </c>
      <c r="AE8" s="55" t="s">
        <v>151</v>
      </c>
      <c r="AF8" s="55" t="s">
        <v>152</v>
      </c>
    </row>
    <row r="9" spans="1:32" customFormat="1" ht="31.5" customHeight="1" x14ac:dyDescent="0.2">
      <c r="A9" s="54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3">
        <v>5011</v>
      </c>
      <c r="V9" s="43">
        <v>5007</v>
      </c>
      <c r="W9" s="43">
        <v>5006</v>
      </c>
      <c r="X9" s="43">
        <v>2008</v>
      </c>
      <c r="Y9" s="43">
        <v>2005</v>
      </c>
      <c r="Z9" s="43">
        <v>2037</v>
      </c>
      <c r="AA9" s="43">
        <v>2025</v>
      </c>
      <c r="AB9" s="43">
        <v>2022</v>
      </c>
      <c r="AC9" s="43" t="s">
        <v>130</v>
      </c>
      <c r="AD9" s="54"/>
      <c r="AE9" s="54"/>
      <c r="AF9" s="54"/>
    </row>
    <row r="10" spans="1:32" customFormat="1" ht="15.75" customHeight="1" thickBot="1" x14ac:dyDescent="0.25">
      <c r="A10" s="44" t="s">
        <v>66</v>
      </c>
      <c r="B10" s="45" t="s">
        <v>131</v>
      </c>
      <c r="C10" s="45" t="s">
        <v>132</v>
      </c>
      <c r="D10" s="45" t="s">
        <v>133</v>
      </c>
      <c r="E10" s="45" t="s">
        <v>134</v>
      </c>
      <c r="F10" s="46">
        <f>IFERROR(IF(A10="No data","",IF(C10=0,0,D10/C10)),0)</f>
        <v>0</v>
      </c>
      <c r="G10" s="45" t="s">
        <v>43</v>
      </c>
      <c r="H10" s="47">
        <f>IFERROR(IF(A10="No data","",IF(B10&lt;&gt;0, G10/B10, 0)),0)</f>
        <v>0</v>
      </c>
      <c r="I10" s="45" t="s">
        <v>135</v>
      </c>
      <c r="J10" s="45" t="s">
        <v>136</v>
      </c>
      <c r="K10" s="45">
        <f>IFERROR(IF(A10="No data","",U10+V10+W10+X10+Y10+Z10+AA10+AB10+AC10+AD10),0)</f>
        <v>0</v>
      </c>
      <c r="L10" s="46">
        <f>IFERROR(IF(A10="No data","",IF(G10=0,0,I10/G10)),0)</f>
        <v>0</v>
      </c>
      <c r="M10" s="46">
        <f>IFERROR(IF(A10="No data","",IF(G10=0,0,J10/G10)),0)</f>
        <v>0</v>
      </c>
      <c r="N10" s="46">
        <f>IFERROR(IF(A10="No data","",IF(D10=0,0,I10/D10)),0)</f>
        <v>0</v>
      </c>
      <c r="O10" s="46">
        <f>IFERROR(IF(A10="No data","",IF(G10=0,0,K10/G10)),0)</f>
        <v>0</v>
      </c>
      <c r="P10" s="45" t="s">
        <v>137</v>
      </c>
      <c r="Q10" s="45" t="s">
        <v>138</v>
      </c>
      <c r="R10" s="45" t="s">
        <v>139</v>
      </c>
      <c r="S10" s="46">
        <f>IFERROR(IF(A10="No data","",IF(I10=0,0,R10/I10)),0)</f>
        <v>0</v>
      </c>
      <c r="T10" s="48" t="s">
        <v>140</v>
      </c>
      <c r="U10" s="45" t="s">
        <v>67</v>
      </c>
      <c r="V10" s="45" t="s">
        <v>68</v>
      </c>
      <c r="W10" s="45" t="s">
        <v>69</v>
      </c>
      <c r="X10" s="45" t="s">
        <v>70</v>
      </c>
      <c r="Y10" s="45" t="s">
        <v>71</v>
      </c>
      <c r="Z10" s="45" t="s">
        <v>72</v>
      </c>
      <c r="AA10" s="45" t="s">
        <v>73</v>
      </c>
      <c r="AB10" s="45" t="s">
        <v>74</v>
      </c>
      <c r="AC10" s="45" t="s">
        <v>75</v>
      </c>
      <c r="AD10" s="45" t="s">
        <v>76</v>
      </c>
      <c r="AE10" s="45" t="s">
        <v>141</v>
      </c>
      <c r="AF10" s="45">
        <f>IFERROR(IF(A10="No data","",U10+V10+W10+X10+Y10+Z10+AA10+AB10+AC10+AD10+AE10),0)</f>
        <v>0</v>
      </c>
    </row>
    <row r="11" spans="1:32" customFormat="1" ht="15.75" customHeight="1" thickBot="1" x14ac:dyDescent="0.25">
      <c r="A11" s="68" t="s">
        <v>115</v>
      </c>
      <c r="B11" s="69"/>
      <c r="C11" s="69"/>
      <c r="D11" s="69"/>
      <c r="E11" s="69"/>
      <c r="F11" s="70">
        <f>AVERAGE(F$10:F10)</f>
        <v>0</v>
      </c>
      <c r="G11" s="71">
        <f>SUM(G$10:G10)</f>
        <v>0</v>
      </c>
      <c r="H11" s="70">
        <f>AVERAGE(H$10:H10)</f>
        <v>0</v>
      </c>
      <c r="I11" s="71">
        <f>SUM(I$10:I10)</f>
        <v>0</v>
      </c>
      <c r="J11" s="71">
        <f>SUM(J$10:J10)</f>
        <v>0</v>
      </c>
      <c r="K11" s="71">
        <f>SUM(K$10:K10)</f>
        <v>0</v>
      </c>
      <c r="L11" s="70">
        <f>AVERAGE(L$10:L10)</f>
        <v>0</v>
      </c>
      <c r="M11" s="70">
        <f>AVERAGE(M$10:M10)</f>
        <v>0</v>
      </c>
      <c r="N11" s="70">
        <f>AVERAGE(N$10:N10)</f>
        <v>0</v>
      </c>
      <c r="O11" s="70">
        <f>AVERAGE(O$10:O10)</f>
        <v>0</v>
      </c>
      <c r="P11" s="71">
        <f>SUM(P$10:P10)</f>
        <v>0</v>
      </c>
      <c r="Q11" s="71">
        <f>SUM(Q$10:Q10)</f>
        <v>0</v>
      </c>
      <c r="R11" s="71">
        <f>SUM(R$10:R10)</f>
        <v>0</v>
      </c>
      <c r="S11" s="70">
        <f>AVERAGE(S$10:S10)</f>
        <v>0</v>
      </c>
      <c r="T11" s="70" t="e">
        <f>AVERAGE(T$10:T10)</f>
        <v>#DIV/0!</v>
      </c>
      <c r="U11" s="71">
        <f>SUM(U$10:U10)</f>
        <v>0</v>
      </c>
      <c r="V11" s="71">
        <f>SUM(V$10:V10)</f>
        <v>0</v>
      </c>
      <c r="W11" s="71">
        <f>SUM(W$10:W10)</f>
        <v>0</v>
      </c>
      <c r="X11" s="71">
        <f>SUM(X$10:X10)</f>
        <v>0</v>
      </c>
      <c r="Y11" s="71">
        <f>SUM(Y$10:Y10)</f>
        <v>0</v>
      </c>
      <c r="Z11" s="71">
        <f>SUM(Z$10:Z10)</f>
        <v>0</v>
      </c>
      <c r="AA11" s="71">
        <f>SUM(AA$10:AA10)</f>
        <v>0</v>
      </c>
      <c r="AB11" s="71">
        <f>SUM(AB$10:AB10)</f>
        <v>0</v>
      </c>
      <c r="AC11" s="71">
        <f>SUM(AC$10:AC10)</f>
        <v>0</v>
      </c>
      <c r="AD11" s="71">
        <f>SUM(AD$10:AD10)</f>
        <v>0</v>
      </c>
      <c r="AE11" s="71">
        <f>SUM(AE$10:AE10)</f>
        <v>0</v>
      </c>
      <c r="AF11" s="72">
        <f>SUM(AF$10:AF10)</f>
        <v>0</v>
      </c>
    </row>
    <row r="12" spans="1:32" ht="15.75" customHeight="1" x14ac:dyDescent="0.2"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</row>
    <row r="13" spans="1:32" ht="15.75" customHeight="1" x14ac:dyDescent="0.2"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</row>
    <row r="14" spans="1:32" ht="15.75" customHeight="1" x14ac:dyDescent="0.2"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</row>
    <row r="15" spans="1:32" ht="15.75" customHeight="1" x14ac:dyDescent="0.2"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</row>
    <row r="16" spans="1:32" ht="15.75" customHeight="1" x14ac:dyDescent="0.2"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</row>
    <row r="17" spans="2:32" ht="15.75" customHeight="1" x14ac:dyDescent="0.2"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</row>
    <row r="18" spans="2:32" ht="15.75" customHeight="1" x14ac:dyDescent="0.2"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</row>
    <row r="19" spans="2:32" ht="15.75" customHeight="1" x14ac:dyDescent="0.2"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</row>
    <row r="20" spans="2:32" ht="15.75" customHeight="1" x14ac:dyDescent="0.2"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</row>
    <row r="21" spans="2:32" ht="15.75" customHeight="1" x14ac:dyDescent="0.2"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</row>
    <row r="22" spans="2:32" ht="15.75" customHeight="1" x14ac:dyDescent="0.2"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</row>
    <row r="23" spans="2:32" ht="15.75" customHeight="1" x14ac:dyDescent="0.2"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</row>
    <row r="24" spans="2:32" ht="15.75" customHeight="1" x14ac:dyDescent="0.2"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</row>
    <row r="25" spans="2:32" ht="15.75" customHeight="1" x14ac:dyDescent="0.2"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</row>
    <row r="26" spans="2:32" ht="15.75" customHeight="1" x14ac:dyDescent="0.2"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</row>
    <row r="27" spans="2:32" ht="15.75" customHeight="1" x14ac:dyDescent="0.2"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</row>
    <row r="28" spans="2:32" ht="15.75" customHeight="1" x14ac:dyDescent="0.2"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</row>
    <row r="29" spans="2:32" ht="15.75" customHeight="1" x14ac:dyDescent="0.2"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</row>
    <row r="30" spans="2:32" ht="15.75" customHeight="1" x14ac:dyDescent="0.2"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2:32" ht="15.75" customHeight="1" x14ac:dyDescent="0.2"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</row>
    <row r="32" spans="2:32" ht="15.75" customHeight="1" x14ac:dyDescent="0.2"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</row>
    <row r="33" spans="2:32" ht="15.75" customHeight="1" x14ac:dyDescent="0.2"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</row>
    <row r="34" spans="2:32" ht="15.75" customHeight="1" x14ac:dyDescent="0.2"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</row>
    <row r="35" spans="2:32" ht="15.75" customHeight="1" x14ac:dyDescent="0.2"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</row>
    <row r="36" spans="2:32" ht="15.75" customHeight="1" x14ac:dyDescent="0.2"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</row>
    <row r="37" spans="2:32" ht="15.75" customHeight="1" x14ac:dyDescent="0.2"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</row>
    <row r="38" spans="2:32" ht="15.75" customHeight="1" x14ac:dyDescent="0.2"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</row>
    <row r="39" spans="2:32" ht="15.75" customHeight="1" x14ac:dyDescent="0.2"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</row>
    <row r="40" spans="2:32" ht="15.75" customHeight="1" x14ac:dyDescent="0.2"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</row>
    <row r="41" spans="2:32" ht="15.75" customHeight="1" x14ac:dyDescent="0.2"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</row>
    <row r="42" spans="2:32" ht="15.75" customHeight="1" x14ac:dyDescent="0.2"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</row>
    <row r="43" spans="2:32" ht="15.75" customHeight="1" x14ac:dyDescent="0.2"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</row>
    <row r="44" spans="2:32" ht="15.75" customHeight="1" x14ac:dyDescent="0.2"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</row>
    <row r="45" spans="2:32" ht="15.75" customHeight="1" x14ac:dyDescent="0.2"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</row>
    <row r="46" spans="2:32" ht="15.75" customHeight="1" x14ac:dyDescent="0.2"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</row>
    <row r="47" spans="2:32" ht="15.75" customHeight="1" x14ac:dyDescent="0.2"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</row>
    <row r="48" spans="2:32" ht="15.75" customHeight="1" x14ac:dyDescent="0.2"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</row>
    <row r="49" spans="2:32" ht="15.75" customHeight="1" x14ac:dyDescent="0.2"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</row>
    <row r="50" spans="2:32" ht="15.75" customHeight="1" x14ac:dyDescent="0.2"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</row>
    <row r="51" spans="2:32" ht="15.75" customHeight="1" x14ac:dyDescent="0.2"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</row>
    <row r="52" spans="2:32" ht="15.75" customHeight="1" x14ac:dyDescent="0.2"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</row>
    <row r="53" spans="2:32" ht="15.75" customHeight="1" x14ac:dyDescent="0.2"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</row>
    <row r="54" spans="2:32" ht="15.75" customHeight="1" x14ac:dyDescent="0.2"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</row>
    <row r="55" spans="2:32" ht="15.75" customHeight="1" x14ac:dyDescent="0.2"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</row>
    <row r="56" spans="2:32" ht="15.75" customHeight="1" x14ac:dyDescent="0.2"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</row>
    <row r="57" spans="2:32" ht="15.75" customHeight="1" x14ac:dyDescent="0.2"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</row>
    <row r="58" spans="2:32" ht="15.75" customHeight="1" x14ac:dyDescent="0.2"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</row>
    <row r="59" spans="2:32" ht="15.75" customHeight="1" x14ac:dyDescent="0.2"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</row>
    <row r="60" spans="2:32" ht="15.75" customHeight="1" x14ac:dyDescent="0.2"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</row>
    <row r="61" spans="2:32" ht="15.75" customHeight="1" x14ac:dyDescent="0.2"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</row>
    <row r="62" spans="2:32" ht="15.75" customHeight="1" x14ac:dyDescent="0.2"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</row>
    <row r="63" spans="2:32" ht="15.75" customHeight="1" x14ac:dyDescent="0.2"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</row>
    <row r="64" spans="2:32" ht="15.75" customHeight="1" x14ac:dyDescent="0.2"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</row>
    <row r="65" spans="2:32" ht="15.75" customHeight="1" x14ac:dyDescent="0.2"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</row>
    <row r="66" spans="2:32" ht="15.75" customHeight="1" x14ac:dyDescent="0.2"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</row>
    <row r="67" spans="2:32" ht="15.75" customHeight="1" x14ac:dyDescent="0.2"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</row>
    <row r="68" spans="2:32" ht="15.75" customHeight="1" x14ac:dyDescent="0.2"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</row>
    <row r="69" spans="2:32" ht="15.75" customHeight="1" x14ac:dyDescent="0.2"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</row>
    <row r="70" spans="2:32" ht="15.75" customHeight="1" x14ac:dyDescent="0.2"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</row>
    <row r="71" spans="2:32" ht="15.75" customHeight="1" x14ac:dyDescent="0.2"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</row>
    <row r="72" spans="2:32" ht="15.75" customHeight="1" x14ac:dyDescent="0.2"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</row>
    <row r="73" spans="2:32" ht="15.75" customHeight="1" x14ac:dyDescent="0.2"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</row>
    <row r="74" spans="2:32" ht="15.75" customHeight="1" x14ac:dyDescent="0.2"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</row>
    <row r="75" spans="2:32" ht="15.75" customHeight="1" x14ac:dyDescent="0.2"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</row>
    <row r="76" spans="2:32" ht="15.75" customHeight="1" x14ac:dyDescent="0.2"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</row>
    <row r="77" spans="2:32" ht="15.75" customHeight="1" x14ac:dyDescent="0.2"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</row>
    <row r="78" spans="2:32" ht="15.75" customHeight="1" x14ac:dyDescent="0.2"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</row>
    <row r="79" spans="2:32" ht="15.75" customHeight="1" x14ac:dyDescent="0.2"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</row>
    <row r="80" spans="2:32" ht="15.75" customHeight="1" x14ac:dyDescent="0.2"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</row>
    <row r="81" spans="2:32" ht="15.75" customHeight="1" x14ac:dyDescent="0.2"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</row>
    <row r="82" spans="2:32" ht="15.75" customHeight="1" x14ac:dyDescent="0.2"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</row>
    <row r="83" spans="2:32" ht="15.75" customHeight="1" x14ac:dyDescent="0.2"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</row>
    <row r="84" spans="2:32" ht="15.75" customHeight="1" x14ac:dyDescent="0.2"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</row>
    <row r="85" spans="2:32" ht="15.75" customHeight="1" x14ac:dyDescent="0.2"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</row>
    <row r="86" spans="2:32" ht="15.75" customHeight="1" x14ac:dyDescent="0.2"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</row>
    <row r="87" spans="2:32" ht="15.75" customHeight="1" x14ac:dyDescent="0.2"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</row>
    <row r="88" spans="2:32" ht="15.75" customHeight="1" x14ac:dyDescent="0.2"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</row>
    <row r="89" spans="2:32" ht="15.75" customHeight="1" x14ac:dyDescent="0.2"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</row>
    <row r="90" spans="2:32" ht="15.75" customHeight="1" x14ac:dyDescent="0.2"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</row>
    <row r="91" spans="2:32" ht="15.75" customHeight="1" x14ac:dyDescent="0.2"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</row>
    <row r="92" spans="2:32" ht="15.75" customHeight="1" x14ac:dyDescent="0.2"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</row>
    <row r="93" spans="2:32" ht="15.75" customHeight="1" x14ac:dyDescent="0.2"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</row>
    <row r="94" spans="2:32" ht="15.75" customHeight="1" x14ac:dyDescent="0.2"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</row>
    <row r="95" spans="2:32" ht="15.75" customHeight="1" x14ac:dyDescent="0.2"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</row>
    <row r="96" spans="2:32" ht="15.75" customHeight="1" x14ac:dyDescent="0.2"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</row>
    <row r="97" spans="2:32" ht="15.75" customHeight="1" x14ac:dyDescent="0.2"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</row>
    <row r="98" spans="2:32" ht="15.75" customHeight="1" x14ac:dyDescent="0.2"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</row>
    <row r="99" spans="2:32" ht="15.75" customHeight="1" x14ac:dyDescent="0.2"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</row>
    <row r="100" spans="2:32" ht="15.75" customHeight="1" x14ac:dyDescent="0.2"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</row>
    <row r="101" spans="2:32" ht="15.75" customHeight="1" x14ac:dyDescent="0.2"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</row>
    <row r="102" spans="2:32" ht="15.75" customHeight="1" x14ac:dyDescent="0.2"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</row>
    <row r="103" spans="2:32" ht="15.75" customHeight="1" x14ac:dyDescent="0.2"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</row>
    <row r="104" spans="2:32" ht="15.75" customHeight="1" x14ac:dyDescent="0.2"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</row>
    <row r="105" spans="2:32" ht="15.75" customHeight="1" x14ac:dyDescent="0.2"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</row>
    <row r="106" spans="2:32" ht="15.75" customHeight="1" x14ac:dyDescent="0.2"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</row>
    <row r="107" spans="2:32" ht="15.75" customHeight="1" x14ac:dyDescent="0.2"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</row>
    <row r="108" spans="2:32" ht="15.75" customHeight="1" x14ac:dyDescent="0.2"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</row>
    <row r="109" spans="2:32" ht="15.75" customHeight="1" x14ac:dyDescent="0.2"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</row>
    <row r="110" spans="2:32" ht="15.75" customHeight="1" x14ac:dyDescent="0.2"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</row>
    <row r="111" spans="2:32" ht="15.75" customHeight="1" x14ac:dyDescent="0.2"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</row>
    <row r="112" spans="2:32" ht="15.75" customHeight="1" x14ac:dyDescent="0.2"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</row>
    <row r="113" spans="2:32" ht="15.75" customHeight="1" x14ac:dyDescent="0.2"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</row>
    <row r="114" spans="2:32" ht="15.75" customHeight="1" x14ac:dyDescent="0.2"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</row>
    <row r="115" spans="2:32" ht="15.75" customHeight="1" x14ac:dyDescent="0.2"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</row>
    <row r="116" spans="2:32" ht="15.75" customHeight="1" x14ac:dyDescent="0.2"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</row>
    <row r="117" spans="2:32" ht="15.75" customHeight="1" x14ac:dyDescent="0.2"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</row>
    <row r="118" spans="2:32" ht="15.75" customHeight="1" x14ac:dyDescent="0.2"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</row>
    <row r="119" spans="2:32" ht="15.75" customHeight="1" x14ac:dyDescent="0.2"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</row>
    <row r="120" spans="2:32" ht="15.75" customHeight="1" x14ac:dyDescent="0.2"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</row>
    <row r="121" spans="2:32" ht="15.75" customHeight="1" x14ac:dyDescent="0.2"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</row>
    <row r="122" spans="2:32" ht="15.75" customHeight="1" x14ac:dyDescent="0.2"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</row>
    <row r="123" spans="2:32" ht="15.75" customHeight="1" x14ac:dyDescent="0.2"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</row>
    <row r="124" spans="2:32" ht="15.75" customHeight="1" x14ac:dyDescent="0.2"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</row>
    <row r="125" spans="2:32" ht="15.75" customHeight="1" x14ac:dyDescent="0.2"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</row>
    <row r="126" spans="2:32" ht="15.75" customHeight="1" x14ac:dyDescent="0.2"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</row>
    <row r="127" spans="2:32" ht="15.75" customHeight="1" x14ac:dyDescent="0.2"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</row>
    <row r="128" spans="2:32" ht="15.75" customHeight="1" x14ac:dyDescent="0.2"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</row>
    <row r="129" spans="2:32" ht="15.75" customHeight="1" x14ac:dyDescent="0.2"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</row>
    <row r="130" spans="2:32" ht="15.75" customHeight="1" x14ac:dyDescent="0.2"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</row>
    <row r="131" spans="2:32" ht="15.75" customHeight="1" x14ac:dyDescent="0.2"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</row>
    <row r="132" spans="2:32" ht="15.75" customHeight="1" x14ac:dyDescent="0.2"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</row>
    <row r="133" spans="2:32" ht="15.75" customHeight="1" x14ac:dyDescent="0.2"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</row>
    <row r="134" spans="2:32" ht="15.75" customHeight="1" x14ac:dyDescent="0.2"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</row>
    <row r="135" spans="2:32" ht="15.75" customHeight="1" x14ac:dyDescent="0.2"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</row>
    <row r="136" spans="2:32" ht="15.75" customHeight="1" x14ac:dyDescent="0.2"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</row>
    <row r="137" spans="2:32" ht="15.75" customHeight="1" x14ac:dyDescent="0.2"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</row>
    <row r="138" spans="2:32" ht="15.75" customHeight="1" x14ac:dyDescent="0.2"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</row>
    <row r="139" spans="2:32" ht="15.75" customHeight="1" x14ac:dyDescent="0.2"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</row>
    <row r="140" spans="2:32" ht="15.75" customHeight="1" x14ac:dyDescent="0.2"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</row>
    <row r="141" spans="2:32" ht="15.75" customHeight="1" x14ac:dyDescent="0.2"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</row>
    <row r="142" spans="2:32" ht="15.75" customHeight="1" x14ac:dyDescent="0.2"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</row>
    <row r="143" spans="2:32" ht="15.75" customHeight="1" x14ac:dyDescent="0.2"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</row>
    <row r="144" spans="2:32" ht="15.75" customHeight="1" x14ac:dyDescent="0.2"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</row>
    <row r="145" spans="2:32" ht="15.75" customHeight="1" x14ac:dyDescent="0.2"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</row>
    <row r="146" spans="2:32" ht="15.75" customHeight="1" x14ac:dyDescent="0.2"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</row>
    <row r="147" spans="2:32" ht="15.75" customHeight="1" x14ac:dyDescent="0.2"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</row>
    <row r="148" spans="2:32" ht="15.75" customHeight="1" x14ac:dyDescent="0.2"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</row>
    <row r="149" spans="2:32" ht="15.75" customHeight="1" x14ac:dyDescent="0.2"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</row>
    <row r="150" spans="2:32" ht="15.75" customHeight="1" x14ac:dyDescent="0.2"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</row>
    <row r="151" spans="2:32" ht="15.75" customHeight="1" x14ac:dyDescent="0.2"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</row>
    <row r="152" spans="2:32" ht="15.75" customHeight="1" x14ac:dyDescent="0.2"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</row>
    <row r="153" spans="2:32" ht="15.75" customHeight="1" x14ac:dyDescent="0.2"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</row>
    <row r="154" spans="2:32" ht="15.75" customHeight="1" x14ac:dyDescent="0.2"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</row>
    <row r="155" spans="2:32" ht="15.75" customHeight="1" x14ac:dyDescent="0.2"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</row>
    <row r="156" spans="2:32" ht="15.75" customHeight="1" x14ac:dyDescent="0.2"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</row>
    <row r="157" spans="2:32" ht="15.75" customHeight="1" x14ac:dyDescent="0.2"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</row>
    <row r="158" spans="2:32" ht="15.75" customHeight="1" x14ac:dyDescent="0.2"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</row>
    <row r="159" spans="2:32" ht="15.75" customHeight="1" x14ac:dyDescent="0.2"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</row>
    <row r="160" spans="2:32" ht="15.75" customHeight="1" x14ac:dyDescent="0.2"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</row>
    <row r="161" spans="2:32" ht="15.75" customHeight="1" x14ac:dyDescent="0.2"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</row>
    <row r="162" spans="2:32" ht="15.75" customHeight="1" x14ac:dyDescent="0.2"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</row>
    <row r="163" spans="2:32" ht="15.75" customHeight="1" x14ac:dyDescent="0.2"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</row>
    <row r="164" spans="2:32" ht="15.75" customHeight="1" x14ac:dyDescent="0.2"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</row>
    <row r="165" spans="2:32" ht="15.75" customHeight="1" x14ac:dyDescent="0.2"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</row>
    <row r="166" spans="2:32" ht="15.75" customHeight="1" x14ac:dyDescent="0.2"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</row>
    <row r="167" spans="2:32" ht="15.75" customHeight="1" x14ac:dyDescent="0.2"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</row>
    <row r="168" spans="2:32" ht="15.75" customHeight="1" x14ac:dyDescent="0.2"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</row>
    <row r="169" spans="2:32" ht="15.75" customHeight="1" x14ac:dyDescent="0.2"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</row>
    <row r="170" spans="2:32" ht="15.75" customHeight="1" x14ac:dyDescent="0.2"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</row>
    <row r="171" spans="2:32" ht="15.75" customHeight="1" x14ac:dyDescent="0.2"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</row>
    <row r="172" spans="2:32" ht="15.75" customHeight="1" x14ac:dyDescent="0.2"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</row>
    <row r="173" spans="2:32" ht="15.75" customHeight="1" x14ac:dyDescent="0.2"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</row>
    <row r="174" spans="2:32" ht="15.75" customHeight="1" x14ac:dyDescent="0.2"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</row>
    <row r="175" spans="2:32" ht="15.75" customHeight="1" x14ac:dyDescent="0.2"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</row>
    <row r="176" spans="2:32" ht="15.75" customHeight="1" x14ac:dyDescent="0.2"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</row>
    <row r="177" spans="2:32" ht="15.75" customHeight="1" x14ac:dyDescent="0.2"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</row>
    <row r="178" spans="2:32" ht="15.75" customHeight="1" x14ac:dyDescent="0.2"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</row>
    <row r="179" spans="2:32" ht="15.75" customHeight="1" x14ac:dyDescent="0.2"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</row>
    <row r="180" spans="2:32" ht="15.75" customHeight="1" x14ac:dyDescent="0.2"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</row>
    <row r="181" spans="2:32" ht="15.75" customHeight="1" x14ac:dyDescent="0.2"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</row>
    <row r="182" spans="2:32" ht="15.75" customHeight="1" x14ac:dyDescent="0.2"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</row>
    <row r="183" spans="2:32" ht="15.75" customHeight="1" x14ac:dyDescent="0.2"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</row>
    <row r="184" spans="2:32" ht="15.75" customHeight="1" x14ac:dyDescent="0.2"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</row>
    <row r="185" spans="2:32" ht="15.75" customHeight="1" x14ac:dyDescent="0.2"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</row>
    <row r="186" spans="2:32" ht="15.75" customHeight="1" x14ac:dyDescent="0.2"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</row>
    <row r="187" spans="2:32" ht="15.75" customHeight="1" x14ac:dyDescent="0.2"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</row>
    <row r="188" spans="2:32" ht="15.75" customHeight="1" x14ac:dyDescent="0.2"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</row>
    <row r="189" spans="2:32" ht="15.75" customHeight="1" x14ac:dyDescent="0.2"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</row>
    <row r="190" spans="2:32" ht="15.75" customHeight="1" x14ac:dyDescent="0.2"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</row>
    <row r="191" spans="2:32" ht="15.75" customHeight="1" x14ac:dyDescent="0.2"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</row>
    <row r="192" spans="2:32" ht="15.75" customHeight="1" x14ac:dyDescent="0.2"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</row>
    <row r="193" spans="2:32" ht="15.75" customHeight="1" x14ac:dyDescent="0.2"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</row>
    <row r="194" spans="2:32" ht="15.75" customHeight="1" x14ac:dyDescent="0.2"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</row>
    <row r="195" spans="2:32" ht="15.75" customHeight="1" x14ac:dyDescent="0.2"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</row>
    <row r="196" spans="2:32" ht="15.75" customHeight="1" x14ac:dyDescent="0.2"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</row>
    <row r="197" spans="2:32" ht="15.75" customHeight="1" x14ac:dyDescent="0.2"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</row>
    <row r="198" spans="2:32" ht="15.75" customHeight="1" x14ac:dyDescent="0.2"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</row>
    <row r="199" spans="2:32" ht="15.75" customHeight="1" x14ac:dyDescent="0.2"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</row>
    <row r="200" spans="2:32" ht="15.75" customHeight="1" x14ac:dyDescent="0.2"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</row>
    <row r="201" spans="2:32" ht="15.75" customHeight="1" x14ac:dyDescent="0.2"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</row>
    <row r="202" spans="2:32" ht="15.75" customHeight="1" x14ac:dyDescent="0.2"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</row>
    <row r="203" spans="2:32" ht="15.75" customHeight="1" x14ac:dyDescent="0.2"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</row>
    <row r="204" spans="2:32" ht="15.75" customHeight="1" x14ac:dyDescent="0.2"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</row>
    <row r="205" spans="2:32" ht="15.75" customHeight="1" x14ac:dyDescent="0.2"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</row>
    <row r="206" spans="2:32" ht="15.75" customHeight="1" x14ac:dyDescent="0.2"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</row>
    <row r="207" spans="2:32" ht="15.75" customHeight="1" x14ac:dyDescent="0.2"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</row>
    <row r="208" spans="2:32" ht="15.75" customHeight="1" x14ac:dyDescent="0.2"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</row>
    <row r="209" spans="2:32" ht="15.75" customHeight="1" x14ac:dyDescent="0.2"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</row>
    <row r="210" spans="2:32" ht="15.75" customHeight="1" x14ac:dyDescent="0.2"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</row>
    <row r="211" spans="2:32" ht="15.75" customHeight="1" x14ac:dyDescent="0.2"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</row>
    <row r="212" spans="2:32" ht="15.75" customHeight="1" x14ac:dyDescent="0.2"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</row>
    <row r="213" spans="2:32" ht="15.75" customHeight="1" x14ac:dyDescent="0.2"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</row>
    <row r="214" spans="2:32" ht="15.75" customHeight="1" x14ac:dyDescent="0.2"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</row>
    <row r="215" spans="2:32" ht="15.75" customHeight="1" x14ac:dyDescent="0.2"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</row>
    <row r="216" spans="2:32" ht="15.75" customHeight="1" x14ac:dyDescent="0.2"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</row>
    <row r="217" spans="2:32" ht="15.75" customHeight="1" x14ac:dyDescent="0.2"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</row>
    <row r="218" spans="2:32" ht="15.75" customHeight="1" x14ac:dyDescent="0.2"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</row>
    <row r="219" spans="2:32" ht="15.75" customHeight="1" x14ac:dyDescent="0.2"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</row>
    <row r="220" spans="2:32" ht="15.75" customHeight="1" x14ac:dyDescent="0.2"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</row>
    <row r="221" spans="2:32" ht="15.75" customHeight="1" x14ac:dyDescent="0.2"/>
    <row r="222" spans="2:32" ht="15.75" customHeight="1" x14ac:dyDescent="0.2"/>
    <row r="223" spans="2:32" ht="15.75" customHeight="1" x14ac:dyDescent="0.2"/>
    <row r="224" spans="2:3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4">
    <mergeCell ref="AF8:AF9"/>
    <mergeCell ref="M8:M9"/>
    <mergeCell ref="N8:N9"/>
    <mergeCell ref="O8:O9"/>
    <mergeCell ref="P8:P9"/>
    <mergeCell ref="Q8:Q9"/>
    <mergeCell ref="R8:R9"/>
    <mergeCell ref="S8:S9"/>
    <mergeCell ref="T8:T9"/>
    <mergeCell ref="U8:AC8"/>
    <mergeCell ref="AD8:AD9"/>
    <mergeCell ref="AE8:AE9"/>
    <mergeCell ref="L8:L9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</mergeCells>
  <conditionalFormatting sqref="H10">
    <cfRule type="notContainsBlanks" dxfId="2" priority="1">
      <formula>LEN(TRIM(H10))&gt;0</formula>
    </cfRule>
  </conditionalFormatting>
  <conditionalFormatting sqref="AF10">
    <cfRule type="notContainsBlanks" dxfId="1" priority="2">
      <formula>LEN(TRIM(AF10))&gt;0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1"/>
  <sheetViews>
    <sheetView showGridLines="0" zoomScaleNormal="100" workbookViewId="0">
      <pane ySplit="9" topLeftCell="A10" activePane="bottomLeft" state="frozen"/>
      <selection pane="bottomLeft" activeCell="A10" sqref="A10"/>
    </sheetView>
  </sheetViews>
  <sheetFormatPr baseColWidth="10" defaultColWidth="8.6640625" defaultRowHeight="16" x14ac:dyDescent="0.2"/>
  <cols>
    <col min="1" max="1" width="33.1640625" customWidth="1"/>
    <col min="2" max="9" width="8.6640625" style="1" customWidth="1"/>
    <col min="10" max="10" width="12.1640625" style="1" customWidth="1"/>
    <col min="11" max="11" width="14.1640625" style="1" customWidth="1"/>
    <col min="12" max="12" width="15.5" style="1" customWidth="1"/>
  </cols>
  <sheetData>
    <row r="1" spans="1:12" ht="21" x14ac:dyDescent="0.25">
      <c r="A1" s="3" t="s">
        <v>112</v>
      </c>
    </row>
    <row r="2" spans="1:12" x14ac:dyDescent="0.2">
      <c r="A2" t="s">
        <v>0</v>
      </c>
    </row>
    <row r="3" spans="1:12" x14ac:dyDescent="0.2">
      <c r="A3" t="s">
        <v>1</v>
      </c>
    </row>
    <row r="4" spans="1:12" x14ac:dyDescent="0.2">
      <c r="A4" t="s">
        <v>2</v>
      </c>
    </row>
    <row r="5" spans="1:12" ht="17" x14ac:dyDescent="0.2">
      <c r="A5" s="4" t="s">
        <v>3</v>
      </c>
    </row>
    <row r="6" spans="1:12" x14ac:dyDescent="0.2">
      <c r="A6" t="s">
        <v>4</v>
      </c>
    </row>
    <row r="7" spans="1:12" ht="17" x14ac:dyDescent="0.2">
      <c r="A7" s="7" t="s">
        <v>5</v>
      </c>
      <c r="B7" s="1">
        <v>2</v>
      </c>
    </row>
    <row r="8" spans="1:12" ht="15" customHeight="1" x14ac:dyDescent="0.2">
      <c r="A8" s="59" t="s">
        <v>6</v>
      </c>
      <c r="B8" s="56" t="s">
        <v>62</v>
      </c>
      <c r="C8" s="57"/>
      <c r="D8" s="57"/>
      <c r="E8" s="57"/>
      <c r="F8" s="57"/>
      <c r="G8" s="57"/>
      <c r="H8" s="57"/>
      <c r="I8" s="57"/>
      <c r="J8" s="58"/>
      <c r="K8" s="60" t="s">
        <v>63</v>
      </c>
      <c r="L8" s="60" t="s">
        <v>64</v>
      </c>
    </row>
    <row r="9" spans="1:12" ht="31.5" customHeight="1" x14ac:dyDescent="0.2">
      <c r="A9" s="54"/>
      <c r="B9" s="43">
        <v>5011</v>
      </c>
      <c r="C9" s="43">
        <v>5007</v>
      </c>
      <c r="D9" s="43">
        <v>5006</v>
      </c>
      <c r="E9" s="43">
        <v>2008</v>
      </c>
      <c r="F9" s="43">
        <v>2005</v>
      </c>
      <c r="G9" s="43">
        <v>2037</v>
      </c>
      <c r="H9" s="43">
        <v>2025</v>
      </c>
      <c r="I9" s="43">
        <v>2022</v>
      </c>
      <c r="J9" s="43" t="s">
        <v>65</v>
      </c>
      <c r="K9" s="54"/>
      <c r="L9" s="54"/>
    </row>
    <row r="10" spans="1:12" ht="15.75" customHeight="1" thickBot="1" x14ac:dyDescent="0.25">
      <c r="A10" s="44" t="s">
        <v>66</v>
      </c>
      <c r="B10" s="45" t="s">
        <v>67</v>
      </c>
      <c r="C10" s="45" t="s">
        <v>68</v>
      </c>
      <c r="D10" s="45" t="s">
        <v>69</v>
      </c>
      <c r="E10" s="45" t="s">
        <v>70</v>
      </c>
      <c r="F10" s="45" t="s">
        <v>71</v>
      </c>
      <c r="G10" s="45" t="s">
        <v>72</v>
      </c>
      <c r="H10" s="45" t="s">
        <v>73</v>
      </c>
      <c r="I10" s="45" t="s">
        <v>74</v>
      </c>
      <c r="J10" s="45" t="s">
        <v>75</v>
      </c>
      <c r="K10" s="45" t="s">
        <v>76</v>
      </c>
      <c r="L10" s="45" t="e">
        <f>B10+C10+D10+E10+F10+G10+H10+I10+J10+K10</f>
        <v>#VALUE!</v>
      </c>
    </row>
    <row r="11" spans="1:12" ht="15.75" customHeight="1" thickBot="1" x14ac:dyDescent="0.25">
      <c r="A11" s="68" t="s">
        <v>115</v>
      </c>
      <c r="B11" s="69">
        <f>SUM(B$10:B10)</f>
        <v>0</v>
      </c>
      <c r="C11" s="69">
        <f>SUM(C$10:C10)</f>
        <v>0</v>
      </c>
      <c r="D11" s="69">
        <f>SUM(D$10:D10)</f>
        <v>0</v>
      </c>
      <c r="E11" s="69">
        <f>SUM(E$10:E10)</f>
        <v>0</v>
      </c>
      <c r="F11" s="69">
        <f>SUM(F$10:F10)</f>
        <v>0</v>
      </c>
      <c r="G11" s="69">
        <f>SUM(G$10:G10)</f>
        <v>0</v>
      </c>
      <c r="H11" s="69">
        <f>SUM(H$10:H10)</f>
        <v>0</v>
      </c>
      <c r="I11" s="69">
        <f>SUM(I$10:I10)</f>
        <v>0</v>
      </c>
      <c r="J11" s="69">
        <f>SUM(J$10:J10)</f>
        <v>0</v>
      </c>
      <c r="K11" s="69">
        <f>SUM(K$10:K10)</f>
        <v>0</v>
      </c>
      <c r="L11" s="73" t="e">
        <f>SUM(L$10:L10)</f>
        <v>#VALUE!</v>
      </c>
    </row>
  </sheetData>
  <mergeCells count="4">
    <mergeCell ref="A8:A9"/>
    <mergeCell ref="B8:J8"/>
    <mergeCell ref="K8:K9"/>
    <mergeCell ref="L8:L9"/>
  </mergeCells>
  <conditionalFormatting sqref="L10">
    <cfRule type="notContainsBlanks" dxfId="0" priority="1">
      <formula>LEN(TRIM(L10))&gt;0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1001"/>
  <sheetViews>
    <sheetView showGridLines="0" zoomScaleNormal="100" workbookViewId="0">
      <selection activeCell="B3" sqref="B3"/>
    </sheetView>
  </sheetViews>
  <sheetFormatPr baseColWidth="10" defaultColWidth="11.1640625" defaultRowHeight="16" x14ac:dyDescent="0.2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1" spans="2:4" ht="15" customHeight="1" x14ac:dyDescent="0.2"/>
    <row r="2" spans="2:4" ht="21.75" customHeight="1" x14ac:dyDescent="0.2">
      <c r="B2" s="8" t="s">
        <v>77</v>
      </c>
      <c r="C2" s="8" t="s">
        <v>78</v>
      </c>
      <c r="D2" s="8" t="s">
        <v>79</v>
      </c>
    </row>
    <row r="3" spans="2:4" ht="21.75" customHeight="1" x14ac:dyDescent="0.2">
      <c r="B3" s="9">
        <v>1001</v>
      </c>
      <c r="C3" s="10" t="s">
        <v>80</v>
      </c>
      <c r="D3" s="11" t="s">
        <v>81</v>
      </c>
    </row>
    <row r="4" spans="2:4" ht="21.75" customHeight="1" x14ac:dyDescent="0.2">
      <c r="B4" s="12">
        <v>1002</v>
      </c>
      <c r="C4" s="13" t="s">
        <v>80</v>
      </c>
      <c r="D4" s="14" t="s">
        <v>82</v>
      </c>
    </row>
    <row r="5" spans="2:4" ht="21.75" customHeight="1" x14ac:dyDescent="0.2">
      <c r="B5" s="15">
        <v>1004</v>
      </c>
      <c r="C5" s="16" t="s">
        <v>80</v>
      </c>
      <c r="D5" s="17" t="s">
        <v>83</v>
      </c>
    </row>
    <row r="6" spans="2:4" ht="21.75" customHeight="1" x14ac:dyDescent="0.2">
      <c r="B6" s="12">
        <v>1005</v>
      </c>
      <c r="C6" s="13" t="s">
        <v>80</v>
      </c>
      <c r="D6" s="14" t="s">
        <v>84</v>
      </c>
    </row>
    <row r="7" spans="2:4" ht="21.75" customHeight="1" x14ac:dyDescent="0.2">
      <c r="B7" s="15">
        <v>1006</v>
      </c>
      <c r="C7" s="16" t="s">
        <v>80</v>
      </c>
      <c r="D7" s="17" t="s">
        <v>85</v>
      </c>
    </row>
    <row r="8" spans="2:4" ht="21.75" customHeight="1" x14ac:dyDescent="0.2">
      <c r="B8" s="12">
        <v>1007</v>
      </c>
      <c r="C8" s="13" t="s">
        <v>80</v>
      </c>
      <c r="D8" s="14" t="s">
        <v>86</v>
      </c>
    </row>
    <row r="9" spans="2:4" ht="21.75" customHeight="1" x14ac:dyDescent="0.2">
      <c r="B9" s="15">
        <v>1017</v>
      </c>
      <c r="C9" s="16" t="s">
        <v>80</v>
      </c>
      <c r="D9" s="17" t="s">
        <v>87</v>
      </c>
    </row>
    <row r="10" spans="2:4" ht="21.75" customHeight="1" x14ac:dyDescent="0.2">
      <c r="B10" s="12">
        <v>1018</v>
      </c>
      <c r="C10" s="13" t="s">
        <v>80</v>
      </c>
      <c r="D10" s="14" t="s">
        <v>88</v>
      </c>
    </row>
    <row r="11" spans="2:4" ht="21.75" customHeight="1" x14ac:dyDescent="0.2">
      <c r="B11" s="15">
        <v>2003</v>
      </c>
      <c r="C11" s="16" t="s">
        <v>89</v>
      </c>
      <c r="D11" s="17" t="s">
        <v>90</v>
      </c>
    </row>
    <row r="12" spans="2:4" ht="21.75" customHeight="1" x14ac:dyDescent="0.2">
      <c r="B12" s="12">
        <v>2005</v>
      </c>
      <c r="C12" s="13" t="s">
        <v>89</v>
      </c>
      <c r="D12" s="14" t="s">
        <v>91</v>
      </c>
    </row>
    <row r="13" spans="2:4" ht="21.75" customHeight="1" x14ac:dyDescent="0.2">
      <c r="B13" s="15">
        <v>2008</v>
      </c>
      <c r="C13" s="16" t="s">
        <v>89</v>
      </c>
      <c r="D13" s="17" t="s">
        <v>92</v>
      </c>
    </row>
    <row r="14" spans="2:4" ht="21.75" customHeight="1" x14ac:dyDescent="0.2">
      <c r="B14" s="12">
        <v>2009</v>
      </c>
      <c r="C14" s="13" t="s">
        <v>89</v>
      </c>
      <c r="D14" s="14" t="s">
        <v>92</v>
      </c>
    </row>
    <row r="15" spans="2:4" ht="21.75" customHeight="1" x14ac:dyDescent="0.2">
      <c r="B15" s="15">
        <v>2011</v>
      </c>
      <c r="C15" s="16" t="s">
        <v>93</v>
      </c>
      <c r="D15" s="17" t="s">
        <v>94</v>
      </c>
    </row>
    <row r="16" spans="2:4" ht="51" x14ac:dyDescent="0.2">
      <c r="B16" s="12">
        <v>2014</v>
      </c>
      <c r="C16" s="13" t="s">
        <v>89</v>
      </c>
      <c r="D16" s="14" t="s">
        <v>95</v>
      </c>
    </row>
    <row r="17" spans="2:4" ht="21.75" customHeight="1" x14ac:dyDescent="0.2">
      <c r="B17" s="15">
        <v>2016</v>
      </c>
      <c r="C17" s="16" t="s">
        <v>89</v>
      </c>
      <c r="D17" s="17" t="s">
        <v>96</v>
      </c>
    </row>
    <row r="18" spans="2:4" ht="21.75" customHeight="1" x14ac:dyDescent="0.2">
      <c r="B18" s="12">
        <v>2018</v>
      </c>
      <c r="C18" s="13" t="s">
        <v>93</v>
      </c>
      <c r="D18" s="14" t="s">
        <v>97</v>
      </c>
    </row>
    <row r="19" spans="2:4" ht="21.75" customHeight="1" x14ac:dyDescent="0.2">
      <c r="B19" s="15">
        <v>2022</v>
      </c>
      <c r="C19" s="16" t="s">
        <v>89</v>
      </c>
      <c r="D19" s="17" t="s">
        <v>98</v>
      </c>
    </row>
    <row r="20" spans="2:4" ht="21.75" customHeight="1" x14ac:dyDescent="0.2">
      <c r="B20" s="12">
        <v>2025</v>
      </c>
      <c r="C20" s="13" t="s">
        <v>93</v>
      </c>
      <c r="D20" s="14" t="s">
        <v>99</v>
      </c>
    </row>
    <row r="21" spans="2:4" ht="21.75" customHeight="1" x14ac:dyDescent="0.2">
      <c r="B21" s="15">
        <v>2032</v>
      </c>
      <c r="C21" s="16" t="s">
        <v>89</v>
      </c>
      <c r="D21" s="17" t="s">
        <v>100</v>
      </c>
    </row>
    <row r="22" spans="2:4" ht="21.75" customHeight="1" x14ac:dyDescent="0.2">
      <c r="B22" s="12">
        <v>2034</v>
      </c>
      <c r="C22" s="13" t="s">
        <v>89</v>
      </c>
      <c r="D22" s="14" t="s">
        <v>101</v>
      </c>
    </row>
    <row r="23" spans="2:4" ht="21.75" customHeight="1" x14ac:dyDescent="0.2">
      <c r="B23" s="15">
        <v>2037</v>
      </c>
      <c r="C23" s="16" t="s">
        <v>93</v>
      </c>
      <c r="D23" s="17" t="s">
        <v>102</v>
      </c>
    </row>
    <row r="24" spans="2:4" ht="21.75" customHeight="1" x14ac:dyDescent="0.2">
      <c r="B24" s="12">
        <v>4010</v>
      </c>
      <c r="C24" s="13" t="s">
        <v>103</v>
      </c>
      <c r="D24" s="14" t="s">
        <v>104</v>
      </c>
    </row>
    <row r="25" spans="2:4" ht="51" x14ac:dyDescent="0.2">
      <c r="B25" s="15">
        <v>4017</v>
      </c>
      <c r="C25" s="16" t="s">
        <v>103</v>
      </c>
      <c r="D25" s="17" t="s">
        <v>95</v>
      </c>
    </row>
    <row r="26" spans="2:4" ht="21.75" customHeight="1" x14ac:dyDescent="0.2">
      <c r="B26" s="12">
        <v>5006</v>
      </c>
      <c r="C26" s="13" t="s">
        <v>105</v>
      </c>
      <c r="D26" s="14" t="s">
        <v>106</v>
      </c>
    </row>
    <row r="27" spans="2:4" ht="21.75" customHeight="1" x14ac:dyDescent="0.2">
      <c r="B27" s="15">
        <v>5007</v>
      </c>
      <c r="C27" s="16" t="s">
        <v>105</v>
      </c>
      <c r="D27" s="17" t="s">
        <v>107</v>
      </c>
    </row>
    <row r="28" spans="2:4" ht="21.75" customHeight="1" x14ac:dyDescent="0.2">
      <c r="B28" s="18">
        <v>5011</v>
      </c>
      <c r="C28" s="19" t="s">
        <v>105</v>
      </c>
      <c r="D28" s="20" t="s">
        <v>108</v>
      </c>
    </row>
    <row r="29" spans="2:4" ht="15.75" customHeight="1" x14ac:dyDescent="0.2"/>
    <row r="30" spans="2:4" ht="15.75" customHeight="1" x14ac:dyDescent="0.2"/>
    <row r="31" spans="2:4" ht="15.75" customHeight="1" x14ac:dyDescent="0.2"/>
    <row r="32" spans="2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Короткий опис пристрою та сайту</vt:lpstr>
      <vt:lpstr>Інвентаризація</vt:lpstr>
      <vt:lpstr>Пристрої TB Дотягнутися</vt:lpstr>
      <vt:lpstr>Помилки за пристроями</vt:lpstr>
      <vt:lpstr>Коди помилок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23</cp:revision>
  <dcterms:created xsi:type="dcterms:W3CDTF">2014-04-20T08:25:13Z</dcterms:created>
  <dcterms:modified xsi:type="dcterms:W3CDTF">2025-06-12T04:03:03Z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