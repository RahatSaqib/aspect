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xpert_site_summary_report\"/>
    </mc:Choice>
  </mc:AlternateContent>
  <xr:revisionPtr revIDLastSave="0" documentId="13_ncr:1_{A9A849D3-EAC1-4FD4-9C61-2E8912199BCE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Зведений звіт Xpert по сайту" sheetId="1" r:id="rId1"/>
    <sheet name="Xpert Інвентаризація сайту" sheetId="2" r:id="rId2"/>
    <sheet name="Помилки сайту Xpert за пристроя" sheetId="3" r:id="rId3"/>
    <sheet name="Коди помилок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0" i="3" l="1"/>
</calcChain>
</file>

<file path=xl/sharedStrings.xml><?xml version="1.0" encoding="utf-8"?>
<sst xmlns="http://schemas.openxmlformats.org/spreadsheetml/2006/main" count="150" uniqueCount="114">
  <si>
    <t>Дати: &lt;Dates&gt;</t>
  </si>
  <si>
    <t>Примітки. Категорії результатів представлені всіма можливими комбінаціями результатів, які GeneXpert надсилає до Aspect. Наприклад, MTB Detected не включає MTB Detected Rif Detected, оскільки вони вважаються різними результатами</t>
  </si>
  <si>
    <t>Області: &lt;States&gt;</t>
  </si>
  <si>
    <t>Райони: &lt;Lgas&gt;</t>
  </si>
  <si>
    <t>Сайти: &lt;Sites&gt;</t>
  </si>
  <si>
    <t>аналіз: &lt;Assays&gt;</t>
  </si>
  <si>
    <t>&lt;Table&gt;</t>
  </si>
  <si>
    <t>пристрій</t>
  </si>
  <si>
    <t>Держава</t>
  </si>
  <si>
    <t>Район</t>
  </si>
  <si>
    <t>Серійний</t>
  </si>
  <si>
    <t>Серійний номер приладу</t>
  </si>
  <si>
    <t>Статус</t>
  </si>
  <si>
    <t>Примітка про статус</t>
  </si>
  <si>
    <t>Останній пінг увімкнено</t>
  </si>
  <si>
    <t>Останній пінг від</t>
  </si>
  <si>
    <t>Інформація нижче станом на</t>
  </si>
  <si>
    <t>Операційна система</t>
  </si>
  <si>
    <t>Часовий пояс</t>
  </si>
  <si>
    <t>Мова / регіон</t>
  </si>
  <si>
    <t>Версія GxConnect</t>
  </si>
  <si>
    <t>Пристрій знайдено?</t>
  </si>
  <si>
    <t>LIS налаштовано правильно?</t>
  </si>
  <si>
    <t>Дата встановлення GeneXpert</t>
  </si>
  <si>
    <t>Всього</t>
  </si>
  <si>
    <t>Інший</t>
  </si>
  <si>
    <t>&lt;name&gt;</t>
  </si>
  <si>
    <t>&lt;stateName&gt;</t>
  </si>
  <si>
    <t>&lt;districtName&gt;</t>
  </si>
  <si>
    <t>&lt;serial&gt;</t>
  </si>
  <si>
    <t>&lt;instrumentSerial&gt;</t>
  </si>
  <si>
    <t>&lt;lastUploadOn&gt;</t>
  </si>
  <si>
    <t>&lt;status&gt;</t>
  </si>
  <si>
    <t>&lt;statusNote&gt;</t>
  </si>
  <si>
    <t>&lt;lastPingOn&gt;</t>
  </si>
  <si>
    <t>&lt;lastPingFrom&gt;</t>
  </si>
  <si>
    <t>&lt;informationDate&gt;</t>
  </si>
  <si>
    <t>&lt;operativeSystem&gt;</t>
  </si>
  <si>
    <t>&lt;timeZone&gt;</t>
  </si>
  <si>
    <t>&lt;language&gt;</t>
  </si>
  <si>
    <t>&lt;gxConnectVersion&gt;</t>
  </si>
  <si>
    <t>&lt;deviceFound&gt;</t>
  </si>
  <si>
    <t>&lt;lisConfiguredCorrectly&gt;</t>
  </si>
  <si>
    <t>&lt;instalationDate&gt;</t>
  </si>
  <si>
    <t>&lt;totalXpertTests&gt;</t>
  </si>
  <si>
    <t>&lt;totalOtherTests&gt;</t>
  </si>
  <si>
    <t>Примітки: цей звіт містить лише ті витратні матеріали, які колись відстежувалися на сайтах</t>
  </si>
  <si>
    <t>Сайт</t>
  </si>
  <si>
    <t>Витратний матеріал</t>
  </si>
  <si>
    <t>Добова норма споживання</t>
  </si>
  <si>
    <t>Прогнозований річний обсяг споживання</t>
  </si>
  <si>
    <t>Кількість в наявності</t>
  </si>
  <si>
    <t>Є в наявності, але закінчився термін придатності</t>
  </si>
  <si>
    <t>Запас днів залишився</t>
  </si>
  <si>
    <t>Прогнозовані відходи</t>
  </si>
  <si>
    <t>&lt;siteName&gt;</t>
  </si>
  <si>
    <t>&lt;consumableName&gt;</t>
  </si>
  <si>
    <t>&lt;dailyConsumptionRate&gt;</t>
  </si>
  <si>
    <t>&lt;projectedAnnualConsumption&gt;</t>
  </si>
  <si>
    <t>&lt;quantityOnHand&gt;</t>
  </si>
  <si>
    <t>&lt;quantityExpired&gt;</t>
  </si>
  <si>
    <t>&lt;daysStockLeft&gt;</t>
  </si>
  <si>
    <t>&lt;projectedWaste&gt;</t>
  </si>
  <si>
    <t>Тип помилки</t>
  </si>
  <si>
    <t>Недійсні результати, немає результатів</t>
  </si>
  <si>
    <t>Загальна кількість помилок, недійсні результати, відсутність результатів</t>
  </si>
  <si>
    <t>Інша помилка</t>
  </si>
  <si>
    <t>&lt;deviceName&gt;</t>
  </si>
  <si>
    <t>&lt;5011&gt;</t>
  </si>
  <si>
    <t>&lt;5007&gt;</t>
  </si>
  <si>
    <t>&lt;5006&gt;</t>
  </si>
  <si>
    <t>&lt;2008&gt;</t>
  </si>
  <si>
    <t>&lt;2005&gt;</t>
  </si>
  <si>
    <t>&lt;2037&gt;</t>
  </si>
  <si>
    <t>&lt;2025&gt;</t>
  </si>
  <si>
    <t>&lt;2022&gt;</t>
  </si>
  <si>
    <t>&lt;otherErrors&gt;</t>
  </si>
  <si>
    <t>&lt;invalidResults&gt;</t>
  </si>
  <si>
    <t>Код</t>
  </si>
  <si>
    <t>Категорія</t>
  </si>
  <si>
    <t>опис</t>
  </si>
  <si>
    <t>Помилка виконання</t>
  </si>
  <si>
    <t>Фактична температура занадто сильно відхилилася від заданого значення</t>
  </si>
  <si>
    <t>Різниця температур перевищує ліміт</t>
  </si>
  <si>
    <t>Внутрішня температура приладу була поза діапазоном</t>
  </si>
  <si>
    <t>Оптичний сигнал від детектора перевищив ліміт</t>
  </si>
  <si>
    <t>Темний сигнал детектора перевищив ліміт</t>
  </si>
  <si>
    <t>Виявлено, що джерело живлення знаходиться поза діапазоном</t>
  </si>
  <si>
    <t>Виміряна температура оптичної системи не була в допустимому діапазоні</t>
  </si>
  <si>
    <t>Помилка позиціонування клапана була виявлена в кінці циклу</t>
  </si>
  <si>
    <t>Помилка завершення операції</t>
  </si>
  <si>
    <t>Модуль уже виконує тест під час виконання команди</t>
  </si>
  <si>
    <t>Рух приводу шприца не виявлено</t>
  </si>
  <si>
    <t>Показник тиску в шприці перевищує межу протоколу</t>
  </si>
  <si>
    <t>Помилка завантаження картриджа</t>
  </si>
  <si>
    <t>Не вдається ініціалізувати датчик тиску</t>
  </si>
  <si>
    <t>Цифрове зчитування температури для термістора A/термістора B/термістора навколишнього середовища/оптичного термістора не було в прийнятному діапазоні</t>
  </si>
  <si>
    <t>Системі не вдалося знайти початкове положення клапана</t>
  </si>
  <si>
    <t>Спробуйте завантажити картридж, поки дверцята ще закриті</t>
  </si>
  <si>
    <t>Не вдалося досягти бажаної температури</t>
  </si>
  <si>
    <t>Системі не вдалося знайти початкове положення плунжера</t>
  </si>
  <si>
    <t>Ультразвуковий рупор не вдалося правильно налаштувати</t>
  </si>
  <si>
    <t>Оптичний сигнал від детектора не досяг очікуваного значення</t>
  </si>
  <si>
    <t>Перевірку цілісності картриджа не вдалося</t>
  </si>
  <si>
    <t>Помилка самоперевірки</t>
  </si>
  <si>
    <t>Роботу вентилятора охолодження не перевірено. Виміряна температура перевищила межу</t>
  </si>
  <si>
    <t>Помилка аналізу після запуску</t>
  </si>
  <si>
    <t>Не вдалося перевірити зонд. Контрольне значення датчика було вище максимального</t>
  </si>
  <si>
    <t>Не вдалося перевірити зонд. Контрольне значення датчика було нижче мінімального</t>
  </si>
  <si>
    <t>Виявлена втрата сигналу на кривій підсилення</t>
  </si>
  <si>
    <t>Пристрої Xpert</t>
  </si>
  <si>
    <t>Інвентаризація Xpert за сайтом</t>
  </si>
  <si>
    <t>Помилки Xpert за пристроями</t>
  </si>
  <si>
    <t>Оновлення останнього
результату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</si>
</sst>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&quot;, &quot;yyyy;@"/>
    <numFmt numFmtId="165" formatCode="yyyy\-mm\-dd\ hh:mm"/>
  </numFmts>
  <fonts count="5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i/>
      <sz val="12"/>
      <color rgb="FF000000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165" fontId="3" fillId="2" borderId="1" xfId="0" applyNumberFormat="1" applyFont="1" applyFill="1" applyBorder="1"/>
    <xf numFmtId="165" fontId="3" fillId="2" borderId="1" xfId="0" applyNumberFormat="1" applyFont="1" applyFill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2" xfId="0" applyBorder="1"/>
    <xf numFmtId="0" fontId="0" fillId="0" borderId="3" xfId="0" applyBorder="1" applyAlignment="1">
      <alignment horizontal="left"/>
    </xf>
    <xf numFmtId="164" fontId="0" fillId="0" borderId="2" xfId="0" applyNumberFormat="1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2" xfId="0" applyNumberFormat="1" applyBorder="1"/>
    <xf numFmtId="14" fontId="0" fillId="0" borderId="2" xfId="0" applyNumberFormat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horizontal="left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Normal="100" workbookViewId="0">
      <pane ySplit="8" topLeftCell="A9" activePane="bottomLeft" state="frozen"/>
      <selection pane="bottomLeft" activeCell="A9" sqref="A9"/>
    </sheetView>
  </sheetViews>
  <sheetFormatPr defaultColWidth="11.125" defaultRowHeight="15.75" x14ac:dyDescent="0.25"/>
  <cols>
    <col min="1" max="3" width="27" customWidth="1"/>
    <col min="4" max="4" width="15.125" customWidth="1"/>
    <col min="5" max="5" width="31.375" customWidth="1"/>
    <col min="6" max="6" width="22" customWidth="1"/>
    <col min="7" max="9" width="19" customWidth="1"/>
    <col min="10" max="10" width="14.625" style="3" customWidth="1"/>
    <col min="11" max="11" width="14.375" style="4" customWidth="1"/>
    <col min="12" max="14" width="14.375" style="3" customWidth="1"/>
    <col min="15" max="15" width="13.125" style="3" customWidth="1"/>
    <col min="16" max="16" width="10.5" style="3" customWidth="1"/>
    <col min="17" max="17" width="18.125" style="3" customWidth="1"/>
    <col min="18" max="18" width="11" style="4" customWidth="1"/>
    <col min="19" max="19" width="14" customWidth="1"/>
    <col min="1015" max="1024" width="9.125" customWidth="1"/>
  </cols>
  <sheetData>
    <row r="1" spans="1:20" ht="21" x14ac:dyDescent="0.35">
      <c r="A1" s="5" t="s">
        <v>110</v>
      </c>
      <c r="B1" s="5"/>
      <c r="C1" s="5"/>
      <c r="D1" s="5"/>
      <c r="E1" s="5"/>
    </row>
    <row r="2" spans="1:20" ht="15" customHeight="1" x14ac:dyDescent="0.25">
      <c r="A2" t="s">
        <v>0</v>
      </c>
      <c r="E2" s="27" t="s">
        <v>1</v>
      </c>
      <c r="F2" s="27"/>
      <c r="G2" s="27"/>
    </row>
    <row r="3" spans="1:20" x14ac:dyDescent="0.25">
      <c r="A3" t="s">
        <v>2</v>
      </c>
      <c r="C3" s="22"/>
      <c r="D3" s="22"/>
      <c r="E3" s="27"/>
      <c r="F3" s="27"/>
      <c r="G3" s="27"/>
    </row>
    <row r="4" spans="1:20" x14ac:dyDescent="0.25">
      <c r="A4" t="s">
        <v>3</v>
      </c>
      <c r="E4" s="27"/>
      <c r="F4" s="27"/>
      <c r="G4" s="27"/>
    </row>
    <row r="5" spans="1:20" x14ac:dyDescent="0.25">
      <c r="A5" s="6" t="s">
        <v>4</v>
      </c>
      <c r="E5" s="27"/>
      <c r="F5" s="27"/>
      <c r="G5" s="27"/>
    </row>
    <row r="6" spans="1:20" x14ac:dyDescent="0.25">
      <c r="A6" t="s">
        <v>5</v>
      </c>
      <c r="E6" s="27"/>
      <c r="F6" s="27"/>
      <c r="G6" s="27"/>
    </row>
    <row r="7" spans="1:20" x14ac:dyDescent="0.25">
      <c r="A7" t="s">
        <v>6</v>
      </c>
      <c r="C7" s="7"/>
      <c r="D7" s="6"/>
    </row>
    <row r="8" spans="1:20" s="10" customFormat="1" ht="67.5" customHeight="1" x14ac:dyDescent="0.25">
      <c r="A8" s="8" t="s">
        <v>7</v>
      </c>
      <c r="B8" s="8" t="s">
        <v>8</v>
      </c>
      <c r="C8" s="8" t="s">
        <v>9</v>
      </c>
      <c r="D8" s="8" t="s">
        <v>10</v>
      </c>
      <c r="E8" s="8" t="s">
        <v>11</v>
      </c>
      <c r="F8" s="9" t="s">
        <v>113</v>
      </c>
      <c r="G8" s="8" t="s">
        <v>12</v>
      </c>
      <c r="H8" s="8" t="s">
        <v>13</v>
      </c>
      <c r="I8" s="8" t="s">
        <v>14</v>
      </c>
      <c r="J8" s="8" t="s">
        <v>15</v>
      </c>
      <c r="K8" s="9" t="s">
        <v>16</v>
      </c>
      <c r="L8" s="9" t="s">
        <v>17</v>
      </c>
      <c r="M8" s="9" t="s">
        <v>18</v>
      </c>
      <c r="N8" s="9" t="s">
        <v>19</v>
      </c>
      <c r="O8" s="9" t="s">
        <v>20</v>
      </c>
      <c r="P8" s="9" t="s">
        <v>21</v>
      </c>
      <c r="Q8" s="9" t="s">
        <v>22</v>
      </c>
      <c r="R8" s="9" t="s">
        <v>23</v>
      </c>
      <c r="S8" s="8" t="s">
        <v>24</v>
      </c>
      <c r="T8" s="8" t="s">
        <v>25</v>
      </c>
    </row>
    <row r="9" spans="1:20" x14ac:dyDescent="0.25">
      <c r="A9" s="11" t="s">
        <v>26</v>
      </c>
      <c r="B9" s="11" t="s">
        <v>27</v>
      </c>
      <c r="C9" s="12" t="s">
        <v>28</v>
      </c>
      <c r="D9" s="11" t="s">
        <v>29</v>
      </c>
      <c r="E9" s="11" t="s">
        <v>30</v>
      </c>
      <c r="F9" s="20" t="s">
        <v>31</v>
      </c>
      <c r="G9" s="13" t="s">
        <v>32</v>
      </c>
      <c r="H9" s="13" t="s">
        <v>33</v>
      </c>
      <c r="I9" s="20" t="s">
        <v>34</v>
      </c>
      <c r="J9" s="21" t="s">
        <v>35</v>
      </c>
      <c r="K9" s="15" t="s">
        <v>36</v>
      </c>
      <c r="L9" s="14" t="s">
        <v>37</v>
      </c>
      <c r="M9" s="14" t="s">
        <v>38</v>
      </c>
      <c r="N9" s="14" t="s">
        <v>39</v>
      </c>
      <c r="O9" s="14" t="s">
        <v>40</v>
      </c>
      <c r="P9" s="14" t="s">
        <v>41</v>
      </c>
      <c r="Q9" s="14" t="s">
        <v>42</v>
      </c>
      <c r="R9" s="15" t="s">
        <v>43</v>
      </c>
      <c r="S9" s="11" t="s">
        <v>44</v>
      </c>
      <c r="T9" s="11" t="s">
        <v>45</v>
      </c>
    </row>
    <row r="11" spans="1:20" x14ac:dyDescent="0.25">
      <c r="A11" s="16"/>
      <c r="B11" s="16"/>
      <c r="C11" s="16"/>
      <c r="D11" s="16"/>
      <c r="E11" s="16"/>
    </row>
  </sheetData>
  <mergeCells count="2">
    <mergeCell ref="C3:D3"/>
    <mergeCell ref="E2:G6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Normal="100" workbookViewId="0">
      <selection activeCell="A9" sqref="A9"/>
    </sheetView>
  </sheetViews>
  <sheetFormatPr defaultColWidth="8.625" defaultRowHeight="15.75" x14ac:dyDescent="0.25"/>
  <cols>
    <col min="1" max="1" width="10.625" bestFit="1" customWidth="1"/>
    <col min="2" max="2" width="18.625" bestFit="1" customWidth="1"/>
    <col min="3" max="3" width="25.875" bestFit="1" customWidth="1"/>
    <col min="4" max="4" width="39" bestFit="1" customWidth="1"/>
    <col min="5" max="5" width="19.375" bestFit="1" customWidth="1"/>
    <col min="6" max="6" width="45" bestFit="1" customWidth="1"/>
    <col min="7" max="7" width="20.375" bestFit="1" customWidth="1"/>
    <col min="8" max="8" width="20.625" bestFit="1" customWidth="1"/>
  </cols>
  <sheetData>
    <row r="1" spans="1:8" ht="21" x14ac:dyDescent="0.35">
      <c r="A1" s="17" t="s">
        <v>111</v>
      </c>
      <c r="B1" s="5"/>
      <c r="C1" s="5"/>
      <c r="D1" s="5"/>
    </row>
    <row r="2" spans="1:8" x14ac:dyDescent="0.25">
      <c r="A2" t="s">
        <v>0</v>
      </c>
      <c r="C2" s="23" t="s">
        <v>46</v>
      </c>
      <c r="D2" s="23"/>
      <c r="E2" s="23"/>
      <c r="F2" s="23"/>
      <c r="G2" s="23"/>
    </row>
    <row r="3" spans="1:8" ht="15" customHeight="1" x14ac:dyDescent="0.25">
      <c r="A3" t="s">
        <v>2</v>
      </c>
    </row>
    <row r="4" spans="1:8" x14ac:dyDescent="0.25">
      <c r="A4" t="s">
        <v>3</v>
      </c>
    </row>
    <row r="5" spans="1:8" ht="31.5" x14ac:dyDescent="0.25">
      <c r="A5" s="6" t="s">
        <v>4</v>
      </c>
    </row>
    <row r="6" spans="1:8" x14ac:dyDescent="0.25">
      <c r="A6" t="s">
        <v>5</v>
      </c>
      <c r="C6" s="7"/>
      <c r="D6" s="6"/>
    </row>
    <row r="7" spans="1:8" x14ac:dyDescent="0.25">
      <c r="A7" t="s">
        <v>6</v>
      </c>
      <c r="C7" s="7"/>
      <c r="D7" s="6"/>
    </row>
    <row r="8" spans="1:8" ht="54" customHeight="1" x14ac:dyDescent="0.25">
      <c r="A8" s="8" t="s">
        <v>47</v>
      </c>
      <c r="B8" s="8" t="s">
        <v>48</v>
      </c>
      <c r="C8" s="8" t="s">
        <v>49</v>
      </c>
      <c r="D8" s="8" t="s">
        <v>50</v>
      </c>
      <c r="E8" s="8" t="s">
        <v>51</v>
      </c>
      <c r="F8" s="8" t="s">
        <v>52</v>
      </c>
      <c r="G8" s="8" t="s">
        <v>53</v>
      </c>
      <c r="H8" s="8" t="s">
        <v>54</v>
      </c>
    </row>
    <row r="9" spans="1:8" x14ac:dyDescent="0.25">
      <c r="A9" s="11" t="s">
        <v>55</v>
      </c>
      <c r="B9" s="11" t="s">
        <v>56</v>
      </c>
      <c r="C9" s="12" t="s">
        <v>57</v>
      </c>
      <c r="D9" s="11" t="s">
        <v>58</v>
      </c>
      <c r="E9" s="11" t="s">
        <v>59</v>
      </c>
      <c r="F9" s="11" t="s">
        <v>60</v>
      </c>
      <c r="G9" s="11" t="s">
        <v>61</v>
      </c>
      <c r="H9" s="11" t="s">
        <v>62</v>
      </c>
    </row>
  </sheetData>
  <mergeCells count="1">
    <mergeCell ref="C2:G2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zoomScaleNormal="100" workbookViewId="0">
      <pane ySplit="9" topLeftCell="A10" activePane="bottomLeft" state="frozen"/>
      <selection pane="bottomLeft" activeCell="A10" sqref="A10"/>
    </sheetView>
  </sheetViews>
  <sheetFormatPr defaultColWidth="8.625" defaultRowHeight="15.75" x14ac:dyDescent="0.25"/>
  <cols>
    <col min="1" max="1" width="33.125" customWidth="1"/>
    <col min="2" max="9" width="8.625" style="3" customWidth="1"/>
    <col min="10" max="10" width="12.125" style="3" customWidth="1"/>
    <col min="11" max="11" width="14.125" style="3" customWidth="1"/>
    <col min="12" max="12" width="15.5" style="3" customWidth="1"/>
  </cols>
  <sheetData>
    <row r="1" spans="1:12" ht="21" x14ac:dyDescent="0.35">
      <c r="A1" s="5" t="s">
        <v>112</v>
      </c>
    </row>
    <row r="2" spans="1:12" x14ac:dyDescent="0.25">
      <c r="A2" t="s">
        <v>0</v>
      </c>
    </row>
    <row r="3" spans="1:12" x14ac:dyDescent="0.25">
      <c r="A3" t="s">
        <v>2</v>
      </c>
    </row>
    <row r="4" spans="1:12" x14ac:dyDescent="0.25">
      <c r="A4" t="s">
        <v>3</v>
      </c>
    </row>
    <row r="5" spans="1:12" x14ac:dyDescent="0.25">
      <c r="A5" s="6" t="s">
        <v>4</v>
      </c>
    </row>
    <row r="6" spans="1:12" x14ac:dyDescent="0.25">
      <c r="A6" t="s">
        <v>5</v>
      </c>
    </row>
    <row r="7" spans="1:12" x14ac:dyDescent="0.25">
      <c r="A7" s="18" t="s">
        <v>6</v>
      </c>
      <c r="B7" s="3">
        <v>2</v>
      </c>
    </row>
    <row r="8" spans="1:12" ht="15" customHeight="1" x14ac:dyDescent="0.25">
      <c r="A8" s="24" t="s">
        <v>7</v>
      </c>
      <c r="B8" s="25" t="s">
        <v>63</v>
      </c>
      <c r="C8" s="25"/>
      <c r="D8" s="25"/>
      <c r="E8" s="25"/>
      <c r="F8" s="25"/>
      <c r="G8" s="25"/>
      <c r="H8" s="25"/>
      <c r="I8" s="25"/>
      <c r="J8" s="25"/>
      <c r="K8" s="26" t="s">
        <v>64</v>
      </c>
      <c r="L8" s="26" t="s">
        <v>65</v>
      </c>
    </row>
    <row r="9" spans="1:12" ht="31.5" customHeight="1" x14ac:dyDescent="0.25">
      <c r="A9" s="24"/>
      <c r="B9" s="1">
        <v>5011</v>
      </c>
      <c r="C9" s="1">
        <v>5007</v>
      </c>
      <c r="D9" s="1">
        <v>5006</v>
      </c>
      <c r="E9" s="1">
        <v>2008</v>
      </c>
      <c r="F9" s="1">
        <v>2005</v>
      </c>
      <c r="G9" s="1">
        <v>2037</v>
      </c>
      <c r="H9" s="1">
        <v>2025</v>
      </c>
      <c r="I9" s="1">
        <v>2022</v>
      </c>
      <c r="J9" s="1" t="s">
        <v>66</v>
      </c>
      <c r="K9" s="26"/>
      <c r="L9" s="26"/>
    </row>
    <row r="10" spans="1:12" x14ac:dyDescent="0.25">
      <c r="A10" s="2" t="s">
        <v>67</v>
      </c>
      <c r="B10" s="3" t="s">
        <v>68</v>
      </c>
      <c r="C10" s="3" t="s">
        <v>69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74</v>
      </c>
      <c r="I10" s="3" t="s">
        <v>75</v>
      </c>
      <c r="J10" s="3" t="s">
        <v>76</v>
      </c>
      <c r="K10" s="3" t="s">
        <v>77</v>
      </c>
      <c r="L10" s="3" t="e">
        <f>B10+C10+D10+E10+F10+G10+H10+I10+J10+K10</f>
        <v>#VALUE!</v>
      </c>
    </row>
  </sheetData>
  <mergeCells count="4">
    <mergeCell ref="A8:A9"/>
    <mergeCell ref="B8:J8"/>
    <mergeCell ref="K8:K9"/>
    <mergeCell ref="L8:L9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zoomScaleNormal="100" workbookViewId="0"/>
  </sheetViews>
  <sheetFormatPr defaultColWidth="8.625" defaultRowHeight="15.75" x14ac:dyDescent="0.25"/>
  <cols>
    <col min="1" max="1" width="5.125" customWidth="1"/>
    <col min="2" max="2" width="39.125" customWidth="1"/>
    <col min="3" max="3" width="100.625" customWidth="1"/>
  </cols>
  <sheetData>
    <row r="1" spans="1:3" ht="21.75" customHeight="1" x14ac:dyDescent="0.25">
      <c r="A1" s="16" t="s">
        <v>78</v>
      </c>
      <c r="B1" s="16" t="s">
        <v>79</v>
      </c>
      <c r="C1" s="16" t="s">
        <v>80</v>
      </c>
    </row>
    <row r="2" spans="1:3" ht="21.75" customHeight="1" x14ac:dyDescent="0.25">
      <c r="A2" s="19">
        <v>1001</v>
      </c>
      <c r="B2" s="19" t="s">
        <v>81</v>
      </c>
      <c r="C2" s="19" t="s">
        <v>82</v>
      </c>
    </row>
    <row r="3" spans="1:3" ht="21.75" customHeight="1" x14ac:dyDescent="0.25">
      <c r="A3" s="19">
        <v>1002</v>
      </c>
      <c r="B3" s="19" t="s">
        <v>81</v>
      </c>
      <c r="C3" s="19" t="s">
        <v>83</v>
      </c>
    </row>
    <row r="4" spans="1:3" ht="21.75" customHeight="1" x14ac:dyDescent="0.25">
      <c r="A4" s="19">
        <v>1004</v>
      </c>
      <c r="B4" s="19" t="s">
        <v>81</v>
      </c>
      <c r="C4" s="19" t="s">
        <v>84</v>
      </c>
    </row>
    <row r="5" spans="1:3" ht="21.75" customHeight="1" x14ac:dyDescent="0.25">
      <c r="A5" s="19">
        <v>1005</v>
      </c>
      <c r="B5" s="19" t="s">
        <v>81</v>
      </c>
      <c r="C5" s="19" t="s">
        <v>85</v>
      </c>
    </row>
    <row r="6" spans="1:3" ht="21.75" customHeight="1" x14ac:dyDescent="0.25">
      <c r="A6" s="19">
        <v>1006</v>
      </c>
      <c r="B6" s="19" t="s">
        <v>81</v>
      </c>
      <c r="C6" s="19" t="s">
        <v>86</v>
      </c>
    </row>
    <row r="7" spans="1:3" ht="21.75" customHeight="1" x14ac:dyDescent="0.25">
      <c r="A7" s="19">
        <v>1007</v>
      </c>
      <c r="B7" s="19" t="s">
        <v>81</v>
      </c>
      <c r="C7" s="19" t="s">
        <v>87</v>
      </c>
    </row>
    <row r="8" spans="1:3" ht="21.75" customHeight="1" x14ac:dyDescent="0.25">
      <c r="A8" s="19">
        <v>1017</v>
      </c>
      <c r="B8" s="19" t="s">
        <v>81</v>
      </c>
      <c r="C8" s="19" t="s">
        <v>88</v>
      </c>
    </row>
    <row r="9" spans="1:3" ht="21.75" customHeight="1" x14ac:dyDescent="0.25">
      <c r="A9" s="19">
        <v>1018</v>
      </c>
      <c r="B9" s="19" t="s">
        <v>81</v>
      </c>
      <c r="C9" s="19" t="s">
        <v>89</v>
      </c>
    </row>
    <row r="10" spans="1:3" ht="21.75" customHeight="1" x14ac:dyDescent="0.25">
      <c r="A10" s="19">
        <v>2003</v>
      </c>
      <c r="B10" s="19" t="s">
        <v>90</v>
      </c>
      <c r="C10" s="19" t="s">
        <v>91</v>
      </c>
    </row>
    <row r="11" spans="1:3" ht="21.75" customHeight="1" x14ac:dyDescent="0.25">
      <c r="A11" s="19">
        <v>2005</v>
      </c>
      <c r="B11" s="19" t="s">
        <v>90</v>
      </c>
      <c r="C11" s="19" t="s">
        <v>92</v>
      </c>
    </row>
    <row r="12" spans="1:3" ht="21.75" customHeight="1" x14ac:dyDescent="0.25">
      <c r="A12" s="19">
        <v>2008</v>
      </c>
      <c r="B12" s="19" t="s">
        <v>90</v>
      </c>
      <c r="C12" s="19" t="s">
        <v>93</v>
      </c>
    </row>
    <row r="13" spans="1:3" ht="21.75" customHeight="1" x14ac:dyDescent="0.25">
      <c r="A13" s="19">
        <v>2009</v>
      </c>
      <c r="B13" s="19" t="s">
        <v>90</v>
      </c>
      <c r="C13" s="19" t="s">
        <v>93</v>
      </c>
    </row>
    <row r="14" spans="1:3" ht="21.75" customHeight="1" x14ac:dyDescent="0.25">
      <c r="A14" s="19">
        <v>2011</v>
      </c>
      <c r="B14" s="19" t="s">
        <v>94</v>
      </c>
      <c r="C14" s="19" t="s">
        <v>95</v>
      </c>
    </row>
    <row r="15" spans="1:3" ht="21.75" customHeight="1" x14ac:dyDescent="0.25">
      <c r="A15" s="19">
        <v>2014</v>
      </c>
      <c r="B15" s="19" t="s">
        <v>90</v>
      </c>
      <c r="C15" s="19" t="s">
        <v>96</v>
      </c>
    </row>
    <row r="16" spans="1:3" ht="21.75" customHeight="1" x14ac:dyDescent="0.25">
      <c r="A16" s="19">
        <v>2016</v>
      </c>
      <c r="B16" s="19" t="s">
        <v>90</v>
      </c>
      <c r="C16" s="19" t="s">
        <v>97</v>
      </c>
    </row>
    <row r="17" spans="1:3" ht="21.75" customHeight="1" x14ac:dyDescent="0.25">
      <c r="A17" s="19">
        <v>2018</v>
      </c>
      <c r="B17" s="19" t="s">
        <v>94</v>
      </c>
      <c r="C17" s="19" t="s">
        <v>98</v>
      </c>
    </row>
    <row r="18" spans="1:3" ht="21.75" customHeight="1" x14ac:dyDescent="0.25">
      <c r="A18" s="19">
        <v>2022</v>
      </c>
      <c r="B18" s="19" t="s">
        <v>90</v>
      </c>
      <c r="C18" s="19" t="s">
        <v>99</v>
      </c>
    </row>
    <row r="19" spans="1:3" ht="21.75" customHeight="1" x14ac:dyDescent="0.25">
      <c r="A19" s="19">
        <v>2025</v>
      </c>
      <c r="B19" s="19" t="s">
        <v>94</v>
      </c>
      <c r="C19" s="19" t="s">
        <v>100</v>
      </c>
    </row>
    <row r="20" spans="1:3" ht="21.75" customHeight="1" x14ac:dyDescent="0.25">
      <c r="A20" s="19">
        <v>2032</v>
      </c>
      <c r="B20" s="19" t="s">
        <v>90</v>
      </c>
      <c r="C20" s="19" t="s">
        <v>101</v>
      </c>
    </row>
    <row r="21" spans="1:3" ht="21.75" customHeight="1" x14ac:dyDescent="0.25">
      <c r="A21" s="19">
        <v>2034</v>
      </c>
      <c r="B21" s="19" t="s">
        <v>90</v>
      </c>
      <c r="C21" s="19" t="s">
        <v>102</v>
      </c>
    </row>
    <row r="22" spans="1:3" ht="21.75" customHeight="1" x14ac:dyDescent="0.25">
      <c r="A22" s="19">
        <v>2037</v>
      </c>
      <c r="B22" s="19" t="s">
        <v>94</v>
      </c>
      <c r="C22" s="19" t="s">
        <v>103</v>
      </c>
    </row>
    <row r="23" spans="1:3" ht="21.75" customHeight="1" x14ac:dyDescent="0.25">
      <c r="A23" s="19">
        <v>4010</v>
      </c>
      <c r="B23" s="19" t="s">
        <v>104</v>
      </c>
      <c r="C23" s="19" t="s">
        <v>105</v>
      </c>
    </row>
    <row r="24" spans="1:3" ht="21.75" customHeight="1" x14ac:dyDescent="0.25">
      <c r="A24" s="19">
        <v>4017</v>
      </c>
      <c r="B24" s="19" t="s">
        <v>104</v>
      </c>
      <c r="C24" s="19" t="s">
        <v>96</v>
      </c>
    </row>
    <row r="25" spans="1:3" ht="21.75" customHeight="1" x14ac:dyDescent="0.25">
      <c r="A25" s="19">
        <v>5006</v>
      </c>
      <c r="B25" s="19" t="s">
        <v>106</v>
      </c>
      <c r="C25" s="19" t="s">
        <v>107</v>
      </c>
    </row>
    <row r="26" spans="1:3" ht="21.75" customHeight="1" x14ac:dyDescent="0.25">
      <c r="A26" s="19">
        <v>5007</v>
      </c>
      <c r="B26" s="19" t="s">
        <v>106</v>
      </c>
      <c r="C26" s="19" t="s">
        <v>108</v>
      </c>
    </row>
    <row r="27" spans="1:3" ht="21.75" customHeight="1" x14ac:dyDescent="0.25">
      <c r="A27" s="19">
        <v>5011</v>
      </c>
      <c r="B27" s="19" t="s">
        <v>106</v>
      </c>
      <c r="C27" s="19" t="s">
        <v>109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Зведений звіт Xpert по сайту</vt:lpstr>
      <vt:lpstr>Xpert Інвентаризація сайту</vt:lpstr>
      <vt:lpstr>Помилки сайту Xpert за пристроя</vt:lpstr>
      <vt:lpstr>Коди помилок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Alejandro Hernández</cp:lastModifiedBy>
  <cp:revision>23</cp:revision>
  <dcterms:created xsi:type="dcterms:W3CDTF">2014-04-20T08:25:13Z</dcterms:created>
  <dcterms:modified xsi:type="dcterms:W3CDTF">2023-10-26T16:09:08Z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