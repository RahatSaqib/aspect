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30220" windowHeight="21580"/>
  </bookViews>
  <sheets>
    <sheet sheetId="1" name="Device and Site Summary Report" state="visible" r:id="rId4"/>
    <sheet sheetId="2" name="Device and Site Inventory" state="visible" r:id="rId5"/>
    <sheet sheetId="3" name="Devices TB Reach" state="visible" r:id="rId6"/>
    <sheet sheetId="4" name="Errors by Device" state="visible" r:id="rId7"/>
    <sheet sheetId="5" name="Error Codes" state="visible" r:id="rId8"/>
  </sheets>
  <calcPr calcId="171027"/>
</workbook>
</file>

<file path=xl/sharedStrings.xml><?xml version="1.0" encoding="utf-8"?>
<sst xmlns="http://schemas.openxmlformats.org/spreadsheetml/2006/main" count="209" uniqueCount="149">
  <si>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</si>
  <si>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</si>
  <si>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</si>
  <si>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</si>
  <si>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</si>
  <si>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</si>
  <si>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</si>
  <si>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Site</t>
  </si>
  <si>
    <t>Device</t>
  </si>
  <si>
    <t>State</t>
  </si>
  <si>
    <t>District</t>
  </si>
  <si>
    <t>Serial</t>
  </si>
  <si>
    <t>Last Result Update</t>
  </si>
  <si>
    <t>Status</t>
  </si>
  <si>
    <t>Status Notes</t>
  </si>
  <si>
    <t>Last Ping On</t>
  </si>
  <si>
    <t>Last Ping From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</si>
  <si>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</si>
  <si>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</si>
  <si>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</si>
  <si>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</si>
  <si>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</si>
  <si>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</si>
  <si>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</si>
  <si>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</si>
  <si>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</si>
  <si>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</si>
  <si>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</si>
  <si>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</si>
  <si>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</si>
  <si>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</si>
  <si>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</si>
  <si>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</si>
  <si>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</si>
  <si>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</si>
  <si>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</si>
  <si>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</si>
  <si>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</si>
  <si>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</si>
  <si>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</si>
  <si>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</si>
  <si>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</si>
  <si>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</si>
  <si>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</si>
  <si>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</si>
  <si>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</si>
  <si>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</si>
  <si>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Totals</t>
  </si>
  <si>
    <t>#SUM_DYNAMIC</t>
  </si>
  <si>
    <t>Device and Site Inventory</t>
  </si>
  <si>
    <t>Note: this report only includes the consumables that were sometime tracked on the sites</t>
  </si>
  <si>
    <t>Consumable</t>
  </si>
  <si>
    <t>Daily Consumption Rate</t>
  </si>
  <si>
    <t>Projected Annual Consumption</t>
  </si>
  <si>
    <t>Quantity On Hand</t>
  </si>
  <si>
    <t>Quantity On Hand but Expired</t>
  </si>
  <si>
    <t>Days Stock Left</t>
  </si>
  <si>
    <t>Projected Waste</t>
  </si>
  <si>
    <t>Total Unreconciled Results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</si>
  <si>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</si>
  <si>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</si>
  <si>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</si>
  <si>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</si>
  <si>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</si>
  <si>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</si>
  <si>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</si>
  <si>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&lt;unreconciledResults&gt;</t>
  </si>
  <si>
    <t>List of Devices for TB Reach</t>
  </si>
  <si>
    <t>BK Total</t>
  </si>
  <si>
    <t>BK(cn,rec)</t>
  </si>
  <si>
    <t>BK+</t>
  </si>
  <si>
    <t>BK-</t>
  </si>
  <si>
    <t>%BK+</t>
  </si>
  <si>
    <t>Xpert Tests</t>
  </si>
  <si>
    <t>%Xpert Tests</t>
  </si>
  <si>
    <t>Xpert+</t>
  </si>
  <si>
    <t>Xpert-</t>
  </si>
  <si>
    <t xml:space="preserve">Xpert 
Error/Invalid</t>
  </si>
  <si>
    <t>%Xpert+</t>
  </si>
  <si>
    <t>%Xpert-</t>
  </si>
  <si>
    <t xml:space="preserve">%Xpert
Increase</t>
  </si>
  <si>
    <t xml:space="preserve">%Xpert
 Error/Invalid</t>
  </si>
  <si>
    <t>Xpert RIF+</t>
  </si>
  <si>
    <t xml:space="preserve">Xpert 
Rif IND</t>
  </si>
  <si>
    <t xml:space="preserve">Xpert+
 Treated</t>
  </si>
  <si>
    <t xml:space="preserve">%Xpert+
Treated</t>
  </si>
  <si>
    <t xml:space="preserve">Xpert 
Per Day</t>
  </si>
  <si>
    <t>Type of error</t>
  </si>
  <si>
    <t>Invalid Results</t>
  </si>
  <si>
    <t>No Results</t>
  </si>
  <si>
    <t>Total errors, invalid results, no results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</si>
  <si>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</si>
  <si>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</si>
  <si>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</si>
  <si>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</si>
  <si>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</si>
  <si>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</si>
  <si>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</si>
  <si>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</si>
  <si>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</si>
  <si>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</si>
  <si>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</si>
  <si>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</si>
  <si>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</si>
  <si>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</si>
  <si>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</si>
  <si>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</si>
  <si>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</si>
  <si>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</si>
  <si>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</si>
  <si>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</si>
  <si>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</si>
  <si>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</si>
  <si>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</si>
  <si>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Errors by Device</t>
  </si>
  <si>
    <t>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</si>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</sst>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mmmm d&quot;, &quot;yyyy"/>
    <numFmt numFmtId="165" formatCode="yyyy-mm-dd hh:mm"/>
  </numFmts>
  <fonts count="11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color theme="1"/>
      <family val="2"/>
      <sz val="12"/>
      <name val="Calibri"/>
    </font>
    <font>
      <i/>
      <color rgb="FF000000"/>
      <family val="2"/>
      <sz val="12"/>
      <name val="Calibri"/>
    </font>
    <font>
      <b/>
      <color theme="1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color rgb="FF000000"/>
      <scheme val="minor"/>
      <sz val="12"/>
      <name val="Calibri"/>
    </font>
    <font>
      <b/>
      <color rgb="FF000000"/>
      <family val="2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164" fontId="2" fillId="0" borderId="2" xfId="0" applyNumberFormat="1" applyFont="1" applyBorder="1"/>
    <xf numFmtId="1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/>
    <xf numFmtId="0" fontId="2" fillId="0" borderId="6" xfId="0" applyFont="1" applyBorder="1"/>
    <xf numFmtId="0" fontId="2" fillId="0" borderId="6" xfId="0" applyFont="1" applyBorder="1" applyAlignment="1">
      <alignment horizontal="right"/>
    </xf>
    <xf numFmtId="0" fontId="6" fillId="0" borderId="7" xfId="0" applyFont="1" applyBorder="1"/>
    <xf numFmtId="0" fontId="8" fillId="0" borderId="8" xfId="0" applyFont="1" applyBorder="1"/>
    <xf numFmtId="2" fontId="8" fillId="0" borderId="8" xfId="0" applyNumberFormat="1" applyFont="1" applyBorder="1"/>
    <xf numFmtId="0" fontId="8" fillId="0" borderId="9" xfId="0" applyFont="1" applyBorder="1"/>
    <xf numFmtId="0" fontId="2" fillId="0" borderId="0" xfId="0" applyFont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10" fillId="0" borderId="11" xfId="0" applyFont="1" applyBorder="1"/>
    <xf numFmtId="0" fontId="10" fillId="0" borderId="12" xfId="0" applyFont="1" applyBorder="1"/>
    <xf numFmtId="0" fontId="10" fillId="0" borderId="2" xfId="0" applyFont="1" applyBorder="1"/>
    <xf numFmtId="0" fontId="9" fillId="2" borderId="13" xfId="0" applyFont="1" applyFill="1" applyBorder="1" applyAlignment="1">
      <alignment horizontal="center"/>
    </xf>
    <xf numFmtId="0" fontId="2" fillId="0" borderId="6" xfId="0" applyFont="1" applyBorder="1" applyAlignment="1">
      <alignment horizontal="left"/>
    </xf>
    <xf numFmtId="0" fontId="2" fillId="0" borderId="6" xfId="0" applyFont="1" applyBorder="1" applyAlignment="1">
      <alignment horizontal="center"/>
    </xf>
    <xf numFmtId="10" fontId="2" fillId="0" borderId="6" xfId="0" applyNumberFormat="1" applyFont="1" applyBorder="1" applyAlignment="1">
      <alignment horizontal="center"/>
    </xf>
    <xf numFmtId="10" fontId="2" fillId="3" borderId="6" xfId="0" applyNumberFormat="1" applyFont="1" applyFill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0" fontId="6" fillId="0" borderId="14" xfId="0" applyFont="1" applyBorder="1"/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/>
    </xf>
    <xf numFmtId="0" fontId="9" fillId="2" borderId="6" xfId="0" applyFont="1" applyFill="1" applyBorder="1" applyAlignment="1">
      <alignment horizontal="left" vertical="center" wrapText="1"/>
    </xf>
    <xf numFmtId="0" fontId="9" fillId="2" borderId="6" xfId="0" applyFont="1" applyFill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9" fillId="2" borderId="13" xfId="0" applyFont="1" applyFill="1" applyBorder="1" applyAlignment="1">
      <alignment horizontal="left" vertical="center" wrapText="1"/>
    </xf>
    <xf numFmtId="0" fontId="3" fillId="4" borderId="16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7" xfId="0" applyFont="1" applyFill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4" borderId="18" xfId="0" applyFont="1" applyFill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3" fillId="0" borderId="22" xfId="0" applyFont="1" applyBorder="1" applyAlignment="1">
      <alignment vertical="center" wrapText="1"/>
    </xf>
    <xf numFmtId="0" fontId="3" fillId="0" borderId="23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34.5" customWidth="1"/>
    <col min="2" max="2" width="10" customWidth="1"/>
    <col min="3" max="4" width="27" customWidth="1"/>
    <col min="5" max="5" width="15.1640625" customWidth="1"/>
    <col min="6" max="9" width="19" customWidth="1"/>
    <col min="10" max="10" width="14.6640625" customWidth="1"/>
    <col min="11" max="12" width="14.33203125" customWidth="1"/>
    <col min="13" max="13" width="22.33203125" customWidth="1"/>
    <col min="14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0" width="11.1640625" customWidth="1"/>
  </cols>
  <sheetData>
    <row r="1" ht="27.75" customHeight="1" spans="1:19" x14ac:dyDescent="0.25">
      <c r="A1" s="1" t="s">
        <v>0</v>
      </c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ht="15" customHeight="1" spans="1:19" x14ac:dyDescent="0.25">
      <c r="A2" s="4" t="s">
        <v>1</v>
      </c>
      <c r="F2" s="5"/>
      <c r="G2" s="5"/>
      <c r="H2" s="6"/>
      <c r="J2" s="2"/>
      <c r="K2" s="3"/>
      <c r="L2" s="2"/>
      <c r="M2" s="2"/>
      <c r="N2" s="2"/>
      <c r="O2" s="2"/>
      <c r="P2" s="2"/>
      <c r="Q2" s="2"/>
      <c r="R2" s="3"/>
    </row>
    <row r="3" ht="15.75" customHeight="1" spans="1:19" x14ac:dyDescent="0.25">
      <c r="A3" s="4" t="s">
        <v>2</v>
      </c>
      <c r="D3" s="7"/>
      <c r="E3" s="7"/>
      <c r="F3" s="5"/>
      <c r="G3" s="5"/>
      <c r="H3" s="6"/>
      <c r="J3" s="2"/>
      <c r="K3" s="3"/>
      <c r="L3" s="2"/>
      <c r="M3" s="2"/>
      <c r="N3" s="2"/>
      <c r="O3" s="2"/>
      <c r="P3" s="2"/>
      <c r="Q3" s="2"/>
      <c r="R3" s="3"/>
    </row>
    <row r="4" ht="15.75" customHeight="1" spans="1:19" x14ac:dyDescent="0.25">
      <c r="A4" s="4" t="s">
        <v>3</v>
      </c>
      <c r="F4" s="5"/>
      <c r="G4" s="5"/>
      <c r="H4" s="6"/>
      <c r="J4" s="2"/>
      <c r="K4" s="3"/>
      <c r="L4" s="2"/>
      <c r="M4" s="2"/>
      <c r="N4" s="2"/>
      <c r="O4" s="2"/>
      <c r="P4" s="2"/>
      <c r="Q4" s="2"/>
      <c r="R4" s="3"/>
    </row>
    <row r="5" ht="15.75" customHeight="1" spans="1:19" x14ac:dyDescent="0.25">
      <c r="A5" s="8" t="s">
        <v>4</v>
      </c>
      <c r="F5" s="5"/>
      <c r="G5" s="5"/>
      <c r="H5" s="6"/>
      <c r="J5" s="2"/>
      <c r="K5" s="3"/>
      <c r="L5" s="2"/>
      <c r="M5" s="2"/>
      <c r="N5" s="2"/>
      <c r="O5" s="2"/>
      <c r="P5" s="2"/>
      <c r="Q5" s="2"/>
      <c r="R5" s="3"/>
    </row>
    <row r="6" ht="15.75" customHeight="1" spans="1:19" x14ac:dyDescent="0.25">
      <c r="A6" s="4" t="s">
        <v>5</v>
      </c>
      <c r="F6" s="5"/>
      <c r="G6" s="5"/>
      <c r="H6"/>
      <c r="J6" s="2"/>
      <c r="K6" s="3"/>
      <c r="L6" s="2"/>
      <c r="M6" s="2"/>
      <c r="N6" s="2"/>
      <c r="O6" s="2"/>
      <c r="P6" s="2"/>
      <c r="Q6" s="2"/>
      <c r="R6" s="3"/>
    </row>
    <row r="7" ht="15.75" customHeight="1" spans="1:19" x14ac:dyDescent="0.25">
      <c r="A7" s="4" t="s">
        <v>6</v>
      </c>
      <c r="D7" s="9"/>
      <c r="E7" s="8"/>
      <c r="J7" s="2"/>
      <c r="K7" s="3"/>
      <c r="L7" s="2"/>
      <c r="M7" s="2"/>
      <c r="N7" s="2"/>
      <c r="O7" s="2"/>
      <c r="P7" s="2"/>
      <c r="Q7" s="2"/>
      <c r="R7" s="3"/>
    </row>
    <row r="8" ht="67.5" customHeight="1" spans="1:21" x14ac:dyDescent="0.25">
      <c r="A8" s="10" t="s">
        <v>7</v>
      </c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H8" s="10" t="s">
        <v>14</v>
      </c>
      <c r="I8" s="10" t="s">
        <v>15</v>
      </c>
      <c r="J8" s="10" t="s">
        <v>16</v>
      </c>
      <c r="K8" s="11" t="s">
        <v>17</v>
      </c>
      <c r="L8" s="11" t="s">
        <v>18</v>
      </c>
      <c r="M8" s="11" t="s">
        <v>19</v>
      </c>
      <c r="N8" s="11" t="s">
        <v>20</v>
      </c>
      <c r="O8" s="11" t="s">
        <v>21</v>
      </c>
      <c r="P8" s="11" t="s">
        <v>22</v>
      </c>
      <c r="Q8" s="11" t="s">
        <v>23</v>
      </c>
      <c r="R8" s="11" t="s">
        <v>24</v>
      </c>
      <c r="S8" s="10" t="s">
        <v>25</v>
      </c>
      <c r="T8" s="10" t="s">
        <v>26</v>
      </c>
    </row>
    <row r="9" ht="15.75" customHeight="1" spans="1:21" x14ac:dyDescent="0.25">
      <c r="A9" s="12" t="s">
        <v>27</v>
      </c>
      <c r="B9" s="12" t="s">
        <v>28</v>
      </c>
      <c r="C9" s="12" t="s">
        <v>29</v>
      </c>
      <c r="D9" s="12" t="s">
        <v>30</v>
      </c>
      <c r="E9" s="12" t="s">
        <v>31</v>
      </c>
      <c r="F9" s="13" t="s">
        <v>32</v>
      </c>
      <c r="G9" s="12" t="s">
        <v>33</v>
      </c>
      <c r="H9" s="12" t="s">
        <v>34</v>
      </c>
      <c r="I9" s="13" t="s">
        <v>35</v>
      </c>
      <c r="J9" s="14" t="s">
        <v>36</v>
      </c>
      <c r="K9" s="14" t="s">
        <v>37</v>
      </c>
      <c r="L9" s="15" t="s">
        <v>38</v>
      </c>
      <c r="M9" s="15" t="s">
        <v>39</v>
      </c>
      <c r="N9" s="15" t="s">
        <v>40</v>
      </c>
      <c r="O9" s="15" t="s">
        <v>41</v>
      </c>
      <c r="P9" s="15" t="s">
        <v>42</v>
      </c>
      <c r="Q9" s="15" t="s">
        <v>43</v>
      </c>
      <c r="R9" s="14" t="s">
        <v>44</v>
      </c>
      <c r="S9" s="16" t="s">
        <v>45</v>
      </c>
      <c r="T9" s="16" t="s">
        <v>46</v>
      </c>
    </row>
    <row r="10" ht="15.75" customHeight="1" spans="1:22" x14ac:dyDescent="0.25">
      <c r="A10" s="17" t="s">
        <v>47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>
        <f>SUM(T$9:T9)</f>
      </c>
      <c r="T10" s="19">
        <f>SUM(U$9:U9)</f>
      </c>
      <c r="U10" s="20" t="s">
        <v>48</v>
      </c>
    </row>
  </sheetData>
  <mergeCells count="2">
    <mergeCell ref="F2:H6"/>
    <mergeCell ref="D3:E3"/>
  </mergeCells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5.5" customHeight="1" spans="1:4" x14ac:dyDescent="0.25">
      <c r="A1" s="21" t="s">
        <v>49</v>
      </c>
      <c r="B1" s="1"/>
      <c r="C1" s="1"/>
      <c r="D1" s="1"/>
    </row>
    <row r="2" ht="15.75" customHeight="1" spans="1:7" x14ac:dyDescent="0.25">
      <c r="A2" s="4" t="s">
        <v>1</v>
      </c>
      <c r="C2" s="22" t="s">
        <v>50</v>
      </c>
      <c r="D2" s="23"/>
      <c r="E2" s="23"/>
      <c r="F2" s="23"/>
      <c r="G2" s="23"/>
    </row>
    <row r="3" ht="15" customHeight="1" spans="1:1" x14ac:dyDescent="0.25">
      <c r="A3" s="4" t="s">
        <v>2</v>
      </c>
    </row>
    <row r="4" ht="15.75" customHeight="1" spans="1:1" x14ac:dyDescent="0.25">
      <c r="A4" s="22" t="s">
        <v>3</v>
      </c>
    </row>
    <row r="5" ht="15.75" customHeight="1" spans="1:1" x14ac:dyDescent="0.25">
      <c r="A5" s="22" t="s">
        <v>4</v>
      </c>
    </row>
    <row r="6" ht="15.75" customHeight="1" spans="1:4" x14ac:dyDescent="0.25">
      <c r="A6" s="4" t="s">
        <v>5</v>
      </c>
      <c r="C6" s="9"/>
      <c r="D6" s="8"/>
    </row>
    <row r="7" ht="15.75" customHeight="1" spans="1:4" x14ac:dyDescent="0.25">
      <c r="A7" s="4" t="s">
        <v>6</v>
      </c>
      <c r="C7" s="9"/>
      <c r="D7" s="8"/>
    </row>
    <row r="8" ht="54" customHeight="1" spans="1:9" x14ac:dyDescent="0.25">
      <c r="A8" s="10" t="s">
        <v>7</v>
      </c>
      <c r="B8" s="10" t="s">
        <v>51</v>
      </c>
      <c r="C8" s="10" t="s">
        <v>52</v>
      </c>
      <c r="D8" s="10" t="s">
        <v>53</v>
      </c>
      <c r="E8" s="10" t="s">
        <v>54</v>
      </c>
      <c r="F8" s="10" t="s">
        <v>55</v>
      </c>
      <c r="G8" s="10" t="s">
        <v>56</v>
      </c>
      <c r="H8" s="10" t="s">
        <v>57</v>
      </c>
      <c r="I8" s="10" t="s">
        <v>58</v>
      </c>
    </row>
    <row r="9" ht="15.75" customHeight="1" spans="1:9" x14ac:dyDescent="0.25">
      <c r="A9" s="24" t="s">
        <v>27</v>
      </c>
      <c r="B9" s="24" t="s">
        <v>59</v>
      </c>
      <c r="C9" s="25" t="s">
        <v>60</v>
      </c>
      <c r="D9" s="24" t="s">
        <v>61</v>
      </c>
      <c r="E9" s="24" t="s">
        <v>62</v>
      </c>
      <c r="F9" s="24" t="s">
        <v>63</v>
      </c>
      <c r="G9" s="24" t="s">
        <v>64</v>
      </c>
      <c r="H9" s="24" t="s">
        <v>65</v>
      </c>
      <c r="I9" s="24" t="s">
        <v>66</v>
      </c>
    </row>
    <row r="10" ht="15.75" customHeight="1" spans="1:9" x14ac:dyDescent="0.25">
      <c r="A10" s="26" t="s">
        <v>47</v>
      </c>
      <c r="B10" s="27"/>
      <c r="C10" s="28" t="e">
        <f>AVERAGE(C$9:C9)</f>
        <v>#DIV/0!</v>
      </c>
      <c r="D10" s="27">
        <f>SUM(D$9:D9)</f>
        <v>0</v>
      </c>
      <c r="E10" s="27">
        <f>SUM(E$9:E9)</f>
        <v>0</v>
      </c>
      <c r="F10" s="27">
        <f>SUM(F$9:F9)</f>
        <v>0</v>
      </c>
      <c r="G10" s="28" t="e">
        <f>AVERAGE(G$9:G9)</f>
        <v>#DIV/0!</v>
      </c>
      <c r="H10" s="27">
        <f>SUM(H$9:H9)</f>
        <v>0</v>
      </c>
      <c r="I10" s="29">
        <f>SUM(I$9:I9)</f>
        <v>0</v>
      </c>
    </row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C2:G2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ht="21.75" customHeight="1" spans="1:32" x14ac:dyDescent="0.25">
      <c r="A1" s="1" t="s">
        <v>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75" customHeight="1" spans="1:3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t="15.75" customHeight="1" spans="1:3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t="15.75" customHeight="1" spans="1:32" x14ac:dyDescent="0.25">
      <c r="A4" s="2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t="15.75" customHeight="1" spans="1:32" x14ac:dyDescent="0.25">
      <c r="A5" s="2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t="15.75" customHeight="1" spans="1:32" x14ac:dyDescent="0.25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t="15.75" customHeight="1" spans="1:32" x14ac:dyDescent="0.25">
      <c r="A7" s="30" t="s">
        <v>6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t="15" customHeight="1" spans="1:32" x14ac:dyDescent="0.25">
      <c r="A8" s="31" t="s">
        <v>8</v>
      </c>
      <c r="B8" s="32" t="s">
        <v>68</v>
      </c>
      <c r="C8" s="32" t="s">
        <v>69</v>
      </c>
      <c r="D8" s="32" t="s">
        <v>70</v>
      </c>
      <c r="E8" s="32" t="s">
        <v>71</v>
      </c>
      <c r="F8" s="32" t="s">
        <v>72</v>
      </c>
      <c r="G8" s="32" t="s">
        <v>73</v>
      </c>
      <c r="H8" s="32" t="s">
        <v>74</v>
      </c>
      <c r="I8" s="32" t="s">
        <v>75</v>
      </c>
      <c r="J8" s="32" t="s">
        <v>76</v>
      </c>
      <c r="K8" s="32" t="s">
        <v>77</v>
      </c>
      <c r="L8" s="32" t="s">
        <v>78</v>
      </c>
      <c r="M8" s="32" t="s">
        <v>79</v>
      </c>
      <c r="N8" s="32" t="s">
        <v>80</v>
      </c>
      <c r="O8" s="32" t="s">
        <v>81</v>
      </c>
      <c r="P8" s="32" t="s">
        <v>82</v>
      </c>
      <c r="Q8" s="32" t="s">
        <v>83</v>
      </c>
      <c r="R8" s="32" t="s">
        <v>84</v>
      </c>
      <c r="S8" s="32" t="s">
        <v>85</v>
      </c>
      <c r="T8" s="32" t="s">
        <v>86</v>
      </c>
      <c r="U8" s="33" t="s">
        <v>87</v>
      </c>
      <c r="V8" s="34"/>
      <c r="W8" s="34"/>
      <c r="X8" s="34"/>
      <c r="Y8" s="34"/>
      <c r="Z8" s="34"/>
      <c r="AA8" s="34"/>
      <c r="AB8" s="34"/>
      <c r="AC8" s="35"/>
      <c r="AD8" s="31" t="s">
        <v>88</v>
      </c>
      <c r="AE8" s="31" t="s">
        <v>89</v>
      </c>
      <c r="AF8" s="31" t="s">
        <v>90</v>
      </c>
    </row>
    <row r="9" ht="31.5" customHeight="1" spans="1:32" x14ac:dyDescent="0.25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7">
        <v>5011</v>
      </c>
      <c r="V9" s="37">
        <v>5007</v>
      </c>
      <c r="W9" s="37">
        <v>5006</v>
      </c>
      <c r="X9" s="37">
        <v>2008</v>
      </c>
      <c r="Y9" s="37">
        <v>2005</v>
      </c>
      <c r="Z9" s="37">
        <v>2037</v>
      </c>
      <c r="AA9" s="37">
        <v>2025</v>
      </c>
      <c r="AB9" s="37">
        <v>2022</v>
      </c>
      <c r="AC9" s="37" t="s">
        <v>91</v>
      </c>
      <c r="AD9" s="36"/>
      <c r="AE9" s="36"/>
      <c r="AF9" s="36"/>
    </row>
    <row r="10" ht="15.75" customHeight="1" spans="1:32" x14ac:dyDescent="0.25">
      <c r="A10" s="38" t="s">
        <v>92</v>
      </c>
      <c r="B10" s="39" t="s">
        <v>93</v>
      </c>
      <c r="C10" s="39" t="s">
        <v>94</v>
      </c>
      <c r="D10" s="39" t="s">
        <v>95</v>
      </c>
      <c r="E10" s="39" t="s">
        <v>96</v>
      </c>
      <c r="F10" s="40">
        <f>IFERROR(IF(A10="No data","",IF(C10=0,0,D10/C10)),0)</f>
        <v>0</v>
      </c>
      <c r="G10" s="39" t="s">
        <v>45</v>
      </c>
      <c r="H10" s="41">
        <f>IFERROR(IF(A10="No data","",IF(B10&lt;&gt;0, G10/B10, 0)),0)</f>
        <v>0</v>
      </c>
      <c r="I10" s="39" t="s">
        <v>97</v>
      </c>
      <c r="J10" s="39" t="s">
        <v>98</v>
      </c>
      <c r="K10" s="39">
        <f>IFERROR(IF(A10="No data","",U10+V10+W10+X10+Y10+Z10+AA10+AB10+AC10+AD10),0)</f>
        <v>0</v>
      </c>
      <c r="L10" s="40">
        <f>IFERROR(IF(A10="No data","",IF(G10=0,0,I10/G10)),0)</f>
        <v>0</v>
      </c>
      <c r="M10" s="40">
        <f>IFERROR(IF(A10="No data","",IF(G10=0,0,J10/G10)),0)</f>
        <v>0</v>
      </c>
      <c r="N10" s="40">
        <f>IFERROR(IF(A10="No data","",IF(D10=0,0,I10/D10)),0)</f>
        <v>0</v>
      </c>
      <c r="O10" s="40">
        <f>IFERROR(IF(A10="No data","",IF(G10=0,0,K10/G10)),0)</f>
        <v>0</v>
      </c>
      <c r="P10" s="39" t="s">
        <v>99</v>
      </c>
      <c r="Q10" s="39" t="s">
        <v>100</v>
      </c>
      <c r="R10" s="39" t="s">
        <v>101</v>
      </c>
      <c r="S10" s="40">
        <f>IFERROR(IF(A10="No data","",IF(I10=0,0,R10/I10)),0)</f>
        <v>0</v>
      </c>
      <c r="T10" s="42" t="s">
        <v>102</v>
      </c>
      <c r="U10" s="39" t="s">
        <v>103</v>
      </c>
      <c r="V10" s="39" t="s">
        <v>104</v>
      </c>
      <c r="W10" s="39" t="s">
        <v>105</v>
      </c>
      <c r="X10" s="39" t="s">
        <v>106</v>
      </c>
      <c r="Y10" s="39" t="s">
        <v>107</v>
      </c>
      <c r="Z10" s="39" t="s">
        <v>108</v>
      </c>
      <c r="AA10" s="39" t="s">
        <v>109</v>
      </c>
      <c r="AB10" s="39" t="s">
        <v>110</v>
      </c>
      <c r="AC10" s="39" t="s">
        <v>111</v>
      </c>
      <c r="AD10" s="39" t="s">
        <v>112</v>
      </c>
      <c r="AE10" s="39" t="s">
        <v>113</v>
      </c>
      <c r="AF10" s="39">
        <f>IFERROR(IF(A10="No data","",U10+V10+W10+X10+Y10+Z10+AA10+AB10+AC10+AD10+AE10),0)</f>
        <v>0</v>
      </c>
    </row>
    <row r="11" ht="15.75" customHeight="1" spans="1:32" x14ac:dyDescent="0.25">
      <c r="A11" s="43" t="s">
        <v>47</v>
      </c>
      <c r="B11" s="44"/>
      <c r="C11" s="44"/>
      <c r="D11" s="44"/>
      <c r="E11" s="44"/>
      <c r="F11" s="45">
        <f>AVERAGE(F$10:F10)</f>
        <v>0</v>
      </c>
      <c r="G11" s="46">
        <f>SUM(G$10:G10)</f>
        <v>0</v>
      </c>
      <c r="H11" s="45">
        <f>AVERAGE(H$10:H10)</f>
        <v>0</v>
      </c>
      <c r="I11" s="46">
        <f>SUM(I$10:I10)</f>
        <v>0</v>
      </c>
      <c r="J11" s="46">
        <f>SUM(J$10:J10)</f>
        <v>0</v>
      </c>
      <c r="K11" s="46">
        <f>SUM(K$10:K10)</f>
        <v>0</v>
      </c>
      <c r="L11" s="45">
        <f>AVERAGE(L$10:L10)</f>
        <v>0</v>
      </c>
      <c r="M11" s="45">
        <f>AVERAGE(M$10:M10)</f>
        <v>0</v>
      </c>
      <c r="N11" s="45">
        <f>AVERAGE(N$10:N10)</f>
        <v>0</v>
      </c>
      <c r="O11" s="45">
        <f>AVERAGE(O$10:O10)</f>
        <v>0</v>
      </c>
      <c r="P11" s="46">
        <f>SUM(P$10:P10)</f>
        <v>0</v>
      </c>
      <c r="Q11" s="46">
        <f>SUM(Q$10:Q10)</f>
        <v>0</v>
      </c>
      <c r="R11" s="46">
        <f>SUM(R$10:R10)</f>
        <v>0</v>
      </c>
      <c r="S11" s="45">
        <f>AVERAGE(S$10:S10)</f>
        <v>0</v>
      </c>
      <c r="T11" s="45" t="e">
        <f>AVERAGE(T$10:T10)</f>
        <v>#DIV/0!</v>
      </c>
      <c r="U11" s="46">
        <f>SUM(U$10:U10)</f>
        <v>0</v>
      </c>
      <c r="V11" s="46">
        <f>SUM(V$10:V10)</f>
        <v>0</v>
      </c>
      <c r="W11" s="46">
        <f>SUM(W$10:W10)</f>
        <v>0</v>
      </c>
      <c r="X11" s="46">
        <f>SUM(X$10:X10)</f>
        <v>0</v>
      </c>
      <c r="Y11" s="46">
        <f>SUM(Y$10:Y10)</f>
        <v>0</v>
      </c>
      <c r="Z11" s="46">
        <f>SUM(Z$10:Z10)</f>
        <v>0</v>
      </c>
      <c r="AA11" s="46">
        <f>SUM(AA$10:AA10)</f>
        <v>0</v>
      </c>
      <c r="AB11" s="46">
        <f>SUM(AB$10:AB10)</f>
        <v>0</v>
      </c>
      <c r="AC11" s="46">
        <f>SUM(AC$10:AC10)</f>
        <v>0</v>
      </c>
      <c r="AD11" s="46">
        <f>SUM(AD$10:AD10)</f>
        <v>0</v>
      </c>
      <c r="AE11" s="46">
        <f>SUM(AE$10:AE10)</f>
        <v>0</v>
      </c>
      <c r="AF11" s="47">
        <f>SUM(AF$10:AF10)</f>
        <v>0</v>
      </c>
    </row>
    <row r="12" ht="15.75" customHeight="1" spans="2:3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t="15.75" customHeight="1" spans="2:3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t="15.75" customHeight="1" spans="2:3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t="15.75" customHeight="1" spans="2:3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t="15.75" customHeight="1" spans="2:3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t="15.75" customHeight="1" spans="2:3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t="15.75" customHeight="1" spans="2:3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t="15.75" customHeight="1" spans="2:3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t="15.75" customHeight="1" spans="2:3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t="15.75" customHeight="1" spans="2:3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t="15.75" customHeight="1" spans="2:3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t="15.75" customHeight="1" spans="2:3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t="15.75" customHeight="1" spans="2:3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t="15.75" customHeight="1" spans="2:3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t="15.75" customHeight="1" spans="2:3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t="15.75" customHeight="1" spans="2:3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t="15.75" customHeight="1" spans="2:3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t="15.75" customHeight="1" spans="2:3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t="15.75" customHeight="1" spans="2:3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t="15.75" customHeight="1" spans="2:3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t="15.75" customHeight="1" spans="2:3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t="15.75" customHeight="1" spans="2:3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t="15.75" customHeight="1" spans="2:3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t="15.75" customHeight="1" spans="2:3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t="15.75" customHeight="1" spans="2:3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t="15.75" customHeight="1" spans="2:3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t="15.75" customHeight="1" spans="2:3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t="15.75" customHeight="1" spans="2:3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t="15.75" customHeight="1" spans="2:3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t="15.75" customHeight="1" spans="2:3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t="15.75" customHeight="1" spans="2:3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t="15.75" customHeight="1" spans="2:3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t="15.75" customHeight="1" spans="2:3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t="15.75" customHeight="1" spans="2:3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t="15.75" customHeight="1" spans="2:3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t="15.75" customHeight="1" spans="2:3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t="15.75" customHeight="1" spans="2:3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t="15.75" customHeight="1" spans="2:3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t="15.75" customHeight="1" spans="2:3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t="15.75" customHeight="1" spans="2:3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t="15.75" customHeight="1" spans="2:3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t="15.75" customHeight="1" spans="2:3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t="15.75" customHeight="1" spans="2:3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t="15.75" customHeight="1" spans="2:3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t="15.75" customHeight="1" spans="2:3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t="15.75" customHeight="1" spans="2:3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t="15.75" customHeight="1" spans="2:3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t="15.75" customHeight="1" spans="2:3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t="15.75" customHeight="1" spans="2:3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t="15.75" customHeight="1" spans="2:3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t="15.75" customHeight="1" spans="2:3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t="15.75" customHeight="1" spans="2:3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t="15.75" customHeight="1" spans="2:3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t="15.75" customHeight="1" spans="2:3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t="15.75" customHeight="1" spans="2:3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t="15.75" customHeight="1" spans="2:3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t="15.75" customHeight="1" spans="2:3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t="15.75" customHeight="1" spans="2:3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t="15.75" customHeight="1" spans="2:3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15.75" customHeight="1" spans="2:3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t="15.75" customHeight="1" spans="2:3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t="15.75" customHeight="1" spans="2:3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t="15.75" customHeight="1" spans="2:3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t="15.75" customHeight="1" spans="2:3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t="15.75" customHeight="1" spans="2:3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t="15.75" customHeight="1" spans="2:3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t="15.75" customHeight="1" spans="2:3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t="15.75" customHeight="1" spans="2:3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t="15.75" customHeight="1" spans="2:3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t="15.75" customHeight="1" spans="2:3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t="15.75" customHeight="1" spans="2:3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t="15.75" customHeight="1" spans="2:3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t="15.75" customHeight="1" spans="2:3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t="15.75" customHeight="1" spans="2:3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t="15.75" customHeight="1" spans="2:3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t="15.75" customHeight="1" spans="2:3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t="15.75" customHeight="1" spans="2:3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t="15.75" customHeight="1" spans="2:3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t="15.75" customHeight="1" spans="2:3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t="15.75" customHeight="1" spans="2:3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t="15.75" customHeight="1" spans="2:3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t="15.75" customHeight="1" spans="2:3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t="15.75" customHeight="1" spans="2:3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t="15.75" customHeight="1" spans="2:3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t="15.75" customHeight="1" spans="2:3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t="15.75" customHeight="1" spans="2:3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t="15.75" customHeight="1" spans="2:3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t="15.75" customHeight="1" spans="2:3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t="15.75" customHeight="1" spans="2:3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t="15.75" customHeight="1" spans="2:3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t="15.75" customHeight="1" spans="2:3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t="15.75" customHeight="1" spans="2:3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t="15.75" customHeight="1" spans="2:3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t="15.75" customHeight="1" spans="2:3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t="15.75" customHeight="1" spans="2:3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t="15.75" customHeight="1" spans="2:3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t="15.75" customHeight="1" spans="2:3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t="15.75" customHeight="1" spans="2:3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t="15.75" customHeight="1" spans="2:3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t="15.75" customHeight="1" spans="2:3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ht="15.75" customHeight="1" spans="2:3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t="15.75" customHeight="1" spans="2:3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t="15.75" customHeight="1" spans="2:3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t="15.75" customHeight="1" spans="2:3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t="15.75" customHeight="1" spans="2:3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t="15.75" customHeight="1" spans="2:3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t="15.75" customHeight="1" spans="2:3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t="15.75" customHeight="1" spans="2:3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t="15.75" customHeight="1" spans="2:3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t="15.75" customHeight="1" spans="2:3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t="15.75" customHeight="1" spans="2:3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t="15.75" customHeight="1" spans="2:3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t="15.75" customHeight="1" spans="2:3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t="15.75" customHeight="1" spans="2:3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t="15.75" customHeight="1" spans="2:3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t="15.75" customHeight="1" spans="2:3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t="15.75" customHeight="1" spans="2:3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t="15.75" customHeight="1" spans="2:3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t="15.75" customHeight="1" spans="2:3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t="15.75" customHeight="1" spans="2:3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t="15.75" customHeight="1" spans="2:3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t="15.75" customHeight="1" spans="2:3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t="15.75" customHeight="1" spans="2:3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t="15.75" customHeight="1" spans="2:3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t="15.75" customHeight="1" spans="2:3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t="15.75" customHeight="1" spans="2:3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t="15.75" customHeight="1" spans="2:3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t="15.75" customHeight="1" spans="2:3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t="15.75" customHeight="1" spans="2:3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t="15.75" customHeight="1" spans="2:3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t="15.75" customHeight="1" spans="2:3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t="15.75" customHeight="1" spans="2:3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t="15.75" customHeight="1" spans="2:3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t="15.75" customHeight="1" spans="2:3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t="15.75" customHeight="1" spans="2:3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t="15.75" customHeight="1" spans="2:3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t="15.75" customHeight="1" spans="2:3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t="15.75" customHeight="1" spans="2:3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t="15.75" customHeight="1" spans="2:3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t="15.75" customHeight="1" spans="2:3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t="15.75" customHeight="1" spans="2:3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t="15.75" customHeight="1" spans="2:3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t="15.75" customHeight="1" spans="2:3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t="15.75" customHeight="1" spans="2:3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t="15.75" customHeight="1" spans="2:3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t="15.75" customHeight="1" spans="2:3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t="15.75" customHeight="1" spans="2:3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t="15.75" customHeight="1" spans="2:3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t="15.75" customHeight="1" spans="2:3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t="15.75" customHeight="1" spans="2:3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t="15.75" customHeight="1" spans="2:3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t="15.75" customHeight="1" spans="2:3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t="15.75" customHeight="1" spans="2:3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t="15.75" customHeight="1" spans="2:3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t="15.75" customHeight="1" spans="2:3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t="15.75" customHeight="1" spans="2:3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t="15.75" customHeight="1" spans="2:3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t="15.75" customHeight="1" spans="2:3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t="15.75" customHeight="1" spans="2:3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t="15.75" customHeight="1" spans="2:3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t="15.75" customHeight="1" spans="2:3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t="15.75" customHeight="1" spans="2:3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t="15.75" customHeight="1" spans="2:3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t="15.75" customHeight="1" spans="2:3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t="15.75" customHeight="1" spans="2:3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t="15.75" customHeight="1" spans="2:3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t="15.75" customHeight="1" spans="2:3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t="15.75" customHeight="1" spans="2:3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t="15.75" customHeight="1" spans="2:3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t="15.75" customHeight="1" spans="2:3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t="15.75" customHeight="1" spans="2:3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t="15.75" customHeight="1" spans="2:3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t="15.75" customHeight="1" spans="2:3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t="15.75" customHeight="1" spans="2:3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t="15.75" customHeight="1" spans="2:3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t="15.75" customHeight="1" spans="2:3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t="15.75" customHeight="1" spans="2:3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t="15.75" customHeight="1" spans="2:3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t="15.75" customHeight="1" spans="2:3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t="15.75" customHeight="1" spans="2:3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t="15.75" customHeight="1" spans="2:3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t="15.75" customHeight="1" spans="2:3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t="15.75" customHeight="1" spans="2:3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t="15.75" customHeight="1" spans="2:3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t="15.75" customHeight="1" spans="2:3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t="15.75" customHeight="1" spans="2:3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t="15.75" customHeight="1" spans="2:3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t="15.75" customHeight="1" spans="2:3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t="15.75" customHeight="1" spans="2:3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t="15.75" customHeight="1" spans="2:3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t="15.75" customHeight="1" spans="2:3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t="15.75" customHeight="1" spans="2:3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t="15.75" customHeight="1" spans="2:3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t="15.75" customHeight="1" spans="2:3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t="15.75" customHeight="1" spans="2:3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t="15.75" customHeight="1" spans="2:3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t="15.75" customHeight="1" spans="2:3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t="15.75" customHeight="1" spans="2:3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t="15.75" customHeight="1" spans="2:3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t="15.75" customHeight="1" spans="2:3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t="15.75" customHeight="1" spans="2:3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t="15.75" customHeight="1" spans="2:3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t="15.75" customHeight="1" spans="2:3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t="15.75" customHeight="1" spans="2:3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t="15.75" customHeight="1" spans="2:3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t="15.75" customHeight="1" spans="2:3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t="15.75" customHeight="1" spans="2:3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15.75" customHeight="1" spans="2:3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15.75" customHeight="1" spans="2:3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ht="23.25" customHeight="1" spans="1:12" x14ac:dyDescent="0.25">
      <c r="A1" s="1" t="s">
        <v>114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75" customHeight="1" spans="1:1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75" customHeight="1" spans="1:1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5.75" customHeight="1" spans="1:12" x14ac:dyDescent="0.25">
      <c r="A4" s="2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75" customHeight="1" spans="1:12" x14ac:dyDescent="0.25">
      <c r="A5" s="22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5.75" customHeight="1" spans="1:12" x14ac:dyDescent="0.25">
      <c r="A6" s="4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15.75" customHeight="1" spans="1:12" x14ac:dyDescent="0.25">
      <c r="A7" s="30" t="s">
        <v>6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ht="15" customHeight="1" spans="1:12" x14ac:dyDescent="0.25">
      <c r="A8" s="48" t="s">
        <v>8</v>
      </c>
      <c r="B8" s="33" t="s">
        <v>87</v>
      </c>
      <c r="C8" s="34"/>
      <c r="D8" s="34"/>
      <c r="E8" s="34"/>
      <c r="F8" s="34"/>
      <c r="G8" s="34"/>
      <c r="H8" s="34"/>
      <c r="I8" s="34"/>
      <c r="J8" s="35"/>
      <c r="K8" s="49" t="s">
        <v>115</v>
      </c>
      <c r="L8" s="49" t="s">
        <v>90</v>
      </c>
    </row>
    <row r="9" ht="31.5" customHeight="1" spans="1:12" x14ac:dyDescent="0.25">
      <c r="A9" s="36"/>
      <c r="B9" s="37">
        <v>5011</v>
      </c>
      <c r="C9" s="37">
        <v>5007</v>
      </c>
      <c r="D9" s="37">
        <v>5006</v>
      </c>
      <c r="E9" s="37">
        <v>2008</v>
      </c>
      <c r="F9" s="37">
        <v>2005</v>
      </c>
      <c r="G9" s="37">
        <v>2037</v>
      </c>
      <c r="H9" s="37">
        <v>2025</v>
      </c>
      <c r="I9" s="37">
        <v>2022</v>
      </c>
      <c r="J9" s="37" t="s">
        <v>91</v>
      </c>
      <c r="K9" s="36"/>
      <c r="L9" s="36"/>
    </row>
    <row r="10" ht="15.75" customHeight="1" spans="1:12" x14ac:dyDescent="0.25">
      <c r="A10" s="38" t="s">
        <v>92</v>
      </c>
      <c r="B10" s="39" t="s">
        <v>103</v>
      </c>
      <c r="C10" s="39" t="s">
        <v>104</v>
      </c>
      <c r="D10" s="39" t="s">
        <v>105</v>
      </c>
      <c r="E10" s="39" t="s">
        <v>106</v>
      </c>
      <c r="F10" s="39" t="s">
        <v>107</v>
      </c>
      <c r="G10" s="39" t="s">
        <v>108</v>
      </c>
      <c r="H10" s="39" t="s">
        <v>109</v>
      </c>
      <c r="I10" s="39" t="s">
        <v>110</v>
      </c>
      <c r="J10" s="39" t="s">
        <v>111</v>
      </c>
      <c r="K10" s="39" t="s">
        <v>112</v>
      </c>
      <c r="L10" s="39" t="e">
        <f>B10+C10+D10+E10+F10+G10+H10+I10+J10+K10</f>
        <v>#VALUE!</v>
      </c>
    </row>
    <row r="11" ht="15.75" customHeight="1" spans="1:12" x14ac:dyDescent="0.25">
      <c r="A11" s="43" t="s">
        <v>47</v>
      </c>
      <c r="B11" s="44">
        <f>SUM(B$10:B10)</f>
        <v>0</v>
      </c>
      <c r="C11" s="44">
        <f>SUM(C$10:C10)</f>
        <v>0</v>
      </c>
      <c r="D11" s="44">
        <f>SUM(D$10:D10)</f>
        <v>0</v>
      </c>
      <c r="E11" s="44">
        <f>SUM(E$10:E10)</f>
        <v>0</v>
      </c>
      <c r="F11" s="44">
        <f>SUM(F$10:F10)</f>
        <v>0</v>
      </c>
      <c r="G11" s="44">
        <f>SUM(G$10:G10)</f>
        <v>0</v>
      </c>
      <c r="H11" s="44">
        <f>SUM(H$10:H10)</f>
        <v>0</v>
      </c>
      <c r="I11" s="44">
        <f>SUM(I$10:I10)</f>
        <v>0</v>
      </c>
      <c r="J11" s="44">
        <f>SUM(J$10:J10)</f>
        <v>0</v>
      </c>
      <c r="K11" s="44">
        <f>SUM(K$10:K10)</f>
        <v>0</v>
      </c>
      <c r="L11" s="50" t="e">
        <f>SUM(L$10:L10)</f>
        <v>#VALUE!</v>
      </c>
    </row>
    <row r="12" ht="15.75" customHeight="1" spans="2:1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5.75" customHeight="1" spans="2:1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.75" customHeight="1" spans="2:1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.75" customHeight="1" spans="2:1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.75" customHeight="1" spans="2:1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75" customHeight="1" spans="2:1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75" customHeight="1" spans="2:1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5.75" customHeight="1" spans="2:1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15.75" customHeight="1" spans="2:1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15.75" customHeight="1" spans="2:1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ht="15.75" customHeight="1" spans="2:1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ht="15.75" customHeight="1" spans="2:1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15.75" customHeight="1" spans="2:1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 spans="2:1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 spans="2:1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 spans="2:1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 spans="2:1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 spans="2:1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 spans="2:1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 spans="2:1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 spans="2:1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 spans="2:1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 spans="2:1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 spans="2:1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 spans="2:1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 spans="2:1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 spans="2:1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 spans="2:1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 spans="2:1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 spans="2:1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 spans="2:1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 spans="2:1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 spans="2:1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 spans="2:1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 spans="2:1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 spans="2:1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 spans="2:1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 spans="2:1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 spans="2:1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 spans="2:1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 spans="2:1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 spans="2:1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 spans="2:1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 spans="2:1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 spans="2:1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 spans="2:1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 spans="2:1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 spans="2:1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 spans="2:1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 spans="2:1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 spans="2:1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 spans="2:1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 spans="2:1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 spans="2:1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 spans="2:1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 spans="2:1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 spans="2:1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 spans="2:1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 spans="2:1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 spans="2:1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 spans="2:1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 spans="2:1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 spans="2:1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 spans="2:1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 spans="2:1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 spans="2:1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 spans="2:1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 spans="2:1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 spans="2:1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 spans="2:1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 spans="2:1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 spans="2:1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 spans="2:1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 spans="2:1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 spans="2:1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 spans="2:1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 spans="2:1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 spans="2:1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 spans="2:1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 spans="2:1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 spans="2:1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 spans="2:1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 spans="2:1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 spans="2:1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 spans="2:1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 spans="2:1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 spans="2:1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 spans="2:1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 spans="2:1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 spans="2:1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 spans="2:1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 spans="2:1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 spans="2:1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 spans="2:1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 spans="2:1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 spans="2:1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 spans="2:1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 spans="2:1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 spans="2:1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 spans="2:1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 spans="2:1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 spans="2:1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 spans="2:1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 spans="2:1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 spans="2:1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 spans="2:1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 spans="2:1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 spans="2:1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 spans="2:1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 spans="2:1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 spans="2:1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 spans="2:1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 spans="2:1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 spans="2:1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 spans="2:1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 spans="2:1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 spans="2:1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 spans="2:1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 spans="2:1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 spans="2:1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 spans="2:1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 spans="2:1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 spans="2:1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 spans="2:1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 spans="2:1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 spans="2:1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 spans="2:1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 spans="2:1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 spans="2:1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 spans="2:1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 spans="2:1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 spans="2:1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 spans="2:1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 spans="2:1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 spans="2:1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 spans="2:1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 spans="2:1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 spans="2:1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 spans="2:1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 spans="2:1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 spans="2:1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 spans="2:1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 spans="2:1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 spans="2:1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 spans="2:1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 spans="2:1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 spans="2:1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 spans="2:1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 spans="2:1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 spans="2:1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 spans="2:1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 spans="2:1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 spans="2:1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 spans="2:1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 spans="2:1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 spans="2:1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 spans="2:1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 spans="2:1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 spans="2:1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 spans="2:1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 spans="2:1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 spans="2:1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 spans="2:1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 spans="2:1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 spans="2:1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 spans="2:1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 spans="2:1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 spans="2:1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 spans="2:1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 spans="2:1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 spans="2:1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 spans="2:1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 spans="2:1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 spans="2:1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 spans="2:1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 spans="2:1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 spans="2:1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 spans="2:1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 spans="2:1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 spans="2:1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 spans="2:1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 spans="2:1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 spans="2:1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 spans="2:1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 spans="2:1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 spans="2:1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 spans="2:1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 spans="2:1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 spans="2:1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 spans="2:1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 spans="2:1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 spans="2:1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 spans="2:1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 spans="2:1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 spans="2:1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 spans="2:1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 spans="2:1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 spans="2:1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 spans="2:1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 spans="2:1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 spans="2:1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 spans="2:1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 spans="2:1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 spans="2:1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 spans="2:1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 spans="2:1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 spans="2:1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 spans="2:1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 spans="2:1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B8:J8"/>
    <mergeCell ref="A8:A9"/>
    <mergeCell ref="K8:K9"/>
    <mergeCell ref="L8:L9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01"/>
  <sheetViews>
    <sheetView workbookViewId="0" showGridLines="0" zoomScale="100" zoomScaleNormal="100">
      <selection activeCell="B3" sqref="B3"/>
    </sheetView>
  </sheetViews>
  <sheetFormatPr defaultRowHeight="15" outlineLevelRow="0" outlineLevelCol="0" x14ac:dyDescent="0.2" defaultColWidth="11.1640625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ht="21.75" customHeight="1" spans="2:4" x14ac:dyDescent="0.25">
      <c r="B2" s="51" t="s">
        <v>116</v>
      </c>
      <c r="C2" s="51" t="s">
        <v>117</v>
      </c>
      <c r="D2" s="51" t="s">
        <v>118</v>
      </c>
    </row>
    <row r="3" ht="21.75" customHeight="1" spans="2:4" x14ac:dyDescent="0.25">
      <c r="B3" s="52">
        <v>1001</v>
      </c>
      <c r="C3" s="53" t="s">
        <v>119</v>
      </c>
      <c r="D3" s="54" t="s">
        <v>120</v>
      </c>
    </row>
    <row r="4" ht="21.75" customHeight="1" spans="2:4" x14ac:dyDescent="0.25">
      <c r="B4" s="55">
        <v>1002</v>
      </c>
      <c r="C4" s="56" t="s">
        <v>119</v>
      </c>
      <c r="D4" s="57" t="s">
        <v>121</v>
      </c>
    </row>
    <row r="5" ht="21.75" customHeight="1" spans="2:4" x14ac:dyDescent="0.25">
      <c r="B5" s="58">
        <v>1004</v>
      </c>
      <c r="C5" s="59" t="s">
        <v>119</v>
      </c>
      <c r="D5" s="60" t="s">
        <v>122</v>
      </c>
    </row>
    <row r="6" ht="21.75" customHeight="1" spans="2:4" x14ac:dyDescent="0.25">
      <c r="B6" s="55">
        <v>1005</v>
      </c>
      <c r="C6" s="56" t="s">
        <v>119</v>
      </c>
      <c r="D6" s="57" t="s">
        <v>123</v>
      </c>
    </row>
    <row r="7" ht="21.75" customHeight="1" spans="2:4" x14ac:dyDescent="0.25">
      <c r="B7" s="58">
        <v>1006</v>
      </c>
      <c r="C7" s="59" t="s">
        <v>119</v>
      </c>
      <c r="D7" s="60" t="s">
        <v>124</v>
      </c>
    </row>
    <row r="8" ht="21.75" customHeight="1" spans="2:4" x14ac:dyDescent="0.25">
      <c r="B8" s="55">
        <v>1007</v>
      </c>
      <c r="C8" s="56" t="s">
        <v>119</v>
      </c>
      <c r="D8" s="57" t="s">
        <v>125</v>
      </c>
    </row>
    <row r="9" ht="21.75" customHeight="1" spans="2:4" x14ac:dyDescent="0.25">
      <c r="B9" s="58">
        <v>1017</v>
      </c>
      <c r="C9" s="59" t="s">
        <v>119</v>
      </c>
      <c r="D9" s="60" t="s">
        <v>126</v>
      </c>
    </row>
    <row r="10" ht="21.75" customHeight="1" spans="2:4" x14ac:dyDescent="0.25">
      <c r="B10" s="55">
        <v>1018</v>
      </c>
      <c r="C10" s="56" t="s">
        <v>119</v>
      </c>
      <c r="D10" s="57" t="s">
        <v>127</v>
      </c>
    </row>
    <row r="11" ht="21.75" customHeight="1" spans="2:4" x14ac:dyDescent="0.25">
      <c r="B11" s="58">
        <v>2003</v>
      </c>
      <c r="C11" s="59" t="s">
        <v>128</v>
      </c>
      <c r="D11" s="60" t="s">
        <v>129</v>
      </c>
    </row>
    <row r="12" ht="21.75" customHeight="1" spans="2:4" x14ac:dyDescent="0.25">
      <c r="B12" s="55">
        <v>2005</v>
      </c>
      <c r="C12" s="56" t="s">
        <v>128</v>
      </c>
      <c r="D12" s="57" t="s">
        <v>130</v>
      </c>
    </row>
    <row r="13" ht="21.75" customHeight="1" spans="2:4" x14ac:dyDescent="0.25">
      <c r="B13" s="58">
        <v>2008</v>
      </c>
      <c r="C13" s="59" t="s">
        <v>128</v>
      </c>
      <c r="D13" s="60" t="s">
        <v>131</v>
      </c>
    </row>
    <row r="14" ht="21.75" customHeight="1" spans="2:4" x14ac:dyDescent="0.25">
      <c r="B14" s="55">
        <v>2009</v>
      </c>
      <c r="C14" s="56" t="s">
        <v>128</v>
      </c>
      <c r="D14" s="57" t="s">
        <v>132</v>
      </c>
    </row>
    <row r="15" ht="21.75" customHeight="1" spans="2:4" x14ac:dyDescent="0.25">
      <c r="B15" s="58">
        <v>2011</v>
      </c>
      <c r="C15" s="59" t="s">
        <v>133</v>
      </c>
      <c r="D15" s="60" t="s">
        <v>134</v>
      </c>
    </row>
    <row r="16" ht="34" customHeight="1" spans="2:4" x14ac:dyDescent="0.25">
      <c r="B16" s="55">
        <v>2014</v>
      </c>
      <c r="C16" s="56" t="s">
        <v>128</v>
      </c>
      <c r="D16" s="57" t="s">
        <v>135</v>
      </c>
    </row>
    <row r="17" ht="21.75" customHeight="1" spans="2:4" x14ac:dyDescent="0.25">
      <c r="B17" s="58">
        <v>2016</v>
      </c>
      <c r="C17" s="59" t="s">
        <v>128</v>
      </c>
      <c r="D17" s="60" t="s">
        <v>136</v>
      </c>
    </row>
    <row r="18" ht="21.75" customHeight="1" spans="2:4" x14ac:dyDescent="0.25">
      <c r="B18" s="55">
        <v>2018</v>
      </c>
      <c r="C18" s="56" t="s">
        <v>133</v>
      </c>
      <c r="D18" s="57" t="s">
        <v>137</v>
      </c>
    </row>
    <row r="19" ht="21.75" customHeight="1" spans="2:4" x14ac:dyDescent="0.25">
      <c r="B19" s="58">
        <v>2022</v>
      </c>
      <c r="C19" s="59" t="s">
        <v>128</v>
      </c>
      <c r="D19" s="60" t="s">
        <v>138</v>
      </c>
    </row>
    <row r="20" ht="21.75" customHeight="1" spans="2:4" x14ac:dyDescent="0.25">
      <c r="B20" s="55">
        <v>2025</v>
      </c>
      <c r="C20" s="56" t="s">
        <v>133</v>
      </c>
      <c r="D20" s="57" t="s">
        <v>139</v>
      </c>
    </row>
    <row r="21" ht="21.75" customHeight="1" spans="2:4" x14ac:dyDescent="0.25">
      <c r="B21" s="58">
        <v>2032</v>
      </c>
      <c r="C21" s="59" t="s">
        <v>128</v>
      </c>
      <c r="D21" s="60" t="s">
        <v>140</v>
      </c>
    </row>
    <row r="22" ht="21.75" customHeight="1" spans="2:4" x14ac:dyDescent="0.25">
      <c r="B22" s="55">
        <v>2034</v>
      </c>
      <c r="C22" s="56" t="s">
        <v>128</v>
      </c>
      <c r="D22" s="57" t="s">
        <v>141</v>
      </c>
    </row>
    <row r="23" ht="21.75" customHeight="1" spans="2:4" x14ac:dyDescent="0.25">
      <c r="B23" s="58">
        <v>2037</v>
      </c>
      <c r="C23" s="59" t="s">
        <v>133</v>
      </c>
      <c r="D23" s="60" t="s">
        <v>142</v>
      </c>
    </row>
    <row r="24" ht="21.75" customHeight="1" spans="2:4" x14ac:dyDescent="0.25">
      <c r="B24" s="55">
        <v>4010</v>
      </c>
      <c r="C24" s="56" t="s">
        <v>143</v>
      </c>
      <c r="D24" s="57" t="s">
        <v>144</v>
      </c>
    </row>
    <row r="25" ht="34" customHeight="1" spans="2:4" x14ac:dyDescent="0.25">
      <c r="B25" s="58">
        <v>4017</v>
      </c>
      <c r="C25" s="59" t="s">
        <v>143</v>
      </c>
      <c r="D25" s="60" t="s">
        <v>135</v>
      </c>
    </row>
    <row r="26" ht="21.75" customHeight="1" spans="2:4" x14ac:dyDescent="0.25">
      <c r="B26" s="55">
        <v>5006</v>
      </c>
      <c r="C26" s="56" t="s">
        <v>145</v>
      </c>
      <c r="D26" s="57" t="s">
        <v>146</v>
      </c>
    </row>
    <row r="27" ht="21.75" customHeight="1" spans="2:4" x14ac:dyDescent="0.25">
      <c r="B27" s="58">
        <v>5007</v>
      </c>
      <c r="C27" s="59" t="s">
        <v>145</v>
      </c>
      <c r="D27" s="60" t="s">
        <v>147</v>
      </c>
    </row>
    <row r="28" ht="21.75" customHeight="1" spans="2:4" x14ac:dyDescent="0.25">
      <c r="B28" s="61">
        <v>5011</v>
      </c>
      <c r="C28" s="62" t="s">
        <v>145</v>
      </c>
      <c r="D28" s="63" t="s">
        <v>148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and Site Summary Report</vt:lpstr>
      <vt:lpstr>Device and Site Inventory</vt:lpstr>
      <vt:lpstr>Devices TB Reach</vt:lpstr>
      <vt:lpstr>Errors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Alejandro Hernández</cp:lastModifiedBy>
  <dcterms:created xsi:type="dcterms:W3CDTF">2026-06-08T03:42:54Z</dcterms:created>
  <dcterms:modified xsi:type="dcterms:W3CDTF">2025-06-12T04:00:18Z</dcterms:modified>
</cp:coreProperties>
</file>