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4340" yWindow="760" windowWidth="30220" windowHeight="21580"/>
  </bookViews>
  <sheets>
    <sheet sheetId="1" name="Device and Site Summary Report" state="visible" r:id="rId4"/>
    <sheet sheetId="2" name="Device and Site Inventory" state="visible" r:id="rId5"/>
    <sheet sheetId="3" name="Devices TB Reach" state="visible" r:id="rId6"/>
    <sheet sheetId="4" name="Errors by Device" state="visible" r:id="rId7"/>
    <sheet sheetId="5" name="Error Codes" state="visible" r:id="rId8"/>
  </sheets>
  <calcPr calcId="171027"/>
</workbook>
</file>

<file path=xl/sharedStrings.xml><?xml version="1.0" encoding="utf-8"?>
<sst xmlns="http://schemas.openxmlformats.org/spreadsheetml/2006/main" count="212" uniqueCount="152">
  <si>
    <t>Device and Site Summary Report</t>
  </si>
  <si>
    <t>Dates: &lt;Dates&gt;</t>
  </si>
  <si>
    <r>
      <rPr>
        <color rgb="FF000000"/>
        <family val="2"/>
        <sz val="12"/>
        <rFont val="Calibri"/>
      </rPr>
      <t xml:space="preserve">Note:
</t>
    </r>
    <r>
      <rPr>
        <i/>
        <color rgb="FF000000"/>
        <family val="2"/>
        <sz val="12"/>
        <rFont val="Calibri"/>
      </rPr>
      <t>The result categories are represented by all the possible result combinations that the device sends to Aspect. For example, MTB Detected does not include MTB Detected Rif Detected, as they are considered different results</t>
    </r>
  </si>
  <si>
    <t>&lt;StatesLabel&gt;: &lt;States&gt;</t>
  </si>
  <si>
    <t>&lt;LgasLabel&gt;: &lt;Lgas&gt;</t>
  </si>
  <si>
    <t>&lt;SitesLabel&gt;: &lt;Sites&gt;</t>
  </si>
  <si>
    <t>&lt;AssaysLabel&gt;: &lt;Assays&gt;</t>
  </si>
  <si>
    <t>&lt;Table&gt;</t>
  </si>
  <si>
    <t>Site</t>
  </si>
  <si>
    <t>Device</t>
  </si>
  <si>
    <t>State</t>
  </si>
  <si>
    <t>District</t>
  </si>
  <si>
    <t>Serial</t>
  </si>
  <si>
    <t>Instrument Serial</t>
  </si>
  <si>
    <t>Last Result Update</t>
  </si>
  <si>
    <t>Status</t>
  </si>
  <si>
    <t>Status Notes</t>
  </si>
  <si>
    <t>Last Ping On</t>
  </si>
  <si>
    <t>Last Ping From</t>
  </si>
  <si>
    <t>Information Below as of</t>
  </si>
  <si>
    <t>Operating System</t>
  </si>
  <si>
    <t>Time Zone</t>
  </si>
  <si>
    <t>Language / Region</t>
  </si>
  <si>
    <t>GxConnect Version</t>
  </si>
  <si>
    <t>Device Found?</t>
  </si>
  <si>
    <t>LIS Configured Correctly?</t>
  </si>
  <si>
    <t>GeneXpert Installation Date</t>
  </si>
  <si>
    <t>Total</t>
  </si>
  <si>
    <t>Other</t>
  </si>
  <si>
    <t>&lt;siteName&gt;</t>
  </si>
  <si>
    <t>&lt;name&gt;</t>
  </si>
  <si>
    <t>&lt;stateName&gt;</t>
  </si>
  <si>
    <t>&lt;districtName&gt;</t>
  </si>
  <si>
    <t>&lt;serial&gt;</t>
  </si>
  <si>
    <t>&lt;instrumentSerial&gt;</t>
  </si>
  <si>
    <t>&lt;lastUploadOn&gt;</t>
  </si>
  <si>
    <t>&lt;status&gt;</t>
  </si>
  <si>
    <t>&lt;statusNote&gt;</t>
  </si>
  <si>
    <t>&lt;lastPingOn&gt;</t>
  </si>
  <si>
    <t>&lt;lastPingFrom&gt;</t>
  </si>
  <si>
    <t>&lt;informationDate&gt;</t>
  </si>
  <si>
    <t>&lt;operativeSystem&gt;</t>
  </si>
  <si>
    <t>&lt;timeZone&gt;</t>
  </si>
  <si>
    <t>&lt;language&gt;</t>
  </si>
  <si>
    <t>&lt;gxConnectVersion&gt;</t>
  </si>
  <si>
    <t>&lt;deviceFound&gt;</t>
  </si>
  <si>
    <t>&lt;lisConfiguredCorrectly&gt;</t>
  </si>
  <si>
    <t>&lt;instalationDate&gt;</t>
  </si>
  <si>
    <t>&lt;totalXpertTests&gt;</t>
  </si>
  <si>
    <t>&lt;totalOtherTests&gt;</t>
  </si>
  <si>
    <t>Totals</t>
  </si>
  <si>
    <t>#SUM_DYNAMIC</t>
  </si>
  <si>
    <t>Device and Site Inventory</t>
  </si>
  <si>
    <t>Note: this report only includes the consumables that were sometime tracked on the sites</t>
  </si>
  <si>
    <t>Consumable</t>
  </si>
  <si>
    <t>Daily Consumption Rate</t>
  </si>
  <si>
    <t>Projected Annual Consumption</t>
  </si>
  <si>
    <t>Quantity On Hand</t>
  </si>
  <si>
    <t>Quantity On Hand but Expired</t>
  </si>
  <si>
    <t>Days Stock Left</t>
  </si>
  <si>
    <t>Projected Waste</t>
  </si>
  <si>
    <t>Total Unreconciled Results</t>
  </si>
  <si>
    <t>&lt;consumableName&gt;</t>
  </si>
  <si>
    <t>&lt;dailyConsumptionRate&gt;</t>
  </si>
  <si>
    <t>&lt;projectedAnnualConsumption&gt;</t>
  </si>
  <si>
    <t>&lt;quantityOnHand&gt;</t>
  </si>
  <si>
    <t>&lt;quantityExpired&gt;</t>
  </si>
  <si>
    <t>&lt;daysStockLeft&gt;</t>
  </si>
  <si>
    <t>&lt;projectedWaste&gt;</t>
  </si>
  <si>
    <t>&lt;unreconciledResults&gt;</t>
  </si>
  <si>
    <t>List of Devices for TB Reach</t>
  </si>
  <si>
    <t>BK Total</t>
  </si>
  <si>
    <t>BK(cn,rec)</t>
  </si>
  <si>
    <t>BK+</t>
  </si>
  <si>
    <t>BK-</t>
  </si>
  <si>
    <t>%BK+</t>
  </si>
  <si>
    <t>Xpert Tests</t>
  </si>
  <si>
    <t>%Xpert Tests</t>
  </si>
  <si>
    <t>Xpert+</t>
  </si>
  <si>
    <t>Xpert-</t>
  </si>
  <si>
    <t xml:space="preserve">Xpert 
Error/Invalid</t>
  </si>
  <si>
    <t>%Xpert+</t>
  </si>
  <si>
    <t>%Xpert-</t>
  </si>
  <si>
    <t xml:space="preserve">%Xpert
Increase</t>
  </si>
  <si>
    <t xml:space="preserve">%Xpert
 Error/Invalid</t>
  </si>
  <si>
    <t>Xpert RIF+</t>
  </si>
  <si>
    <t xml:space="preserve">Xpert 
Rif IND</t>
  </si>
  <si>
    <t xml:space="preserve">Xpert+
 Treated</t>
  </si>
  <si>
    <t xml:space="preserve">%Xpert+
Treated</t>
  </si>
  <si>
    <t xml:space="preserve">Xpert 
Per Day</t>
  </si>
  <si>
    <t>Type of error</t>
  </si>
  <si>
    <t>Invalid Results</t>
  </si>
  <si>
    <t>No Results</t>
  </si>
  <si>
    <t>Total errors, invalid results, no results</t>
  </si>
  <si>
    <t>Other Error</t>
  </si>
  <si>
    <t>&lt;deviceName&gt;</t>
  </si>
  <si>
    <t>&lt;BKtotal&gt;</t>
  </si>
  <si>
    <t>&lt;BKCnRec&gt;</t>
  </si>
  <si>
    <t>&lt;BKPositive&gt;</t>
  </si>
  <si>
    <t>&lt;BKNegative&gt;</t>
  </si>
  <si>
    <t>&lt;xpertPositive&gt;</t>
  </si>
  <si>
    <t>&lt;xpertNegative&gt;</t>
  </si>
  <si>
    <t>&lt;xpertRIFPositive&gt;</t>
  </si>
  <si>
    <t>&lt;xpertRIFIndeterminate&gt;</t>
  </si>
  <si>
    <t>&lt;xpertPlusTreated&gt;</t>
  </si>
  <si>
    <t>&lt;xpertPerDay&gt;</t>
  </si>
  <si>
    <t>&lt;5011&gt;</t>
  </si>
  <si>
    <t>&lt;5007&gt;</t>
  </si>
  <si>
    <t>&lt;5006&gt;</t>
  </si>
  <si>
    <t>&lt;2008&gt;</t>
  </si>
  <si>
    <t>&lt;2005&gt;</t>
  </si>
  <si>
    <t>&lt;2037&gt;</t>
  </si>
  <si>
    <t>&lt;2025&gt;</t>
  </si>
  <si>
    <t>&lt;2022&gt;</t>
  </si>
  <si>
    <t>&lt;otherErrors&gt;</t>
  </si>
  <si>
    <t>&lt;invalidResults&gt;</t>
  </si>
  <si>
    <t>&lt;noResults&gt;</t>
  </si>
  <si>
    <t>Errors by Device</t>
  </si>
  <si>
    <t>Invalid results, no results</t>
  </si>
  <si>
    <t>Code</t>
  </si>
  <si>
    <t>Category</t>
  </si>
  <si>
    <t>Description</t>
  </si>
  <si>
    <t>Run-time error</t>
  </si>
  <si>
    <t>The actual temperature has drifted too far away from the setpoint</t>
  </si>
  <si>
    <t>The temperature difference exceeds the limit</t>
  </si>
  <si>
    <t>The internal instrument temperature was out of range</t>
  </si>
  <si>
    <t>Optic signal of from detector exceeded the limit</t>
  </si>
  <si>
    <t>Detector dark signal exceeded the limit</t>
  </si>
  <si>
    <t>The power supply was detected to be out of range</t>
  </si>
  <si>
    <t>The measured temperature of the optical system was not within the acceptable range</t>
  </si>
  <si>
    <t>A valve positioning error was detected at the end of the run</t>
  </si>
  <si>
    <t>Operation terminated error</t>
  </si>
  <si>
    <t>Module is already running a test while performing command</t>
  </si>
  <si>
    <t>Motion of the syringe drive was not detected</t>
  </si>
  <si>
    <t>Syringe pressure reading exceeds the protocol limit</t>
  </si>
  <si>
    <t>Syringe pressure reading is below the protocol limit</t>
  </si>
  <si>
    <t>Cartridge loading error</t>
  </si>
  <si>
    <t>Unable to initialize pressure sensor</t>
  </si>
  <si>
    <t>The digital temperature reading for Thermistor A/Thermistor B/Ambient Thermistor/Optic Thermistor was not within the acceptable range</t>
  </si>
  <si>
    <t>The system was unable to find the valve home position</t>
  </si>
  <si>
    <t>Attempt to load a cartridge while the door is still closed</t>
  </si>
  <si>
    <t>Failed to get to desired temperature</t>
  </si>
  <si>
    <t>The system failed to find the plunger home position</t>
  </si>
  <si>
    <t>The ultrasonic horn could not be tuned properly</t>
  </si>
  <si>
    <t>The optical signal from Detector did not reach the expected value</t>
  </si>
  <si>
    <t>The cartridge integrity test failed</t>
  </si>
  <si>
    <t>Self-test error</t>
  </si>
  <si>
    <t>Cooling fan operation was not verified. Measured temperature exceeded the limit</t>
  </si>
  <si>
    <t>Post-run analysis error</t>
  </si>
  <si>
    <t>Probe check failed. Probe check value was above the maximum</t>
  </si>
  <si>
    <t>Probe check failed. Probe check value was below the minimum</t>
  </si>
  <si>
    <t>Signal loss detected in the amplification curve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</si>
</sst>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409]mmmm d&quot;, &quot;yyyy"/>
    <numFmt numFmtId="165" formatCode="yyyy-mm-dd hh:mm"/>
  </numFmts>
  <fonts count="11" x14ac:knownFonts="1">
    <font>
      <color theme="1"/>
      <family val="2"/>
      <scheme val="minor"/>
      <sz val="11"/>
      <name val="Calibri"/>
    </font>
    <font>
      <b/>
      <color rgb="FF000000"/>
      <family val="2"/>
      <sz val="16"/>
      <name val="Calibri"/>
    </font>
    <font>
      <color rgb="FF000000"/>
      <family val="2"/>
      <sz val="12"/>
      <name val="Calibri"/>
    </font>
    <font>
      <color theme="1"/>
      <family val="2"/>
      <sz val="12"/>
      <name val="Calibri"/>
    </font>
    <font>
      <i/>
      <color rgb="FF000000"/>
      <family val="2"/>
      <sz val="12"/>
      <name val="Calibri"/>
    </font>
    <font>
      <b/>
      <color theme="1"/>
      <family val="2"/>
      <sz val="12"/>
      <name val="Calibri"/>
    </font>
    <font>
      <b/>
      <color rgb="FF000000"/>
      <family val="2"/>
      <scheme val="minor"/>
      <sz val="12"/>
      <name val="Calibri"/>
    </font>
    <font>
      <color rgb="FF000000"/>
      <family val="2"/>
      <scheme val="minor"/>
      <sz val="12"/>
      <name val="Calibri"/>
    </font>
    <font>
      <color rgb="FF000000"/>
      <scheme val="minor"/>
      <sz val="12"/>
      <name val="Calibri"/>
    </font>
    <font>
      <b/>
      <color rgb="FF000000"/>
      <family val="2"/>
      <sz val="12"/>
      <name val="Calibri"/>
    </font>
    <font>
      <family val="2"/>
      <sz val="12"/>
      <name val="Calibri"/>
    </font>
  </fonts>
  <fills count="5">
    <fill>
      <patternFill patternType="none"/>
    </fill>
    <fill>
      <patternFill patternType="gray125"/>
    </fill>
    <fill>
      <patternFill patternType="solid">
        <fgColor rgb="FF3CC0DD"/>
        <bgColor rgb="FF3CC0DD"/>
      </patternFill>
    </fill>
    <fill>
      <patternFill patternType="solid">
        <fgColor rgb="FFFFFFFF"/>
        <bgColor rgb="FFFFFFFF"/>
      </patternFill>
    </fill>
    <fill>
      <patternFill patternType="solid">
        <fgColor rgb="FFABEBEF"/>
        <bgColor theme="4" tint="0.7999511703848384"/>
      </patternFill>
    </fill>
  </fills>
  <borders count="24">
    <border>
      <left/>
      <right/>
      <top/>
      <bottom/>
      <diagonal/>
    </border>
    <border>
      <left style="medium">
        <color rgb="FF000000"/>
      </left>
      <right style="medium">
        <color rgb="FF000000"/>
      </right>
      <top style="medium">
        <color rgb="FF000000"/>
      </top>
      <bottom style="medium">
        <color rgb="FF000000"/>
      </bottom>
      <diagonal/>
    </border>
    <border>
      <left style="thin">
        <color rgb="FF000000"/>
      </left>
      <right style="thin">
        <color rgb="FF000000"/>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rgb="FF000000"/>
      </left>
      <right style="thin">
        <color rgb="FF000000"/>
      </right>
      <top style="thin">
        <color rgb="FF000000"/>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theme="4" tint="0.3999755851924192"/>
      </left>
      <right/>
      <top/>
      <bottom/>
      <diagonal/>
    </border>
    <border>
      <left/>
      <right style="thin">
        <color theme="4" tint="0.3999755851924192"/>
      </right>
      <top/>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style="thin">
        <color theme="4" tint="0.3999755851924192"/>
      </right>
      <top style="thin">
        <color theme="4" tint="0.3999755851924192"/>
      </top>
      <bottom/>
      <diagonal/>
    </border>
    <border>
      <left style="thin">
        <color theme="4" tint="0.3999755851924192"/>
      </left>
      <right/>
      <top style="thin">
        <color theme="4" tint="0.3999755851924192"/>
      </top>
      <bottom style="thin">
        <color theme="4" tint="0.3999755851924192"/>
      </bottom>
      <diagonal/>
    </border>
    <border>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s>
  <cellStyleXfs count="1">
    <xf numFmtId="0" fontId="0" fillId="0" borderId="0"/>
  </cellStyleXfs>
  <cellXfs count="64">
    <xf numFmtId="0" fontId="0" fillId="0" borderId="0" xfId="0"/>
    <xf numFmtId="0" fontId="1" fillId="0" borderId="0" xfId="0" applyFont="1"/>
    <xf numFmtId="0" fontId="2" fillId="0" borderId="0" xfId="0" applyFont="1" applyAlignment="1">
      <alignment horizontal="center"/>
    </xf>
    <xf numFmtId="164" fontId="2" fillId="0" borderId="0" xfId="0" applyNumberFormat="1" applyFont="1" applyAlignment="1">
      <alignment horizontal="center"/>
    </xf>
    <xf numFmtId="0" fontId="3" fillId="0" borderId="0" xfId="0" applyFont="1"/>
    <xf numFmtId="0" fontId="2" fillId="0" borderId="0" xfId="0" applyFont="1" applyAlignment="1">
      <alignment horizontal="left" vertical="top" wrapText="1"/>
    </xf>
    <xf numFmtId="0" fontId="2" fillId="0" borderId="0" xfId="0" applyFont="1" applyAlignment="1">
      <alignment vertical="top" wrapText="1"/>
    </xf>
    <xf numFmtId="0" fontId="4" fillId="0" borderId="0" xfId="0" applyFont="1" applyAlignment="1">
      <alignment wrapText="1"/>
    </xf>
    <xf numFmtId="0" fontId="2" fillId="0" borderId="0" xfId="0" applyFont="1" applyAlignment="1">
      <alignment wrapText="1"/>
    </xf>
    <xf numFmtId="0" fontId="2" fillId="0" borderId="0" xfId="0" applyFont="1" applyAlignment="1">
      <alignment vertical="top"/>
    </xf>
    <xf numFmtId="165" fontId="5" fillId="2" borderId="1" xfId="0" applyNumberFormat="1" applyFont="1" applyFill="1" applyBorder="1"/>
    <xf numFmtId="165" fontId="5" fillId="2" borderId="1" xfId="0" applyNumberFormat="1" applyFont="1" applyFill="1" applyBorder="1" applyAlignment="1">
      <alignment wrapText="1"/>
    </xf>
    <xf numFmtId="164" fontId="2" fillId="0" borderId="2" xfId="0" applyNumberFormat="1" applyFont="1" applyBorder="1"/>
    <xf numFmtId="14" fontId="2" fillId="0" borderId="2" xfId="0" applyNumberFormat="1" applyFont="1" applyBorder="1"/>
    <xf numFmtId="14" fontId="2" fillId="0" borderId="2" xfId="0" applyNumberFormat="1" applyFont="1" applyBorder="1" applyAlignment="1">
      <alignment horizontal="center"/>
    </xf>
    <xf numFmtId="0" fontId="2" fillId="0" borderId="2" xfId="0" applyFont="1" applyBorder="1" applyAlignment="1">
      <alignment horizontal="center"/>
    </xf>
    <xf numFmtId="0" fontId="2" fillId="0" borderId="2" xfId="0" applyFont="1" applyBorder="1"/>
    <xf numFmtId="0" fontId="6" fillId="0" borderId="3" xfId="0" applyFont="1" applyBorder="1"/>
    <xf numFmtId="0" fontId="7" fillId="0" borderId="4" xfId="0" applyFont="1" applyBorder="1"/>
    <xf numFmtId="0" fontId="7" fillId="0" borderId="5" xfId="0" applyFont="1" applyBorder="1"/>
    <xf numFmtId="0" fontId="7" fillId="0" borderId="0" xfId="0" applyFont="1"/>
    <xf numFmtId="0" fontId="1" fillId="0" borderId="0" xfId="0" applyFont="1" applyAlignment="1">
      <alignment horizontal="left"/>
    </xf>
    <xf numFmtId="0" fontId="2" fillId="0" borderId="0" xfId="0" applyFont="1" applyAlignment="1">
      <alignment horizontal="left"/>
    </xf>
    <xf numFmtId="0" fontId="8" fillId="0" borderId="0" xfId="0" applyFont="1"/>
    <xf numFmtId="0" fontId="2" fillId="0" borderId="6" xfId="0" applyFont="1" applyBorder="1"/>
    <xf numFmtId="0" fontId="2" fillId="0" borderId="6" xfId="0" applyFont="1" applyBorder="1" applyAlignment="1">
      <alignment horizontal="right"/>
    </xf>
    <xf numFmtId="0" fontId="6" fillId="0" borderId="7" xfId="0" applyFont="1" applyBorder="1"/>
    <xf numFmtId="0" fontId="8" fillId="0" borderId="8" xfId="0" applyFont="1" applyBorder="1"/>
    <xf numFmtId="2" fontId="8" fillId="0" borderId="8" xfId="0" applyNumberFormat="1" applyFont="1" applyBorder="1"/>
    <xf numFmtId="0" fontId="8" fillId="0" borderId="9" xfId="0" applyFont="1" applyBorder="1"/>
    <xf numFmtId="0" fontId="2" fillId="0" borderId="0" xfId="0" applyFont="1" applyAlignment="1">
      <alignment horizontal="center" vertical="center" wrapText="1"/>
    </xf>
    <xf numFmtId="0" fontId="9" fillId="2" borderId="6" xfId="0" applyFont="1" applyFill="1" applyBorder="1" applyAlignment="1">
      <alignment horizontal="center" vertical="center" wrapText="1"/>
    </xf>
    <xf numFmtId="0" fontId="9" fillId="2" borderId="6" xfId="0" applyFont="1" applyFill="1" applyBorder="1" applyAlignment="1">
      <alignment horizontal="center" vertical="center"/>
    </xf>
    <xf numFmtId="0" fontId="9" fillId="2" borderId="10" xfId="0" applyFont="1" applyFill="1" applyBorder="1" applyAlignment="1">
      <alignment horizontal="center"/>
    </xf>
    <xf numFmtId="0" fontId="10" fillId="0" borderId="11" xfId="0" applyFont="1" applyBorder="1"/>
    <xf numFmtId="0" fontId="10" fillId="0" borderId="12" xfId="0" applyFont="1" applyBorder="1"/>
    <xf numFmtId="0" fontId="10" fillId="0" borderId="2" xfId="0" applyFont="1" applyBorder="1"/>
    <xf numFmtId="0" fontId="9" fillId="2" borderId="13" xfId="0" applyFont="1" applyFill="1" applyBorder="1" applyAlignment="1">
      <alignment horizontal="center"/>
    </xf>
    <xf numFmtId="0" fontId="2" fillId="0" borderId="6" xfId="0" applyFont="1" applyBorder="1" applyAlignment="1">
      <alignment horizontal="left"/>
    </xf>
    <xf numFmtId="0" fontId="2" fillId="0" borderId="6" xfId="0" applyFont="1" applyBorder="1" applyAlignment="1">
      <alignment horizontal="center"/>
    </xf>
    <xf numFmtId="10" fontId="2" fillId="0" borderId="6" xfId="0" applyNumberFormat="1" applyFont="1" applyBorder="1" applyAlignment="1">
      <alignment horizontal="center"/>
    </xf>
    <xf numFmtId="10" fontId="2" fillId="3" borderId="6" xfId="0" applyNumberFormat="1" applyFont="1" applyFill="1" applyBorder="1" applyAlignment="1">
      <alignment horizontal="center"/>
    </xf>
    <xf numFmtId="2" fontId="2" fillId="0" borderId="6" xfId="0" applyNumberFormat="1" applyFont="1" applyBorder="1" applyAlignment="1">
      <alignment horizontal="center"/>
    </xf>
    <xf numFmtId="0" fontId="6" fillId="0" borderId="14" xfId="0" applyFont="1" applyBorder="1"/>
    <xf numFmtId="0" fontId="2" fillId="0" borderId="4" xfId="0" applyFont="1" applyBorder="1" applyAlignment="1">
      <alignment horizontal="center"/>
    </xf>
    <xf numFmtId="10" fontId="2" fillId="0" borderId="4" xfId="0" applyNumberFormat="1" applyFont="1" applyBorder="1" applyAlignment="1">
      <alignment horizontal="center"/>
    </xf>
    <xf numFmtId="1" fontId="2" fillId="0" borderId="4" xfId="0" applyNumberFormat="1" applyFont="1" applyBorder="1" applyAlignment="1">
      <alignment horizontal="center"/>
    </xf>
    <xf numFmtId="1" fontId="2" fillId="0" borderId="15" xfId="0" applyNumberFormat="1" applyFont="1" applyBorder="1" applyAlignment="1">
      <alignment horizontal="center"/>
    </xf>
    <xf numFmtId="0" fontId="9" fillId="2" borderId="6" xfId="0" applyFont="1" applyFill="1" applyBorder="1" applyAlignment="1">
      <alignment horizontal="left" vertical="center" wrapText="1"/>
    </xf>
    <xf numFmtId="0" fontId="9" fillId="2" borderId="6" xfId="0" applyFont="1" applyFill="1" applyBorder="1" applyAlignment="1">
      <alignment horizontal="center" wrapText="1"/>
    </xf>
    <xf numFmtId="0" fontId="2" fillId="0" borderId="15" xfId="0" applyFont="1" applyBorder="1" applyAlignment="1">
      <alignment horizontal="center"/>
    </xf>
    <xf numFmtId="0" fontId="9" fillId="2" borderId="13" xfId="0" applyFont="1" applyFill="1" applyBorder="1" applyAlignment="1">
      <alignment horizontal="left" vertical="center" wrapText="1"/>
    </xf>
    <xf numFmtId="0" fontId="3" fillId="4" borderId="16" xfId="0" applyFont="1" applyFill="1" applyBorder="1" applyAlignment="1">
      <alignment vertical="center" wrapText="1"/>
    </xf>
    <xf numFmtId="0" fontId="3" fillId="4" borderId="0" xfId="0" applyFont="1" applyFill="1" applyAlignment="1">
      <alignment vertical="center" wrapText="1"/>
    </xf>
    <xf numFmtId="0" fontId="3" fillId="4" borderId="17" xfId="0" applyFont="1" applyFill="1" applyBorder="1" applyAlignment="1">
      <alignment vertical="center" wrapText="1"/>
    </xf>
    <xf numFmtId="0" fontId="3" fillId="0" borderId="18" xfId="0" applyFont="1" applyBorder="1" applyAlignment="1">
      <alignment vertical="center" wrapText="1"/>
    </xf>
    <xf numFmtId="0" fontId="3" fillId="0" borderId="19" xfId="0" applyFont="1" applyBorder="1" applyAlignment="1">
      <alignment vertical="center" wrapText="1"/>
    </xf>
    <xf numFmtId="0" fontId="3" fillId="0" borderId="20" xfId="0" applyFont="1" applyBorder="1" applyAlignment="1">
      <alignment vertical="center" wrapText="1"/>
    </xf>
    <xf numFmtId="0" fontId="3" fillId="4" borderId="18" xfId="0" applyFont="1" applyFill="1" applyBorder="1" applyAlignment="1">
      <alignment vertical="center" wrapText="1"/>
    </xf>
    <xf numFmtId="0" fontId="3" fillId="4" borderId="19" xfId="0" applyFont="1" applyFill="1" applyBorder="1" applyAlignment="1">
      <alignment vertical="center" wrapText="1"/>
    </xf>
    <xf numFmtId="0" fontId="3" fillId="4" borderId="20" xfId="0" applyFont="1" applyFill="1" applyBorder="1" applyAlignment="1">
      <alignment vertical="center" wrapText="1"/>
    </xf>
    <xf numFmtId="0" fontId="3" fillId="0" borderId="21" xfId="0" applyFont="1" applyBorder="1" applyAlignment="1">
      <alignment vertical="center" wrapText="1"/>
    </xf>
    <xf numFmtId="0" fontId="3" fillId="0" borderId="22" xfId="0" applyFont="1" applyBorder="1" applyAlignment="1">
      <alignment vertical="center" wrapText="1"/>
    </xf>
    <xf numFmtId="0" fontId="3" fillId="0" borderId="23" xfId="0" applyFont="1" applyBorder="1" applyAlignment="1">
      <alignment vertical="center" wrapText="1"/>
    </xf>
  </cellXfs>
  <cellStyles count="1">
    <cellStyle name="Normal" xfId="0" builtinId="0"/>
  </cellStyles>
  <dxfs count="3">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0"/>
  <sheetViews>
    <sheetView workbookViewId="0" showGridLines="0" zoomScale="100" zoomScaleNormal="100">
      <pane ySplit="8" topLeftCell="A9" activePane="bottomLeft" state="frozen"/>
      <selection pane="bottomLeft" activeCell="A9" sqref="A9"/>
    </sheetView>
  </sheetViews>
  <sheetFormatPr defaultRowHeight="15" outlineLevelRow="0" outlineLevelCol="0" x14ac:dyDescent="0.2" defaultColWidth="11.1640625"/>
  <cols>
    <col min="1" max="1" width="34.5" customWidth="1"/>
    <col min="2" max="2" width="10" customWidth="1"/>
    <col min="3" max="4" width="27" customWidth="1"/>
    <col min="5" max="5" width="15.1640625" customWidth="1"/>
    <col min="6" max="6" width="31.1640625" customWidth="1"/>
    <col min="7" max="10" width="19" customWidth="1"/>
    <col min="11" max="11" width="14.6640625" customWidth="1"/>
    <col min="12" max="13" width="14.33203125" customWidth="1"/>
    <col min="14" max="14" width="22.33203125" customWidth="1"/>
    <col min="15" max="15" width="14.33203125" customWidth="1"/>
    <col min="16" max="16" width="13.1640625" customWidth="1"/>
    <col min="17" max="17" width="10.5" customWidth="1"/>
    <col min="18" max="18" width="18.1640625" customWidth="1"/>
    <col min="19" max="19" width="11" customWidth="1"/>
    <col min="20" max="20" width="14" customWidth="1"/>
    <col min="21" max="21" width="11.1640625" customWidth="1"/>
  </cols>
  <sheetData>
    <row r="1" ht="27.75" customHeight="1" spans="1:19" x14ac:dyDescent="0.25">
      <c r="A1" s="1" t="s">
        <v>0</v>
      </c>
      <c r="C1" s="1"/>
      <c r="D1" s="1"/>
      <c r="E1" s="1"/>
      <c r="F1" s="1"/>
      <c r="K1" s="2"/>
      <c r="L1" s="3"/>
      <c r="M1" s="2"/>
      <c r="N1" s="2"/>
      <c r="O1" s="2"/>
      <c r="P1" s="2"/>
      <c r="Q1" s="2"/>
      <c r="R1" s="2"/>
      <c r="S1" s="3"/>
    </row>
    <row r="2" ht="15" customHeight="1" spans="1:19" x14ac:dyDescent="0.25">
      <c r="A2" s="4" t="s">
        <v>1</v>
      </c>
      <c r="F2" s="5" t="s">
        <v>2</v>
      </c>
      <c r="G2" s="5"/>
      <c r="H2" s="5"/>
      <c r="I2" s="6"/>
      <c r="K2" s="2"/>
      <c r="L2" s="3"/>
      <c r="M2" s="2"/>
      <c r="N2" s="2"/>
      <c r="O2" s="2"/>
      <c r="P2" s="2"/>
      <c r="Q2" s="2"/>
      <c r="R2" s="2"/>
      <c r="S2" s="3"/>
    </row>
    <row r="3" ht="15.75" customHeight="1" spans="1:19" x14ac:dyDescent="0.25">
      <c r="A3" s="4" t="s">
        <v>3</v>
      </c>
      <c r="D3" s="7"/>
      <c r="E3" s="7"/>
      <c r="F3" s="5"/>
      <c r="G3" s="5"/>
      <c r="H3" s="5"/>
      <c r="I3" s="6"/>
      <c r="K3" s="2"/>
      <c r="L3" s="3"/>
      <c r="M3" s="2"/>
      <c r="N3" s="2"/>
      <c r="O3" s="2"/>
      <c r="P3" s="2"/>
      <c r="Q3" s="2"/>
      <c r="R3" s="2"/>
      <c r="S3" s="3"/>
    </row>
    <row r="4" ht="15.75" customHeight="1" spans="1:19" x14ac:dyDescent="0.25">
      <c r="A4" s="4" t="s">
        <v>4</v>
      </c>
      <c r="F4" s="5"/>
      <c r="G4" s="5"/>
      <c r="H4" s="5"/>
      <c r="I4" s="6"/>
      <c r="K4" s="2"/>
      <c r="L4" s="3"/>
      <c r="M4" s="2"/>
      <c r="N4" s="2"/>
      <c r="O4" s="2"/>
      <c r="P4" s="2"/>
      <c r="Q4" s="2"/>
      <c r="R4" s="2"/>
      <c r="S4" s="3"/>
    </row>
    <row r="5" ht="15.75" customHeight="1" spans="1:19" x14ac:dyDescent="0.25">
      <c r="A5" s="8" t="s">
        <v>5</v>
      </c>
      <c r="F5" s="5"/>
      <c r="G5" s="5"/>
      <c r="H5" s="5"/>
      <c r="I5" s="6"/>
      <c r="K5" s="2"/>
      <c r="L5" s="3"/>
      <c r="M5" s="2"/>
      <c r="N5" s="2"/>
      <c r="O5" s="2"/>
      <c r="P5" s="2"/>
      <c r="Q5" s="2"/>
      <c r="R5" s="2"/>
      <c r="S5" s="3"/>
    </row>
    <row r="6" ht="15.75" customHeight="1" spans="1:19" x14ac:dyDescent="0.25">
      <c r="A6" s="4" t="s">
        <v>6</v>
      </c>
      <c r="F6" s="5"/>
      <c r="G6" s="5"/>
      <c r="H6" s="5"/>
      <c r="K6" s="2"/>
      <c r="L6" s="3"/>
      <c r="M6" s="2"/>
      <c r="N6" s="2"/>
      <c r="O6" s="2"/>
      <c r="P6" s="2"/>
      <c r="Q6" s="2"/>
      <c r="R6" s="2"/>
      <c r="S6" s="3"/>
    </row>
    <row r="7" ht="15.75" customHeight="1" spans="1:19" x14ac:dyDescent="0.25">
      <c r="A7" s="4" t="s">
        <v>7</v>
      </c>
      <c r="D7" s="9"/>
      <c r="E7" s="8"/>
      <c r="K7" s="2"/>
      <c r="L7" s="3"/>
      <c r="M7" s="2"/>
      <c r="N7" s="2"/>
      <c r="O7" s="2"/>
      <c r="P7" s="2"/>
      <c r="Q7" s="2"/>
      <c r="R7" s="2"/>
      <c r="S7" s="3"/>
    </row>
    <row r="8" ht="67.5" customHeight="1" spans="1:21" x14ac:dyDescent="0.25">
      <c r="A8" s="10" t="s">
        <v>8</v>
      </c>
      <c r="B8" s="10" t="s">
        <v>9</v>
      </c>
      <c r="C8" s="10" t="s">
        <v>10</v>
      </c>
      <c r="D8" s="10" t="s">
        <v>11</v>
      </c>
      <c r="E8" s="10" t="s">
        <v>12</v>
      </c>
      <c r="F8" s="10" t="s">
        <v>13</v>
      </c>
      <c r="G8" s="10" t="s">
        <v>14</v>
      </c>
      <c r="H8" s="10" t="s">
        <v>15</v>
      </c>
      <c r="I8" s="10" t="s">
        <v>16</v>
      </c>
      <c r="J8" s="10" t="s">
        <v>17</v>
      </c>
      <c r="K8" s="10" t="s">
        <v>18</v>
      </c>
      <c r="L8" s="11" t="s">
        <v>19</v>
      </c>
      <c r="M8" s="11" t="s">
        <v>20</v>
      </c>
      <c r="N8" s="11" t="s">
        <v>21</v>
      </c>
      <c r="O8" s="11" t="s">
        <v>22</v>
      </c>
      <c r="P8" s="11" t="s">
        <v>23</v>
      </c>
      <c r="Q8" s="11" t="s">
        <v>24</v>
      </c>
      <c r="R8" s="11" t="s">
        <v>25</v>
      </c>
      <c r="S8" s="11" t="s">
        <v>26</v>
      </c>
      <c r="T8" s="10" t="s">
        <v>27</v>
      </c>
      <c r="U8" s="10" t="s">
        <v>28</v>
      </c>
    </row>
    <row r="9" ht="15.75" customHeight="1" spans="1:21" x14ac:dyDescent="0.25">
      <c r="A9" s="12" t="s">
        <v>29</v>
      </c>
      <c r="B9" s="12" t="s">
        <v>30</v>
      </c>
      <c r="C9" s="12" t="s">
        <v>31</v>
      </c>
      <c r="D9" s="12" t="s">
        <v>32</v>
      </c>
      <c r="E9" s="12" t="s">
        <v>33</v>
      </c>
      <c r="F9" s="12" t="s">
        <v>34</v>
      </c>
      <c r="G9" s="13" t="s">
        <v>35</v>
      </c>
      <c r="H9" s="12" t="s">
        <v>36</v>
      </c>
      <c r="I9" s="12" t="s">
        <v>37</v>
      </c>
      <c r="J9" s="13" t="s">
        <v>38</v>
      </c>
      <c r="K9" s="14" t="s">
        <v>39</v>
      </c>
      <c r="L9" s="14" t="s">
        <v>40</v>
      </c>
      <c r="M9" s="15" t="s">
        <v>41</v>
      </c>
      <c r="N9" s="15" t="s">
        <v>42</v>
      </c>
      <c r="O9" s="15" t="s">
        <v>43</v>
      </c>
      <c r="P9" s="15" t="s">
        <v>44</v>
      </c>
      <c r="Q9" s="15" t="s">
        <v>45</v>
      </c>
      <c r="R9" s="15" t="s">
        <v>46</v>
      </c>
      <c r="S9" s="14" t="s">
        <v>47</v>
      </c>
      <c r="T9" s="16" t="s">
        <v>48</v>
      </c>
      <c r="U9" s="16" t="s">
        <v>49</v>
      </c>
    </row>
    <row r="10" ht="15.75" customHeight="1" spans="1:22" x14ac:dyDescent="0.25">
      <c r="A10" s="17" t="s">
        <v>50</v>
      </c>
      <c r="B10" s="18"/>
      <c r="C10" s="18"/>
      <c r="D10" s="18"/>
      <c r="E10" s="18"/>
      <c r="F10" s="18"/>
      <c r="G10" s="18"/>
      <c r="H10" s="18"/>
      <c r="I10" s="18"/>
      <c r="J10" s="18"/>
      <c r="K10" s="18"/>
      <c r="L10" s="18"/>
      <c r="M10" s="18"/>
      <c r="N10" s="18"/>
      <c r="O10" s="18"/>
      <c r="P10" s="18"/>
      <c r="Q10" s="18"/>
      <c r="R10" s="18"/>
      <c r="S10" s="18"/>
      <c r="T10" s="18">
        <f>SUM(T$9:T9)</f>
      </c>
      <c r="U10" s="19">
        <f>SUM(U$9:U9)</f>
      </c>
      <c r="V10" s="20" t="s">
        <v>51</v>
      </c>
    </row>
  </sheetData>
  <mergeCells count="2">
    <mergeCell ref="F2:H6"/>
    <mergeCell ref="D3:E3"/>
  </mergeCells>
  <pageMargins left="0.7875" right="0.7875" top="1.05277777777778" bottom="1.05277777777778" header="0" footer="0"/>
  <pageSetup orientation="portrait" horizontalDpi="4294967295" verticalDpi="4294967295" scale="100" fitToWidth="1" fitToHeight="1" firstPageNumber="1" useFirstPageNumber="1" copies="1"/>
  <headerFooter>
    <oddHeader>&amp;Cffffff&amp;A</oddHeader>
    <oddFooter>&amp;CffffffPage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000"/>
  <sheetViews>
    <sheetView workbookViewId="0" showGridLines="0" zoomScale="100" zoomScaleNormal="100">
      <pane ySplit="8" topLeftCell="A9" activePane="bottomLeft" state="frozen"/>
      <selection pane="bottomLeft" activeCell="A9" sqref="A9"/>
    </sheetView>
  </sheetViews>
  <sheetFormatPr defaultRowHeight="15" outlineLevelRow="0" outlineLevelCol="0" x14ac:dyDescent="0.2" defaultColWidth="11.1640625"/>
  <cols>
    <col min="1" max="1" width="21.6640625" customWidth="1"/>
    <col min="2" max="2" width="17.33203125" customWidth="1"/>
    <col min="3" max="3" width="21.6640625" customWidth="1"/>
    <col min="4" max="4" width="31.33203125" customWidth="1"/>
    <col min="5" max="5" width="19.6640625" customWidth="1"/>
    <col min="6" max="6" width="32" customWidth="1"/>
    <col min="7" max="7" width="15.33203125" customWidth="1"/>
    <col min="8" max="8" width="18.83203125" customWidth="1"/>
    <col min="9" max="9" width="25.1640625" customWidth="1"/>
  </cols>
  <sheetData>
    <row r="1" ht="25.5" customHeight="1" spans="1:4" x14ac:dyDescent="0.25">
      <c r="A1" s="21" t="s">
        <v>52</v>
      </c>
      <c r="B1" s="1"/>
      <c r="C1" s="1"/>
      <c r="D1" s="1"/>
    </row>
    <row r="2" ht="15.75" customHeight="1" spans="1:7" x14ac:dyDescent="0.25">
      <c r="A2" s="4" t="s">
        <v>1</v>
      </c>
      <c r="C2" s="22" t="s">
        <v>53</v>
      </c>
      <c r="D2" s="23"/>
      <c r="E2" s="23"/>
      <c r="F2" s="23"/>
      <c r="G2" s="23"/>
    </row>
    <row r="3" ht="15" customHeight="1" spans="1:1" x14ac:dyDescent="0.25">
      <c r="A3" s="4" t="s">
        <v>3</v>
      </c>
    </row>
    <row r="4" ht="15.75" customHeight="1" spans="1:1" x14ac:dyDescent="0.25">
      <c r="A4" s="22" t="s">
        <v>4</v>
      </c>
    </row>
    <row r="5" ht="15.75" customHeight="1" spans="1:1" x14ac:dyDescent="0.25">
      <c r="A5" s="22" t="s">
        <v>5</v>
      </c>
    </row>
    <row r="6" ht="15.75" customHeight="1" spans="1:4" x14ac:dyDescent="0.25">
      <c r="A6" s="4" t="s">
        <v>6</v>
      </c>
      <c r="C6" s="9"/>
      <c r="D6" s="8"/>
    </row>
    <row r="7" ht="15.75" customHeight="1" spans="1:4" x14ac:dyDescent="0.25">
      <c r="A7" s="4" t="s">
        <v>7</v>
      </c>
      <c r="C7" s="9"/>
      <c r="D7" s="8"/>
    </row>
    <row r="8" ht="54" customHeight="1" spans="1:9" x14ac:dyDescent="0.25">
      <c r="A8" s="10" t="s">
        <v>8</v>
      </c>
      <c r="B8" s="10" t="s">
        <v>54</v>
      </c>
      <c r="C8" s="10" t="s">
        <v>55</v>
      </c>
      <c r="D8" s="10" t="s">
        <v>56</v>
      </c>
      <c r="E8" s="10" t="s">
        <v>57</v>
      </c>
      <c r="F8" s="10" t="s">
        <v>58</v>
      </c>
      <c r="G8" s="10" t="s">
        <v>59</v>
      </c>
      <c r="H8" s="10" t="s">
        <v>60</v>
      </c>
      <c r="I8" s="10" t="s">
        <v>61</v>
      </c>
    </row>
    <row r="9" ht="15.75" customHeight="1" spans="1:9" x14ac:dyDescent="0.25">
      <c r="A9" s="24" t="s">
        <v>29</v>
      </c>
      <c r="B9" s="24" t="s">
        <v>62</v>
      </c>
      <c r="C9" s="25" t="s">
        <v>63</v>
      </c>
      <c r="D9" s="24" t="s">
        <v>64</v>
      </c>
      <c r="E9" s="24" t="s">
        <v>65</v>
      </c>
      <c r="F9" s="24" t="s">
        <v>66</v>
      </c>
      <c r="G9" s="24" t="s">
        <v>67</v>
      </c>
      <c r="H9" s="24" t="s">
        <v>68</v>
      </c>
      <c r="I9" s="24" t="s">
        <v>69</v>
      </c>
    </row>
    <row r="10" ht="15.75" customHeight="1" spans="1:9" x14ac:dyDescent="0.25">
      <c r="A10" s="26" t="s">
        <v>50</v>
      </c>
      <c r="B10" s="27"/>
      <c r="C10" s="28" t="e">
        <f>AVERAGE(C$9:C9)</f>
        <v>#DIV/0!</v>
      </c>
      <c r="D10" s="27">
        <f>SUM(D$9:D9)</f>
        <v>0</v>
      </c>
      <c r="E10" s="27">
        <f>SUM(E$9:E9)</f>
        <v>0</v>
      </c>
      <c r="F10" s="27">
        <f>SUM(F$9:F9)</f>
        <v>0</v>
      </c>
      <c r="G10" s="28" t="e">
        <f>AVERAGE(G$9:G9)</f>
        <v>#DIV/0!</v>
      </c>
      <c r="H10" s="27">
        <f>SUM(H$9:H9)</f>
        <v>0</v>
      </c>
      <c r="I10" s="29">
        <f>SUM(I$9:I9)</f>
        <v>0</v>
      </c>
    </row>
    <row r="11" ht="15.75" customHeight="1" x14ac:dyDescent="0.25"/>
    <row r="12" ht="15.75" customHeight="1" x14ac:dyDescent="0.25"/>
    <row r="13" ht="15.75" customHeight="1" x14ac:dyDescent="0.25"/>
    <row r="14" ht="15.75" customHeight="1" x14ac:dyDescent="0.25"/>
    <row r="15" ht="15.75" customHeight="1" x14ac:dyDescent="0.25"/>
    <row r="16"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C2:G2"/>
  </mergeCells>
  <pageMargins left="0.7" right="0.7" top="0.75" bottom="0.75" header="0" footer="0"/>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F1000"/>
  <sheetViews>
    <sheetView workbookViewId="0" showGridLines="0" zoomScale="100" zoomScaleNormal="100">
      <selection activeCell="A10" sqref="A10"/>
    </sheetView>
  </sheetViews>
  <sheetFormatPr defaultRowHeight="15" outlineLevelRow="0" outlineLevelCol="0" x14ac:dyDescent="0.2" defaultColWidth="11.1640625"/>
  <cols>
    <col min="1" max="1" width="33.1640625" customWidth="1"/>
    <col min="2" max="2" width="8.5" customWidth="1"/>
    <col min="3" max="3" width="12.6640625" customWidth="1"/>
    <col min="4" max="4" width="7.33203125" customWidth="1"/>
    <col min="5" max="5" width="12.5" customWidth="1"/>
    <col min="6" max="6" width="13.5" customWidth="1"/>
    <col min="7" max="7" width="14.1640625" customWidth="1"/>
    <col min="8" max="8" width="13.33203125" customWidth="1"/>
    <col min="9" max="9" width="12.5" customWidth="1"/>
    <col min="10" max="10" width="12.6640625" customWidth="1"/>
    <col min="11" max="11" width="14.1640625" customWidth="1"/>
    <col min="12" max="13" width="16.1640625" customWidth="1"/>
    <col min="14" max="14" width="18.1640625" customWidth="1"/>
    <col min="15" max="15" width="19.83203125" customWidth="1"/>
    <col min="16" max="16" width="17" customWidth="1"/>
    <col min="17" max="17" width="18.33203125" customWidth="1"/>
    <col min="18" max="20" width="12.5" customWidth="1"/>
    <col min="21" max="28" width="8.6640625" customWidth="1"/>
    <col min="29" max="29" width="12.1640625" customWidth="1"/>
    <col min="30" max="31" width="14.1640625" customWidth="1"/>
    <col min="32" max="32" width="15.5" customWidth="1"/>
  </cols>
  <sheetData>
    <row r="1" ht="21.75" customHeight="1" spans="1:32" x14ac:dyDescent="0.25">
      <c r="A1" s="1" t="s">
        <v>70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row>
    <row r="2" ht="15.75" customHeight="1" spans="1:32" x14ac:dyDescent="0.25">
      <c r="A2" s="4" t="s">
        <v>1</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ht="15.75" customHeight="1" spans="1:32" x14ac:dyDescent="0.25">
      <c r="A3" s="4" t="s">
        <v>3</v>
      </c>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row>
    <row r="4" ht="15.75" customHeight="1" spans="1:32" x14ac:dyDescent="0.25">
      <c r="A4" s="22" t="s">
        <v>4</v>
      </c>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row>
    <row r="5" ht="15.75" customHeight="1" spans="1:32" x14ac:dyDescent="0.25">
      <c r="A5" s="22"/>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row>
    <row r="6" ht="15.75" customHeight="1" spans="1:32" x14ac:dyDescent="0.25">
      <c r="A6" s="4"/>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row>
    <row r="7" ht="15.75" customHeight="1" spans="1:32" x14ac:dyDescent="0.25">
      <c r="A7" s="30" t="s">
        <v>7</v>
      </c>
      <c r="B7" s="2">
        <v>2</v>
      </c>
      <c r="C7" s="2"/>
      <c r="D7" s="2"/>
      <c r="E7" s="2"/>
      <c r="F7" s="2"/>
      <c r="G7" s="2"/>
      <c r="H7" s="2"/>
      <c r="I7" s="2"/>
      <c r="J7" s="2"/>
      <c r="K7" s="2"/>
      <c r="L7" s="2"/>
      <c r="M7" s="2"/>
      <c r="N7" s="2"/>
      <c r="O7" s="2"/>
      <c r="P7" s="2"/>
      <c r="Q7" s="2"/>
      <c r="R7" s="2"/>
      <c r="S7" s="2"/>
      <c r="T7" s="2"/>
      <c r="U7" s="2"/>
      <c r="V7" s="2"/>
      <c r="W7" s="2"/>
      <c r="X7" s="2"/>
      <c r="Y7" s="2"/>
      <c r="Z7" s="2"/>
      <c r="AA7" s="2"/>
      <c r="AB7" s="2"/>
      <c r="AC7" s="2"/>
      <c r="AD7" s="2"/>
      <c r="AE7" s="2"/>
      <c r="AF7" s="2"/>
    </row>
    <row r="8" ht="15" customHeight="1" spans="1:32" x14ac:dyDescent="0.25">
      <c r="A8" s="31" t="s">
        <v>9</v>
      </c>
      <c r="B8" s="32" t="s">
        <v>71</v>
      </c>
      <c r="C8" s="32" t="s">
        <v>72</v>
      </c>
      <c r="D8" s="32" t="s">
        <v>73</v>
      </c>
      <c r="E8" s="32" t="s">
        <v>74</v>
      </c>
      <c r="F8" s="32" t="s">
        <v>75</v>
      </c>
      <c r="G8" s="32" t="s">
        <v>76</v>
      </c>
      <c r="H8" s="32" t="s">
        <v>77</v>
      </c>
      <c r="I8" s="32" t="s">
        <v>78</v>
      </c>
      <c r="J8" s="32" t="s">
        <v>79</v>
      </c>
      <c r="K8" s="32" t="s">
        <v>80</v>
      </c>
      <c r="L8" s="32" t="s">
        <v>81</v>
      </c>
      <c r="M8" s="32" t="s">
        <v>82</v>
      </c>
      <c r="N8" s="32" t="s">
        <v>83</v>
      </c>
      <c r="O8" s="32" t="s">
        <v>84</v>
      </c>
      <c r="P8" s="32" t="s">
        <v>85</v>
      </c>
      <c r="Q8" s="32" t="s">
        <v>86</v>
      </c>
      <c r="R8" s="32" t="s">
        <v>87</v>
      </c>
      <c r="S8" s="32" t="s">
        <v>88</v>
      </c>
      <c r="T8" s="32" t="s">
        <v>89</v>
      </c>
      <c r="U8" s="33" t="s">
        <v>90</v>
      </c>
      <c r="V8" s="34"/>
      <c r="W8" s="34"/>
      <c r="X8" s="34"/>
      <c r="Y8" s="34"/>
      <c r="Z8" s="34"/>
      <c r="AA8" s="34"/>
      <c r="AB8" s="34"/>
      <c r="AC8" s="35"/>
      <c r="AD8" s="31" t="s">
        <v>91</v>
      </c>
      <c r="AE8" s="31" t="s">
        <v>92</v>
      </c>
      <c r="AF8" s="31" t="s">
        <v>93</v>
      </c>
    </row>
    <row r="9" ht="31.5" customHeight="1" spans="1:32" x14ac:dyDescent="0.25">
      <c r="A9" s="36"/>
      <c r="B9" s="36"/>
      <c r="C9" s="36"/>
      <c r="D9" s="36"/>
      <c r="E9" s="36"/>
      <c r="F9" s="36"/>
      <c r="G9" s="36"/>
      <c r="H9" s="36"/>
      <c r="I9" s="36"/>
      <c r="J9" s="36"/>
      <c r="K9" s="36"/>
      <c r="L9" s="36"/>
      <c r="M9" s="36"/>
      <c r="N9" s="36"/>
      <c r="O9" s="36"/>
      <c r="P9" s="36"/>
      <c r="Q9" s="36"/>
      <c r="R9" s="36"/>
      <c r="S9" s="36"/>
      <c r="T9" s="36"/>
      <c r="U9" s="37">
        <v>5011</v>
      </c>
      <c r="V9" s="37">
        <v>5007</v>
      </c>
      <c r="W9" s="37">
        <v>5006</v>
      </c>
      <c r="X9" s="37">
        <v>2008</v>
      </c>
      <c r="Y9" s="37">
        <v>2005</v>
      </c>
      <c r="Z9" s="37">
        <v>2037</v>
      </c>
      <c r="AA9" s="37">
        <v>2025</v>
      </c>
      <c r="AB9" s="37">
        <v>2022</v>
      </c>
      <c r="AC9" s="37" t="s">
        <v>94</v>
      </c>
      <c r="AD9" s="36"/>
      <c r="AE9" s="36"/>
      <c r="AF9" s="36"/>
    </row>
    <row r="10" ht="15.75" customHeight="1" spans="1:32" x14ac:dyDescent="0.25">
      <c r="A10" s="38" t="s">
        <v>95</v>
      </c>
      <c r="B10" s="39" t="s">
        <v>96</v>
      </c>
      <c r="C10" s="39" t="s">
        <v>97</v>
      </c>
      <c r="D10" s="39" t="s">
        <v>98</v>
      </c>
      <c r="E10" s="39" t="s">
        <v>99</v>
      </c>
      <c r="F10" s="40">
        <f>IFERROR(IF(A10="No data","",IF(C10=0,0,D10/C10)),0)</f>
        <v>0</v>
      </c>
      <c r="G10" s="39" t="s">
        <v>48</v>
      </c>
      <c r="H10" s="41">
        <f>IFERROR(IF(A10="No data","",IF(B10&lt;&gt;0, G10/B10, 0)),0)</f>
        <v>0</v>
      </c>
      <c r="I10" s="39" t="s">
        <v>100</v>
      </c>
      <c r="J10" s="39" t="s">
        <v>101</v>
      </c>
      <c r="K10" s="39">
        <f>IFERROR(IF(A10="No data","",U10+V10+W10+X10+Y10+Z10+AA10+AB10+AC10+AD10),0)</f>
        <v>0</v>
      </c>
      <c r="L10" s="40">
        <f>IFERROR(IF(A10="No data","",IF(G10=0,0,I10/G10)),0)</f>
        <v>0</v>
      </c>
      <c r="M10" s="40">
        <f>IFERROR(IF(A10="No data","",IF(G10=0,0,J10/G10)),0)</f>
        <v>0</v>
      </c>
      <c r="N10" s="40">
        <f>IFERROR(IF(A10="No data","",IF(D10=0,0,I10/D10)),0)</f>
        <v>0</v>
      </c>
      <c r="O10" s="40">
        <f>IFERROR(IF(A10="No data","",IF(G10=0,0,K10/G10)),0)</f>
        <v>0</v>
      </c>
      <c r="P10" s="39" t="s">
        <v>102</v>
      </c>
      <c r="Q10" s="39" t="s">
        <v>103</v>
      </c>
      <c r="R10" s="39" t="s">
        <v>104</v>
      </c>
      <c r="S10" s="40">
        <f>IFERROR(IF(A10="No data","",IF(I10=0,0,R10/I10)),0)</f>
        <v>0</v>
      </c>
      <c r="T10" s="42" t="s">
        <v>105</v>
      </c>
      <c r="U10" s="39" t="s">
        <v>106</v>
      </c>
      <c r="V10" s="39" t="s">
        <v>107</v>
      </c>
      <c r="W10" s="39" t="s">
        <v>108</v>
      </c>
      <c r="X10" s="39" t="s">
        <v>109</v>
      </c>
      <c r="Y10" s="39" t="s">
        <v>110</v>
      </c>
      <c r="Z10" s="39" t="s">
        <v>111</v>
      </c>
      <c r="AA10" s="39" t="s">
        <v>112</v>
      </c>
      <c r="AB10" s="39" t="s">
        <v>113</v>
      </c>
      <c r="AC10" s="39" t="s">
        <v>114</v>
      </c>
      <c r="AD10" s="39" t="s">
        <v>115</v>
      </c>
      <c r="AE10" s="39" t="s">
        <v>116</v>
      </c>
      <c r="AF10" s="39">
        <f>IFERROR(IF(A10="No data","",U10+V10+W10+X10+Y10+Z10+AA10+AB10+AC10+AD10+AE10),0)</f>
        <v>0</v>
      </c>
    </row>
    <row r="11" ht="15.75" customHeight="1" spans="1:32" x14ac:dyDescent="0.25">
      <c r="A11" s="43" t="s">
        <v>50</v>
      </c>
      <c r="B11" s="44"/>
      <c r="C11" s="44"/>
      <c r="D11" s="44"/>
      <c r="E11" s="44"/>
      <c r="F11" s="45">
        <f>AVERAGE(F$10:F10)</f>
        <v>0</v>
      </c>
      <c r="G11" s="46">
        <f>SUM(G$10:G10)</f>
        <v>0</v>
      </c>
      <c r="H11" s="45">
        <f>AVERAGE(H$10:H10)</f>
        <v>0</v>
      </c>
      <c r="I11" s="46">
        <f>SUM(I$10:I10)</f>
        <v>0</v>
      </c>
      <c r="J11" s="46">
        <f>SUM(J$10:J10)</f>
        <v>0</v>
      </c>
      <c r="K11" s="46">
        <f>SUM(K$10:K10)</f>
        <v>0</v>
      </c>
      <c r="L11" s="45">
        <f>AVERAGE(L$10:L10)</f>
        <v>0</v>
      </c>
      <c r="M11" s="45">
        <f>AVERAGE(M$10:M10)</f>
        <v>0</v>
      </c>
      <c r="N11" s="45">
        <f>AVERAGE(N$10:N10)</f>
        <v>0</v>
      </c>
      <c r="O11" s="45">
        <f>AVERAGE(O$10:O10)</f>
        <v>0</v>
      </c>
      <c r="P11" s="46">
        <f>SUM(P$10:P10)</f>
        <v>0</v>
      </c>
      <c r="Q11" s="46">
        <f>SUM(Q$10:Q10)</f>
        <v>0</v>
      </c>
      <c r="R11" s="46">
        <f>SUM(R$10:R10)</f>
        <v>0</v>
      </c>
      <c r="S11" s="45">
        <f>AVERAGE(S$10:S10)</f>
        <v>0</v>
      </c>
      <c r="T11" s="45" t="e">
        <f>AVERAGE(T$10:T10)</f>
        <v>#DIV/0!</v>
      </c>
      <c r="U11" s="46">
        <f>SUM(U$10:U10)</f>
        <v>0</v>
      </c>
      <c r="V11" s="46">
        <f>SUM(V$10:V10)</f>
        <v>0</v>
      </c>
      <c r="W11" s="46">
        <f>SUM(W$10:W10)</f>
        <v>0</v>
      </c>
      <c r="X11" s="46">
        <f>SUM(X$10:X10)</f>
        <v>0</v>
      </c>
      <c r="Y11" s="46">
        <f>SUM(Y$10:Y10)</f>
        <v>0</v>
      </c>
      <c r="Z11" s="46">
        <f>SUM(Z$10:Z10)</f>
        <v>0</v>
      </c>
      <c r="AA11" s="46">
        <f>SUM(AA$10:AA10)</f>
        <v>0</v>
      </c>
      <c r="AB11" s="46">
        <f>SUM(AB$10:AB10)</f>
        <v>0</v>
      </c>
      <c r="AC11" s="46">
        <f>SUM(AC$10:AC10)</f>
        <v>0</v>
      </c>
      <c r="AD11" s="46">
        <f>SUM(AD$10:AD10)</f>
        <v>0</v>
      </c>
      <c r="AE11" s="46">
        <f>SUM(AE$10:AE10)</f>
        <v>0</v>
      </c>
      <c r="AF11" s="47">
        <f>SUM(AF$10:AF10)</f>
        <v>0</v>
      </c>
    </row>
    <row r="12" ht="15.75" customHeight="1" spans="2:32" x14ac:dyDescent="0.25">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row>
    <row r="13" ht="15.75" customHeight="1" spans="2:32" x14ac:dyDescent="0.25">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row>
    <row r="14" ht="15.75" customHeight="1" spans="2:32" x14ac:dyDescent="0.25">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row>
    <row r="15" ht="15.75" customHeight="1" spans="2:32" x14ac:dyDescent="0.25">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row>
    <row r="16" ht="15.75" customHeight="1" spans="2:32" x14ac:dyDescent="0.25">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row>
    <row r="17" ht="15.75" customHeight="1" spans="2:32" x14ac:dyDescent="0.25">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row>
    <row r="18" ht="15.75" customHeight="1" spans="2:32" x14ac:dyDescent="0.25">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row>
    <row r="19" ht="15.75" customHeight="1" spans="2:32" x14ac:dyDescent="0.25">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row>
    <row r="20" ht="15.75" customHeight="1" spans="2:32" x14ac:dyDescent="0.25">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row>
    <row r="21" ht="15.75" customHeight="1" spans="2:32" x14ac:dyDescent="0.25">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row>
    <row r="22" ht="15.75" customHeight="1" spans="2:32" x14ac:dyDescent="0.25">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row>
    <row r="23" ht="15.75" customHeight="1" spans="2:32" x14ac:dyDescent="0.25">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row>
    <row r="24" ht="15.75" customHeight="1" spans="2:32" x14ac:dyDescent="0.25">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row>
    <row r="25" ht="15.75" customHeight="1" spans="2:32" x14ac:dyDescent="0.25">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ht="15.75" customHeight="1" spans="2:32" x14ac:dyDescent="0.25">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row>
    <row r="27" ht="15.75" customHeight="1" spans="2:32" x14ac:dyDescent="0.25">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row>
    <row r="28" ht="15.75" customHeight="1" spans="2:32" x14ac:dyDescent="0.25">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row>
    <row r="29" ht="15.75" customHeight="1" spans="2:32" x14ac:dyDescent="0.25">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row>
    <row r="30" ht="15.75" customHeight="1" spans="2:32" x14ac:dyDescent="0.25">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row>
    <row r="31" ht="15.75" customHeight="1" spans="2:32" x14ac:dyDescent="0.25">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row>
    <row r="32" ht="15.75" customHeight="1" spans="2:32" x14ac:dyDescent="0.25">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row>
    <row r="33" ht="15.75" customHeight="1" spans="2:32" x14ac:dyDescent="0.25">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row>
    <row r="34" ht="15.75" customHeight="1" spans="2:32" x14ac:dyDescent="0.25">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row>
    <row r="35" ht="15.75" customHeight="1" spans="2:32" x14ac:dyDescent="0.25">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row>
    <row r="36" ht="15.75" customHeight="1" spans="2:32" x14ac:dyDescent="0.25">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row>
    <row r="37" ht="15.75" customHeight="1" spans="2:32" x14ac:dyDescent="0.25">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row>
    <row r="38" ht="15.75" customHeight="1" spans="2:32" x14ac:dyDescent="0.25">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ht="15.75" customHeight="1" spans="2:32" x14ac:dyDescent="0.25">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row>
    <row r="40" ht="15.75" customHeight="1" spans="2:32" x14ac:dyDescent="0.25">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row>
    <row r="41" ht="15.75" customHeight="1" spans="2:32" x14ac:dyDescent="0.25">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row>
    <row r="42" ht="15.75" customHeight="1" spans="2:32" x14ac:dyDescent="0.25">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row>
    <row r="43" ht="15.75" customHeight="1" spans="2:32" x14ac:dyDescent="0.25">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row>
    <row r="44" ht="15.75" customHeight="1" spans="2:32" x14ac:dyDescent="0.25">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row>
    <row r="45" ht="15.75" customHeight="1" spans="2:32" x14ac:dyDescent="0.25">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row>
    <row r="46" ht="15.75" customHeight="1" spans="2:32" x14ac:dyDescent="0.25">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row>
    <row r="47" ht="15.75" customHeight="1" spans="2:32" x14ac:dyDescent="0.25">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row>
    <row r="48" ht="15.75" customHeight="1" spans="2:32" x14ac:dyDescent="0.25">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row>
    <row r="49" ht="15.75" customHeight="1" spans="2:32" x14ac:dyDescent="0.25">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row>
    <row r="50" ht="15.75" customHeight="1" spans="2:32" x14ac:dyDescent="0.25">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row>
    <row r="51" ht="15.75" customHeight="1" spans="2:32" x14ac:dyDescent="0.25">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row>
    <row r="52" ht="15.75" customHeight="1" spans="2:32" x14ac:dyDescent="0.25">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row>
    <row r="53" ht="15.75" customHeight="1" spans="2:32" x14ac:dyDescent="0.25">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row>
    <row r="54" ht="15.75" customHeight="1" spans="2:32" x14ac:dyDescent="0.25">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row>
    <row r="55" ht="15.75" customHeight="1" spans="2:32" x14ac:dyDescent="0.25">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row>
    <row r="56" ht="15.75" customHeight="1" spans="2:32" x14ac:dyDescent="0.25">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7" ht="15.75" customHeight="1" spans="2:32" x14ac:dyDescent="0.25">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row>
    <row r="58" ht="15.75" customHeight="1" spans="2:32" x14ac:dyDescent="0.25">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row>
    <row r="59" ht="15.75" customHeight="1" spans="2:32" x14ac:dyDescent="0.25">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row>
    <row r="60" ht="15.75" customHeight="1" spans="2:32" x14ac:dyDescent="0.25">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row>
    <row r="61" ht="15.75" customHeight="1" spans="2:32" x14ac:dyDescent="0.25">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row>
    <row r="62" ht="15.75" customHeight="1" spans="2:32" x14ac:dyDescent="0.25">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row>
    <row r="63" ht="15.75" customHeight="1" spans="2:32" x14ac:dyDescent="0.25">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row>
    <row r="64" ht="15.75" customHeight="1" spans="2:32" x14ac:dyDescent="0.25">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row>
    <row r="65" ht="15.75" customHeight="1" spans="2:32" x14ac:dyDescent="0.25">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row>
    <row r="66" ht="15.75" customHeight="1" spans="2:32" x14ac:dyDescent="0.25">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row>
    <row r="67" ht="15.75" customHeight="1" spans="2:32" x14ac:dyDescent="0.25">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row>
    <row r="68" ht="15.75" customHeight="1" spans="2:32" x14ac:dyDescent="0.25">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row>
    <row r="69" ht="15.75" customHeight="1" spans="2:32" x14ac:dyDescent="0.25">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row>
    <row r="70" ht="15.75" customHeight="1" spans="2:32" x14ac:dyDescent="0.25">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row>
    <row r="71" ht="15.75" customHeight="1" spans="2:32" x14ac:dyDescent="0.25">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row>
    <row r="72" ht="15.75" customHeight="1" spans="2:32" x14ac:dyDescent="0.25">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row>
    <row r="73" ht="15.75" customHeight="1" spans="2:32" x14ac:dyDescent="0.25">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row>
    <row r="74" ht="15.75" customHeight="1" spans="2:32" x14ac:dyDescent="0.25">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row>
    <row r="75" ht="15.75" customHeight="1" spans="2:32" x14ac:dyDescent="0.25">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row>
    <row r="76" ht="15.75" customHeight="1" spans="2:32" x14ac:dyDescent="0.25">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row>
    <row r="77" ht="15.75" customHeight="1" spans="2:32" x14ac:dyDescent="0.25">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row>
    <row r="78" ht="15.75" customHeight="1" spans="2:32" x14ac:dyDescent="0.25">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row>
    <row r="79" ht="15.75" customHeight="1" spans="2:32" x14ac:dyDescent="0.25">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row>
    <row r="80" ht="15.75" customHeight="1" spans="2:32" x14ac:dyDescent="0.25">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row>
    <row r="81" ht="15.75" customHeight="1" spans="2:32" x14ac:dyDescent="0.25">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row>
    <row r="82" ht="15.75" customHeight="1" spans="2:32" x14ac:dyDescent="0.25">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row>
    <row r="83" ht="15.75" customHeight="1" spans="2:32" x14ac:dyDescent="0.25">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row>
    <row r="84" ht="15.75" customHeight="1" spans="2:32" x14ac:dyDescent="0.25">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row>
    <row r="85" ht="15.75" customHeight="1" spans="2:32" x14ac:dyDescent="0.25">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row>
    <row r="86" ht="15.75" customHeight="1" spans="2:32" x14ac:dyDescent="0.25">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row>
    <row r="87" ht="15.75" customHeight="1" spans="2:32" x14ac:dyDescent="0.25">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row>
    <row r="88" ht="15.75" customHeight="1" spans="2:32" x14ac:dyDescent="0.25">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row>
    <row r="89" ht="15.75" customHeight="1" spans="2:32" x14ac:dyDescent="0.25">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row>
    <row r="90" ht="15.75" customHeight="1" spans="2:32" x14ac:dyDescent="0.25">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row>
    <row r="91" ht="15.75" customHeight="1" spans="2:32" x14ac:dyDescent="0.25">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row>
    <row r="92" ht="15.75" customHeight="1" spans="2:32" x14ac:dyDescent="0.25">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row>
    <row r="93" ht="15.75" customHeight="1" spans="2:32" x14ac:dyDescent="0.25">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row>
    <row r="94" ht="15.75" customHeight="1" spans="2:32" x14ac:dyDescent="0.25">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row>
    <row r="95" ht="15.75" customHeight="1" spans="2:32" x14ac:dyDescent="0.25">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row>
    <row r="96" ht="15.75" customHeight="1" spans="2:32" x14ac:dyDescent="0.25">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row>
    <row r="97" ht="15.75" customHeight="1" spans="2:32" x14ac:dyDescent="0.25">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row>
    <row r="98" ht="15.75" customHeight="1" spans="2:32" x14ac:dyDescent="0.25">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row>
    <row r="99" ht="15.75" customHeight="1" spans="2:32" x14ac:dyDescent="0.25">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row>
    <row r="100" ht="15.75" customHeight="1" spans="2:32" x14ac:dyDescent="0.25">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row>
    <row r="101" ht="15.75" customHeight="1" spans="2:32" x14ac:dyDescent="0.25">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row>
    <row r="102" ht="15.75" customHeight="1" spans="2:32" x14ac:dyDescent="0.25">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row>
    <row r="103" ht="15.75" customHeight="1" spans="2:32" x14ac:dyDescent="0.25">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row>
    <row r="104" ht="15.75" customHeight="1" spans="2:32" x14ac:dyDescent="0.25">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row>
    <row r="105" ht="15.75" customHeight="1" spans="2:32" x14ac:dyDescent="0.25">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row>
    <row r="106" ht="15.75" customHeight="1" spans="2:32" x14ac:dyDescent="0.25">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row>
    <row r="107" ht="15.75" customHeight="1" spans="2:32" x14ac:dyDescent="0.25">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row>
    <row r="108" ht="15.75" customHeight="1" spans="2:32" x14ac:dyDescent="0.25">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row>
    <row r="109" ht="15.75" customHeight="1" spans="2:32" x14ac:dyDescent="0.25">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row>
    <row r="110" ht="15.75" customHeight="1" spans="2:32" x14ac:dyDescent="0.25">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row>
    <row r="111" ht="15.75" customHeight="1" spans="2:32" x14ac:dyDescent="0.25">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row>
    <row r="112" ht="15.75" customHeight="1" spans="2:32" x14ac:dyDescent="0.25">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row>
    <row r="113" ht="15.75" customHeight="1" spans="2:32" x14ac:dyDescent="0.25">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row>
    <row r="114" ht="15.75" customHeight="1" spans="2:32" x14ac:dyDescent="0.25">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row>
    <row r="115" ht="15.75" customHeight="1" spans="2:32" x14ac:dyDescent="0.25">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row>
    <row r="116" ht="15.75" customHeight="1" spans="2:32" x14ac:dyDescent="0.25">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row>
    <row r="117" ht="15.75" customHeight="1" spans="2:32" x14ac:dyDescent="0.25">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row>
    <row r="118" ht="15.75" customHeight="1" spans="2:32" x14ac:dyDescent="0.25">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row>
    <row r="119" ht="15.75" customHeight="1" spans="2:32" x14ac:dyDescent="0.25">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row>
    <row r="120" ht="15.75" customHeight="1" spans="2:32" x14ac:dyDescent="0.25">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row>
    <row r="121" ht="15.75" customHeight="1" spans="2:32" x14ac:dyDescent="0.25">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row>
    <row r="122" ht="15.75" customHeight="1" spans="2:32" x14ac:dyDescent="0.25">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row>
    <row r="123" ht="15.75" customHeight="1" spans="2:32" x14ac:dyDescent="0.25">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row>
    <row r="124" ht="15.75" customHeight="1" spans="2:32" x14ac:dyDescent="0.25">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row>
    <row r="125" ht="15.75" customHeight="1" spans="2:32" x14ac:dyDescent="0.25">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row>
    <row r="126" ht="15.75" customHeight="1" spans="2:32" x14ac:dyDescent="0.25">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row>
    <row r="127" ht="15.75" customHeight="1" spans="2:32" x14ac:dyDescent="0.25">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row>
    <row r="128" ht="15.75" customHeight="1" spans="2:32" x14ac:dyDescent="0.25">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row>
    <row r="129" ht="15.75" customHeight="1" spans="2:32" x14ac:dyDescent="0.25">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row>
    <row r="130" ht="15.75" customHeight="1" spans="2:32" x14ac:dyDescent="0.25">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row>
    <row r="131" ht="15.75" customHeight="1" spans="2:32" x14ac:dyDescent="0.25">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row>
    <row r="132" ht="15.75" customHeight="1" spans="2:32" x14ac:dyDescent="0.25">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row>
    <row r="133" ht="15.75" customHeight="1" spans="2:32" x14ac:dyDescent="0.25">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row>
    <row r="134" ht="15.75" customHeight="1" spans="2:32" x14ac:dyDescent="0.25">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row>
    <row r="135" ht="15.75" customHeight="1" spans="2:32" x14ac:dyDescent="0.25">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row>
    <row r="136" ht="15.75" customHeight="1" spans="2:32" x14ac:dyDescent="0.25">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row>
    <row r="137" ht="15.75" customHeight="1" spans="2:32" x14ac:dyDescent="0.25">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row>
    <row r="138" ht="15.75" customHeight="1" spans="2:32" x14ac:dyDescent="0.25">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row>
    <row r="139" ht="15.75" customHeight="1" spans="2:32" x14ac:dyDescent="0.25">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row>
    <row r="140" ht="15.75" customHeight="1" spans="2:32" x14ac:dyDescent="0.25">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row>
    <row r="141" ht="15.75" customHeight="1" spans="2:32" x14ac:dyDescent="0.25">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row>
    <row r="142" ht="15.75" customHeight="1" spans="2:32" x14ac:dyDescent="0.25">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row>
    <row r="143" ht="15.75" customHeight="1" spans="2:32" x14ac:dyDescent="0.25">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row>
    <row r="144" ht="15.75" customHeight="1" spans="2:32" x14ac:dyDescent="0.25">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row>
    <row r="145" ht="15.75" customHeight="1" spans="2:32" x14ac:dyDescent="0.25">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row>
    <row r="146" ht="15.75" customHeight="1" spans="2:32" x14ac:dyDescent="0.25">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row>
    <row r="147" ht="15.75" customHeight="1" spans="2:32" x14ac:dyDescent="0.25">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row>
    <row r="148" ht="15.75" customHeight="1" spans="2:32" x14ac:dyDescent="0.25">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row>
    <row r="149" ht="15.75" customHeight="1" spans="2:32" x14ac:dyDescent="0.25">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row>
    <row r="150" ht="15.75" customHeight="1" spans="2:32" x14ac:dyDescent="0.25">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row>
    <row r="151" ht="15.75" customHeight="1" spans="2:32" x14ac:dyDescent="0.25">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row>
    <row r="152" ht="15.75" customHeight="1" spans="2:32" x14ac:dyDescent="0.25">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row>
    <row r="153" ht="15.75" customHeight="1" spans="2:32" x14ac:dyDescent="0.25">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row>
    <row r="154" ht="15.75" customHeight="1" spans="2:32" x14ac:dyDescent="0.25">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row>
    <row r="155" ht="15.75" customHeight="1" spans="2:32" x14ac:dyDescent="0.25">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row>
    <row r="156" ht="15.75" customHeight="1" spans="2:32" x14ac:dyDescent="0.25">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row>
    <row r="157" ht="15.75" customHeight="1" spans="2:32" x14ac:dyDescent="0.25">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row>
    <row r="158" ht="15.75" customHeight="1" spans="2:32" x14ac:dyDescent="0.25">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row>
    <row r="159" ht="15.75" customHeight="1" spans="2:32" x14ac:dyDescent="0.25">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row>
    <row r="160" ht="15.75" customHeight="1" spans="2:32" x14ac:dyDescent="0.25">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row>
    <row r="161" ht="15.75" customHeight="1" spans="2:32" x14ac:dyDescent="0.25">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row>
    <row r="162" ht="15.75" customHeight="1" spans="2:32" x14ac:dyDescent="0.25">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row>
    <row r="163" ht="15.75" customHeight="1" spans="2:32" x14ac:dyDescent="0.25">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row>
    <row r="164" ht="15.75" customHeight="1" spans="2:32" x14ac:dyDescent="0.25">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row>
    <row r="165" ht="15.75" customHeight="1" spans="2:32" x14ac:dyDescent="0.25">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row>
    <row r="166" ht="15.75" customHeight="1" spans="2:32" x14ac:dyDescent="0.25">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row>
    <row r="167" ht="15.75" customHeight="1" spans="2:32" x14ac:dyDescent="0.25">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row>
    <row r="168" ht="15.75" customHeight="1" spans="2:32" x14ac:dyDescent="0.25">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row>
    <row r="169" ht="15.75" customHeight="1" spans="2:32" x14ac:dyDescent="0.25">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row>
    <row r="170" ht="15.75" customHeight="1" spans="2:32" x14ac:dyDescent="0.25">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row>
    <row r="171" ht="15.75" customHeight="1" spans="2:32" x14ac:dyDescent="0.25">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row>
    <row r="172" ht="15.75" customHeight="1" spans="2:32" x14ac:dyDescent="0.25">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row>
    <row r="173" ht="15.75" customHeight="1" spans="2:32" x14ac:dyDescent="0.25">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row>
    <row r="174" ht="15.75" customHeight="1" spans="2:32" x14ac:dyDescent="0.25">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row>
    <row r="175" ht="15.75" customHeight="1" spans="2:32" x14ac:dyDescent="0.25">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row>
    <row r="176" ht="15.75" customHeight="1" spans="2:32" x14ac:dyDescent="0.25">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row>
    <row r="177" ht="15.75" customHeight="1" spans="2:32" x14ac:dyDescent="0.25">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row>
    <row r="178" ht="15.75" customHeight="1" spans="2:32" x14ac:dyDescent="0.25">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row>
    <row r="179" ht="15.75" customHeight="1" spans="2:32" x14ac:dyDescent="0.25">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row>
    <row r="180" ht="15.75" customHeight="1" spans="2:32" x14ac:dyDescent="0.25">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row>
    <row r="181" ht="15.75" customHeight="1" spans="2:32" x14ac:dyDescent="0.25">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row>
    <row r="182" ht="15.75" customHeight="1" spans="2:32" x14ac:dyDescent="0.25">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row>
    <row r="183" ht="15.75" customHeight="1" spans="2:32" x14ac:dyDescent="0.25">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row>
    <row r="184" ht="15.75" customHeight="1" spans="2:32" x14ac:dyDescent="0.25">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row>
    <row r="185" ht="15.75" customHeight="1" spans="2:32" x14ac:dyDescent="0.25">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row>
    <row r="186" ht="15.75" customHeight="1" spans="2:32" x14ac:dyDescent="0.25">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row>
    <row r="187" ht="15.75" customHeight="1" spans="2:32" x14ac:dyDescent="0.25">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row>
    <row r="188" ht="15.75" customHeight="1" spans="2:32" x14ac:dyDescent="0.25">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row>
    <row r="189" ht="15.75" customHeight="1" spans="2:32" x14ac:dyDescent="0.25">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row>
    <row r="190" ht="15.75" customHeight="1" spans="2:32" x14ac:dyDescent="0.25">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row>
    <row r="191" ht="15.75" customHeight="1" spans="2:32" x14ac:dyDescent="0.25">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row>
    <row r="192" ht="15.75" customHeight="1" spans="2:32" x14ac:dyDescent="0.25">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row>
    <row r="193" ht="15.75" customHeight="1" spans="2:32" x14ac:dyDescent="0.25">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row>
    <row r="194" ht="15.75" customHeight="1" spans="2:32" x14ac:dyDescent="0.25">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row>
    <row r="195" ht="15.75" customHeight="1" spans="2:32" x14ac:dyDescent="0.25">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row>
    <row r="196" ht="15.75" customHeight="1" spans="2:32" x14ac:dyDescent="0.25">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row>
    <row r="197" ht="15.75" customHeight="1" spans="2:32" x14ac:dyDescent="0.25">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row>
    <row r="198" ht="15.75" customHeight="1" spans="2:32" x14ac:dyDescent="0.25">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row>
    <row r="199" ht="15.75" customHeight="1" spans="2:32" x14ac:dyDescent="0.25">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row>
    <row r="200" ht="15.75" customHeight="1" spans="2:32" x14ac:dyDescent="0.25">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row>
    <row r="201" ht="15.75" customHeight="1" spans="2:32" x14ac:dyDescent="0.25">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row>
    <row r="202" ht="15.75" customHeight="1" spans="2:32" x14ac:dyDescent="0.25">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row>
    <row r="203" ht="15.75" customHeight="1" spans="2:32" x14ac:dyDescent="0.25">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row>
    <row r="204" ht="15.75" customHeight="1" spans="2:32" x14ac:dyDescent="0.25">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row>
    <row r="205" ht="15.75" customHeight="1" spans="2:32" x14ac:dyDescent="0.25">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row>
    <row r="206" ht="15.75" customHeight="1" spans="2:32" x14ac:dyDescent="0.25">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row>
    <row r="207" ht="15.75" customHeight="1" spans="2:32" x14ac:dyDescent="0.25">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row>
    <row r="208" ht="15.75" customHeight="1" spans="2:32" x14ac:dyDescent="0.25">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row>
    <row r="209" ht="15.75" customHeight="1" spans="2:32" x14ac:dyDescent="0.25">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row>
    <row r="210" ht="15.75" customHeight="1" spans="2:32" x14ac:dyDescent="0.25">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row>
    <row r="211" ht="15.75" customHeight="1" spans="2:32" x14ac:dyDescent="0.25">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row>
    <row r="212" ht="15.75" customHeight="1" spans="2:32" x14ac:dyDescent="0.25">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row>
    <row r="213" ht="15.75" customHeight="1" spans="2:32" x14ac:dyDescent="0.25">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row>
    <row r="214" ht="15.75" customHeight="1" spans="2:32" x14ac:dyDescent="0.25">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row>
    <row r="215" ht="15.75" customHeight="1" spans="2:32" x14ac:dyDescent="0.25">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row>
    <row r="216" ht="15.75" customHeight="1" spans="2:32" x14ac:dyDescent="0.25">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row>
    <row r="217" ht="15.75" customHeight="1" spans="2:32" x14ac:dyDescent="0.25">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row>
    <row r="218" ht="15.75" customHeight="1" spans="2:32" x14ac:dyDescent="0.25">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row>
    <row r="219" ht="15.75" customHeight="1" spans="2:32" x14ac:dyDescent="0.25">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row>
    <row r="220" ht="15.75" customHeight="1" spans="2:32" x14ac:dyDescent="0.25">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row>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24">
    <mergeCell ref="U8:AC8"/>
    <mergeCell ref="A8:A9"/>
    <mergeCell ref="B8:B9"/>
    <mergeCell ref="C8:C9"/>
    <mergeCell ref="D8:D9"/>
    <mergeCell ref="E8:E9"/>
    <mergeCell ref="F8:F9"/>
    <mergeCell ref="G8:G9"/>
    <mergeCell ref="H8:H9"/>
    <mergeCell ref="I8:I9"/>
    <mergeCell ref="J8:J9"/>
    <mergeCell ref="K8:K9"/>
    <mergeCell ref="L8:L9"/>
    <mergeCell ref="M8:M9"/>
    <mergeCell ref="N8:N9"/>
    <mergeCell ref="O8:O9"/>
    <mergeCell ref="P8:P9"/>
    <mergeCell ref="Q8:Q9"/>
    <mergeCell ref="R8:R9"/>
    <mergeCell ref="S8:S9"/>
    <mergeCell ref="T8:T9"/>
    <mergeCell ref="AD8:AD9"/>
    <mergeCell ref="AE8:AE9"/>
    <mergeCell ref="AF8:AF9"/>
  </mergeCells>
  <conditionalFormatting sqref="H10">
    <cfRule type="notContainsBlanks" dxfId="0" priority="1" operator="notContainsBlanks">
      <formula>LEN(TRIM(H10))&gt;0</formula>
    </cfRule>
  </conditionalFormatting>
  <conditionalFormatting sqref="AF10">
    <cfRule type="notContainsBlanks" dxfId="1" priority="2" operator="notContainsBlanks">
      <formula>LEN(TRIM(AF10))&gt;0</formula>
    </cfRule>
  </conditionalFormatting>
  <pageMargins left="0.7" right="0.7" top="0.75" bottom="0.75" header="0" footer="0"/>
  <pageSetup orientation="portrait" horizontalDpi="4294967295" verticalDpi="4294967295"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000"/>
  <sheetViews>
    <sheetView workbookViewId="0" showGridLines="0" zoomScale="100" zoomScaleNormal="100">
      <pane ySplit="9" topLeftCell="A10" activePane="bottomLeft" state="frozen"/>
      <selection pane="bottomLeft" activeCell="A10" sqref="A10"/>
    </sheetView>
  </sheetViews>
  <sheetFormatPr defaultRowHeight="15" outlineLevelRow="0" outlineLevelCol="0" x14ac:dyDescent="0.2" defaultColWidth="11.1640625"/>
  <cols>
    <col min="1" max="1" width="33.1640625" customWidth="1"/>
    <col min="2" max="9" width="8.6640625" customWidth="1"/>
    <col min="10" max="10" width="12.1640625" customWidth="1"/>
    <col min="11" max="11" width="14.1640625" customWidth="1"/>
    <col min="12" max="12" width="15.5" customWidth="1"/>
  </cols>
  <sheetData>
    <row r="1" ht="23.25" customHeight="1" spans="1:12" x14ac:dyDescent="0.25">
      <c r="A1" s="1" t="s">
        <v>117</v>
      </c>
      <c r="B1" s="2"/>
      <c r="C1" s="2"/>
      <c r="D1" s="2"/>
      <c r="E1" s="2"/>
      <c r="F1" s="2"/>
      <c r="G1" s="2"/>
      <c r="H1" s="2"/>
      <c r="I1" s="2"/>
      <c r="J1" s="2"/>
      <c r="K1" s="2"/>
      <c r="L1" s="2"/>
    </row>
    <row r="2" ht="15.75" customHeight="1" spans="1:12" x14ac:dyDescent="0.25">
      <c r="A2" s="4" t="s">
        <v>1</v>
      </c>
      <c r="B2" s="2"/>
      <c r="C2" s="2"/>
      <c r="D2" s="2"/>
      <c r="E2" s="2"/>
      <c r="F2" s="2"/>
      <c r="G2" s="2"/>
      <c r="H2" s="2"/>
      <c r="I2" s="2"/>
      <c r="J2" s="2"/>
      <c r="K2" s="2"/>
      <c r="L2" s="2"/>
    </row>
    <row r="3" ht="15.75" customHeight="1" spans="1:12" x14ac:dyDescent="0.25">
      <c r="A3" s="4" t="s">
        <v>3</v>
      </c>
      <c r="B3" s="2"/>
      <c r="C3" s="2"/>
      <c r="D3" s="2"/>
      <c r="E3" s="2"/>
      <c r="F3" s="2"/>
      <c r="G3" s="2"/>
      <c r="H3" s="2"/>
      <c r="I3" s="2"/>
      <c r="J3" s="2"/>
      <c r="K3" s="2"/>
      <c r="L3" s="2"/>
    </row>
    <row r="4" ht="15.75" customHeight="1" spans="1:12" x14ac:dyDescent="0.25">
      <c r="A4" s="22" t="s">
        <v>4</v>
      </c>
      <c r="B4" s="2"/>
      <c r="C4" s="2"/>
      <c r="D4" s="2"/>
      <c r="E4" s="2"/>
      <c r="F4" s="2"/>
      <c r="G4" s="2"/>
      <c r="H4" s="2"/>
      <c r="I4" s="2"/>
      <c r="J4" s="2"/>
      <c r="K4" s="2"/>
      <c r="L4" s="2"/>
    </row>
    <row r="5" ht="15.75" customHeight="1" spans="1:12" x14ac:dyDescent="0.25">
      <c r="A5" s="22" t="s">
        <v>5</v>
      </c>
      <c r="B5" s="2"/>
      <c r="C5" s="2"/>
      <c r="D5" s="2"/>
      <c r="E5" s="2"/>
      <c r="F5" s="2"/>
      <c r="G5" s="2"/>
      <c r="H5" s="2"/>
      <c r="I5" s="2"/>
      <c r="J5" s="2"/>
      <c r="K5" s="2"/>
      <c r="L5" s="2"/>
    </row>
    <row r="6" ht="15.75" customHeight="1" spans="1:12" x14ac:dyDescent="0.25">
      <c r="A6" s="4" t="s">
        <v>6</v>
      </c>
      <c r="B6" s="2"/>
      <c r="C6" s="2"/>
      <c r="D6" s="2"/>
      <c r="E6" s="2"/>
      <c r="F6" s="2"/>
      <c r="G6" s="2"/>
      <c r="H6" s="2"/>
      <c r="I6" s="2"/>
      <c r="J6" s="2"/>
      <c r="K6" s="2"/>
      <c r="L6" s="2"/>
    </row>
    <row r="7" ht="15.75" customHeight="1" spans="1:12" x14ac:dyDescent="0.25">
      <c r="A7" s="30" t="s">
        <v>7</v>
      </c>
      <c r="B7" s="2">
        <v>2</v>
      </c>
      <c r="C7" s="2"/>
      <c r="D7" s="2"/>
      <c r="E7" s="2"/>
      <c r="F7" s="2"/>
      <c r="G7" s="2"/>
      <c r="H7" s="2"/>
      <c r="I7" s="2"/>
      <c r="J7" s="2"/>
      <c r="K7" s="2"/>
      <c r="L7" s="2"/>
    </row>
    <row r="8" ht="15" customHeight="1" spans="1:12" x14ac:dyDescent="0.25">
      <c r="A8" s="48" t="s">
        <v>9</v>
      </c>
      <c r="B8" s="33" t="s">
        <v>90</v>
      </c>
      <c r="C8" s="34"/>
      <c r="D8" s="34"/>
      <c r="E8" s="34"/>
      <c r="F8" s="34"/>
      <c r="G8" s="34"/>
      <c r="H8" s="34"/>
      <c r="I8" s="34"/>
      <c r="J8" s="35"/>
      <c r="K8" s="49" t="s">
        <v>118</v>
      </c>
      <c r="L8" s="49" t="s">
        <v>93</v>
      </c>
    </row>
    <row r="9" ht="31.5" customHeight="1" spans="1:12" x14ac:dyDescent="0.25">
      <c r="A9" s="36"/>
      <c r="B9" s="37">
        <v>5011</v>
      </c>
      <c r="C9" s="37">
        <v>5007</v>
      </c>
      <c r="D9" s="37">
        <v>5006</v>
      </c>
      <c r="E9" s="37">
        <v>2008</v>
      </c>
      <c r="F9" s="37">
        <v>2005</v>
      </c>
      <c r="G9" s="37">
        <v>2037</v>
      </c>
      <c r="H9" s="37">
        <v>2025</v>
      </c>
      <c r="I9" s="37">
        <v>2022</v>
      </c>
      <c r="J9" s="37" t="s">
        <v>94</v>
      </c>
      <c r="K9" s="36"/>
      <c r="L9" s="36"/>
    </row>
    <row r="10" ht="15.75" customHeight="1" spans="1:12" x14ac:dyDescent="0.25">
      <c r="A10" s="38" t="s">
        <v>95</v>
      </c>
      <c r="B10" s="39" t="s">
        <v>106</v>
      </c>
      <c r="C10" s="39" t="s">
        <v>107</v>
      </c>
      <c r="D10" s="39" t="s">
        <v>108</v>
      </c>
      <c r="E10" s="39" t="s">
        <v>109</v>
      </c>
      <c r="F10" s="39" t="s">
        <v>110</v>
      </c>
      <c r="G10" s="39" t="s">
        <v>111</v>
      </c>
      <c r="H10" s="39" t="s">
        <v>112</v>
      </c>
      <c r="I10" s="39" t="s">
        <v>113</v>
      </c>
      <c r="J10" s="39" t="s">
        <v>114</v>
      </c>
      <c r="K10" s="39" t="s">
        <v>115</v>
      </c>
      <c r="L10" s="39" t="e">
        <f>B10+C10+D10+E10+F10+G10+H10+I10+J10+K10</f>
        <v>#VALUE!</v>
      </c>
    </row>
    <row r="11" ht="15.75" customHeight="1" spans="1:12" x14ac:dyDescent="0.25">
      <c r="A11" s="43" t="s">
        <v>50</v>
      </c>
      <c r="B11" s="44">
        <f>SUM(B$10:B10)</f>
        <v>0</v>
      </c>
      <c r="C11" s="44">
        <f>SUM(C$10:C10)</f>
        <v>0</v>
      </c>
      <c r="D11" s="44">
        <f>SUM(D$10:D10)</f>
        <v>0</v>
      </c>
      <c r="E11" s="44">
        <f>SUM(E$10:E10)</f>
        <v>0</v>
      </c>
      <c r="F11" s="44">
        <f>SUM(F$10:F10)</f>
        <v>0</v>
      </c>
      <c r="G11" s="44">
        <f>SUM(G$10:G10)</f>
        <v>0</v>
      </c>
      <c r="H11" s="44">
        <f>SUM(H$10:H10)</f>
        <v>0</v>
      </c>
      <c r="I11" s="44">
        <f>SUM(I$10:I10)</f>
        <v>0</v>
      </c>
      <c r="J11" s="44">
        <f>SUM(J$10:J10)</f>
        <v>0</v>
      </c>
      <c r="K11" s="44">
        <f>SUM(K$10:K10)</f>
        <v>0</v>
      </c>
      <c r="L11" s="50" t="e">
        <f>SUM(L$10:L10)</f>
        <v>#VALUE!</v>
      </c>
    </row>
    <row r="12" ht="15.75" customHeight="1" spans="2:12" x14ac:dyDescent="0.25">
      <c r="B12" s="2"/>
      <c r="C12" s="2"/>
      <c r="D12" s="2"/>
      <c r="E12" s="2"/>
      <c r="F12" s="2"/>
      <c r="G12" s="2"/>
      <c r="H12" s="2"/>
      <c r="I12" s="2"/>
      <c r="J12" s="2"/>
      <c r="K12" s="2"/>
      <c r="L12" s="2"/>
    </row>
    <row r="13" ht="15.75" customHeight="1" spans="2:12" x14ac:dyDescent="0.25">
      <c r="B13" s="2"/>
      <c r="C13" s="2"/>
      <c r="D13" s="2"/>
      <c r="E13" s="2"/>
      <c r="F13" s="2"/>
      <c r="G13" s="2"/>
      <c r="H13" s="2"/>
      <c r="I13" s="2"/>
      <c r="J13" s="2"/>
      <c r="K13" s="2"/>
      <c r="L13" s="2"/>
    </row>
    <row r="14" ht="15.75" customHeight="1" spans="2:12" x14ac:dyDescent="0.25">
      <c r="B14" s="2"/>
      <c r="C14" s="2"/>
      <c r="D14" s="2"/>
      <c r="E14" s="2"/>
      <c r="F14" s="2"/>
      <c r="G14" s="2"/>
      <c r="H14" s="2"/>
      <c r="I14" s="2"/>
      <c r="J14" s="2"/>
      <c r="K14" s="2"/>
      <c r="L14" s="2"/>
    </row>
    <row r="15" ht="15.75" customHeight="1" spans="2:12" x14ac:dyDescent="0.25">
      <c r="B15" s="2"/>
      <c r="C15" s="2"/>
      <c r="D15" s="2"/>
      <c r="E15" s="2"/>
      <c r="F15" s="2"/>
      <c r="G15" s="2"/>
      <c r="H15" s="2"/>
      <c r="I15" s="2"/>
      <c r="J15" s="2"/>
      <c r="K15" s="2"/>
      <c r="L15" s="2"/>
    </row>
    <row r="16" ht="15.75" customHeight="1" spans="2:12" x14ac:dyDescent="0.25">
      <c r="B16" s="2"/>
      <c r="C16" s="2"/>
      <c r="D16" s="2"/>
      <c r="E16" s="2"/>
      <c r="F16" s="2"/>
      <c r="G16" s="2"/>
      <c r="H16" s="2"/>
      <c r="I16" s="2"/>
      <c r="J16" s="2"/>
      <c r="K16" s="2"/>
      <c r="L16" s="2"/>
    </row>
    <row r="17" ht="15.75" customHeight="1" spans="2:12" x14ac:dyDescent="0.25">
      <c r="B17" s="2"/>
      <c r="C17" s="2"/>
      <c r="D17" s="2"/>
      <c r="E17" s="2"/>
      <c r="F17" s="2"/>
      <c r="G17" s="2"/>
      <c r="H17" s="2"/>
      <c r="I17" s="2"/>
      <c r="J17" s="2"/>
      <c r="K17" s="2"/>
      <c r="L17" s="2"/>
    </row>
    <row r="18" ht="15.75" customHeight="1" spans="2:12" x14ac:dyDescent="0.25">
      <c r="B18" s="2"/>
      <c r="C18" s="2"/>
      <c r="D18" s="2"/>
      <c r="E18" s="2"/>
      <c r="F18" s="2"/>
      <c r="G18" s="2"/>
      <c r="H18" s="2"/>
      <c r="I18" s="2"/>
      <c r="J18" s="2"/>
      <c r="K18" s="2"/>
      <c r="L18" s="2"/>
    </row>
    <row r="19" ht="15.75" customHeight="1" spans="2:12" x14ac:dyDescent="0.25">
      <c r="B19" s="2"/>
      <c r="C19" s="2"/>
      <c r="D19" s="2"/>
      <c r="E19" s="2"/>
      <c r="F19" s="2"/>
      <c r="G19" s="2"/>
      <c r="H19" s="2"/>
      <c r="I19" s="2"/>
      <c r="J19" s="2"/>
      <c r="K19" s="2"/>
      <c r="L19" s="2"/>
    </row>
    <row r="20" ht="15.75" customHeight="1" spans="2:12" x14ac:dyDescent="0.25">
      <c r="B20" s="2"/>
      <c r="C20" s="2"/>
      <c r="D20" s="2"/>
      <c r="E20" s="2"/>
      <c r="F20" s="2"/>
      <c r="G20" s="2"/>
      <c r="H20" s="2"/>
      <c r="I20" s="2"/>
      <c r="J20" s="2"/>
      <c r="K20" s="2"/>
      <c r="L20" s="2"/>
    </row>
    <row r="21" ht="15.75" customHeight="1" spans="2:12" x14ac:dyDescent="0.25">
      <c r="B21" s="2"/>
      <c r="C21" s="2"/>
      <c r="D21" s="2"/>
      <c r="E21" s="2"/>
      <c r="F21" s="2"/>
      <c r="G21" s="2"/>
      <c r="H21" s="2"/>
      <c r="I21" s="2"/>
      <c r="J21" s="2"/>
      <c r="K21" s="2"/>
      <c r="L21" s="2"/>
    </row>
    <row r="22" ht="15.75" customHeight="1" spans="2:12" x14ac:dyDescent="0.25">
      <c r="B22" s="2"/>
      <c r="C22" s="2"/>
      <c r="D22" s="2"/>
      <c r="E22" s="2"/>
      <c r="F22" s="2"/>
      <c r="G22" s="2"/>
      <c r="H22" s="2"/>
      <c r="I22" s="2"/>
      <c r="J22" s="2"/>
      <c r="K22" s="2"/>
      <c r="L22" s="2"/>
    </row>
    <row r="23" ht="15.75" customHeight="1" spans="2:12" x14ac:dyDescent="0.25">
      <c r="B23" s="2"/>
      <c r="C23" s="2"/>
      <c r="D23" s="2"/>
      <c r="E23" s="2"/>
      <c r="F23" s="2"/>
      <c r="G23" s="2"/>
      <c r="H23" s="2"/>
      <c r="I23" s="2"/>
      <c r="J23" s="2"/>
      <c r="K23" s="2"/>
      <c r="L23" s="2"/>
    </row>
    <row r="24" ht="15.75" customHeight="1" spans="2:12" x14ac:dyDescent="0.25">
      <c r="B24" s="2"/>
      <c r="C24" s="2"/>
      <c r="D24" s="2"/>
      <c r="E24" s="2"/>
      <c r="F24" s="2"/>
      <c r="G24" s="2"/>
      <c r="H24" s="2"/>
      <c r="I24" s="2"/>
      <c r="J24" s="2"/>
      <c r="K24" s="2"/>
      <c r="L24" s="2"/>
    </row>
    <row r="25" ht="15.75" customHeight="1" spans="2:12" x14ac:dyDescent="0.25">
      <c r="B25" s="2"/>
      <c r="C25" s="2"/>
      <c r="D25" s="2"/>
      <c r="E25" s="2"/>
      <c r="F25" s="2"/>
      <c r="G25" s="2"/>
      <c r="H25" s="2"/>
      <c r="I25" s="2"/>
      <c r="J25" s="2"/>
      <c r="K25" s="2"/>
      <c r="L25" s="2"/>
    </row>
    <row r="26" ht="15.75" customHeight="1" spans="2:12" x14ac:dyDescent="0.25">
      <c r="B26" s="2"/>
      <c r="C26" s="2"/>
      <c r="D26" s="2"/>
      <c r="E26" s="2"/>
      <c r="F26" s="2"/>
      <c r="G26" s="2"/>
      <c r="H26" s="2"/>
      <c r="I26" s="2"/>
      <c r="J26" s="2"/>
      <c r="K26" s="2"/>
      <c r="L26" s="2"/>
    </row>
    <row r="27" ht="15.75" customHeight="1" spans="2:12" x14ac:dyDescent="0.25">
      <c r="B27" s="2"/>
      <c r="C27" s="2"/>
      <c r="D27" s="2"/>
      <c r="E27" s="2"/>
      <c r="F27" s="2"/>
      <c r="G27" s="2"/>
      <c r="H27" s="2"/>
      <c r="I27" s="2"/>
      <c r="J27" s="2"/>
      <c r="K27" s="2"/>
      <c r="L27" s="2"/>
    </row>
    <row r="28" ht="15.75" customHeight="1" spans="2:12" x14ac:dyDescent="0.25">
      <c r="B28" s="2"/>
      <c r="C28" s="2"/>
      <c r="D28" s="2"/>
      <c r="E28" s="2"/>
      <c r="F28" s="2"/>
      <c r="G28" s="2"/>
      <c r="H28" s="2"/>
      <c r="I28" s="2"/>
      <c r="J28" s="2"/>
      <c r="K28" s="2"/>
      <c r="L28" s="2"/>
    </row>
    <row r="29" ht="15.75" customHeight="1" spans="2:12" x14ac:dyDescent="0.25">
      <c r="B29" s="2"/>
      <c r="C29" s="2"/>
      <c r="D29" s="2"/>
      <c r="E29" s="2"/>
      <c r="F29" s="2"/>
      <c r="G29" s="2"/>
      <c r="H29" s="2"/>
      <c r="I29" s="2"/>
      <c r="J29" s="2"/>
      <c r="K29" s="2"/>
      <c r="L29" s="2"/>
    </row>
    <row r="30" ht="15.75" customHeight="1" spans="2:12" x14ac:dyDescent="0.25">
      <c r="B30" s="2"/>
      <c r="C30" s="2"/>
      <c r="D30" s="2"/>
      <c r="E30" s="2"/>
      <c r="F30" s="2"/>
      <c r="G30" s="2"/>
      <c r="H30" s="2"/>
      <c r="I30" s="2"/>
      <c r="J30" s="2"/>
      <c r="K30" s="2"/>
      <c r="L30" s="2"/>
    </row>
    <row r="31" ht="15.75" customHeight="1" spans="2:12" x14ac:dyDescent="0.25">
      <c r="B31" s="2"/>
      <c r="C31" s="2"/>
      <c r="D31" s="2"/>
      <c r="E31" s="2"/>
      <c r="F31" s="2"/>
      <c r="G31" s="2"/>
      <c r="H31" s="2"/>
      <c r="I31" s="2"/>
      <c r="J31" s="2"/>
      <c r="K31" s="2"/>
      <c r="L31" s="2"/>
    </row>
    <row r="32" ht="15.75" customHeight="1" spans="2:12" x14ac:dyDescent="0.25">
      <c r="B32" s="2"/>
      <c r="C32" s="2"/>
      <c r="D32" s="2"/>
      <c r="E32" s="2"/>
      <c r="F32" s="2"/>
      <c r="G32" s="2"/>
      <c r="H32" s="2"/>
      <c r="I32" s="2"/>
      <c r="J32" s="2"/>
      <c r="K32" s="2"/>
      <c r="L32" s="2"/>
    </row>
    <row r="33" ht="15.75" customHeight="1" spans="2:12" x14ac:dyDescent="0.25">
      <c r="B33" s="2"/>
      <c r="C33" s="2"/>
      <c r="D33" s="2"/>
      <c r="E33" s="2"/>
      <c r="F33" s="2"/>
      <c r="G33" s="2"/>
      <c r="H33" s="2"/>
      <c r="I33" s="2"/>
      <c r="J33" s="2"/>
      <c r="K33" s="2"/>
      <c r="L33" s="2"/>
    </row>
    <row r="34" ht="15.75" customHeight="1" spans="2:12" x14ac:dyDescent="0.25">
      <c r="B34" s="2"/>
      <c r="C34" s="2"/>
      <c r="D34" s="2"/>
      <c r="E34" s="2"/>
      <c r="F34" s="2"/>
      <c r="G34" s="2"/>
      <c r="H34" s="2"/>
      <c r="I34" s="2"/>
      <c r="J34" s="2"/>
      <c r="K34" s="2"/>
      <c r="L34" s="2"/>
    </row>
    <row r="35" ht="15.75" customHeight="1" spans="2:12" x14ac:dyDescent="0.25">
      <c r="B35" s="2"/>
      <c r="C35" s="2"/>
      <c r="D35" s="2"/>
      <c r="E35" s="2"/>
      <c r="F35" s="2"/>
      <c r="G35" s="2"/>
      <c r="H35" s="2"/>
      <c r="I35" s="2"/>
      <c r="J35" s="2"/>
      <c r="K35" s="2"/>
      <c r="L35" s="2"/>
    </row>
    <row r="36" ht="15.75" customHeight="1" spans="2:12" x14ac:dyDescent="0.25">
      <c r="B36" s="2"/>
      <c r="C36" s="2"/>
      <c r="D36" s="2"/>
      <c r="E36" s="2"/>
      <c r="F36" s="2"/>
      <c r="G36" s="2"/>
      <c r="H36" s="2"/>
      <c r="I36" s="2"/>
      <c r="J36" s="2"/>
      <c r="K36" s="2"/>
      <c r="L36" s="2"/>
    </row>
    <row r="37" ht="15.75" customHeight="1" spans="2:12" x14ac:dyDescent="0.25">
      <c r="B37" s="2"/>
      <c r="C37" s="2"/>
      <c r="D37" s="2"/>
      <c r="E37" s="2"/>
      <c r="F37" s="2"/>
      <c r="G37" s="2"/>
      <c r="H37" s="2"/>
      <c r="I37" s="2"/>
      <c r="J37" s="2"/>
      <c r="K37" s="2"/>
      <c r="L37" s="2"/>
    </row>
    <row r="38" ht="15.75" customHeight="1" spans="2:12" x14ac:dyDescent="0.25">
      <c r="B38" s="2"/>
      <c r="C38" s="2"/>
      <c r="D38" s="2"/>
      <c r="E38" s="2"/>
      <c r="F38" s="2"/>
      <c r="G38" s="2"/>
      <c r="H38" s="2"/>
      <c r="I38" s="2"/>
      <c r="J38" s="2"/>
      <c r="K38" s="2"/>
      <c r="L38" s="2"/>
    </row>
    <row r="39" ht="15.75" customHeight="1" spans="2:12" x14ac:dyDescent="0.25">
      <c r="B39" s="2"/>
      <c r="C39" s="2"/>
      <c r="D39" s="2"/>
      <c r="E39" s="2"/>
      <c r="F39" s="2"/>
      <c r="G39" s="2"/>
      <c r="H39" s="2"/>
      <c r="I39" s="2"/>
      <c r="J39" s="2"/>
      <c r="K39" s="2"/>
      <c r="L39" s="2"/>
    </row>
    <row r="40" ht="15.75" customHeight="1" spans="2:12" x14ac:dyDescent="0.25">
      <c r="B40" s="2"/>
      <c r="C40" s="2"/>
      <c r="D40" s="2"/>
      <c r="E40" s="2"/>
      <c r="F40" s="2"/>
      <c r="G40" s="2"/>
      <c r="H40" s="2"/>
      <c r="I40" s="2"/>
      <c r="J40" s="2"/>
      <c r="K40" s="2"/>
      <c r="L40" s="2"/>
    </row>
    <row r="41" ht="15.75" customHeight="1" spans="2:12" x14ac:dyDescent="0.25">
      <c r="B41" s="2"/>
      <c r="C41" s="2"/>
      <c r="D41" s="2"/>
      <c r="E41" s="2"/>
      <c r="F41" s="2"/>
      <c r="G41" s="2"/>
      <c r="H41" s="2"/>
      <c r="I41" s="2"/>
      <c r="J41" s="2"/>
      <c r="K41" s="2"/>
      <c r="L41" s="2"/>
    </row>
    <row r="42" ht="15.75" customHeight="1" spans="2:12" x14ac:dyDescent="0.25">
      <c r="B42" s="2"/>
      <c r="C42" s="2"/>
      <c r="D42" s="2"/>
      <c r="E42" s="2"/>
      <c r="F42" s="2"/>
      <c r="G42" s="2"/>
      <c r="H42" s="2"/>
      <c r="I42" s="2"/>
      <c r="J42" s="2"/>
      <c r="K42" s="2"/>
      <c r="L42" s="2"/>
    </row>
    <row r="43" ht="15.75" customHeight="1" spans="2:12" x14ac:dyDescent="0.25">
      <c r="B43" s="2"/>
      <c r="C43" s="2"/>
      <c r="D43" s="2"/>
      <c r="E43" s="2"/>
      <c r="F43" s="2"/>
      <c r="G43" s="2"/>
      <c r="H43" s="2"/>
      <c r="I43" s="2"/>
      <c r="J43" s="2"/>
      <c r="K43" s="2"/>
      <c r="L43" s="2"/>
    </row>
    <row r="44" ht="15.75" customHeight="1" spans="2:12" x14ac:dyDescent="0.25">
      <c r="B44" s="2"/>
      <c r="C44" s="2"/>
      <c r="D44" s="2"/>
      <c r="E44" s="2"/>
      <c r="F44" s="2"/>
      <c r="G44" s="2"/>
      <c r="H44" s="2"/>
      <c r="I44" s="2"/>
      <c r="J44" s="2"/>
      <c r="K44" s="2"/>
      <c r="L44" s="2"/>
    </row>
    <row r="45" ht="15.75" customHeight="1" spans="2:12" x14ac:dyDescent="0.25">
      <c r="B45" s="2"/>
      <c r="C45" s="2"/>
      <c r="D45" s="2"/>
      <c r="E45" s="2"/>
      <c r="F45" s="2"/>
      <c r="G45" s="2"/>
      <c r="H45" s="2"/>
      <c r="I45" s="2"/>
      <c r="J45" s="2"/>
      <c r="K45" s="2"/>
      <c r="L45" s="2"/>
    </row>
    <row r="46" ht="15.75" customHeight="1" spans="2:12" x14ac:dyDescent="0.25">
      <c r="B46" s="2"/>
      <c r="C46" s="2"/>
      <c r="D46" s="2"/>
      <c r="E46" s="2"/>
      <c r="F46" s="2"/>
      <c r="G46" s="2"/>
      <c r="H46" s="2"/>
      <c r="I46" s="2"/>
      <c r="J46" s="2"/>
      <c r="K46" s="2"/>
      <c r="L46" s="2"/>
    </row>
    <row r="47" ht="15.75" customHeight="1" spans="2:12" x14ac:dyDescent="0.25">
      <c r="B47" s="2"/>
      <c r="C47" s="2"/>
      <c r="D47" s="2"/>
      <c r="E47" s="2"/>
      <c r="F47" s="2"/>
      <c r="G47" s="2"/>
      <c r="H47" s="2"/>
      <c r="I47" s="2"/>
      <c r="J47" s="2"/>
      <c r="K47" s="2"/>
      <c r="L47" s="2"/>
    </row>
    <row r="48" ht="15.75" customHeight="1" spans="2:12" x14ac:dyDescent="0.25">
      <c r="B48" s="2"/>
      <c r="C48" s="2"/>
      <c r="D48" s="2"/>
      <c r="E48" s="2"/>
      <c r="F48" s="2"/>
      <c r="G48" s="2"/>
      <c r="H48" s="2"/>
      <c r="I48" s="2"/>
      <c r="J48" s="2"/>
      <c r="K48" s="2"/>
      <c r="L48" s="2"/>
    </row>
    <row r="49" ht="15.75" customHeight="1" spans="2:12" x14ac:dyDescent="0.25">
      <c r="B49" s="2"/>
      <c r="C49" s="2"/>
      <c r="D49" s="2"/>
      <c r="E49" s="2"/>
      <c r="F49" s="2"/>
      <c r="G49" s="2"/>
      <c r="H49" s="2"/>
      <c r="I49" s="2"/>
      <c r="J49" s="2"/>
      <c r="K49" s="2"/>
      <c r="L49" s="2"/>
    </row>
    <row r="50" ht="15.75" customHeight="1" spans="2:12" x14ac:dyDescent="0.25">
      <c r="B50" s="2"/>
      <c r="C50" s="2"/>
      <c r="D50" s="2"/>
      <c r="E50" s="2"/>
      <c r="F50" s="2"/>
      <c r="G50" s="2"/>
      <c r="H50" s="2"/>
      <c r="I50" s="2"/>
      <c r="J50" s="2"/>
      <c r="K50" s="2"/>
      <c r="L50" s="2"/>
    </row>
    <row r="51" ht="15.75" customHeight="1" spans="2:12" x14ac:dyDescent="0.25">
      <c r="B51" s="2"/>
      <c r="C51" s="2"/>
      <c r="D51" s="2"/>
      <c r="E51" s="2"/>
      <c r="F51" s="2"/>
      <c r="G51" s="2"/>
      <c r="H51" s="2"/>
      <c r="I51" s="2"/>
      <c r="J51" s="2"/>
      <c r="K51" s="2"/>
      <c r="L51" s="2"/>
    </row>
    <row r="52" ht="15.75" customHeight="1" spans="2:12" x14ac:dyDescent="0.25">
      <c r="B52" s="2"/>
      <c r="C52" s="2"/>
      <c r="D52" s="2"/>
      <c r="E52" s="2"/>
      <c r="F52" s="2"/>
      <c r="G52" s="2"/>
      <c r="H52" s="2"/>
      <c r="I52" s="2"/>
      <c r="J52" s="2"/>
      <c r="K52" s="2"/>
      <c r="L52" s="2"/>
    </row>
    <row r="53" ht="15.75" customHeight="1" spans="2:12" x14ac:dyDescent="0.25">
      <c r="B53" s="2"/>
      <c r="C53" s="2"/>
      <c r="D53" s="2"/>
      <c r="E53" s="2"/>
      <c r="F53" s="2"/>
      <c r="G53" s="2"/>
      <c r="H53" s="2"/>
      <c r="I53" s="2"/>
      <c r="J53" s="2"/>
      <c r="K53" s="2"/>
      <c r="L53" s="2"/>
    </row>
    <row r="54" ht="15.75" customHeight="1" spans="2:12" x14ac:dyDescent="0.25">
      <c r="B54" s="2"/>
      <c r="C54" s="2"/>
      <c r="D54" s="2"/>
      <c r="E54" s="2"/>
      <c r="F54" s="2"/>
      <c r="G54" s="2"/>
      <c r="H54" s="2"/>
      <c r="I54" s="2"/>
      <c r="J54" s="2"/>
      <c r="K54" s="2"/>
      <c r="L54" s="2"/>
    </row>
    <row r="55" ht="15.75" customHeight="1" spans="2:12" x14ac:dyDescent="0.25">
      <c r="B55" s="2"/>
      <c r="C55" s="2"/>
      <c r="D55" s="2"/>
      <c r="E55" s="2"/>
      <c r="F55" s="2"/>
      <c r="G55" s="2"/>
      <c r="H55" s="2"/>
      <c r="I55" s="2"/>
      <c r="J55" s="2"/>
      <c r="K55" s="2"/>
      <c r="L55" s="2"/>
    </row>
    <row r="56" ht="15.75" customHeight="1" spans="2:12" x14ac:dyDescent="0.25">
      <c r="B56" s="2"/>
      <c r="C56" s="2"/>
      <c r="D56" s="2"/>
      <c r="E56" s="2"/>
      <c r="F56" s="2"/>
      <c r="G56" s="2"/>
      <c r="H56" s="2"/>
      <c r="I56" s="2"/>
      <c r="J56" s="2"/>
      <c r="K56" s="2"/>
      <c r="L56" s="2"/>
    </row>
    <row r="57" ht="15.75" customHeight="1" spans="2:12" x14ac:dyDescent="0.25">
      <c r="B57" s="2"/>
      <c r="C57" s="2"/>
      <c r="D57" s="2"/>
      <c r="E57" s="2"/>
      <c r="F57" s="2"/>
      <c r="G57" s="2"/>
      <c r="H57" s="2"/>
      <c r="I57" s="2"/>
      <c r="J57" s="2"/>
      <c r="K57" s="2"/>
      <c r="L57" s="2"/>
    </row>
    <row r="58" ht="15.75" customHeight="1" spans="2:12" x14ac:dyDescent="0.25">
      <c r="B58" s="2"/>
      <c r="C58" s="2"/>
      <c r="D58" s="2"/>
      <c r="E58" s="2"/>
      <c r="F58" s="2"/>
      <c r="G58" s="2"/>
      <c r="H58" s="2"/>
      <c r="I58" s="2"/>
      <c r="J58" s="2"/>
      <c r="K58" s="2"/>
      <c r="L58" s="2"/>
    </row>
    <row r="59" ht="15.75" customHeight="1" spans="2:12" x14ac:dyDescent="0.25">
      <c r="B59" s="2"/>
      <c r="C59" s="2"/>
      <c r="D59" s="2"/>
      <c r="E59" s="2"/>
      <c r="F59" s="2"/>
      <c r="G59" s="2"/>
      <c r="H59" s="2"/>
      <c r="I59" s="2"/>
      <c r="J59" s="2"/>
      <c r="K59" s="2"/>
      <c r="L59" s="2"/>
    </row>
    <row r="60" ht="15.75" customHeight="1" spans="2:12" x14ac:dyDescent="0.25">
      <c r="B60" s="2"/>
      <c r="C60" s="2"/>
      <c r="D60" s="2"/>
      <c r="E60" s="2"/>
      <c r="F60" s="2"/>
      <c r="G60" s="2"/>
      <c r="H60" s="2"/>
      <c r="I60" s="2"/>
      <c r="J60" s="2"/>
      <c r="K60" s="2"/>
      <c r="L60" s="2"/>
    </row>
    <row r="61" ht="15.75" customHeight="1" spans="2:12" x14ac:dyDescent="0.25">
      <c r="B61" s="2"/>
      <c r="C61" s="2"/>
      <c r="D61" s="2"/>
      <c r="E61" s="2"/>
      <c r="F61" s="2"/>
      <c r="G61" s="2"/>
      <c r="H61" s="2"/>
      <c r="I61" s="2"/>
      <c r="J61" s="2"/>
      <c r="K61" s="2"/>
      <c r="L61" s="2"/>
    </row>
    <row r="62" ht="15.75" customHeight="1" spans="2:12" x14ac:dyDescent="0.25">
      <c r="B62" s="2"/>
      <c r="C62" s="2"/>
      <c r="D62" s="2"/>
      <c r="E62" s="2"/>
      <c r="F62" s="2"/>
      <c r="G62" s="2"/>
      <c r="H62" s="2"/>
      <c r="I62" s="2"/>
      <c r="J62" s="2"/>
      <c r="K62" s="2"/>
      <c r="L62" s="2"/>
    </row>
    <row r="63" ht="15.75" customHeight="1" spans="2:12" x14ac:dyDescent="0.25">
      <c r="B63" s="2"/>
      <c r="C63" s="2"/>
      <c r="D63" s="2"/>
      <c r="E63" s="2"/>
      <c r="F63" s="2"/>
      <c r="G63" s="2"/>
      <c r="H63" s="2"/>
      <c r="I63" s="2"/>
      <c r="J63" s="2"/>
      <c r="K63" s="2"/>
      <c r="L63" s="2"/>
    </row>
    <row r="64" ht="15.75" customHeight="1" spans="2:12" x14ac:dyDescent="0.25">
      <c r="B64" s="2"/>
      <c r="C64" s="2"/>
      <c r="D64" s="2"/>
      <c r="E64" s="2"/>
      <c r="F64" s="2"/>
      <c r="G64" s="2"/>
      <c r="H64" s="2"/>
      <c r="I64" s="2"/>
      <c r="J64" s="2"/>
      <c r="K64" s="2"/>
      <c r="L64" s="2"/>
    </row>
    <row r="65" ht="15.75" customHeight="1" spans="2:12" x14ac:dyDescent="0.25">
      <c r="B65" s="2"/>
      <c r="C65" s="2"/>
      <c r="D65" s="2"/>
      <c r="E65" s="2"/>
      <c r="F65" s="2"/>
      <c r="G65" s="2"/>
      <c r="H65" s="2"/>
      <c r="I65" s="2"/>
      <c r="J65" s="2"/>
      <c r="K65" s="2"/>
      <c r="L65" s="2"/>
    </row>
    <row r="66" ht="15.75" customHeight="1" spans="2:12" x14ac:dyDescent="0.25">
      <c r="B66" s="2"/>
      <c r="C66" s="2"/>
      <c r="D66" s="2"/>
      <c r="E66" s="2"/>
      <c r="F66" s="2"/>
      <c r="G66" s="2"/>
      <c r="H66" s="2"/>
      <c r="I66" s="2"/>
      <c r="J66" s="2"/>
      <c r="K66" s="2"/>
      <c r="L66" s="2"/>
    </row>
    <row r="67" ht="15.75" customHeight="1" spans="2:12" x14ac:dyDescent="0.25">
      <c r="B67" s="2"/>
      <c r="C67" s="2"/>
      <c r="D67" s="2"/>
      <c r="E67" s="2"/>
      <c r="F67" s="2"/>
      <c r="G67" s="2"/>
      <c r="H67" s="2"/>
      <c r="I67" s="2"/>
      <c r="J67" s="2"/>
      <c r="K67" s="2"/>
      <c r="L67" s="2"/>
    </row>
    <row r="68" ht="15.75" customHeight="1" spans="2:12" x14ac:dyDescent="0.25">
      <c r="B68" s="2"/>
      <c r="C68" s="2"/>
      <c r="D68" s="2"/>
      <c r="E68" s="2"/>
      <c r="F68" s="2"/>
      <c r="G68" s="2"/>
      <c r="H68" s="2"/>
      <c r="I68" s="2"/>
      <c r="J68" s="2"/>
      <c r="K68" s="2"/>
      <c r="L68" s="2"/>
    </row>
    <row r="69" ht="15.75" customHeight="1" spans="2:12" x14ac:dyDescent="0.25">
      <c r="B69" s="2"/>
      <c r="C69" s="2"/>
      <c r="D69" s="2"/>
      <c r="E69" s="2"/>
      <c r="F69" s="2"/>
      <c r="G69" s="2"/>
      <c r="H69" s="2"/>
      <c r="I69" s="2"/>
      <c r="J69" s="2"/>
      <c r="K69" s="2"/>
      <c r="L69" s="2"/>
    </row>
    <row r="70" ht="15.75" customHeight="1" spans="2:12" x14ac:dyDescent="0.25">
      <c r="B70" s="2"/>
      <c r="C70" s="2"/>
      <c r="D70" s="2"/>
      <c r="E70" s="2"/>
      <c r="F70" s="2"/>
      <c r="G70" s="2"/>
      <c r="H70" s="2"/>
      <c r="I70" s="2"/>
      <c r="J70" s="2"/>
      <c r="K70" s="2"/>
      <c r="L70" s="2"/>
    </row>
    <row r="71" ht="15.75" customHeight="1" spans="2:12" x14ac:dyDescent="0.25">
      <c r="B71" s="2"/>
      <c r="C71" s="2"/>
      <c r="D71" s="2"/>
      <c r="E71" s="2"/>
      <c r="F71" s="2"/>
      <c r="G71" s="2"/>
      <c r="H71" s="2"/>
      <c r="I71" s="2"/>
      <c r="J71" s="2"/>
      <c r="K71" s="2"/>
      <c r="L71" s="2"/>
    </row>
    <row r="72" ht="15.75" customHeight="1" spans="2:12" x14ac:dyDescent="0.25">
      <c r="B72" s="2"/>
      <c r="C72" s="2"/>
      <c r="D72" s="2"/>
      <c r="E72" s="2"/>
      <c r="F72" s="2"/>
      <c r="G72" s="2"/>
      <c r="H72" s="2"/>
      <c r="I72" s="2"/>
      <c r="J72" s="2"/>
      <c r="K72" s="2"/>
      <c r="L72" s="2"/>
    </row>
    <row r="73" ht="15.75" customHeight="1" spans="2:12" x14ac:dyDescent="0.25">
      <c r="B73" s="2"/>
      <c r="C73" s="2"/>
      <c r="D73" s="2"/>
      <c r="E73" s="2"/>
      <c r="F73" s="2"/>
      <c r="G73" s="2"/>
      <c r="H73" s="2"/>
      <c r="I73" s="2"/>
      <c r="J73" s="2"/>
      <c r="K73" s="2"/>
      <c r="L73" s="2"/>
    </row>
    <row r="74" ht="15.75" customHeight="1" spans="2:12" x14ac:dyDescent="0.25">
      <c r="B74" s="2"/>
      <c r="C74" s="2"/>
      <c r="D74" s="2"/>
      <c r="E74" s="2"/>
      <c r="F74" s="2"/>
      <c r="G74" s="2"/>
      <c r="H74" s="2"/>
      <c r="I74" s="2"/>
      <c r="J74" s="2"/>
      <c r="K74" s="2"/>
      <c r="L74" s="2"/>
    </row>
    <row r="75" ht="15.75" customHeight="1" spans="2:12" x14ac:dyDescent="0.25">
      <c r="B75" s="2"/>
      <c r="C75" s="2"/>
      <c r="D75" s="2"/>
      <c r="E75" s="2"/>
      <c r="F75" s="2"/>
      <c r="G75" s="2"/>
      <c r="H75" s="2"/>
      <c r="I75" s="2"/>
      <c r="J75" s="2"/>
      <c r="K75" s="2"/>
      <c r="L75" s="2"/>
    </row>
    <row r="76" ht="15.75" customHeight="1" spans="2:12" x14ac:dyDescent="0.25">
      <c r="B76" s="2"/>
      <c r="C76" s="2"/>
      <c r="D76" s="2"/>
      <c r="E76" s="2"/>
      <c r="F76" s="2"/>
      <c r="G76" s="2"/>
      <c r="H76" s="2"/>
      <c r="I76" s="2"/>
      <c r="J76" s="2"/>
      <c r="K76" s="2"/>
      <c r="L76" s="2"/>
    </row>
    <row r="77" ht="15.75" customHeight="1" spans="2:12" x14ac:dyDescent="0.25">
      <c r="B77" s="2"/>
      <c r="C77" s="2"/>
      <c r="D77" s="2"/>
      <c r="E77" s="2"/>
      <c r="F77" s="2"/>
      <c r="G77" s="2"/>
      <c r="H77" s="2"/>
      <c r="I77" s="2"/>
      <c r="J77" s="2"/>
      <c r="K77" s="2"/>
      <c r="L77" s="2"/>
    </row>
    <row r="78" ht="15.75" customHeight="1" spans="2:12" x14ac:dyDescent="0.25">
      <c r="B78" s="2"/>
      <c r="C78" s="2"/>
      <c r="D78" s="2"/>
      <c r="E78" s="2"/>
      <c r="F78" s="2"/>
      <c r="G78" s="2"/>
      <c r="H78" s="2"/>
      <c r="I78" s="2"/>
      <c r="J78" s="2"/>
      <c r="K78" s="2"/>
      <c r="L78" s="2"/>
    </row>
    <row r="79" ht="15.75" customHeight="1" spans="2:12" x14ac:dyDescent="0.25">
      <c r="B79" s="2"/>
      <c r="C79" s="2"/>
      <c r="D79" s="2"/>
      <c r="E79" s="2"/>
      <c r="F79" s="2"/>
      <c r="G79" s="2"/>
      <c r="H79" s="2"/>
      <c r="I79" s="2"/>
      <c r="J79" s="2"/>
      <c r="K79" s="2"/>
      <c r="L79" s="2"/>
    </row>
    <row r="80" ht="15.75" customHeight="1" spans="2:12" x14ac:dyDescent="0.25">
      <c r="B80" s="2"/>
      <c r="C80" s="2"/>
      <c r="D80" s="2"/>
      <c r="E80" s="2"/>
      <c r="F80" s="2"/>
      <c r="G80" s="2"/>
      <c r="H80" s="2"/>
      <c r="I80" s="2"/>
      <c r="J80" s="2"/>
      <c r="K80" s="2"/>
      <c r="L80" s="2"/>
    </row>
    <row r="81" ht="15.75" customHeight="1" spans="2:12" x14ac:dyDescent="0.25">
      <c r="B81" s="2"/>
      <c r="C81" s="2"/>
      <c r="D81" s="2"/>
      <c r="E81" s="2"/>
      <c r="F81" s="2"/>
      <c r="G81" s="2"/>
      <c r="H81" s="2"/>
      <c r="I81" s="2"/>
      <c r="J81" s="2"/>
      <c r="K81" s="2"/>
      <c r="L81" s="2"/>
    </row>
    <row r="82" ht="15.75" customHeight="1" spans="2:12" x14ac:dyDescent="0.25">
      <c r="B82" s="2"/>
      <c r="C82" s="2"/>
      <c r="D82" s="2"/>
      <c r="E82" s="2"/>
      <c r="F82" s="2"/>
      <c r="G82" s="2"/>
      <c r="H82" s="2"/>
      <c r="I82" s="2"/>
      <c r="J82" s="2"/>
      <c r="K82" s="2"/>
      <c r="L82" s="2"/>
    </row>
    <row r="83" ht="15.75" customHeight="1" spans="2:12" x14ac:dyDescent="0.25">
      <c r="B83" s="2"/>
      <c r="C83" s="2"/>
      <c r="D83" s="2"/>
      <c r="E83" s="2"/>
      <c r="F83" s="2"/>
      <c r="G83" s="2"/>
      <c r="H83" s="2"/>
      <c r="I83" s="2"/>
      <c r="J83" s="2"/>
      <c r="K83" s="2"/>
      <c r="L83" s="2"/>
    </row>
    <row r="84" ht="15.75" customHeight="1" spans="2:12" x14ac:dyDescent="0.25">
      <c r="B84" s="2"/>
      <c r="C84" s="2"/>
      <c r="D84" s="2"/>
      <c r="E84" s="2"/>
      <c r="F84" s="2"/>
      <c r="G84" s="2"/>
      <c r="H84" s="2"/>
      <c r="I84" s="2"/>
      <c r="J84" s="2"/>
      <c r="K84" s="2"/>
      <c r="L84" s="2"/>
    </row>
    <row r="85" ht="15.75" customHeight="1" spans="2:12" x14ac:dyDescent="0.25">
      <c r="B85" s="2"/>
      <c r="C85" s="2"/>
      <c r="D85" s="2"/>
      <c r="E85" s="2"/>
      <c r="F85" s="2"/>
      <c r="G85" s="2"/>
      <c r="H85" s="2"/>
      <c r="I85" s="2"/>
      <c r="J85" s="2"/>
      <c r="K85" s="2"/>
      <c r="L85" s="2"/>
    </row>
    <row r="86" ht="15.75" customHeight="1" spans="2:12" x14ac:dyDescent="0.25">
      <c r="B86" s="2"/>
      <c r="C86" s="2"/>
      <c r="D86" s="2"/>
      <c r="E86" s="2"/>
      <c r="F86" s="2"/>
      <c r="G86" s="2"/>
      <c r="H86" s="2"/>
      <c r="I86" s="2"/>
      <c r="J86" s="2"/>
      <c r="K86" s="2"/>
      <c r="L86" s="2"/>
    </row>
    <row r="87" ht="15.75" customHeight="1" spans="2:12" x14ac:dyDescent="0.25">
      <c r="B87" s="2"/>
      <c r="C87" s="2"/>
      <c r="D87" s="2"/>
      <c r="E87" s="2"/>
      <c r="F87" s="2"/>
      <c r="G87" s="2"/>
      <c r="H87" s="2"/>
      <c r="I87" s="2"/>
      <c r="J87" s="2"/>
      <c r="K87" s="2"/>
      <c r="L87" s="2"/>
    </row>
    <row r="88" ht="15.75" customHeight="1" spans="2:12" x14ac:dyDescent="0.25">
      <c r="B88" s="2"/>
      <c r="C88" s="2"/>
      <c r="D88" s="2"/>
      <c r="E88" s="2"/>
      <c r="F88" s="2"/>
      <c r="G88" s="2"/>
      <c r="H88" s="2"/>
      <c r="I88" s="2"/>
      <c r="J88" s="2"/>
      <c r="K88" s="2"/>
      <c r="L88" s="2"/>
    </row>
    <row r="89" ht="15.75" customHeight="1" spans="2:12" x14ac:dyDescent="0.25">
      <c r="B89" s="2"/>
      <c r="C89" s="2"/>
      <c r="D89" s="2"/>
      <c r="E89" s="2"/>
      <c r="F89" s="2"/>
      <c r="G89" s="2"/>
      <c r="H89" s="2"/>
      <c r="I89" s="2"/>
      <c r="J89" s="2"/>
      <c r="K89" s="2"/>
      <c r="L89" s="2"/>
    </row>
    <row r="90" ht="15.75" customHeight="1" spans="2:12" x14ac:dyDescent="0.25">
      <c r="B90" s="2"/>
      <c r="C90" s="2"/>
      <c r="D90" s="2"/>
      <c r="E90" s="2"/>
      <c r="F90" s="2"/>
      <c r="G90" s="2"/>
      <c r="H90" s="2"/>
      <c r="I90" s="2"/>
      <c r="J90" s="2"/>
      <c r="K90" s="2"/>
      <c r="L90" s="2"/>
    </row>
    <row r="91" ht="15.75" customHeight="1" spans="2:12" x14ac:dyDescent="0.25">
      <c r="B91" s="2"/>
      <c r="C91" s="2"/>
      <c r="D91" s="2"/>
      <c r="E91" s="2"/>
      <c r="F91" s="2"/>
      <c r="G91" s="2"/>
      <c r="H91" s="2"/>
      <c r="I91" s="2"/>
      <c r="J91" s="2"/>
      <c r="K91" s="2"/>
      <c r="L91" s="2"/>
    </row>
    <row r="92" ht="15.75" customHeight="1" spans="2:12" x14ac:dyDescent="0.25">
      <c r="B92" s="2"/>
      <c r="C92" s="2"/>
      <c r="D92" s="2"/>
      <c r="E92" s="2"/>
      <c r="F92" s="2"/>
      <c r="G92" s="2"/>
      <c r="H92" s="2"/>
      <c r="I92" s="2"/>
      <c r="J92" s="2"/>
      <c r="K92" s="2"/>
      <c r="L92" s="2"/>
    </row>
    <row r="93" ht="15.75" customHeight="1" spans="2:12" x14ac:dyDescent="0.25">
      <c r="B93" s="2"/>
      <c r="C93" s="2"/>
      <c r="D93" s="2"/>
      <c r="E93" s="2"/>
      <c r="F93" s="2"/>
      <c r="G93" s="2"/>
      <c r="H93" s="2"/>
      <c r="I93" s="2"/>
      <c r="J93" s="2"/>
      <c r="K93" s="2"/>
      <c r="L93" s="2"/>
    </row>
    <row r="94" ht="15.75" customHeight="1" spans="2:12" x14ac:dyDescent="0.25">
      <c r="B94" s="2"/>
      <c r="C94" s="2"/>
      <c r="D94" s="2"/>
      <c r="E94" s="2"/>
      <c r="F94" s="2"/>
      <c r="G94" s="2"/>
      <c r="H94" s="2"/>
      <c r="I94" s="2"/>
      <c r="J94" s="2"/>
      <c r="K94" s="2"/>
      <c r="L94" s="2"/>
    </row>
    <row r="95" ht="15.75" customHeight="1" spans="2:12" x14ac:dyDescent="0.25">
      <c r="B95" s="2"/>
      <c r="C95" s="2"/>
      <c r="D95" s="2"/>
      <c r="E95" s="2"/>
      <c r="F95" s="2"/>
      <c r="G95" s="2"/>
      <c r="H95" s="2"/>
      <c r="I95" s="2"/>
      <c r="J95" s="2"/>
      <c r="K95" s="2"/>
      <c r="L95" s="2"/>
    </row>
    <row r="96" ht="15.75" customHeight="1" spans="2:12" x14ac:dyDescent="0.25">
      <c r="B96" s="2"/>
      <c r="C96" s="2"/>
      <c r="D96" s="2"/>
      <c r="E96" s="2"/>
      <c r="F96" s="2"/>
      <c r="G96" s="2"/>
      <c r="H96" s="2"/>
      <c r="I96" s="2"/>
      <c r="J96" s="2"/>
      <c r="K96" s="2"/>
      <c r="L96" s="2"/>
    </row>
    <row r="97" ht="15.75" customHeight="1" spans="2:12" x14ac:dyDescent="0.25">
      <c r="B97" s="2"/>
      <c r="C97" s="2"/>
      <c r="D97" s="2"/>
      <c r="E97" s="2"/>
      <c r="F97" s="2"/>
      <c r="G97" s="2"/>
      <c r="H97" s="2"/>
      <c r="I97" s="2"/>
      <c r="J97" s="2"/>
      <c r="K97" s="2"/>
      <c r="L97" s="2"/>
    </row>
    <row r="98" ht="15.75" customHeight="1" spans="2:12" x14ac:dyDescent="0.25">
      <c r="B98" s="2"/>
      <c r="C98" s="2"/>
      <c r="D98" s="2"/>
      <c r="E98" s="2"/>
      <c r="F98" s="2"/>
      <c r="G98" s="2"/>
      <c r="H98" s="2"/>
      <c r="I98" s="2"/>
      <c r="J98" s="2"/>
      <c r="K98" s="2"/>
      <c r="L98" s="2"/>
    </row>
    <row r="99" ht="15.75" customHeight="1" spans="2:12" x14ac:dyDescent="0.25">
      <c r="B99" s="2"/>
      <c r="C99" s="2"/>
      <c r="D99" s="2"/>
      <c r="E99" s="2"/>
      <c r="F99" s="2"/>
      <c r="G99" s="2"/>
      <c r="H99" s="2"/>
      <c r="I99" s="2"/>
      <c r="J99" s="2"/>
      <c r="K99" s="2"/>
      <c r="L99" s="2"/>
    </row>
    <row r="100" ht="15.75" customHeight="1" spans="2:12" x14ac:dyDescent="0.25">
      <c r="B100" s="2"/>
      <c r="C100" s="2"/>
      <c r="D100" s="2"/>
      <c r="E100" s="2"/>
      <c r="F100" s="2"/>
      <c r="G100" s="2"/>
      <c r="H100" s="2"/>
      <c r="I100" s="2"/>
      <c r="J100" s="2"/>
      <c r="K100" s="2"/>
      <c r="L100" s="2"/>
    </row>
    <row r="101" ht="15.75" customHeight="1" spans="2:12" x14ac:dyDescent="0.25">
      <c r="B101" s="2"/>
      <c r="C101" s="2"/>
      <c r="D101" s="2"/>
      <c r="E101" s="2"/>
      <c r="F101" s="2"/>
      <c r="G101" s="2"/>
      <c r="H101" s="2"/>
      <c r="I101" s="2"/>
      <c r="J101" s="2"/>
      <c r="K101" s="2"/>
      <c r="L101" s="2"/>
    </row>
    <row r="102" ht="15.75" customHeight="1" spans="2:12" x14ac:dyDescent="0.25">
      <c r="B102" s="2"/>
      <c r="C102" s="2"/>
      <c r="D102" s="2"/>
      <c r="E102" s="2"/>
      <c r="F102" s="2"/>
      <c r="G102" s="2"/>
      <c r="H102" s="2"/>
      <c r="I102" s="2"/>
      <c r="J102" s="2"/>
      <c r="K102" s="2"/>
      <c r="L102" s="2"/>
    </row>
    <row r="103" ht="15.75" customHeight="1" spans="2:12" x14ac:dyDescent="0.25">
      <c r="B103" s="2"/>
      <c r="C103" s="2"/>
      <c r="D103" s="2"/>
      <c r="E103" s="2"/>
      <c r="F103" s="2"/>
      <c r="G103" s="2"/>
      <c r="H103" s="2"/>
      <c r="I103" s="2"/>
      <c r="J103" s="2"/>
      <c r="K103" s="2"/>
      <c r="L103" s="2"/>
    </row>
    <row r="104" ht="15.75" customHeight="1" spans="2:12" x14ac:dyDescent="0.25">
      <c r="B104" s="2"/>
      <c r="C104" s="2"/>
      <c r="D104" s="2"/>
      <c r="E104" s="2"/>
      <c r="F104" s="2"/>
      <c r="G104" s="2"/>
      <c r="H104" s="2"/>
      <c r="I104" s="2"/>
      <c r="J104" s="2"/>
      <c r="K104" s="2"/>
      <c r="L104" s="2"/>
    </row>
    <row r="105" ht="15.75" customHeight="1" spans="2:12" x14ac:dyDescent="0.25">
      <c r="B105" s="2"/>
      <c r="C105" s="2"/>
      <c r="D105" s="2"/>
      <c r="E105" s="2"/>
      <c r="F105" s="2"/>
      <c r="G105" s="2"/>
      <c r="H105" s="2"/>
      <c r="I105" s="2"/>
      <c r="J105" s="2"/>
      <c r="K105" s="2"/>
      <c r="L105" s="2"/>
    </row>
    <row r="106" ht="15.75" customHeight="1" spans="2:12" x14ac:dyDescent="0.25">
      <c r="B106" s="2"/>
      <c r="C106" s="2"/>
      <c r="D106" s="2"/>
      <c r="E106" s="2"/>
      <c r="F106" s="2"/>
      <c r="G106" s="2"/>
      <c r="H106" s="2"/>
      <c r="I106" s="2"/>
      <c r="J106" s="2"/>
      <c r="K106" s="2"/>
      <c r="L106" s="2"/>
    </row>
    <row r="107" ht="15.75" customHeight="1" spans="2:12" x14ac:dyDescent="0.25">
      <c r="B107" s="2"/>
      <c r="C107" s="2"/>
      <c r="D107" s="2"/>
      <c r="E107" s="2"/>
      <c r="F107" s="2"/>
      <c r="G107" s="2"/>
      <c r="H107" s="2"/>
      <c r="I107" s="2"/>
      <c r="J107" s="2"/>
      <c r="K107" s="2"/>
      <c r="L107" s="2"/>
    </row>
    <row r="108" ht="15.75" customHeight="1" spans="2:12" x14ac:dyDescent="0.25">
      <c r="B108" s="2"/>
      <c r="C108" s="2"/>
      <c r="D108" s="2"/>
      <c r="E108" s="2"/>
      <c r="F108" s="2"/>
      <c r="G108" s="2"/>
      <c r="H108" s="2"/>
      <c r="I108" s="2"/>
      <c r="J108" s="2"/>
      <c r="K108" s="2"/>
      <c r="L108" s="2"/>
    </row>
    <row r="109" ht="15.75" customHeight="1" spans="2:12" x14ac:dyDescent="0.25">
      <c r="B109" s="2"/>
      <c r="C109" s="2"/>
      <c r="D109" s="2"/>
      <c r="E109" s="2"/>
      <c r="F109" s="2"/>
      <c r="G109" s="2"/>
      <c r="H109" s="2"/>
      <c r="I109" s="2"/>
      <c r="J109" s="2"/>
      <c r="K109" s="2"/>
      <c r="L109" s="2"/>
    </row>
    <row r="110" ht="15.75" customHeight="1" spans="2:12" x14ac:dyDescent="0.25">
      <c r="B110" s="2"/>
      <c r="C110" s="2"/>
      <c r="D110" s="2"/>
      <c r="E110" s="2"/>
      <c r="F110" s="2"/>
      <c r="G110" s="2"/>
      <c r="H110" s="2"/>
      <c r="I110" s="2"/>
      <c r="J110" s="2"/>
      <c r="K110" s="2"/>
      <c r="L110" s="2"/>
    </row>
    <row r="111" ht="15.75" customHeight="1" spans="2:12" x14ac:dyDescent="0.25">
      <c r="B111" s="2"/>
      <c r="C111" s="2"/>
      <c r="D111" s="2"/>
      <c r="E111" s="2"/>
      <c r="F111" s="2"/>
      <c r="G111" s="2"/>
      <c r="H111" s="2"/>
      <c r="I111" s="2"/>
      <c r="J111" s="2"/>
      <c r="K111" s="2"/>
      <c r="L111" s="2"/>
    </row>
    <row r="112" ht="15.75" customHeight="1" spans="2:12" x14ac:dyDescent="0.25">
      <c r="B112" s="2"/>
      <c r="C112" s="2"/>
      <c r="D112" s="2"/>
      <c r="E112" s="2"/>
      <c r="F112" s="2"/>
      <c r="G112" s="2"/>
      <c r="H112" s="2"/>
      <c r="I112" s="2"/>
      <c r="J112" s="2"/>
      <c r="K112" s="2"/>
      <c r="L112" s="2"/>
    </row>
    <row r="113" ht="15.75" customHeight="1" spans="2:12" x14ac:dyDescent="0.25">
      <c r="B113" s="2"/>
      <c r="C113" s="2"/>
      <c r="D113" s="2"/>
      <c r="E113" s="2"/>
      <c r="F113" s="2"/>
      <c r="G113" s="2"/>
      <c r="H113" s="2"/>
      <c r="I113" s="2"/>
      <c r="J113" s="2"/>
      <c r="K113" s="2"/>
      <c r="L113" s="2"/>
    </row>
    <row r="114" ht="15.75" customHeight="1" spans="2:12" x14ac:dyDescent="0.25">
      <c r="B114" s="2"/>
      <c r="C114" s="2"/>
      <c r="D114" s="2"/>
      <c r="E114" s="2"/>
      <c r="F114" s="2"/>
      <c r="G114" s="2"/>
      <c r="H114" s="2"/>
      <c r="I114" s="2"/>
      <c r="J114" s="2"/>
      <c r="K114" s="2"/>
      <c r="L114" s="2"/>
    </row>
    <row r="115" ht="15.75" customHeight="1" spans="2:12" x14ac:dyDescent="0.25">
      <c r="B115" s="2"/>
      <c r="C115" s="2"/>
      <c r="D115" s="2"/>
      <c r="E115" s="2"/>
      <c r="F115" s="2"/>
      <c r="G115" s="2"/>
      <c r="H115" s="2"/>
      <c r="I115" s="2"/>
      <c r="J115" s="2"/>
      <c r="K115" s="2"/>
      <c r="L115" s="2"/>
    </row>
    <row r="116" ht="15.75" customHeight="1" spans="2:12" x14ac:dyDescent="0.25">
      <c r="B116" s="2"/>
      <c r="C116" s="2"/>
      <c r="D116" s="2"/>
      <c r="E116" s="2"/>
      <c r="F116" s="2"/>
      <c r="G116" s="2"/>
      <c r="H116" s="2"/>
      <c r="I116" s="2"/>
      <c r="J116" s="2"/>
      <c r="K116" s="2"/>
      <c r="L116" s="2"/>
    </row>
    <row r="117" ht="15.75" customHeight="1" spans="2:12" x14ac:dyDescent="0.25">
      <c r="B117" s="2"/>
      <c r="C117" s="2"/>
      <c r="D117" s="2"/>
      <c r="E117" s="2"/>
      <c r="F117" s="2"/>
      <c r="G117" s="2"/>
      <c r="H117" s="2"/>
      <c r="I117" s="2"/>
      <c r="J117" s="2"/>
      <c r="K117" s="2"/>
      <c r="L117" s="2"/>
    </row>
    <row r="118" ht="15.75" customHeight="1" spans="2:12" x14ac:dyDescent="0.25">
      <c r="B118" s="2"/>
      <c r="C118" s="2"/>
      <c r="D118" s="2"/>
      <c r="E118" s="2"/>
      <c r="F118" s="2"/>
      <c r="G118" s="2"/>
      <c r="H118" s="2"/>
      <c r="I118" s="2"/>
      <c r="J118" s="2"/>
      <c r="K118" s="2"/>
      <c r="L118" s="2"/>
    </row>
    <row r="119" ht="15.75" customHeight="1" spans="2:12" x14ac:dyDescent="0.25">
      <c r="B119" s="2"/>
      <c r="C119" s="2"/>
      <c r="D119" s="2"/>
      <c r="E119" s="2"/>
      <c r="F119" s="2"/>
      <c r="G119" s="2"/>
      <c r="H119" s="2"/>
      <c r="I119" s="2"/>
      <c r="J119" s="2"/>
      <c r="K119" s="2"/>
      <c r="L119" s="2"/>
    </row>
    <row r="120" ht="15.75" customHeight="1" spans="2:12" x14ac:dyDescent="0.25">
      <c r="B120" s="2"/>
      <c r="C120" s="2"/>
      <c r="D120" s="2"/>
      <c r="E120" s="2"/>
      <c r="F120" s="2"/>
      <c r="G120" s="2"/>
      <c r="H120" s="2"/>
      <c r="I120" s="2"/>
      <c r="J120" s="2"/>
      <c r="K120" s="2"/>
      <c r="L120" s="2"/>
    </row>
    <row r="121" ht="15.75" customHeight="1" spans="2:12" x14ac:dyDescent="0.25">
      <c r="B121" s="2"/>
      <c r="C121" s="2"/>
      <c r="D121" s="2"/>
      <c r="E121" s="2"/>
      <c r="F121" s="2"/>
      <c r="G121" s="2"/>
      <c r="H121" s="2"/>
      <c r="I121" s="2"/>
      <c r="J121" s="2"/>
      <c r="K121" s="2"/>
      <c r="L121" s="2"/>
    </row>
    <row r="122" ht="15.75" customHeight="1" spans="2:12" x14ac:dyDescent="0.25">
      <c r="B122" s="2"/>
      <c r="C122" s="2"/>
      <c r="D122" s="2"/>
      <c r="E122" s="2"/>
      <c r="F122" s="2"/>
      <c r="G122" s="2"/>
      <c r="H122" s="2"/>
      <c r="I122" s="2"/>
      <c r="J122" s="2"/>
      <c r="K122" s="2"/>
      <c r="L122" s="2"/>
    </row>
    <row r="123" ht="15.75" customHeight="1" spans="2:12" x14ac:dyDescent="0.25">
      <c r="B123" s="2"/>
      <c r="C123" s="2"/>
      <c r="D123" s="2"/>
      <c r="E123" s="2"/>
      <c r="F123" s="2"/>
      <c r="G123" s="2"/>
      <c r="H123" s="2"/>
      <c r="I123" s="2"/>
      <c r="J123" s="2"/>
      <c r="K123" s="2"/>
      <c r="L123" s="2"/>
    </row>
    <row r="124" ht="15.75" customHeight="1" spans="2:12" x14ac:dyDescent="0.25">
      <c r="B124" s="2"/>
      <c r="C124" s="2"/>
      <c r="D124" s="2"/>
      <c r="E124" s="2"/>
      <c r="F124" s="2"/>
      <c r="G124" s="2"/>
      <c r="H124" s="2"/>
      <c r="I124" s="2"/>
      <c r="J124" s="2"/>
      <c r="K124" s="2"/>
      <c r="L124" s="2"/>
    </row>
    <row r="125" ht="15.75" customHeight="1" spans="2:12" x14ac:dyDescent="0.25">
      <c r="B125" s="2"/>
      <c r="C125" s="2"/>
      <c r="D125" s="2"/>
      <c r="E125" s="2"/>
      <c r="F125" s="2"/>
      <c r="G125" s="2"/>
      <c r="H125" s="2"/>
      <c r="I125" s="2"/>
      <c r="J125" s="2"/>
      <c r="K125" s="2"/>
      <c r="L125" s="2"/>
    </row>
    <row r="126" ht="15.75" customHeight="1" spans="2:12" x14ac:dyDescent="0.25">
      <c r="B126" s="2"/>
      <c r="C126" s="2"/>
      <c r="D126" s="2"/>
      <c r="E126" s="2"/>
      <c r="F126" s="2"/>
      <c r="G126" s="2"/>
      <c r="H126" s="2"/>
      <c r="I126" s="2"/>
      <c r="J126" s="2"/>
      <c r="K126" s="2"/>
      <c r="L126" s="2"/>
    </row>
    <row r="127" ht="15.75" customHeight="1" spans="2:12" x14ac:dyDescent="0.25">
      <c r="B127" s="2"/>
      <c r="C127" s="2"/>
      <c r="D127" s="2"/>
      <c r="E127" s="2"/>
      <c r="F127" s="2"/>
      <c r="G127" s="2"/>
      <c r="H127" s="2"/>
      <c r="I127" s="2"/>
      <c r="J127" s="2"/>
      <c r="K127" s="2"/>
      <c r="L127" s="2"/>
    </row>
    <row r="128" ht="15.75" customHeight="1" spans="2:12" x14ac:dyDescent="0.25">
      <c r="B128" s="2"/>
      <c r="C128" s="2"/>
      <c r="D128" s="2"/>
      <c r="E128" s="2"/>
      <c r="F128" s="2"/>
      <c r="G128" s="2"/>
      <c r="H128" s="2"/>
      <c r="I128" s="2"/>
      <c r="J128" s="2"/>
      <c r="K128" s="2"/>
      <c r="L128" s="2"/>
    </row>
    <row r="129" ht="15.75" customHeight="1" spans="2:12" x14ac:dyDescent="0.25">
      <c r="B129" s="2"/>
      <c r="C129" s="2"/>
      <c r="D129" s="2"/>
      <c r="E129" s="2"/>
      <c r="F129" s="2"/>
      <c r="G129" s="2"/>
      <c r="H129" s="2"/>
      <c r="I129" s="2"/>
      <c r="J129" s="2"/>
      <c r="K129" s="2"/>
      <c r="L129" s="2"/>
    </row>
    <row r="130" ht="15.75" customHeight="1" spans="2:12" x14ac:dyDescent="0.25">
      <c r="B130" s="2"/>
      <c r="C130" s="2"/>
      <c r="D130" s="2"/>
      <c r="E130" s="2"/>
      <c r="F130" s="2"/>
      <c r="G130" s="2"/>
      <c r="H130" s="2"/>
      <c r="I130" s="2"/>
      <c r="J130" s="2"/>
      <c r="K130" s="2"/>
      <c r="L130" s="2"/>
    </row>
    <row r="131" ht="15.75" customHeight="1" spans="2:12" x14ac:dyDescent="0.25">
      <c r="B131" s="2"/>
      <c r="C131" s="2"/>
      <c r="D131" s="2"/>
      <c r="E131" s="2"/>
      <c r="F131" s="2"/>
      <c r="G131" s="2"/>
      <c r="H131" s="2"/>
      <c r="I131" s="2"/>
      <c r="J131" s="2"/>
      <c r="K131" s="2"/>
      <c r="L131" s="2"/>
    </row>
    <row r="132" ht="15.75" customHeight="1" spans="2:12" x14ac:dyDescent="0.25">
      <c r="B132" s="2"/>
      <c r="C132" s="2"/>
      <c r="D132" s="2"/>
      <c r="E132" s="2"/>
      <c r="F132" s="2"/>
      <c r="G132" s="2"/>
      <c r="H132" s="2"/>
      <c r="I132" s="2"/>
      <c r="J132" s="2"/>
      <c r="K132" s="2"/>
      <c r="L132" s="2"/>
    </row>
    <row r="133" ht="15.75" customHeight="1" spans="2:12" x14ac:dyDescent="0.25">
      <c r="B133" s="2"/>
      <c r="C133" s="2"/>
      <c r="D133" s="2"/>
      <c r="E133" s="2"/>
      <c r="F133" s="2"/>
      <c r="G133" s="2"/>
      <c r="H133" s="2"/>
      <c r="I133" s="2"/>
      <c r="J133" s="2"/>
      <c r="K133" s="2"/>
      <c r="L133" s="2"/>
    </row>
    <row r="134" ht="15.75" customHeight="1" spans="2:12" x14ac:dyDescent="0.25">
      <c r="B134" s="2"/>
      <c r="C134" s="2"/>
      <c r="D134" s="2"/>
      <c r="E134" s="2"/>
      <c r="F134" s="2"/>
      <c r="G134" s="2"/>
      <c r="H134" s="2"/>
      <c r="I134" s="2"/>
      <c r="J134" s="2"/>
      <c r="K134" s="2"/>
      <c r="L134" s="2"/>
    </row>
    <row r="135" ht="15.75" customHeight="1" spans="2:12" x14ac:dyDescent="0.25">
      <c r="B135" s="2"/>
      <c r="C135" s="2"/>
      <c r="D135" s="2"/>
      <c r="E135" s="2"/>
      <c r="F135" s="2"/>
      <c r="G135" s="2"/>
      <c r="H135" s="2"/>
      <c r="I135" s="2"/>
      <c r="J135" s="2"/>
      <c r="K135" s="2"/>
      <c r="L135" s="2"/>
    </row>
    <row r="136" ht="15.75" customHeight="1" spans="2:12" x14ac:dyDescent="0.25">
      <c r="B136" s="2"/>
      <c r="C136" s="2"/>
      <c r="D136" s="2"/>
      <c r="E136" s="2"/>
      <c r="F136" s="2"/>
      <c r="G136" s="2"/>
      <c r="H136" s="2"/>
      <c r="I136" s="2"/>
      <c r="J136" s="2"/>
      <c r="K136" s="2"/>
      <c r="L136" s="2"/>
    </row>
    <row r="137" ht="15.75" customHeight="1" spans="2:12" x14ac:dyDescent="0.25">
      <c r="B137" s="2"/>
      <c r="C137" s="2"/>
      <c r="D137" s="2"/>
      <c r="E137" s="2"/>
      <c r="F137" s="2"/>
      <c r="G137" s="2"/>
      <c r="H137" s="2"/>
      <c r="I137" s="2"/>
      <c r="J137" s="2"/>
      <c r="K137" s="2"/>
      <c r="L137" s="2"/>
    </row>
    <row r="138" ht="15.75" customHeight="1" spans="2:12" x14ac:dyDescent="0.25">
      <c r="B138" s="2"/>
      <c r="C138" s="2"/>
      <c r="D138" s="2"/>
      <c r="E138" s="2"/>
      <c r="F138" s="2"/>
      <c r="G138" s="2"/>
      <c r="H138" s="2"/>
      <c r="I138" s="2"/>
      <c r="J138" s="2"/>
      <c r="K138" s="2"/>
      <c r="L138" s="2"/>
    </row>
    <row r="139" ht="15.75" customHeight="1" spans="2:12" x14ac:dyDescent="0.25">
      <c r="B139" s="2"/>
      <c r="C139" s="2"/>
      <c r="D139" s="2"/>
      <c r="E139" s="2"/>
      <c r="F139" s="2"/>
      <c r="G139" s="2"/>
      <c r="H139" s="2"/>
      <c r="I139" s="2"/>
      <c r="J139" s="2"/>
      <c r="K139" s="2"/>
      <c r="L139" s="2"/>
    </row>
    <row r="140" ht="15.75" customHeight="1" spans="2:12" x14ac:dyDescent="0.25">
      <c r="B140" s="2"/>
      <c r="C140" s="2"/>
      <c r="D140" s="2"/>
      <c r="E140" s="2"/>
      <c r="F140" s="2"/>
      <c r="G140" s="2"/>
      <c r="H140" s="2"/>
      <c r="I140" s="2"/>
      <c r="J140" s="2"/>
      <c r="K140" s="2"/>
      <c r="L140" s="2"/>
    </row>
    <row r="141" ht="15.75" customHeight="1" spans="2:12" x14ac:dyDescent="0.25">
      <c r="B141" s="2"/>
      <c r="C141" s="2"/>
      <c r="D141" s="2"/>
      <c r="E141" s="2"/>
      <c r="F141" s="2"/>
      <c r="G141" s="2"/>
      <c r="H141" s="2"/>
      <c r="I141" s="2"/>
      <c r="J141" s="2"/>
      <c r="K141" s="2"/>
      <c r="L141" s="2"/>
    </row>
    <row r="142" ht="15.75" customHeight="1" spans="2:12" x14ac:dyDescent="0.25">
      <c r="B142" s="2"/>
      <c r="C142" s="2"/>
      <c r="D142" s="2"/>
      <c r="E142" s="2"/>
      <c r="F142" s="2"/>
      <c r="G142" s="2"/>
      <c r="H142" s="2"/>
      <c r="I142" s="2"/>
      <c r="J142" s="2"/>
      <c r="K142" s="2"/>
      <c r="L142" s="2"/>
    </row>
    <row r="143" ht="15.75" customHeight="1" spans="2:12" x14ac:dyDescent="0.25">
      <c r="B143" s="2"/>
      <c r="C143" s="2"/>
      <c r="D143" s="2"/>
      <c r="E143" s="2"/>
      <c r="F143" s="2"/>
      <c r="G143" s="2"/>
      <c r="H143" s="2"/>
      <c r="I143" s="2"/>
      <c r="J143" s="2"/>
      <c r="K143" s="2"/>
      <c r="L143" s="2"/>
    </row>
    <row r="144" ht="15.75" customHeight="1" spans="2:12" x14ac:dyDescent="0.25">
      <c r="B144" s="2"/>
      <c r="C144" s="2"/>
      <c r="D144" s="2"/>
      <c r="E144" s="2"/>
      <c r="F144" s="2"/>
      <c r="G144" s="2"/>
      <c r="H144" s="2"/>
      <c r="I144" s="2"/>
      <c r="J144" s="2"/>
      <c r="K144" s="2"/>
      <c r="L144" s="2"/>
    </row>
    <row r="145" ht="15.75" customHeight="1" spans="2:12" x14ac:dyDescent="0.25">
      <c r="B145" s="2"/>
      <c r="C145" s="2"/>
      <c r="D145" s="2"/>
      <c r="E145" s="2"/>
      <c r="F145" s="2"/>
      <c r="G145" s="2"/>
      <c r="H145" s="2"/>
      <c r="I145" s="2"/>
      <c r="J145" s="2"/>
      <c r="K145" s="2"/>
      <c r="L145" s="2"/>
    </row>
    <row r="146" ht="15.75" customHeight="1" spans="2:12" x14ac:dyDescent="0.25">
      <c r="B146" s="2"/>
      <c r="C146" s="2"/>
      <c r="D146" s="2"/>
      <c r="E146" s="2"/>
      <c r="F146" s="2"/>
      <c r="G146" s="2"/>
      <c r="H146" s="2"/>
      <c r="I146" s="2"/>
      <c r="J146" s="2"/>
      <c r="K146" s="2"/>
      <c r="L146" s="2"/>
    </row>
    <row r="147" ht="15.75" customHeight="1" spans="2:12" x14ac:dyDescent="0.25">
      <c r="B147" s="2"/>
      <c r="C147" s="2"/>
      <c r="D147" s="2"/>
      <c r="E147" s="2"/>
      <c r="F147" s="2"/>
      <c r="G147" s="2"/>
      <c r="H147" s="2"/>
      <c r="I147" s="2"/>
      <c r="J147" s="2"/>
      <c r="K147" s="2"/>
      <c r="L147" s="2"/>
    </row>
    <row r="148" ht="15.75" customHeight="1" spans="2:12" x14ac:dyDescent="0.25">
      <c r="B148" s="2"/>
      <c r="C148" s="2"/>
      <c r="D148" s="2"/>
      <c r="E148" s="2"/>
      <c r="F148" s="2"/>
      <c r="G148" s="2"/>
      <c r="H148" s="2"/>
      <c r="I148" s="2"/>
      <c r="J148" s="2"/>
      <c r="K148" s="2"/>
      <c r="L148" s="2"/>
    </row>
    <row r="149" ht="15.75" customHeight="1" spans="2:12" x14ac:dyDescent="0.25">
      <c r="B149" s="2"/>
      <c r="C149" s="2"/>
      <c r="D149" s="2"/>
      <c r="E149" s="2"/>
      <c r="F149" s="2"/>
      <c r="G149" s="2"/>
      <c r="H149" s="2"/>
      <c r="I149" s="2"/>
      <c r="J149" s="2"/>
      <c r="K149" s="2"/>
      <c r="L149" s="2"/>
    </row>
    <row r="150" ht="15.75" customHeight="1" spans="2:12" x14ac:dyDescent="0.25">
      <c r="B150" s="2"/>
      <c r="C150" s="2"/>
      <c r="D150" s="2"/>
      <c r="E150" s="2"/>
      <c r="F150" s="2"/>
      <c r="G150" s="2"/>
      <c r="H150" s="2"/>
      <c r="I150" s="2"/>
      <c r="J150" s="2"/>
      <c r="K150" s="2"/>
      <c r="L150" s="2"/>
    </row>
    <row r="151" ht="15.75" customHeight="1" spans="2:12" x14ac:dyDescent="0.25">
      <c r="B151" s="2"/>
      <c r="C151" s="2"/>
      <c r="D151" s="2"/>
      <c r="E151" s="2"/>
      <c r="F151" s="2"/>
      <c r="G151" s="2"/>
      <c r="H151" s="2"/>
      <c r="I151" s="2"/>
      <c r="J151" s="2"/>
      <c r="K151" s="2"/>
      <c r="L151" s="2"/>
    </row>
    <row r="152" ht="15.75" customHeight="1" spans="2:12" x14ac:dyDescent="0.25">
      <c r="B152" s="2"/>
      <c r="C152" s="2"/>
      <c r="D152" s="2"/>
      <c r="E152" s="2"/>
      <c r="F152" s="2"/>
      <c r="G152" s="2"/>
      <c r="H152" s="2"/>
      <c r="I152" s="2"/>
      <c r="J152" s="2"/>
      <c r="K152" s="2"/>
      <c r="L152" s="2"/>
    </row>
    <row r="153" ht="15.75" customHeight="1" spans="2:12" x14ac:dyDescent="0.25">
      <c r="B153" s="2"/>
      <c r="C153" s="2"/>
      <c r="D153" s="2"/>
      <c r="E153" s="2"/>
      <c r="F153" s="2"/>
      <c r="G153" s="2"/>
      <c r="H153" s="2"/>
      <c r="I153" s="2"/>
      <c r="J153" s="2"/>
      <c r="K153" s="2"/>
      <c r="L153" s="2"/>
    </row>
    <row r="154" ht="15.75" customHeight="1" spans="2:12" x14ac:dyDescent="0.25">
      <c r="B154" s="2"/>
      <c r="C154" s="2"/>
      <c r="D154" s="2"/>
      <c r="E154" s="2"/>
      <c r="F154" s="2"/>
      <c r="G154" s="2"/>
      <c r="H154" s="2"/>
      <c r="I154" s="2"/>
      <c r="J154" s="2"/>
      <c r="K154" s="2"/>
      <c r="L154" s="2"/>
    </row>
    <row r="155" ht="15.75" customHeight="1" spans="2:12" x14ac:dyDescent="0.25">
      <c r="B155" s="2"/>
      <c r="C155" s="2"/>
      <c r="D155" s="2"/>
      <c r="E155" s="2"/>
      <c r="F155" s="2"/>
      <c r="G155" s="2"/>
      <c r="H155" s="2"/>
      <c r="I155" s="2"/>
      <c r="J155" s="2"/>
      <c r="K155" s="2"/>
      <c r="L155" s="2"/>
    </row>
    <row r="156" ht="15.75" customHeight="1" spans="2:12" x14ac:dyDescent="0.25">
      <c r="B156" s="2"/>
      <c r="C156" s="2"/>
      <c r="D156" s="2"/>
      <c r="E156" s="2"/>
      <c r="F156" s="2"/>
      <c r="G156" s="2"/>
      <c r="H156" s="2"/>
      <c r="I156" s="2"/>
      <c r="J156" s="2"/>
      <c r="K156" s="2"/>
      <c r="L156" s="2"/>
    </row>
    <row r="157" ht="15.75" customHeight="1" spans="2:12" x14ac:dyDescent="0.25">
      <c r="B157" s="2"/>
      <c r="C157" s="2"/>
      <c r="D157" s="2"/>
      <c r="E157" s="2"/>
      <c r="F157" s="2"/>
      <c r="G157" s="2"/>
      <c r="H157" s="2"/>
      <c r="I157" s="2"/>
      <c r="J157" s="2"/>
      <c r="K157" s="2"/>
      <c r="L157" s="2"/>
    </row>
    <row r="158" ht="15.75" customHeight="1" spans="2:12" x14ac:dyDescent="0.25">
      <c r="B158" s="2"/>
      <c r="C158" s="2"/>
      <c r="D158" s="2"/>
      <c r="E158" s="2"/>
      <c r="F158" s="2"/>
      <c r="G158" s="2"/>
      <c r="H158" s="2"/>
      <c r="I158" s="2"/>
      <c r="J158" s="2"/>
      <c r="K158" s="2"/>
      <c r="L158" s="2"/>
    </row>
    <row r="159" ht="15.75" customHeight="1" spans="2:12" x14ac:dyDescent="0.25">
      <c r="B159" s="2"/>
      <c r="C159" s="2"/>
      <c r="D159" s="2"/>
      <c r="E159" s="2"/>
      <c r="F159" s="2"/>
      <c r="G159" s="2"/>
      <c r="H159" s="2"/>
      <c r="I159" s="2"/>
      <c r="J159" s="2"/>
      <c r="K159" s="2"/>
      <c r="L159" s="2"/>
    </row>
    <row r="160" ht="15.75" customHeight="1" spans="2:12" x14ac:dyDescent="0.25">
      <c r="B160" s="2"/>
      <c r="C160" s="2"/>
      <c r="D160" s="2"/>
      <c r="E160" s="2"/>
      <c r="F160" s="2"/>
      <c r="G160" s="2"/>
      <c r="H160" s="2"/>
      <c r="I160" s="2"/>
      <c r="J160" s="2"/>
      <c r="K160" s="2"/>
      <c r="L160" s="2"/>
    </row>
    <row r="161" ht="15.75" customHeight="1" spans="2:12" x14ac:dyDescent="0.25">
      <c r="B161" s="2"/>
      <c r="C161" s="2"/>
      <c r="D161" s="2"/>
      <c r="E161" s="2"/>
      <c r="F161" s="2"/>
      <c r="G161" s="2"/>
      <c r="H161" s="2"/>
      <c r="I161" s="2"/>
      <c r="J161" s="2"/>
      <c r="K161" s="2"/>
      <c r="L161" s="2"/>
    </row>
    <row r="162" ht="15.75" customHeight="1" spans="2:12" x14ac:dyDescent="0.25">
      <c r="B162" s="2"/>
      <c r="C162" s="2"/>
      <c r="D162" s="2"/>
      <c r="E162" s="2"/>
      <c r="F162" s="2"/>
      <c r="G162" s="2"/>
      <c r="H162" s="2"/>
      <c r="I162" s="2"/>
      <c r="J162" s="2"/>
      <c r="K162" s="2"/>
      <c r="L162" s="2"/>
    </row>
    <row r="163" ht="15.75" customHeight="1" spans="2:12" x14ac:dyDescent="0.25">
      <c r="B163" s="2"/>
      <c r="C163" s="2"/>
      <c r="D163" s="2"/>
      <c r="E163" s="2"/>
      <c r="F163" s="2"/>
      <c r="G163" s="2"/>
      <c r="H163" s="2"/>
      <c r="I163" s="2"/>
      <c r="J163" s="2"/>
      <c r="K163" s="2"/>
      <c r="L163" s="2"/>
    </row>
    <row r="164" ht="15.75" customHeight="1" spans="2:12" x14ac:dyDescent="0.25">
      <c r="B164" s="2"/>
      <c r="C164" s="2"/>
      <c r="D164" s="2"/>
      <c r="E164" s="2"/>
      <c r="F164" s="2"/>
      <c r="G164" s="2"/>
      <c r="H164" s="2"/>
      <c r="I164" s="2"/>
      <c r="J164" s="2"/>
      <c r="K164" s="2"/>
      <c r="L164" s="2"/>
    </row>
    <row r="165" ht="15.75" customHeight="1" spans="2:12" x14ac:dyDescent="0.25">
      <c r="B165" s="2"/>
      <c r="C165" s="2"/>
      <c r="D165" s="2"/>
      <c r="E165" s="2"/>
      <c r="F165" s="2"/>
      <c r="G165" s="2"/>
      <c r="H165" s="2"/>
      <c r="I165" s="2"/>
      <c r="J165" s="2"/>
      <c r="K165" s="2"/>
      <c r="L165" s="2"/>
    </row>
    <row r="166" ht="15.75" customHeight="1" spans="2:12" x14ac:dyDescent="0.25">
      <c r="B166" s="2"/>
      <c r="C166" s="2"/>
      <c r="D166" s="2"/>
      <c r="E166" s="2"/>
      <c r="F166" s="2"/>
      <c r="G166" s="2"/>
      <c r="H166" s="2"/>
      <c r="I166" s="2"/>
      <c r="J166" s="2"/>
      <c r="K166" s="2"/>
      <c r="L166" s="2"/>
    </row>
    <row r="167" ht="15.75" customHeight="1" spans="2:12" x14ac:dyDescent="0.25">
      <c r="B167" s="2"/>
      <c r="C167" s="2"/>
      <c r="D167" s="2"/>
      <c r="E167" s="2"/>
      <c r="F167" s="2"/>
      <c r="G167" s="2"/>
      <c r="H167" s="2"/>
      <c r="I167" s="2"/>
      <c r="J167" s="2"/>
      <c r="K167" s="2"/>
      <c r="L167" s="2"/>
    </row>
    <row r="168" ht="15.75" customHeight="1" spans="2:12" x14ac:dyDescent="0.25">
      <c r="B168" s="2"/>
      <c r="C168" s="2"/>
      <c r="D168" s="2"/>
      <c r="E168" s="2"/>
      <c r="F168" s="2"/>
      <c r="G168" s="2"/>
      <c r="H168" s="2"/>
      <c r="I168" s="2"/>
      <c r="J168" s="2"/>
      <c r="K168" s="2"/>
      <c r="L168" s="2"/>
    </row>
    <row r="169" ht="15.75" customHeight="1" spans="2:12" x14ac:dyDescent="0.25">
      <c r="B169" s="2"/>
      <c r="C169" s="2"/>
      <c r="D169" s="2"/>
      <c r="E169" s="2"/>
      <c r="F169" s="2"/>
      <c r="G169" s="2"/>
      <c r="H169" s="2"/>
      <c r="I169" s="2"/>
      <c r="J169" s="2"/>
      <c r="K169" s="2"/>
      <c r="L169" s="2"/>
    </row>
    <row r="170" ht="15.75" customHeight="1" spans="2:12" x14ac:dyDescent="0.25">
      <c r="B170" s="2"/>
      <c r="C170" s="2"/>
      <c r="D170" s="2"/>
      <c r="E170" s="2"/>
      <c r="F170" s="2"/>
      <c r="G170" s="2"/>
      <c r="H170" s="2"/>
      <c r="I170" s="2"/>
      <c r="J170" s="2"/>
      <c r="K170" s="2"/>
      <c r="L170" s="2"/>
    </row>
    <row r="171" ht="15.75" customHeight="1" spans="2:12" x14ac:dyDescent="0.25">
      <c r="B171" s="2"/>
      <c r="C171" s="2"/>
      <c r="D171" s="2"/>
      <c r="E171" s="2"/>
      <c r="F171" s="2"/>
      <c r="G171" s="2"/>
      <c r="H171" s="2"/>
      <c r="I171" s="2"/>
      <c r="J171" s="2"/>
      <c r="K171" s="2"/>
      <c r="L171" s="2"/>
    </row>
    <row r="172" ht="15.75" customHeight="1" spans="2:12" x14ac:dyDescent="0.25">
      <c r="B172" s="2"/>
      <c r="C172" s="2"/>
      <c r="D172" s="2"/>
      <c r="E172" s="2"/>
      <c r="F172" s="2"/>
      <c r="G172" s="2"/>
      <c r="H172" s="2"/>
      <c r="I172" s="2"/>
      <c r="J172" s="2"/>
      <c r="K172" s="2"/>
      <c r="L172" s="2"/>
    </row>
    <row r="173" ht="15.75" customHeight="1" spans="2:12" x14ac:dyDescent="0.25">
      <c r="B173" s="2"/>
      <c r="C173" s="2"/>
      <c r="D173" s="2"/>
      <c r="E173" s="2"/>
      <c r="F173" s="2"/>
      <c r="G173" s="2"/>
      <c r="H173" s="2"/>
      <c r="I173" s="2"/>
      <c r="J173" s="2"/>
      <c r="K173" s="2"/>
      <c r="L173" s="2"/>
    </row>
    <row r="174" ht="15.75" customHeight="1" spans="2:12" x14ac:dyDescent="0.25">
      <c r="B174" s="2"/>
      <c r="C174" s="2"/>
      <c r="D174" s="2"/>
      <c r="E174" s="2"/>
      <c r="F174" s="2"/>
      <c r="G174" s="2"/>
      <c r="H174" s="2"/>
      <c r="I174" s="2"/>
      <c r="J174" s="2"/>
      <c r="K174" s="2"/>
      <c r="L174" s="2"/>
    </row>
    <row r="175" ht="15.75" customHeight="1" spans="2:12" x14ac:dyDescent="0.25">
      <c r="B175" s="2"/>
      <c r="C175" s="2"/>
      <c r="D175" s="2"/>
      <c r="E175" s="2"/>
      <c r="F175" s="2"/>
      <c r="G175" s="2"/>
      <c r="H175" s="2"/>
      <c r="I175" s="2"/>
      <c r="J175" s="2"/>
      <c r="K175" s="2"/>
      <c r="L175" s="2"/>
    </row>
    <row r="176" ht="15.75" customHeight="1" spans="2:12" x14ac:dyDescent="0.25">
      <c r="B176" s="2"/>
      <c r="C176" s="2"/>
      <c r="D176" s="2"/>
      <c r="E176" s="2"/>
      <c r="F176" s="2"/>
      <c r="G176" s="2"/>
      <c r="H176" s="2"/>
      <c r="I176" s="2"/>
      <c r="J176" s="2"/>
      <c r="K176" s="2"/>
      <c r="L176" s="2"/>
    </row>
    <row r="177" ht="15.75" customHeight="1" spans="2:12" x14ac:dyDescent="0.25">
      <c r="B177" s="2"/>
      <c r="C177" s="2"/>
      <c r="D177" s="2"/>
      <c r="E177" s="2"/>
      <c r="F177" s="2"/>
      <c r="G177" s="2"/>
      <c r="H177" s="2"/>
      <c r="I177" s="2"/>
      <c r="J177" s="2"/>
      <c r="K177" s="2"/>
      <c r="L177" s="2"/>
    </row>
    <row r="178" ht="15.75" customHeight="1" spans="2:12" x14ac:dyDescent="0.25">
      <c r="B178" s="2"/>
      <c r="C178" s="2"/>
      <c r="D178" s="2"/>
      <c r="E178" s="2"/>
      <c r="F178" s="2"/>
      <c r="G178" s="2"/>
      <c r="H178" s="2"/>
      <c r="I178" s="2"/>
      <c r="J178" s="2"/>
      <c r="K178" s="2"/>
      <c r="L178" s="2"/>
    </row>
    <row r="179" ht="15.75" customHeight="1" spans="2:12" x14ac:dyDescent="0.25">
      <c r="B179" s="2"/>
      <c r="C179" s="2"/>
      <c r="D179" s="2"/>
      <c r="E179" s="2"/>
      <c r="F179" s="2"/>
      <c r="G179" s="2"/>
      <c r="H179" s="2"/>
      <c r="I179" s="2"/>
      <c r="J179" s="2"/>
      <c r="K179" s="2"/>
      <c r="L179" s="2"/>
    </row>
    <row r="180" ht="15.75" customHeight="1" spans="2:12" x14ac:dyDescent="0.25">
      <c r="B180" s="2"/>
      <c r="C180" s="2"/>
      <c r="D180" s="2"/>
      <c r="E180" s="2"/>
      <c r="F180" s="2"/>
      <c r="G180" s="2"/>
      <c r="H180" s="2"/>
      <c r="I180" s="2"/>
      <c r="J180" s="2"/>
      <c r="K180" s="2"/>
      <c r="L180" s="2"/>
    </row>
    <row r="181" ht="15.75" customHeight="1" spans="2:12" x14ac:dyDescent="0.25">
      <c r="B181" s="2"/>
      <c r="C181" s="2"/>
      <c r="D181" s="2"/>
      <c r="E181" s="2"/>
      <c r="F181" s="2"/>
      <c r="G181" s="2"/>
      <c r="H181" s="2"/>
      <c r="I181" s="2"/>
      <c r="J181" s="2"/>
      <c r="K181" s="2"/>
      <c r="L181" s="2"/>
    </row>
    <row r="182" ht="15.75" customHeight="1" spans="2:12" x14ac:dyDescent="0.25">
      <c r="B182" s="2"/>
      <c r="C182" s="2"/>
      <c r="D182" s="2"/>
      <c r="E182" s="2"/>
      <c r="F182" s="2"/>
      <c r="G182" s="2"/>
      <c r="H182" s="2"/>
      <c r="I182" s="2"/>
      <c r="J182" s="2"/>
      <c r="K182" s="2"/>
      <c r="L182" s="2"/>
    </row>
    <row r="183" ht="15.75" customHeight="1" spans="2:12" x14ac:dyDescent="0.25">
      <c r="B183" s="2"/>
      <c r="C183" s="2"/>
      <c r="D183" s="2"/>
      <c r="E183" s="2"/>
      <c r="F183" s="2"/>
      <c r="G183" s="2"/>
      <c r="H183" s="2"/>
      <c r="I183" s="2"/>
      <c r="J183" s="2"/>
      <c r="K183" s="2"/>
      <c r="L183" s="2"/>
    </row>
    <row r="184" ht="15.75" customHeight="1" spans="2:12" x14ac:dyDescent="0.25">
      <c r="B184" s="2"/>
      <c r="C184" s="2"/>
      <c r="D184" s="2"/>
      <c r="E184" s="2"/>
      <c r="F184" s="2"/>
      <c r="G184" s="2"/>
      <c r="H184" s="2"/>
      <c r="I184" s="2"/>
      <c r="J184" s="2"/>
      <c r="K184" s="2"/>
      <c r="L184" s="2"/>
    </row>
    <row r="185" ht="15.75" customHeight="1" spans="2:12" x14ac:dyDescent="0.25">
      <c r="B185" s="2"/>
      <c r="C185" s="2"/>
      <c r="D185" s="2"/>
      <c r="E185" s="2"/>
      <c r="F185" s="2"/>
      <c r="G185" s="2"/>
      <c r="H185" s="2"/>
      <c r="I185" s="2"/>
      <c r="J185" s="2"/>
      <c r="K185" s="2"/>
      <c r="L185" s="2"/>
    </row>
    <row r="186" ht="15.75" customHeight="1" spans="2:12" x14ac:dyDescent="0.25">
      <c r="B186" s="2"/>
      <c r="C186" s="2"/>
      <c r="D186" s="2"/>
      <c r="E186" s="2"/>
      <c r="F186" s="2"/>
      <c r="G186" s="2"/>
      <c r="H186" s="2"/>
      <c r="I186" s="2"/>
      <c r="J186" s="2"/>
      <c r="K186" s="2"/>
      <c r="L186" s="2"/>
    </row>
    <row r="187" ht="15.75" customHeight="1" spans="2:12" x14ac:dyDescent="0.25">
      <c r="B187" s="2"/>
      <c r="C187" s="2"/>
      <c r="D187" s="2"/>
      <c r="E187" s="2"/>
      <c r="F187" s="2"/>
      <c r="G187" s="2"/>
      <c r="H187" s="2"/>
      <c r="I187" s="2"/>
      <c r="J187" s="2"/>
      <c r="K187" s="2"/>
      <c r="L187" s="2"/>
    </row>
    <row r="188" ht="15.75" customHeight="1" spans="2:12" x14ac:dyDescent="0.25">
      <c r="B188" s="2"/>
      <c r="C188" s="2"/>
      <c r="D188" s="2"/>
      <c r="E188" s="2"/>
      <c r="F188" s="2"/>
      <c r="G188" s="2"/>
      <c r="H188" s="2"/>
      <c r="I188" s="2"/>
      <c r="J188" s="2"/>
      <c r="K188" s="2"/>
      <c r="L188" s="2"/>
    </row>
    <row r="189" ht="15.75" customHeight="1" spans="2:12" x14ac:dyDescent="0.25">
      <c r="B189" s="2"/>
      <c r="C189" s="2"/>
      <c r="D189" s="2"/>
      <c r="E189" s="2"/>
      <c r="F189" s="2"/>
      <c r="G189" s="2"/>
      <c r="H189" s="2"/>
      <c r="I189" s="2"/>
      <c r="J189" s="2"/>
      <c r="K189" s="2"/>
      <c r="L189" s="2"/>
    </row>
    <row r="190" ht="15.75" customHeight="1" spans="2:12" x14ac:dyDescent="0.25">
      <c r="B190" s="2"/>
      <c r="C190" s="2"/>
      <c r="D190" s="2"/>
      <c r="E190" s="2"/>
      <c r="F190" s="2"/>
      <c r="G190" s="2"/>
      <c r="H190" s="2"/>
      <c r="I190" s="2"/>
      <c r="J190" s="2"/>
      <c r="K190" s="2"/>
      <c r="L190" s="2"/>
    </row>
    <row r="191" ht="15.75" customHeight="1" spans="2:12" x14ac:dyDescent="0.25">
      <c r="B191" s="2"/>
      <c r="C191" s="2"/>
      <c r="D191" s="2"/>
      <c r="E191" s="2"/>
      <c r="F191" s="2"/>
      <c r="G191" s="2"/>
      <c r="H191" s="2"/>
      <c r="I191" s="2"/>
      <c r="J191" s="2"/>
      <c r="K191" s="2"/>
      <c r="L191" s="2"/>
    </row>
    <row r="192" ht="15.75" customHeight="1" spans="2:12" x14ac:dyDescent="0.25">
      <c r="B192" s="2"/>
      <c r="C192" s="2"/>
      <c r="D192" s="2"/>
      <c r="E192" s="2"/>
      <c r="F192" s="2"/>
      <c r="G192" s="2"/>
      <c r="H192" s="2"/>
      <c r="I192" s="2"/>
      <c r="J192" s="2"/>
      <c r="K192" s="2"/>
      <c r="L192" s="2"/>
    </row>
    <row r="193" ht="15.75" customHeight="1" spans="2:12" x14ac:dyDescent="0.25">
      <c r="B193" s="2"/>
      <c r="C193" s="2"/>
      <c r="D193" s="2"/>
      <c r="E193" s="2"/>
      <c r="F193" s="2"/>
      <c r="G193" s="2"/>
      <c r="H193" s="2"/>
      <c r="I193" s="2"/>
      <c r="J193" s="2"/>
      <c r="K193" s="2"/>
      <c r="L193" s="2"/>
    </row>
    <row r="194" ht="15.75" customHeight="1" spans="2:12" x14ac:dyDescent="0.25">
      <c r="B194" s="2"/>
      <c r="C194" s="2"/>
      <c r="D194" s="2"/>
      <c r="E194" s="2"/>
      <c r="F194" s="2"/>
      <c r="G194" s="2"/>
      <c r="H194" s="2"/>
      <c r="I194" s="2"/>
      <c r="J194" s="2"/>
      <c r="K194" s="2"/>
      <c r="L194" s="2"/>
    </row>
    <row r="195" ht="15.75" customHeight="1" spans="2:12" x14ac:dyDescent="0.25">
      <c r="B195" s="2"/>
      <c r="C195" s="2"/>
      <c r="D195" s="2"/>
      <c r="E195" s="2"/>
      <c r="F195" s="2"/>
      <c r="G195" s="2"/>
      <c r="H195" s="2"/>
      <c r="I195" s="2"/>
      <c r="J195" s="2"/>
      <c r="K195" s="2"/>
      <c r="L195" s="2"/>
    </row>
    <row r="196" ht="15.75" customHeight="1" spans="2:12" x14ac:dyDescent="0.25">
      <c r="B196" s="2"/>
      <c r="C196" s="2"/>
      <c r="D196" s="2"/>
      <c r="E196" s="2"/>
      <c r="F196" s="2"/>
      <c r="G196" s="2"/>
      <c r="H196" s="2"/>
      <c r="I196" s="2"/>
      <c r="J196" s="2"/>
      <c r="K196" s="2"/>
      <c r="L196" s="2"/>
    </row>
    <row r="197" ht="15.75" customHeight="1" spans="2:12" x14ac:dyDescent="0.25">
      <c r="B197" s="2"/>
      <c r="C197" s="2"/>
      <c r="D197" s="2"/>
      <c r="E197" s="2"/>
      <c r="F197" s="2"/>
      <c r="G197" s="2"/>
      <c r="H197" s="2"/>
      <c r="I197" s="2"/>
      <c r="J197" s="2"/>
      <c r="K197" s="2"/>
      <c r="L197" s="2"/>
    </row>
    <row r="198" ht="15.75" customHeight="1" spans="2:12" x14ac:dyDescent="0.25">
      <c r="B198" s="2"/>
      <c r="C198" s="2"/>
      <c r="D198" s="2"/>
      <c r="E198" s="2"/>
      <c r="F198" s="2"/>
      <c r="G198" s="2"/>
      <c r="H198" s="2"/>
      <c r="I198" s="2"/>
      <c r="J198" s="2"/>
      <c r="K198" s="2"/>
      <c r="L198" s="2"/>
    </row>
    <row r="199" ht="15.75" customHeight="1" spans="2:12" x14ac:dyDescent="0.25">
      <c r="B199" s="2"/>
      <c r="C199" s="2"/>
      <c r="D199" s="2"/>
      <c r="E199" s="2"/>
      <c r="F199" s="2"/>
      <c r="G199" s="2"/>
      <c r="H199" s="2"/>
      <c r="I199" s="2"/>
      <c r="J199" s="2"/>
      <c r="K199" s="2"/>
      <c r="L199" s="2"/>
    </row>
    <row r="200" ht="15.75" customHeight="1" spans="2:12" x14ac:dyDescent="0.25">
      <c r="B200" s="2"/>
      <c r="C200" s="2"/>
      <c r="D200" s="2"/>
      <c r="E200" s="2"/>
      <c r="F200" s="2"/>
      <c r="G200" s="2"/>
      <c r="H200" s="2"/>
      <c r="I200" s="2"/>
      <c r="J200" s="2"/>
      <c r="K200" s="2"/>
      <c r="L200" s="2"/>
    </row>
    <row r="201" ht="15.75" customHeight="1" spans="2:12" x14ac:dyDescent="0.25">
      <c r="B201" s="2"/>
      <c r="C201" s="2"/>
      <c r="D201" s="2"/>
      <c r="E201" s="2"/>
      <c r="F201" s="2"/>
      <c r="G201" s="2"/>
      <c r="H201" s="2"/>
      <c r="I201" s="2"/>
      <c r="J201" s="2"/>
      <c r="K201" s="2"/>
      <c r="L201" s="2"/>
    </row>
    <row r="202" ht="15.75" customHeight="1" spans="2:12" x14ac:dyDescent="0.25">
      <c r="B202" s="2"/>
      <c r="C202" s="2"/>
      <c r="D202" s="2"/>
      <c r="E202" s="2"/>
      <c r="F202" s="2"/>
      <c r="G202" s="2"/>
      <c r="H202" s="2"/>
      <c r="I202" s="2"/>
      <c r="J202" s="2"/>
      <c r="K202" s="2"/>
      <c r="L202" s="2"/>
    </row>
    <row r="203" ht="15.75" customHeight="1" spans="2:12" x14ac:dyDescent="0.25">
      <c r="B203" s="2"/>
      <c r="C203" s="2"/>
      <c r="D203" s="2"/>
      <c r="E203" s="2"/>
      <c r="F203" s="2"/>
      <c r="G203" s="2"/>
      <c r="H203" s="2"/>
      <c r="I203" s="2"/>
      <c r="J203" s="2"/>
      <c r="K203" s="2"/>
      <c r="L203" s="2"/>
    </row>
    <row r="204" ht="15.75" customHeight="1" spans="2:12" x14ac:dyDescent="0.25">
      <c r="B204" s="2"/>
      <c r="C204" s="2"/>
      <c r="D204" s="2"/>
      <c r="E204" s="2"/>
      <c r="F204" s="2"/>
      <c r="G204" s="2"/>
      <c r="H204" s="2"/>
      <c r="I204" s="2"/>
      <c r="J204" s="2"/>
      <c r="K204" s="2"/>
      <c r="L204" s="2"/>
    </row>
    <row r="205" ht="15.75" customHeight="1" spans="2:12" x14ac:dyDescent="0.25">
      <c r="B205" s="2"/>
      <c r="C205" s="2"/>
      <c r="D205" s="2"/>
      <c r="E205" s="2"/>
      <c r="F205" s="2"/>
      <c r="G205" s="2"/>
      <c r="H205" s="2"/>
      <c r="I205" s="2"/>
      <c r="J205" s="2"/>
      <c r="K205" s="2"/>
      <c r="L205" s="2"/>
    </row>
    <row r="206" ht="15.75" customHeight="1" spans="2:12" x14ac:dyDescent="0.25">
      <c r="B206" s="2"/>
      <c r="C206" s="2"/>
      <c r="D206" s="2"/>
      <c r="E206" s="2"/>
      <c r="F206" s="2"/>
      <c r="G206" s="2"/>
      <c r="H206" s="2"/>
      <c r="I206" s="2"/>
      <c r="J206" s="2"/>
      <c r="K206" s="2"/>
      <c r="L206" s="2"/>
    </row>
    <row r="207" ht="15.75" customHeight="1" spans="2:12" x14ac:dyDescent="0.25">
      <c r="B207" s="2"/>
      <c r="C207" s="2"/>
      <c r="D207" s="2"/>
      <c r="E207" s="2"/>
      <c r="F207" s="2"/>
      <c r="G207" s="2"/>
      <c r="H207" s="2"/>
      <c r="I207" s="2"/>
      <c r="J207" s="2"/>
      <c r="K207" s="2"/>
      <c r="L207" s="2"/>
    </row>
    <row r="208" ht="15.75" customHeight="1" spans="2:12" x14ac:dyDescent="0.25">
      <c r="B208" s="2"/>
      <c r="C208" s="2"/>
      <c r="D208" s="2"/>
      <c r="E208" s="2"/>
      <c r="F208" s="2"/>
      <c r="G208" s="2"/>
      <c r="H208" s="2"/>
      <c r="I208" s="2"/>
      <c r="J208" s="2"/>
      <c r="K208" s="2"/>
      <c r="L208" s="2"/>
    </row>
    <row r="209" ht="15.75" customHeight="1" spans="2:12" x14ac:dyDescent="0.25">
      <c r="B209" s="2"/>
      <c r="C209" s="2"/>
      <c r="D209" s="2"/>
      <c r="E209" s="2"/>
      <c r="F209" s="2"/>
      <c r="G209" s="2"/>
      <c r="H209" s="2"/>
      <c r="I209" s="2"/>
      <c r="J209" s="2"/>
      <c r="K209" s="2"/>
      <c r="L209" s="2"/>
    </row>
    <row r="210" ht="15.75" customHeight="1" spans="2:12" x14ac:dyDescent="0.25">
      <c r="B210" s="2"/>
      <c r="C210" s="2"/>
      <c r="D210" s="2"/>
      <c r="E210" s="2"/>
      <c r="F210" s="2"/>
      <c r="G210" s="2"/>
      <c r="H210" s="2"/>
      <c r="I210" s="2"/>
      <c r="J210" s="2"/>
      <c r="K210" s="2"/>
      <c r="L210" s="2"/>
    </row>
    <row r="211" ht="15.75" customHeight="1" spans="2:12" x14ac:dyDescent="0.25">
      <c r="B211" s="2"/>
      <c r="C211" s="2"/>
      <c r="D211" s="2"/>
      <c r="E211" s="2"/>
      <c r="F211" s="2"/>
      <c r="G211" s="2"/>
      <c r="H211" s="2"/>
      <c r="I211" s="2"/>
      <c r="J211" s="2"/>
      <c r="K211" s="2"/>
      <c r="L211" s="2"/>
    </row>
    <row r="212" ht="15.75" customHeight="1" spans="2:12" x14ac:dyDescent="0.25">
      <c r="B212" s="2"/>
      <c r="C212" s="2"/>
      <c r="D212" s="2"/>
      <c r="E212" s="2"/>
      <c r="F212" s="2"/>
      <c r="G212" s="2"/>
      <c r="H212" s="2"/>
      <c r="I212" s="2"/>
      <c r="J212" s="2"/>
      <c r="K212" s="2"/>
      <c r="L212" s="2"/>
    </row>
    <row r="213" ht="15.75" customHeight="1" spans="2:12" x14ac:dyDescent="0.25">
      <c r="B213" s="2"/>
      <c r="C213" s="2"/>
      <c r="D213" s="2"/>
      <c r="E213" s="2"/>
      <c r="F213" s="2"/>
      <c r="G213" s="2"/>
      <c r="H213" s="2"/>
      <c r="I213" s="2"/>
      <c r="J213" s="2"/>
      <c r="K213" s="2"/>
      <c r="L213" s="2"/>
    </row>
    <row r="214" ht="15.75" customHeight="1" spans="2:12" x14ac:dyDescent="0.25">
      <c r="B214" s="2"/>
      <c r="C214" s="2"/>
      <c r="D214" s="2"/>
      <c r="E214" s="2"/>
      <c r="F214" s="2"/>
      <c r="G214" s="2"/>
      <c r="H214" s="2"/>
      <c r="I214" s="2"/>
      <c r="J214" s="2"/>
      <c r="K214" s="2"/>
      <c r="L214" s="2"/>
    </row>
    <row r="215" ht="15.75" customHeight="1" spans="2:12" x14ac:dyDescent="0.25">
      <c r="B215" s="2"/>
      <c r="C215" s="2"/>
      <c r="D215" s="2"/>
      <c r="E215" s="2"/>
      <c r="F215" s="2"/>
      <c r="G215" s="2"/>
      <c r="H215" s="2"/>
      <c r="I215" s="2"/>
      <c r="J215" s="2"/>
      <c r="K215" s="2"/>
      <c r="L215" s="2"/>
    </row>
    <row r="216" ht="15.75" customHeight="1" spans="2:12" x14ac:dyDescent="0.25">
      <c r="B216" s="2"/>
      <c r="C216" s="2"/>
      <c r="D216" s="2"/>
      <c r="E216" s="2"/>
      <c r="F216" s="2"/>
      <c r="G216" s="2"/>
      <c r="H216" s="2"/>
      <c r="I216" s="2"/>
      <c r="J216" s="2"/>
      <c r="K216" s="2"/>
      <c r="L216" s="2"/>
    </row>
    <row r="217" ht="15.75" customHeight="1" spans="2:12" x14ac:dyDescent="0.25">
      <c r="B217" s="2"/>
      <c r="C217" s="2"/>
      <c r="D217" s="2"/>
      <c r="E217" s="2"/>
      <c r="F217" s="2"/>
      <c r="G217" s="2"/>
      <c r="H217" s="2"/>
      <c r="I217" s="2"/>
      <c r="J217" s="2"/>
      <c r="K217" s="2"/>
      <c r="L217" s="2"/>
    </row>
    <row r="218" ht="15.75" customHeight="1" spans="2:12" x14ac:dyDescent="0.25">
      <c r="B218" s="2"/>
      <c r="C218" s="2"/>
      <c r="D218" s="2"/>
      <c r="E218" s="2"/>
      <c r="F218" s="2"/>
      <c r="G218" s="2"/>
      <c r="H218" s="2"/>
      <c r="I218" s="2"/>
      <c r="J218" s="2"/>
      <c r="K218" s="2"/>
      <c r="L218" s="2"/>
    </row>
    <row r="219" ht="15.75" customHeight="1" spans="2:12" x14ac:dyDescent="0.25">
      <c r="B219" s="2"/>
      <c r="C219" s="2"/>
      <c r="D219" s="2"/>
      <c r="E219" s="2"/>
      <c r="F219" s="2"/>
      <c r="G219" s="2"/>
      <c r="H219" s="2"/>
      <c r="I219" s="2"/>
      <c r="J219" s="2"/>
      <c r="K219" s="2"/>
      <c r="L219" s="2"/>
    </row>
    <row r="220" ht="15.75" customHeight="1" spans="2:12" x14ac:dyDescent="0.25">
      <c r="B220" s="2"/>
      <c r="C220" s="2"/>
      <c r="D220" s="2"/>
      <c r="E220" s="2"/>
      <c r="F220" s="2"/>
      <c r="G220" s="2"/>
      <c r="H220" s="2"/>
      <c r="I220" s="2"/>
      <c r="J220" s="2"/>
      <c r="K220" s="2"/>
      <c r="L220" s="2"/>
    </row>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4">
    <mergeCell ref="B8:J8"/>
    <mergeCell ref="A8:A9"/>
    <mergeCell ref="K8:K9"/>
    <mergeCell ref="L8:L9"/>
  </mergeCells>
  <conditionalFormatting sqref="L10">
    <cfRule type="notContainsBlanks" dxfId="2" priority="1" operator="notContainsBlanks">
      <formula>LEN(TRIM(L10))&gt;0</formula>
    </cfRule>
  </conditionalFormatting>
  <pageMargins left="0.7" right="0.7" top="0.75" bottom="0.75" header="0" footer="0"/>
  <pageSetup orientation="portrait" horizontalDpi="4294967295" verticalDpi="4294967295"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D1001"/>
  <sheetViews>
    <sheetView workbookViewId="0" showGridLines="0" zoomScale="100" zoomScaleNormal="100">
      <selection activeCell="B3" sqref="B3"/>
    </sheetView>
  </sheetViews>
  <sheetFormatPr defaultRowHeight="15" outlineLevelRow="0" outlineLevelCol="0" x14ac:dyDescent="0.2" defaultColWidth="11.1640625"/>
  <cols>
    <col min="1" max="1" width="3.5" customWidth="1"/>
    <col min="2" max="2" width="7.5" customWidth="1"/>
    <col min="3" max="3" width="39.1640625" customWidth="1"/>
    <col min="4" max="4" width="74.1640625" customWidth="1"/>
    <col min="5" max="7" width="8.6640625" customWidth="1"/>
  </cols>
  <sheetData>
    <row r="2" ht="21.75" customHeight="1" spans="2:4" x14ac:dyDescent="0.25">
      <c r="B2" s="51" t="s">
        <v>119</v>
      </c>
      <c r="C2" s="51" t="s">
        <v>120</v>
      </c>
      <c r="D2" s="51" t="s">
        <v>121</v>
      </c>
    </row>
    <row r="3" ht="21.75" customHeight="1" spans="2:4" x14ac:dyDescent="0.25">
      <c r="B3" s="52">
        <v>1001</v>
      </c>
      <c r="C3" s="53" t="s">
        <v>122</v>
      </c>
      <c r="D3" s="54" t="s">
        <v>123</v>
      </c>
    </row>
    <row r="4" ht="21.75" customHeight="1" spans="2:4" x14ac:dyDescent="0.25">
      <c r="B4" s="55">
        <v>1002</v>
      </c>
      <c r="C4" s="56" t="s">
        <v>122</v>
      </c>
      <c r="D4" s="57" t="s">
        <v>124</v>
      </c>
    </row>
    <row r="5" ht="21.75" customHeight="1" spans="2:4" x14ac:dyDescent="0.25">
      <c r="B5" s="58">
        <v>1004</v>
      </c>
      <c r="C5" s="59" t="s">
        <v>122</v>
      </c>
      <c r="D5" s="60" t="s">
        <v>125</v>
      </c>
    </row>
    <row r="6" ht="21.75" customHeight="1" spans="2:4" x14ac:dyDescent="0.25">
      <c r="B6" s="55">
        <v>1005</v>
      </c>
      <c r="C6" s="56" t="s">
        <v>122</v>
      </c>
      <c r="D6" s="57" t="s">
        <v>126</v>
      </c>
    </row>
    <row r="7" ht="21.75" customHeight="1" spans="2:4" x14ac:dyDescent="0.25">
      <c r="B7" s="58">
        <v>1006</v>
      </c>
      <c r="C7" s="59" t="s">
        <v>122</v>
      </c>
      <c r="D7" s="60" t="s">
        <v>127</v>
      </c>
    </row>
    <row r="8" ht="21.75" customHeight="1" spans="2:4" x14ac:dyDescent="0.25">
      <c r="B8" s="55">
        <v>1007</v>
      </c>
      <c r="C8" s="56" t="s">
        <v>122</v>
      </c>
      <c r="D8" s="57" t="s">
        <v>128</v>
      </c>
    </row>
    <row r="9" ht="21.75" customHeight="1" spans="2:4" x14ac:dyDescent="0.25">
      <c r="B9" s="58">
        <v>1017</v>
      </c>
      <c r="C9" s="59" t="s">
        <v>122</v>
      </c>
      <c r="D9" s="60" t="s">
        <v>129</v>
      </c>
    </row>
    <row r="10" ht="21.75" customHeight="1" spans="2:4" x14ac:dyDescent="0.25">
      <c r="B10" s="55">
        <v>1018</v>
      </c>
      <c r="C10" s="56" t="s">
        <v>122</v>
      </c>
      <c r="D10" s="57" t="s">
        <v>130</v>
      </c>
    </row>
    <row r="11" ht="21.75" customHeight="1" spans="2:4" x14ac:dyDescent="0.25">
      <c r="B11" s="58">
        <v>2003</v>
      </c>
      <c r="C11" s="59" t="s">
        <v>131</v>
      </c>
      <c r="D11" s="60" t="s">
        <v>132</v>
      </c>
    </row>
    <row r="12" ht="21.75" customHeight="1" spans="2:4" x14ac:dyDescent="0.25">
      <c r="B12" s="55">
        <v>2005</v>
      </c>
      <c r="C12" s="56" t="s">
        <v>131</v>
      </c>
      <c r="D12" s="57" t="s">
        <v>133</v>
      </c>
    </row>
    <row r="13" ht="21.75" customHeight="1" spans="2:4" x14ac:dyDescent="0.25">
      <c r="B13" s="58">
        <v>2008</v>
      </c>
      <c r="C13" s="59" t="s">
        <v>131</v>
      </c>
      <c r="D13" s="60" t="s">
        <v>134</v>
      </c>
    </row>
    <row r="14" ht="21.75" customHeight="1" spans="2:4" x14ac:dyDescent="0.25">
      <c r="B14" s="55">
        <v>2009</v>
      </c>
      <c r="C14" s="56" t="s">
        <v>131</v>
      </c>
      <c r="D14" s="57" t="s">
        <v>135</v>
      </c>
    </row>
    <row r="15" ht="21.75" customHeight="1" spans="2:4" x14ac:dyDescent="0.25">
      <c r="B15" s="58">
        <v>2011</v>
      </c>
      <c r="C15" s="59" t="s">
        <v>136</v>
      </c>
      <c r="D15" s="60" t="s">
        <v>137</v>
      </c>
    </row>
    <row r="16" ht="34" customHeight="1" spans="2:4" x14ac:dyDescent="0.25">
      <c r="B16" s="55">
        <v>2014</v>
      </c>
      <c r="C16" s="56" t="s">
        <v>131</v>
      </c>
      <c r="D16" s="57" t="s">
        <v>138</v>
      </c>
    </row>
    <row r="17" ht="21.75" customHeight="1" spans="2:4" x14ac:dyDescent="0.25">
      <c r="B17" s="58">
        <v>2016</v>
      </c>
      <c r="C17" s="59" t="s">
        <v>131</v>
      </c>
      <c r="D17" s="60" t="s">
        <v>139</v>
      </c>
    </row>
    <row r="18" ht="21.75" customHeight="1" spans="2:4" x14ac:dyDescent="0.25">
      <c r="B18" s="55">
        <v>2018</v>
      </c>
      <c r="C18" s="56" t="s">
        <v>136</v>
      </c>
      <c r="D18" s="57" t="s">
        <v>140</v>
      </c>
    </row>
    <row r="19" ht="21.75" customHeight="1" spans="2:4" x14ac:dyDescent="0.25">
      <c r="B19" s="58">
        <v>2022</v>
      </c>
      <c r="C19" s="59" t="s">
        <v>131</v>
      </c>
      <c r="D19" s="60" t="s">
        <v>141</v>
      </c>
    </row>
    <row r="20" ht="21.75" customHeight="1" spans="2:4" x14ac:dyDescent="0.25">
      <c r="B20" s="55">
        <v>2025</v>
      </c>
      <c r="C20" s="56" t="s">
        <v>136</v>
      </c>
      <c r="D20" s="57" t="s">
        <v>142</v>
      </c>
    </row>
    <row r="21" ht="21.75" customHeight="1" spans="2:4" x14ac:dyDescent="0.25">
      <c r="B21" s="58">
        <v>2032</v>
      </c>
      <c r="C21" s="59" t="s">
        <v>131</v>
      </c>
      <c r="D21" s="60" t="s">
        <v>143</v>
      </c>
    </row>
    <row r="22" ht="21.75" customHeight="1" spans="2:4" x14ac:dyDescent="0.25">
      <c r="B22" s="55">
        <v>2034</v>
      </c>
      <c r="C22" s="56" t="s">
        <v>131</v>
      </c>
      <c r="D22" s="57" t="s">
        <v>144</v>
      </c>
    </row>
    <row r="23" ht="21.75" customHeight="1" spans="2:4" x14ac:dyDescent="0.25">
      <c r="B23" s="58">
        <v>2037</v>
      </c>
      <c r="C23" s="59" t="s">
        <v>136</v>
      </c>
      <c r="D23" s="60" t="s">
        <v>145</v>
      </c>
    </row>
    <row r="24" ht="21.75" customHeight="1" spans="2:4" x14ac:dyDescent="0.25">
      <c r="B24" s="55">
        <v>4010</v>
      </c>
      <c r="C24" s="56" t="s">
        <v>146</v>
      </c>
      <c r="D24" s="57" t="s">
        <v>147</v>
      </c>
    </row>
    <row r="25" ht="34" customHeight="1" spans="2:4" x14ac:dyDescent="0.25">
      <c r="B25" s="58">
        <v>4017</v>
      </c>
      <c r="C25" s="59" t="s">
        <v>146</v>
      </c>
      <c r="D25" s="60" t="s">
        <v>138</v>
      </c>
    </row>
    <row r="26" ht="21.75" customHeight="1" spans="2:4" x14ac:dyDescent="0.25">
      <c r="B26" s="55">
        <v>5006</v>
      </c>
      <c r="C26" s="56" t="s">
        <v>148</v>
      </c>
      <c r="D26" s="57" t="s">
        <v>149</v>
      </c>
    </row>
    <row r="27" ht="21.75" customHeight="1" spans="2:4" x14ac:dyDescent="0.25">
      <c r="B27" s="58">
        <v>5007</v>
      </c>
      <c r="C27" s="59" t="s">
        <v>148</v>
      </c>
      <c r="D27" s="60" t="s">
        <v>150</v>
      </c>
    </row>
    <row r="28" ht="21.75" customHeight="1" spans="2:4" x14ac:dyDescent="0.25">
      <c r="B28" s="61">
        <v>5011</v>
      </c>
      <c r="C28" s="62" t="s">
        <v>148</v>
      </c>
      <c r="D28" s="63" t="s">
        <v>151</v>
      </c>
    </row>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sheetData>
  <pageMargins left="0.7" right="0.7" top="0.75" bottom="0.75" header="0" footer="0"/>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Device and Site Summary Report</vt:lpstr>
      <vt:lpstr>Device and Site Inventory</vt:lpstr>
      <vt:lpstr>Devices TB Reach</vt:lpstr>
      <vt:lpstr>Errors by Device</vt:lpstr>
      <vt:lpstr>Error Codes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Alejandro Hernández</cp:lastModifiedBy>
  <dcterms:created xsi:type="dcterms:W3CDTF">2026-06-08T03:42:54Z</dcterms:created>
  <dcterms:modified xsi:type="dcterms:W3CDTF">2025-06-12T04:00:18Z</dcterms:modified>
</cp:coreProperties>
</file>