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hernandez/repos/aspect/api/templates/device_and_site_summary_report/"/>
    </mc:Choice>
  </mc:AlternateContent>
  <xr:revisionPtr revIDLastSave="0" documentId="13_ncr:1_{ABFB1B3E-378D-CE4C-BAFE-8292B1F1CF45}" xr6:coauthVersionLast="47" xr6:coauthVersionMax="47" xr10:uidLastSave="{00000000-0000-0000-0000-000000000000}"/>
  <bookViews>
    <workbookView xWindow="4340" yWindow="760" windowWidth="28800" windowHeight="17500" xr2:uid="{00000000-000D-0000-FFFF-FFFF00000000}"/>
  </bookViews>
  <sheets>
    <sheet name="Rapport récapitulatif sur l’app" sheetId="1" r:id="rId1"/>
    <sheet name="Inventaire des appareils et des" sheetId="2" r:id="rId2"/>
    <sheet name="Appareils TB Portée" sheetId="3" r:id="rId3"/>
    <sheet name="Erreurs par appareil" sheetId="4" r:id="rId4"/>
    <sheet name="Codes d'erreu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l="1"/>
  <c r="K11" i="4"/>
  <c r="J11" i="4"/>
  <c r="I11" i="4"/>
  <c r="H11" i="4"/>
  <c r="G11" i="4"/>
  <c r="F11" i="4"/>
  <c r="E11" i="4"/>
  <c r="D11" i="4"/>
  <c r="C11" i="4"/>
  <c r="B11" i="4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R11" i="3"/>
  <c r="Q11" i="3"/>
  <c r="P11" i="3"/>
  <c r="M11" i="3"/>
  <c r="J11" i="3"/>
  <c r="I11" i="3"/>
  <c r="H11" i="3"/>
  <c r="I10" i="2"/>
  <c r="H10" i="2"/>
  <c r="G10" i="2"/>
  <c r="F10" i="2"/>
  <c r="E10" i="2"/>
  <c r="D10" i="2"/>
  <c r="C10" i="2"/>
  <c r="T10" i="1"/>
  <c r="S10" i="1"/>
  <c r="L10" i="4"/>
  <c r="L11" i="4" s="1"/>
  <c r="AF10" i="3"/>
  <c r="S10" i="3"/>
  <c r="S11" i="3" s="1"/>
  <c r="N10" i="3"/>
  <c r="N11" i="3" s="1"/>
  <c r="M10" i="3"/>
  <c r="L10" i="3"/>
  <c r="L11" i="3" s="1"/>
  <c r="K10" i="3"/>
  <c r="O10" i="3" s="1"/>
  <c r="O11" i="3" s="1"/>
  <c r="H10" i="3"/>
  <c r="F10" i="3"/>
  <c r="F11" i="3" s="1"/>
  <c r="K11" i="3" l="1"/>
</calcChain>
</file>

<file path=xl/sharedStrings.xml><?xml version="1.0" encoding="utf-8"?>
<sst xmlns="http://schemas.openxmlformats.org/spreadsheetml/2006/main" count="210" uniqueCount="153">
  <si>
    <t>Dates: &lt;Dates&gt;</t>
  </si>
  <si>
    <t>&lt;StatesLabel&gt;: &lt;States&gt;</t>
  </si>
  <si>
    <t>&lt;LgasLabel&gt;: &lt;Lgas&gt;</t>
  </si>
  <si>
    <t>&lt;SitesLabel&gt;: &lt;Sites&gt;</t>
  </si>
  <si>
    <t>&lt;AssaysLabel&gt;: &lt;Assays&gt;</t>
  </si>
  <si>
    <t>&lt;Table&gt;</t>
  </si>
  <si>
    <t>Device</t>
  </si>
  <si>
    <t>District</t>
  </si>
  <si>
    <t>GxConnect Version</t>
  </si>
  <si>
    <t>Device Found?</t>
  </si>
  <si>
    <t>LIS Configured Correctly?</t>
  </si>
  <si>
    <t>GeneXpert Installation Date</t>
  </si>
  <si>
    <t>Total</t>
  </si>
  <si>
    <t>Other</t>
  </si>
  <si>
    <t>&lt;name&gt;</t>
  </si>
  <si>
    <t>&lt;stateName&gt;</t>
  </si>
  <si>
    <t>&lt;districtName&gt;</t>
  </si>
  <si>
    <t>&lt;serial&gt;</t>
  </si>
  <si>
    <t>&lt;instrumentSerial&gt;</t>
  </si>
  <si>
    <t>&lt;lastUploadOn&gt;</t>
  </si>
  <si>
    <t>&lt;status&gt;</t>
  </si>
  <si>
    <t>&lt;statusNote&gt;</t>
  </si>
  <si>
    <t>&lt;lastPingOn&gt;</t>
  </si>
  <si>
    <t>&lt;lastPingFrom&gt;</t>
  </si>
  <si>
    <t>&lt;informationDate&gt;</t>
  </si>
  <si>
    <t>&lt;operativeSystem&gt;</t>
  </si>
  <si>
    <t>&lt;timeZone&gt;</t>
  </si>
  <si>
    <t>&lt;language&gt;</t>
  </si>
  <si>
    <t>&lt;gxConnectVersion&gt;</t>
  </si>
  <si>
    <t>&lt;deviceFound&gt;</t>
  </si>
  <si>
    <t>&lt;lisConfiguredCorrectly&gt;</t>
  </si>
  <si>
    <t>&lt;instalationDate&gt;</t>
  </si>
  <si>
    <t>&lt;totalXpertTests&gt;</t>
  </si>
  <si>
    <t>&lt;totalOtherTests&gt;</t>
  </si>
  <si>
    <t>Site</t>
  </si>
  <si>
    <t>Consumable</t>
  </si>
  <si>
    <t>&lt;siteName&gt;</t>
  </si>
  <si>
    <t>&lt;consumableName&gt;</t>
  </si>
  <si>
    <t>&lt;dailyConsumptionRate&gt;</t>
  </si>
  <si>
    <t>&lt;projectedAnnualConsumption&gt;</t>
  </si>
  <si>
    <t>&lt;quantityOnHand&gt;</t>
  </si>
  <si>
    <t>&lt;quantityExpired&gt;</t>
  </si>
  <si>
    <t>&lt;daysStockLeft&gt;</t>
  </si>
  <si>
    <t>&lt;projectedWaste&gt;</t>
  </si>
  <si>
    <t>BK Total</t>
  </si>
  <si>
    <t>BK(cn,rec)</t>
  </si>
  <si>
    <t>BK+</t>
  </si>
  <si>
    <t>BK-</t>
  </si>
  <si>
    <t>%BK+</t>
  </si>
  <si>
    <t>Xpert+</t>
  </si>
  <si>
    <t>Xpert-</t>
  </si>
  <si>
    <t>%Xpert+</t>
  </si>
  <si>
    <t>%Xpert-</t>
  </si>
  <si>
    <t>Xpert RIF+</t>
  </si>
  <si>
    <t>Xpert 
Rif IND</t>
  </si>
  <si>
    <t>Other Error</t>
  </si>
  <si>
    <t>&lt;deviceName&gt;</t>
  </si>
  <si>
    <t>&lt;BKtotal&gt;</t>
  </si>
  <si>
    <t>&lt;BKCnRec&gt;</t>
  </si>
  <si>
    <t>&lt;BKPositive&gt;</t>
  </si>
  <si>
    <t>&lt;BKNegative&gt;</t>
  </si>
  <si>
    <t>&lt;xpertPositive&gt;</t>
  </si>
  <si>
    <t>&lt;xpertNegative&gt;</t>
  </si>
  <si>
    <t>&lt;xpertRIFPositive&gt;</t>
  </si>
  <si>
    <t>&lt;xpertRIFIndeterminate&gt;</t>
  </si>
  <si>
    <t>&lt;xpertPlusTreated&gt;</t>
  </si>
  <si>
    <t>&lt;xpertPerDay&gt;</t>
  </si>
  <si>
    <t>&lt;5011&gt;</t>
  </si>
  <si>
    <t>&lt;5007&gt;</t>
  </si>
  <si>
    <t>&lt;5006&gt;</t>
  </si>
  <si>
    <t>&lt;2008&gt;</t>
  </si>
  <si>
    <t>&lt;2005&gt;</t>
  </si>
  <si>
    <t>&lt;2037&gt;</t>
  </si>
  <si>
    <t>&lt;2025&gt;</t>
  </si>
  <si>
    <t>&lt;2022&gt;</t>
  </si>
  <si>
    <t>&lt;otherErrors&gt;</t>
  </si>
  <si>
    <t>&lt;invalidResults&gt;</t>
  </si>
  <si>
    <t>&lt;noResults&gt;</t>
  </si>
  <si>
    <t>Code</t>
  </si>
  <si>
    <t>Description</t>
  </si>
  <si>
    <t>Rapport récapitulatif sur l’appareil et le site</t>
  </si>
  <si>
    <t>Note:
Les catégories de résultats sont représentées par toutes les combinaisons de résultats possibles que l’appareil envoie à Aspect. Par exemple, MTB Detected n’inclut pas les RIF détectés MTB Detected, car ils sont considérés comme des résultats différents</t>
  </si>
  <si>
    <t>État</t>
  </si>
  <si>
    <t>Feuilleton</t>
  </si>
  <si>
    <t>Série de l’instrument</t>
  </si>
  <si>
    <t>Dernière mise à jour des résultats</t>
  </si>
  <si>
    <t>Statut</t>
  </si>
  <si>
    <t>Notes d’état</t>
  </si>
  <si>
    <t>Dernier ping sur</t>
  </si>
  <si>
    <t>Dernier ping de</t>
  </si>
  <si>
    <t>Informations ci-dessous en date du</t>
  </si>
  <si>
    <t>Système d’exploitation</t>
  </si>
  <si>
    <t>Fuseau horaire</t>
  </si>
  <si>
    <t>Langue / Région</t>
  </si>
  <si>
    <t>#SUM_DYNAMIC</t>
  </si>
  <si>
    <t>&lt;unreconciledResults&gt;</t>
  </si>
  <si>
    <t>Taux de consommation journalier</t>
  </si>
  <si>
    <t>Consommation annuelle prévue</t>
  </si>
  <si>
    <t>Quantité disponible</t>
  </si>
  <si>
    <t>Quantité disponible mais périmée</t>
  </si>
  <si>
    <t>Jours de stock restant</t>
  </si>
  <si>
    <t>Déchets prévus</t>
  </si>
  <si>
    <t>Total des résultats non réconciliés</t>
  </si>
  <si>
    <t>Note : ce rapport n'inclut que les produits consommables qui ont été parfois suivis sur les sites.</t>
  </si>
  <si>
    <t>Inventaire des appareils et des sites</t>
  </si>
  <si>
    <t>Liste des dispositifs pour la portée de la TB</t>
  </si>
  <si>
    <t>Dispositif</t>
  </si>
  <si>
    <t>Tests Xpert</t>
  </si>
  <si>
    <t>%Tests Xpert</t>
  </si>
  <si>
    <t>Xpert
Erreur/Invalide</t>
  </si>
  <si>
    <t>%Xpert
Augmenter</t>
  </si>
  <si>
    <t>%Xpert
 Erreur/Invalide</t>
  </si>
  <si>
    <t>Xpert+
 Traité</t>
  </si>
  <si>
    <t>Xpert+
Traité</t>
  </si>
  <si>
    <t>Xpert
Par jour</t>
  </si>
  <si>
    <t>Type d'erreur</t>
  </si>
  <si>
    <t>Résultats non valides</t>
  </si>
  <si>
    <t>Pas de résultats</t>
  </si>
  <si>
    <t>Erreurs totales, résultats non valides, pas de résultats</t>
  </si>
  <si>
    <t>Résultats invalides, pas de résultats</t>
  </si>
  <si>
    <t>Totaux</t>
  </si>
  <si>
    <t>Erreur d’exécution</t>
  </si>
  <si>
    <t>La température réelle s’est trop éloignée du point de consigne</t>
  </si>
  <si>
    <t>La différence de température dépasse la limite</t>
  </si>
  <si>
    <t>La température interne de l’instrument était hors plage</t>
  </si>
  <si>
    <t>Le signal optique du détecteur a dépassé la limite</t>
  </si>
  <si>
    <t>Le signal obscur du détecteur a dépassé la limite</t>
  </si>
  <si>
    <t>L’alimentation électrique a été détectée hors plage</t>
  </si>
  <si>
    <t>La température mesurée du système optique n’était pas dans la plage acceptable</t>
  </si>
  <si>
    <t>Une erreur de positionnement de vanne a été détectée à la fin du cycle</t>
  </si>
  <si>
    <t>Erreur de fin d’opération</t>
  </si>
  <si>
    <t>Le module exécute déjà un test lors de l’exécution de la commande</t>
  </si>
  <si>
    <t>Le mouvement du moteur de la seringue n’a pas été détecté</t>
  </si>
  <si>
    <t>La pression de la seringue dépasse la limite du protocole</t>
  </si>
  <si>
    <t>La pression de la seringue est inférieure à la limite du protocole</t>
  </si>
  <si>
    <t>Erreur de chargement de cartouche</t>
  </si>
  <si>
    <t>Impossible d’initialiser le capteur de pression</t>
  </si>
  <si>
    <t>La lecture de température des thermistances A/B/Ambiante/Optique est hors plage acceptable</t>
  </si>
  <si>
    <t>Le système n’a pas pu trouver la position d’origine de la vanne</t>
  </si>
  <si>
    <t>Tentative de chargement d’une cartouche alors que la porte est encore fermée</t>
  </si>
  <si>
    <t>Échec pour atteindre la température souhaitée</t>
  </si>
  <si>
    <t>Le système n’a pas pu trouver la position d’origine du piston</t>
  </si>
  <si>
    <t>Le cornet ultrasonique n’a pas pu être correctement accordé</t>
  </si>
  <si>
    <t>Le signal optique du détecteur n’a pas atteint la valeur attendue</t>
  </si>
  <si>
    <t>Le test d’intégrité de la cartouche a échoué</t>
  </si>
  <si>
    <t>Erreur d’auto-test</t>
  </si>
  <si>
    <t>Le fonctionnement du ventilateur de refroidissement n’a pas été vérifié. La température mesurée dépasse la limite</t>
  </si>
  <si>
    <t>Erreur d’analyse post-exécution</t>
  </si>
  <si>
    <t>Échec de la vérification de la sonde. La valeur était supérieure au maximum autorisé</t>
  </si>
  <si>
    <t>Échec de la vérification de la sonde. La valeur était inférieure au minimum autorisé</t>
  </si>
  <si>
    <t>Pertes de signal détectées dans la courbe d’amplification</t>
  </si>
  <si>
    <t>Catégorie</t>
  </si>
  <si>
    <t>Erreurs par appareil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</si>
</sst>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&quot;, &quot;yyyy"/>
    <numFmt numFmtId="165" formatCode="yyyy\-mm\-dd\ hh:mm"/>
  </numFmts>
  <fonts count="12" x14ac:knownFonts="1">
    <font>
      <sz val="12"/>
      <color rgb="FF000000"/>
      <name val="Calibri"/>
      <scheme val="minor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i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CC0DD"/>
        <bgColor rgb="FF3CC0DD"/>
      </patternFill>
    </fill>
    <fill>
      <patternFill patternType="solid">
        <fgColor rgb="FFFFFFFF"/>
        <bgColor rgb="FFFFFFFF"/>
      </patternFill>
    </fill>
    <fill>
      <patternFill patternType="solid">
        <fgColor rgb="FFABEBEF"/>
        <bgColor theme="4" tint="0.79995117038483843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165" fontId="5" fillId="2" borderId="1" xfId="0" applyNumberFormat="1" applyFont="1" applyFill="1" applyBorder="1"/>
    <xf numFmtId="165" fontId="5" fillId="2" borderId="1" xfId="0" applyNumberFormat="1" applyFont="1" applyFill="1" applyBorder="1" applyAlignment="1">
      <alignment wrapText="1"/>
    </xf>
    <xf numFmtId="0" fontId="6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8" fillId="0" borderId="0" xfId="0" applyFont="1"/>
    <xf numFmtId="0" fontId="10" fillId="0" borderId="8" xfId="0" applyFont="1" applyBorder="1"/>
    <xf numFmtId="0" fontId="10" fillId="0" borderId="0" xfId="0" applyFont="1"/>
    <xf numFmtId="0" fontId="6" fillId="2" borderId="2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1" fillId="0" borderId="8" xfId="0" applyFont="1" applyBorder="1"/>
    <xf numFmtId="0" fontId="11" fillId="0" borderId="17" xfId="0" applyFont="1" applyBorder="1"/>
    <xf numFmtId="0" fontId="0" fillId="0" borderId="18" xfId="0" applyBorder="1"/>
    <xf numFmtId="2" fontId="0" fillId="0" borderId="18" xfId="0" applyNumberFormat="1" applyBorder="1"/>
    <xf numFmtId="0" fontId="0" fillId="0" borderId="19" xfId="0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11" fillId="0" borderId="20" xfId="0" applyFont="1" applyBorder="1"/>
    <xf numFmtId="0" fontId="2" fillId="0" borderId="8" xfId="0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4" fontId="2" fillId="0" borderId="7" xfId="0" applyNumberFormat="1" applyFont="1" applyBorder="1"/>
    <xf numFmtId="14" fontId="2" fillId="0" borderId="7" xfId="0" applyNumberFormat="1" applyFont="1" applyBorder="1"/>
    <xf numFmtId="1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3" borderId="3" xfId="0" applyNumberFormat="1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6" fillId="2" borderId="3" xfId="0" applyFont="1" applyFill="1" applyBorder="1" applyAlignment="1">
      <alignment horizontal="center" vertical="center" wrapText="1"/>
    </xf>
    <xf numFmtId="0" fontId="7" fillId="0" borderId="7" xfId="0" applyFont="1" applyBorder="1"/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6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showGridLines="0" tabSelected="1" workbookViewId="0">
      <pane ySplit="8" topLeftCell="A9" activePane="bottomLeft" state="frozen"/>
      <selection pane="bottomLeft" activeCell="A9" sqref="A9"/>
    </sheetView>
  </sheetViews>
  <sheetFormatPr baseColWidth="10" defaultColWidth="11.1640625" defaultRowHeight="15" customHeight="1" x14ac:dyDescent="0.2"/>
  <cols>
    <col min="1" max="3" width="27" customWidth="1"/>
    <col min="4" max="4" width="15.1640625" customWidth="1"/>
    <col min="5" max="5" width="31.1640625" customWidth="1"/>
    <col min="6" max="9" width="19" customWidth="1"/>
    <col min="10" max="10" width="14.6640625" customWidth="1"/>
    <col min="11" max="14" width="14.33203125" customWidth="1"/>
    <col min="15" max="15" width="13.1640625" customWidth="1"/>
    <col min="16" max="16" width="10.5" customWidth="1"/>
    <col min="17" max="17" width="18.1640625" customWidth="1"/>
    <col min="18" max="18" width="11" customWidth="1"/>
    <col min="19" max="19" width="14" customWidth="1"/>
    <col min="20" max="26" width="11.1640625" customWidth="1"/>
  </cols>
  <sheetData>
    <row r="1" spans="1:21" ht="27.75" customHeight="1" x14ac:dyDescent="0.25">
      <c r="A1" s="15" t="s">
        <v>80</v>
      </c>
      <c r="B1" s="1"/>
      <c r="C1" s="1"/>
      <c r="D1" s="1"/>
      <c r="E1" s="1"/>
      <c r="J1" s="2"/>
      <c r="K1" s="3"/>
      <c r="L1" s="2"/>
      <c r="M1" s="2"/>
      <c r="N1" s="2"/>
      <c r="O1" s="2"/>
      <c r="P1" s="2"/>
      <c r="Q1" s="2"/>
      <c r="R1" s="3"/>
    </row>
    <row r="2" spans="1:21" ht="15" customHeight="1" x14ac:dyDescent="0.2">
      <c r="A2" s="4" t="s">
        <v>0</v>
      </c>
      <c r="E2" s="53" t="s">
        <v>81</v>
      </c>
      <c r="F2" s="54"/>
      <c r="G2" s="54"/>
      <c r="H2" s="5"/>
      <c r="J2" s="2"/>
      <c r="K2" s="3"/>
      <c r="L2" s="2"/>
      <c r="M2" s="2"/>
      <c r="N2" s="2"/>
      <c r="O2" s="2"/>
      <c r="P2" s="2"/>
      <c r="Q2" s="2"/>
      <c r="R2" s="3"/>
    </row>
    <row r="3" spans="1:21" ht="15.75" customHeight="1" x14ac:dyDescent="0.2">
      <c r="A3" s="4" t="s">
        <v>1</v>
      </c>
      <c r="C3" s="55"/>
      <c r="D3" s="54"/>
      <c r="E3" s="54"/>
      <c r="F3" s="54"/>
      <c r="G3" s="54"/>
      <c r="H3" s="5"/>
      <c r="J3" s="2"/>
      <c r="K3" s="3"/>
      <c r="L3" s="2"/>
      <c r="M3" s="2"/>
      <c r="N3" s="2"/>
      <c r="O3" s="2"/>
      <c r="P3" s="2"/>
      <c r="Q3" s="2"/>
      <c r="R3" s="3"/>
    </row>
    <row r="4" spans="1:21" ht="15.75" customHeight="1" x14ac:dyDescent="0.2">
      <c r="A4" s="4" t="s">
        <v>2</v>
      </c>
      <c r="E4" s="54"/>
      <c r="F4" s="54"/>
      <c r="G4" s="54"/>
      <c r="H4" s="5"/>
      <c r="J4" s="2"/>
      <c r="K4" s="3"/>
      <c r="L4" s="2"/>
      <c r="M4" s="2"/>
      <c r="N4" s="2"/>
      <c r="O4" s="2"/>
      <c r="P4" s="2"/>
      <c r="Q4" s="2"/>
      <c r="R4" s="3"/>
    </row>
    <row r="5" spans="1:21" ht="15.75" customHeight="1" x14ac:dyDescent="0.2">
      <c r="A5" s="6" t="s">
        <v>3</v>
      </c>
      <c r="E5" s="54"/>
      <c r="F5" s="54"/>
      <c r="G5" s="54"/>
      <c r="H5" s="5"/>
      <c r="J5" s="2"/>
      <c r="K5" s="3"/>
      <c r="L5" s="2"/>
      <c r="M5" s="2"/>
      <c r="N5" s="2"/>
      <c r="O5" s="2"/>
      <c r="P5" s="2"/>
      <c r="Q5" s="2"/>
      <c r="R5" s="3"/>
    </row>
    <row r="6" spans="1:21" ht="15.75" customHeight="1" x14ac:dyDescent="0.2">
      <c r="A6" s="4" t="s">
        <v>4</v>
      </c>
      <c r="E6" s="54"/>
      <c r="F6" s="54"/>
      <c r="G6" s="54"/>
      <c r="J6" s="2"/>
      <c r="K6" s="3"/>
      <c r="L6" s="2"/>
      <c r="M6" s="2"/>
      <c r="N6" s="2"/>
      <c r="O6" s="2"/>
      <c r="P6" s="2"/>
      <c r="Q6" s="2"/>
      <c r="R6" s="3"/>
    </row>
    <row r="7" spans="1:21" ht="15.75" customHeight="1" thickBot="1" x14ac:dyDescent="0.25">
      <c r="A7" s="4" t="s">
        <v>5</v>
      </c>
      <c r="C7" s="7"/>
      <c r="D7" s="6"/>
      <c r="J7" s="2"/>
      <c r="K7" s="3"/>
      <c r="L7" s="2"/>
      <c r="M7" s="2"/>
      <c r="N7" s="2"/>
      <c r="O7" s="2"/>
      <c r="P7" s="2"/>
      <c r="Q7" s="2"/>
      <c r="R7" s="3"/>
    </row>
    <row r="8" spans="1:21" ht="67.5" customHeight="1" thickBot="1" x14ac:dyDescent="0.25">
      <c r="A8" s="8" t="s">
        <v>6</v>
      </c>
      <c r="B8" s="8" t="s">
        <v>82</v>
      </c>
      <c r="C8" s="8" t="s">
        <v>7</v>
      </c>
      <c r="D8" s="8" t="s">
        <v>83</v>
      </c>
      <c r="E8" s="8" t="s">
        <v>84</v>
      </c>
      <c r="F8" s="8" t="s">
        <v>85</v>
      </c>
      <c r="G8" s="8" t="s">
        <v>86</v>
      </c>
      <c r="H8" s="8" t="s">
        <v>87</v>
      </c>
      <c r="I8" s="8" t="s">
        <v>88</v>
      </c>
      <c r="J8" s="8" t="s">
        <v>89</v>
      </c>
      <c r="K8" s="9" t="s">
        <v>90</v>
      </c>
      <c r="L8" s="9" t="s">
        <v>91</v>
      </c>
      <c r="M8" s="9" t="s">
        <v>92</v>
      </c>
      <c r="N8" s="9" t="s">
        <v>93</v>
      </c>
      <c r="O8" s="9" t="s">
        <v>8</v>
      </c>
      <c r="P8" s="9" t="s">
        <v>9</v>
      </c>
      <c r="Q8" s="9" t="s">
        <v>10</v>
      </c>
      <c r="R8" s="9" t="s">
        <v>11</v>
      </c>
      <c r="S8" s="8" t="s">
        <v>12</v>
      </c>
      <c r="T8" s="8" t="s">
        <v>13</v>
      </c>
    </row>
    <row r="9" spans="1:21" ht="15.75" customHeight="1" thickBot="1" x14ac:dyDescent="0.25">
      <c r="A9" s="43" t="s">
        <v>14</v>
      </c>
      <c r="B9" s="43" t="s">
        <v>15</v>
      </c>
      <c r="C9" s="43" t="s">
        <v>16</v>
      </c>
      <c r="D9" s="43" t="s">
        <v>17</v>
      </c>
      <c r="E9" s="43" t="s">
        <v>18</v>
      </c>
      <c r="F9" s="44" t="s">
        <v>19</v>
      </c>
      <c r="G9" s="43" t="s">
        <v>20</v>
      </c>
      <c r="H9" s="43" t="s">
        <v>21</v>
      </c>
      <c r="I9" s="44" t="s">
        <v>22</v>
      </c>
      <c r="J9" s="45" t="s">
        <v>23</v>
      </c>
      <c r="K9" s="45" t="s">
        <v>24</v>
      </c>
      <c r="L9" s="46" t="s">
        <v>25</v>
      </c>
      <c r="M9" s="46" t="s">
        <v>26</v>
      </c>
      <c r="N9" s="46" t="s">
        <v>27</v>
      </c>
      <c r="O9" s="46" t="s">
        <v>28</v>
      </c>
      <c r="P9" s="46" t="s">
        <v>29</v>
      </c>
      <c r="Q9" s="46" t="s">
        <v>30</v>
      </c>
      <c r="R9" s="45" t="s">
        <v>31</v>
      </c>
      <c r="S9" s="47" t="s">
        <v>32</v>
      </c>
      <c r="T9" s="47" t="s">
        <v>33</v>
      </c>
    </row>
    <row r="10" spans="1:21" ht="15.75" customHeight="1" thickBot="1" x14ac:dyDescent="0.25">
      <c r="A10" s="31" t="s">
        <v>120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>
        <f>SUM(S$9:S9)</f>
        <v>0</v>
      </c>
      <c r="T10" s="16">
        <f>SUM(T$9:T9)</f>
        <v>0</v>
      </c>
      <c r="U10" s="17" t="s">
        <v>94</v>
      </c>
    </row>
    <row r="11" spans="1:21" ht="15.75" customHeight="1" x14ac:dyDescent="0.2">
      <c r="A11" s="10"/>
      <c r="B11" s="10"/>
      <c r="C11" s="10"/>
      <c r="D11" s="10"/>
      <c r="E11" s="10"/>
      <c r="J11" s="2"/>
      <c r="K11" s="3"/>
      <c r="L11" s="2"/>
      <c r="M11" s="2"/>
      <c r="N11" s="2"/>
      <c r="O11" s="2"/>
      <c r="P11" s="2"/>
      <c r="Q11" s="2"/>
      <c r="R11" s="3"/>
    </row>
    <row r="12" spans="1:21" ht="15.75" customHeight="1" x14ac:dyDescent="0.2">
      <c r="J12" s="2"/>
      <c r="K12" s="3"/>
      <c r="L12" s="2"/>
      <c r="M12" s="2"/>
      <c r="N12" s="2"/>
      <c r="O12" s="2"/>
      <c r="P12" s="2"/>
      <c r="Q12" s="2"/>
      <c r="R12" s="3"/>
    </row>
    <row r="13" spans="1:21" ht="15.75" customHeight="1" x14ac:dyDescent="0.2">
      <c r="J13" s="2"/>
      <c r="K13" s="3"/>
      <c r="L13" s="2"/>
      <c r="M13" s="2"/>
      <c r="N13" s="2"/>
      <c r="O13" s="2"/>
      <c r="P13" s="2"/>
      <c r="Q13" s="2"/>
      <c r="R13" s="3"/>
    </row>
    <row r="14" spans="1:21" ht="15.75" customHeight="1" x14ac:dyDescent="0.2">
      <c r="J14" s="2"/>
      <c r="K14" s="3"/>
      <c r="L14" s="2"/>
      <c r="M14" s="2"/>
      <c r="N14" s="2"/>
      <c r="O14" s="2"/>
      <c r="P14" s="2"/>
      <c r="Q14" s="2"/>
      <c r="R14" s="3"/>
    </row>
    <row r="15" spans="1:21" ht="15.75" customHeight="1" x14ac:dyDescent="0.2">
      <c r="J15" s="2"/>
      <c r="K15" s="3"/>
      <c r="L15" s="2"/>
      <c r="M15" s="2"/>
      <c r="N15" s="2"/>
      <c r="O15" s="2"/>
      <c r="P15" s="2"/>
      <c r="Q15" s="2"/>
      <c r="R15" s="3"/>
    </row>
    <row r="16" spans="1:21" ht="15.75" customHeight="1" x14ac:dyDescent="0.2">
      <c r="J16" s="2"/>
      <c r="K16" s="3"/>
      <c r="L16" s="2"/>
      <c r="M16" s="2"/>
      <c r="N16" s="2"/>
      <c r="O16" s="2"/>
      <c r="P16" s="2"/>
      <c r="Q16" s="2"/>
      <c r="R16" s="3"/>
    </row>
    <row r="17" spans="10:18" ht="15.75" customHeight="1" x14ac:dyDescent="0.2">
      <c r="J17" s="2"/>
      <c r="K17" s="3"/>
      <c r="L17" s="2"/>
      <c r="M17" s="2"/>
      <c r="N17" s="2"/>
      <c r="O17" s="2"/>
      <c r="P17" s="2"/>
      <c r="Q17" s="2"/>
      <c r="R17" s="3"/>
    </row>
    <row r="18" spans="10:18" ht="15.75" customHeight="1" x14ac:dyDescent="0.2">
      <c r="J18" s="2"/>
      <c r="K18" s="3"/>
      <c r="L18" s="2"/>
      <c r="M18" s="2"/>
      <c r="N18" s="2"/>
      <c r="O18" s="2"/>
      <c r="P18" s="2"/>
      <c r="Q18" s="2"/>
      <c r="R18" s="3"/>
    </row>
    <row r="19" spans="10:18" ht="15.75" customHeight="1" x14ac:dyDescent="0.2">
      <c r="J19" s="2"/>
      <c r="K19" s="3"/>
      <c r="L19" s="2"/>
      <c r="M19" s="2"/>
      <c r="N19" s="2"/>
      <c r="O19" s="2"/>
      <c r="P19" s="2"/>
      <c r="Q19" s="2"/>
      <c r="R19" s="3"/>
    </row>
    <row r="20" spans="10:18" ht="15.75" customHeight="1" x14ac:dyDescent="0.2">
      <c r="J20" s="2"/>
      <c r="K20" s="3"/>
      <c r="L20" s="2"/>
      <c r="M20" s="2"/>
      <c r="N20" s="2"/>
      <c r="O20" s="2"/>
      <c r="P20" s="2"/>
      <c r="Q20" s="2"/>
      <c r="R20" s="3"/>
    </row>
    <row r="21" spans="10:18" ht="15.75" customHeight="1" x14ac:dyDescent="0.2">
      <c r="J21" s="2"/>
      <c r="K21" s="3"/>
      <c r="L21" s="2"/>
      <c r="M21" s="2"/>
      <c r="N21" s="2"/>
      <c r="O21" s="2"/>
      <c r="P21" s="2"/>
      <c r="Q21" s="2"/>
      <c r="R21" s="3"/>
    </row>
    <row r="22" spans="10:18" ht="15.75" customHeight="1" x14ac:dyDescent="0.2">
      <c r="J22" s="2"/>
      <c r="K22" s="3"/>
      <c r="L22" s="2"/>
      <c r="M22" s="2"/>
      <c r="N22" s="2"/>
      <c r="O22" s="2"/>
      <c r="P22" s="2"/>
      <c r="Q22" s="2"/>
      <c r="R22" s="3"/>
    </row>
    <row r="23" spans="10:18" ht="15.75" customHeight="1" x14ac:dyDescent="0.2">
      <c r="J23" s="2"/>
      <c r="K23" s="3"/>
      <c r="L23" s="2"/>
      <c r="M23" s="2"/>
      <c r="N23" s="2"/>
      <c r="O23" s="2"/>
      <c r="P23" s="2"/>
      <c r="Q23" s="2"/>
      <c r="R23" s="3"/>
    </row>
    <row r="24" spans="10:18" ht="15.75" customHeight="1" x14ac:dyDescent="0.2">
      <c r="J24" s="2"/>
      <c r="K24" s="3"/>
      <c r="L24" s="2"/>
      <c r="M24" s="2"/>
      <c r="N24" s="2"/>
      <c r="O24" s="2"/>
      <c r="P24" s="2"/>
      <c r="Q24" s="2"/>
      <c r="R24" s="3"/>
    </row>
    <row r="25" spans="10:18" ht="15.75" customHeight="1" x14ac:dyDescent="0.2">
      <c r="J25" s="2"/>
      <c r="K25" s="3"/>
      <c r="L25" s="2"/>
      <c r="M25" s="2"/>
      <c r="N25" s="2"/>
      <c r="O25" s="2"/>
      <c r="P25" s="2"/>
      <c r="Q25" s="2"/>
      <c r="R25" s="3"/>
    </row>
    <row r="26" spans="10:18" ht="15.75" customHeight="1" x14ac:dyDescent="0.2">
      <c r="J26" s="2"/>
      <c r="K26" s="3"/>
      <c r="L26" s="2"/>
      <c r="M26" s="2"/>
      <c r="N26" s="2"/>
      <c r="O26" s="2"/>
      <c r="P26" s="2"/>
      <c r="Q26" s="2"/>
      <c r="R26" s="3"/>
    </row>
    <row r="27" spans="10:18" ht="15.75" customHeight="1" x14ac:dyDescent="0.2">
      <c r="J27" s="2"/>
      <c r="K27" s="3"/>
      <c r="L27" s="2"/>
      <c r="M27" s="2"/>
      <c r="N27" s="2"/>
      <c r="O27" s="2"/>
      <c r="P27" s="2"/>
      <c r="Q27" s="2"/>
      <c r="R27" s="3"/>
    </row>
    <row r="28" spans="10:18" ht="15.75" customHeight="1" x14ac:dyDescent="0.2">
      <c r="J28" s="2"/>
      <c r="K28" s="3"/>
      <c r="L28" s="2"/>
      <c r="M28" s="2"/>
      <c r="N28" s="2"/>
      <c r="O28" s="2"/>
      <c r="P28" s="2"/>
      <c r="Q28" s="2"/>
      <c r="R28" s="3"/>
    </row>
    <row r="29" spans="10:18" ht="15.75" customHeight="1" x14ac:dyDescent="0.2">
      <c r="J29" s="2"/>
      <c r="K29" s="3"/>
      <c r="L29" s="2"/>
      <c r="M29" s="2"/>
      <c r="N29" s="2"/>
      <c r="O29" s="2"/>
      <c r="P29" s="2"/>
      <c r="Q29" s="2"/>
      <c r="R29" s="3"/>
    </row>
    <row r="30" spans="10:18" ht="15.75" customHeight="1" x14ac:dyDescent="0.2">
      <c r="J30" s="2"/>
      <c r="K30" s="3"/>
      <c r="L30" s="2"/>
      <c r="M30" s="2"/>
      <c r="N30" s="2"/>
      <c r="O30" s="2"/>
      <c r="P30" s="2"/>
      <c r="Q30" s="2"/>
      <c r="R30" s="3"/>
    </row>
    <row r="31" spans="10:18" ht="15.75" customHeight="1" x14ac:dyDescent="0.2">
      <c r="J31" s="2"/>
      <c r="K31" s="3"/>
      <c r="L31" s="2"/>
      <c r="M31" s="2"/>
      <c r="N31" s="2"/>
      <c r="O31" s="2"/>
      <c r="P31" s="2"/>
      <c r="Q31" s="2"/>
      <c r="R31" s="3"/>
    </row>
    <row r="32" spans="10:18" ht="15.75" customHeight="1" x14ac:dyDescent="0.2">
      <c r="J32" s="2"/>
      <c r="K32" s="3"/>
      <c r="L32" s="2"/>
      <c r="M32" s="2"/>
      <c r="N32" s="2"/>
      <c r="O32" s="2"/>
      <c r="P32" s="2"/>
      <c r="Q32" s="2"/>
      <c r="R32" s="3"/>
    </row>
    <row r="33" spans="10:18" ht="15.75" customHeight="1" x14ac:dyDescent="0.2">
      <c r="J33" s="2"/>
      <c r="K33" s="3"/>
      <c r="L33" s="2"/>
      <c r="M33" s="2"/>
      <c r="N33" s="2"/>
      <c r="O33" s="2"/>
      <c r="P33" s="2"/>
      <c r="Q33" s="2"/>
      <c r="R33" s="3"/>
    </row>
    <row r="34" spans="10:18" ht="15.75" customHeight="1" x14ac:dyDescent="0.2">
      <c r="J34" s="2"/>
      <c r="K34" s="3"/>
      <c r="L34" s="2"/>
      <c r="M34" s="2"/>
      <c r="N34" s="2"/>
      <c r="O34" s="2"/>
      <c r="P34" s="2"/>
      <c r="Q34" s="2"/>
      <c r="R34" s="3"/>
    </row>
    <row r="35" spans="10:18" ht="15.75" customHeight="1" x14ac:dyDescent="0.2">
      <c r="J35" s="2"/>
      <c r="K35" s="3"/>
      <c r="L35" s="2"/>
      <c r="M35" s="2"/>
      <c r="N35" s="2"/>
      <c r="O35" s="2"/>
      <c r="P35" s="2"/>
      <c r="Q35" s="2"/>
      <c r="R35" s="3"/>
    </row>
    <row r="36" spans="10:18" ht="15.75" customHeight="1" x14ac:dyDescent="0.2">
      <c r="J36" s="2"/>
      <c r="K36" s="3"/>
      <c r="L36" s="2"/>
      <c r="M36" s="2"/>
      <c r="N36" s="2"/>
      <c r="O36" s="2"/>
      <c r="P36" s="2"/>
      <c r="Q36" s="2"/>
      <c r="R36" s="3"/>
    </row>
    <row r="37" spans="10:18" ht="15.75" customHeight="1" x14ac:dyDescent="0.2">
      <c r="J37" s="2"/>
      <c r="K37" s="3"/>
      <c r="L37" s="2"/>
      <c r="M37" s="2"/>
      <c r="N37" s="2"/>
      <c r="O37" s="2"/>
      <c r="P37" s="2"/>
      <c r="Q37" s="2"/>
      <c r="R37" s="3"/>
    </row>
    <row r="38" spans="10:18" ht="15.75" customHeight="1" x14ac:dyDescent="0.2">
      <c r="J38" s="2"/>
      <c r="K38" s="3"/>
      <c r="L38" s="2"/>
      <c r="M38" s="2"/>
      <c r="N38" s="2"/>
      <c r="O38" s="2"/>
      <c r="P38" s="2"/>
      <c r="Q38" s="2"/>
      <c r="R38" s="3"/>
    </row>
    <row r="39" spans="10:18" ht="15.75" customHeight="1" x14ac:dyDescent="0.2">
      <c r="J39" s="2"/>
      <c r="K39" s="3"/>
      <c r="L39" s="2"/>
      <c r="M39" s="2"/>
      <c r="N39" s="2"/>
      <c r="O39" s="2"/>
      <c r="P39" s="2"/>
      <c r="Q39" s="2"/>
      <c r="R39" s="3"/>
    </row>
    <row r="40" spans="10:18" ht="15.75" customHeight="1" x14ac:dyDescent="0.2">
      <c r="J40" s="2"/>
      <c r="K40" s="3"/>
      <c r="L40" s="2"/>
      <c r="M40" s="2"/>
      <c r="N40" s="2"/>
      <c r="O40" s="2"/>
      <c r="P40" s="2"/>
      <c r="Q40" s="2"/>
      <c r="R40" s="3"/>
    </row>
    <row r="41" spans="10:18" ht="15.75" customHeight="1" x14ac:dyDescent="0.2">
      <c r="J41" s="2"/>
      <c r="K41" s="3"/>
      <c r="L41" s="2"/>
      <c r="M41" s="2"/>
      <c r="N41" s="2"/>
      <c r="O41" s="2"/>
      <c r="P41" s="2"/>
      <c r="Q41" s="2"/>
      <c r="R41" s="3"/>
    </row>
    <row r="42" spans="10:18" ht="15.75" customHeight="1" x14ac:dyDescent="0.2">
      <c r="J42" s="2"/>
      <c r="K42" s="3"/>
      <c r="L42" s="2"/>
      <c r="M42" s="2"/>
      <c r="N42" s="2"/>
      <c r="O42" s="2"/>
      <c r="P42" s="2"/>
      <c r="Q42" s="2"/>
      <c r="R42" s="3"/>
    </row>
    <row r="43" spans="10:18" ht="15.75" customHeight="1" x14ac:dyDescent="0.2">
      <c r="J43" s="2"/>
      <c r="K43" s="3"/>
      <c r="L43" s="2"/>
      <c r="M43" s="2"/>
      <c r="N43" s="2"/>
      <c r="O43" s="2"/>
      <c r="P43" s="2"/>
      <c r="Q43" s="2"/>
      <c r="R43" s="3"/>
    </row>
    <row r="44" spans="10:18" ht="15.75" customHeight="1" x14ac:dyDescent="0.2">
      <c r="J44" s="2"/>
      <c r="K44" s="3"/>
      <c r="L44" s="2"/>
      <c r="M44" s="2"/>
      <c r="N44" s="2"/>
      <c r="O44" s="2"/>
      <c r="P44" s="2"/>
      <c r="Q44" s="2"/>
      <c r="R44" s="3"/>
    </row>
    <row r="45" spans="10:18" ht="15.75" customHeight="1" x14ac:dyDescent="0.2">
      <c r="J45" s="2"/>
      <c r="K45" s="3"/>
      <c r="L45" s="2"/>
      <c r="M45" s="2"/>
      <c r="N45" s="2"/>
      <c r="O45" s="2"/>
      <c r="P45" s="2"/>
      <c r="Q45" s="2"/>
      <c r="R45" s="3"/>
    </row>
    <row r="46" spans="10:18" ht="15.75" customHeight="1" x14ac:dyDescent="0.2">
      <c r="J46" s="2"/>
      <c r="K46" s="3"/>
      <c r="L46" s="2"/>
      <c r="M46" s="2"/>
      <c r="N46" s="2"/>
      <c r="O46" s="2"/>
      <c r="P46" s="2"/>
      <c r="Q46" s="2"/>
      <c r="R46" s="3"/>
    </row>
    <row r="47" spans="10:18" ht="15.75" customHeight="1" x14ac:dyDescent="0.2">
      <c r="J47" s="2"/>
      <c r="K47" s="3"/>
      <c r="L47" s="2"/>
      <c r="M47" s="2"/>
      <c r="N47" s="2"/>
      <c r="O47" s="2"/>
      <c r="P47" s="2"/>
      <c r="Q47" s="2"/>
      <c r="R47" s="3"/>
    </row>
    <row r="48" spans="10:18" ht="15.75" customHeight="1" x14ac:dyDescent="0.2">
      <c r="J48" s="2"/>
      <c r="K48" s="3"/>
      <c r="L48" s="2"/>
      <c r="M48" s="2"/>
      <c r="N48" s="2"/>
      <c r="O48" s="2"/>
      <c r="P48" s="2"/>
      <c r="Q48" s="2"/>
      <c r="R48" s="3"/>
    </row>
    <row r="49" spans="10:18" ht="15.75" customHeight="1" x14ac:dyDescent="0.2">
      <c r="J49" s="2"/>
      <c r="K49" s="3"/>
      <c r="L49" s="2"/>
      <c r="M49" s="2"/>
      <c r="N49" s="2"/>
      <c r="O49" s="2"/>
      <c r="P49" s="2"/>
      <c r="Q49" s="2"/>
      <c r="R49" s="3"/>
    </row>
    <row r="50" spans="10:18" ht="15.75" customHeight="1" x14ac:dyDescent="0.2">
      <c r="J50" s="2"/>
      <c r="K50" s="3"/>
      <c r="L50" s="2"/>
      <c r="M50" s="2"/>
      <c r="N50" s="2"/>
      <c r="O50" s="2"/>
      <c r="P50" s="2"/>
      <c r="Q50" s="2"/>
      <c r="R50" s="3"/>
    </row>
    <row r="51" spans="10:18" ht="15.75" customHeight="1" x14ac:dyDescent="0.2">
      <c r="J51" s="2"/>
      <c r="K51" s="3"/>
      <c r="L51" s="2"/>
      <c r="M51" s="2"/>
      <c r="N51" s="2"/>
      <c r="O51" s="2"/>
      <c r="P51" s="2"/>
      <c r="Q51" s="2"/>
      <c r="R51" s="3"/>
    </row>
    <row r="52" spans="10:18" ht="15.75" customHeight="1" x14ac:dyDescent="0.2">
      <c r="J52" s="2"/>
      <c r="K52" s="3"/>
      <c r="L52" s="2"/>
      <c r="M52" s="2"/>
      <c r="N52" s="2"/>
      <c r="O52" s="2"/>
      <c r="P52" s="2"/>
      <c r="Q52" s="2"/>
      <c r="R52" s="3"/>
    </row>
    <row r="53" spans="10:18" ht="15.75" customHeight="1" x14ac:dyDescent="0.2">
      <c r="J53" s="2"/>
      <c r="K53" s="3"/>
      <c r="L53" s="2"/>
      <c r="M53" s="2"/>
      <c r="N53" s="2"/>
      <c r="O53" s="2"/>
      <c r="P53" s="2"/>
      <c r="Q53" s="2"/>
      <c r="R53" s="3"/>
    </row>
    <row r="54" spans="10:18" ht="15.75" customHeight="1" x14ac:dyDescent="0.2">
      <c r="J54" s="2"/>
      <c r="K54" s="3"/>
      <c r="L54" s="2"/>
      <c r="M54" s="2"/>
      <c r="N54" s="2"/>
      <c r="O54" s="2"/>
      <c r="P54" s="2"/>
      <c r="Q54" s="2"/>
      <c r="R54" s="3"/>
    </row>
    <row r="55" spans="10:18" ht="15.75" customHeight="1" x14ac:dyDescent="0.2">
      <c r="J55" s="2"/>
      <c r="K55" s="3"/>
      <c r="L55" s="2"/>
      <c r="M55" s="2"/>
      <c r="N55" s="2"/>
      <c r="O55" s="2"/>
      <c r="P55" s="2"/>
      <c r="Q55" s="2"/>
      <c r="R55" s="3"/>
    </row>
    <row r="56" spans="10:18" ht="15.75" customHeight="1" x14ac:dyDescent="0.2">
      <c r="J56" s="2"/>
      <c r="K56" s="3"/>
      <c r="L56" s="2"/>
      <c r="M56" s="2"/>
      <c r="N56" s="2"/>
      <c r="O56" s="2"/>
      <c r="P56" s="2"/>
      <c r="Q56" s="2"/>
      <c r="R56" s="3"/>
    </row>
    <row r="57" spans="10:18" ht="15.75" customHeight="1" x14ac:dyDescent="0.2">
      <c r="J57" s="2"/>
      <c r="K57" s="3"/>
      <c r="L57" s="2"/>
      <c r="M57" s="2"/>
      <c r="N57" s="2"/>
      <c r="O57" s="2"/>
      <c r="P57" s="2"/>
      <c r="Q57" s="2"/>
      <c r="R57" s="3"/>
    </row>
    <row r="58" spans="10:18" ht="15.75" customHeight="1" x14ac:dyDescent="0.2">
      <c r="J58" s="2"/>
      <c r="K58" s="3"/>
      <c r="L58" s="2"/>
      <c r="M58" s="2"/>
      <c r="N58" s="2"/>
      <c r="O58" s="2"/>
      <c r="P58" s="2"/>
      <c r="Q58" s="2"/>
      <c r="R58" s="3"/>
    </row>
    <row r="59" spans="10:18" ht="15.75" customHeight="1" x14ac:dyDescent="0.2">
      <c r="J59" s="2"/>
      <c r="K59" s="3"/>
      <c r="L59" s="2"/>
      <c r="M59" s="2"/>
      <c r="N59" s="2"/>
      <c r="O59" s="2"/>
      <c r="P59" s="2"/>
      <c r="Q59" s="2"/>
      <c r="R59" s="3"/>
    </row>
    <row r="60" spans="10:18" ht="15.75" customHeight="1" x14ac:dyDescent="0.2">
      <c r="J60" s="2"/>
      <c r="K60" s="3"/>
      <c r="L60" s="2"/>
      <c r="M60" s="2"/>
      <c r="N60" s="2"/>
      <c r="O60" s="2"/>
      <c r="P60" s="2"/>
      <c r="Q60" s="2"/>
      <c r="R60" s="3"/>
    </row>
    <row r="61" spans="10:18" ht="15.75" customHeight="1" x14ac:dyDescent="0.2">
      <c r="J61" s="2"/>
      <c r="K61" s="3"/>
      <c r="L61" s="2"/>
      <c r="M61" s="2"/>
      <c r="N61" s="2"/>
      <c r="O61" s="2"/>
      <c r="P61" s="2"/>
      <c r="Q61" s="2"/>
      <c r="R61" s="3"/>
    </row>
    <row r="62" spans="10:18" ht="15.75" customHeight="1" x14ac:dyDescent="0.2">
      <c r="J62" s="2"/>
      <c r="K62" s="3"/>
      <c r="L62" s="2"/>
      <c r="M62" s="2"/>
      <c r="N62" s="2"/>
      <c r="O62" s="2"/>
      <c r="P62" s="2"/>
      <c r="Q62" s="2"/>
      <c r="R62" s="3"/>
    </row>
    <row r="63" spans="10:18" ht="15.75" customHeight="1" x14ac:dyDescent="0.2">
      <c r="J63" s="2"/>
      <c r="K63" s="3"/>
      <c r="L63" s="2"/>
      <c r="M63" s="2"/>
      <c r="N63" s="2"/>
      <c r="O63" s="2"/>
      <c r="P63" s="2"/>
      <c r="Q63" s="2"/>
      <c r="R63" s="3"/>
    </row>
    <row r="64" spans="10:18" ht="15.75" customHeight="1" x14ac:dyDescent="0.2">
      <c r="J64" s="2"/>
      <c r="K64" s="3"/>
      <c r="L64" s="2"/>
      <c r="M64" s="2"/>
      <c r="N64" s="2"/>
      <c r="O64" s="2"/>
      <c r="P64" s="2"/>
      <c r="Q64" s="2"/>
      <c r="R64" s="3"/>
    </row>
    <row r="65" spans="10:18" ht="15.75" customHeight="1" x14ac:dyDescent="0.2">
      <c r="J65" s="2"/>
      <c r="K65" s="3"/>
      <c r="L65" s="2"/>
      <c r="M65" s="2"/>
      <c r="N65" s="2"/>
      <c r="O65" s="2"/>
      <c r="P65" s="2"/>
      <c r="Q65" s="2"/>
      <c r="R65" s="3"/>
    </row>
    <row r="66" spans="10:18" ht="15.75" customHeight="1" x14ac:dyDescent="0.2">
      <c r="J66" s="2"/>
      <c r="K66" s="3"/>
      <c r="L66" s="2"/>
      <c r="M66" s="2"/>
      <c r="N66" s="2"/>
      <c r="O66" s="2"/>
      <c r="P66" s="2"/>
      <c r="Q66" s="2"/>
      <c r="R66" s="3"/>
    </row>
    <row r="67" spans="10:18" ht="15.75" customHeight="1" x14ac:dyDescent="0.2">
      <c r="J67" s="2"/>
      <c r="K67" s="3"/>
      <c r="L67" s="2"/>
      <c r="M67" s="2"/>
      <c r="N67" s="2"/>
      <c r="O67" s="2"/>
      <c r="P67" s="2"/>
      <c r="Q67" s="2"/>
      <c r="R67" s="3"/>
    </row>
    <row r="68" spans="10:18" ht="15.75" customHeight="1" x14ac:dyDescent="0.2">
      <c r="J68" s="2"/>
      <c r="K68" s="3"/>
      <c r="L68" s="2"/>
      <c r="M68" s="2"/>
      <c r="N68" s="2"/>
      <c r="O68" s="2"/>
      <c r="P68" s="2"/>
      <c r="Q68" s="2"/>
      <c r="R68" s="3"/>
    </row>
    <row r="69" spans="10:18" ht="15.75" customHeight="1" x14ac:dyDescent="0.2">
      <c r="J69" s="2"/>
      <c r="K69" s="3"/>
      <c r="L69" s="2"/>
      <c r="M69" s="2"/>
      <c r="N69" s="2"/>
      <c r="O69" s="2"/>
      <c r="P69" s="2"/>
      <c r="Q69" s="2"/>
      <c r="R69" s="3"/>
    </row>
    <row r="70" spans="10:18" ht="15.75" customHeight="1" x14ac:dyDescent="0.2">
      <c r="J70" s="2"/>
      <c r="K70" s="3"/>
      <c r="L70" s="2"/>
      <c r="M70" s="2"/>
      <c r="N70" s="2"/>
      <c r="O70" s="2"/>
      <c r="P70" s="2"/>
      <c r="Q70" s="2"/>
      <c r="R70" s="3"/>
    </row>
    <row r="71" spans="10:18" ht="15.75" customHeight="1" x14ac:dyDescent="0.2">
      <c r="J71" s="2"/>
      <c r="K71" s="3"/>
      <c r="L71" s="2"/>
      <c r="M71" s="2"/>
      <c r="N71" s="2"/>
      <c r="O71" s="2"/>
      <c r="P71" s="2"/>
      <c r="Q71" s="2"/>
      <c r="R71" s="3"/>
    </row>
    <row r="72" spans="10:18" ht="15.75" customHeight="1" x14ac:dyDescent="0.2">
      <c r="J72" s="2"/>
      <c r="K72" s="3"/>
      <c r="L72" s="2"/>
      <c r="M72" s="2"/>
      <c r="N72" s="2"/>
      <c r="O72" s="2"/>
      <c r="P72" s="2"/>
      <c r="Q72" s="2"/>
      <c r="R72" s="3"/>
    </row>
    <row r="73" spans="10:18" ht="15.75" customHeight="1" x14ac:dyDescent="0.2">
      <c r="J73" s="2"/>
      <c r="K73" s="3"/>
      <c r="L73" s="2"/>
      <c r="M73" s="2"/>
      <c r="N73" s="2"/>
      <c r="O73" s="2"/>
      <c r="P73" s="2"/>
      <c r="Q73" s="2"/>
      <c r="R73" s="3"/>
    </row>
    <row r="74" spans="10:18" ht="15.75" customHeight="1" x14ac:dyDescent="0.2">
      <c r="J74" s="2"/>
      <c r="K74" s="3"/>
      <c r="L74" s="2"/>
      <c r="M74" s="2"/>
      <c r="N74" s="2"/>
      <c r="O74" s="2"/>
      <c r="P74" s="2"/>
      <c r="Q74" s="2"/>
      <c r="R74" s="3"/>
    </row>
    <row r="75" spans="10:18" ht="15.75" customHeight="1" x14ac:dyDescent="0.2">
      <c r="J75" s="2"/>
      <c r="K75" s="3"/>
      <c r="L75" s="2"/>
      <c r="M75" s="2"/>
      <c r="N75" s="2"/>
      <c r="O75" s="2"/>
      <c r="P75" s="2"/>
      <c r="Q75" s="2"/>
      <c r="R75" s="3"/>
    </row>
    <row r="76" spans="10:18" ht="15.75" customHeight="1" x14ac:dyDescent="0.2">
      <c r="J76" s="2"/>
      <c r="K76" s="3"/>
      <c r="L76" s="2"/>
      <c r="M76" s="2"/>
      <c r="N76" s="2"/>
      <c r="O76" s="2"/>
      <c r="P76" s="2"/>
      <c r="Q76" s="2"/>
      <c r="R76" s="3"/>
    </row>
    <row r="77" spans="10:18" ht="15.75" customHeight="1" x14ac:dyDescent="0.2">
      <c r="J77" s="2"/>
      <c r="K77" s="3"/>
      <c r="L77" s="2"/>
      <c r="M77" s="2"/>
      <c r="N77" s="2"/>
      <c r="O77" s="2"/>
      <c r="P77" s="2"/>
      <c r="Q77" s="2"/>
      <c r="R77" s="3"/>
    </row>
    <row r="78" spans="10:18" ht="15.75" customHeight="1" x14ac:dyDescent="0.2">
      <c r="J78" s="2"/>
      <c r="K78" s="3"/>
      <c r="L78" s="2"/>
      <c r="M78" s="2"/>
      <c r="N78" s="2"/>
      <c r="O78" s="2"/>
      <c r="P78" s="2"/>
      <c r="Q78" s="2"/>
      <c r="R78" s="3"/>
    </row>
    <row r="79" spans="10:18" ht="15.75" customHeight="1" x14ac:dyDescent="0.2">
      <c r="J79" s="2"/>
      <c r="K79" s="3"/>
      <c r="L79" s="2"/>
      <c r="M79" s="2"/>
      <c r="N79" s="2"/>
      <c r="O79" s="2"/>
      <c r="P79" s="2"/>
      <c r="Q79" s="2"/>
      <c r="R79" s="3"/>
    </row>
    <row r="80" spans="10:18" ht="15.75" customHeight="1" x14ac:dyDescent="0.2">
      <c r="J80" s="2"/>
      <c r="K80" s="3"/>
      <c r="L80" s="2"/>
      <c r="M80" s="2"/>
      <c r="N80" s="2"/>
      <c r="O80" s="2"/>
      <c r="P80" s="2"/>
      <c r="Q80" s="2"/>
      <c r="R80" s="3"/>
    </row>
    <row r="81" spans="10:18" ht="15.75" customHeight="1" x14ac:dyDescent="0.2">
      <c r="J81" s="2"/>
      <c r="K81" s="3"/>
      <c r="L81" s="2"/>
      <c r="M81" s="2"/>
      <c r="N81" s="2"/>
      <c r="O81" s="2"/>
      <c r="P81" s="2"/>
      <c r="Q81" s="2"/>
      <c r="R81" s="3"/>
    </row>
    <row r="82" spans="10:18" ht="15.75" customHeight="1" x14ac:dyDescent="0.2">
      <c r="J82" s="2"/>
      <c r="K82" s="3"/>
      <c r="L82" s="2"/>
      <c r="M82" s="2"/>
      <c r="N82" s="2"/>
      <c r="O82" s="2"/>
      <c r="P82" s="2"/>
      <c r="Q82" s="2"/>
      <c r="R82" s="3"/>
    </row>
    <row r="83" spans="10:18" ht="15.75" customHeight="1" x14ac:dyDescent="0.2">
      <c r="J83" s="2"/>
      <c r="K83" s="3"/>
      <c r="L83" s="2"/>
      <c r="M83" s="2"/>
      <c r="N83" s="2"/>
      <c r="O83" s="2"/>
      <c r="P83" s="2"/>
      <c r="Q83" s="2"/>
      <c r="R83" s="3"/>
    </row>
    <row r="84" spans="10:18" ht="15.75" customHeight="1" x14ac:dyDescent="0.2">
      <c r="J84" s="2"/>
      <c r="K84" s="3"/>
      <c r="L84" s="2"/>
      <c r="M84" s="2"/>
      <c r="N84" s="2"/>
      <c r="O84" s="2"/>
      <c r="P84" s="2"/>
      <c r="Q84" s="2"/>
      <c r="R84" s="3"/>
    </row>
    <row r="85" spans="10:18" ht="15.75" customHeight="1" x14ac:dyDescent="0.2">
      <c r="J85" s="2"/>
      <c r="K85" s="3"/>
      <c r="L85" s="2"/>
      <c r="M85" s="2"/>
      <c r="N85" s="2"/>
      <c r="O85" s="2"/>
      <c r="P85" s="2"/>
      <c r="Q85" s="2"/>
      <c r="R85" s="3"/>
    </row>
    <row r="86" spans="10:18" ht="15.75" customHeight="1" x14ac:dyDescent="0.2">
      <c r="J86" s="2"/>
      <c r="K86" s="3"/>
      <c r="L86" s="2"/>
      <c r="M86" s="2"/>
      <c r="N86" s="2"/>
      <c r="O86" s="2"/>
      <c r="P86" s="2"/>
      <c r="Q86" s="2"/>
      <c r="R86" s="3"/>
    </row>
    <row r="87" spans="10:18" ht="15.75" customHeight="1" x14ac:dyDescent="0.2">
      <c r="J87" s="2"/>
      <c r="K87" s="3"/>
      <c r="L87" s="2"/>
      <c r="M87" s="2"/>
      <c r="N87" s="2"/>
      <c r="O87" s="2"/>
      <c r="P87" s="2"/>
      <c r="Q87" s="2"/>
      <c r="R87" s="3"/>
    </row>
    <row r="88" spans="10:18" ht="15.75" customHeight="1" x14ac:dyDescent="0.2">
      <c r="J88" s="2"/>
      <c r="K88" s="3"/>
      <c r="L88" s="2"/>
      <c r="M88" s="2"/>
      <c r="N88" s="2"/>
      <c r="O88" s="2"/>
      <c r="P88" s="2"/>
      <c r="Q88" s="2"/>
      <c r="R88" s="3"/>
    </row>
    <row r="89" spans="10:18" ht="15.75" customHeight="1" x14ac:dyDescent="0.2">
      <c r="J89" s="2"/>
      <c r="K89" s="3"/>
      <c r="L89" s="2"/>
      <c r="M89" s="2"/>
      <c r="N89" s="2"/>
      <c r="O89" s="2"/>
      <c r="P89" s="2"/>
      <c r="Q89" s="2"/>
      <c r="R89" s="3"/>
    </row>
    <row r="90" spans="10:18" ht="15.75" customHeight="1" x14ac:dyDescent="0.2">
      <c r="J90" s="2"/>
      <c r="K90" s="3"/>
      <c r="L90" s="2"/>
      <c r="M90" s="2"/>
      <c r="N90" s="2"/>
      <c r="O90" s="2"/>
      <c r="P90" s="2"/>
      <c r="Q90" s="2"/>
      <c r="R90" s="3"/>
    </row>
    <row r="91" spans="10:18" ht="15.75" customHeight="1" x14ac:dyDescent="0.2">
      <c r="J91" s="2"/>
      <c r="K91" s="3"/>
      <c r="L91" s="2"/>
      <c r="M91" s="2"/>
      <c r="N91" s="2"/>
      <c r="O91" s="2"/>
      <c r="P91" s="2"/>
      <c r="Q91" s="2"/>
      <c r="R91" s="3"/>
    </row>
    <row r="92" spans="10:18" ht="15.75" customHeight="1" x14ac:dyDescent="0.2">
      <c r="J92" s="2"/>
      <c r="K92" s="3"/>
      <c r="L92" s="2"/>
      <c r="M92" s="2"/>
      <c r="N92" s="2"/>
      <c r="O92" s="2"/>
      <c r="P92" s="2"/>
      <c r="Q92" s="2"/>
      <c r="R92" s="3"/>
    </row>
    <row r="93" spans="10:18" ht="15.75" customHeight="1" x14ac:dyDescent="0.2">
      <c r="J93" s="2"/>
      <c r="K93" s="3"/>
      <c r="L93" s="2"/>
      <c r="M93" s="2"/>
      <c r="N93" s="2"/>
      <c r="O93" s="2"/>
      <c r="P93" s="2"/>
      <c r="Q93" s="2"/>
      <c r="R93" s="3"/>
    </row>
    <row r="94" spans="10:18" ht="15.75" customHeight="1" x14ac:dyDescent="0.2">
      <c r="J94" s="2"/>
      <c r="K94" s="3"/>
      <c r="L94" s="2"/>
      <c r="M94" s="2"/>
      <c r="N94" s="2"/>
      <c r="O94" s="2"/>
      <c r="P94" s="2"/>
      <c r="Q94" s="2"/>
      <c r="R94" s="3"/>
    </row>
    <row r="95" spans="10:18" ht="15.75" customHeight="1" x14ac:dyDescent="0.2">
      <c r="J95" s="2"/>
      <c r="K95" s="3"/>
      <c r="L95" s="2"/>
      <c r="M95" s="2"/>
      <c r="N95" s="2"/>
      <c r="O95" s="2"/>
      <c r="P95" s="2"/>
      <c r="Q95" s="2"/>
      <c r="R95" s="3"/>
    </row>
    <row r="96" spans="10:18" ht="15.75" customHeight="1" x14ac:dyDescent="0.2">
      <c r="J96" s="2"/>
      <c r="K96" s="3"/>
      <c r="L96" s="2"/>
      <c r="M96" s="2"/>
      <c r="N96" s="2"/>
      <c r="O96" s="2"/>
      <c r="P96" s="2"/>
      <c r="Q96" s="2"/>
      <c r="R96" s="3"/>
    </row>
    <row r="97" spans="10:18" ht="15.75" customHeight="1" x14ac:dyDescent="0.2">
      <c r="J97" s="2"/>
      <c r="K97" s="3"/>
      <c r="L97" s="2"/>
      <c r="M97" s="2"/>
      <c r="N97" s="2"/>
      <c r="O97" s="2"/>
      <c r="P97" s="2"/>
      <c r="Q97" s="2"/>
      <c r="R97" s="3"/>
    </row>
    <row r="98" spans="10:18" ht="15.75" customHeight="1" x14ac:dyDescent="0.2">
      <c r="J98" s="2"/>
      <c r="K98" s="3"/>
      <c r="L98" s="2"/>
      <c r="M98" s="2"/>
      <c r="N98" s="2"/>
      <c r="O98" s="2"/>
      <c r="P98" s="2"/>
      <c r="Q98" s="2"/>
      <c r="R98" s="3"/>
    </row>
    <row r="99" spans="10:18" ht="15.75" customHeight="1" x14ac:dyDescent="0.2">
      <c r="J99" s="2"/>
      <c r="K99" s="3"/>
      <c r="L99" s="2"/>
      <c r="M99" s="2"/>
      <c r="N99" s="2"/>
      <c r="O99" s="2"/>
      <c r="P99" s="2"/>
      <c r="Q99" s="2"/>
      <c r="R99" s="3"/>
    </row>
    <row r="100" spans="10:18" ht="15.75" customHeight="1" x14ac:dyDescent="0.2">
      <c r="J100" s="2"/>
      <c r="K100" s="3"/>
      <c r="L100" s="2"/>
      <c r="M100" s="2"/>
      <c r="N100" s="2"/>
      <c r="O100" s="2"/>
      <c r="P100" s="2"/>
      <c r="Q100" s="2"/>
      <c r="R100" s="3"/>
    </row>
    <row r="101" spans="10:18" ht="15.75" customHeight="1" x14ac:dyDescent="0.2">
      <c r="J101" s="2"/>
      <c r="K101" s="3"/>
      <c r="L101" s="2"/>
      <c r="M101" s="2"/>
      <c r="N101" s="2"/>
      <c r="O101" s="2"/>
      <c r="P101" s="2"/>
      <c r="Q101" s="2"/>
      <c r="R101" s="3"/>
    </row>
    <row r="102" spans="10:18" ht="15.75" customHeight="1" x14ac:dyDescent="0.2">
      <c r="J102" s="2"/>
      <c r="K102" s="3"/>
      <c r="L102" s="2"/>
      <c r="M102" s="2"/>
      <c r="N102" s="2"/>
      <c r="O102" s="2"/>
      <c r="P102" s="2"/>
      <c r="Q102" s="2"/>
      <c r="R102" s="3"/>
    </row>
    <row r="103" spans="10:18" ht="15.75" customHeight="1" x14ac:dyDescent="0.2">
      <c r="J103" s="2"/>
      <c r="K103" s="3"/>
      <c r="L103" s="2"/>
      <c r="M103" s="2"/>
      <c r="N103" s="2"/>
      <c r="O103" s="2"/>
      <c r="P103" s="2"/>
      <c r="Q103" s="2"/>
      <c r="R103" s="3"/>
    </row>
    <row r="104" spans="10:18" ht="15.75" customHeight="1" x14ac:dyDescent="0.2">
      <c r="J104" s="2"/>
      <c r="K104" s="3"/>
      <c r="L104" s="2"/>
      <c r="M104" s="2"/>
      <c r="N104" s="2"/>
      <c r="O104" s="2"/>
      <c r="P104" s="2"/>
      <c r="Q104" s="2"/>
      <c r="R104" s="3"/>
    </row>
    <row r="105" spans="10:18" ht="15.75" customHeight="1" x14ac:dyDescent="0.2">
      <c r="J105" s="2"/>
      <c r="K105" s="3"/>
      <c r="L105" s="2"/>
      <c r="M105" s="2"/>
      <c r="N105" s="2"/>
      <c r="O105" s="2"/>
      <c r="P105" s="2"/>
      <c r="Q105" s="2"/>
      <c r="R105" s="3"/>
    </row>
    <row r="106" spans="10:18" ht="15.75" customHeight="1" x14ac:dyDescent="0.2">
      <c r="J106" s="2"/>
      <c r="K106" s="3"/>
      <c r="L106" s="2"/>
      <c r="M106" s="2"/>
      <c r="N106" s="2"/>
      <c r="O106" s="2"/>
      <c r="P106" s="2"/>
      <c r="Q106" s="2"/>
      <c r="R106" s="3"/>
    </row>
    <row r="107" spans="10:18" ht="15.75" customHeight="1" x14ac:dyDescent="0.2">
      <c r="J107" s="2"/>
      <c r="K107" s="3"/>
      <c r="L107" s="2"/>
      <c r="M107" s="2"/>
      <c r="N107" s="2"/>
      <c r="O107" s="2"/>
      <c r="P107" s="2"/>
      <c r="Q107" s="2"/>
      <c r="R107" s="3"/>
    </row>
    <row r="108" spans="10:18" ht="15.75" customHeight="1" x14ac:dyDescent="0.2">
      <c r="J108" s="2"/>
      <c r="K108" s="3"/>
      <c r="L108" s="2"/>
      <c r="M108" s="2"/>
      <c r="N108" s="2"/>
      <c r="O108" s="2"/>
      <c r="P108" s="2"/>
      <c r="Q108" s="2"/>
      <c r="R108" s="3"/>
    </row>
    <row r="109" spans="10:18" ht="15.75" customHeight="1" x14ac:dyDescent="0.2">
      <c r="J109" s="2"/>
      <c r="K109" s="3"/>
      <c r="L109" s="2"/>
      <c r="M109" s="2"/>
      <c r="N109" s="2"/>
      <c r="O109" s="2"/>
      <c r="P109" s="2"/>
      <c r="Q109" s="2"/>
      <c r="R109" s="3"/>
    </row>
    <row r="110" spans="10:18" ht="15.75" customHeight="1" x14ac:dyDescent="0.2">
      <c r="J110" s="2"/>
      <c r="K110" s="3"/>
      <c r="L110" s="2"/>
      <c r="M110" s="2"/>
      <c r="N110" s="2"/>
      <c r="O110" s="2"/>
      <c r="P110" s="2"/>
      <c r="Q110" s="2"/>
      <c r="R110" s="3"/>
    </row>
    <row r="111" spans="10:18" ht="15.75" customHeight="1" x14ac:dyDescent="0.2">
      <c r="J111" s="2"/>
      <c r="K111" s="3"/>
      <c r="L111" s="2"/>
      <c r="M111" s="2"/>
      <c r="N111" s="2"/>
      <c r="O111" s="2"/>
      <c r="P111" s="2"/>
      <c r="Q111" s="2"/>
      <c r="R111" s="3"/>
    </row>
    <row r="112" spans="10:18" ht="15.75" customHeight="1" x14ac:dyDescent="0.2">
      <c r="J112" s="2"/>
      <c r="K112" s="3"/>
      <c r="L112" s="2"/>
      <c r="M112" s="2"/>
      <c r="N112" s="2"/>
      <c r="O112" s="2"/>
      <c r="P112" s="2"/>
      <c r="Q112" s="2"/>
      <c r="R112" s="3"/>
    </row>
    <row r="113" spans="10:18" ht="15.75" customHeight="1" x14ac:dyDescent="0.2">
      <c r="J113" s="2"/>
      <c r="K113" s="3"/>
      <c r="L113" s="2"/>
      <c r="M113" s="2"/>
      <c r="N113" s="2"/>
      <c r="O113" s="2"/>
      <c r="P113" s="2"/>
      <c r="Q113" s="2"/>
      <c r="R113" s="3"/>
    </row>
    <row r="114" spans="10:18" ht="15.75" customHeight="1" x14ac:dyDescent="0.2">
      <c r="J114" s="2"/>
      <c r="K114" s="3"/>
      <c r="L114" s="2"/>
      <c r="M114" s="2"/>
      <c r="N114" s="2"/>
      <c r="O114" s="2"/>
      <c r="P114" s="2"/>
      <c r="Q114" s="2"/>
      <c r="R114" s="3"/>
    </row>
    <row r="115" spans="10:18" ht="15.75" customHeight="1" x14ac:dyDescent="0.2">
      <c r="J115" s="2"/>
      <c r="K115" s="3"/>
      <c r="L115" s="2"/>
      <c r="M115" s="2"/>
      <c r="N115" s="2"/>
      <c r="O115" s="2"/>
      <c r="P115" s="2"/>
      <c r="Q115" s="2"/>
      <c r="R115" s="3"/>
    </row>
    <row r="116" spans="10:18" ht="15.75" customHeight="1" x14ac:dyDescent="0.2">
      <c r="J116" s="2"/>
      <c r="K116" s="3"/>
      <c r="L116" s="2"/>
      <c r="M116" s="2"/>
      <c r="N116" s="2"/>
      <c r="O116" s="2"/>
      <c r="P116" s="2"/>
      <c r="Q116" s="2"/>
      <c r="R116" s="3"/>
    </row>
    <row r="117" spans="10:18" ht="15.75" customHeight="1" x14ac:dyDescent="0.2">
      <c r="J117" s="2"/>
      <c r="K117" s="3"/>
      <c r="L117" s="2"/>
      <c r="M117" s="2"/>
      <c r="N117" s="2"/>
      <c r="O117" s="2"/>
      <c r="P117" s="2"/>
      <c r="Q117" s="2"/>
      <c r="R117" s="3"/>
    </row>
    <row r="118" spans="10:18" ht="15.75" customHeight="1" x14ac:dyDescent="0.2">
      <c r="J118" s="2"/>
      <c r="K118" s="3"/>
      <c r="L118" s="2"/>
      <c r="M118" s="2"/>
      <c r="N118" s="2"/>
      <c r="O118" s="2"/>
      <c r="P118" s="2"/>
      <c r="Q118" s="2"/>
      <c r="R118" s="3"/>
    </row>
    <row r="119" spans="10:18" ht="15.75" customHeight="1" x14ac:dyDescent="0.2">
      <c r="J119" s="2"/>
      <c r="K119" s="3"/>
      <c r="L119" s="2"/>
      <c r="M119" s="2"/>
      <c r="N119" s="2"/>
      <c r="O119" s="2"/>
      <c r="P119" s="2"/>
      <c r="Q119" s="2"/>
      <c r="R119" s="3"/>
    </row>
    <row r="120" spans="10:18" ht="15.75" customHeight="1" x14ac:dyDescent="0.2">
      <c r="J120" s="2"/>
      <c r="K120" s="3"/>
      <c r="L120" s="2"/>
      <c r="M120" s="2"/>
      <c r="N120" s="2"/>
      <c r="O120" s="2"/>
      <c r="P120" s="2"/>
      <c r="Q120" s="2"/>
      <c r="R120" s="3"/>
    </row>
    <row r="121" spans="10:18" ht="15.75" customHeight="1" x14ac:dyDescent="0.2">
      <c r="J121" s="2"/>
      <c r="K121" s="3"/>
      <c r="L121" s="2"/>
      <c r="M121" s="2"/>
      <c r="N121" s="2"/>
      <c r="O121" s="2"/>
      <c r="P121" s="2"/>
      <c r="Q121" s="2"/>
      <c r="R121" s="3"/>
    </row>
    <row r="122" spans="10:18" ht="15.75" customHeight="1" x14ac:dyDescent="0.2">
      <c r="J122" s="2"/>
      <c r="K122" s="3"/>
      <c r="L122" s="2"/>
      <c r="M122" s="2"/>
      <c r="N122" s="2"/>
      <c r="O122" s="2"/>
      <c r="P122" s="2"/>
      <c r="Q122" s="2"/>
      <c r="R122" s="3"/>
    </row>
    <row r="123" spans="10:18" ht="15.75" customHeight="1" x14ac:dyDescent="0.2">
      <c r="J123" s="2"/>
      <c r="K123" s="3"/>
      <c r="L123" s="2"/>
      <c r="M123" s="2"/>
      <c r="N123" s="2"/>
      <c r="O123" s="2"/>
      <c r="P123" s="2"/>
      <c r="Q123" s="2"/>
      <c r="R123" s="3"/>
    </row>
    <row r="124" spans="10:18" ht="15.75" customHeight="1" x14ac:dyDescent="0.2">
      <c r="J124" s="2"/>
      <c r="K124" s="3"/>
      <c r="L124" s="2"/>
      <c r="M124" s="2"/>
      <c r="N124" s="2"/>
      <c r="O124" s="2"/>
      <c r="P124" s="2"/>
      <c r="Q124" s="2"/>
      <c r="R124" s="3"/>
    </row>
    <row r="125" spans="10:18" ht="15.75" customHeight="1" x14ac:dyDescent="0.2">
      <c r="J125" s="2"/>
      <c r="K125" s="3"/>
      <c r="L125" s="2"/>
      <c r="M125" s="2"/>
      <c r="N125" s="2"/>
      <c r="O125" s="2"/>
      <c r="P125" s="2"/>
      <c r="Q125" s="2"/>
      <c r="R125" s="3"/>
    </row>
    <row r="126" spans="10:18" ht="15.75" customHeight="1" x14ac:dyDescent="0.2">
      <c r="J126" s="2"/>
      <c r="K126" s="3"/>
      <c r="L126" s="2"/>
      <c r="M126" s="2"/>
      <c r="N126" s="2"/>
      <c r="O126" s="2"/>
      <c r="P126" s="2"/>
      <c r="Q126" s="2"/>
      <c r="R126" s="3"/>
    </row>
    <row r="127" spans="10:18" ht="15.75" customHeight="1" x14ac:dyDescent="0.2">
      <c r="J127" s="2"/>
      <c r="K127" s="3"/>
      <c r="L127" s="2"/>
      <c r="M127" s="2"/>
      <c r="N127" s="2"/>
      <c r="O127" s="2"/>
      <c r="P127" s="2"/>
      <c r="Q127" s="2"/>
      <c r="R127" s="3"/>
    </row>
    <row r="128" spans="10:18" ht="15.75" customHeight="1" x14ac:dyDescent="0.2">
      <c r="J128" s="2"/>
      <c r="K128" s="3"/>
      <c r="L128" s="2"/>
      <c r="M128" s="2"/>
      <c r="N128" s="2"/>
      <c r="O128" s="2"/>
      <c r="P128" s="2"/>
      <c r="Q128" s="2"/>
      <c r="R128" s="3"/>
    </row>
    <row r="129" spans="10:18" ht="15.75" customHeight="1" x14ac:dyDescent="0.2">
      <c r="J129" s="2"/>
      <c r="K129" s="3"/>
      <c r="L129" s="2"/>
      <c r="M129" s="2"/>
      <c r="N129" s="2"/>
      <c r="O129" s="2"/>
      <c r="P129" s="2"/>
      <c r="Q129" s="2"/>
      <c r="R129" s="3"/>
    </row>
    <row r="130" spans="10:18" ht="15.75" customHeight="1" x14ac:dyDescent="0.2">
      <c r="J130" s="2"/>
      <c r="K130" s="3"/>
      <c r="L130" s="2"/>
      <c r="M130" s="2"/>
      <c r="N130" s="2"/>
      <c r="O130" s="2"/>
      <c r="P130" s="2"/>
      <c r="Q130" s="2"/>
      <c r="R130" s="3"/>
    </row>
    <row r="131" spans="10:18" ht="15.75" customHeight="1" x14ac:dyDescent="0.2">
      <c r="J131" s="2"/>
      <c r="K131" s="3"/>
      <c r="L131" s="2"/>
      <c r="M131" s="2"/>
      <c r="N131" s="2"/>
      <c r="O131" s="2"/>
      <c r="P131" s="2"/>
      <c r="Q131" s="2"/>
      <c r="R131" s="3"/>
    </row>
    <row r="132" spans="10:18" ht="15.75" customHeight="1" x14ac:dyDescent="0.2">
      <c r="J132" s="2"/>
      <c r="K132" s="3"/>
      <c r="L132" s="2"/>
      <c r="M132" s="2"/>
      <c r="N132" s="2"/>
      <c r="O132" s="2"/>
      <c r="P132" s="2"/>
      <c r="Q132" s="2"/>
      <c r="R132" s="3"/>
    </row>
    <row r="133" spans="10:18" ht="15.75" customHeight="1" x14ac:dyDescent="0.2">
      <c r="J133" s="2"/>
      <c r="K133" s="3"/>
      <c r="L133" s="2"/>
      <c r="M133" s="2"/>
      <c r="N133" s="2"/>
      <c r="O133" s="2"/>
      <c r="P133" s="2"/>
      <c r="Q133" s="2"/>
      <c r="R133" s="3"/>
    </row>
    <row r="134" spans="10:18" ht="15.75" customHeight="1" x14ac:dyDescent="0.2">
      <c r="J134" s="2"/>
      <c r="K134" s="3"/>
      <c r="L134" s="2"/>
      <c r="M134" s="2"/>
      <c r="N134" s="2"/>
      <c r="O134" s="2"/>
      <c r="P134" s="2"/>
      <c r="Q134" s="2"/>
      <c r="R134" s="3"/>
    </row>
    <row r="135" spans="10:18" ht="15.75" customHeight="1" x14ac:dyDescent="0.2">
      <c r="J135" s="2"/>
      <c r="K135" s="3"/>
      <c r="L135" s="2"/>
      <c r="M135" s="2"/>
      <c r="N135" s="2"/>
      <c r="O135" s="2"/>
      <c r="P135" s="2"/>
      <c r="Q135" s="2"/>
      <c r="R135" s="3"/>
    </row>
    <row r="136" spans="10:18" ht="15.75" customHeight="1" x14ac:dyDescent="0.2">
      <c r="J136" s="2"/>
      <c r="K136" s="3"/>
      <c r="L136" s="2"/>
      <c r="M136" s="2"/>
      <c r="N136" s="2"/>
      <c r="O136" s="2"/>
      <c r="P136" s="2"/>
      <c r="Q136" s="2"/>
      <c r="R136" s="3"/>
    </row>
    <row r="137" spans="10:18" ht="15.75" customHeight="1" x14ac:dyDescent="0.2">
      <c r="J137" s="2"/>
      <c r="K137" s="3"/>
      <c r="L137" s="2"/>
      <c r="M137" s="2"/>
      <c r="N137" s="2"/>
      <c r="O137" s="2"/>
      <c r="P137" s="2"/>
      <c r="Q137" s="2"/>
      <c r="R137" s="3"/>
    </row>
    <row r="138" spans="10:18" ht="15.75" customHeight="1" x14ac:dyDescent="0.2">
      <c r="J138" s="2"/>
      <c r="K138" s="3"/>
      <c r="L138" s="2"/>
      <c r="M138" s="2"/>
      <c r="N138" s="2"/>
      <c r="O138" s="2"/>
      <c r="P138" s="2"/>
      <c r="Q138" s="2"/>
      <c r="R138" s="3"/>
    </row>
    <row r="139" spans="10:18" ht="15.75" customHeight="1" x14ac:dyDescent="0.2">
      <c r="J139" s="2"/>
      <c r="K139" s="3"/>
      <c r="L139" s="2"/>
      <c r="M139" s="2"/>
      <c r="N139" s="2"/>
      <c r="O139" s="2"/>
      <c r="P139" s="2"/>
      <c r="Q139" s="2"/>
      <c r="R139" s="3"/>
    </row>
    <row r="140" spans="10:18" ht="15.75" customHeight="1" x14ac:dyDescent="0.2">
      <c r="J140" s="2"/>
      <c r="K140" s="3"/>
      <c r="L140" s="2"/>
      <c r="M140" s="2"/>
      <c r="N140" s="2"/>
      <c r="O140" s="2"/>
      <c r="P140" s="2"/>
      <c r="Q140" s="2"/>
      <c r="R140" s="3"/>
    </row>
    <row r="141" spans="10:18" ht="15.75" customHeight="1" x14ac:dyDescent="0.2">
      <c r="J141" s="2"/>
      <c r="K141" s="3"/>
      <c r="L141" s="2"/>
      <c r="M141" s="2"/>
      <c r="N141" s="2"/>
      <c r="O141" s="2"/>
      <c r="P141" s="2"/>
      <c r="Q141" s="2"/>
      <c r="R141" s="3"/>
    </row>
    <row r="142" spans="10:18" ht="15.75" customHeight="1" x14ac:dyDescent="0.2">
      <c r="J142" s="2"/>
      <c r="K142" s="3"/>
      <c r="L142" s="2"/>
      <c r="M142" s="2"/>
      <c r="N142" s="2"/>
      <c r="O142" s="2"/>
      <c r="P142" s="2"/>
      <c r="Q142" s="2"/>
      <c r="R142" s="3"/>
    </row>
    <row r="143" spans="10:18" ht="15.75" customHeight="1" x14ac:dyDescent="0.2">
      <c r="J143" s="2"/>
      <c r="K143" s="3"/>
      <c r="L143" s="2"/>
      <c r="M143" s="2"/>
      <c r="N143" s="2"/>
      <c r="O143" s="2"/>
      <c r="P143" s="2"/>
      <c r="Q143" s="2"/>
      <c r="R143" s="3"/>
    </row>
    <row r="144" spans="10:18" ht="15.75" customHeight="1" x14ac:dyDescent="0.2">
      <c r="J144" s="2"/>
      <c r="K144" s="3"/>
      <c r="L144" s="2"/>
      <c r="M144" s="2"/>
      <c r="N144" s="2"/>
      <c r="O144" s="2"/>
      <c r="P144" s="2"/>
      <c r="Q144" s="2"/>
      <c r="R144" s="3"/>
    </row>
    <row r="145" spans="10:18" ht="15.75" customHeight="1" x14ac:dyDescent="0.2">
      <c r="J145" s="2"/>
      <c r="K145" s="3"/>
      <c r="L145" s="2"/>
      <c r="M145" s="2"/>
      <c r="N145" s="2"/>
      <c r="O145" s="2"/>
      <c r="P145" s="2"/>
      <c r="Q145" s="2"/>
      <c r="R145" s="3"/>
    </row>
    <row r="146" spans="10:18" ht="15.75" customHeight="1" x14ac:dyDescent="0.2">
      <c r="J146" s="2"/>
      <c r="K146" s="3"/>
      <c r="L146" s="2"/>
      <c r="M146" s="2"/>
      <c r="N146" s="2"/>
      <c r="O146" s="2"/>
      <c r="P146" s="2"/>
      <c r="Q146" s="2"/>
      <c r="R146" s="3"/>
    </row>
    <row r="147" spans="10:18" ht="15.75" customHeight="1" x14ac:dyDescent="0.2">
      <c r="J147" s="2"/>
      <c r="K147" s="3"/>
      <c r="L147" s="2"/>
      <c r="M147" s="2"/>
      <c r="N147" s="2"/>
      <c r="O147" s="2"/>
      <c r="P147" s="2"/>
      <c r="Q147" s="2"/>
      <c r="R147" s="3"/>
    </row>
    <row r="148" spans="10:18" ht="15.75" customHeight="1" x14ac:dyDescent="0.2">
      <c r="J148" s="2"/>
      <c r="K148" s="3"/>
      <c r="L148" s="2"/>
      <c r="M148" s="2"/>
      <c r="N148" s="2"/>
      <c r="O148" s="2"/>
      <c r="P148" s="2"/>
      <c r="Q148" s="2"/>
      <c r="R148" s="3"/>
    </row>
    <row r="149" spans="10:18" ht="15.75" customHeight="1" x14ac:dyDescent="0.2">
      <c r="J149" s="2"/>
      <c r="K149" s="3"/>
      <c r="L149" s="2"/>
      <c r="M149" s="2"/>
      <c r="N149" s="2"/>
      <c r="O149" s="2"/>
      <c r="P149" s="2"/>
      <c r="Q149" s="2"/>
      <c r="R149" s="3"/>
    </row>
    <row r="150" spans="10:18" ht="15.75" customHeight="1" x14ac:dyDescent="0.2">
      <c r="J150" s="2"/>
      <c r="K150" s="3"/>
      <c r="L150" s="2"/>
      <c r="M150" s="2"/>
      <c r="N150" s="2"/>
      <c r="O150" s="2"/>
      <c r="P150" s="2"/>
      <c r="Q150" s="2"/>
      <c r="R150" s="3"/>
    </row>
    <row r="151" spans="10:18" ht="15.75" customHeight="1" x14ac:dyDescent="0.2">
      <c r="J151" s="2"/>
      <c r="K151" s="3"/>
      <c r="L151" s="2"/>
      <c r="M151" s="2"/>
      <c r="N151" s="2"/>
      <c r="O151" s="2"/>
      <c r="P151" s="2"/>
      <c r="Q151" s="2"/>
      <c r="R151" s="3"/>
    </row>
    <row r="152" spans="10:18" ht="15.75" customHeight="1" x14ac:dyDescent="0.2">
      <c r="J152" s="2"/>
      <c r="K152" s="3"/>
      <c r="L152" s="2"/>
      <c r="M152" s="2"/>
      <c r="N152" s="2"/>
      <c r="O152" s="2"/>
      <c r="P152" s="2"/>
      <c r="Q152" s="2"/>
      <c r="R152" s="3"/>
    </row>
    <row r="153" spans="10:18" ht="15.75" customHeight="1" x14ac:dyDescent="0.2">
      <c r="J153" s="2"/>
      <c r="K153" s="3"/>
      <c r="L153" s="2"/>
      <c r="M153" s="2"/>
      <c r="N153" s="2"/>
      <c r="O153" s="2"/>
      <c r="P153" s="2"/>
      <c r="Q153" s="2"/>
      <c r="R153" s="3"/>
    </row>
    <row r="154" spans="10:18" ht="15.75" customHeight="1" x14ac:dyDescent="0.2">
      <c r="J154" s="2"/>
      <c r="K154" s="3"/>
      <c r="L154" s="2"/>
      <c r="M154" s="2"/>
      <c r="N154" s="2"/>
      <c r="O154" s="2"/>
      <c r="P154" s="2"/>
      <c r="Q154" s="2"/>
      <c r="R154" s="3"/>
    </row>
    <row r="155" spans="10:18" ht="15.75" customHeight="1" x14ac:dyDescent="0.2">
      <c r="J155" s="2"/>
      <c r="K155" s="3"/>
      <c r="L155" s="2"/>
      <c r="M155" s="2"/>
      <c r="N155" s="2"/>
      <c r="O155" s="2"/>
      <c r="P155" s="2"/>
      <c r="Q155" s="2"/>
      <c r="R155" s="3"/>
    </row>
    <row r="156" spans="10:18" ht="15.75" customHeight="1" x14ac:dyDescent="0.2">
      <c r="J156" s="2"/>
      <c r="K156" s="3"/>
      <c r="L156" s="2"/>
      <c r="M156" s="2"/>
      <c r="N156" s="2"/>
      <c r="O156" s="2"/>
      <c r="P156" s="2"/>
      <c r="Q156" s="2"/>
      <c r="R156" s="3"/>
    </row>
    <row r="157" spans="10:18" ht="15.75" customHeight="1" x14ac:dyDescent="0.2">
      <c r="J157" s="2"/>
      <c r="K157" s="3"/>
      <c r="L157" s="2"/>
      <c r="M157" s="2"/>
      <c r="N157" s="2"/>
      <c r="O157" s="2"/>
      <c r="P157" s="2"/>
      <c r="Q157" s="2"/>
      <c r="R157" s="3"/>
    </row>
    <row r="158" spans="10:18" ht="15.75" customHeight="1" x14ac:dyDescent="0.2">
      <c r="J158" s="2"/>
      <c r="K158" s="3"/>
      <c r="L158" s="2"/>
      <c r="M158" s="2"/>
      <c r="N158" s="2"/>
      <c r="O158" s="2"/>
      <c r="P158" s="2"/>
      <c r="Q158" s="2"/>
      <c r="R158" s="3"/>
    </row>
    <row r="159" spans="10:18" ht="15.75" customHeight="1" x14ac:dyDescent="0.2">
      <c r="J159" s="2"/>
      <c r="K159" s="3"/>
      <c r="L159" s="2"/>
      <c r="M159" s="2"/>
      <c r="N159" s="2"/>
      <c r="O159" s="2"/>
      <c r="P159" s="2"/>
      <c r="Q159" s="2"/>
      <c r="R159" s="3"/>
    </row>
    <row r="160" spans="10:18" ht="15.75" customHeight="1" x14ac:dyDescent="0.2">
      <c r="J160" s="2"/>
      <c r="K160" s="3"/>
      <c r="L160" s="2"/>
      <c r="M160" s="2"/>
      <c r="N160" s="2"/>
      <c r="O160" s="2"/>
      <c r="P160" s="2"/>
      <c r="Q160" s="2"/>
      <c r="R160" s="3"/>
    </row>
    <row r="161" spans="10:18" ht="15.75" customHeight="1" x14ac:dyDescent="0.2">
      <c r="J161" s="2"/>
      <c r="K161" s="3"/>
      <c r="L161" s="2"/>
      <c r="M161" s="2"/>
      <c r="N161" s="2"/>
      <c r="O161" s="2"/>
      <c r="P161" s="2"/>
      <c r="Q161" s="2"/>
      <c r="R161" s="3"/>
    </row>
    <row r="162" spans="10:18" ht="15.75" customHeight="1" x14ac:dyDescent="0.2">
      <c r="J162" s="2"/>
      <c r="K162" s="3"/>
      <c r="L162" s="2"/>
      <c r="M162" s="2"/>
      <c r="N162" s="2"/>
      <c r="O162" s="2"/>
      <c r="P162" s="2"/>
      <c r="Q162" s="2"/>
      <c r="R162" s="3"/>
    </row>
    <row r="163" spans="10:18" ht="15.75" customHeight="1" x14ac:dyDescent="0.2">
      <c r="J163" s="2"/>
      <c r="K163" s="3"/>
      <c r="L163" s="2"/>
      <c r="M163" s="2"/>
      <c r="N163" s="2"/>
      <c r="O163" s="2"/>
      <c r="P163" s="2"/>
      <c r="Q163" s="2"/>
      <c r="R163" s="3"/>
    </row>
    <row r="164" spans="10:18" ht="15.75" customHeight="1" x14ac:dyDescent="0.2">
      <c r="J164" s="2"/>
      <c r="K164" s="3"/>
      <c r="L164" s="2"/>
      <c r="M164" s="2"/>
      <c r="N164" s="2"/>
      <c r="O164" s="2"/>
      <c r="P164" s="2"/>
      <c r="Q164" s="2"/>
      <c r="R164" s="3"/>
    </row>
    <row r="165" spans="10:18" ht="15.75" customHeight="1" x14ac:dyDescent="0.2">
      <c r="J165" s="2"/>
      <c r="K165" s="3"/>
      <c r="L165" s="2"/>
      <c r="M165" s="2"/>
      <c r="N165" s="2"/>
      <c r="O165" s="2"/>
      <c r="P165" s="2"/>
      <c r="Q165" s="2"/>
      <c r="R165" s="3"/>
    </row>
    <row r="166" spans="10:18" ht="15.75" customHeight="1" x14ac:dyDescent="0.2">
      <c r="J166" s="2"/>
      <c r="K166" s="3"/>
      <c r="L166" s="2"/>
      <c r="M166" s="2"/>
      <c r="N166" s="2"/>
      <c r="O166" s="2"/>
      <c r="P166" s="2"/>
      <c r="Q166" s="2"/>
      <c r="R166" s="3"/>
    </row>
    <row r="167" spans="10:18" ht="15.75" customHeight="1" x14ac:dyDescent="0.2">
      <c r="J167" s="2"/>
      <c r="K167" s="3"/>
      <c r="L167" s="2"/>
      <c r="M167" s="2"/>
      <c r="N167" s="2"/>
      <c r="O167" s="2"/>
      <c r="P167" s="2"/>
      <c r="Q167" s="2"/>
      <c r="R167" s="3"/>
    </row>
    <row r="168" spans="10:18" ht="15.75" customHeight="1" x14ac:dyDescent="0.2">
      <c r="J168" s="2"/>
      <c r="K168" s="3"/>
      <c r="L168" s="2"/>
      <c r="M168" s="2"/>
      <c r="N168" s="2"/>
      <c r="O168" s="2"/>
      <c r="P168" s="2"/>
      <c r="Q168" s="2"/>
      <c r="R168" s="3"/>
    </row>
    <row r="169" spans="10:18" ht="15.75" customHeight="1" x14ac:dyDescent="0.2">
      <c r="J169" s="2"/>
      <c r="K169" s="3"/>
      <c r="L169" s="2"/>
      <c r="M169" s="2"/>
      <c r="N169" s="2"/>
      <c r="O169" s="2"/>
      <c r="P169" s="2"/>
      <c r="Q169" s="2"/>
      <c r="R169" s="3"/>
    </row>
    <row r="170" spans="10:18" ht="15.75" customHeight="1" x14ac:dyDescent="0.2">
      <c r="J170" s="2"/>
      <c r="K170" s="3"/>
      <c r="L170" s="2"/>
      <c r="M170" s="2"/>
      <c r="N170" s="2"/>
      <c r="O170" s="2"/>
      <c r="P170" s="2"/>
      <c r="Q170" s="2"/>
      <c r="R170" s="3"/>
    </row>
    <row r="171" spans="10:18" ht="15.75" customHeight="1" x14ac:dyDescent="0.2">
      <c r="J171" s="2"/>
      <c r="K171" s="3"/>
      <c r="L171" s="2"/>
      <c r="M171" s="2"/>
      <c r="N171" s="2"/>
      <c r="O171" s="2"/>
      <c r="P171" s="2"/>
      <c r="Q171" s="2"/>
      <c r="R171" s="3"/>
    </row>
    <row r="172" spans="10:18" ht="15.75" customHeight="1" x14ac:dyDescent="0.2">
      <c r="J172" s="2"/>
      <c r="K172" s="3"/>
      <c r="L172" s="2"/>
      <c r="M172" s="2"/>
      <c r="N172" s="2"/>
      <c r="O172" s="2"/>
      <c r="P172" s="2"/>
      <c r="Q172" s="2"/>
      <c r="R172" s="3"/>
    </row>
    <row r="173" spans="10:18" ht="15.75" customHeight="1" x14ac:dyDescent="0.2">
      <c r="J173" s="2"/>
      <c r="K173" s="3"/>
      <c r="L173" s="2"/>
      <c r="M173" s="2"/>
      <c r="N173" s="2"/>
      <c r="O173" s="2"/>
      <c r="P173" s="2"/>
      <c r="Q173" s="2"/>
      <c r="R173" s="3"/>
    </row>
    <row r="174" spans="10:18" ht="15.75" customHeight="1" x14ac:dyDescent="0.2">
      <c r="J174" s="2"/>
      <c r="K174" s="3"/>
      <c r="L174" s="2"/>
      <c r="M174" s="2"/>
      <c r="N174" s="2"/>
      <c r="O174" s="2"/>
      <c r="P174" s="2"/>
      <c r="Q174" s="2"/>
      <c r="R174" s="3"/>
    </row>
    <row r="175" spans="10:18" ht="15.75" customHeight="1" x14ac:dyDescent="0.2">
      <c r="J175" s="2"/>
      <c r="K175" s="3"/>
      <c r="L175" s="2"/>
      <c r="M175" s="2"/>
      <c r="N175" s="2"/>
      <c r="O175" s="2"/>
      <c r="P175" s="2"/>
      <c r="Q175" s="2"/>
      <c r="R175" s="3"/>
    </row>
    <row r="176" spans="10:18" ht="15.75" customHeight="1" x14ac:dyDescent="0.2">
      <c r="J176" s="2"/>
      <c r="K176" s="3"/>
      <c r="L176" s="2"/>
      <c r="M176" s="2"/>
      <c r="N176" s="2"/>
      <c r="O176" s="2"/>
      <c r="P176" s="2"/>
      <c r="Q176" s="2"/>
      <c r="R176" s="3"/>
    </row>
    <row r="177" spans="10:18" ht="15.75" customHeight="1" x14ac:dyDescent="0.2">
      <c r="J177" s="2"/>
      <c r="K177" s="3"/>
      <c r="L177" s="2"/>
      <c r="M177" s="2"/>
      <c r="N177" s="2"/>
      <c r="O177" s="2"/>
      <c r="P177" s="2"/>
      <c r="Q177" s="2"/>
      <c r="R177" s="3"/>
    </row>
    <row r="178" spans="10:18" ht="15.75" customHeight="1" x14ac:dyDescent="0.2">
      <c r="J178" s="2"/>
      <c r="K178" s="3"/>
      <c r="L178" s="2"/>
      <c r="M178" s="2"/>
      <c r="N178" s="2"/>
      <c r="O178" s="2"/>
      <c r="P178" s="2"/>
      <c r="Q178" s="2"/>
      <c r="R178" s="3"/>
    </row>
    <row r="179" spans="10:18" ht="15.75" customHeight="1" x14ac:dyDescent="0.2">
      <c r="J179" s="2"/>
      <c r="K179" s="3"/>
      <c r="L179" s="2"/>
      <c r="M179" s="2"/>
      <c r="N179" s="2"/>
      <c r="O179" s="2"/>
      <c r="P179" s="2"/>
      <c r="Q179" s="2"/>
      <c r="R179" s="3"/>
    </row>
    <row r="180" spans="10:18" ht="15.75" customHeight="1" x14ac:dyDescent="0.2">
      <c r="J180" s="2"/>
      <c r="K180" s="3"/>
      <c r="L180" s="2"/>
      <c r="M180" s="2"/>
      <c r="N180" s="2"/>
      <c r="O180" s="2"/>
      <c r="P180" s="2"/>
      <c r="Q180" s="2"/>
      <c r="R180" s="3"/>
    </row>
    <row r="181" spans="10:18" ht="15.75" customHeight="1" x14ac:dyDescent="0.2">
      <c r="J181" s="2"/>
      <c r="K181" s="3"/>
      <c r="L181" s="2"/>
      <c r="M181" s="2"/>
      <c r="N181" s="2"/>
      <c r="O181" s="2"/>
      <c r="P181" s="2"/>
      <c r="Q181" s="2"/>
      <c r="R181" s="3"/>
    </row>
    <row r="182" spans="10:18" ht="15.75" customHeight="1" x14ac:dyDescent="0.2">
      <c r="J182" s="2"/>
      <c r="K182" s="3"/>
      <c r="L182" s="2"/>
      <c r="M182" s="2"/>
      <c r="N182" s="2"/>
      <c r="O182" s="2"/>
      <c r="P182" s="2"/>
      <c r="Q182" s="2"/>
      <c r="R182" s="3"/>
    </row>
    <row r="183" spans="10:18" ht="15.75" customHeight="1" x14ac:dyDescent="0.2">
      <c r="J183" s="2"/>
      <c r="K183" s="3"/>
      <c r="L183" s="2"/>
      <c r="M183" s="2"/>
      <c r="N183" s="2"/>
      <c r="O183" s="2"/>
      <c r="P183" s="2"/>
      <c r="Q183" s="2"/>
      <c r="R183" s="3"/>
    </row>
    <row r="184" spans="10:18" ht="15.75" customHeight="1" x14ac:dyDescent="0.2">
      <c r="J184" s="2"/>
      <c r="K184" s="3"/>
      <c r="L184" s="2"/>
      <c r="M184" s="2"/>
      <c r="N184" s="2"/>
      <c r="O184" s="2"/>
      <c r="P184" s="2"/>
      <c r="Q184" s="2"/>
      <c r="R184" s="3"/>
    </row>
    <row r="185" spans="10:18" ht="15.75" customHeight="1" x14ac:dyDescent="0.2">
      <c r="J185" s="2"/>
      <c r="K185" s="3"/>
      <c r="L185" s="2"/>
      <c r="M185" s="2"/>
      <c r="N185" s="2"/>
      <c r="O185" s="2"/>
      <c r="P185" s="2"/>
      <c r="Q185" s="2"/>
      <c r="R185" s="3"/>
    </row>
    <row r="186" spans="10:18" ht="15.75" customHeight="1" x14ac:dyDescent="0.2">
      <c r="J186" s="2"/>
      <c r="K186" s="3"/>
      <c r="L186" s="2"/>
      <c r="M186" s="2"/>
      <c r="N186" s="2"/>
      <c r="O186" s="2"/>
      <c r="P186" s="2"/>
      <c r="Q186" s="2"/>
      <c r="R186" s="3"/>
    </row>
    <row r="187" spans="10:18" ht="15.75" customHeight="1" x14ac:dyDescent="0.2">
      <c r="J187" s="2"/>
      <c r="K187" s="3"/>
      <c r="L187" s="2"/>
      <c r="M187" s="2"/>
      <c r="N187" s="2"/>
      <c r="O187" s="2"/>
      <c r="P187" s="2"/>
      <c r="Q187" s="2"/>
      <c r="R187" s="3"/>
    </row>
    <row r="188" spans="10:18" ht="15.75" customHeight="1" x14ac:dyDescent="0.2">
      <c r="J188" s="2"/>
      <c r="K188" s="3"/>
      <c r="L188" s="2"/>
      <c r="M188" s="2"/>
      <c r="N188" s="2"/>
      <c r="O188" s="2"/>
      <c r="P188" s="2"/>
      <c r="Q188" s="2"/>
      <c r="R188" s="3"/>
    </row>
    <row r="189" spans="10:18" ht="15.75" customHeight="1" x14ac:dyDescent="0.2">
      <c r="J189" s="2"/>
      <c r="K189" s="3"/>
      <c r="L189" s="2"/>
      <c r="M189" s="2"/>
      <c r="N189" s="2"/>
      <c r="O189" s="2"/>
      <c r="P189" s="2"/>
      <c r="Q189" s="2"/>
      <c r="R189" s="3"/>
    </row>
    <row r="190" spans="10:18" ht="15.75" customHeight="1" x14ac:dyDescent="0.2">
      <c r="J190" s="2"/>
      <c r="K190" s="3"/>
      <c r="L190" s="2"/>
      <c r="M190" s="2"/>
      <c r="N190" s="2"/>
      <c r="O190" s="2"/>
      <c r="P190" s="2"/>
      <c r="Q190" s="2"/>
      <c r="R190" s="3"/>
    </row>
    <row r="191" spans="10:18" ht="15.75" customHeight="1" x14ac:dyDescent="0.2">
      <c r="J191" s="2"/>
      <c r="K191" s="3"/>
      <c r="L191" s="2"/>
      <c r="M191" s="2"/>
      <c r="N191" s="2"/>
      <c r="O191" s="2"/>
      <c r="P191" s="2"/>
      <c r="Q191" s="2"/>
      <c r="R191" s="3"/>
    </row>
    <row r="192" spans="10:18" ht="15.75" customHeight="1" x14ac:dyDescent="0.2">
      <c r="J192" s="2"/>
      <c r="K192" s="3"/>
      <c r="L192" s="2"/>
      <c r="M192" s="2"/>
      <c r="N192" s="2"/>
      <c r="O192" s="2"/>
      <c r="P192" s="2"/>
      <c r="Q192" s="2"/>
      <c r="R192" s="3"/>
    </row>
    <row r="193" spans="10:18" ht="15.75" customHeight="1" x14ac:dyDescent="0.2">
      <c r="J193" s="2"/>
      <c r="K193" s="3"/>
      <c r="L193" s="2"/>
      <c r="M193" s="2"/>
      <c r="N193" s="2"/>
      <c r="O193" s="2"/>
      <c r="P193" s="2"/>
      <c r="Q193" s="2"/>
      <c r="R193" s="3"/>
    </row>
    <row r="194" spans="10:18" ht="15.75" customHeight="1" x14ac:dyDescent="0.2">
      <c r="J194" s="2"/>
      <c r="K194" s="3"/>
      <c r="L194" s="2"/>
      <c r="M194" s="2"/>
      <c r="N194" s="2"/>
      <c r="O194" s="2"/>
      <c r="P194" s="2"/>
      <c r="Q194" s="2"/>
      <c r="R194" s="3"/>
    </row>
    <row r="195" spans="10:18" ht="15.75" customHeight="1" x14ac:dyDescent="0.2">
      <c r="J195" s="2"/>
      <c r="K195" s="3"/>
      <c r="L195" s="2"/>
      <c r="M195" s="2"/>
      <c r="N195" s="2"/>
      <c r="O195" s="2"/>
      <c r="P195" s="2"/>
      <c r="Q195" s="2"/>
      <c r="R195" s="3"/>
    </row>
    <row r="196" spans="10:18" ht="15.75" customHeight="1" x14ac:dyDescent="0.2">
      <c r="J196" s="2"/>
      <c r="K196" s="3"/>
      <c r="L196" s="2"/>
      <c r="M196" s="2"/>
      <c r="N196" s="2"/>
      <c r="O196" s="2"/>
      <c r="P196" s="2"/>
      <c r="Q196" s="2"/>
      <c r="R196" s="3"/>
    </row>
    <row r="197" spans="10:18" ht="15.75" customHeight="1" x14ac:dyDescent="0.2">
      <c r="J197" s="2"/>
      <c r="K197" s="3"/>
      <c r="L197" s="2"/>
      <c r="M197" s="2"/>
      <c r="N197" s="2"/>
      <c r="O197" s="2"/>
      <c r="P197" s="2"/>
      <c r="Q197" s="2"/>
      <c r="R197" s="3"/>
    </row>
    <row r="198" spans="10:18" ht="15.75" customHeight="1" x14ac:dyDescent="0.2">
      <c r="J198" s="2"/>
      <c r="K198" s="3"/>
      <c r="L198" s="2"/>
      <c r="M198" s="2"/>
      <c r="N198" s="2"/>
      <c r="O198" s="2"/>
      <c r="P198" s="2"/>
      <c r="Q198" s="2"/>
      <c r="R198" s="3"/>
    </row>
    <row r="199" spans="10:18" ht="15.75" customHeight="1" x14ac:dyDescent="0.2">
      <c r="J199" s="2"/>
      <c r="K199" s="3"/>
      <c r="L199" s="2"/>
      <c r="M199" s="2"/>
      <c r="N199" s="2"/>
      <c r="O199" s="2"/>
      <c r="P199" s="2"/>
      <c r="Q199" s="2"/>
      <c r="R199" s="3"/>
    </row>
    <row r="200" spans="10:18" ht="15.75" customHeight="1" x14ac:dyDescent="0.2">
      <c r="J200" s="2"/>
      <c r="K200" s="3"/>
      <c r="L200" s="2"/>
      <c r="M200" s="2"/>
      <c r="N200" s="2"/>
      <c r="O200" s="2"/>
      <c r="P200" s="2"/>
      <c r="Q200" s="2"/>
      <c r="R200" s="3"/>
    </row>
    <row r="201" spans="10:18" ht="15.75" customHeight="1" x14ac:dyDescent="0.2">
      <c r="J201" s="2"/>
      <c r="K201" s="3"/>
      <c r="L201" s="2"/>
      <c r="M201" s="2"/>
      <c r="N201" s="2"/>
      <c r="O201" s="2"/>
      <c r="P201" s="2"/>
      <c r="Q201" s="2"/>
      <c r="R201" s="3"/>
    </row>
    <row r="202" spans="10:18" ht="15.75" customHeight="1" x14ac:dyDescent="0.2">
      <c r="J202" s="2"/>
      <c r="K202" s="3"/>
      <c r="L202" s="2"/>
      <c r="M202" s="2"/>
      <c r="N202" s="2"/>
      <c r="O202" s="2"/>
      <c r="P202" s="2"/>
      <c r="Q202" s="2"/>
      <c r="R202" s="3"/>
    </row>
    <row r="203" spans="10:18" ht="15.75" customHeight="1" x14ac:dyDescent="0.2">
      <c r="J203" s="2"/>
      <c r="K203" s="3"/>
      <c r="L203" s="2"/>
      <c r="M203" s="2"/>
      <c r="N203" s="2"/>
      <c r="O203" s="2"/>
      <c r="P203" s="2"/>
      <c r="Q203" s="2"/>
      <c r="R203" s="3"/>
    </row>
    <row r="204" spans="10:18" ht="15.75" customHeight="1" x14ac:dyDescent="0.2">
      <c r="J204" s="2"/>
      <c r="K204" s="3"/>
      <c r="L204" s="2"/>
      <c r="M204" s="2"/>
      <c r="N204" s="2"/>
      <c r="O204" s="2"/>
      <c r="P204" s="2"/>
      <c r="Q204" s="2"/>
      <c r="R204" s="3"/>
    </row>
    <row r="205" spans="10:18" ht="15.75" customHeight="1" x14ac:dyDescent="0.2">
      <c r="J205" s="2"/>
      <c r="K205" s="3"/>
      <c r="L205" s="2"/>
      <c r="M205" s="2"/>
      <c r="N205" s="2"/>
      <c r="O205" s="2"/>
      <c r="P205" s="2"/>
      <c r="Q205" s="2"/>
      <c r="R205" s="3"/>
    </row>
    <row r="206" spans="10:18" ht="15.75" customHeight="1" x14ac:dyDescent="0.2">
      <c r="J206" s="2"/>
      <c r="K206" s="3"/>
      <c r="L206" s="2"/>
      <c r="M206" s="2"/>
      <c r="N206" s="2"/>
      <c r="O206" s="2"/>
      <c r="P206" s="2"/>
      <c r="Q206" s="2"/>
      <c r="R206" s="3"/>
    </row>
    <row r="207" spans="10:18" ht="15.75" customHeight="1" x14ac:dyDescent="0.2">
      <c r="J207" s="2"/>
      <c r="K207" s="3"/>
      <c r="L207" s="2"/>
      <c r="M207" s="2"/>
      <c r="N207" s="2"/>
      <c r="O207" s="2"/>
      <c r="P207" s="2"/>
      <c r="Q207" s="2"/>
      <c r="R207" s="3"/>
    </row>
    <row r="208" spans="10:18" ht="15.75" customHeight="1" x14ac:dyDescent="0.2">
      <c r="J208" s="2"/>
      <c r="K208" s="3"/>
      <c r="L208" s="2"/>
      <c r="M208" s="2"/>
      <c r="N208" s="2"/>
      <c r="O208" s="2"/>
      <c r="P208" s="2"/>
      <c r="Q208" s="2"/>
      <c r="R208" s="3"/>
    </row>
    <row r="209" spans="10:18" ht="15.75" customHeight="1" x14ac:dyDescent="0.2">
      <c r="J209" s="2"/>
      <c r="K209" s="3"/>
      <c r="L209" s="2"/>
      <c r="M209" s="2"/>
      <c r="N209" s="2"/>
      <c r="O209" s="2"/>
      <c r="P209" s="2"/>
      <c r="Q209" s="2"/>
      <c r="R209" s="3"/>
    </row>
    <row r="210" spans="10:18" ht="15.75" customHeight="1" x14ac:dyDescent="0.2">
      <c r="J210" s="2"/>
      <c r="K210" s="3"/>
      <c r="L210" s="2"/>
      <c r="M210" s="2"/>
      <c r="N210" s="2"/>
      <c r="O210" s="2"/>
      <c r="P210" s="2"/>
      <c r="Q210" s="2"/>
      <c r="R210" s="3"/>
    </row>
    <row r="211" spans="10:18" ht="15.75" customHeight="1" x14ac:dyDescent="0.2">
      <c r="J211" s="2"/>
      <c r="K211" s="3"/>
      <c r="L211" s="2"/>
      <c r="M211" s="2"/>
      <c r="N211" s="2"/>
      <c r="O211" s="2"/>
      <c r="P211" s="2"/>
      <c r="Q211" s="2"/>
      <c r="R211" s="3"/>
    </row>
    <row r="212" spans="10:18" ht="15.75" customHeight="1" x14ac:dyDescent="0.2">
      <c r="J212" s="2"/>
      <c r="K212" s="3"/>
      <c r="L212" s="2"/>
      <c r="M212" s="2"/>
      <c r="N212" s="2"/>
      <c r="O212" s="2"/>
      <c r="P212" s="2"/>
      <c r="Q212" s="2"/>
      <c r="R212" s="3"/>
    </row>
    <row r="213" spans="10:18" ht="15.75" customHeight="1" x14ac:dyDescent="0.2">
      <c r="J213" s="2"/>
      <c r="K213" s="3"/>
      <c r="L213" s="2"/>
      <c r="M213" s="2"/>
      <c r="N213" s="2"/>
      <c r="O213" s="2"/>
      <c r="P213" s="2"/>
      <c r="Q213" s="2"/>
      <c r="R213" s="3"/>
    </row>
    <row r="214" spans="10:18" ht="15.75" customHeight="1" x14ac:dyDescent="0.2">
      <c r="J214" s="2"/>
      <c r="K214" s="3"/>
      <c r="L214" s="2"/>
      <c r="M214" s="2"/>
      <c r="N214" s="2"/>
      <c r="O214" s="2"/>
      <c r="P214" s="2"/>
      <c r="Q214" s="2"/>
      <c r="R214" s="3"/>
    </row>
    <row r="215" spans="10:18" ht="15.75" customHeight="1" x14ac:dyDescent="0.2">
      <c r="J215" s="2"/>
      <c r="K215" s="3"/>
      <c r="L215" s="2"/>
      <c r="M215" s="2"/>
      <c r="N215" s="2"/>
      <c r="O215" s="2"/>
      <c r="P215" s="2"/>
      <c r="Q215" s="2"/>
      <c r="R215" s="3"/>
    </row>
    <row r="216" spans="10:18" ht="15.75" customHeight="1" x14ac:dyDescent="0.2">
      <c r="J216" s="2"/>
      <c r="K216" s="3"/>
      <c r="L216" s="2"/>
      <c r="M216" s="2"/>
      <c r="N216" s="2"/>
      <c r="O216" s="2"/>
      <c r="P216" s="2"/>
      <c r="Q216" s="2"/>
      <c r="R216" s="3"/>
    </row>
    <row r="217" spans="10:18" ht="15.75" customHeight="1" x14ac:dyDescent="0.2">
      <c r="J217" s="2"/>
      <c r="K217" s="3"/>
      <c r="L217" s="2"/>
      <c r="M217" s="2"/>
      <c r="N217" s="2"/>
      <c r="O217" s="2"/>
      <c r="P217" s="2"/>
      <c r="Q217" s="2"/>
      <c r="R217" s="3"/>
    </row>
    <row r="218" spans="10:18" ht="15.75" customHeight="1" x14ac:dyDescent="0.2">
      <c r="J218" s="2"/>
      <c r="K218" s="3"/>
      <c r="L218" s="2"/>
      <c r="M218" s="2"/>
      <c r="N218" s="2"/>
      <c r="O218" s="2"/>
      <c r="P218" s="2"/>
      <c r="Q218" s="2"/>
      <c r="R218" s="3"/>
    </row>
    <row r="219" spans="10:18" ht="15.75" customHeight="1" x14ac:dyDescent="0.2">
      <c r="J219" s="2"/>
      <c r="K219" s="3"/>
      <c r="L219" s="2"/>
      <c r="M219" s="2"/>
      <c r="N219" s="2"/>
      <c r="O219" s="2"/>
      <c r="P219" s="2"/>
      <c r="Q219" s="2"/>
      <c r="R219" s="3"/>
    </row>
    <row r="220" spans="10:18" ht="15.75" customHeight="1" x14ac:dyDescent="0.2">
      <c r="J220" s="2"/>
      <c r="K220" s="3"/>
      <c r="L220" s="2"/>
      <c r="M220" s="2"/>
      <c r="N220" s="2"/>
      <c r="O220" s="2"/>
      <c r="P220" s="2"/>
      <c r="Q220" s="2"/>
      <c r="R220" s="3"/>
    </row>
    <row r="221" spans="10:18" ht="15.75" customHeight="1" x14ac:dyDescent="0.2"/>
    <row r="222" spans="10:18" ht="15.75" customHeight="1" x14ac:dyDescent="0.2"/>
    <row r="223" spans="10:18" ht="15.75" customHeight="1" x14ac:dyDescent="0.2"/>
    <row r="224" spans="10:1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E2:G6"/>
    <mergeCell ref="C3:D3"/>
  </mergeCells>
  <pageMargins left="0.78749999999999998" right="0.78749999999999998" top="1.05277777777778" bottom="1.05277777777778" header="0" footer="0"/>
  <pageSetup orientation="portrait"/>
  <headerFooter>
    <oddHeader>&amp;Cffffff&amp;A</oddHeader>
    <oddFooter>&amp;CffffffPage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showGridLines="0" workbookViewId="0">
      <pane ySplit="8" topLeftCell="A9" activePane="bottomLeft" state="frozen"/>
      <selection pane="bottomLeft" activeCell="A9" sqref="A9"/>
    </sheetView>
  </sheetViews>
  <sheetFormatPr baseColWidth="10" defaultColWidth="11.1640625" defaultRowHeight="15" customHeight="1" x14ac:dyDescent="0.2"/>
  <cols>
    <col min="1" max="1" width="21.6640625" customWidth="1"/>
    <col min="2" max="2" width="17.33203125" customWidth="1"/>
    <col min="3" max="3" width="21.6640625" customWidth="1"/>
    <col min="4" max="4" width="31.33203125" customWidth="1"/>
    <col min="5" max="5" width="19.6640625" customWidth="1"/>
    <col min="6" max="6" width="32" customWidth="1"/>
    <col min="7" max="7" width="15.33203125" customWidth="1"/>
    <col min="8" max="8" width="18.83203125" customWidth="1"/>
    <col min="9" max="9" width="25.1640625" customWidth="1"/>
  </cols>
  <sheetData>
    <row r="1" spans="1:9" ht="25.5" customHeight="1" x14ac:dyDescent="0.25">
      <c r="A1" s="11" t="s">
        <v>104</v>
      </c>
      <c r="B1" s="1"/>
      <c r="C1" s="1"/>
      <c r="D1" s="1"/>
    </row>
    <row r="2" spans="1:9" ht="15.75" customHeight="1" x14ac:dyDescent="0.2">
      <c r="A2" s="4" t="s">
        <v>0</v>
      </c>
      <c r="C2" s="56" t="s">
        <v>103</v>
      </c>
      <c r="D2" s="54"/>
      <c r="E2" s="54"/>
      <c r="F2" s="54"/>
      <c r="G2" s="54"/>
    </row>
    <row r="3" spans="1:9" ht="15" customHeight="1" x14ac:dyDescent="0.2">
      <c r="A3" s="4" t="s">
        <v>1</v>
      </c>
    </row>
    <row r="4" spans="1:9" ht="15.75" customHeight="1" x14ac:dyDescent="0.2">
      <c r="A4" s="12" t="s">
        <v>2</v>
      </c>
    </row>
    <row r="5" spans="1:9" ht="15.75" customHeight="1" x14ac:dyDescent="0.2">
      <c r="A5" s="12" t="s">
        <v>3</v>
      </c>
    </row>
    <row r="6" spans="1:9" ht="15.75" customHeight="1" x14ac:dyDescent="0.2">
      <c r="A6" s="4" t="s">
        <v>4</v>
      </c>
      <c r="C6" s="7"/>
      <c r="D6" s="6"/>
    </row>
    <row r="7" spans="1:9" ht="15.75" customHeight="1" thickBot="1" x14ac:dyDescent="0.25">
      <c r="A7" s="4" t="s">
        <v>5</v>
      </c>
      <c r="C7" s="7"/>
      <c r="D7" s="6"/>
    </row>
    <row r="8" spans="1:9" ht="54" customHeight="1" thickBot="1" x14ac:dyDescent="0.25">
      <c r="A8" s="8" t="s">
        <v>34</v>
      </c>
      <c r="B8" s="8" t="s">
        <v>35</v>
      </c>
      <c r="C8" s="8" t="s">
        <v>96</v>
      </c>
      <c r="D8" s="8" t="s">
        <v>97</v>
      </c>
      <c r="E8" s="8" t="s">
        <v>98</v>
      </c>
      <c r="F8" s="8" t="s">
        <v>99</v>
      </c>
      <c r="G8" s="8" t="s">
        <v>100</v>
      </c>
      <c r="H8" s="8" t="s">
        <v>101</v>
      </c>
      <c r="I8" s="8" t="s">
        <v>102</v>
      </c>
    </row>
    <row r="9" spans="1:9" ht="15.75" customHeight="1" thickBot="1" x14ac:dyDescent="0.25">
      <c r="A9" s="36" t="s">
        <v>36</v>
      </c>
      <c r="B9" s="36" t="s">
        <v>37</v>
      </c>
      <c r="C9" s="37" t="s">
        <v>38</v>
      </c>
      <c r="D9" s="36" t="s">
        <v>39</v>
      </c>
      <c r="E9" s="36" t="s">
        <v>40</v>
      </c>
      <c r="F9" s="36" t="s">
        <v>41</v>
      </c>
      <c r="G9" s="36" t="s">
        <v>42</v>
      </c>
      <c r="H9" s="36" t="s">
        <v>43</v>
      </c>
      <c r="I9" s="36" t="s">
        <v>95</v>
      </c>
    </row>
    <row r="10" spans="1:9" ht="15.75" customHeight="1" thickBot="1" x14ac:dyDescent="0.25">
      <c r="A10" s="32" t="s">
        <v>120</v>
      </c>
      <c r="B10" s="33"/>
      <c r="C10" s="34" t="e">
        <f>AVERAGE(C$9:C9)</f>
        <v>#DIV/0!</v>
      </c>
      <c r="D10" s="33">
        <f>SUM(D$9:D9)</f>
        <v>0</v>
      </c>
      <c r="E10" s="33">
        <f>SUM(E$9:E9)</f>
        <v>0</v>
      </c>
      <c r="F10" s="33">
        <f>SUM(F$9:F9)</f>
        <v>0</v>
      </c>
      <c r="G10" s="34" t="e">
        <f>AVERAGE(G$9:G9)</f>
        <v>#DIV/0!</v>
      </c>
      <c r="H10" s="33">
        <f>SUM(H$9:H9)</f>
        <v>0</v>
      </c>
      <c r="I10" s="35">
        <f>SUM(I$9:I9)</f>
        <v>0</v>
      </c>
    </row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2:G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showGridLines="0" workbookViewId="0">
      <selection activeCell="A10" sqref="A10"/>
    </sheetView>
  </sheetViews>
  <sheetFormatPr baseColWidth="10" defaultColWidth="11.1640625" defaultRowHeight="15" customHeight="1" x14ac:dyDescent="0.2"/>
  <cols>
    <col min="1" max="1" width="33.1640625" customWidth="1"/>
    <col min="2" max="2" width="8.5" customWidth="1"/>
    <col min="3" max="3" width="12.6640625" customWidth="1"/>
    <col min="4" max="4" width="7.33203125" customWidth="1"/>
    <col min="5" max="5" width="12.5" customWidth="1"/>
    <col min="6" max="6" width="13.5" customWidth="1"/>
    <col min="7" max="7" width="14.1640625" customWidth="1"/>
    <col min="8" max="8" width="13.33203125" customWidth="1"/>
    <col min="9" max="9" width="12.5" customWidth="1"/>
    <col min="10" max="10" width="12.6640625" customWidth="1"/>
    <col min="11" max="11" width="14.1640625" customWidth="1"/>
    <col min="12" max="13" width="16.1640625" customWidth="1"/>
    <col min="14" max="14" width="18.1640625" customWidth="1"/>
    <col min="15" max="15" width="19.83203125" customWidth="1"/>
    <col min="16" max="16" width="17" customWidth="1"/>
    <col min="17" max="17" width="18.33203125" customWidth="1"/>
    <col min="18" max="20" width="12.5" customWidth="1"/>
    <col min="21" max="28" width="8.6640625" customWidth="1"/>
    <col min="29" max="29" width="12.1640625" customWidth="1"/>
    <col min="30" max="31" width="14.1640625" customWidth="1"/>
    <col min="32" max="32" width="15.5" customWidth="1"/>
  </cols>
  <sheetData>
    <row r="1" spans="1:32" ht="21.75" customHeight="1" x14ac:dyDescent="0.25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 x14ac:dyDescent="0.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.75" customHeight="1" x14ac:dyDescent="0.2">
      <c r="A4" s="1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 x14ac:dyDescent="0.2">
      <c r="A5" s="1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5.75" customHeight="1" x14ac:dyDescent="0.2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75" customHeight="1" x14ac:dyDescent="0.2">
      <c r="A7" s="13" t="s">
        <v>5</v>
      </c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" customHeight="1" x14ac:dyDescent="0.2">
      <c r="A8" s="57" t="s">
        <v>106</v>
      </c>
      <c r="B8" s="59" t="s">
        <v>44</v>
      </c>
      <c r="C8" s="59" t="s">
        <v>45</v>
      </c>
      <c r="D8" s="59" t="s">
        <v>46</v>
      </c>
      <c r="E8" s="59" t="s">
        <v>47</v>
      </c>
      <c r="F8" s="59" t="s">
        <v>48</v>
      </c>
      <c r="G8" s="59" t="s">
        <v>107</v>
      </c>
      <c r="H8" s="59" t="s">
        <v>108</v>
      </c>
      <c r="I8" s="59" t="s">
        <v>49</v>
      </c>
      <c r="J8" s="59" t="s">
        <v>50</v>
      </c>
      <c r="K8" s="59" t="s">
        <v>109</v>
      </c>
      <c r="L8" s="59" t="s">
        <v>51</v>
      </c>
      <c r="M8" s="59" t="s">
        <v>52</v>
      </c>
      <c r="N8" s="59" t="s">
        <v>110</v>
      </c>
      <c r="O8" s="59" t="s">
        <v>111</v>
      </c>
      <c r="P8" s="59" t="s">
        <v>53</v>
      </c>
      <c r="Q8" s="59" t="s">
        <v>54</v>
      </c>
      <c r="R8" s="59" t="s">
        <v>112</v>
      </c>
      <c r="S8" s="59" t="s">
        <v>113</v>
      </c>
      <c r="T8" s="59" t="s">
        <v>114</v>
      </c>
      <c r="U8" s="60" t="s">
        <v>115</v>
      </c>
      <c r="V8" s="61"/>
      <c r="W8" s="61"/>
      <c r="X8" s="61"/>
      <c r="Y8" s="61"/>
      <c r="Z8" s="61"/>
      <c r="AA8" s="61"/>
      <c r="AB8" s="61"/>
      <c r="AC8" s="62"/>
      <c r="AD8" s="57" t="s">
        <v>116</v>
      </c>
      <c r="AE8" s="57" t="s">
        <v>117</v>
      </c>
      <c r="AF8" s="57" t="s">
        <v>118</v>
      </c>
    </row>
    <row r="9" spans="1:32" ht="31.5" customHeight="1" x14ac:dyDescent="0.2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14">
        <v>5011</v>
      </c>
      <c r="V9" s="14">
        <v>5007</v>
      </c>
      <c r="W9" s="14">
        <v>5006</v>
      </c>
      <c r="X9" s="14">
        <v>2008</v>
      </c>
      <c r="Y9" s="14">
        <v>2005</v>
      </c>
      <c r="Z9" s="14">
        <v>2037</v>
      </c>
      <c r="AA9" s="14">
        <v>2025</v>
      </c>
      <c r="AB9" s="14">
        <v>2022</v>
      </c>
      <c r="AC9" s="14" t="s">
        <v>55</v>
      </c>
      <c r="AD9" s="58"/>
      <c r="AE9" s="58"/>
      <c r="AF9" s="58"/>
    </row>
    <row r="10" spans="1:32" ht="15.75" customHeight="1" thickBot="1" x14ac:dyDescent="0.25">
      <c r="A10" s="48" t="s">
        <v>56</v>
      </c>
      <c r="B10" s="49" t="s">
        <v>57</v>
      </c>
      <c r="C10" s="49" t="s">
        <v>58</v>
      </c>
      <c r="D10" s="49" t="s">
        <v>59</v>
      </c>
      <c r="E10" s="49" t="s">
        <v>60</v>
      </c>
      <c r="F10" s="50">
        <f>IFERROR(IF(A10="No data","",IF(C10=0,0,D10/C10)),0)</f>
        <v>0</v>
      </c>
      <c r="G10" s="49" t="s">
        <v>32</v>
      </c>
      <c r="H10" s="51">
        <f>IFERROR(IF(A10="No data","",IF(B10&lt;&gt;0, G10/B10, 0)),0)</f>
        <v>0</v>
      </c>
      <c r="I10" s="49" t="s">
        <v>61</v>
      </c>
      <c r="J10" s="49" t="s">
        <v>62</v>
      </c>
      <c r="K10" s="49">
        <f>IFERROR(IF(A10="No data","",U10+V10+W10+X10+Y10+Z10+AA10+AB10+AC10+AD10),0)</f>
        <v>0</v>
      </c>
      <c r="L10" s="50">
        <f>IFERROR(IF(A10="No data","",IF(G10=0,0,I10/G10)),0)</f>
        <v>0</v>
      </c>
      <c r="M10" s="50">
        <f>IFERROR(IF(A10="No data","",IF(G10=0,0,J10/G10)),0)</f>
        <v>0</v>
      </c>
      <c r="N10" s="50">
        <f>IFERROR(IF(A10="No data","",IF(D10=0,0,I10/D10)),0)</f>
        <v>0</v>
      </c>
      <c r="O10" s="50">
        <f>IFERROR(IF(A10="No data","",IF(G10=0,0,K10/G10)),0)</f>
        <v>0</v>
      </c>
      <c r="P10" s="49" t="s">
        <v>63</v>
      </c>
      <c r="Q10" s="49" t="s">
        <v>64</v>
      </c>
      <c r="R10" s="49" t="s">
        <v>65</v>
      </c>
      <c r="S10" s="50">
        <f>IFERROR(IF(A10="No data","",IF(I10=0,0,R10/I10)),0)</f>
        <v>0</v>
      </c>
      <c r="T10" s="52" t="s">
        <v>66</v>
      </c>
      <c r="U10" s="49" t="s">
        <v>67</v>
      </c>
      <c r="V10" s="49" t="s">
        <v>68</v>
      </c>
      <c r="W10" s="49" t="s">
        <v>69</v>
      </c>
      <c r="X10" s="49" t="s">
        <v>70</v>
      </c>
      <c r="Y10" s="49" t="s">
        <v>71</v>
      </c>
      <c r="Z10" s="49" t="s">
        <v>72</v>
      </c>
      <c r="AA10" s="49" t="s">
        <v>73</v>
      </c>
      <c r="AB10" s="49" t="s">
        <v>74</v>
      </c>
      <c r="AC10" s="49" t="s">
        <v>75</v>
      </c>
      <c r="AD10" s="49" t="s">
        <v>76</v>
      </c>
      <c r="AE10" s="49" t="s">
        <v>77</v>
      </c>
      <c r="AF10" s="49">
        <f>IFERROR(IF(A10="No data","",U10+V10+W10+X10+Y10+Z10+AA10+AB10+AC10+AD10+AE10),0)</f>
        <v>0</v>
      </c>
    </row>
    <row r="11" spans="1:32" ht="15.75" customHeight="1" thickBot="1" x14ac:dyDescent="0.25">
      <c r="A11" s="38" t="s">
        <v>120</v>
      </c>
      <c r="B11" s="39"/>
      <c r="C11" s="39"/>
      <c r="D11" s="39"/>
      <c r="E11" s="39"/>
      <c r="F11" s="40">
        <f>AVERAGE(F$10:F10)</f>
        <v>0</v>
      </c>
      <c r="G11" s="41">
        <f>SUM(G$10:G10)</f>
        <v>0</v>
      </c>
      <c r="H11" s="40">
        <f>AVERAGE(H$10:H10)</f>
        <v>0</v>
      </c>
      <c r="I11" s="41">
        <f>SUM(I$10:I10)</f>
        <v>0</v>
      </c>
      <c r="J11" s="41">
        <f>SUM(J$10:J10)</f>
        <v>0</v>
      </c>
      <c r="K11" s="41">
        <f>SUM(K$10:K10)</f>
        <v>0</v>
      </c>
      <c r="L11" s="40">
        <f>AVERAGE(L$10:L10)</f>
        <v>0</v>
      </c>
      <c r="M11" s="40">
        <f>AVERAGE(M$10:M10)</f>
        <v>0</v>
      </c>
      <c r="N11" s="40">
        <f>AVERAGE(N$10:N10)</f>
        <v>0</v>
      </c>
      <c r="O11" s="40">
        <f>AVERAGE(O$10:O10)</f>
        <v>0</v>
      </c>
      <c r="P11" s="41">
        <f>SUM(P$10:P10)</f>
        <v>0</v>
      </c>
      <c r="Q11" s="41">
        <f>SUM(Q$10:Q10)</f>
        <v>0</v>
      </c>
      <c r="R11" s="41">
        <f>SUM(R$10:R10)</f>
        <v>0</v>
      </c>
      <c r="S11" s="40">
        <f>AVERAGE(S$10:S10)</f>
        <v>0</v>
      </c>
      <c r="T11" s="40" t="e">
        <f>AVERAGE(T$10:T10)</f>
        <v>#DIV/0!</v>
      </c>
      <c r="U11" s="41">
        <f>SUM(U$10:U10)</f>
        <v>0</v>
      </c>
      <c r="V11" s="41">
        <f>SUM(V$10:V10)</f>
        <v>0</v>
      </c>
      <c r="W11" s="41">
        <f>SUM(W$10:W10)</f>
        <v>0</v>
      </c>
      <c r="X11" s="41">
        <f>SUM(X$10:X10)</f>
        <v>0</v>
      </c>
      <c r="Y11" s="41">
        <f>SUM(Y$10:Y10)</f>
        <v>0</v>
      </c>
      <c r="Z11" s="41">
        <f>SUM(Z$10:Z10)</f>
        <v>0</v>
      </c>
      <c r="AA11" s="41">
        <f>SUM(AA$10:AA10)</f>
        <v>0</v>
      </c>
      <c r="AB11" s="41">
        <f>SUM(AB$10:AB10)</f>
        <v>0</v>
      </c>
      <c r="AC11" s="41">
        <f>SUM(AC$10:AC10)</f>
        <v>0</v>
      </c>
      <c r="AD11" s="41">
        <f>SUM(AD$10:AD10)</f>
        <v>0</v>
      </c>
      <c r="AE11" s="41">
        <f>SUM(AE$10:AE10)</f>
        <v>0</v>
      </c>
      <c r="AF11" s="41">
        <f>SUM(AF$10:AF10)</f>
        <v>0</v>
      </c>
    </row>
    <row r="12" spans="1:32" ht="15.7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5.75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5.7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5.75" customHeight="1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.75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ht="15.75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2:32" ht="15.75" customHeight="1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2:32" ht="15.7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2:32" ht="15.7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2:32" ht="15.7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2:32" ht="15.75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2:32" ht="15.75" customHeight="1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2:32" ht="15.75" customHeight="1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2:32" ht="15.75" customHeight="1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2:32" ht="15.75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2:32" ht="15.7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2:32" ht="15.75" customHeight="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2:32" ht="15.75" customHeight="1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2:32" ht="15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2:32" ht="15.75" customHeight="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2:32" ht="15.75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2:32" ht="15.75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2:32" ht="15.75" customHeight="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2:32" ht="15.75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2:32" ht="15.75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2:32" ht="15.75" customHeight="1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2:32" ht="15.75" customHeight="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2:32" ht="15.75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2:32" ht="15.7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2:32" ht="15.75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2:32" ht="15.75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2:32" ht="15.75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2:32" ht="15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2:32" ht="15.75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2:32" ht="15.75" customHeight="1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2:32" ht="15.75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2:32" ht="15.75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2:32" ht="15.7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2:32" ht="15.75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2:32" ht="15.75" customHeight="1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2:32" ht="15.75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2:32" ht="15.75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2:32" ht="15.75" customHeight="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2:32" ht="15.75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2:32" ht="15.75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2:32" ht="15.75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2:32" ht="15.75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2:32" ht="15.75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2:32" ht="15.75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2:32" ht="15.75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2:32" ht="15.75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2:32" ht="15.75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2:32" ht="15.75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2:32" ht="15.75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2:32" ht="15.75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2:32" ht="15.75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2:32" ht="15.75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2:32" ht="15.75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2:32" ht="15.75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2:32" ht="15.75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2:32" ht="15.75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2:32" ht="15.75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2:32" ht="15.75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2:32" ht="15.75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2:32" ht="15.75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2:32" ht="15.75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2:32" ht="15.75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2:32" ht="15.75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2:32" ht="15.75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2:32" ht="15.75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2:32" ht="15.75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2:32" ht="15.75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2:32" ht="15.75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2:32" ht="15.75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2:32" ht="15.75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2:32" ht="15.75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2:32" ht="15.75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2:32" ht="15.75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2:32" ht="15.75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2:32" ht="15.75" customHeight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2:32" ht="15.75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2:32" ht="15.75" customHeight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2:32" ht="15.75" customHeight="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2:32" ht="15.75" customHeight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2:32" ht="15.75" customHeight="1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2:32" ht="15.75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2:32" ht="15.75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2:32" ht="15.75" customHeight="1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2:32" ht="15.75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2:32" ht="15.75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2:32" ht="15.75" customHeight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2:32" ht="15.75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2:32" ht="15.75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2:32" ht="15.75" customHeight="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2:32" ht="15.75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2:32" ht="15.75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2:32" ht="15.75" customHeight="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2:32" ht="15.75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2:32" ht="15.75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2:32" ht="15.75" customHeight="1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2:32" ht="15.75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2:32" ht="15.75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2:32" ht="15.75" customHeight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2:32" ht="15.75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2:32" ht="15.75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2:32" ht="15.75" customHeight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2:32" ht="15.75" customHeight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2:32" ht="15.75" customHeight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2:32" ht="15.75" customHeight="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2:32" ht="15.75" customHeight="1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2:32" ht="15.75" customHeight="1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2:32" ht="15.75" customHeight="1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2:32" ht="15.75" customHeight="1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2:32" ht="15.75" customHeight="1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2:32" ht="15.75" customHeight="1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2:32" ht="15.75" customHeight="1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2:32" ht="15.75" customHeight="1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2:32" ht="15.75" customHeight="1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2:32" ht="15.75" customHeight="1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2:32" ht="15.75" customHeight="1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2:32" ht="15.75" customHeight="1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2:32" ht="15.75" customHeight="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2:32" ht="15.75" customHeight="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2:32" ht="15.75" customHeight="1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2:32" ht="15.75" customHeight="1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2:32" ht="15.75" customHeight="1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2:32" ht="15.75" customHeight="1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2:32" ht="15.75" customHeight="1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2:32" ht="15.75" customHeight="1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2:32" ht="15.75" customHeight="1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2:32" ht="15.75" customHeight="1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2:32" ht="15.75" customHeight="1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2:32" ht="15.75" customHeight="1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2:32" ht="15.75" customHeight="1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2:32" ht="15.75" customHeight="1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2:32" ht="15.75" customHeight="1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2:32" ht="15.75" customHeight="1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2:32" ht="15.75" customHeight="1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2:32" ht="15.75" customHeight="1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2:32" ht="15.75" customHeight="1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2:32" ht="15.75" customHeight="1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2:32" ht="15.75" customHeight="1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2:32" ht="15.75" customHeight="1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2:32" ht="15.75" customHeight="1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2:32" ht="15.75" customHeight="1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2:32" ht="15.75" customHeight="1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2:32" ht="15.75" customHeight="1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2:32" ht="15.75" customHeight="1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2:32" ht="15.75" customHeight="1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2:32" ht="15.75" customHeight="1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2:32" ht="15.75" customHeight="1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2:32" ht="15.75" customHeight="1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2:32" ht="15.75" customHeight="1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2:32" ht="15.75" customHeight="1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2:32" ht="15.75" customHeight="1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2:32" ht="15.75" customHeight="1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2:32" ht="15.75" customHeight="1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2:32" ht="15.75" customHeight="1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2:32" ht="15.75" customHeight="1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2:32" ht="15.75" customHeight="1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2:32" ht="15.75" customHeight="1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2:32" ht="15.75" customHeight="1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2:32" ht="15.75" customHeight="1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2:32" ht="15.75" customHeight="1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2:32" ht="15.75" customHeight="1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2:32" ht="15.75" customHeight="1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2:32" ht="15.75" customHeight="1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2:32" ht="15.75" customHeight="1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2:32" ht="15.75" customHeight="1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2:32" ht="15.75" customHeight="1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2:32" ht="15.75" customHeight="1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2:32" ht="15.75" customHeight="1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2:32" ht="15.75" customHeight="1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2:32" ht="15.75" customHeight="1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2:32" ht="15.75" customHeight="1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2:32" ht="15.75" customHeight="1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2:32" ht="15.75" customHeight="1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2:32" ht="15.75" customHeight="1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2:32" ht="15.75" customHeight="1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2:32" ht="15.75" customHeight="1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2:32" ht="15.75" customHeight="1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2:32" ht="15.75" customHeight="1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2:32" ht="15.75" customHeight="1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2:32" ht="15.75" customHeight="1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2:32" ht="15.75" customHeight="1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2:32" ht="15.75" customHeight="1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2:32" ht="15.75" customHeight="1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2:32" ht="15.75" customHeight="1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2:32" ht="15.75" customHeight="1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2:32" ht="15.75" customHeight="1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2:32" ht="15.75" customHeight="1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2:32" ht="15.75" customHeight="1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2:32" ht="15.75" customHeight="1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2:32" ht="15.75" customHeight="1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2:32" ht="15.75" customHeight="1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2:32" ht="15.75" customHeight="1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2:32" ht="15.75" customHeight="1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2:32" ht="15.75" customHeight="1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2:32" ht="15.75" customHeight="1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2:32" ht="15.75" customHeight="1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2:32" ht="15.75" customHeight="1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2:32" ht="15.75" customHeight="1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2:32" ht="15.75" customHeight="1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2:32" ht="15.75" customHeight="1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2:32" ht="15.75" customHeight="1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2:32" ht="15.75" customHeight="1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2:32" ht="15.75" customHeight="1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2:32" ht="15.75" customHeight="1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2:32" ht="15.75" customHeight="1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2:32" ht="15.75" customHeight="1" x14ac:dyDescent="0.2"/>
    <row r="222" spans="2:32" ht="15.75" customHeight="1" x14ac:dyDescent="0.2"/>
    <row r="223" spans="2:32" ht="15.75" customHeight="1" x14ac:dyDescent="0.2"/>
    <row r="224" spans="2:3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4">
    <mergeCell ref="AE8:AE9"/>
    <mergeCell ref="AF8:AF9"/>
    <mergeCell ref="O8:O9"/>
    <mergeCell ref="P8:P9"/>
    <mergeCell ref="Q8:Q9"/>
    <mergeCell ref="R8:R9"/>
    <mergeCell ref="S8:S9"/>
    <mergeCell ref="T8:T9"/>
    <mergeCell ref="U8:AC8"/>
    <mergeCell ref="K8:K9"/>
    <mergeCell ref="L8:L9"/>
    <mergeCell ref="M8:M9"/>
    <mergeCell ref="N8:N9"/>
    <mergeCell ref="AD8:AD9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</mergeCells>
  <conditionalFormatting sqref="H10">
    <cfRule type="notContainsBlanks" dxfId="2" priority="1">
      <formula>LEN(TRIM(H10))&gt;0</formula>
    </cfRule>
  </conditionalFormatting>
  <conditionalFormatting sqref="AF10">
    <cfRule type="notContainsBlanks" dxfId="1" priority="2">
      <formula>LEN(TRIM(AF10))&gt;0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workbookViewId="0">
      <pane ySplit="9" topLeftCell="A10" activePane="bottomLeft" state="frozen"/>
      <selection pane="bottomLeft" activeCell="A10" sqref="A10"/>
    </sheetView>
  </sheetViews>
  <sheetFormatPr baseColWidth="10" defaultColWidth="11.1640625" defaultRowHeight="15" customHeight="1" x14ac:dyDescent="0.2"/>
  <cols>
    <col min="1" max="1" width="33.1640625" customWidth="1"/>
    <col min="2" max="9" width="8.6640625" customWidth="1"/>
    <col min="10" max="10" width="12.1640625" customWidth="1"/>
    <col min="11" max="11" width="14.1640625" customWidth="1"/>
    <col min="12" max="12" width="15.5" customWidth="1"/>
  </cols>
  <sheetData>
    <row r="1" spans="1:12" ht="23.25" customHeight="1" x14ac:dyDescent="0.25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75" customHeight="1" x14ac:dyDescent="0.2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 customHeight="1" x14ac:dyDescent="0.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customHeight="1" x14ac:dyDescent="0.2">
      <c r="A4" s="1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75" customHeight="1" x14ac:dyDescent="0.2">
      <c r="A5" s="1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customHeight="1" x14ac:dyDescent="0.2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customHeight="1" x14ac:dyDescent="0.2">
      <c r="A7" s="13" t="s">
        <v>5</v>
      </c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 customHeight="1" x14ac:dyDescent="0.2">
      <c r="A8" s="63" t="s">
        <v>106</v>
      </c>
      <c r="B8" s="60" t="s">
        <v>115</v>
      </c>
      <c r="C8" s="61"/>
      <c r="D8" s="61"/>
      <c r="E8" s="61"/>
      <c r="F8" s="61"/>
      <c r="G8" s="61"/>
      <c r="H8" s="61"/>
      <c r="I8" s="61"/>
      <c r="J8" s="62"/>
      <c r="K8" s="64" t="s">
        <v>119</v>
      </c>
      <c r="L8" s="64" t="s">
        <v>118</v>
      </c>
    </row>
    <row r="9" spans="1:12" ht="31.5" customHeight="1" x14ac:dyDescent="0.2">
      <c r="A9" s="58"/>
      <c r="B9" s="14">
        <v>5011</v>
      </c>
      <c r="C9" s="14">
        <v>5007</v>
      </c>
      <c r="D9" s="14">
        <v>5006</v>
      </c>
      <c r="E9" s="14">
        <v>2008</v>
      </c>
      <c r="F9" s="14">
        <v>2005</v>
      </c>
      <c r="G9" s="14">
        <v>2037</v>
      </c>
      <c r="H9" s="14">
        <v>2025</v>
      </c>
      <c r="I9" s="14">
        <v>2022</v>
      </c>
      <c r="J9" s="14" t="s">
        <v>55</v>
      </c>
      <c r="K9" s="58"/>
      <c r="L9" s="58"/>
    </row>
    <row r="10" spans="1:12" ht="15.75" customHeight="1" thickBot="1" x14ac:dyDescent="0.25">
      <c r="A10" s="48" t="s">
        <v>56</v>
      </c>
      <c r="B10" s="49" t="s">
        <v>67</v>
      </c>
      <c r="C10" s="49" t="s">
        <v>68</v>
      </c>
      <c r="D10" s="49" t="s">
        <v>69</v>
      </c>
      <c r="E10" s="49" t="s">
        <v>70</v>
      </c>
      <c r="F10" s="49" t="s">
        <v>71</v>
      </c>
      <c r="G10" s="49" t="s">
        <v>72</v>
      </c>
      <c r="H10" s="49" t="s">
        <v>73</v>
      </c>
      <c r="I10" s="49" t="s">
        <v>74</v>
      </c>
      <c r="J10" s="49" t="s">
        <v>75</v>
      </c>
      <c r="K10" s="49" t="s">
        <v>76</v>
      </c>
      <c r="L10" s="49" t="e">
        <f>B10+C10+D10+E10+F10+G10+H10+I10+J10+K10</f>
        <v>#VALUE!</v>
      </c>
    </row>
    <row r="11" spans="1:12" ht="15.75" customHeight="1" thickBot="1" x14ac:dyDescent="0.25">
      <c r="A11" s="38" t="s">
        <v>120</v>
      </c>
      <c r="B11" s="39">
        <f>SUM(B$10:B10)</f>
        <v>0</v>
      </c>
      <c r="C11" s="39">
        <f>SUM(C$10:C10)</f>
        <v>0</v>
      </c>
      <c r="D11" s="39">
        <f>SUM(D$10:D10)</f>
        <v>0</v>
      </c>
      <c r="E11" s="39">
        <f>SUM(E$10:E10)</f>
        <v>0</v>
      </c>
      <c r="F11" s="39">
        <f>SUM(F$10:F10)</f>
        <v>0</v>
      </c>
      <c r="G11" s="39">
        <f>SUM(G$10:G10)</f>
        <v>0</v>
      </c>
      <c r="H11" s="39">
        <f>SUM(H$10:H10)</f>
        <v>0</v>
      </c>
      <c r="I11" s="39">
        <f>SUM(I$10:I10)</f>
        <v>0</v>
      </c>
      <c r="J11" s="39">
        <f>SUM(J$10:J10)</f>
        <v>0</v>
      </c>
      <c r="K11" s="39">
        <f>SUM(K$10:K10)</f>
        <v>0</v>
      </c>
      <c r="L11" s="42" t="e">
        <f>SUM(L$10:L10)</f>
        <v>#VALUE!</v>
      </c>
    </row>
    <row r="12" spans="1:12" ht="15.7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customHeight="1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customHeight="1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2:12" ht="15.75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ht="15.75" customHeight="1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5.7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5.7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2:12" ht="15.75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ht="15.75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ht="15.75" customHeight="1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ht="15.75" customHeight="1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ht="15.75" customHeight="1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ht="15.75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ht="15.7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ht="15.75" customHeight="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ht="15.75" customHeight="1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 ht="15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 ht="15.75" customHeight="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ht="15.75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2" ht="15.75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2" ht="15.75" customHeight="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2" ht="15.75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2" ht="15.75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2" ht="15.75" customHeight="1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2" ht="15.75" customHeight="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2" ht="15.75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ht="15.7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2:12" ht="15.75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2:12" ht="15.75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2:12" ht="15.75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2:12" ht="15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2:12" ht="15.75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2:12" ht="15.75" customHeight="1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2:12" ht="15.75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2:12" ht="15.75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2" ht="15.75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2:12" ht="15.75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2:12" ht="15.75" customHeight="1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2" ht="15.75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2" ht="15.75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2:12" ht="15.75" customHeight="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2" ht="15.75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2" ht="15.75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2:12" ht="15.75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2:12" ht="15.75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2:12" ht="15.75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2:12" ht="15.75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2:12" ht="15.75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2:12" ht="15.75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2:12" ht="15.75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2:12" ht="15.75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2:12" ht="15.75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2:12" ht="15.75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2:12" ht="15.75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2:12" ht="15.75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2:12" ht="15.75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2:12" ht="15.75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2:12" ht="15.75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2:12" ht="15.75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2:12" ht="15.75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2:12" ht="15.75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2:12" ht="15.75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2:12" ht="15.75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2:12" ht="15.75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2:12" ht="15.75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2:12" ht="15.75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2:12" ht="15.75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2:12" ht="15.75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2:12" ht="15.75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2:12" ht="15.75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2:12" ht="15.75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2:12" ht="15.75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2:12" ht="15.75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2:12" ht="15.75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2:12" ht="15.75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2:12" ht="15.75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2:12" ht="15.75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2:12" ht="15.75" customHeight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2:12" ht="15.75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2:12" ht="15.75" customHeight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2:12" ht="15.75" customHeight="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2:12" ht="15.75" customHeight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2:12" ht="15.75" customHeight="1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2:12" ht="15.75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2:12" ht="15.75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2:12" ht="15.75" customHeight="1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2:12" ht="15.75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2:12" ht="15.75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2:12" ht="15.75" customHeight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2:12" ht="15.75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2:12" ht="15.75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2:12" ht="15.75" customHeight="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2:12" ht="15.75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2:12" ht="15.75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2:12" ht="15.75" customHeight="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2:12" ht="15.75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2:12" ht="15.75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2:12" ht="15.75" customHeight="1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2:12" ht="15.75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2:12" ht="15.75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 ht="15.75" customHeight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 ht="15.75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 ht="15.75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ht="15.75" customHeight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2:12" ht="15.75" customHeight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2:12" ht="15.75" customHeight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2:12" ht="15.75" customHeight="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2:12" ht="15.75" customHeight="1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2:12" ht="15.75" customHeight="1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2:12" ht="15.75" customHeight="1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2:12" ht="15.75" customHeight="1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2:12" ht="15.75" customHeight="1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2:12" ht="15.75" customHeight="1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2:12" ht="15.75" customHeight="1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2:12" ht="15.75" customHeight="1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2:12" ht="15.75" customHeight="1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2" ht="15.75" customHeight="1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2:12" ht="15.75" customHeight="1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2:12" ht="15.75" customHeight="1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2:12" ht="15.75" customHeight="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2:12" ht="15.75" customHeight="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2:12" ht="15.75" customHeight="1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2:12" ht="15.75" customHeight="1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2:12" ht="15.75" customHeight="1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2:12" ht="15.75" customHeight="1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2:12" ht="15.75" customHeight="1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2:12" ht="15.75" customHeight="1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2:12" ht="15.75" customHeight="1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2:12" ht="15.75" customHeight="1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2:12" ht="15.75" customHeight="1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2:12" ht="15.75" customHeight="1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2:12" ht="15.75" customHeight="1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2:12" ht="15.75" customHeight="1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2:12" ht="15.75" customHeight="1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2:12" ht="15.75" customHeight="1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2:12" ht="15.75" customHeight="1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2:12" ht="15.75" customHeight="1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2:12" ht="15.75" customHeight="1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2:12" ht="15.75" customHeight="1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2:12" ht="15.75" customHeight="1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2:12" ht="15.75" customHeight="1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2:12" ht="15.75" customHeight="1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2:12" ht="15.75" customHeight="1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2:12" ht="15.75" customHeight="1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2:12" ht="15.75" customHeight="1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2:12" ht="15.75" customHeight="1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2:12" ht="15.75" customHeight="1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2:12" ht="15.75" customHeight="1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2:12" ht="15.75" customHeight="1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2:12" ht="15.75" customHeight="1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2:12" ht="15.75" customHeight="1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2:12" ht="15.75" customHeight="1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2:12" ht="15.75" customHeight="1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2:12" ht="15.75" customHeight="1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2:12" ht="15.75" customHeight="1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2:12" ht="15.75" customHeight="1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2:12" ht="15.75" customHeight="1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2:12" ht="15.75" customHeight="1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2:12" ht="15.75" customHeight="1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2:12" ht="15.75" customHeight="1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2:12" ht="15.75" customHeight="1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2:12" ht="15.75" customHeight="1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2:12" ht="15.75" customHeight="1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2:12" ht="15.75" customHeight="1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2:12" ht="15.75" customHeight="1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2:12" ht="15.75" customHeight="1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2:12" ht="15.75" customHeight="1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2:12" ht="15.75" customHeight="1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2:12" ht="15.75" customHeight="1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2:12" ht="15.75" customHeight="1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2:12" ht="15.75" customHeight="1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2:12" ht="15.75" customHeight="1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2:12" ht="15.75" customHeight="1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2:12" ht="15.75" customHeight="1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2:12" ht="15.75" customHeight="1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2:12" ht="15.75" customHeight="1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2:12" ht="15.75" customHeight="1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2:12" ht="15.75" customHeight="1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2:12" ht="15.75" customHeight="1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2:12" ht="15.75" customHeight="1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2:12" ht="15.75" customHeight="1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 ht="15.75" customHeight="1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 ht="15.75" customHeight="1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2:12" ht="15.75" customHeight="1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2:12" ht="15.75" customHeight="1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2:12" ht="15.75" customHeight="1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2:12" ht="15.75" customHeight="1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2:12" ht="15.75" customHeight="1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2:12" ht="15.75" customHeight="1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2:12" ht="15.75" customHeight="1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2:12" ht="15.75" customHeight="1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2:12" ht="15.75" customHeight="1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2:12" ht="15.75" customHeight="1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2:12" ht="15.75" customHeight="1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2:12" ht="15.75" customHeight="1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2:12" ht="15.75" customHeight="1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2:12" ht="15.75" customHeight="1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2:12" ht="15.75" customHeight="1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2:12" ht="15.75" customHeight="1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2:12" ht="15.75" customHeight="1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2:12" ht="15.75" customHeight="1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2:12" ht="15.75" customHeight="1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2:12" ht="15.75" customHeight="1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2:12" ht="15.75" customHeight="1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2:12" ht="15.75" customHeight="1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12" ht="15.75" customHeight="1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12" ht="15.75" customHeight="1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12" ht="15.75" customHeight="1" x14ac:dyDescent="0.2"/>
    <row r="222" spans="2:12" ht="15.75" customHeight="1" x14ac:dyDescent="0.2"/>
    <row r="223" spans="2:12" ht="15.75" customHeight="1" x14ac:dyDescent="0.2"/>
    <row r="224" spans="2:1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8:A9"/>
    <mergeCell ref="B8:J8"/>
    <mergeCell ref="K8:K9"/>
    <mergeCell ref="L8:L9"/>
  </mergeCells>
  <conditionalFormatting sqref="L10">
    <cfRule type="notContainsBlanks" dxfId="0" priority="1">
      <formula>LEN(TRIM(L10))&gt;0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001"/>
  <sheetViews>
    <sheetView showGridLines="0" workbookViewId="0">
      <selection activeCell="B3" sqref="B3"/>
    </sheetView>
  </sheetViews>
  <sheetFormatPr baseColWidth="10" defaultColWidth="11.1640625" defaultRowHeight="15" customHeight="1" x14ac:dyDescent="0.2"/>
  <cols>
    <col min="1" max="1" width="3.5" customWidth="1"/>
    <col min="2" max="2" width="7.5" customWidth="1"/>
    <col min="3" max="3" width="39.1640625" customWidth="1"/>
    <col min="4" max="4" width="74.1640625" customWidth="1"/>
    <col min="5" max="7" width="8.6640625" customWidth="1"/>
  </cols>
  <sheetData>
    <row r="2" spans="2:4" ht="21.75" customHeight="1" x14ac:dyDescent="0.2">
      <c r="B2" s="18" t="s">
        <v>78</v>
      </c>
      <c r="C2" s="18" t="s">
        <v>151</v>
      </c>
      <c r="D2" s="18" t="s">
        <v>79</v>
      </c>
    </row>
    <row r="3" spans="2:4" ht="21.75" customHeight="1" x14ac:dyDescent="0.2">
      <c r="B3" s="19">
        <v>1001</v>
      </c>
      <c r="C3" s="20" t="s">
        <v>121</v>
      </c>
      <c r="D3" s="21" t="s">
        <v>122</v>
      </c>
    </row>
    <row r="4" spans="2:4" ht="21.75" customHeight="1" x14ac:dyDescent="0.2">
      <c r="B4" s="22">
        <v>1002</v>
      </c>
      <c r="C4" s="23" t="s">
        <v>121</v>
      </c>
      <c r="D4" s="24" t="s">
        <v>123</v>
      </c>
    </row>
    <row r="5" spans="2:4" ht="21.75" customHeight="1" x14ac:dyDescent="0.2">
      <c r="B5" s="25">
        <v>1004</v>
      </c>
      <c r="C5" s="26" t="s">
        <v>121</v>
      </c>
      <c r="D5" s="27" t="s">
        <v>124</v>
      </c>
    </row>
    <row r="6" spans="2:4" ht="21.75" customHeight="1" x14ac:dyDescent="0.2">
      <c r="B6" s="22">
        <v>1005</v>
      </c>
      <c r="C6" s="23" t="s">
        <v>121</v>
      </c>
      <c r="D6" s="24" t="s">
        <v>125</v>
      </c>
    </row>
    <row r="7" spans="2:4" ht="21.75" customHeight="1" x14ac:dyDescent="0.2">
      <c r="B7" s="25">
        <v>1006</v>
      </c>
      <c r="C7" s="26" t="s">
        <v>121</v>
      </c>
      <c r="D7" s="27" t="s">
        <v>126</v>
      </c>
    </row>
    <row r="8" spans="2:4" ht="21.75" customHeight="1" x14ac:dyDescent="0.2">
      <c r="B8" s="22">
        <v>1007</v>
      </c>
      <c r="C8" s="23" t="s">
        <v>121</v>
      </c>
      <c r="D8" s="24" t="s">
        <v>127</v>
      </c>
    </row>
    <row r="9" spans="2:4" ht="21.75" customHeight="1" x14ac:dyDescent="0.2">
      <c r="B9" s="25">
        <v>1017</v>
      </c>
      <c r="C9" s="26" t="s">
        <v>121</v>
      </c>
      <c r="D9" s="27" t="s">
        <v>128</v>
      </c>
    </row>
    <row r="10" spans="2:4" ht="21.75" customHeight="1" x14ac:dyDescent="0.2">
      <c r="B10" s="22">
        <v>1018</v>
      </c>
      <c r="C10" s="23" t="s">
        <v>121</v>
      </c>
      <c r="D10" s="24" t="s">
        <v>129</v>
      </c>
    </row>
    <row r="11" spans="2:4" ht="21.75" customHeight="1" x14ac:dyDescent="0.2">
      <c r="B11" s="25">
        <v>2003</v>
      </c>
      <c r="C11" s="26" t="s">
        <v>130</v>
      </c>
      <c r="D11" s="27" t="s">
        <v>131</v>
      </c>
    </row>
    <row r="12" spans="2:4" ht="21.75" customHeight="1" x14ac:dyDescent="0.2">
      <c r="B12" s="22">
        <v>2005</v>
      </c>
      <c r="C12" s="23" t="s">
        <v>130</v>
      </c>
      <c r="D12" s="24" t="s">
        <v>132</v>
      </c>
    </row>
    <row r="13" spans="2:4" ht="21.75" customHeight="1" x14ac:dyDescent="0.2">
      <c r="B13" s="25">
        <v>2008</v>
      </c>
      <c r="C13" s="26" t="s">
        <v>130</v>
      </c>
      <c r="D13" s="27" t="s">
        <v>133</v>
      </c>
    </row>
    <row r="14" spans="2:4" ht="21.75" customHeight="1" x14ac:dyDescent="0.2">
      <c r="B14" s="22">
        <v>2009</v>
      </c>
      <c r="C14" s="23" t="s">
        <v>130</v>
      </c>
      <c r="D14" s="24" t="s">
        <v>134</v>
      </c>
    </row>
    <row r="15" spans="2:4" ht="21.75" customHeight="1" x14ac:dyDescent="0.2">
      <c r="B15" s="25">
        <v>2011</v>
      </c>
      <c r="C15" s="26" t="s">
        <v>135</v>
      </c>
      <c r="D15" s="27" t="s">
        <v>136</v>
      </c>
    </row>
    <row r="16" spans="2:4" ht="34" x14ac:dyDescent="0.2">
      <c r="B16" s="22">
        <v>2014</v>
      </c>
      <c r="C16" s="23" t="s">
        <v>130</v>
      </c>
      <c r="D16" s="24" t="s">
        <v>137</v>
      </c>
    </row>
    <row r="17" spans="2:4" ht="21.75" customHeight="1" x14ac:dyDescent="0.2">
      <c r="B17" s="25">
        <v>2016</v>
      </c>
      <c r="C17" s="26" t="s">
        <v>130</v>
      </c>
      <c r="D17" s="27" t="s">
        <v>138</v>
      </c>
    </row>
    <row r="18" spans="2:4" ht="21.75" customHeight="1" x14ac:dyDescent="0.2">
      <c r="B18" s="22">
        <v>2018</v>
      </c>
      <c r="C18" s="23" t="s">
        <v>135</v>
      </c>
      <c r="D18" s="24" t="s">
        <v>139</v>
      </c>
    </row>
    <row r="19" spans="2:4" ht="21.75" customHeight="1" x14ac:dyDescent="0.2">
      <c r="B19" s="25">
        <v>2022</v>
      </c>
      <c r="C19" s="26" t="s">
        <v>130</v>
      </c>
      <c r="D19" s="27" t="s">
        <v>140</v>
      </c>
    </row>
    <row r="20" spans="2:4" ht="21.75" customHeight="1" x14ac:dyDescent="0.2">
      <c r="B20" s="22">
        <v>2025</v>
      </c>
      <c r="C20" s="23" t="s">
        <v>135</v>
      </c>
      <c r="D20" s="24" t="s">
        <v>141</v>
      </c>
    </row>
    <row r="21" spans="2:4" ht="21.75" customHeight="1" x14ac:dyDescent="0.2">
      <c r="B21" s="25">
        <v>2032</v>
      </c>
      <c r="C21" s="26" t="s">
        <v>130</v>
      </c>
      <c r="D21" s="27" t="s">
        <v>142</v>
      </c>
    </row>
    <row r="22" spans="2:4" ht="21.75" customHeight="1" x14ac:dyDescent="0.2">
      <c r="B22" s="22">
        <v>2034</v>
      </c>
      <c r="C22" s="23" t="s">
        <v>130</v>
      </c>
      <c r="D22" s="24" t="s">
        <v>143</v>
      </c>
    </row>
    <row r="23" spans="2:4" ht="21.75" customHeight="1" x14ac:dyDescent="0.2">
      <c r="B23" s="25">
        <v>2037</v>
      </c>
      <c r="C23" s="26" t="s">
        <v>135</v>
      </c>
      <c r="D23" s="27" t="s">
        <v>144</v>
      </c>
    </row>
    <row r="24" spans="2:4" ht="21.75" customHeight="1" x14ac:dyDescent="0.2">
      <c r="B24" s="22">
        <v>4010</v>
      </c>
      <c r="C24" s="23" t="s">
        <v>145</v>
      </c>
      <c r="D24" s="24" t="s">
        <v>146</v>
      </c>
    </row>
    <row r="25" spans="2:4" ht="34" x14ac:dyDescent="0.2">
      <c r="B25" s="25">
        <v>4017</v>
      </c>
      <c r="C25" s="26" t="s">
        <v>145</v>
      </c>
      <c r="D25" s="27" t="s">
        <v>137</v>
      </c>
    </row>
    <row r="26" spans="2:4" ht="21.75" customHeight="1" x14ac:dyDescent="0.2">
      <c r="B26" s="22">
        <v>5006</v>
      </c>
      <c r="C26" s="23" t="s">
        <v>147</v>
      </c>
      <c r="D26" s="24" t="s">
        <v>148</v>
      </c>
    </row>
    <row r="27" spans="2:4" ht="21.75" customHeight="1" x14ac:dyDescent="0.2">
      <c r="B27" s="25">
        <v>5007</v>
      </c>
      <c r="C27" s="26" t="s">
        <v>147</v>
      </c>
      <c r="D27" s="27" t="s">
        <v>149</v>
      </c>
    </row>
    <row r="28" spans="2:4" ht="21.75" customHeight="1" x14ac:dyDescent="0.2">
      <c r="B28" s="28">
        <v>5011</v>
      </c>
      <c r="C28" s="29" t="s">
        <v>147</v>
      </c>
      <c r="D28" s="30" t="s">
        <v>150</v>
      </c>
    </row>
    <row r="29" spans="2:4" ht="15.75" customHeight="1" x14ac:dyDescent="0.2"/>
    <row r="30" spans="2:4" ht="15.75" customHeight="1" x14ac:dyDescent="0.2"/>
    <row r="31" spans="2:4" ht="15.75" customHeight="1" x14ac:dyDescent="0.2"/>
    <row r="32" spans="2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Rapport récapitulatif sur l’app</vt:lpstr>
      <vt:lpstr>Inventaire des appareils et des</vt:lpstr>
      <vt:lpstr>Appareils TB Portée</vt:lpstr>
      <vt:lpstr>Erreurs par appareil</vt:lpstr>
      <vt:lpstr>Codes d'erreur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Hernández</cp:lastModifiedBy>
  <dcterms:created xsi:type="dcterms:W3CDTF">2024-12-24T19:02:50Z</dcterms:created>
  <dcterms:modified xsi:type="dcterms:W3CDTF">2025-06-08T22:37:43Z</dcterms:modified>
</cp:coreProperties>
</file>