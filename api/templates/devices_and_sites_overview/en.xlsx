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gianatiempo/Downloads/"/>
    </mc:Choice>
  </mc:AlternateContent>
  <xr:revisionPtr revIDLastSave="0" documentId="13_ncr:1_{6F26E927-EE83-0748-AA0E-D95509292B69}" xr6:coauthVersionLast="47" xr6:coauthVersionMax="47" xr10:uidLastSave="{00000000-0000-0000-0000-000000000000}"/>
  <bookViews>
    <workbookView xWindow="0" yWindow="500" windowWidth="28800" windowHeight="16440" tabRatio="500" activeTab="2" xr2:uid="{00000000-000D-0000-FFFF-FFFF00000000}"/>
  </bookViews>
  <sheets>
    <sheet name="Xpert Site Summary Report" sheetId="1" r:id="rId1"/>
    <sheet name="Xpert Site Inventory" sheetId="2" r:id="rId2"/>
    <sheet name="Xpert Site Errors by Devices" sheetId="3" r:id="rId3"/>
    <sheet name="Error Codes" sheetId="4" r:id="rId4"/>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10" i="3" l="1"/>
</calcChain>
</file>

<file path=xl/sharedStrings.xml><?xml version="1.0" encoding="utf-8"?>
<sst xmlns="http://schemas.openxmlformats.org/spreadsheetml/2006/main" count="150" uniqueCount="115">
  <si>
    <t>Dates: &lt;Dates&gt;</t>
  </si>
  <si>
    <r>
      <rPr>
        <sz val="12"/>
        <color rgb="FF000000"/>
        <rFont val="Calibri"/>
        <family val="2"/>
        <charset val="1"/>
      </rPr>
      <t xml:space="preserve">Notes
</t>
    </r>
    <r>
      <rPr>
        <i/>
        <sz val="12"/>
        <color rgb="FF000000"/>
        <rFont val="Calibri"/>
        <family val="2"/>
        <charset val="1"/>
      </rPr>
      <t>The result categories are represented by all the possible result combinations that GeneXpert sends to Aspect. For example, MTB Detected does not include MTB Detected Rif Detected, as they are considered different results</t>
    </r>
  </si>
  <si>
    <t>&lt;StatesLabel&gt;: &lt;States&gt;</t>
  </si>
  <si>
    <t>&lt;LgasLabel&gt;: &lt;Lgas&gt;</t>
  </si>
  <si>
    <t>&lt;SitesLabel&gt;: &lt;Sites&gt;</t>
  </si>
  <si>
    <t>&lt;AssaysLabel&gt;: &lt;Assays&gt;</t>
  </si>
  <si>
    <t>&lt;Table&gt;</t>
  </si>
  <si>
    <t>Device</t>
  </si>
  <si>
    <t>State</t>
  </si>
  <si>
    <t>District</t>
  </si>
  <si>
    <t>Serial</t>
  </si>
  <si>
    <t>Instrument Serial</t>
  </si>
  <si>
    <t>Status</t>
  </si>
  <si>
    <t>Status Notes</t>
  </si>
  <si>
    <t>Last Ping On</t>
  </si>
  <si>
    <t>Last Ping From</t>
  </si>
  <si>
    <t>Information Below as of</t>
  </si>
  <si>
    <t>Operating System</t>
  </si>
  <si>
    <t>Time Zone</t>
  </si>
  <si>
    <t>Language / Region</t>
  </si>
  <si>
    <t>GxConnect Version</t>
  </si>
  <si>
    <t>Device Found?</t>
  </si>
  <si>
    <t>LIS Configured Correctly?</t>
  </si>
  <si>
    <t>GeneXpert Installation Date</t>
  </si>
  <si>
    <t>Total</t>
  </si>
  <si>
    <t>Other</t>
  </si>
  <si>
    <t>&lt;name&gt;</t>
  </si>
  <si>
    <t>&lt;stateName&gt;</t>
  </si>
  <si>
    <t>&lt;districtName&gt;</t>
  </si>
  <si>
    <t>&lt;serial&gt;</t>
  </si>
  <si>
    <t>&lt;instrumentSerial&gt;</t>
  </si>
  <si>
    <t>&lt;lastUploadOn&gt;</t>
  </si>
  <si>
    <t>&lt;status&gt;</t>
  </si>
  <si>
    <t>&lt;statusNote&gt;</t>
  </si>
  <si>
    <t>&lt;lastPingOn&gt;</t>
  </si>
  <si>
    <t>&lt;lastPingFrom&gt;</t>
  </si>
  <si>
    <t>&lt;informationDate&gt;</t>
  </si>
  <si>
    <t>&lt;operativeSystem&gt;</t>
  </si>
  <si>
    <t>&lt;timeZone&gt;</t>
  </si>
  <si>
    <t>&lt;language&gt;</t>
  </si>
  <si>
    <t>&lt;gxConnectVersion&gt;</t>
  </si>
  <si>
    <t>&lt;deviceFound&gt;</t>
  </si>
  <si>
    <t>&lt;lisConfiguredCorrectly&gt;</t>
  </si>
  <si>
    <t>&lt;instalationDate&gt;</t>
  </si>
  <si>
    <t>&lt;totalXpertTests&gt;</t>
  </si>
  <si>
    <t>&lt;totalOtherTests&gt;</t>
  </si>
  <si>
    <t>Notes: this report only includes the consumables that were sometime tracked on the sites</t>
  </si>
  <si>
    <t>Site</t>
  </si>
  <si>
    <t>Consumable</t>
  </si>
  <si>
    <t>Daily Consumption Rate</t>
  </si>
  <si>
    <t>Projected Annual Consumption</t>
  </si>
  <si>
    <t>Quantity On Hand</t>
  </si>
  <si>
    <t>Quantity On Hand but Expired</t>
  </si>
  <si>
    <t>Days Stock Left</t>
  </si>
  <si>
    <t>Projected Waste</t>
  </si>
  <si>
    <t>&lt;siteName&gt;</t>
  </si>
  <si>
    <t>&lt;consumableName&gt;</t>
  </si>
  <si>
    <t>&lt;dailyConsumptionRate&gt;</t>
  </si>
  <si>
    <t>&lt;projectedAnnualConsumption&gt;</t>
  </si>
  <si>
    <t>&lt;quantityOnHand&gt;</t>
  </si>
  <si>
    <t>&lt;quantityExpired&gt;</t>
  </si>
  <si>
    <t>&lt;daysStockLeft&gt;</t>
  </si>
  <si>
    <t>&lt;projectedWaste&gt;</t>
  </si>
  <si>
    <t>Type of error</t>
  </si>
  <si>
    <t>Invalid results, no results</t>
  </si>
  <si>
    <t>Total errors, invalid results, no results</t>
  </si>
  <si>
    <t>Other Error</t>
  </si>
  <si>
    <t>&lt;deviceName&gt;</t>
  </si>
  <si>
    <t>&lt;5011&gt;</t>
  </si>
  <si>
    <t>&lt;5007&gt;</t>
  </si>
  <si>
    <t>&lt;5006&gt;</t>
  </si>
  <si>
    <t>&lt;2008&gt;</t>
  </si>
  <si>
    <t>&lt;2005&gt;</t>
  </si>
  <si>
    <t>&lt;2037&gt;</t>
  </si>
  <si>
    <t>&lt;2025&gt;</t>
  </si>
  <si>
    <t>&lt;2022&gt;</t>
  </si>
  <si>
    <t>&lt;otherErrors&gt;</t>
  </si>
  <si>
    <t>&lt;invalidResults&gt;</t>
  </si>
  <si>
    <t>Code</t>
  </si>
  <si>
    <t>Category</t>
  </si>
  <si>
    <t>Description</t>
  </si>
  <si>
    <t>Run-time error</t>
  </si>
  <si>
    <t>The actual temperature has drifted too far away from the setpoint</t>
  </si>
  <si>
    <t>The temperature difference exceeds the limit</t>
  </si>
  <si>
    <t>The internal instrument temperature was out of range</t>
  </si>
  <si>
    <t>Optic signal of from detector exceeded the limit</t>
  </si>
  <si>
    <t>Detector dark signal exceeded the limit</t>
  </si>
  <si>
    <t>The power supply was detected to be out of range</t>
  </si>
  <si>
    <t>The measured temperature of the optical system was not within the acceptable range</t>
  </si>
  <si>
    <t>A valve positioning error was detected at the end of the run</t>
  </si>
  <si>
    <t>Operation terminated error</t>
  </si>
  <si>
    <t>Module is already running a test while performing command</t>
  </si>
  <si>
    <t>Motion of the syringe drive was not detected</t>
  </si>
  <si>
    <t>Syringe pressure reading exceeds the protocol limit</t>
  </si>
  <si>
    <t>Syringe pressure reading is below the protocol limit</t>
  </si>
  <si>
    <t>Cartridge loading error</t>
  </si>
  <si>
    <t>Unable to initialize pressure sensor</t>
  </si>
  <si>
    <t>The digital temperature reading for Thermistor A/Thermistor B/Ambient Thermistor/Optic Thermistor was not within the acceptable range</t>
  </si>
  <si>
    <t>The system was unable to find the valve home position</t>
  </si>
  <si>
    <t>Attempt to load a cartridge while the door is still closed</t>
  </si>
  <si>
    <t>Failed to get to desired temperature</t>
  </si>
  <si>
    <t>The system failed to find the plunger home position</t>
  </si>
  <si>
    <t>The ultrasonic horn could not be tuned properly</t>
  </si>
  <si>
    <t>The optical signal from Detector did not reach the expected value</t>
  </si>
  <si>
    <t>The cartridge integrity test failed</t>
  </si>
  <si>
    <t>Self-test error</t>
  </si>
  <si>
    <t>Cooling fan operation was not verified. Measured temperature exceeded the limit</t>
  </si>
  <si>
    <t>Post-run analysis error</t>
  </si>
  <si>
    <t>Probe check failed. Probe check value was above the maximum</t>
  </si>
  <si>
    <t>Probe check failed. Probe check value was below the minimum</t>
  </si>
  <si>
    <t>Signal loss detected in the amplification curve</t>
  </si>
  <si>
    <t>Last Result Update</t>
  </si>
  <si>
    <t>Xpert Site Summary Report</t>
  </si>
  <si>
    <t>Xpert Site Inventory</t>
  </si>
  <si>
    <t>Xpert Site Errors by Devices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</si>
</sst>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 d&quot;, &quot;yyyy;@"/>
    <numFmt numFmtId="165" formatCode="yyyy\-mm\-dd\ hh:mm"/>
  </numFmts>
  <fonts count="5" x14ac:knownFonts="1">
    <font>
      <sz val="12"/>
      <color rgb="FF000000"/>
      <name val="Calibri"/>
      <family val="2"/>
      <charset val="1"/>
    </font>
    <font>
      <b/>
      <sz val="16"/>
      <color rgb="FF000000"/>
      <name val="Calibri"/>
      <family val="2"/>
      <charset val="1"/>
    </font>
    <font>
      <i/>
      <sz val="12"/>
      <color rgb="FF000000"/>
      <name val="Calibri"/>
      <family val="2"/>
      <charset val="1"/>
    </font>
    <font>
      <b/>
      <sz val="12"/>
      <name val="Calibri"/>
      <family val="2"/>
      <charset val="1"/>
    </font>
    <font>
      <b/>
      <sz val="12"/>
      <color rgb="FF000000"/>
      <name val="Calibri"/>
      <family val="2"/>
      <charset val="1"/>
    </font>
  </fonts>
  <fills count="3">
    <fill>
      <patternFill patternType="none"/>
    </fill>
    <fill>
      <patternFill patternType="gray125"/>
    </fill>
    <fill>
      <patternFill patternType="solid">
        <fgColor rgb="FF3CC0DD"/>
        <bgColor rgb="FF00CCFF"/>
      </patternFill>
    </fill>
  </fills>
  <borders count="4">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s>
  <cellStyleXfs count="1">
    <xf numFmtId="0" fontId="0" fillId="0" borderId="0"/>
  </cellStyleXfs>
  <cellXfs count="28">
    <xf numFmtId="0" fontId="0" fillId="0" borderId="0" xfId="0"/>
    <xf numFmtId="0" fontId="4" fillId="2" borderId="2" xfId="0" applyFont="1" applyFill="1" applyBorder="1" applyAlignment="1">
      <alignment horizontal="center"/>
    </xf>
    <xf numFmtId="0" fontId="0" fillId="0" borderId="0" xfId="0" applyAlignment="1">
      <alignment horizontal="left"/>
    </xf>
    <xf numFmtId="0" fontId="0" fillId="0" borderId="0" xfId="0" applyAlignment="1">
      <alignment horizontal="center"/>
    </xf>
    <xf numFmtId="164" fontId="0" fillId="0" borderId="0" xfId="0" applyNumberFormat="1" applyAlignment="1">
      <alignment horizontal="center"/>
    </xf>
    <xf numFmtId="0" fontId="1" fillId="0" borderId="0" xfId="0" applyFont="1"/>
    <xf numFmtId="0" fontId="0" fillId="0" borderId="0" xfId="0" applyAlignment="1">
      <alignment wrapText="1"/>
    </xf>
    <xf numFmtId="0" fontId="0" fillId="0" borderId="0" xfId="0" applyAlignment="1">
      <alignment vertical="top"/>
    </xf>
    <xf numFmtId="165" fontId="3" fillId="2" borderId="1" xfId="0" applyNumberFormat="1" applyFont="1" applyFill="1" applyBorder="1"/>
    <xf numFmtId="165" fontId="3" fillId="2" borderId="1" xfId="0" applyNumberFormat="1" applyFont="1" applyFill="1" applyBorder="1" applyAlignment="1">
      <alignment wrapText="1"/>
    </xf>
    <xf numFmtId="0" fontId="4" fillId="0" borderId="0" xfId="0" applyFont="1" applyAlignment="1">
      <alignment horizontal="center" vertical="center" wrapText="1"/>
    </xf>
    <xf numFmtId="0" fontId="0" fillId="0" borderId="2" xfId="0" applyBorder="1"/>
    <xf numFmtId="0" fontId="0" fillId="0" borderId="3" xfId="0" applyBorder="1" applyAlignment="1">
      <alignment horizontal="left"/>
    </xf>
    <xf numFmtId="164" fontId="0" fillId="0" borderId="2" xfId="0" applyNumberFormat="1" applyBorder="1"/>
    <xf numFmtId="0" fontId="0" fillId="0" borderId="2" xfId="0" applyBorder="1" applyAlignment="1">
      <alignment horizontal="center"/>
    </xf>
    <xf numFmtId="164" fontId="0" fillId="0" borderId="2" xfId="0" applyNumberFormat="1" applyBorder="1" applyAlignment="1">
      <alignment horizontal="center"/>
    </xf>
    <xf numFmtId="0" fontId="4" fillId="0" borderId="0" xfId="0" applyFont="1"/>
    <xf numFmtId="0" fontId="1" fillId="0" borderId="0" xfId="0" applyFont="1" applyAlignment="1">
      <alignment horizontal="left"/>
    </xf>
    <xf numFmtId="0" fontId="0" fillId="0" borderId="0" xfId="0" applyAlignment="1">
      <alignment horizontal="center" vertical="center" wrapText="1"/>
    </xf>
    <xf numFmtId="0" fontId="0" fillId="0" borderId="0" xfId="0" applyAlignment="1">
      <alignment vertical="center" wrapText="1"/>
    </xf>
    <xf numFmtId="14" fontId="0" fillId="0" borderId="2" xfId="0" applyNumberFormat="1" applyBorder="1"/>
    <xf numFmtId="14" fontId="0" fillId="0" borderId="2" xfId="0" applyNumberFormat="1" applyBorder="1" applyAlignment="1">
      <alignment horizontal="center"/>
    </xf>
    <xf numFmtId="0" fontId="0" fillId="0" borderId="0" xfId="0" applyAlignment="1">
      <alignment vertical="top" wrapText="1"/>
    </xf>
    <xf numFmtId="0" fontId="2" fillId="0" borderId="0" xfId="0" applyFont="1" applyAlignment="1">
      <alignment wrapText="1"/>
    </xf>
    <xf numFmtId="0" fontId="0" fillId="0" borderId="0" xfId="0" applyAlignment="1">
      <alignment horizontal="left"/>
    </xf>
    <xf numFmtId="0" fontId="4" fillId="2" borderId="2" xfId="0" applyFont="1" applyFill="1" applyBorder="1" applyAlignment="1">
      <alignment horizontal="left" vertical="center" wrapText="1"/>
    </xf>
    <xf numFmtId="0" fontId="4" fillId="2" borderId="2" xfId="0" applyFont="1" applyFill="1" applyBorder="1" applyAlignment="1">
      <alignment horizontal="center"/>
    </xf>
    <xf numFmtId="0" fontId="4" fillId="2" borderId="2" xfId="0" applyFont="1" applyFill="1" applyBorder="1" applyAlignment="1">
      <alignment horizont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CC0DD"/>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
  <sheetViews>
    <sheetView zoomScaleNormal="100" workbookViewId="0">
      <pane ySplit="9" topLeftCell="A10" activePane="bottomLeft" state="frozen"/>
      <selection pane="bottomLeft"/>
    </sheetView>
  </sheetViews>
  <sheetFormatPr baseColWidth="10" defaultColWidth="11.1640625" defaultRowHeight="16" x14ac:dyDescent="0.2"/>
  <cols>
    <col min="1" max="3" width="27" customWidth="1"/>
    <col min="4" max="4" width="15.1640625" customWidth="1"/>
    <col min="5" max="5" width="31.1640625" customWidth="1"/>
    <col min="6" max="9" width="19" customWidth="1"/>
    <col min="10" max="10" width="14.6640625" style="3" customWidth="1"/>
    <col min="11" max="11" width="14.33203125" style="4" customWidth="1"/>
    <col min="12" max="14" width="14.33203125" style="3" customWidth="1"/>
    <col min="15" max="15" width="13.1640625" style="3" customWidth="1"/>
    <col min="16" max="16" width="10.5" style="3" customWidth="1"/>
    <col min="17" max="17" width="18.1640625" style="3" customWidth="1"/>
    <col min="18" max="18" width="11" style="4" customWidth="1"/>
    <col min="19" max="19" width="14" customWidth="1"/>
    <col min="1015" max="1024" width="9.1640625" customWidth="1"/>
  </cols>
  <sheetData>
    <row r="1" spans="1:20" ht="21" x14ac:dyDescent="0.25">
      <c r="A1" s="5" t="s">
        <v>112</v>
      </c>
      <c r="B1" s="5"/>
      <c r="C1" s="5"/>
      <c r="D1" s="5"/>
      <c r="E1" s="5"/>
    </row>
    <row r="2" spans="1:20" ht="15" customHeight="1" x14ac:dyDescent="0.2">
      <c r="A2" t="s">
        <v>0</v>
      </c>
      <c r="E2" s="22" t="s">
        <v>1</v>
      </c>
    </row>
    <row r="3" spans="1:20" ht="34.5" customHeight="1" x14ac:dyDescent="0.2">
      <c r="A3" t="s">
        <v>2</v>
      </c>
      <c r="C3" s="23"/>
      <c r="D3" s="23"/>
      <c r="E3" s="22"/>
    </row>
    <row r="4" spans="1:20" x14ac:dyDescent="0.2">
      <c r="A4" t="s">
        <v>3</v>
      </c>
      <c r="E4" s="22"/>
    </row>
    <row r="5" spans="1:20" ht="17" x14ac:dyDescent="0.2">
      <c r="A5" s="6" t="s">
        <v>4</v>
      </c>
      <c r="E5" s="22"/>
    </row>
    <row r="6" spans="1:20" x14ac:dyDescent="0.2">
      <c r="A6" t="s">
        <v>5</v>
      </c>
      <c r="E6" s="22"/>
    </row>
    <row r="7" spans="1:20" ht="57.5" customHeight="1" x14ac:dyDescent="0.2">
      <c r="E7" s="22"/>
    </row>
    <row r="8" spans="1:20" ht="42" customHeight="1" x14ac:dyDescent="0.2">
      <c r="A8" t="s">
        <v>6</v>
      </c>
      <c r="C8" s="7"/>
      <c r="D8" s="6"/>
    </row>
    <row r="9" spans="1:20" s="10" customFormat="1" ht="67.5" customHeight="1" x14ac:dyDescent="0.2">
      <c r="A9" s="8" t="s">
        <v>7</v>
      </c>
      <c r="B9" s="8" t="s">
        <v>8</v>
      </c>
      <c r="C9" s="8" t="s">
        <v>9</v>
      </c>
      <c r="D9" s="8" t="s">
        <v>10</v>
      </c>
      <c r="E9" s="8" t="s">
        <v>11</v>
      </c>
      <c r="F9" s="8" t="s">
        <v>111</v>
      </c>
      <c r="G9" s="8" t="s">
        <v>12</v>
      </c>
      <c r="H9" s="8" t="s">
        <v>13</v>
      </c>
      <c r="I9" s="8" t="s">
        <v>14</v>
      </c>
      <c r="J9" s="8" t="s">
        <v>15</v>
      </c>
      <c r="K9" s="9" t="s">
        <v>16</v>
      </c>
      <c r="L9" s="9" t="s">
        <v>17</v>
      </c>
      <c r="M9" s="9" t="s">
        <v>18</v>
      </c>
      <c r="N9" s="9" t="s">
        <v>19</v>
      </c>
      <c r="O9" s="9" t="s">
        <v>20</v>
      </c>
      <c r="P9" s="9" t="s">
        <v>21</v>
      </c>
      <c r="Q9" s="9" t="s">
        <v>22</v>
      </c>
      <c r="R9" s="9" t="s">
        <v>23</v>
      </c>
      <c r="S9" s="8" t="s">
        <v>24</v>
      </c>
      <c r="T9" s="8" t="s">
        <v>25</v>
      </c>
    </row>
    <row r="10" spans="1:20" x14ac:dyDescent="0.2">
      <c r="A10" s="11" t="s">
        <v>26</v>
      </c>
      <c r="B10" s="11" t="s">
        <v>27</v>
      </c>
      <c r="C10" s="12" t="s">
        <v>28</v>
      </c>
      <c r="D10" s="11" t="s">
        <v>29</v>
      </c>
      <c r="E10" s="11" t="s">
        <v>30</v>
      </c>
      <c r="F10" s="20" t="s">
        <v>31</v>
      </c>
      <c r="G10" s="13" t="s">
        <v>32</v>
      </c>
      <c r="H10" s="13" t="s">
        <v>33</v>
      </c>
      <c r="I10" s="20" t="s">
        <v>34</v>
      </c>
      <c r="J10" s="21" t="s">
        <v>35</v>
      </c>
      <c r="K10" s="15" t="s">
        <v>36</v>
      </c>
      <c r="L10" s="14" t="s">
        <v>37</v>
      </c>
      <c r="M10" s="14" t="s">
        <v>38</v>
      </c>
      <c r="N10" s="14" t="s">
        <v>39</v>
      </c>
      <c r="O10" s="14" t="s">
        <v>40</v>
      </c>
      <c r="P10" s="14" t="s">
        <v>41</v>
      </c>
      <c r="Q10" s="14" t="s">
        <v>42</v>
      </c>
      <c r="R10" s="15" t="s">
        <v>43</v>
      </c>
      <c r="S10" s="11" t="s">
        <v>44</v>
      </c>
      <c r="T10" s="11" t="s">
        <v>45</v>
      </c>
    </row>
    <row r="12" spans="1:20" x14ac:dyDescent="0.2">
      <c r="A12" s="16"/>
      <c r="B12" s="16"/>
      <c r="C12" s="16"/>
      <c r="D12" s="16"/>
      <c r="E12" s="16"/>
    </row>
  </sheetData>
  <mergeCells count="2">
    <mergeCell ref="E2:E7"/>
    <mergeCell ref="C3:D3"/>
  </mergeCells>
  <pageMargins left="0.78749999999999998" right="0.78749999999999998" top="1.05277777777778" bottom="1.05277777777778" header="0.78749999999999998" footer="0.78749999999999998"/>
  <pageSetup orientation="portrait" horizontalDpi="300" verticalDpi="300"/>
  <headerFooter>
    <oddHeader>&amp;C&amp;"Times New Roman,Regular"&amp;Kffffff&amp;A</oddHeader>
    <oddFooter>&amp;C&amp;"Times New Roman,Regular"&amp;KffffffPage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
  <sheetViews>
    <sheetView zoomScaleNormal="100" workbookViewId="0">
      <pane ySplit="8" topLeftCell="A9" activePane="bottomLeft" state="frozen"/>
      <selection pane="bottomLeft"/>
    </sheetView>
  </sheetViews>
  <sheetFormatPr baseColWidth="10" defaultColWidth="8.6640625" defaultRowHeight="16" x14ac:dyDescent="0.2"/>
  <cols>
    <col min="1" max="1" width="21.6640625" customWidth="1"/>
    <col min="2" max="2" width="17.33203125" customWidth="1"/>
    <col min="3" max="3" width="21.1640625" customWidth="1"/>
    <col min="4" max="4" width="27.1640625" customWidth="1"/>
    <col min="5" max="5" width="16.1640625" customWidth="1"/>
    <col min="6" max="6" width="25.6640625" customWidth="1"/>
    <col min="7" max="7" width="13.6640625" customWidth="1"/>
    <col min="8" max="8" width="15.6640625" customWidth="1"/>
  </cols>
  <sheetData>
    <row r="1" spans="1:8" ht="21" x14ac:dyDescent="0.25">
      <c r="A1" s="17" t="s">
        <v>113</v>
      </c>
      <c r="B1" s="5"/>
      <c r="C1" s="5"/>
      <c r="D1" s="5"/>
    </row>
    <row r="2" spans="1:8" x14ac:dyDescent="0.2">
      <c r="A2" t="s">
        <v>0</v>
      </c>
      <c r="C2" s="24" t="s">
        <v>46</v>
      </c>
      <c r="D2" s="24"/>
      <c r="E2" s="24"/>
      <c r="F2" s="24"/>
      <c r="G2" s="24"/>
    </row>
    <row r="3" spans="1:8" ht="15" customHeight="1" x14ac:dyDescent="0.2">
      <c r="A3" t="s">
        <v>2</v>
      </c>
    </row>
    <row r="4" spans="1:8" x14ac:dyDescent="0.2">
      <c r="A4" s="2" t="s">
        <v>3</v>
      </c>
    </row>
    <row r="5" spans="1:8" x14ac:dyDescent="0.2">
      <c r="A5" s="2" t="s">
        <v>4</v>
      </c>
    </row>
    <row r="6" spans="1:8" x14ac:dyDescent="0.2">
      <c r="A6" t="s">
        <v>5</v>
      </c>
      <c r="C6" s="7"/>
      <c r="D6" s="6"/>
    </row>
    <row r="7" spans="1:8" x14ac:dyDescent="0.2">
      <c r="A7" t="s">
        <v>6</v>
      </c>
      <c r="C7" s="7"/>
      <c r="D7" s="6"/>
    </row>
    <row r="8" spans="1:8" ht="54" customHeight="1" x14ac:dyDescent="0.2">
      <c r="A8" s="8" t="s">
        <v>47</v>
      </c>
      <c r="B8" s="8" t="s">
        <v>48</v>
      </c>
      <c r="C8" s="8" t="s">
        <v>49</v>
      </c>
      <c r="D8" s="8" t="s">
        <v>50</v>
      </c>
      <c r="E8" s="8" t="s">
        <v>51</v>
      </c>
      <c r="F8" s="8" t="s">
        <v>52</v>
      </c>
      <c r="G8" s="8" t="s">
        <v>53</v>
      </c>
      <c r="H8" s="8" t="s">
        <v>54</v>
      </c>
    </row>
    <row r="9" spans="1:8" x14ac:dyDescent="0.2">
      <c r="A9" s="11" t="s">
        <v>55</v>
      </c>
      <c r="B9" s="11" t="s">
        <v>56</v>
      </c>
      <c r="C9" s="12" t="s">
        <v>57</v>
      </c>
      <c r="D9" s="11" t="s">
        <v>58</v>
      </c>
      <c r="E9" s="11" t="s">
        <v>59</v>
      </c>
      <c r="F9" s="11" t="s">
        <v>60</v>
      </c>
      <c r="G9" s="11" t="s">
        <v>61</v>
      </c>
      <c r="H9" s="11" t="s">
        <v>62</v>
      </c>
    </row>
  </sheetData>
  <mergeCells count="1">
    <mergeCell ref="C2:G2"/>
  </mergeCell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
  <sheetViews>
    <sheetView tabSelected="1" zoomScaleNormal="100" workbookViewId="0">
      <pane ySplit="9" topLeftCell="A10" activePane="bottomLeft" state="frozen"/>
      <selection pane="bottomLeft"/>
    </sheetView>
  </sheetViews>
  <sheetFormatPr baseColWidth="10" defaultColWidth="8.6640625" defaultRowHeight="16" x14ac:dyDescent="0.2"/>
  <cols>
    <col min="1" max="1" width="33.1640625" customWidth="1"/>
    <col min="2" max="9" width="8.6640625" style="3" customWidth="1"/>
    <col min="10" max="10" width="12.1640625" style="3" customWidth="1"/>
    <col min="11" max="11" width="14.1640625" style="3" customWidth="1"/>
    <col min="12" max="12" width="15.5" style="3" customWidth="1"/>
  </cols>
  <sheetData>
    <row r="1" spans="1:12" ht="21" x14ac:dyDescent="0.25">
      <c r="A1" s="5" t="s">
        <v>114</v>
      </c>
    </row>
    <row r="2" spans="1:12" x14ac:dyDescent="0.2">
      <c r="A2" t="s">
        <v>0</v>
      </c>
    </row>
    <row r="3" spans="1:12" x14ac:dyDescent="0.2">
      <c r="A3" t="s">
        <v>2</v>
      </c>
    </row>
    <row r="4" spans="1:12" x14ac:dyDescent="0.2">
      <c r="A4" s="2" t="s">
        <v>3</v>
      </c>
    </row>
    <row r="5" spans="1:12" x14ac:dyDescent="0.2">
      <c r="A5" s="2" t="s">
        <v>4</v>
      </c>
    </row>
    <row r="6" spans="1:12" x14ac:dyDescent="0.2">
      <c r="A6" t="s">
        <v>5</v>
      </c>
    </row>
    <row r="7" spans="1:12" ht="17" x14ac:dyDescent="0.2">
      <c r="A7" s="18" t="s">
        <v>6</v>
      </c>
      <c r="B7" s="3">
        <v>2</v>
      </c>
    </row>
    <row r="8" spans="1:12" ht="15" customHeight="1" x14ac:dyDescent="0.2">
      <c r="A8" s="25" t="s">
        <v>7</v>
      </c>
      <c r="B8" s="26" t="s">
        <v>63</v>
      </c>
      <c r="C8" s="26"/>
      <c r="D8" s="26"/>
      <c r="E8" s="26"/>
      <c r="F8" s="26"/>
      <c r="G8" s="26"/>
      <c r="H8" s="26"/>
      <c r="I8" s="26"/>
      <c r="J8" s="26"/>
      <c r="K8" s="27" t="s">
        <v>64</v>
      </c>
      <c r="L8" s="27" t="s">
        <v>65</v>
      </c>
    </row>
    <row r="9" spans="1:12" ht="31.5" customHeight="1" x14ac:dyDescent="0.2">
      <c r="A9" s="25"/>
      <c r="B9" s="1">
        <v>5011</v>
      </c>
      <c r="C9" s="1">
        <v>5007</v>
      </c>
      <c r="D9" s="1">
        <v>5006</v>
      </c>
      <c r="E9" s="1">
        <v>2008</v>
      </c>
      <c r="F9" s="1">
        <v>2005</v>
      </c>
      <c r="G9" s="1">
        <v>2037</v>
      </c>
      <c r="H9" s="1">
        <v>2025</v>
      </c>
      <c r="I9" s="1">
        <v>2022</v>
      </c>
      <c r="J9" s="1" t="s">
        <v>66</v>
      </c>
      <c r="K9" s="27"/>
      <c r="L9" s="27"/>
    </row>
    <row r="10" spans="1:12" x14ac:dyDescent="0.2">
      <c r="A10" s="2" t="s">
        <v>67</v>
      </c>
      <c r="B10" s="3" t="s">
        <v>68</v>
      </c>
      <c r="C10" s="3" t="s">
        <v>69</v>
      </c>
      <c r="D10" s="3" t="s">
        <v>70</v>
      </c>
      <c r="E10" s="3" t="s">
        <v>71</v>
      </c>
      <c r="F10" s="3" t="s">
        <v>72</v>
      </c>
      <c r="G10" s="3" t="s">
        <v>73</v>
      </c>
      <c r="H10" s="3" t="s">
        <v>74</v>
      </c>
      <c r="I10" s="3" t="s">
        <v>75</v>
      </c>
      <c r="J10" s="3" t="s">
        <v>76</v>
      </c>
      <c r="K10" s="3" t="s">
        <v>77</v>
      </c>
      <c r="L10" s="3" t="e">
        <f>B10+C10+D10+E10+F10+G10+H10+I10+J10+K10</f>
        <v>#VALUE!</v>
      </c>
    </row>
  </sheetData>
  <mergeCells count="4">
    <mergeCell ref="A8:A9"/>
    <mergeCell ref="B8:J8"/>
    <mergeCell ref="K8:K9"/>
    <mergeCell ref="L8:L9"/>
  </mergeCell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7"/>
  <sheetViews>
    <sheetView zoomScaleNormal="100" workbookViewId="0"/>
  </sheetViews>
  <sheetFormatPr baseColWidth="10" defaultColWidth="8.6640625" defaultRowHeight="16" x14ac:dyDescent="0.2"/>
  <cols>
    <col min="1" max="1" width="5.1640625" customWidth="1"/>
    <col min="2" max="2" width="39.1640625" customWidth="1"/>
    <col min="3" max="3" width="100.6640625" customWidth="1"/>
  </cols>
  <sheetData>
    <row r="1" spans="1:3" ht="21.75" customHeight="1" x14ac:dyDescent="0.2">
      <c r="A1" s="16" t="s">
        <v>78</v>
      </c>
      <c r="B1" s="16" t="s">
        <v>79</v>
      </c>
      <c r="C1" s="16" t="s">
        <v>80</v>
      </c>
    </row>
    <row r="2" spans="1:3" ht="21.75" customHeight="1" x14ac:dyDescent="0.2">
      <c r="A2" s="19">
        <v>1001</v>
      </c>
      <c r="B2" s="19" t="s">
        <v>81</v>
      </c>
      <c r="C2" s="19" t="s">
        <v>82</v>
      </c>
    </row>
    <row r="3" spans="1:3" ht="21.75" customHeight="1" x14ac:dyDescent="0.2">
      <c r="A3" s="19">
        <v>1002</v>
      </c>
      <c r="B3" s="19" t="s">
        <v>81</v>
      </c>
      <c r="C3" s="19" t="s">
        <v>83</v>
      </c>
    </row>
    <row r="4" spans="1:3" ht="21.75" customHeight="1" x14ac:dyDescent="0.2">
      <c r="A4" s="19">
        <v>1004</v>
      </c>
      <c r="B4" s="19" t="s">
        <v>81</v>
      </c>
      <c r="C4" s="19" t="s">
        <v>84</v>
      </c>
    </row>
    <row r="5" spans="1:3" ht="21.75" customHeight="1" x14ac:dyDescent="0.2">
      <c r="A5" s="19">
        <v>1005</v>
      </c>
      <c r="B5" s="19" t="s">
        <v>81</v>
      </c>
      <c r="C5" s="19" t="s">
        <v>85</v>
      </c>
    </row>
    <row r="6" spans="1:3" ht="21.75" customHeight="1" x14ac:dyDescent="0.2">
      <c r="A6" s="19">
        <v>1006</v>
      </c>
      <c r="B6" s="19" t="s">
        <v>81</v>
      </c>
      <c r="C6" s="19" t="s">
        <v>86</v>
      </c>
    </row>
    <row r="7" spans="1:3" ht="21.75" customHeight="1" x14ac:dyDescent="0.2">
      <c r="A7" s="19">
        <v>1007</v>
      </c>
      <c r="B7" s="19" t="s">
        <v>81</v>
      </c>
      <c r="C7" s="19" t="s">
        <v>87</v>
      </c>
    </row>
    <row r="8" spans="1:3" ht="21.75" customHeight="1" x14ac:dyDescent="0.2">
      <c r="A8" s="19">
        <v>1017</v>
      </c>
      <c r="B8" s="19" t="s">
        <v>81</v>
      </c>
      <c r="C8" s="19" t="s">
        <v>88</v>
      </c>
    </row>
    <row r="9" spans="1:3" ht="21.75" customHeight="1" x14ac:dyDescent="0.2">
      <c r="A9" s="19">
        <v>1018</v>
      </c>
      <c r="B9" s="19" t="s">
        <v>81</v>
      </c>
      <c r="C9" s="19" t="s">
        <v>89</v>
      </c>
    </row>
    <row r="10" spans="1:3" ht="21.75" customHeight="1" x14ac:dyDescent="0.2">
      <c r="A10" s="19">
        <v>2003</v>
      </c>
      <c r="B10" s="19" t="s">
        <v>90</v>
      </c>
      <c r="C10" s="19" t="s">
        <v>91</v>
      </c>
    </row>
    <row r="11" spans="1:3" ht="21.75" customHeight="1" x14ac:dyDescent="0.2">
      <c r="A11" s="19">
        <v>2005</v>
      </c>
      <c r="B11" s="19" t="s">
        <v>90</v>
      </c>
      <c r="C11" s="19" t="s">
        <v>92</v>
      </c>
    </row>
    <row r="12" spans="1:3" ht="21.75" customHeight="1" x14ac:dyDescent="0.2">
      <c r="A12" s="19">
        <v>2008</v>
      </c>
      <c r="B12" s="19" t="s">
        <v>90</v>
      </c>
      <c r="C12" s="19" t="s">
        <v>93</v>
      </c>
    </row>
    <row r="13" spans="1:3" ht="21.75" customHeight="1" x14ac:dyDescent="0.2">
      <c r="A13" s="19">
        <v>2009</v>
      </c>
      <c r="B13" s="19" t="s">
        <v>90</v>
      </c>
      <c r="C13" s="19" t="s">
        <v>94</v>
      </c>
    </row>
    <row r="14" spans="1:3" ht="21.75" customHeight="1" x14ac:dyDescent="0.2">
      <c r="A14" s="19">
        <v>2011</v>
      </c>
      <c r="B14" s="19" t="s">
        <v>95</v>
      </c>
      <c r="C14" s="19" t="s">
        <v>96</v>
      </c>
    </row>
    <row r="15" spans="1:3" ht="21.75" customHeight="1" x14ac:dyDescent="0.2">
      <c r="A15" s="19">
        <v>2014</v>
      </c>
      <c r="B15" s="19" t="s">
        <v>90</v>
      </c>
      <c r="C15" s="19" t="s">
        <v>97</v>
      </c>
    </row>
    <row r="16" spans="1:3" ht="21.75" customHeight="1" x14ac:dyDescent="0.2">
      <c r="A16" s="19">
        <v>2016</v>
      </c>
      <c r="B16" s="19" t="s">
        <v>90</v>
      </c>
      <c r="C16" s="19" t="s">
        <v>98</v>
      </c>
    </row>
    <row r="17" spans="1:3" ht="21.75" customHeight="1" x14ac:dyDescent="0.2">
      <c r="A17" s="19">
        <v>2018</v>
      </c>
      <c r="B17" s="19" t="s">
        <v>95</v>
      </c>
      <c r="C17" s="19" t="s">
        <v>99</v>
      </c>
    </row>
    <row r="18" spans="1:3" ht="21.75" customHeight="1" x14ac:dyDescent="0.2">
      <c r="A18" s="19">
        <v>2022</v>
      </c>
      <c r="B18" s="19" t="s">
        <v>90</v>
      </c>
      <c r="C18" s="19" t="s">
        <v>100</v>
      </c>
    </row>
    <row r="19" spans="1:3" ht="21.75" customHeight="1" x14ac:dyDescent="0.2">
      <c r="A19" s="19">
        <v>2025</v>
      </c>
      <c r="B19" s="19" t="s">
        <v>95</v>
      </c>
      <c r="C19" s="19" t="s">
        <v>101</v>
      </c>
    </row>
    <row r="20" spans="1:3" ht="21.75" customHeight="1" x14ac:dyDescent="0.2">
      <c r="A20" s="19">
        <v>2032</v>
      </c>
      <c r="B20" s="19" t="s">
        <v>90</v>
      </c>
      <c r="C20" s="19" t="s">
        <v>102</v>
      </c>
    </row>
    <row r="21" spans="1:3" ht="21.75" customHeight="1" x14ac:dyDescent="0.2">
      <c r="A21" s="19">
        <v>2034</v>
      </c>
      <c r="B21" s="19" t="s">
        <v>90</v>
      </c>
      <c r="C21" s="19" t="s">
        <v>103</v>
      </c>
    </row>
    <row r="22" spans="1:3" ht="21.75" customHeight="1" x14ac:dyDescent="0.2">
      <c r="A22" s="19">
        <v>2037</v>
      </c>
      <c r="B22" s="19" t="s">
        <v>95</v>
      </c>
      <c r="C22" s="19" t="s">
        <v>104</v>
      </c>
    </row>
    <row r="23" spans="1:3" ht="21.75" customHeight="1" x14ac:dyDescent="0.2">
      <c r="A23" s="19">
        <v>4010</v>
      </c>
      <c r="B23" s="19" t="s">
        <v>105</v>
      </c>
      <c r="C23" s="19" t="s">
        <v>106</v>
      </c>
    </row>
    <row r="24" spans="1:3" ht="21.75" customHeight="1" x14ac:dyDescent="0.2">
      <c r="A24" s="19">
        <v>4017</v>
      </c>
      <c r="B24" s="19" t="s">
        <v>105</v>
      </c>
      <c r="C24" s="19" t="s">
        <v>97</v>
      </c>
    </row>
    <row r="25" spans="1:3" ht="21.75" customHeight="1" x14ac:dyDescent="0.2">
      <c r="A25" s="19">
        <v>5006</v>
      </c>
      <c r="B25" s="19" t="s">
        <v>107</v>
      </c>
      <c r="C25" s="19" t="s">
        <v>108</v>
      </c>
    </row>
    <row r="26" spans="1:3" ht="21.75" customHeight="1" x14ac:dyDescent="0.2">
      <c r="A26" s="19">
        <v>5007</v>
      </c>
      <c r="B26" s="19" t="s">
        <v>107</v>
      </c>
      <c r="C26" s="19" t="s">
        <v>109</v>
      </c>
    </row>
    <row r="27" spans="1:3" ht="21.75" customHeight="1" x14ac:dyDescent="0.2">
      <c r="A27" s="19">
        <v>5011</v>
      </c>
      <c r="B27" s="19" t="s">
        <v>107</v>
      </c>
      <c r="C27" s="19" t="s">
        <v>110</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Xpert Site Summary Report</vt:lpstr>
      <vt:lpstr>Xpert Site Inventory</vt:lpstr>
      <vt:lpstr>Xpert Site Errors by Devices</vt:lpstr>
      <vt:lpstr>Error 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 Cowan</dc:creator>
  <dc:description/>
  <cp:lastModifiedBy>Microsoft Office User</cp:lastModifiedBy>
  <cp:revision>4</cp:revision>
  <dcterms:created xsi:type="dcterms:W3CDTF">2014-04-20T08:25:13Z</dcterms:created>
  <dcterms:modified xsi:type="dcterms:W3CDTF">2023-10-25T18:48:37Z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b0419eab-85b6-4632-a7d8-1d756f68f49e</vt:lpwstr>
  </property>
</Properties>
</file>