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eneXpert Devices" sheetId="1" state="visible" r:id="rId2"/>
    <sheet name="GeneXpert Inventory by Site" sheetId="2" state="visible" r:id="rId3"/>
    <sheet name="GeneXpert Errors by Devices" sheetId="3" state="visible" r:id="rId4"/>
    <sheet name="Error Codes"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<sst xmlns="http://schemas.openxmlformats.org/spreadsheetml/2006/main" count="150" uniqueCount="115">
  <si>
    <t xml:space="preserve">GeneXpert Devices</t>
  </si>
  <si>
    <t xml:space="preserve">Dates: &lt;Dates&gt;</t>
  </si>
  <si>
    <r>
      <rPr>
        <sz val="12"/>
        <color rgb="FF000000"/>
        <rFont val="Calibri"/>
        <family val="2"/>
        <charset val="1"/>
      </rPr>
      <t xml:space="preserve">Notes
</t>
    </r>
    <r>
      <rPr>
        <i val="true"/>
        <sz val="12"/>
        <color rgb="FF000000"/>
        <rFont val="Calibri"/>
        <family val="2"/>
        <charset val="1"/>
      </rPr>
      <t xml:space="preserve">The result categories are represented by all the possible result combinations that GeneXpert sends to Aspect. For example, MTB Detected does not include MTB Detected Rif Detected, as they are considered different results</t>
    </r>
  </si>
  <si>
    <t xml:space="preserve">&lt;StatesLabel&gt;: &lt;States&gt;</t>
  </si>
  <si>
    <t xml:space="preserve">&lt;LgasLabel&gt;: &lt;Lgas&gt;</t>
  </si>
  <si>
    <t xml:space="preserve">&lt;SitesLabel&gt;: &lt;Sites&gt;</t>
  </si>
  <si>
    <t xml:space="preserve">&lt;AssaysLabel&gt;: &lt;Assays&gt;</t>
  </si>
  <si>
    <t xml:space="preserve">&lt;Table&gt;</t>
  </si>
  <si>
    <t xml:space="preserve">Device</t>
  </si>
  <si>
    <t xml:space="preserve">State</t>
  </si>
  <si>
    <t xml:space="preserve">District</t>
  </si>
  <si>
    <t xml:space="preserve">Serial</t>
  </si>
  <si>
    <t xml:space="preserve">Instrument Serial</t>
  </si>
  <si>
    <t xml:space="preserve">Last Upload</t>
  </si>
  <si>
    <t xml:space="preserve">Status</t>
  </si>
  <si>
    <t xml:space="preserve">Status Notes</t>
  </si>
  <si>
    <t xml:space="preserve">Last Ping On</t>
  </si>
  <si>
    <t xml:space="preserve">Last Ping From</t>
  </si>
  <si>
    <t xml:space="preserve">Information Below as of</t>
  </si>
  <si>
    <t xml:space="preserve">Operating System</t>
  </si>
  <si>
    <t xml:space="preserve">Time Zone</t>
  </si>
  <si>
    <t xml:space="preserve">Language / Region</t>
  </si>
  <si>
    <t xml:space="preserve">GxConnect Version</t>
  </si>
  <si>
    <t xml:space="preserve">Device Found?</t>
  </si>
  <si>
    <t xml:space="preserve">LIS Configured Correctly?</t>
  </si>
  <si>
    <t xml:space="preserve">GeneXpert Installation Date</t>
  </si>
  <si>
    <t xml:space="preserve">Total</t>
  </si>
  <si>
    <t xml:space="preserve">Other</t>
  </si>
  <si>
    <t xml:space="preserve">&lt;name&gt;</t>
  </si>
  <si>
    <t xml:space="preserve">&lt;stateName&gt;</t>
  </si>
  <si>
    <t xml:space="preserve">&lt;districtName&gt;</t>
  </si>
  <si>
    <t xml:space="preserve">&lt;serial&gt;</t>
  </si>
  <si>
    <t xml:space="preserve">&lt;instrumentSerial&gt;</t>
  </si>
  <si>
    <t xml:space="preserve">&lt;lastUploadOn&gt;</t>
  </si>
  <si>
    <t xml:space="preserve">&lt;status&gt;</t>
  </si>
  <si>
    <t xml:space="preserve">&lt;statusNote&gt;</t>
  </si>
  <si>
    <t xml:space="preserve">&lt;lastPingOn&gt;</t>
  </si>
  <si>
    <t xml:space="preserve">&lt;lastPingFrom&gt;</t>
  </si>
  <si>
    <t xml:space="preserve">&lt;informationDate&gt;</t>
  </si>
  <si>
    <t xml:space="preserve">&lt;operativeSystem&gt;</t>
  </si>
  <si>
    <t xml:space="preserve">&lt;timeZone&gt;</t>
  </si>
  <si>
    <t xml:space="preserve">&lt;language&gt;</t>
  </si>
  <si>
    <t xml:space="preserve">&lt;gxConnectVersion&gt;</t>
  </si>
  <si>
    <t xml:space="preserve">&lt;deviceFound&gt;</t>
  </si>
  <si>
    <t xml:space="preserve">&lt;lisConfiguredCorrectly&gt;</t>
  </si>
  <si>
    <t xml:space="preserve">&lt;instalationDate&gt;</t>
  </si>
  <si>
    <t xml:space="preserve">&lt;totalXpertTests&gt;</t>
  </si>
  <si>
    <t xml:space="preserve">&lt;totalOtherTests&gt;</t>
  </si>
  <si>
    <t xml:space="preserve">GeneXpert Inventory by Site</t>
  </si>
  <si>
    <t xml:space="preserve">Notes: this report only includes the consumables that were sometime tracked on the sites</t>
  </si>
  <si>
    <t xml:space="preserve">Site</t>
  </si>
  <si>
    <t xml:space="preserve">Consumable</t>
  </si>
  <si>
    <t xml:space="preserve">Daily Consumption Rate</t>
  </si>
  <si>
    <t xml:space="preserve">Projected Annual Consumption</t>
  </si>
  <si>
    <t xml:space="preserve">Quantity On Hand</t>
  </si>
  <si>
    <t xml:space="preserve">Quantity On Hand but Expired</t>
  </si>
  <si>
    <t xml:space="preserve">Days Stock Left</t>
  </si>
  <si>
    <t xml:space="preserve">Projected Waste</t>
  </si>
  <si>
    <t xml:space="preserve">&lt;siteName&gt;</t>
  </si>
  <si>
    <t xml:space="preserve">&lt;consumableName&gt;</t>
  </si>
  <si>
    <t xml:space="preserve">&lt;dailyConsumptionRate&gt;</t>
  </si>
  <si>
    <t xml:space="preserve">&lt;projectedAnnualConsumption&gt;</t>
  </si>
  <si>
    <t xml:space="preserve">&lt;quantityOnHand&gt;</t>
  </si>
  <si>
    <t xml:space="preserve">&lt;quantityExpired&gt;</t>
  </si>
  <si>
    <t xml:space="preserve">&lt;daysStockLeft&gt;</t>
  </si>
  <si>
    <t xml:space="preserve">&lt;projectedWaste&gt;</t>
  </si>
  <si>
    <t xml:space="preserve">GeneXpert Errors by Devices</t>
  </si>
  <si>
    <t xml:space="preserve">Type of error</t>
  </si>
  <si>
    <t xml:space="preserve">Invalid results, no results</t>
  </si>
  <si>
    <t xml:space="preserve">Total errors, invalid results, no results</t>
  </si>
  <si>
    <t xml:space="preserve">Other Error</t>
  </si>
  <si>
    <t xml:space="preserve">&lt;deviceName&gt;</t>
  </si>
  <si>
    <t xml:space="preserve">&lt;5011&gt;</t>
  </si>
  <si>
    <t xml:space="preserve">&lt;5007&gt;</t>
  </si>
  <si>
    <t xml:space="preserve">&lt;5006&gt;</t>
  </si>
  <si>
    <t xml:space="preserve">&lt;2008&gt;</t>
  </si>
  <si>
    <t xml:space="preserve">&lt;2005&gt;</t>
  </si>
  <si>
    <t xml:space="preserve">&lt;2037&gt;</t>
  </si>
  <si>
    <t xml:space="preserve">&lt;2025&gt;</t>
  </si>
  <si>
    <t xml:space="preserve">&lt;2022&gt;</t>
  </si>
  <si>
    <t xml:space="preserve">&lt;otherErrors&gt;</t>
  </si>
  <si>
    <t xml:space="preserve">&lt;invalidResults&gt;</t>
  </si>
  <si>
    <t xml:space="preserve">Code</t>
  </si>
  <si>
    <t xml:space="preserve">Category</t>
  </si>
  <si>
    <t xml:space="preserve">Description</t>
  </si>
  <si>
    <t xml:space="preserve">Run-time error</t>
  </si>
  <si>
    <t xml:space="preserve">The actual temperature has drifted too far away from the setpoint</t>
  </si>
  <si>
    <t xml:space="preserve">The temperature difference exceeds the limit</t>
  </si>
  <si>
    <t xml:space="preserve">The internal instrument temperature was out of range</t>
  </si>
  <si>
    <t xml:space="preserve">Optic signal of from detector exceeded the limit</t>
  </si>
  <si>
    <t xml:space="preserve">Detector dark signal exceeded the limit</t>
  </si>
  <si>
    <t xml:space="preserve">The power supply was detected to be out of range</t>
  </si>
  <si>
    <t xml:space="preserve">The measured temperature of the optical system was not within the acceptable range</t>
  </si>
  <si>
    <t xml:space="preserve">A valve positioning error was detected at the end of the run</t>
  </si>
  <si>
    <t xml:space="preserve">Operation terminated error</t>
  </si>
  <si>
    <t xml:space="preserve">Module is already running a test while performing command</t>
  </si>
  <si>
    <t xml:space="preserve">Motion of the syringe drive was not detected</t>
  </si>
  <si>
    <t xml:space="preserve">Syringe pressure reading exceeds the protocol limit</t>
  </si>
  <si>
    <t xml:space="preserve">Syringe pressure reading is below the protocol limit</t>
  </si>
  <si>
    <t xml:space="preserve">Cartridge loading error</t>
  </si>
  <si>
    <t xml:space="preserve">Unable to initialize pressure sensor</t>
  </si>
  <si>
    <t xml:space="preserve">The digital temperature reading for Thermistor A/Thermistor B/Ambient Thermistor/Optic Thermistor was not within the acceptable range</t>
  </si>
  <si>
    <t xml:space="preserve">The system was unable to find the valve home position</t>
  </si>
  <si>
    <t xml:space="preserve">Attempt to load a cartridge while the door is still closed</t>
  </si>
  <si>
    <t xml:space="preserve">Failed to get to desired temperature</t>
  </si>
  <si>
    <t xml:space="preserve">The system failed to find the plunger home position</t>
  </si>
  <si>
    <t xml:space="preserve">The ultrasonic horn could not be tuned properly</t>
  </si>
  <si>
    <t xml:space="preserve">The optical signal from Detector did not reach the expected value</t>
  </si>
  <si>
    <t xml:space="preserve">The cartridge integrity test failed</t>
  </si>
  <si>
    <t xml:space="preserve">Self-test error</t>
  </si>
  <si>
    <t xml:space="preserve">Cooling fan operation was not verified. Measured temperature exceeded the limit</t>
  </si>
  <si>
    <t xml:space="preserve">Post-run analysis error</t>
  </si>
  <si>
    <t xml:space="preserve">Probe check failed. Probe check value was above the maximum</t>
  </si>
  <si>
    <t xml:space="preserve">Probe check failed. Probe check value was below the minimum</t>
  </si>
  <si>
    <t xml:space="preserve">Signal loss detected in the amplification curve</t>
  </si>
</sst>
</file>

<file path=xl/styles.xml><?xml version="1.0" encoding="utf-8"?>
<styleSheet xmlns="http://schemas.openxmlformats.org/spreadsheetml/2006/main">
  <numFmts count="4">
    <numFmt numFmtId="164" formatCode="General"/>
    <numFmt numFmtId="165" formatCode="[$-409]mmmm\ d&quot;, &quot;yyyy;@"/>
    <numFmt numFmtId="166" formatCode="yyyy\-mm\-dd\ hh:mm"/>
    <numFmt numFmtId="167" formatCode="m/d/yyyy"/>
  </numFmts>
  <fonts count="8">
    <font>
      <sz val="12"/>
      <color rgb="FF000000"/>
      <name val="Calibri"/>
      <family val="2"/>
      <charset val="1"/>
    </font>
    <font>
      <sz val="10"/>
      <name val="Arial"/>
      <family val="0"/>
    </font>
    <font>
      <sz val="10"/>
      <name val="Arial"/>
      <family val="0"/>
    </font>
    <font>
      <sz val="10"/>
      <name val="Arial"/>
      <family val="0"/>
    </font>
    <font>
      <b val="true"/>
      <sz val="16"/>
      <color rgb="FF000000"/>
      <name val="Calibri"/>
      <family val="2"/>
      <charset val="1"/>
    </font>
    <font>
      <i val="true"/>
      <sz val="12"/>
      <color rgb="FF000000"/>
      <name val="Calibri"/>
      <family val="2"/>
      <charset val="1"/>
    </font>
    <font>
      <b val="true"/>
      <sz val="12"/>
      <name val="Calibri"/>
      <family val="2"/>
      <charset val="1"/>
    </font>
    <font>
      <b val="true"/>
      <sz val="12"/>
      <color rgb="FF000000"/>
      <name val="Calibri"/>
      <family val="2"/>
      <charset val="1"/>
    </font>
  </fonts>
  <fills count="3">
    <fill>
      <patternFill patternType="none"/>
    </fill>
    <fill>
      <patternFill patternType="gray125"/>
    </fill>
    <fill>
      <patternFill patternType="solid">
        <fgColor rgb="FF3CC0DD"/>
        <bgColor rgb="FF00CCFF"/>
      </patternFill>
    </fill>
  </fills>
  <borders count="4">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style="thin"/>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6" fontId="6" fillId="2" borderId="1" xfId="0" applyFont="true" applyBorder="tru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left" vertical="bottom" textRotation="0" wrapText="false" indent="0" shrinkToFit="false"/>
      <protection locked="true" hidden="false"/>
    </xf>
    <xf numFmtId="167" fontId="0"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5" fontId="0" fillId="0" borderId="2"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7" fillId="2" borderId="2" xfId="0" applyFont="true" applyBorder="true" applyAlignment="true" applyProtection="false">
      <alignment horizontal="left" vertical="center" textRotation="0" wrapText="true" indent="0" shrinkToFit="false"/>
      <protection locked="true" hidden="false"/>
    </xf>
    <xf numFmtId="164" fontId="7" fillId="2" borderId="2" xfId="0" applyFont="true" applyBorder="true" applyAlignment="true" applyProtection="false">
      <alignment horizontal="center" vertical="bottom" textRotation="0" wrapText="false" indent="0" shrinkToFit="false"/>
      <protection locked="true" hidden="false"/>
    </xf>
    <xf numFmtId="164" fontId="7" fillId="2" borderId="2" xfId="0" applyFont="true" applyBorder="tru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CC0DD"/>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T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2" activeCellId="0" sqref="E2"/>
    </sheetView>
  </sheetViews>
  <sheetFormatPr defaultColWidth="11.21484375" defaultRowHeight="15" zeroHeight="false" outlineLevelRow="0" outlineLevelCol="0"/>
  <cols>
    <col collapsed="false" customWidth="true" hidden="false" outlineLevel="0" max="3" min="1" style="0" width="27"/>
    <col collapsed="false" customWidth="true" hidden="false" outlineLevel="0" max="4" min="4" style="0" width="15.2"/>
    <col collapsed="false" customWidth="true" hidden="false" outlineLevel="0" max="5" min="5" style="0" width="31.06"/>
    <col collapsed="false" customWidth="true" hidden="false" outlineLevel="0" max="9" min="6" style="0" width="19"/>
    <col collapsed="false" customWidth="true" hidden="false" outlineLevel="0" max="10" min="10" style="1" width="14.7"/>
    <col collapsed="false" customWidth="true" hidden="false" outlineLevel="0" max="11" min="11" style="2" width="14.4"/>
    <col collapsed="false" customWidth="true" hidden="false" outlineLevel="0" max="14" min="12" style="1" width="14.4"/>
    <col collapsed="false" customWidth="true" hidden="false" outlineLevel="0" max="15" min="15" style="1" width="13.2"/>
    <col collapsed="false" customWidth="true" hidden="false" outlineLevel="0" max="16" min="16" style="1" width="10.5"/>
    <col collapsed="false" customWidth="true" hidden="false" outlineLevel="0" max="17" min="17" style="1" width="18.29"/>
    <col collapsed="false" customWidth="true" hidden="false" outlineLevel="0" max="18" min="18" style="2" width="11"/>
    <col collapsed="false" customWidth="true" hidden="false" outlineLevel="0" max="19" min="19" style="0" width="14"/>
    <col collapsed="false" customWidth="true" hidden="false" outlineLevel="0" max="1024" min="1015" style="0" width="9.3"/>
  </cols>
  <sheetData>
    <row r="1" customFormat="false" ht="21" hidden="false" customHeight="false" outlineLevel="0" collapsed="false">
      <c r="A1" s="3" t="s">
        <v>0</v>
      </c>
      <c r="B1" s="3"/>
      <c r="C1" s="3"/>
      <c r="D1" s="3"/>
      <c r="E1" s="3"/>
    </row>
    <row r="2" customFormat="false" ht="15" hidden="false" customHeight="true" outlineLevel="0" collapsed="false">
      <c r="A2" s="0" t="s">
        <v>1</v>
      </c>
      <c r="E2" s="4" t="s">
        <v>2</v>
      </c>
    </row>
    <row r="3" customFormat="false" ht="34.5" hidden="false" customHeight="true" outlineLevel="0" collapsed="false">
      <c r="A3" s="0" t="s">
        <v>3</v>
      </c>
      <c r="C3" s="5"/>
      <c r="D3" s="5"/>
      <c r="E3" s="4"/>
    </row>
    <row r="4" customFormat="false" ht="15" hidden="false" customHeight="false" outlineLevel="0" collapsed="false">
      <c r="A4" s="0" t="s">
        <v>4</v>
      </c>
      <c r="E4" s="4"/>
    </row>
    <row r="5" customFormat="false" ht="17.9" hidden="false" customHeight="false" outlineLevel="0" collapsed="false">
      <c r="A5" s="6" t="s">
        <v>5</v>
      </c>
      <c r="E5" s="4"/>
    </row>
    <row r="6" customFormat="false" ht="15" hidden="false" customHeight="false" outlineLevel="0" collapsed="false">
      <c r="A6" s="0" t="s">
        <v>6</v>
      </c>
      <c r="E6" s="4"/>
    </row>
    <row r="7" customFormat="false" ht="57.45" hidden="false" customHeight="true" outlineLevel="0" collapsed="false">
      <c r="E7" s="4"/>
    </row>
    <row r="8" customFormat="false" ht="42" hidden="false" customHeight="true" outlineLevel="0" collapsed="false">
      <c r="A8" s="0" t="s">
        <v>7</v>
      </c>
      <c r="C8" s="7"/>
      <c r="D8" s="6"/>
    </row>
    <row r="9" s="10" customFormat="true" ht="67.5" hidden="false" customHeight="true" outlineLevel="0" collapsed="false">
      <c r="A9" s="8" t="s">
        <v>8</v>
      </c>
      <c r="B9" s="8" t="s">
        <v>9</v>
      </c>
      <c r="C9" s="8" t="s">
        <v>10</v>
      </c>
      <c r="D9" s="8" t="s">
        <v>11</v>
      </c>
      <c r="E9" s="8" t="s">
        <v>12</v>
      </c>
      <c r="F9" s="8" t="s">
        <v>13</v>
      </c>
      <c r="G9" s="8" t="s">
        <v>14</v>
      </c>
      <c r="H9" s="8" t="s">
        <v>15</v>
      </c>
      <c r="I9" s="8" t="s">
        <v>16</v>
      </c>
      <c r="J9" s="8" t="s">
        <v>17</v>
      </c>
      <c r="K9" s="9" t="s">
        <v>18</v>
      </c>
      <c r="L9" s="9" t="s">
        <v>19</v>
      </c>
      <c r="M9" s="9" t="s">
        <v>20</v>
      </c>
      <c r="N9" s="9" t="s">
        <v>21</v>
      </c>
      <c r="O9" s="9" t="s">
        <v>22</v>
      </c>
      <c r="P9" s="9" t="s">
        <v>23</v>
      </c>
      <c r="Q9" s="9" t="s">
        <v>24</v>
      </c>
      <c r="R9" s="9" t="s">
        <v>25</v>
      </c>
      <c r="S9" s="8" t="s">
        <v>26</v>
      </c>
      <c r="T9" s="8" t="s">
        <v>27</v>
      </c>
    </row>
    <row r="10" customFormat="false" ht="15" hidden="false" customHeight="false" outlineLevel="0" collapsed="false">
      <c r="A10" s="11" t="s">
        <v>28</v>
      </c>
      <c r="B10" s="11" t="s">
        <v>29</v>
      </c>
      <c r="C10" s="12" t="s">
        <v>30</v>
      </c>
      <c r="D10" s="11" t="s">
        <v>31</v>
      </c>
      <c r="E10" s="11" t="s">
        <v>32</v>
      </c>
      <c r="F10" s="13" t="s">
        <v>33</v>
      </c>
      <c r="G10" s="14" t="s">
        <v>34</v>
      </c>
      <c r="H10" s="14" t="s">
        <v>35</v>
      </c>
      <c r="I10" s="13" t="s">
        <v>36</v>
      </c>
      <c r="J10" s="15" t="s">
        <v>37</v>
      </c>
      <c r="K10" s="16" t="s">
        <v>38</v>
      </c>
      <c r="L10" s="15" t="s">
        <v>39</v>
      </c>
      <c r="M10" s="15" t="s">
        <v>40</v>
      </c>
      <c r="N10" s="15" t="s">
        <v>41</v>
      </c>
      <c r="O10" s="15" t="s">
        <v>42</v>
      </c>
      <c r="P10" s="15" t="s">
        <v>43</v>
      </c>
      <c r="Q10" s="15" t="s">
        <v>44</v>
      </c>
      <c r="R10" s="16" t="s">
        <v>45</v>
      </c>
      <c r="S10" s="11" t="s">
        <v>46</v>
      </c>
      <c r="T10" s="11" t="s">
        <v>47</v>
      </c>
    </row>
    <row r="12" customFormat="false" ht="15" hidden="false" customHeight="false" outlineLevel="0" collapsed="false">
      <c r="A12" s="17"/>
      <c r="B12" s="17"/>
      <c r="C12" s="17"/>
      <c r="D12" s="17"/>
      <c r="E12" s="17"/>
    </row>
  </sheetData>
  <mergeCells count="2">
    <mergeCell ref="E2:E7"/>
    <mergeCell ref="C3:D3"/>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ColWidth="8.61328125" defaultRowHeight="15" zeroHeight="false" outlineLevelRow="0" outlineLevelCol="0"/>
  <cols>
    <col collapsed="false" customWidth="true" hidden="false" outlineLevel="0" max="1" min="1" style="0" width="21.8"/>
    <col collapsed="false" customWidth="true" hidden="false" outlineLevel="0" max="2" min="2" style="0" width="17.4"/>
    <col collapsed="false" customWidth="true" hidden="false" outlineLevel="0" max="3" min="3" style="0" width="21.1"/>
    <col collapsed="false" customWidth="true" hidden="false" outlineLevel="0" max="4" min="4" style="0" width="27.2"/>
    <col collapsed="false" customWidth="true" hidden="false" outlineLevel="0" max="5" min="5" style="0" width="16.1"/>
    <col collapsed="false" customWidth="true" hidden="false" outlineLevel="0" max="6" min="6" style="0" width="25.7"/>
    <col collapsed="false" customWidth="true" hidden="false" outlineLevel="0" max="7" min="7" style="0" width="13.8"/>
    <col collapsed="false" customWidth="true" hidden="false" outlineLevel="0" max="8" min="8" style="0" width="15.7"/>
  </cols>
  <sheetData>
    <row r="1" customFormat="false" ht="21" hidden="false" customHeight="false" outlineLevel="0" collapsed="false">
      <c r="A1" s="18" t="s">
        <v>48</v>
      </c>
      <c r="B1" s="3"/>
      <c r="C1" s="3"/>
      <c r="D1" s="3"/>
    </row>
    <row r="2" customFormat="false" ht="15" hidden="false" customHeight="false" outlineLevel="0" collapsed="false">
      <c r="A2" s="0" t="s">
        <v>1</v>
      </c>
      <c r="C2" s="19" t="s">
        <v>49</v>
      </c>
      <c r="D2" s="19"/>
      <c r="E2" s="19"/>
      <c r="F2" s="19"/>
      <c r="G2" s="19"/>
    </row>
    <row r="3" customFormat="false" ht="15" hidden="false" customHeight="true" outlineLevel="0" collapsed="false">
      <c r="A3" s="0" t="s">
        <v>3</v>
      </c>
    </row>
    <row r="4" customFormat="false" ht="15" hidden="false" customHeight="false" outlineLevel="0" collapsed="false">
      <c r="A4" s="20" t="s">
        <v>4</v>
      </c>
    </row>
    <row r="5" customFormat="false" ht="15" hidden="false" customHeight="false" outlineLevel="0" collapsed="false">
      <c r="A5" s="20" t="s">
        <v>5</v>
      </c>
    </row>
    <row r="6" customFormat="false" ht="15" hidden="false" customHeight="false" outlineLevel="0" collapsed="false">
      <c r="A6" s="0" t="s">
        <v>6</v>
      </c>
      <c r="C6" s="7"/>
      <c r="D6" s="6"/>
    </row>
    <row r="7" customFormat="false" ht="15" hidden="false" customHeight="false" outlineLevel="0" collapsed="false">
      <c r="A7" s="0" t="s">
        <v>7</v>
      </c>
      <c r="C7" s="7"/>
      <c r="D7" s="6"/>
    </row>
    <row r="8" customFormat="false" ht="54" hidden="false" customHeight="true" outlineLevel="0" collapsed="false">
      <c r="A8" s="8" t="s">
        <v>50</v>
      </c>
      <c r="B8" s="8" t="s">
        <v>51</v>
      </c>
      <c r="C8" s="8" t="s">
        <v>52</v>
      </c>
      <c r="D8" s="8" t="s">
        <v>53</v>
      </c>
      <c r="E8" s="8" t="s">
        <v>54</v>
      </c>
      <c r="F8" s="8" t="s">
        <v>55</v>
      </c>
      <c r="G8" s="8" t="s">
        <v>56</v>
      </c>
      <c r="H8" s="8" t="s">
        <v>57</v>
      </c>
    </row>
    <row r="9" customFormat="false" ht="15" hidden="false" customHeight="false" outlineLevel="0" collapsed="false">
      <c r="A9" s="11" t="s">
        <v>58</v>
      </c>
      <c r="B9" s="11" t="s">
        <v>59</v>
      </c>
      <c r="C9" s="12" t="s">
        <v>60</v>
      </c>
      <c r="D9" s="11" t="s">
        <v>61</v>
      </c>
      <c r="E9" s="11" t="s">
        <v>62</v>
      </c>
      <c r="F9" s="11" t="s">
        <v>63</v>
      </c>
      <c r="G9" s="11" t="s">
        <v>64</v>
      </c>
      <c r="H9" s="11" t="s">
        <v>65</v>
      </c>
    </row>
  </sheetData>
  <mergeCells count="1">
    <mergeCell ref="C2:G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8.61328125" defaultRowHeight="15" zeroHeight="false" outlineLevelRow="0" outlineLevelCol="0"/>
  <cols>
    <col collapsed="false" customWidth="true" hidden="false" outlineLevel="0" max="1" min="1" style="0" width="33.1"/>
    <col collapsed="false" customWidth="true" hidden="false" outlineLevel="0" max="9" min="2" style="1" width="8.8"/>
    <col collapsed="false" customWidth="true" hidden="false" outlineLevel="0" max="10" min="10" style="1" width="12.3"/>
    <col collapsed="false" customWidth="true" hidden="false" outlineLevel="0" max="11" min="11" style="1" width="14.3"/>
    <col collapsed="false" customWidth="true" hidden="false" outlineLevel="0" max="12" min="12" style="1" width="15.5"/>
  </cols>
  <sheetData>
    <row r="1" customFormat="false" ht="21" hidden="false" customHeight="false" outlineLevel="0" collapsed="false">
      <c r="A1" s="3" t="s">
        <v>66</v>
      </c>
    </row>
    <row r="2" customFormat="false" ht="15" hidden="false" customHeight="false" outlineLevel="0" collapsed="false">
      <c r="A2" s="0" t="s">
        <v>1</v>
      </c>
    </row>
    <row r="3" customFormat="false" ht="15" hidden="false" customHeight="false" outlineLevel="0" collapsed="false">
      <c r="A3" s="0" t="s">
        <v>3</v>
      </c>
    </row>
    <row r="4" customFormat="false" ht="15" hidden="false" customHeight="false" outlineLevel="0" collapsed="false">
      <c r="A4" s="20" t="s">
        <v>4</v>
      </c>
    </row>
    <row r="5" customFormat="false" ht="15" hidden="false" customHeight="false" outlineLevel="0" collapsed="false">
      <c r="A5" s="20" t="s">
        <v>5</v>
      </c>
    </row>
    <row r="6" customFormat="false" ht="15" hidden="false" customHeight="false" outlineLevel="0" collapsed="false">
      <c r="A6" s="0" t="s">
        <v>6</v>
      </c>
    </row>
    <row r="7" customFormat="false" ht="15" hidden="false" customHeight="false" outlineLevel="0" collapsed="false">
      <c r="A7" s="21" t="s">
        <v>7</v>
      </c>
      <c r="B7" s="1" t="n">
        <v>2</v>
      </c>
    </row>
    <row r="8" customFormat="false" ht="15" hidden="false" customHeight="true" outlineLevel="0" collapsed="false">
      <c r="A8" s="22" t="s">
        <v>8</v>
      </c>
      <c r="B8" s="23" t="s">
        <v>67</v>
      </c>
      <c r="C8" s="23"/>
      <c r="D8" s="23"/>
      <c r="E8" s="23"/>
      <c r="F8" s="23"/>
      <c r="G8" s="23"/>
      <c r="H8" s="23"/>
      <c r="I8" s="23"/>
      <c r="J8" s="23"/>
      <c r="K8" s="24" t="s">
        <v>68</v>
      </c>
      <c r="L8" s="24" t="s">
        <v>69</v>
      </c>
    </row>
    <row r="9" customFormat="false" ht="31.5" hidden="false" customHeight="true" outlineLevel="0" collapsed="false">
      <c r="A9" s="22"/>
      <c r="B9" s="23" t="n">
        <v>5011</v>
      </c>
      <c r="C9" s="23" t="n">
        <v>5007</v>
      </c>
      <c r="D9" s="23" t="n">
        <v>5006</v>
      </c>
      <c r="E9" s="23" t="n">
        <v>2008</v>
      </c>
      <c r="F9" s="23" t="n">
        <v>2005</v>
      </c>
      <c r="G9" s="23" t="n">
        <v>2037</v>
      </c>
      <c r="H9" s="23" t="n">
        <v>2025</v>
      </c>
      <c r="I9" s="23" t="n">
        <v>2022</v>
      </c>
      <c r="J9" s="23" t="s">
        <v>70</v>
      </c>
      <c r="K9" s="24"/>
      <c r="L9" s="24"/>
    </row>
    <row r="10" customFormat="false" ht="15" hidden="false" customHeight="false" outlineLevel="0" collapsed="false">
      <c r="A10" s="20" t="s">
        <v>71</v>
      </c>
      <c r="B10" s="1" t="s">
        <v>72</v>
      </c>
      <c r="C10" s="1" t="s">
        <v>73</v>
      </c>
      <c r="D10" s="1" t="s">
        <v>74</v>
      </c>
      <c r="E10" s="1" t="s">
        <v>75</v>
      </c>
      <c r="F10" s="1" t="s">
        <v>76</v>
      </c>
      <c r="G10" s="1" t="s">
        <v>77</v>
      </c>
      <c r="H10" s="1" t="s">
        <v>78</v>
      </c>
      <c r="I10" s="1" t="s">
        <v>79</v>
      </c>
      <c r="J10" s="1" t="s">
        <v>80</v>
      </c>
      <c r="K10" s="1" t="s">
        <v>81</v>
      </c>
      <c r="L10" s="1" t="e">
        <f aca="false">B10+C10+D10+E10+F10+G10+H10+I10+J10+K10</f>
        <v>#VALUE!</v>
      </c>
    </row>
  </sheetData>
  <mergeCells count="4">
    <mergeCell ref="A8:A9"/>
    <mergeCell ref="B8:J8"/>
    <mergeCell ref="K8:K9"/>
    <mergeCell ref="L8:L9"/>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328125" defaultRowHeight="15" zeroHeight="false" outlineLevelRow="0" outlineLevelCol="0"/>
  <cols>
    <col collapsed="false" customWidth="true" hidden="false" outlineLevel="0" max="1" min="1" style="0" width="5.1"/>
    <col collapsed="false" customWidth="true" hidden="false" outlineLevel="0" max="2" min="2" style="0" width="39.2"/>
    <col collapsed="false" customWidth="true" hidden="false" outlineLevel="0" max="3" min="3" style="0" width="100.6"/>
  </cols>
  <sheetData>
    <row r="1" customFormat="false" ht="21.75" hidden="false" customHeight="true" outlineLevel="0" collapsed="false">
      <c r="A1" s="17" t="s">
        <v>82</v>
      </c>
      <c r="B1" s="17" t="s">
        <v>83</v>
      </c>
      <c r="C1" s="17" t="s">
        <v>84</v>
      </c>
    </row>
    <row r="2" customFormat="false" ht="21.75" hidden="false" customHeight="true" outlineLevel="0" collapsed="false">
      <c r="A2" s="25" t="n">
        <v>1001</v>
      </c>
      <c r="B2" s="25" t="s">
        <v>85</v>
      </c>
      <c r="C2" s="25" t="s">
        <v>86</v>
      </c>
    </row>
    <row r="3" customFormat="false" ht="21.75" hidden="false" customHeight="true" outlineLevel="0" collapsed="false">
      <c r="A3" s="25" t="n">
        <v>1002</v>
      </c>
      <c r="B3" s="25" t="s">
        <v>85</v>
      </c>
      <c r="C3" s="25" t="s">
        <v>87</v>
      </c>
    </row>
    <row r="4" customFormat="false" ht="21.75" hidden="false" customHeight="true" outlineLevel="0" collapsed="false">
      <c r="A4" s="25" t="n">
        <v>1004</v>
      </c>
      <c r="B4" s="25" t="s">
        <v>85</v>
      </c>
      <c r="C4" s="25" t="s">
        <v>88</v>
      </c>
    </row>
    <row r="5" customFormat="false" ht="21.75" hidden="false" customHeight="true" outlineLevel="0" collapsed="false">
      <c r="A5" s="25" t="n">
        <v>1005</v>
      </c>
      <c r="B5" s="25" t="s">
        <v>85</v>
      </c>
      <c r="C5" s="25" t="s">
        <v>89</v>
      </c>
    </row>
    <row r="6" customFormat="false" ht="21.75" hidden="false" customHeight="true" outlineLevel="0" collapsed="false">
      <c r="A6" s="25" t="n">
        <v>1006</v>
      </c>
      <c r="B6" s="25" t="s">
        <v>85</v>
      </c>
      <c r="C6" s="25" t="s">
        <v>90</v>
      </c>
    </row>
    <row r="7" customFormat="false" ht="21.75" hidden="false" customHeight="true" outlineLevel="0" collapsed="false">
      <c r="A7" s="25" t="n">
        <v>1007</v>
      </c>
      <c r="B7" s="25" t="s">
        <v>85</v>
      </c>
      <c r="C7" s="25" t="s">
        <v>91</v>
      </c>
    </row>
    <row r="8" customFormat="false" ht="21.75" hidden="false" customHeight="true" outlineLevel="0" collapsed="false">
      <c r="A8" s="25" t="n">
        <v>1017</v>
      </c>
      <c r="B8" s="25" t="s">
        <v>85</v>
      </c>
      <c r="C8" s="25" t="s">
        <v>92</v>
      </c>
    </row>
    <row r="9" customFormat="false" ht="21.75" hidden="false" customHeight="true" outlineLevel="0" collapsed="false">
      <c r="A9" s="25" t="n">
        <v>1018</v>
      </c>
      <c r="B9" s="25" t="s">
        <v>85</v>
      </c>
      <c r="C9" s="25" t="s">
        <v>93</v>
      </c>
    </row>
    <row r="10" customFormat="false" ht="21.75" hidden="false" customHeight="true" outlineLevel="0" collapsed="false">
      <c r="A10" s="25" t="n">
        <v>2003</v>
      </c>
      <c r="B10" s="25" t="s">
        <v>94</v>
      </c>
      <c r="C10" s="25" t="s">
        <v>95</v>
      </c>
    </row>
    <row r="11" customFormat="false" ht="21.75" hidden="false" customHeight="true" outlineLevel="0" collapsed="false">
      <c r="A11" s="25" t="n">
        <v>2005</v>
      </c>
      <c r="B11" s="25" t="s">
        <v>94</v>
      </c>
      <c r="C11" s="25" t="s">
        <v>96</v>
      </c>
    </row>
    <row r="12" customFormat="false" ht="21.75" hidden="false" customHeight="true" outlineLevel="0" collapsed="false">
      <c r="A12" s="25" t="n">
        <v>2008</v>
      </c>
      <c r="B12" s="25" t="s">
        <v>94</v>
      </c>
      <c r="C12" s="25" t="s">
        <v>97</v>
      </c>
    </row>
    <row r="13" customFormat="false" ht="21.75" hidden="false" customHeight="true" outlineLevel="0" collapsed="false">
      <c r="A13" s="25" t="n">
        <v>2009</v>
      </c>
      <c r="B13" s="25" t="s">
        <v>94</v>
      </c>
      <c r="C13" s="25" t="s">
        <v>98</v>
      </c>
    </row>
    <row r="14" customFormat="false" ht="21.75" hidden="false" customHeight="true" outlineLevel="0" collapsed="false">
      <c r="A14" s="25" t="n">
        <v>2011</v>
      </c>
      <c r="B14" s="25" t="s">
        <v>99</v>
      </c>
      <c r="C14" s="25" t="s">
        <v>100</v>
      </c>
    </row>
    <row r="15" customFormat="false" ht="21.75" hidden="false" customHeight="true" outlineLevel="0" collapsed="false">
      <c r="A15" s="25" t="n">
        <v>2014</v>
      </c>
      <c r="B15" s="25" t="s">
        <v>94</v>
      </c>
      <c r="C15" s="25" t="s">
        <v>101</v>
      </c>
    </row>
    <row r="16" customFormat="false" ht="21.75" hidden="false" customHeight="true" outlineLevel="0" collapsed="false">
      <c r="A16" s="25" t="n">
        <v>2016</v>
      </c>
      <c r="B16" s="25" t="s">
        <v>94</v>
      </c>
      <c r="C16" s="25" t="s">
        <v>102</v>
      </c>
    </row>
    <row r="17" customFormat="false" ht="21.75" hidden="false" customHeight="true" outlineLevel="0" collapsed="false">
      <c r="A17" s="25" t="n">
        <v>2018</v>
      </c>
      <c r="B17" s="25" t="s">
        <v>99</v>
      </c>
      <c r="C17" s="25" t="s">
        <v>103</v>
      </c>
    </row>
    <row r="18" customFormat="false" ht="21.75" hidden="false" customHeight="true" outlineLevel="0" collapsed="false">
      <c r="A18" s="25" t="n">
        <v>2022</v>
      </c>
      <c r="B18" s="25" t="s">
        <v>94</v>
      </c>
      <c r="C18" s="25" t="s">
        <v>104</v>
      </c>
    </row>
    <row r="19" customFormat="false" ht="21.75" hidden="false" customHeight="true" outlineLevel="0" collapsed="false">
      <c r="A19" s="25" t="n">
        <v>2025</v>
      </c>
      <c r="B19" s="25" t="s">
        <v>99</v>
      </c>
      <c r="C19" s="25" t="s">
        <v>105</v>
      </c>
    </row>
    <row r="20" customFormat="false" ht="21.75" hidden="false" customHeight="true" outlineLevel="0" collapsed="false">
      <c r="A20" s="25" t="n">
        <v>2032</v>
      </c>
      <c r="B20" s="25" t="s">
        <v>94</v>
      </c>
      <c r="C20" s="25" t="s">
        <v>106</v>
      </c>
    </row>
    <row r="21" customFormat="false" ht="21.75" hidden="false" customHeight="true" outlineLevel="0" collapsed="false">
      <c r="A21" s="25" t="n">
        <v>2034</v>
      </c>
      <c r="B21" s="25" t="s">
        <v>94</v>
      </c>
      <c r="C21" s="25" t="s">
        <v>107</v>
      </c>
    </row>
    <row r="22" customFormat="false" ht="21.75" hidden="false" customHeight="true" outlineLevel="0" collapsed="false">
      <c r="A22" s="25" t="n">
        <v>2037</v>
      </c>
      <c r="B22" s="25" t="s">
        <v>99</v>
      </c>
      <c r="C22" s="25" t="s">
        <v>108</v>
      </c>
    </row>
    <row r="23" customFormat="false" ht="21.75" hidden="false" customHeight="true" outlineLevel="0" collapsed="false">
      <c r="A23" s="25" t="n">
        <v>4010</v>
      </c>
      <c r="B23" s="25" t="s">
        <v>109</v>
      </c>
      <c r="C23" s="25" t="s">
        <v>110</v>
      </c>
    </row>
    <row r="24" customFormat="false" ht="21.75" hidden="false" customHeight="true" outlineLevel="0" collapsed="false">
      <c r="A24" s="25" t="n">
        <v>4017</v>
      </c>
      <c r="B24" s="25" t="s">
        <v>109</v>
      </c>
      <c r="C24" s="25" t="s">
        <v>101</v>
      </c>
    </row>
    <row r="25" customFormat="false" ht="21.75" hidden="false" customHeight="true" outlineLevel="0" collapsed="false">
      <c r="A25" s="25" t="n">
        <v>5006</v>
      </c>
      <c r="B25" s="25" t="s">
        <v>111</v>
      </c>
      <c r="C25" s="25" t="s">
        <v>112</v>
      </c>
    </row>
    <row r="26" customFormat="false" ht="21.75" hidden="false" customHeight="true" outlineLevel="0" collapsed="false">
      <c r="A26" s="25" t="n">
        <v>5007</v>
      </c>
      <c r="B26" s="25" t="s">
        <v>111</v>
      </c>
      <c r="C26" s="25" t="s">
        <v>113</v>
      </c>
    </row>
    <row r="27" customFormat="false" ht="21.75" hidden="false" customHeight="true" outlineLevel="0" collapsed="false">
      <c r="A27" s="25" t="n">
        <v>5011</v>
      </c>
      <c r="B27" s="25" t="s">
        <v>111</v>
      </c>
      <c r="C27" s="25" t="s">
        <v>114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2014-04-20T08:25:13Z</dcterms:created>
  <dc:creator>James Cowan</dc:creator>
  <dc:description/>
  <dc:language>en-US</dc:language>
  <cp:lastModifiedBy/>
  <dcterms:modified xsi:type="dcterms:W3CDTF">2022-12-14T14:15:31Z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b0419eab-85b6-4632-a7d8-1d756f68f49e</vt:lpwstr>
  </property>
</Properties>
</file>