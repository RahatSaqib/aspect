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neXpert Devices" sheetId="1" state="visible" r:id="rId2"/>
    <sheet name="GeneXpert Inventory by Site" sheetId="2" state="visible" r:id="rId3"/>
    <sheet name="GeneXpert Errors by Devices" sheetId="3" state="visible" r:id="rId4"/>
    <sheet name="Devices Workload" sheetId="4" state="visible" r:id="rId5"/>
    <sheet name="Error Codes" sheetId="5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<sst xmlns="http://schemas.openxmlformats.org/spreadsheetml/2006/main" count="209" uniqueCount="160">
  <si>
    <t xml:space="preserve">GeneXpert Devices</t>
  </si>
  <si>
    <t xml:space="preserve">Dates: &lt;Dates&gt;</t>
  </si>
  <si>
    <t xml:space="preserve">&lt;StatesLabel&gt;: &lt;States&gt;</t>
  </si>
  <si>
    <t xml:space="preserve">&lt;LgasLabel&gt;: &lt;Lgas&gt;</t>
  </si>
  <si>
    <t xml:space="preserve">&lt;SitesLabel&gt;: &lt;Sites&gt;</t>
  </si>
  <si>
    <t xml:space="preserve">&lt;AssaysLabel&gt;: &lt;Assays&gt;</t>
  </si>
  <si>
    <t xml:space="preserve">&lt;Table&gt;</t>
  </si>
  <si>
    <t xml:space="preserve">Device</t>
  </si>
  <si>
    <t xml:space="preserve">State</t>
  </si>
  <si>
    <t xml:space="preserve">District</t>
  </si>
  <si>
    <t xml:space="preserve">Serial</t>
  </si>
  <si>
    <t xml:space="preserve">Instrument Serial</t>
  </si>
  <si>
    <t xml:space="preserve">Last Upload</t>
  </si>
  <si>
    <t xml:space="preserve">Status</t>
  </si>
  <si>
    <t xml:space="preserve">Status Note</t>
  </si>
  <si>
    <t xml:space="preserve">Last Ping On</t>
  </si>
  <si>
    <t xml:space="preserve">Last Ping From</t>
  </si>
  <si>
    <t xml:space="preserve">Information Below as of</t>
  </si>
  <si>
    <t xml:space="preserve">Operating System</t>
  </si>
  <si>
    <t xml:space="preserve">Time Zone</t>
  </si>
  <si>
    <t xml:space="preserve">Language / Region</t>
  </si>
  <si>
    <t xml:space="preserve">GxConnect Version</t>
  </si>
  <si>
    <t xml:space="preserve">Device Found?</t>
  </si>
  <si>
    <t xml:space="preserve">LIS Configured Correctly?</t>
  </si>
  <si>
    <t xml:space="preserve">GeneXpert Installation Date</t>
  </si>
  <si>
    <t xml:space="preserve">Total</t>
  </si>
  <si>
    <t xml:space="preserve">Other</t>
  </si>
  <si>
    <t xml:space="preserve">&lt;name&gt;</t>
  </si>
  <si>
    <t xml:space="preserve">&lt;stateName&gt;</t>
  </si>
  <si>
    <t xml:space="preserve">&lt;districtName&gt;</t>
  </si>
  <si>
    <t xml:space="preserve">&lt;serial&gt;</t>
  </si>
  <si>
    <t xml:space="preserve">&lt;instrumentSerial&gt;</t>
  </si>
  <si>
    <t xml:space="preserve">&lt;lastUploadOn&gt;</t>
  </si>
  <si>
    <t xml:space="preserve">&lt;status&gt;</t>
  </si>
  <si>
    <t xml:space="preserve">&lt;statusNote&gt;</t>
  </si>
  <si>
    <t xml:space="preserve">&lt;lastPingOn&gt;</t>
  </si>
  <si>
    <t xml:space="preserve">&lt;lastPingFrom&gt;</t>
  </si>
  <si>
    <t xml:space="preserve">&lt;informationDate&gt;</t>
  </si>
  <si>
    <t xml:space="preserve">&lt;operativeSystem&gt;</t>
  </si>
  <si>
    <t xml:space="preserve">&lt;timeZone&gt;</t>
  </si>
  <si>
    <t xml:space="preserve">&lt;language&gt;</t>
  </si>
  <si>
    <t xml:space="preserve">&lt;gxConnectVersion&gt;</t>
  </si>
  <si>
    <t xml:space="preserve">&lt;deviceFound&gt;</t>
  </si>
  <si>
    <t xml:space="preserve">&lt;lisConfiguredCorrectly&gt;</t>
  </si>
  <si>
    <t xml:space="preserve">&lt;instalationDate&gt;</t>
  </si>
  <si>
    <t xml:space="preserve">&lt;totalXpertTests&gt;</t>
  </si>
  <si>
    <t xml:space="preserve">&lt;totalOtherTests&gt;</t>
  </si>
  <si>
    <t xml:space="preserve">GeneXpert Inventory by Site</t>
  </si>
  <si>
    <t xml:space="preserve">Notes: this report only includes the consumables that were sometime tracked on the sites</t>
  </si>
  <si>
    <t xml:space="preserve">Site</t>
  </si>
  <si>
    <t xml:space="preserve">Consumable</t>
  </si>
  <si>
    <t xml:space="preserve">Daily Consumption Rate</t>
  </si>
  <si>
    <t xml:space="preserve">Projected Annual Consumption</t>
  </si>
  <si>
    <t xml:space="preserve">Quantity On Hand</t>
  </si>
  <si>
    <t xml:space="preserve">Quantity On Hand but Expired</t>
  </si>
  <si>
    <t xml:space="preserve">Days Stock Left</t>
  </si>
  <si>
    <t xml:space="preserve">Projected Waste</t>
  </si>
  <si>
    <t xml:space="preserve">&lt;siteName&gt;</t>
  </si>
  <si>
    <t xml:space="preserve">&lt;consumableName&gt;</t>
  </si>
  <si>
    <t xml:space="preserve">&lt;dailyConsumptionRate&gt;</t>
  </si>
  <si>
    <t xml:space="preserve">&lt;projectedAnnualConsumption&gt;</t>
  </si>
  <si>
    <t xml:space="preserve">&lt;quantityOnHand&gt;</t>
  </si>
  <si>
    <t xml:space="preserve">&lt;quantityExpired&gt;</t>
  </si>
  <si>
    <t xml:space="preserve">&lt;daysStockLeft&gt;</t>
  </si>
  <si>
    <t xml:space="preserve">&lt;projectedWaste&gt;</t>
  </si>
  <si>
    <t xml:space="preserve">GeneXpert Errors by Devices</t>
  </si>
  <si>
    <t xml:space="preserve">Type of error</t>
  </si>
  <si>
    <t xml:space="preserve">Invalid results, no results</t>
  </si>
  <si>
    <t xml:space="preserve">Total errors, invalid results, no results</t>
  </si>
  <si>
    <t xml:space="preserve">Other Error</t>
  </si>
  <si>
    <t xml:space="preserve">&lt;deviceName&gt;</t>
  </si>
  <si>
    <t xml:space="preserve">&lt;5011&gt;</t>
  </si>
  <si>
    <t xml:space="preserve">&lt;5007&gt;</t>
  </si>
  <si>
    <t xml:space="preserve">&lt;5006&gt;</t>
  </si>
  <si>
    <t xml:space="preserve">&lt;2008&gt;</t>
  </si>
  <si>
    <t xml:space="preserve">&lt;2005&gt;</t>
  </si>
  <si>
    <t xml:space="preserve">&lt;2037&gt;</t>
  </si>
  <si>
    <t xml:space="preserve">&lt;2025&gt;</t>
  </si>
  <si>
    <t xml:space="preserve">&lt;2022&gt;</t>
  </si>
  <si>
    <t xml:space="preserve">&lt;otherErrors&gt;</t>
  </si>
  <si>
    <t xml:space="preserve">&lt;invalidResults&gt;</t>
  </si>
  <si>
    <t xml:space="preserve">Devices Workload</t>
  </si>
  <si>
    <t xml:space="preserve">Notes</t>
  </si>
  <si>
    <t xml:space="preserve">Please note that this report includes MTB/Rif, MTB ULTRA and MTB XDR results</t>
  </si>
  <si>
    <t xml:space="preserve">References</t>
  </si>
  <si>
    <t xml:space="preserve"># Days of interrupted service</t>
  </si>
  <si>
    <t xml:space="preserve">Counts the number of days when a device was at least once reported with any of the inactivity statuses (including also the statuses Unknown and No Tests Performed)</t>
  </si>
  <si>
    <t xml:space="preserve">Site name</t>
  </si>
  <si>
    <t xml:space="preserve"># MTB-</t>
  </si>
  <si>
    <t xml:space="preserve"># MTB+</t>
  </si>
  <si>
    <t xml:space="preserve"># MTB Trace Detected</t>
  </si>
  <si>
    <t xml:space="preserve"># MTB Error</t>
  </si>
  <si>
    <t xml:space="preserve"># MTB Invalid</t>
  </si>
  <si>
    <t xml:space="preserve"># MTB No Result</t>
  </si>
  <si>
    <t xml:space="preserve"># Rif Not Detected</t>
  </si>
  <si>
    <t xml:space="preserve"># Rif Detected</t>
  </si>
  <si>
    <t xml:space="preserve"># Rif Indeterminate</t>
  </si>
  <si>
    <t xml:space="preserve"># INH</t>
  </si>
  <si>
    <t xml:space="preserve"># FLQ</t>
  </si>
  <si>
    <t xml:space="preserve"># AMK</t>
  </si>
  <si>
    <t xml:space="preserve"># KAN</t>
  </si>
  <si>
    <t xml:space="preserve"># CAP</t>
  </si>
  <si>
    <t xml:space="preserve"># ETH</t>
  </si>
  <si>
    <t xml:space="preserve"># Modules used in the date range</t>
  </si>
  <si>
    <t xml:space="preserve">Reason for interruption</t>
  </si>
  <si>
    <t xml:space="preserve">Error rate</t>
  </si>
  <si>
    <t xml:space="preserve">Error/Invalid rate</t>
  </si>
  <si>
    <t xml:space="preserve">Comment</t>
  </si>
  <si>
    <t xml:space="preserve"># Total tests</t>
  </si>
  <si>
    <t xml:space="preserve">&lt;totalMtbNegative&gt;</t>
  </si>
  <si>
    <t xml:space="preserve">&lt;totalMtbDetected&gt;</t>
  </si>
  <si>
    <t xml:space="preserve">&lt;totalMtbTraceDetected&gt;</t>
  </si>
  <si>
    <t xml:space="preserve">&lt;totalErrors&gt;</t>
  </si>
  <si>
    <t xml:space="preserve">&lt;mtbInvalid&gt;</t>
  </si>
  <si>
    <t xml:space="preserve">&lt;mtbNoResult&gt;</t>
  </si>
  <si>
    <t xml:space="preserve">&lt;totalMtbSens&gt;</t>
  </si>
  <si>
    <t xml:space="preserve">&lt;totalMtbRes&gt;</t>
  </si>
  <si>
    <t xml:space="preserve">&lt;totalMtbIndeterminate&gt;</t>
  </si>
  <si>
    <t xml:space="preserve">&lt;INH&gt;</t>
  </si>
  <si>
    <t xml:space="preserve">&lt;FLQ&gt;</t>
  </si>
  <si>
    <t xml:space="preserve">&lt;AMK&gt;</t>
  </si>
  <si>
    <t xml:space="preserve">&lt;KAN&gt;</t>
  </si>
  <si>
    <t xml:space="preserve">&lt;CAP&gt;</t>
  </si>
  <si>
    <t xml:space="preserve">&lt;ETH&gt;</t>
  </si>
  <si>
    <t xml:space="preserve">&lt;totalXpertModulesInUse&gt;</t>
  </si>
  <si>
    <t xml:space="preserve">&lt;totalInterruptedDays&gt;</t>
  </si>
  <si>
    <t xml:space="preserve">&lt;reasonForInterruption&gt;</t>
  </si>
  <si>
    <t xml:space="preserve">Code</t>
  </si>
  <si>
    <t xml:space="preserve">Category</t>
  </si>
  <si>
    <t xml:space="preserve">Description</t>
  </si>
  <si>
    <t xml:space="preserve">Run-time error</t>
  </si>
  <si>
    <t xml:space="preserve">The actual temperature has drifted too far away from the setpoint</t>
  </si>
  <si>
    <t xml:space="preserve">The temperature difference exceeds the limit</t>
  </si>
  <si>
    <t xml:space="preserve">The internal instrument temperature was out of range</t>
  </si>
  <si>
    <t xml:space="preserve">Optic signal of from detector exceeded the limit</t>
  </si>
  <si>
    <t xml:space="preserve">Detector dark signal exceeded the limit</t>
  </si>
  <si>
    <t xml:space="preserve">The power supply was detected to be out of range</t>
  </si>
  <si>
    <t xml:space="preserve">The measured temperature of the optical system was not within the acceptable range</t>
  </si>
  <si>
    <t xml:space="preserve">A valve positioning error was detected at the end of the run</t>
  </si>
  <si>
    <t xml:space="preserve">Operation terminated error</t>
  </si>
  <si>
    <t xml:space="preserve">Module is already running a test while performing command</t>
  </si>
  <si>
    <t xml:space="preserve">Motion of the syringe drive was not detected</t>
  </si>
  <si>
    <t xml:space="preserve">Syringe pressure reading exceeds the protocol limit</t>
  </si>
  <si>
    <t xml:space="preserve">Syringe pressure reading is below the protocol limit</t>
  </si>
  <si>
    <t xml:space="preserve">Cartridge loading error</t>
  </si>
  <si>
    <t xml:space="preserve">Unable to initialize pressure sensor</t>
  </si>
  <si>
    <t xml:space="preserve">The digital temperature reading for Thermistor A/Thermistor B/Ambient Thermistor/Optic Thermistor was not within the acceptable range</t>
  </si>
  <si>
    <t xml:space="preserve">The system was unable to find the valve home position</t>
  </si>
  <si>
    <t xml:space="preserve">Attempt to load a cartridge while the door is still closed</t>
  </si>
  <si>
    <t xml:space="preserve">Failed to get to desired temperature</t>
  </si>
  <si>
    <t xml:space="preserve">The system failed to find the plunger home position</t>
  </si>
  <si>
    <t xml:space="preserve">The ultrasonic horn could not be tuned properly</t>
  </si>
  <si>
    <t xml:space="preserve">The optical signal from Detector did not reach the expected value</t>
  </si>
  <si>
    <t xml:space="preserve">The cartridge integrity test failed</t>
  </si>
  <si>
    <t xml:space="preserve">Self-test error</t>
  </si>
  <si>
    <t xml:space="preserve">Cooling fan operation was not verified. Measured temperature exceeded the limit</t>
  </si>
  <si>
    <t xml:space="preserve">Post-run analysis error</t>
  </si>
  <si>
    <t xml:space="preserve">Probe check failed. Probe check value was above the maximum</t>
  </si>
  <si>
    <t xml:space="preserve">Probe check failed. Probe check value was below the minimum</t>
  </si>
  <si>
    <t xml:space="preserve">Signal loss detected in the amplification curve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</si>
</sst>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-409]mmmm\ d&quot;, &quot;yyyy;@"/>
    <numFmt numFmtId="166" formatCode="yyyy\-mm\-dd\ hh:mm"/>
    <numFmt numFmtId="167" formatCode="0.00%"/>
  </numFmts>
  <fonts count="10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Calibri"/>
      <family val="2"/>
      <charset val="1"/>
    </font>
    <font>
      <i val="true"/>
      <sz val="12"/>
      <color rgb="FF000000"/>
      <name val="Calibri"/>
      <family val="2"/>
      <charset val="1"/>
    </font>
    <font>
      <sz val="12"/>
      <color rgb="FF000000"/>
      <name val="Calibri"/>
      <family val="2"/>
    </font>
    <font>
      <b val="true"/>
      <sz val="12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i val="true"/>
      <sz val="12"/>
      <color rgb="FF000000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T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1.16796875" defaultRowHeight="15" zeroHeight="false" outlineLevelRow="0" outlineLevelCol="0"/>
  <cols>
    <col collapsed="false" customWidth="true" hidden="false" outlineLevel="0" max="3" min="1" style="0" width="27.05"/>
    <col collapsed="false" customWidth="true" hidden="false" outlineLevel="0" max="5" min="4" style="0" width="15.2"/>
    <col collapsed="false" customWidth="true" hidden="false" outlineLevel="0" max="8" min="6" style="0" width="19.05"/>
    <col collapsed="false" customWidth="true" hidden="false" outlineLevel="0" max="9" min="9" style="1" width="14.7"/>
    <col collapsed="false" customWidth="true" hidden="false" outlineLevel="0" max="10" min="10" style="2" width="14.7"/>
    <col collapsed="false" customWidth="true" hidden="false" outlineLevel="0" max="11" min="11" style="1" width="14.45"/>
    <col collapsed="false" customWidth="true" hidden="false" outlineLevel="0" max="14" min="12" style="2" width="14.45"/>
    <col collapsed="false" customWidth="true" hidden="false" outlineLevel="0" max="15" min="15" style="2" width="13.2"/>
    <col collapsed="false" customWidth="true" hidden="false" outlineLevel="0" max="16" min="16" style="2" width="10.5"/>
    <col collapsed="false" customWidth="true" hidden="false" outlineLevel="0" max="17" min="17" style="2" width="18.29"/>
    <col collapsed="false" customWidth="true" hidden="false" outlineLevel="0" max="18" min="18" style="1" width="11"/>
    <col collapsed="false" customWidth="true" hidden="false" outlineLevel="0" max="19" min="19" style="0" width="14.05"/>
    <col collapsed="false" customWidth="true" hidden="false" outlineLevel="0" max="1024" min="1015" style="0" width="9.34"/>
  </cols>
  <sheetData>
    <row r="1" customFormat="false" ht="20.25" hidden="false" customHeight="false" outlineLevel="0" collapsed="false">
      <c r="A1" s="3" t="s">
        <v>0</v>
      </c>
      <c r="B1" s="3"/>
      <c r="C1" s="3"/>
      <c r="D1" s="3"/>
      <c r="E1" s="3"/>
    </row>
    <row r="2" customFormat="false" ht="15" hidden="false" customHeight="false" outlineLevel="0" collapsed="false">
      <c r="A2" s="0" t="s">
        <v>1</v>
      </c>
    </row>
    <row r="3" customFormat="false" ht="34.5" hidden="false" customHeight="true" outlineLevel="0" collapsed="false">
      <c r="A3" s="0" t="s">
        <v>2</v>
      </c>
      <c r="C3" s="4"/>
      <c r="D3" s="4"/>
    </row>
    <row r="4" customFormat="false" ht="15" hidden="false" customHeight="false" outlineLevel="0" collapsed="false">
      <c r="A4" s="0" t="s">
        <v>3</v>
      </c>
    </row>
    <row r="5" customFormat="false" ht="15" hidden="false" customHeight="false" outlineLevel="0" collapsed="false">
      <c r="A5" s="5" t="s">
        <v>4</v>
      </c>
    </row>
    <row r="6" customFormat="false" ht="17.9" hidden="false" customHeight="false" outlineLevel="0" collapsed="false">
      <c r="A6" s="6" t="s">
        <v>5</v>
      </c>
    </row>
    <row r="7" customFormat="false" ht="51.75" hidden="false" customHeight="true" outlineLevel="0" collapsed="false">
      <c r="C7" s="7"/>
      <c r="D7" s="5"/>
    </row>
    <row r="8" customFormat="false" ht="15" hidden="false" customHeight="false" outlineLevel="0" collapsed="false">
      <c r="C8" s="7"/>
      <c r="D8" s="5"/>
    </row>
    <row r="9" customFormat="false" ht="15" hidden="false" customHeight="false" outlineLevel="0" collapsed="false">
      <c r="A9" s="0" t="s">
        <v>6</v>
      </c>
      <c r="C9" s="7"/>
      <c r="D9" s="5"/>
    </row>
    <row r="10" s="10" customFormat="true" ht="67.5" hidden="false" customHeight="true" outlineLevel="0" collapsed="false">
      <c r="A10" s="8" t="s">
        <v>7</v>
      </c>
      <c r="B10" s="8" t="s">
        <v>8</v>
      </c>
      <c r="C10" s="8" t="s">
        <v>9</v>
      </c>
      <c r="D10" s="8" t="s">
        <v>10</v>
      </c>
      <c r="E10" s="8" t="s">
        <v>11</v>
      </c>
      <c r="F10" s="8" t="s">
        <v>12</v>
      </c>
      <c r="G10" s="8" t="s">
        <v>13</v>
      </c>
      <c r="H10" s="8" t="s">
        <v>14</v>
      </c>
      <c r="I10" s="8" t="s">
        <v>15</v>
      </c>
      <c r="J10" s="8" t="s">
        <v>16</v>
      </c>
      <c r="K10" s="9" t="s">
        <v>17</v>
      </c>
      <c r="L10" s="9" t="s">
        <v>18</v>
      </c>
      <c r="M10" s="9" t="s">
        <v>19</v>
      </c>
      <c r="N10" s="9" t="s">
        <v>20</v>
      </c>
      <c r="O10" s="9" t="s">
        <v>21</v>
      </c>
      <c r="P10" s="9" t="s">
        <v>22</v>
      </c>
      <c r="Q10" s="9" t="s">
        <v>23</v>
      </c>
      <c r="R10" s="9" t="s">
        <v>24</v>
      </c>
      <c r="S10" s="8" t="s">
        <v>25</v>
      </c>
      <c r="T10" s="8" t="s">
        <v>26</v>
      </c>
    </row>
    <row r="11" customFormat="false" ht="15" hidden="false" customHeight="false" outlineLevel="0" collapsed="false">
      <c r="A11" s="11" t="s">
        <v>27</v>
      </c>
      <c r="B11" s="11" t="s">
        <v>28</v>
      </c>
      <c r="C11" s="12" t="s">
        <v>29</v>
      </c>
      <c r="D11" s="11" t="s">
        <v>30</v>
      </c>
      <c r="E11" s="11" t="s">
        <v>31</v>
      </c>
      <c r="F11" s="13" t="s">
        <v>32</v>
      </c>
      <c r="G11" s="13" t="s">
        <v>33</v>
      </c>
      <c r="H11" s="13" t="s">
        <v>34</v>
      </c>
      <c r="I11" s="14" t="s">
        <v>35</v>
      </c>
      <c r="J11" s="15" t="s">
        <v>36</v>
      </c>
      <c r="K11" s="14" t="s">
        <v>37</v>
      </c>
      <c r="L11" s="15" t="s">
        <v>38</v>
      </c>
      <c r="M11" s="15" t="s">
        <v>39</v>
      </c>
      <c r="N11" s="15" t="s">
        <v>40</v>
      </c>
      <c r="O11" s="15" t="s">
        <v>41</v>
      </c>
      <c r="P11" s="15" t="s">
        <v>42</v>
      </c>
      <c r="Q11" s="15" t="s">
        <v>43</v>
      </c>
      <c r="R11" s="14" t="s">
        <v>44</v>
      </c>
      <c r="S11" s="11" t="s">
        <v>45</v>
      </c>
      <c r="T11" s="11" t="s">
        <v>46</v>
      </c>
    </row>
    <row r="13" customFormat="false" ht="15" hidden="false" customHeight="false" outlineLevel="0" collapsed="false">
      <c r="A13" s="16"/>
      <c r="B13" s="16"/>
      <c r="C13" s="16"/>
      <c r="D13" s="16"/>
      <c r="E13" s="16"/>
    </row>
  </sheetData>
  <mergeCells count="1">
    <mergeCell ref="C3:D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8.5546875" defaultRowHeight="15" zeroHeight="false" outlineLevelRow="0" outlineLevelCol="0"/>
  <cols>
    <col collapsed="false" customWidth="true" hidden="false" outlineLevel="0" max="1" min="1" style="0" width="21.84"/>
    <col collapsed="false" customWidth="true" hidden="false" outlineLevel="0" max="2" min="2" style="0" width="17.45"/>
    <col collapsed="false" customWidth="true" hidden="false" outlineLevel="0" max="3" min="3" style="0" width="21.15"/>
    <col collapsed="false" customWidth="true" hidden="false" outlineLevel="0" max="4" min="4" style="0" width="27.25"/>
    <col collapsed="false" customWidth="true" hidden="false" outlineLevel="0" max="5" min="5" style="0" width="16.1"/>
    <col collapsed="false" customWidth="true" hidden="false" outlineLevel="0" max="6" min="6" style="0" width="25.7"/>
    <col collapsed="false" customWidth="true" hidden="false" outlineLevel="0" max="7" min="7" style="0" width="13.85"/>
    <col collapsed="false" customWidth="true" hidden="false" outlineLevel="0" max="8" min="8" style="0" width="15.75"/>
  </cols>
  <sheetData>
    <row r="1" customFormat="false" ht="20.25" hidden="false" customHeight="false" outlineLevel="0" collapsed="false">
      <c r="A1" s="17" t="s">
        <v>47</v>
      </c>
      <c r="B1" s="3"/>
      <c r="C1" s="3"/>
      <c r="D1" s="3"/>
    </row>
    <row r="2" customFormat="false" ht="15" hidden="false" customHeight="false" outlineLevel="0" collapsed="false">
      <c r="A2" s="0" t="s">
        <v>1</v>
      </c>
      <c r="C2" s="18" t="s">
        <v>48</v>
      </c>
      <c r="D2" s="18"/>
      <c r="E2" s="18"/>
      <c r="F2" s="18"/>
      <c r="G2" s="18"/>
    </row>
    <row r="3" customFormat="false" ht="15" hidden="false" customHeight="true" outlineLevel="0" collapsed="false">
      <c r="A3" s="0" t="s">
        <v>2</v>
      </c>
    </row>
    <row r="4" customFormat="false" ht="15" hidden="false" customHeight="false" outlineLevel="0" collapsed="false">
      <c r="A4" s="19" t="s">
        <v>3</v>
      </c>
    </row>
    <row r="5" customFormat="false" ht="15" hidden="false" customHeight="false" outlineLevel="0" collapsed="false">
      <c r="A5" s="19" t="s">
        <v>4</v>
      </c>
    </row>
    <row r="6" customFormat="false" ht="15" hidden="false" customHeight="false" outlineLevel="0" collapsed="false">
      <c r="C6" s="7"/>
      <c r="D6" s="5"/>
    </row>
    <row r="7" customFormat="false" ht="15.75" hidden="false" customHeight="false" outlineLevel="0" collapsed="false">
      <c r="A7" s="0" t="s">
        <v>6</v>
      </c>
      <c r="C7" s="7"/>
      <c r="D7" s="5"/>
    </row>
    <row r="8" customFormat="false" ht="54" hidden="false" customHeight="true" outlineLevel="0" collapsed="false">
      <c r="A8" s="8" t="s">
        <v>49</v>
      </c>
      <c r="B8" s="8" t="s">
        <v>50</v>
      </c>
      <c r="C8" s="8" t="s">
        <v>51</v>
      </c>
      <c r="D8" s="8" t="s">
        <v>52</v>
      </c>
      <c r="E8" s="8" t="s">
        <v>53</v>
      </c>
      <c r="F8" s="8" t="s">
        <v>54</v>
      </c>
      <c r="G8" s="8" t="s">
        <v>55</v>
      </c>
      <c r="H8" s="8" t="s">
        <v>56</v>
      </c>
    </row>
    <row r="9" customFormat="false" ht="15" hidden="false" customHeight="false" outlineLevel="0" collapsed="false">
      <c r="A9" s="11" t="s">
        <v>57</v>
      </c>
      <c r="B9" s="11" t="s">
        <v>58</v>
      </c>
      <c r="C9" s="12" t="s">
        <v>59</v>
      </c>
      <c r="D9" s="11" t="s">
        <v>60</v>
      </c>
      <c r="E9" s="11" t="s">
        <v>61</v>
      </c>
      <c r="F9" s="11" t="s">
        <v>62</v>
      </c>
      <c r="G9" s="11" t="s">
        <v>63</v>
      </c>
      <c r="H9" s="11" t="s">
        <v>64</v>
      </c>
    </row>
  </sheetData>
  <mergeCells count="1">
    <mergeCell ref="C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546875" defaultRowHeight="15" zeroHeight="false" outlineLevelRow="0" outlineLevelCol="0"/>
  <cols>
    <col collapsed="false" customWidth="true" hidden="false" outlineLevel="0" max="1" min="1" style="0" width="33.1"/>
    <col collapsed="false" customWidth="true" hidden="false" outlineLevel="0" max="9" min="2" style="2" width="8.8"/>
    <col collapsed="false" customWidth="true" hidden="false" outlineLevel="0" max="10" min="10" style="2" width="12.3"/>
    <col collapsed="false" customWidth="true" hidden="false" outlineLevel="0" max="11" min="11" style="2" width="14.3"/>
    <col collapsed="false" customWidth="true" hidden="false" outlineLevel="0" max="12" min="12" style="2" width="15.5"/>
  </cols>
  <sheetData>
    <row r="1" customFormat="false" ht="20.25" hidden="false" customHeight="false" outlineLevel="0" collapsed="false">
      <c r="A1" s="3" t="s">
        <v>65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A4" s="19" t="s">
        <v>3</v>
      </c>
    </row>
    <row r="5" customFormat="false" ht="15" hidden="false" customHeight="false" outlineLevel="0" collapsed="false">
      <c r="A5" s="19" t="s">
        <v>4</v>
      </c>
    </row>
    <row r="6" customFormat="false" ht="15" hidden="false" customHeight="false" outlineLevel="0" collapsed="false">
      <c r="A6" s="19"/>
    </row>
    <row r="7" customFormat="false" ht="15" hidden="false" customHeight="false" outlineLevel="0" collapsed="false">
      <c r="A7" s="20" t="s">
        <v>6</v>
      </c>
      <c r="B7" s="2" t="n">
        <v>2</v>
      </c>
    </row>
    <row r="8" customFormat="false" ht="15" hidden="false" customHeight="true" outlineLevel="0" collapsed="false">
      <c r="A8" s="21" t="s">
        <v>7</v>
      </c>
      <c r="B8" s="22" t="s">
        <v>66</v>
      </c>
      <c r="C8" s="22"/>
      <c r="D8" s="22"/>
      <c r="E8" s="22"/>
      <c r="F8" s="22"/>
      <c r="G8" s="22"/>
      <c r="H8" s="22"/>
      <c r="I8" s="22"/>
      <c r="J8" s="22"/>
      <c r="K8" s="23" t="s">
        <v>67</v>
      </c>
      <c r="L8" s="23" t="s">
        <v>68</v>
      </c>
    </row>
    <row r="9" customFormat="false" ht="31.5" hidden="false" customHeight="true" outlineLevel="0" collapsed="false">
      <c r="A9" s="21"/>
      <c r="B9" s="22" t="n">
        <v>5011</v>
      </c>
      <c r="C9" s="22" t="n">
        <v>5007</v>
      </c>
      <c r="D9" s="22" t="n">
        <v>5006</v>
      </c>
      <c r="E9" s="22" t="n">
        <v>2008</v>
      </c>
      <c r="F9" s="22" t="n">
        <v>2005</v>
      </c>
      <c r="G9" s="22" t="n">
        <v>2037</v>
      </c>
      <c r="H9" s="22" t="n">
        <v>2025</v>
      </c>
      <c r="I9" s="22" t="n">
        <v>2022</v>
      </c>
      <c r="J9" s="22" t="s">
        <v>69</v>
      </c>
      <c r="K9" s="23"/>
      <c r="L9" s="23"/>
    </row>
    <row r="10" customFormat="false" ht="15" hidden="false" customHeight="false" outlineLevel="0" collapsed="false">
      <c r="A10" s="19" t="s">
        <v>70</v>
      </c>
      <c r="B10" s="2" t="s">
        <v>71</v>
      </c>
      <c r="C10" s="2" t="s">
        <v>72</v>
      </c>
      <c r="D10" s="2" t="s">
        <v>73</v>
      </c>
      <c r="E10" s="2" t="s">
        <v>74</v>
      </c>
      <c r="F10" s="2" t="s">
        <v>75</v>
      </c>
      <c r="G10" s="2" t="s">
        <v>76</v>
      </c>
      <c r="H10" s="2" t="s">
        <v>77</v>
      </c>
      <c r="I10" s="2" t="s">
        <v>78</v>
      </c>
      <c r="J10" s="2" t="s">
        <v>79</v>
      </c>
      <c r="K10" s="2" t="s">
        <v>80</v>
      </c>
      <c r="L10" s="2" t="e">
        <f aca="false">B10+C10+D10+E10+F10+G10+H10+I10+J10+K10</f>
        <v>#VALUE!</v>
      </c>
    </row>
  </sheetData>
  <mergeCells count="4">
    <mergeCell ref="A8:A9"/>
    <mergeCell ref="B8:J8"/>
    <mergeCell ref="K8:K9"/>
    <mergeCell ref="L8:L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9" activeCellId="0" sqref="C19"/>
    </sheetView>
  </sheetViews>
  <sheetFormatPr defaultColWidth="11.31640625" defaultRowHeight="15" zeroHeight="false" outlineLevelRow="0" outlineLevelCol="0"/>
  <cols>
    <col collapsed="false" customWidth="true" hidden="false" outlineLevel="0" max="1" min="1" style="0" width="27.2"/>
    <col collapsed="false" customWidth="true" hidden="false" outlineLevel="0" max="2" min="2" style="0" width="30.6"/>
    <col collapsed="false" customWidth="true" hidden="false" outlineLevel="0" max="3" min="3" style="0" width="35.39"/>
    <col collapsed="false" customWidth="true" hidden="false" outlineLevel="0" max="4" min="4" style="0" width="33.5"/>
    <col collapsed="false" customWidth="true" hidden="false" outlineLevel="0" max="5" min="5" style="0" width="15.3"/>
    <col collapsed="false" customWidth="true" hidden="false" outlineLevel="0" max="8" min="6" style="0" width="11.6"/>
    <col collapsed="false" customWidth="true" hidden="false" outlineLevel="0" max="10" min="9" style="0" width="15.6"/>
    <col collapsed="false" customWidth="true" hidden="false" outlineLevel="0" max="11" min="11" style="0" width="13.6"/>
    <col collapsed="false" customWidth="true" hidden="false" outlineLevel="0" max="13" min="12" style="0" width="11.6"/>
    <col collapsed="false" customWidth="true" hidden="false" outlineLevel="0" max="21" min="14" style="0" width="15.6"/>
    <col collapsed="false" customWidth="true" hidden="false" outlineLevel="0" max="23" min="22" style="0" width="20.6"/>
    <col collapsed="false" customWidth="true" hidden="false" outlineLevel="0" max="25" min="24" style="24" width="20.6"/>
    <col collapsed="false" customWidth="true" hidden="false" outlineLevel="0" max="26" min="26" style="0" width="33.29"/>
    <col collapsed="false" customWidth="true" hidden="false" outlineLevel="0" max="27" min="27" style="0" width="20.6"/>
  </cols>
  <sheetData>
    <row r="1" customFormat="false" ht="20.25" hidden="false" customHeight="false" outlineLevel="0" collapsed="false">
      <c r="A1" s="3" t="s">
        <v>81</v>
      </c>
      <c r="C1" s="3"/>
      <c r="D1" s="3"/>
      <c r="E1" s="3"/>
    </row>
    <row r="2" customFormat="false" ht="15" hidden="false" customHeight="false" outlineLevel="0" collapsed="false">
      <c r="A2" s="0" t="s">
        <v>1</v>
      </c>
      <c r="C2" s="0" t="s">
        <v>82</v>
      </c>
    </row>
    <row r="3" customFormat="false" ht="17.25" hidden="false" customHeight="true" outlineLevel="0" collapsed="false">
      <c r="A3" s="0" t="s">
        <v>2</v>
      </c>
      <c r="C3" s="4" t="s">
        <v>83</v>
      </c>
      <c r="D3" s="4"/>
    </row>
    <row r="4" customFormat="false" ht="15" hidden="false" customHeight="false" outlineLevel="0" collapsed="false">
      <c r="A4" s="0" t="s">
        <v>3</v>
      </c>
    </row>
    <row r="5" customFormat="false" ht="15" hidden="false" customHeight="false" outlineLevel="0" collapsed="false">
      <c r="A5" s="5" t="s">
        <v>4</v>
      </c>
      <c r="C5" s="0" t="s">
        <v>84</v>
      </c>
    </row>
    <row r="6" customFormat="false" ht="78" hidden="false" customHeight="false" outlineLevel="0" collapsed="false">
      <c r="C6" s="7" t="s">
        <v>85</v>
      </c>
      <c r="D6" s="5" t="s">
        <v>86</v>
      </c>
    </row>
    <row r="7" customFormat="false" ht="15.75" hidden="false" customHeight="true" outlineLevel="0" collapsed="false">
      <c r="A7" s="25"/>
    </row>
    <row r="8" customFormat="false" ht="15" hidden="false" customHeight="false" outlineLevel="0" collapsed="false">
      <c r="A8" s="26"/>
    </row>
    <row r="9" customFormat="false" ht="15" hidden="false" customHeight="false" outlineLevel="0" collapsed="false">
      <c r="A9" s="0" t="s">
        <v>6</v>
      </c>
    </row>
    <row r="10" s="29" customFormat="true" ht="30.75" hidden="false" customHeight="false" outlineLevel="0" collapsed="false">
      <c r="A10" s="8" t="s">
        <v>7</v>
      </c>
      <c r="B10" s="8" t="s">
        <v>87</v>
      </c>
      <c r="C10" s="8" t="s">
        <v>8</v>
      </c>
      <c r="D10" s="8" t="s">
        <v>9</v>
      </c>
      <c r="E10" s="8" t="s">
        <v>10</v>
      </c>
      <c r="F10" s="8" t="s">
        <v>88</v>
      </c>
      <c r="G10" s="8" t="s">
        <v>89</v>
      </c>
      <c r="H10" s="8" t="s">
        <v>90</v>
      </c>
      <c r="I10" s="8" t="s">
        <v>91</v>
      </c>
      <c r="J10" s="8" t="s">
        <v>92</v>
      </c>
      <c r="K10" s="8" t="s">
        <v>93</v>
      </c>
      <c r="L10" s="9" t="s">
        <v>94</v>
      </c>
      <c r="M10" s="27" t="s">
        <v>95</v>
      </c>
      <c r="N10" s="8" t="s">
        <v>96</v>
      </c>
      <c r="O10" s="8" t="s">
        <v>97</v>
      </c>
      <c r="P10" s="8" t="s">
        <v>98</v>
      </c>
      <c r="Q10" s="8" t="s">
        <v>99</v>
      </c>
      <c r="R10" s="8" t="s">
        <v>100</v>
      </c>
      <c r="S10" s="8" t="s">
        <v>101</v>
      </c>
      <c r="T10" s="8" t="s">
        <v>102</v>
      </c>
      <c r="U10" s="9" t="s">
        <v>103</v>
      </c>
      <c r="V10" s="9" t="s">
        <v>85</v>
      </c>
      <c r="W10" s="8" t="s">
        <v>104</v>
      </c>
      <c r="X10" s="28" t="s">
        <v>105</v>
      </c>
      <c r="Y10" s="28" t="s">
        <v>106</v>
      </c>
      <c r="Z10" s="8" t="s">
        <v>107</v>
      </c>
      <c r="AA10" s="8" t="s">
        <v>108</v>
      </c>
    </row>
    <row r="11" customFormat="false" ht="15" hidden="false" customHeight="false" outlineLevel="0" collapsed="false">
      <c r="A11" s="11" t="s">
        <v>27</v>
      </c>
      <c r="B11" s="11" t="s">
        <v>57</v>
      </c>
      <c r="C11" s="11" t="s">
        <v>28</v>
      </c>
      <c r="D11" s="11" t="s">
        <v>29</v>
      </c>
      <c r="E11" s="11" t="s">
        <v>30</v>
      </c>
      <c r="F11" s="11" t="s">
        <v>109</v>
      </c>
      <c r="G11" s="11" t="s">
        <v>110</v>
      </c>
      <c r="H11" s="11" t="s">
        <v>111</v>
      </c>
      <c r="I11" s="2" t="s">
        <v>112</v>
      </c>
      <c r="J11" s="2" t="s">
        <v>113</v>
      </c>
      <c r="K11" s="2" t="s">
        <v>114</v>
      </c>
      <c r="L11" s="11" t="s">
        <v>115</v>
      </c>
      <c r="M11" s="11" t="s">
        <v>116</v>
      </c>
      <c r="N11" s="11" t="s">
        <v>117</v>
      </c>
      <c r="O11" s="2" t="s">
        <v>118</v>
      </c>
      <c r="P11" s="2" t="s">
        <v>119</v>
      </c>
      <c r="Q11" s="2" t="s">
        <v>120</v>
      </c>
      <c r="R11" s="2" t="s">
        <v>121</v>
      </c>
      <c r="S11" s="2" t="s">
        <v>122</v>
      </c>
      <c r="T11" s="2" t="s">
        <v>123</v>
      </c>
      <c r="U11" s="11" t="s">
        <v>124</v>
      </c>
      <c r="V11" s="11" t="s">
        <v>125</v>
      </c>
      <c r="W11" s="11" t="s">
        <v>126</v>
      </c>
      <c r="X11" s="30" t="e">
        <f aca="false">IF(AA11=0,0,I11/AA11)</f>
        <v>#VALUE!</v>
      </c>
      <c r="Y11" s="31" t="e">
        <f aca="false">IF(AA11=0,0,(I11+J11)/AA11)</f>
        <v>#VALUE!</v>
      </c>
      <c r="Z11" s="31" t="e">
        <f aca="false">IF(Y11&gt;0.05,"High Rate of Errors/Invalids. Contact Lab.","")</f>
        <v>#VALUE!</v>
      </c>
      <c r="AA11" s="11" t="s">
        <v>45</v>
      </c>
    </row>
    <row r="14" customFormat="false" ht="15" hidden="false" customHeight="false" outlineLevel="0" collapsed="false">
      <c r="B14" s="16"/>
      <c r="C14" s="16"/>
      <c r="D14" s="16"/>
      <c r="E14" s="16"/>
    </row>
  </sheetData>
  <mergeCells count="1">
    <mergeCell ref="C3:D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546875" defaultRowHeight="15" zeroHeight="false" outlineLevelRow="0" outlineLevelCol="0"/>
  <cols>
    <col collapsed="false" customWidth="true" hidden="false" outlineLevel="0" max="1" min="1" style="0" width="5.1"/>
    <col collapsed="false" customWidth="true" hidden="false" outlineLevel="0" max="2" min="2" style="0" width="39.2"/>
    <col collapsed="false" customWidth="true" hidden="false" outlineLevel="0" max="3" min="3" style="0" width="100.6"/>
  </cols>
  <sheetData>
    <row r="1" customFormat="false" ht="21.75" hidden="false" customHeight="true" outlineLevel="0" collapsed="false">
      <c r="A1" s="16" t="s">
        <v>127</v>
      </c>
      <c r="B1" s="16" t="s">
        <v>128</v>
      </c>
      <c r="C1" s="16" t="s">
        <v>129</v>
      </c>
    </row>
    <row r="2" customFormat="false" ht="21.75" hidden="false" customHeight="true" outlineLevel="0" collapsed="false">
      <c r="A2" s="32" t="n">
        <v>1001</v>
      </c>
      <c r="B2" s="32" t="s">
        <v>130</v>
      </c>
      <c r="C2" s="32" t="s">
        <v>131</v>
      </c>
    </row>
    <row r="3" customFormat="false" ht="21.75" hidden="false" customHeight="true" outlineLevel="0" collapsed="false">
      <c r="A3" s="32" t="n">
        <v>1002</v>
      </c>
      <c r="B3" s="32" t="s">
        <v>130</v>
      </c>
      <c r="C3" s="32" t="s">
        <v>132</v>
      </c>
    </row>
    <row r="4" customFormat="false" ht="21.75" hidden="false" customHeight="true" outlineLevel="0" collapsed="false">
      <c r="A4" s="32" t="n">
        <v>1004</v>
      </c>
      <c r="B4" s="32" t="s">
        <v>130</v>
      </c>
      <c r="C4" s="32" t="s">
        <v>133</v>
      </c>
    </row>
    <row r="5" customFormat="false" ht="21.75" hidden="false" customHeight="true" outlineLevel="0" collapsed="false">
      <c r="A5" s="32" t="n">
        <v>1005</v>
      </c>
      <c r="B5" s="32" t="s">
        <v>130</v>
      </c>
      <c r="C5" s="32" t="s">
        <v>134</v>
      </c>
    </row>
    <row r="6" customFormat="false" ht="21.75" hidden="false" customHeight="true" outlineLevel="0" collapsed="false">
      <c r="A6" s="32" t="n">
        <v>1006</v>
      </c>
      <c r="B6" s="32" t="s">
        <v>130</v>
      </c>
      <c r="C6" s="32" t="s">
        <v>135</v>
      </c>
    </row>
    <row r="7" customFormat="false" ht="21.75" hidden="false" customHeight="true" outlineLevel="0" collapsed="false">
      <c r="A7" s="32" t="n">
        <v>1007</v>
      </c>
      <c r="B7" s="32" t="s">
        <v>130</v>
      </c>
      <c r="C7" s="32" t="s">
        <v>136</v>
      </c>
    </row>
    <row r="8" customFormat="false" ht="21.75" hidden="false" customHeight="true" outlineLevel="0" collapsed="false">
      <c r="A8" s="32" t="n">
        <v>1017</v>
      </c>
      <c r="B8" s="32" t="s">
        <v>130</v>
      </c>
      <c r="C8" s="32" t="s">
        <v>137</v>
      </c>
    </row>
    <row r="9" customFormat="false" ht="21.75" hidden="false" customHeight="true" outlineLevel="0" collapsed="false">
      <c r="A9" s="32" t="n">
        <v>1018</v>
      </c>
      <c r="B9" s="32" t="s">
        <v>130</v>
      </c>
      <c r="C9" s="32" t="s">
        <v>138</v>
      </c>
    </row>
    <row r="10" customFormat="false" ht="21.75" hidden="false" customHeight="true" outlineLevel="0" collapsed="false">
      <c r="A10" s="32" t="n">
        <v>2003</v>
      </c>
      <c r="B10" s="32" t="s">
        <v>139</v>
      </c>
      <c r="C10" s="32" t="s">
        <v>140</v>
      </c>
    </row>
    <row r="11" customFormat="false" ht="21.75" hidden="false" customHeight="true" outlineLevel="0" collapsed="false">
      <c r="A11" s="32" t="n">
        <v>2005</v>
      </c>
      <c r="B11" s="32" t="s">
        <v>139</v>
      </c>
      <c r="C11" s="32" t="s">
        <v>141</v>
      </c>
    </row>
    <row r="12" customFormat="false" ht="21.75" hidden="false" customHeight="true" outlineLevel="0" collapsed="false">
      <c r="A12" s="32" t="n">
        <v>2008</v>
      </c>
      <c r="B12" s="32" t="s">
        <v>139</v>
      </c>
      <c r="C12" s="32" t="s">
        <v>142</v>
      </c>
    </row>
    <row r="13" customFormat="false" ht="21.75" hidden="false" customHeight="true" outlineLevel="0" collapsed="false">
      <c r="A13" s="32" t="n">
        <v>2009</v>
      </c>
      <c r="B13" s="32" t="s">
        <v>139</v>
      </c>
      <c r="C13" s="32" t="s">
        <v>143</v>
      </c>
    </row>
    <row r="14" customFormat="false" ht="21.75" hidden="false" customHeight="true" outlineLevel="0" collapsed="false">
      <c r="A14" s="32" t="n">
        <v>2011</v>
      </c>
      <c r="B14" s="32" t="s">
        <v>144</v>
      </c>
      <c r="C14" s="32" t="s">
        <v>145</v>
      </c>
    </row>
    <row r="15" customFormat="false" ht="21.75" hidden="false" customHeight="true" outlineLevel="0" collapsed="false">
      <c r="A15" s="32" t="n">
        <v>2014</v>
      </c>
      <c r="B15" s="32" t="s">
        <v>139</v>
      </c>
      <c r="C15" s="32" t="s">
        <v>146</v>
      </c>
    </row>
    <row r="16" customFormat="false" ht="21.75" hidden="false" customHeight="true" outlineLevel="0" collapsed="false">
      <c r="A16" s="32" t="n">
        <v>2016</v>
      </c>
      <c r="B16" s="32" t="s">
        <v>139</v>
      </c>
      <c r="C16" s="32" t="s">
        <v>147</v>
      </c>
    </row>
    <row r="17" customFormat="false" ht="21.75" hidden="false" customHeight="true" outlineLevel="0" collapsed="false">
      <c r="A17" s="32" t="n">
        <v>2018</v>
      </c>
      <c r="B17" s="32" t="s">
        <v>144</v>
      </c>
      <c r="C17" s="32" t="s">
        <v>148</v>
      </c>
    </row>
    <row r="18" customFormat="false" ht="21.75" hidden="false" customHeight="true" outlineLevel="0" collapsed="false">
      <c r="A18" s="32" t="n">
        <v>2022</v>
      </c>
      <c r="B18" s="32" t="s">
        <v>139</v>
      </c>
      <c r="C18" s="32" t="s">
        <v>149</v>
      </c>
    </row>
    <row r="19" customFormat="false" ht="21.75" hidden="false" customHeight="true" outlineLevel="0" collapsed="false">
      <c r="A19" s="32" t="n">
        <v>2025</v>
      </c>
      <c r="B19" s="32" t="s">
        <v>144</v>
      </c>
      <c r="C19" s="32" t="s">
        <v>150</v>
      </c>
    </row>
    <row r="20" customFormat="false" ht="21.75" hidden="false" customHeight="true" outlineLevel="0" collapsed="false">
      <c r="A20" s="32" t="n">
        <v>2032</v>
      </c>
      <c r="B20" s="32" t="s">
        <v>139</v>
      </c>
      <c r="C20" s="32" t="s">
        <v>151</v>
      </c>
    </row>
    <row r="21" customFormat="false" ht="21.75" hidden="false" customHeight="true" outlineLevel="0" collapsed="false">
      <c r="A21" s="32" t="n">
        <v>2034</v>
      </c>
      <c r="B21" s="32" t="s">
        <v>139</v>
      </c>
      <c r="C21" s="32" t="s">
        <v>152</v>
      </c>
    </row>
    <row r="22" customFormat="false" ht="21.75" hidden="false" customHeight="true" outlineLevel="0" collapsed="false">
      <c r="A22" s="32" t="n">
        <v>2037</v>
      </c>
      <c r="B22" s="32" t="s">
        <v>144</v>
      </c>
      <c r="C22" s="32" t="s">
        <v>153</v>
      </c>
    </row>
    <row r="23" customFormat="false" ht="21.75" hidden="false" customHeight="true" outlineLevel="0" collapsed="false">
      <c r="A23" s="32" t="n">
        <v>4010</v>
      </c>
      <c r="B23" s="32" t="s">
        <v>154</v>
      </c>
      <c r="C23" s="32" t="s">
        <v>155</v>
      </c>
    </row>
    <row r="24" customFormat="false" ht="21.75" hidden="false" customHeight="true" outlineLevel="0" collapsed="false">
      <c r="A24" s="32" t="n">
        <v>4017</v>
      </c>
      <c r="B24" s="32" t="s">
        <v>154</v>
      </c>
      <c r="C24" s="32" t="s">
        <v>146</v>
      </c>
    </row>
    <row r="25" customFormat="false" ht="21.75" hidden="false" customHeight="true" outlineLevel="0" collapsed="false">
      <c r="A25" s="32" t="n">
        <v>5006</v>
      </c>
      <c r="B25" s="32" t="s">
        <v>156</v>
      </c>
      <c r="C25" s="32" t="s">
        <v>157</v>
      </c>
    </row>
    <row r="26" customFormat="false" ht="21.75" hidden="false" customHeight="true" outlineLevel="0" collapsed="false">
      <c r="A26" s="32" t="n">
        <v>5007</v>
      </c>
      <c r="B26" s="32" t="s">
        <v>156</v>
      </c>
      <c r="C26" s="32" t="s">
        <v>158</v>
      </c>
    </row>
    <row r="27" customFormat="false" ht="21.75" hidden="false" customHeight="true" outlineLevel="0" collapsed="false">
      <c r="A27" s="32" t="n">
        <v>5011</v>
      </c>
      <c r="B27" s="32" t="s">
        <v>156</v>
      </c>
      <c r="C27" s="32" t="s">
        <v>159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2014-04-20T08:25:13Z</dcterms:created>
  <dc:creator>James Cowan</dc:creator>
  <dc:description/>
  <dc:language>en-US</dc:language>
  <cp:lastModifiedBy/>
  <dcterms:modified xsi:type="dcterms:W3CDTF">2022-12-02T18:38:58Z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b0419eab-85b6-4632-a7d8-1d756f68f49e</vt:lpwstr>
  </property>
</Properties>
</file>