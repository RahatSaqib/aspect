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2"/>
    <sheet name="Inventory" sheetId="2" state="visible" r:id="rId3"/>
    <sheet name="Devices TB Reach" sheetId="3" state="visible" r:id="rId4"/>
    <sheet name="Error Cod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<sst xmlns="http://schemas.openxmlformats.org/spreadsheetml/2006/main" count="274" uniqueCount="201">
  <si>
    <t xml:space="preserve">GeneXpert Devices</t>
  </si>
  <si>
    <t xml:space="preserve">Dates: &lt;Dates&gt;</t>
  </si>
  <si>
    <t xml:space="preserve">Notes</t>
  </si>
  <si>
    <t xml:space="preserve">&lt;StatesLabel&gt;: &lt;States&gt;</t>
  </si>
  <si>
    <t xml:space="preserve">Please note that this report includes MTB/Rif, MTB ULTRA and MTB XDR results</t>
  </si>
  <si>
    <t xml:space="preserve">&lt;LgasLabel&gt;: &lt;Lgas&gt;</t>
  </si>
  <si>
    <t xml:space="preserve">&lt;SitesLabel&gt;: &lt;Sites&gt;</t>
  </si>
  <si>
    <t xml:space="preserve">&lt;Table&gt;</t>
  </si>
  <si>
    <t xml:space="preserve">Device</t>
  </si>
  <si>
    <t xml:space="preserve">State</t>
  </si>
  <si>
    <t xml:space="preserve">District</t>
  </si>
  <si>
    <t xml:space="preserve">Serial</t>
  </si>
  <si>
    <t xml:space="preserve">Instrument Serial</t>
  </si>
  <si>
    <t xml:space="preserve">Last Upload</t>
  </si>
  <si>
    <t xml:space="preserve">Status</t>
  </si>
  <si>
    <t xml:space="preserve">Status Note</t>
  </si>
  <si>
    <t xml:space="preserve">Last Ping On</t>
  </si>
  <si>
    <t xml:space="preserve">Last Ping From</t>
  </si>
  <si>
    <t xml:space="preserve">Information Below as of</t>
  </si>
  <si>
    <t xml:space="preserve">Operating System</t>
  </si>
  <si>
    <t xml:space="preserve">Time Zone</t>
  </si>
  <si>
    <t xml:space="preserve">Language / Region</t>
  </si>
  <si>
    <t xml:space="preserve">GxConnect Version</t>
  </si>
  <si>
    <t xml:space="preserve">Device Found?</t>
  </si>
  <si>
    <t xml:space="preserve">LIS Configured Correctly?</t>
  </si>
  <si>
    <t xml:space="preserve">GeneXpert Installation Date</t>
  </si>
  <si>
    <t xml:space="preserve">Total</t>
  </si>
  <si>
    <t xml:space="preserve">Other</t>
  </si>
  <si>
    <t xml:space="preserve">&lt;name&gt;</t>
  </si>
  <si>
    <t xml:space="preserve">&lt;stateName&gt;</t>
  </si>
  <si>
    <t xml:space="preserve">&lt;districtName&gt;</t>
  </si>
  <si>
    <t xml:space="preserve">&lt;serial&gt;</t>
  </si>
  <si>
    <t xml:space="preserve">&lt;instrumentSerial&gt;</t>
  </si>
  <si>
    <t xml:space="preserve">&lt;lastUploadOn&gt;</t>
  </si>
  <si>
    <t xml:space="preserve">&lt;status&gt;</t>
  </si>
  <si>
    <t xml:space="preserve">&lt;statusNote&gt;</t>
  </si>
  <si>
    <t xml:space="preserve">&lt;lastPingOn&gt;</t>
  </si>
  <si>
    <t xml:space="preserve">&lt;lastPingFrom&gt;</t>
  </si>
  <si>
    <t xml:space="preserve">&lt;informationDate&gt;</t>
  </si>
  <si>
    <t xml:space="preserve">&lt;operativeSystem&gt;</t>
  </si>
  <si>
    <t xml:space="preserve">&lt;timeZone&gt;</t>
  </si>
  <si>
    <t xml:space="preserve">&lt;language&gt;</t>
  </si>
  <si>
    <t xml:space="preserve">&lt;gxConnectVersion&gt;</t>
  </si>
  <si>
    <t xml:space="preserve">&lt;deviceFound&gt;</t>
  </si>
  <si>
    <t xml:space="preserve">&lt;lisConfiguredCorrectly&gt;</t>
  </si>
  <si>
    <t xml:space="preserve">&lt;instalationDate&gt;</t>
  </si>
  <si>
    <t xml:space="preserve">&lt;totalXpertTests&gt;</t>
  </si>
  <si>
    <t xml:space="preserve">&lt;totalOtherTests&gt;</t>
  </si>
  <si>
    <t xml:space="preserve">Inventory</t>
  </si>
  <si>
    <t xml:space="preserve">Date Range: -</t>
  </si>
  <si>
    <t xml:space="preserve">States: , Berea, Butha-Buthe, Leribe, Mafeteng, Maseru, Mohale's Hoek, Mokhotlong, Qacha's Nek, Quthing, Thaba-Tseka</t>
  </si>
  <si>
    <t xml:space="preserve">Deployment</t>
  </si>
  <si>
    <t xml:space="preserve">Total Tests</t>
  </si>
  <si>
    <t xml:space="preserve">Average Consumption rate</t>
  </si>
  <si>
    <t xml:space="preserve">Utilization Rate*</t>
  </si>
  <si>
    <t xml:space="preserve">Projected annual cartridge consumption</t>
  </si>
  <si>
    <t xml:space="preserve">Total Inventory</t>
  </si>
  <si>
    <t xml:space="preserve">Days of Inventory</t>
  </si>
  <si>
    <t xml:space="preserve">BEREA LAB TB</t>
  </si>
  <si>
    <t xml:space="preserve">CPHD-0F06604</t>
  </si>
  <si>
    <t xml:space="preserve">BUTHA-BUTHE HOSPITAL LAB TB</t>
  </si>
  <si>
    <t xml:space="preserve">Cepheid-3200YJJ</t>
  </si>
  <si>
    <t xml:space="preserve">Katse mini lab TB</t>
  </si>
  <si>
    <t xml:space="preserve">Cepheid-6131P1X</t>
  </si>
  <si>
    <t xml:space="preserve">Machabeng Hospital</t>
  </si>
  <si>
    <t xml:space="preserve">Cepheid-3381P57</t>
  </si>
  <si>
    <t xml:space="preserve">MAFETENG HOSPITAL LAB</t>
  </si>
  <si>
    <t xml:space="preserve">CPHD-0F13818</t>
  </si>
  <si>
    <t xml:space="preserve">MAFETENG HOSPITAL MCH</t>
  </si>
  <si>
    <t xml:space="preserve">Cepheid-62952KF</t>
  </si>
  <si>
    <t xml:space="preserve">MAKOANYANE HOSPITAL LAB</t>
  </si>
  <si>
    <t xml:space="preserve">Cepheid-70310VQ</t>
  </si>
  <si>
    <t xml:space="preserve">MALUTI LABORATORY TB</t>
  </si>
  <si>
    <t xml:space="preserve">Cepheid-2UA3481GQ5</t>
  </si>
  <si>
    <t xml:space="preserve">MAMOHAU HOSPITAL LABORATORY TB</t>
  </si>
  <si>
    <t xml:space="preserve">Cepheid-44224V8</t>
  </si>
  <si>
    <t xml:space="preserve">MAPUTSOE FILTER CLINIC</t>
  </si>
  <si>
    <t xml:space="preserve">Cepheid-6131P1D</t>
  </si>
  <si>
    <t xml:space="preserve">MOHALE MINI LAB</t>
  </si>
  <si>
    <t xml:space="preserve">Cepheid-6131P2G</t>
  </si>
  <si>
    <t xml:space="preserve">MOKHOTLONG LABORATORY TB</t>
  </si>
  <si>
    <t xml:space="preserve">G2G0LS1</t>
  </si>
  <si>
    <t xml:space="preserve">Mokhotlong Mapholaneng mini lab TB</t>
  </si>
  <si>
    <t xml:space="preserve">Cepheid-6131P2D</t>
  </si>
  <si>
    <t xml:space="preserve">MOTEBANG HOSPITAL LAB</t>
  </si>
  <si>
    <t xml:space="preserve">Cepheid-44224VF</t>
  </si>
  <si>
    <t xml:space="preserve">NTRL-16</t>
  </si>
  <si>
    <t xml:space="preserve">Cepheid-7361P5F</t>
  </si>
  <si>
    <t xml:space="preserve">NTRL-4</t>
  </si>
  <si>
    <t xml:space="preserve">D1L9ZKN1</t>
  </si>
  <si>
    <t xml:space="preserve">PARAY HOSPITAL LABORATORY TB</t>
  </si>
  <si>
    <t xml:space="preserve">CPHD-0F13805</t>
  </si>
  <si>
    <t xml:space="preserve">PIH BOBETE</t>
  </si>
  <si>
    <t xml:space="preserve">Cepheid-6201QKC</t>
  </si>
  <si>
    <t xml:space="preserve">PIH LAB BOTSHABELO TB</t>
  </si>
  <si>
    <t xml:space="preserve">5CG5010C6L</t>
  </si>
  <si>
    <t xml:space="preserve">PIH LEBAKENG</t>
  </si>
  <si>
    <t xml:space="preserve">Cepheid-6131P2X</t>
  </si>
  <si>
    <t xml:space="preserve">PIH LESOTHO</t>
  </si>
  <si>
    <t xml:space="preserve">CPHD-0F10856</t>
  </si>
  <si>
    <t xml:space="preserve">PIH NKAU</t>
  </si>
  <si>
    <t xml:space="preserve">Cepheid-6131P3F</t>
  </si>
  <si>
    <t xml:space="preserve">PIH NOHANA</t>
  </si>
  <si>
    <t xml:space="preserve">Cepheid-6201QKK</t>
  </si>
  <si>
    <t xml:space="preserve">QUEEN II 4 MODULES</t>
  </si>
  <si>
    <t xml:space="preserve">Cepheid-7282LQK</t>
  </si>
  <si>
    <t xml:space="preserve">Quthing Lab</t>
  </si>
  <si>
    <t xml:space="preserve">Cepheid-44224T0</t>
  </si>
  <si>
    <t xml:space="preserve">Scott Lab TB</t>
  </si>
  <si>
    <t xml:space="preserve">CPHD-0F08704</t>
  </si>
  <si>
    <t xml:space="preserve">Sehlabathebe Mini Lab</t>
  </si>
  <si>
    <t xml:space="preserve">Cepheid-6131P3Z</t>
  </si>
  <si>
    <t xml:space="preserve">Sehong-Hong Thaba-Tseka</t>
  </si>
  <si>
    <t xml:space="preserve">Cepheid-6131P32</t>
  </si>
  <si>
    <t xml:space="preserve">Semonkong mini lab TB</t>
  </si>
  <si>
    <t xml:space="preserve">Cepheid-6021ZML</t>
  </si>
  <si>
    <t xml:space="preserve">ST JAMES</t>
  </si>
  <si>
    <t xml:space="preserve">Cepheid-44224T7</t>
  </si>
  <si>
    <t xml:space="preserve">St Joseph's Roma</t>
  </si>
  <si>
    <t xml:space="preserve">CPHD-0F09918</t>
  </si>
  <si>
    <t xml:space="preserve">St Matthews H/C Quthing</t>
  </si>
  <si>
    <t xml:space="preserve">Cepheid-3481GRC</t>
  </si>
  <si>
    <t xml:space="preserve">TEBA LERIBE LAB TB</t>
  </si>
  <si>
    <t xml:space="preserve">Cepheid-3031JBL</t>
  </si>
  <si>
    <t xml:space="preserve">Teba Mafeteng Lab TB</t>
  </si>
  <si>
    <t xml:space="preserve">Cepheid2FSQ0R1</t>
  </si>
  <si>
    <t xml:space="preserve">Tebellong Hospital</t>
  </si>
  <si>
    <t xml:space="preserve">Cepheid-33714J3</t>
  </si>
  <si>
    <t xml:space="preserve">THABANA-MORENA HEALTH CENTRE TB</t>
  </si>
  <si>
    <t xml:space="preserve">CPHD-0F07064</t>
  </si>
  <si>
    <t xml:space="preserve">Subtotal for devices not assigned to a state</t>
  </si>
  <si>
    <t xml:space="preserve">0.00</t>
  </si>
  <si>
    <t xml:space="preserve">Subtotal for Berea</t>
  </si>
  <si>
    <t xml:space="preserve">Subtotal for Butha-Buthe</t>
  </si>
  <si>
    <t xml:space="preserve">Subtotal for Leribe</t>
  </si>
  <si>
    <t xml:space="preserve">Subtotal for Mafeteng</t>
  </si>
  <si>
    <t xml:space="preserve">Subtotal for Maseru</t>
  </si>
  <si>
    <t xml:space="preserve">Subtotal for Mohale's Hoek</t>
  </si>
  <si>
    <t xml:space="preserve">Subtotal for Mokhotlong</t>
  </si>
  <si>
    <t xml:space="preserve">Subtotal for Qacha's Nek</t>
  </si>
  <si>
    <t xml:space="preserve">Subtotal for Quthing</t>
  </si>
  <si>
    <t xml:space="preserve">Subtotal for Thaba-Tseka</t>
  </si>
  <si>
    <t xml:space="preserve">*assumes 4-module GeneXpert running 8 hours a day, 2 hours per test or 16 tests/day</t>
  </si>
  <si>
    <t xml:space="preserve">**calculated based on average consumption rate</t>
  </si>
  <si>
    <t xml:space="preserve">List of Devices for TB Reach</t>
  </si>
  <si>
    <t xml:space="preserve">Dates: -</t>
  </si>
  <si>
    <t xml:space="preserve">BK total</t>
  </si>
  <si>
    <t xml:space="preserve">BK (cn, rec)</t>
  </si>
  <si>
    <t xml:space="preserve">BK+</t>
  </si>
  <si>
    <t xml:space="preserve">BK-</t>
  </si>
  <si>
    <t xml:space="preserve">%BK+</t>
  </si>
  <si>
    <t xml:space="preserve">Xpert Tests</t>
  </si>
  <si>
    <t xml:space="preserve">%Xpert Tests</t>
  </si>
  <si>
    <t xml:space="preserve">Xpert+</t>
  </si>
  <si>
    <t xml:space="preserve">Xpert-</t>
  </si>
  <si>
    <t xml:space="preserve">Xpert Error/Invalid</t>
  </si>
  <si>
    <t xml:space="preserve">%Xpert+</t>
  </si>
  <si>
    <t xml:space="preserve">%Xpert Increase</t>
  </si>
  <si>
    <t xml:space="preserve">%Xpert Error/Invalid</t>
  </si>
  <si>
    <t xml:space="preserve">Xpert RIF+</t>
  </si>
  <si>
    <t xml:space="preserve">Xpert RIF IND</t>
  </si>
  <si>
    <t xml:space="preserve">Xpert+ Treated</t>
  </si>
  <si>
    <t xml:space="preserve">%Xpert+ Treated</t>
  </si>
  <si>
    <t xml:space="preserve">Xpert per day</t>
  </si>
  <si>
    <t xml:space="preserve">Type of errors</t>
  </si>
  <si>
    <t xml:space="preserve">Other Error</t>
  </si>
  <si>
    <t xml:space="preserve">Invalid Results</t>
  </si>
  <si>
    <t xml:space="preserve">Total errors, invalid results, no results</t>
  </si>
  <si>
    <t xml:space="preserve">Code</t>
  </si>
  <si>
    <t xml:space="preserve">Category</t>
  </si>
  <si>
    <t xml:space="preserve">Description</t>
  </si>
  <si>
    <t xml:space="preserve">Run-time error</t>
  </si>
  <si>
    <t xml:space="preserve">The actual temperature has drifted too far away from the setpoint</t>
  </si>
  <si>
    <t xml:space="preserve">The temperature difference exceeds the limit</t>
  </si>
  <si>
    <t xml:space="preserve">The internal instrument temperature was out of range</t>
  </si>
  <si>
    <t xml:space="preserve">Optic signal of from detector exceeded the limit</t>
  </si>
  <si>
    <t xml:space="preserve">Detector dark signal exceeded the limit</t>
  </si>
  <si>
    <t xml:space="preserve">The power supply was detected to be out of range</t>
  </si>
  <si>
    <t xml:space="preserve">The measured temperature of the optical system was not within the acceptable range</t>
  </si>
  <si>
    <t xml:space="preserve">A valve positioning error was detected at the end of the run</t>
  </si>
  <si>
    <t xml:space="preserve">Operation terminated error</t>
  </si>
  <si>
    <t xml:space="preserve">Module is already running a test while performing command</t>
  </si>
  <si>
    <t xml:space="preserve">Motion of the syringe drive was not detected</t>
  </si>
  <si>
    <t xml:space="preserve">Syringe pressure reading exceeds the protocol limit</t>
  </si>
  <si>
    <t xml:space="preserve">Syringe pressure reading is below the protocol limit</t>
  </si>
  <si>
    <t xml:space="preserve">Cartridge loading error</t>
  </si>
  <si>
    <t xml:space="preserve">Unable to initialize pressure sensor</t>
  </si>
  <si>
    <t xml:space="preserve">The digital temperature reading for Thermistor A/Thermistor B/Ambient Thermistor/Optic Thermistor was not within the acceptable range</t>
  </si>
  <si>
    <t xml:space="preserve">The system was unable to find the valve home position</t>
  </si>
  <si>
    <t xml:space="preserve">Attempt to load a cartridge while the door is still closed</t>
  </si>
  <si>
    <t xml:space="preserve">Failed to get to desired temperature</t>
  </si>
  <si>
    <t xml:space="preserve">The system failed to find the plunger home position</t>
  </si>
  <si>
    <t xml:space="preserve">The ultrasonic horn could not be tuned properly</t>
  </si>
  <si>
    <t xml:space="preserve">The optical signal from Detector did not reach the expected value</t>
  </si>
  <si>
    <t xml:space="preserve">The cartridge integrity test failed</t>
  </si>
  <si>
    <t xml:space="preserve">Self-test error</t>
  </si>
  <si>
    <t xml:space="preserve">Cooling fan operation was not verified. Measured temperature exceeded the limit</t>
  </si>
  <si>
    <t xml:space="preserve">Post-run analysis error</t>
  </si>
  <si>
    <t xml:space="preserve">Probe check failed. Probe check value was above the maximum</t>
  </si>
  <si>
    <t xml:space="preserve">Probe check failed. Probe check value was below the minimum</t>
  </si>
  <si>
    <t xml:space="preserve">Signal loss detected in the amplification curve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</si>
</sst>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mmmm\ d&quot;, &quot;yyyy;@"/>
    <numFmt numFmtId="166" formatCode="yyyy\-mm\-dd\ hh:mm"/>
    <numFmt numFmtId="167" formatCode="m/d/yy;@"/>
    <numFmt numFmtId="168" formatCode="0.00%"/>
    <numFmt numFmtId="169" formatCode="0"/>
    <numFmt numFmtId="170" formatCode="#,##0"/>
    <numFmt numFmtId="171" formatCode="0%"/>
    <numFmt numFmtId="172" formatCode="0.0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  <fill>
      <patternFill patternType="solid">
        <fgColor rgb="FFD7E4BD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"/>
  <sheetViews>
    <sheetView showFormulas="false" showGridLines="true" showRowColHeaders="true" showZeros="true" rightToLeft="false" tabSelected="true" showOutlineSymbols="true" defaultGridColor="true" view="normal" topLeftCell="M1" colorId="64" zoomScale="85" zoomScaleNormal="85" zoomScalePageLayoutView="100" workbookViewId="0">
      <selection pane="topLeft" activeCell="W10" activeCellId="0" sqref="W10"/>
    </sheetView>
  </sheetViews>
  <sheetFormatPr defaultColWidth="11.140625" defaultRowHeight="15" zeroHeight="false" outlineLevelRow="0" outlineLevelCol="0"/>
  <cols>
    <col collapsed="false" customWidth="true" hidden="false" outlineLevel="0" max="3" min="1" style="0" width="27.07"/>
    <col collapsed="false" customWidth="true" hidden="false" outlineLevel="0" max="5" min="4" style="0" width="15.21"/>
    <col collapsed="false" customWidth="true" hidden="false" outlineLevel="0" max="8" min="6" style="0" width="19.07"/>
    <col collapsed="false" customWidth="true" hidden="false" outlineLevel="0" max="9" min="9" style="1" width="14.71"/>
    <col collapsed="false" customWidth="true" hidden="false" outlineLevel="0" max="10" min="10" style="2" width="14.71"/>
    <col collapsed="false" customWidth="true" hidden="false" outlineLevel="0" max="11" min="11" style="1" width="14.43"/>
    <col collapsed="false" customWidth="true" hidden="false" outlineLevel="0" max="14" min="12" style="2" width="14.43"/>
    <col collapsed="false" customWidth="true" hidden="false" outlineLevel="0" max="15" min="15" style="2" width="13.21"/>
    <col collapsed="false" customWidth="true" hidden="false" outlineLevel="0" max="16" min="16" style="2" width="10.5"/>
    <col collapsed="false" customWidth="true" hidden="false" outlineLevel="0" max="17" min="17" style="2" width="18.28"/>
    <col collapsed="false" customWidth="true" hidden="false" outlineLevel="0" max="18" min="18" style="1" width="11"/>
    <col collapsed="false" customWidth="true" hidden="false" outlineLevel="0" max="19" min="19" style="0" width="14.07"/>
    <col collapsed="false" customWidth="true" hidden="false" outlineLevel="0" max="1024" min="1015" style="0" width="9.33"/>
  </cols>
  <sheetData>
    <row r="1" customFormat="false" ht="19.7" hidden="false" customHeight="false" outlineLevel="0" collapsed="false">
      <c r="A1" s="3" t="s">
        <v>0</v>
      </c>
      <c r="B1" s="3"/>
      <c r="C1" s="3"/>
      <c r="D1" s="3"/>
      <c r="E1" s="3"/>
    </row>
    <row r="2" customFormat="false" ht="15" hidden="false" customHeight="false" outlineLevel="0" collapsed="false">
      <c r="A2" s="4" t="s">
        <v>1</v>
      </c>
      <c r="C2" s="0" t="s">
        <v>2</v>
      </c>
    </row>
    <row r="3" customFormat="false" ht="35.1" hidden="false" customHeight="true" outlineLevel="0" collapsed="false">
      <c r="A3" s="4" t="s">
        <v>3</v>
      </c>
      <c r="C3" s="5" t="s">
        <v>4</v>
      </c>
      <c r="D3" s="5"/>
    </row>
    <row r="4" customFormat="false" ht="15" hidden="false" customHeight="false" outlineLevel="0" collapsed="false">
      <c r="A4" s="4" t="s">
        <v>5</v>
      </c>
    </row>
    <row r="5" customFormat="false" ht="17.9" hidden="false" customHeight="false" outlineLevel="0" collapsed="false">
      <c r="A5" s="6" t="s">
        <v>6</v>
      </c>
    </row>
    <row r="6" customFormat="false" ht="51.75" hidden="false" customHeight="true" outlineLevel="0" collapsed="false">
      <c r="C6" s="7"/>
      <c r="D6" s="6"/>
    </row>
    <row r="7" customFormat="false" ht="15" hidden="false" customHeight="false" outlineLevel="0" collapsed="false">
      <c r="C7" s="7"/>
      <c r="D7" s="6"/>
    </row>
    <row r="8" customFormat="false" ht="15" hidden="false" customHeight="false" outlineLevel="0" collapsed="false">
      <c r="A8" s="0" t="s">
        <v>7</v>
      </c>
      <c r="C8" s="7"/>
      <c r="D8" s="6"/>
    </row>
    <row r="9" s="10" customFormat="true" ht="67.6" hidden="false" customHeight="tru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9" t="s">
        <v>18</v>
      </c>
      <c r="L9" s="9" t="s">
        <v>19</v>
      </c>
      <c r="M9" s="9" t="s">
        <v>20</v>
      </c>
      <c r="N9" s="9" t="s">
        <v>21</v>
      </c>
      <c r="O9" s="9" t="s">
        <v>22</v>
      </c>
      <c r="P9" s="9" t="s">
        <v>23</v>
      </c>
      <c r="Q9" s="9" t="s">
        <v>24</v>
      </c>
      <c r="R9" s="9" t="s">
        <v>25</v>
      </c>
      <c r="S9" s="8" t="s">
        <v>26</v>
      </c>
      <c r="T9" s="8" t="s">
        <v>27</v>
      </c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11" t="s">
        <v>28</v>
      </c>
      <c r="B10" s="11" t="s">
        <v>29</v>
      </c>
      <c r="C10" s="12" t="s">
        <v>30</v>
      </c>
      <c r="D10" s="11" t="s">
        <v>31</v>
      </c>
      <c r="E10" s="11" t="s">
        <v>32</v>
      </c>
      <c r="F10" s="13" t="s">
        <v>33</v>
      </c>
      <c r="G10" s="13" t="s">
        <v>34</v>
      </c>
      <c r="H10" s="13" t="s">
        <v>35</v>
      </c>
      <c r="I10" s="14" t="s">
        <v>36</v>
      </c>
      <c r="J10" s="15" t="s">
        <v>37</v>
      </c>
      <c r="K10" s="14" t="s">
        <v>38</v>
      </c>
      <c r="L10" s="15" t="s">
        <v>39</v>
      </c>
      <c r="M10" s="15" t="s">
        <v>40</v>
      </c>
      <c r="N10" s="15" t="s">
        <v>41</v>
      </c>
      <c r="O10" s="15" t="s">
        <v>42</v>
      </c>
      <c r="P10" s="15" t="s">
        <v>43</v>
      </c>
      <c r="Q10" s="15" t="s">
        <v>44</v>
      </c>
      <c r="R10" s="14" t="s">
        <v>45</v>
      </c>
      <c r="S10" s="11" t="s">
        <v>46</v>
      </c>
      <c r="T10" s="11" t="s">
        <v>47</v>
      </c>
    </row>
    <row r="12" customFormat="false" ht="15" hidden="false" customHeight="false" outlineLevel="0" collapsed="false">
      <c r="A12" s="16"/>
      <c r="B12" s="16"/>
      <c r="C12" s="16"/>
      <c r="D12" s="16"/>
      <c r="E12" s="16"/>
    </row>
  </sheetData>
  <mergeCells count="1">
    <mergeCell ref="C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140625" defaultRowHeight="15.75" zeroHeight="false" outlineLevelRow="0" outlineLevelCol="0"/>
  <cols>
    <col collapsed="false" customWidth="true" hidden="false" outlineLevel="0" max="1" min="1" style="0" width="27.07"/>
    <col collapsed="false" customWidth="true" hidden="false" outlineLevel="0" max="2" min="2" style="0" width="15.21"/>
    <col collapsed="false" customWidth="true" hidden="false" outlineLevel="0" max="3" min="3" style="0" width="19.07"/>
    <col collapsed="false" customWidth="true" hidden="false" outlineLevel="0" max="4" min="4" style="0" width="14.07"/>
    <col collapsed="false" customWidth="true" hidden="false" outlineLevel="0" max="7" min="5" style="0" width="32.07"/>
    <col collapsed="false" customWidth="true" hidden="false" outlineLevel="0" max="8" min="8" style="0" width="29.93"/>
    <col collapsed="false" customWidth="true" hidden="false" outlineLevel="0" max="9" min="9" style="0" width="31.42"/>
    <col collapsed="false" customWidth="true" hidden="false" outlineLevel="0" max="12" min="10" style="0" width="17.5"/>
  </cols>
  <sheetData>
    <row r="1" customFormat="false" ht="20.25" hidden="false" customHeight="false" outlineLevel="0" collapsed="false">
      <c r="A1" s="3" t="s">
        <v>48</v>
      </c>
      <c r="B1" s="3"/>
    </row>
    <row r="2" customFormat="false" ht="15.75" hidden="false" customHeight="false" outlineLevel="0" collapsed="false">
      <c r="A2" s="0" t="s">
        <v>49</v>
      </c>
    </row>
    <row r="3" customFormat="false" ht="15.75" hidden="false" customHeight="false" outlineLevel="0" collapsed="false">
      <c r="A3" s="0" t="s">
        <v>50</v>
      </c>
    </row>
    <row r="6" customFormat="false" ht="15.75" hidden="false" customHeight="false" outlineLevel="0" collapsed="false">
      <c r="E6" s="2"/>
      <c r="F6" s="2"/>
      <c r="G6" s="2"/>
    </row>
    <row r="7" s="22" customFormat="true" ht="47.25" hidden="false" customHeight="false" outlineLevel="0" collapsed="false">
      <c r="A7" s="17" t="s">
        <v>51</v>
      </c>
      <c r="B7" s="18" t="s">
        <v>11</v>
      </c>
      <c r="C7" s="19" t="s">
        <v>13</v>
      </c>
      <c r="D7" s="20" t="s">
        <v>52</v>
      </c>
      <c r="E7" s="19" t="s">
        <v>53</v>
      </c>
      <c r="F7" s="19" t="s">
        <v>54</v>
      </c>
      <c r="G7" s="19" t="s">
        <v>55</v>
      </c>
      <c r="H7" s="19" t="s">
        <v>56</v>
      </c>
      <c r="I7" s="21" t="s">
        <v>57</v>
      </c>
    </row>
    <row r="8" customFormat="false" ht="15.75" hidden="false" customHeight="false" outlineLevel="0" collapsed="false">
      <c r="A8" s="23" t="s">
        <v>58</v>
      </c>
      <c r="B8" s="24" t="s">
        <v>59</v>
      </c>
      <c r="C8" s="25" t="n">
        <v>44767.5196064815</v>
      </c>
      <c r="D8" s="11" t="n">
        <v>9609</v>
      </c>
      <c r="E8" s="11"/>
      <c r="F8" s="26"/>
      <c r="G8" s="27" t="n">
        <f aca="false">E8*365</f>
        <v>0</v>
      </c>
      <c r="H8" s="28" t="n">
        <v>0</v>
      </c>
      <c r="I8" s="29" t="n">
        <v>0</v>
      </c>
    </row>
    <row r="9" customFormat="false" ht="15.75" hidden="false" customHeight="false" outlineLevel="0" collapsed="false">
      <c r="A9" s="23" t="s">
        <v>60</v>
      </c>
      <c r="B9" s="24" t="s">
        <v>61</v>
      </c>
      <c r="C9" s="25" t="n">
        <v>44767.4700462963</v>
      </c>
      <c r="D9" s="11" t="n">
        <v>5518</v>
      </c>
      <c r="E9" s="11"/>
      <c r="F9" s="26"/>
      <c r="G9" s="27" t="n">
        <f aca="false">E9*365</f>
        <v>0</v>
      </c>
      <c r="H9" s="28" t="n">
        <v>0</v>
      </c>
      <c r="I9" s="29" t="n">
        <v>0</v>
      </c>
    </row>
    <row r="10" customFormat="false" ht="15.75" hidden="false" customHeight="false" outlineLevel="0" collapsed="false">
      <c r="A10" s="23" t="s">
        <v>62</v>
      </c>
      <c r="B10" s="24" t="s">
        <v>63</v>
      </c>
      <c r="C10" s="25" t="n">
        <v>44757.4942013889</v>
      </c>
      <c r="D10" s="11" t="n">
        <v>114</v>
      </c>
      <c r="E10" s="11"/>
      <c r="F10" s="26"/>
      <c r="G10" s="27" t="n">
        <f aca="false">E10*365</f>
        <v>0</v>
      </c>
      <c r="H10" s="28" t="n">
        <v>0</v>
      </c>
      <c r="I10" s="29" t="n">
        <v>0</v>
      </c>
    </row>
    <row r="11" customFormat="false" ht="15.75" hidden="false" customHeight="false" outlineLevel="0" collapsed="false">
      <c r="A11" s="23" t="s">
        <v>64</v>
      </c>
      <c r="B11" s="24" t="s">
        <v>65</v>
      </c>
      <c r="C11" s="25" t="n">
        <v>44764.5687731481</v>
      </c>
      <c r="D11" s="11" t="n">
        <v>2165</v>
      </c>
      <c r="E11" s="11"/>
      <c r="F11" s="26"/>
      <c r="G11" s="27" t="n">
        <f aca="false">E11*365</f>
        <v>0</v>
      </c>
      <c r="H11" s="28" t="n">
        <v>0</v>
      </c>
      <c r="I11" s="29" t="n">
        <v>0</v>
      </c>
    </row>
    <row r="12" customFormat="false" ht="15.75" hidden="false" customHeight="false" outlineLevel="0" collapsed="false">
      <c r="A12" s="23" t="s">
        <v>66</v>
      </c>
      <c r="B12" s="24" t="s">
        <v>67</v>
      </c>
      <c r="C12" s="25" t="n">
        <v>44757.5088194444</v>
      </c>
      <c r="D12" s="11" t="n">
        <v>4579</v>
      </c>
      <c r="E12" s="11"/>
      <c r="F12" s="26"/>
      <c r="G12" s="27" t="n">
        <f aca="false">E12*365</f>
        <v>0</v>
      </c>
      <c r="H12" s="28" t="n">
        <v>0</v>
      </c>
      <c r="I12" s="29" t="n">
        <v>0</v>
      </c>
    </row>
    <row r="13" customFormat="false" ht="15.75" hidden="false" customHeight="false" outlineLevel="0" collapsed="false">
      <c r="A13" s="23" t="s">
        <v>68</v>
      </c>
      <c r="B13" s="24" t="s">
        <v>69</v>
      </c>
      <c r="C13" s="25" t="n">
        <v>44421.4506597222</v>
      </c>
      <c r="D13" s="11" t="n">
        <v>4</v>
      </c>
      <c r="E13" s="11"/>
      <c r="F13" s="26"/>
      <c r="G13" s="27" t="n">
        <f aca="false">E13*365</f>
        <v>0</v>
      </c>
      <c r="H13" s="28" t="n">
        <v>0</v>
      </c>
      <c r="I13" s="29" t="n">
        <v>0</v>
      </c>
    </row>
    <row r="14" customFormat="false" ht="15.75" hidden="false" customHeight="false" outlineLevel="0" collapsed="false">
      <c r="A14" s="23" t="s">
        <v>70</v>
      </c>
      <c r="B14" s="24" t="s">
        <v>71</v>
      </c>
      <c r="C14" s="25" t="n">
        <v>44767.4393634259</v>
      </c>
      <c r="D14" s="11" t="n">
        <v>1656</v>
      </c>
      <c r="E14" s="11"/>
      <c r="F14" s="26"/>
      <c r="G14" s="27" t="n">
        <f aca="false">E14*365</f>
        <v>0</v>
      </c>
      <c r="H14" s="28" t="n">
        <v>0</v>
      </c>
      <c r="I14" s="29" t="n">
        <v>0</v>
      </c>
    </row>
    <row r="15" customFormat="false" ht="15.75" hidden="false" customHeight="false" outlineLevel="0" collapsed="false">
      <c r="A15" s="23" t="s">
        <v>72</v>
      </c>
      <c r="B15" s="24" t="s">
        <v>73</v>
      </c>
      <c r="C15" s="25" t="n">
        <v>44767.4445717593</v>
      </c>
      <c r="D15" s="11" t="n">
        <v>9103</v>
      </c>
      <c r="E15" s="11"/>
      <c r="F15" s="26"/>
      <c r="G15" s="27" t="n">
        <f aca="false">E15*365</f>
        <v>0</v>
      </c>
      <c r="H15" s="28" t="n">
        <v>0</v>
      </c>
      <c r="I15" s="29" t="n">
        <v>0</v>
      </c>
    </row>
    <row r="16" customFormat="false" ht="15.75" hidden="false" customHeight="false" outlineLevel="0" collapsed="false">
      <c r="A16" s="23" t="s">
        <v>74</v>
      </c>
      <c r="B16" s="24" t="s">
        <v>75</v>
      </c>
      <c r="C16" s="25" t="n">
        <v>44767.4584953704</v>
      </c>
      <c r="D16" s="11" t="n">
        <v>7193</v>
      </c>
      <c r="E16" s="11"/>
      <c r="F16" s="26"/>
      <c r="G16" s="27" t="n">
        <f aca="false">E16*365</f>
        <v>0</v>
      </c>
      <c r="H16" s="28" t="n">
        <v>0</v>
      </c>
      <c r="I16" s="29" t="n">
        <v>0</v>
      </c>
    </row>
    <row r="17" customFormat="false" ht="15.75" hidden="false" customHeight="false" outlineLevel="0" collapsed="false">
      <c r="A17" s="23" t="s">
        <v>76</v>
      </c>
      <c r="B17" s="24" t="s">
        <v>77</v>
      </c>
      <c r="C17" s="25" t="n">
        <v>44750.5144212963</v>
      </c>
      <c r="D17" s="11" t="n">
        <v>2530</v>
      </c>
      <c r="E17" s="11"/>
      <c r="F17" s="26"/>
      <c r="G17" s="27" t="n">
        <f aca="false">E17*365</f>
        <v>0</v>
      </c>
      <c r="H17" s="28" t="n">
        <v>0</v>
      </c>
      <c r="I17" s="29" t="n">
        <v>0</v>
      </c>
    </row>
    <row r="18" customFormat="false" ht="15.75" hidden="false" customHeight="false" outlineLevel="0" collapsed="false">
      <c r="A18" s="23" t="s">
        <v>78</v>
      </c>
      <c r="B18" s="24" t="s">
        <v>79</v>
      </c>
      <c r="C18" s="25" t="n">
        <v>44763.461875</v>
      </c>
      <c r="D18" s="11" t="n">
        <v>11</v>
      </c>
      <c r="E18" s="11"/>
      <c r="F18" s="26"/>
      <c r="G18" s="27" t="n">
        <f aca="false">E18*365</f>
        <v>0</v>
      </c>
      <c r="H18" s="28" t="n">
        <v>0</v>
      </c>
      <c r="I18" s="29" t="n">
        <v>0</v>
      </c>
    </row>
    <row r="19" customFormat="false" ht="15.75" hidden="false" customHeight="false" outlineLevel="0" collapsed="false">
      <c r="A19" s="23" t="s">
        <v>80</v>
      </c>
      <c r="B19" s="24" t="s">
        <v>81</v>
      </c>
      <c r="C19" s="25" t="n">
        <v>44764.7684375</v>
      </c>
      <c r="D19" s="11" t="n">
        <v>4310</v>
      </c>
      <c r="E19" s="11"/>
      <c r="F19" s="26"/>
      <c r="G19" s="27" t="n">
        <f aca="false">E19*365</f>
        <v>0</v>
      </c>
      <c r="H19" s="28" t="n">
        <v>0</v>
      </c>
      <c r="I19" s="29" t="n">
        <v>0</v>
      </c>
    </row>
    <row r="20" customFormat="false" ht="15.75" hidden="false" customHeight="false" outlineLevel="0" collapsed="false">
      <c r="A20" s="23" t="s">
        <v>82</v>
      </c>
      <c r="B20" s="24" t="s">
        <v>83</v>
      </c>
      <c r="C20" s="25" t="n">
        <v>44764.3677546296</v>
      </c>
      <c r="D20" s="11" t="n">
        <v>786</v>
      </c>
      <c r="E20" s="11"/>
      <c r="F20" s="26"/>
      <c r="G20" s="27" t="n">
        <f aca="false">E20*365</f>
        <v>0</v>
      </c>
      <c r="H20" s="28" t="n">
        <v>0</v>
      </c>
      <c r="I20" s="29" t="n">
        <v>0</v>
      </c>
    </row>
    <row r="21" customFormat="false" ht="15.75" hidden="false" customHeight="false" outlineLevel="0" collapsed="false">
      <c r="A21" s="23" t="s">
        <v>84</v>
      </c>
      <c r="B21" s="24" t="s">
        <v>85</v>
      </c>
      <c r="C21" s="25" t="n">
        <v>44763.3857986111</v>
      </c>
      <c r="D21" s="11" t="n">
        <v>14828</v>
      </c>
      <c r="E21" s="11"/>
      <c r="F21" s="26"/>
      <c r="G21" s="27" t="n">
        <f aca="false">E21*365</f>
        <v>0</v>
      </c>
      <c r="H21" s="28" t="n">
        <v>0</v>
      </c>
      <c r="I21" s="29" t="n">
        <v>0</v>
      </c>
    </row>
    <row r="22" customFormat="false" ht="15.75" hidden="false" customHeight="false" outlineLevel="0" collapsed="false">
      <c r="A22" s="23" t="s">
        <v>86</v>
      </c>
      <c r="B22" s="24" t="s">
        <v>87</v>
      </c>
      <c r="C22" s="25" t="n">
        <v>44090.5202199074</v>
      </c>
      <c r="D22" s="11" t="n">
        <v>4789</v>
      </c>
      <c r="E22" s="11"/>
      <c r="F22" s="26"/>
      <c r="G22" s="27" t="n">
        <f aca="false">E22*365</f>
        <v>0</v>
      </c>
      <c r="H22" s="28" t="n">
        <v>0</v>
      </c>
      <c r="I22" s="29" t="n">
        <v>0</v>
      </c>
    </row>
    <row r="23" customFormat="false" ht="15.75" hidden="false" customHeight="false" outlineLevel="0" collapsed="false">
      <c r="A23" s="23" t="s">
        <v>88</v>
      </c>
      <c r="B23" s="24" t="s">
        <v>89</v>
      </c>
      <c r="C23" s="25" t="n">
        <v>44764.5050694444</v>
      </c>
      <c r="D23" s="11" t="n">
        <v>1449</v>
      </c>
      <c r="E23" s="11"/>
      <c r="F23" s="26"/>
      <c r="G23" s="27" t="n">
        <f aca="false">E23*365</f>
        <v>0</v>
      </c>
      <c r="H23" s="28" t="n">
        <v>0</v>
      </c>
      <c r="I23" s="29" t="n">
        <v>0</v>
      </c>
    </row>
    <row r="24" customFormat="false" ht="15.75" hidden="false" customHeight="false" outlineLevel="0" collapsed="false">
      <c r="A24" s="23" t="s">
        <v>90</v>
      </c>
      <c r="B24" s="24" t="s">
        <v>91</v>
      </c>
      <c r="C24" s="25" t="n">
        <v>44622.6229976852</v>
      </c>
      <c r="D24" s="11" t="n">
        <v>3883</v>
      </c>
      <c r="E24" s="11"/>
      <c r="F24" s="26"/>
      <c r="G24" s="27" t="n">
        <f aca="false">E24*365</f>
        <v>0</v>
      </c>
      <c r="H24" s="28" t="n">
        <v>0</v>
      </c>
      <c r="I24" s="29" t="n">
        <v>0</v>
      </c>
    </row>
    <row r="25" customFormat="false" ht="15.75" hidden="false" customHeight="false" outlineLevel="0" collapsed="false">
      <c r="A25" s="23" t="s">
        <v>92</v>
      </c>
      <c r="B25" s="24" t="s">
        <v>93</v>
      </c>
      <c r="C25" s="25" t="n">
        <v>44767.4350462963</v>
      </c>
      <c r="D25" s="11" t="n">
        <v>1151</v>
      </c>
      <c r="E25" s="11"/>
      <c r="F25" s="26"/>
      <c r="G25" s="27" t="n">
        <f aca="false">E25*365</f>
        <v>0</v>
      </c>
      <c r="H25" s="28" t="n">
        <v>0</v>
      </c>
      <c r="I25" s="29" t="n">
        <v>0</v>
      </c>
    </row>
    <row r="26" customFormat="false" ht="15.75" hidden="false" customHeight="false" outlineLevel="0" collapsed="false">
      <c r="A26" s="23" t="s">
        <v>94</v>
      </c>
      <c r="B26" s="24" t="s">
        <v>95</v>
      </c>
      <c r="C26" s="25" t="n">
        <v>44767.4989583333</v>
      </c>
      <c r="D26" s="11" t="n">
        <v>15192</v>
      </c>
      <c r="E26" s="11"/>
      <c r="F26" s="26"/>
      <c r="G26" s="27" t="n">
        <f aca="false">E26*365</f>
        <v>0</v>
      </c>
      <c r="H26" s="28" t="n">
        <v>0</v>
      </c>
      <c r="I26" s="29" t="n">
        <v>0</v>
      </c>
    </row>
    <row r="27" customFormat="false" ht="15.75" hidden="false" customHeight="false" outlineLevel="0" collapsed="false">
      <c r="A27" s="23" t="s">
        <v>96</v>
      </c>
      <c r="B27" s="24" t="s">
        <v>97</v>
      </c>
      <c r="C27" s="25" t="n">
        <v>44705.5175</v>
      </c>
      <c r="D27" s="11" t="n">
        <v>799</v>
      </c>
      <c r="E27" s="11"/>
      <c r="F27" s="26"/>
      <c r="G27" s="27" t="n">
        <f aca="false">E27*365</f>
        <v>0</v>
      </c>
      <c r="H27" s="28" t="n">
        <v>0</v>
      </c>
      <c r="I27" s="29" t="n">
        <v>0</v>
      </c>
    </row>
    <row r="28" customFormat="false" ht="15.75" hidden="false" customHeight="false" outlineLevel="0" collapsed="false">
      <c r="A28" s="23" t="s">
        <v>98</v>
      </c>
      <c r="B28" s="24" t="s">
        <v>99</v>
      </c>
      <c r="C28" s="25" t="n">
        <v>44665.2380208333</v>
      </c>
      <c r="D28" s="11" t="n">
        <v>54</v>
      </c>
      <c r="E28" s="11"/>
      <c r="F28" s="26"/>
      <c r="G28" s="27" t="n">
        <f aca="false">E28*365</f>
        <v>0</v>
      </c>
      <c r="H28" s="28" t="n">
        <v>0</v>
      </c>
      <c r="I28" s="29" t="n">
        <v>0</v>
      </c>
    </row>
    <row r="29" customFormat="false" ht="15.75" hidden="false" customHeight="false" outlineLevel="0" collapsed="false">
      <c r="A29" s="23" t="s">
        <v>100</v>
      </c>
      <c r="B29" s="24" t="s">
        <v>101</v>
      </c>
      <c r="C29" s="25" t="n">
        <v>44764.6655555556</v>
      </c>
      <c r="D29" s="11" t="n">
        <v>730</v>
      </c>
      <c r="E29" s="11"/>
      <c r="F29" s="26"/>
      <c r="G29" s="27" t="n">
        <f aca="false">E29*365</f>
        <v>0</v>
      </c>
      <c r="H29" s="28" t="n">
        <v>0</v>
      </c>
      <c r="I29" s="29" t="n">
        <v>0</v>
      </c>
    </row>
    <row r="30" customFormat="false" ht="15.75" hidden="false" customHeight="false" outlineLevel="0" collapsed="false">
      <c r="A30" s="23" t="s">
        <v>102</v>
      </c>
      <c r="B30" s="24" t="s">
        <v>103</v>
      </c>
      <c r="C30" s="25" t="n">
        <v>44685.7503472222</v>
      </c>
      <c r="D30" s="11" t="n">
        <v>949</v>
      </c>
      <c r="E30" s="11"/>
      <c r="F30" s="26"/>
      <c r="G30" s="27" t="n">
        <f aca="false">E30*365</f>
        <v>0</v>
      </c>
      <c r="H30" s="28" t="n">
        <v>0</v>
      </c>
      <c r="I30" s="29" t="n">
        <v>0</v>
      </c>
    </row>
    <row r="31" customFormat="false" ht="15.75" hidden="false" customHeight="false" outlineLevel="0" collapsed="false">
      <c r="A31" s="23" t="s">
        <v>104</v>
      </c>
      <c r="B31" s="24" t="s">
        <v>105</v>
      </c>
      <c r="C31" s="25" t="n">
        <v>44762.5213078704</v>
      </c>
      <c r="D31" s="11" t="n">
        <v>16178</v>
      </c>
      <c r="E31" s="11"/>
      <c r="F31" s="26"/>
      <c r="G31" s="27" t="n">
        <f aca="false">E31*365</f>
        <v>0</v>
      </c>
      <c r="H31" s="28" t="n">
        <v>0</v>
      </c>
      <c r="I31" s="29" t="n">
        <v>0</v>
      </c>
    </row>
    <row r="32" customFormat="false" ht="15.75" hidden="false" customHeight="false" outlineLevel="0" collapsed="false">
      <c r="A32" s="23" t="s">
        <v>106</v>
      </c>
      <c r="B32" s="24" t="s">
        <v>107</v>
      </c>
      <c r="C32" s="25" t="n">
        <v>44767.4802083333</v>
      </c>
      <c r="D32" s="11" t="n">
        <v>12116</v>
      </c>
      <c r="E32" s="11"/>
      <c r="F32" s="26"/>
      <c r="G32" s="27" t="n">
        <f aca="false">E32*365</f>
        <v>0</v>
      </c>
      <c r="H32" s="28" t="n">
        <v>0</v>
      </c>
      <c r="I32" s="29" t="n">
        <v>0</v>
      </c>
    </row>
    <row r="33" customFormat="false" ht="15.75" hidden="false" customHeight="false" outlineLevel="0" collapsed="false">
      <c r="A33" s="23" t="s">
        <v>108</v>
      </c>
      <c r="B33" s="24" t="s">
        <v>109</v>
      </c>
      <c r="C33" s="25" t="n">
        <v>44764.5256134259</v>
      </c>
      <c r="D33" s="11" t="n">
        <v>5869</v>
      </c>
      <c r="E33" s="11"/>
      <c r="F33" s="26"/>
      <c r="G33" s="27" t="n">
        <f aca="false">E33*365</f>
        <v>0</v>
      </c>
      <c r="H33" s="28" t="n">
        <v>0</v>
      </c>
      <c r="I33" s="29" t="n">
        <v>0</v>
      </c>
    </row>
    <row r="34" customFormat="false" ht="15.75" hidden="false" customHeight="false" outlineLevel="0" collapsed="false">
      <c r="A34" s="23" t="s">
        <v>110</v>
      </c>
      <c r="B34" s="24" t="s">
        <v>111</v>
      </c>
      <c r="C34" s="25" t="n">
        <v>44657.4216319444</v>
      </c>
      <c r="D34" s="11" t="n">
        <v>38</v>
      </c>
      <c r="E34" s="11"/>
      <c r="F34" s="26"/>
      <c r="G34" s="27" t="n">
        <f aca="false">E34*365</f>
        <v>0</v>
      </c>
      <c r="H34" s="28" t="n">
        <v>0</v>
      </c>
      <c r="I34" s="29" t="n">
        <v>0</v>
      </c>
    </row>
    <row r="35" customFormat="false" ht="15.75" hidden="false" customHeight="false" outlineLevel="0" collapsed="false">
      <c r="A35" s="23" t="s">
        <v>112</v>
      </c>
      <c r="B35" s="24" t="s">
        <v>113</v>
      </c>
      <c r="C35" s="25" t="n">
        <v>44600.2772800926</v>
      </c>
      <c r="D35" s="11" t="n">
        <v>119</v>
      </c>
      <c r="E35" s="11"/>
      <c r="F35" s="26"/>
      <c r="G35" s="27" t="n">
        <f aca="false">E35*365</f>
        <v>0</v>
      </c>
      <c r="H35" s="28" t="n">
        <v>0</v>
      </c>
      <c r="I35" s="29" t="n">
        <v>0</v>
      </c>
    </row>
    <row r="36" customFormat="false" ht="15.75" hidden="false" customHeight="false" outlineLevel="0" collapsed="false">
      <c r="A36" s="23" t="s">
        <v>114</v>
      </c>
      <c r="B36" s="24" t="s">
        <v>115</v>
      </c>
      <c r="C36" s="25" t="n">
        <v>44767.4631134259</v>
      </c>
      <c r="D36" s="11" t="n">
        <v>768</v>
      </c>
      <c r="E36" s="11"/>
      <c r="F36" s="26"/>
      <c r="G36" s="27" t="n">
        <f aca="false">E36*365</f>
        <v>0</v>
      </c>
      <c r="H36" s="28" t="n">
        <v>0</v>
      </c>
      <c r="I36" s="29" t="n">
        <v>0</v>
      </c>
    </row>
    <row r="37" customFormat="false" ht="15.75" hidden="false" customHeight="false" outlineLevel="0" collapsed="false">
      <c r="A37" s="23" t="s">
        <v>116</v>
      </c>
      <c r="B37" s="24" t="s">
        <v>117</v>
      </c>
      <c r="C37" s="25" t="n">
        <v>44764.5069212963</v>
      </c>
      <c r="D37" s="11" t="n">
        <v>345</v>
      </c>
      <c r="E37" s="11"/>
      <c r="F37" s="26"/>
      <c r="G37" s="27" t="n">
        <f aca="false">E37*365</f>
        <v>0</v>
      </c>
      <c r="H37" s="28" t="n">
        <v>0</v>
      </c>
      <c r="I37" s="29" t="n">
        <v>0</v>
      </c>
    </row>
    <row r="38" customFormat="false" ht="15.75" hidden="false" customHeight="false" outlineLevel="0" collapsed="false">
      <c r="A38" s="23" t="s">
        <v>118</v>
      </c>
      <c r="B38" s="24" t="s">
        <v>119</v>
      </c>
      <c r="C38" s="25" t="n">
        <v>44767.2838657407</v>
      </c>
      <c r="D38" s="11" t="n">
        <v>1311</v>
      </c>
      <c r="E38" s="11"/>
      <c r="F38" s="26"/>
      <c r="G38" s="27" t="n">
        <f aca="false">E38*365</f>
        <v>0</v>
      </c>
      <c r="H38" s="28" t="n">
        <v>0</v>
      </c>
      <c r="I38" s="29" t="n">
        <v>0</v>
      </c>
    </row>
    <row r="39" customFormat="false" ht="15.75" hidden="false" customHeight="false" outlineLevel="0" collapsed="false">
      <c r="A39" s="23" t="s">
        <v>120</v>
      </c>
      <c r="B39" s="24" t="s">
        <v>121</v>
      </c>
      <c r="C39" s="25" t="n">
        <v>44755.3876157407</v>
      </c>
      <c r="D39" s="11" t="n">
        <v>2347</v>
      </c>
      <c r="E39" s="11"/>
      <c r="F39" s="26"/>
      <c r="G39" s="27" t="n">
        <f aca="false">E39*365</f>
        <v>0</v>
      </c>
      <c r="H39" s="28" t="n">
        <v>0</v>
      </c>
      <c r="I39" s="29" t="n">
        <v>0</v>
      </c>
    </row>
    <row r="40" customFormat="false" ht="15.75" hidden="false" customHeight="false" outlineLevel="0" collapsed="false">
      <c r="A40" s="23" t="s">
        <v>122</v>
      </c>
      <c r="B40" s="24" t="s">
        <v>123</v>
      </c>
      <c r="C40" s="25" t="n">
        <v>44354.5274652778</v>
      </c>
      <c r="D40" s="11" t="n">
        <v>2795</v>
      </c>
      <c r="E40" s="11"/>
      <c r="F40" s="26"/>
      <c r="G40" s="27" t="n">
        <f aca="false">E40*365</f>
        <v>0</v>
      </c>
      <c r="H40" s="28" t="n">
        <v>0</v>
      </c>
      <c r="I40" s="29" t="n">
        <v>0</v>
      </c>
    </row>
    <row r="41" customFormat="false" ht="15.75" hidden="false" customHeight="false" outlineLevel="0" collapsed="false">
      <c r="A41" s="23" t="s">
        <v>124</v>
      </c>
      <c r="B41" s="24" t="s">
        <v>125</v>
      </c>
      <c r="C41" s="25" t="n">
        <v>44368.5594097222</v>
      </c>
      <c r="D41" s="11" t="n">
        <v>2216</v>
      </c>
      <c r="E41" s="11"/>
      <c r="F41" s="26"/>
      <c r="G41" s="27" t="n">
        <f aca="false">E41*365</f>
        <v>0</v>
      </c>
      <c r="H41" s="28" t="n">
        <v>0</v>
      </c>
      <c r="I41" s="29" t="n">
        <v>0</v>
      </c>
    </row>
    <row r="42" customFormat="false" ht="15.75" hidden="false" customHeight="false" outlineLevel="0" collapsed="false">
      <c r="A42" s="23" t="s">
        <v>126</v>
      </c>
      <c r="B42" s="24" t="s">
        <v>127</v>
      </c>
      <c r="C42" s="25" t="n">
        <v>44764.4977893519</v>
      </c>
      <c r="D42" s="11" t="n">
        <v>796</v>
      </c>
      <c r="E42" s="11"/>
      <c r="F42" s="26"/>
      <c r="G42" s="27" t="n">
        <f aca="false">E42*365</f>
        <v>0</v>
      </c>
      <c r="H42" s="28" t="n">
        <v>0</v>
      </c>
      <c r="I42" s="29" t="n">
        <v>0</v>
      </c>
    </row>
    <row r="43" customFormat="false" ht="15.75" hidden="false" customHeight="false" outlineLevel="0" collapsed="false">
      <c r="A43" s="23" t="s">
        <v>128</v>
      </c>
      <c r="B43" s="24" t="s">
        <v>129</v>
      </c>
      <c r="C43" s="25" t="n">
        <v>44763.5920601852</v>
      </c>
      <c r="D43" s="11" t="n">
        <v>318</v>
      </c>
      <c r="E43" s="11"/>
      <c r="F43" s="26"/>
      <c r="G43" s="27" t="n">
        <f aca="false">E43*365</f>
        <v>0</v>
      </c>
      <c r="H43" s="28" t="n">
        <v>0</v>
      </c>
      <c r="I43" s="29" t="n">
        <v>0</v>
      </c>
    </row>
    <row r="44" customFormat="false" ht="15.75" hidden="false" customHeight="false" outlineLevel="0" collapsed="false">
      <c r="A44" s="23"/>
      <c r="B44" s="24"/>
      <c r="C44" s="25"/>
      <c r="D44" s="11"/>
      <c r="E44" s="11"/>
      <c r="F44" s="26"/>
      <c r="G44" s="27"/>
      <c r="H44" s="28"/>
      <c r="I44" s="29"/>
    </row>
    <row r="45" customFormat="false" ht="15.75" hidden="false" customHeight="false" outlineLevel="0" collapsed="false">
      <c r="A45" s="23"/>
      <c r="B45" s="24"/>
      <c r="C45" s="25"/>
      <c r="D45" s="11"/>
      <c r="E45" s="11"/>
      <c r="F45" s="26"/>
      <c r="G45" s="27"/>
      <c r="H45" s="28"/>
      <c r="I45" s="29"/>
    </row>
    <row r="46" customFormat="false" ht="15.75" hidden="false" customHeight="false" outlineLevel="0" collapsed="false">
      <c r="A46" s="23" t="s">
        <v>130</v>
      </c>
      <c r="B46" s="24"/>
      <c r="C46" s="25"/>
      <c r="D46" s="11" t="n">
        <v>12518</v>
      </c>
      <c r="E46" s="11" t="s">
        <v>131</v>
      </c>
      <c r="F46" s="26"/>
      <c r="G46" s="27" t="n">
        <f aca="false">E46*365</f>
        <v>0</v>
      </c>
      <c r="H46" s="28" t="n">
        <v>0</v>
      </c>
      <c r="I46" s="29"/>
    </row>
    <row r="47" customFormat="false" ht="15.75" hidden="false" customHeight="false" outlineLevel="0" collapsed="false">
      <c r="A47" s="23" t="s">
        <v>132</v>
      </c>
      <c r="B47" s="24"/>
      <c r="C47" s="25"/>
      <c r="D47" s="11" t="n">
        <v>18712</v>
      </c>
      <c r="E47" s="11" t="s">
        <v>131</v>
      </c>
      <c r="F47" s="26"/>
      <c r="G47" s="27" t="n">
        <f aca="false">E47*365</f>
        <v>0</v>
      </c>
      <c r="H47" s="28" t="n">
        <v>0</v>
      </c>
      <c r="I47" s="29"/>
    </row>
    <row r="48" customFormat="false" ht="15.75" hidden="false" customHeight="false" outlineLevel="0" collapsed="false">
      <c r="A48" s="23" t="s">
        <v>133</v>
      </c>
      <c r="B48" s="24"/>
      <c r="C48" s="25"/>
      <c r="D48" s="11" t="n">
        <v>5518</v>
      </c>
      <c r="E48" s="11" t="s">
        <v>131</v>
      </c>
      <c r="F48" s="26"/>
      <c r="G48" s="27" t="n">
        <f aca="false">E48*365</f>
        <v>0</v>
      </c>
      <c r="H48" s="28" t="n">
        <v>0</v>
      </c>
      <c r="I48" s="29"/>
    </row>
    <row r="49" customFormat="false" ht="15.75" hidden="false" customHeight="false" outlineLevel="0" collapsed="false">
      <c r="A49" s="23" t="s">
        <v>134</v>
      </c>
      <c r="B49" s="24"/>
      <c r="C49" s="25"/>
      <c r="D49" s="11" t="n">
        <v>14828</v>
      </c>
      <c r="E49" s="11" t="s">
        <v>131</v>
      </c>
      <c r="F49" s="26"/>
      <c r="G49" s="27" t="n">
        <f aca="false">E49*365</f>
        <v>0</v>
      </c>
      <c r="H49" s="28" t="n">
        <v>0</v>
      </c>
      <c r="I49" s="29"/>
    </row>
    <row r="50" customFormat="false" ht="15.75" hidden="false" customHeight="false" outlineLevel="0" collapsed="false">
      <c r="A50" s="23" t="s">
        <v>135</v>
      </c>
      <c r="B50" s="24"/>
      <c r="C50" s="25"/>
      <c r="D50" s="11" t="n">
        <v>7117</v>
      </c>
      <c r="E50" s="11" t="s">
        <v>131</v>
      </c>
      <c r="F50" s="26"/>
      <c r="G50" s="27" t="n">
        <f aca="false">E50*365</f>
        <v>0</v>
      </c>
      <c r="H50" s="28" t="n">
        <v>0</v>
      </c>
      <c r="I50" s="29"/>
    </row>
    <row r="51" customFormat="false" ht="15.75" hidden="false" customHeight="false" outlineLevel="0" collapsed="false">
      <c r="A51" s="23" t="s">
        <v>136</v>
      </c>
      <c r="B51" s="24"/>
      <c r="C51" s="25"/>
      <c r="D51" s="11" t="n">
        <v>47277</v>
      </c>
      <c r="E51" s="11" t="s">
        <v>131</v>
      </c>
      <c r="F51" s="26"/>
      <c r="G51" s="27" t="n">
        <f aca="false">E51*365</f>
        <v>0</v>
      </c>
      <c r="H51" s="28" t="n">
        <v>0</v>
      </c>
      <c r="I51" s="29"/>
    </row>
    <row r="52" customFormat="false" ht="15.75" hidden="false" customHeight="false" outlineLevel="0" collapsed="false">
      <c r="A52" s="23" t="s">
        <v>137</v>
      </c>
      <c r="B52" s="24"/>
      <c r="C52" s="25"/>
      <c r="D52" s="11" t="n">
        <v>730</v>
      </c>
      <c r="E52" s="11" t="s">
        <v>131</v>
      </c>
      <c r="F52" s="26"/>
      <c r="G52" s="27" t="n">
        <f aca="false">E52*365</f>
        <v>0</v>
      </c>
      <c r="H52" s="28" t="n">
        <v>0</v>
      </c>
      <c r="I52" s="29"/>
    </row>
    <row r="53" customFormat="false" ht="15.75" hidden="false" customHeight="false" outlineLevel="0" collapsed="false">
      <c r="A53" s="23" t="s">
        <v>138</v>
      </c>
      <c r="B53" s="24"/>
      <c r="C53" s="25"/>
      <c r="D53" s="11" t="n">
        <v>5096</v>
      </c>
      <c r="E53" s="11" t="s">
        <v>131</v>
      </c>
      <c r="F53" s="26"/>
      <c r="G53" s="27" t="n">
        <f aca="false">E53*365</f>
        <v>0</v>
      </c>
      <c r="H53" s="28" t="n">
        <v>0</v>
      </c>
      <c r="I53" s="29"/>
    </row>
    <row r="54" customFormat="false" ht="15.75" hidden="false" customHeight="false" outlineLevel="0" collapsed="false">
      <c r="A54" s="23" t="s">
        <v>139</v>
      </c>
      <c r="B54" s="24"/>
      <c r="C54" s="25"/>
      <c r="D54" s="11" t="n">
        <v>4747</v>
      </c>
      <c r="E54" s="11" t="s">
        <v>131</v>
      </c>
      <c r="F54" s="26"/>
      <c r="G54" s="27" t="n">
        <f aca="false">E54*365</f>
        <v>0</v>
      </c>
      <c r="H54" s="28" t="n">
        <v>0</v>
      </c>
      <c r="I54" s="29"/>
    </row>
    <row r="55" customFormat="false" ht="15.75" hidden="false" customHeight="false" outlineLevel="0" collapsed="false">
      <c r="A55" s="23" t="s">
        <v>140</v>
      </c>
      <c r="B55" s="24"/>
      <c r="C55" s="25"/>
      <c r="D55" s="11" t="n">
        <v>14463</v>
      </c>
      <c r="E55" s="11" t="s">
        <v>131</v>
      </c>
      <c r="F55" s="26"/>
      <c r="G55" s="27" t="n">
        <f aca="false">E55*365</f>
        <v>0</v>
      </c>
      <c r="H55" s="28" t="n">
        <v>0</v>
      </c>
      <c r="I55" s="29"/>
    </row>
    <row r="56" customFormat="false" ht="15.75" hidden="false" customHeight="false" outlineLevel="0" collapsed="false">
      <c r="A56" s="23" t="s">
        <v>141</v>
      </c>
      <c r="B56" s="24"/>
      <c r="C56" s="25"/>
      <c r="D56" s="11" t="n">
        <v>5612</v>
      </c>
      <c r="E56" s="11" t="s">
        <v>131</v>
      </c>
      <c r="F56" s="26"/>
      <c r="G56" s="27" t="n">
        <f aca="false">E56*365</f>
        <v>0</v>
      </c>
      <c r="H56" s="28" t="n">
        <v>0</v>
      </c>
      <c r="I56" s="29"/>
    </row>
    <row r="57" customFormat="false" ht="15.75" hidden="false" customHeight="false" outlineLevel="0" collapsed="false">
      <c r="A57" s="23"/>
      <c r="B57" s="24"/>
      <c r="C57" s="25"/>
      <c r="D57" s="11"/>
      <c r="E57" s="11"/>
      <c r="F57" s="26"/>
      <c r="G57" s="27"/>
      <c r="H57" s="28"/>
      <c r="I57" s="29"/>
    </row>
    <row r="58" customFormat="false" ht="15.75" hidden="false" customHeight="false" outlineLevel="0" collapsed="false">
      <c r="A58" s="23" t="s">
        <v>26</v>
      </c>
      <c r="B58" s="24"/>
      <c r="C58" s="25"/>
      <c r="D58" s="11" t="n">
        <v>136618</v>
      </c>
      <c r="E58" s="11" t="s">
        <v>131</v>
      </c>
      <c r="F58" s="26"/>
      <c r="G58" s="27" t="n">
        <f aca="false">E58*365</f>
        <v>0</v>
      </c>
      <c r="H58" s="28" t="n">
        <v>0</v>
      </c>
      <c r="I58" s="29"/>
    </row>
    <row r="59" customFormat="false" ht="15.75" hidden="false" customHeight="false" outlineLevel="0" collapsed="false">
      <c r="A59" s="30" t="s">
        <v>142</v>
      </c>
      <c r="B59" s="31"/>
    </row>
    <row r="60" customFormat="false" ht="15.75" hidden="false" customHeight="false" outlineLevel="0" collapsed="false">
      <c r="A60" s="30" t="s">
        <v>143</v>
      </c>
    </row>
    <row r="62" customFormat="false" ht="15.75" hidden="false" customHeight="false" outlineLevel="0" collapsed="false">
      <c r="A62" s="16"/>
      <c r="B62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5234375" defaultRowHeight="15.75" zeroHeight="false" outlineLevelRow="0" outlineLevelCol="0"/>
  <cols>
    <col collapsed="false" customWidth="true" hidden="false" outlineLevel="0" max="1" min="1" style="0" width="40.93"/>
    <col collapsed="false" customWidth="true" hidden="false" outlineLevel="0" max="37" min="2" style="0" width="28.5"/>
  </cols>
  <sheetData>
    <row r="1" customFormat="false" ht="20.25" hidden="false" customHeight="false" outlineLevel="0" collapsed="false">
      <c r="A1" s="3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15.75" hidden="false" customHeight="false" outlineLevel="0" collapsed="false">
      <c r="A2" s="0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customFormat="false" ht="15.75" hidden="false" customHeight="false" outlineLevel="0" collapsed="false">
      <c r="A3" s="0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Format="false" ht="15.75" hidden="false" customHeight="fals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Format="false" ht="15.75" hidden="false" customHeight="fals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Format="false" ht="15.7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Format="false" ht="15.75" hidden="false" customHeight="false" outlineLevel="0" collapsed="false">
      <c r="A7" s="32"/>
      <c r="B7" s="33" t="s">
        <v>58</v>
      </c>
      <c r="C7" s="33" t="s">
        <v>60</v>
      </c>
      <c r="D7" s="33" t="s">
        <v>62</v>
      </c>
      <c r="E7" s="33" t="s">
        <v>64</v>
      </c>
      <c r="F7" s="33" t="s">
        <v>66</v>
      </c>
      <c r="G7" s="33" t="s">
        <v>68</v>
      </c>
      <c r="H7" s="33" t="s">
        <v>70</v>
      </c>
      <c r="I7" s="33" t="s">
        <v>72</v>
      </c>
      <c r="J7" s="33" t="s">
        <v>74</v>
      </c>
      <c r="K7" s="33" t="s">
        <v>76</v>
      </c>
      <c r="L7" s="33" t="s">
        <v>78</v>
      </c>
      <c r="M7" s="33" t="s">
        <v>80</v>
      </c>
      <c r="N7" s="33" t="s">
        <v>82</v>
      </c>
      <c r="O7" s="33" t="s">
        <v>84</v>
      </c>
      <c r="P7" s="33" t="s">
        <v>86</v>
      </c>
      <c r="Q7" s="33" t="s">
        <v>88</v>
      </c>
      <c r="R7" s="33" t="s">
        <v>90</v>
      </c>
      <c r="S7" s="33" t="s">
        <v>92</v>
      </c>
      <c r="T7" s="33" t="s">
        <v>94</v>
      </c>
      <c r="U7" s="33" t="s">
        <v>96</v>
      </c>
      <c r="V7" s="33" t="s">
        <v>98</v>
      </c>
      <c r="W7" s="33" t="s">
        <v>100</v>
      </c>
      <c r="X7" s="33" t="s">
        <v>102</v>
      </c>
      <c r="Y7" s="33" t="s">
        <v>104</v>
      </c>
      <c r="Z7" s="33" t="s">
        <v>106</v>
      </c>
      <c r="AA7" s="33" t="s">
        <v>108</v>
      </c>
      <c r="AB7" s="33" t="s">
        <v>110</v>
      </c>
      <c r="AC7" s="33" t="s">
        <v>112</v>
      </c>
      <c r="AD7" s="33" t="s">
        <v>114</v>
      </c>
      <c r="AE7" s="33" t="s">
        <v>116</v>
      </c>
      <c r="AF7" s="33" t="s">
        <v>118</v>
      </c>
      <c r="AG7" s="33" t="s">
        <v>120</v>
      </c>
      <c r="AH7" s="33" t="s">
        <v>122</v>
      </c>
      <c r="AI7" s="33" t="s">
        <v>124</v>
      </c>
      <c r="AJ7" s="33" t="s">
        <v>126</v>
      </c>
      <c r="AK7" s="33" t="s">
        <v>128</v>
      </c>
    </row>
    <row r="8" customFormat="false" ht="15.75" hidden="false" customHeight="false" outlineLevel="0" collapsed="false">
      <c r="A8" s="34" t="s">
        <v>146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customFormat="false" ht="15.75" hidden="false" customHeight="false" outlineLevel="0" collapsed="false">
      <c r="A9" s="36" t="s">
        <v>147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</row>
    <row r="10" customFormat="false" ht="15.75" hidden="false" customHeight="false" outlineLevel="0" collapsed="false">
      <c r="A10" s="36" t="s">
        <v>148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 customFormat="false" ht="15.75" hidden="false" customHeight="false" outlineLevel="0" collapsed="false">
      <c r="A11" s="36" t="s">
        <v>149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customFormat="false" ht="15.75" hidden="false" customHeight="false" outlineLevel="0" collapsed="false">
      <c r="A12" s="37" t="s">
        <v>150</v>
      </c>
      <c r="B12" s="38" t="n">
        <f aca="false">IF(B9=0,0,B10/B9)</f>
        <v>0</v>
      </c>
      <c r="C12" s="38" t="n">
        <f aca="false">IF(C9=0,0,C10/C9)</f>
        <v>0</v>
      </c>
      <c r="D12" s="38" t="n">
        <f aca="false">IF(D9=0,0,D10/D9)</f>
        <v>0</v>
      </c>
      <c r="E12" s="38" t="n">
        <f aca="false">IF(E9=0,0,E10/E9)</f>
        <v>0</v>
      </c>
      <c r="F12" s="38" t="n">
        <f aca="false">IF(F9=0,0,F10/F9)</f>
        <v>0</v>
      </c>
      <c r="G12" s="38" t="n">
        <f aca="false">IF(G9=0,0,G10/G9)</f>
        <v>0</v>
      </c>
      <c r="H12" s="38" t="n">
        <f aca="false">IF(H9=0,0,H10/H9)</f>
        <v>0</v>
      </c>
      <c r="I12" s="38" t="n">
        <f aca="false">IF(I9=0,0,I10/I9)</f>
        <v>0</v>
      </c>
      <c r="J12" s="38" t="n">
        <f aca="false">IF(J9=0,0,J10/J9)</f>
        <v>0</v>
      </c>
      <c r="K12" s="38" t="n">
        <f aca="false">IF(K9=0,0,K10/K9)</f>
        <v>0</v>
      </c>
      <c r="L12" s="38" t="n">
        <f aca="false">IF(L9=0,0,L10/L9)</f>
        <v>0</v>
      </c>
      <c r="M12" s="38" t="n">
        <f aca="false">IF(M9=0,0,M10/M9)</f>
        <v>0</v>
      </c>
      <c r="N12" s="38" t="n">
        <f aca="false">IF(N9=0,0,N10/N9)</f>
        <v>0</v>
      </c>
      <c r="O12" s="38" t="n">
        <f aca="false">IF(O9=0,0,O10/O9)</f>
        <v>0</v>
      </c>
      <c r="P12" s="38" t="n">
        <f aca="false">IF(P9=0,0,P10/P9)</f>
        <v>0</v>
      </c>
      <c r="Q12" s="38" t="n">
        <f aca="false">IF(Q9=0,0,Q10/Q9)</f>
        <v>0</v>
      </c>
      <c r="R12" s="38" t="n">
        <f aca="false">IF(R9=0,0,R10/R9)</f>
        <v>0</v>
      </c>
      <c r="S12" s="38" t="n">
        <f aca="false">IF(S9=0,0,S10/S9)</f>
        <v>0</v>
      </c>
      <c r="T12" s="38" t="n">
        <f aca="false">IF(T9=0,0,T10/T9)</f>
        <v>0</v>
      </c>
      <c r="U12" s="38" t="n">
        <f aca="false">IF(U9=0,0,U10/U9)</f>
        <v>0</v>
      </c>
      <c r="V12" s="38" t="n">
        <f aca="false">IF(V9=0,0,V10/V9)</f>
        <v>0</v>
      </c>
      <c r="W12" s="38" t="n">
        <f aca="false">IF(W9=0,0,W10/W9)</f>
        <v>0</v>
      </c>
      <c r="X12" s="38" t="n">
        <f aca="false">IF(X9=0,0,X10/X9)</f>
        <v>0</v>
      </c>
      <c r="Y12" s="38" t="n">
        <f aca="false">IF(Y9=0,0,Y10/Y9)</f>
        <v>0</v>
      </c>
      <c r="Z12" s="38" t="n">
        <f aca="false">IF(Z9=0,0,Z10/Z9)</f>
        <v>0</v>
      </c>
      <c r="AA12" s="38" t="n">
        <f aca="false">IF(AA9=0,0,AA10/AA9)</f>
        <v>0</v>
      </c>
      <c r="AB12" s="38" t="n">
        <f aca="false">IF(AB9=0,0,AB10/AB9)</f>
        <v>0</v>
      </c>
      <c r="AC12" s="38" t="n">
        <f aca="false">IF(AC9=0,0,AC10/AC9)</f>
        <v>0</v>
      </c>
      <c r="AD12" s="38" t="n">
        <f aca="false">IF(AD9=0,0,AD10/AD9)</f>
        <v>0</v>
      </c>
      <c r="AE12" s="38" t="n">
        <f aca="false">IF(AE9=0,0,AE10/AE9)</f>
        <v>0</v>
      </c>
      <c r="AF12" s="38" t="n">
        <f aca="false">IF(AF9=0,0,AF10/AF9)</f>
        <v>0</v>
      </c>
      <c r="AG12" s="38" t="n">
        <f aca="false">IF(AG9=0,0,AG10/AG9)</f>
        <v>0</v>
      </c>
      <c r="AH12" s="38" t="n">
        <f aca="false">IF(AH9=0,0,AH10/AH9)</f>
        <v>0</v>
      </c>
      <c r="AI12" s="38" t="n">
        <f aca="false">IF(AI9=0,0,AI10/AI9)</f>
        <v>0</v>
      </c>
      <c r="AJ12" s="38" t="n">
        <f aca="false">IF(AJ9=0,0,AJ10/AJ9)</f>
        <v>0</v>
      </c>
      <c r="AK12" s="38" t="n">
        <f aca="false">IF(AK9=0,0,AK10/AK9)</f>
        <v>0</v>
      </c>
    </row>
    <row r="13" customFormat="false" ht="15.75" hidden="false" customHeight="false" outlineLevel="0" collapsed="false">
      <c r="A13" s="39" t="s">
        <v>151</v>
      </c>
      <c r="B13" s="40" t="n">
        <f aca="false">B15+B16+B17+B21+B22</f>
        <v>9335</v>
      </c>
      <c r="C13" s="40" t="n">
        <f aca="false">C15+C16+C17+C21+C22</f>
        <v>5330</v>
      </c>
      <c r="D13" s="40" t="n">
        <f aca="false">D15+D16+D17+D21+D22</f>
        <v>109</v>
      </c>
      <c r="E13" s="40" t="n">
        <f aca="false">E15+E16+E17+E21+E22</f>
        <v>2103</v>
      </c>
      <c r="F13" s="40" t="n">
        <f aca="false">F15+F16+F17+F21+F22</f>
        <v>4391</v>
      </c>
      <c r="G13" s="40" t="n">
        <f aca="false">G15+G16+G17+G21+G22</f>
        <v>4</v>
      </c>
      <c r="H13" s="40" t="n">
        <f aca="false">H15+H16+H17+H21+H22</f>
        <v>1601</v>
      </c>
      <c r="I13" s="40" t="n">
        <f aca="false">I15+I16+I17+I21+I22</f>
        <v>8895</v>
      </c>
      <c r="J13" s="40" t="n">
        <f aca="false">J15+J16+J17+J21+J22</f>
        <v>6934</v>
      </c>
      <c r="K13" s="40" t="n">
        <f aca="false">K15+K16+K17+K21+K22</f>
        <v>2499</v>
      </c>
      <c r="L13" s="40" t="n">
        <f aca="false">L15+L16+L17+L21+L22</f>
        <v>11</v>
      </c>
      <c r="M13" s="40" t="n">
        <f aca="false">M15+M16+M17+M21+M22</f>
        <v>4182</v>
      </c>
      <c r="N13" s="40" t="n">
        <f aca="false">N15+N16+N17+N21+N22</f>
        <v>762</v>
      </c>
      <c r="O13" s="40" t="n">
        <f aca="false">O15+O16+O17+O21+O22</f>
        <v>14327</v>
      </c>
      <c r="P13" s="40" t="n">
        <f aca="false">P15+P16+P17+P21+P22</f>
        <v>4706</v>
      </c>
      <c r="Q13" s="40" t="n">
        <f aca="false">Q15+Q16+Q17+Q21+Q22</f>
        <v>1411</v>
      </c>
      <c r="R13" s="40" t="n">
        <f aca="false">R15+R16+R17+R21+R22</f>
        <v>3798</v>
      </c>
      <c r="S13" s="40" t="n">
        <f aca="false">S15+S16+S17+S21+S22</f>
        <v>1127</v>
      </c>
      <c r="T13" s="40" t="n">
        <f aca="false">T15+T16+T17+T21+T22</f>
        <v>14911</v>
      </c>
      <c r="U13" s="40" t="n">
        <f aca="false">U15+U16+U17+U21+U22</f>
        <v>744</v>
      </c>
      <c r="V13" s="40" t="n">
        <f aca="false">V15+V16+V17+V21+V22</f>
        <v>49</v>
      </c>
      <c r="W13" s="40" t="n">
        <f aca="false">W15+W16+W17+W21+W22</f>
        <v>707</v>
      </c>
      <c r="X13" s="40" t="n">
        <f aca="false">X15+X16+X17+X21+X22</f>
        <v>935</v>
      </c>
      <c r="Y13" s="40" t="n">
        <f aca="false">Y15+Y16+Y17+Y21+Y22</f>
        <v>15621</v>
      </c>
      <c r="Z13" s="40" t="n">
        <f aca="false">Z15+Z16+Z17+Z21+Z22</f>
        <v>11714</v>
      </c>
      <c r="AA13" s="40" t="n">
        <f aca="false">AA15+AA16+AA17+AA21+AA22</f>
        <v>5698</v>
      </c>
      <c r="AB13" s="40" t="n">
        <f aca="false">AB15+AB16+AB17+AB21+AB22</f>
        <v>38</v>
      </c>
      <c r="AC13" s="40" t="n">
        <f aca="false">AC15+AC16+AC17+AC21+AC22</f>
        <v>114</v>
      </c>
      <c r="AD13" s="40" t="n">
        <f aca="false">AD15+AD16+AD17+AD21+AD22</f>
        <v>745</v>
      </c>
      <c r="AE13" s="40" t="n">
        <f aca="false">AE15+AE16+AE17+AE21+AE22</f>
        <v>329</v>
      </c>
      <c r="AF13" s="40" t="n">
        <f aca="false">AF15+AF16+AF17+AF21+AF22</f>
        <v>1262</v>
      </c>
      <c r="AG13" s="40" t="n">
        <f aca="false">AG15+AG16+AG17+AG21+AG22</f>
        <v>2301</v>
      </c>
      <c r="AH13" s="40" t="n">
        <f aca="false">AH15+AH16+AH17+AH21+AH22</f>
        <v>2736</v>
      </c>
      <c r="AI13" s="40" t="n">
        <f aca="false">AI15+AI16+AI17+AI21+AI22</f>
        <v>2133</v>
      </c>
      <c r="AJ13" s="40" t="n">
        <f aca="false">AJ15+AJ16+AJ17+AJ21+AJ22</f>
        <v>758</v>
      </c>
      <c r="AK13" s="40" t="n">
        <f aca="false">AK15+AK16+AK17+AK21+AK22</f>
        <v>306</v>
      </c>
    </row>
    <row r="14" customFormat="false" ht="15.75" hidden="false" customHeight="false" outlineLevel="0" collapsed="false">
      <c r="A14" s="36" t="s">
        <v>152</v>
      </c>
      <c r="B14" s="41" t="n">
        <f aca="false">IF(B11=0,0,B13/B11)</f>
        <v>0</v>
      </c>
      <c r="C14" s="41" t="n">
        <f aca="false">IF(C11=0,0,C13/C11)</f>
        <v>0</v>
      </c>
      <c r="D14" s="41" t="n">
        <f aca="false">IF(D11=0,0,D13/D11)</f>
        <v>0</v>
      </c>
      <c r="E14" s="41" t="n">
        <f aca="false">IF(E11=0,0,E13/E11)</f>
        <v>0</v>
      </c>
      <c r="F14" s="41" t="n">
        <f aca="false">IF(F11=0,0,F13/F11)</f>
        <v>0</v>
      </c>
      <c r="G14" s="41" t="n">
        <f aca="false">IF(G11=0,0,G13/G11)</f>
        <v>0</v>
      </c>
      <c r="H14" s="41" t="n">
        <f aca="false">IF(H11=0,0,H13/H11)</f>
        <v>0</v>
      </c>
      <c r="I14" s="41" t="n">
        <f aca="false">IF(I11=0,0,I13/I11)</f>
        <v>0</v>
      </c>
      <c r="J14" s="41" t="n">
        <f aca="false">IF(J11=0,0,J13/J11)</f>
        <v>0</v>
      </c>
      <c r="K14" s="41" t="n">
        <f aca="false">IF(K11=0,0,K13/K11)</f>
        <v>0</v>
      </c>
      <c r="L14" s="41" t="n">
        <f aca="false">IF(L11=0,0,L13/L11)</f>
        <v>0</v>
      </c>
      <c r="M14" s="41" t="n">
        <f aca="false">IF(M11=0,0,M13/M11)</f>
        <v>0</v>
      </c>
      <c r="N14" s="41" t="n">
        <f aca="false">IF(N11=0,0,N13/N11)</f>
        <v>0</v>
      </c>
      <c r="O14" s="41" t="n">
        <f aca="false">IF(O11=0,0,O13/O11)</f>
        <v>0</v>
      </c>
      <c r="P14" s="41" t="n">
        <f aca="false">IF(P11=0,0,P13/P11)</f>
        <v>0</v>
      </c>
      <c r="Q14" s="41" t="n">
        <f aca="false">IF(Q11=0,0,Q13/Q11)</f>
        <v>0</v>
      </c>
      <c r="R14" s="41" t="n">
        <f aca="false">IF(R11=0,0,R13/R11)</f>
        <v>0</v>
      </c>
      <c r="S14" s="41" t="n">
        <f aca="false">IF(S11=0,0,S13/S11)</f>
        <v>0</v>
      </c>
      <c r="T14" s="41" t="n">
        <f aca="false">IF(T11=0,0,T13/T11)</f>
        <v>0</v>
      </c>
      <c r="U14" s="41" t="n">
        <f aca="false">IF(U11=0,0,U13/U11)</f>
        <v>0</v>
      </c>
      <c r="V14" s="41" t="n">
        <f aca="false">IF(V11=0,0,V13/V11)</f>
        <v>0</v>
      </c>
      <c r="W14" s="41" t="n">
        <f aca="false">IF(W11=0,0,W13/W11)</f>
        <v>0</v>
      </c>
      <c r="X14" s="41" t="n">
        <f aca="false">IF(X11=0,0,X13/X11)</f>
        <v>0</v>
      </c>
      <c r="Y14" s="41" t="n">
        <f aca="false">IF(Y11=0,0,Y13/Y11)</f>
        <v>0</v>
      </c>
      <c r="Z14" s="41" t="n">
        <f aca="false">IF(Z11=0,0,Z13/Z11)</f>
        <v>0</v>
      </c>
      <c r="AA14" s="41" t="n">
        <f aca="false">IF(AA11=0,0,AA13/AA11)</f>
        <v>0</v>
      </c>
      <c r="AB14" s="41" t="n">
        <f aca="false">IF(AB11=0,0,AB13/AB11)</f>
        <v>0</v>
      </c>
      <c r="AC14" s="41" t="n">
        <f aca="false">IF(AC11=0,0,AC13/AC11)</f>
        <v>0</v>
      </c>
      <c r="AD14" s="41" t="n">
        <f aca="false">IF(AD11=0,0,AD13/AD11)</f>
        <v>0</v>
      </c>
      <c r="AE14" s="41" t="n">
        <f aca="false">IF(AE11=0,0,AE13/AE11)</f>
        <v>0</v>
      </c>
      <c r="AF14" s="41" t="n">
        <f aca="false">IF(AF11=0,0,AF13/AF11)</f>
        <v>0</v>
      </c>
      <c r="AG14" s="41" t="n">
        <f aca="false">IF(AG11=0,0,AG13/AG11)</f>
        <v>0</v>
      </c>
      <c r="AH14" s="41" t="n">
        <f aca="false">IF(AH11=0,0,AH13/AH11)</f>
        <v>0</v>
      </c>
      <c r="AI14" s="41" t="n">
        <f aca="false">IF(AI11=0,0,AI13/AI11)</f>
        <v>0</v>
      </c>
      <c r="AJ14" s="41" t="n">
        <f aca="false">IF(AJ11=0,0,AJ13/AJ11)</f>
        <v>0</v>
      </c>
      <c r="AK14" s="41" t="n">
        <f aca="false">IF(AK11=0,0,AK13/AK11)</f>
        <v>0</v>
      </c>
    </row>
    <row r="15" customFormat="false" ht="15.75" hidden="false" customHeight="false" outlineLevel="0" collapsed="false">
      <c r="A15" s="36" t="s">
        <v>153</v>
      </c>
      <c r="B15" s="35" t="n">
        <v>808</v>
      </c>
      <c r="C15" s="35" t="n">
        <v>421</v>
      </c>
      <c r="D15" s="35" t="n">
        <v>10</v>
      </c>
      <c r="E15" s="35" t="n">
        <v>114</v>
      </c>
      <c r="F15" s="35" t="n">
        <v>236</v>
      </c>
      <c r="G15" s="35" t="n">
        <v>0</v>
      </c>
      <c r="H15" s="35" t="n">
        <v>88</v>
      </c>
      <c r="I15" s="35" t="n">
        <v>594</v>
      </c>
      <c r="J15" s="35" t="n">
        <v>177</v>
      </c>
      <c r="K15" s="35" t="n">
        <v>117</v>
      </c>
      <c r="L15" s="35" t="n">
        <v>0</v>
      </c>
      <c r="M15" s="35" t="n">
        <v>134</v>
      </c>
      <c r="N15" s="35" t="n">
        <v>34</v>
      </c>
      <c r="O15" s="35" t="n">
        <v>772</v>
      </c>
      <c r="P15" s="35" t="n">
        <v>155</v>
      </c>
      <c r="Q15" s="35" t="n">
        <v>69</v>
      </c>
      <c r="R15" s="35" t="n">
        <v>241</v>
      </c>
      <c r="S15" s="35" t="n">
        <v>24</v>
      </c>
      <c r="T15" s="35" t="n">
        <v>438</v>
      </c>
      <c r="U15" s="35" t="n">
        <v>15</v>
      </c>
      <c r="V15" s="35" t="n">
        <v>14</v>
      </c>
      <c r="W15" s="35" t="n">
        <v>52</v>
      </c>
      <c r="X15" s="35" t="n">
        <v>23</v>
      </c>
      <c r="Y15" s="35" t="n">
        <v>1342</v>
      </c>
      <c r="Z15" s="35" t="n">
        <v>866</v>
      </c>
      <c r="AA15" s="35" t="n">
        <v>387</v>
      </c>
      <c r="AB15" s="35" t="n">
        <v>2</v>
      </c>
      <c r="AC15" s="35" t="n">
        <v>10</v>
      </c>
      <c r="AD15" s="35" t="n">
        <v>39</v>
      </c>
      <c r="AE15" s="35" t="n">
        <v>12</v>
      </c>
      <c r="AF15" s="35" t="n">
        <v>94</v>
      </c>
      <c r="AG15" s="35" t="n">
        <v>112</v>
      </c>
      <c r="AH15" s="35" t="n">
        <v>59</v>
      </c>
      <c r="AI15" s="35" t="n">
        <v>67</v>
      </c>
      <c r="AJ15" s="35" t="n">
        <v>78</v>
      </c>
      <c r="AK15" s="35" t="n">
        <v>35</v>
      </c>
    </row>
    <row r="16" customFormat="false" ht="15.75" hidden="false" customHeight="false" outlineLevel="0" collapsed="false">
      <c r="A16" s="36" t="s">
        <v>154</v>
      </c>
      <c r="B16" s="35" t="n">
        <v>8272</v>
      </c>
      <c r="C16" s="35" t="n">
        <v>4711</v>
      </c>
      <c r="D16" s="35" t="n">
        <v>93</v>
      </c>
      <c r="E16" s="35" t="n">
        <v>1905</v>
      </c>
      <c r="F16" s="35" t="n">
        <v>4039</v>
      </c>
      <c r="G16" s="35" t="n">
        <v>4</v>
      </c>
      <c r="H16" s="35" t="n">
        <v>1424</v>
      </c>
      <c r="I16" s="35" t="n">
        <v>8163</v>
      </c>
      <c r="J16" s="35" t="n">
        <v>6473</v>
      </c>
      <c r="K16" s="35" t="n">
        <v>2326</v>
      </c>
      <c r="L16" s="35" t="n">
        <v>11</v>
      </c>
      <c r="M16" s="35" t="n">
        <v>3945</v>
      </c>
      <c r="N16" s="35" t="n">
        <v>704</v>
      </c>
      <c r="O16" s="35" t="n">
        <v>13048</v>
      </c>
      <c r="P16" s="35" t="n">
        <v>4469</v>
      </c>
      <c r="Q16" s="35" t="n">
        <v>1266</v>
      </c>
      <c r="R16" s="35" t="n">
        <v>3449</v>
      </c>
      <c r="S16" s="35" t="n">
        <v>1066</v>
      </c>
      <c r="T16" s="35" t="n">
        <v>13750</v>
      </c>
      <c r="U16" s="35" t="n">
        <v>671</v>
      </c>
      <c r="V16" s="35" t="n">
        <v>27</v>
      </c>
      <c r="W16" s="35" t="n">
        <v>620</v>
      </c>
      <c r="X16" s="35" t="n">
        <v>891</v>
      </c>
      <c r="Y16" s="35" t="n">
        <v>13772</v>
      </c>
      <c r="Z16" s="35" t="n">
        <v>10365</v>
      </c>
      <c r="AA16" s="35" t="n">
        <v>5121</v>
      </c>
      <c r="AB16" s="35" t="n">
        <v>36</v>
      </c>
      <c r="AC16" s="35" t="n">
        <v>90</v>
      </c>
      <c r="AD16" s="35" t="n">
        <v>639</v>
      </c>
      <c r="AE16" s="35" t="n">
        <v>303</v>
      </c>
      <c r="AF16" s="35" t="n">
        <v>1069</v>
      </c>
      <c r="AG16" s="35" t="n">
        <v>2121</v>
      </c>
      <c r="AH16" s="35" t="n">
        <v>2595</v>
      </c>
      <c r="AI16" s="35" t="n">
        <v>1988</v>
      </c>
      <c r="AJ16" s="35" t="n">
        <v>623</v>
      </c>
      <c r="AK16" s="35" t="n">
        <v>256</v>
      </c>
    </row>
    <row r="17" customFormat="false" ht="15.75" hidden="false" customHeight="false" outlineLevel="0" collapsed="false">
      <c r="A17" s="36" t="s">
        <v>155</v>
      </c>
      <c r="B17" s="35" t="n">
        <v>209</v>
      </c>
      <c r="C17" s="35" t="n">
        <v>168</v>
      </c>
      <c r="D17" s="35" t="n">
        <v>0</v>
      </c>
      <c r="E17" s="35" t="n">
        <v>73</v>
      </c>
      <c r="F17" s="35" t="n">
        <v>105</v>
      </c>
      <c r="G17" s="35" t="n">
        <v>0</v>
      </c>
      <c r="H17" s="35" t="n">
        <v>74</v>
      </c>
      <c r="I17" s="35" t="n">
        <v>92</v>
      </c>
      <c r="J17" s="35" t="n">
        <v>260</v>
      </c>
      <c r="K17" s="35" t="n">
        <v>43</v>
      </c>
      <c r="L17" s="35" t="n">
        <v>0</v>
      </c>
      <c r="M17" s="35" t="n">
        <v>89</v>
      </c>
      <c r="N17" s="35" t="n">
        <v>19</v>
      </c>
      <c r="O17" s="35" t="n">
        <v>456</v>
      </c>
      <c r="P17" s="35" t="n">
        <v>51</v>
      </c>
      <c r="Q17" s="35" t="n">
        <v>43</v>
      </c>
      <c r="R17" s="35" t="n">
        <v>95</v>
      </c>
      <c r="S17" s="35" t="n">
        <v>31</v>
      </c>
      <c r="T17" s="35" t="n">
        <v>458</v>
      </c>
      <c r="U17" s="35" t="n">
        <v>53</v>
      </c>
      <c r="V17" s="35" t="n">
        <v>2</v>
      </c>
      <c r="W17" s="35" t="n">
        <v>27</v>
      </c>
      <c r="X17" s="35" t="n">
        <v>14</v>
      </c>
      <c r="Y17" s="35" t="n">
        <v>402</v>
      </c>
      <c r="Z17" s="35" t="n">
        <v>420</v>
      </c>
      <c r="AA17" s="35" t="n">
        <v>176</v>
      </c>
      <c r="AB17" s="35" t="n">
        <v>0</v>
      </c>
      <c r="AC17" s="35" t="n">
        <v>9</v>
      </c>
      <c r="AD17" s="35" t="n">
        <v>59</v>
      </c>
      <c r="AE17" s="35" t="n">
        <v>11</v>
      </c>
      <c r="AF17" s="35" t="n">
        <v>84</v>
      </c>
      <c r="AG17" s="35" t="n">
        <v>50</v>
      </c>
      <c r="AH17" s="35" t="n">
        <v>77</v>
      </c>
      <c r="AI17" s="35" t="n">
        <v>69</v>
      </c>
      <c r="AJ17" s="35" t="n">
        <v>40</v>
      </c>
      <c r="AK17" s="35" t="n">
        <v>10</v>
      </c>
    </row>
    <row r="18" customFormat="false" ht="15.75" hidden="false" customHeight="false" outlineLevel="0" collapsed="false">
      <c r="A18" s="36" t="s">
        <v>156</v>
      </c>
      <c r="B18" s="41" t="n">
        <f aca="false">IF(B13=0,0,B15/B13)</f>
        <v>0.0865559721478307</v>
      </c>
      <c r="C18" s="41" t="n">
        <f aca="false">IF(C13=0,0,C15/C13)</f>
        <v>0.0789868667917448</v>
      </c>
      <c r="D18" s="41" t="n">
        <f aca="false">IF(D13=0,0,D15/D13)</f>
        <v>0.091743119266055</v>
      </c>
      <c r="E18" s="41" t="n">
        <f aca="false">IF(E13=0,0,E15/E13)</f>
        <v>0.0542082738944365</v>
      </c>
      <c r="F18" s="41" t="n">
        <f aca="false">IF(F13=0,0,F15/F13)</f>
        <v>0.0537462992484628</v>
      </c>
      <c r="G18" s="41" t="n">
        <f aca="false">IF(G13=0,0,G15/G13)</f>
        <v>0</v>
      </c>
      <c r="H18" s="41" t="n">
        <f aca="false">IF(H13=0,0,H15/H13)</f>
        <v>0.0549656464709557</v>
      </c>
      <c r="I18" s="41" t="n">
        <f aca="false">IF(I13=0,0,I15/I13)</f>
        <v>0.066779089376054</v>
      </c>
      <c r="J18" s="41" t="n">
        <f aca="false">IF(J13=0,0,J15/J13)</f>
        <v>0.0255263916931064</v>
      </c>
      <c r="K18" s="41" t="n">
        <f aca="false">IF(K13=0,0,K15/K13)</f>
        <v>0.0468187274909964</v>
      </c>
      <c r="L18" s="41" t="n">
        <f aca="false">IF(L13=0,0,L15/L13)</f>
        <v>0</v>
      </c>
      <c r="M18" s="41" t="n">
        <f aca="false">IF(M13=0,0,M15/M13)</f>
        <v>0.0320420851267336</v>
      </c>
      <c r="N18" s="41" t="n">
        <f aca="false">IF(N13=0,0,N15/N13)</f>
        <v>0.0446194225721785</v>
      </c>
      <c r="O18" s="41" t="n">
        <f aca="false">IF(O13=0,0,O15/O13)</f>
        <v>0.0538842744468486</v>
      </c>
      <c r="P18" s="41" t="n">
        <f aca="false">IF(P13=0,0,P15/P13)</f>
        <v>0.0329366765830854</v>
      </c>
      <c r="Q18" s="41" t="n">
        <f aca="false">IF(Q13=0,0,Q15/Q13)</f>
        <v>0.0489014883061658</v>
      </c>
      <c r="R18" s="41" t="n">
        <f aca="false">IF(R13=0,0,R15/R13)</f>
        <v>0.0634544497103739</v>
      </c>
      <c r="S18" s="41" t="n">
        <f aca="false">IF(S13=0,0,S15/S13)</f>
        <v>0.0212954747116238</v>
      </c>
      <c r="T18" s="41" t="n">
        <f aca="false">IF(T13=0,0,T15/T13)</f>
        <v>0.0293742874388036</v>
      </c>
      <c r="U18" s="41" t="n">
        <f aca="false">IF(U13=0,0,U15/U13)</f>
        <v>0.0201612903225806</v>
      </c>
      <c r="V18" s="41" t="n">
        <f aca="false">IF(V13=0,0,V15/V13)</f>
        <v>0.285714285714286</v>
      </c>
      <c r="W18" s="41" t="n">
        <f aca="false">IF(W13=0,0,W15/W13)</f>
        <v>0.0735502121640736</v>
      </c>
      <c r="X18" s="41" t="n">
        <f aca="false">IF(X13=0,0,X15/X13)</f>
        <v>0.0245989304812834</v>
      </c>
      <c r="Y18" s="41" t="n">
        <f aca="false">IF(Y13=0,0,Y15/Y13)</f>
        <v>0.0859099929581973</v>
      </c>
      <c r="Z18" s="41" t="n">
        <f aca="false">IF(Z13=0,0,Z15/Z13)</f>
        <v>0.0739286324056684</v>
      </c>
      <c r="AA18" s="41" t="n">
        <f aca="false">IF(AA13=0,0,AA15/AA13)</f>
        <v>0.0679185679185679</v>
      </c>
      <c r="AB18" s="41" t="n">
        <f aca="false">IF(AB13=0,0,AB15/AB13)</f>
        <v>0.0526315789473684</v>
      </c>
      <c r="AC18" s="41" t="n">
        <f aca="false">IF(AC13=0,0,AC15/AC13)</f>
        <v>0.087719298245614</v>
      </c>
      <c r="AD18" s="41" t="n">
        <f aca="false">IF(AD13=0,0,AD15/AD13)</f>
        <v>0.0523489932885906</v>
      </c>
      <c r="AE18" s="41" t="n">
        <f aca="false">IF(AE13=0,0,AE15/AE13)</f>
        <v>0.0364741641337386</v>
      </c>
      <c r="AF18" s="41" t="n">
        <f aca="false">IF(AF13=0,0,AF15/AF13)</f>
        <v>0.0744849445324881</v>
      </c>
      <c r="AG18" s="41" t="n">
        <f aca="false">IF(AG13=0,0,AG15/AG13)</f>
        <v>0.0486744893524555</v>
      </c>
      <c r="AH18" s="41" t="n">
        <f aca="false">IF(AH13=0,0,AH15/AH13)</f>
        <v>0.0215643274853801</v>
      </c>
      <c r="AI18" s="41" t="n">
        <f aca="false">IF(AI13=0,0,AI15/AI13)</f>
        <v>0.0314111579934365</v>
      </c>
      <c r="AJ18" s="41" t="n">
        <f aca="false">IF(AJ13=0,0,AJ15/AJ13)</f>
        <v>0.102902374670185</v>
      </c>
      <c r="AK18" s="41" t="n">
        <f aca="false">IF(AK13=0,0,AK15/AK13)</f>
        <v>0.11437908496732</v>
      </c>
    </row>
    <row r="19" customFormat="false" ht="15.75" hidden="false" customHeight="false" outlineLevel="0" collapsed="false">
      <c r="A19" s="36" t="s">
        <v>157</v>
      </c>
      <c r="B19" s="41" t="n">
        <f aca="false">IF(B10=0,0,B15/B10)</f>
        <v>0</v>
      </c>
      <c r="C19" s="41" t="n">
        <f aca="false">IF(C10=0,0,C15/C10)</f>
        <v>0</v>
      </c>
      <c r="D19" s="41" t="n">
        <f aca="false">IF(D10=0,0,D15/D10)</f>
        <v>0</v>
      </c>
      <c r="E19" s="41" t="n">
        <f aca="false">IF(E10=0,0,E15/E10)</f>
        <v>0</v>
      </c>
      <c r="F19" s="41" t="n">
        <f aca="false">IF(F10=0,0,F15/F10)</f>
        <v>0</v>
      </c>
      <c r="G19" s="41" t="n">
        <f aca="false">IF(G10=0,0,G15/G10)</f>
        <v>0</v>
      </c>
      <c r="H19" s="41" t="n">
        <f aca="false">IF(H10=0,0,H15/H10)</f>
        <v>0</v>
      </c>
      <c r="I19" s="41" t="n">
        <f aca="false">IF(I10=0,0,I15/I10)</f>
        <v>0</v>
      </c>
      <c r="J19" s="41" t="n">
        <f aca="false">IF(J10=0,0,J15/J10)</f>
        <v>0</v>
      </c>
      <c r="K19" s="41" t="n">
        <f aca="false">IF(K10=0,0,K15/K10)</f>
        <v>0</v>
      </c>
      <c r="L19" s="41" t="n">
        <f aca="false">IF(L10=0,0,L15/L10)</f>
        <v>0</v>
      </c>
      <c r="M19" s="41" t="n">
        <f aca="false">IF(M10=0,0,M15/M10)</f>
        <v>0</v>
      </c>
      <c r="N19" s="41" t="n">
        <f aca="false">IF(N10=0,0,N15/N10)</f>
        <v>0</v>
      </c>
      <c r="O19" s="41" t="n">
        <f aca="false">IF(O10=0,0,O15/O10)</f>
        <v>0</v>
      </c>
      <c r="P19" s="41" t="n">
        <f aca="false">IF(P10=0,0,P15/P10)</f>
        <v>0</v>
      </c>
      <c r="Q19" s="41" t="n">
        <f aca="false">IF(Q10=0,0,Q15/Q10)</f>
        <v>0</v>
      </c>
      <c r="R19" s="41" t="n">
        <f aca="false">IF(R10=0,0,R15/R10)</f>
        <v>0</v>
      </c>
      <c r="S19" s="41" t="n">
        <f aca="false">IF(S10=0,0,S15/S10)</f>
        <v>0</v>
      </c>
      <c r="T19" s="41" t="n">
        <f aca="false">IF(T10=0,0,T15/T10)</f>
        <v>0</v>
      </c>
      <c r="U19" s="41" t="n">
        <f aca="false">IF(U10=0,0,U15/U10)</f>
        <v>0</v>
      </c>
      <c r="V19" s="41" t="n">
        <f aca="false">IF(V10=0,0,V15/V10)</f>
        <v>0</v>
      </c>
      <c r="W19" s="41" t="n">
        <f aca="false">IF(W10=0,0,W15/W10)</f>
        <v>0</v>
      </c>
      <c r="X19" s="41" t="n">
        <f aca="false">IF(X10=0,0,X15/X10)</f>
        <v>0</v>
      </c>
      <c r="Y19" s="41" t="n">
        <f aca="false">IF(Y10=0,0,Y15/Y10)</f>
        <v>0</v>
      </c>
      <c r="Z19" s="41" t="n">
        <f aca="false">IF(Z10=0,0,Z15/Z10)</f>
        <v>0</v>
      </c>
      <c r="AA19" s="41" t="n">
        <f aca="false">IF(AA10=0,0,AA15/AA10)</f>
        <v>0</v>
      </c>
      <c r="AB19" s="41" t="n">
        <f aca="false">IF(AB10=0,0,AB15/AB10)</f>
        <v>0</v>
      </c>
      <c r="AC19" s="41" t="n">
        <f aca="false">IF(AC10=0,0,AC15/AC10)</f>
        <v>0</v>
      </c>
      <c r="AD19" s="41" t="n">
        <f aca="false">IF(AD10=0,0,AD15/AD10)</f>
        <v>0</v>
      </c>
      <c r="AE19" s="41" t="n">
        <f aca="false">IF(AE10=0,0,AE15/AE10)</f>
        <v>0</v>
      </c>
      <c r="AF19" s="41" t="n">
        <f aca="false">IF(AF10=0,0,AF15/AF10)</f>
        <v>0</v>
      </c>
      <c r="AG19" s="41" t="n">
        <f aca="false">IF(AG10=0,0,AG15/AG10)</f>
        <v>0</v>
      </c>
      <c r="AH19" s="41" t="n">
        <f aca="false">IF(AH10=0,0,AH15/AH10)</f>
        <v>0</v>
      </c>
      <c r="AI19" s="41" t="n">
        <f aca="false">IF(AI10=0,0,AI15/AI10)</f>
        <v>0</v>
      </c>
      <c r="AJ19" s="41" t="n">
        <f aca="false">IF(AJ10=0,0,AJ15/AJ10)</f>
        <v>0</v>
      </c>
      <c r="AK19" s="41" t="n">
        <f aca="false">IF(AK10=0,0,AK15/AK10)</f>
        <v>0</v>
      </c>
    </row>
    <row r="20" customFormat="false" ht="15.75" hidden="false" customHeight="false" outlineLevel="0" collapsed="false">
      <c r="A20" s="36" t="s">
        <v>158</v>
      </c>
      <c r="B20" s="41" t="n">
        <f aca="false">IF(B13=0,0,B17/B13)</f>
        <v>0.0223888591322978</v>
      </c>
      <c r="C20" s="41" t="n">
        <f aca="false">IF(C13=0,0,C17/C13)</f>
        <v>0.0315196998123827</v>
      </c>
      <c r="D20" s="41" t="n">
        <f aca="false">IF(D13=0,0,D17/D13)</f>
        <v>0</v>
      </c>
      <c r="E20" s="41" t="n">
        <f aca="false">IF(E13=0,0,E17/E13)</f>
        <v>0.0347123157394199</v>
      </c>
      <c r="F20" s="41" t="n">
        <f aca="false">IF(F13=0,0,F17/F13)</f>
        <v>0.0239125483944432</v>
      </c>
      <c r="G20" s="41" t="n">
        <f aca="false">IF(G13=0,0,G17/G13)</f>
        <v>0</v>
      </c>
      <c r="H20" s="41" t="n">
        <f aca="false">IF(H13=0,0,H17/H13)</f>
        <v>0.0462211118051218</v>
      </c>
      <c r="I20" s="41" t="n">
        <f aca="false">IF(I13=0,0,I17/I13)</f>
        <v>0.0103428892636313</v>
      </c>
      <c r="J20" s="41" t="n">
        <f aca="false">IF(J13=0,0,J17/J13)</f>
        <v>0.0374963945774445</v>
      </c>
      <c r="K20" s="41" t="n">
        <f aca="false">IF(K13=0,0,K17/K13)</f>
        <v>0.0172068827531012</v>
      </c>
      <c r="L20" s="41" t="n">
        <f aca="false">IF(L13=0,0,L17/L13)</f>
        <v>0</v>
      </c>
      <c r="M20" s="41" t="n">
        <f aca="false">IF(M13=0,0,M17/M13)</f>
        <v>0.0212816834050693</v>
      </c>
      <c r="N20" s="41" t="n">
        <f aca="false">IF(N13=0,0,N17/N13)</f>
        <v>0.0249343832020997</v>
      </c>
      <c r="O20" s="41" t="n">
        <f aca="false">IF(O13=0,0,O17/O13)</f>
        <v>0.031828017030781</v>
      </c>
      <c r="P20" s="41" t="n">
        <f aca="false">IF(P13=0,0,P17/P13)</f>
        <v>0.0108372290692733</v>
      </c>
      <c r="Q20" s="41" t="n">
        <f aca="false">IF(Q13=0,0,Q17/Q13)</f>
        <v>0.0304748405386251</v>
      </c>
      <c r="R20" s="41" t="n">
        <f aca="false">IF(R13=0,0,R17/R13)</f>
        <v>0.0250131648235914</v>
      </c>
      <c r="S20" s="41" t="n">
        <f aca="false">IF(S13=0,0,S17/S13)</f>
        <v>0.0275066548358474</v>
      </c>
      <c r="T20" s="41" t="n">
        <f aca="false">IF(T13=0,0,T17/T13)</f>
        <v>0.0307155791026759</v>
      </c>
      <c r="U20" s="41" t="n">
        <f aca="false">IF(U13=0,0,U17/U13)</f>
        <v>0.071236559139785</v>
      </c>
      <c r="V20" s="41" t="n">
        <f aca="false">IF(V13=0,0,V17/V13)</f>
        <v>0.0408163265306122</v>
      </c>
      <c r="W20" s="41" t="n">
        <f aca="false">IF(W13=0,0,W17/W13)</f>
        <v>0.0381895332390382</v>
      </c>
      <c r="X20" s="41" t="n">
        <f aca="false">IF(X13=0,0,X17/X13)</f>
        <v>0.0149732620320856</v>
      </c>
      <c r="Y20" s="41" t="n">
        <f aca="false">IF(Y13=0,0,Y17/Y13)</f>
        <v>0.025734588054542</v>
      </c>
      <c r="Z20" s="41" t="n">
        <f aca="false">IF(Z13=0,0,Z17/Z13)</f>
        <v>0.0358545330373912</v>
      </c>
      <c r="AA20" s="41" t="n">
        <f aca="false">IF(AA13=0,0,AA17/AA13)</f>
        <v>0.0308880308880309</v>
      </c>
      <c r="AB20" s="41" t="n">
        <f aca="false">IF(AB13=0,0,AB17/AB13)</f>
        <v>0</v>
      </c>
      <c r="AC20" s="41" t="n">
        <f aca="false">IF(AC13=0,0,AC17/AC13)</f>
        <v>0.0789473684210526</v>
      </c>
      <c r="AD20" s="41" t="n">
        <f aca="false">IF(AD13=0,0,AD17/AD13)</f>
        <v>0.0791946308724832</v>
      </c>
      <c r="AE20" s="41" t="n">
        <f aca="false">IF(AE13=0,0,AE17/AE13)</f>
        <v>0.033434650455927</v>
      </c>
      <c r="AF20" s="41" t="n">
        <f aca="false">IF(AF13=0,0,AF17/AF13)</f>
        <v>0.0665610142630745</v>
      </c>
      <c r="AG20" s="41" t="n">
        <f aca="false">IF(AG13=0,0,AG17/AG13)</f>
        <v>0.0217296827466319</v>
      </c>
      <c r="AH20" s="41" t="n">
        <f aca="false">IF(AH13=0,0,AH17/AH13)</f>
        <v>0.0281432748538012</v>
      </c>
      <c r="AI20" s="41" t="n">
        <f aca="false">IF(AI13=0,0,AI17/AI13)</f>
        <v>0.0323488045007032</v>
      </c>
      <c r="AJ20" s="41" t="n">
        <f aca="false">IF(AJ13=0,0,AJ17/AJ13)</f>
        <v>0.0527704485488127</v>
      </c>
      <c r="AK20" s="41" t="n">
        <f aca="false">IF(AK13=0,0,AK17/AK13)</f>
        <v>0.0326797385620915</v>
      </c>
    </row>
    <row r="21" customFormat="false" ht="15.75" hidden="false" customHeight="false" outlineLevel="0" collapsed="false">
      <c r="A21" s="36" t="s">
        <v>159</v>
      </c>
      <c r="B21" s="35" t="n">
        <v>38</v>
      </c>
      <c r="C21" s="35" t="n">
        <v>29</v>
      </c>
      <c r="D21" s="35" t="n">
        <v>6</v>
      </c>
      <c r="E21" s="35" t="n">
        <v>8</v>
      </c>
      <c r="F21" s="35" t="n">
        <v>10</v>
      </c>
      <c r="G21" s="35" t="n">
        <v>0</v>
      </c>
      <c r="H21" s="35" t="n">
        <v>15</v>
      </c>
      <c r="I21" s="35" t="n">
        <v>40</v>
      </c>
      <c r="J21" s="35" t="n">
        <v>23</v>
      </c>
      <c r="K21" s="35" t="n">
        <v>10</v>
      </c>
      <c r="L21" s="35" t="n">
        <v>0</v>
      </c>
      <c r="M21" s="35" t="n">
        <v>13</v>
      </c>
      <c r="N21" s="35" t="n">
        <v>5</v>
      </c>
      <c r="O21" s="35" t="n">
        <v>44</v>
      </c>
      <c r="P21" s="35" t="n">
        <v>26</v>
      </c>
      <c r="Q21" s="35" t="n">
        <v>33</v>
      </c>
      <c r="R21" s="35" t="n">
        <v>13</v>
      </c>
      <c r="S21" s="35" t="n">
        <v>6</v>
      </c>
      <c r="T21" s="35" t="n">
        <v>258</v>
      </c>
      <c r="U21" s="35" t="n">
        <v>5</v>
      </c>
      <c r="V21" s="35" t="n">
        <v>5</v>
      </c>
      <c r="W21" s="35" t="n">
        <v>7</v>
      </c>
      <c r="X21" s="35" t="n">
        <v>6</v>
      </c>
      <c r="Y21" s="35" t="n">
        <v>86</v>
      </c>
      <c r="Z21" s="35" t="n">
        <v>59</v>
      </c>
      <c r="AA21" s="35" t="n">
        <v>12</v>
      </c>
      <c r="AB21" s="35" t="n">
        <v>0</v>
      </c>
      <c r="AC21" s="35" t="n">
        <v>5</v>
      </c>
      <c r="AD21" s="35" t="n">
        <v>8</v>
      </c>
      <c r="AE21" s="35" t="n">
        <v>3</v>
      </c>
      <c r="AF21" s="35" t="n">
        <v>15</v>
      </c>
      <c r="AG21" s="35" t="n">
        <v>14</v>
      </c>
      <c r="AH21" s="35" t="n">
        <v>4</v>
      </c>
      <c r="AI21" s="35" t="n">
        <v>7</v>
      </c>
      <c r="AJ21" s="35" t="n">
        <v>15</v>
      </c>
      <c r="AK21" s="35" t="n">
        <v>5</v>
      </c>
    </row>
    <row r="22" customFormat="false" ht="15.75" hidden="false" customHeight="false" outlineLevel="0" collapsed="false">
      <c r="A22" s="37" t="s">
        <v>160</v>
      </c>
      <c r="B22" s="42" t="n">
        <v>8</v>
      </c>
      <c r="C22" s="42" t="n">
        <v>1</v>
      </c>
      <c r="D22" s="42" t="n">
        <v>0</v>
      </c>
      <c r="E22" s="42" t="n">
        <v>3</v>
      </c>
      <c r="F22" s="42" t="n">
        <v>1</v>
      </c>
      <c r="G22" s="42" t="n">
        <v>0</v>
      </c>
      <c r="H22" s="42" t="n">
        <v>0</v>
      </c>
      <c r="I22" s="42" t="n">
        <v>6</v>
      </c>
      <c r="J22" s="42" t="n">
        <v>1</v>
      </c>
      <c r="K22" s="42" t="n">
        <v>3</v>
      </c>
      <c r="L22" s="42" t="n">
        <v>0</v>
      </c>
      <c r="M22" s="42" t="n">
        <v>1</v>
      </c>
      <c r="N22" s="42" t="n">
        <v>0</v>
      </c>
      <c r="O22" s="42" t="n">
        <v>7</v>
      </c>
      <c r="P22" s="42" t="n">
        <v>5</v>
      </c>
      <c r="Q22" s="42" t="n">
        <v>0</v>
      </c>
      <c r="R22" s="42" t="n">
        <v>0</v>
      </c>
      <c r="S22" s="42" t="n">
        <v>0</v>
      </c>
      <c r="T22" s="42" t="n">
        <v>7</v>
      </c>
      <c r="U22" s="42" t="n">
        <v>0</v>
      </c>
      <c r="V22" s="42" t="n">
        <v>1</v>
      </c>
      <c r="W22" s="42" t="n">
        <v>1</v>
      </c>
      <c r="X22" s="42" t="n">
        <v>1</v>
      </c>
      <c r="Y22" s="42" t="n">
        <v>19</v>
      </c>
      <c r="Z22" s="42" t="n">
        <v>4</v>
      </c>
      <c r="AA22" s="42" t="n">
        <v>2</v>
      </c>
      <c r="AB22" s="42" t="n">
        <v>0</v>
      </c>
      <c r="AC22" s="42" t="n">
        <v>0</v>
      </c>
      <c r="AD22" s="42" t="n">
        <v>0</v>
      </c>
      <c r="AE22" s="42" t="n">
        <v>0</v>
      </c>
      <c r="AF22" s="42" t="n">
        <v>0</v>
      </c>
      <c r="AG22" s="42" t="n">
        <v>4</v>
      </c>
      <c r="AH22" s="42" t="n">
        <v>1</v>
      </c>
      <c r="AI22" s="42" t="n">
        <v>2</v>
      </c>
      <c r="AJ22" s="42" t="n">
        <v>2</v>
      </c>
      <c r="AK22" s="42" t="n">
        <v>0</v>
      </c>
    </row>
    <row r="23" customFormat="false" ht="15.75" hidden="false" customHeight="false" outlineLevel="0" collapsed="false">
      <c r="A23" s="39" t="s">
        <v>161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</row>
    <row r="24" customFormat="false" ht="15.75" hidden="false" customHeight="false" outlineLevel="0" collapsed="false">
      <c r="A24" s="36" t="s">
        <v>162</v>
      </c>
      <c r="B24" s="41" t="n">
        <f aca="false">IF(B15=0,0,B23/B15)</f>
        <v>0</v>
      </c>
      <c r="C24" s="41" t="n">
        <f aca="false">IF(C15=0,0,C23/C15)</f>
        <v>0</v>
      </c>
      <c r="D24" s="41" t="n">
        <f aca="false">IF(D15=0,0,D23/D15)</f>
        <v>0</v>
      </c>
      <c r="E24" s="41" t="n">
        <f aca="false">IF(E15=0,0,E23/E15)</f>
        <v>0</v>
      </c>
      <c r="F24" s="41" t="n">
        <f aca="false">IF(F15=0,0,F23/F15)</f>
        <v>0</v>
      </c>
      <c r="G24" s="41" t="n">
        <f aca="false">IF(G15=0,0,G23/G15)</f>
        <v>0</v>
      </c>
      <c r="H24" s="41" t="n">
        <f aca="false">IF(H15=0,0,H23/H15)</f>
        <v>0</v>
      </c>
      <c r="I24" s="41" t="n">
        <f aca="false">IF(I15=0,0,I23/I15)</f>
        <v>0</v>
      </c>
      <c r="J24" s="41" t="n">
        <f aca="false">IF(J15=0,0,J23/J15)</f>
        <v>0</v>
      </c>
      <c r="K24" s="41" t="n">
        <f aca="false">IF(K15=0,0,K23/K15)</f>
        <v>0</v>
      </c>
      <c r="L24" s="41" t="n">
        <f aca="false">IF(L15=0,0,L23/L15)</f>
        <v>0</v>
      </c>
      <c r="M24" s="41" t="n">
        <f aca="false">IF(M15=0,0,M23/M15)</f>
        <v>0</v>
      </c>
      <c r="N24" s="41" t="n">
        <f aca="false">IF(N15=0,0,N23/N15)</f>
        <v>0</v>
      </c>
      <c r="O24" s="41" t="n">
        <f aca="false">IF(O15=0,0,O23/O15)</f>
        <v>0</v>
      </c>
      <c r="P24" s="41" t="n">
        <f aca="false">IF(P15=0,0,P23/P15)</f>
        <v>0</v>
      </c>
      <c r="Q24" s="41" t="n">
        <f aca="false">IF(Q15=0,0,Q23/Q15)</f>
        <v>0</v>
      </c>
      <c r="R24" s="41" t="n">
        <f aca="false">IF(R15=0,0,R23/R15)</f>
        <v>0</v>
      </c>
      <c r="S24" s="41" t="n">
        <f aca="false">IF(S15=0,0,S23/S15)</f>
        <v>0</v>
      </c>
      <c r="T24" s="41" t="n">
        <f aca="false">IF(T15=0,0,T23/T15)</f>
        <v>0</v>
      </c>
      <c r="U24" s="41" t="n">
        <f aca="false">IF(U15=0,0,U23/U15)</f>
        <v>0</v>
      </c>
      <c r="V24" s="41" t="n">
        <f aca="false">IF(V15=0,0,V23/V15)</f>
        <v>0</v>
      </c>
      <c r="W24" s="41" t="n">
        <f aca="false">IF(W15=0,0,W23/W15)</f>
        <v>0</v>
      </c>
      <c r="X24" s="41" t="n">
        <f aca="false">IF(X15=0,0,X23/X15)</f>
        <v>0</v>
      </c>
      <c r="Y24" s="41" t="n">
        <f aca="false">IF(Y15=0,0,Y23/Y15)</f>
        <v>0</v>
      </c>
      <c r="Z24" s="41" t="n">
        <f aca="false">IF(Z15=0,0,Z23/Z15)</f>
        <v>0</v>
      </c>
      <c r="AA24" s="41" t="n">
        <f aca="false">IF(AA15=0,0,AA23/AA15)</f>
        <v>0</v>
      </c>
      <c r="AB24" s="41" t="n">
        <f aca="false">IF(AB15=0,0,AB23/AB15)</f>
        <v>0</v>
      </c>
      <c r="AC24" s="41" t="n">
        <f aca="false">IF(AC15=0,0,AC23/AC15)</f>
        <v>0</v>
      </c>
      <c r="AD24" s="41" t="n">
        <f aca="false">IF(AD15=0,0,AD23/AD15)</f>
        <v>0</v>
      </c>
      <c r="AE24" s="41" t="n">
        <f aca="false">IF(AE15=0,0,AE23/AE15)</f>
        <v>0</v>
      </c>
      <c r="AF24" s="41" t="n">
        <f aca="false">IF(AF15=0,0,AF23/AF15)</f>
        <v>0</v>
      </c>
      <c r="AG24" s="41" t="n">
        <f aca="false">IF(AG15=0,0,AG23/AG15)</f>
        <v>0</v>
      </c>
      <c r="AH24" s="41" t="n">
        <f aca="false">IF(AH15=0,0,AH23/AH15)</f>
        <v>0</v>
      </c>
      <c r="AI24" s="41" t="n">
        <f aca="false">IF(AI15=0,0,AI23/AI15)</f>
        <v>0</v>
      </c>
      <c r="AJ24" s="41" t="n">
        <f aca="false">IF(AJ15=0,0,AJ23/AJ15)</f>
        <v>0</v>
      </c>
      <c r="AK24" s="41" t="n">
        <f aca="false">IF(AK15=0,0,AK23/AK15)</f>
        <v>0</v>
      </c>
    </row>
    <row r="25" customFormat="false" ht="15.75" hidden="false" customHeight="false" outlineLevel="0" collapsed="false">
      <c r="A25" s="37" t="s">
        <v>163</v>
      </c>
      <c r="B25" s="43" t="n">
        <f aca="false">B13/22</f>
        <v>424.318181818182</v>
      </c>
      <c r="C25" s="43" t="n">
        <f aca="false">C13/22</f>
        <v>242.272727272727</v>
      </c>
      <c r="D25" s="43" t="n">
        <f aca="false">D13/22</f>
        <v>4.95454545454545</v>
      </c>
      <c r="E25" s="43" t="n">
        <f aca="false">E13/22</f>
        <v>95.5909090909091</v>
      </c>
      <c r="F25" s="43" t="n">
        <f aca="false">F13/22</f>
        <v>199.590909090909</v>
      </c>
      <c r="G25" s="43" t="n">
        <f aca="false">G13/22</f>
        <v>0.181818181818182</v>
      </c>
      <c r="H25" s="43" t="n">
        <f aca="false">H13/22</f>
        <v>72.7727272727273</v>
      </c>
      <c r="I25" s="43" t="n">
        <f aca="false">I13/22</f>
        <v>404.318181818182</v>
      </c>
      <c r="J25" s="43" t="n">
        <f aca="false">J13/22</f>
        <v>315.181818181818</v>
      </c>
      <c r="K25" s="43" t="n">
        <f aca="false">K13/22</f>
        <v>113.590909090909</v>
      </c>
      <c r="L25" s="43" t="n">
        <f aca="false">L13/22</f>
        <v>0.5</v>
      </c>
      <c r="M25" s="43" t="n">
        <f aca="false">M13/22</f>
        <v>190.090909090909</v>
      </c>
      <c r="N25" s="43" t="n">
        <f aca="false">N13/22</f>
        <v>34.6363636363636</v>
      </c>
      <c r="O25" s="43" t="n">
        <f aca="false">O13/22</f>
        <v>651.227272727273</v>
      </c>
      <c r="P25" s="43" t="n">
        <f aca="false">P13/22</f>
        <v>213.909090909091</v>
      </c>
      <c r="Q25" s="43" t="n">
        <f aca="false">Q13/22</f>
        <v>64.1363636363636</v>
      </c>
      <c r="R25" s="43" t="n">
        <f aca="false">R13/22</f>
        <v>172.636363636364</v>
      </c>
      <c r="S25" s="43" t="n">
        <f aca="false">S13/22</f>
        <v>51.2272727272727</v>
      </c>
      <c r="T25" s="43" t="n">
        <f aca="false">T13/22</f>
        <v>677.772727272727</v>
      </c>
      <c r="U25" s="43" t="n">
        <f aca="false">U13/22</f>
        <v>33.8181818181818</v>
      </c>
      <c r="V25" s="43" t="n">
        <f aca="false">V13/22</f>
        <v>2.22727272727273</v>
      </c>
      <c r="W25" s="43" t="n">
        <f aca="false">W13/22</f>
        <v>32.1363636363636</v>
      </c>
      <c r="X25" s="43" t="n">
        <f aca="false">X13/22</f>
        <v>42.5</v>
      </c>
      <c r="Y25" s="43" t="n">
        <f aca="false">Y13/22</f>
        <v>710.045454545455</v>
      </c>
      <c r="Z25" s="43" t="n">
        <f aca="false">Z13/22</f>
        <v>532.454545454546</v>
      </c>
      <c r="AA25" s="43" t="n">
        <f aca="false">AA13/22</f>
        <v>259</v>
      </c>
      <c r="AB25" s="43" t="n">
        <f aca="false">AB13/22</f>
        <v>1.72727272727273</v>
      </c>
      <c r="AC25" s="43" t="n">
        <f aca="false">AC13/22</f>
        <v>5.18181818181818</v>
      </c>
      <c r="AD25" s="43" t="n">
        <f aca="false">AD13/22</f>
        <v>33.8636363636364</v>
      </c>
      <c r="AE25" s="43" t="n">
        <f aca="false">AE13/22</f>
        <v>14.9545454545455</v>
      </c>
      <c r="AF25" s="43" t="n">
        <f aca="false">AF13/22</f>
        <v>57.3636363636364</v>
      </c>
      <c r="AG25" s="43" t="n">
        <f aca="false">AG13/22</f>
        <v>104.590909090909</v>
      </c>
      <c r="AH25" s="43" t="n">
        <f aca="false">AH13/22</f>
        <v>124.363636363636</v>
      </c>
      <c r="AI25" s="43" t="n">
        <f aca="false">AI13/22</f>
        <v>96.9545454545455</v>
      </c>
      <c r="AJ25" s="43" t="n">
        <f aca="false">AJ13/22</f>
        <v>34.4545454545455</v>
      </c>
      <c r="AK25" s="43" t="n">
        <f aca="false">AK13/22</f>
        <v>13.9090909090909</v>
      </c>
    </row>
    <row r="26" customFormat="false" ht="15.75" hidden="false" customHeight="false" outlineLevel="0" collapsed="false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Format="false" ht="15.75" hidden="false" customHeight="false" outlineLevel="0" collapsed="false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Format="false" ht="15.75" hidden="false" customHeight="false" outlineLevel="0" collapsed="false">
      <c r="A28" s="16" t="s">
        <v>164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Format="false" ht="15.75" hidden="false" customHeight="false" outlineLevel="0" collapsed="false">
      <c r="A29" s="44" t="n">
        <v>5011</v>
      </c>
      <c r="B29" s="45" t="n">
        <v>9</v>
      </c>
      <c r="C29" s="45" t="n">
        <v>9</v>
      </c>
      <c r="D29" s="45" t="n">
        <v>0</v>
      </c>
      <c r="E29" s="45" t="n">
        <v>19</v>
      </c>
      <c r="F29" s="45" t="n">
        <v>7</v>
      </c>
      <c r="G29" s="45" t="n">
        <v>0</v>
      </c>
      <c r="H29" s="45" t="n">
        <v>6</v>
      </c>
      <c r="I29" s="45" t="n">
        <v>8</v>
      </c>
      <c r="J29" s="45" t="n">
        <v>11</v>
      </c>
      <c r="K29" s="45" t="n">
        <v>5</v>
      </c>
      <c r="L29" s="45" t="n">
        <v>0</v>
      </c>
      <c r="M29" s="45" t="n">
        <v>1</v>
      </c>
      <c r="N29" s="45" t="n">
        <v>0</v>
      </c>
      <c r="O29" s="45" t="n">
        <v>15</v>
      </c>
      <c r="P29" s="45" t="n">
        <v>6</v>
      </c>
      <c r="Q29" s="45" t="n">
        <v>0</v>
      </c>
      <c r="R29" s="45" t="n">
        <v>1</v>
      </c>
      <c r="S29" s="45" t="n">
        <v>1</v>
      </c>
      <c r="T29" s="45" t="n">
        <v>41</v>
      </c>
      <c r="U29" s="45" t="n">
        <v>2</v>
      </c>
      <c r="V29" s="45" t="n">
        <v>0</v>
      </c>
      <c r="W29" s="45" t="n">
        <v>1</v>
      </c>
      <c r="X29" s="45" t="n">
        <v>0</v>
      </c>
      <c r="Y29" s="45" t="n">
        <v>13</v>
      </c>
      <c r="Z29" s="45" t="n">
        <v>24</v>
      </c>
      <c r="AA29" s="45" t="n">
        <v>7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2</v>
      </c>
      <c r="AG29" s="45" t="n">
        <v>3</v>
      </c>
      <c r="AH29" s="45" t="n">
        <v>1</v>
      </c>
      <c r="AI29" s="45" t="n">
        <v>3</v>
      </c>
      <c r="AJ29" s="45" t="n">
        <v>8</v>
      </c>
      <c r="AK29" s="45" t="n">
        <v>0</v>
      </c>
    </row>
    <row r="30" customFormat="false" ht="15.75" hidden="false" customHeight="false" outlineLevel="0" collapsed="false">
      <c r="A30" s="46" t="n">
        <v>5007</v>
      </c>
      <c r="B30" s="47" t="n">
        <v>64</v>
      </c>
      <c r="C30" s="47" t="n">
        <v>63</v>
      </c>
      <c r="D30" s="47" t="n">
        <v>0</v>
      </c>
      <c r="E30" s="47" t="n">
        <v>24</v>
      </c>
      <c r="F30" s="47" t="n">
        <v>20</v>
      </c>
      <c r="G30" s="47" t="n">
        <v>0</v>
      </c>
      <c r="H30" s="47" t="n">
        <v>7</v>
      </c>
      <c r="I30" s="47" t="n">
        <v>30</v>
      </c>
      <c r="J30" s="47" t="n">
        <v>56</v>
      </c>
      <c r="K30" s="47" t="n">
        <v>9</v>
      </c>
      <c r="L30" s="47" t="n">
        <v>0</v>
      </c>
      <c r="M30" s="47" t="n">
        <v>47</v>
      </c>
      <c r="N30" s="47" t="n">
        <v>7</v>
      </c>
      <c r="O30" s="47" t="n">
        <v>164</v>
      </c>
      <c r="P30" s="47" t="n">
        <v>9</v>
      </c>
      <c r="Q30" s="47" t="n">
        <v>3</v>
      </c>
      <c r="R30" s="47" t="n">
        <v>25</v>
      </c>
      <c r="S30" s="47" t="n">
        <v>5</v>
      </c>
      <c r="T30" s="47" t="n">
        <v>149</v>
      </c>
      <c r="U30" s="47" t="n">
        <v>5</v>
      </c>
      <c r="V30" s="47" t="n">
        <v>0</v>
      </c>
      <c r="W30" s="47" t="n">
        <v>4</v>
      </c>
      <c r="X30" s="47" t="n">
        <v>2</v>
      </c>
      <c r="Y30" s="47" t="n">
        <v>158</v>
      </c>
      <c r="Z30" s="47" t="n">
        <v>77</v>
      </c>
      <c r="AA30" s="47" t="n">
        <v>30</v>
      </c>
      <c r="AB30" s="47" t="n">
        <v>0</v>
      </c>
      <c r="AC30" s="47" t="n">
        <v>1</v>
      </c>
      <c r="AD30" s="47" t="n">
        <v>4</v>
      </c>
      <c r="AE30" s="47" t="n">
        <v>2</v>
      </c>
      <c r="AF30" s="47" t="n">
        <v>12</v>
      </c>
      <c r="AG30" s="47" t="n">
        <v>11</v>
      </c>
      <c r="AH30" s="47" t="n">
        <v>24</v>
      </c>
      <c r="AI30" s="47" t="n">
        <v>36</v>
      </c>
      <c r="AJ30" s="47" t="n">
        <v>11</v>
      </c>
      <c r="AK30" s="47" t="n">
        <v>1</v>
      </c>
    </row>
    <row r="31" customFormat="false" ht="15.75" hidden="false" customHeight="false" outlineLevel="0" collapsed="false">
      <c r="A31" s="46" t="n">
        <v>5006</v>
      </c>
      <c r="B31" s="47" t="n">
        <v>4</v>
      </c>
      <c r="C31" s="47" t="n">
        <v>12</v>
      </c>
      <c r="D31" s="47" t="n">
        <v>0</v>
      </c>
      <c r="E31" s="47" t="n">
        <v>1</v>
      </c>
      <c r="F31" s="47" t="n">
        <v>4</v>
      </c>
      <c r="G31" s="47" t="n">
        <v>0</v>
      </c>
      <c r="H31" s="47" t="n">
        <v>1</v>
      </c>
      <c r="I31" s="47" t="n">
        <v>8</v>
      </c>
      <c r="J31" s="47" t="n">
        <v>22</v>
      </c>
      <c r="K31" s="47" t="n">
        <v>3</v>
      </c>
      <c r="L31" s="47" t="n">
        <v>0</v>
      </c>
      <c r="M31" s="47" t="n">
        <v>4</v>
      </c>
      <c r="N31" s="47" t="n">
        <v>1</v>
      </c>
      <c r="O31" s="47" t="n">
        <v>87</v>
      </c>
      <c r="P31" s="47" t="n">
        <v>2</v>
      </c>
      <c r="Q31" s="47" t="n">
        <v>0</v>
      </c>
      <c r="R31" s="47" t="n">
        <v>2</v>
      </c>
      <c r="S31" s="47" t="n">
        <v>1</v>
      </c>
      <c r="T31" s="47" t="n">
        <v>35</v>
      </c>
      <c r="U31" s="47" t="n">
        <v>1</v>
      </c>
      <c r="V31" s="47" t="n">
        <v>0</v>
      </c>
      <c r="W31" s="47" t="n">
        <v>1</v>
      </c>
      <c r="X31" s="47" t="n">
        <v>0</v>
      </c>
      <c r="Y31" s="47" t="n">
        <v>58</v>
      </c>
      <c r="Z31" s="47" t="n">
        <v>15</v>
      </c>
      <c r="AA31" s="47" t="n">
        <v>13</v>
      </c>
      <c r="AB31" s="47" t="n">
        <v>0</v>
      </c>
      <c r="AC31" s="47" t="n">
        <v>0</v>
      </c>
      <c r="AD31" s="47" t="n">
        <v>3</v>
      </c>
      <c r="AE31" s="47" t="n">
        <v>0</v>
      </c>
      <c r="AF31" s="47" t="n">
        <v>38</v>
      </c>
      <c r="AG31" s="47" t="n">
        <v>3</v>
      </c>
      <c r="AH31" s="47" t="n">
        <v>1</v>
      </c>
      <c r="AI31" s="47" t="n">
        <v>3</v>
      </c>
      <c r="AJ31" s="47" t="n">
        <v>1</v>
      </c>
      <c r="AK31" s="47" t="n">
        <v>0</v>
      </c>
    </row>
    <row r="32" customFormat="false" ht="15.75" hidden="false" customHeight="false" outlineLevel="0" collapsed="false">
      <c r="A32" s="46" t="n">
        <v>2008</v>
      </c>
      <c r="B32" s="47" t="n">
        <v>0</v>
      </c>
      <c r="C32" s="47" t="n">
        <v>0</v>
      </c>
      <c r="D32" s="47" t="n">
        <v>0</v>
      </c>
      <c r="E32" s="47" t="n">
        <v>0</v>
      </c>
      <c r="F32" s="47" t="n">
        <v>0</v>
      </c>
      <c r="G32" s="47" t="n">
        <v>0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0</v>
      </c>
      <c r="V32" s="47" t="n">
        <v>0</v>
      </c>
      <c r="W32" s="47" t="n">
        <v>0</v>
      </c>
      <c r="X32" s="47" t="n">
        <v>0</v>
      </c>
      <c r="Y32" s="47" t="n">
        <v>0</v>
      </c>
      <c r="Z32" s="47" t="n">
        <v>0</v>
      </c>
      <c r="AA32" s="47" t="n">
        <v>0</v>
      </c>
      <c r="AB32" s="47" t="n">
        <v>0</v>
      </c>
      <c r="AC32" s="47" t="n">
        <v>0</v>
      </c>
      <c r="AD32" s="47" t="n">
        <v>0</v>
      </c>
      <c r="AE32" s="47" t="n">
        <v>0</v>
      </c>
      <c r="AF32" s="47" t="n">
        <v>0</v>
      </c>
      <c r="AG32" s="47" t="n">
        <v>0</v>
      </c>
      <c r="AH32" s="47" t="n">
        <v>0</v>
      </c>
      <c r="AI32" s="47" t="n">
        <v>0</v>
      </c>
      <c r="AJ32" s="47" t="n">
        <v>0</v>
      </c>
      <c r="AK32" s="47" t="n">
        <v>0</v>
      </c>
    </row>
    <row r="33" customFormat="false" ht="15.75" hidden="false" customHeight="false" outlineLevel="0" collapsed="false">
      <c r="A33" s="46" t="n">
        <v>2005</v>
      </c>
      <c r="B33" s="47" t="n">
        <v>0</v>
      </c>
      <c r="C33" s="47" t="n">
        <v>0</v>
      </c>
      <c r="D33" s="47" t="n">
        <v>0</v>
      </c>
      <c r="E33" s="47" t="n">
        <v>0</v>
      </c>
      <c r="F33" s="47" t="n">
        <v>0</v>
      </c>
      <c r="G33" s="47" t="n">
        <v>0</v>
      </c>
      <c r="H33" s="47" t="n">
        <v>0</v>
      </c>
      <c r="I33" s="47" t="n">
        <v>0</v>
      </c>
      <c r="J33" s="47" t="n">
        <v>0</v>
      </c>
      <c r="K33" s="47" t="n">
        <v>0</v>
      </c>
      <c r="L33" s="47" t="n">
        <v>0</v>
      </c>
      <c r="M33" s="47" t="n">
        <v>0</v>
      </c>
      <c r="N33" s="47" t="n">
        <v>0</v>
      </c>
      <c r="O33" s="47" t="n">
        <v>0</v>
      </c>
      <c r="P33" s="47" t="n">
        <v>0</v>
      </c>
      <c r="Q33" s="47" t="n">
        <v>0</v>
      </c>
      <c r="R33" s="47" t="n">
        <v>0</v>
      </c>
      <c r="S33" s="47" t="n">
        <v>0</v>
      </c>
      <c r="T33" s="47" t="n">
        <v>0</v>
      </c>
      <c r="U33" s="47" t="n">
        <v>0</v>
      </c>
      <c r="V33" s="47" t="n">
        <v>0</v>
      </c>
      <c r="W33" s="47" t="n">
        <v>0</v>
      </c>
      <c r="X33" s="47" t="n">
        <v>0</v>
      </c>
      <c r="Y33" s="47" t="n">
        <v>0</v>
      </c>
      <c r="Z33" s="47" t="n">
        <v>0</v>
      </c>
      <c r="AA33" s="47" t="n">
        <v>0</v>
      </c>
      <c r="AB33" s="47" t="n">
        <v>0</v>
      </c>
      <c r="AC33" s="47" t="n">
        <v>0</v>
      </c>
      <c r="AD33" s="47" t="n">
        <v>0</v>
      </c>
      <c r="AE33" s="47" t="n">
        <v>0</v>
      </c>
      <c r="AF33" s="47" t="n">
        <v>0</v>
      </c>
      <c r="AG33" s="47" t="n">
        <v>0</v>
      </c>
      <c r="AH33" s="47" t="n">
        <v>0</v>
      </c>
      <c r="AI33" s="47" t="n">
        <v>0</v>
      </c>
      <c r="AJ33" s="47" t="n">
        <v>0</v>
      </c>
      <c r="AK33" s="47" t="n">
        <v>0</v>
      </c>
    </row>
    <row r="34" customFormat="false" ht="15.75" hidden="false" customHeight="false" outlineLevel="0" collapsed="false">
      <c r="A34" s="46" t="n">
        <v>2037</v>
      </c>
      <c r="B34" s="47" t="n">
        <v>0</v>
      </c>
      <c r="C34" s="47" t="n">
        <v>0</v>
      </c>
      <c r="D34" s="47" t="n">
        <v>0</v>
      </c>
      <c r="E34" s="47" t="n">
        <v>0</v>
      </c>
      <c r="F34" s="47" t="n">
        <v>0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0</v>
      </c>
      <c r="AH34" s="47" t="n">
        <v>0</v>
      </c>
      <c r="AI34" s="47" t="n">
        <v>0</v>
      </c>
      <c r="AJ34" s="47" t="n">
        <v>0</v>
      </c>
      <c r="AK34" s="47" t="n">
        <v>0</v>
      </c>
    </row>
    <row r="35" customFormat="false" ht="15.75" hidden="false" customHeight="false" outlineLevel="0" collapsed="false">
      <c r="A35" s="46" t="n">
        <v>2025</v>
      </c>
      <c r="B35" s="47" t="n">
        <v>0</v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0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</v>
      </c>
      <c r="R35" s="47" t="n">
        <v>0</v>
      </c>
      <c r="S35" s="47" t="n">
        <v>0</v>
      </c>
      <c r="T35" s="47" t="n">
        <v>0</v>
      </c>
      <c r="U35" s="47" t="n">
        <v>0</v>
      </c>
      <c r="V35" s="47" t="n">
        <v>0</v>
      </c>
      <c r="W35" s="47" t="n">
        <v>0</v>
      </c>
      <c r="X35" s="47" t="n">
        <v>0</v>
      </c>
      <c r="Y35" s="47" t="n">
        <v>0</v>
      </c>
      <c r="Z35" s="47" t="n">
        <v>0</v>
      </c>
      <c r="AA35" s="47" t="n">
        <v>0</v>
      </c>
      <c r="AB35" s="47" t="n">
        <v>0</v>
      </c>
      <c r="AC35" s="47" t="n">
        <v>0</v>
      </c>
      <c r="AD35" s="47" t="n">
        <v>0</v>
      </c>
      <c r="AE35" s="47" t="n">
        <v>0</v>
      </c>
      <c r="AF35" s="47" t="n">
        <v>0</v>
      </c>
      <c r="AG35" s="47" t="n">
        <v>0</v>
      </c>
      <c r="AH35" s="47" t="n">
        <v>0</v>
      </c>
      <c r="AI35" s="47" t="n">
        <v>0</v>
      </c>
      <c r="AJ35" s="47" t="n">
        <v>0</v>
      </c>
      <c r="AK35" s="47" t="n">
        <v>0</v>
      </c>
    </row>
    <row r="36" customFormat="false" ht="15.75" hidden="false" customHeight="false" outlineLevel="0" collapsed="false">
      <c r="A36" s="46" t="n">
        <v>2022</v>
      </c>
      <c r="B36" s="47" t="n">
        <v>0</v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</v>
      </c>
      <c r="U36" s="47" t="n">
        <v>0</v>
      </c>
      <c r="V36" s="47" t="n">
        <v>0</v>
      </c>
      <c r="W36" s="47" t="n">
        <v>0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0</v>
      </c>
      <c r="AI36" s="47" t="n">
        <v>0</v>
      </c>
      <c r="AJ36" s="47" t="n">
        <v>0</v>
      </c>
      <c r="AK36" s="47" t="n">
        <v>0</v>
      </c>
    </row>
    <row r="37" customFormat="false" ht="15.75" hidden="false" customHeight="false" outlineLevel="0" collapsed="false">
      <c r="A37" s="46" t="s">
        <v>165</v>
      </c>
      <c r="B37" s="47" t="n">
        <v>112</v>
      </c>
      <c r="C37" s="47" t="n">
        <v>35</v>
      </c>
      <c r="D37" s="47" t="n">
        <v>0</v>
      </c>
      <c r="E37" s="47" t="n">
        <v>22</v>
      </c>
      <c r="F37" s="47" t="n">
        <v>70</v>
      </c>
      <c r="G37" s="47" t="n">
        <v>0</v>
      </c>
      <c r="H37" s="47" t="n">
        <v>19</v>
      </c>
      <c r="I37" s="47" t="n">
        <v>27</v>
      </c>
      <c r="J37" s="47" t="n">
        <v>123</v>
      </c>
      <c r="K37" s="47" t="n">
        <v>14</v>
      </c>
      <c r="L37" s="47" t="n">
        <v>0</v>
      </c>
      <c r="M37" s="47" t="n">
        <v>17</v>
      </c>
      <c r="N37" s="47" t="n">
        <v>6</v>
      </c>
      <c r="O37" s="47" t="n">
        <v>113</v>
      </c>
      <c r="P37" s="47" t="n">
        <v>14</v>
      </c>
      <c r="Q37" s="47" t="n">
        <v>26</v>
      </c>
      <c r="R37" s="47" t="n">
        <v>50</v>
      </c>
      <c r="S37" s="47" t="n">
        <v>17</v>
      </c>
      <c r="T37" s="47" t="n">
        <v>174</v>
      </c>
      <c r="U37" s="47" t="n">
        <v>41</v>
      </c>
      <c r="V37" s="47" t="n">
        <v>2</v>
      </c>
      <c r="W37" s="47" t="n">
        <v>19</v>
      </c>
      <c r="X37" s="47" t="n">
        <v>10</v>
      </c>
      <c r="Y37" s="47" t="n">
        <v>126</v>
      </c>
      <c r="Z37" s="47" t="n">
        <v>245</v>
      </c>
      <c r="AA37" s="47" t="n">
        <v>103</v>
      </c>
      <c r="AB37" s="47" t="n">
        <v>0</v>
      </c>
      <c r="AC37" s="47" t="n">
        <v>6</v>
      </c>
      <c r="AD37" s="47" t="n">
        <v>50</v>
      </c>
      <c r="AE37" s="47" t="n">
        <v>7</v>
      </c>
      <c r="AF37" s="47" t="n">
        <v>26</v>
      </c>
      <c r="AG37" s="47" t="n">
        <v>23</v>
      </c>
      <c r="AH37" s="47" t="n">
        <v>31</v>
      </c>
      <c r="AI37" s="47" t="n">
        <v>19</v>
      </c>
      <c r="AJ37" s="47" t="n">
        <v>12</v>
      </c>
      <c r="AK37" s="47" t="n">
        <v>9</v>
      </c>
    </row>
    <row r="38" customFormat="false" ht="15.75" hidden="false" customHeight="false" outlineLevel="0" collapsed="false">
      <c r="A38" s="46" t="s">
        <v>166</v>
      </c>
      <c r="B38" s="47" t="n">
        <v>20</v>
      </c>
      <c r="C38" s="47" t="n">
        <v>49</v>
      </c>
      <c r="D38" s="47" t="n">
        <v>0</v>
      </c>
      <c r="E38" s="47" t="n">
        <v>7</v>
      </c>
      <c r="F38" s="47" t="n">
        <v>4</v>
      </c>
      <c r="G38" s="47" t="n">
        <v>0</v>
      </c>
      <c r="H38" s="47" t="n">
        <v>41</v>
      </c>
      <c r="I38" s="47" t="n">
        <v>19</v>
      </c>
      <c r="J38" s="47" t="n">
        <v>48</v>
      </c>
      <c r="K38" s="47" t="n">
        <v>12</v>
      </c>
      <c r="L38" s="47" t="n">
        <v>0</v>
      </c>
      <c r="M38" s="47" t="n">
        <v>20</v>
      </c>
      <c r="N38" s="47" t="n">
        <v>5</v>
      </c>
      <c r="O38" s="47" t="n">
        <v>77</v>
      </c>
      <c r="P38" s="47" t="n">
        <v>20</v>
      </c>
      <c r="Q38" s="47" t="n">
        <v>14</v>
      </c>
      <c r="R38" s="47" t="n">
        <v>17</v>
      </c>
      <c r="S38" s="47" t="n">
        <v>7</v>
      </c>
      <c r="T38" s="47" t="n">
        <v>59</v>
      </c>
      <c r="U38" s="47" t="n">
        <v>4</v>
      </c>
      <c r="V38" s="47" t="n">
        <v>0</v>
      </c>
      <c r="W38" s="47" t="n">
        <v>2</v>
      </c>
      <c r="X38" s="47" t="n">
        <v>2</v>
      </c>
      <c r="Y38" s="47" t="n">
        <v>47</v>
      </c>
      <c r="Z38" s="47" t="n">
        <v>59</v>
      </c>
      <c r="AA38" s="47" t="n">
        <v>23</v>
      </c>
      <c r="AB38" s="47" t="n">
        <v>0</v>
      </c>
      <c r="AC38" s="47" t="n">
        <v>1</v>
      </c>
      <c r="AD38" s="47" t="n">
        <v>2</v>
      </c>
      <c r="AE38" s="47" t="n">
        <v>2</v>
      </c>
      <c r="AF38" s="47" t="n">
        <v>6</v>
      </c>
      <c r="AG38" s="47" t="n">
        <v>10</v>
      </c>
      <c r="AH38" s="47" t="n">
        <v>20</v>
      </c>
      <c r="AI38" s="47" t="n">
        <v>8</v>
      </c>
      <c r="AJ38" s="47" t="n">
        <v>8</v>
      </c>
      <c r="AK38" s="47" t="n">
        <v>0</v>
      </c>
    </row>
    <row r="39" customFormat="false" ht="15.75" hidden="false" customHeight="false" outlineLevel="0" collapsed="false">
      <c r="A39" s="48" t="s">
        <v>167</v>
      </c>
      <c r="B39" s="35" t="n">
        <f aca="false">B29+B30+B31+B32+B33+B34+B35+B36+B37+B38</f>
        <v>209</v>
      </c>
      <c r="C39" s="35" t="n">
        <f aca="false">C29+C30+C31+C32+C33+C34+C35+C36+C37+C38</f>
        <v>168</v>
      </c>
      <c r="D39" s="35" t="n">
        <f aca="false">D29+D30+D31+D32+D33+D34+D35+D36+D37+D38</f>
        <v>0</v>
      </c>
      <c r="E39" s="35" t="n">
        <f aca="false">E29+E30+E31+E32+E33+E34+E35+E36+E37+E38</f>
        <v>73</v>
      </c>
      <c r="F39" s="35" t="n">
        <f aca="false">F29+F30+F31+F32+F33+F34+F35+F36+F37+F38</f>
        <v>105</v>
      </c>
      <c r="G39" s="35" t="n">
        <f aca="false">G29+G30+G31+G32+G33+G34+G35+G36+G37+G38</f>
        <v>0</v>
      </c>
      <c r="H39" s="35" t="n">
        <f aca="false">H29+H30+H31+H32+H33+H34+H35+H36+H37+H38</f>
        <v>74</v>
      </c>
      <c r="I39" s="35" t="n">
        <f aca="false">I29+I30+I31+I32+I33+I34+I35+I36+I37+I38</f>
        <v>92</v>
      </c>
      <c r="J39" s="35" t="n">
        <f aca="false">J29+J30+J31+J32+J33+J34+J35+J36+J37+J38</f>
        <v>260</v>
      </c>
      <c r="K39" s="35" t="n">
        <f aca="false">K29+K30+K31+K32+K33+K34+K35+K36+K37+K38</f>
        <v>43</v>
      </c>
      <c r="L39" s="35" t="n">
        <f aca="false">L29+L30+L31+L32+L33+L34+L35+L36+L37+L38</f>
        <v>0</v>
      </c>
      <c r="M39" s="35" t="n">
        <f aca="false">M29+M30+M31+M32+M33+M34+M35+M36+M37+M38</f>
        <v>89</v>
      </c>
      <c r="N39" s="35" t="n">
        <f aca="false">N29+N30+N31+N32+N33+N34+N35+N36+N37+N38</f>
        <v>19</v>
      </c>
      <c r="O39" s="35" t="n">
        <f aca="false">O29+O30+O31+O32+O33+O34+O35+O36+O37+O38</f>
        <v>456</v>
      </c>
      <c r="P39" s="35" t="n">
        <f aca="false">P29+P30+P31+P32+P33+P34+P35+P36+P37+P38</f>
        <v>51</v>
      </c>
      <c r="Q39" s="35" t="n">
        <f aca="false">Q29+Q30+Q31+Q32+Q33+Q34+Q35+Q36+Q37+Q38</f>
        <v>43</v>
      </c>
      <c r="R39" s="35" t="n">
        <f aca="false">R29+R30+R31+R32+R33+R34+R35+R36+R37+R38</f>
        <v>95</v>
      </c>
      <c r="S39" s="35" t="n">
        <f aca="false">S29+S30+S31+S32+S33+S34+S35+S36+S37+S38</f>
        <v>31</v>
      </c>
      <c r="T39" s="35" t="n">
        <f aca="false">T29+T30+T31+T32+T33+T34+T35+T36+T37+T38</f>
        <v>458</v>
      </c>
      <c r="U39" s="35" t="n">
        <f aca="false">U29+U30+U31+U32+U33+U34+U35+U36+U37+U38</f>
        <v>53</v>
      </c>
      <c r="V39" s="35" t="n">
        <f aca="false">V29+V30+V31+V32+V33+V34+V35+V36+V37+V38</f>
        <v>2</v>
      </c>
      <c r="W39" s="35" t="n">
        <f aca="false">W29+W30+W31+W32+W33+W34+W35+W36+W37+W38</f>
        <v>27</v>
      </c>
      <c r="X39" s="35" t="n">
        <f aca="false">X29+X30+X31+X32+X33+X34+X35+X36+X37+X38</f>
        <v>14</v>
      </c>
      <c r="Y39" s="35" t="n">
        <f aca="false">Y29+Y30+Y31+Y32+Y33+Y34+Y35+Y36+Y37+Y38</f>
        <v>402</v>
      </c>
      <c r="Z39" s="35" t="n">
        <f aca="false">Z29+Z30+Z31+Z32+Z33+Z34+Z35+Z36+Z37+Z38</f>
        <v>420</v>
      </c>
      <c r="AA39" s="35" t="n">
        <f aca="false">AA29+AA30+AA31+AA32+AA33+AA34+AA35+AA36+AA37+AA38</f>
        <v>176</v>
      </c>
      <c r="AB39" s="35" t="n">
        <f aca="false">AB29+AB30+AB31+AB32+AB33+AB34+AB35+AB36+AB37+AB38</f>
        <v>0</v>
      </c>
      <c r="AC39" s="35" t="n">
        <f aca="false">AC29+AC30+AC31+AC32+AC33+AC34+AC35+AC36+AC37+AC38</f>
        <v>9</v>
      </c>
      <c r="AD39" s="35" t="n">
        <f aca="false">AD29+AD30+AD31+AD32+AD33+AD34+AD35+AD36+AD37+AD38</f>
        <v>59</v>
      </c>
      <c r="AE39" s="35" t="n">
        <f aca="false">AE29+AE30+AE31+AE32+AE33+AE34+AE35+AE36+AE37+AE38</f>
        <v>11</v>
      </c>
      <c r="AF39" s="35" t="n">
        <f aca="false">AF29+AF30+AF31+AF32+AF33+AF34+AF35+AF36+AF37+AF38</f>
        <v>84</v>
      </c>
      <c r="AG39" s="35" t="n">
        <f aca="false">AG29+AG30+AG31+AG32+AG33+AG34+AG35+AG36+AG37+AG38</f>
        <v>50</v>
      </c>
      <c r="AH39" s="35" t="n">
        <f aca="false">AH29+AH30+AH31+AH32+AH33+AH34+AH35+AH36+AH37+AH38</f>
        <v>77</v>
      </c>
      <c r="AI39" s="35" t="n">
        <f aca="false">AI29+AI30+AI31+AI32+AI33+AI34+AI35+AI36+AI37+AI38</f>
        <v>69</v>
      </c>
      <c r="AJ39" s="35" t="n">
        <f aca="false">AJ29+AJ30+AJ31+AJ32+AJ33+AJ34+AJ35+AJ36+AJ37+AJ38</f>
        <v>40</v>
      </c>
      <c r="AK39" s="35" t="n">
        <f aca="false">AK29+AK30+AK31+AK32+AK33+AK34+AK35+AK36+AK37+AK38</f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5234375" defaultRowHeight="21.75" zeroHeight="false" outlineLevelRow="0" outlineLevelCol="0"/>
  <cols>
    <col collapsed="false" customWidth="true" hidden="false" outlineLevel="0" max="1" min="1" style="0" width="5.07"/>
    <col collapsed="false" customWidth="true" hidden="false" outlineLevel="0" max="2" min="2" style="0" width="39.21"/>
    <col collapsed="false" customWidth="true" hidden="false" outlineLevel="0" max="3" min="3" style="0" width="100.57"/>
  </cols>
  <sheetData>
    <row r="1" customFormat="false" ht="21.75" hidden="false" customHeight="true" outlineLevel="0" collapsed="false">
      <c r="A1" s="16" t="s">
        <v>168</v>
      </c>
      <c r="B1" s="16" t="s">
        <v>169</v>
      </c>
      <c r="C1" s="16" t="s">
        <v>170</v>
      </c>
    </row>
    <row r="2" customFormat="false" ht="21.75" hidden="false" customHeight="true" outlineLevel="0" collapsed="false">
      <c r="A2" s="49" t="n">
        <v>1001</v>
      </c>
      <c r="B2" s="49" t="s">
        <v>171</v>
      </c>
      <c r="C2" s="49" t="s">
        <v>172</v>
      </c>
    </row>
    <row r="3" customFormat="false" ht="21.75" hidden="false" customHeight="true" outlineLevel="0" collapsed="false">
      <c r="A3" s="49" t="n">
        <v>1002</v>
      </c>
      <c r="B3" s="49" t="s">
        <v>171</v>
      </c>
      <c r="C3" s="49" t="s">
        <v>173</v>
      </c>
    </row>
    <row r="4" customFormat="false" ht="21.75" hidden="false" customHeight="true" outlineLevel="0" collapsed="false">
      <c r="A4" s="49" t="n">
        <v>1004</v>
      </c>
      <c r="B4" s="49" t="s">
        <v>171</v>
      </c>
      <c r="C4" s="49" t="s">
        <v>174</v>
      </c>
    </row>
    <row r="5" customFormat="false" ht="21.75" hidden="false" customHeight="true" outlineLevel="0" collapsed="false">
      <c r="A5" s="49" t="n">
        <v>1005</v>
      </c>
      <c r="B5" s="49" t="s">
        <v>171</v>
      </c>
      <c r="C5" s="49" t="s">
        <v>175</v>
      </c>
    </row>
    <row r="6" customFormat="false" ht="21.75" hidden="false" customHeight="true" outlineLevel="0" collapsed="false">
      <c r="A6" s="49" t="n">
        <v>1006</v>
      </c>
      <c r="B6" s="49" t="s">
        <v>171</v>
      </c>
      <c r="C6" s="49" t="s">
        <v>176</v>
      </c>
    </row>
    <row r="7" customFormat="false" ht="21.75" hidden="false" customHeight="true" outlineLevel="0" collapsed="false">
      <c r="A7" s="49" t="n">
        <v>1007</v>
      </c>
      <c r="B7" s="49" t="s">
        <v>171</v>
      </c>
      <c r="C7" s="49" t="s">
        <v>177</v>
      </c>
    </row>
    <row r="8" customFormat="false" ht="21.75" hidden="false" customHeight="true" outlineLevel="0" collapsed="false">
      <c r="A8" s="49" t="n">
        <v>1017</v>
      </c>
      <c r="B8" s="49" t="s">
        <v>171</v>
      </c>
      <c r="C8" s="49" t="s">
        <v>178</v>
      </c>
    </row>
    <row r="9" customFormat="false" ht="21.75" hidden="false" customHeight="true" outlineLevel="0" collapsed="false">
      <c r="A9" s="49" t="n">
        <v>1018</v>
      </c>
      <c r="B9" s="49" t="s">
        <v>171</v>
      </c>
      <c r="C9" s="49" t="s">
        <v>179</v>
      </c>
    </row>
    <row r="10" customFormat="false" ht="21.75" hidden="false" customHeight="true" outlineLevel="0" collapsed="false">
      <c r="A10" s="49" t="n">
        <v>2003</v>
      </c>
      <c r="B10" s="49" t="s">
        <v>180</v>
      </c>
      <c r="C10" s="49" t="s">
        <v>181</v>
      </c>
    </row>
    <row r="11" customFormat="false" ht="21.75" hidden="false" customHeight="true" outlineLevel="0" collapsed="false">
      <c r="A11" s="49" t="n">
        <v>2005</v>
      </c>
      <c r="B11" s="49" t="s">
        <v>180</v>
      </c>
      <c r="C11" s="49" t="s">
        <v>182</v>
      </c>
    </row>
    <row r="12" customFormat="false" ht="21.75" hidden="false" customHeight="true" outlineLevel="0" collapsed="false">
      <c r="A12" s="49" t="n">
        <v>2008</v>
      </c>
      <c r="B12" s="49" t="s">
        <v>180</v>
      </c>
      <c r="C12" s="49" t="s">
        <v>183</v>
      </c>
    </row>
    <row r="13" customFormat="false" ht="21.75" hidden="false" customHeight="true" outlineLevel="0" collapsed="false">
      <c r="A13" s="49" t="n">
        <v>2009</v>
      </c>
      <c r="B13" s="49" t="s">
        <v>180</v>
      </c>
      <c r="C13" s="49" t="s">
        <v>184</v>
      </c>
    </row>
    <row r="14" customFormat="false" ht="21.75" hidden="false" customHeight="true" outlineLevel="0" collapsed="false">
      <c r="A14" s="49" t="n">
        <v>2011</v>
      </c>
      <c r="B14" s="49" t="s">
        <v>185</v>
      </c>
      <c r="C14" s="49" t="s">
        <v>186</v>
      </c>
    </row>
    <row r="15" customFormat="false" ht="21.75" hidden="false" customHeight="true" outlineLevel="0" collapsed="false">
      <c r="A15" s="49" t="n">
        <v>2014</v>
      </c>
      <c r="B15" s="49" t="s">
        <v>180</v>
      </c>
      <c r="C15" s="49" t="s">
        <v>187</v>
      </c>
    </row>
    <row r="16" customFormat="false" ht="21.75" hidden="false" customHeight="true" outlineLevel="0" collapsed="false">
      <c r="A16" s="49" t="n">
        <v>2016</v>
      </c>
      <c r="B16" s="49" t="s">
        <v>180</v>
      </c>
      <c r="C16" s="49" t="s">
        <v>188</v>
      </c>
    </row>
    <row r="17" customFormat="false" ht="21.75" hidden="false" customHeight="true" outlineLevel="0" collapsed="false">
      <c r="A17" s="49" t="n">
        <v>2018</v>
      </c>
      <c r="B17" s="49" t="s">
        <v>185</v>
      </c>
      <c r="C17" s="49" t="s">
        <v>189</v>
      </c>
    </row>
    <row r="18" customFormat="false" ht="21.75" hidden="false" customHeight="true" outlineLevel="0" collapsed="false">
      <c r="A18" s="49" t="n">
        <v>2022</v>
      </c>
      <c r="B18" s="49" t="s">
        <v>180</v>
      </c>
      <c r="C18" s="49" t="s">
        <v>190</v>
      </c>
    </row>
    <row r="19" customFormat="false" ht="21.75" hidden="false" customHeight="true" outlineLevel="0" collapsed="false">
      <c r="A19" s="49" t="n">
        <v>2025</v>
      </c>
      <c r="B19" s="49" t="s">
        <v>185</v>
      </c>
      <c r="C19" s="49" t="s">
        <v>191</v>
      </c>
    </row>
    <row r="20" customFormat="false" ht="21.75" hidden="false" customHeight="true" outlineLevel="0" collapsed="false">
      <c r="A20" s="49" t="n">
        <v>2032</v>
      </c>
      <c r="B20" s="49" t="s">
        <v>180</v>
      </c>
      <c r="C20" s="49" t="s">
        <v>192</v>
      </c>
    </row>
    <row r="21" customFormat="false" ht="21.75" hidden="false" customHeight="true" outlineLevel="0" collapsed="false">
      <c r="A21" s="49" t="n">
        <v>2034</v>
      </c>
      <c r="B21" s="49" t="s">
        <v>180</v>
      </c>
      <c r="C21" s="49" t="s">
        <v>193</v>
      </c>
    </row>
    <row r="22" customFormat="false" ht="21.75" hidden="false" customHeight="true" outlineLevel="0" collapsed="false">
      <c r="A22" s="49" t="n">
        <v>2037</v>
      </c>
      <c r="B22" s="49" t="s">
        <v>185</v>
      </c>
      <c r="C22" s="49" t="s">
        <v>194</v>
      </c>
    </row>
    <row r="23" customFormat="false" ht="21.75" hidden="false" customHeight="true" outlineLevel="0" collapsed="false">
      <c r="A23" s="49" t="n">
        <v>4010</v>
      </c>
      <c r="B23" s="49" t="s">
        <v>195</v>
      </c>
      <c r="C23" s="49" t="s">
        <v>196</v>
      </c>
    </row>
    <row r="24" customFormat="false" ht="21.75" hidden="false" customHeight="true" outlineLevel="0" collapsed="false">
      <c r="A24" s="49" t="n">
        <v>4017</v>
      </c>
      <c r="B24" s="49" t="s">
        <v>195</v>
      </c>
      <c r="C24" s="49" t="s">
        <v>187</v>
      </c>
    </row>
    <row r="25" customFormat="false" ht="21.75" hidden="false" customHeight="true" outlineLevel="0" collapsed="false">
      <c r="A25" s="49" t="n">
        <v>5006</v>
      </c>
      <c r="B25" s="49" t="s">
        <v>197</v>
      </c>
      <c r="C25" s="49" t="s">
        <v>198</v>
      </c>
    </row>
    <row r="26" customFormat="false" ht="21.75" hidden="false" customHeight="true" outlineLevel="0" collapsed="false">
      <c r="A26" s="49" t="n">
        <v>5007</v>
      </c>
      <c r="B26" s="49" t="s">
        <v>197</v>
      </c>
      <c r="C26" s="49" t="s">
        <v>199</v>
      </c>
    </row>
    <row r="27" customFormat="false" ht="21.75" hidden="false" customHeight="true" outlineLevel="0" collapsed="false">
      <c r="A27" s="49" t="n">
        <v>5011</v>
      </c>
      <c r="B27" s="49" t="s">
        <v>197</v>
      </c>
      <c r="C27" s="49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2022-12-01T15:12:52Z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WorkbookGuid">
    <vt:lpwstr>b0419eab-85b6-4632-a7d8-1d756f68f49e</vt:lpwstr>
  </property>
</Properties>
</file>