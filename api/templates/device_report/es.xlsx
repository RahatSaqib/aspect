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<sst xmlns="http://schemas.openxmlformats.org/spreadsheetml/2006/main" count="54" uniqueCount="54">
  <si>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Dispositivos GeneXpert</t>
  </si>
  <si>
    <t xml:space="preserve">Entre fechas: &lt;Dates&gt;</t>
  </si>
  <si>
    <t xml:space="preserve">Estados: &lt;States&gt;</t>
  </si>
  <si>
    <t xml:space="preserve">Ciudad: &lt;Lgas&gt;</t>
  </si>
  <si>
    <t xml:space="preserve">Sitios: &lt;Sites&gt;</t>
  </si>
  <si>
    <t xml:space="preserve">Tenga en cuenta que este informe incluye los resultados de MTB/Rif, MTB ULTRA y MTB XDR</t>
  </si>
  <si>
    <t xml:space="preserve">&lt;Table&gt;</t>
  </si>
  <si>
    <t xml:space="preserve">Dispositivo</t>
  </si>
  <si>
    <t xml:space="preserve">Nombre del sitio</t>
  </si>
  <si>
    <t xml:space="preserve">Estado</t>
  </si>
  <si>
    <t xml:space="preserve">Distrito</t>
  </si>
  <si>
    <t xml:space="preserve">Nro. De serie</t>
  </si>
  <si>
    <t xml:space="preserve"># MTB-</t>
  </si>
  <si>
    <t xml:space="preserve"># MTB+ RIF
sens</t>
  </si>
  <si>
    <t xml:space="preserve"># MTB+ RIF
res</t>
  </si>
  <si>
    <t xml:space="preserve"># MTB+ RIF indeterminado</t>
  </si>
  <si>
    <t xml:space="preserve"># resultados de error</t>
  </si>
  <si>
    <t xml:space="preserve"># resultados inválidos</t>
  </si>
  <si>
    <t xml:space="preserve"># no resultados</t>
  </si>
  <si>
    <t xml:space="preserve"># INH</t>
  </si>
  <si>
    <t xml:space="preserve"># FLQ</t>
  </si>
  <si>
    <t xml:space="preserve"># AMK</t>
  </si>
  <si>
    <t xml:space="preserve"># KAN</t>
  </si>
  <si>
    <t xml:space="preserve"># CAP</t>
  </si>
  <si>
    <t xml:space="preserve"># ETH</t>
  </si>
  <si>
    <t xml:space="preserve"># Modulos Xpert en uso</t>
  </si>
  <si>
    <t xml:space="preserve">Cantidad de días interrumpidos de servicio</t>
  </si>
  <si>
    <t xml:space="preserve">Motivo de interrupción</t>
  </si>
  <si>
    <t xml:space="preserve">Tasa de error</t>
  </si>
  <si>
    <t xml:space="preserve">Tasa Error/Invalid</t>
  </si>
  <si>
    <t xml:space="preserve">Comentario</t>
  </si>
  <si>
    <t xml:space="preserve"># total de pruebas Xpert</t>
  </si>
  <si>
    <t xml:space="preserve">&lt;name&gt;</t>
  </si>
  <si>
    <t xml:space="preserve">&lt;siteName&gt;</t>
  </si>
  <si>
    <t xml:space="preserve">&lt;stateName&gt;</t>
  </si>
  <si>
    <t xml:space="preserve">&lt;districtName&gt;</t>
  </si>
  <si>
    <t xml:space="preserve">&lt;serial&gt;</t>
  </si>
  <si>
    <t xml:space="preserve">&lt;totalMtbNegative&gt;</t>
  </si>
  <si>
    <t xml:space="preserve">&lt;totalMtbSens&gt;</t>
  </si>
  <si>
    <t xml:space="preserve">&lt;totalMtbRes&gt;</t>
  </si>
  <si>
    <t xml:space="preserve">&lt;totalMtbIndeterminate&gt;</t>
  </si>
  <si>
    <t xml:space="preserve">&lt;totalErrors&gt;</t>
  </si>
  <si>
    <t xml:space="preserve">&lt;mtbInvalid&gt;</t>
  </si>
  <si>
    <t xml:space="preserve">&lt;mtbNoResult&gt;</t>
  </si>
  <si>
    <t xml:space="preserve">&lt;INH&gt;</t>
  </si>
  <si>
    <t xml:space="preserve">&lt;FLQ&gt;</t>
  </si>
  <si>
    <t xml:space="preserve">&lt;AMK&gt;</t>
  </si>
  <si>
    <t xml:space="preserve">&lt;KAN&gt;</t>
  </si>
  <si>
    <t xml:space="preserve">&lt;CAP&gt;</t>
  </si>
  <si>
    <t xml:space="preserve">&lt;ETH&gt;</t>
  </si>
  <si>
    <t xml:space="preserve">&lt;totalXpertModulesInUse&gt;</t>
  </si>
  <si>
    <t xml:space="preserve">&lt;totalInterruptedDays&gt;</t>
  </si>
  <si>
    <t xml:space="preserve">&lt;reasonForInterruption&gt;</t>
  </si>
  <si>
    <t xml:space="preserve">&lt;totalXpertTests&gt;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</si>
</sst>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yyyy\-mm\-dd\ hh:mm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i val="true"/>
      <sz val="12"/>
      <color rgb="FF000000"/>
      <name val="Calibri"/>
      <family val="2"/>
      <charset val="204"/>
    </font>
    <font>
      <b val="true"/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234375" defaultRowHeight="15" zeroHeight="false" outlineLevelRow="0" outlineLevelCol="0"/>
  <cols>
    <col collapsed="false" customWidth="true" hidden="false" outlineLevel="0" max="1" min="1" style="0" width="27.23"/>
    <col collapsed="false" customWidth="true" hidden="false" outlineLevel="0" max="4" min="2" style="0" width="30.58"/>
    <col collapsed="false" customWidth="true" hidden="false" outlineLevel="0" max="5" min="5" style="0" width="15.26"/>
    <col collapsed="false" customWidth="true" hidden="false" outlineLevel="0" max="8" min="6" style="0" width="11.58"/>
    <col collapsed="false" customWidth="true" hidden="false" outlineLevel="0" max="11" min="9" style="0" width="15.57"/>
    <col collapsed="false" customWidth="true" hidden="false" outlineLevel="0" max="12" min="12" style="0" width="13.58"/>
    <col collapsed="false" customWidth="true" hidden="false" outlineLevel="0" max="19" min="13" style="0" width="15.57"/>
    <col collapsed="false" customWidth="true" hidden="false" outlineLevel="0" max="21" min="20" style="0" width="20.57"/>
    <col collapsed="false" customWidth="true" hidden="false" outlineLevel="0" max="23" min="22" style="1" width="20.57"/>
    <col collapsed="false" customWidth="true" hidden="false" outlineLevel="0" max="24" min="24" style="0" width="33.33"/>
    <col collapsed="false" customWidth="true" hidden="false" outlineLevel="0" max="25" min="25" style="0" width="20.57"/>
  </cols>
  <sheetData>
    <row r="1" customFormat="false" ht="19.7" hidden="false" customHeight="false" outlineLevel="0" collapsed="false">
      <c r="A1" s="2" t="s">
        <v>0</v>
      </c>
      <c r="C1" s="2"/>
      <c r="D1" s="2"/>
      <c r="E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7.9" hidden="false" customHeight="false" outlineLevel="0" collapsed="false">
      <c r="A5" s="4" t="s">
        <v>4</v>
      </c>
    </row>
    <row r="7" customFormat="false" ht="50.7" hidden="false" customHeight="false" outlineLevel="0" collapsed="false">
      <c r="A7" s="5" t="s">
        <v>5</v>
      </c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3" t="s">
        <v>6</v>
      </c>
    </row>
    <row r="10" s="10" customFormat="true" ht="50.7" hidden="false" customHeight="false" outlineLevel="0" collapsed="false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8" t="s">
        <v>13</v>
      </c>
      <c r="H10" s="8" t="s">
        <v>14</v>
      </c>
      <c r="I10" s="7" t="s">
        <v>15</v>
      </c>
      <c r="J10" s="7" t="s">
        <v>16</v>
      </c>
      <c r="K10" s="7" t="s">
        <v>17</v>
      </c>
      <c r="L10" s="7" t="s">
        <v>18</v>
      </c>
      <c r="M10" s="7" t="s">
        <v>19</v>
      </c>
      <c r="N10" s="7" t="s">
        <v>20</v>
      </c>
      <c r="O10" s="7" t="s">
        <v>21</v>
      </c>
      <c r="P10" s="7" t="s">
        <v>22</v>
      </c>
      <c r="Q10" s="7" t="s">
        <v>23</v>
      </c>
      <c r="R10" s="7" t="s">
        <v>24</v>
      </c>
      <c r="S10" s="8" t="s">
        <v>25</v>
      </c>
      <c r="T10" s="8" t="s">
        <v>26</v>
      </c>
      <c r="U10" s="7" t="s">
        <v>27</v>
      </c>
      <c r="V10" s="9" t="s">
        <v>28</v>
      </c>
      <c r="W10" s="9" t="s">
        <v>29</v>
      </c>
      <c r="X10" s="7" t="s">
        <v>30</v>
      </c>
      <c r="Y10" s="7" t="s">
        <v>31</v>
      </c>
    </row>
    <row r="11" customFormat="false" ht="15" hidden="false" customHeight="false" outlineLevel="0" collapsed="false">
      <c r="A11" s="11" t="s">
        <v>32</v>
      </c>
      <c r="B11" s="11" t="s">
        <v>33</v>
      </c>
      <c r="C11" s="11" t="s">
        <v>34</v>
      </c>
      <c r="D11" s="11" t="s">
        <v>35</v>
      </c>
      <c r="E11" s="11" t="s">
        <v>36</v>
      </c>
      <c r="F11" s="11" t="s">
        <v>37</v>
      </c>
      <c r="G11" s="11" t="s">
        <v>38</v>
      </c>
      <c r="H11" s="11" t="s">
        <v>39</v>
      </c>
      <c r="I11" s="11" t="s">
        <v>40</v>
      </c>
      <c r="J11" s="12" t="s">
        <v>41</v>
      </c>
      <c r="K11" s="12" t="s">
        <v>42</v>
      </c>
      <c r="L11" s="12" t="s">
        <v>43</v>
      </c>
      <c r="M11" s="12" t="s">
        <v>44</v>
      </c>
      <c r="N11" s="12" t="s">
        <v>45</v>
      </c>
      <c r="O11" s="12" t="s">
        <v>46</v>
      </c>
      <c r="P11" s="12" t="s">
        <v>47</v>
      </c>
      <c r="Q11" s="12" t="s">
        <v>48</v>
      </c>
      <c r="R11" s="12" t="s">
        <v>49</v>
      </c>
      <c r="S11" s="11" t="s">
        <v>50</v>
      </c>
      <c r="T11" s="11" t="s">
        <v>51</v>
      </c>
      <c r="U11" s="11" t="s">
        <v>52</v>
      </c>
      <c r="V11" s="13" t="e">
        <f aca="false">IF(Y11=0,0,J11/Y11)</f>
        <v>#VALUE!</v>
      </c>
      <c r="W11" s="14" t="e">
        <f aca="false">IF(Y11=0,0,(J11+K11)/Y11)</f>
        <v>#VALUE!</v>
      </c>
      <c r="X11" s="14" t="e">
        <f aca="false">IF(W11&gt;0.05,"Alta Tasa de Errores/Inválidos. Póngase en contacto con el laboratorio.","")</f>
        <v>#VALUE!</v>
      </c>
      <c r="Y11" s="11" t="s">
        <v>53</v>
      </c>
    </row>
    <row r="14" customFormat="false" ht="15" hidden="false" customHeight="false" outlineLevel="0" collapsed="false">
      <c r="B14" s="15"/>
      <c r="C14" s="15"/>
      <c r="D14" s="15"/>
      <c r="E1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2022-10-26T12:53:00Z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