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<sst xmlns="http://schemas.openxmlformats.org/spreadsheetml/2006/main" count="54" uniqueCount="54">
  <si>
    <t xml:space="preserve">GeneXpert Devices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</si>
  <si>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</si>
  <si>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</si>
  <si>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</si>
  <si>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</si>
  <si>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Please note that this report includes MTB/Rif, MTB ULTRA and MTB XDR results</t>
  </si>
  <si>
    <t xml:space="preserve">&lt;Table&gt;</t>
  </si>
  <si>
    <t xml:space="preserve">Device</t>
  </si>
  <si>
    <t xml:space="preserve">Site Name</t>
  </si>
  <si>
    <t xml:space="preserve">State</t>
  </si>
  <si>
    <t xml:space="preserve">District</t>
  </si>
  <si>
    <t xml:space="preserve">Serial</t>
  </si>
  <si>
    <t xml:space="preserve"># MTB-</t>
  </si>
  <si>
    <t xml:space="preserve"># MTB+ RIF
sens</t>
  </si>
  <si>
    <t xml:space="preserve"># MTB+ RIF
res</t>
  </si>
  <si>
    <t xml:space="preserve"># MTB+ RIF indeterminate</t>
  </si>
  <si>
    <t xml:space="preserve"># error results</t>
  </si>
  <si>
    <t xml:space="preserve"># invalid results</t>
  </si>
  <si>
    <t xml:space="preserve"># no result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</si>
  <si>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</si>
  <si>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</si>
  <si>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</si>
  <si>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</si>
  <si>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</si>
  <si>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</si>
  <si>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Xpert
modules in use</t>
  </si>
  <si>
    <t xml:space="preserve">No of days
interrupted service</t>
  </si>
  <si>
    <t xml:space="preserve">Reason for interruption</t>
  </si>
  <si>
    <t xml:space="preserve">Error rate</t>
  </si>
  <si>
    <t xml:space="preserve">Error/Invalid Rate</t>
  </si>
  <si>
    <t xml:space="preserve">Comment</t>
  </si>
  <si>
    <t xml:space="preserve"># total Xpert tests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</si>
  <si>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</si>
  <si>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</si>
  <si>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</si>
  <si>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</si>
  <si>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</si>
  <si>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</si>
  <si>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&lt;totalMtbSens&gt;</t>
  </si>
  <si>
    <t xml:space="preserve">&lt;totalMtbRes&gt;</t>
  </si>
  <si>
    <t xml:space="preserve">&lt;totalMtbIndeterminate&gt;</t>
  </si>
  <si>
    <t xml:space="preserve">&lt;totalErrors&gt;</t>
  </si>
  <si>
    <t xml:space="preserve">&lt;mtbInvalid&gt;</t>
  </si>
  <si>
    <t xml:space="preserve">&lt;mtbNoResult&gt;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</si>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</sst>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175781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1" min="9" style="0" width="15.57"/>
    <col collapsed="false" customWidth="true" hidden="false" outlineLevel="0" max="12" min="12" style="0" width="13.58"/>
    <col collapsed="false" customWidth="true" hidden="false" outlineLevel="0" max="19" min="13" style="0" width="15.57"/>
    <col collapsed="false" customWidth="true" hidden="false" outlineLevel="0" max="21" min="20" style="0" width="20.57"/>
    <col collapsed="false" customWidth="true" hidden="false" outlineLevel="0" max="23" min="22" style="1" width="20.57"/>
    <col collapsed="false" customWidth="true" hidden="false" outlineLevel="0" max="24" min="24" style="0" width="33.33"/>
    <col collapsed="false" customWidth="true" hidden="false" outlineLevel="0" max="25" min="25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0" customFormat="true" ht="34.3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8" t="s">
        <v>13</v>
      </c>
      <c r="H10" s="8" t="s">
        <v>14</v>
      </c>
      <c r="I10" s="7" t="s">
        <v>15</v>
      </c>
      <c r="J10" s="7" t="s">
        <v>16</v>
      </c>
      <c r="K10" s="7" t="s">
        <v>17</v>
      </c>
      <c r="L10" s="7" t="s">
        <v>18</v>
      </c>
      <c r="M10" s="7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8" t="s">
        <v>25</v>
      </c>
      <c r="T10" s="8" t="s">
        <v>26</v>
      </c>
      <c r="U10" s="7" t="s">
        <v>27</v>
      </c>
      <c r="V10" s="9" t="s">
        <v>28</v>
      </c>
      <c r="W10" s="9" t="s">
        <v>29</v>
      </c>
      <c r="X10" s="7" t="s">
        <v>30</v>
      </c>
      <c r="Y10" s="7" t="s">
        <v>31</v>
      </c>
    </row>
    <row r="11" customFormat="false" ht="15" hidden="false" customHeight="false" outlineLevel="0" collapsed="false">
      <c r="A11" s="11" t="s">
        <v>32</v>
      </c>
      <c r="B11" s="11" t="s">
        <v>33</v>
      </c>
      <c r="C11" s="11" t="s">
        <v>34</v>
      </c>
      <c r="D11" s="11" t="s">
        <v>35</v>
      </c>
      <c r="E11" s="11" t="s">
        <v>36</v>
      </c>
      <c r="F11" s="11" t="s">
        <v>37</v>
      </c>
      <c r="G11" s="11" t="s">
        <v>38</v>
      </c>
      <c r="H11" s="11" t="s">
        <v>39</v>
      </c>
      <c r="I11" s="11" t="s">
        <v>40</v>
      </c>
      <c r="J11" s="12" t="s">
        <v>41</v>
      </c>
      <c r="K11" s="12" t="s">
        <v>42</v>
      </c>
      <c r="L11" s="12" t="s">
        <v>43</v>
      </c>
      <c r="M11" s="12" t="s">
        <v>44</v>
      </c>
      <c r="N11" s="12" t="s">
        <v>45</v>
      </c>
      <c r="O11" s="12" t="s">
        <v>46</v>
      </c>
      <c r="P11" s="12" t="s">
        <v>47</v>
      </c>
      <c r="Q11" s="12" t="s">
        <v>48</v>
      </c>
      <c r="R11" s="12" t="s">
        <v>49</v>
      </c>
      <c r="S11" s="11" t="s">
        <v>50</v>
      </c>
      <c r="T11" s="11" t="s">
        <v>51</v>
      </c>
      <c r="U11" s="11" t="s">
        <v>52</v>
      </c>
      <c r="V11" s="13" t="e">
        <f aca="false">IF(Y11=0,0,J11/Y11)</f>
        <v>#VALUE!</v>
      </c>
      <c r="W11" s="14" t="e">
        <f aca="false">IF(Y11=0,0,(J11+K11)/Y11)</f>
        <v>#VALUE!</v>
      </c>
      <c r="X11" s="14" t="e">
        <f aca="false">IF(W11&gt;0.05,"High Rate of Errors/Invalids. Contact Lab.","")</f>
        <v>#VALUE!</v>
      </c>
      <c r="Y11" s="11" t="s">
        <v>53</v>
      </c>
    </row>
    <row r="14" customFormat="false" ht="15" hidden="false" customHeight="false" outlineLevel="0" collapsed="false">
      <c r="B14" s="15"/>
      <c r="C14" s="15"/>
      <c r="D14" s="15"/>
      <c r="E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2022-10-26T12:50:15Z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