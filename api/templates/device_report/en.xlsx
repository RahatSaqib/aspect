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ce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<sst xmlns="http://schemas.openxmlformats.org/spreadsheetml/2006/main" count="62" uniqueCount="61">
  <si>
    <t xml:space="preserve">GeneXpert Devices</t>
  </si>
  <si>
    <t xml:space="preserve">Dates: &lt;Dates&gt;</t>
  </si>
  <si>
    <t xml:space="preserve">Notes</t>
  </si>
  <si>
    <t xml:space="preserve">&lt;StatesLabel&gt;: &lt;States&gt;</t>
  </si>
  <si>
    <t xml:space="preserve">Please note that this report includes MTB/Rif, MTB ULTRA and MTB XDR results</t>
  </si>
  <si>
    <t xml:space="preserve">&lt;LgasLabel&gt;: &lt;Lgas&gt;</t>
  </si>
  <si>
    <t xml:space="preserve">&lt;SitesLabel&gt;: &lt;Sites&gt;</t>
  </si>
  <si>
    <t xml:space="preserve">References</t>
  </si>
  <si>
    <t xml:space="preserve"># Days of interrupted service</t>
  </si>
  <si>
    <t xml:space="preserve">Counts the number of days when a device was at least once reported with any of the inactivity statuses (including also the statuses Unknown and No Tests Performed)</t>
  </si>
  <si>
    <t xml:space="preserve">&lt;Table&gt;</t>
  </si>
  <si>
    <t xml:space="preserve">Device</t>
  </si>
  <si>
    <t xml:space="preserve">Site name</t>
  </si>
  <si>
    <t xml:space="preserve">State</t>
  </si>
  <si>
    <t xml:space="preserve">District</t>
  </si>
  <si>
    <t xml:space="preserve">Serial</t>
  </si>
  <si>
    <t xml:space="preserve"># MTB-</t>
  </si>
  <si>
    <t xml:space="preserve"># MTB+</t>
  </si>
  <si>
    <t xml:space="preserve"># MTB Trace Detected</t>
  </si>
  <si>
    <t xml:space="preserve"># MTB Error</t>
  </si>
  <si>
    <t xml:space="preserve"># MTB Invalid</t>
  </si>
  <si>
    <t xml:space="preserve"># MTB No Result</t>
  </si>
  <si>
    <t xml:space="preserve"># Rif Not Detected</t>
  </si>
  <si>
    <t xml:space="preserve"># Rif Detected</t>
  </si>
  <si>
    <t xml:space="preserve"># Rif Indeterminate</t>
  </si>
  <si>
    <t xml:space="preserve"># INH</t>
  </si>
  <si>
    <t xml:space="preserve"># FLQ</t>
  </si>
  <si>
    <t xml:space="preserve"># AMK</t>
  </si>
  <si>
    <t xml:space="preserve"># KAN</t>
  </si>
  <si>
    <t xml:space="preserve"># CAP</t>
  </si>
  <si>
    <t xml:space="preserve"># ETH</t>
  </si>
  <si>
    <t xml:space="preserve"># Modules used in the date range</t>
  </si>
  <si>
    <t xml:space="preserve">Reason for interruption</t>
  </si>
  <si>
    <t xml:space="preserve">Error rate</t>
  </si>
  <si>
    <t xml:space="preserve">Error/Invalid rate</t>
  </si>
  <si>
    <t xml:space="preserve">Comment</t>
  </si>
  <si>
    <t xml:space="preserve"># Total tests</t>
  </si>
  <si>
    <t xml:space="preserve">&lt;name&gt;</t>
  </si>
  <si>
    <t xml:space="preserve">&lt;siteName&gt;</t>
  </si>
  <si>
    <t xml:space="preserve">&lt;stateName&gt;</t>
  </si>
  <si>
    <t xml:space="preserve">&lt;districtName&gt;</t>
  </si>
  <si>
    <t xml:space="preserve">&lt;serial&gt;</t>
  </si>
  <si>
    <t xml:space="preserve">&lt;totalMtbNegative&gt;</t>
  </si>
  <si>
    <t xml:space="preserve">&lt;totalMtbDetected&gt;</t>
  </si>
  <si>
    <t xml:space="preserve">&lt;totalMtbTraceDetected&gt;</t>
  </si>
  <si>
    <t xml:space="preserve">&lt;totalErrors&gt;</t>
  </si>
  <si>
    <t xml:space="preserve">&lt;mtbInvalid&gt;</t>
  </si>
  <si>
    <t xml:space="preserve">&lt;mtbNoResult&gt;</t>
  </si>
  <si>
    <t xml:space="preserve">&lt;totalMtbSens&gt;</t>
  </si>
  <si>
    <t xml:space="preserve">&lt;totalMtbRes&gt;</t>
  </si>
  <si>
    <t xml:space="preserve">&lt;totalMtbIndeterminate&gt;</t>
  </si>
  <si>
    <t xml:space="preserve">&lt;INH&gt;</t>
  </si>
  <si>
    <t xml:space="preserve">&lt;FLQ&gt;</t>
  </si>
  <si>
    <t xml:space="preserve">&lt;AMK&gt;</t>
  </si>
  <si>
    <t xml:space="preserve">&lt;KAN&gt;</t>
  </si>
  <si>
    <t xml:space="preserve">&lt;CAP&gt;</t>
  </si>
  <si>
    <t xml:space="preserve">&lt;ETH&gt;</t>
  </si>
  <si>
    <t xml:space="preserve">&lt;totalXpertModulesInUse&gt;</t>
  </si>
  <si>
    <t xml:space="preserve">&lt;totalInterruptedDays&gt;</t>
  </si>
  <si>
    <t xml:space="preserve">&lt;reasonForInterruption&gt;</t>
  </si>
  <si>
    <t xml:space="preserve">&lt;totalXpertTests&gt;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</si>
</sst>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yyyy\-mm\-dd\ hh:mm"/>
  </numFmts>
  <fonts count="9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i val="true"/>
      <sz val="12"/>
      <color rgb="FF000000"/>
      <name val="Calibri"/>
      <family val="2"/>
      <charset val="1"/>
    </font>
    <font>
      <i val="true"/>
      <sz val="12"/>
      <color rgb="FF000000"/>
      <name val="Calibri"/>
      <family val="2"/>
      <charset val="204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.30859375" defaultRowHeight="15" zeroHeight="false" outlineLevelRow="0" outlineLevelCol="0"/>
  <cols>
    <col collapsed="false" customWidth="true" hidden="false" outlineLevel="0" max="1" min="1" style="0" width="27.23"/>
    <col collapsed="false" customWidth="true" hidden="false" outlineLevel="0" max="2" min="2" style="0" width="30.58"/>
    <col collapsed="false" customWidth="true" hidden="false" outlineLevel="0" max="3" min="3" style="0" width="35.45"/>
    <col collapsed="false" customWidth="true" hidden="false" outlineLevel="0" max="4" min="4" style="0" width="33.53"/>
    <col collapsed="false" customWidth="true" hidden="false" outlineLevel="0" max="5" min="5" style="0" width="15.26"/>
    <col collapsed="false" customWidth="true" hidden="false" outlineLevel="0" max="8" min="6" style="0" width="11.58"/>
    <col collapsed="false" customWidth="true" hidden="false" outlineLevel="0" max="10" min="9" style="0" width="15.57"/>
    <col collapsed="false" customWidth="true" hidden="false" outlineLevel="0" max="11" min="11" style="0" width="13.58"/>
    <col collapsed="false" customWidth="true" hidden="false" outlineLevel="0" max="13" min="12" style="0" width="11.58"/>
    <col collapsed="false" customWidth="true" hidden="false" outlineLevel="0" max="21" min="14" style="0" width="15.57"/>
    <col collapsed="false" customWidth="true" hidden="false" outlineLevel="0" max="23" min="22" style="0" width="20.57"/>
    <col collapsed="false" customWidth="true" hidden="false" outlineLevel="0" max="25" min="24" style="1" width="20.57"/>
    <col collapsed="false" customWidth="true" hidden="false" outlineLevel="0" max="26" min="26" style="0" width="33.33"/>
    <col collapsed="false" customWidth="true" hidden="false" outlineLevel="0" max="27" min="27" style="0" width="20.57"/>
  </cols>
  <sheetData>
    <row r="1" customFormat="false" ht="19.7" hidden="false" customHeight="false" outlineLevel="0" collapsed="false">
      <c r="A1" s="2" t="s">
        <v>0</v>
      </c>
      <c r="C1" s="2"/>
      <c r="D1" s="2"/>
      <c r="E1" s="2"/>
    </row>
    <row r="2" customFormat="false" ht="15" hidden="false" customHeight="false" outlineLevel="0" collapsed="false">
      <c r="A2" s="3" t="s">
        <v>1</v>
      </c>
      <c r="C2" s="0" t="s">
        <v>2</v>
      </c>
    </row>
    <row r="3" customFormat="false" ht="17.9" hidden="false" customHeight="true" outlineLevel="0" collapsed="false">
      <c r="A3" s="3" t="s">
        <v>3</v>
      </c>
      <c r="C3" s="4" t="s">
        <v>4</v>
      </c>
      <c r="D3" s="4"/>
    </row>
    <row r="4" customFormat="false" ht="15" hidden="false" customHeight="false" outlineLevel="0" collapsed="false">
      <c r="A4" s="3" t="s">
        <v>5</v>
      </c>
    </row>
    <row r="5" customFormat="false" ht="17.9" hidden="false" customHeight="false" outlineLevel="0" collapsed="false">
      <c r="A5" s="5" t="s">
        <v>6</v>
      </c>
      <c r="C5" s="0" t="s">
        <v>7</v>
      </c>
    </row>
    <row r="6" customFormat="false" ht="83.55" hidden="false" customHeight="false" outlineLevel="0" collapsed="false">
      <c r="C6" s="6" t="s">
        <v>8</v>
      </c>
      <c r="D6" s="5" t="s">
        <v>9</v>
      </c>
    </row>
    <row r="7" customFormat="false" ht="16.4" hidden="false" customHeight="true" outlineLevel="0" collapsed="false">
      <c r="A7" s="7"/>
    </row>
    <row r="8" customFormat="false" ht="15" hidden="false" customHeight="false" outlineLevel="0" collapsed="false">
      <c r="A8" s="8"/>
    </row>
    <row r="9" customFormat="false" ht="15" hidden="false" customHeight="false" outlineLevel="0" collapsed="false">
      <c r="A9" s="3" t="s">
        <v>10</v>
      </c>
    </row>
    <row r="10" s="13" customFormat="true" ht="50.7" hidden="false" customHeight="false" outlineLevel="0" collapsed="false">
      <c r="A10" s="9" t="s">
        <v>11</v>
      </c>
      <c r="B10" s="9" t="s">
        <v>12</v>
      </c>
      <c r="C10" s="9" t="s">
        <v>13</v>
      </c>
      <c r="D10" s="9" t="s">
        <v>14</v>
      </c>
      <c r="E10" s="9" t="s">
        <v>15</v>
      </c>
      <c r="F10" s="9" t="s">
        <v>16</v>
      </c>
      <c r="G10" s="9" t="s">
        <v>17</v>
      </c>
      <c r="H10" s="9" t="s">
        <v>18</v>
      </c>
      <c r="I10" s="9" t="s">
        <v>19</v>
      </c>
      <c r="J10" s="9" t="s">
        <v>20</v>
      </c>
      <c r="K10" s="9" t="s">
        <v>21</v>
      </c>
      <c r="L10" s="10" t="s">
        <v>22</v>
      </c>
      <c r="M10" s="11" t="s">
        <v>23</v>
      </c>
      <c r="N10" s="9" t="s">
        <v>24</v>
      </c>
      <c r="O10" s="9" t="s">
        <v>25</v>
      </c>
      <c r="P10" s="9" t="s">
        <v>26</v>
      </c>
      <c r="Q10" s="9" t="s">
        <v>27</v>
      </c>
      <c r="R10" s="9" t="s">
        <v>28</v>
      </c>
      <c r="S10" s="9" t="s">
        <v>29</v>
      </c>
      <c r="T10" s="9" t="s">
        <v>30</v>
      </c>
      <c r="U10" s="10" t="s">
        <v>31</v>
      </c>
      <c r="V10" s="10" t="s">
        <v>8</v>
      </c>
      <c r="W10" s="9" t="s">
        <v>32</v>
      </c>
      <c r="X10" s="12" t="s">
        <v>33</v>
      </c>
      <c r="Y10" s="12" t="s">
        <v>34</v>
      </c>
      <c r="Z10" s="9" t="s">
        <v>35</v>
      </c>
      <c r="AA10" s="9" t="s">
        <v>36</v>
      </c>
      <c r="AMH10" s="0"/>
      <c r="AMI10" s="0"/>
      <c r="AMJ10" s="0"/>
    </row>
    <row r="11" customFormat="false" ht="15" hidden="false" customHeight="false" outlineLevel="0" collapsed="false">
      <c r="A11" s="14" t="s">
        <v>37</v>
      </c>
      <c r="B11" s="14" t="s">
        <v>38</v>
      </c>
      <c r="C11" s="14" t="s">
        <v>39</v>
      </c>
      <c r="D11" s="14" t="s">
        <v>40</v>
      </c>
      <c r="E11" s="14" t="s">
        <v>41</v>
      </c>
      <c r="F11" s="14" t="s">
        <v>42</v>
      </c>
      <c r="G11" s="14" t="s">
        <v>43</v>
      </c>
      <c r="H11" s="14" t="s">
        <v>44</v>
      </c>
      <c r="I11" s="15" t="s">
        <v>45</v>
      </c>
      <c r="J11" s="15" t="s">
        <v>46</v>
      </c>
      <c r="K11" s="15" t="s">
        <v>47</v>
      </c>
      <c r="L11" s="14" t="s">
        <v>48</v>
      </c>
      <c r="M11" s="14" t="s">
        <v>49</v>
      </c>
      <c r="N11" s="14" t="s">
        <v>50</v>
      </c>
      <c r="O11" s="15" t="s">
        <v>51</v>
      </c>
      <c r="P11" s="15" t="s">
        <v>52</v>
      </c>
      <c r="Q11" s="15" t="s">
        <v>53</v>
      </c>
      <c r="R11" s="15" t="s">
        <v>54</v>
      </c>
      <c r="S11" s="15" t="s">
        <v>55</v>
      </c>
      <c r="T11" s="15" t="s">
        <v>56</v>
      </c>
      <c r="U11" s="14" t="s">
        <v>57</v>
      </c>
      <c r="V11" s="14" t="s">
        <v>58</v>
      </c>
      <c r="W11" s="14" t="s">
        <v>59</v>
      </c>
      <c r="X11" s="16" t="e">
        <f aca="false">IF(AA11=0,0,I11/AA11)</f>
        <v>#VALUE!</v>
      </c>
      <c r="Y11" s="17" t="e">
        <f aca="false">IF(AA11=0,0,(I11+J11)/AA11)</f>
        <v>#VALUE!</v>
      </c>
      <c r="Z11" s="17" t="e">
        <f aca="false">IF(Y11&gt;0.05,"High Rate of Errors/Invalids. Contact Lab.","")</f>
        <v>#VALUE!</v>
      </c>
      <c r="AA11" s="14" t="s">
        <v>60</v>
      </c>
    </row>
    <row r="14" customFormat="false" ht="15" hidden="false" customHeight="false" outlineLevel="0" collapsed="false">
      <c r="B14" s="18"/>
      <c r="C14" s="18"/>
      <c r="D14" s="18"/>
      <c r="E14" s="18"/>
    </row>
  </sheetData>
  <mergeCells count="1">
    <mergeCell ref="C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345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2022-10-27T13:58:23Z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