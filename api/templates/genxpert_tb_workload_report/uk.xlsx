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xpert_tb_workload_report\"/>
    </mc:Choice>
  </mc:AlternateContent>
  <xr:revisionPtr revIDLastSave="0" documentId="13_ncr:1_{123666AA-145F-4000-8D69-C13B35621A98}" xr6:coauthVersionLast="47" xr6:coauthVersionMax="47" xr10:uidLastSave="{00000000-0000-0000-0000-000000000000}"/>
  <bookViews>
    <workbookView xWindow="24" yWindow="24" windowWidth="23016" windowHeight="12936" tabRatio="500" xr2:uid="{00000000-000D-0000-FFFF-FFFF00000000}"/>
  </bookViews>
  <sheets>
    <sheet name="Devic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1" i="1" l="1"/>
  <c r="Z11" i="1" s="1"/>
  <c r="X11" i="1"/>
</calcChain>
</file>

<file path=xl/sharedStrings.xml><?xml version="1.0" encoding="utf-8"?>
<sst xmlns="http://schemas.openxmlformats.org/spreadsheetml/2006/main" count="66" uniqueCount="64">
  <si>
    <t>Пристрої GeneXpert</t>
  </si>
  <si>
    <t>Дати: &lt;Dates&gt;</t>
  </si>
  <si>
    <t>Примітки</t>
  </si>
  <si>
    <t>Області: &lt;States&gt;</t>
  </si>
  <si>
    <t>Зверніть увагу, що цей звіт містить результати MTB/Rif, MTB ULTRA та MTB XDR</t>
  </si>
  <si>
    <t>Райони: &lt;Lgas&gt;</t>
  </si>
  <si>
    <t>Сайти: &lt;Sites&gt;</t>
  </si>
  <si>
    <t>Список літератури</t>
  </si>
  <si>
    <t># Використовувані модулі</t>
  </si>
  <si>
    <t>Підраховує кількість днів, коли пристрій принаймні один раз повідомлялося про будь-який із статусів неактивності (включно зі статусами «Невідомо» та «Тестування не проводилися»).</t>
  </si>
  <si>
    <t>&lt;Table&gt;</t>
  </si>
  <si>
    <t>пристрій</t>
  </si>
  <si>
    <t>Назва сайту</t>
  </si>
  <si>
    <t>Держава</t>
  </si>
  <si>
    <t>Район</t>
  </si>
  <si>
    <t>Серійний</t>
  </si>
  <si>
    <t># MTB-</t>
  </si>
  <si>
    <t># MTB+</t>
  </si>
  <si>
    <t># Помилка MTB</t>
  </si>
  <si>
    <t># MTB Недійсний</t>
  </si>
  <si>
    <t># MTB+ RIF невизначений</t>
  </si>
  <si>
    <t># INH</t>
  </si>
  <si>
    <t># FLQ</t>
  </si>
  <si>
    <t># AMK</t>
  </si>
  <si>
    <t># KAN</t>
  </si>
  <si>
    <t># CAP</t>
  </si>
  <si>
    <t># ETH</t>
  </si>
  <si>
    <t># Модулі, використані в діапазоні дат</t>
  </si>
  <si>
    <t>Причина переривання</t>
  </si>
  <si>
    <t>Частота помилок</t>
  </si>
  <si>
    <t>Помилка/недійсний показник</t>
  </si>
  <si>
    <t>коментар</t>
  </si>
  <si>
    <t># Всього тестів</t>
  </si>
  <si>
    <t>&lt;name&gt;</t>
  </si>
  <si>
    <t>&lt;siteName&gt;</t>
  </si>
  <si>
    <t>&lt;stateName&gt;</t>
  </si>
  <si>
    <t>&lt;districtName&gt;</t>
  </si>
  <si>
    <t>&lt;serial&gt;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</si>
  <si>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</si>
  <si>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</si>
  <si>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</si>
  <si>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</si>
  <si>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</si>
  <si>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</si>
  <si>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</si>
  <si>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</si>
  <si>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</si>
  <si>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</si>
  <si>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</si>
  <si>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</si>
  <si>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</si>
  <si>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</si>
  <si>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</si>
  <si>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</si>
  <si>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</si>
  <si>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</si>
  <si>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# MTB траса</t>
  </si>
  <si>
    <t># MTB+ RIF чутливість</t>
  </si>
  <si>
    <t># MTB+ Стійкий до RIF</t>
  </si>
  <si>
    <t>&lt;lastResultUploadedOn&gt;</t>
  </si>
  <si>
    <t>&lt;lastResultConductedOn&gt;</t>
  </si>
  <si>
    <t>&lt;totalXpertResults&gt;</t>
  </si>
  <si>
    <t>Останній результат завантажено на</t>
  </si>
  <si>
    <t>Останній результат проведено 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</si>
</sst>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6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  <font>
      <u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2" fillId="0" borderId="0" xfId="0" applyFont="1" applyAlignment="1">
      <alignment wrapText="1"/>
    </xf>
    <xf numFmtId="0" fontId="2" fillId="0" borderId="0" xfId="0" applyFont="1"/>
    <xf numFmtId="164" fontId="3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0" fontId="3" fillId="2" borderId="1" xfId="0" applyNumberFormat="1" applyFont="1" applyFill="1" applyBorder="1"/>
    <xf numFmtId="0" fontId="4" fillId="0" borderId="0" xfId="0" applyFont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2" xfId="0" applyNumberFormat="1" applyBorder="1"/>
    <xf numFmtId="0" fontId="4" fillId="0" borderId="0" xfId="0" applyFont="1"/>
    <xf numFmtId="0" fontId="0" fillId="0" borderId="0" xfId="0"/>
    <xf numFmtId="0" fontId="0" fillId="0" borderId="0" xfId="0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"/>
  <sheetViews>
    <sheetView tabSelected="1" zoomScaleNormal="100" workbookViewId="0">
      <selection activeCell="A11" sqref="A11"/>
    </sheetView>
  </sheetViews>
  <sheetFormatPr defaultColWidth="11.296875" defaultRowHeight="15.6" x14ac:dyDescent="0.3"/>
  <cols>
    <col min="1" max="1" width="27.19921875" customWidth="1"/>
    <col min="2" max="2" width="30.59765625" customWidth="1"/>
    <col min="3" max="3" width="40.3984375" customWidth="1"/>
    <col min="4" max="4" width="42.09765625" customWidth="1"/>
    <col min="5" max="5" width="15.296875" customWidth="1"/>
    <col min="6" max="10" width="11.59765625" customWidth="1"/>
    <col min="11" max="13" width="15.59765625" customWidth="1"/>
    <col min="14" max="14" width="13.59765625" customWidth="1"/>
    <col min="15" max="21" width="15.59765625" customWidth="1"/>
    <col min="22" max="23" width="20.59765625" customWidth="1"/>
    <col min="24" max="25" width="20.59765625" style="1" customWidth="1"/>
    <col min="26" max="26" width="33.296875" customWidth="1"/>
    <col min="27" max="27" width="32.8984375" bestFit="1" customWidth="1"/>
    <col min="28" max="28" width="31.09765625" bestFit="1" customWidth="1"/>
    <col min="29" max="29" width="20.59765625" customWidth="1"/>
  </cols>
  <sheetData>
    <row r="1" spans="1:29" ht="21" x14ac:dyDescent="0.4">
      <c r="A1" s="2" t="s">
        <v>0</v>
      </c>
      <c r="C1" s="2"/>
      <c r="D1" s="2"/>
      <c r="E1" s="2"/>
    </row>
    <row r="2" spans="1:29" x14ac:dyDescent="0.3">
      <c r="A2" t="s">
        <v>1</v>
      </c>
      <c r="C2" s="18" t="s">
        <v>2</v>
      </c>
    </row>
    <row r="3" spans="1:29" x14ac:dyDescent="0.3">
      <c r="A3" t="s">
        <v>3</v>
      </c>
      <c r="C3" s="16" t="s">
        <v>4</v>
      </c>
      <c r="D3" s="16"/>
    </row>
    <row r="4" spans="1:29" x14ac:dyDescent="0.3">
      <c r="A4" t="s">
        <v>5</v>
      </c>
    </row>
    <row r="5" spans="1:29" x14ac:dyDescent="0.3">
      <c r="A5" s="3" t="s">
        <v>6</v>
      </c>
      <c r="C5" s="18" t="s">
        <v>7</v>
      </c>
    </row>
    <row r="6" spans="1:29" ht="47.4" customHeight="1" x14ac:dyDescent="0.3">
      <c r="C6" s="4" t="s">
        <v>8</v>
      </c>
      <c r="D6" s="17" t="s">
        <v>9</v>
      </c>
      <c r="E6" s="17"/>
      <c r="F6" s="17"/>
      <c r="G6" s="17"/>
    </row>
    <row r="7" spans="1:29" x14ac:dyDescent="0.3">
      <c r="A7" s="5"/>
    </row>
    <row r="8" spans="1:29" x14ac:dyDescent="0.3">
      <c r="A8" s="6"/>
    </row>
    <row r="9" spans="1:29" x14ac:dyDescent="0.3">
      <c r="A9" t="s">
        <v>10</v>
      </c>
    </row>
    <row r="10" spans="1:29" s="10" customFormat="1" ht="46.8" x14ac:dyDescent="0.3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  <c r="F10" s="7" t="s">
        <v>16</v>
      </c>
      <c r="G10" s="7" t="s">
        <v>17</v>
      </c>
      <c r="H10" s="7" t="s">
        <v>56</v>
      </c>
      <c r="I10" s="7" t="s">
        <v>18</v>
      </c>
      <c r="J10" s="7" t="s">
        <v>19</v>
      </c>
      <c r="K10" s="7" t="s">
        <v>19</v>
      </c>
      <c r="L10" s="8" t="s">
        <v>57</v>
      </c>
      <c r="M10" s="8" t="s">
        <v>58</v>
      </c>
      <c r="N10" s="7" t="s">
        <v>20</v>
      </c>
      <c r="O10" s="7" t="s">
        <v>21</v>
      </c>
      <c r="P10" s="7" t="s">
        <v>22</v>
      </c>
      <c r="Q10" s="7" t="s">
        <v>23</v>
      </c>
      <c r="R10" s="7" t="s">
        <v>24</v>
      </c>
      <c r="S10" s="7" t="s">
        <v>25</v>
      </c>
      <c r="T10" s="7" t="s">
        <v>26</v>
      </c>
      <c r="U10" s="8" t="s">
        <v>27</v>
      </c>
      <c r="V10" s="8" t="s">
        <v>8</v>
      </c>
      <c r="W10" s="7" t="s">
        <v>28</v>
      </c>
      <c r="X10" s="9" t="s">
        <v>29</v>
      </c>
      <c r="Y10" s="9" t="s">
        <v>30</v>
      </c>
      <c r="Z10" s="7" t="s">
        <v>31</v>
      </c>
      <c r="AA10" s="7" t="s">
        <v>62</v>
      </c>
      <c r="AB10" s="7" t="s">
        <v>63</v>
      </c>
      <c r="AC10" s="7" t="s">
        <v>32</v>
      </c>
    </row>
    <row r="11" spans="1:29" x14ac:dyDescent="0.3">
      <c r="A11" s="11" t="s">
        <v>33</v>
      </c>
      <c r="B11" s="11" t="s">
        <v>34</v>
      </c>
      <c r="C11" s="11" t="s">
        <v>35</v>
      </c>
      <c r="D11" s="11" t="s">
        <v>36</v>
      </c>
      <c r="E11" s="11" t="s">
        <v>37</v>
      </c>
      <c r="F11" s="11" t="s">
        <v>38</v>
      </c>
      <c r="G11" s="11" t="s">
        <v>39</v>
      </c>
      <c r="H11" s="11" t="s">
        <v>40</v>
      </c>
      <c r="I11" s="12" t="s">
        <v>41</v>
      </c>
      <c r="J11" s="12" t="s">
        <v>42</v>
      </c>
      <c r="K11" s="12" t="s">
        <v>43</v>
      </c>
      <c r="L11" s="11" t="s">
        <v>44</v>
      </c>
      <c r="M11" s="11" t="s">
        <v>45</v>
      </c>
      <c r="N11" s="11" t="s">
        <v>46</v>
      </c>
      <c r="O11" s="12" t="s">
        <v>47</v>
      </c>
      <c r="P11" s="12" t="s">
        <v>48</v>
      </c>
      <c r="Q11" s="12" t="s">
        <v>49</v>
      </c>
      <c r="R11" s="12" t="s">
        <v>50</v>
      </c>
      <c r="S11" s="12" t="s">
        <v>51</v>
      </c>
      <c r="T11" s="12" t="s">
        <v>52</v>
      </c>
      <c r="U11" s="11" t="s">
        <v>53</v>
      </c>
      <c r="V11" s="11" t="s">
        <v>54</v>
      </c>
      <c r="W11" s="11" t="s">
        <v>55</v>
      </c>
      <c r="X11" s="13" t="e">
        <f>IF(AC11=0,0,I11/AC11)</f>
        <v>#VALUE!</v>
      </c>
      <c r="Y11" s="14" t="e">
        <f>IF(AC11=0,0,(I11+J11)/AC11)</f>
        <v>#VALUE!</v>
      </c>
      <c r="Z11" s="14" t="e">
        <f>IF(Y11&gt;0.05,"Високий рівень помилок/недійсних даних. Звертайтесь до лаб.","")</f>
        <v>#VALUE!</v>
      </c>
      <c r="AA11" s="14" t="s">
        <v>59</v>
      </c>
      <c r="AB11" s="14" t="s">
        <v>60</v>
      </c>
      <c r="AC11" s="11" t="s">
        <v>61</v>
      </c>
    </row>
    <row r="14" spans="1:29" x14ac:dyDescent="0.3">
      <c r="B14" s="15"/>
      <c r="C14" s="15"/>
      <c r="D14" s="15"/>
      <c r="E14" s="15"/>
    </row>
  </sheetData>
  <mergeCells count="2">
    <mergeCell ref="C3:D3"/>
    <mergeCell ref="D6:G6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31</cp:revision>
  <dcterms:created xsi:type="dcterms:W3CDTF">2014-04-20T08:25:13Z</dcterms:created>
  <dcterms:modified xsi:type="dcterms:W3CDTF">2023-02-14T04:48:50Z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