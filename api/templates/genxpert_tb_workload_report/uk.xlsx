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genxpert_tb_workload_report/"/>
    </mc:Choice>
  </mc:AlternateContent>
  <xr:revisionPtr revIDLastSave="0" documentId="13_ncr:1_{E34DF97E-650E-7548-89DD-E65C45134AF1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Пристрої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" i="1" l="1"/>
  <c r="AD11" i="1" s="1"/>
  <c r="AB11" i="1"/>
</calcChain>
</file>

<file path=xl/sharedStrings.xml><?xml version="1.0" encoding="utf-8"?>
<sst xmlns="http://schemas.openxmlformats.org/spreadsheetml/2006/main" count="96" uniqueCount="93">
  <si>
    <t>Пристрої GeneXpert</t>
  </si>
  <si>
    <t>Дати: &lt;Dates&gt;</t>
  </si>
  <si>
    <t>Примітки</t>
  </si>
  <si>
    <t>Області: &lt;States&gt;</t>
  </si>
  <si>
    <t>Зверніть увагу, що цей звіт містить результати MTB/Rif, MTB ULTRA та MTB XDR</t>
  </si>
  <si>
    <t>Райони: &lt;Lgas&gt;</t>
  </si>
  <si>
    <t>Сайти: &lt;Sites&gt;</t>
  </si>
  <si>
    <t>Список літератури</t>
  </si>
  <si>
    <t># Використовувані модулі</t>
  </si>
  <si>
    <t>Підраховує кількість днів, коли пристрій принаймні один раз повідомлялося про будь-який із статусів неактивності (включно зі статусами «Невідомо» та «Тестування не проводилися»).</t>
  </si>
  <si>
    <t>&lt;Table&gt;</t>
  </si>
  <si>
    <t>пристрій</t>
  </si>
  <si>
    <t>Назва сайту</t>
  </si>
  <si>
    <t>Держава</t>
  </si>
  <si>
    <t>Район</t>
  </si>
  <si>
    <t>Серійний</t>
  </si>
  <si>
    <t>Серійний номер інструменту</t>
  </si>
  <si>
    <t>Cтатус</t>
  </si>
  <si>
    <t>Примітка про статус</t>
  </si>
  <si>
    <t># MTB-</t>
  </si>
  <si>
    <t># MTB+</t>
  </si>
  <si>
    <t># MTB траса</t>
  </si>
  <si>
    <t># Помилка MTB</t>
  </si>
  <si>
    <t># MTB Недійсний</t>
  </si>
  <si>
    <t># MTB+ RIF чутливість</t>
  </si>
  <si>
    <t># MTB+ Стійкий до RIF</t>
  </si>
  <si>
    <t># MTB+ RIF невизначений</t>
  </si>
  <si>
    <t># INH</t>
  </si>
  <si>
    <t># FLQ</t>
  </si>
  <si>
    <t># AMK</t>
  </si>
  <si>
    <t># KAN</t>
  </si>
  <si>
    <t># CAP</t>
  </si>
  <si>
    <t># ETH</t>
  </si>
  <si>
    <t># Модулі, використані в діапазоні дат</t>
  </si>
  <si>
    <t>Останній пінґ від</t>
  </si>
  <si>
    <t>Частота помилок</t>
  </si>
  <si>
    <t>Помилка/недійсний показник</t>
  </si>
  <si>
    <t>коментар</t>
  </si>
  <si>
    <t>Останній результат завантажено на</t>
  </si>
  <si>
    <t>Останній результат проведено на</t>
  </si>
  <si>
    <t># Всього тестів</t>
  </si>
  <si>
    <t>Інформація нижче станом на</t>
  </si>
  <si>
    <t>Операційна система</t>
  </si>
  <si>
    <t>Часовий пояс</t>
  </si>
  <si>
    <t>Мова / регіон</t>
  </si>
  <si>
    <t>Версія GxConnect</t>
  </si>
  <si>
    <t>Пристрій знайдено?</t>
  </si>
  <si>
    <t>LIS налаштовано правильно?</t>
  </si>
  <si>
    <t>Дата встановлення GeneXpert</t>
  </si>
  <si>
    <t>Номер маршрутизатора</t>
  </si>
  <si>
    <t>Реєстраційний номер SIM-карти №1</t>
  </si>
  <si>
    <t>Реєстраційний номер SIM-карти №2</t>
  </si>
  <si>
    <t>&lt;name&gt;</t>
  </si>
  <si>
    <t>&lt;siteName&gt;</t>
  </si>
  <si>
    <t>&lt;stateName&gt;</t>
  </si>
  <si>
    <t>&lt;districtName&gt;</t>
  </si>
  <si>
    <t>&lt;serial&gt;</t>
  </si>
  <si>
    <t>&lt;lastInstrumentSerial&gt;</t>
  </si>
  <si>
    <t>&lt;maintenanceStatusName&gt;</t>
  </si>
  <si>
    <t>&lt;maintenanceStatusNotes&gt;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</si>
  <si>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</si>
  <si>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</si>
  <si>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</si>
  <si>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</si>
  <si>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</si>
  <si>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</si>
  <si>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</si>
  <si>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</si>
  <si>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</si>
  <si>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</si>
  <si>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</si>
  <si>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</si>
  <si>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</si>
  <si>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</si>
  <si>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</si>
  <si>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</si>
  <si>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</si>
  <si>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&lt;lastPingOn&gt;</t>
  </si>
  <si>
    <t>&lt;lastPingFromIp&gt;</t>
  </si>
  <si>
    <t>&lt;lastResultUploadedOn&gt;</t>
  </si>
  <si>
    <t>&lt;lastResultConductedOn&gt;</t>
  </si>
  <si>
    <t>&lt;totalXpertResults&gt;</t>
  </si>
  <si>
    <t>&lt;informationDate&gt;</t>
  </si>
  <si>
    <t>&lt;computerOsVersion&gt;</t>
  </si>
  <si>
    <t>&lt;timezone&gt;</t>
  </si>
  <si>
    <t>&lt;language&gt;</t>
  </si>
  <si>
    <t>&lt;connectorVersion&gt;</t>
  </si>
  <si>
    <t>&lt;deviceFound&gt;</t>
  </si>
  <si>
    <t>&lt;lisConfiguredCorrectly&gt;</t>
  </si>
  <si>
    <t>&lt;instalationDate&gt;</t>
  </si>
  <si>
    <t>&lt;routerNumber&gt;</t>
  </si>
  <si>
    <t>&lt;sim1SerialNumber&gt;</t>
  </si>
  <si>
    <t>&lt;sim2SerialNumber&gt;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</si>
</sst>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8" x14ac:knownFonts="1">
    <font>
      <sz val="12"/>
      <color indexed="64"/>
      <name val="Calibri"/>
    </font>
    <font>
      <sz val="12"/>
      <color theme="1"/>
      <name val="Calibri"/>
      <family val="2"/>
      <scheme val="minor"/>
    </font>
    <font>
      <b/>
      <sz val="16"/>
      <color indexed="64"/>
      <name val="Calibri"/>
      <family val="2"/>
    </font>
    <font>
      <u/>
      <sz val="12"/>
      <color indexed="64"/>
      <name val="Calibri"/>
      <family val="2"/>
    </font>
    <font>
      <i/>
      <sz val="12"/>
      <color indexed="64"/>
      <name val="Calibri"/>
      <family val="2"/>
    </font>
    <font>
      <b/>
      <sz val="12"/>
      <color indexed="64"/>
      <name val="Calibri"/>
      <family val="2"/>
    </font>
    <font>
      <b/>
      <sz val="12"/>
      <name val="Calibri"/>
      <family val="2"/>
    </font>
    <font>
      <sz val="12"/>
      <color indexed="64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40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10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4" fillId="0" borderId="0" xfId="0" applyFont="1" applyAlignment="1">
      <alignment wrapText="1"/>
    </xf>
    <xf numFmtId="0" fontId="4" fillId="0" borderId="0" xfId="0" applyFont="1"/>
    <xf numFmtId="0" fontId="5" fillId="0" borderId="0" xfId="0" applyFont="1" applyAlignment="1">
      <alignment horizontal="center" vertical="center"/>
    </xf>
    <xf numFmtId="164" fontId="6" fillId="2" borderId="1" xfId="0" applyNumberFormat="1" applyFont="1" applyFill="1" applyBorder="1"/>
    <xf numFmtId="164" fontId="6" fillId="2" borderId="1" xfId="0" applyNumberFormat="1" applyFont="1" applyFill="1" applyBorder="1" applyAlignment="1">
      <alignment wrapText="1"/>
    </xf>
    <xf numFmtId="10" fontId="6" fillId="2" borderId="1" xfId="0" applyNumberFormat="1" applyFont="1" applyFill="1" applyBorder="1"/>
    <xf numFmtId="0" fontId="5" fillId="0" borderId="0" xfId="0" applyFont="1"/>
    <xf numFmtId="0" fontId="4" fillId="0" borderId="0" xfId="0" applyFont="1" applyAlignment="1">
      <alignment horizontal="left" wrapText="1"/>
    </xf>
    <xf numFmtId="0" fontId="6" fillId="2" borderId="1" xfId="0" applyFont="1" applyFill="1" applyBorder="1" applyAlignment="1">
      <alignment wrapText="1"/>
    </xf>
    <xf numFmtId="0" fontId="7" fillId="0" borderId="2" xfId="0" applyFont="1" applyBorder="1"/>
    <xf numFmtId="0" fontId="7" fillId="0" borderId="2" xfId="0" applyFont="1" applyBorder="1" applyAlignment="1">
      <alignment horizontal="right"/>
    </xf>
    <xf numFmtId="14" fontId="7" fillId="0" borderId="2" xfId="0" applyNumberFormat="1" applyFont="1" applyBorder="1"/>
    <xf numFmtId="0" fontId="7" fillId="0" borderId="2" xfId="0" applyFont="1" applyBorder="1" applyAlignment="1">
      <alignment horizontal="center"/>
    </xf>
    <xf numFmtId="10" fontId="7" fillId="0" borderId="2" xfId="0" applyNumberFormat="1" applyFont="1" applyBorder="1" applyAlignment="1">
      <alignment horizontal="center"/>
    </xf>
    <xf numFmtId="10" fontId="7" fillId="0" borderId="2" xfId="0" applyNumberFormat="1" applyFont="1" applyBorder="1"/>
    <xf numFmtId="0" fontId="0" fillId="0" borderId="0" xfId="0" applyAlignment="1">
      <alignment horizontal="left" vertical="top" wrapText="1"/>
    </xf>
    <xf numFmtId="0" fontId="4" fillId="0" borderId="0" xfId="0" applyFont="1" applyAlignment="1">
      <alignment horizontal="left" wrapText="1"/>
    </xf>
    <xf numFmtId="14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49" fontId="1" fillId="0" borderId="2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"/>
  <sheetViews>
    <sheetView showGridLines="0" tabSelected="1" workbookViewId="0">
      <selection activeCell="A11" sqref="A11"/>
    </sheetView>
  </sheetViews>
  <sheetFormatPr baseColWidth="10" defaultColWidth="11.33203125" defaultRowHeight="16" x14ac:dyDescent="0.2"/>
  <cols>
    <col min="1" max="1" width="27.1640625" customWidth="1"/>
    <col min="2" max="2" width="10.83203125" customWidth="1"/>
    <col min="3" max="3" width="35.33203125" customWidth="1"/>
    <col min="4" max="4" width="33.5" customWidth="1"/>
    <col min="5" max="5" width="28.5" bestFit="1" customWidth="1"/>
    <col min="6" max="6" width="17.5" bestFit="1" customWidth="1"/>
    <col min="7" max="7" width="15.33203125" customWidth="1"/>
    <col min="8" max="8" width="17.83203125" customWidth="1"/>
    <col min="9" max="10" width="11.6640625" customWidth="1"/>
    <col min="11" max="11" width="12.5" customWidth="1"/>
    <col min="12" max="12" width="11" bestFit="1" customWidth="1"/>
    <col min="13" max="13" width="12.6640625" customWidth="1"/>
    <col min="14" max="14" width="13.5" customWidth="1"/>
    <col min="15" max="15" width="10.83203125" customWidth="1"/>
    <col min="16" max="16" width="11.33203125" customWidth="1"/>
    <col min="17" max="17" width="12.83203125" bestFit="1" customWidth="1"/>
    <col min="18" max="23" width="9.5" customWidth="1"/>
    <col min="24" max="24" width="16" bestFit="1" customWidth="1"/>
    <col min="25" max="25" width="18.83203125" bestFit="1" customWidth="1"/>
    <col min="26" max="27" width="20.6640625" customWidth="1"/>
    <col min="28" max="28" width="20.6640625" style="1" customWidth="1"/>
    <col min="29" max="29" width="20.1640625" style="1" customWidth="1"/>
    <col min="30" max="30" width="33.33203125" customWidth="1"/>
    <col min="31" max="32" width="25.6640625" customWidth="1"/>
    <col min="33" max="33" width="17.5" bestFit="1" customWidth="1"/>
    <col min="34" max="34" width="21.1640625" customWidth="1"/>
    <col min="35" max="35" width="20.6640625" customWidth="1"/>
    <col min="36" max="36" width="20.33203125" customWidth="1"/>
    <col min="37" max="37" width="16.83203125" customWidth="1"/>
    <col min="38" max="38" width="16.6640625" customWidth="1"/>
    <col min="39" max="39" width="18.1640625" customWidth="1"/>
    <col min="40" max="40" width="22" customWidth="1"/>
    <col min="41" max="41" width="24.33203125" customWidth="1"/>
    <col min="42" max="42" width="16.33203125" bestFit="1" customWidth="1"/>
    <col min="43" max="44" width="29.1640625" customWidth="1"/>
  </cols>
  <sheetData>
    <row r="1" spans="1:44" ht="21" x14ac:dyDescent="0.25">
      <c r="A1" s="2" t="s">
        <v>0</v>
      </c>
      <c r="C1" s="2"/>
      <c r="D1" s="2"/>
      <c r="E1" s="2"/>
      <c r="F1" s="2"/>
      <c r="G1" s="2"/>
      <c r="H1" s="2"/>
    </row>
    <row r="2" spans="1:44" x14ac:dyDescent="0.2">
      <c r="A2" t="s">
        <v>1</v>
      </c>
      <c r="C2" s="3" t="s">
        <v>2</v>
      </c>
    </row>
    <row r="3" spans="1:44" ht="16" customHeight="1" x14ac:dyDescent="0.2">
      <c r="A3" t="s">
        <v>3</v>
      </c>
      <c r="C3" s="22" t="s">
        <v>4</v>
      </c>
      <c r="D3" s="22"/>
      <c r="E3" s="22"/>
      <c r="F3" s="13"/>
      <c r="G3" s="13"/>
      <c r="H3" s="13"/>
    </row>
    <row r="4" spans="1:44" x14ac:dyDescent="0.2">
      <c r="A4" t="s">
        <v>5</v>
      </c>
    </row>
    <row r="5" spans="1:44" ht="17" x14ac:dyDescent="0.2">
      <c r="A5" s="4" t="s">
        <v>6</v>
      </c>
      <c r="C5" s="3" t="s">
        <v>7</v>
      </c>
    </row>
    <row r="6" spans="1:44" ht="47.5" customHeight="1" x14ac:dyDescent="0.2">
      <c r="C6" s="5" t="s">
        <v>8</v>
      </c>
      <c r="D6" s="21" t="s">
        <v>9</v>
      </c>
      <c r="E6" s="21"/>
      <c r="F6" s="21"/>
      <c r="G6" s="21"/>
      <c r="H6" s="21"/>
      <c r="I6" s="21"/>
      <c r="J6" s="21"/>
    </row>
    <row r="7" spans="1:44" x14ac:dyDescent="0.2">
      <c r="A7" s="6"/>
    </row>
    <row r="8" spans="1:44" x14ac:dyDescent="0.2">
      <c r="A8" s="7"/>
    </row>
    <row r="9" spans="1:44" ht="17" thickBot="1" x14ac:dyDescent="0.25">
      <c r="A9" t="s">
        <v>10</v>
      </c>
    </row>
    <row r="10" spans="1:44" s="8" customFormat="1" ht="52" thickBot="1" x14ac:dyDescent="0.25">
      <c r="A10" s="9" t="s">
        <v>12</v>
      </c>
      <c r="B10" s="9" t="s">
        <v>11</v>
      </c>
      <c r="C10" s="9" t="s">
        <v>13</v>
      </c>
      <c r="D10" s="9" t="s">
        <v>14</v>
      </c>
      <c r="E10" s="9" t="s">
        <v>15</v>
      </c>
      <c r="F10" s="9" t="s">
        <v>16</v>
      </c>
      <c r="G10" s="9" t="s">
        <v>17</v>
      </c>
      <c r="H10" s="9" t="s">
        <v>18</v>
      </c>
      <c r="I10" s="9" t="s">
        <v>19</v>
      </c>
      <c r="J10" s="9" t="s">
        <v>20</v>
      </c>
      <c r="K10" s="10" t="s">
        <v>21</v>
      </c>
      <c r="L10" s="10" t="s">
        <v>22</v>
      </c>
      <c r="M10" s="10" t="s">
        <v>23</v>
      </c>
      <c r="N10" s="10" t="s">
        <v>23</v>
      </c>
      <c r="O10" s="10" t="s">
        <v>24</v>
      </c>
      <c r="P10" s="14" t="s">
        <v>25</v>
      </c>
      <c r="Q10" s="10" t="s">
        <v>26</v>
      </c>
      <c r="R10" s="9" t="s">
        <v>27</v>
      </c>
      <c r="S10" s="9" t="s">
        <v>28</v>
      </c>
      <c r="T10" s="9" t="s">
        <v>29</v>
      </c>
      <c r="U10" s="9" t="s">
        <v>30</v>
      </c>
      <c r="V10" s="9" t="s">
        <v>31</v>
      </c>
      <c r="W10" s="9" t="s">
        <v>32</v>
      </c>
      <c r="X10" s="10" t="s">
        <v>33</v>
      </c>
      <c r="Y10" s="10" t="s">
        <v>8</v>
      </c>
      <c r="Z10" s="9" t="s">
        <v>34</v>
      </c>
      <c r="AA10" s="9" t="s">
        <v>34</v>
      </c>
      <c r="AB10" s="11" t="s">
        <v>35</v>
      </c>
      <c r="AC10" s="11" t="s">
        <v>36</v>
      </c>
      <c r="AD10" s="9" t="s">
        <v>37</v>
      </c>
      <c r="AE10" s="9" t="s">
        <v>38</v>
      </c>
      <c r="AF10" s="9" t="s">
        <v>39</v>
      </c>
      <c r="AG10" s="9" t="s">
        <v>40</v>
      </c>
      <c r="AH10" s="9" t="s">
        <v>41</v>
      </c>
      <c r="AI10" s="9" t="s">
        <v>42</v>
      </c>
      <c r="AJ10" s="9" t="s">
        <v>43</v>
      </c>
      <c r="AK10" s="9" t="s">
        <v>44</v>
      </c>
      <c r="AL10" s="9" t="s">
        <v>45</v>
      </c>
      <c r="AM10" s="9" t="s">
        <v>46</v>
      </c>
      <c r="AN10" s="9" t="s">
        <v>47</v>
      </c>
      <c r="AO10" s="9" t="s">
        <v>48</v>
      </c>
      <c r="AP10" s="9" t="s">
        <v>49</v>
      </c>
      <c r="AQ10" s="9" t="s">
        <v>50</v>
      </c>
      <c r="AR10" s="9" t="s">
        <v>51</v>
      </c>
    </row>
    <row r="11" spans="1:44" x14ac:dyDescent="0.2">
      <c r="A11" s="15" t="s">
        <v>53</v>
      </c>
      <c r="B11" s="15" t="s">
        <v>52</v>
      </c>
      <c r="C11" s="15" t="s">
        <v>54</v>
      </c>
      <c r="D11" s="15" t="s">
        <v>55</v>
      </c>
      <c r="E11" s="15" t="s">
        <v>56</v>
      </c>
      <c r="F11" s="15" t="s">
        <v>57</v>
      </c>
      <c r="G11" s="15" t="s">
        <v>58</v>
      </c>
      <c r="H11" s="15" t="s">
        <v>59</v>
      </c>
      <c r="I11" s="16" t="s">
        <v>60</v>
      </c>
      <c r="J11" s="16" t="s">
        <v>61</v>
      </c>
      <c r="K11" s="16" t="s">
        <v>62</v>
      </c>
      <c r="L11" s="16" t="s">
        <v>63</v>
      </c>
      <c r="M11" s="16" t="s">
        <v>64</v>
      </c>
      <c r="N11" s="16" t="s">
        <v>65</v>
      </c>
      <c r="O11" s="16" t="s">
        <v>66</v>
      </c>
      <c r="P11" s="16" t="s">
        <v>67</v>
      </c>
      <c r="Q11" s="16" t="s">
        <v>68</v>
      </c>
      <c r="R11" s="16" t="s">
        <v>69</v>
      </c>
      <c r="S11" s="16" t="s">
        <v>70</v>
      </c>
      <c r="T11" s="16" t="s">
        <v>71</v>
      </c>
      <c r="U11" s="16" t="s">
        <v>72</v>
      </c>
      <c r="V11" s="16" t="s">
        <v>73</v>
      </c>
      <c r="W11" s="16" t="s">
        <v>74</v>
      </c>
      <c r="X11" s="16" t="s">
        <v>75</v>
      </c>
      <c r="Y11" s="16" t="s">
        <v>76</v>
      </c>
      <c r="Z11" s="17" t="s">
        <v>77</v>
      </c>
      <c r="AA11" s="18" t="s">
        <v>78</v>
      </c>
      <c r="AB11" s="19" t="e">
        <f>IF(AG11=0,0,L11/AG11)</f>
        <v>#VALUE!</v>
      </c>
      <c r="AC11" s="20" t="e">
        <f>IF(AG11=0,0,(L11+M11)/AG11)</f>
        <v>#VALUE!</v>
      </c>
      <c r="AD11" s="20" t="e">
        <f>IF(AC11&gt;0.05,"Високий рівень помилок/недійсних даних. Звертайтесь до лаб.","")</f>
        <v>#VALUE!</v>
      </c>
      <c r="AE11" s="17" t="s">
        <v>79</v>
      </c>
      <c r="AF11" s="17" t="s">
        <v>80</v>
      </c>
      <c r="AG11" s="16" t="s">
        <v>81</v>
      </c>
      <c r="AH11" s="23" t="s">
        <v>82</v>
      </c>
      <c r="AI11" s="24" t="s">
        <v>83</v>
      </c>
      <c r="AJ11" s="24" t="s">
        <v>84</v>
      </c>
      <c r="AK11" s="24" t="s">
        <v>85</v>
      </c>
      <c r="AL11" s="24" t="s">
        <v>86</v>
      </c>
      <c r="AM11" s="24" t="s">
        <v>87</v>
      </c>
      <c r="AN11" s="24" t="s">
        <v>88</v>
      </c>
      <c r="AO11" s="23" t="s">
        <v>89</v>
      </c>
      <c r="AP11" s="25" t="s">
        <v>90</v>
      </c>
      <c r="AQ11" s="24" t="s">
        <v>91</v>
      </c>
      <c r="AR11" s="24" t="s">
        <v>92</v>
      </c>
    </row>
    <row r="14" spans="1:44" x14ac:dyDescent="0.2">
      <c r="B14" s="12"/>
      <c r="C14" s="12"/>
      <c r="D14" s="12"/>
      <c r="E14" s="12"/>
      <c r="F14" s="12"/>
      <c r="G14" s="12"/>
      <c r="H14" s="12"/>
    </row>
  </sheetData>
  <mergeCells count="2">
    <mergeCell ref="D6:J6"/>
    <mergeCell ref="C3:E3"/>
  </mergeCells>
  <pageMargins left="0.75" right="0.75" top="1" bottom="1" header="0.51181102362204689" footer="0.51181102362204689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Пристрої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32</cp:revision>
  <dcterms:created xsi:type="dcterms:W3CDTF">2014-04-20T08:25:13Z</dcterms:created>
  <dcterms:modified xsi:type="dcterms:W3CDTF">2026-06-11T01:06:56Z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