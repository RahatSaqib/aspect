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Devices" state="visible" r:id="rId4"/>
  </sheets>
  <calcPr calcId="171027"/>
</workbook>
</file>

<file path=xl/sharedStrings.xml><?xml version="1.0" encoding="utf-8"?>
<sst xmlns="http://schemas.openxmlformats.org/spreadsheetml/2006/main" count="95" uniqueCount="92">
  <si>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</si>
  <si>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</si>
  <si>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</si>
  <si>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</si>
  <si>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</si>
  <si>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</si>
  <si>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</si>
  <si>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</si>
  <si>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Виведені з експлуатації пристрої: &lt;DecommissionedDevices&gt;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</si>
  <si>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</si>
  <si>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</si>
  <si>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</si>
  <si>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Назва сайту</t>
  </si>
  <si>
    <t>пристрій</t>
  </si>
  <si>
    <t>Держава</t>
  </si>
  <si>
    <t>Район</t>
  </si>
  <si>
    <t>Серійний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</si>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</sst>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"/>
    <numFmt numFmtId="165" formatCode="[$-409]mmmm d, yyyy;@"/>
  </numFmts>
  <fonts count="9" x14ac:knownFonts="1">
    <font>
      <color theme="1"/>
      <family val="2"/>
      <scheme val="minor"/>
      <sz val="11"/>
      <name val="Calibri"/>
    </font>
    <font>
      <color indexed="64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medium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4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vertical="center"/>
    </xf>
    <xf numFmtId="164" fontId="7" fillId="2" borderId="1" xfId="0" applyNumberFormat="1" applyFont="1" applyFill="1" applyBorder="1"/>
    <xf numFmtId="164" fontId="7" fillId="2" borderId="1" xfId="0" applyNumberFormat="1" applyFont="1" applyFill="1" applyBorder="1" applyAlignment="1">
      <alignment wrapText="1"/>
    </xf>
    <xf numFmtId="164" fontId="7" fillId="2" borderId="2" xfId="0" applyNumberFormat="1" applyFont="1" applyFill="1" applyBorder="1"/>
    <xf numFmtId="10" fontId="7" fillId="2" borderId="1" xfId="0" applyNumberFormat="1" applyFont="1" applyFill="1" applyBorder="1"/>
    <xf numFmtId="164" fontId="7" fillId="2" borderId="3" xfId="0" applyNumberFormat="1" applyFont="1" applyFill="1" applyBorder="1"/>
    <xf numFmtId="164" fontId="7" fillId="2" borderId="4" xfId="0" applyNumberFormat="1" applyFont="1" applyFill="1" applyBorder="1"/>
    <xf numFmtId="0" fontId="4" fillId="0" borderId="5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0" fontId="1" fillId="0" borderId="5" xfId="0" applyNumberFormat="1" applyFont="1" applyBorder="1"/>
    <xf numFmtId="165" fontId="8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30.6640625" customWidth="1"/>
    <col min="3" max="3" width="40.33203125" customWidth="1"/>
    <col min="4" max="4" width="42.1640625" customWidth="1"/>
    <col min="5" max="7" width="15.33203125" customWidth="1"/>
    <col min="8" max="12" width="11.6640625" customWidth="1"/>
    <col min="13" max="15" width="15.6640625" customWidth="1"/>
    <col min="16" max="16" width="13.6640625" customWidth="1"/>
    <col min="17" max="23" width="15.6640625" customWidth="1"/>
    <col min="24" max="26" width="20.6640625" customWidth="1"/>
    <col min="27" max="28" width="20.6640625" style="1" customWidth="1"/>
    <col min="29" max="29" width="33.33203125" customWidth="1"/>
    <col min="30" max="30" width="32.83203125" customWidth="1"/>
    <col min="31" max="31" width="31.1640625" customWidth="1"/>
    <col min="32" max="32" width="20.6640625" customWidth="1"/>
    <col min="33" max="33" width="21.1640625" customWidth="1"/>
    <col min="34" max="34" width="18.83203125" customWidth="1"/>
    <col min="35" max="35" width="10.1640625" customWidth="1"/>
    <col min="36" max="36" width="16.5" customWidth="1"/>
    <col min="37" max="37" width="16.83203125" customWidth="1"/>
    <col min="38" max="38" width="13" customWidth="1"/>
    <col min="39" max="39" width="22" customWidth="1"/>
    <col min="40" max="40" width="24.33203125" customWidth="1"/>
    <col min="41" max="41" width="14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spans="1:4" x14ac:dyDescent="0.25">
      <c r="A3" t="s">
        <v>3</v>
      </c>
      <c r="C3" s="4" t="s">
        <v>4</v>
      </c>
      <c r="D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spans="1:9" x14ac:dyDescent="0.25">
      <c r="A6" s="6" t="s">
        <v>8</v>
      </c>
      <c r="C6" s="7" t="s">
        <v>9</v>
      </c>
      <c r="D6" s="8" t="s">
        <v>10</v>
      </c>
      <c r="E6" s="8"/>
      <c r="F6" s="8"/>
      <c r="G6" s="8"/>
      <c r="H6" s="8"/>
      <c r="I6" s="8"/>
    </row>
    <row r="7" spans="1:1" x14ac:dyDescent="0.25">
      <c r="A7" s="9"/>
    </row>
    <row r="8" spans="1:1" x14ac:dyDescent="0.25">
      <c r="A8" s="10"/>
    </row>
    <row r="9" ht="17" customHeight="1" spans="1:1" x14ac:dyDescent="0.25">
      <c r="A9" t="s">
        <v>11</v>
      </c>
    </row>
    <row r="10" ht="52" customHeight="1" spans="1:43" s="11" customFormat="1" x14ac:dyDescent="0.25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16</v>
      </c>
      <c r="F10" s="12" t="s">
        <v>17</v>
      </c>
      <c r="G10" s="12" t="s">
        <v>18</v>
      </c>
      <c r="H10" s="12" t="s">
        <v>19</v>
      </c>
      <c r="I10" s="12" t="s">
        <v>20</v>
      </c>
      <c r="J10" s="12" t="s">
        <v>21</v>
      </c>
      <c r="K10" s="12" t="s">
        <v>22</v>
      </c>
      <c r="L10" s="12" t="s">
        <v>23</v>
      </c>
      <c r="M10" s="12" t="s">
        <v>23</v>
      </c>
      <c r="N10" s="13" t="s">
        <v>24</v>
      </c>
      <c r="O10" s="13" t="s">
        <v>25</v>
      </c>
      <c r="P10" s="12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4" t="s">
        <v>34</v>
      </c>
      <c r="AA10" s="15" t="s">
        <v>35</v>
      </c>
      <c r="AB10" s="15" t="s">
        <v>36</v>
      </c>
      <c r="AC10" s="12" t="s">
        <v>37</v>
      </c>
      <c r="AD10" s="12" t="s">
        <v>38</v>
      </c>
      <c r="AE10" s="12" t="s">
        <v>39</v>
      </c>
      <c r="AF10" s="12" t="s">
        <v>40</v>
      </c>
      <c r="AG10" s="16" t="s">
        <v>41</v>
      </c>
      <c r="AH10" s="16" t="s">
        <v>42</v>
      </c>
      <c r="AI10" s="16" t="s">
        <v>43</v>
      </c>
      <c r="AJ10" s="16" t="s">
        <v>44</v>
      </c>
      <c r="AK10" s="16" t="s">
        <v>45</v>
      </c>
      <c r="AL10" s="16" t="s">
        <v>46</v>
      </c>
      <c r="AM10" s="16" t="s">
        <v>47</v>
      </c>
      <c r="AN10" s="16" t="s">
        <v>48</v>
      </c>
      <c r="AO10" s="16" t="s">
        <v>49</v>
      </c>
      <c r="AP10" s="16" t="s">
        <v>50</v>
      </c>
      <c r="AQ10" s="17" t="s">
        <v>51</v>
      </c>
    </row>
    <row r="11" spans="1:43" x14ac:dyDescent="0.25">
      <c r="A11" s="18" t="s">
        <v>52</v>
      </c>
      <c r="B11" s="19" t="s">
        <v>53</v>
      </c>
      <c r="C11" s="19" t="s">
        <v>54</v>
      </c>
      <c r="D11" s="19" t="s">
        <v>55</v>
      </c>
      <c r="E11" s="19" t="s">
        <v>56</v>
      </c>
      <c r="F11" s="19" t="s">
        <v>57</v>
      </c>
      <c r="G11" s="19" t="s">
        <v>58</v>
      </c>
      <c r="H11" s="19" t="s">
        <v>59</v>
      </c>
      <c r="I11" s="19" t="s">
        <v>60</v>
      </c>
      <c r="J11" s="19" t="s">
        <v>61</v>
      </c>
      <c r="K11" s="20" t="s">
        <v>62</v>
      </c>
      <c r="L11" s="20" t="s">
        <v>63</v>
      </c>
      <c r="M11" s="20" t="s">
        <v>64</v>
      </c>
      <c r="N11" s="19" t="s">
        <v>65</v>
      </c>
      <c r="O11" s="19" t="s">
        <v>66</v>
      </c>
      <c r="P11" s="19" t="s">
        <v>67</v>
      </c>
      <c r="Q11" s="21" t="s">
        <v>68</v>
      </c>
      <c r="R11" s="21" t="s">
        <v>69</v>
      </c>
      <c r="S11" s="21" t="s">
        <v>70</v>
      </c>
      <c r="T11" s="21" t="s">
        <v>71</v>
      </c>
      <c r="U11" s="21" t="s">
        <v>72</v>
      </c>
      <c r="V11" s="21" t="s">
        <v>73</v>
      </c>
      <c r="W11" s="19" t="s">
        <v>74</v>
      </c>
      <c r="X11" s="19" t="s">
        <v>75</v>
      </c>
      <c r="Y11" s="19" t="s">
        <v>76</v>
      </c>
      <c r="Z11" s="19" t="s">
        <v>77</v>
      </c>
      <c r="AA11" s="22" t="e">
        <f>IF(AF11=0,0,K11/AF11)</f>
        <v>#VALUE!</v>
      </c>
      <c r="AB11" s="23" t="e">
        <f>IF(AF11=0,0,(K11+L11)/AF11)</f>
        <v>#VALUE!</v>
      </c>
      <c r="AC11" s="23" t="e">
        <f>IF(AB11&gt;0.05,"Високий рівень помилок/недійсних даних. Звертайтесь до лаб.","")</f>
        <v>#VALUE!</v>
      </c>
      <c r="AD11" s="23" t="s">
        <v>78</v>
      </c>
      <c r="AE11" s="23" t="s">
        <v>79</v>
      </c>
      <c r="AF11" s="19" t="s">
        <v>80</v>
      </c>
      <c r="AG11" s="24" t="s">
        <v>81</v>
      </c>
      <c r="AH11" s="25" t="s">
        <v>82</v>
      </c>
      <c r="AI11" s="25" t="s">
        <v>83</v>
      </c>
      <c r="AJ11" s="25" t="s">
        <v>84</v>
      </c>
      <c r="AK11" s="25" t="s">
        <v>85</v>
      </c>
      <c r="AL11" s="25" t="s">
        <v>86</v>
      </c>
      <c r="AM11" s="25" t="s">
        <v>87</v>
      </c>
      <c r="AN11" s="24" t="s">
        <v>88</v>
      </c>
      <c r="AO11" s="25" t="s">
        <v>89</v>
      </c>
      <c r="AP11" s="25" t="s">
        <v>90</v>
      </c>
      <c r="AQ11" s="25" t="s">
        <v>91</v>
      </c>
    </row>
    <row r="14" spans="2:7" x14ac:dyDescent="0.25">
      <c r="B14" s="26"/>
      <c r="C14" s="26"/>
      <c r="D14" s="26"/>
      <c r="E14" s="26"/>
      <c r="F14" s="26"/>
      <c r="G14" s="26"/>
    </row>
  </sheetData>
  <mergeCells count="2">
    <mergeCell ref="C3:D3"/>
    <mergeCell ref="D6:I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32</cp:revision>
  <dcterms:created xsi:type="dcterms:W3CDTF">2014-04-20T08:25:13Z</dcterms:created>
  <dcterms:modified xsi:type="dcterms:W3CDTF">2026-07-21T04:32:34Z</dcterms:modified>
</cp:coreProperties>
</file>