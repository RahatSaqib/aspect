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evices" sheetId="1" state="visible" r:id="rId1"/>
  </sheets>
  <calcPr iterateDelta="0.0001"/>
</workbook>
</file>

<file path=xl/sharedStrings.xml><?xml version="1.0" encoding="utf-8"?>
<sst xmlns="http://schemas.openxmlformats.org/spreadsheetml/2006/main" count="93" uniqueCount="93">
  <si>
    <t xml:space="preserve">Пристрої GeneXpert</t>
  </si>
  <si>
    <t xml:space="preserve">Дати: &lt;Dates&gt;</t>
  </si>
  <si>
    <t>Примітки</t>
  </si>
  <si>
    <t xml:space="preserve">Області: &lt;States&gt;</t>
  </si>
  <si>
    <t xml:space="preserve">Зверніть увагу, що цей звіт містить результати MTB/Rif, MTB ULTRA та MTB XDR</t>
  </si>
  <si>
    <t xml:space="preserve">Райони: &lt;Lgas&gt;</t>
  </si>
  <si>
    <t xml:space="preserve">Сайти: &lt;Sites&gt;</t>
  </si>
  <si>
    <t xml:space="preserve">Список літератури</t>
  </si>
  <si>
    <t xml:space="preserve"># Використовувані модулі</t>
  </si>
  <si>
    <t xml:space="preserve">Підраховує кількість днів, коли пристрій принаймні один раз повідомлялося про будь-який із статусів неактивності (включно зі статусами «Невідомо» та «Тестування не проводилися»).</t>
  </si>
  <si>
    <t>&lt;Table&gt;</t>
  </si>
  <si>
    <t>пристрій</t>
  </si>
  <si>
    <t xml:space="preserve">Назва сайту</t>
  </si>
  <si>
    <t>Держава</t>
  </si>
  <si>
    <t>Район</t>
  </si>
  <si>
    <t>Серійний</t>
  </si>
  <si>
    <t xml:space="preserve">Серійний номер інструменту</t>
  </si>
  <si>
    <t>Cтатус</t>
  </si>
  <si>
    <t xml:space="preserve">Примітка про статус</t>
  </si>
  <si>
    <t xml:space="preserve"># MTB-</t>
  </si>
  <si>
    <t xml:space="preserve"># MTB+</t>
  </si>
  <si>
    <t xml:space="preserve"># MTB траса</t>
  </si>
  <si>
    <t xml:space="preserve"># Помилка MTB</t>
  </si>
  <si>
    <t xml:space="preserve"># MTB Недійсний</t>
  </si>
  <si>
    <t xml:space="preserve"># MTB+ RIF чутливість</t>
  </si>
  <si>
    <t xml:space="preserve"># MTB+ Стійкий до RIF</t>
  </si>
  <si>
    <t xml:space="preserve"># MTB+ RIF невизначений</t>
  </si>
  <si>
    <t xml:space="preserve"># INH</t>
  </si>
  <si>
    <t xml:space="preserve"># FLQ</t>
  </si>
  <si>
    <t xml:space="preserve"># AMK</t>
  </si>
  <si>
    <t xml:space="preserve"># KAN</t>
  </si>
  <si>
    <t xml:space="preserve"># CAP</t>
  </si>
  <si>
    <t xml:space="preserve"># ETH</t>
  </si>
  <si>
    <t xml:space="preserve"># Модулі, використані в діапазоні дат</t>
  </si>
  <si>
    <t xml:space="preserve">Останній пінґ від</t>
  </si>
  <si>
    <t xml:space="preserve">Частота помилок</t>
  </si>
  <si>
    <t xml:space="preserve">Помилка/недійсний показник</t>
  </si>
  <si>
    <t>коментар</t>
  </si>
  <si>
    <t xml:space="preserve">Останній результат завантажено на</t>
  </si>
  <si>
    <t xml:space="preserve">Останній результат проведено на</t>
  </si>
  <si>
    <t xml:space="preserve"># Всього тестів</t>
  </si>
  <si>
    <t xml:space="preserve">Інформація нижче станом на</t>
  </si>
  <si>
    <t xml:space="preserve">Операційна система</t>
  </si>
  <si>
    <t xml:space="preserve">Часовий пояс</t>
  </si>
  <si>
    <t xml:space="preserve">Мова / регіон</t>
  </si>
  <si>
    <t xml:space="preserve">Версія GxConnect</t>
  </si>
  <si>
    <t xml:space="preserve">Пристрій знайдено?</t>
  </si>
  <si>
    <t xml:space="preserve">LIS налаштовано правильно?</t>
  </si>
  <si>
    <t xml:space="preserve">Дата встановлення GeneXpert</t>
  </si>
  <si>
    <t xml:space="preserve">Номер маршрутизатора</t>
  </si>
  <si>
    <t xml:space="preserve">Реєстраційний номер SIM-карти №1</t>
  </si>
  <si>
    <t xml:space="preserve">Реєстраційний номер SIM-карти №2</t>
  </si>
  <si>
    <t>&lt;name&gt;</t>
  </si>
  <si>
    <t>&lt;siteName&gt;</t>
  </si>
  <si>
    <t>&lt;stateName&gt;</t>
  </si>
  <si>
    <t>&lt;districtName&gt;</t>
  </si>
  <si>
    <t>&lt;serial&gt;</t>
  </si>
  <si>
    <t>&lt;lastInstrumentSerial&gt;</t>
  </si>
  <si>
    <t>&lt;maintenanceStatusName&gt;</t>
  </si>
  <si>
    <t>&lt;maintenanceStatusNotes&gt;</t>
  </si>
  <si>
    <t>&lt;totalMtbNegative&gt;</t>
  </si>
  <si>
    <t>&lt;totalMtbDetected&gt;</t>
  </si>
  <si>
    <t>&lt;totalMtbTraceDetected&gt;</t>
  </si>
  <si>
    <t>&lt;totalErrors&gt;</t>
  </si>
  <si>
    <t>&lt;mtbInvalid&gt;</t>
  </si>
  <si>
    <t>&lt;mtbNoResult&gt;</t>
  </si>
  <si>
    <t>&lt;totalMtbSens&gt;</t>
  </si>
  <si>
    <t>&lt;totalMtbRes&gt;</t>
  </si>
  <si>
    <t>&lt;totalMtbIndeterminate&gt;</t>
  </si>
  <si>
    <t>&lt;INH&gt;</t>
  </si>
  <si>
    <t>&lt;FLQ&gt;</t>
  </si>
  <si>
    <t>&lt;AMK&gt;</t>
  </si>
  <si>
    <t>&lt;KAN&gt;</t>
  </si>
  <si>
    <t>&lt;CAP&gt;</t>
  </si>
  <si>
    <t>&lt;ETH&gt;</t>
  </si>
  <si>
    <t>&lt;totalXpertModulesInUse&gt;</t>
  </si>
  <si>
    <t>&lt;totalInterruptedDays&gt;</t>
  </si>
  <si>
    <t>&lt;lastPingOn&gt;</t>
  </si>
  <si>
    <t>&lt;lastPingFromIp&gt;</t>
  </si>
  <si>
    <t>&lt;lastResultUploadedOn&gt;</t>
  </si>
  <si>
    <t>&lt;lastResultConductedOn&gt;</t>
  </si>
  <si>
    <t>&lt;totalXpertResults&gt;</t>
  </si>
  <si>
    <t>&lt;informationDate&gt;</t>
  </si>
  <si>
    <t>&lt;computerOsVersion&gt;</t>
  </si>
  <si>
    <t>&lt;timezone&gt;</t>
  </si>
  <si>
    <t>&lt;language&gt;</t>
  </si>
  <si>
    <t>&lt;connectorVersion&gt;</t>
  </si>
  <si>
    <t>&lt;deviceFound&gt;</t>
  </si>
  <si>
    <t>&lt;lisConfiguredCorrectly&gt;</t>
  </si>
  <si>
    <t>&lt;instalationDate&gt;</t>
  </si>
  <si>
    <t>&lt;routerNumber&gt;</t>
  </si>
  <si>
    <t>&lt;sim1SerialNumber&gt;</t>
  </si>
  <si>
    <t>&lt;sim2SerialNumber&gt;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</si>
</sst>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yyyy\-mm\-dd\ hh:mm"/>
    <numFmt numFmtId="161" formatCode="[$-409]mmmm\ d\,\ yyyy;@"/>
  </numFmts>
  <fonts count="7">
    <font>
      <sz val="12.000000"/>
      <color indexed="64"/>
      <name val="Calibri"/>
    </font>
    <font>
      <b/>
      <sz val="16.000000"/>
      <color indexed="64"/>
      <name val="Calibri"/>
    </font>
    <font>
      <u/>
      <sz val="12.000000"/>
      <color indexed="64"/>
      <name val="Calibri"/>
    </font>
    <font>
      <i/>
      <sz val="12.000000"/>
      <color indexed="64"/>
      <name val="Calibri"/>
    </font>
    <font>
      <b/>
      <sz val="12.000000"/>
      <color indexed="64"/>
      <name val="Calibri"/>
    </font>
    <font>
      <b/>
      <sz val="12.000000"/>
      <name val="Calibri"/>
    </font>
    <font>
      <sz val="12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C0DD"/>
        <bgColor indexed="40"/>
      </patternFill>
    </fill>
  </fills>
  <borders count="6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7">
    <xf fontId="0" fillId="0" borderId="0" numFmtId="0" xfId="0"/>
    <xf fontId="0" fillId="0" borderId="0" numFmtId="10" xfId="0" applyNumberFormat="1"/>
    <xf fontId="1" fillId="0" borderId="0" numFmtId="0" xfId="0" applyFont="1"/>
    <xf fontId="1" fillId="0" borderId="0" numFmtId="0" xfId="0" applyFont="1"/>
    <xf fontId="2" fillId="0" borderId="0" numFmtId="0" xfId="0" applyFont="1"/>
    <xf fontId="0" fillId="0" borderId="0" numFmtId="0" xfId="0"/>
    <xf fontId="0" fillId="0" borderId="0" numFmtId="0" xfId="0" applyAlignment="1">
      <alignment wrapText="1"/>
    </xf>
    <xf fontId="0" fillId="0" borderId="0" numFmtId="0" xfId="0" applyAlignment="1">
      <alignment vertical="top"/>
    </xf>
    <xf fontId="0" fillId="0" borderId="0" numFmtId="0" xfId="0" applyAlignment="1">
      <alignment horizontal="left" vertical="top" wrapText="1"/>
    </xf>
    <xf fontId="3" fillId="0" borderId="0" numFmtId="0" xfId="0" applyFont="1" applyAlignment="1">
      <alignment wrapText="1"/>
    </xf>
    <xf fontId="3" fillId="0" borderId="0" numFmtId="0" xfId="0" applyFont="1"/>
    <xf fontId="4" fillId="0" borderId="0" numFmtId="0" xfId="0" applyFont="1" applyAlignment="1">
      <alignment horizontal="center" vertical="center"/>
    </xf>
    <xf fontId="5" fillId="2" borderId="1" numFmtId="160" xfId="0" applyNumberFormat="1" applyFont="1" applyFill="1" applyBorder="1"/>
    <xf fontId="5" fillId="2" borderId="1" numFmtId="160" xfId="0" applyNumberFormat="1" applyFont="1" applyFill="1" applyBorder="1" applyAlignment="1">
      <alignment wrapText="1"/>
    </xf>
    <xf fontId="5" fillId="2" borderId="2" numFmtId="160" xfId="0" applyNumberFormat="1" applyFont="1" applyFill="1" applyBorder="1"/>
    <xf fontId="5" fillId="2" borderId="1" numFmtId="10" xfId="0" applyNumberFormat="1" applyFont="1" applyFill="1" applyBorder="1"/>
    <xf fontId="5" fillId="2" borderId="3" numFmtId="160" xfId="0" applyNumberFormat="1" applyFont="1" applyFill="1" applyBorder="1"/>
    <xf fontId="5" fillId="2" borderId="4" numFmtId="160" xfId="0" applyNumberFormat="1" applyFont="1" applyFill="1" applyBorder="1"/>
    <xf fontId="0" fillId="0" borderId="5" numFmtId="0" xfId="0" applyBorder="1"/>
    <xf fontId="0" fillId="0" borderId="5" numFmtId="0" xfId="0" applyBorder="1"/>
    <xf fontId="0" fillId="0" borderId="0" numFmtId="0" xfId="0" applyAlignment="1">
      <alignment horizontal="center"/>
    </xf>
    <xf fontId="0" fillId="0" borderId="0" numFmtId="10" xfId="0" applyNumberFormat="1" applyAlignment="1">
      <alignment horizontal="center"/>
    </xf>
    <xf fontId="0" fillId="0" borderId="5" numFmtId="10" xfId="0" applyNumberFormat="1" applyBorder="1"/>
    <xf fontId="6" fillId="0" borderId="5" numFmtId="161" xfId="0" applyNumberFormat="1" applyFont="1" applyBorder="1" applyAlignment="1">
      <alignment horizontal="center"/>
    </xf>
    <xf fontId="6" fillId="0" borderId="5" numFmtId="0" xfId="0" applyFont="1" applyBorder="1" applyAlignment="1">
      <alignment horizontal="center"/>
    </xf>
    <xf fontId="4" fillId="0" borderId="0" numFmtId="0" xfId="0" applyFont="1"/>
    <xf fontId="4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H1" zoomScale="100" workbookViewId="0">
      <selection activeCell="A11" activeCellId="0" sqref="A11"/>
    </sheetView>
  </sheetViews>
  <sheetFormatPr defaultColWidth="11.296875" defaultRowHeight="16.5"/>
  <cols>
    <col customWidth="1" min="1" max="1" width="27.19921875"/>
    <col customWidth="1" min="2" max="2" width="30.59765625"/>
    <col customWidth="1" min="3" max="3" width="40.3984375"/>
    <col customWidth="1" min="4" max="4" width="42.09765625"/>
    <col customWidth="1" min="5" max="8" width="15.296875"/>
    <col customWidth="1" min="9" max="13" width="11.59765625"/>
    <col customWidth="1" min="14" max="16" width="15.59765625"/>
    <col customWidth="1" min="17" max="17" width="13.59765625"/>
    <col customWidth="1" min="18" max="24" width="15.59765625"/>
    <col customWidth="1" min="25" max="27" width="20.59765625"/>
    <col customWidth="1" min="28" max="29" style="1" width="20.59765625"/>
    <col customWidth="1" min="30" max="30" width="33.296875"/>
    <col bestFit="1" customWidth="1" min="31" max="31" width="32.8984375"/>
    <col bestFit="1" customWidth="1" min="32" max="32" width="31.09765625"/>
    <col customWidth="1" min="33" max="33" width="20.59765625"/>
    <col bestFit="1" min="34" max="34" width="21.125"/>
    <col bestFit="1" min="35" max="35" width="18.75390625"/>
    <col bestFit="1" min="36" max="36" width="10.125"/>
    <col bestFit="1" min="37" max="37" width="16.50390625"/>
    <col bestFit="1" min="38" max="38" width="16.875"/>
    <col bestFit="1" min="39" max="39" width="13.00390625"/>
    <col bestFit="1" min="40" max="40" width="22.00390625"/>
    <col bestFit="1" min="41" max="41" width="24.375"/>
    <col bestFit="1" min="42" max="42" width="14.375"/>
    <col bestFit="1" min="43" max="44" width="29.125"/>
  </cols>
  <sheetData>
    <row r="1" ht="21">
      <c r="A1" s="2" t="s">
        <v>0</v>
      </c>
      <c r="C1" s="2"/>
      <c r="D1" s="2"/>
      <c r="E1" s="2"/>
      <c r="F1" s="3"/>
      <c r="G1" s="3"/>
      <c r="H1" s="3"/>
    </row>
    <row r="2">
      <c r="A2" t="s">
        <v>1</v>
      </c>
      <c r="C2" s="4" t="s">
        <v>2</v>
      </c>
    </row>
    <row r="3">
      <c r="A3" t="s">
        <v>3</v>
      </c>
      <c r="C3" s="5" t="s">
        <v>4</v>
      </c>
      <c r="D3" s="5"/>
    </row>
    <row r="4">
      <c r="A4" t="s">
        <v>5</v>
      </c>
    </row>
    <row r="5">
      <c r="A5" s="6" t="s">
        <v>6</v>
      </c>
      <c r="C5" s="4" t="s">
        <v>7</v>
      </c>
    </row>
    <row r="6" ht="47.399999999999999" customHeight="1">
      <c r="C6" s="7" t="s">
        <v>8</v>
      </c>
      <c r="D6" s="8" t="s">
        <v>9</v>
      </c>
      <c r="E6" s="8"/>
      <c r="F6" s="8"/>
      <c r="G6" s="8"/>
      <c r="H6" s="8"/>
      <c r="I6" s="8"/>
      <c r="J6" s="8"/>
    </row>
    <row r="7">
      <c r="A7" s="9"/>
    </row>
    <row r="8">
      <c r="A8" s="10"/>
    </row>
    <row r="9">
      <c r="A9" t="s">
        <v>10</v>
      </c>
    </row>
    <row r="10" s="11" customFormat="1" ht="49.5">
      <c r="A10" s="12" t="s">
        <v>11</v>
      </c>
      <c r="B10" s="12" t="s">
        <v>12</v>
      </c>
      <c r="C10" s="12" t="s">
        <v>13</v>
      </c>
      <c r="D10" s="12" t="s">
        <v>14</v>
      </c>
      <c r="E10" s="12" t="s">
        <v>15</v>
      </c>
      <c r="F10" s="12" t="s">
        <v>16</v>
      </c>
      <c r="G10" s="12" t="s">
        <v>17</v>
      </c>
      <c r="H10" s="12" t="s">
        <v>18</v>
      </c>
      <c r="I10" s="12" t="s">
        <v>19</v>
      </c>
      <c r="J10" s="12" t="s">
        <v>20</v>
      </c>
      <c r="K10" s="12" t="s">
        <v>21</v>
      </c>
      <c r="L10" s="12" t="s">
        <v>22</v>
      </c>
      <c r="M10" s="12" t="s">
        <v>23</v>
      </c>
      <c r="N10" s="12" t="s">
        <v>23</v>
      </c>
      <c r="O10" s="13" t="s">
        <v>24</v>
      </c>
      <c r="P10" s="13" t="s">
        <v>25</v>
      </c>
      <c r="Q10" s="12" t="s">
        <v>26</v>
      </c>
      <c r="R10" s="12" t="s">
        <v>27</v>
      </c>
      <c r="S10" s="12" t="s">
        <v>28</v>
      </c>
      <c r="T10" s="12" t="s">
        <v>29</v>
      </c>
      <c r="U10" s="12" t="s">
        <v>30</v>
      </c>
      <c r="V10" s="12" t="s">
        <v>31</v>
      </c>
      <c r="W10" s="12" t="s">
        <v>32</v>
      </c>
      <c r="X10" s="13" t="s">
        <v>33</v>
      </c>
      <c r="Y10" s="13" t="s">
        <v>8</v>
      </c>
      <c r="Z10" s="12" t="s">
        <v>34</v>
      </c>
      <c r="AA10" s="14" t="s">
        <v>34</v>
      </c>
      <c r="AB10" s="15" t="s">
        <v>35</v>
      </c>
      <c r="AC10" s="15" t="s">
        <v>36</v>
      </c>
      <c r="AD10" s="12" t="s">
        <v>37</v>
      </c>
      <c r="AE10" s="12" t="s">
        <v>38</v>
      </c>
      <c r="AF10" s="12" t="s">
        <v>39</v>
      </c>
      <c r="AG10" s="12" t="s">
        <v>40</v>
      </c>
      <c r="AH10" s="16" t="s">
        <v>41</v>
      </c>
      <c r="AI10" s="16" t="s">
        <v>42</v>
      </c>
      <c r="AJ10" s="16" t="s">
        <v>43</v>
      </c>
      <c r="AK10" s="16" t="s">
        <v>44</v>
      </c>
      <c r="AL10" s="16" t="s">
        <v>45</v>
      </c>
      <c r="AM10" s="16" t="s">
        <v>46</v>
      </c>
      <c r="AN10" s="16" t="s">
        <v>47</v>
      </c>
      <c r="AO10" s="16" t="s">
        <v>48</v>
      </c>
      <c r="AP10" s="16" t="s">
        <v>49</v>
      </c>
      <c r="AQ10" s="16" t="s">
        <v>50</v>
      </c>
      <c r="AR10" s="17" t="s">
        <v>51</v>
      </c>
    </row>
    <row r="11">
      <c r="A11" s="18" t="s">
        <v>52</v>
      </c>
      <c r="B11" s="18" t="s">
        <v>53</v>
      </c>
      <c r="C11" s="18" t="s">
        <v>54</v>
      </c>
      <c r="D11" s="18" t="s">
        <v>55</v>
      </c>
      <c r="E11" s="18" t="s">
        <v>56</v>
      </c>
      <c r="F11" s="19" t="s">
        <v>57</v>
      </c>
      <c r="G11" s="19" t="s">
        <v>58</v>
      </c>
      <c r="H11" s="19" t="s">
        <v>59</v>
      </c>
      <c r="I11" s="18" t="s">
        <v>60</v>
      </c>
      <c r="J11" s="18" t="s">
        <v>61</v>
      </c>
      <c r="K11" s="18" t="s">
        <v>62</v>
      </c>
      <c r="L11" s="20" t="s">
        <v>63</v>
      </c>
      <c r="M11" s="20" t="s">
        <v>64</v>
      </c>
      <c r="N11" s="20" t="s">
        <v>65</v>
      </c>
      <c r="O11" s="18" t="s">
        <v>66</v>
      </c>
      <c r="P11" s="18" t="s">
        <v>67</v>
      </c>
      <c r="Q11" s="18" t="s">
        <v>68</v>
      </c>
      <c r="R11" s="20" t="s">
        <v>69</v>
      </c>
      <c r="S11" s="20" t="s">
        <v>70</v>
      </c>
      <c r="T11" s="20" t="s">
        <v>71</v>
      </c>
      <c r="U11" s="20" t="s">
        <v>72</v>
      </c>
      <c r="V11" s="20" t="s">
        <v>73</v>
      </c>
      <c r="W11" s="20" t="s">
        <v>74</v>
      </c>
      <c r="X11" s="18" t="s">
        <v>75</v>
      </c>
      <c r="Y11" s="18" t="s">
        <v>76</v>
      </c>
      <c r="Z11" s="18" t="s">
        <v>77</v>
      </c>
      <c r="AA11" s="18" t="s">
        <v>78</v>
      </c>
      <c r="AB11" s="21" t="e">
        <f>IF(AG11=0,0,L11/AG11)</f>
        <v>#VALUE!</v>
      </c>
      <c r="AC11" s="22" t="e">
        <f>IF(AG11=0,0,(L11+M11)/AG11)</f>
        <v>#VALUE!</v>
      </c>
      <c r="AD11" s="22" t="e">
        <f>IF(AC11&gt;0.05,"Високий рівень помилок/недійсних даних. Звертайтесь до лаб.","")</f>
        <v>#VALUE!</v>
      </c>
      <c r="AE11" s="22" t="s">
        <v>79</v>
      </c>
      <c r="AF11" s="22" t="s">
        <v>80</v>
      </c>
      <c r="AG11" s="18" t="s">
        <v>81</v>
      </c>
      <c r="AH11" s="23" t="s">
        <v>82</v>
      </c>
      <c r="AI11" s="24" t="s">
        <v>83</v>
      </c>
      <c r="AJ11" s="24" t="s">
        <v>84</v>
      </c>
      <c r="AK11" s="24" t="s">
        <v>85</v>
      </c>
      <c r="AL11" s="24" t="s">
        <v>86</v>
      </c>
      <c r="AM11" s="24" t="s">
        <v>87</v>
      </c>
      <c r="AN11" s="24" t="s">
        <v>88</v>
      </c>
      <c r="AO11" s="23" t="s">
        <v>89</v>
      </c>
      <c r="AP11" s="24" t="s">
        <v>90</v>
      </c>
      <c r="AQ11" s="24" t="s">
        <v>91</v>
      </c>
      <c r="AR11" s="24" t="s">
        <v>92</v>
      </c>
    </row>
    <row r="14">
      <c r="B14" s="25"/>
      <c r="C14" s="25"/>
      <c r="D14" s="25"/>
      <c r="E14" s="25"/>
      <c r="F14" s="26"/>
      <c r="G14" s="26"/>
      <c r="H14" s="26"/>
    </row>
  </sheetData>
  <mergeCells count="2">
    <mergeCell ref="C3:D3"/>
    <mergeCell ref="D6:J6"/>
  </mergeCells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ONLYOFFICE/8.0.0.99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dc:language>en-US</dc:language>
  <cp:revision>32</cp:revision>
  <dcterms:created xsi:type="dcterms:W3CDTF">2014-04-20T08:25:13Z</dcterms:created>
  <dcterms:modified xsi:type="dcterms:W3CDTF">2024-02-27T20:20:51Z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