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9FCE0F2B-0238-1345-8B8B-37A5D39EEF19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Dispositiv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1" l="1"/>
  <c r="AC11" i="1"/>
  <c r="AD11" i="1"/>
</calcChain>
</file>

<file path=xl/sharedStrings.xml><?xml version="1.0" encoding="utf-8"?>
<sst xmlns="http://schemas.openxmlformats.org/spreadsheetml/2006/main" count="96" uniqueCount="95">
  <si>
    <t>Dispositivos GeneXpert</t>
  </si>
  <si>
    <t>Entre fechas: &lt;Dates&gt;</t>
  </si>
  <si>
    <t>Notas</t>
  </si>
  <si>
    <t>Estados: &lt;States&gt;</t>
  </si>
  <si>
    <t>Tenga en cuenta que este informe incluye los resultados de MTB/Rif, MTB ULTRA y MTB XDR</t>
  </si>
  <si>
    <t>Ciudad: &lt;Lgas&gt;</t>
  </si>
  <si>
    <t>Sitios: &lt;Sites&gt;</t>
  </si>
  <si>
    <t>Referencias</t>
  </si>
  <si>
    <t xml:space="preserve"># Días interrumpidos de servicio </t>
  </si>
  <si>
    <t>Cuenta la cantidad de días en que un dispositivo se informó al menos una vez con cualquiera de los estados de inactividad (incluidos también los estados Desconocido y Sin pruebas realizadas)</t>
  </si>
  <si>
    <t>&lt;Table&gt;</t>
  </si>
  <si>
    <t>Dispositivo</t>
  </si>
  <si>
    <t>Nombre del sitio</t>
  </si>
  <si>
    <t>Estado</t>
  </si>
  <si>
    <t>Distrito</t>
  </si>
  <si>
    <t>Nro. De serie</t>
  </si>
  <si>
    <t>Nro. De serie del Dispositivo</t>
  </si>
  <si>
    <t>Nota de estado</t>
  </si>
  <si>
    <t># MTB-</t>
  </si>
  <si>
    <t># MTB+</t>
  </si>
  <si>
    <t># MTB Trace Detected</t>
  </si>
  <si>
    <t># MTB Error</t>
  </si>
  <si>
    <t># MTB Inválidos</t>
  </si>
  <si>
    <t># MTB No resultados</t>
  </si>
  <si>
    <t># MTB+ RIF
sens</t>
  </si>
  <si>
    <t># MTB+ RIF
res</t>
  </si>
  <si>
    <t># MTB+ RIF indeterminado</t>
  </si>
  <si>
    <t># INH</t>
  </si>
  <si>
    <t># FLQ</t>
  </si>
  <si>
    <t># AMK</t>
  </si>
  <si>
    <t># KAN</t>
  </si>
  <si>
    <t># CAP</t>
  </si>
  <si>
    <t># ETH</t>
  </si>
  <si>
    <t># Módulos usados en el rango de fechas</t>
  </si>
  <si>
    <t># Días interrumpidos de servicio</t>
  </si>
  <si>
    <t>Última respuesta en</t>
  </si>
  <si>
    <t>Última respuesta desde</t>
  </si>
  <si>
    <t>Tasa de error</t>
  </si>
  <si>
    <t>Tasa Error/Inválidos</t>
  </si>
  <si>
    <t>Comentario</t>
  </si>
  <si>
    <t>Último resultado cargado el</t>
  </si>
  <si>
    <t>Último resultado realizado el</t>
  </si>
  <si>
    <t># total de pruebas</t>
  </si>
  <si>
    <t>Información a partir de</t>
  </si>
  <si>
    <t>Sistema Operativo</t>
  </si>
  <si>
    <t>Zona Horaria</t>
  </si>
  <si>
    <t>Idioma</t>
  </si>
  <si>
    <t>Versión de GxConnect</t>
  </si>
  <si>
    <t>¿Dispositivo encontrado?</t>
  </si>
  <si>
    <t>¿LIS configurado correctamente?</t>
  </si>
  <si>
    <t>Fecha de instalación de GeneXpert</t>
  </si>
  <si>
    <t>Número de enrutador</t>
  </si>
  <si>
    <t>Número de registro de la tarjeta SIM #1</t>
  </si>
  <si>
    <t>Número de registro de la tarjeta SIM #2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</si>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</sst>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10" fontId="6" fillId="2" borderId="1" xfId="0" applyNumberFormat="1" applyFont="1" applyFill="1" applyBorder="1"/>
    <xf numFmtId="0" fontId="5" fillId="0" borderId="0" xfId="0" applyFont="1"/>
    <xf numFmtId="0" fontId="6" fillId="2" borderId="1" xfId="0" applyFont="1" applyFill="1" applyBorder="1" applyAlignment="1">
      <alignment wrapText="1"/>
    </xf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0" fontId="4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30.66406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0</v>
      </c>
      <c r="C1" s="2"/>
      <c r="D1" s="2"/>
      <c r="E1" s="2"/>
      <c r="F1" s="2"/>
      <c r="G1" s="2"/>
      <c r="H1" s="2"/>
    </row>
    <row r="2" spans="1:44" x14ac:dyDescent="0.2">
      <c r="A2" t="s">
        <v>1</v>
      </c>
      <c r="C2" s="3" t="s">
        <v>2</v>
      </c>
    </row>
    <row r="3" spans="1:44" ht="17.75" customHeight="1" x14ac:dyDescent="0.2">
      <c r="A3" t="s">
        <v>3</v>
      </c>
      <c r="C3" s="24" t="s">
        <v>4</v>
      </c>
      <c r="D3" s="24"/>
      <c r="E3" s="24"/>
      <c r="F3" s="4"/>
      <c r="G3" s="4"/>
      <c r="H3" s="4"/>
    </row>
    <row r="4" spans="1:44" x14ac:dyDescent="0.2">
      <c r="A4" t="s">
        <v>5</v>
      </c>
    </row>
    <row r="5" spans="1:44" ht="17" x14ac:dyDescent="0.2">
      <c r="A5" s="5" t="s">
        <v>6</v>
      </c>
      <c r="C5" s="3" t="s">
        <v>7</v>
      </c>
    </row>
    <row r="6" spans="1:44" ht="50.5" customHeight="1" x14ac:dyDescent="0.2">
      <c r="C6" s="6" t="s">
        <v>8</v>
      </c>
      <c r="D6" s="25" t="s">
        <v>9</v>
      </c>
      <c r="E6" s="25"/>
      <c r="F6" s="25"/>
      <c r="G6" s="25"/>
      <c r="H6" s="25"/>
      <c r="I6" s="25"/>
      <c r="J6" s="25"/>
    </row>
    <row r="7" spans="1:44" ht="16.25" customHeight="1" x14ac:dyDescent="0.2">
      <c r="A7" s="7"/>
    </row>
    <row r="8" spans="1:44" x14ac:dyDescent="0.2">
      <c r="A8" s="8"/>
    </row>
    <row r="9" spans="1:44" ht="17" thickBot="1" x14ac:dyDescent="0.25">
      <c r="A9" t="s">
        <v>10</v>
      </c>
    </row>
    <row r="10" spans="1:44" s="9" customFormat="1" ht="52" thickBot="1" x14ac:dyDescent="0.25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13</v>
      </c>
      <c r="H10" s="10" t="s">
        <v>17</v>
      </c>
      <c r="I10" s="10" t="s">
        <v>18</v>
      </c>
      <c r="J10" s="10" t="s">
        <v>19</v>
      </c>
      <c r="K10" s="11" t="s">
        <v>20</v>
      </c>
      <c r="L10" s="11" t="s">
        <v>21</v>
      </c>
      <c r="M10" s="11" t="s">
        <v>22</v>
      </c>
      <c r="N10" s="11" t="s">
        <v>23</v>
      </c>
      <c r="O10" s="11" t="s">
        <v>24</v>
      </c>
      <c r="P10" s="14" t="s">
        <v>25</v>
      </c>
      <c r="Q10" s="11" t="s">
        <v>26</v>
      </c>
      <c r="R10" s="10" t="s">
        <v>27</v>
      </c>
      <c r="S10" s="10" t="s">
        <v>28</v>
      </c>
      <c r="T10" s="10" t="s">
        <v>29</v>
      </c>
      <c r="U10" s="10" t="s">
        <v>30</v>
      </c>
      <c r="V10" s="10" t="s">
        <v>31</v>
      </c>
      <c r="W10" s="10" t="s">
        <v>32</v>
      </c>
      <c r="X10" s="11" t="s">
        <v>33</v>
      </c>
      <c r="Y10" s="11" t="s">
        <v>34</v>
      </c>
      <c r="Z10" s="10" t="s">
        <v>35</v>
      </c>
      <c r="AA10" s="10" t="s">
        <v>36</v>
      </c>
      <c r="AB10" s="12" t="s">
        <v>37</v>
      </c>
      <c r="AC10" s="12" t="s">
        <v>38</v>
      </c>
      <c r="AD10" s="10" t="s">
        <v>39</v>
      </c>
      <c r="AE10" s="10" t="s">
        <v>40</v>
      </c>
      <c r="AF10" s="10" t="s">
        <v>41</v>
      </c>
      <c r="AG10" s="10" t="s">
        <v>42</v>
      </c>
      <c r="AH10" s="10" t="s">
        <v>43</v>
      </c>
      <c r="AI10" s="10" t="s">
        <v>44</v>
      </c>
      <c r="AJ10" s="10" t="s">
        <v>45</v>
      </c>
      <c r="AK10" s="10" t="s">
        <v>46</v>
      </c>
      <c r="AL10" s="10" t="s">
        <v>47</v>
      </c>
      <c r="AM10" s="10" t="s">
        <v>48</v>
      </c>
      <c r="AN10" s="10" t="s">
        <v>49</v>
      </c>
      <c r="AO10" s="10" t="s">
        <v>50</v>
      </c>
      <c r="AP10" s="10" t="s">
        <v>51</v>
      </c>
      <c r="AQ10" s="10" t="s">
        <v>52</v>
      </c>
      <c r="AR10" s="10" t="s">
        <v>53</v>
      </c>
    </row>
    <row r="11" spans="1:44" x14ac:dyDescent="0.2">
      <c r="A11" s="15" t="s">
        <v>54</v>
      </c>
      <c r="B11" s="15" t="s">
        <v>55</v>
      </c>
      <c r="C11" s="15" t="s">
        <v>56</v>
      </c>
      <c r="D11" s="15" t="s">
        <v>57</v>
      </c>
      <c r="E11" s="15" t="s">
        <v>58</v>
      </c>
      <c r="F11" s="15" t="s">
        <v>59</v>
      </c>
      <c r="G11" s="15" t="s">
        <v>60</v>
      </c>
      <c r="H11" s="15" t="s">
        <v>61</v>
      </c>
      <c r="I11" s="16" t="s">
        <v>62</v>
      </c>
      <c r="J11" s="16" t="s">
        <v>63</v>
      </c>
      <c r="K11" s="16" t="s">
        <v>64</v>
      </c>
      <c r="L11" s="16" t="s">
        <v>65</v>
      </c>
      <c r="M11" s="16" t="s">
        <v>66</v>
      </c>
      <c r="N11" s="16" t="s">
        <v>67</v>
      </c>
      <c r="O11" s="16" t="s">
        <v>68</v>
      </c>
      <c r="P11" s="16" t="s">
        <v>69</v>
      </c>
      <c r="Q11" s="16" t="s">
        <v>70</v>
      </c>
      <c r="R11" s="16" t="s">
        <v>71</v>
      </c>
      <c r="S11" s="16" t="s">
        <v>72</v>
      </c>
      <c r="T11" s="16" t="s">
        <v>73</v>
      </c>
      <c r="U11" s="16" t="s">
        <v>74</v>
      </c>
      <c r="V11" s="16" t="s">
        <v>75</v>
      </c>
      <c r="W11" s="16" t="s">
        <v>76</v>
      </c>
      <c r="X11" s="16" t="s">
        <v>77</v>
      </c>
      <c r="Y11" s="16" t="s">
        <v>78</v>
      </c>
      <c r="Z11" s="17" t="s">
        <v>79</v>
      </c>
      <c r="AA11" s="18" t="s">
        <v>80</v>
      </c>
      <c r="AB11" s="19" t="e">
        <f>IF(AG11=0,0,L11/AG11)</f>
        <v>#VALUE!</v>
      </c>
      <c r="AC11" s="20" t="e">
        <f>IF(AG11=0,0,(L11+M11)/AG11)</f>
        <v>#VALUE!</v>
      </c>
      <c r="AD11" s="20" t="e">
        <f>IF(AC11&gt;0.05,"Alta Tasa de Errores/Inválidos. Póngase en contacto con el laboratorio.","")</f>
        <v>#VALUE!</v>
      </c>
      <c r="AE11" s="17" t="s">
        <v>81</v>
      </c>
      <c r="AF11" s="17" t="s">
        <v>82</v>
      </c>
      <c r="AG11" s="16" t="s">
        <v>83</v>
      </c>
      <c r="AH11" s="21" t="s">
        <v>84</v>
      </c>
      <c r="AI11" s="22" t="s">
        <v>85</v>
      </c>
      <c r="AJ11" s="22" t="s">
        <v>86</v>
      </c>
      <c r="AK11" s="22" t="s">
        <v>87</v>
      </c>
      <c r="AL11" s="22" t="s">
        <v>88</v>
      </c>
      <c r="AM11" s="22" t="s">
        <v>89</v>
      </c>
      <c r="AN11" s="22" t="s">
        <v>90</v>
      </c>
      <c r="AO11" s="21" t="s">
        <v>91</v>
      </c>
      <c r="AP11" s="23" t="s">
        <v>92</v>
      </c>
      <c r="AQ11" s="22" t="s">
        <v>93</v>
      </c>
      <c r="AR11" s="22" t="s">
        <v>94</v>
      </c>
    </row>
    <row r="14" spans="1:44" x14ac:dyDescent="0.2">
      <c r="B14" s="13"/>
      <c r="C14" s="13"/>
      <c r="D14" s="13"/>
      <c r="E14" s="13"/>
      <c r="F14" s="13"/>
      <c r="G14" s="13"/>
      <c r="H14" s="13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Dispositivos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34</cp:revision>
  <dcterms:created xsi:type="dcterms:W3CDTF">2014-04-20T08:25:13Z</dcterms:created>
  <dcterms:modified xsi:type="dcterms:W3CDTF">2025-03-13T03:03:02Z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