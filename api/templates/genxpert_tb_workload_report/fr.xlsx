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genxpert_tb_workload_report/"/>
    </mc:Choice>
  </mc:AlternateContent>
  <xr:revisionPtr revIDLastSave="0" documentId="8_{3E1AAC67-E128-2A4A-82F3-B96AB767D9A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Device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1" i="1" l="1"/>
  <c r="AD11" i="1" s="1"/>
  <c r="AB11" i="1"/>
</calcChain>
</file>

<file path=xl/sharedStrings.xml><?xml version="1.0" encoding="utf-8"?>
<sst xmlns="http://schemas.openxmlformats.org/spreadsheetml/2006/main" count="96" uniqueCount="95">
  <si>
    <t>Dates: &lt;Dates&gt;</t>
  </si>
  <si>
    <t>Notes</t>
  </si>
  <si>
    <t>&lt;StatesLabel&gt;: &lt;States&gt;</t>
  </si>
  <si>
    <t>&lt;LgasLabel&gt;: &lt;Lgas&gt;</t>
  </si>
  <si>
    <t>&lt;SitesLabel&gt;: &lt;Sites&gt;</t>
  </si>
  <si>
    <t>&lt;Table&gt;</t>
  </si>
  <si>
    <t>District</t>
  </si>
  <si>
    <t># MTB-</t>
  </si>
  <si>
    <t># MTB+</t>
  </si>
  <si>
    <t># MTB Error</t>
  </si>
  <si>
    <t># MTB Invalid</t>
  </si>
  <si>
    <t># INH</t>
  </si>
  <si>
    <t># FLQ</t>
  </si>
  <si>
    <t># AMK</t>
  </si>
  <si>
    <t># KAN</t>
  </si>
  <si>
    <t># CAP</t>
  </si>
  <si>
    <t># ETH</t>
  </si>
  <si>
    <t>GxConnect Version</t>
  </si>
  <si>
    <t>&lt;name&gt;</t>
  </si>
  <si>
    <t>&lt;siteName&gt;</t>
  </si>
  <si>
    <t>&lt;stateName&gt;</t>
  </si>
  <si>
    <t>&lt;districtName&gt;</t>
  </si>
  <si>
    <t>&lt;serial&gt;</t>
  </si>
  <si>
    <t>&lt;lastInstrumentSerial&gt;</t>
  </si>
  <si>
    <t>&lt;maintenanceStatusName&gt;</t>
  </si>
  <si>
    <t>&lt;maintenanceStatusNotes&gt;</t>
  </si>
  <si>
    <t>&lt;totalMtbNegative&gt;</t>
  </si>
  <si>
    <t>&lt;totalMtbDetected&gt;</t>
  </si>
  <si>
    <t>&lt;totalMtbTraceDetected&gt;</t>
  </si>
  <si>
    <t>&lt;totalErrors&gt;</t>
  </si>
  <si>
    <t>&lt;mtbInvalid&gt;</t>
  </si>
  <si>
    <t>&lt;mtbNoResult&gt;</t>
  </si>
  <si>
    <t>&lt;totalMtbSens&gt;</t>
  </si>
  <si>
    <t>&lt;totalMtbRes&gt;</t>
  </si>
  <si>
    <t>&lt;totalMtbIndeterminate&gt;</t>
  </si>
  <si>
    <t>&lt;INH&gt;</t>
  </si>
  <si>
    <t>&lt;FLQ&gt;</t>
  </si>
  <si>
    <t>&lt;AMK&gt;</t>
  </si>
  <si>
    <t>&lt;KAN&gt;</t>
  </si>
  <si>
    <t>&lt;CAP&gt;</t>
  </si>
  <si>
    <t>&lt;ETH&gt;</t>
  </si>
  <si>
    <t>&lt;totalXpertModulesInUse&gt;</t>
  </si>
  <si>
    <t>&lt;totalInterruptedDays&gt;</t>
  </si>
  <si>
    <t>&lt;lastPingOn&gt;</t>
  </si>
  <si>
    <t>&lt;lastPingFromIp&gt;</t>
  </si>
  <si>
    <t>&lt;lastResultUploadedOn&gt;</t>
  </si>
  <si>
    <t>&lt;lastResultConductedOn&gt;</t>
  </si>
  <si>
    <t>&lt;totalXpertResults&gt;</t>
  </si>
  <si>
    <t>&lt;informationDate&gt;</t>
  </si>
  <si>
    <t>&lt;computerOsVersion&gt;</t>
  </si>
  <si>
    <t>&lt;timezone&gt;</t>
  </si>
  <si>
    <t>&lt;language&gt;</t>
  </si>
  <si>
    <t>&lt;connectorVersion&gt;</t>
  </si>
  <si>
    <t>&lt;deviceFound&gt;</t>
  </si>
  <si>
    <t>&lt;lisConfiguredCorrectly&gt;</t>
  </si>
  <si>
    <t>&lt;instalationDate&gt;</t>
  </si>
  <si>
    <t>&lt;routerNumber&gt;</t>
  </si>
  <si>
    <t>&lt;sim1SerialNumber&gt;</t>
  </si>
  <si>
    <t>&lt;sim2SerialNumber&gt;</t>
  </si>
  <si>
    <t>Appareils GeneXpert</t>
  </si>
  <si>
    <t>Veuillez noter que ce rapport comprend les résultats MTB/Rif, MTB ULTRA et MTB XDR</t>
  </si>
  <si>
    <t>Références</t>
  </si>
  <si>
    <t># Jours d’interruption de service</t>
  </si>
  <si>
    <t>Compte le nombre de jours pendant lesquels un appareil a été signalé au moins une fois avec l’un des états d’inactivité (y compris les états Inconnu et Aucun test effectué)</t>
  </si>
  <si>
    <t>Appareil</t>
  </si>
  <si>
    <t>Nom du site</t>
  </si>
  <si>
    <t>État</t>
  </si>
  <si>
    <t>Feuilleton</t>
  </si>
  <si>
    <t>Série de l’instrument</t>
  </si>
  <si>
    <t>Statut</t>
  </si>
  <si>
    <t>Note de statut</t>
  </si>
  <si>
    <t># trace MTB détectée</t>
  </si>
  <si>
    <t># MTB  Aucun résultat</t>
  </si>
  <si>
    <t># Rif non détecté</t>
  </si>
  <si>
    <t># Rif détecté</t>
  </si>
  <si>
    <t># Rif Indéterminé</t>
  </si>
  <si>
    <t># Modules utilisés dans la plage de dates</t>
  </si>
  <si>
    <t>Dernier ping sur</t>
  </si>
  <si>
    <t>Taux d’erreur</t>
  </si>
  <si>
    <t>Taux d’erreur/invalide</t>
  </si>
  <si>
    <t>Dernier ping de</t>
  </si>
  <si>
    <t>Commentaire</t>
  </si>
  <si>
    <t>Dernier résultat Téléchargé le</t>
  </si>
  <si>
    <t>Dernier résultat réalisé le</t>
  </si>
  <si>
    <t># Total des résultats</t>
  </si>
  <si>
    <t>Informations ci-dessous en date du</t>
  </si>
  <si>
    <t>Système d’exploitation</t>
  </si>
  <si>
    <t>Fuseau horaire</t>
  </si>
  <si>
    <t>Langue / Région</t>
  </si>
  <si>
    <t>Appareil trouvé ?</t>
  </si>
  <si>
    <t>Le SIL est-il correctement configuré ?</t>
  </si>
  <si>
    <t>Date d’installation de GeneXpert</t>
  </si>
  <si>
    <t>Numéro de routeur</t>
  </si>
  <si>
    <t>Numéro d’enregistrement de la carte SIM #1</t>
  </si>
  <si>
    <t>Numéro d’enregistrement de la carte SIM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</si>
</sst>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[$-409]mmmm\ d\,\ yyyy;@"/>
  </numFmts>
  <fonts count="12" x14ac:knownFonts="1">
    <font>
      <sz val="12"/>
      <color indexed="64"/>
      <name val="Calibri"/>
    </font>
    <font>
      <b/>
      <sz val="16"/>
      <color indexed="64"/>
      <name val="Calibri"/>
    </font>
    <font>
      <u/>
      <sz val="12"/>
      <color indexed="64"/>
      <name val="Calibri"/>
    </font>
    <font>
      <i/>
      <sz val="12"/>
      <color indexed="64"/>
      <name val="Calibri"/>
    </font>
    <font>
      <b/>
      <sz val="12"/>
      <color indexed="64"/>
      <name val="Calibri"/>
    </font>
    <font>
      <b/>
      <sz val="12"/>
      <name val="Calibri"/>
    </font>
    <font>
      <sz val="12"/>
      <color theme="1"/>
      <name val="Calibri"/>
      <scheme val="minor"/>
    </font>
    <font>
      <b/>
      <sz val="16"/>
      <color indexed="64"/>
      <name val="Calibri"/>
      <family val="2"/>
    </font>
    <font>
      <i/>
      <sz val="12"/>
      <color indexed="64"/>
      <name val="Calibri"/>
      <family val="2"/>
    </font>
    <font>
      <u/>
      <sz val="12"/>
      <color indexed="64"/>
      <name val="Calibri"/>
      <family val="2"/>
    </font>
    <font>
      <sz val="12"/>
      <color indexed="64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CC0DD"/>
        <bgColor indexed="40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10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 vertical="center"/>
    </xf>
    <xf numFmtId="164" fontId="5" fillId="2" borderId="1" xfId="0" applyNumberFormat="1" applyFont="1" applyFill="1" applyBorder="1"/>
    <xf numFmtId="164" fontId="5" fillId="2" borderId="3" xfId="0" applyNumberFormat="1" applyFont="1" applyFill="1" applyBorder="1"/>
    <xf numFmtId="0" fontId="0" fillId="0" borderId="4" xfId="0" applyBorder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4" xfId="0" applyNumberFormat="1" applyBorder="1"/>
    <xf numFmtId="165" fontId="6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 vertical="top" wrapText="1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9" fillId="0" borderId="0" xfId="0" applyFont="1"/>
    <xf numFmtId="0" fontId="10" fillId="0" borderId="0" xfId="0" applyFont="1" applyAlignment="1">
      <alignment vertical="top"/>
    </xf>
    <xf numFmtId="0" fontId="10" fillId="0" borderId="0" xfId="0" applyFont="1" applyAlignment="1">
      <alignment horizontal="left" vertical="top" wrapText="1"/>
    </xf>
    <xf numFmtId="164" fontId="11" fillId="2" borderId="1" xfId="0" applyNumberFormat="1" applyFont="1" applyFill="1" applyBorder="1"/>
    <xf numFmtId="164" fontId="11" fillId="2" borderId="1" xfId="0" applyNumberFormat="1" applyFont="1" applyFill="1" applyBorder="1" applyAlignment="1">
      <alignment wrapText="1"/>
    </xf>
    <xf numFmtId="0" fontId="11" fillId="2" borderId="1" xfId="0" applyFont="1" applyFill="1" applyBorder="1" applyAlignment="1">
      <alignment wrapText="1"/>
    </xf>
    <xf numFmtId="10" fontId="11" fillId="2" borderId="1" xfId="0" applyNumberFormat="1" applyFont="1" applyFill="1" applyBorder="1"/>
    <xf numFmtId="164" fontId="11" fillId="2" borderId="2" xfId="0" applyNumberFormat="1" applyFont="1" applyFill="1" applyBorder="1"/>
    <xf numFmtId="164" fontId="11" fillId="2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"/>
  <sheetViews>
    <sheetView tabSelected="1" topLeftCell="AP1" workbookViewId="0">
      <selection activeCell="AO13" sqref="AO13"/>
    </sheetView>
  </sheetViews>
  <sheetFormatPr baseColWidth="10" defaultColWidth="11.33203125" defaultRowHeight="16" x14ac:dyDescent="0.2"/>
  <cols>
    <col min="1" max="1" width="27.1640625" customWidth="1"/>
    <col min="2" max="2" width="30.6640625" customWidth="1"/>
    <col min="3" max="3" width="35.33203125" customWidth="1"/>
    <col min="4" max="4" width="33.5" customWidth="1"/>
    <col min="5" max="8" width="15.33203125" customWidth="1"/>
    <col min="9" max="11" width="11.6640625" customWidth="1"/>
    <col min="12" max="13" width="15.6640625" customWidth="1"/>
    <col min="14" max="14" width="24.5" customWidth="1"/>
    <col min="15" max="16" width="11.6640625" customWidth="1"/>
    <col min="17" max="24" width="15.6640625" customWidth="1"/>
    <col min="25" max="27" width="20.6640625" customWidth="1"/>
    <col min="28" max="28" width="20.6640625" style="1" customWidth="1"/>
    <col min="29" max="29" width="20.1640625" style="1" customWidth="1"/>
    <col min="30" max="30" width="33.33203125" customWidth="1"/>
    <col min="31" max="32" width="25.6640625" customWidth="1"/>
    <col min="33" max="33" width="20.6640625" customWidth="1"/>
    <col min="34" max="34" width="21.1640625" bestFit="1"/>
    <col min="35" max="35" width="19" bestFit="1"/>
    <col min="36" max="36" width="20.33203125" bestFit="1"/>
    <col min="37" max="37" width="16.83203125" bestFit="1"/>
    <col min="38" max="38" width="16.6640625" bestFit="1"/>
    <col min="39" max="39" width="18.1640625" bestFit="1"/>
    <col min="40" max="40" width="22" bestFit="1"/>
    <col min="41" max="41" width="24.33203125" bestFit="1"/>
    <col min="42" max="42" width="14.83203125" bestFit="1"/>
    <col min="43" max="43" width="29.1640625" bestFit="1"/>
    <col min="44" max="44" width="48.6640625" customWidth="1"/>
  </cols>
  <sheetData>
    <row r="1" spans="1:44" ht="21" x14ac:dyDescent="0.25">
      <c r="A1" s="20" t="s">
        <v>59</v>
      </c>
      <c r="C1" s="2"/>
      <c r="D1" s="2"/>
      <c r="E1" s="2"/>
      <c r="F1" s="2"/>
      <c r="G1" s="2"/>
      <c r="H1" s="2"/>
    </row>
    <row r="2" spans="1:44" x14ac:dyDescent="0.2">
      <c r="A2" t="s">
        <v>0</v>
      </c>
      <c r="C2" s="3" t="s">
        <v>1</v>
      </c>
    </row>
    <row r="3" spans="1:44" ht="17.75" customHeight="1" x14ac:dyDescent="0.2">
      <c r="A3" t="s">
        <v>2</v>
      </c>
      <c r="C3" s="21" t="s">
        <v>60</v>
      </c>
      <c r="D3" s="18"/>
      <c r="E3" s="18"/>
      <c r="F3" s="4"/>
      <c r="G3" s="4"/>
      <c r="H3" s="4"/>
    </row>
    <row r="4" spans="1:44" x14ac:dyDescent="0.2">
      <c r="A4" t="s">
        <v>3</v>
      </c>
    </row>
    <row r="5" spans="1:44" ht="17" x14ac:dyDescent="0.2">
      <c r="A5" s="5" t="s">
        <v>4</v>
      </c>
      <c r="C5" s="22" t="s">
        <v>61</v>
      </c>
    </row>
    <row r="6" spans="1:44" ht="50.5" customHeight="1" x14ac:dyDescent="0.2">
      <c r="C6" s="23" t="s">
        <v>62</v>
      </c>
      <c r="D6" s="24" t="s">
        <v>63</v>
      </c>
      <c r="E6" s="19"/>
      <c r="F6" s="19"/>
      <c r="G6" s="19"/>
      <c r="H6" s="19"/>
      <c r="I6" s="19"/>
      <c r="J6" s="19"/>
    </row>
    <row r="7" spans="1:44" ht="16.25" customHeight="1" x14ac:dyDescent="0.2">
      <c r="A7" s="6"/>
    </row>
    <row r="8" spans="1:44" x14ac:dyDescent="0.2">
      <c r="A8" s="7"/>
    </row>
    <row r="9" spans="1:44" x14ac:dyDescent="0.2">
      <c r="A9" t="s">
        <v>5</v>
      </c>
    </row>
    <row r="10" spans="1:44" s="8" customFormat="1" ht="51" x14ac:dyDescent="0.2">
      <c r="A10" s="25" t="s">
        <v>64</v>
      </c>
      <c r="B10" s="25" t="s">
        <v>65</v>
      </c>
      <c r="C10" s="25" t="s">
        <v>66</v>
      </c>
      <c r="D10" s="9" t="s">
        <v>6</v>
      </c>
      <c r="E10" s="25" t="s">
        <v>67</v>
      </c>
      <c r="F10" s="25" t="s">
        <v>68</v>
      </c>
      <c r="G10" s="25" t="s">
        <v>69</v>
      </c>
      <c r="H10" s="25" t="s">
        <v>70</v>
      </c>
      <c r="I10" s="9" t="s">
        <v>7</v>
      </c>
      <c r="J10" s="9" t="s">
        <v>8</v>
      </c>
      <c r="K10" s="25" t="s">
        <v>71</v>
      </c>
      <c r="L10" s="9" t="s">
        <v>9</v>
      </c>
      <c r="M10" s="9" t="s">
        <v>10</v>
      </c>
      <c r="N10" s="25" t="s">
        <v>72</v>
      </c>
      <c r="O10" s="26" t="s">
        <v>73</v>
      </c>
      <c r="P10" s="27" t="s">
        <v>74</v>
      </c>
      <c r="Q10" s="25" t="s">
        <v>75</v>
      </c>
      <c r="R10" s="9" t="s">
        <v>11</v>
      </c>
      <c r="S10" s="9" t="s">
        <v>12</v>
      </c>
      <c r="T10" s="9" t="s">
        <v>13</v>
      </c>
      <c r="U10" s="9" t="s">
        <v>14</v>
      </c>
      <c r="V10" s="9" t="s">
        <v>15</v>
      </c>
      <c r="W10" s="9" t="s">
        <v>16</v>
      </c>
      <c r="X10" s="26" t="s">
        <v>76</v>
      </c>
      <c r="Y10" s="26" t="s">
        <v>62</v>
      </c>
      <c r="Z10" s="25" t="s">
        <v>77</v>
      </c>
      <c r="AA10" s="29" t="s">
        <v>80</v>
      </c>
      <c r="AB10" s="28" t="s">
        <v>78</v>
      </c>
      <c r="AC10" s="28" t="s">
        <v>79</v>
      </c>
      <c r="AD10" s="25" t="s">
        <v>81</v>
      </c>
      <c r="AE10" s="25" t="s">
        <v>82</v>
      </c>
      <c r="AF10" s="25" t="s">
        <v>83</v>
      </c>
      <c r="AG10" s="30" t="s">
        <v>84</v>
      </c>
      <c r="AH10" s="30" t="s">
        <v>85</v>
      </c>
      <c r="AI10" s="30" t="s">
        <v>86</v>
      </c>
      <c r="AJ10" s="30" t="s">
        <v>87</v>
      </c>
      <c r="AK10" s="30" t="s">
        <v>88</v>
      </c>
      <c r="AL10" s="10" t="s">
        <v>17</v>
      </c>
      <c r="AM10" s="30" t="s">
        <v>89</v>
      </c>
      <c r="AN10" s="30" t="s">
        <v>90</v>
      </c>
      <c r="AO10" s="30" t="s">
        <v>91</v>
      </c>
      <c r="AP10" s="30" t="s">
        <v>92</v>
      </c>
      <c r="AQ10" s="30" t="s">
        <v>93</v>
      </c>
      <c r="AR10" s="30" t="s">
        <v>94</v>
      </c>
    </row>
    <row r="11" spans="1:44" x14ac:dyDescent="0.2">
      <c r="A11" s="11" t="s">
        <v>18</v>
      </c>
      <c r="B11" s="11" t="s">
        <v>19</v>
      </c>
      <c r="C11" s="11" t="s">
        <v>20</v>
      </c>
      <c r="D11" s="11" t="s">
        <v>21</v>
      </c>
      <c r="E11" s="11" t="s">
        <v>22</v>
      </c>
      <c r="F11" s="11" t="s">
        <v>23</v>
      </c>
      <c r="G11" s="11" t="s">
        <v>24</v>
      </c>
      <c r="H11" s="11" t="s">
        <v>25</v>
      </c>
      <c r="I11" s="11" t="s">
        <v>26</v>
      </c>
      <c r="J11" s="11" t="s">
        <v>27</v>
      </c>
      <c r="K11" s="11" t="s">
        <v>28</v>
      </c>
      <c r="L11" s="12" t="s">
        <v>29</v>
      </c>
      <c r="M11" s="12" t="s">
        <v>30</v>
      </c>
      <c r="N11" s="12" t="s">
        <v>31</v>
      </c>
      <c r="O11" s="11" t="s">
        <v>32</v>
      </c>
      <c r="P11" s="11" t="s">
        <v>33</v>
      </c>
      <c r="Q11" s="11" t="s">
        <v>34</v>
      </c>
      <c r="R11" s="12" t="s">
        <v>35</v>
      </c>
      <c r="S11" s="12" t="s">
        <v>36</v>
      </c>
      <c r="T11" s="12" t="s">
        <v>37</v>
      </c>
      <c r="U11" s="12" t="s">
        <v>38</v>
      </c>
      <c r="V11" s="12" t="s">
        <v>39</v>
      </c>
      <c r="W11" s="12" t="s">
        <v>40</v>
      </c>
      <c r="X11" s="11" t="s">
        <v>41</v>
      </c>
      <c r="Y11" s="11" t="s">
        <v>42</v>
      </c>
      <c r="Z11" s="11" t="s">
        <v>43</v>
      </c>
      <c r="AA11" s="11" t="s">
        <v>44</v>
      </c>
      <c r="AB11" s="13" t="e">
        <f>IF(AG11=0,0,L11/AG11)</f>
        <v>#VALUE!</v>
      </c>
      <c r="AC11" s="14" t="e">
        <f>IF(AG11=0,0,(L11+M11)/AG11)</f>
        <v>#VALUE!</v>
      </c>
      <c r="AD11" s="14" t="e">
        <f>IF(AC11&gt;0.05,"High Rate of Errors/Invalids. Contact Lab.","")</f>
        <v>#VALUE!</v>
      </c>
      <c r="AE11" s="14" t="s">
        <v>45</v>
      </c>
      <c r="AF11" s="14" t="s">
        <v>46</v>
      </c>
      <c r="AG11" s="11" t="s">
        <v>47</v>
      </c>
      <c r="AH11" s="15" t="s">
        <v>48</v>
      </c>
      <c r="AI11" s="16" t="s">
        <v>49</v>
      </c>
      <c r="AJ11" s="16" t="s">
        <v>50</v>
      </c>
      <c r="AK11" s="16" t="s">
        <v>51</v>
      </c>
      <c r="AL11" s="16" t="s">
        <v>52</v>
      </c>
      <c r="AM11" s="16" t="s">
        <v>53</v>
      </c>
      <c r="AN11" s="16" t="s">
        <v>54</v>
      </c>
      <c r="AO11" s="15" t="s">
        <v>55</v>
      </c>
      <c r="AP11" s="16" t="s">
        <v>56</v>
      </c>
      <c r="AQ11" s="16" t="s">
        <v>57</v>
      </c>
      <c r="AR11" s="16" t="s">
        <v>58</v>
      </c>
    </row>
    <row r="14" spans="1:44" x14ac:dyDescent="0.2">
      <c r="B14" s="17"/>
      <c r="C14" s="17"/>
      <c r="D14" s="17"/>
      <c r="E14" s="17"/>
      <c r="F14" s="17"/>
      <c r="G14" s="17"/>
      <c r="H14" s="17"/>
    </row>
  </sheetData>
  <mergeCells count="2">
    <mergeCell ref="C3:E3"/>
    <mergeCell ref="D6:J6"/>
  </mergeCells>
  <pageMargins left="0.75" right="0.75" top="1" bottom="1" header="0.51181102362204689" footer="0.51181102362204689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Cowan</dc:creator>
  <dc:description/>
  <cp:lastModifiedBy>harsh thakkar</cp:lastModifiedBy>
  <cp:revision>33</cp:revision>
  <dcterms:created xsi:type="dcterms:W3CDTF">2014-04-20T08:25:13Z</dcterms:created>
  <dcterms:modified xsi:type="dcterms:W3CDTF">2024-12-24T20:04:29Z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