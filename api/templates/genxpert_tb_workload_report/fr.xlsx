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C9686B9B-B6A5-4642-AC00-A8ED20EEB1EC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Appareil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<sst xmlns="http://schemas.openxmlformats.org/spreadsheetml/2006/main" count="96" uniqueCount="95">
  <si>
    <t>Dates: &lt;Dates&gt;</t>
  </si>
  <si>
    <t>Notes</t>
  </si>
  <si>
    <t>&lt;StatesLabel&gt;: &lt;States&gt;</t>
  </si>
  <si>
    <t>&lt;LgasLabel&gt;: &lt;Lgas&gt;</t>
  </si>
  <si>
    <t>&lt;SitesLabel&gt;: &lt;Sites&gt;</t>
  </si>
  <si>
    <t>&lt;Table&gt;</t>
  </si>
  <si>
    <t>District</t>
  </si>
  <si>
    <t># MTB-</t>
  </si>
  <si>
    <t># MTB+</t>
  </si>
  <si>
    <t># MTB Error</t>
  </si>
  <si>
    <t># MTB Invalid</t>
  </si>
  <si>
    <t># INH</t>
  </si>
  <si>
    <t># FLQ</t>
  </si>
  <si>
    <t># AMK</t>
  </si>
  <si>
    <t># KAN</t>
  </si>
  <si>
    <t># CAP</t>
  </si>
  <si>
    <t># ETH</t>
  </si>
  <si>
    <t>GxConnect Version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</si>
  <si>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</si>
  <si>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</si>
  <si>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</si>
  <si>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</si>
  <si>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</si>
  <si>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</si>
  <si>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</si>
  <si>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</si>
  <si>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</si>
  <si>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</si>
  <si>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</si>
  <si>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</si>
  <si>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</si>
  <si>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</si>
  <si>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</si>
  <si>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</si>
  <si>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</si>
  <si>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</si>
  <si>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</si>
  <si>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</si>
  <si>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</si>
  <si>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</si>
  <si>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</si>
  <si>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</si>
  <si>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</si>
  <si>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</si>
  <si>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</si>
  <si>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</si>
  <si>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</si>
  <si>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</si>
  <si>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</si>
  <si>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</si>
  <si>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</si>
  <si>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</si>
  <si>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</si>
  <si>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</si>
  <si>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</si>
  <si>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</si>
  <si>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</si>
  <si>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</si>
  <si>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</si>
  <si>
    <t>Appareils GeneXpert</t>
  </si>
  <si>
    <t>Veuillez noter que ce rapport comprend les résultats MTB/Rif, MTB ULTRA et MTB XDR</t>
  </si>
  <si>
    <t>Références</t>
  </si>
  <si>
    <t># Jours d’interruption de service</t>
  </si>
  <si>
    <t>Compte le nombre de jours pendant lesquels un appareil a été signalé au moins une fois avec l’un des états d’inactivité (y compris les états Inconnu et Aucun test effectué)</t>
  </si>
  <si>
    <t>Appareil</t>
  </si>
  <si>
    <t>Nom du site</t>
  </si>
  <si>
    <t>État</t>
  </si>
  <si>
    <t>Feuilleton</t>
  </si>
  <si>
    <t>Série de l’instrument</t>
  </si>
  <si>
    <t>Statut</t>
  </si>
  <si>
    <t>Note de statut</t>
  </si>
  <si>
    <t># trace MTB détectée</t>
  </si>
  <si>
    <t># MTB  Aucun résultat</t>
  </si>
  <si>
    <t># Rif non détecté</t>
  </si>
  <si>
    <t># Rif détecté</t>
  </si>
  <si>
    <t># Rif Indéterminé</t>
  </si>
  <si>
    <t># Modules utilisés dans la plage de dates</t>
  </si>
  <si>
    <t>Dernier ping sur</t>
  </si>
  <si>
    <t>Taux d’erreur</t>
  </si>
  <si>
    <t>Taux d’erreur/invalide</t>
  </si>
  <si>
    <t>Dernier ping 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</si>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</sst>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0" fontId="5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30.66406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59</v>
      </c>
      <c r="C1" s="2"/>
      <c r="D1" s="2"/>
      <c r="E1" s="2"/>
      <c r="F1" s="2"/>
      <c r="G1" s="2"/>
      <c r="H1" s="2"/>
    </row>
    <row r="2" spans="1:44" x14ac:dyDescent="0.2">
      <c r="A2" t="s">
        <v>0</v>
      </c>
      <c r="C2" s="3" t="s">
        <v>1</v>
      </c>
    </row>
    <row r="3" spans="1:44" ht="17.75" customHeight="1" x14ac:dyDescent="0.2">
      <c r="A3" t="s">
        <v>2</v>
      </c>
      <c r="C3" s="11" t="s">
        <v>60</v>
      </c>
      <c r="D3" s="11"/>
      <c r="E3" s="11"/>
      <c r="F3" s="4"/>
      <c r="G3" s="4"/>
      <c r="H3" s="4"/>
    </row>
    <row r="4" spans="1:44" x14ac:dyDescent="0.2">
      <c r="A4" t="s">
        <v>3</v>
      </c>
    </row>
    <row r="5" spans="1:44" ht="17" x14ac:dyDescent="0.2">
      <c r="A5" s="5" t="s">
        <v>4</v>
      </c>
      <c r="C5" s="3" t="s">
        <v>61</v>
      </c>
    </row>
    <row r="6" spans="1:44" ht="50.5" customHeight="1" x14ac:dyDescent="0.2">
      <c r="C6" s="13" t="s">
        <v>62</v>
      </c>
      <c r="D6" s="12" t="s">
        <v>63</v>
      </c>
      <c r="E6" s="12"/>
      <c r="F6" s="12"/>
      <c r="G6" s="12"/>
      <c r="H6" s="12"/>
      <c r="I6" s="12"/>
      <c r="J6" s="12"/>
    </row>
    <row r="7" spans="1:44" ht="16.25" customHeight="1" x14ac:dyDescent="0.2">
      <c r="A7" s="6"/>
    </row>
    <row r="8" spans="1:44" x14ac:dyDescent="0.2">
      <c r="A8" s="7"/>
    </row>
    <row r="9" spans="1:44" ht="17" thickBot="1" x14ac:dyDescent="0.25">
      <c r="A9" t="s">
        <v>5</v>
      </c>
    </row>
    <row r="10" spans="1:44" s="8" customFormat="1" ht="52" thickBot="1" x14ac:dyDescent="0.25">
      <c r="A10" s="9" t="s">
        <v>64</v>
      </c>
      <c r="B10" s="9" t="s">
        <v>65</v>
      </c>
      <c r="C10" s="9" t="s">
        <v>66</v>
      </c>
      <c r="D10" s="9" t="s">
        <v>6</v>
      </c>
      <c r="E10" s="9" t="s">
        <v>67</v>
      </c>
      <c r="F10" s="9" t="s">
        <v>68</v>
      </c>
      <c r="G10" s="9" t="s">
        <v>69</v>
      </c>
      <c r="H10" s="9" t="s">
        <v>70</v>
      </c>
      <c r="I10" s="9" t="s">
        <v>7</v>
      </c>
      <c r="J10" s="9" t="s">
        <v>8</v>
      </c>
      <c r="K10" s="14" t="s">
        <v>71</v>
      </c>
      <c r="L10" s="14" t="s">
        <v>9</v>
      </c>
      <c r="M10" s="14" t="s">
        <v>10</v>
      </c>
      <c r="N10" s="14" t="s">
        <v>72</v>
      </c>
      <c r="O10" s="14" t="s">
        <v>73</v>
      </c>
      <c r="P10" s="15" t="s">
        <v>74</v>
      </c>
      <c r="Q10" s="14" t="s">
        <v>75</v>
      </c>
      <c r="R10" s="9" t="s">
        <v>11</v>
      </c>
      <c r="S10" s="9" t="s">
        <v>12</v>
      </c>
      <c r="T10" s="9" t="s">
        <v>13</v>
      </c>
      <c r="U10" s="9" t="s">
        <v>14</v>
      </c>
      <c r="V10" s="9" t="s">
        <v>15</v>
      </c>
      <c r="W10" s="9" t="s">
        <v>16</v>
      </c>
      <c r="X10" s="14" t="s">
        <v>76</v>
      </c>
      <c r="Y10" s="14" t="s">
        <v>62</v>
      </c>
      <c r="Z10" s="9" t="s">
        <v>77</v>
      </c>
      <c r="AA10" s="9" t="s">
        <v>80</v>
      </c>
      <c r="AB10" s="16" t="s">
        <v>78</v>
      </c>
      <c r="AC10" s="16" t="s">
        <v>79</v>
      </c>
      <c r="AD10" s="9" t="s">
        <v>81</v>
      </c>
      <c r="AE10" s="9" t="s">
        <v>82</v>
      </c>
      <c r="AF10" s="9" t="s">
        <v>83</v>
      </c>
      <c r="AG10" s="9" t="s">
        <v>84</v>
      </c>
      <c r="AH10" s="9" t="s">
        <v>85</v>
      </c>
      <c r="AI10" s="9" t="s">
        <v>86</v>
      </c>
      <c r="AJ10" s="9" t="s">
        <v>87</v>
      </c>
      <c r="AK10" s="9" t="s">
        <v>88</v>
      </c>
      <c r="AL10" s="9" t="s">
        <v>17</v>
      </c>
      <c r="AM10" s="9" t="s">
        <v>89</v>
      </c>
      <c r="AN10" s="9" t="s">
        <v>90</v>
      </c>
      <c r="AO10" s="9" t="s">
        <v>91</v>
      </c>
      <c r="AP10" s="9" t="s">
        <v>92</v>
      </c>
      <c r="AQ10" s="9" t="s">
        <v>93</v>
      </c>
      <c r="AR10" s="9" t="s">
        <v>94</v>
      </c>
    </row>
    <row r="11" spans="1:44" x14ac:dyDescent="0.2">
      <c r="A11" s="17" t="s">
        <v>18</v>
      </c>
      <c r="B11" s="17" t="s">
        <v>19</v>
      </c>
      <c r="C11" s="17" t="s">
        <v>20</v>
      </c>
      <c r="D11" s="17" t="s">
        <v>21</v>
      </c>
      <c r="E11" s="17" t="s">
        <v>22</v>
      </c>
      <c r="F11" s="17" t="s">
        <v>23</v>
      </c>
      <c r="G11" s="17" t="s">
        <v>24</v>
      </c>
      <c r="H11" s="17" t="s">
        <v>25</v>
      </c>
      <c r="I11" s="18" t="s">
        <v>26</v>
      </c>
      <c r="J11" s="18" t="s">
        <v>27</v>
      </c>
      <c r="K11" s="18" t="s">
        <v>28</v>
      </c>
      <c r="L11" s="18" t="s">
        <v>29</v>
      </c>
      <c r="M11" s="18" t="s">
        <v>30</v>
      </c>
      <c r="N11" s="18" t="s">
        <v>31</v>
      </c>
      <c r="O11" s="18" t="s">
        <v>32</v>
      </c>
      <c r="P11" s="18" t="s">
        <v>33</v>
      </c>
      <c r="Q11" s="18" t="s">
        <v>34</v>
      </c>
      <c r="R11" s="18" t="s">
        <v>35</v>
      </c>
      <c r="S11" s="18" t="s">
        <v>36</v>
      </c>
      <c r="T11" s="18" t="s">
        <v>37</v>
      </c>
      <c r="U11" s="18" t="s">
        <v>38</v>
      </c>
      <c r="V11" s="18" t="s">
        <v>39</v>
      </c>
      <c r="W11" s="18" t="s">
        <v>40</v>
      </c>
      <c r="X11" s="18" t="s">
        <v>41</v>
      </c>
      <c r="Y11" s="18" t="s">
        <v>42</v>
      </c>
      <c r="Z11" s="19" t="s">
        <v>43</v>
      </c>
      <c r="AA11" s="20" t="s">
        <v>44</v>
      </c>
      <c r="AB11" s="21" t="e">
        <f>IF(AG11=0,0,L11/AG11)</f>
        <v>#VALUE!</v>
      </c>
      <c r="AC11" s="22" t="e">
        <f>IF(AG11=0,0,(L11+M11)/AG11)</f>
        <v>#VALUE!</v>
      </c>
      <c r="AD11" s="22" t="e">
        <f>IF(AC11&gt;0.05,"High Rate of Errors/Invalids. Contact Lab.","")</f>
        <v>#VALUE!</v>
      </c>
      <c r="AE11" s="19" t="s">
        <v>45</v>
      </c>
      <c r="AF11" s="19" t="s">
        <v>46</v>
      </c>
      <c r="AG11" s="18" t="s">
        <v>47</v>
      </c>
      <c r="AH11" s="23" t="s">
        <v>48</v>
      </c>
      <c r="AI11" s="24" t="s">
        <v>49</v>
      </c>
      <c r="AJ11" s="24" t="s">
        <v>50</v>
      </c>
      <c r="AK11" s="24" t="s">
        <v>51</v>
      </c>
      <c r="AL11" s="24" t="s">
        <v>52</v>
      </c>
      <c r="AM11" s="24" t="s">
        <v>53</v>
      </c>
      <c r="AN11" s="24" t="s">
        <v>54</v>
      </c>
      <c r="AO11" s="23" t="s">
        <v>55</v>
      </c>
      <c r="AP11" s="25" t="s">
        <v>56</v>
      </c>
      <c r="AQ11" s="24" t="s">
        <v>57</v>
      </c>
      <c r="AR11" s="24" t="s">
        <v>58</v>
      </c>
    </row>
    <row r="14" spans="1:44" x14ac:dyDescent="0.2">
      <c r="B14" s="10"/>
      <c r="C14" s="10"/>
      <c r="D14" s="10"/>
      <c r="E14" s="10"/>
      <c r="F14" s="10"/>
      <c r="G14" s="10"/>
      <c r="H14" s="10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33</cp:revision>
  <dcterms:created xsi:type="dcterms:W3CDTF">2014-04-20T08:25:13Z</dcterms:created>
  <dcterms:modified xsi:type="dcterms:W3CDTF">2025-03-13T03:02:32Z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