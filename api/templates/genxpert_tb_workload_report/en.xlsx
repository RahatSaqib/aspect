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vices" sheetId="1" state="visible" r:id="rId1"/>
  </sheets>
  <calcPr iterateDelta="0.0001"/>
</workbook>
</file>

<file path=xl/sharedStrings.xml><?xml version="1.0" encoding="utf-8"?>
<sst xmlns="http://schemas.openxmlformats.org/spreadsheetml/2006/main" count="95" uniqueCount="95">
  <si>
    <t xml:space="preserve">GeneXpert Devices</t>
  </si>
  <si>
    <t xml:space="preserve">Dates: &lt;Dates&gt;</t>
  </si>
  <si>
    <t>Notes</t>
  </si>
  <si>
    <t xml:space="preserve">&lt;StatesLabel&gt;: &lt;States&gt;</t>
  </si>
  <si>
    <t xml:space="preserve">Please note that this report includes MTB/Rif, MTB ULTRA and MTB XDR results</t>
  </si>
  <si>
    <t xml:space="preserve">&lt;LgasLabel&gt;: &lt;Lgas&gt;</t>
  </si>
  <si>
    <t xml:space="preserve">&lt;SitesLabel&gt;: &lt;Sites&gt;</t>
  </si>
  <si>
    <t>References</t>
  </si>
  <si>
    <t xml:space="preserve"># Days of interrupted service</t>
  </si>
  <si>
    <t xml:space="preserve">Counts the number of days when a device was at least once reported with any of the inactivity statuses (including also the statuses Unknown and No Tests Performed)</t>
  </si>
  <si>
    <t>&lt;Table&gt;</t>
  </si>
  <si>
    <t>Device</t>
  </si>
  <si>
    <t xml:space="preserve">Site name</t>
  </si>
  <si>
    <t>State</t>
  </si>
  <si>
    <t>District</t>
  </si>
  <si>
    <t>Serial</t>
  </si>
  <si>
    <t xml:space="preserve">Instrument Serial</t>
  </si>
  <si>
    <t>Status</t>
  </si>
  <si>
    <t xml:space="preserve">Status Note</t>
  </si>
  <si>
    <t xml:space="preserve"># MTB-</t>
  </si>
  <si>
    <t xml:space="preserve"># MTB+</t>
  </si>
  <si>
    <t xml:space="preserve"># MTB Trace Detected</t>
  </si>
  <si>
    <t xml:space="preserve"># MTB Error</t>
  </si>
  <si>
    <t xml:space="preserve"># MTB Invalid</t>
  </si>
  <si>
    <t xml:space="preserve"># MTB No Result</t>
  </si>
  <si>
    <t xml:space="preserve"># Rif Not Detected</t>
  </si>
  <si>
    <t xml:space="preserve"># Rif Detected</t>
  </si>
  <si>
    <t xml:space="preserve"># Rif Indeterminate</t>
  </si>
  <si>
    <t xml:space="preserve"># INH</t>
  </si>
  <si>
    <t xml:space="preserve"># FLQ</t>
  </si>
  <si>
    <t xml:space="preserve"># AMK</t>
  </si>
  <si>
    <t xml:space="preserve"># KAN</t>
  </si>
  <si>
    <t xml:space="preserve"># CAP</t>
  </si>
  <si>
    <t xml:space="preserve"># ETH</t>
  </si>
  <si>
    <t xml:space="preserve"># Modules used in the date range</t>
  </si>
  <si>
    <t xml:space="preserve">Last Ping On</t>
  </si>
  <si>
    <t xml:space="preserve">Last Ping From</t>
  </si>
  <si>
    <t xml:space="preserve">Error rate</t>
  </si>
  <si>
    <t xml:space="preserve">Error/Invalid rate</t>
  </si>
  <si>
    <t>Comment</t>
  </si>
  <si>
    <t xml:space="preserve">Last Result Uploaded on</t>
  </si>
  <si>
    <t xml:space="preserve">Last Result Conducted on</t>
  </si>
  <si>
    <t xml:space="preserve"># Total Results</t>
  </si>
  <si>
    <t xml:space="preserve">Information Below as of</t>
  </si>
  <si>
    <t xml:space="preserve">Operating System</t>
  </si>
  <si>
    <t xml:space="preserve">Time Zone</t>
  </si>
  <si>
    <t xml:space="preserve">Language / Region</t>
  </si>
  <si>
    <t xml:space="preserve">GxConnect Version</t>
  </si>
  <si>
    <t xml:space="preserve">Device Found?</t>
  </si>
  <si>
    <t xml:space="preserve">LIS Configured Correctly?</t>
  </si>
  <si>
    <t xml:space="preserve">GeneXpert Installation Date</t>
  </si>
  <si>
    <t xml:space="preserve">Router Number</t>
  </si>
  <si>
    <t xml:space="preserve">SIM Card #1 Registration Number</t>
  </si>
  <si>
    <t xml:space="preserve">SIM Card #2 Registration Number</t>
  </si>
  <si>
    <t>&lt;name&gt;</t>
  </si>
  <si>
    <t>&lt;siteName&gt;</t>
  </si>
  <si>
    <t>&lt;stateName&gt;</t>
  </si>
  <si>
    <t>&lt;districtName&gt;</t>
  </si>
  <si>
    <t>&lt;serial&gt;</t>
  </si>
  <si>
    <t>&lt;lastInstrumentSerial&gt;</t>
  </si>
  <si>
    <t>&lt;maintenanceStatusName&gt;</t>
  </si>
  <si>
    <t>&lt;maintenanceStatusNotes&gt;</t>
  </si>
  <si>
    <t>&lt;totalMtbNegative&gt;</t>
  </si>
  <si>
    <t>&lt;totalMtbDetected&gt;</t>
  </si>
  <si>
    <t>&lt;totalMtbTraceDetected&gt;</t>
  </si>
  <si>
    <t>&lt;totalErrors&gt;</t>
  </si>
  <si>
    <t>&lt;mtbInvalid&gt;</t>
  </si>
  <si>
    <t>&lt;mtbNoResult&gt;</t>
  </si>
  <si>
    <t>&lt;totalMtbSens&gt;</t>
  </si>
  <si>
    <t>&lt;totalMtbRes&gt;</t>
  </si>
  <si>
    <t>&lt;totalMtbIndeterminate&gt;</t>
  </si>
  <si>
    <t>&lt;INH&gt;</t>
  </si>
  <si>
    <t>&lt;FLQ&gt;</t>
  </si>
  <si>
    <t>&lt;AMK&gt;</t>
  </si>
  <si>
    <t>&lt;KAN&gt;</t>
  </si>
  <si>
    <t>&lt;CAP&gt;</t>
  </si>
  <si>
    <t>&lt;ETH&gt;</t>
  </si>
  <si>
    <t>&lt;totalXpertModulesInUse&gt;</t>
  </si>
  <si>
    <t>&lt;totalInterruptedDays&gt;</t>
  </si>
  <si>
    <t>&lt;lastPingOn&gt;</t>
  </si>
  <si>
    <t>&lt;lastPingFromIp&gt;</t>
  </si>
  <si>
    <t>&lt;lastResultUploadedOn&gt;</t>
  </si>
  <si>
    <t>&lt;lastResultConductedOn&gt;</t>
  </si>
  <si>
    <t>&lt;totalXpertResults&gt;</t>
  </si>
  <si>
    <t>&lt;informationDate&gt;</t>
  </si>
  <si>
    <t>&lt;computerOsVersion&gt;</t>
  </si>
  <si>
    <t>&lt;timezone&gt;</t>
  </si>
  <si>
    <t>&lt;language&gt;</t>
  </si>
  <si>
    <t>&lt;connectorVersion&gt;</t>
  </si>
  <si>
    <t>&lt;deviceFound&gt;</t>
  </si>
  <si>
    <t>&lt;lisConfiguredCorrectly&gt;</t>
  </si>
  <si>
    <t>&lt;instalationDate&gt;</t>
  </si>
  <si>
    <t>&lt;routerNumber&gt;</t>
  </si>
  <si>
    <t>&lt;sim1SerialNumber&gt;</t>
  </si>
  <si>
    <t>&lt;sim2SerialNumber&gt;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</si>
</sst>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yyyy\-mm\-dd\ hh:mm"/>
    <numFmt numFmtId="161" formatCode="[$-409]mmmm\ d\,\ yyyy;@"/>
  </numFmts>
  <fonts count="7">
    <font>
      <sz val="12.000000"/>
      <color indexed="64"/>
      <name val="Calibri"/>
    </font>
    <font>
      <b/>
      <sz val="16.000000"/>
      <color indexed="64"/>
      <name val="Calibri"/>
    </font>
    <font>
      <u/>
      <sz val="12.000000"/>
      <color indexed="64"/>
      <name val="Calibri"/>
    </font>
    <font>
      <i/>
      <sz val="12.000000"/>
      <color indexed="64"/>
      <name val="Calibri"/>
    </font>
    <font>
      <b/>
      <sz val="12.000000"/>
      <color indexed="64"/>
      <name val="Calibri"/>
    </font>
    <font>
      <b/>
      <sz val="12.000000"/>
      <name val="Calibri"/>
    </font>
    <font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0" fillId="0" borderId="0" numFmtId="10" xfId="0" applyNumberFormat="1"/>
    <xf fontId="1" fillId="0" borderId="0" numFmtId="0" xfId="0" applyFont="1"/>
    <xf fontId="1" fillId="0" borderId="0" numFmtId="0" xfId="0" applyFont="1"/>
    <xf fontId="2" fillId="0" borderId="0" numFmtId="0" xfId="0" applyFont="1"/>
    <xf fontId="3" fillId="0" borderId="0" numFmtId="0" xfId="0" applyFont="1" applyAlignment="1">
      <alignment horizontal="left" wrapText="1"/>
    </xf>
    <xf fontId="3" fillId="0" borderId="0" numFmtId="0" xfId="0" applyFont="1" applyAlignment="1">
      <alignment horizontal="left" wrapText="1"/>
    </xf>
    <xf fontId="0" fillId="0" borderId="0" numFmtId="0" xfId="0" applyAlignment="1">
      <alignment wrapText="1"/>
    </xf>
    <xf fontId="0" fillId="0" borderId="0" numFmtId="0" xfId="0" applyAlignment="1">
      <alignment vertical="top"/>
    </xf>
    <xf fontId="0" fillId="0" borderId="0" numFmtId="0" xfId="0" applyAlignment="1">
      <alignment horizontal="left" vertical="top" wrapText="1"/>
    </xf>
    <xf fontId="3" fillId="0" borderId="0" numFmtId="0" xfId="0" applyFont="1" applyAlignment="1">
      <alignment wrapText="1"/>
    </xf>
    <xf fontId="3" fillId="0" borderId="0" numFmtId="0" xfId="0" applyFont="1"/>
    <xf fontId="4" fillId="0" borderId="0" numFmtId="0" xfId="0" applyFont="1" applyAlignment="1">
      <alignment horizontal="center" vertical="center"/>
    </xf>
    <xf fontId="5" fillId="2" borderId="1" numFmtId="160" xfId="0" applyNumberFormat="1" applyFont="1" applyFill="1" applyBorder="1"/>
    <xf fontId="5" fillId="2" borderId="1" numFmtId="160" xfId="0" applyNumberFormat="1" applyFont="1" applyFill="1" applyBorder="1" applyAlignment="1">
      <alignment wrapText="1"/>
    </xf>
    <xf fontId="5" fillId="2" borderId="1" numFmtId="0" xfId="0" applyFont="1" applyFill="1" applyBorder="1" applyAlignment="1">
      <alignment wrapText="1"/>
    </xf>
    <xf fontId="5" fillId="2" borderId="2" numFmtId="160" xfId="0" applyNumberFormat="1" applyFont="1" applyFill="1" applyBorder="1"/>
    <xf fontId="5" fillId="2" borderId="1" numFmtId="10" xfId="0" applyNumberFormat="1" applyFont="1" applyFill="1" applyBorder="1"/>
    <xf fontId="5" fillId="2" borderId="3" numFmtId="160" xfId="0" applyNumberFormat="1" applyFont="1" applyFill="1" applyBorder="1"/>
    <xf fontId="0" fillId="0" borderId="4" numFmtId="0" xfId="0" applyBorder="1"/>
    <xf fontId="0" fillId="0" borderId="4" numFmtId="0" xfId="0" applyBorder="1"/>
    <xf fontId="0" fillId="0" borderId="0" numFmtId="0" xfId="0" applyAlignment="1">
      <alignment horizontal="center"/>
    </xf>
    <xf fontId="0" fillId="0" borderId="0" numFmtId="10" xfId="0" applyNumberFormat="1" applyAlignment="1">
      <alignment horizontal="center"/>
    </xf>
    <xf fontId="0" fillId="0" borderId="4" numFmtId="10" xfId="0" applyNumberFormat="1" applyBorder="1"/>
    <xf fontId="6" fillId="0" borderId="4" numFmtId="161" xfId="0" applyNumberFormat="1" applyFont="1" applyBorder="1" applyAlignment="1">
      <alignment horizontal="center"/>
    </xf>
    <xf fontId="6" fillId="0" borderId="4" numFmtId="0" xfId="0" applyFont="1" applyBorder="1" applyAlignment="1">
      <alignment horizontal="center"/>
    </xf>
    <xf fontId="4" fillId="0" borderId="0" numFmtId="0" xfId="0" applyFont="1"/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I1" zoomScale="100" workbookViewId="0">
      <selection activeCell="A11" activeCellId="0" sqref="A11"/>
    </sheetView>
  </sheetViews>
  <sheetFormatPr defaultColWidth="11.296875" defaultRowHeight="16.5"/>
  <cols>
    <col customWidth="1" min="1" max="1" width="27.19921875"/>
    <col customWidth="1" min="2" max="2" width="30.59765625"/>
    <col customWidth="1" min="3" max="3" width="35.3984375"/>
    <col customWidth="1" min="4" max="4" width="33.5"/>
    <col customWidth="1" min="5" max="8" width="15.296875"/>
    <col customWidth="1" min="9" max="11" width="11.59765625"/>
    <col customWidth="1" min="12" max="13" width="15.59765625"/>
    <col customWidth="1" min="14" max="14" width="13.59765625"/>
    <col customWidth="1" min="15" max="16" width="11.59765625"/>
    <col customWidth="1" min="17" max="24" width="15.59765625"/>
    <col customWidth="1" min="25" max="27" width="20.59765625"/>
    <col customWidth="1" min="28" max="28" style="1" width="20.59765625"/>
    <col customWidth="1" min="29" max="29" style="1" width="20.19921875"/>
    <col customWidth="1" min="30" max="30" width="33.296875"/>
    <col customWidth="1" min="31" max="32" width="25.69921875"/>
    <col customWidth="1" min="33" max="33" width="20.59765625"/>
    <col bestFit="1" min="34" max="34" width="21.125"/>
    <col bestFit="1" min="35" max="35" width="19.00390625"/>
    <col bestFit="1" min="36" max="36" width="20.25390625"/>
    <col bestFit="1" min="37" max="37" width="16.75390625"/>
    <col bestFit="1" min="38" max="38" width="16.625"/>
    <col bestFit="1" min="39" max="39" width="18.125"/>
    <col bestFit="1" min="40" max="40" width="22.00390625"/>
    <col bestFit="1" min="41" max="41" width="24.375"/>
    <col bestFit="1" min="42" max="42" width="14.75390625"/>
    <col bestFit="1" min="43" max="44" width="29.125"/>
  </cols>
  <sheetData>
    <row r="1" ht="21">
      <c r="A1" s="2" t="s">
        <v>0</v>
      </c>
      <c r="C1" s="2"/>
      <c r="D1" s="2"/>
      <c r="E1" s="2"/>
      <c r="F1" s="3"/>
      <c r="G1" s="3"/>
      <c r="H1" s="3"/>
    </row>
    <row r="2">
      <c r="A2" t="s">
        <v>1</v>
      </c>
      <c r="C2" s="4" t="s">
        <v>2</v>
      </c>
    </row>
    <row r="3" ht="17.850000000000001" customHeight="1">
      <c r="A3" t="s">
        <v>3</v>
      </c>
      <c r="C3" s="5" t="s">
        <v>4</v>
      </c>
      <c r="D3" s="5"/>
      <c r="E3" s="5"/>
      <c r="F3" s="6"/>
      <c r="G3" s="6"/>
      <c r="H3" s="6"/>
    </row>
    <row r="4">
      <c r="A4" t="s">
        <v>5</v>
      </c>
    </row>
    <row r="5">
      <c r="A5" s="7" t="s">
        <v>6</v>
      </c>
      <c r="C5" s="4" t="s">
        <v>7</v>
      </c>
    </row>
    <row r="6" ht="50.399999999999999" customHeight="1">
      <c r="C6" s="8" t="s">
        <v>8</v>
      </c>
      <c r="D6" s="9" t="s">
        <v>9</v>
      </c>
      <c r="E6" s="9"/>
      <c r="F6" s="9"/>
      <c r="G6" s="9"/>
      <c r="H6" s="9"/>
      <c r="I6" s="9"/>
      <c r="J6" s="9"/>
    </row>
    <row r="7" ht="16.350000000000001" customHeight="1">
      <c r="A7" s="10"/>
    </row>
    <row r="8">
      <c r="A8" s="11"/>
    </row>
    <row r="9">
      <c r="A9" t="s">
        <v>10</v>
      </c>
    </row>
    <row r="10" s="12" customFormat="1" ht="33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4" t="s">
        <v>25</v>
      </c>
      <c r="P10" s="15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4" t="s">
        <v>34</v>
      </c>
      <c r="Y10" s="14" t="s">
        <v>8</v>
      </c>
      <c r="Z10" s="13" t="s">
        <v>35</v>
      </c>
      <c r="AA10" s="16" t="s">
        <v>36</v>
      </c>
      <c r="AB10" s="17" t="s">
        <v>37</v>
      </c>
      <c r="AC10" s="17" t="s">
        <v>38</v>
      </c>
      <c r="AD10" s="13" t="s">
        <v>39</v>
      </c>
      <c r="AE10" s="13" t="s">
        <v>40</v>
      </c>
      <c r="AF10" s="13" t="s">
        <v>41</v>
      </c>
      <c r="AG10" s="18" t="s">
        <v>42</v>
      </c>
      <c r="AH10" s="18" t="s">
        <v>43</v>
      </c>
      <c r="AI10" s="18" t="s">
        <v>44</v>
      </c>
      <c r="AJ10" s="18" t="s">
        <v>45</v>
      </c>
      <c r="AK10" s="18" t="s">
        <v>46</v>
      </c>
      <c r="AL10" s="18" t="s">
        <v>47</v>
      </c>
      <c r="AM10" s="18" t="s">
        <v>48</v>
      </c>
      <c r="AN10" s="18" t="s">
        <v>49</v>
      </c>
      <c r="AO10" s="18" t="s">
        <v>50</v>
      </c>
      <c r="AP10" s="18" t="s">
        <v>51</v>
      </c>
      <c r="AQ10" s="18" t="s">
        <v>52</v>
      </c>
      <c r="AR10" s="18" t="s">
        <v>53</v>
      </c>
      <c r="AS10" s="12"/>
      <c r="AT10" s="12"/>
      <c r="AU10" s="12"/>
      <c r="AV10" s="12"/>
    </row>
    <row r="11">
      <c r="A11" s="19" t="s">
        <v>54</v>
      </c>
      <c r="B11" s="19" t="s">
        <v>55</v>
      </c>
      <c r="C11" s="19" t="s">
        <v>56</v>
      </c>
      <c r="D11" s="19" t="s">
        <v>57</v>
      </c>
      <c r="E11" s="19" t="s">
        <v>58</v>
      </c>
      <c r="F11" s="20" t="s">
        <v>59</v>
      </c>
      <c r="G11" s="20" t="s">
        <v>60</v>
      </c>
      <c r="H11" s="20" t="s">
        <v>61</v>
      </c>
      <c r="I11" s="19" t="s">
        <v>62</v>
      </c>
      <c r="J11" s="19" t="s">
        <v>63</v>
      </c>
      <c r="K11" s="19" t="s">
        <v>64</v>
      </c>
      <c r="L11" s="21" t="s">
        <v>65</v>
      </c>
      <c r="M11" s="21" t="s">
        <v>66</v>
      </c>
      <c r="N11" s="21" t="s">
        <v>67</v>
      </c>
      <c r="O11" s="19" t="s">
        <v>68</v>
      </c>
      <c r="P11" s="19" t="s">
        <v>69</v>
      </c>
      <c r="Q11" s="19" t="s">
        <v>70</v>
      </c>
      <c r="R11" s="21" t="s">
        <v>71</v>
      </c>
      <c r="S11" s="21" t="s">
        <v>72</v>
      </c>
      <c r="T11" s="21" t="s">
        <v>73</v>
      </c>
      <c r="U11" s="21" t="s">
        <v>74</v>
      </c>
      <c r="V11" s="21" t="s">
        <v>75</v>
      </c>
      <c r="W11" s="21" t="s">
        <v>76</v>
      </c>
      <c r="X11" s="19" t="s">
        <v>77</v>
      </c>
      <c r="Y11" s="19" t="s">
        <v>78</v>
      </c>
      <c r="Z11" s="20" t="s">
        <v>79</v>
      </c>
      <c r="AA11" s="20" t="s">
        <v>80</v>
      </c>
      <c r="AB11" s="22" t="e">
        <f>IF(AG11=0,0,L11/AG11)</f>
        <v>#VALUE!</v>
      </c>
      <c r="AC11" s="23" t="e">
        <f>IF(AG11=0,0,(L11+M11)/AG11)</f>
        <v>#VALUE!</v>
      </c>
      <c r="AD11" s="23" t="e">
        <f>IF(AC11&gt;0.05,"High Rate of Errors/Invalids. Contact Lab.","")</f>
        <v>#VALUE!</v>
      </c>
      <c r="AE11" s="23" t="s">
        <v>81</v>
      </c>
      <c r="AF11" s="23" t="s">
        <v>82</v>
      </c>
      <c r="AG11" s="19" t="s">
        <v>83</v>
      </c>
      <c r="AH11" s="24" t="s">
        <v>84</v>
      </c>
      <c r="AI11" s="25" t="s">
        <v>85</v>
      </c>
      <c r="AJ11" s="25" t="s">
        <v>86</v>
      </c>
      <c r="AK11" s="25" t="s">
        <v>87</v>
      </c>
      <c r="AL11" s="25" t="s">
        <v>88</v>
      </c>
      <c r="AM11" s="25" t="s">
        <v>89</v>
      </c>
      <c r="AN11" s="25" t="s">
        <v>90</v>
      </c>
      <c r="AO11" s="24" t="s">
        <v>91</v>
      </c>
      <c r="AP11" s="25" t="s">
        <v>92</v>
      </c>
      <c r="AQ11" s="25" t="s">
        <v>93</v>
      </c>
      <c r="AR11" s="25" t="s">
        <v>94</v>
      </c>
    </row>
    <row r="14">
      <c r="B14" s="26"/>
      <c r="C14" s="26"/>
      <c r="D14" s="26"/>
      <c r="E14" s="26"/>
      <c r="F14" s="27"/>
      <c r="G14" s="27"/>
      <c r="H14" s="27"/>
    </row>
  </sheetData>
  <mergeCells count="2">
    <mergeCell ref="C3:E3"/>
    <mergeCell ref="D6:J6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dc:language>en-US</dc:language>
  <cp:revision>33</cp:revision>
  <dcterms:created xsi:type="dcterms:W3CDTF">2014-04-20T08:25:13Z</dcterms:created>
  <dcterms:modified xsi:type="dcterms:W3CDTF">2024-02-27T20:18:04Z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