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results_ntp_use/"/>
    </mc:Choice>
  </mc:AlternateContent>
  <xr:revisionPtr revIDLastSave="0" documentId="13_ncr:1_{615BDEEB-68BC-EB49-AC9A-EA92690AD30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13" i="1" l="1"/>
  <c r="BJ14" i="1" l="1"/>
  <c r="BJ13" i="1"/>
  <c r="G13" i="1"/>
  <c r="AK13" i="1" s="1"/>
  <c r="AJ13" i="1"/>
  <c r="G15" i="1"/>
  <c r="EQ13" i="1"/>
  <c r="AJ15" i="1"/>
  <c r="AJ14" i="1"/>
  <c r="AE15" i="1"/>
  <c r="AQ13" i="1" s="1"/>
  <c r="AE14" i="1"/>
  <c r="AF14" i="1" s="1"/>
  <c r="AE13" i="1"/>
  <c r="AF13" i="1" s="1"/>
  <c r="AL13" i="1" s="1"/>
  <c r="G14" i="1"/>
  <c r="CR13" i="1"/>
  <c r="EK13" i="1"/>
  <c r="DU15" i="1"/>
  <c r="DP15" i="1"/>
  <c r="DQ15" i="1" s="1"/>
  <c r="DU13" i="1"/>
  <c r="CR15" i="1"/>
  <c r="CR14" i="1"/>
  <c r="DP13" i="1"/>
  <c r="DU14" i="1"/>
  <c r="DQ13" i="1"/>
  <c r="DW13" i="1" s="1"/>
  <c r="DP14" i="1"/>
  <c r="DQ14" i="1" s="1"/>
  <c r="AZ13" i="1"/>
  <c r="AO13" i="1" l="1"/>
  <c r="DV13" i="1"/>
  <c r="EH13" i="1"/>
  <c r="EC13" i="1"/>
  <c r="EM13" i="1" s="1"/>
  <c r="DX13" i="1"/>
  <c r="EG13" i="1"/>
  <c r="EE13" i="1"/>
  <c r="EJ13" i="1"/>
  <c r="EB13" i="1"/>
  <c r="EL13" i="1" s="1"/>
  <c r="ED13" i="1"/>
  <c r="EN13" i="1" s="1"/>
  <c r="DY13" i="1"/>
  <c r="EI13" i="1" s="1"/>
  <c r="AR13" i="1"/>
  <c r="AF15" i="1"/>
  <c r="AW13" i="1"/>
  <c r="AN13" i="1"/>
  <c r="AM13" i="1" l="1"/>
  <c r="AV13" i="1"/>
  <c r="BA13" i="1" s="1"/>
  <c r="AT13" i="1"/>
  <c r="AY13" i="1" s="1"/>
  <c r="AS13" i="1"/>
  <c r="AX13" i="1" s="1"/>
  <c r="BB13" i="1"/>
</calcChain>
</file>

<file path=xl/sharedStrings.xml><?xml version="1.0" encoding="utf-8"?>
<sst xmlns="http://schemas.openxmlformats.org/spreadsheetml/2006/main" count="393" uniqueCount="285">
  <si>
    <t>Date Range: &lt;Dates&gt;</t>
  </si>
  <si>
    <t>&lt;StatesLabel&gt;: &lt;States&gt;</t>
  </si>
  <si>
    <t>&lt;LgasLabel&gt;: &lt;Lgas&gt;</t>
  </si>
  <si>
    <t>&lt;SitesLabel&gt;: &lt;Sites&gt;</t>
  </si>
  <si>
    <t>MTB</t>
  </si>
  <si>
    <t>&lt;Table&gt;</t>
  </si>
  <si>
    <t>Division</t>
  </si>
  <si>
    <t>District / Area</t>
  </si>
  <si>
    <t>Name of GeneXpert/Truenat Site</t>
  </si>
  <si>
    <t>Presumptive DS TB Cases</t>
  </si>
  <si>
    <t>Presumptive DR TB Cases</t>
  </si>
  <si>
    <t>Presumptive Smear Negative TB Cases</t>
  </si>
  <si>
    <t>Total Presumptive TB Cases Tested</t>
  </si>
  <si>
    <t>Total Presumptive DR-TB Cases Tested</t>
  </si>
  <si>
    <t>Total Presumptive Tested</t>
  </si>
  <si>
    <t>Number of MTB detected-DS TB</t>
  </si>
  <si>
    <t>Number of MTB not detected (N)- DS TB</t>
  </si>
  <si>
    <t>Number of MTB detected-DR TB</t>
  </si>
  <si>
    <t>Number of MTB not detected (N)- DR TB</t>
  </si>
  <si>
    <t>Number of MTB detected-Total</t>
  </si>
  <si>
    <t>Number of MTB not detected -Total</t>
  </si>
  <si>
    <t>Type Of Cartridge</t>
  </si>
  <si>
    <t>Presumptive  TB</t>
  </si>
  <si>
    <t>Presumptive DR-TB</t>
  </si>
  <si>
    <t>Total</t>
  </si>
  <si>
    <t xml:space="preserve"> Number of invalid / no result / error: </t>
  </si>
  <si>
    <t>Number of Xpert XDR Assay</t>
  </si>
  <si>
    <t>Number Of Xpert XDR Assay From  Sputum &amp; EP 10A</t>
  </si>
  <si>
    <t>Unknown History</t>
  </si>
  <si>
    <t>New</t>
  </si>
  <si>
    <t xml:space="preserve">Total
</t>
  </si>
  <si>
    <t>Failures of CAT I (remain positive at month 5 or later/ Smear negative patients become smear positive at month 2)</t>
  </si>
  <si>
    <t>Failures of CAT II (remain positive at month 5 or 8)</t>
  </si>
  <si>
    <t>Non converters of CAT I (remain positive at month 2)</t>
  </si>
  <si>
    <t>Non converters of CAT II (remain positive at month 3)</t>
  </si>
  <si>
    <t>Relapses (CAT I)</t>
  </si>
  <si>
    <t>Relapses (CAT II)</t>
  </si>
  <si>
    <t>Treatment after loss to follow up (CAT I)</t>
  </si>
  <si>
    <t>Treatment after loss to follow up (CAT II)</t>
  </si>
  <si>
    <t>Close contacts of DR TB patient with symptoms</t>
  </si>
  <si>
    <t>HIV infected person with TB S/S</t>
  </si>
  <si>
    <t>Others (Pulmonary clinically diagnosed)</t>
  </si>
  <si>
    <t>Others (Extra Pulmonary)</t>
  </si>
  <si>
    <t>Others (Pulmonary bacteriologically confirmed)</t>
  </si>
  <si>
    <t>Others (Total)</t>
  </si>
  <si>
    <t>Previously Treated</t>
  </si>
  <si>
    <t>Rif Resistance not detected (T)</t>
  </si>
  <si>
    <t>Rif Resistance detected (RR)</t>
  </si>
  <si>
    <t>Rif Resistance indeterminate (TI)</t>
  </si>
  <si>
    <t xml:space="preserve"> Number of MTB Trace detected (TT):</t>
  </si>
  <si>
    <t>Eligible for XDR Testing</t>
  </si>
  <si>
    <t>Tested from Eligible</t>
  </si>
  <si>
    <t>No. of Total Tests</t>
  </si>
  <si>
    <t>Unknown history</t>
  </si>
  <si>
    <t>Prev. treated</t>
  </si>
  <si>
    <t>Invalid</t>
  </si>
  <si>
    <t>No Result</t>
  </si>
  <si>
    <t>Error</t>
  </si>
  <si>
    <t>Male</t>
  </si>
  <si>
    <t>Female</t>
  </si>
  <si>
    <t>&lt;siteName&gt;</t>
  </si>
  <si>
    <t>Tested by Xpert MTB/RIF</t>
  </si>
  <si>
    <t>MTB detected</t>
  </si>
  <si>
    <t>XDR</t>
  </si>
  <si>
    <t>RR TB detected</t>
  </si>
  <si>
    <t>&lt;stateName&gt;</t>
  </si>
  <si>
    <t>&lt;cnt_TypeOfPatient_Presumptive_TB_Cases_UnknownHistory_all&gt;</t>
  </si>
  <si>
    <t>&lt;cnt_TypeOfPatient_Presumptive_TB_Cases_UnknownHistory_Mtb&gt;</t>
  </si>
  <si>
    <t>&lt;cnt_TypeOfPatient_Presumptive_TB_Cases_UnknownHistory_MtbRif&gt;</t>
  </si>
  <si>
    <t>&lt;cnt_TypeOfPatient_Presumptive_TB_Cases_New_all&gt;</t>
  </si>
  <si>
    <t>&lt;cnt_TypeOfPatient_Presumptive_TB_Cases_New_Mtb&gt;</t>
  </si>
  <si>
    <t>&lt;cnt_TypeOfPatient_Presumptive_TB_Cases_New_MtbRif&gt;</t>
  </si>
  <si>
    <t>&lt;cnt_TypeOfPatient_Column_3_all&gt;</t>
  </si>
  <si>
    <t>&lt;cnt_TypeOfPatient_Column_3_Mtb&gt;</t>
  </si>
  <si>
    <t>&lt;cnt_TypeOfPatient_Column_3_MtbRif&gt;</t>
  </si>
  <si>
    <t>&lt;cnt_TypeOfPatient_Column_4_all&gt;</t>
  </si>
  <si>
    <t>&lt;cnt_TypeOfPatient_Column_4_Mtb&gt;</t>
  </si>
  <si>
    <t>&lt;cnt_TypeOfPatient_Column_4_MtbRif&gt;</t>
  </si>
  <si>
    <t>&lt;cnt_TypeOfPatient_Column_5_all&gt;</t>
  </si>
  <si>
    <t>&lt;cnt_TypeOfPatient_Column_5_MtbRif&gt;</t>
  </si>
  <si>
    <t>&lt;cnt_TypeOfPatient_Column_6_all&gt;</t>
  </si>
  <si>
    <t>&lt;cnt_TypeOfPatient_Column_6_Mtb&gt;</t>
  </si>
  <si>
    <t>&lt;cnt_TypeOfPatient_Column_6_MtbRif&gt;</t>
  </si>
  <si>
    <t>&lt;cnt_TypeOfPatient_Column_7_all&gt;</t>
  </si>
  <si>
    <t>&lt;cnt_TypeOfPatient_Column_7_Mtb&gt;</t>
  </si>
  <si>
    <t>&lt;cnt_TypeOfPatient_Column_7_MtbRif&gt;</t>
  </si>
  <si>
    <t>&lt;cnt_TypeOfPatient_Column_8_all&gt;</t>
  </si>
  <si>
    <t>&lt;cnt_TypeOfPatient_Column_8_Mtb&gt;</t>
  </si>
  <si>
    <t>&lt;cnt_TypeOfPatient_Column_8_MtbRif&gt;</t>
  </si>
  <si>
    <t>&lt;cnt_TypeOfPatient_Column_9_all&gt;</t>
  </si>
  <si>
    <t>&lt;cnt_TypeOfPatient_Column_9_Mtb&gt;</t>
  </si>
  <si>
    <t>&lt;cnt_TypeOfPatient_Column_9_MtbRif&gt;</t>
  </si>
  <si>
    <t>&lt;cnt_TypeOfPatient_Column_10_all&gt;</t>
  </si>
  <si>
    <t>&lt;cnt_TypeOfPatient_Column_10_Mtb&gt;</t>
  </si>
  <si>
    <t>&lt;cnt_TypeOfPatient_Column_10_MtbRif&gt;</t>
  </si>
  <si>
    <t>&lt;cnt_TypeOfPatient_Column_11_all_UnknownHistory&gt;</t>
  </si>
  <si>
    <t>&lt;cnt_TypeOfPatient_Column_11_all_New&gt;</t>
  </si>
  <si>
    <t>&lt;cnt_TypeOfPatient_Column_11_all_PrevTreated&gt;</t>
  </si>
  <si>
    <t>&lt;cnt_TypeOfPatient_Column_11_Mtb_UnknownHistory&gt;</t>
  </si>
  <si>
    <t>&lt;cnt_TypeOfPatient_Column_11_Mtb_New&gt;</t>
  </si>
  <si>
    <t>&lt;cnt_TypeOfPatient_Column_11_MtbRif_New&gt;</t>
  </si>
  <si>
    <t>&lt;cnt_TypeOfPatient_Column_11_Mtb_PrevTreated&gt;</t>
  </si>
  <si>
    <t>&lt;cnt_TypeOfPatient_Column_11_MtbRif_PrevTreated&gt;</t>
  </si>
  <si>
    <t>&lt;cnt_TypeOfPatient_Column_12_all_UnknownHistory&gt;</t>
  </si>
  <si>
    <t>&lt;cnt_TypeOfPatient_Column_12_Mtb_UnknownHistory&gt;</t>
  </si>
  <si>
    <t>&lt;cnt_TypeOfPatient_Column_12_MtbRif_UnknownHistory&gt;</t>
  </si>
  <si>
    <t>&lt;cnt_TypeOfPatient_Column_12_all_New&gt;</t>
  </si>
  <si>
    <t>&lt;cnt_TypeOfPatient_Column_12_Mtb_New&gt;</t>
  </si>
  <si>
    <t>&lt;cnt_TypeOfPatient_Column_12_MtbRif_New&gt;</t>
  </si>
  <si>
    <t>&lt;cnt_TypeOfPatient_Column_12_all_PrevTreated&gt;</t>
  </si>
  <si>
    <t>&lt;cnt_TypeOfPatient_Column_12_Mtb_PrevTreated&gt;</t>
  </si>
  <si>
    <t>&lt;cnt_TypeOfPatient_Column_12_MtbRif_PrevTreated&gt;</t>
  </si>
  <si>
    <t>&lt;cnt_TypeOfPatient_OtherPulmClinDiag_UnknownHistory_all&gt;</t>
  </si>
  <si>
    <t>&lt;cnt_TypeOfPatient_OtherPulmClinDiag_UnknownHistory_Mtb&gt;</t>
  </si>
  <si>
    <t>&lt;cnt_TypeOfPatient_OtherPulmClinDiag_UnknownHistory_MtbRif&gt;</t>
  </si>
  <si>
    <t>&lt;cnt_TypeOfPatient_OtherPulmClinDiag_New_Mtb&gt;</t>
  </si>
  <si>
    <t>&lt;cnt_TypeOfPatient_OtherPulmClinDiag_New_MtbRif&gt;</t>
  </si>
  <si>
    <t>&lt;cnt_TypeOfPatient_OtherPulmClinDiag_Treated_all&gt;</t>
  </si>
  <si>
    <t>&lt;cnt_TypeOfPatient_OtherPulmClinDiag_Treated_Mtb&gt;</t>
  </si>
  <si>
    <t>&lt;cnt_TypeOfPatient_OtherPulmClinDiag_Treated_MtbRif&gt;</t>
  </si>
  <si>
    <t>&lt;cnt_TypeOfPatient_OtherExtraPulm_UnknownHistory_all&gt;</t>
  </si>
  <si>
    <t>&lt;cnt_TypeOfPatient_OtherExtraPulm_UnknownHistory_Mtb&gt;</t>
  </si>
  <si>
    <t>&lt;cnt_TypeOfPatient_OtherExtraPulm_UnknownHistory_MtbRif&gt;</t>
  </si>
  <si>
    <t>&lt;cnt_TypeOfPatient_OtherExtraPulm_New_all&gt;</t>
  </si>
  <si>
    <t>&lt;cnt_TypeOfPatient_OtherExtraPulm_New_Mtb&gt;</t>
  </si>
  <si>
    <t>&lt;cnt_TypeOfPatient_OtherExtraPulm_New_MtbRif&gt;</t>
  </si>
  <si>
    <t>&lt;cnt_TypeOfPatient_OtherExtraPulm_Treated_all&gt;</t>
  </si>
  <si>
    <t>&lt;cnt_TypeOfPatient_OtherExtraPulm_Treated_Mtb&gt;</t>
  </si>
  <si>
    <t>&lt;cnt_TypeOfPatient_OtherExtraPulm_Treated_MtbRif&gt;</t>
  </si>
  <si>
    <t>&lt;cnt_TypeOfPatient_OtherPulmBactConf_UnknownHistory_all&gt;</t>
  </si>
  <si>
    <t>&lt;cnt_TypeOfPatient_OtherPulmBactConf_UnknownHistory_Mtb&gt;</t>
  </si>
  <si>
    <t>&lt;cnt_TypeOfPatient_OtherPulmBactConf_UnknownHistory_MtbRif&gt;</t>
  </si>
  <si>
    <t>&lt;cnt_TypeOfPatient_OtherPulmBactConf_New_all&gt;</t>
  </si>
  <si>
    <t>&lt;cnt_TypeOfPatient_OtherPulmBactConf_New_Mtb&gt;</t>
  </si>
  <si>
    <t>&lt;cnt_TypeOfPatient_OtherPulmBactConf_New_MtbRif&gt;</t>
  </si>
  <si>
    <t>&lt;cnt_TypeOfPatient_Pres_SmearNeg_TB_Cases_UnknownHistory_all&gt;</t>
  </si>
  <si>
    <t>&lt;cnt_TypeOfPatient_Pres_SmearNeg_TB_Cases_UnknownHistory_Mtb&gt;</t>
  </si>
  <si>
    <t>&lt;cnt_TypeOfPatient_Pres_SmearNeg_TB_Cases_UnknownHistory_MtbRif&gt;</t>
  </si>
  <si>
    <t>&lt;cnt_TypeOfPatient_Pres_SmearNeg_TB_Cases_New_Mtb&gt;</t>
  </si>
  <si>
    <t>&lt;cnt_TypeOfPatient_Pres_SmearNeg_TB_Cases_New_MtbRif&gt;</t>
  </si>
  <si>
    <t>&lt;cnt_TypeOfPatient_Pres_SmearNeg_TB_Cases_New_all&gt;</t>
  </si>
  <si>
    <t>&lt;cnt_TypeOfPatient_Pres_SmearNeg_TB_Cases_PrevTreated_all&gt;</t>
  </si>
  <si>
    <t>&lt;cnt_TypeOfPatient_Pres_SmearNeg_TB_Cases_PrevTreated_Mtb&gt;</t>
  </si>
  <si>
    <t>&lt;cnt_TypeOfPatient_Pres_SmearNeg_TB_Cases_PrevTreated_MtbRif&gt;</t>
  </si>
  <si>
    <t>&lt;cnt_Presumptive_TB_Cases_MtbDetectedRifIndeterminate&gt;</t>
  </si>
  <si>
    <t>&lt;cnt_Presumptive_DR_TB_Cases_MtbDetectedRifIndeterminate&gt;</t>
  </si>
  <si>
    <t>&lt;cnt_Presumptive_TB_Cases_Invalid_Mtb&gt;</t>
  </si>
  <si>
    <t>&lt;cnt_Presumptive_TB_Cases_NoResult_Mtb&gt;</t>
  </si>
  <si>
    <t>&lt;cnt_Presumptive_TB_Cases_Error_Mtb&gt;</t>
  </si>
  <si>
    <t>&lt;cnt_Presumptive_DR_TB_Cases_Invalid_Mtb&gt;</t>
  </si>
  <si>
    <t>&lt;cnt_Presumptive_DR_TB_Cases_NoResult_Mtb&gt;</t>
  </si>
  <si>
    <t>&lt;cnt_Presumptive_DR_TB_Cases_Error_Mtb&gt;</t>
  </si>
  <si>
    <t>&lt;cnt_Presumptive_TB_Cases_Invalid_Xdr&gt;</t>
  </si>
  <si>
    <t>&lt;cnt_Presumptive_TB_Cases_NoResult_Xdr&gt;</t>
  </si>
  <si>
    <t>&lt;cnt_Presumptive_TB_Cases_Error_Xdr&gt;</t>
  </si>
  <si>
    <t>&lt;cnt_Presumptive_DR_TB_Cases_Invalid_Xdr&gt;</t>
  </si>
  <si>
    <t>&lt;cnt_Presumptive_DR_TB_Cases_NoResult_Xdr&gt;</t>
  </si>
  <si>
    <t>&lt;cnt_Presumptive_DR_TB_Cases_Error_Xdr&gt;</t>
  </si>
  <si>
    <t>Cartridges Received</t>
  </si>
  <si>
    <t>Cartridges in Hand</t>
  </si>
  <si>
    <t>Type of test : New</t>
  </si>
  <si>
    <t>Number Of COVID19 Test</t>
  </si>
  <si>
    <t>Number of COVID 19 Positive Detected</t>
  </si>
  <si>
    <t>Number of COVID 19 Negative Detected</t>
  </si>
  <si>
    <t xml:space="preserve">Type of Test : Follow up </t>
  </si>
  <si>
    <t>For Xpert</t>
  </si>
  <si>
    <t>Number of Gene Xpert Machine:</t>
  </si>
  <si>
    <t>Total Number Of Module:</t>
  </si>
  <si>
    <t>Number of Module Functional:</t>
  </si>
  <si>
    <t>For Truenat</t>
  </si>
  <si>
    <t>No. of TruePrep Device</t>
  </si>
  <si>
    <t>No.of TrueLab Device</t>
  </si>
  <si>
    <t>Total No. of Chip Ports</t>
  </si>
  <si>
    <t>Functional TruePrep Device</t>
  </si>
  <si>
    <t>Functional TrueLab Device</t>
  </si>
  <si>
    <t>Total functional Chip Ports</t>
  </si>
  <si>
    <t>No. of Truenat Cartriage Used</t>
  </si>
  <si>
    <t>No. of Truenat MTB Chip Used</t>
  </si>
  <si>
    <t>No. of Truenat RIF Dx Chip Used</t>
  </si>
  <si>
    <t>&lt;cnt_TypeOfPatient_Presumptive_TB_Cases_UnknownHistory_all_stool&gt;</t>
  </si>
  <si>
    <t>&lt;cnt_TypeOfPatient_Column_11_Mtb_UnknownHistory_stool&gt;</t>
  </si>
  <si>
    <t>&lt;cnt_TypeOfPatient_Presumptive_TB_Cases_New_all_stool&gt;</t>
  </si>
  <si>
    <t>&lt;cnt_TypeOfPatient_Presumptive_TB_Cases_New_Mtb_stool&gt;</t>
  </si>
  <si>
    <t>&lt;cnt_TypeOfPatient_Presumptive_TB_Cases_UnknownHistory_Mtb_stool&gt;</t>
  </si>
  <si>
    <t>&lt;cnt_TypeOfPatient_Presumptive_TB_Cases_UnknownHistory_MtbRif_stool&gt;</t>
  </si>
  <si>
    <t>&lt;cnt_TypeOfPatient_Presumptive_TB_Cases_New_MtbRif_stool&gt;</t>
  </si>
  <si>
    <t>&lt;cnt_TypeOfPatient_Column_3_all_stool&gt;</t>
  </si>
  <si>
    <t>&lt;cnt_TypeOfPatient_Column_3_Mtb_stool&gt;</t>
  </si>
  <si>
    <t>&lt;cnt_TypeOfPatient_Column_3_MtbRif_stool&gt;</t>
  </si>
  <si>
    <t>&lt;cnt_TypeOfPatient_Column_4_all_stool&gt;</t>
  </si>
  <si>
    <t>&lt;cnt_TypeOfPatient_Column_4_Mtb_stool&gt;</t>
  </si>
  <si>
    <t>&lt;cnt_TypeOfPatient_Column_4_MtbRif_stool&gt;</t>
  </si>
  <si>
    <t>&lt;cnt_TypeOfPatient_Column_5_all_stool&gt;</t>
  </si>
  <si>
    <t>&lt;cnt_TypeOfPatient_Column_5_Mtb_stool&gt;</t>
  </si>
  <si>
    <t>&lt;cnt_TypeOfPatient_Column_5_MtbRif_stool&gt;</t>
  </si>
  <si>
    <t>&lt;cnt_TypeOfPatient_Column_6_Mtb_stool&gt;</t>
  </si>
  <si>
    <t>&lt;cnt_TypeOfPatient_Column_6_MtbRif_stool&gt;</t>
  </si>
  <si>
    <t>&lt;cnt_TypeOfPatient_Column_6_all_stool&gt;</t>
  </si>
  <si>
    <t>&lt;cnt_TypeOfPatient_Column_7_all_stool&gt;</t>
  </si>
  <si>
    <t>&lt;cnt_TypeOfPatient_Column_7_Mtb_stool&gt;</t>
  </si>
  <si>
    <t>&lt;cnt_TypeOfPatient_Column_7_MtbRif_stool&gt;</t>
  </si>
  <si>
    <t>&lt;cnt_TypeOfPatient_Column_8_all_stool&gt;</t>
  </si>
  <si>
    <t>&lt;cnt_TypeOfPatient_Column_8_MtbRif_stool&gt;</t>
  </si>
  <si>
    <t>&lt;cnt_TypeOfPatient_Column_9_all_stool&gt;</t>
  </si>
  <si>
    <t>&lt;cnt_TypeOfPatient_Column_9_Mtb_stool&gt;</t>
  </si>
  <si>
    <t>&lt;cnt_TypeOfPatient_Column_9_MtbRif_stool&gt;</t>
  </si>
  <si>
    <t>&lt;cnt_TypeOfPatient_Column_10_all_stool&gt;</t>
  </si>
  <si>
    <t>&lt;cnt_TypeOfPatient_Column_10_Mtb_stool&gt;</t>
  </si>
  <si>
    <t>&lt;cnt_TypeOfPatient_Column_10_MtbRif_stool&gt;</t>
  </si>
  <si>
    <t>&lt;cnt_TypeOfPatient_Column_11_all_UnknownHistory_stool&gt;</t>
  </si>
  <si>
    <t>&lt;cnt_TypeOfPatient_Column_11_all_New_stool&gt;</t>
  </si>
  <si>
    <t>&lt;cnt_TypeOfPatient_Column_11_Mtb_New_stool&gt;</t>
  </si>
  <si>
    <t>&lt;cnt_TypeOfPatient_Column_11_MtbRif_New_stool&gt;</t>
  </si>
  <si>
    <t>&lt;cnt_TypeOfPatient_Column_11_all_PrevTreated_stool&gt;</t>
  </si>
  <si>
    <t>&lt;cnt_TypeOfPatient_Column_11_Mtb_PrevTreated_stool&gt;</t>
  </si>
  <si>
    <t>&lt;cnt_TypeOfPatient_Column_11_MtbRif_PrevTreated_stool&gt;</t>
  </si>
  <si>
    <t>&lt;cnt_TypeOfPatient_Column_12_all_UnknownHistory_stool&gt;</t>
  </si>
  <si>
    <t>&lt;cnt_TypeOfPatient_Column_12_Mtb_UnknownHistory_stool&gt;</t>
  </si>
  <si>
    <t>&lt;cnt_TypeOfPatient_Column_12_MtbRif_UnknownHistory_stool&gt;</t>
  </si>
  <si>
    <t>&lt;cnt_TypeOfPatient_Column_12_all_New_stool&gt;</t>
  </si>
  <si>
    <t>&lt;cnt_TypeOfPatient_Column_12_Mtb_New_stool&gt;</t>
  </si>
  <si>
    <t>&lt;cnt_TypeOfPatient_Column_12_MtbRif_New_stool&gt;</t>
  </si>
  <si>
    <t>&lt;cnt_TypeOfPatient_Column_12_all_PrevTreated_stool&gt;</t>
  </si>
  <si>
    <t>&lt;cnt_TypeOfPatient_Column_12_Mtb_PrevTreated_stool&gt;</t>
  </si>
  <si>
    <t>&lt;cnt_TypeOfPatient_Column_12_MtbRif_PrevTreated_stool&gt;</t>
  </si>
  <si>
    <t>&lt;cnt_TypeOfPatient_OtherPulmClinDiag_UnknownHistory_all_stool&gt;</t>
  </si>
  <si>
    <t>&lt;cnt_TypeOfPatient_OtherPulmClinDiag_UnknownHistory_Mtb_stool&gt;</t>
  </si>
  <si>
    <t>&lt;cnt_TypeOfPatient_OtherPulmClinDiag_UnknownHistory_MtbRif_stool&gt;</t>
  </si>
  <si>
    <t>&lt;cnt_TypeOfPatient_OtherPulmClinDiag_New_all&gt;</t>
  </si>
  <si>
    <t>&lt;cnt_TypeOfPatient_OtherPulmClinDiag_New_all_stool&gt;</t>
  </si>
  <si>
    <t>&lt;cnt_TypeOfPatient_OtherPulmClinDiag_New_Mtb_stool&gt;</t>
  </si>
  <si>
    <t>&lt;cnt_TypeOfPatient_OtherPulmClinDiag_New_MtbRif_stool&gt;</t>
  </si>
  <si>
    <t>&lt;cnt_TypeOfPatient_OtherPulmClinDiag_Treated_all_stool&gt;</t>
  </si>
  <si>
    <t>&lt;cnt_TypeOfPatient_OtherPulmClinDiag_Treated_Mtb_stool&gt;</t>
  </si>
  <si>
    <t>&lt;cnt_TypeOfPatient_OtherPulmClinDiag_Treated_MtbRif_stool&gt;</t>
  </si>
  <si>
    <t>&lt;cnt_TypeOfPatient_OtherExtraPulm_UnknownHistory_all_stool&gt;</t>
  </si>
  <si>
    <t>&lt;cnt_TypeOfPatient_OtherExtraPulm_UnknownHistory_Mtb_stool&gt;</t>
  </si>
  <si>
    <t>&lt;cnt_TypeOfPatient_OtherExtraPulm_UnknownHistory_MtbRif_stool&gt;</t>
  </si>
  <si>
    <t>&lt;cnt_TypeOfPatient_OtherExtraPulm_New_all_stool&gt;</t>
  </si>
  <si>
    <t>&lt;cnt_TypeOfPatient_OtherExtraPulm_New_Mtb_stool&gt;</t>
  </si>
  <si>
    <t>&lt;cnt_TypeOfPatient_OtherExtraPulm_New_MtbRif_stool&gt;</t>
  </si>
  <si>
    <t>&lt;cnt_TypeOfPatient_OtherExtraPulm_Treated_all_stool&gt;</t>
  </si>
  <si>
    <t>&lt;cnt_TypeOfPatient_OtherExtraPulm_Treated_Mtb_stool&gt;</t>
  </si>
  <si>
    <t>&lt;cnt_TypeOfPatient_OtherExtraPulm_Treated_MtbRif_stool&gt;</t>
  </si>
  <si>
    <t>&lt;cnt_TypeOfPatient_OtherPulmBactConf_UnknownHistory_all_stool&gt;</t>
  </si>
  <si>
    <t>&lt;cnt_TypeOfPatient_OtherPulmBactConf_UnknownHistory_Mtb_stool&gt;</t>
  </si>
  <si>
    <t>&lt;cnt_TypeOfPatient_OtherPulmBactConf_UnknownHistory_MtbRif_stool&gt;</t>
  </si>
  <si>
    <t>&lt;cnt_TypeOfPatient_OtherPulmBactConf_New_all_stool&gt;</t>
  </si>
  <si>
    <t>&lt;cnt_TypeOfPatient_OtherPulmBactConf_New_Mtb_stool&gt;</t>
  </si>
  <si>
    <t>&lt;cnt_TypeOfPatient_OtherPulmBactConf_New_MtbRif_stool&gt;</t>
  </si>
  <si>
    <t>&lt;cnt_TypeOfPatient_Pres_SmearNeg_TB_Cases_UnknownHistory_all_stool&gt;</t>
  </si>
  <si>
    <t>&lt;cnt_TypeOfPatient_Pres_SmearNeg_TB_Cases_UnknownHistory_Mtb_stool&gt;</t>
  </si>
  <si>
    <t>&lt;cnt_TypeOfPatient_Pres_SmearNeg_TB_Cases_UnknownHistory_MtbRif_stool&gt;</t>
  </si>
  <si>
    <t>&lt;cnt_TypeOfPatient_Pres_SmearNeg_TB_Cases_New_all_stool&gt;</t>
  </si>
  <si>
    <t>&lt;cnt_TypeOfPatient_Pres_SmearNeg_TB_Cases_New_Mtb_stool&gt;</t>
  </si>
  <si>
    <t>&lt;cnt_TypeOfPatient_Pres_SmearNeg_TB_Cases_New_MtbRif_stool&gt;</t>
  </si>
  <si>
    <t>&lt;cnt_TypeOfPatient_Pres_SmearNeg_TB_Cases_PrevTreated_all_stool&gt;</t>
  </si>
  <si>
    <t>&lt;cnt_TypeOfPatient_Pres_SmearNeg_TB_Cases_PrevTreated_Mtb_stool&gt;</t>
  </si>
  <si>
    <t>&lt;cnt_TypeOfPatient_Pres_SmearNeg_TB_Cases_PrevTreated_MtbRif_stool&gt;</t>
  </si>
  <si>
    <t>&lt;lgaName&gt;</t>
  </si>
  <si>
    <t>&lt;cnt_TypeOfPatient_Column_5_Mtb&gt;</t>
  </si>
  <si>
    <t>Name of the person completing the report : &lt;UserFullName&gt;</t>
  </si>
  <si>
    <t>Cell Number : &lt;UserMobilePhone&gt;</t>
  </si>
  <si>
    <t>&lt;cnt_new_male_all&gt;</t>
  </si>
  <si>
    <t>&lt;cnt_new_female_all&gt;</t>
  </si>
  <si>
    <t>&lt;cnt_new_male_positive&gt;</t>
  </si>
  <si>
    <t>&lt;cnt_new_female_positive&gt;</t>
  </si>
  <si>
    <t>&lt;cnt_new_male_negative&gt;</t>
  </si>
  <si>
    <t>&lt;cnt_new_female_negative&gt;</t>
  </si>
  <si>
    <t>&lt;cnt_treated_male_all&gt;</t>
  </si>
  <si>
    <t>&lt;cnt_treated_female_all&gt;</t>
  </si>
  <si>
    <t>&lt;cnt_treated_male_positive&gt;</t>
  </si>
  <si>
    <t>&lt;cnt_treated_female_positive&gt;</t>
  </si>
  <si>
    <t>&lt;cnt_treated_male_negative&gt;</t>
  </si>
  <si>
    <t>&lt;cnt_treated_female_negative&gt;</t>
  </si>
  <si>
    <t>&lt;cnt_Invalid&gt;</t>
  </si>
  <si>
    <t>&lt;cnt_NoResult&gt;</t>
  </si>
  <si>
    <t>&lt;cnt_Error&gt;</t>
  </si>
  <si>
    <t>&lt;cntDevices&gt;</t>
  </si>
  <si>
    <t>&lt;cntModules&gt;</t>
  </si>
  <si>
    <t>&lt;cntModulesActive&gt;</t>
  </si>
  <si>
    <t>&lt;cnt_Presumptive_TB_Cases_MtbDetectedRifIndeterminate_stool&gt;</t>
  </si>
  <si>
    <t>&lt;cnt_Presumptive_DR_TB_Cases_MtbDetectedRifIndeterminate_stool&gt;</t>
  </si>
  <si>
    <t>&lt;cnt_Xdr_Total_Tests_stool&gt;</t>
  </si>
  <si>
    <t>&lt;cnt_TypeOfPatient_Column_8_Mtb_stool&gt;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</si>
</sst>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rgb="FF333333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 tint="0.34998626667073579"/>
      <name val="Arial Narrow"/>
      <family val="2"/>
    </font>
    <font>
      <b/>
      <sz val="11"/>
      <color theme="1"/>
      <name val="Arial Narrow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Protection="0"/>
    <xf numFmtId="0" fontId="3" fillId="0" borderId="0"/>
    <xf numFmtId="0" fontId="1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4" borderId="12" xfId="3" applyFont="1" applyFill="1" applyBorder="1" applyAlignment="1">
      <alignment horizontal="center" vertical="center" wrapText="1"/>
    </xf>
    <xf numFmtId="0" fontId="6" fillId="4" borderId="3" xfId="3" applyFont="1" applyFill="1" applyBorder="1" applyAlignment="1">
      <alignment horizontal="center" vertical="center"/>
    </xf>
    <xf numFmtId="0" fontId="8" fillId="0" borderId="3" xfId="3" applyFont="1" applyBorder="1" applyAlignment="1">
      <alignment horizontal="center" vertical="center" wrapText="1"/>
    </xf>
    <xf numFmtId="0" fontId="10" fillId="0" borderId="3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 wrapText="1"/>
    </xf>
    <xf numFmtId="0" fontId="12" fillId="5" borderId="3" xfId="3" applyFont="1" applyFill="1" applyBorder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14" fontId="10" fillId="3" borderId="3" xfId="3" applyNumberFormat="1" applyFont="1" applyFill="1" applyBorder="1" applyAlignment="1">
      <alignment horizontal="center" vertical="center" wrapText="1"/>
    </xf>
    <xf numFmtId="0" fontId="6" fillId="0" borderId="3" xfId="3" applyFont="1" applyBorder="1" applyAlignment="1">
      <alignment horizontal="right"/>
    </xf>
    <xf numFmtId="0" fontId="11" fillId="0" borderId="3" xfId="3" applyFont="1" applyBorder="1" applyAlignment="1">
      <alignment horizontal="left"/>
    </xf>
    <xf numFmtId="0" fontId="6" fillId="0" borderId="3" xfId="3" applyFont="1" applyBorder="1" applyAlignment="1">
      <alignment horizontal="left"/>
    </xf>
    <xf numFmtId="0" fontId="9" fillId="0" borderId="3" xfId="3" applyFont="1" applyBorder="1" applyAlignment="1">
      <alignment horizontal="center" vertical="center" wrapText="1"/>
    </xf>
    <xf numFmtId="0" fontId="5" fillId="0" borderId="3" xfId="3" applyFont="1" applyBorder="1"/>
    <xf numFmtId="0" fontId="6" fillId="0" borderId="3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6" fillId="4" borderId="8" xfId="3" applyFont="1" applyFill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/>
    </xf>
    <xf numFmtId="0" fontId="6" fillId="3" borderId="12" xfId="3" applyFont="1" applyFill="1" applyBorder="1" applyAlignment="1">
      <alignment horizontal="center" vertical="center" wrapText="1"/>
    </xf>
    <xf numFmtId="0" fontId="6" fillId="3" borderId="4" xfId="3" applyFont="1" applyFill="1" applyBorder="1" applyAlignment="1">
      <alignment horizontal="center" vertical="center" wrapText="1"/>
    </xf>
    <xf numFmtId="0" fontId="13" fillId="3" borderId="4" xfId="3" applyFont="1" applyFill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 wrapText="1"/>
    </xf>
    <xf numFmtId="0" fontId="6" fillId="3" borderId="14" xfId="3" applyFont="1" applyFill="1" applyBorder="1" applyAlignment="1">
      <alignment horizontal="center" vertical="center" wrapText="1"/>
    </xf>
    <xf numFmtId="0" fontId="6" fillId="4" borderId="12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/>
    </xf>
    <xf numFmtId="0" fontId="6" fillId="3" borderId="12" xfId="3" applyFont="1" applyFill="1" applyBorder="1" applyAlignment="1">
      <alignment horizontal="center" vertical="center"/>
    </xf>
    <xf numFmtId="14" fontId="10" fillId="3" borderId="4" xfId="3" applyNumberFormat="1" applyFont="1" applyFill="1" applyBorder="1" applyAlignment="1">
      <alignment horizontal="center" vertical="center" wrapText="1"/>
    </xf>
    <xf numFmtId="0" fontId="6" fillId="4" borderId="4" xfId="3" applyFont="1" applyFill="1" applyBorder="1" applyAlignment="1">
      <alignment horizontal="center" vertical="center"/>
    </xf>
    <xf numFmtId="0" fontId="6" fillId="3" borderId="11" xfId="3" applyFont="1" applyFill="1" applyBorder="1" applyAlignment="1">
      <alignment horizontal="center" vertical="center" wrapText="1"/>
    </xf>
    <xf numFmtId="0" fontId="6" fillId="4" borderId="8" xfId="3" applyFont="1" applyFill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5" fillId="0" borderId="7" xfId="3" applyFont="1" applyBorder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5" fillId="0" borderId="15" xfId="3" applyFont="1" applyBorder="1" applyAlignment="1">
      <alignment horizontal="left" vertical="center"/>
    </xf>
    <xf numFmtId="0" fontId="6" fillId="4" borderId="8" xfId="3" applyFont="1" applyFill="1" applyBorder="1" applyAlignment="1">
      <alignment horizontal="center" vertical="center"/>
    </xf>
    <xf numFmtId="0" fontId="10" fillId="2" borderId="4" xfId="3" applyFont="1" applyFill="1" applyBorder="1" applyAlignment="1">
      <alignment horizontal="left" vertical="center" wrapText="1"/>
    </xf>
    <xf numFmtId="0" fontId="5" fillId="0" borderId="14" xfId="3" applyFont="1" applyBorder="1" applyAlignment="1">
      <alignment horizontal="left" vertical="center"/>
    </xf>
    <xf numFmtId="0" fontId="5" fillId="0" borderId="5" xfId="3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21"/>
  <sheetViews>
    <sheetView tabSelected="1" zoomScale="138" zoomScaleNormal="100" workbookViewId="0">
      <pane ySplit="9" topLeftCell="A10" activePane="bottomLeft" state="frozen"/>
      <selection activeCell="B1" sqref="B1:B1048576"/>
      <selection pane="bottomLeft" activeCell="D10" sqref="D10:D12"/>
    </sheetView>
  </sheetViews>
  <sheetFormatPr baseColWidth="10" defaultColWidth="8.6640625" defaultRowHeight="15" x14ac:dyDescent="0.2"/>
  <cols>
    <col min="1" max="1" width="14.5" customWidth="1"/>
    <col min="2" max="4" width="24.33203125" customWidth="1"/>
    <col min="5" max="5" width="23.1640625" customWidth="1"/>
    <col min="6" max="6" width="15.83203125" style="1" customWidth="1"/>
    <col min="7" max="8" width="28" customWidth="1"/>
    <col min="9" max="10" width="18.5" customWidth="1"/>
    <col min="11" max="11" width="14.5" customWidth="1"/>
    <col min="12" max="14" width="16.6640625" customWidth="1"/>
    <col min="15" max="15" width="60.6640625" customWidth="1"/>
    <col min="31" max="32" width="10.33203125" bestFit="1" customWidth="1"/>
    <col min="35" max="35" width="12" customWidth="1"/>
    <col min="36" max="36" width="10.33203125" bestFit="1" customWidth="1"/>
    <col min="55" max="55" width="11.33203125" customWidth="1"/>
    <col min="63" max="63" width="13.5" customWidth="1"/>
    <col min="64" max="64" width="11.33203125" customWidth="1"/>
  </cols>
  <sheetData>
    <row r="1" spans="1:152" ht="21" x14ac:dyDescent="0.25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spans="1:152" ht="16" x14ac:dyDescent="0.2">
      <c r="A2" t="s">
        <v>0</v>
      </c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</row>
    <row r="3" spans="1:152" ht="16" x14ac:dyDescent="0.2">
      <c r="A3" t="s">
        <v>1</v>
      </c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</row>
    <row r="4" spans="1:152" ht="16" x14ac:dyDescent="0.2">
      <c r="A4" t="s">
        <v>2</v>
      </c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4"/>
    </row>
    <row r="5" spans="1:152" ht="16" x14ac:dyDescent="0.2">
      <c r="A5" t="s">
        <v>3</v>
      </c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</row>
    <row r="6" spans="1:152" ht="16" x14ac:dyDescent="0.2">
      <c r="A6" t="s">
        <v>262</v>
      </c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</row>
    <row r="7" spans="1:152" ht="16" x14ac:dyDescent="0.2">
      <c r="A7" t="s">
        <v>261</v>
      </c>
      <c r="B7" s="4"/>
      <c r="C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</row>
    <row r="8" spans="1:152" ht="16" x14ac:dyDescent="0.2"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</row>
    <row r="9" spans="1:152" ht="16" x14ac:dyDescent="0.2">
      <c r="A9" t="s">
        <v>5</v>
      </c>
      <c r="B9" s="4">
        <v>3</v>
      </c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</row>
    <row r="10" spans="1:152" s="6" customFormat="1" ht="30.75" customHeight="1" x14ac:dyDescent="0.2">
      <c r="A10" s="42" t="s">
        <v>6</v>
      </c>
      <c r="B10" s="42" t="s">
        <v>7</v>
      </c>
      <c r="C10" s="42" t="s">
        <v>8</v>
      </c>
      <c r="D10" s="55"/>
      <c r="E10" s="44" t="s">
        <v>9</v>
      </c>
      <c r="F10" s="23"/>
      <c r="G10" s="24"/>
      <c r="H10" s="22" t="s">
        <v>10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4"/>
      <c r="AG10" s="22" t="s">
        <v>11</v>
      </c>
      <c r="AH10" s="23"/>
      <c r="AI10" s="23"/>
      <c r="AJ10" s="24"/>
      <c r="AK10" s="37" t="s">
        <v>12</v>
      </c>
      <c r="AL10" s="37" t="s">
        <v>13</v>
      </c>
      <c r="AM10" s="37" t="s">
        <v>14</v>
      </c>
      <c r="AN10" s="36" t="s">
        <v>15</v>
      </c>
      <c r="AO10" s="23"/>
      <c r="AP10" s="23"/>
      <c r="AQ10" s="24"/>
      <c r="AR10" s="37" t="s">
        <v>16</v>
      </c>
      <c r="AS10" s="36" t="s">
        <v>17</v>
      </c>
      <c r="AT10" s="23"/>
      <c r="AU10" s="23"/>
      <c r="AV10" s="24"/>
      <c r="AW10" s="47" t="s">
        <v>18</v>
      </c>
      <c r="AX10" s="36" t="s">
        <v>19</v>
      </c>
      <c r="AY10" s="23"/>
      <c r="AZ10" s="23"/>
      <c r="BA10" s="24"/>
      <c r="BB10" s="47" t="s">
        <v>20</v>
      </c>
      <c r="BC10" s="34" t="s">
        <v>21</v>
      </c>
      <c r="BD10" s="48" t="s">
        <v>22</v>
      </c>
      <c r="BE10" s="49"/>
      <c r="BF10" s="50"/>
      <c r="BG10" s="54" t="s">
        <v>23</v>
      </c>
      <c r="BH10" s="26"/>
      <c r="BI10" s="27"/>
      <c r="BJ10" s="46" t="s">
        <v>24</v>
      </c>
      <c r="BK10" s="34" t="s">
        <v>158</v>
      </c>
      <c r="BL10" s="34" t="s">
        <v>159</v>
      </c>
      <c r="BM10" s="41" t="s">
        <v>160</v>
      </c>
      <c r="BN10" s="23"/>
      <c r="BO10" s="23"/>
      <c r="BP10" s="23"/>
      <c r="BQ10" s="23"/>
      <c r="BR10" s="24"/>
      <c r="BS10" s="41" t="s">
        <v>164</v>
      </c>
      <c r="BT10" s="23"/>
      <c r="BU10" s="23"/>
      <c r="BV10" s="23"/>
      <c r="BW10" s="23"/>
      <c r="BX10" s="24"/>
      <c r="BY10" s="25" t="s">
        <v>25</v>
      </c>
      <c r="BZ10" s="26"/>
      <c r="CA10" s="27"/>
      <c r="CB10" s="41" t="s">
        <v>165</v>
      </c>
      <c r="CC10" s="23"/>
      <c r="CD10" s="24"/>
      <c r="CE10" s="41" t="s">
        <v>169</v>
      </c>
      <c r="CF10" s="23"/>
      <c r="CG10" s="23"/>
      <c r="CH10" s="23"/>
      <c r="CI10" s="23"/>
      <c r="CJ10" s="23"/>
      <c r="CK10" s="23"/>
      <c r="CL10" s="23"/>
      <c r="CM10" s="24"/>
      <c r="CN10" s="41" t="s">
        <v>26</v>
      </c>
      <c r="CO10" s="24"/>
      <c r="CP10" s="44" t="s">
        <v>9</v>
      </c>
      <c r="CQ10" s="23"/>
      <c r="CR10" s="24"/>
      <c r="CS10" s="22" t="s">
        <v>10</v>
      </c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4"/>
      <c r="DR10" s="22" t="s">
        <v>11</v>
      </c>
      <c r="DS10" s="23"/>
      <c r="DT10" s="23"/>
      <c r="DU10" s="24"/>
      <c r="DV10" s="37" t="s">
        <v>12</v>
      </c>
      <c r="DW10" s="37" t="s">
        <v>13</v>
      </c>
      <c r="DX10" s="37" t="s">
        <v>14</v>
      </c>
      <c r="DY10" s="36" t="s">
        <v>15</v>
      </c>
      <c r="DZ10" s="23"/>
      <c r="EA10" s="23"/>
      <c r="EB10" s="24"/>
      <c r="EC10" s="37" t="s">
        <v>16</v>
      </c>
      <c r="ED10" s="36" t="s">
        <v>17</v>
      </c>
      <c r="EE10" s="23"/>
      <c r="EF10" s="23"/>
      <c r="EG10" s="24"/>
      <c r="EH10" s="47" t="s">
        <v>18</v>
      </c>
      <c r="EI10" s="36" t="s">
        <v>19</v>
      </c>
      <c r="EJ10" s="23"/>
      <c r="EK10" s="23"/>
      <c r="EL10" s="24"/>
      <c r="EM10" s="47" t="s">
        <v>20</v>
      </c>
      <c r="EN10" s="36" t="s">
        <v>26</v>
      </c>
      <c r="EO10" s="23"/>
      <c r="EP10" s="24"/>
      <c r="EQ10" s="7" t="s">
        <v>27</v>
      </c>
      <c r="ER10"/>
      <c r="ES10"/>
      <c r="ET10"/>
      <c r="EU10"/>
      <c r="EV10"/>
    </row>
    <row r="11" spans="1:152" s="6" customFormat="1" ht="54.75" customHeight="1" x14ac:dyDescent="0.2">
      <c r="A11" s="43"/>
      <c r="B11" s="43"/>
      <c r="C11" s="43"/>
      <c r="D11" s="56"/>
      <c r="E11" s="38" t="s">
        <v>28</v>
      </c>
      <c r="F11" s="39" t="s">
        <v>29</v>
      </c>
      <c r="G11" s="39" t="s">
        <v>30</v>
      </c>
      <c r="H11" s="45" t="s">
        <v>31</v>
      </c>
      <c r="I11" s="39" t="s">
        <v>32</v>
      </c>
      <c r="J11" s="39" t="s">
        <v>33</v>
      </c>
      <c r="K11" s="39" t="s">
        <v>34</v>
      </c>
      <c r="L11" s="39" t="s">
        <v>35</v>
      </c>
      <c r="M11" s="39" t="s">
        <v>36</v>
      </c>
      <c r="N11" s="39" t="s">
        <v>37</v>
      </c>
      <c r="O11" s="39" t="s">
        <v>38</v>
      </c>
      <c r="P11" s="22" t="s">
        <v>39</v>
      </c>
      <c r="Q11" s="23"/>
      <c r="R11" s="24"/>
      <c r="S11" s="22" t="s">
        <v>40</v>
      </c>
      <c r="T11" s="23"/>
      <c r="U11" s="24"/>
      <c r="V11" s="22" t="s">
        <v>41</v>
      </c>
      <c r="W11" s="23"/>
      <c r="X11" s="24"/>
      <c r="Y11" s="22" t="s">
        <v>42</v>
      </c>
      <c r="Z11" s="23"/>
      <c r="AA11" s="24"/>
      <c r="AB11" s="22" t="s">
        <v>43</v>
      </c>
      <c r="AC11" s="23"/>
      <c r="AD11" s="24"/>
      <c r="AE11" s="39" t="s">
        <v>44</v>
      </c>
      <c r="AF11" s="39" t="s">
        <v>24</v>
      </c>
      <c r="AG11" s="39" t="s">
        <v>28</v>
      </c>
      <c r="AH11" s="39" t="s">
        <v>29</v>
      </c>
      <c r="AI11" s="39" t="s">
        <v>45</v>
      </c>
      <c r="AJ11" s="39" t="s">
        <v>24</v>
      </c>
      <c r="AK11" s="43"/>
      <c r="AL11" s="43"/>
      <c r="AM11" s="43"/>
      <c r="AN11" s="37" t="s">
        <v>46</v>
      </c>
      <c r="AO11" s="37" t="s">
        <v>47</v>
      </c>
      <c r="AP11" s="37" t="s">
        <v>48</v>
      </c>
      <c r="AQ11" s="37" t="s">
        <v>49</v>
      </c>
      <c r="AR11" s="43"/>
      <c r="AS11" s="37" t="s">
        <v>46</v>
      </c>
      <c r="AT11" s="37" t="s">
        <v>47</v>
      </c>
      <c r="AU11" s="37" t="s">
        <v>48</v>
      </c>
      <c r="AV11" s="37" t="s">
        <v>49</v>
      </c>
      <c r="AW11" s="30"/>
      <c r="AX11" s="40" t="s">
        <v>46</v>
      </c>
      <c r="AY11" s="40" t="s">
        <v>47</v>
      </c>
      <c r="AZ11" s="40" t="s">
        <v>48</v>
      </c>
      <c r="BA11" s="37" t="s">
        <v>49</v>
      </c>
      <c r="BB11" s="30"/>
      <c r="BC11" s="43"/>
      <c r="BD11" s="51"/>
      <c r="BE11" s="52"/>
      <c r="BF11" s="53"/>
      <c r="BG11" s="31"/>
      <c r="BH11" s="32"/>
      <c r="BI11" s="33"/>
      <c r="BJ11" s="43"/>
      <c r="BK11" s="43"/>
      <c r="BL11" s="43"/>
      <c r="BM11" s="41" t="s">
        <v>161</v>
      </c>
      <c r="BN11" s="24"/>
      <c r="BO11" s="41" t="s">
        <v>162</v>
      </c>
      <c r="BP11" s="24"/>
      <c r="BQ11" s="41" t="s">
        <v>163</v>
      </c>
      <c r="BR11" s="24"/>
      <c r="BS11" s="41" t="s">
        <v>161</v>
      </c>
      <c r="BT11" s="24"/>
      <c r="BU11" s="41" t="s">
        <v>162</v>
      </c>
      <c r="BV11" s="24"/>
      <c r="BW11" s="41" t="s">
        <v>163</v>
      </c>
      <c r="BX11" s="24"/>
      <c r="BY11" s="28"/>
      <c r="BZ11" s="29"/>
      <c r="CA11" s="30"/>
      <c r="CB11" s="34" t="s">
        <v>166</v>
      </c>
      <c r="CC11" s="34" t="s">
        <v>167</v>
      </c>
      <c r="CD11" s="34" t="s">
        <v>168</v>
      </c>
      <c r="CE11" s="34" t="s">
        <v>170</v>
      </c>
      <c r="CF11" s="34" t="s">
        <v>171</v>
      </c>
      <c r="CG11" s="34" t="s">
        <v>172</v>
      </c>
      <c r="CH11" s="34" t="s">
        <v>173</v>
      </c>
      <c r="CI11" s="34" t="s">
        <v>174</v>
      </c>
      <c r="CJ11" s="34" t="s">
        <v>175</v>
      </c>
      <c r="CK11" s="34" t="s">
        <v>176</v>
      </c>
      <c r="CL11" s="34" t="s">
        <v>177</v>
      </c>
      <c r="CM11" s="34" t="s">
        <v>178</v>
      </c>
      <c r="CN11" s="34" t="s">
        <v>50</v>
      </c>
      <c r="CO11" s="34" t="s">
        <v>51</v>
      </c>
      <c r="CP11" s="38" t="s">
        <v>28</v>
      </c>
      <c r="CQ11" s="39" t="s">
        <v>29</v>
      </c>
      <c r="CR11" s="39" t="s">
        <v>30</v>
      </c>
      <c r="CS11" s="45" t="s">
        <v>31</v>
      </c>
      <c r="CT11" s="39" t="s">
        <v>32</v>
      </c>
      <c r="CU11" s="39" t="s">
        <v>33</v>
      </c>
      <c r="CV11" s="39" t="s">
        <v>34</v>
      </c>
      <c r="CW11" s="39" t="s">
        <v>35</v>
      </c>
      <c r="CX11" s="39" t="s">
        <v>36</v>
      </c>
      <c r="CY11" s="39" t="s">
        <v>37</v>
      </c>
      <c r="CZ11" s="39" t="s">
        <v>38</v>
      </c>
      <c r="DA11" s="22" t="s">
        <v>39</v>
      </c>
      <c r="DB11" s="23"/>
      <c r="DC11" s="24"/>
      <c r="DD11" s="22" t="s">
        <v>40</v>
      </c>
      <c r="DE11" s="23"/>
      <c r="DF11" s="24"/>
      <c r="DG11" s="22" t="s">
        <v>41</v>
      </c>
      <c r="DH11" s="23"/>
      <c r="DI11" s="24"/>
      <c r="DJ11" s="22" t="s">
        <v>42</v>
      </c>
      <c r="DK11" s="23"/>
      <c r="DL11" s="24"/>
      <c r="DM11" s="22" t="s">
        <v>43</v>
      </c>
      <c r="DN11" s="23"/>
      <c r="DO11" s="24"/>
      <c r="DP11" s="39" t="s">
        <v>44</v>
      </c>
      <c r="DQ11" s="39" t="s">
        <v>24</v>
      </c>
      <c r="DR11" s="39" t="s">
        <v>28</v>
      </c>
      <c r="DS11" s="39" t="s">
        <v>29</v>
      </c>
      <c r="DT11" s="39" t="s">
        <v>45</v>
      </c>
      <c r="DU11" s="39" t="s">
        <v>24</v>
      </c>
      <c r="DV11" s="43"/>
      <c r="DW11" s="43"/>
      <c r="DX11" s="43"/>
      <c r="DY11" s="37" t="s">
        <v>46</v>
      </c>
      <c r="DZ11" s="37" t="s">
        <v>47</v>
      </c>
      <c r="EA11" s="37" t="s">
        <v>48</v>
      </c>
      <c r="EB11" s="37" t="s">
        <v>49</v>
      </c>
      <c r="EC11" s="43"/>
      <c r="ED11" s="37" t="s">
        <v>46</v>
      </c>
      <c r="EE11" s="37" t="s">
        <v>47</v>
      </c>
      <c r="EF11" s="37" t="s">
        <v>48</v>
      </c>
      <c r="EG11" s="37" t="s">
        <v>49</v>
      </c>
      <c r="EH11" s="30"/>
      <c r="EI11" s="40" t="s">
        <v>46</v>
      </c>
      <c r="EJ11" s="40" t="s">
        <v>47</v>
      </c>
      <c r="EK11" s="40" t="s">
        <v>48</v>
      </c>
      <c r="EL11" s="37" t="s">
        <v>49</v>
      </c>
      <c r="EM11" s="30"/>
      <c r="EN11" s="37" t="s">
        <v>50</v>
      </c>
      <c r="EO11" s="37" t="s">
        <v>51</v>
      </c>
      <c r="EP11" s="37" t="s">
        <v>52</v>
      </c>
      <c r="EQ11" s="34" t="s">
        <v>52</v>
      </c>
      <c r="ER11"/>
      <c r="ES11"/>
      <c r="ET11"/>
      <c r="EU11"/>
      <c r="EV11"/>
    </row>
    <row r="12" spans="1:152" s="6" customFormat="1" ht="79.5" customHeight="1" x14ac:dyDescent="0.2">
      <c r="A12" s="35"/>
      <c r="B12" s="35"/>
      <c r="C12" s="35"/>
      <c r="D12" s="57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13" t="s">
        <v>53</v>
      </c>
      <c r="Q12" s="13" t="s">
        <v>29</v>
      </c>
      <c r="R12" s="13" t="s">
        <v>54</v>
      </c>
      <c r="S12" s="13" t="s">
        <v>53</v>
      </c>
      <c r="T12" s="13" t="s">
        <v>29</v>
      </c>
      <c r="U12" s="13" t="s">
        <v>54</v>
      </c>
      <c r="V12" s="13" t="s">
        <v>53</v>
      </c>
      <c r="W12" s="13" t="s">
        <v>29</v>
      </c>
      <c r="X12" s="14" t="s">
        <v>54</v>
      </c>
      <c r="Y12" s="13" t="s">
        <v>53</v>
      </c>
      <c r="Z12" s="13" t="s">
        <v>29</v>
      </c>
      <c r="AA12" s="13" t="s">
        <v>54</v>
      </c>
      <c r="AB12" s="13" t="s">
        <v>53</v>
      </c>
      <c r="AC12" s="13" t="s">
        <v>29</v>
      </c>
      <c r="AD12" s="13" t="s">
        <v>54</v>
      </c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3"/>
      <c r="AX12" s="35"/>
      <c r="AY12" s="35"/>
      <c r="AZ12" s="35"/>
      <c r="BA12" s="35"/>
      <c r="BB12" s="33"/>
      <c r="BC12" s="35"/>
      <c r="BD12" s="8" t="s">
        <v>55</v>
      </c>
      <c r="BE12" s="8" t="s">
        <v>56</v>
      </c>
      <c r="BF12" s="8" t="s">
        <v>57</v>
      </c>
      <c r="BG12" s="8" t="s">
        <v>55</v>
      </c>
      <c r="BH12" s="8" t="s">
        <v>56</v>
      </c>
      <c r="BI12" s="8" t="s">
        <v>57</v>
      </c>
      <c r="BJ12" s="35"/>
      <c r="BK12" s="35"/>
      <c r="BL12" s="35"/>
      <c r="BM12" s="8" t="s">
        <v>58</v>
      </c>
      <c r="BN12" s="8" t="s">
        <v>59</v>
      </c>
      <c r="BO12" s="8" t="s">
        <v>58</v>
      </c>
      <c r="BP12" s="8" t="s">
        <v>59</v>
      </c>
      <c r="BQ12" s="8" t="s">
        <v>58</v>
      </c>
      <c r="BR12" s="8" t="s">
        <v>59</v>
      </c>
      <c r="BS12" s="8" t="s">
        <v>58</v>
      </c>
      <c r="BT12" s="8" t="s">
        <v>59</v>
      </c>
      <c r="BU12" s="8" t="s">
        <v>58</v>
      </c>
      <c r="BV12" s="8" t="s">
        <v>59</v>
      </c>
      <c r="BW12" s="8" t="s">
        <v>58</v>
      </c>
      <c r="BX12" s="8" t="s">
        <v>59</v>
      </c>
      <c r="BY12" s="31"/>
      <c r="BZ12" s="32"/>
      <c r="CA12" s="33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13" t="s">
        <v>53</v>
      </c>
      <c r="DB12" s="13" t="s">
        <v>29</v>
      </c>
      <c r="DC12" s="13" t="s">
        <v>54</v>
      </c>
      <c r="DD12" s="13" t="s">
        <v>53</v>
      </c>
      <c r="DE12" s="13" t="s">
        <v>29</v>
      </c>
      <c r="DF12" s="13" t="s">
        <v>54</v>
      </c>
      <c r="DG12" s="13" t="s">
        <v>53</v>
      </c>
      <c r="DH12" s="13" t="s">
        <v>29</v>
      </c>
      <c r="DI12" s="14" t="s">
        <v>54</v>
      </c>
      <c r="DJ12" s="13" t="s">
        <v>53</v>
      </c>
      <c r="DK12" s="13" t="s">
        <v>29</v>
      </c>
      <c r="DL12" s="13" t="s">
        <v>54</v>
      </c>
      <c r="DM12" s="13" t="s">
        <v>53</v>
      </c>
      <c r="DN12" s="13" t="s">
        <v>29</v>
      </c>
      <c r="DO12" s="13" t="s">
        <v>54</v>
      </c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3"/>
      <c r="EI12" s="35"/>
      <c r="EJ12" s="35"/>
      <c r="EK12" s="35"/>
      <c r="EL12" s="35"/>
      <c r="EM12" s="33"/>
      <c r="EN12" s="35"/>
      <c r="EO12" s="35"/>
      <c r="EP12" s="35"/>
      <c r="EQ12" s="35"/>
      <c r="ER12"/>
      <c r="ES12"/>
      <c r="ET12"/>
      <c r="EU12"/>
      <c r="EV12"/>
    </row>
    <row r="13" spans="1:152" ht="21" customHeight="1" x14ac:dyDescent="0.2">
      <c r="A13" s="18" t="s">
        <v>65</v>
      </c>
      <c r="B13" s="18" t="s">
        <v>259</v>
      </c>
      <c r="C13" s="18" t="s">
        <v>60</v>
      </c>
      <c r="D13" s="10" t="s">
        <v>61</v>
      </c>
      <c r="E13" s="11" t="s">
        <v>66</v>
      </c>
      <c r="F13" s="11" t="s">
        <v>69</v>
      </c>
      <c r="G13" s="11">
        <f>SUM(E13:F13)</f>
        <v>0</v>
      </c>
      <c r="H13" s="11" t="s">
        <v>72</v>
      </c>
      <c r="I13" s="11" t="s">
        <v>75</v>
      </c>
      <c r="J13" s="11" t="s">
        <v>78</v>
      </c>
      <c r="K13" s="11" t="s">
        <v>80</v>
      </c>
      <c r="L13" s="11" t="s">
        <v>83</v>
      </c>
      <c r="M13" s="11" t="s">
        <v>86</v>
      </c>
      <c r="N13" s="11" t="s">
        <v>89</v>
      </c>
      <c r="O13" s="11" t="s">
        <v>92</v>
      </c>
      <c r="P13" s="11" t="s">
        <v>95</v>
      </c>
      <c r="Q13" s="11" t="s">
        <v>96</v>
      </c>
      <c r="R13" s="11" t="s">
        <v>97</v>
      </c>
      <c r="S13" s="11" t="s">
        <v>103</v>
      </c>
      <c r="T13" s="11" t="s">
        <v>106</v>
      </c>
      <c r="U13" s="11" t="s">
        <v>109</v>
      </c>
      <c r="V13" s="11" t="s">
        <v>112</v>
      </c>
      <c r="W13" s="11" t="s">
        <v>228</v>
      </c>
      <c r="X13" s="11" t="s">
        <v>117</v>
      </c>
      <c r="Y13" s="11" t="s">
        <v>120</v>
      </c>
      <c r="Z13" s="11" t="s">
        <v>123</v>
      </c>
      <c r="AA13" s="11" t="s">
        <v>126</v>
      </c>
      <c r="AB13" s="11" t="s">
        <v>129</v>
      </c>
      <c r="AC13" s="11" t="s">
        <v>132</v>
      </c>
      <c r="AD13" s="11"/>
      <c r="AE13" s="9">
        <f>SUM(V13:AC13)</f>
        <v>0</v>
      </c>
      <c r="AF13" s="9">
        <f>SUM(H13:U13)+AE13</f>
        <v>0</v>
      </c>
      <c r="AG13" s="9" t="s">
        <v>135</v>
      </c>
      <c r="AH13" s="9" t="s">
        <v>140</v>
      </c>
      <c r="AI13" s="9" t="s">
        <v>141</v>
      </c>
      <c r="AJ13" s="9">
        <f>SUM(AG13:AI13)</f>
        <v>0</v>
      </c>
      <c r="AK13" s="20">
        <f>G13+AJ13</f>
        <v>0</v>
      </c>
      <c r="AL13" s="20">
        <f>AF13</f>
        <v>0</v>
      </c>
      <c r="AM13" s="20">
        <f>AK13+AL13</f>
        <v>0</v>
      </c>
      <c r="AN13" s="20">
        <f>G14+AJ14-G15-AJ15</f>
        <v>0</v>
      </c>
      <c r="AO13" s="20">
        <f>G15+AJ15</f>
        <v>0</v>
      </c>
      <c r="AP13" s="20" t="s">
        <v>144</v>
      </c>
      <c r="AQ13" s="20">
        <f>AE15</f>
        <v>0</v>
      </c>
      <c r="AR13" s="20">
        <f>AK13-G14-AJ14</f>
        <v>0</v>
      </c>
      <c r="AS13" s="20">
        <f>+AF14-AF15</f>
        <v>0</v>
      </c>
      <c r="AT13" s="20">
        <f>AF15</f>
        <v>0</v>
      </c>
      <c r="AU13" s="20" t="s">
        <v>145</v>
      </c>
      <c r="AV13" s="20">
        <f>AF15</f>
        <v>0</v>
      </c>
      <c r="AW13" s="20">
        <f>AL13-AF14</f>
        <v>0</v>
      </c>
      <c r="AX13" s="20">
        <f>AN13+AS13</f>
        <v>0</v>
      </c>
      <c r="AY13" s="20">
        <f>AO13+AT13</f>
        <v>0</v>
      </c>
      <c r="AZ13" s="20" t="e">
        <f>AP13+AU13</f>
        <v>#VALUE!</v>
      </c>
      <c r="BA13" s="20">
        <f>AQ13+AV13</f>
        <v>0</v>
      </c>
      <c r="BB13" s="20">
        <f>AR13+AW13</f>
        <v>0</v>
      </c>
      <c r="BC13" s="16" t="s">
        <v>4</v>
      </c>
      <c r="BD13" s="15" t="s">
        <v>146</v>
      </c>
      <c r="BE13" s="15" t="s">
        <v>147</v>
      </c>
      <c r="BF13" s="15" t="s">
        <v>148</v>
      </c>
      <c r="BG13" s="15" t="s">
        <v>149</v>
      </c>
      <c r="BH13" s="15" t="s">
        <v>150</v>
      </c>
      <c r="BI13" s="15" t="s">
        <v>151</v>
      </c>
      <c r="BJ13" s="15">
        <f>SUM(BD13:BI13)</f>
        <v>0</v>
      </c>
      <c r="BK13" s="20"/>
      <c r="BL13" s="20"/>
      <c r="BM13" s="20" t="s">
        <v>263</v>
      </c>
      <c r="BN13" s="20" t="s">
        <v>264</v>
      </c>
      <c r="BO13" s="20" t="s">
        <v>265</v>
      </c>
      <c r="BP13" s="20" t="s">
        <v>266</v>
      </c>
      <c r="BQ13" s="20" t="s">
        <v>267</v>
      </c>
      <c r="BR13" s="20" t="s">
        <v>268</v>
      </c>
      <c r="BS13" s="20" t="s">
        <v>269</v>
      </c>
      <c r="BT13" s="20" t="s">
        <v>270</v>
      </c>
      <c r="BU13" s="20" t="s">
        <v>271</v>
      </c>
      <c r="BV13" s="20" t="s">
        <v>272</v>
      </c>
      <c r="BW13" s="20" t="s">
        <v>273</v>
      </c>
      <c r="BX13" s="20" t="s">
        <v>274</v>
      </c>
      <c r="BY13" s="20" t="s">
        <v>275</v>
      </c>
      <c r="BZ13" s="20" t="s">
        <v>276</v>
      </c>
      <c r="CA13" s="20" t="s">
        <v>277</v>
      </c>
      <c r="CB13" s="20" t="s">
        <v>278</v>
      </c>
      <c r="CC13" s="20" t="s">
        <v>279</v>
      </c>
      <c r="CD13" s="20" t="s">
        <v>280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1"/>
      <c r="CO13" s="21"/>
      <c r="CP13" s="10" t="s">
        <v>179</v>
      </c>
      <c r="CQ13" s="10" t="s">
        <v>181</v>
      </c>
      <c r="CR13" s="10">
        <f>SUM(CP13:CQ13)</f>
        <v>0</v>
      </c>
      <c r="CS13" s="10" t="s">
        <v>186</v>
      </c>
      <c r="CT13" s="10" t="s">
        <v>189</v>
      </c>
      <c r="CU13" s="10" t="s">
        <v>192</v>
      </c>
      <c r="CV13" s="10" t="s">
        <v>197</v>
      </c>
      <c r="CW13" s="10" t="s">
        <v>198</v>
      </c>
      <c r="CX13" s="10" t="s">
        <v>201</v>
      </c>
      <c r="CY13" s="10" t="s">
        <v>203</v>
      </c>
      <c r="CZ13" s="10" t="s">
        <v>206</v>
      </c>
      <c r="DA13" s="11" t="s">
        <v>209</v>
      </c>
      <c r="DB13" s="11" t="s">
        <v>210</v>
      </c>
      <c r="DC13" s="11" t="s">
        <v>213</v>
      </c>
      <c r="DD13" s="11" t="s">
        <v>216</v>
      </c>
      <c r="DE13" s="11" t="s">
        <v>219</v>
      </c>
      <c r="DF13" s="11" t="s">
        <v>222</v>
      </c>
      <c r="DG13" s="11" t="s">
        <v>225</v>
      </c>
      <c r="DH13" s="11" t="s">
        <v>229</v>
      </c>
      <c r="DI13" s="11" t="s">
        <v>232</v>
      </c>
      <c r="DJ13" s="11" t="s">
        <v>235</v>
      </c>
      <c r="DK13" s="11" t="s">
        <v>238</v>
      </c>
      <c r="DL13" s="11" t="s">
        <v>241</v>
      </c>
      <c r="DM13" s="11" t="s">
        <v>244</v>
      </c>
      <c r="DN13" s="11" t="s">
        <v>247</v>
      </c>
      <c r="DO13" s="12"/>
      <c r="DP13" s="9">
        <f>SUM(DG13:DN13)</f>
        <v>0</v>
      </c>
      <c r="DQ13" s="9">
        <f>SUM(CS13:DF13)+DP13</f>
        <v>0</v>
      </c>
      <c r="DR13" s="9" t="s">
        <v>250</v>
      </c>
      <c r="DS13" s="9" t="s">
        <v>253</v>
      </c>
      <c r="DT13" s="9" t="s">
        <v>256</v>
      </c>
      <c r="DU13" s="9">
        <f>SUM(DR13:DT13)</f>
        <v>0</v>
      </c>
      <c r="DV13" s="20">
        <f>SUM(CR13:DU13)</f>
        <v>0</v>
      </c>
      <c r="DW13" s="20">
        <f>DQ13</f>
        <v>0</v>
      </c>
      <c r="DX13" s="20">
        <f>DV13+DW13</f>
        <v>0</v>
      </c>
      <c r="DY13" s="20">
        <f>CR14+DQ14-CR15-DQ15</f>
        <v>0</v>
      </c>
      <c r="DZ13" s="20">
        <f>CR15+DQ15</f>
        <v>0</v>
      </c>
      <c r="EA13" s="20" t="s">
        <v>281</v>
      </c>
      <c r="EB13" s="20">
        <f>DP15</f>
        <v>0</v>
      </c>
      <c r="EC13" s="20">
        <f>DV13-DU14-CR14</f>
        <v>0</v>
      </c>
      <c r="ED13" s="20">
        <f>+DQ14-DQ15</f>
        <v>0</v>
      </c>
      <c r="EE13" s="20">
        <f>DQ15</f>
        <v>0</v>
      </c>
      <c r="EF13" s="20" t="s">
        <v>282</v>
      </c>
      <c r="EG13" s="20">
        <f>DQ15</f>
        <v>0</v>
      </c>
      <c r="EH13" s="20">
        <f>DW13-DQ14</f>
        <v>0</v>
      </c>
      <c r="EI13" s="20">
        <f>DY13+ED13</f>
        <v>0</v>
      </c>
      <c r="EJ13" s="20">
        <f>DZ13-EE13</f>
        <v>0</v>
      </c>
      <c r="EK13" s="20" t="e">
        <f>EA13+EF13</f>
        <v>#VALUE!</v>
      </c>
      <c r="EL13" s="20">
        <f>EB13+EG13</f>
        <v>0</v>
      </c>
      <c r="EM13" s="20">
        <f>EC13+EH13</f>
        <v>0</v>
      </c>
      <c r="EN13" s="21">
        <f>ED13+EJ13</f>
        <v>0</v>
      </c>
      <c r="EO13" s="21"/>
      <c r="EP13" s="21" t="s">
        <v>283</v>
      </c>
      <c r="EQ13" s="20" t="str">
        <f>EP13</f>
        <v>&lt;cnt_Xdr_Total_Tests_stool&gt;</v>
      </c>
    </row>
    <row r="14" spans="1:152" ht="25.5" customHeight="1" x14ac:dyDescent="0.2">
      <c r="A14" s="18"/>
      <c r="B14" s="19"/>
      <c r="C14" s="19"/>
      <c r="D14" s="10" t="s">
        <v>62</v>
      </c>
      <c r="E14" s="11" t="s">
        <v>67</v>
      </c>
      <c r="F14" s="11" t="s">
        <v>70</v>
      </c>
      <c r="G14" s="11">
        <f>SUM(E14:F14)</f>
        <v>0</v>
      </c>
      <c r="H14" s="11" t="s">
        <v>73</v>
      </c>
      <c r="I14" s="11" t="s">
        <v>76</v>
      </c>
      <c r="J14" s="11" t="s">
        <v>260</v>
      </c>
      <c r="K14" s="11" t="s">
        <v>81</v>
      </c>
      <c r="L14" s="11" t="s">
        <v>84</v>
      </c>
      <c r="M14" s="11" t="s">
        <v>87</v>
      </c>
      <c r="N14" s="11" t="s">
        <v>90</v>
      </c>
      <c r="O14" s="11" t="s">
        <v>93</v>
      </c>
      <c r="P14" s="11" t="s">
        <v>98</v>
      </c>
      <c r="Q14" s="11" t="s">
        <v>99</v>
      </c>
      <c r="R14" s="11" t="s">
        <v>101</v>
      </c>
      <c r="S14" s="11" t="s">
        <v>104</v>
      </c>
      <c r="T14" s="11" t="s">
        <v>107</v>
      </c>
      <c r="U14" s="11" t="s">
        <v>110</v>
      </c>
      <c r="V14" s="11" t="s">
        <v>113</v>
      </c>
      <c r="W14" s="11" t="s">
        <v>115</v>
      </c>
      <c r="X14" s="11" t="s">
        <v>118</v>
      </c>
      <c r="Y14" s="11" t="s">
        <v>121</v>
      </c>
      <c r="Z14" s="11" t="s">
        <v>124</v>
      </c>
      <c r="AA14" s="11" t="s">
        <v>127</v>
      </c>
      <c r="AB14" s="11" t="s">
        <v>130</v>
      </c>
      <c r="AC14" s="11" t="s">
        <v>133</v>
      </c>
      <c r="AD14" s="11"/>
      <c r="AE14" s="9">
        <f>SUM(V14:AC14)</f>
        <v>0</v>
      </c>
      <c r="AF14" s="9">
        <f>SUM(H13:U14)+AE14</f>
        <v>0</v>
      </c>
      <c r="AG14" s="9" t="s">
        <v>136</v>
      </c>
      <c r="AH14" s="9" t="s">
        <v>138</v>
      </c>
      <c r="AI14" s="9" t="s">
        <v>142</v>
      </c>
      <c r="AJ14" s="9">
        <f>SUM(AG14:AI14)</f>
        <v>0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6" t="s">
        <v>63</v>
      </c>
      <c r="BD14" s="15" t="s">
        <v>152</v>
      </c>
      <c r="BE14" s="15" t="s">
        <v>153</v>
      </c>
      <c r="BF14" s="15" t="s">
        <v>154</v>
      </c>
      <c r="BG14" s="15" t="s">
        <v>155</v>
      </c>
      <c r="BH14" s="15" t="s">
        <v>156</v>
      </c>
      <c r="BI14" s="15" t="s">
        <v>157</v>
      </c>
      <c r="BJ14" s="15">
        <f>SUM(BD14:BI14)</f>
        <v>0</v>
      </c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20"/>
      <c r="CI14" s="19"/>
      <c r="CJ14" s="19"/>
      <c r="CK14" s="19"/>
      <c r="CL14" s="19"/>
      <c r="CM14" s="19"/>
      <c r="CN14" s="19"/>
      <c r="CO14" s="19"/>
      <c r="CP14" s="10" t="s">
        <v>183</v>
      </c>
      <c r="CQ14" s="10" t="s">
        <v>182</v>
      </c>
      <c r="CR14" s="10">
        <f>SUM(CP14:CQ14)</f>
        <v>0</v>
      </c>
      <c r="CS14" s="10" t="s">
        <v>187</v>
      </c>
      <c r="CT14" s="10" t="s">
        <v>190</v>
      </c>
      <c r="CU14" s="10" t="s">
        <v>193</v>
      </c>
      <c r="CV14" s="10" t="s">
        <v>195</v>
      </c>
      <c r="CW14" s="10" t="s">
        <v>199</v>
      </c>
      <c r="CX14" s="10" t="s">
        <v>284</v>
      </c>
      <c r="CY14" s="10" t="s">
        <v>204</v>
      </c>
      <c r="CZ14" s="10" t="s">
        <v>207</v>
      </c>
      <c r="DA14" s="11" t="s">
        <v>180</v>
      </c>
      <c r="DB14" s="11" t="s">
        <v>211</v>
      </c>
      <c r="DC14" s="11" t="s">
        <v>214</v>
      </c>
      <c r="DD14" s="11" t="s">
        <v>217</v>
      </c>
      <c r="DE14" s="11" t="s">
        <v>220</v>
      </c>
      <c r="DF14" s="11" t="s">
        <v>223</v>
      </c>
      <c r="DG14" s="11" t="s">
        <v>226</v>
      </c>
      <c r="DH14" s="11" t="s">
        <v>230</v>
      </c>
      <c r="DI14" s="11" t="s">
        <v>233</v>
      </c>
      <c r="DJ14" s="11" t="s">
        <v>236</v>
      </c>
      <c r="DK14" s="11" t="s">
        <v>239</v>
      </c>
      <c r="DL14" s="11" t="s">
        <v>242</v>
      </c>
      <c r="DM14" s="11" t="s">
        <v>245</v>
      </c>
      <c r="DN14" s="11" t="s">
        <v>248</v>
      </c>
      <c r="DO14" s="12"/>
      <c r="DP14" s="9">
        <f>SUM(DG14:DN14)</f>
        <v>0</v>
      </c>
      <c r="DQ14" s="9">
        <f>SUM(CS14:DF14)+DP14</f>
        <v>0</v>
      </c>
      <c r="DR14" s="9" t="s">
        <v>251</v>
      </c>
      <c r="DS14" s="9" t="s">
        <v>254</v>
      </c>
      <c r="DT14" s="9" t="s">
        <v>257</v>
      </c>
      <c r="DU14" s="9">
        <f>SUM(DR14:DT14)</f>
        <v>0</v>
      </c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21"/>
      <c r="EP14" s="19"/>
      <c r="EQ14" s="19"/>
    </row>
    <row r="15" spans="1:152" ht="22.5" customHeight="1" x14ac:dyDescent="0.2">
      <c r="A15" s="18"/>
      <c r="B15" s="19"/>
      <c r="C15" s="19"/>
      <c r="D15" s="10" t="s">
        <v>64</v>
      </c>
      <c r="E15" s="11" t="s">
        <v>68</v>
      </c>
      <c r="F15" s="11" t="s">
        <v>71</v>
      </c>
      <c r="G15" s="11">
        <f>SUM(E15:F15)</f>
        <v>0</v>
      </c>
      <c r="H15" s="11" t="s">
        <v>74</v>
      </c>
      <c r="I15" s="11" t="s">
        <v>77</v>
      </c>
      <c r="J15" s="11" t="s">
        <v>79</v>
      </c>
      <c r="K15" s="11" t="s">
        <v>82</v>
      </c>
      <c r="L15" s="11" t="s">
        <v>85</v>
      </c>
      <c r="M15" s="11" t="s">
        <v>88</v>
      </c>
      <c r="N15" s="11" t="s">
        <v>91</v>
      </c>
      <c r="O15" s="11" t="s">
        <v>94</v>
      </c>
      <c r="P15" s="11" t="s">
        <v>98</v>
      </c>
      <c r="Q15" s="11" t="s">
        <v>100</v>
      </c>
      <c r="R15" s="11" t="s">
        <v>102</v>
      </c>
      <c r="S15" s="11" t="s">
        <v>105</v>
      </c>
      <c r="T15" s="11" t="s">
        <v>108</v>
      </c>
      <c r="U15" s="11" t="s">
        <v>111</v>
      </c>
      <c r="V15" s="11" t="s">
        <v>114</v>
      </c>
      <c r="W15" s="11" t="s">
        <v>116</v>
      </c>
      <c r="X15" s="11" t="s">
        <v>119</v>
      </c>
      <c r="Y15" s="11" t="s">
        <v>122</v>
      </c>
      <c r="Z15" s="11" t="s">
        <v>125</v>
      </c>
      <c r="AA15" s="11" t="s">
        <v>128</v>
      </c>
      <c r="AB15" s="11" t="s">
        <v>131</v>
      </c>
      <c r="AC15" s="11" t="s">
        <v>134</v>
      </c>
      <c r="AD15" s="11"/>
      <c r="AE15" s="9">
        <f>SUM(V15:AC15)</f>
        <v>0</v>
      </c>
      <c r="AF15" s="9">
        <f>SUM(H15:U15)+AE15</f>
        <v>0</v>
      </c>
      <c r="AG15" s="9" t="s">
        <v>137</v>
      </c>
      <c r="AH15" s="9" t="s">
        <v>139</v>
      </c>
      <c r="AI15" s="9" t="s">
        <v>143</v>
      </c>
      <c r="AJ15" s="9">
        <f>SUM(AG15:AI15)</f>
        <v>0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7"/>
      <c r="BD15" s="15"/>
      <c r="BE15" s="15"/>
      <c r="BF15" s="15"/>
      <c r="BG15" s="15"/>
      <c r="BH15" s="15"/>
      <c r="BI15" s="15"/>
      <c r="BJ15" s="15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20"/>
      <c r="CI15" s="19"/>
      <c r="CJ15" s="19"/>
      <c r="CK15" s="19"/>
      <c r="CL15" s="19"/>
      <c r="CM15" s="19"/>
      <c r="CN15" s="19"/>
      <c r="CO15" s="19"/>
      <c r="CP15" s="10" t="s">
        <v>184</v>
      </c>
      <c r="CQ15" s="10" t="s">
        <v>185</v>
      </c>
      <c r="CR15" s="10">
        <f>SUM(CP15:CQ15)</f>
        <v>0</v>
      </c>
      <c r="CS15" s="10" t="s">
        <v>188</v>
      </c>
      <c r="CT15" s="10" t="s">
        <v>191</v>
      </c>
      <c r="CU15" s="10" t="s">
        <v>194</v>
      </c>
      <c r="CV15" s="10" t="s">
        <v>196</v>
      </c>
      <c r="CW15" s="10" t="s">
        <v>200</v>
      </c>
      <c r="CX15" s="10" t="s">
        <v>202</v>
      </c>
      <c r="CY15" s="10" t="s">
        <v>205</v>
      </c>
      <c r="CZ15" s="10" t="s">
        <v>208</v>
      </c>
      <c r="DA15" s="11" t="s">
        <v>180</v>
      </c>
      <c r="DB15" s="11" t="s">
        <v>212</v>
      </c>
      <c r="DC15" s="11" t="s">
        <v>215</v>
      </c>
      <c r="DD15" s="11" t="s">
        <v>218</v>
      </c>
      <c r="DE15" s="11" t="s">
        <v>221</v>
      </c>
      <c r="DF15" s="11" t="s">
        <v>224</v>
      </c>
      <c r="DG15" s="11" t="s">
        <v>227</v>
      </c>
      <c r="DH15" s="11" t="s">
        <v>231</v>
      </c>
      <c r="DI15" s="11" t="s">
        <v>234</v>
      </c>
      <c r="DJ15" s="11" t="s">
        <v>237</v>
      </c>
      <c r="DK15" s="11" t="s">
        <v>240</v>
      </c>
      <c r="DL15" s="11" t="s">
        <v>243</v>
      </c>
      <c r="DM15" s="11" t="s">
        <v>246</v>
      </c>
      <c r="DN15" s="11" t="s">
        <v>249</v>
      </c>
      <c r="DO15" s="12"/>
      <c r="DP15" s="9">
        <f>SUM(DG15:DN15)</f>
        <v>0</v>
      </c>
      <c r="DQ15" s="9">
        <f>SUM(CS15:DF15)+DP15</f>
        <v>0</v>
      </c>
      <c r="DR15" s="9" t="s">
        <v>252</v>
      </c>
      <c r="DS15" s="9" t="s">
        <v>255</v>
      </c>
      <c r="DT15" s="9" t="s">
        <v>258</v>
      </c>
      <c r="DU15" s="9">
        <f>SUM(DR15:DT15)</f>
        <v>0</v>
      </c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21"/>
      <c r="EP15" s="19"/>
      <c r="EQ15" s="19"/>
    </row>
    <row r="21" spans="123:123" x14ac:dyDescent="0.2">
      <c r="DS21">
        <v>2</v>
      </c>
    </row>
  </sheetData>
  <mergeCells count="207">
    <mergeCell ref="A10:A12"/>
    <mergeCell ref="B10:B12"/>
    <mergeCell ref="EM10:EM12"/>
    <mergeCell ref="EI10:EL10"/>
    <mergeCell ref="EI11:EI12"/>
    <mergeCell ref="EJ11:EJ12"/>
    <mergeCell ref="EK11:EK12"/>
    <mergeCell ref="EL11:EL12"/>
    <mergeCell ref="AW10:AW12"/>
    <mergeCell ref="AZ11:AZ12"/>
    <mergeCell ref="BA11:BA12"/>
    <mergeCell ref="AX10:BA10"/>
    <mergeCell ref="BB10:BB12"/>
    <mergeCell ref="BC10:BC12"/>
    <mergeCell ref="BD10:BF11"/>
    <mergeCell ref="BG10:BI11"/>
    <mergeCell ref="EG11:EG12"/>
    <mergeCell ref="DW10:DW12"/>
    <mergeCell ref="DX10:DX12"/>
    <mergeCell ref="DY10:EB10"/>
    <mergeCell ref="EC10:EC12"/>
    <mergeCell ref="ED10:EG10"/>
    <mergeCell ref="EH10:EH12"/>
    <mergeCell ref="DM11:DO11"/>
    <mergeCell ref="BQ11:BR11"/>
    <mergeCell ref="BS11:BT11"/>
    <mergeCell ref="BU11:BV11"/>
    <mergeCell ref="BW11:BX11"/>
    <mergeCell ref="BK10:BK12"/>
    <mergeCell ref="BL10:BL12"/>
    <mergeCell ref="BM10:BR10"/>
    <mergeCell ref="BS10:BX10"/>
    <mergeCell ref="DQ11:DQ12"/>
    <mergeCell ref="CR11:CR12"/>
    <mergeCell ref="CS11:CS12"/>
    <mergeCell ref="CB10:CD10"/>
    <mergeCell ref="CE10:CM10"/>
    <mergeCell ref="CN10:CO10"/>
    <mergeCell ref="CP10:CR10"/>
    <mergeCell ref="CS10:DQ10"/>
    <mergeCell ref="DP11:DP12"/>
    <mergeCell ref="CI11:CI12"/>
    <mergeCell ref="CJ11:CJ12"/>
    <mergeCell ref="CK11:CK12"/>
    <mergeCell ref="CL11:CL12"/>
    <mergeCell ref="CM11:CM12"/>
    <mergeCell ref="CN11:CN12"/>
    <mergeCell ref="CO11:CO12"/>
    <mergeCell ref="AP11:AP12"/>
    <mergeCell ref="AQ11:AQ12"/>
    <mergeCell ref="AS11:AS12"/>
    <mergeCell ref="AT11:AT12"/>
    <mergeCell ref="AU11:AU12"/>
    <mergeCell ref="AV11:AV12"/>
    <mergeCell ref="AK10:AK12"/>
    <mergeCell ref="AL10:AL12"/>
    <mergeCell ref="AM10:AM12"/>
    <mergeCell ref="AN10:AQ10"/>
    <mergeCell ref="AR10:AR12"/>
    <mergeCell ref="AS10:AV10"/>
    <mergeCell ref="AO11:AO12"/>
    <mergeCell ref="C10:C12"/>
    <mergeCell ref="D10:D12"/>
    <mergeCell ref="E10:G10"/>
    <mergeCell ref="H10:AF10"/>
    <mergeCell ref="AG10:AJ10"/>
    <mergeCell ref="AN11:AN12"/>
    <mergeCell ref="K11:K12"/>
    <mergeCell ref="L11:L12"/>
    <mergeCell ref="M11:M12"/>
    <mergeCell ref="N11:N12"/>
    <mergeCell ref="S11:U11"/>
    <mergeCell ref="V11:X11"/>
    <mergeCell ref="Y11:AA11"/>
    <mergeCell ref="AB11:AD11"/>
    <mergeCell ref="AE11:AE12"/>
    <mergeCell ref="G11:G12"/>
    <mergeCell ref="H11:H12"/>
    <mergeCell ref="I11:I12"/>
    <mergeCell ref="J11:J12"/>
    <mergeCell ref="EQ11:EQ12"/>
    <mergeCell ref="E11:E12"/>
    <mergeCell ref="F11:F12"/>
    <mergeCell ref="AG11:AG12"/>
    <mergeCell ref="AH11:AH12"/>
    <mergeCell ref="AI11:AI12"/>
    <mergeCell ref="AJ11:AJ12"/>
    <mergeCell ref="AX11:AX12"/>
    <mergeCell ref="AY11:AY12"/>
    <mergeCell ref="BM11:BN11"/>
    <mergeCell ref="BO11:BP11"/>
    <mergeCell ref="CB11:CB12"/>
    <mergeCell ref="CC11:CC12"/>
    <mergeCell ref="CT11:CT12"/>
    <mergeCell ref="CU11:CU12"/>
    <mergeCell ref="CV11:CV12"/>
    <mergeCell ref="CW11:CW12"/>
    <mergeCell ref="CX11:CX12"/>
    <mergeCell ref="DY11:DY12"/>
    <mergeCell ref="DZ11:DZ12"/>
    <mergeCell ref="AF11:AF12"/>
    <mergeCell ref="O11:O12"/>
    <mergeCell ref="P11:R11"/>
    <mergeCell ref="BJ10:BJ12"/>
    <mergeCell ref="BY10:CA12"/>
    <mergeCell ref="CD11:CD12"/>
    <mergeCell ref="CE11:CE12"/>
    <mergeCell ref="CF11:CF12"/>
    <mergeCell ref="CG11:CG12"/>
    <mergeCell ref="CH11:CH12"/>
    <mergeCell ref="EN10:EP10"/>
    <mergeCell ref="EN11:EN12"/>
    <mergeCell ref="EO11:EO12"/>
    <mergeCell ref="EP11:EP12"/>
    <mergeCell ref="EF11:EF12"/>
    <mergeCell ref="DR11:DR12"/>
    <mergeCell ref="DS11:DS12"/>
    <mergeCell ref="DT11:DT12"/>
    <mergeCell ref="DU11:DU12"/>
    <mergeCell ref="DV10:DV12"/>
    <mergeCell ref="EA11:EA12"/>
    <mergeCell ref="EB11:EB12"/>
    <mergeCell ref="ED11:ED12"/>
    <mergeCell ref="EE11:EE12"/>
    <mergeCell ref="DR10:DU10"/>
    <mergeCell ref="CP11:CP12"/>
    <mergeCell ref="CQ11:CQ12"/>
    <mergeCell ref="CY11:CY12"/>
    <mergeCell ref="CB13:CB15"/>
    <mergeCell ref="CC13:CC15"/>
    <mergeCell ref="CK13:CK15"/>
    <mergeCell ref="DJ11:DL11"/>
    <mergeCell ref="CL13:CL15"/>
    <mergeCell ref="CM13:CM15"/>
    <mergeCell ref="CN13:CN15"/>
    <mergeCell ref="CO13:CO15"/>
    <mergeCell ref="CD13:CD15"/>
    <mergeCell ref="CE13:CE15"/>
    <mergeCell ref="CF13:CF15"/>
    <mergeCell ref="CG13:CG15"/>
    <mergeCell ref="CH13:CH15"/>
    <mergeCell ref="CI13:CI15"/>
    <mergeCell ref="CJ13:CJ15"/>
    <mergeCell ref="CZ11:CZ12"/>
    <mergeCell ref="DA11:DC11"/>
    <mergeCell ref="DD11:DF11"/>
    <mergeCell ref="DG11:DI11"/>
    <mergeCell ref="EF13:EF15"/>
    <mergeCell ref="EG13:EG15"/>
    <mergeCell ref="EO13:EO15"/>
    <mergeCell ref="EP13:EP15"/>
    <mergeCell ref="EQ13:EQ15"/>
    <mergeCell ref="EH13:EH15"/>
    <mergeCell ref="EI13:EI15"/>
    <mergeCell ref="EJ13:EJ15"/>
    <mergeCell ref="EK13:EK15"/>
    <mergeCell ref="EL13:EL15"/>
    <mergeCell ref="EM13:EM15"/>
    <mergeCell ref="EN13:EN15"/>
    <mergeCell ref="EB13:EB15"/>
    <mergeCell ref="EC13:EC15"/>
    <mergeCell ref="AK13:AK15"/>
    <mergeCell ref="AL13:AL15"/>
    <mergeCell ref="AM13:AM15"/>
    <mergeCell ref="AN13:AN15"/>
    <mergeCell ref="AO13:AO15"/>
    <mergeCell ref="ED13:ED15"/>
    <mergeCell ref="EE13:EE15"/>
    <mergeCell ref="AP13:AP15"/>
    <mergeCell ref="AQ13:AQ15"/>
    <mergeCell ref="AR13:AR15"/>
    <mergeCell ref="AS13:AS15"/>
    <mergeCell ref="AT13:AT15"/>
    <mergeCell ref="AU13:AU15"/>
    <mergeCell ref="AV13:AV15"/>
    <mergeCell ref="AW13:AW15"/>
    <mergeCell ref="AX13:AX15"/>
    <mergeCell ref="AY13:AY15"/>
    <mergeCell ref="AZ13:AZ15"/>
    <mergeCell ref="BA13:BA15"/>
    <mergeCell ref="BB13:BB15"/>
    <mergeCell ref="BY13:BY15"/>
    <mergeCell ref="BZ13:BZ15"/>
    <mergeCell ref="A13:A15"/>
    <mergeCell ref="B13:B15"/>
    <mergeCell ref="C13:C15"/>
    <mergeCell ref="DV13:DV15"/>
    <mergeCell ref="DW13:DW15"/>
    <mergeCell ref="DX13:DX15"/>
    <mergeCell ref="DY13:DY15"/>
    <mergeCell ref="DZ13:DZ15"/>
    <mergeCell ref="EA13:EA15"/>
    <mergeCell ref="BK13:BK15"/>
    <mergeCell ref="BL13:BL15"/>
    <mergeCell ref="BM13:BM15"/>
    <mergeCell ref="BN13:BN15"/>
    <mergeCell ref="BO13:BO15"/>
    <mergeCell ref="BP13:BP15"/>
    <mergeCell ref="BQ13:BQ15"/>
    <mergeCell ref="BR13:BR15"/>
    <mergeCell ref="BS13:BS15"/>
    <mergeCell ref="BT13:BT15"/>
    <mergeCell ref="BU13:BU15"/>
    <mergeCell ref="BV13:BV15"/>
    <mergeCell ref="BW13:BW15"/>
    <mergeCell ref="BX13:BX15"/>
    <mergeCell ref="CA13:CA15"/>
  </mergeCells>
  <phoneticPr fontId="14" type="noConversion"/>
  <pageMargins left="0.7" right="0.7" top="0.75" bottom="0.75" header="0.51181102362204689" footer="0.51181102362204689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Hernández</cp:lastModifiedBy>
  <cp:revision>3</cp:revision>
  <dcterms:created xsi:type="dcterms:W3CDTF">2006-09-16T03:30:00Z</dcterms:created>
  <dcterms:modified xsi:type="dcterms:W3CDTF">2025-03-03T04:37:01Z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fef906f0-74ca-41b0-889a-e6037c01e222</vt:lpwstr>
  </property>
  <property fmtid="{D5CDD505-2E9C-101B-9397-08002B2CF9AE}" pid="5" name="KSOProductBuildVer">
    <vt:lpwstr>1033-5.4.4.8063</vt:lpwstr>
  </property>
</Properties>
</file>