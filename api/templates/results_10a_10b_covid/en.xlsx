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4\api\templates\results_10a_10b_covid\"/>
    </mc:Choice>
  </mc:AlternateContent>
  <bookViews>
    <workbookView xWindow="-120" yWindow="-120" windowWidth="29040" windowHeight="15720" activeTab="1"/>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 i="3" l="1"/>
  <c r="H40" i="7"/>
  <c r="F20" i="3" l="1"/>
  <c r="E20" i="3"/>
  <c r="D20" i="3"/>
  <c r="L6" i="7"/>
  <c r="I8" i="4"/>
  <c r="L7" i="6"/>
  <c r="Q12" i="5" l="1"/>
  <c r="R12" i="5"/>
  <c r="C7" i="6"/>
  <c r="Q11" i="6"/>
  <c r="Q10" i="7"/>
  <c r="K11" i="6"/>
  <c r="M10" i="6"/>
  <c r="M9" i="6"/>
  <c r="N8" i="6"/>
  <c r="C6" i="7"/>
  <c r="C8" i="7"/>
  <c r="C7" i="7"/>
  <c r="K10" i="7"/>
  <c r="M9" i="7"/>
  <c r="M8" i="7"/>
  <c r="N7" i="7"/>
  <c r="U18" i="7"/>
  <c r="U19" i="7"/>
  <c r="U17" i="7"/>
  <c r="U14" i="7"/>
  <c r="U15" i="7"/>
  <c r="U13" i="7"/>
  <c r="Q14" i="7"/>
  <c r="Q15" i="7"/>
  <c r="Q13" i="7"/>
  <c r="M14" i="7"/>
  <c r="M15" i="7"/>
  <c r="M13" i="7"/>
  <c r="V12" i="5"/>
  <c r="W12" i="5"/>
  <c r="X12" i="5"/>
  <c r="Y12" i="5"/>
  <c r="Z12" i="5"/>
  <c r="AA12" i="5"/>
  <c r="U12" i="5"/>
  <c r="J12" i="5"/>
  <c r="T12" i="5"/>
  <c r="S12" i="5"/>
  <c r="P12" i="5"/>
  <c r="O12" i="5"/>
  <c r="N12" i="5"/>
  <c r="M12" i="5"/>
  <c r="L12" i="5"/>
  <c r="K12" i="5"/>
  <c r="I12" i="5"/>
  <c r="H12" i="5"/>
  <c r="E12" i="5"/>
  <c r="F12" i="5"/>
  <c r="G12" i="5"/>
  <c r="D12" i="5"/>
  <c r="L10" i="5"/>
  <c r="M10" i="5"/>
  <c r="N10" i="5"/>
  <c r="O10" i="5"/>
  <c r="P10" i="5"/>
  <c r="Q10" i="5"/>
  <c r="R10" i="5"/>
  <c r="S10" i="5"/>
  <c r="T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12" i="5"/>
  <c r="B12" i="5"/>
  <c r="A12" i="5"/>
  <c r="CR4" i="5"/>
  <c r="CR1" i="5"/>
  <c r="CQ1" i="5"/>
  <c r="V11" i="5"/>
  <c r="W11" i="5"/>
  <c r="X11" i="5"/>
  <c r="Y11" i="5"/>
  <c r="Z11" i="5"/>
  <c r="AA11" i="5"/>
  <c r="U11" i="5"/>
  <c r="U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AS4" i="5"/>
  <c r="F17" i="3"/>
  <c r="AX4" i="5" s="1"/>
  <c r="F18" i="3"/>
  <c r="H14" i="7"/>
  <c r="EA4" i="5" s="1"/>
  <c r="F21" i="3" l="1"/>
  <c r="BB4" i="5" s="1"/>
  <c r="AW4" i="5"/>
  <c r="F9" i="4"/>
  <c r="AY4" i="5"/>
  <c r="CQ4" i="5"/>
  <c r="EK4" i="5"/>
  <c r="F21" i="7"/>
  <c r="EP4" i="5" s="1"/>
</calcChain>
</file>

<file path=xl/sharedStrings.xml><?xml version="1.0" encoding="utf-8"?>
<sst xmlns="http://schemas.openxmlformats.org/spreadsheetml/2006/main" count="3992" uniqueCount="879">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</sst>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52"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ont>
    <font>
      <b/>
      <sz val="9"/>
      <color theme="1"/>
      <name val="Arial Narrow"/>
      <family val="2"/>
    </font>
    <font>
      <sz val="9"/>
      <color theme="1"/>
      <name val="Calibri"/>
      <family val="2"/>
      <charset val="1"/>
      <scheme val="minor"/>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1">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388">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5" fillId="0" borderId="56" xfId="0" applyFont="1" applyBorder="1" applyAlignment="1" applyProtection="1">
      <alignment horizontal="center" vertical="center" shrinkToFit="1"/>
      <protection locked="0"/>
    </xf>
    <xf numFmtId="0" fontId="0" fillId="0" borderId="56" xfId="0" applyBorder="1"/>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8" fillId="11" borderId="9" xfId="0" applyFont="1" applyFill="1" applyBorder="1" applyAlignment="1" applyProtection="1">
      <alignment vertical="center"/>
      <protection hidden="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1" fillId="0" borderId="0" xfId="0" applyFont="1" applyAlignment="1" applyProtection="1">
      <alignment horizontal="center" vertical="center"/>
      <protection hidden="1"/>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1" fillId="3" borderId="11" xfId="0" applyFont="1" applyFill="1" applyBorder="1" applyAlignment="1">
      <alignment horizontal="center" vertical="center"/>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19" fillId="0" borderId="2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10" xfId="0" applyFont="1" applyBorder="1" applyAlignment="1" applyProtection="1">
      <alignment horizontal="center" vertical="center" wrapText="1"/>
      <protection locked="0"/>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8" fillId="0" borderId="19" xfId="0" applyFont="1" applyBorder="1" applyAlignment="1" applyProtection="1">
      <alignment horizontal="center" vertical="center" wrapText="1"/>
      <protection locked="0"/>
    </xf>
    <xf numFmtId="0" fontId="18" fillId="0" borderId="20" xfId="0" applyFont="1" applyBorder="1" applyAlignment="1" applyProtection="1">
      <alignment horizontal="center" vertical="center" wrapText="1"/>
      <protection locked="0"/>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1" fillId="3" borderId="13" xfId="0" applyFont="1" applyFill="1" applyBorder="1" applyAlignment="1">
      <alignment horizontal="center" vertical="center"/>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17" fillId="0" borderId="0" xfId="0" applyFont="1" applyAlignment="1" applyProtection="1">
      <alignment horizontal="center" vertical="center" wrapTex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39" fillId="8" borderId="47"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68"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8">
    <dxf>
      <font>
        <b/>
        <i val="0"/>
        <color rgb="FFFF0000"/>
      </font>
    </dxf>
    <dxf>
      <font>
        <b/>
        <i val="0"/>
        <color rgb="FFFF0000"/>
      </font>
    </dxf>
    <dxf>
      <font>
        <b/>
        <i val="0"/>
        <color rgb="FFFF0000"/>
      </font>
    </dxf>
    <dxf>
      <font>
        <b/>
        <i val="0"/>
        <color rgb="FFFF0000"/>
      </font>
    </dxf>
    <dxf>
      <fill>
        <patternFill>
          <bgColor rgb="FFFFFF00"/>
        </patternFill>
      </fill>
    </dxf>
    <dxf>
      <fill>
        <patternFill>
          <bgColor rgb="FFFFFF00"/>
        </patternFill>
      </fill>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7"/>
      <tableStyleElement type="headerRow" dxfId="6"/>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view="pageBreakPreview" topLeftCell="A22" zoomScaleSheetLayoutView="100" workbookViewId="0">
      <selection activeCell="G38" sqref="G38:H39"/>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12" t="s">
        <v>807</v>
      </c>
      <c r="B1" s="212"/>
      <c r="C1" s="212"/>
      <c r="D1" s="212"/>
      <c r="E1" s="212"/>
      <c r="F1" s="212"/>
      <c r="G1" s="212"/>
      <c r="H1" s="212"/>
      <c r="I1" s="212"/>
      <c r="J1" s="212"/>
      <c r="K1" s="212"/>
      <c r="L1" s="212"/>
      <c r="M1" s="212"/>
      <c r="N1" s="212"/>
      <c r="O1" s="212"/>
      <c r="P1" s="212"/>
      <c r="Q1" s="212"/>
      <c r="R1" s="212"/>
      <c r="S1" s="1" t="s">
        <v>66</v>
      </c>
      <c r="T1" s="1"/>
      <c r="U1" s="1"/>
      <c r="V1" s="36"/>
      <c r="W1" s="1"/>
      <c r="X1" s="1"/>
    </row>
    <row r="2" spans="1:603" ht="13.95" customHeight="1" x14ac:dyDescent="0.25">
      <c r="A2" s="212" t="s">
        <v>63</v>
      </c>
      <c r="B2" s="212"/>
      <c r="C2" s="212"/>
      <c r="D2" s="212"/>
      <c r="E2" s="212"/>
      <c r="F2" s="212"/>
      <c r="G2" s="212"/>
      <c r="H2" s="212"/>
      <c r="I2" s="212"/>
      <c r="J2" s="212"/>
      <c r="K2" s="212"/>
      <c r="L2" s="212"/>
      <c r="M2" s="212"/>
      <c r="N2" s="212"/>
      <c r="O2" s="212"/>
      <c r="P2" s="212"/>
      <c r="Q2" s="212"/>
      <c r="R2" s="212"/>
      <c r="S2" s="212"/>
      <c r="T2" s="212"/>
      <c r="U2" s="212"/>
      <c r="V2" s="38"/>
      <c r="W2" s="1"/>
      <c r="X2" s="1"/>
    </row>
    <row r="3" spans="1:603" ht="13.95" customHeight="1" x14ac:dyDescent="0.25">
      <c r="A3" s="212" t="s">
        <v>74</v>
      </c>
      <c r="B3" s="212"/>
      <c r="C3" s="212"/>
      <c r="D3" s="212"/>
      <c r="E3" s="212"/>
      <c r="F3" s="212"/>
      <c r="G3" s="212"/>
      <c r="H3" s="212"/>
      <c r="I3" s="212"/>
      <c r="J3" s="212"/>
      <c r="K3" s="212"/>
      <c r="L3" s="212"/>
      <c r="M3" s="212"/>
      <c r="N3" s="212"/>
      <c r="O3" s="212"/>
      <c r="P3" s="212"/>
      <c r="Q3" s="212"/>
      <c r="R3" s="212"/>
      <c r="S3" s="39"/>
      <c r="T3" s="39"/>
      <c r="U3" s="39"/>
      <c r="V3" s="38"/>
      <c r="W3" s="1"/>
      <c r="X3" s="1"/>
    </row>
    <row r="4" spans="1:603" ht="13.95" customHeight="1" x14ac:dyDescent="0.25">
      <c r="A4" s="214" t="s">
        <v>837</v>
      </c>
      <c r="B4" s="214"/>
      <c r="C4" s="214"/>
      <c r="D4" s="214"/>
      <c r="E4" s="214"/>
      <c r="F4" s="214"/>
      <c r="G4" s="214"/>
      <c r="H4" s="214"/>
      <c r="I4" s="214"/>
      <c r="J4" s="214"/>
      <c r="K4" s="214"/>
      <c r="L4" s="214"/>
      <c r="M4" s="214"/>
      <c r="N4" s="214"/>
      <c r="O4" s="214"/>
      <c r="P4" s="214"/>
      <c r="Q4" s="214"/>
      <c r="R4" s="214"/>
      <c r="S4" s="214"/>
      <c r="T4" s="214"/>
      <c r="U4" s="214"/>
      <c r="V4" s="35"/>
      <c r="W4" s="2"/>
      <c r="X4" s="2"/>
    </row>
    <row r="5" spans="1:603" ht="30" customHeight="1" x14ac:dyDescent="0.25">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261"/>
      <c r="D6" s="261"/>
      <c r="E6" s="261"/>
      <c r="F6" s="261"/>
      <c r="G6" s="261"/>
      <c r="I6" s="1"/>
      <c r="J6" s="41" t="s">
        <v>14</v>
      </c>
      <c r="L6" s="156" t="s">
        <v>848</v>
      </c>
      <c r="M6" s="156"/>
      <c r="N6" s="156"/>
      <c r="O6" s="156"/>
      <c r="P6" s="156"/>
      <c r="Q6" s="156"/>
      <c r="R6" s="156"/>
      <c r="S6" s="157"/>
    </row>
    <row r="7" spans="1:603" ht="15.75" customHeight="1" x14ac:dyDescent="0.25">
      <c r="A7" s="40" t="s">
        <v>9</v>
      </c>
      <c r="B7" s="40"/>
      <c r="C7" s="221"/>
      <c r="D7" s="221"/>
      <c r="E7" s="221"/>
      <c r="F7" s="221"/>
      <c r="G7" s="221"/>
      <c r="I7" s="42"/>
      <c r="J7" s="43" t="s">
        <v>65</v>
      </c>
      <c r="K7" s="43"/>
      <c r="L7" s="43"/>
      <c r="M7" s="43"/>
      <c r="N7" s="156"/>
      <c r="O7" s="156"/>
      <c r="P7" s="156"/>
      <c r="Q7" s="156"/>
      <c r="R7" s="156"/>
      <c r="S7" s="156"/>
      <c r="V7" s="36"/>
    </row>
    <row r="8" spans="1:603" ht="15.75" customHeight="1" x14ac:dyDescent="0.25">
      <c r="A8" s="40" t="s">
        <v>10</v>
      </c>
      <c r="B8" s="40"/>
      <c r="C8" s="221"/>
      <c r="D8" s="221"/>
      <c r="E8" s="221"/>
      <c r="F8" s="221"/>
      <c r="G8" s="221"/>
      <c r="I8" s="42"/>
      <c r="J8" s="43" t="s">
        <v>64</v>
      </c>
      <c r="K8" s="43"/>
      <c r="L8" s="43"/>
      <c r="M8" s="156"/>
      <c r="N8" s="156"/>
      <c r="O8" s="156"/>
      <c r="P8" s="156"/>
      <c r="Q8" s="156"/>
      <c r="R8" s="156"/>
      <c r="S8" s="156"/>
      <c r="V8" s="36"/>
    </row>
    <row r="9" spans="1:603" ht="15.75" customHeight="1" x14ac:dyDescent="0.25">
      <c r="A9" s="40" t="s">
        <v>763</v>
      </c>
      <c r="C9" s="221"/>
      <c r="D9" s="221"/>
      <c r="E9" s="221"/>
      <c r="F9" s="221"/>
      <c r="G9" s="221"/>
      <c r="J9" s="43" t="s">
        <v>11</v>
      </c>
      <c r="K9" s="43"/>
      <c r="L9" s="43"/>
      <c r="M9" s="267"/>
      <c r="N9" s="267"/>
      <c r="O9" s="44"/>
      <c r="P9" s="9"/>
      <c r="V9" s="36"/>
    </row>
    <row r="10" spans="1:603" ht="15.75" customHeight="1" x14ac:dyDescent="0.3">
      <c r="J10" s="45" t="s">
        <v>69</v>
      </c>
      <c r="K10" s="268"/>
      <c r="L10" s="268"/>
      <c r="M10" s="45"/>
      <c r="N10" s="46"/>
      <c r="O10" s="43" t="s">
        <v>12</v>
      </c>
      <c r="Q10" s="269"/>
      <c r="R10" s="269"/>
      <c r="S10" s="269"/>
      <c r="V10" s="36"/>
    </row>
    <row r="11" spans="1:603" s="46" customFormat="1" ht="14.25" customHeight="1" thickBot="1" x14ac:dyDescent="0.35">
      <c r="A11" s="1" t="s">
        <v>0</v>
      </c>
      <c r="B11" s="47"/>
      <c r="C11" s="47"/>
      <c r="D11" s="47"/>
      <c r="E11" s="47"/>
      <c r="F11" s="37"/>
      <c r="V11" s="48"/>
    </row>
    <row r="12" spans="1:603" s="49" customFormat="1" ht="13.95" customHeight="1" x14ac:dyDescent="0.3">
      <c r="A12" s="235" t="s">
        <v>68</v>
      </c>
      <c r="B12" s="236"/>
      <c r="C12" s="237"/>
      <c r="D12" s="229" t="s">
        <v>77</v>
      </c>
      <c r="E12" s="229"/>
      <c r="F12" s="229"/>
      <c r="G12" s="229"/>
      <c r="H12" s="10">
        <f>D27+E40</f>
        <v>0</v>
      </c>
      <c r="I12" s="46"/>
      <c r="J12" s="224" t="s">
        <v>752</v>
      </c>
      <c r="K12" s="225"/>
      <c r="L12" s="225"/>
      <c r="M12" s="226"/>
      <c r="N12" s="224" t="s">
        <v>753</v>
      </c>
      <c r="O12" s="225"/>
      <c r="P12" s="225"/>
      <c r="Q12" s="225"/>
      <c r="R12" s="225"/>
      <c r="S12" s="225"/>
      <c r="T12" s="225"/>
      <c r="U12" s="226"/>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38"/>
      <c r="B13" s="239"/>
      <c r="C13" s="240"/>
      <c r="D13" s="230" t="s">
        <v>71</v>
      </c>
      <c r="E13" s="230"/>
      <c r="F13" s="230"/>
      <c r="G13" s="230"/>
      <c r="H13" s="11">
        <f>U27</f>
        <v>0</v>
      </c>
      <c r="J13" s="220" t="s">
        <v>699</v>
      </c>
      <c r="K13" s="220"/>
      <c r="L13" s="220"/>
      <c r="M13" s="50"/>
      <c r="N13" s="51" t="s">
        <v>754</v>
      </c>
      <c r="O13" s="51"/>
      <c r="P13" s="51"/>
      <c r="Q13" s="50"/>
      <c r="R13" s="170" t="s">
        <v>755</v>
      </c>
      <c r="S13" s="170"/>
      <c r="T13" s="170"/>
      <c r="U13" s="50"/>
      <c r="V13" s="48"/>
    </row>
    <row r="14" spans="1:603" s="46" customFormat="1" ht="12.75" customHeight="1" thickBot="1" x14ac:dyDescent="0.35">
      <c r="A14" s="241"/>
      <c r="B14" s="242"/>
      <c r="C14" s="243"/>
      <c r="D14" s="231" t="s">
        <v>3</v>
      </c>
      <c r="E14" s="231"/>
      <c r="F14" s="231"/>
      <c r="G14" s="231"/>
      <c r="H14" s="12">
        <f>H12+H13</f>
        <v>0</v>
      </c>
      <c r="J14" s="220" t="s">
        <v>701</v>
      </c>
      <c r="K14" s="220"/>
      <c r="L14" s="220"/>
      <c r="M14" s="50"/>
      <c r="N14" s="51" t="s">
        <v>756</v>
      </c>
      <c r="O14" s="51"/>
      <c r="P14" s="51"/>
      <c r="Q14" s="50"/>
      <c r="R14" s="170" t="s">
        <v>757</v>
      </c>
      <c r="S14" s="170"/>
      <c r="T14" s="170"/>
      <c r="U14" s="50"/>
      <c r="V14" s="48"/>
    </row>
    <row r="15" spans="1:603" s="49" customFormat="1" ht="15" thickBot="1" x14ac:dyDescent="0.35">
      <c r="A15" s="3"/>
      <c r="B15" s="47"/>
      <c r="C15" s="47"/>
      <c r="D15" s="47"/>
      <c r="E15" s="47"/>
      <c r="F15" s="37"/>
      <c r="G15" s="46"/>
      <c r="H15" s="46"/>
      <c r="I15" s="46"/>
      <c r="J15" s="213" t="s">
        <v>700</v>
      </c>
      <c r="K15" s="213"/>
      <c r="L15" s="213"/>
      <c r="M15" s="50"/>
      <c r="N15" s="52" t="s">
        <v>758</v>
      </c>
      <c r="O15" s="52"/>
      <c r="P15" s="52"/>
      <c r="Q15" s="50"/>
      <c r="R15" s="171" t="s">
        <v>759</v>
      </c>
      <c r="S15" s="171"/>
      <c r="T15" s="171"/>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52" t="s">
        <v>59</v>
      </c>
      <c r="B16" s="253"/>
      <c r="C16" s="254"/>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83" t="s">
        <v>60</v>
      </c>
      <c r="B17" s="183"/>
      <c r="C17" s="183"/>
      <c r="D17" s="13">
        <f>D30+E42-D33-E44</f>
        <v>0</v>
      </c>
      <c r="E17" s="13">
        <f>+U30-U33</f>
        <v>0</v>
      </c>
      <c r="F17" s="14">
        <f>+E17+D17</f>
        <v>0</v>
      </c>
      <c r="G17" s="127"/>
      <c r="H17" s="128"/>
      <c r="I17" s="180" t="s">
        <v>820</v>
      </c>
      <c r="J17" s="181" t="s">
        <v>75</v>
      </c>
      <c r="K17" s="181"/>
      <c r="L17" s="181"/>
      <c r="M17" s="179" t="s">
        <v>67</v>
      </c>
      <c r="N17" s="179"/>
      <c r="O17" s="179"/>
      <c r="P17" s="179" t="s">
        <v>3</v>
      </c>
      <c r="Q17" s="263"/>
      <c r="R17" s="182" t="s">
        <v>760</v>
      </c>
      <c r="S17" s="182"/>
      <c r="T17" s="182"/>
      <c r="U17" s="123"/>
    </row>
    <row r="18" spans="1:22" s="46" customFormat="1" ht="17.7" customHeight="1" x14ac:dyDescent="0.3">
      <c r="A18" s="183" t="s">
        <v>61</v>
      </c>
      <c r="B18" s="183"/>
      <c r="C18" s="183"/>
      <c r="D18" s="15">
        <f>D33+E44</f>
        <v>0</v>
      </c>
      <c r="E18" s="16">
        <f>U33</f>
        <v>0</v>
      </c>
      <c r="F18" s="14">
        <f>+E18+D18</f>
        <v>0</v>
      </c>
      <c r="G18" s="127"/>
      <c r="H18" s="128"/>
      <c r="I18" s="180"/>
      <c r="J18" s="136" t="s">
        <v>817</v>
      </c>
      <c r="K18" s="136" t="s">
        <v>818</v>
      </c>
      <c r="L18" s="136" t="s">
        <v>819</v>
      </c>
      <c r="M18" s="136" t="s">
        <v>817</v>
      </c>
      <c r="N18" s="136" t="s">
        <v>818</v>
      </c>
      <c r="O18" s="136" t="s">
        <v>819</v>
      </c>
      <c r="P18" s="179"/>
      <c r="Q18" s="263"/>
      <c r="R18" s="182" t="s">
        <v>761</v>
      </c>
      <c r="S18" s="182"/>
      <c r="T18" s="182"/>
      <c r="U18" s="123"/>
    </row>
    <row r="19" spans="1:22" s="46" customFormat="1" ht="13.95" customHeight="1" x14ac:dyDescent="0.3">
      <c r="A19" s="183" t="s">
        <v>62</v>
      </c>
      <c r="B19" s="183"/>
      <c r="C19" s="183"/>
      <c r="D19" s="6"/>
      <c r="E19" s="8"/>
      <c r="F19" s="14">
        <f>+E19+D19</f>
        <v>0</v>
      </c>
      <c r="G19" s="127"/>
      <c r="H19" s="128"/>
      <c r="I19" s="131" t="s">
        <v>815</v>
      </c>
      <c r="J19" s="134"/>
      <c r="K19" s="134"/>
      <c r="L19" s="134"/>
      <c r="M19" s="134"/>
      <c r="N19" s="134"/>
      <c r="O19" s="134"/>
      <c r="P19" s="155">
        <f>J19+K19+L19+M19+N19+O19</f>
        <v>0</v>
      </c>
      <c r="Q19" s="130"/>
      <c r="R19" s="182" t="s">
        <v>762</v>
      </c>
      <c r="S19" s="182"/>
      <c r="T19" s="182"/>
      <c r="U19" s="123"/>
    </row>
    <row r="20" spans="1:22" s="46" customFormat="1" ht="13.95" customHeight="1" x14ac:dyDescent="0.3">
      <c r="A20" s="183" t="s">
        <v>814</v>
      </c>
      <c r="B20" s="183"/>
      <c r="C20" s="183"/>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5" customHeight="1" thickBot="1" x14ac:dyDescent="0.35">
      <c r="A21" s="183" t="s">
        <v>813</v>
      </c>
      <c r="B21" s="183"/>
      <c r="C21" s="183"/>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49" t="s">
        <v>1</v>
      </c>
      <c r="B24" s="246" t="s">
        <v>78</v>
      </c>
      <c r="C24" s="247"/>
      <c r="D24" s="248"/>
      <c r="E24" s="278" t="s">
        <v>15</v>
      </c>
      <c r="F24" s="279"/>
      <c r="G24" s="279"/>
      <c r="H24" s="279"/>
      <c r="I24" s="279"/>
      <c r="J24" s="279"/>
      <c r="K24" s="279"/>
      <c r="L24" s="279"/>
      <c r="M24" s="279"/>
      <c r="N24" s="279"/>
      <c r="O24" s="279"/>
      <c r="P24" s="279"/>
      <c r="Q24" s="279"/>
      <c r="R24" s="279"/>
      <c r="S24" s="279"/>
      <c r="T24" s="279"/>
      <c r="U24" s="270" t="s">
        <v>764</v>
      </c>
      <c r="V24" s="36"/>
    </row>
    <row r="25" spans="1:22" ht="76.5" customHeight="1" x14ac:dyDescent="0.25">
      <c r="A25" s="250"/>
      <c r="B25" s="21" t="s">
        <v>43</v>
      </c>
      <c r="C25" s="4" t="s">
        <v>44</v>
      </c>
      <c r="D25" s="244" t="s">
        <v>765</v>
      </c>
      <c r="E25" s="61" t="s">
        <v>18</v>
      </c>
      <c r="F25" s="62" t="s">
        <v>19</v>
      </c>
      <c r="G25" s="62" t="s">
        <v>20</v>
      </c>
      <c r="H25" s="62" t="s">
        <v>22</v>
      </c>
      <c r="I25" s="62" t="s">
        <v>24</v>
      </c>
      <c r="J25" s="62" t="s">
        <v>26</v>
      </c>
      <c r="K25" s="62" t="s">
        <v>28</v>
      </c>
      <c r="L25" s="62" t="s">
        <v>30</v>
      </c>
      <c r="M25" s="280" t="s">
        <v>32</v>
      </c>
      <c r="N25" s="280"/>
      <c r="O25" s="280"/>
      <c r="P25" s="280" t="s">
        <v>34</v>
      </c>
      <c r="Q25" s="280"/>
      <c r="R25" s="280"/>
      <c r="S25" s="169" t="s">
        <v>766</v>
      </c>
      <c r="T25" s="169"/>
      <c r="U25" s="271"/>
      <c r="V25" s="36"/>
    </row>
    <row r="26" spans="1:22" ht="22.5" customHeight="1" thickBot="1" x14ac:dyDescent="0.3">
      <c r="A26" s="251"/>
      <c r="B26" s="63" t="s">
        <v>16</v>
      </c>
      <c r="C26" s="64" t="s">
        <v>17</v>
      </c>
      <c r="D26" s="245"/>
      <c r="E26" s="63" t="s">
        <v>21</v>
      </c>
      <c r="F26" s="64" t="s">
        <v>23</v>
      </c>
      <c r="G26" s="64" t="s">
        <v>25</v>
      </c>
      <c r="H26" s="64" t="s">
        <v>27</v>
      </c>
      <c r="I26" s="64" t="s">
        <v>29</v>
      </c>
      <c r="J26" s="64" t="s">
        <v>31</v>
      </c>
      <c r="K26" s="64" t="s">
        <v>33</v>
      </c>
      <c r="L26" s="64" t="s">
        <v>35</v>
      </c>
      <c r="M26" s="281" t="s">
        <v>36</v>
      </c>
      <c r="N26" s="281"/>
      <c r="O26" s="281"/>
      <c r="P26" s="281" t="s">
        <v>72</v>
      </c>
      <c r="Q26" s="281"/>
      <c r="R26" s="281"/>
      <c r="S26" s="281" t="s">
        <v>73</v>
      </c>
      <c r="T26" s="281"/>
      <c r="U26" s="272"/>
      <c r="V26" s="36"/>
    </row>
    <row r="27" spans="1:22" ht="13.95" customHeight="1" x14ac:dyDescent="0.25">
      <c r="A27" s="215" t="s">
        <v>70</v>
      </c>
      <c r="B27" s="186"/>
      <c r="C27" s="164"/>
      <c r="D27" s="159">
        <f>B27+C27</f>
        <v>0</v>
      </c>
      <c r="E27" s="228"/>
      <c r="F27" s="176"/>
      <c r="G27" s="176"/>
      <c r="H27" s="176"/>
      <c r="I27" s="176"/>
      <c r="J27" s="176"/>
      <c r="K27" s="176"/>
      <c r="L27" s="176"/>
      <c r="M27" s="256" t="s">
        <v>37</v>
      </c>
      <c r="N27" s="257"/>
      <c r="O27" s="65"/>
      <c r="P27" s="256" t="s">
        <v>37</v>
      </c>
      <c r="Q27" s="257"/>
      <c r="R27" s="65"/>
      <c r="S27" s="262">
        <f>M41+M42+M43+N41+N42+N43+O41+O42</f>
        <v>0</v>
      </c>
      <c r="T27" s="262"/>
      <c r="U27" s="273">
        <f>E27+F27+G27+H27+I27+J27+K27+L27+O27+O28+O29+R27+R28+R29+S27</f>
        <v>0</v>
      </c>
      <c r="V27" s="36"/>
    </row>
    <row r="28" spans="1:22" ht="13.95" customHeight="1" x14ac:dyDescent="0.25">
      <c r="A28" s="216"/>
      <c r="B28" s="187"/>
      <c r="C28" s="165"/>
      <c r="D28" s="160"/>
      <c r="E28" s="218"/>
      <c r="F28" s="174"/>
      <c r="G28" s="174"/>
      <c r="H28" s="174"/>
      <c r="I28" s="174"/>
      <c r="J28" s="174"/>
      <c r="K28" s="174"/>
      <c r="L28" s="174"/>
      <c r="M28" s="222" t="s">
        <v>13</v>
      </c>
      <c r="N28" s="223"/>
      <c r="O28" s="66"/>
      <c r="P28" s="222" t="s">
        <v>13</v>
      </c>
      <c r="Q28" s="223"/>
      <c r="R28" s="66"/>
      <c r="S28" s="167"/>
      <c r="T28" s="167"/>
      <c r="U28" s="274"/>
      <c r="V28" s="36"/>
    </row>
    <row r="29" spans="1:22" ht="13.95" customHeight="1" x14ac:dyDescent="0.25">
      <c r="A29" s="216"/>
      <c r="B29" s="188"/>
      <c r="C29" s="166"/>
      <c r="D29" s="161"/>
      <c r="E29" s="218"/>
      <c r="F29" s="174"/>
      <c r="G29" s="174"/>
      <c r="H29" s="174"/>
      <c r="I29" s="174"/>
      <c r="J29" s="174"/>
      <c r="K29" s="174"/>
      <c r="L29" s="174"/>
      <c r="M29" s="222" t="s">
        <v>46</v>
      </c>
      <c r="N29" s="223"/>
      <c r="O29" s="66"/>
      <c r="P29" s="222" t="s">
        <v>46</v>
      </c>
      <c r="Q29" s="223"/>
      <c r="R29" s="66"/>
      <c r="S29" s="167"/>
      <c r="T29" s="167"/>
      <c r="U29" s="274"/>
      <c r="V29" s="36"/>
    </row>
    <row r="30" spans="1:22" ht="13.95" customHeight="1" x14ac:dyDescent="0.25">
      <c r="A30" s="216" t="s">
        <v>4</v>
      </c>
      <c r="B30" s="189"/>
      <c r="C30" s="211"/>
      <c r="D30" s="162">
        <f>B30+C30</f>
        <v>0</v>
      </c>
      <c r="E30" s="218"/>
      <c r="F30" s="174"/>
      <c r="G30" s="174"/>
      <c r="H30" s="174"/>
      <c r="I30" s="174"/>
      <c r="J30" s="174"/>
      <c r="K30" s="174"/>
      <c r="L30" s="174"/>
      <c r="M30" s="222" t="s">
        <v>37</v>
      </c>
      <c r="N30" s="223"/>
      <c r="O30" s="66"/>
      <c r="P30" s="222" t="s">
        <v>37</v>
      </c>
      <c r="Q30" s="223"/>
      <c r="R30" s="66"/>
      <c r="S30" s="167">
        <f>P41+P42+P43+Q41+Q42+Q43+R41+R42</f>
        <v>0</v>
      </c>
      <c r="T30" s="167"/>
      <c r="U30" s="274">
        <f>E30+F30+G30+H30+I30+J30+K30+L30+O30+O31+O32+R30+R31+R32+S30</f>
        <v>0</v>
      </c>
      <c r="V30" s="36"/>
    </row>
    <row r="31" spans="1:22" ht="13.95" customHeight="1" x14ac:dyDescent="0.25">
      <c r="A31" s="216"/>
      <c r="B31" s="187"/>
      <c r="C31" s="165"/>
      <c r="D31" s="160"/>
      <c r="E31" s="218"/>
      <c r="F31" s="174"/>
      <c r="G31" s="174"/>
      <c r="H31" s="174"/>
      <c r="I31" s="174"/>
      <c r="J31" s="174"/>
      <c r="K31" s="174"/>
      <c r="L31" s="174"/>
      <c r="M31" s="222" t="s">
        <v>13</v>
      </c>
      <c r="N31" s="223"/>
      <c r="O31" s="66"/>
      <c r="P31" s="222" t="s">
        <v>13</v>
      </c>
      <c r="Q31" s="223"/>
      <c r="R31" s="66"/>
      <c r="S31" s="167"/>
      <c r="T31" s="167"/>
      <c r="U31" s="274"/>
      <c r="V31" s="36"/>
    </row>
    <row r="32" spans="1:22" ht="13.95" customHeight="1" x14ac:dyDescent="0.25">
      <c r="A32" s="216"/>
      <c r="B32" s="188"/>
      <c r="C32" s="166"/>
      <c r="D32" s="161"/>
      <c r="E32" s="218"/>
      <c r="F32" s="174"/>
      <c r="G32" s="174"/>
      <c r="H32" s="174"/>
      <c r="I32" s="174"/>
      <c r="J32" s="174"/>
      <c r="K32" s="174"/>
      <c r="L32" s="174"/>
      <c r="M32" s="222" t="s">
        <v>46</v>
      </c>
      <c r="N32" s="223"/>
      <c r="O32" s="66"/>
      <c r="P32" s="222" t="s">
        <v>46</v>
      </c>
      <c r="Q32" s="223"/>
      <c r="R32" s="66"/>
      <c r="S32" s="167"/>
      <c r="T32" s="167"/>
      <c r="U32" s="274"/>
      <c r="V32" s="36"/>
    </row>
    <row r="33" spans="1:24" ht="13.95" customHeight="1" x14ac:dyDescent="0.25">
      <c r="A33" s="216" t="s">
        <v>5</v>
      </c>
      <c r="B33" s="189"/>
      <c r="C33" s="211"/>
      <c r="D33" s="162">
        <f>B33+C33</f>
        <v>0</v>
      </c>
      <c r="E33" s="218"/>
      <c r="F33" s="174"/>
      <c r="G33" s="174"/>
      <c r="H33" s="174"/>
      <c r="I33" s="174"/>
      <c r="J33" s="174"/>
      <c r="K33" s="174"/>
      <c r="L33" s="174"/>
      <c r="M33" s="222" t="s">
        <v>37</v>
      </c>
      <c r="N33" s="223"/>
      <c r="O33" s="66"/>
      <c r="P33" s="222" t="s">
        <v>37</v>
      </c>
      <c r="Q33" s="223"/>
      <c r="R33" s="66"/>
      <c r="S33" s="167">
        <f>S41+S42+S43+T41+T42+T43+U41+U42</f>
        <v>0</v>
      </c>
      <c r="T33" s="167"/>
      <c r="U33" s="274">
        <f>E33+F33+G33+H33+I33+J33+K33+L33+O33+O34+O35+R33+R34+R35+S33</f>
        <v>0</v>
      </c>
      <c r="V33" s="36"/>
    </row>
    <row r="34" spans="1:24" ht="13.95" customHeight="1" x14ac:dyDescent="0.25">
      <c r="A34" s="216"/>
      <c r="B34" s="187"/>
      <c r="C34" s="165"/>
      <c r="D34" s="160"/>
      <c r="E34" s="218"/>
      <c r="F34" s="174"/>
      <c r="G34" s="174"/>
      <c r="H34" s="174"/>
      <c r="I34" s="174"/>
      <c r="J34" s="174"/>
      <c r="K34" s="174"/>
      <c r="L34" s="174"/>
      <c r="M34" s="222" t="s">
        <v>13</v>
      </c>
      <c r="N34" s="223"/>
      <c r="O34" s="66"/>
      <c r="P34" s="222" t="s">
        <v>13</v>
      </c>
      <c r="Q34" s="223"/>
      <c r="R34" s="66"/>
      <c r="S34" s="167"/>
      <c r="T34" s="167"/>
      <c r="U34" s="274"/>
      <c r="V34" s="36"/>
    </row>
    <row r="35" spans="1:24" ht="13.95" customHeight="1" thickBot="1" x14ac:dyDescent="0.3">
      <c r="A35" s="217"/>
      <c r="B35" s="190"/>
      <c r="C35" s="227"/>
      <c r="D35" s="163"/>
      <c r="E35" s="219"/>
      <c r="F35" s="175"/>
      <c r="G35" s="175"/>
      <c r="H35" s="175"/>
      <c r="I35" s="175"/>
      <c r="J35" s="175"/>
      <c r="K35" s="175"/>
      <c r="L35" s="175"/>
      <c r="M35" s="276" t="s">
        <v>46</v>
      </c>
      <c r="N35" s="277"/>
      <c r="O35" s="67"/>
      <c r="P35" s="276" t="s">
        <v>46</v>
      </c>
      <c r="Q35" s="277"/>
      <c r="R35" s="67"/>
      <c r="S35" s="168"/>
      <c r="T35" s="168"/>
      <c r="U35" s="275"/>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32" t="s">
        <v>42</v>
      </c>
      <c r="B38" s="233"/>
      <c r="C38" s="233"/>
      <c r="D38" s="233"/>
      <c r="E38" s="234"/>
      <c r="F38" s="68"/>
      <c r="G38" s="382" t="s">
        <v>876</v>
      </c>
      <c r="H38" s="383"/>
      <c r="J38" s="258" t="s">
        <v>47</v>
      </c>
      <c r="K38" s="259"/>
      <c r="L38" s="259"/>
      <c r="M38" s="259"/>
      <c r="N38" s="259"/>
      <c r="O38" s="259"/>
      <c r="P38" s="259"/>
      <c r="Q38" s="259"/>
      <c r="R38" s="259"/>
      <c r="S38" s="259"/>
      <c r="T38" s="259"/>
      <c r="U38" s="260"/>
      <c r="V38" s="36"/>
    </row>
    <row r="39" spans="1:24" ht="12.75" customHeight="1" x14ac:dyDescent="0.25">
      <c r="A39" s="69"/>
      <c r="B39" s="70" t="s">
        <v>43</v>
      </c>
      <c r="C39" s="70" t="s">
        <v>44</v>
      </c>
      <c r="D39" s="70" t="s">
        <v>45</v>
      </c>
      <c r="E39" s="71" t="s">
        <v>3</v>
      </c>
      <c r="G39" s="384"/>
      <c r="H39" s="385"/>
      <c r="J39" s="198" t="s">
        <v>2</v>
      </c>
      <c r="K39" s="199"/>
      <c r="L39" s="200"/>
      <c r="M39" s="172" t="s">
        <v>6</v>
      </c>
      <c r="N39" s="172"/>
      <c r="O39" s="172"/>
      <c r="P39" s="172" t="s">
        <v>4</v>
      </c>
      <c r="Q39" s="172"/>
      <c r="R39" s="172"/>
      <c r="S39" s="172" t="s">
        <v>5</v>
      </c>
      <c r="T39" s="172"/>
      <c r="U39" s="173"/>
      <c r="V39" s="36"/>
    </row>
    <row r="40" spans="1:24" ht="15.6" customHeight="1" x14ac:dyDescent="0.25">
      <c r="A40" s="193" t="s">
        <v>39</v>
      </c>
      <c r="B40" s="196"/>
      <c r="C40" s="196"/>
      <c r="D40" s="196"/>
      <c r="E40" s="195">
        <f>B40+C40+D40</f>
        <v>0</v>
      </c>
      <c r="F40" s="192"/>
      <c r="G40" s="386" t="s">
        <v>821</v>
      </c>
      <c r="H40" s="177">
        <f>$E$17+$F$18</f>
        <v>0</v>
      </c>
      <c r="J40" s="201"/>
      <c r="K40" s="202"/>
      <c r="L40" s="203"/>
      <c r="M40" s="70" t="s">
        <v>48</v>
      </c>
      <c r="N40" s="70" t="s">
        <v>7</v>
      </c>
      <c r="O40" s="70" t="s">
        <v>49</v>
      </c>
      <c r="P40" s="70" t="s">
        <v>48</v>
      </c>
      <c r="Q40" s="70" t="s">
        <v>7</v>
      </c>
      <c r="R40" s="70" t="s">
        <v>49</v>
      </c>
      <c r="S40" s="70" t="s">
        <v>48</v>
      </c>
      <c r="T40" s="70" t="s">
        <v>7</v>
      </c>
      <c r="U40" s="71" t="s">
        <v>49</v>
      </c>
      <c r="V40" s="36"/>
    </row>
    <row r="41" spans="1:24" ht="15" customHeight="1" x14ac:dyDescent="0.25">
      <c r="A41" s="193"/>
      <c r="B41" s="210"/>
      <c r="C41" s="210"/>
      <c r="D41" s="210"/>
      <c r="E41" s="195"/>
      <c r="F41" s="192"/>
      <c r="G41" s="387"/>
      <c r="H41" s="178"/>
      <c r="J41" s="204" t="s">
        <v>50</v>
      </c>
      <c r="K41" s="205"/>
      <c r="L41" s="206"/>
      <c r="M41" s="72"/>
      <c r="N41" s="72"/>
      <c r="O41" s="72"/>
      <c r="P41" s="72"/>
      <c r="Q41" s="72"/>
      <c r="R41" s="72"/>
      <c r="S41" s="72"/>
      <c r="T41" s="72"/>
      <c r="U41" s="73"/>
      <c r="V41" s="36"/>
    </row>
    <row r="42" spans="1:24" ht="13.95" customHeight="1" x14ac:dyDescent="0.25">
      <c r="A42" s="193" t="s">
        <v>40</v>
      </c>
      <c r="B42" s="196"/>
      <c r="C42" s="196"/>
      <c r="D42" s="196"/>
      <c r="E42" s="195">
        <f>B42+C42+D42</f>
        <v>0</v>
      </c>
      <c r="F42" s="192"/>
      <c r="G42" s="386" t="s">
        <v>877</v>
      </c>
      <c r="H42" s="177"/>
      <c r="J42" s="204" t="s">
        <v>51</v>
      </c>
      <c r="K42" s="205"/>
      <c r="L42" s="206"/>
      <c r="M42" s="72"/>
      <c r="N42" s="72"/>
      <c r="O42" s="72"/>
      <c r="P42" s="72"/>
      <c r="Q42" s="72"/>
      <c r="R42" s="72"/>
      <c r="S42" s="72"/>
      <c r="T42" s="72"/>
      <c r="U42" s="73"/>
      <c r="V42" s="36"/>
    </row>
    <row r="43" spans="1:24" ht="13.95" customHeight="1" thickBot="1" x14ac:dyDescent="0.3">
      <c r="A43" s="193"/>
      <c r="B43" s="210"/>
      <c r="C43" s="210"/>
      <c r="D43" s="210"/>
      <c r="E43" s="195"/>
      <c r="F43" s="192"/>
      <c r="G43" s="387"/>
      <c r="H43" s="178"/>
      <c r="J43" s="207" t="s">
        <v>52</v>
      </c>
      <c r="K43" s="208"/>
      <c r="L43" s="209"/>
      <c r="M43" s="74"/>
      <c r="N43" s="74"/>
      <c r="O43" s="75"/>
      <c r="P43" s="74"/>
      <c r="Q43" s="74"/>
      <c r="R43" s="75"/>
      <c r="S43" s="74"/>
      <c r="T43" s="74"/>
      <c r="U43" s="76"/>
      <c r="V43" s="36"/>
    </row>
    <row r="44" spans="1:24" ht="10.5" customHeight="1" x14ac:dyDescent="0.25">
      <c r="A44" s="193" t="s">
        <v>41</v>
      </c>
      <c r="B44" s="196"/>
      <c r="C44" s="196"/>
      <c r="D44" s="196"/>
      <c r="E44" s="195">
        <f>B44+C44+D44</f>
        <v>0</v>
      </c>
      <c r="F44" s="192"/>
      <c r="G44" s="386" t="s">
        <v>878</v>
      </c>
      <c r="H44" s="177"/>
      <c r="J44" s="77" t="s">
        <v>53</v>
      </c>
      <c r="K44" s="78"/>
      <c r="L44" s="78"/>
      <c r="M44" s="78"/>
      <c r="N44" s="78"/>
      <c r="O44" s="78"/>
      <c r="P44" s="78"/>
      <c r="Q44" s="78"/>
      <c r="R44" s="78"/>
      <c r="S44" s="78"/>
      <c r="T44" s="78"/>
      <c r="U44" s="78"/>
      <c r="V44" s="79"/>
      <c r="W44" s="78"/>
      <c r="X44" s="78"/>
    </row>
    <row r="45" spans="1:24" ht="13.95" customHeight="1" thickBot="1" x14ac:dyDescent="0.3">
      <c r="A45" s="194"/>
      <c r="B45" s="197"/>
      <c r="C45" s="197"/>
      <c r="D45" s="197"/>
      <c r="E45" s="255"/>
      <c r="F45" s="192"/>
      <c r="G45" s="387"/>
      <c r="H45" s="178"/>
      <c r="V45" s="36"/>
    </row>
    <row r="46" spans="1:24" ht="15" customHeight="1" x14ac:dyDescent="0.25">
      <c r="A46" s="1"/>
      <c r="B46" s="1"/>
      <c r="C46" s="1"/>
      <c r="D46" s="1"/>
      <c r="F46" s="185" t="s">
        <v>672</v>
      </c>
      <c r="G46" s="185"/>
      <c r="H46" s="185"/>
      <c r="L46" s="78" t="s">
        <v>54</v>
      </c>
      <c r="M46" s="78"/>
      <c r="N46" s="78"/>
      <c r="O46" s="78"/>
      <c r="P46" s="78"/>
      <c r="Q46" s="266"/>
      <c r="R46" s="266"/>
      <c r="S46" s="266"/>
      <c r="T46" s="266"/>
      <c r="U46" s="266"/>
      <c r="V46" s="36"/>
    </row>
    <row r="47" spans="1:24" ht="13.95" customHeight="1" x14ac:dyDescent="0.25">
      <c r="A47" s="191"/>
      <c r="B47" s="80"/>
      <c r="C47" s="80"/>
      <c r="D47" s="80"/>
      <c r="E47" s="184"/>
      <c r="F47" s="184"/>
      <c r="G47" s="184"/>
      <c r="H47" s="184"/>
      <c r="I47" s="184"/>
      <c r="J47" s="184"/>
      <c r="K47" s="78"/>
      <c r="L47" s="78" t="s">
        <v>55</v>
      </c>
      <c r="M47" s="266"/>
      <c r="N47" s="266"/>
      <c r="O47" s="266"/>
      <c r="P47" s="266"/>
      <c r="Q47" s="78"/>
      <c r="R47" s="78"/>
      <c r="V47" s="36"/>
    </row>
    <row r="48" spans="1:24" ht="13.95" customHeight="1" x14ac:dyDescent="0.25">
      <c r="A48" s="191"/>
      <c r="B48" s="80"/>
      <c r="C48" s="80"/>
      <c r="D48" s="80"/>
      <c r="E48" s="184"/>
      <c r="F48" s="184"/>
      <c r="G48" s="184"/>
      <c r="H48" s="184"/>
      <c r="I48" s="184"/>
      <c r="J48" s="184"/>
      <c r="K48" s="78"/>
      <c r="L48" s="78" t="s">
        <v>56</v>
      </c>
      <c r="M48" s="265"/>
      <c r="N48" s="265"/>
      <c r="O48" s="265"/>
      <c r="P48" s="265"/>
      <c r="Q48" s="78"/>
      <c r="R48" s="81" t="s">
        <v>57</v>
      </c>
      <c r="S48" s="264"/>
      <c r="T48" s="264"/>
      <c r="V48" s="36"/>
    </row>
    <row r="49" spans="1:22" ht="13.95" customHeight="1" x14ac:dyDescent="0.25">
      <c r="A49" s="192"/>
      <c r="B49" s="31"/>
      <c r="C49" s="31"/>
      <c r="D49" s="31"/>
      <c r="E49" s="184"/>
      <c r="F49" s="184"/>
      <c r="G49" s="184"/>
      <c r="H49" s="184"/>
      <c r="I49" s="184"/>
      <c r="J49" s="184"/>
      <c r="K49" s="78"/>
      <c r="L49" s="78" t="s">
        <v>58</v>
      </c>
      <c r="M49" s="158"/>
      <c r="N49" s="158"/>
      <c r="O49" s="158"/>
      <c r="P49" s="158"/>
      <c r="Q49" s="78"/>
      <c r="R49" s="78"/>
      <c r="V49" s="36"/>
    </row>
    <row r="50" spans="1:22" ht="13.95" customHeight="1" x14ac:dyDescent="0.25">
      <c r="A50" s="192"/>
      <c r="B50" s="31"/>
      <c r="C50" s="31"/>
      <c r="D50" s="31"/>
      <c r="E50" s="184"/>
      <c r="F50" s="184"/>
      <c r="G50" s="184"/>
      <c r="H50" s="184"/>
      <c r="I50" s="184"/>
      <c r="J50" s="184"/>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846</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845</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844</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842</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4">
    <mergeCell ref="M35:N35"/>
    <mergeCell ref="E24:T24"/>
    <mergeCell ref="K27:K29"/>
    <mergeCell ref="M33:N33"/>
    <mergeCell ref="P25:R25"/>
    <mergeCell ref="S26:T26"/>
    <mergeCell ref="P35:Q35"/>
    <mergeCell ref="P31:Q31"/>
    <mergeCell ref="J14:L14"/>
    <mergeCell ref="M25:O25"/>
    <mergeCell ref="M26:O26"/>
    <mergeCell ref="P26:R26"/>
    <mergeCell ref="R17:T17"/>
    <mergeCell ref="P33:Q33"/>
    <mergeCell ref="C6:G6"/>
    <mergeCell ref="S27:T29"/>
    <mergeCell ref="A20:C20"/>
    <mergeCell ref="Q17:Q18"/>
    <mergeCell ref="H27:H29"/>
    <mergeCell ref="H30:H32"/>
    <mergeCell ref="C7:G7"/>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C44:C45"/>
    <mergeCell ref="D44:D45"/>
    <mergeCell ref="E44:E45"/>
    <mergeCell ref="F44:F45"/>
    <mergeCell ref="H33:H35"/>
    <mergeCell ref="F30:F32"/>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J38:U38"/>
    <mergeCell ref="M39:O39"/>
    <mergeCell ref="P39:R39"/>
    <mergeCell ref="M29:N29"/>
    <mergeCell ref="C33:C35"/>
    <mergeCell ref="E27:E29"/>
    <mergeCell ref="C42:C43"/>
    <mergeCell ref="D42:D43"/>
    <mergeCell ref="D12:G12"/>
    <mergeCell ref="D13:G13"/>
    <mergeCell ref="D14:G14"/>
    <mergeCell ref="A38:E38"/>
    <mergeCell ref="A12:C14"/>
    <mergeCell ref="A21:C21"/>
    <mergeCell ref="A40:A41"/>
    <mergeCell ref="A42:A43"/>
    <mergeCell ref="A19:C19"/>
    <mergeCell ref="D25:D26"/>
    <mergeCell ref="B24:D24"/>
    <mergeCell ref="A24:A26"/>
    <mergeCell ref="B40:B41"/>
    <mergeCell ref="A16:C16"/>
    <mergeCell ref="B42:B43"/>
    <mergeCell ref="G38:H39"/>
    <mergeCell ref="G40:G41"/>
    <mergeCell ref="H40:H41"/>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M30:N30"/>
    <mergeCell ref="M31:N31"/>
    <mergeCell ref="M32:N32"/>
    <mergeCell ref="C9:G9"/>
    <mergeCell ref="J12:M12"/>
    <mergeCell ref="N12:U12"/>
    <mergeCell ref="S30:T32"/>
    <mergeCell ref="A18:C18"/>
    <mergeCell ref="E47:J50"/>
    <mergeCell ref="F46:H46"/>
    <mergeCell ref="B27:B29"/>
    <mergeCell ref="B30:B32"/>
    <mergeCell ref="B33:B35"/>
    <mergeCell ref="A47:A48"/>
    <mergeCell ref="A49:A50"/>
    <mergeCell ref="G44:G45"/>
    <mergeCell ref="H44:H45"/>
    <mergeCell ref="A44:A45"/>
    <mergeCell ref="E40:E41"/>
    <mergeCell ref="F42:F43"/>
    <mergeCell ref="G42:G43"/>
    <mergeCell ref="H42:H43"/>
    <mergeCell ref="B44:B45"/>
    <mergeCell ref="J39:L40"/>
    <mergeCell ref="J41:L41"/>
    <mergeCell ref="J42:L42"/>
    <mergeCell ref="F40:F41"/>
    <mergeCell ref="E42:E43"/>
    <mergeCell ref="J43:L43"/>
    <mergeCell ref="C40:C41"/>
    <mergeCell ref="D40:D41"/>
    <mergeCell ref="C30:C32"/>
    <mergeCell ref="L6:S6"/>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A17:C17"/>
  </mergeCells>
  <phoneticPr fontId="4" type="noConversion"/>
  <dataValidations disablePrompts="1"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tabSelected="1" view="pageBreakPreview" topLeftCell="A25" zoomScaleSheetLayoutView="100" workbookViewId="0">
      <selection activeCell="G38" sqref="G38:H39"/>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12" t="s">
        <v>807</v>
      </c>
      <c r="B1" s="212"/>
      <c r="C1" s="212"/>
      <c r="D1" s="212"/>
      <c r="E1" s="212"/>
      <c r="F1" s="212"/>
      <c r="G1" s="212"/>
      <c r="H1" s="212"/>
      <c r="I1" s="212"/>
      <c r="J1" s="212"/>
      <c r="K1" s="212"/>
      <c r="L1" s="212"/>
      <c r="M1" s="212"/>
      <c r="N1" s="212"/>
      <c r="O1" s="212"/>
      <c r="P1" s="212"/>
      <c r="Q1" s="212"/>
      <c r="R1" s="212"/>
      <c r="S1" s="1" t="s">
        <v>66</v>
      </c>
      <c r="T1" s="1"/>
      <c r="U1" s="1"/>
      <c r="V1" s="36"/>
      <c r="W1" s="1"/>
      <c r="X1" s="1"/>
    </row>
    <row r="2" spans="1:603" ht="13.95" customHeight="1" x14ac:dyDescent="0.25">
      <c r="A2" s="212" t="s">
        <v>63</v>
      </c>
      <c r="B2" s="212"/>
      <c r="C2" s="212"/>
      <c r="D2" s="212"/>
      <c r="E2" s="212"/>
      <c r="F2" s="212"/>
      <c r="G2" s="212"/>
      <c r="H2" s="212"/>
      <c r="I2" s="212"/>
      <c r="J2" s="212"/>
      <c r="K2" s="212"/>
      <c r="L2" s="212"/>
      <c r="M2" s="212"/>
      <c r="N2" s="212"/>
      <c r="O2" s="212"/>
      <c r="P2" s="212"/>
      <c r="Q2" s="212"/>
      <c r="R2" s="212"/>
      <c r="S2" s="212"/>
      <c r="T2" s="212"/>
      <c r="U2" s="212"/>
      <c r="V2" s="38"/>
      <c r="W2" s="1"/>
      <c r="X2" s="1"/>
    </row>
    <row r="3" spans="1:603" ht="13.95" customHeight="1" x14ac:dyDescent="0.25">
      <c r="A3" s="212" t="s">
        <v>74</v>
      </c>
      <c r="B3" s="212"/>
      <c r="C3" s="212"/>
      <c r="D3" s="212"/>
      <c r="E3" s="212"/>
      <c r="F3" s="212"/>
      <c r="G3" s="212"/>
      <c r="H3" s="212"/>
      <c r="I3" s="212"/>
      <c r="J3" s="212"/>
      <c r="K3" s="212"/>
      <c r="L3" s="212"/>
      <c r="M3" s="212"/>
      <c r="N3" s="212"/>
      <c r="O3" s="212"/>
      <c r="P3" s="212"/>
      <c r="Q3" s="212"/>
      <c r="R3" s="212"/>
      <c r="S3" s="39"/>
      <c r="T3" s="39"/>
      <c r="U3" s="39"/>
      <c r="V3" s="38"/>
      <c r="W3" s="1"/>
      <c r="X3" s="1"/>
    </row>
    <row r="4" spans="1:603" ht="13.95" customHeight="1" x14ac:dyDescent="0.25">
      <c r="A4" s="214" t="s">
        <v>837</v>
      </c>
      <c r="B4" s="214"/>
      <c r="C4" s="214"/>
      <c r="D4" s="214"/>
      <c r="E4" s="214"/>
      <c r="F4" s="214"/>
      <c r="G4" s="214"/>
      <c r="H4" s="214"/>
      <c r="I4" s="214"/>
      <c r="J4" s="214"/>
      <c r="K4" s="214"/>
      <c r="L4" s="214"/>
      <c r="M4" s="214"/>
      <c r="N4" s="214"/>
      <c r="O4" s="214"/>
      <c r="P4" s="214"/>
      <c r="Q4" s="214"/>
      <c r="R4" s="214"/>
      <c r="S4" s="214"/>
      <c r="T4" s="214"/>
      <c r="U4" s="214"/>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88">
        <f>'DR-TB 10A (Sputum &amp; EP Sample)'!C6:G6</f>
        <v>0</v>
      </c>
      <c r="D6" s="288"/>
      <c r="E6" s="288"/>
      <c r="F6" s="288"/>
      <c r="G6" s="288"/>
      <c r="I6" s="1"/>
      <c r="J6" s="41" t="s">
        <v>14</v>
      </c>
      <c r="L6" s="156" t="str">
        <f>'DR-TB 10A (Sputum &amp; EP Sample)'!L6</f>
        <v>&lt;Dates&gt;</v>
      </c>
      <c r="M6" s="156"/>
      <c r="N6" s="156"/>
      <c r="O6" s="156"/>
      <c r="P6" s="156"/>
      <c r="Q6" s="156"/>
      <c r="R6" s="156"/>
      <c r="S6" s="157"/>
    </row>
    <row r="7" spans="1:603" ht="15.75" customHeight="1" x14ac:dyDescent="0.25">
      <c r="A7" s="40" t="s">
        <v>9</v>
      </c>
      <c r="B7" s="40"/>
      <c r="C7" s="285">
        <f>'DR-TB 10A (Sputum &amp; EP Sample)'!C7:G7</f>
        <v>0</v>
      </c>
      <c r="D7" s="285"/>
      <c r="E7" s="285"/>
      <c r="F7" s="285"/>
      <c r="G7" s="285"/>
      <c r="I7" s="42"/>
      <c r="J7" s="43" t="s">
        <v>65</v>
      </c>
      <c r="K7" s="43"/>
      <c r="L7" s="43"/>
      <c r="M7" s="43"/>
      <c r="N7" s="286">
        <f>'DR-TB 10A (Sputum &amp; EP Sample)'!N7</f>
        <v>0</v>
      </c>
      <c r="O7" s="286"/>
      <c r="P7" s="286"/>
      <c r="Q7" s="286"/>
      <c r="R7" s="286"/>
      <c r="S7" s="286"/>
      <c r="V7" s="36"/>
    </row>
    <row r="8" spans="1:603" ht="15.75" customHeight="1" x14ac:dyDescent="0.25">
      <c r="A8" s="40" t="s">
        <v>10</v>
      </c>
      <c r="B8" s="40"/>
      <c r="C8" s="285">
        <f>'DR-TB 10A (Sputum &amp; EP Sample)'!C8:G8</f>
        <v>0</v>
      </c>
      <c r="D8" s="285"/>
      <c r="E8" s="285"/>
      <c r="F8" s="285"/>
      <c r="G8" s="285"/>
      <c r="I8" s="42"/>
      <c r="J8" s="43" t="s">
        <v>64</v>
      </c>
      <c r="K8" s="43"/>
      <c r="L8" s="43"/>
      <c r="M8" s="286">
        <f>'DR-TB 10A (Sputum &amp; EP Sample)'!M8</f>
        <v>0</v>
      </c>
      <c r="N8" s="286"/>
      <c r="O8" s="286"/>
      <c r="P8" s="286"/>
      <c r="Q8" s="286"/>
      <c r="R8" s="286"/>
      <c r="S8" s="286"/>
      <c r="V8" s="36"/>
    </row>
    <row r="9" spans="1:603" ht="15.75" customHeight="1" x14ac:dyDescent="0.25">
      <c r="A9" s="40" t="s">
        <v>763</v>
      </c>
      <c r="C9" s="221"/>
      <c r="D9" s="221"/>
      <c r="E9" s="221"/>
      <c r="F9" s="221"/>
      <c r="G9" s="221"/>
      <c r="J9" s="43" t="s">
        <v>11</v>
      </c>
      <c r="K9" s="43"/>
      <c r="L9" s="43"/>
      <c r="M9" s="287">
        <f>'DR-TB 10A (Sputum &amp; EP Sample)'!M9</f>
        <v>0</v>
      </c>
      <c r="N9" s="287"/>
      <c r="O9" s="44"/>
      <c r="P9" s="9"/>
      <c r="V9" s="36"/>
    </row>
    <row r="10" spans="1:603" ht="15.75" customHeight="1" x14ac:dyDescent="0.3">
      <c r="J10" s="45" t="s">
        <v>69</v>
      </c>
      <c r="K10" s="282">
        <f>'DR-TB 10A (Sputum &amp; EP Sample)'!K10:L10</f>
        <v>0</v>
      </c>
      <c r="L10" s="282"/>
      <c r="M10" s="45"/>
      <c r="N10" s="46"/>
      <c r="O10" s="43"/>
      <c r="P10" s="37" t="s">
        <v>843</v>
      </c>
      <c r="Q10" s="283">
        <f>'DR-TB 10A (Sputum &amp; EP Sample)'!Q10:S10</f>
        <v>0</v>
      </c>
      <c r="R10" s="284"/>
      <c r="S10" s="284"/>
      <c r="V10" s="36"/>
    </row>
    <row r="11" spans="1:603" s="46" customFormat="1" ht="14.25" customHeight="1" thickBot="1" x14ac:dyDescent="0.35">
      <c r="A11" s="1" t="s">
        <v>0</v>
      </c>
      <c r="B11" s="47"/>
      <c r="C11" s="47"/>
      <c r="D11" s="47"/>
      <c r="E11" s="47"/>
      <c r="F11" s="37"/>
      <c r="V11" s="48"/>
    </row>
    <row r="12" spans="1:603" s="49" customFormat="1" ht="13.95" customHeight="1" x14ac:dyDescent="0.3">
      <c r="A12" s="235" t="s">
        <v>68</v>
      </c>
      <c r="B12" s="236"/>
      <c r="C12" s="237"/>
      <c r="D12" s="229" t="s">
        <v>77</v>
      </c>
      <c r="E12" s="229"/>
      <c r="F12" s="229"/>
      <c r="G12" s="229"/>
      <c r="H12" s="10">
        <f>D27+E40</f>
        <v>0</v>
      </c>
      <c r="I12" s="46"/>
      <c r="J12" s="224" t="s">
        <v>752</v>
      </c>
      <c r="K12" s="225"/>
      <c r="L12" s="225"/>
      <c r="M12" s="226"/>
      <c r="N12" s="224" t="s">
        <v>753</v>
      </c>
      <c r="O12" s="225"/>
      <c r="P12" s="225"/>
      <c r="Q12" s="225"/>
      <c r="R12" s="225"/>
      <c r="S12" s="225"/>
      <c r="T12" s="225"/>
      <c r="U12" s="226"/>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38"/>
      <c r="B13" s="239"/>
      <c r="C13" s="240"/>
      <c r="D13" s="230" t="s">
        <v>71</v>
      </c>
      <c r="E13" s="230"/>
      <c r="F13" s="230"/>
      <c r="G13" s="230"/>
      <c r="H13" s="11">
        <f>U27</f>
        <v>0</v>
      </c>
      <c r="J13" s="220" t="s">
        <v>699</v>
      </c>
      <c r="K13" s="220"/>
      <c r="L13" s="220"/>
      <c r="M13" s="140">
        <f>'DR-TB 10A (Sputum &amp; EP Sample)'!M13</f>
        <v>0</v>
      </c>
      <c r="N13" s="51" t="s">
        <v>754</v>
      </c>
      <c r="O13" s="51"/>
      <c r="P13" s="51"/>
      <c r="Q13" s="140">
        <f>'DR-TB 10A (Sputum &amp; EP Sample)'!Q13</f>
        <v>0</v>
      </c>
      <c r="R13" s="170" t="s">
        <v>755</v>
      </c>
      <c r="S13" s="170"/>
      <c r="T13" s="170"/>
      <c r="U13" s="140">
        <f>'DR-TB 10A (Sputum &amp; EP Sample)'!U13</f>
        <v>0</v>
      </c>
      <c r="V13" s="48"/>
    </row>
    <row r="14" spans="1:603" s="46" customFormat="1" ht="12.75" customHeight="1" thickBot="1" x14ac:dyDescent="0.35">
      <c r="A14" s="241"/>
      <c r="B14" s="242"/>
      <c r="C14" s="243"/>
      <c r="D14" s="231" t="s">
        <v>3</v>
      </c>
      <c r="E14" s="231"/>
      <c r="F14" s="231"/>
      <c r="G14" s="231"/>
      <c r="H14" s="12">
        <f>H12+H13</f>
        <v>0</v>
      </c>
      <c r="J14" s="220" t="s">
        <v>701</v>
      </c>
      <c r="K14" s="220"/>
      <c r="L14" s="220"/>
      <c r="M14" s="140">
        <f>'DR-TB 10A (Sputum &amp; EP Sample)'!M14</f>
        <v>0</v>
      </c>
      <c r="N14" s="51" t="s">
        <v>756</v>
      </c>
      <c r="O14" s="51"/>
      <c r="P14" s="51"/>
      <c r="Q14" s="140">
        <f>'DR-TB 10A (Sputum &amp; EP Sample)'!Q14</f>
        <v>0</v>
      </c>
      <c r="R14" s="170" t="s">
        <v>757</v>
      </c>
      <c r="S14" s="170"/>
      <c r="T14" s="170"/>
      <c r="U14" s="140">
        <f>'DR-TB 10A (Sputum &amp; EP Sample)'!U14</f>
        <v>0</v>
      </c>
      <c r="V14" s="48"/>
    </row>
    <row r="15" spans="1:603" s="49" customFormat="1" ht="15" thickBot="1" x14ac:dyDescent="0.35">
      <c r="A15" s="3"/>
      <c r="B15" s="47"/>
      <c r="C15" s="47"/>
      <c r="D15" s="47"/>
      <c r="E15" s="47"/>
      <c r="F15" s="37"/>
      <c r="G15" s="46"/>
      <c r="H15" s="46"/>
      <c r="I15" s="46"/>
      <c r="J15" s="213" t="s">
        <v>700</v>
      </c>
      <c r="K15" s="213"/>
      <c r="L15" s="213"/>
      <c r="M15" s="140">
        <f>'DR-TB 10A (Sputum &amp; EP Sample)'!M15</f>
        <v>0</v>
      </c>
      <c r="N15" s="52" t="s">
        <v>758</v>
      </c>
      <c r="O15" s="52"/>
      <c r="P15" s="52"/>
      <c r="Q15" s="140">
        <f>'DR-TB 10A (Sputum &amp; EP Sample)'!Q15</f>
        <v>0</v>
      </c>
      <c r="R15" s="171" t="s">
        <v>759</v>
      </c>
      <c r="S15" s="171"/>
      <c r="T15" s="171"/>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52" t="s">
        <v>59</v>
      </c>
      <c r="B16" s="253"/>
      <c r="C16" s="254"/>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83" t="s">
        <v>60</v>
      </c>
      <c r="B17" s="183"/>
      <c r="C17" s="183"/>
      <c r="D17" s="13">
        <f>D30+E42-D33-E44</f>
        <v>0</v>
      </c>
      <c r="E17" s="13">
        <f>+U30-U33</f>
        <v>0</v>
      </c>
      <c r="F17" s="14">
        <f>+E17+D17</f>
        <v>0</v>
      </c>
      <c r="G17" s="127"/>
      <c r="H17" s="128"/>
      <c r="I17" s="180" t="s">
        <v>820</v>
      </c>
      <c r="J17" s="181" t="s">
        <v>75</v>
      </c>
      <c r="K17" s="181"/>
      <c r="L17" s="181"/>
      <c r="M17" s="179" t="s">
        <v>67</v>
      </c>
      <c r="N17" s="179"/>
      <c r="O17" s="179"/>
      <c r="P17" s="179" t="s">
        <v>3</v>
      </c>
      <c r="Q17" s="263"/>
      <c r="R17" s="182" t="s">
        <v>760</v>
      </c>
      <c r="S17" s="182"/>
      <c r="T17" s="182"/>
      <c r="U17" s="141">
        <f>'DR-TB 10A (Sputum &amp; EP Sample)'!U17</f>
        <v>0</v>
      </c>
    </row>
    <row r="18" spans="1:22" s="46" customFormat="1" ht="17.7" customHeight="1" x14ac:dyDescent="0.3">
      <c r="A18" s="183" t="s">
        <v>61</v>
      </c>
      <c r="B18" s="183"/>
      <c r="C18" s="183"/>
      <c r="D18" s="15">
        <f>D33+E44</f>
        <v>0</v>
      </c>
      <c r="E18" s="16">
        <f>U33</f>
        <v>0</v>
      </c>
      <c r="F18" s="14">
        <f>+E18+D18</f>
        <v>0</v>
      </c>
      <c r="G18" s="127"/>
      <c r="H18" s="128"/>
      <c r="I18" s="180"/>
      <c r="J18" s="136" t="s">
        <v>817</v>
      </c>
      <c r="K18" s="136" t="s">
        <v>818</v>
      </c>
      <c r="L18" s="136" t="s">
        <v>819</v>
      </c>
      <c r="M18" s="136" t="s">
        <v>817</v>
      </c>
      <c r="N18" s="136" t="s">
        <v>818</v>
      </c>
      <c r="O18" s="136" t="s">
        <v>819</v>
      </c>
      <c r="P18" s="179"/>
      <c r="Q18" s="263"/>
      <c r="R18" s="182" t="s">
        <v>761</v>
      </c>
      <c r="S18" s="182"/>
      <c r="T18" s="182"/>
      <c r="U18" s="141">
        <f>'DR-TB 10A (Sputum &amp; EP Sample)'!U18</f>
        <v>0</v>
      </c>
    </row>
    <row r="19" spans="1:22" s="46" customFormat="1" ht="13.95" customHeight="1" x14ac:dyDescent="0.3">
      <c r="A19" s="183" t="s">
        <v>62</v>
      </c>
      <c r="B19" s="183"/>
      <c r="C19" s="183"/>
      <c r="D19" s="6"/>
      <c r="E19" s="8"/>
      <c r="F19" s="14">
        <f>+E19+D19</f>
        <v>0</v>
      </c>
      <c r="G19" s="127"/>
      <c r="H19" s="128"/>
      <c r="I19" s="131" t="s">
        <v>815</v>
      </c>
      <c r="J19" s="134"/>
      <c r="K19" s="134"/>
      <c r="L19" s="134"/>
      <c r="M19" s="134"/>
      <c r="N19" s="134"/>
      <c r="O19" s="134"/>
      <c r="P19" s="132">
        <f>J19+K19+L19+M19+N19+O19</f>
        <v>0</v>
      </c>
      <c r="Q19" s="130"/>
      <c r="R19" s="182" t="s">
        <v>762</v>
      </c>
      <c r="S19" s="182"/>
      <c r="T19" s="182"/>
      <c r="U19" s="141">
        <f>'DR-TB 10A (Sputum &amp; EP Sample)'!U19</f>
        <v>0</v>
      </c>
    </row>
    <row r="20" spans="1:22" s="46" customFormat="1" ht="13.95" customHeight="1" x14ac:dyDescent="0.3">
      <c r="A20" s="183" t="s">
        <v>814</v>
      </c>
      <c r="B20" s="183"/>
      <c r="C20" s="183"/>
      <c r="D20" s="124"/>
      <c r="E20" s="125"/>
      <c r="F20" s="14">
        <f>+E20+D20</f>
        <v>0</v>
      </c>
      <c r="I20" s="131" t="s">
        <v>816</v>
      </c>
      <c r="J20" s="134"/>
      <c r="K20" s="134"/>
      <c r="L20" s="134"/>
      <c r="M20" s="134"/>
      <c r="N20" s="134"/>
      <c r="O20" s="134"/>
      <c r="P20" s="132">
        <f>J20+K20+L20+M20+N20+O20</f>
        <v>0</v>
      </c>
      <c r="Q20" s="130"/>
      <c r="T20" s="129"/>
      <c r="U20" s="126"/>
    </row>
    <row r="21" spans="1:22" s="46" customFormat="1" ht="13.95" customHeight="1" thickBot="1" x14ac:dyDescent="0.35">
      <c r="A21" s="183" t="s">
        <v>813</v>
      </c>
      <c r="B21" s="183"/>
      <c r="C21" s="183"/>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49" t="s">
        <v>1</v>
      </c>
      <c r="B24" s="246" t="s">
        <v>78</v>
      </c>
      <c r="C24" s="247"/>
      <c r="D24" s="248"/>
      <c r="E24" s="278" t="s">
        <v>15</v>
      </c>
      <c r="F24" s="279"/>
      <c r="G24" s="279"/>
      <c r="H24" s="279"/>
      <c r="I24" s="279"/>
      <c r="J24" s="279"/>
      <c r="K24" s="279"/>
      <c r="L24" s="279"/>
      <c r="M24" s="279"/>
      <c r="N24" s="279"/>
      <c r="O24" s="279"/>
      <c r="P24" s="279"/>
      <c r="Q24" s="279"/>
      <c r="R24" s="279"/>
      <c r="S24" s="279"/>
      <c r="T24" s="279"/>
      <c r="U24" s="270" t="s">
        <v>764</v>
      </c>
      <c r="V24" s="36"/>
    </row>
    <row r="25" spans="1:22" ht="76.5" customHeight="1" x14ac:dyDescent="0.25">
      <c r="A25" s="250"/>
      <c r="B25" s="21" t="s">
        <v>43</v>
      </c>
      <c r="C25" s="4" t="s">
        <v>44</v>
      </c>
      <c r="D25" s="244" t="s">
        <v>765</v>
      </c>
      <c r="E25" s="61" t="s">
        <v>18</v>
      </c>
      <c r="F25" s="62" t="s">
        <v>19</v>
      </c>
      <c r="G25" s="62" t="s">
        <v>20</v>
      </c>
      <c r="H25" s="62" t="s">
        <v>22</v>
      </c>
      <c r="I25" s="62" t="s">
        <v>24</v>
      </c>
      <c r="J25" s="62" t="s">
        <v>26</v>
      </c>
      <c r="K25" s="62" t="s">
        <v>28</v>
      </c>
      <c r="L25" s="62" t="s">
        <v>30</v>
      </c>
      <c r="M25" s="280" t="s">
        <v>32</v>
      </c>
      <c r="N25" s="280"/>
      <c r="O25" s="280"/>
      <c r="P25" s="280" t="s">
        <v>34</v>
      </c>
      <c r="Q25" s="280"/>
      <c r="R25" s="280"/>
      <c r="S25" s="169" t="s">
        <v>766</v>
      </c>
      <c r="T25" s="169"/>
      <c r="U25" s="271"/>
      <c r="V25" s="36"/>
    </row>
    <row r="26" spans="1:22" ht="22.5" customHeight="1" thickBot="1" x14ac:dyDescent="0.3">
      <c r="A26" s="251"/>
      <c r="B26" s="63" t="s">
        <v>16</v>
      </c>
      <c r="C26" s="64" t="s">
        <v>17</v>
      </c>
      <c r="D26" s="245"/>
      <c r="E26" s="63" t="s">
        <v>21</v>
      </c>
      <c r="F26" s="64" t="s">
        <v>23</v>
      </c>
      <c r="G26" s="64" t="s">
        <v>25</v>
      </c>
      <c r="H26" s="64" t="s">
        <v>27</v>
      </c>
      <c r="I26" s="64" t="s">
        <v>29</v>
      </c>
      <c r="J26" s="64" t="s">
        <v>31</v>
      </c>
      <c r="K26" s="64" t="s">
        <v>33</v>
      </c>
      <c r="L26" s="64" t="s">
        <v>35</v>
      </c>
      <c r="M26" s="281" t="s">
        <v>36</v>
      </c>
      <c r="N26" s="281"/>
      <c r="O26" s="281"/>
      <c r="P26" s="281" t="s">
        <v>72</v>
      </c>
      <c r="Q26" s="281"/>
      <c r="R26" s="281"/>
      <c r="S26" s="281" t="s">
        <v>73</v>
      </c>
      <c r="T26" s="281"/>
      <c r="U26" s="272"/>
      <c r="V26" s="36"/>
    </row>
    <row r="27" spans="1:22" ht="13.95" customHeight="1" x14ac:dyDescent="0.25">
      <c r="A27" s="215" t="s">
        <v>70</v>
      </c>
      <c r="B27" s="186"/>
      <c r="C27" s="164"/>
      <c r="D27" s="159">
        <f>B27+C27</f>
        <v>0</v>
      </c>
      <c r="E27" s="228"/>
      <c r="F27" s="176"/>
      <c r="G27" s="176"/>
      <c r="H27" s="176"/>
      <c r="I27" s="176"/>
      <c r="J27" s="176"/>
      <c r="K27" s="176"/>
      <c r="L27" s="176"/>
      <c r="M27" s="256" t="s">
        <v>37</v>
      </c>
      <c r="N27" s="257"/>
      <c r="O27" s="65"/>
      <c r="P27" s="256" t="s">
        <v>37</v>
      </c>
      <c r="Q27" s="257"/>
      <c r="R27" s="65"/>
      <c r="S27" s="262">
        <f>M41+M42+M43+N41+N42+N43+O41+O42</f>
        <v>0</v>
      </c>
      <c r="T27" s="262"/>
      <c r="U27" s="273">
        <f>E27+F27+G27+H27+I27+J27+K27+L27+O27+O28+O29+R27+R28+R29+S27</f>
        <v>0</v>
      </c>
      <c r="V27" s="36"/>
    </row>
    <row r="28" spans="1:22" ht="13.95" customHeight="1" x14ac:dyDescent="0.25">
      <c r="A28" s="216"/>
      <c r="B28" s="187"/>
      <c r="C28" s="165"/>
      <c r="D28" s="160"/>
      <c r="E28" s="218"/>
      <c r="F28" s="174"/>
      <c r="G28" s="174"/>
      <c r="H28" s="174"/>
      <c r="I28" s="174"/>
      <c r="J28" s="174"/>
      <c r="K28" s="174"/>
      <c r="L28" s="174"/>
      <c r="M28" s="222" t="s">
        <v>13</v>
      </c>
      <c r="N28" s="223"/>
      <c r="O28" s="66"/>
      <c r="P28" s="222" t="s">
        <v>13</v>
      </c>
      <c r="Q28" s="223"/>
      <c r="R28" s="66"/>
      <c r="S28" s="167"/>
      <c r="T28" s="167"/>
      <c r="U28" s="274"/>
      <c r="V28" s="36"/>
    </row>
    <row r="29" spans="1:22" ht="13.95" customHeight="1" x14ac:dyDescent="0.25">
      <c r="A29" s="216"/>
      <c r="B29" s="188"/>
      <c r="C29" s="166"/>
      <c r="D29" s="161"/>
      <c r="E29" s="218"/>
      <c r="F29" s="174"/>
      <c r="G29" s="174"/>
      <c r="H29" s="174"/>
      <c r="I29" s="174"/>
      <c r="J29" s="174"/>
      <c r="K29" s="174"/>
      <c r="L29" s="174"/>
      <c r="M29" s="222" t="s">
        <v>46</v>
      </c>
      <c r="N29" s="223"/>
      <c r="O29" s="66"/>
      <c r="P29" s="222" t="s">
        <v>46</v>
      </c>
      <c r="Q29" s="223"/>
      <c r="R29" s="66"/>
      <c r="S29" s="167"/>
      <c r="T29" s="167"/>
      <c r="U29" s="274"/>
      <c r="V29" s="36"/>
    </row>
    <row r="30" spans="1:22" ht="13.95" customHeight="1" x14ac:dyDescent="0.25">
      <c r="A30" s="216" t="s">
        <v>4</v>
      </c>
      <c r="B30" s="189"/>
      <c r="C30" s="211"/>
      <c r="D30" s="162">
        <f>B30+C30</f>
        <v>0</v>
      </c>
      <c r="E30" s="218"/>
      <c r="F30" s="174"/>
      <c r="G30" s="174"/>
      <c r="H30" s="174"/>
      <c r="I30" s="174"/>
      <c r="J30" s="174"/>
      <c r="K30" s="174"/>
      <c r="L30" s="174"/>
      <c r="M30" s="222" t="s">
        <v>37</v>
      </c>
      <c r="N30" s="223"/>
      <c r="O30" s="66"/>
      <c r="P30" s="222" t="s">
        <v>37</v>
      </c>
      <c r="Q30" s="223"/>
      <c r="R30" s="66"/>
      <c r="S30" s="167">
        <f>P41+P42+P43+Q41+Q42+Q43+R41+R42</f>
        <v>0</v>
      </c>
      <c r="T30" s="167"/>
      <c r="U30" s="274">
        <f>E30+F30+G30+H30+I30+J30+K30+L30+O30+O31+O32+R30+R31+R32+S30</f>
        <v>0</v>
      </c>
      <c r="V30" s="36"/>
    </row>
    <row r="31" spans="1:22" ht="13.95" customHeight="1" x14ac:dyDescent="0.25">
      <c r="A31" s="216"/>
      <c r="B31" s="187"/>
      <c r="C31" s="165"/>
      <c r="D31" s="160"/>
      <c r="E31" s="218"/>
      <c r="F31" s="174"/>
      <c r="G31" s="174"/>
      <c r="H31" s="174"/>
      <c r="I31" s="174"/>
      <c r="J31" s="174"/>
      <c r="K31" s="174"/>
      <c r="L31" s="174"/>
      <c r="M31" s="222" t="s">
        <v>13</v>
      </c>
      <c r="N31" s="223"/>
      <c r="O31" s="66"/>
      <c r="P31" s="222" t="s">
        <v>13</v>
      </c>
      <c r="Q31" s="223"/>
      <c r="R31" s="66"/>
      <c r="S31" s="167"/>
      <c r="T31" s="167"/>
      <c r="U31" s="274"/>
      <c r="V31" s="36"/>
    </row>
    <row r="32" spans="1:22" ht="13.95" customHeight="1" x14ac:dyDescent="0.25">
      <c r="A32" s="216"/>
      <c r="B32" s="188"/>
      <c r="C32" s="166"/>
      <c r="D32" s="161"/>
      <c r="E32" s="218"/>
      <c r="F32" s="174"/>
      <c r="G32" s="174"/>
      <c r="H32" s="174"/>
      <c r="I32" s="174"/>
      <c r="J32" s="174"/>
      <c r="K32" s="174"/>
      <c r="L32" s="174"/>
      <c r="M32" s="222" t="s">
        <v>46</v>
      </c>
      <c r="N32" s="223"/>
      <c r="O32" s="66"/>
      <c r="P32" s="222" t="s">
        <v>46</v>
      </c>
      <c r="Q32" s="223"/>
      <c r="R32" s="66"/>
      <c r="S32" s="167"/>
      <c r="T32" s="167"/>
      <c r="U32" s="274"/>
      <c r="V32" s="36"/>
    </row>
    <row r="33" spans="1:24" ht="13.95" customHeight="1" x14ac:dyDescent="0.25">
      <c r="A33" s="216" t="s">
        <v>5</v>
      </c>
      <c r="B33" s="189"/>
      <c r="C33" s="211"/>
      <c r="D33" s="162">
        <f>B33+C33</f>
        <v>0</v>
      </c>
      <c r="E33" s="218"/>
      <c r="F33" s="174"/>
      <c r="G33" s="174"/>
      <c r="H33" s="174"/>
      <c r="I33" s="174"/>
      <c r="J33" s="174"/>
      <c r="K33" s="174"/>
      <c r="L33" s="174"/>
      <c r="M33" s="222" t="s">
        <v>37</v>
      </c>
      <c r="N33" s="223"/>
      <c r="O33" s="66"/>
      <c r="P33" s="222" t="s">
        <v>37</v>
      </c>
      <c r="Q33" s="223"/>
      <c r="R33" s="66"/>
      <c r="S33" s="167">
        <f>S41+S42+S43+T41+T42+T43+U41+U42</f>
        <v>0</v>
      </c>
      <c r="T33" s="167"/>
      <c r="U33" s="274">
        <f>E33+F33+G33+H33+I33+J33+K33+L33+O33+O34+O35+R33+R34+R35+S33</f>
        <v>0</v>
      </c>
      <c r="V33" s="36"/>
    </row>
    <row r="34" spans="1:24" ht="13.95" customHeight="1" x14ac:dyDescent="0.25">
      <c r="A34" s="216"/>
      <c r="B34" s="187"/>
      <c r="C34" s="165"/>
      <c r="D34" s="160"/>
      <c r="E34" s="218"/>
      <c r="F34" s="174"/>
      <c r="G34" s="174"/>
      <c r="H34" s="174"/>
      <c r="I34" s="174"/>
      <c r="J34" s="174"/>
      <c r="K34" s="174"/>
      <c r="L34" s="174"/>
      <c r="M34" s="222" t="s">
        <v>13</v>
      </c>
      <c r="N34" s="223"/>
      <c r="O34" s="66"/>
      <c r="P34" s="222" t="s">
        <v>13</v>
      </c>
      <c r="Q34" s="223"/>
      <c r="R34" s="66"/>
      <c r="S34" s="167"/>
      <c r="T34" s="167"/>
      <c r="U34" s="274"/>
      <c r="V34" s="36"/>
    </row>
    <row r="35" spans="1:24" ht="13.95" customHeight="1" thickBot="1" x14ac:dyDescent="0.3">
      <c r="A35" s="217"/>
      <c r="B35" s="190"/>
      <c r="C35" s="227"/>
      <c r="D35" s="163"/>
      <c r="E35" s="219"/>
      <c r="F35" s="175"/>
      <c r="G35" s="175"/>
      <c r="H35" s="175"/>
      <c r="I35" s="175"/>
      <c r="J35" s="175"/>
      <c r="K35" s="175"/>
      <c r="L35" s="175"/>
      <c r="M35" s="276" t="s">
        <v>46</v>
      </c>
      <c r="N35" s="277"/>
      <c r="O35" s="67"/>
      <c r="P35" s="276" t="s">
        <v>46</v>
      </c>
      <c r="Q35" s="277"/>
      <c r="R35" s="67"/>
      <c r="S35" s="168"/>
      <c r="T35" s="168"/>
      <c r="U35" s="275"/>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32" t="s">
        <v>42</v>
      </c>
      <c r="B38" s="233"/>
      <c r="C38" s="233"/>
      <c r="D38" s="233"/>
      <c r="E38" s="234"/>
      <c r="F38" s="68"/>
      <c r="G38" s="382" t="s">
        <v>876</v>
      </c>
      <c r="H38" s="383"/>
      <c r="J38" s="258" t="s">
        <v>47</v>
      </c>
      <c r="K38" s="259"/>
      <c r="L38" s="259"/>
      <c r="M38" s="259"/>
      <c r="N38" s="259"/>
      <c r="O38" s="259"/>
      <c r="P38" s="259"/>
      <c r="Q38" s="259"/>
      <c r="R38" s="259"/>
      <c r="S38" s="259"/>
      <c r="T38" s="259"/>
      <c r="U38" s="260"/>
      <c r="V38" s="36"/>
    </row>
    <row r="39" spans="1:24" ht="12.75" customHeight="1" x14ac:dyDescent="0.25">
      <c r="A39" s="69"/>
      <c r="B39" s="70" t="s">
        <v>43</v>
      </c>
      <c r="C39" s="70" t="s">
        <v>44</v>
      </c>
      <c r="D39" s="70" t="s">
        <v>45</v>
      </c>
      <c r="E39" s="71" t="s">
        <v>3</v>
      </c>
      <c r="G39" s="384"/>
      <c r="H39" s="385"/>
      <c r="J39" s="198" t="s">
        <v>2</v>
      </c>
      <c r="K39" s="199"/>
      <c r="L39" s="200"/>
      <c r="M39" s="172" t="s">
        <v>6</v>
      </c>
      <c r="N39" s="172"/>
      <c r="O39" s="172"/>
      <c r="P39" s="172" t="s">
        <v>4</v>
      </c>
      <c r="Q39" s="172"/>
      <c r="R39" s="172"/>
      <c r="S39" s="172" t="s">
        <v>5</v>
      </c>
      <c r="T39" s="172"/>
      <c r="U39" s="173"/>
      <c r="V39" s="36"/>
    </row>
    <row r="40" spans="1:24" ht="15.6" customHeight="1" x14ac:dyDescent="0.25">
      <c r="A40" s="193" t="s">
        <v>39</v>
      </c>
      <c r="B40" s="196"/>
      <c r="C40" s="196"/>
      <c r="D40" s="196"/>
      <c r="E40" s="195">
        <f>B40+C40+D40</f>
        <v>0</v>
      </c>
      <c r="F40" s="192"/>
      <c r="G40" s="386" t="s">
        <v>821</v>
      </c>
      <c r="H40" s="177">
        <f>$E$17+$F$18</f>
        <v>0</v>
      </c>
      <c r="J40" s="201"/>
      <c r="K40" s="202"/>
      <c r="L40" s="203"/>
      <c r="M40" s="70" t="s">
        <v>48</v>
      </c>
      <c r="N40" s="70" t="s">
        <v>7</v>
      </c>
      <c r="O40" s="70" t="s">
        <v>49</v>
      </c>
      <c r="P40" s="70" t="s">
        <v>48</v>
      </c>
      <c r="Q40" s="70" t="s">
        <v>7</v>
      </c>
      <c r="R40" s="70" t="s">
        <v>49</v>
      </c>
      <c r="S40" s="70" t="s">
        <v>48</v>
      </c>
      <c r="T40" s="70" t="s">
        <v>7</v>
      </c>
      <c r="U40" s="71" t="s">
        <v>49</v>
      </c>
      <c r="V40" s="36"/>
    </row>
    <row r="41" spans="1:24" ht="15" customHeight="1" x14ac:dyDescent="0.25">
      <c r="A41" s="193"/>
      <c r="B41" s="210"/>
      <c r="C41" s="210"/>
      <c r="D41" s="210"/>
      <c r="E41" s="195"/>
      <c r="F41" s="192"/>
      <c r="G41" s="387"/>
      <c r="H41" s="178"/>
      <c r="J41" s="204" t="s">
        <v>50</v>
      </c>
      <c r="K41" s="205"/>
      <c r="L41" s="206"/>
      <c r="M41" s="72"/>
      <c r="N41" s="72"/>
      <c r="O41" s="72"/>
      <c r="P41" s="72"/>
      <c r="Q41" s="72"/>
      <c r="R41" s="72"/>
      <c r="S41" s="72"/>
      <c r="T41" s="72"/>
      <c r="U41" s="73"/>
      <c r="V41" s="36"/>
    </row>
    <row r="42" spans="1:24" ht="13.95" customHeight="1" x14ac:dyDescent="0.25">
      <c r="A42" s="193" t="s">
        <v>40</v>
      </c>
      <c r="B42" s="196"/>
      <c r="C42" s="196"/>
      <c r="D42" s="196"/>
      <c r="E42" s="195">
        <f>B42+C42+D42</f>
        <v>0</v>
      </c>
      <c r="F42" s="192"/>
      <c r="G42" s="386" t="s">
        <v>877</v>
      </c>
      <c r="H42" s="177"/>
      <c r="J42" s="204" t="s">
        <v>51</v>
      </c>
      <c r="K42" s="205"/>
      <c r="L42" s="206"/>
      <c r="M42" s="72"/>
      <c r="N42" s="72"/>
      <c r="O42" s="72"/>
      <c r="P42" s="72"/>
      <c r="Q42" s="72"/>
      <c r="R42" s="72"/>
      <c r="S42" s="72"/>
      <c r="T42" s="72"/>
      <c r="U42" s="73"/>
      <c r="V42" s="36"/>
    </row>
    <row r="43" spans="1:24" ht="13.95" customHeight="1" thickBot="1" x14ac:dyDescent="0.3">
      <c r="A43" s="193"/>
      <c r="B43" s="210"/>
      <c r="C43" s="210"/>
      <c r="D43" s="210"/>
      <c r="E43" s="195"/>
      <c r="F43" s="192"/>
      <c r="G43" s="387"/>
      <c r="H43" s="178"/>
      <c r="J43" s="207" t="s">
        <v>52</v>
      </c>
      <c r="K43" s="208"/>
      <c r="L43" s="209"/>
      <c r="M43" s="74"/>
      <c r="N43" s="74"/>
      <c r="O43" s="75"/>
      <c r="P43" s="74"/>
      <c r="Q43" s="74"/>
      <c r="R43" s="75"/>
      <c r="S43" s="74"/>
      <c r="T43" s="74"/>
      <c r="U43" s="76"/>
      <c r="V43" s="36"/>
    </row>
    <row r="44" spans="1:24" ht="10.5" customHeight="1" x14ac:dyDescent="0.25">
      <c r="A44" s="193" t="s">
        <v>41</v>
      </c>
      <c r="B44" s="196"/>
      <c r="C44" s="196"/>
      <c r="D44" s="196"/>
      <c r="E44" s="195">
        <f>B44+C44+D44</f>
        <v>0</v>
      </c>
      <c r="F44" s="192"/>
      <c r="G44" s="386" t="s">
        <v>878</v>
      </c>
      <c r="H44" s="177"/>
      <c r="J44" s="77" t="s">
        <v>53</v>
      </c>
      <c r="K44" s="78"/>
      <c r="L44" s="78"/>
      <c r="M44" s="78"/>
      <c r="N44" s="78"/>
      <c r="O44" s="78"/>
      <c r="P44" s="78"/>
      <c r="Q44" s="78"/>
      <c r="R44" s="78"/>
      <c r="S44" s="78"/>
      <c r="T44" s="78"/>
      <c r="U44" s="78"/>
      <c r="V44" s="79"/>
      <c r="W44" s="78"/>
      <c r="X44" s="78"/>
    </row>
    <row r="45" spans="1:24" ht="13.95" customHeight="1" thickBot="1" x14ac:dyDescent="0.3">
      <c r="A45" s="194"/>
      <c r="B45" s="197"/>
      <c r="C45" s="197"/>
      <c r="D45" s="197"/>
      <c r="E45" s="255"/>
      <c r="F45" s="192"/>
      <c r="G45" s="387"/>
      <c r="H45" s="178"/>
      <c r="V45" s="36"/>
    </row>
    <row r="46" spans="1:24" ht="15" customHeight="1" x14ac:dyDescent="0.25">
      <c r="A46" s="1"/>
      <c r="B46" s="1"/>
      <c r="C46" s="1"/>
      <c r="D46" s="1"/>
      <c r="F46" s="185" t="s">
        <v>672</v>
      </c>
      <c r="G46" s="185"/>
      <c r="H46" s="185"/>
      <c r="L46" s="78" t="s">
        <v>54</v>
      </c>
      <c r="M46" s="78"/>
      <c r="N46" s="78"/>
      <c r="O46" s="78"/>
      <c r="P46" s="78"/>
      <c r="Q46" s="266"/>
      <c r="R46" s="266"/>
      <c r="S46" s="266"/>
      <c r="T46" s="266"/>
      <c r="U46" s="266"/>
      <c r="V46" s="36"/>
    </row>
    <row r="47" spans="1:24" ht="13.95" customHeight="1" x14ac:dyDescent="0.25">
      <c r="A47" s="191"/>
      <c r="B47" s="80"/>
      <c r="C47" s="80"/>
      <c r="D47" s="80"/>
      <c r="E47" s="184"/>
      <c r="F47" s="184"/>
      <c r="G47" s="184"/>
      <c r="H47" s="184"/>
      <c r="I47" s="184"/>
      <c r="J47" s="184"/>
      <c r="K47" s="78"/>
      <c r="L47" s="78" t="s">
        <v>55</v>
      </c>
      <c r="M47" s="266"/>
      <c r="N47" s="266"/>
      <c r="O47" s="266"/>
      <c r="P47" s="266"/>
      <c r="Q47" s="78"/>
      <c r="R47" s="78"/>
      <c r="V47" s="36"/>
    </row>
    <row r="48" spans="1:24" ht="13.95" customHeight="1" x14ac:dyDescent="0.25">
      <c r="A48" s="191"/>
      <c r="B48" s="80"/>
      <c r="C48" s="80"/>
      <c r="D48" s="80"/>
      <c r="E48" s="184"/>
      <c r="F48" s="184"/>
      <c r="G48" s="184"/>
      <c r="H48" s="184"/>
      <c r="I48" s="184"/>
      <c r="J48" s="184"/>
      <c r="K48" s="78"/>
      <c r="L48" s="78" t="s">
        <v>56</v>
      </c>
      <c r="M48" s="265"/>
      <c r="N48" s="265"/>
      <c r="O48" s="265"/>
      <c r="P48" s="265"/>
      <c r="Q48" s="78"/>
      <c r="R48" s="81" t="s">
        <v>57</v>
      </c>
      <c r="S48" s="264"/>
      <c r="T48" s="264"/>
      <c r="V48" s="36"/>
    </row>
    <row r="49" spans="1:22" ht="13.95" customHeight="1" x14ac:dyDescent="0.25">
      <c r="A49" s="192"/>
      <c r="B49" s="31"/>
      <c r="C49" s="31"/>
      <c r="D49" s="31"/>
      <c r="E49" s="184"/>
      <c r="F49" s="184"/>
      <c r="G49" s="184"/>
      <c r="H49" s="184"/>
      <c r="I49" s="184"/>
      <c r="J49" s="184"/>
      <c r="K49" s="78"/>
      <c r="L49" s="78" t="s">
        <v>58</v>
      </c>
      <c r="M49" s="158"/>
      <c r="N49" s="158"/>
      <c r="O49" s="158"/>
      <c r="P49" s="158"/>
      <c r="Q49" s="78"/>
      <c r="R49" s="78"/>
      <c r="V49" s="36"/>
    </row>
    <row r="50" spans="1:22" ht="13.95" customHeight="1" x14ac:dyDescent="0.25">
      <c r="A50" s="192"/>
      <c r="B50" s="31"/>
      <c r="C50" s="31"/>
      <c r="D50" s="31"/>
      <c r="E50" s="184"/>
      <c r="F50" s="184"/>
      <c r="G50" s="184"/>
      <c r="H50" s="184"/>
      <c r="I50" s="184"/>
      <c r="J50" s="184"/>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842</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4">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7"/>
  <sheetViews>
    <sheetView showGridLines="0" view="pageBreakPreview" zoomScaleSheetLayoutView="100" workbookViewId="0">
      <selection activeCell="K11" sqref="K11:K12"/>
    </sheetView>
  </sheetViews>
  <sheetFormatPr defaultRowHeight="14.4" x14ac:dyDescent="0.3"/>
  <cols>
    <col min="1" max="1" width="6" style="91" customWidth="1"/>
    <col min="2" max="2" width="17.5546875" style="91" customWidth="1"/>
    <col min="3" max="3" width="5.33203125" style="91" customWidth="1"/>
    <col min="4" max="4" width="5" style="91" customWidth="1"/>
    <col min="5" max="5" width="11.5546875" style="91" bestFit="1" customWidth="1"/>
    <col min="6" max="6" width="19.5546875" style="91" customWidth="1"/>
    <col min="7" max="7" width="14.44140625" style="91" customWidth="1"/>
    <col min="8" max="8" width="10.33203125" style="91" customWidth="1"/>
    <col min="9" max="9" width="15.6640625" style="91" customWidth="1"/>
    <col min="10" max="11" width="10.6640625" style="91" customWidth="1"/>
    <col min="12" max="12" width="12.33203125" style="91" customWidth="1"/>
    <col min="13" max="13" width="7.6640625" style="91" customWidth="1"/>
    <col min="14" max="14" width="8.44140625" style="91" customWidth="1"/>
    <col min="15" max="15" width="7.6640625" style="91" customWidth="1"/>
    <col min="16" max="16" width="9.554687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4414062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546875" style="91" customWidth="1"/>
    <col min="271" max="271" width="11.44140625" style="91" customWidth="1"/>
    <col min="272" max="272" width="12" style="91" customWidth="1"/>
    <col min="273" max="515" width="9.33203125" style="91"/>
    <col min="516" max="516" width="6" style="91" customWidth="1"/>
    <col min="517" max="517" width="22.33203125" style="91" customWidth="1"/>
    <col min="518" max="518" width="5.4414062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546875" style="91" customWidth="1"/>
    <col min="527" max="527" width="11.44140625" style="91" customWidth="1"/>
    <col min="528" max="528" width="12" style="91" customWidth="1"/>
    <col min="529" max="771" width="9.33203125" style="91"/>
    <col min="772" max="772" width="6" style="91" customWidth="1"/>
    <col min="773" max="773" width="22.33203125" style="91" customWidth="1"/>
    <col min="774" max="774" width="5.4414062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546875" style="91" customWidth="1"/>
    <col min="783" max="783" width="11.44140625" style="91" customWidth="1"/>
    <col min="784" max="784" width="12" style="91" customWidth="1"/>
    <col min="785" max="1027" width="9.33203125" style="91"/>
    <col min="1028" max="1028" width="6" style="91" customWidth="1"/>
    <col min="1029" max="1029" width="22.33203125" style="91" customWidth="1"/>
    <col min="1030" max="1030" width="5.4414062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546875" style="91" customWidth="1"/>
    <col min="1039" max="1039" width="11.44140625" style="91" customWidth="1"/>
    <col min="1040" max="1040" width="12" style="91" customWidth="1"/>
    <col min="1041" max="1283" width="9.33203125" style="91"/>
    <col min="1284" max="1284" width="6" style="91" customWidth="1"/>
    <col min="1285" max="1285" width="22.33203125" style="91" customWidth="1"/>
    <col min="1286" max="1286" width="5.4414062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546875" style="91" customWidth="1"/>
    <col min="1295" max="1295" width="11.44140625" style="91" customWidth="1"/>
    <col min="1296" max="1296" width="12" style="91" customWidth="1"/>
    <col min="1297" max="1539" width="9.33203125" style="91"/>
    <col min="1540" max="1540" width="6" style="91" customWidth="1"/>
    <col min="1541" max="1541" width="22.33203125" style="91" customWidth="1"/>
    <col min="1542" max="1542" width="5.4414062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546875" style="91" customWidth="1"/>
    <col min="1551" max="1551" width="11.44140625" style="91" customWidth="1"/>
    <col min="1552" max="1552" width="12" style="91" customWidth="1"/>
    <col min="1553" max="1795" width="9.33203125" style="91"/>
    <col min="1796" max="1796" width="6" style="91" customWidth="1"/>
    <col min="1797" max="1797" width="22.33203125" style="91" customWidth="1"/>
    <col min="1798" max="1798" width="5.4414062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546875" style="91" customWidth="1"/>
    <col min="1807" max="1807" width="11.44140625" style="91" customWidth="1"/>
    <col min="1808" max="1808" width="12" style="91" customWidth="1"/>
    <col min="1809" max="2051" width="9.33203125" style="91"/>
    <col min="2052" max="2052" width="6" style="91" customWidth="1"/>
    <col min="2053" max="2053" width="22.33203125" style="91" customWidth="1"/>
    <col min="2054" max="2054" width="5.4414062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546875" style="91" customWidth="1"/>
    <col min="2063" max="2063" width="11.44140625" style="91" customWidth="1"/>
    <col min="2064" max="2064" width="12" style="91" customWidth="1"/>
    <col min="2065" max="2307" width="9.33203125" style="91"/>
    <col min="2308" max="2308" width="6" style="91" customWidth="1"/>
    <col min="2309" max="2309" width="22.33203125" style="91" customWidth="1"/>
    <col min="2310" max="2310" width="5.4414062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546875" style="91" customWidth="1"/>
    <col min="2319" max="2319" width="11.44140625" style="91" customWidth="1"/>
    <col min="2320" max="2320" width="12" style="91" customWidth="1"/>
    <col min="2321" max="2563" width="9.33203125" style="91"/>
    <col min="2564" max="2564" width="6" style="91" customWidth="1"/>
    <col min="2565" max="2565" width="22.33203125" style="91" customWidth="1"/>
    <col min="2566" max="2566" width="5.4414062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546875" style="91" customWidth="1"/>
    <col min="2575" max="2575" width="11.44140625" style="91" customWidth="1"/>
    <col min="2576" max="2576" width="12" style="91" customWidth="1"/>
    <col min="2577" max="2819" width="9.33203125" style="91"/>
    <col min="2820" max="2820" width="6" style="91" customWidth="1"/>
    <col min="2821" max="2821" width="22.33203125" style="91" customWidth="1"/>
    <col min="2822" max="2822" width="5.4414062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546875" style="91" customWidth="1"/>
    <col min="2831" max="2831" width="11.44140625" style="91" customWidth="1"/>
    <col min="2832" max="2832" width="12" style="91" customWidth="1"/>
    <col min="2833" max="3075" width="9.33203125" style="91"/>
    <col min="3076" max="3076" width="6" style="91" customWidth="1"/>
    <col min="3077" max="3077" width="22.33203125" style="91" customWidth="1"/>
    <col min="3078" max="3078" width="5.4414062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546875" style="91" customWidth="1"/>
    <col min="3087" max="3087" width="11.44140625" style="91" customWidth="1"/>
    <col min="3088" max="3088" width="12" style="91" customWidth="1"/>
    <col min="3089" max="3331" width="9.33203125" style="91"/>
    <col min="3332" max="3332" width="6" style="91" customWidth="1"/>
    <col min="3333" max="3333" width="22.33203125" style="91" customWidth="1"/>
    <col min="3334" max="3334" width="5.4414062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546875" style="91" customWidth="1"/>
    <col min="3343" max="3343" width="11.44140625" style="91" customWidth="1"/>
    <col min="3344" max="3344" width="12" style="91" customWidth="1"/>
    <col min="3345" max="3587" width="9.33203125" style="91"/>
    <col min="3588" max="3588" width="6" style="91" customWidth="1"/>
    <col min="3589" max="3589" width="22.33203125" style="91" customWidth="1"/>
    <col min="3590" max="3590" width="5.4414062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546875" style="91" customWidth="1"/>
    <col min="3599" max="3599" width="11.44140625" style="91" customWidth="1"/>
    <col min="3600" max="3600" width="12" style="91" customWidth="1"/>
    <col min="3601" max="3843" width="9.33203125" style="91"/>
    <col min="3844" max="3844" width="6" style="91" customWidth="1"/>
    <col min="3845" max="3845" width="22.33203125" style="91" customWidth="1"/>
    <col min="3846" max="3846" width="5.4414062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546875" style="91" customWidth="1"/>
    <col min="3855" max="3855" width="11.44140625" style="91" customWidth="1"/>
    <col min="3856" max="3856" width="12" style="91" customWidth="1"/>
    <col min="3857" max="4099" width="9.33203125" style="91"/>
    <col min="4100" max="4100" width="6" style="91" customWidth="1"/>
    <col min="4101" max="4101" width="22.33203125" style="91" customWidth="1"/>
    <col min="4102" max="4102" width="5.4414062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546875" style="91" customWidth="1"/>
    <col min="4111" max="4111" width="11.44140625" style="91" customWidth="1"/>
    <col min="4112" max="4112" width="12" style="91" customWidth="1"/>
    <col min="4113" max="4355" width="9.33203125" style="91"/>
    <col min="4356" max="4356" width="6" style="91" customWidth="1"/>
    <col min="4357" max="4357" width="22.33203125" style="91" customWidth="1"/>
    <col min="4358" max="4358" width="5.4414062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546875" style="91" customWidth="1"/>
    <col min="4367" max="4367" width="11.44140625" style="91" customWidth="1"/>
    <col min="4368" max="4368" width="12" style="91" customWidth="1"/>
    <col min="4369" max="4611" width="9.33203125" style="91"/>
    <col min="4612" max="4612" width="6" style="91" customWidth="1"/>
    <col min="4613" max="4613" width="22.33203125" style="91" customWidth="1"/>
    <col min="4614" max="4614" width="5.4414062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546875" style="91" customWidth="1"/>
    <col min="4623" max="4623" width="11.44140625" style="91" customWidth="1"/>
    <col min="4624" max="4624" width="12" style="91" customWidth="1"/>
    <col min="4625" max="4867" width="9.33203125" style="91"/>
    <col min="4868" max="4868" width="6" style="91" customWidth="1"/>
    <col min="4869" max="4869" width="22.33203125" style="91" customWidth="1"/>
    <col min="4870" max="4870" width="5.4414062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546875" style="91" customWidth="1"/>
    <col min="4879" max="4879" width="11.44140625" style="91" customWidth="1"/>
    <col min="4880" max="4880" width="12" style="91" customWidth="1"/>
    <col min="4881" max="5123" width="9.33203125" style="91"/>
    <col min="5124" max="5124" width="6" style="91" customWidth="1"/>
    <col min="5125" max="5125" width="22.33203125" style="91" customWidth="1"/>
    <col min="5126" max="5126" width="5.4414062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546875" style="91" customWidth="1"/>
    <col min="5135" max="5135" width="11.44140625" style="91" customWidth="1"/>
    <col min="5136" max="5136" width="12" style="91" customWidth="1"/>
    <col min="5137" max="5379" width="9.33203125" style="91"/>
    <col min="5380" max="5380" width="6" style="91" customWidth="1"/>
    <col min="5381" max="5381" width="22.33203125" style="91" customWidth="1"/>
    <col min="5382" max="5382" width="5.4414062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546875" style="91" customWidth="1"/>
    <col min="5391" max="5391" width="11.44140625" style="91" customWidth="1"/>
    <col min="5392" max="5392" width="12" style="91" customWidth="1"/>
    <col min="5393" max="5635" width="9.33203125" style="91"/>
    <col min="5636" max="5636" width="6" style="91" customWidth="1"/>
    <col min="5637" max="5637" width="22.33203125" style="91" customWidth="1"/>
    <col min="5638" max="5638" width="5.4414062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546875" style="91" customWidth="1"/>
    <col min="5647" max="5647" width="11.44140625" style="91" customWidth="1"/>
    <col min="5648" max="5648" width="12" style="91" customWidth="1"/>
    <col min="5649" max="5891" width="9.33203125" style="91"/>
    <col min="5892" max="5892" width="6" style="91" customWidth="1"/>
    <col min="5893" max="5893" width="22.33203125" style="91" customWidth="1"/>
    <col min="5894" max="5894" width="5.4414062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546875" style="91" customWidth="1"/>
    <col min="5903" max="5903" width="11.44140625" style="91" customWidth="1"/>
    <col min="5904" max="5904" width="12" style="91" customWidth="1"/>
    <col min="5905" max="6147" width="9.33203125" style="91"/>
    <col min="6148" max="6148" width="6" style="91" customWidth="1"/>
    <col min="6149" max="6149" width="22.33203125" style="91" customWidth="1"/>
    <col min="6150" max="6150" width="5.4414062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546875" style="91" customWidth="1"/>
    <col min="6159" max="6159" width="11.44140625" style="91" customWidth="1"/>
    <col min="6160" max="6160" width="12" style="91" customWidth="1"/>
    <col min="6161" max="6403" width="9.33203125" style="91"/>
    <col min="6404" max="6404" width="6" style="91" customWidth="1"/>
    <col min="6405" max="6405" width="22.33203125" style="91" customWidth="1"/>
    <col min="6406" max="6406" width="5.4414062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546875" style="91" customWidth="1"/>
    <col min="6415" max="6415" width="11.44140625" style="91" customWidth="1"/>
    <col min="6416" max="6416" width="12" style="91" customWidth="1"/>
    <col min="6417" max="6659" width="9.33203125" style="91"/>
    <col min="6660" max="6660" width="6" style="91" customWidth="1"/>
    <col min="6661" max="6661" width="22.33203125" style="91" customWidth="1"/>
    <col min="6662" max="6662" width="5.4414062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546875" style="91" customWidth="1"/>
    <col min="6671" max="6671" width="11.44140625" style="91" customWidth="1"/>
    <col min="6672" max="6672" width="12" style="91" customWidth="1"/>
    <col min="6673" max="6915" width="9.33203125" style="91"/>
    <col min="6916" max="6916" width="6" style="91" customWidth="1"/>
    <col min="6917" max="6917" width="22.33203125" style="91" customWidth="1"/>
    <col min="6918" max="6918" width="5.4414062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546875" style="91" customWidth="1"/>
    <col min="6927" max="6927" width="11.44140625" style="91" customWidth="1"/>
    <col min="6928" max="6928" width="12" style="91" customWidth="1"/>
    <col min="6929" max="7171" width="9.33203125" style="91"/>
    <col min="7172" max="7172" width="6" style="91" customWidth="1"/>
    <col min="7173" max="7173" width="22.33203125" style="91" customWidth="1"/>
    <col min="7174" max="7174" width="5.4414062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546875" style="91" customWidth="1"/>
    <col min="7183" max="7183" width="11.44140625" style="91" customWidth="1"/>
    <col min="7184" max="7184" width="12" style="91" customWidth="1"/>
    <col min="7185" max="7427" width="9.33203125" style="91"/>
    <col min="7428" max="7428" width="6" style="91" customWidth="1"/>
    <col min="7429" max="7429" width="22.33203125" style="91" customWidth="1"/>
    <col min="7430" max="7430" width="5.4414062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546875" style="91" customWidth="1"/>
    <col min="7439" max="7439" width="11.44140625" style="91" customWidth="1"/>
    <col min="7440" max="7440" width="12" style="91" customWidth="1"/>
    <col min="7441" max="7683" width="9.33203125" style="91"/>
    <col min="7684" max="7684" width="6" style="91" customWidth="1"/>
    <col min="7685" max="7685" width="22.33203125" style="91" customWidth="1"/>
    <col min="7686" max="7686" width="5.4414062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546875" style="91" customWidth="1"/>
    <col min="7695" max="7695" width="11.44140625" style="91" customWidth="1"/>
    <col min="7696" max="7696" width="12" style="91" customWidth="1"/>
    <col min="7697" max="7939" width="9.33203125" style="91"/>
    <col min="7940" max="7940" width="6" style="91" customWidth="1"/>
    <col min="7941" max="7941" width="22.33203125" style="91" customWidth="1"/>
    <col min="7942" max="7942" width="5.4414062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546875" style="91" customWidth="1"/>
    <col min="7951" max="7951" width="11.44140625" style="91" customWidth="1"/>
    <col min="7952" max="7952" width="12" style="91" customWidth="1"/>
    <col min="7953" max="8195" width="9.33203125" style="91"/>
    <col min="8196" max="8196" width="6" style="91" customWidth="1"/>
    <col min="8197" max="8197" width="22.33203125" style="91" customWidth="1"/>
    <col min="8198" max="8198" width="5.4414062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546875" style="91" customWidth="1"/>
    <col min="8207" max="8207" width="11.44140625" style="91" customWidth="1"/>
    <col min="8208" max="8208" width="12" style="91" customWidth="1"/>
    <col min="8209" max="8451" width="9.33203125" style="91"/>
    <col min="8452" max="8452" width="6" style="91" customWidth="1"/>
    <col min="8453" max="8453" width="22.33203125" style="91" customWidth="1"/>
    <col min="8454" max="8454" width="5.4414062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546875" style="91" customWidth="1"/>
    <col min="8463" max="8463" width="11.44140625" style="91" customWidth="1"/>
    <col min="8464" max="8464" width="12" style="91" customWidth="1"/>
    <col min="8465" max="8707" width="9.33203125" style="91"/>
    <col min="8708" max="8708" width="6" style="91" customWidth="1"/>
    <col min="8709" max="8709" width="22.33203125" style="91" customWidth="1"/>
    <col min="8710" max="8710" width="5.4414062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546875" style="91" customWidth="1"/>
    <col min="8719" max="8719" width="11.44140625" style="91" customWidth="1"/>
    <col min="8720" max="8720" width="12" style="91" customWidth="1"/>
    <col min="8721" max="8963" width="9.33203125" style="91"/>
    <col min="8964" max="8964" width="6" style="91" customWidth="1"/>
    <col min="8965" max="8965" width="22.33203125" style="91" customWidth="1"/>
    <col min="8966" max="8966" width="5.4414062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546875" style="91" customWidth="1"/>
    <col min="8975" max="8975" width="11.44140625" style="91" customWidth="1"/>
    <col min="8976" max="8976" width="12" style="91" customWidth="1"/>
    <col min="8977" max="9219" width="9.33203125" style="91"/>
    <col min="9220" max="9220" width="6" style="91" customWidth="1"/>
    <col min="9221" max="9221" width="22.33203125" style="91" customWidth="1"/>
    <col min="9222" max="9222" width="5.4414062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546875" style="91" customWidth="1"/>
    <col min="9231" max="9231" width="11.44140625" style="91" customWidth="1"/>
    <col min="9232" max="9232" width="12" style="91" customWidth="1"/>
    <col min="9233" max="9475" width="9.33203125" style="91"/>
    <col min="9476" max="9476" width="6" style="91" customWidth="1"/>
    <col min="9477" max="9477" width="22.33203125" style="91" customWidth="1"/>
    <col min="9478" max="9478" width="5.4414062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546875" style="91" customWidth="1"/>
    <col min="9487" max="9487" width="11.44140625" style="91" customWidth="1"/>
    <col min="9488" max="9488" width="12" style="91" customWidth="1"/>
    <col min="9489" max="9731" width="9.33203125" style="91"/>
    <col min="9732" max="9732" width="6" style="91" customWidth="1"/>
    <col min="9733" max="9733" width="22.33203125" style="91" customWidth="1"/>
    <col min="9734" max="9734" width="5.4414062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546875" style="91" customWidth="1"/>
    <col min="9743" max="9743" width="11.44140625" style="91" customWidth="1"/>
    <col min="9744" max="9744" width="12" style="91" customWidth="1"/>
    <col min="9745" max="9987" width="9.33203125" style="91"/>
    <col min="9988" max="9988" width="6" style="91" customWidth="1"/>
    <col min="9989" max="9989" width="22.33203125" style="91" customWidth="1"/>
    <col min="9990" max="9990" width="5.4414062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546875" style="91" customWidth="1"/>
    <col min="9999" max="9999" width="11.44140625" style="91" customWidth="1"/>
    <col min="10000" max="10000" width="12" style="91" customWidth="1"/>
    <col min="10001" max="10243" width="9.33203125" style="91"/>
    <col min="10244" max="10244" width="6" style="91" customWidth="1"/>
    <col min="10245" max="10245" width="22.33203125" style="91" customWidth="1"/>
    <col min="10246" max="10246" width="5.4414062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546875" style="91" customWidth="1"/>
    <col min="10255" max="10255" width="11.44140625" style="91" customWidth="1"/>
    <col min="10256" max="10256" width="12" style="91" customWidth="1"/>
    <col min="10257" max="10499" width="9.33203125" style="91"/>
    <col min="10500" max="10500" width="6" style="91" customWidth="1"/>
    <col min="10501" max="10501" width="22.33203125" style="91" customWidth="1"/>
    <col min="10502" max="10502" width="5.4414062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546875" style="91" customWidth="1"/>
    <col min="10511" max="10511" width="11.44140625" style="91" customWidth="1"/>
    <col min="10512" max="10512" width="12" style="91" customWidth="1"/>
    <col min="10513" max="10755" width="9.33203125" style="91"/>
    <col min="10756" max="10756" width="6" style="91" customWidth="1"/>
    <col min="10757" max="10757" width="22.33203125" style="91" customWidth="1"/>
    <col min="10758" max="10758" width="5.4414062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546875" style="91" customWidth="1"/>
    <col min="10767" max="10767" width="11.44140625" style="91" customWidth="1"/>
    <col min="10768" max="10768" width="12" style="91" customWidth="1"/>
    <col min="10769" max="11011" width="9.33203125" style="91"/>
    <col min="11012" max="11012" width="6" style="91" customWidth="1"/>
    <col min="11013" max="11013" width="22.33203125" style="91" customWidth="1"/>
    <col min="11014" max="11014" width="5.4414062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546875" style="91" customWidth="1"/>
    <col min="11023" max="11023" width="11.44140625" style="91" customWidth="1"/>
    <col min="11024" max="11024" width="12" style="91" customWidth="1"/>
    <col min="11025" max="11267" width="9.33203125" style="91"/>
    <col min="11268" max="11268" width="6" style="91" customWidth="1"/>
    <col min="11269" max="11269" width="22.33203125" style="91" customWidth="1"/>
    <col min="11270" max="11270" width="5.4414062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546875" style="91" customWidth="1"/>
    <col min="11279" max="11279" width="11.44140625" style="91" customWidth="1"/>
    <col min="11280" max="11280" width="12" style="91" customWidth="1"/>
    <col min="11281" max="11523" width="9.33203125" style="91"/>
    <col min="11524" max="11524" width="6" style="91" customWidth="1"/>
    <col min="11525" max="11525" width="22.33203125" style="91" customWidth="1"/>
    <col min="11526" max="11526" width="5.4414062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546875" style="91" customWidth="1"/>
    <col min="11535" max="11535" width="11.44140625" style="91" customWidth="1"/>
    <col min="11536" max="11536" width="12" style="91" customWidth="1"/>
    <col min="11537" max="11779" width="9.33203125" style="91"/>
    <col min="11780" max="11780" width="6" style="91" customWidth="1"/>
    <col min="11781" max="11781" width="22.33203125" style="91" customWidth="1"/>
    <col min="11782" max="11782" width="5.4414062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546875" style="91" customWidth="1"/>
    <col min="11791" max="11791" width="11.44140625" style="91" customWidth="1"/>
    <col min="11792" max="11792" width="12" style="91" customWidth="1"/>
    <col min="11793" max="12035" width="9.33203125" style="91"/>
    <col min="12036" max="12036" width="6" style="91" customWidth="1"/>
    <col min="12037" max="12037" width="22.33203125" style="91" customWidth="1"/>
    <col min="12038" max="12038" width="5.4414062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546875" style="91" customWidth="1"/>
    <col min="12047" max="12047" width="11.44140625" style="91" customWidth="1"/>
    <col min="12048" max="12048" width="12" style="91" customWidth="1"/>
    <col min="12049" max="12291" width="9.33203125" style="91"/>
    <col min="12292" max="12292" width="6" style="91" customWidth="1"/>
    <col min="12293" max="12293" width="22.33203125" style="91" customWidth="1"/>
    <col min="12294" max="12294" width="5.4414062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546875" style="91" customWidth="1"/>
    <col min="12303" max="12303" width="11.44140625" style="91" customWidth="1"/>
    <col min="12304" max="12304" width="12" style="91" customWidth="1"/>
    <col min="12305" max="12547" width="9.33203125" style="91"/>
    <col min="12548" max="12548" width="6" style="91" customWidth="1"/>
    <col min="12549" max="12549" width="22.33203125" style="91" customWidth="1"/>
    <col min="12550" max="12550" width="5.4414062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546875" style="91" customWidth="1"/>
    <col min="12559" max="12559" width="11.44140625" style="91" customWidth="1"/>
    <col min="12560" max="12560" width="12" style="91" customWidth="1"/>
    <col min="12561" max="12803" width="9.33203125" style="91"/>
    <col min="12804" max="12804" width="6" style="91" customWidth="1"/>
    <col min="12805" max="12805" width="22.33203125" style="91" customWidth="1"/>
    <col min="12806" max="12806" width="5.4414062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546875" style="91" customWidth="1"/>
    <col min="12815" max="12815" width="11.44140625" style="91" customWidth="1"/>
    <col min="12816" max="12816" width="12" style="91" customWidth="1"/>
    <col min="12817" max="13059" width="9.33203125" style="91"/>
    <col min="13060" max="13060" width="6" style="91" customWidth="1"/>
    <col min="13061" max="13061" width="22.33203125" style="91" customWidth="1"/>
    <col min="13062" max="13062" width="5.4414062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546875" style="91" customWidth="1"/>
    <col min="13071" max="13071" width="11.44140625" style="91" customWidth="1"/>
    <col min="13072" max="13072" width="12" style="91" customWidth="1"/>
    <col min="13073" max="13315" width="9.33203125" style="91"/>
    <col min="13316" max="13316" width="6" style="91" customWidth="1"/>
    <col min="13317" max="13317" width="22.33203125" style="91" customWidth="1"/>
    <col min="13318" max="13318" width="5.4414062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546875" style="91" customWidth="1"/>
    <col min="13327" max="13327" width="11.44140625" style="91" customWidth="1"/>
    <col min="13328" max="13328" width="12" style="91" customWidth="1"/>
    <col min="13329" max="13571" width="9.33203125" style="91"/>
    <col min="13572" max="13572" width="6" style="91" customWidth="1"/>
    <col min="13573" max="13573" width="22.33203125" style="91" customWidth="1"/>
    <col min="13574" max="13574" width="5.4414062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546875" style="91" customWidth="1"/>
    <col min="13583" max="13583" width="11.44140625" style="91" customWidth="1"/>
    <col min="13584" max="13584" width="12" style="91" customWidth="1"/>
    <col min="13585" max="13827" width="9.33203125" style="91"/>
    <col min="13828" max="13828" width="6" style="91" customWidth="1"/>
    <col min="13829" max="13829" width="22.33203125" style="91" customWidth="1"/>
    <col min="13830" max="13830" width="5.4414062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546875" style="91" customWidth="1"/>
    <col min="13839" max="13839" width="11.44140625" style="91" customWidth="1"/>
    <col min="13840" max="13840" width="12" style="91" customWidth="1"/>
    <col min="13841" max="14083" width="9.33203125" style="91"/>
    <col min="14084" max="14084" width="6" style="91" customWidth="1"/>
    <col min="14085" max="14085" width="22.33203125" style="91" customWidth="1"/>
    <col min="14086" max="14086" width="5.4414062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546875" style="91" customWidth="1"/>
    <col min="14095" max="14095" width="11.44140625" style="91" customWidth="1"/>
    <col min="14096" max="14096" width="12" style="91" customWidth="1"/>
    <col min="14097" max="14339" width="9.33203125" style="91"/>
    <col min="14340" max="14340" width="6" style="91" customWidth="1"/>
    <col min="14341" max="14341" width="22.33203125" style="91" customWidth="1"/>
    <col min="14342" max="14342" width="5.4414062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546875" style="91" customWidth="1"/>
    <col min="14351" max="14351" width="11.44140625" style="91" customWidth="1"/>
    <col min="14352" max="14352" width="12" style="91" customWidth="1"/>
    <col min="14353" max="14595" width="9.33203125" style="91"/>
    <col min="14596" max="14596" width="6" style="91" customWidth="1"/>
    <col min="14597" max="14597" width="22.33203125" style="91" customWidth="1"/>
    <col min="14598" max="14598" width="5.4414062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546875" style="91" customWidth="1"/>
    <col min="14607" max="14607" width="11.44140625" style="91" customWidth="1"/>
    <col min="14608" max="14608" width="12" style="91" customWidth="1"/>
    <col min="14609" max="14851" width="9.33203125" style="91"/>
    <col min="14852" max="14852" width="6" style="91" customWidth="1"/>
    <col min="14853" max="14853" width="22.33203125" style="91" customWidth="1"/>
    <col min="14854" max="14854" width="5.4414062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546875" style="91" customWidth="1"/>
    <col min="14863" max="14863" width="11.44140625" style="91" customWidth="1"/>
    <col min="14864" max="14864" width="12" style="91" customWidth="1"/>
    <col min="14865" max="15107" width="9.33203125" style="91"/>
    <col min="15108" max="15108" width="6" style="91" customWidth="1"/>
    <col min="15109" max="15109" width="22.33203125" style="91" customWidth="1"/>
    <col min="15110" max="15110" width="5.4414062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546875" style="91" customWidth="1"/>
    <col min="15119" max="15119" width="11.44140625" style="91" customWidth="1"/>
    <col min="15120" max="15120" width="12" style="91" customWidth="1"/>
    <col min="15121" max="15363" width="9.33203125" style="91"/>
    <col min="15364" max="15364" width="6" style="91" customWidth="1"/>
    <col min="15365" max="15365" width="22.33203125" style="91" customWidth="1"/>
    <col min="15366" max="15366" width="5.4414062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546875" style="91" customWidth="1"/>
    <col min="15375" max="15375" width="11.44140625" style="91" customWidth="1"/>
    <col min="15376" max="15376" width="12" style="91" customWidth="1"/>
    <col min="15377" max="15619" width="9.33203125" style="91"/>
    <col min="15620" max="15620" width="6" style="91" customWidth="1"/>
    <col min="15621" max="15621" width="22.33203125" style="91" customWidth="1"/>
    <col min="15622" max="15622" width="5.4414062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546875" style="91" customWidth="1"/>
    <col min="15631" max="15631" width="11.44140625" style="91" customWidth="1"/>
    <col min="15632" max="15632" width="12" style="91" customWidth="1"/>
    <col min="15633" max="15875" width="9.33203125" style="91"/>
    <col min="15876" max="15876" width="6" style="91" customWidth="1"/>
    <col min="15877" max="15877" width="22.33203125" style="91" customWidth="1"/>
    <col min="15878" max="15878" width="5.4414062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546875" style="91" customWidth="1"/>
    <col min="15887" max="15887" width="11.44140625" style="91" customWidth="1"/>
    <col min="15888" max="15888" width="12" style="91" customWidth="1"/>
    <col min="15889" max="16131" width="9.33203125" style="91"/>
    <col min="16132" max="16132" width="6" style="91" customWidth="1"/>
    <col min="16133" max="16133" width="22.33203125" style="91" customWidth="1"/>
    <col min="16134" max="16134" width="5.4414062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546875" style="91" customWidth="1"/>
    <col min="16143" max="16143" width="11.44140625" style="91" customWidth="1"/>
    <col min="16144" max="16144" width="12" style="91" customWidth="1"/>
    <col min="16145" max="16384" width="9.33203125" style="91"/>
  </cols>
  <sheetData>
    <row r="1" spans="1:43" ht="15.6" x14ac:dyDescent="0.3">
      <c r="A1" s="290" t="s">
        <v>266</v>
      </c>
      <c r="B1" s="290"/>
      <c r="C1" s="290"/>
      <c r="D1" s="290"/>
      <c r="E1" s="290"/>
      <c r="F1" s="290"/>
      <c r="G1" s="290"/>
      <c r="H1" s="290"/>
      <c r="I1" s="290"/>
      <c r="J1" s="290"/>
      <c r="K1" s="290"/>
      <c r="L1" s="290"/>
      <c r="M1" s="290"/>
      <c r="N1" s="290"/>
      <c r="O1" s="290"/>
      <c r="P1" s="2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6" x14ac:dyDescent="0.3">
      <c r="A2" s="290" t="s">
        <v>267</v>
      </c>
      <c r="B2" s="290"/>
      <c r="C2" s="290"/>
      <c r="D2" s="290"/>
      <c r="E2" s="290"/>
      <c r="F2" s="290"/>
      <c r="G2" s="290"/>
      <c r="H2" s="290"/>
      <c r="I2" s="290"/>
      <c r="J2" s="290"/>
      <c r="K2" s="290"/>
      <c r="L2" s="290"/>
      <c r="M2" s="290"/>
      <c r="N2" s="290"/>
      <c r="O2" s="290"/>
      <c r="P2" s="290"/>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6" x14ac:dyDescent="0.3">
      <c r="A3" s="290" t="s">
        <v>268</v>
      </c>
      <c r="B3" s="290"/>
      <c r="C3" s="290"/>
      <c r="D3" s="290"/>
      <c r="E3" s="290"/>
      <c r="F3" s="290"/>
      <c r="G3" s="290"/>
      <c r="H3" s="290"/>
      <c r="I3" s="290"/>
      <c r="J3" s="290"/>
      <c r="K3" s="290"/>
      <c r="L3" s="290"/>
      <c r="M3" s="290"/>
      <c r="N3" s="290"/>
      <c r="O3" s="290"/>
      <c r="P3" s="2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6" x14ac:dyDescent="0.3">
      <c r="A4" s="290" t="s">
        <v>269</v>
      </c>
      <c r="B4" s="290"/>
      <c r="C4" s="290"/>
      <c r="D4" s="290"/>
      <c r="E4" s="290"/>
      <c r="F4" s="290"/>
      <c r="G4" s="290"/>
      <c r="H4" s="290"/>
      <c r="I4" s="290"/>
      <c r="J4" s="290"/>
      <c r="K4" s="290"/>
      <c r="L4" s="290"/>
      <c r="M4" s="290"/>
      <c r="N4" s="290"/>
      <c r="O4" s="290"/>
      <c r="P4" s="2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6" x14ac:dyDescent="0.3">
      <c r="A5" s="290" t="s">
        <v>831</v>
      </c>
      <c r="B5" s="290"/>
      <c r="C5" s="290"/>
      <c r="D5" s="290"/>
      <c r="E5" s="290"/>
      <c r="F5" s="290"/>
      <c r="G5" s="290"/>
      <c r="H5" s="290"/>
      <c r="I5" s="290"/>
      <c r="J5" s="290"/>
      <c r="K5" s="290"/>
      <c r="L5" s="290"/>
      <c r="M5" s="290"/>
      <c r="N5" s="290"/>
      <c r="O5" s="290"/>
      <c r="P5" s="290"/>
    </row>
    <row r="6" spans="1:43" ht="9.75" customHeight="1" x14ac:dyDescent="0.3"/>
    <row r="7" spans="1:43" x14ac:dyDescent="0.3">
      <c r="A7" s="92" t="s">
        <v>832</v>
      </c>
    </row>
    <row r="8" spans="1:43" ht="17.7" customHeight="1" x14ac:dyDescent="0.3">
      <c r="A8" s="93" t="s">
        <v>270</v>
      </c>
      <c r="D8" s="291" t="str">
        <f>IF('DR-TB 10A (Sputum &amp; EP Sample)'!C8="","",'DR-TB 10A (Sputum &amp; EP Sample)'!C8)</f>
        <v/>
      </c>
      <c r="E8" s="291"/>
      <c r="F8" s="291"/>
      <c r="H8" s="94" t="s">
        <v>271</v>
      </c>
      <c r="I8" s="156" t="str">
        <f>'DR-TB 10A (Sputum &amp; EP Sample)'!L6</f>
        <v>&lt;Dates&gt;</v>
      </c>
      <c r="J8" s="156"/>
      <c r="K8" s="156"/>
      <c r="L8" s="156"/>
      <c r="M8" s="156"/>
      <c r="N8" s="156"/>
      <c r="O8" s="156"/>
      <c r="P8" s="156"/>
      <c r="Q8" s="157"/>
    </row>
    <row r="9" spans="1:43" ht="17.7" customHeight="1" x14ac:dyDescent="0.3">
      <c r="A9" s="95" t="s">
        <v>833</v>
      </c>
      <c r="F9" s="20">
        <f>'DR-TB 10A (Sputum &amp; EP Sample)'!F18+'DR-TB 10A (Stool)'!F18</f>
        <v>0</v>
      </c>
    </row>
    <row r="10" spans="1:43" ht="24.6" customHeight="1" x14ac:dyDescent="0.3">
      <c r="A10" s="91" t="s">
        <v>863</v>
      </c>
      <c r="B10" s="91">
        <v>2</v>
      </c>
    </row>
    <row r="11" spans="1:43" s="96" customFormat="1" ht="55.2" customHeight="1" x14ac:dyDescent="0.3">
      <c r="A11" s="292" t="s">
        <v>272</v>
      </c>
      <c r="B11" s="293" t="s">
        <v>841</v>
      </c>
      <c r="C11" s="294" t="s">
        <v>273</v>
      </c>
      <c r="D11" s="294" t="s">
        <v>277</v>
      </c>
      <c r="E11" s="294" t="s">
        <v>679</v>
      </c>
      <c r="F11" s="294" t="s">
        <v>274</v>
      </c>
      <c r="G11" s="294" t="s">
        <v>834</v>
      </c>
      <c r="H11" s="294" t="s">
        <v>847</v>
      </c>
      <c r="I11" s="293" t="s">
        <v>840</v>
      </c>
      <c r="J11" s="294" t="s">
        <v>275</v>
      </c>
      <c r="K11" s="294" t="s">
        <v>875</v>
      </c>
      <c r="L11" s="294" t="s">
        <v>873</v>
      </c>
      <c r="M11" s="293" t="s">
        <v>822</v>
      </c>
      <c r="N11" s="293"/>
      <c r="O11" s="293"/>
      <c r="P11" s="293"/>
      <c r="Q11" s="293"/>
      <c r="R11" s="293"/>
      <c r="S11" s="293"/>
      <c r="T11" s="294" t="s">
        <v>823</v>
      </c>
      <c r="U11" s="294" t="s">
        <v>278</v>
      </c>
      <c r="V11" s="294" t="s">
        <v>703</v>
      </c>
      <c r="W11" s="294" t="s">
        <v>824</v>
      </c>
      <c r="X11" s="294" t="s">
        <v>836</v>
      </c>
      <c r="Y11" s="294" t="s">
        <v>276</v>
      </c>
    </row>
    <row r="12" spans="1:43" s="96" customFormat="1" ht="55.2" customHeight="1" x14ac:dyDescent="0.3">
      <c r="A12" s="292"/>
      <c r="B12" s="293"/>
      <c r="C12" s="295"/>
      <c r="D12" s="295"/>
      <c r="E12" s="295"/>
      <c r="F12" s="295"/>
      <c r="G12" s="295"/>
      <c r="H12" s="295"/>
      <c r="I12" s="293"/>
      <c r="J12" s="295"/>
      <c r="K12" s="295"/>
      <c r="L12" s="295"/>
      <c r="M12" s="154" t="s">
        <v>815</v>
      </c>
      <c r="N12" s="154" t="s">
        <v>825</v>
      </c>
      <c r="O12" s="154" t="s">
        <v>826</v>
      </c>
      <c r="P12" s="154" t="s">
        <v>827</v>
      </c>
      <c r="Q12" s="154" t="s">
        <v>828</v>
      </c>
      <c r="R12" s="154" t="s">
        <v>829</v>
      </c>
      <c r="S12" s="154" t="s">
        <v>830</v>
      </c>
      <c r="T12" s="295"/>
      <c r="U12" s="295"/>
      <c r="V12" s="295"/>
      <c r="W12" s="295"/>
      <c r="X12" s="295"/>
      <c r="Y12" s="295"/>
    </row>
    <row r="13" spans="1:43" s="135" customFormat="1" ht="55.2" customHeight="1" x14ac:dyDescent="0.3">
      <c r="A13" s="149" t="s">
        <v>849</v>
      </c>
      <c r="B13" s="149" t="s">
        <v>850</v>
      </c>
      <c r="C13" s="149" t="s">
        <v>851</v>
      </c>
      <c r="D13" s="149" t="s">
        <v>852</v>
      </c>
      <c r="E13" s="149" t="s">
        <v>853</v>
      </c>
      <c r="F13" s="150" t="s">
        <v>854</v>
      </c>
      <c r="G13" s="150" t="s">
        <v>855</v>
      </c>
      <c r="H13" s="151" t="s">
        <v>872</v>
      </c>
      <c r="I13" s="137" t="s">
        <v>864</v>
      </c>
      <c r="J13" s="149" t="s">
        <v>856</v>
      </c>
      <c r="K13" s="149" t="s">
        <v>857</v>
      </c>
      <c r="L13" s="149" t="s">
        <v>874</v>
      </c>
      <c r="M13" s="153" t="s">
        <v>865</v>
      </c>
      <c r="N13" s="153" t="s">
        <v>866</v>
      </c>
      <c r="O13" s="153" t="s">
        <v>867</v>
      </c>
      <c r="P13" s="153" t="s">
        <v>868</v>
      </c>
      <c r="Q13" s="153" t="s">
        <v>869</v>
      </c>
      <c r="R13" s="153" t="s">
        <v>870</v>
      </c>
      <c r="S13" s="153" t="s">
        <v>871</v>
      </c>
      <c r="T13" s="149" t="s">
        <v>858</v>
      </c>
      <c r="U13" s="149" t="s">
        <v>859</v>
      </c>
      <c r="V13" s="149" t="s">
        <v>860</v>
      </c>
      <c r="W13" s="142" t="s">
        <v>856</v>
      </c>
      <c r="X13" s="149" t="s">
        <v>861</v>
      </c>
      <c r="Y13" s="152" t="s">
        <v>862</v>
      </c>
    </row>
    <row r="14" spans="1:43" hidden="1" x14ac:dyDescent="0.3">
      <c r="C14" s="97"/>
      <c r="I14" s="137"/>
    </row>
    <row r="15" spans="1:43" x14ac:dyDescent="0.3">
      <c r="C15" s="97"/>
      <c r="I15" s="148"/>
    </row>
    <row r="16" spans="1:43" ht="54.75" customHeight="1" x14ac:dyDescent="0.3">
      <c r="A16" s="289" t="s">
        <v>767</v>
      </c>
      <c r="B16" s="289"/>
      <c r="C16" s="289"/>
      <c r="D16" s="289"/>
      <c r="E16" s="289"/>
      <c r="F16" s="289"/>
      <c r="G16" s="289"/>
      <c r="H16" s="289"/>
      <c r="I16" s="289"/>
      <c r="J16" s="289"/>
      <c r="K16" s="289"/>
      <c r="L16" s="289"/>
      <c r="M16" s="289"/>
      <c r="N16" s="289"/>
      <c r="O16" s="289"/>
      <c r="P16" s="289"/>
    </row>
    <row r="17" spans="1:16" ht="16.5" customHeight="1" x14ac:dyDescent="0.3">
      <c r="A17" s="19" t="s">
        <v>835</v>
      </c>
      <c r="B17" s="98"/>
      <c r="C17" s="98"/>
      <c r="D17" s="98"/>
      <c r="E17" s="98"/>
      <c r="F17" s="98"/>
      <c r="G17" s="98"/>
      <c r="H17" s="98"/>
      <c r="I17" s="98"/>
      <c r="J17" s="98"/>
      <c r="K17" s="98"/>
      <c r="L17" s="98"/>
      <c r="M17" s="98"/>
      <c r="N17" s="98"/>
      <c r="O17" s="98"/>
      <c r="P17" s="98"/>
    </row>
  </sheetData>
  <sheetProtection insertRows="0" deleteRows="0"/>
  <mergeCells count="27">
    <mergeCell ref="I11:I12"/>
    <mergeCell ref="V11:V12"/>
    <mergeCell ref="W11:W12"/>
    <mergeCell ref="X11:X12"/>
    <mergeCell ref="Y11:Y12"/>
    <mergeCell ref="J11:J12"/>
    <mergeCell ref="L11:L12"/>
    <mergeCell ref="M11:S11"/>
    <mergeCell ref="T11:T12"/>
    <mergeCell ref="U11:U12"/>
    <mergeCell ref="K11:K12"/>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formula1>"2015, 2016,2017,2018,2019, 2020"</formula1>
    </dataValidation>
    <dataValidation type="list" allowBlank="1" showInputMessage="1" showErrorMessage="1" sqref="S13">
      <formula1>"Not Detected, Resistance, Invalid, Error, No result"</formula1>
    </dataValidation>
    <dataValidation type="list" allowBlank="1" showInputMessage="1" showErrorMessage="1" sqref="P13:R13">
      <formula1>"Not Detected, Resistance, Indeterminate, Error, Invalid, No Result"</formula1>
    </dataValidation>
    <dataValidation type="list" allowBlank="1" showInputMessage="1" showErrorMessage="1" sqref="N13:O13">
      <formula1>"Not Detected, Resistance, Low Resistance, Indeterminate, Error, Invalid, No Result"</formula1>
    </dataValidation>
    <dataValidation type="list" allowBlank="1" showInputMessage="1" showErrorMessage="1" sqref="M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K11" sqref="K11:L11"/>
    </sheetView>
  </sheetViews>
  <sheetFormatPr defaultColWidth="9.33203125" defaultRowHeight="14.4" x14ac:dyDescent="0.3"/>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3">
      <c r="A1" s="300" t="s">
        <v>698</v>
      </c>
      <c r="B1" s="300"/>
      <c r="C1" s="300"/>
      <c r="D1" s="300"/>
      <c r="E1" s="300"/>
      <c r="F1" s="300"/>
      <c r="G1" s="300"/>
      <c r="H1" s="300"/>
      <c r="I1" s="300"/>
      <c r="J1" s="300"/>
      <c r="K1" s="300"/>
      <c r="L1" s="300"/>
      <c r="M1" s="300"/>
      <c r="N1" s="300"/>
      <c r="O1" s="300"/>
      <c r="P1" s="300" t="s">
        <v>697</v>
      </c>
      <c r="Q1" s="300"/>
      <c r="R1" s="300"/>
      <c r="S1" s="300"/>
      <c r="T1" s="99"/>
      <c r="U1" s="99"/>
    </row>
    <row r="2" spans="1:21" s="100" customFormat="1" ht="18" x14ac:dyDescent="0.3">
      <c r="A2" s="300" t="s">
        <v>63</v>
      </c>
      <c r="B2" s="300"/>
      <c r="C2" s="300"/>
      <c r="D2" s="300"/>
      <c r="E2" s="300"/>
      <c r="F2" s="300"/>
      <c r="G2" s="300"/>
      <c r="H2" s="300"/>
      <c r="I2" s="300"/>
      <c r="J2" s="300"/>
      <c r="K2" s="300"/>
      <c r="L2" s="300"/>
      <c r="M2" s="300"/>
      <c r="N2" s="300"/>
      <c r="O2" s="300"/>
      <c r="P2" s="300"/>
      <c r="Q2" s="300"/>
      <c r="R2" s="300"/>
      <c r="S2" s="300"/>
      <c r="T2" s="300"/>
      <c r="U2" s="300"/>
    </row>
    <row r="3" spans="1:21" s="100" customFormat="1" ht="18" x14ac:dyDescent="0.3">
      <c r="A3" s="300" t="s">
        <v>680</v>
      </c>
      <c r="B3" s="300"/>
      <c r="C3" s="300"/>
      <c r="D3" s="300"/>
      <c r="E3" s="300"/>
      <c r="F3" s="300"/>
      <c r="G3" s="300"/>
      <c r="H3" s="300"/>
      <c r="I3" s="300"/>
      <c r="J3" s="300"/>
      <c r="K3" s="300"/>
      <c r="L3" s="300"/>
      <c r="M3" s="300"/>
      <c r="N3" s="300"/>
      <c r="O3" s="300"/>
      <c r="P3" s="300"/>
      <c r="Q3" s="300"/>
      <c r="R3" s="300"/>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00" t="s">
        <v>681</v>
      </c>
      <c r="B5" s="300"/>
      <c r="C5" s="300"/>
      <c r="D5" s="300"/>
      <c r="E5" s="300"/>
      <c r="F5" s="300"/>
      <c r="G5" s="300"/>
      <c r="H5" s="300"/>
      <c r="I5" s="300"/>
      <c r="J5" s="300"/>
      <c r="K5" s="300"/>
      <c r="L5" s="300"/>
      <c r="M5" s="300"/>
      <c r="N5" s="300"/>
      <c r="O5" s="300"/>
      <c r="P5" s="300"/>
      <c r="Q5" s="300"/>
      <c r="R5" s="300"/>
      <c r="S5" s="300"/>
      <c r="T5" s="300"/>
      <c r="U5" s="300"/>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09">
        <f>'DR-TB 10A (Sputum &amp; EP Sample)'!C6:G6</f>
        <v>0</v>
      </c>
      <c r="D7" s="309"/>
      <c r="E7" s="309"/>
      <c r="F7" s="309"/>
      <c r="G7" s="309"/>
      <c r="I7" s="2"/>
      <c r="J7" s="25" t="s">
        <v>14</v>
      </c>
      <c r="K7" s="100"/>
      <c r="L7" s="28" t="str">
        <f>'DR-TB 10A (Sputum &amp; EP Sample)'!L6</f>
        <v>&lt;Dates&gt;</v>
      </c>
    </row>
    <row r="8" spans="1:21" ht="16.8" x14ac:dyDescent="0.3">
      <c r="A8" s="2" t="s">
        <v>9</v>
      </c>
      <c r="B8" s="2"/>
      <c r="C8" s="317">
        <f>'DR-TB 10A (Sputum &amp; EP Sample)'!C7:G7</f>
        <v>0</v>
      </c>
      <c r="D8" s="317"/>
      <c r="E8" s="317"/>
      <c r="F8" s="317"/>
      <c r="G8" s="317"/>
      <c r="I8" s="102"/>
      <c r="J8" s="1" t="s">
        <v>682</v>
      </c>
      <c r="K8" s="24"/>
      <c r="L8" s="24"/>
      <c r="M8" s="24"/>
      <c r="N8" s="312">
        <f>'DR-TB 10A (Sputum &amp; EP Sample)'!N7:S7</f>
        <v>0</v>
      </c>
      <c r="O8" s="312"/>
      <c r="P8" s="312"/>
      <c r="Q8" s="312"/>
      <c r="R8" s="312"/>
      <c r="S8" s="312"/>
    </row>
    <row r="9" spans="1:21" ht="16.8" x14ac:dyDescent="0.3">
      <c r="A9" s="2" t="s">
        <v>10</v>
      </c>
      <c r="B9" s="2"/>
      <c r="C9" s="317">
        <f>'DR-TB 10A (Sputum &amp; EP Sample)'!C8:G8</f>
        <v>0</v>
      </c>
      <c r="D9" s="317"/>
      <c r="E9" s="317"/>
      <c r="F9" s="317"/>
      <c r="G9" s="317"/>
      <c r="I9" s="102"/>
      <c r="J9" s="102" t="s">
        <v>64</v>
      </c>
      <c r="K9" s="102"/>
      <c r="L9" s="102"/>
      <c r="M9" s="312">
        <f>'DR-TB 10A (Sputum &amp; EP Sample)'!M8:S8</f>
        <v>0</v>
      </c>
      <c r="N9" s="312"/>
      <c r="O9" s="312"/>
      <c r="P9" s="312"/>
      <c r="Q9" s="312"/>
      <c r="R9" s="312"/>
      <c r="S9" s="312"/>
    </row>
    <row r="10" spans="1:21" ht="16.8" x14ac:dyDescent="0.3">
      <c r="J10" s="102" t="s">
        <v>11</v>
      </c>
      <c r="K10" s="102"/>
      <c r="L10" s="102"/>
      <c r="M10" s="313">
        <f>'DR-TB 10A (Sputum &amp; EP Sample)'!M9:N9</f>
        <v>0</v>
      </c>
      <c r="N10" s="313"/>
      <c r="O10" s="103"/>
      <c r="P10" s="22"/>
    </row>
    <row r="11" spans="1:21" ht="16.8" x14ac:dyDescent="0.3">
      <c r="J11" s="104" t="s">
        <v>69</v>
      </c>
      <c r="K11" s="314">
        <f>'DR-TB 10A (Sputum &amp; EP Sample)'!K10:L10</f>
        <v>0</v>
      </c>
      <c r="L11" s="314"/>
      <c r="M11" s="104"/>
      <c r="N11" s="105"/>
      <c r="O11" s="102" t="s">
        <v>12</v>
      </c>
      <c r="Q11" s="315">
        <f>'DR-TB 10A (Sputum &amp; EP Sample)'!Q10:S10</f>
        <v>0</v>
      </c>
      <c r="R11" s="316"/>
      <c r="S11" s="316"/>
      <c r="T11" s="106"/>
    </row>
    <row r="12" spans="1:21" ht="16.2" thickBot="1" x14ac:dyDescent="0.35">
      <c r="J12" s="104"/>
      <c r="K12" s="107"/>
      <c r="L12" s="107"/>
      <c r="M12" s="104"/>
      <c r="N12" s="105"/>
      <c r="O12" s="102"/>
      <c r="Q12" s="27"/>
      <c r="R12" s="27"/>
      <c r="S12" s="27"/>
      <c r="T12" s="106"/>
    </row>
    <row r="13" spans="1:21" ht="17.399999999999999" thickBot="1" x14ac:dyDescent="0.35">
      <c r="A13" s="320" t="s">
        <v>683</v>
      </c>
      <c r="B13" s="319" t="s">
        <v>684</v>
      </c>
      <c r="C13" s="319"/>
      <c r="D13" s="319" t="s">
        <v>685</v>
      </c>
      <c r="E13" s="319"/>
      <c r="H13" s="322" t="s">
        <v>686</v>
      </c>
      <c r="I13" s="323"/>
      <c r="J13" s="323"/>
      <c r="K13" s="324"/>
      <c r="L13" s="328" t="s">
        <v>687</v>
      </c>
      <c r="M13" s="328"/>
      <c r="N13" s="328"/>
      <c r="O13" s="329" t="s">
        <v>3</v>
      </c>
      <c r="P13" s="330"/>
      <c r="Q13" s="106"/>
    </row>
    <row r="14" spans="1:21" ht="16.2" thickBot="1" x14ac:dyDescent="0.35">
      <c r="A14" s="321"/>
      <c r="B14" s="301"/>
      <c r="C14" s="302"/>
      <c r="D14" s="301"/>
      <c r="E14" s="302"/>
      <c r="H14" s="325"/>
      <c r="I14" s="326"/>
      <c r="J14" s="326"/>
      <c r="K14" s="327"/>
      <c r="L14" s="108"/>
      <c r="M14" s="109"/>
      <c r="N14" s="110"/>
      <c r="O14" s="331">
        <f>L14+M14+N14</f>
        <v>0</v>
      </c>
      <c r="P14" s="332"/>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06"/>
      <c r="B17" s="306"/>
      <c r="C17" s="306" t="s">
        <v>688</v>
      </c>
      <c r="D17" s="306"/>
      <c r="E17" s="306"/>
      <c r="F17" s="311" t="s">
        <v>689</v>
      </c>
      <c r="G17" s="311"/>
      <c r="H17" s="311"/>
      <c r="I17" s="311"/>
      <c r="J17" s="311"/>
      <c r="K17" s="311"/>
      <c r="L17" s="306" t="s">
        <v>690</v>
      </c>
      <c r="M17" s="306"/>
      <c r="N17" s="306"/>
      <c r="O17" s="306"/>
      <c r="P17" s="306"/>
      <c r="Q17" s="306"/>
      <c r="U17" s="310"/>
    </row>
    <row r="18" spans="1:21" x14ac:dyDescent="0.3">
      <c r="A18" s="306"/>
      <c r="B18" s="306"/>
      <c r="C18" s="305" t="s">
        <v>691</v>
      </c>
      <c r="D18" s="305" t="s">
        <v>692</v>
      </c>
      <c r="E18" s="305" t="s">
        <v>3</v>
      </c>
      <c r="F18" s="311" t="s">
        <v>691</v>
      </c>
      <c r="G18" s="311"/>
      <c r="H18" s="311" t="s">
        <v>692</v>
      </c>
      <c r="I18" s="311"/>
      <c r="J18" s="311" t="s">
        <v>3</v>
      </c>
      <c r="K18" s="311"/>
      <c r="L18" s="306" t="s">
        <v>691</v>
      </c>
      <c r="M18" s="306"/>
      <c r="N18" s="306" t="s">
        <v>692</v>
      </c>
      <c r="O18" s="306"/>
      <c r="P18" s="305" t="s">
        <v>3</v>
      </c>
      <c r="Q18" s="305"/>
      <c r="U18" s="310"/>
    </row>
    <row r="19" spans="1:21" x14ac:dyDescent="0.3">
      <c r="A19" s="306"/>
      <c r="B19" s="306"/>
      <c r="C19" s="305"/>
      <c r="D19" s="305"/>
      <c r="E19" s="305"/>
      <c r="F19" s="311"/>
      <c r="G19" s="311"/>
      <c r="H19" s="311"/>
      <c r="I19" s="311"/>
      <c r="J19" s="311"/>
      <c r="K19" s="311"/>
      <c r="L19" s="306"/>
      <c r="M19" s="306"/>
      <c r="N19" s="306"/>
      <c r="O19" s="306"/>
      <c r="P19" s="305"/>
      <c r="Q19" s="305"/>
      <c r="U19" s="310"/>
    </row>
    <row r="20" spans="1:21" ht="15" customHeight="1" x14ac:dyDescent="0.3">
      <c r="A20" s="306" t="s">
        <v>693</v>
      </c>
      <c r="B20" s="306"/>
      <c r="C20" s="307"/>
      <c r="D20" s="307"/>
      <c r="E20" s="305">
        <f>C20+D20</f>
        <v>0</v>
      </c>
      <c r="F20" s="308"/>
      <c r="G20" s="308"/>
      <c r="H20" s="298"/>
      <c r="I20" s="298"/>
      <c r="J20" s="299">
        <f>F20+H20</f>
        <v>0</v>
      </c>
      <c r="K20" s="299"/>
      <c r="L20" s="305">
        <f>C20+F20</f>
        <v>0</v>
      </c>
      <c r="M20" s="305"/>
      <c r="N20" s="305">
        <f>D20+H20</f>
        <v>0</v>
      </c>
      <c r="O20" s="305"/>
      <c r="P20" s="305">
        <f>L20+N20</f>
        <v>0</v>
      </c>
      <c r="Q20" s="305"/>
      <c r="U20" s="318"/>
    </row>
    <row r="21" spans="1:21" ht="15" customHeight="1" x14ac:dyDescent="0.3">
      <c r="A21" s="306"/>
      <c r="B21" s="306"/>
      <c r="C21" s="307"/>
      <c r="D21" s="307"/>
      <c r="E21" s="305"/>
      <c r="F21" s="308"/>
      <c r="G21" s="308"/>
      <c r="H21" s="298"/>
      <c r="I21" s="298"/>
      <c r="J21" s="299"/>
      <c r="K21" s="299"/>
      <c r="L21" s="305"/>
      <c r="M21" s="305"/>
      <c r="N21" s="305"/>
      <c r="O21" s="305"/>
      <c r="P21" s="305"/>
      <c r="Q21" s="305"/>
      <c r="U21" s="318"/>
    </row>
    <row r="22" spans="1:21" ht="15" customHeight="1" x14ac:dyDescent="0.3">
      <c r="A22" s="306"/>
      <c r="B22" s="306"/>
      <c r="C22" s="307"/>
      <c r="D22" s="307"/>
      <c r="E22" s="305"/>
      <c r="F22" s="308"/>
      <c r="G22" s="308"/>
      <c r="H22" s="298"/>
      <c r="I22" s="298"/>
      <c r="J22" s="299"/>
      <c r="K22" s="299"/>
      <c r="L22" s="305"/>
      <c r="M22" s="305"/>
      <c r="N22" s="305"/>
      <c r="O22" s="305"/>
      <c r="P22" s="305"/>
      <c r="Q22" s="305"/>
      <c r="U22" s="318"/>
    </row>
    <row r="23" spans="1:21" ht="15.6" x14ac:dyDescent="0.3">
      <c r="A23" s="306" t="s">
        <v>694</v>
      </c>
      <c r="B23" s="306"/>
      <c r="C23" s="307"/>
      <c r="D23" s="307"/>
      <c r="E23" s="305">
        <f t="shared" ref="E23" si="0">C23+D23</f>
        <v>0</v>
      </c>
      <c r="F23" s="308"/>
      <c r="G23" s="308"/>
      <c r="H23" s="298"/>
      <c r="I23" s="298"/>
      <c r="J23" s="299">
        <f t="shared" ref="J23" si="1">F23+H23</f>
        <v>0</v>
      </c>
      <c r="K23" s="299"/>
      <c r="L23" s="305">
        <f t="shared" ref="L23" si="2">C23+F23</f>
        <v>0</v>
      </c>
      <c r="M23" s="305"/>
      <c r="N23" s="305">
        <f t="shared" ref="N23" si="3">D23+H23</f>
        <v>0</v>
      </c>
      <c r="O23" s="305"/>
      <c r="P23" s="305">
        <f t="shared" ref="P23" si="4">L23+N23</f>
        <v>0</v>
      </c>
      <c r="Q23" s="305"/>
      <c r="U23" s="33"/>
    </row>
    <row r="24" spans="1:21" ht="15.6" x14ac:dyDescent="0.3">
      <c r="A24" s="306"/>
      <c r="B24" s="306"/>
      <c r="C24" s="307"/>
      <c r="D24" s="307"/>
      <c r="E24" s="305"/>
      <c r="F24" s="308"/>
      <c r="G24" s="308"/>
      <c r="H24" s="298"/>
      <c r="I24" s="298"/>
      <c r="J24" s="299"/>
      <c r="K24" s="299"/>
      <c r="L24" s="305"/>
      <c r="M24" s="305"/>
      <c r="N24" s="305"/>
      <c r="O24" s="305"/>
      <c r="P24" s="305"/>
      <c r="Q24" s="305"/>
      <c r="U24" s="33"/>
    </row>
    <row r="25" spans="1:21" ht="15.6" x14ac:dyDescent="0.3">
      <c r="A25" s="306"/>
      <c r="B25" s="306"/>
      <c r="C25" s="307"/>
      <c r="D25" s="307"/>
      <c r="E25" s="305"/>
      <c r="F25" s="308"/>
      <c r="G25" s="308"/>
      <c r="H25" s="298"/>
      <c r="I25" s="298"/>
      <c r="J25" s="299"/>
      <c r="K25" s="299"/>
      <c r="L25" s="305"/>
      <c r="M25" s="305"/>
      <c r="N25" s="305"/>
      <c r="O25" s="305"/>
      <c r="P25" s="305"/>
      <c r="Q25" s="305"/>
      <c r="U25" s="33"/>
    </row>
    <row r="26" spans="1:21" ht="15.6" x14ac:dyDescent="0.3">
      <c r="A26" s="306" t="s">
        <v>695</v>
      </c>
      <c r="B26" s="306"/>
      <c r="C26" s="307"/>
      <c r="D26" s="307"/>
      <c r="E26" s="305">
        <f t="shared" ref="E26" si="5">C26+D26</f>
        <v>0</v>
      </c>
      <c r="F26" s="308"/>
      <c r="G26" s="308"/>
      <c r="H26" s="298"/>
      <c r="I26" s="298"/>
      <c r="J26" s="299">
        <f t="shared" ref="J26" si="6">F26+H26</f>
        <v>0</v>
      </c>
      <c r="K26" s="299"/>
      <c r="L26" s="305">
        <f t="shared" ref="L26" si="7">C26+F26</f>
        <v>0</v>
      </c>
      <c r="M26" s="305"/>
      <c r="N26" s="305">
        <f t="shared" ref="N26" si="8">D26+H26</f>
        <v>0</v>
      </c>
      <c r="O26" s="305"/>
      <c r="P26" s="305">
        <f t="shared" ref="P26" si="9">L26+N26</f>
        <v>0</v>
      </c>
      <c r="Q26" s="305"/>
      <c r="R26" s="32"/>
      <c r="S26" s="33"/>
      <c r="T26" s="33"/>
      <c r="U26" s="33"/>
    </row>
    <row r="27" spans="1:21" ht="15.6" x14ac:dyDescent="0.3">
      <c r="A27" s="306"/>
      <c r="B27" s="306"/>
      <c r="C27" s="307"/>
      <c r="D27" s="307"/>
      <c r="E27" s="305"/>
      <c r="F27" s="308"/>
      <c r="G27" s="308"/>
      <c r="H27" s="298"/>
      <c r="I27" s="298"/>
      <c r="J27" s="299"/>
      <c r="K27" s="299"/>
      <c r="L27" s="305"/>
      <c r="M27" s="305"/>
      <c r="N27" s="305"/>
      <c r="O27" s="305"/>
      <c r="P27" s="305"/>
      <c r="Q27" s="305"/>
      <c r="R27" s="32"/>
      <c r="S27" s="33"/>
      <c r="T27" s="33"/>
      <c r="U27" s="33"/>
    </row>
    <row r="28" spans="1:21" ht="15.6" x14ac:dyDescent="0.3">
      <c r="A28" s="306"/>
      <c r="B28" s="306"/>
      <c r="C28" s="307"/>
      <c r="D28" s="307"/>
      <c r="E28" s="305"/>
      <c r="F28" s="308"/>
      <c r="G28" s="308"/>
      <c r="H28" s="298"/>
      <c r="I28" s="298"/>
      <c r="J28" s="299"/>
      <c r="K28" s="299"/>
      <c r="L28" s="305"/>
      <c r="M28" s="305"/>
      <c r="N28" s="305"/>
      <c r="O28" s="305"/>
      <c r="P28" s="305"/>
      <c r="Q28" s="305"/>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03"/>
      <c r="N30" s="303"/>
      <c r="O30" s="303"/>
      <c r="P30" s="303"/>
      <c r="Q30" s="303"/>
      <c r="R30" s="303"/>
      <c r="S30" s="303"/>
    </row>
    <row r="31" spans="1:21" ht="16.8" x14ac:dyDescent="0.3">
      <c r="A31" s="114"/>
      <c r="B31" s="114"/>
      <c r="C31" s="114"/>
      <c r="D31" s="114"/>
      <c r="E31" s="26"/>
      <c r="F31" s="26"/>
      <c r="G31" s="25"/>
      <c r="H31" s="106" t="s">
        <v>56</v>
      </c>
      <c r="I31" s="297"/>
      <c r="J31" s="297"/>
      <c r="K31" s="297"/>
      <c r="L31" s="297"/>
      <c r="N31" s="115" t="s">
        <v>57</v>
      </c>
      <c r="O31" s="304"/>
      <c r="P31" s="304"/>
      <c r="Q31" s="304"/>
    </row>
    <row r="32" spans="1:21" ht="16.8" x14ac:dyDescent="0.3">
      <c r="A32" s="25"/>
      <c r="B32" s="23"/>
      <c r="C32" s="23"/>
      <c r="D32" s="23"/>
      <c r="E32" s="25"/>
      <c r="F32" s="25"/>
      <c r="G32" s="26"/>
      <c r="H32" s="106" t="s">
        <v>58</v>
      </c>
      <c r="I32" s="296"/>
      <c r="J32" s="296"/>
      <c r="K32" s="296"/>
      <c r="L32" s="296"/>
      <c r="M32" s="296"/>
    </row>
    <row r="33" spans="1:8" ht="15.6" x14ac:dyDescent="0.3">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P13"/>
  <sheetViews>
    <sheetView zoomScaleNormal="100" workbookViewId="0">
      <selection sqref="A1:A3"/>
    </sheetView>
  </sheetViews>
  <sheetFormatPr defaultColWidth="9.33203125" defaultRowHeight="14.4" x14ac:dyDescent="0.3"/>
  <cols>
    <col min="1" max="1" width="14.44140625" style="101" customWidth="1"/>
    <col min="2" max="2" width="9.6640625" style="101" customWidth="1"/>
    <col min="3" max="3" width="13.441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546875" style="101" customWidth="1"/>
    <col min="66" max="84" width="9.33203125" style="101"/>
    <col min="85" max="85" width="10.33203125" style="101" customWidth="1"/>
    <col min="86" max="88" width="9.33203125" style="101"/>
    <col min="89" max="89" width="10" style="101" customWidth="1"/>
    <col min="90" max="90" width="9.6640625" style="101" customWidth="1"/>
    <col min="91" max="16384" width="9.33203125" style="101"/>
  </cols>
  <sheetData>
    <row r="1" spans="1:146" s="100" customFormat="1" ht="29.25" customHeight="1" x14ac:dyDescent="0.3">
      <c r="A1" s="378" t="s">
        <v>161</v>
      </c>
      <c r="B1" s="378" t="s">
        <v>280</v>
      </c>
      <c r="C1" s="378" t="s">
        <v>806</v>
      </c>
      <c r="D1" s="379"/>
      <c r="E1" s="358" t="s">
        <v>281</v>
      </c>
      <c r="F1" s="358"/>
      <c r="G1" s="358"/>
      <c r="H1" s="357" t="s">
        <v>282</v>
      </c>
      <c r="I1" s="357"/>
      <c r="J1" s="357"/>
      <c r="K1" s="357"/>
      <c r="L1" s="357"/>
      <c r="M1" s="357"/>
      <c r="N1" s="357"/>
      <c r="O1" s="357"/>
      <c r="P1" s="357"/>
      <c r="Q1" s="357"/>
      <c r="R1" s="357"/>
      <c r="S1" s="357"/>
      <c r="T1" s="357"/>
      <c r="U1" s="357"/>
      <c r="V1" s="357"/>
      <c r="W1" s="357"/>
      <c r="X1" s="357"/>
      <c r="Y1" s="357"/>
      <c r="Z1" s="357"/>
      <c r="AA1" s="357"/>
      <c r="AB1" s="357"/>
      <c r="AC1" s="357"/>
      <c r="AD1" s="357"/>
      <c r="AE1" s="357"/>
      <c r="AF1" s="357"/>
      <c r="AG1" s="357" t="s">
        <v>283</v>
      </c>
      <c r="AH1" s="357"/>
      <c r="AI1" s="357"/>
      <c r="AJ1" s="357"/>
      <c r="AK1" s="338" t="s">
        <v>284</v>
      </c>
      <c r="AL1" s="338" t="s">
        <v>285</v>
      </c>
      <c r="AM1" s="338" t="s">
        <v>286</v>
      </c>
      <c r="AN1" s="338" t="s">
        <v>287</v>
      </c>
      <c r="AO1" s="338"/>
      <c r="AP1" s="338"/>
      <c r="AQ1" s="338"/>
      <c r="AR1" s="338" t="s">
        <v>288</v>
      </c>
      <c r="AS1" s="359" t="s">
        <v>289</v>
      </c>
      <c r="AT1" s="360"/>
      <c r="AU1" s="360"/>
      <c r="AV1" s="361"/>
      <c r="AW1" s="346" t="s">
        <v>290</v>
      </c>
      <c r="AX1" s="338" t="s">
        <v>291</v>
      </c>
      <c r="AY1" s="338"/>
      <c r="AZ1" s="338"/>
      <c r="BA1" s="338"/>
      <c r="BB1" s="346" t="s">
        <v>292</v>
      </c>
      <c r="BC1" s="367" t="s">
        <v>820</v>
      </c>
      <c r="BD1" s="366" t="s">
        <v>75</v>
      </c>
      <c r="BE1" s="366"/>
      <c r="BF1" s="366"/>
      <c r="BG1" s="366" t="s">
        <v>67</v>
      </c>
      <c r="BH1" s="366"/>
      <c r="BI1" s="366"/>
      <c r="BJ1" s="366" t="s">
        <v>3</v>
      </c>
      <c r="BK1" s="373" t="str">
        <f>'DR-TB 10A (Sputum &amp; EP Sample)'!J7</f>
        <v>Name of the person completing the report :</v>
      </c>
      <c r="BL1" s="373" t="str">
        <f>'DR-TB 10A (Sputum &amp; EP Sample)'!J8</f>
        <v>Designation and organization :</v>
      </c>
      <c r="BM1" s="373" t="str">
        <f>'DR-TB 10A (Sputum &amp; EP Sample)'!O10</f>
        <v>Cell Number :</v>
      </c>
      <c r="BN1" s="362" t="str">
        <f>'COVID19 Reporting Form'!B13</f>
        <v>Cartridges Received</v>
      </c>
      <c r="BO1" s="362" t="str">
        <f>'COVID19 Reporting Form'!D13</f>
        <v>Cartridges in Hand</v>
      </c>
      <c r="BP1" s="362" t="str">
        <f>'COVID19 Reporting Form'!C17</f>
        <v>Type of test : New</v>
      </c>
      <c r="BQ1" s="362"/>
      <c r="BR1" s="362"/>
      <c r="BS1" s="362"/>
      <c r="BT1" s="362"/>
      <c r="BU1" s="362"/>
      <c r="BV1" s="362" t="str">
        <f>'COVID19 Reporting Form'!F17</f>
        <v xml:space="preserve">Type of Test : Follow up </v>
      </c>
      <c r="BW1" s="362"/>
      <c r="BX1" s="362"/>
      <c r="BY1" s="362"/>
      <c r="BZ1" s="362"/>
      <c r="CA1" s="362"/>
      <c r="CB1" s="362" t="s">
        <v>686</v>
      </c>
      <c r="CC1" s="362"/>
      <c r="CD1" s="362"/>
      <c r="CE1" s="370" t="str">
        <f>'DR-TB 10A (Sputum &amp; EP Sample)'!J12</f>
        <v>For Xpert</v>
      </c>
      <c r="CF1" s="371"/>
      <c r="CG1" s="372"/>
      <c r="CH1" s="370" t="str">
        <f>'DR-TB 10A (Sputum &amp; EP Sample)'!N12</f>
        <v>For Truenat</v>
      </c>
      <c r="CI1" s="371"/>
      <c r="CJ1" s="371"/>
      <c r="CK1" s="371"/>
      <c r="CL1" s="371"/>
      <c r="CM1" s="371"/>
      <c r="CN1" s="371"/>
      <c r="CO1" s="371"/>
      <c r="CP1" s="372"/>
      <c r="CQ1" s="362" t="str">
        <f>'DR-TB 10A (Sputum &amp; EP Sample)'!G38</f>
        <v>Number of Xpert XDR Assay</v>
      </c>
      <c r="CR1" s="362">
        <f>'DR-TB 10A (Sputum &amp; EP Sample)'!H38</f>
        <v>0</v>
      </c>
      <c r="CS1" s="358" t="s">
        <v>281</v>
      </c>
      <c r="CT1" s="358"/>
      <c r="CU1" s="358"/>
      <c r="CV1" s="357" t="s">
        <v>282</v>
      </c>
      <c r="CW1" s="357"/>
      <c r="CX1" s="357"/>
      <c r="CY1" s="357"/>
      <c r="CZ1" s="357"/>
      <c r="DA1" s="357"/>
      <c r="DB1" s="357"/>
      <c r="DC1" s="357"/>
      <c r="DD1" s="357"/>
      <c r="DE1" s="357"/>
      <c r="DF1" s="357"/>
      <c r="DG1" s="357"/>
      <c r="DH1" s="357"/>
      <c r="DI1" s="357"/>
      <c r="DJ1" s="357"/>
      <c r="DK1" s="357"/>
      <c r="DL1" s="357"/>
      <c r="DM1" s="357"/>
      <c r="DN1" s="357"/>
      <c r="DO1" s="357"/>
      <c r="DP1" s="357"/>
      <c r="DQ1" s="357"/>
      <c r="DR1" s="357"/>
      <c r="DS1" s="357"/>
      <c r="DT1" s="357"/>
      <c r="DU1" s="357" t="s">
        <v>283</v>
      </c>
      <c r="DV1" s="357"/>
      <c r="DW1" s="357"/>
      <c r="DX1" s="357"/>
      <c r="DY1" s="338" t="s">
        <v>284</v>
      </c>
      <c r="DZ1" s="338" t="s">
        <v>285</v>
      </c>
      <c r="EA1" s="338" t="s">
        <v>286</v>
      </c>
      <c r="EB1" s="338" t="s">
        <v>287</v>
      </c>
      <c r="EC1" s="338"/>
      <c r="ED1" s="338"/>
      <c r="EE1" s="338"/>
      <c r="EF1" s="338" t="s">
        <v>288</v>
      </c>
      <c r="EG1" s="359" t="s">
        <v>289</v>
      </c>
      <c r="EH1" s="360"/>
      <c r="EI1" s="360"/>
      <c r="EJ1" s="361"/>
      <c r="EK1" s="346" t="s">
        <v>290</v>
      </c>
      <c r="EL1" s="338" t="s">
        <v>291</v>
      </c>
      <c r="EM1" s="338"/>
      <c r="EN1" s="338"/>
      <c r="EO1" s="338"/>
      <c r="EP1" s="346" t="s">
        <v>292</v>
      </c>
    </row>
    <row r="2" spans="1:146" s="100" customFormat="1" ht="33.75" customHeight="1" x14ac:dyDescent="0.3">
      <c r="A2" s="378"/>
      <c r="B2" s="378"/>
      <c r="C2" s="378"/>
      <c r="D2" s="380"/>
      <c r="E2" s="349" t="s">
        <v>43</v>
      </c>
      <c r="F2" s="351" t="s">
        <v>44</v>
      </c>
      <c r="G2" s="352" t="s">
        <v>304</v>
      </c>
      <c r="H2" s="353" t="s">
        <v>18</v>
      </c>
      <c r="I2" s="354" t="s">
        <v>19</v>
      </c>
      <c r="J2" s="354" t="s">
        <v>20</v>
      </c>
      <c r="K2" s="354" t="s">
        <v>22</v>
      </c>
      <c r="L2" s="354" t="s">
        <v>24</v>
      </c>
      <c r="M2" s="354" t="s">
        <v>26</v>
      </c>
      <c r="N2" s="354" t="s">
        <v>28</v>
      </c>
      <c r="O2" s="354" t="s">
        <v>30</v>
      </c>
      <c r="P2" s="354" t="s">
        <v>32</v>
      </c>
      <c r="Q2" s="354"/>
      <c r="R2" s="354"/>
      <c r="S2" s="354" t="s">
        <v>34</v>
      </c>
      <c r="T2" s="354"/>
      <c r="U2" s="354"/>
      <c r="V2" s="354" t="s">
        <v>293</v>
      </c>
      <c r="W2" s="354"/>
      <c r="X2" s="354"/>
      <c r="Y2" s="354" t="s">
        <v>294</v>
      </c>
      <c r="Z2" s="354"/>
      <c r="AA2" s="354"/>
      <c r="AB2" s="354" t="s">
        <v>295</v>
      </c>
      <c r="AC2" s="354"/>
      <c r="AD2" s="354"/>
      <c r="AE2" s="355" t="s">
        <v>296</v>
      </c>
      <c r="AF2" s="357" t="s">
        <v>3</v>
      </c>
      <c r="AG2" s="354" t="s">
        <v>43</v>
      </c>
      <c r="AH2" s="354" t="s">
        <v>44</v>
      </c>
      <c r="AI2" s="354" t="s">
        <v>297</v>
      </c>
      <c r="AJ2" s="357" t="s">
        <v>3</v>
      </c>
      <c r="AK2" s="338"/>
      <c r="AL2" s="338"/>
      <c r="AM2" s="338"/>
      <c r="AN2" s="338" t="s">
        <v>298</v>
      </c>
      <c r="AO2" s="338" t="s">
        <v>299</v>
      </c>
      <c r="AP2" s="338" t="s">
        <v>300</v>
      </c>
      <c r="AQ2" s="339" t="s">
        <v>838</v>
      </c>
      <c r="AR2" s="338"/>
      <c r="AS2" s="338" t="s">
        <v>298</v>
      </c>
      <c r="AT2" s="338" t="s">
        <v>299</v>
      </c>
      <c r="AU2" s="338" t="s">
        <v>300</v>
      </c>
      <c r="AV2" s="339" t="s">
        <v>838</v>
      </c>
      <c r="AW2" s="347"/>
      <c r="AX2" s="337" t="s">
        <v>298</v>
      </c>
      <c r="AY2" s="337" t="s">
        <v>299</v>
      </c>
      <c r="AZ2" s="337" t="s">
        <v>300</v>
      </c>
      <c r="BA2" s="339" t="s">
        <v>838</v>
      </c>
      <c r="BB2" s="347"/>
      <c r="BC2" s="368"/>
      <c r="BD2" s="366"/>
      <c r="BE2" s="366"/>
      <c r="BF2" s="366"/>
      <c r="BG2" s="366"/>
      <c r="BH2" s="366"/>
      <c r="BI2" s="366"/>
      <c r="BJ2" s="366"/>
      <c r="BK2" s="373"/>
      <c r="BL2" s="373"/>
      <c r="BM2" s="373"/>
      <c r="BN2" s="362"/>
      <c r="BO2" s="362"/>
      <c r="BP2" s="362" t="str">
        <f>'COVID19 Reporting Form'!A20</f>
        <v>Number Of COVID19 Test</v>
      </c>
      <c r="BQ2" s="362"/>
      <c r="BR2" s="362" t="str">
        <f>'COVID19 Reporting Form'!A23</f>
        <v>Number of COVID 19 Positive Detected</v>
      </c>
      <c r="BS2" s="362"/>
      <c r="BT2" s="362" t="str">
        <f>'COVID19 Reporting Form'!A26</f>
        <v>Number of COVID 19 Negative Detected</v>
      </c>
      <c r="BU2" s="362"/>
      <c r="BV2" s="362" t="str">
        <f>'COVID19 Reporting Form'!A20</f>
        <v>Number Of COVID19 Test</v>
      </c>
      <c r="BW2" s="362"/>
      <c r="BX2" s="362" t="str">
        <f>'COVID19 Reporting Form'!A23</f>
        <v>Number of COVID 19 Positive Detected</v>
      </c>
      <c r="BY2" s="362"/>
      <c r="BZ2" s="362" t="str">
        <f>'COVID19 Reporting Form'!A26</f>
        <v>Number of COVID 19 Negative Detected</v>
      </c>
      <c r="CA2" s="362"/>
      <c r="CB2" s="362"/>
      <c r="CC2" s="362"/>
      <c r="CD2" s="362"/>
      <c r="CE2" s="367" t="str">
        <f>'DR-TB 10A (Sputum &amp; EP Sample)'!J13</f>
        <v>Number of Gene Xpert Machine:</v>
      </c>
      <c r="CF2" s="367" t="str">
        <f>'DR-TB 10A (Sputum &amp; EP Sample)'!J14</f>
        <v>Total Number Of Module:</v>
      </c>
      <c r="CG2" s="367" t="str">
        <f>'DR-TB 10A (Sputum &amp; EP Sample)'!J15</f>
        <v>Number of Module Functional:</v>
      </c>
      <c r="CH2" s="367" t="str">
        <f>'DR-TB 10A (Sputum &amp; EP Sample)'!N13</f>
        <v>No. of TruePrep Device</v>
      </c>
      <c r="CI2" s="367" t="str">
        <f>'DR-TB 10A (Sputum &amp; EP Sample)'!N14</f>
        <v>No.of TrueLab Device</v>
      </c>
      <c r="CJ2" s="367" t="str">
        <f>'DR-TB 10A (Sputum &amp; EP Sample)'!N15</f>
        <v>Total No. of Chip Ports</v>
      </c>
      <c r="CK2" s="367" t="str">
        <f>'DR-TB 10A (Sputum &amp; EP Sample)'!R13</f>
        <v>Functional TruePrep Device</v>
      </c>
      <c r="CL2" s="367" t="str">
        <f>'DR-TB 10A (Sputum &amp; EP Sample)'!R14</f>
        <v>Functional TrueLab Device</v>
      </c>
      <c r="CM2" s="367" t="str">
        <f>'DR-TB 10A (Sputum &amp; EP Sample)'!R15</f>
        <v>Total functional Chip Ports</v>
      </c>
      <c r="CN2" s="367" t="str">
        <f>'DR-TB 10A (Sputum &amp; EP Sample)'!R17</f>
        <v>No. of Truenat Cartriage Used</v>
      </c>
      <c r="CO2" s="367" t="str">
        <f>'DR-TB 10A (Sputum &amp; EP Sample)'!R18</f>
        <v>No. of Truenat MTB Chip Used</v>
      </c>
      <c r="CP2" s="367" t="str">
        <f>'DR-TB 10A (Sputum &amp; EP Sample)'!R19</f>
        <v>No. of Truenat RIF Dx Chip Used</v>
      </c>
      <c r="CQ2" s="362"/>
      <c r="CR2" s="362"/>
      <c r="CS2" s="349" t="s">
        <v>43</v>
      </c>
      <c r="CT2" s="351" t="s">
        <v>44</v>
      </c>
      <c r="CU2" s="352" t="s">
        <v>304</v>
      </c>
      <c r="CV2" s="353" t="s">
        <v>18</v>
      </c>
      <c r="CW2" s="354" t="s">
        <v>19</v>
      </c>
      <c r="CX2" s="354" t="s">
        <v>20</v>
      </c>
      <c r="CY2" s="354" t="s">
        <v>22</v>
      </c>
      <c r="CZ2" s="354" t="s">
        <v>24</v>
      </c>
      <c r="DA2" s="354" t="s">
        <v>26</v>
      </c>
      <c r="DB2" s="354" t="s">
        <v>28</v>
      </c>
      <c r="DC2" s="354" t="s">
        <v>30</v>
      </c>
      <c r="DD2" s="354" t="s">
        <v>32</v>
      </c>
      <c r="DE2" s="354"/>
      <c r="DF2" s="354"/>
      <c r="DG2" s="354" t="s">
        <v>34</v>
      </c>
      <c r="DH2" s="354"/>
      <c r="DI2" s="354"/>
      <c r="DJ2" s="354" t="s">
        <v>293</v>
      </c>
      <c r="DK2" s="354"/>
      <c r="DL2" s="354"/>
      <c r="DM2" s="354" t="s">
        <v>294</v>
      </c>
      <c r="DN2" s="354"/>
      <c r="DO2" s="354"/>
      <c r="DP2" s="354" t="s">
        <v>295</v>
      </c>
      <c r="DQ2" s="354"/>
      <c r="DR2" s="354"/>
      <c r="DS2" s="355" t="s">
        <v>296</v>
      </c>
      <c r="DT2" s="357" t="s">
        <v>3</v>
      </c>
      <c r="DU2" s="354" t="s">
        <v>43</v>
      </c>
      <c r="DV2" s="354" t="s">
        <v>44</v>
      </c>
      <c r="DW2" s="354" t="s">
        <v>297</v>
      </c>
      <c r="DX2" s="357" t="s">
        <v>3</v>
      </c>
      <c r="DY2" s="338"/>
      <c r="DZ2" s="338"/>
      <c r="EA2" s="338"/>
      <c r="EB2" s="338" t="s">
        <v>298</v>
      </c>
      <c r="EC2" s="338" t="s">
        <v>299</v>
      </c>
      <c r="ED2" s="338" t="s">
        <v>300</v>
      </c>
      <c r="EE2" s="339" t="s">
        <v>838</v>
      </c>
      <c r="EF2" s="338"/>
      <c r="EG2" s="338" t="s">
        <v>298</v>
      </c>
      <c r="EH2" s="338" t="s">
        <v>299</v>
      </c>
      <c r="EI2" s="338" t="s">
        <v>300</v>
      </c>
      <c r="EJ2" s="339" t="s">
        <v>838</v>
      </c>
      <c r="EK2" s="347"/>
      <c r="EL2" s="337" t="s">
        <v>298</v>
      </c>
      <c r="EM2" s="337" t="s">
        <v>299</v>
      </c>
      <c r="EN2" s="337" t="s">
        <v>300</v>
      </c>
      <c r="EO2" s="339" t="s">
        <v>838</v>
      </c>
      <c r="EP2" s="347"/>
    </row>
    <row r="3" spans="1:146" s="100" customFormat="1" ht="75.75" customHeight="1" x14ac:dyDescent="0.3">
      <c r="A3" s="378"/>
      <c r="B3" s="378"/>
      <c r="C3" s="378"/>
      <c r="D3" s="381"/>
      <c r="E3" s="350"/>
      <c r="F3" s="351"/>
      <c r="G3" s="352"/>
      <c r="H3" s="353"/>
      <c r="I3" s="354"/>
      <c r="J3" s="354"/>
      <c r="K3" s="354"/>
      <c r="L3" s="354"/>
      <c r="M3" s="354"/>
      <c r="N3" s="354"/>
      <c r="O3" s="354"/>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56"/>
      <c r="AF3" s="357"/>
      <c r="AG3" s="354"/>
      <c r="AH3" s="354"/>
      <c r="AI3" s="354"/>
      <c r="AJ3" s="357"/>
      <c r="AK3" s="338"/>
      <c r="AL3" s="338"/>
      <c r="AM3" s="338"/>
      <c r="AN3" s="338"/>
      <c r="AO3" s="338"/>
      <c r="AP3" s="338"/>
      <c r="AQ3" s="339"/>
      <c r="AR3" s="338"/>
      <c r="AS3" s="338"/>
      <c r="AT3" s="338"/>
      <c r="AU3" s="338"/>
      <c r="AV3" s="339"/>
      <c r="AW3" s="348"/>
      <c r="AX3" s="338"/>
      <c r="AY3" s="338"/>
      <c r="AZ3" s="338"/>
      <c r="BA3" s="339"/>
      <c r="BB3" s="348"/>
      <c r="BC3" s="369"/>
      <c r="BD3" s="133" t="s">
        <v>817</v>
      </c>
      <c r="BE3" s="133" t="s">
        <v>839</v>
      </c>
      <c r="BF3" s="133" t="s">
        <v>819</v>
      </c>
      <c r="BG3" s="133" t="s">
        <v>817</v>
      </c>
      <c r="BH3" s="133" t="s">
        <v>839</v>
      </c>
      <c r="BI3" s="133" t="s">
        <v>819</v>
      </c>
      <c r="BJ3" s="366"/>
      <c r="BK3" s="373"/>
      <c r="BL3" s="373"/>
      <c r="BM3" s="373"/>
      <c r="BN3" s="362"/>
      <c r="BO3" s="362"/>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62"/>
      <c r="CC3" s="362"/>
      <c r="CD3" s="362"/>
      <c r="CE3" s="369"/>
      <c r="CF3" s="369"/>
      <c r="CG3" s="369"/>
      <c r="CH3" s="369"/>
      <c r="CI3" s="369"/>
      <c r="CJ3" s="369"/>
      <c r="CK3" s="369"/>
      <c r="CL3" s="369"/>
      <c r="CM3" s="369"/>
      <c r="CN3" s="369"/>
      <c r="CO3" s="369"/>
      <c r="CP3" s="369"/>
      <c r="CQ3" s="362"/>
      <c r="CR3" s="362"/>
      <c r="CS3" s="350"/>
      <c r="CT3" s="351"/>
      <c r="CU3" s="352"/>
      <c r="CV3" s="353"/>
      <c r="CW3" s="354"/>
      <c r="CX3" s="354"/>
      <c r="CY3" s="354"/>
      <c r="CZ3" s="354"/>
      <c r="DA3" s="354"/>
      <c r="DB3" s="354"/>
      <c r="DC3" s="354"/>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56"/>
      <c r="DT3" s="357"/>
      <c r="DU3" s="354"/>
      <c r="DV3" s="354"/>
      <c r="DW3" s="354"/>
      <c r="DX3" s="357"/>
      <c r="DY3" s="338"/>
      <c r="DZ3" s="338"/>
      <c r="EA3" s="338"/>
      <c r="EB3" s="338"/>
      <c r="EC3" s="338"/>
      <c r="ED3" s="338"/>
      <c r="EE3" s="339"/>
      <c r="EF3" s="338"/>
      <c r="EG3" s="338"/>
      <c r="EH3" s="338"/>
      <c r="EI3" s="338"/>
      <c r="EJ3" s="339"/>
      <c r="EK3" s="348"/>
      <c r="EL3" s="338"/>
      <c r="EM3" s="338"/>
      <c r="EN3" s="338"/>
      <c r="EO3" s="339"/>
      <c r="EP3" s="348"/>
    </row>
    <row r="4" spans="1:146" s="100" customFormat="1" ht="27.75" customHeight="1" x14ac:dyDescent="0.3">
      <c r="A4" s="374">
        <f>'DR-TB 10A (Sputum &amp; EP Sample)'!$C6</f>
        <v>0</v>
      </c>
      <c r="B4" s="374">
        <f>'DR-TB 10A (Sputum &amp; EP Sample)'!$C7</f>
        <v>0</v>
      </c>
      <c r="C4" s="374">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40">
        <f>'DR-TB 10A (Sputum &amp; EP Sample)'!$H12</f>
        <v>0</v>
      </c>
      <c r="AL4" s="340">
        <f>'DR-TB 10A (Sputum &amp; EP Sample)'!$H13</f>
        <v>0</v>
      </c>
      <c r="AM4" s="340">
        <f>'DR-TB 10A (Sputum &amp; EP Sample)'!$H14</f>
        <v>0</v>
      </c>
      <c r="AN4" s="333">
        <f>'DR-TB 10A (Sputum &amp; EP Sample)'!$D17</f>
        <v>0</v>
      </c>
      <c r="AO4" s="333">
        <f>'DR-TB 10A (Sputum &amp; EP Sample)'!$D18</f>
        <v>0</v>
      </c>
      <c r="AP4" s="343">
        <f>'DR-TB 10A (Sputum &amp; EP Sample)'!$D19</f>
        <v>0</v>
      </c>
      <c r="AQ4" s="343">
        <f>'DR-TB 10A (Sputum &amp; EP Sample)'!$D20</f>
        <v>0</v>
      </c>
      <c r="AR4" s="333">
        <f>'DR-TB 10A (Sputum &amp; EP Sample)'!$D21</f>
        <v>0</v>
      </c>
      <c r="AS4" s="333">
        <f>'DR-TB 10A (Sputum &amp; EP Sample)'!$E17</f>
        <v>0</v>
      </c>
      <c r="AT4" s="333">
        <f>'DR-TB 10A (Sputum &amp; EP Sample)'!$E18</f>
        <v>0</v>
      </c>
      <c r="AU4" s="343">
        <f>'DR-TB 10A (Sputum &amp; EP Sample)'!$E19</f>
        <v>0</v>
      </c>
      <c r="AV4" s="343">
        <f>'DR-TB 10A (Sputum &amp; EP Sample)'!$E20</f>
        <v>0</v>
      </c>
      <c r="AW4" s="333">
        <f>'DR-TB 10A (Sputum &amp; EP Sample)'!$E21</f>
        <v>0</v>
      </c>
      <c r="AX4" s="333">
        <f>'DR-TB 10A (Sputum &amp; EP Sample)'!$F17</f>
        <v>0</v>
      </c>
      <c r="AY4" s="333">
        <f>'DR-TB 10A (Sputum &amp; EP Sample)'!$F18</f>
        <v>0</v>
      </c>
      <c r="AZ4" s="343">
        <f>'DR-TB 10A (Sputum &amp; EP Sample)'!$F19</f>
        <v>0</v>
      </c>
      <c r="BA4" s="343">
        <f>'DR-TB 10A (Sputum &amp; EP Sample)'!$F20</f>
        <v>0</v>
      </c>
      <c r="BB4" s="333">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63">
        <f>'DR-TB 10A (Sputum &amp; EP Sample)'!N7</f>
        <v>0</v>
      </c>
      <c r="BL4" s="363">
        <f>'DR-TB 10A (Sputum &amp; EP Sample)'!M8</f>
        <v>0</v>
      </c>
      <c r="BM4" s="377">
        <f>'DR-TB 10A (Sputum &amp; EP Sample)'!Q10</f>
        <v>0</v>
      </c>
      <c r="BN4" s="364">
        <f>'COVID19 Reporting Form'!B14</f>
        <v>0</v>
      </c>
      <c r="BO4" s="364">
        <f>'COVID19 Reporting Form'!D14</f>
        <v>0</v>
      </c>
      <c r="BP4" s="364">
        <f>'COVID19 Reporting Form'!C20</f>
        <v>0</v>
      </c>
      <c r="BQ4" s="364">
        <f>'COVID19 Reporting Form'!D20</f>
        <v>0</v>
      </c>
      <c r="BR4" s="364">
        <f>'COVID19 Reporting Form'!C23</f>
        <v>0</v>
      </c>
      <c r="BS4" s="364">
        <f>'COVID19 Reporting Form'!D23</f>
        <v>0</v>
      </c>
      <c r="BT4" s="364">
        <f>'COVID19 Reporting Form'!C26</f>
        <v>0</v>
      </c>
      <c r="BU4" s="364">
        <f>'COVID19 Reporting Form'!D26</f>
        <v>0</v>
      </c>
      <c r="BV4" s="364">
        <f>'COVID19 Reporting Form'!F20</f>
        <v>0</v>
      </c>
      <c r="BW4" s="364">
        <f>'COVID19 Reporting Form'!H20</f>
        <v>0</v>
      </c>
      <c r="BX4" s="364">
        <f>'COVID19 Reporting Form'!F23</f>
        <v>0</v>
      </c>
      <c r="BY4" s="364">
        <f>'COVID19 Reporting Form'!H23</f>
        <v>0</v>
      </c>
      <c r="BZ4" s="364">
        <f>'COVID19 Reporting Form'!F26</f>
        <v>0</v>
      </c>
      <c r="CA4" s="364">
        <f>'COVID19 Reporting Form'!H26</f>
        <v>0</v>
      </c>
      <c r="CB4" s="364">
        <f>'COVID19 Reporting Form'!L14</f>
        <v>0</v>
      </c>
      <c r="CC4" s="364">
        <f>'COVID19 Reporting Form'!M14</f>
        <v>0</v>
      </c>
      <c r="CD4" s="364">
        <f>'COVID19 Reporting Form'!N14</f>
        <v>0</v>
      </c>
      <c r="CE4" s="364">
        <f>'DR-TB 10A (Sputum &amp; EP Sample)'!M13</f>
        <v>0</v>
      </c>
      <c r="CF4" s="364">
        <f>'DR-TB 10A (Sputum &amp; EP Sample)'!M14</f>
        <v>0</v>
      </c>
      <c r="CG4" s="364">
        <f>'DR-TB 10A (Sputum &amp; EP Sample)'!M15</f>
        <v>0</v>
      </c>
      <c r="CH4" s="364">
        <f>'DR-TB 10A (Sputum &amp; EP Sample)'!Q13</f>
        <v>0</v>
      </c>
      <c r="CI4" s="364">
        <f>'DR-TB 10A (Sputum &amp; EP Sample)'!Q14</f>
        <v>0</v>
      </c>
      <c r="CJ4" s="364">
        <f>'DR-TB 10A (Sputum &amp; EP Sample)'!Q15</f>
        <v>0</v>
      </c>
      <c r="CK4" s="364">
        <f>'DR-TB 10A (Sputum &amp; EP Sample)'!U13</f>
        <v>0</v>
      </c>
      <c r="CL4" s="364">
        <f>'DR-TB 10A (Sputum &amp; EP Sample)'!U14</f>
        <v>0</v>
      </c>
      <c r="CM4" s="364">
        <f>'DR-TB 10A (Sputum &amp; EP Sample)'!U15</f>
        <v>0</v>
      </c>
      <c r="CN4" s="364">
        <f>'DR-TB 10A (Sputum &amp; EP Sample)'!U17</f>
        <v>0</v>
      </c>
      <c r="CO4" s="364">
        <f>'DR-TB 10A (Sputum &amp; EP Sample)'!U18</f>
        <v>0</v>
      </c>
      <c r="CP4" s="364">
        <f>'DR-TB 10A (Sputum &amp; EP Sample)'!U19</f>
        <v>0</v>
      </c>
      <c r="CQ4" s="363" t="str">
        <f>'DR-TB 10A (Sputum &amp; EP Sample)'!G42</f>
        <v>Tested from Eligible</v>
      </c>
      <c r="CR4" s="363">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40">
        <f>'DR-TB 10A (Stool)'!$H12</f>
        <v>0</v>
      </c>
      <c r="DZ4" s="340">
        <f>'DR-TB 10A (Stool)'!$H13</f>
        <v>0</v>
      </c>
      <c r="EA4" s="340">
        <f>'DR-TB 10A (Stool)'!$H14</f>
        <v>0</v>
      </c>
      <c r="EB4" s="333">
        <f>'DR-TB 10A (Stool)'!$D17</f>
        <v>0</v>
      </c>
      <c r="EC4" s="333">
        <f>'DR-TB 10A (Stool)'!$D18</f>
        <v>0</v>
      </c>
      <c r="ED4" s="343">
        <f>'DR-TB 10A (Stool)'!$D19</f>
        <v>0</v>
      </c>
      <c r="EE4" s="343">
        <f>'DR-TB 10A (Stool)'!$D20</f>
        <v>0</v>
      </c>
      <c r="EF4" s="333">
        <f>'DR-TB 10A (Stool)'!$D21</f>
        <v>0</v>
      </c>
      <c r="EG4" s="333">
        <f>'DR-TB 10A (Stool)'!$E17</f>
        <v>0</v>
      </c>
      <c r="EH4" s="333">
        <f>'DR-TB 10A (Stool)'!$E18</f>
        <v>0</v>
      </c>
      <c r="EI4" s="343">
        <f>'DR-TB 10A (Stool)'!$E19</f>
        <v>0</v>
      </c>
      <c r="EJ4" s="343">
        <f>'DR-TB 10A (Stool)'!$E20</f>
        <v>0</v>
      </c>
      <c r="EK4" s="333">
        <f>'DR-TB 10A (Stool)'!$E21</f>
        <v>0</v>
      </c>
      <c r="EL4" s="333">
        <f>'DR-TB 10A (Stool)'!$F17</f>
        <v>0</v>
      </c>
      <c r="EM4" s="333">
        <f>'DR-TB 10A (Stool)'!$F18</f>
        <v>0</v>
      </c>
      <c r="EN4" s="343">
        <f>'DR-TB 10A (Stool)'!$F19</f>
        <v>0</v>
      </c>
      <c r="EO4" s="343">
        <f>'DR-TB 10A (Stool)'!$F20</f>
        <v>0</v>
      </c>
      <c r="EP4" s="333">
        <f>'DR-TB 10A (Stool)'!$F21</f>
        <v>0</v>
      </c>
    </row>
    <row r="5" spans="1:146" s="100" customFormat="1" ht="26.7" customHeight="1" x14ac:dyDescent="0.3">
      <c r="A5" s="375"/>
      <c r="B5" s="375"/>
      <c r="C5" s="375"/>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41"/>
      <c r="AL5" s="341"/>
      <c r="AM5" s="341"/>
      <c r="AN5" s="334"/>
      <c r="AO5" s="334"/>
      <c r="AP5" s="344"/>
      <c r="AQ5" s="344"/>
      <c r="AR5" s="334"/>
      <c r="AS5" s="334"/>
      <c r="AT5" s="334"/>
      <c r="AU5" s="344"/>
      <c r="AV5" s="344"/>
      <c r="AW5" s="334"/>
      <c r="AX5" s="334"/>
      <c r="AY5" s="334"/>
      <c r="AZ5" s="344"/>
      <c r="BA5" s="344"/>
      <c r="BB5" s="334"/>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63"/>
      <c r="BL5" s="363"/>
      <c r="BM5" s="377"/>
      <c r="BN5" s="364"/>
      <c r="BO5" s="364"/>
      <c r="BP5" s="364"/>
      <c r="BQ5" s="364"/>
      <c r="BR5" s="364"/>
      <c r="BS5" s="364"/>
      <c r="BT5" s="364"/>
      <c r="BU5" s="364"/>
      <c r="BV5" s="364"/>
      <c r="BW5" s="364"/>
      <c r="BX5" s="364"/>
      <c r="BY5" s="364"/>
      <c r="BZ5" s="364"/>
      <c r="CA5" s="364"/>
      <c r="CB5" s="364"/>
      <c r="CC5" s="364"/>
      <c r="CD5" s="364"/>
      <c r="CE5" s="364"/>
      <c r="CF5" s="364"/>
      <c r="CG5" s="364"/>
      <c r="CH5" s="364"/>
      <c r="CI5" s="364"/>
      <c r="CJ5" s="364"/>
      <c r="CK5" s="364"/>
      <c r="CL5" s="364"/>
      <c r="CM5" s="364"/>
      <c r="CN5" s="364"/>
      <c r="CO5" s="364"/>
      <c r="CP5" s="364"/>
      <c r="CQ5" s="363"/>
      <c r="CR5" s="363"/>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41"/>
      <c r="DZ5" s="341"/>
      <c r="EA5" s="341"/>
      <c r="EB5" s="334"/>
      <c r="EC5" s="334"/>
      <c r="ED5" s="344"/>
      <c r="EE5" s="344"/>
      <c r="EF5" s="334"/>
      <c r="EG5" s="334"/>
      <c r="EH5" s="334"/>
      <c r="EI5" s="344"/>
      <c r="EJ5" s="344"/>
      <c r="EK5" s="334"/>
      <c r="EL5" s="334"/>
      <c r="EM5" s="334"/>
      <c r="EN5" s="344"/>
      <c r="EO5" s="344"/>
      <c r="EP5" s="334"/>
    </row>
    <row r="6" spans="1:146" s="100" customFormat="1" ht="28.5" customHeight="1" x14ac:dyDescent="0.3">
      <c r="A6" s="376"/>
      <c r="B6" s="376"/>
      <c r="C6" s="376"/>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42"/>
      <c r="AL6" s="342"/>
      <c r="AM6" s="342"/>
      <c r="AN6" s="335"/>
      <c r="AO6" s="335"/>
      <c r="AP6" s="345"/>
      <c r="AQ6" s="345"/>
      <c r="AR6" s="335"/>
      <c r="AS6" s="335"/>
      <c r="AT6" s="335"/>
      <c r="AU6" s="345"/>
      <c r="AV6" s="345"/>
      <c r="AW6" s="335"/>
      <c r="AX6" s="335"/>
      <c r="AY6" s="335"/>
      <c r="AZ6" s="345"/>
      <c r="BA6" s="345"/>
      <c r="BB6" s="335"/>
      <c r="BC6" s="85"/>
      <c r="BD6" s="85"/>
      <c r="BE6" s="85"/>
      <c r="BF6" s="85"/>
      <c r="BG6" s="85"/>
      <c r="BH6" s="85"/>
      <c r="BI6" s="85"/>
      <c r="BJ6" s="85"/>
      <c r="BK6" s="363"/>
      <c r="BL6" s="363"/>
      <c r="BM6" s="377"/>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3"/>
      <c r="CR6" s="363"/>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42"/>
      <c r="DZ6" s="342"/>
      <c r="EA6" s="342"/>
      <c r="EB6" s="335"/>
      <c r="EC6" s="335"/>
      <c r="ED6" s="345"/>
      <c r="EE6" s="345"/>
      <c r="EF6" s="335"/>
      <c r="EG6" s="335"/>
      <c r="EH6" s="335"/>
      <c r="EI6" s="345"/>
      <c r="EJ6" s="345"/>
      <c r="EK6" s="335"/>
      <c r="EL6" s="335"/>
      <c r="EM6" s="335"/>
      <c r="EN6" s="345"/>
      <c r="EO6" s="345"/>
      <c r="EP6" s="335"/>
    </row>
    <row r="10" spans="1:146" ht="140.25" customHeight="1" x14ac:dyDescent="0.3">
      <c r="A10" s="336" t="s">
        <v>161</v>
      </c>
      <c r="B10" s="336" t="s">
        <v>280</v>
      </c>
      <c r="C10" s="336" t="s">
        <v>806</v>
      </c>
      <c r="D10" s="336" t="str">
        <f>'DR-TB 10B'!A11</f>
        <v>Sl.              No</v>
      </c>
      <c r="E10" s="336" t="str">
        <f>'DR-TB 10B'!B11</f>
        <v>Name of the RR                                                                                                                               patient</v>
      </c>
      <c r="F10" s="336" t="str">
        <f>'DR-TB 10B'!C11</f>
        <v>Age</v>
      </c>
      <c r="G10" s="336" t="str">
        <f>'DR-TB 10B'!D11</f>
        <v>Sex
(M/F)</v>
      </c>
      <c r="H10" s="336" t="str">
        <f>'DR-TB 10B'!F11</f>
        <v>Address and                                        cell number</v>
      </c>
      <c r="I10" s="336" t="str">
        <f>'DR-TB 10B'!G11</f>
        <v>Name &amp; address          of the referring unit                                                and cell number</v>
      </c>
      <c r="J10" s="336" t="str">
        <f>'DR-TB 10B'!H11</f>
        <v>* Type of patient</v>
      </c>
      <c r="K10" s="336" t="str">
        <f>'DR-TB 10B'!J11</f>
        <v>Current and previous (if any)  TB registration number</v>
      </c>
      <c r="L10" s="336" t="str">
        <f>'DR-TB 10B'!L11</f>
        <v>Bacterial Load</v>
      </c>
      <c r="M10" s="336" t="str">
        <f>'DR-TB 10B'!T11</f>
        <v>Name and address of the hospital/ treatment                initiation center            for enrollment of DR TB treatment</v>
      </c>
      <c r="N10" s="336" t="str">
        <f>'DR-TB 10B'!U11</f>
        <v>Enrollment status                   (Y/N)</v>
      </c>
      <c r="O10" s="336" t="str">
        <f>'DR-TB 10B'!X11</f>
        <v>** Current status of the patient</v>
      </c>
      <c r="P10" s="336" t="str">
        <f>'DR-TB 10B'!Y11</f>
        <v>Remarks</v>
      </c>
      <c r="Q10" s="336" t="str">
        <f>'DR-TB 10B'!E11</f>
        <v>Date of Diagnosis</v>
      </c>
      <c r="R10" s="336" t="str">
        <f>'DR-TB 10B'!V11</f>
        <v>Date Of Enrollment</v>
      </c>
      <c r="S10" s="336" t="str">
        <f>'DR-TB 10B'!W11</f>
        <v>eTB/ DR TB Registration Number</v>
      </c>
      <c r="T10" s="336" t="str">
        <f>'DR-TB 10B'!I11</f>
        <v>Type Of Sample</v>
      </c>
      <c r="U10" s="365" t="str">
        <f>'DR-TB 10B'!M11</f>
        <v>Result Of MTB/XDR</v>
      </c>
      <c r="V10" s="365"/>
      <c r="W10" s="365"/>
      <c r="X10" s="365"/>
      <c r="Y10" s="365"/>
      <c r="Z10" s="365"/>
      <c r="AA10" s="365"/>
    </row>
    <row r="11" spans="1:146" ht="140.25" customHeight="1" x14ac:dyDescent="0.3">
      <c r="A11" s="336"/>
      <c r="B11" s="336"/>
      <c r="C11" s="336"/>
      <c r="D11" s="336"/>
      <c r="E11" s="336"/>
      <c r="F11" s="336"/>
      <c r="G11" s="336"/>
      <c r="H11" s="336"/>
      <c r="I11" s="336"/>
      <c r="J11" s="336"/>
      <c r="K11" s="336"/>
      <c r="L11" s="336"/>
      <c r="M11" s="336"/>
      <c r="N11" s="336"/>
      <c r="O11" s="336"/>
      <c r="P11" s="336"/>
      <c r="Q11" s="336"/>
      <c r="R11" s="336"/>
      <c r="S11" s="336"/>
      <c r="T11" s="336"/>
      <c r="U11" s="29" t="str">
        <f>'DR-TB 10B'!M12</f>
        <v>MTB</v>
      </c>
      <c r="V11" s="29" t="str">
        <f>'DR-TB 10B'!N12</f>
        <v>INH</v>
      </c>
      <c r="W11" s="29" t="str">
        <f>'DR-TB 10B'!O12</f>
        <v>FLQ</v>
      </c>
      <c r="X11" s="29" t="str">
        <f>'DR-TB 10B'!P12</f>
        <v>AMK</v>
      </c>
      <c r="Y11" s="29" t="str">
        <f>'DR-TB 10B'!Q12</f>
        <v>KAN</v>
      </c>
      <c r="Z11" s="29" t="str">
        <f>'DR-TB 10B'!R12</f>
        <v>CAP</v>
      </c>
      <c r="AA11" s="29" t="str">
        <f>'DR-TB 10B'!S12</f>
        <v>ETH</v>
      </c>
    </row>
    <row r="12" spans="1:146"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87" t="str">
        <f>'DR-TB 10B'!L13</f>
        <v>&lt;bacterialLoad&gt;</v>
      </c>
      <c r="M12" s="87" t="str">
        <f>'DR-TB 10B'!T13</f>
        <v>&lt;hospitalTreatmentDRTB&gt;</v>
      </c>
      <c r="N12" s="87" t="str">
        <f>'DR-TB 10B'!U13</f>
        <v>&lt;enrollmentStatus&gt;</v>
      </c>
      <c r="O12" s="87" t="str">
        <f>'DR-TB 10B'!X13</f>
        <v>&lt;patientStatus&gt;</v>
      </c>
      <c r="P12" s="87" t="str">
        <f>'DR-TB 10B'!Y13</f>
        <v>&lt;remarks&gt;</v>
      </c>
      <c r="Q12" s="143" t="str">
        <f>'DR-TB 10B'!E13</f>
        <v>&lt;dateOfDiagnosis&gt;</v>
      </c>
      <c r="R12" s="143" t="str">
        <f>'DR-TB 10B'!V13</f>
        <v>&lt;enrollmentDate&gt;</v>
      </c>
      <c r="S12" s="87" t="str">
        <f>'DR-TB 10B'!W13</f>
        <v>&lt;tbRegistrationNumber&gt;</v>
      </c>
      <c r="T12" s="87" t="str">
        <f>'DR-TB 10B'!I13</f>
        <v>&lt;sampleType&gt;</v>
      </c>
      <c r="U12" s="87" t="str">
        <f>'DR-TB 10B'!M13</f>
        <v>&lt;mtbDetected&gt;</v>
      </c>
      <c r="V12" s="87" t="str">
        <f>'DR-TB 10B'!N13</f>
        <v>&lt;inhDetected&gt;</v>
      </c>
      <c r="W12" s="87" t="str">
        <f>'DR-TB 10B'!O13</f>
        <v>&lt;flqDetected&gt;</v>
      </c>
      <c r="X12" s="87" t="str">
        <f>'DR-TB 10B'!P13</f>
        <v>&lt;amkDetected&gt;</v>
      </c>
      <c r="Y12" s="87" t="str">
        <f>'DR-TB 10B'!Q13</f>
        <v>&lt;kanDetected&gt;</v>
      </c>
      <c r="Z12" s="87" t="str">
        <f>'DR-TB 10B'!R13</f>
        <v>&lt;capDetected&gt;</v>
      </c>
      <c r="AA12" s="87" t="str">
        <f>'DR-TB 10B'!S13</f>
        <v>&lt;ethDetected&gt;</v>
      </c>
    </row>
    <row r="13" spans="1:146"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24">
    <mergeCell ref="BX2:BY2"/>
    <mergeCell ref="BZ2:CA2"/>
    <mergeCell ref="BV4:BV6"/>
    <mergeCell ref="BW4:BW6"/>
    <mergeCell ref="BX4:BX6"/>
    <mergeCell ref="BY4:BY6"/>
    <mergeCell ref="BZ4:BZ6"/>
    <mergeCell ref="CA4:CA6"/>
    <mergeCell ref="CF4:CF6"/>
    <mergeCell ref="BV2:BW2"/>
    <mergeCell ref="CG4:CG6"/>
    <mergeCell ref="CB1:CD3"/>
    <mergeCell ref="CB4:CB6"/>
    <mergeCell ref="CC4:CC6"/>
    <mergeCell ref="CD4:CD6"/>
    <mergeCell ref="CE4:CE6"/>
    <mergeCell ref="CE2:CE3"/>
    <mergeCell ref="CF2:CF3"/>
    <mergeCell ref="CG2:CG3"/>
    <mergeCell ref="CE1:CG1"/>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BL1:BL3"/>
    <mergeCell ref="BL4:BL6"/>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V4:AV6"/>
    <mergeCell ref="AS1:AV1"/>
    <mergeCell ref="AX1:BA1"/>
    <mergeCell ref="BA2:BA3"/>
    <mergeCell ref="BA4:BA6"/>
    <mergeCell ref="AZ4:AZ6"/>
    <mergeCell ref="AX2:AX3"/>
    <mergeCell ref="AS2:AS3"/>
    <mergeCell ref="AT2:AT3"/>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CP4:CP6"/>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J10:J11"/>
    <mergeCell ref="T10:T11"/>
    <mergeCell ref="M10:M11"/>
    <mergeCell ref="U10:AA10"/>
    <mergeCell ref="A10:A11"/>
    <mergeCell ref="B10:B11"/>
    <mergeCell ref="C10:C11"/>
    <mergeCell ref="D10:D11"/>
    <mergeCell ref="E10:E11"/>
    <mergeCell ref="F10:F11"/>
    <mergeCell ref="G10:G11"/>
    <mergeCell ref="H10:H11"/>
    <mergeCell ref="I10:I11"/>
    <mergeCell ref="S10:S11"/>
    <mergeCell ref="CQ1:CQ3"/>
    <mergeCell ref="CR1:CR3"/>
    <mergeCell ref="CQ4:CQ6"/>
    <mergeCell ref="CR4:CR6"/>
    <mergeCell ref="Q10:Q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EA1:EA3"/>
    <mergeCell ref="EB1:EE1"/>
    <mergeCell ref="EF1:EF3"/>
    <mergeCell ref="EG1:EJ1"/>
    <mergeCell ref="DX2:DX3"/>
    <mergeCell ref="EB2:EB3"/>
    <mergeCell ref="EC2:EC3"/>
    <mergeCell ref="ED2:ED3"/>
    <mergeCell ref="EE2:EE3"/>
    <mergeCell ref="EG2:EG3"/>
    <mergeCell ref="EH2:EH3"/>
    <mergeCell ref="EI2:EI3"/>
    <mergeCell ref="EJ2:EJ3"/>
    <mergeCell ref="DT2:DT3"/>
    <mergeCell ref="DU2:DU3"/>
    <mergeCell ref="DV2:DV3"/>
    <mergeCell ref="DW2:DW3"/>
    <mergeCell ref="CS1:CU1"/>
    <mergeCell ref="CV1:DT1"/>
    <mergeCell ref="DU1:DX1"/>
    <mergeCell ref="DY1:DY3"/>
    <mergeCell ref="DZ1:DZ3"/>
    <mergeCell ref="EL4:EL6"/>
    <mergeCell ref="EM4:EM6"/>
    <mergeCell ref="EN4:EN6"/>
    <mergeCell ref="EO4:EO6"/>
    <mergeCell ref="EK1:EK3"/>
    <mergeCell ref="EL1:EO1"/>
    <mergeCell ref="EP1:EP3"/>
    <mergeCell ref="CS2:CS3"/>
    <mergeCell ref="CT2:CT3"/>
    <mergeCell ref="CU2:CU3"/>
    <mergeCell ref="CV2:CV3"/>
    <mergeCell ref="CW2:CW3"/>
    <mergeCell ref="CX2:CX3"/>
    <mergeCell ref="CY2:CY3"/>
    <mergeCell ref="CZ2:CZ3"/>
    <mergeCell ref="DA2:DA3"/>
    <mergeCell ref="DB2:DB3"/>
    <mergeCell ref="DC2:DC3"/>
    <mergeCell ref="DD2:DF2"/>
    <mergeCell ref="DG2:DI2"/>
    <mergeCell ref="DJ2:DL2"/>
    <mergeCell ref="DM2:DO2"/>
    <mergeCell ref="DP2:DR2"/>
    <mergeCell ref="DS2:DS3"/>
    <mergeCell ref="EP4:EP6"/>
    <mergeCell ref="R10:R11"/>
    <mergeCell ref="L10:L11"/>
    <mergeCell ref="K10:K11"/>
    <mergeCell ref="N10:N11"/>
    <mergeCell ref="O10:O11"/>
    <mergeCell ref="P10:P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2023-11-29T10:05:31Z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