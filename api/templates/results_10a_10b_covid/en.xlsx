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showInkAnnotation="0" defaultThemeVersion="124226"/>
  <mc:AlternateContent xmlns:mc="http://schemas.openxmlformats.org/markup-compatibility/2006">
    <mc:Choice Requires="x15">
      <x15ac:absPath xmlns:x15ac="http://schemas.microsoft.com/office/spreadsheetml/2010/11/ac" url="D:\PROJECTS_2020\SystemOne\aspect-3\api\templates\results_10a_10b_covid\"/>
    </mc:Choice>
  </mc:AlternateContent>
  <bookViews>
    <workbookView xWindow="-120" yWindow="-120" windowWidth="29040" windowHeight="15720" activeTab="4"/>
  </bookViews>
  <sheets>
    <sheet name="DR-TB 10A (Sputum &amp; EP Sample)" sheetId="3" r:id="rId1"/>
    <sheet name="DR-TB 10A (Stool)" sheetId="7" r:id="rId2"/>
    <sheet name="DR-TB 10B" sheetId="4" r:id="rId3"/>
    <sheet name="COVID19 Reporting Form" sheetId="6" r:id="rId4"/>
    <sheet name="For NTP Use" sheetId="5" r:id="rId5"/>
  </sheets>
  <externalReferences>
    <externalReference r:id="rId6"/>
  </externalReference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_xlnm.Print_Area" localSheetId="0">'DR-TB 10A (Sputum &amp; EP Sample)'!$A$1:$U$50</definedName>
    <definedName name="_xlnm.Print_Area" localSheetId="1">'DR-TB 10A (Stool)'!$A$1:$U$50</definedName>
    <definedName name="_xlnm.Print_Area" localSheetId="2">'DR-TB 10B'!$A$1:$Y$17</definedName>
    <definedName name="_xlnm.Print_Titles" localSheetId="2">'DR-TB 10B'!$1:$10</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62913"/>
</workbook>
</file>

<file path=xl/calcChain.xml><?xml version="1.0" encoding="utf-8"?>
<calcChain xmlns="http://schemas.openxmlformats.org/spreadsheetml/2006/main">
  <c r="C12" i="5" l="1"/>
  <c r="B12" i="5"/>
  <c r="A12" i="5"/>
  <c r="L12" i="5"/>
  <c r="L10" i="5"/>
  <c r="AC12" i="5" l="1"/>
  <c r="CQ4" i="5"/>
  <c r="CQ2" i="5"/>
  <c r="CR2" i="5"/>
  <c r="ES4" i="5"/>
  <c r="ER4" i="5"/>
  <c r="EQ4" i="5"/>
  <c r="ET4" i="5"/>
  <c r="H40" i="3" l="1"/>
  <c r="H40" i="7"/>
  <c r="F20" i="3" l="1"/>
  <c r="E20" i="3"/>
  <c r="D20" i="3"/>
  <c r="L6" i="7"/>
  <c r="I8" i="4"/>
  <c r="L7" i="6"/>
  <c r="R12" i="5" l="1"/>
  <c r="S12" i="5"/>
  <c r="C7" i="6"/>
  <c r="Q11" i="6"/>
  <c r="Q10" i="7"/>
  <c r="K11" i="6"/>
  <c r="M10" i="6"/>
  <c r="M9" i="6"/>
  <c r="N8" i="6"/>
  <c r="C6" i="7"/>
  <c r="C8" i="7"/>
  <c r="C7" i="7"/>
  <c r="K10" i="7"/>
  <c r="M9" i="7"/>
  <c r="M8" i="7"/>
  <c r="N7" i="7"/>
  <c r="U18" i="7"/>
  <c r="U19" i="7"/>
  <c r="U17" i="7"/>
  <c r="U14" i="7"/>
  <c r="U15" i="7"/>
  <c r="U13" i="7"/>
  <c r="Q14" i="7"/>
  <c r="Q15" i="7"/>
  <c r="Q13" i="7"/>
  <c r="M14" i="7"/>
  <c r="M15" i="7"/>
  <c r="M13" i="7"/>
  <c r="W12" i="5"/>
  <c r="X12" i="5"/>
  <c r="Y12" i="5"/>
  <c r="Z12" i="5"/>
  <c r="AA12" i="5"/>
  <c r="AB12" i="5"/>
  <c r="V12" i="5"/>
  <c r="J12" i="5"/>
  <c r="U12" i="5"/>
  <c r="T12" i="5"/>
  <c r="Q12" i="5"/>
  <c r="P12" i="5"/>
  <c r="O12" i="5"/>
  <c r="N12" i="5"/>
  <c r="M12" i="5"/>
  <c r="K12" i="5"/>
  <c r="I12" i="5"/>
  <c r="H12" i="5"/>
  <c r="E12" i="5"/>
  <c r="F12" i="5"/>
  <c r="G12" i="5"/>
  <c r="D12" i="5"/>
  <c r="M10" i="5"/>
  <c r="N10" i="5"/>
  <c r="O10" i="5"/>
  <c r="P10" i="5"/>
  <c r="Q10" i="5"/>
  <c r="R10" i="5"/>
  <c r="S10" i="5"/>
  <c r="T10" i="5"/>
  <c r="U10" i="5"/>
  <c r="DW6" i="5"/>
  <c r="DV6" i="5"/>
  <c r="DU6" i="5"/>
  <c r="DQ6" i="5"/>
  <c r="DP6" i="5"/>
  <c r="DO6" i="5"/>
  <c r="DN6" i="5"/>
  <c r="DM6" i="5"/>
  <c r="DL6" i="5"/>
  <c r="DK6" i="5"/>
  <c r="DJ6" i="5"/>
  <c r="DI6" i="5"/>
  <c r="DH6" i="5"/>
  <c r="DG6" i="5"/>
  <c r="DF6" i="5"/>
  <c r="DE6" i="5"/>
  <c r="DD6" i="5"/>
  <c r="DC6" i="5"/>
  <c r="DB6" i="5"/>
  <c r="DA6" i="5"/>
  <c r="CZ6" i="5"/>
  <c r="CY6" i="5"/>
  <c r="CX6" i="5"/>
  <c r="CW6" i="5"/>
  <c r="CV6" i="5"/>
  <c r="CT6" i="5"/>
  <c r="CS6" i="5"/>
  <c r="DW5" i="5"/>
  <c r="DV5" i="5"/>
  <c r="DU5" i="5"/>
  <c r="DQ5" i="5"/>
  <c r="DP5" i="5"/>
  <c r="DO5" i="5"/>
  <c r="DN5" i="5"/>
  <c r="DM5" i="5"/>
  <c r="DL5" i="5"/>
  <c r="DK5" i="5"/>
  <c r="DJ5" i="5"/>
  <c r="DI5" i="5"/>
  <c r="DH5" i="5"/>
  <c r="DG5" i="5"/>
  <c r="DF5" i="5"/>
  <c r="DE5" i="5"/>
  <c r="DD5" i="5"/>
  <c r="DC5" i="5"/>
  <c r="DB5" i="5"/>
  <c r="DA5" i="5"/>
  <c r="CZ5" i="5"/>
  <c r="CY5" i="5"/>
  <c r="CX5" i="5"/>
  <c r="CW5" i="5"/>
  <c r="CV5" i="5"/>
  <c r="CT5" i="5"/>
  <c r="CS5"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E44" i="7"/>
  <c r="DX6" i="5" s="1"/>
  <c r="E42" i="7"/>
  <c r="DX5" i="5" s="1"/>
  <c r="E40" i="7"/>
  <c r="DX4" i="5" s="1"/>
  <c r="S33" i="7"/>
  <c r="DS6" i="5" s="1"/>
  <c r="U33" i="7"/>
  <c r="E18" i="7" s="1"/>
  <c r="D33" i="7"/>
  <c r="CU6" i="5" s="1"/>
  <c r="S30" i="7"/>
  <c r="DS5" i="5" s="1"/>
  <c r="U30" i="7"/>
  <c r="E17" i="7" s="1"/>
  <c r="D30" i="7"/>
  <c r="D17" i="7" s="1"/>
  <c r="EB4" i="5" s="1"/>
  <c r="CU5" i="5"/>
  <c r="S27" i="7"/>
  <c r="U27" i="7" s="1"/>
  <c r="D27" i="7"/>
  <c r="P20" i="7"/>
  <c r="F20" i="7"/>
  <c r="EO4" i="5"/>
  <c r="P19" i="7"/>
  <c r="F19" i="7"/>
  <c r="EN4" i="5" s="1"/>
  <c r="P19" i="3"/>
  <c r="F19" i="3"/>
  <c r="AZ4" i="5" s="1"/>
  <c r="BD5" i="5"/>
  <c r="BE5" i="5"/>
  <c r="BF5" i="5"/>
  <c r="BG5" i="5"/>
  <c r="BH5" i="5"/>
  <c r="BI5" i="5"/>
  <c r="BE4" i="5"/>
  <c r="BF4" i="5"/>
  <c r="BG4" i="5"/>
  <c r="BH4" i="5"/>
  <c r="BI4" i="5"/>
  <c r="BD4" i="5"/>
  <c r="AV4" i="5"/>
  <c r="AQ4" i="5"/>
  <c r="AP4" i="5"/>
  <c r="CR4" i="5"/>
  <c r="CQ1" i="5"/>
  <c r="W11" i="5"/>
  <c r="X11" i="5"/>
  <c r="Y11" i="5"/>
  <c r="Z11" i="5"/>
  <c r="AA11" i="5"/>
  <c r="AB11" i="5"/>
  <c r="V11" i="5"/>
  <c r="V10" i="5"/>
  <c r="D10" i="5"/>
  <c r="E10" i="5"/>
  <c r="F10" i="5"/>
  <c r="G10" i="5"/>
  <c r="H10" i="5"/>
  <c r="I10" i="5"/>
  <c r="J10" i="5"/>
  <c r="K10" i="5"/>
  <c r="BA4" i="5"/>
  <c r="P20" i="3"/>
  <c r="BJ5" i="5" s="1"/>
  <c r="BJ4" i="5"/>
  <c r="CE4" i="5"/>
  <c r="CF4" i="5"/>
  <c r="CG4" i="5"/>
  <c r="CH4" i="5"/>
  <c r="CI4" i="5"/>
  <c r="CJ4" i="5"/>
  <c r="CK4" i="5"/>
  <c r="CL4" i="5"/>
  <c r="CM4" i="5"/>
  <c r="CN4" i="5"/>
  <c r="CO4" i="5"/>
  <c r="CP4" i="5"/>
  <c r="CG2" i="5"/>
  <c r="CF2" i="5"/>
  <c r="CE2" i="5"/>
  <c r="CP2" i="5"/>
  <c r="CO2" i="5"/>
  <c r="CN2" i="5"/>
  <c r="CM2" i="5"/>
  <c r="CL2" i="5"/>
  <c r="CK2" i="5"/>
  <c r="CJ2" i="5"/>
  <c r="CI2" i="5"/>
  <c r="CH2" i="5"/>
  <c r="CH1" i="5"/>
  <c r="CE1" i="5"/>
  <c r="N23" i="6"/>
  <c r="N26" i="6"/>
  <c r="N20" i="6"/>
  <c r="CC4" i="5"/>
  <c r="CD4" i="5"/>
  <c r="CB4" i="5"/>
  <c r="CA4" i="5"/>
  <c r="BZ4" i="5"/>
  <c r="BY4" i="5"/>
  <c r="BX4" i="5"/>
  <c r="BW4" i="5"/>
  <c r="BV4" i="5"/>
  <c r="BU4" i="5"/>
  <c r="BT4" i="5"/>
  <c r="BS4" i="5"/>
  <c r="BR4" i="5"/>
  <c r="BQ4" i="5"/>
  <c r="BP4" i="5"/>
  <c r="BO4" i="5"/>
  <c r="BN4" i="5"/>
  <c r="BT3" i="5"/>
  <c r="BZ2" i="5"/>
  <c r="BX2" i="5"/>
  <c r="BV2" i="5"/>
  <c r="BV1" i="5"/>
  <c r="BP1" i="5"/>
  <c r="BT2" i="5"/>
  <c r="BR2" i="5"/>
  <c r="BP2" i="5"/>
  <c r="BU3" i="5"/>
  <c r="BS3" i="5"/>
  <c r="BR3" i="5"/>
  <c r="BQ3" i="5"/>
  <c r="BP3" i="5"/>
  <c r="BO1" i="5"/>
  <c r="BN1" i="5"/>
  <c r="O14" i="6"/>
  <c r="L23" i="6"/>
  <c r="L26" i="6"/>
  <c r="P26" i="6" s="1"/>
  <c r="L20" i="6"/>
  <c r="P20" i="6" s="1"/>
  <c r="J23" i="6"/>
  <c r="J26" i="6"/>
  <c r="J20" i="6"/>
  <c r="E23" i="6"/>
  <c r="E26" i="6"/>
  <c r="E20" i="6"/>
  <c r="C9" i="6"/>
  <c r="C8" i="6"/>
  <c r="BM4" i="5"/>
  <c r="BM1" i="5"/>
  <c r="BL4" i="5"/>
  <c r="BL1" i="5"/>
  <c r="BK4" i="5"/>
  <c r="BK1" i="5"/>
  <c r="P23" i="6"/>
  <c r="AI6" i="5"/>
  <c r="AH6" i="5"/>
  <c r="AG6" i="5"/>
  <c r="AC6" i="5"/>
  <c r="AB6" i="5"/>
  <c r="AA6" i="5"/>
  <c r="Z6" i="5"/>
  <c r="Y6" i="5"/>
  <c r="X6" i="5"/>
  <c r="W6" i="5"/>
  <c r="V6" i="5"/>
  <c r="U6" i="5"/>
  <c r="T6" i="5"/>
  <c r="S6" i="5"/>
  <c r="R6" i="5"/>
  <c r="Q6" i="5"/>
  <c r="P6" i="5"/>
  <c r="O6" i="5"/>
  <c r="N6" i="5"/>
  <c r="M6" i="5"/>
  <c r="L6" i="5"/>
  <c r="K6" i="5"/>
  <c r="J6" i="5"/>
  <c r="I6" i="5"/>
  <c r="H6" i="5"/>
  <c r="F6" i="5"/>
  <c r="E6" i="5"/>
  <c r="AI5" i="5"/>
  <c r="AH5" i="5"/>
  <c r="AG5" i="5"/>
  <c r="AC5" i="5"/>
  <c r="AB5" i="5"/>
  <c r="AA5" i="5"/>
  <c r="Z5" i="5"/>
  <c r="Y5" i="5"/>
  <c r="X5" i="5"/>
  <c r="W5" i="5"/>
  <c r="V5" i="5"/>
  <c r="U5" i="5"/>
  <c r="T5" i="5"/>
  <c r="S5" i="5"/>
  <c r="R5" i="5"/>
  <c r="Q5" i="5"/>
  <c r="P5" i="5"/>
  <c r="O5" i="5"/>
  <c r="N5" i="5"/>
  <c r="M5" i="5"/>
  <c r="L5" i="5"/>
  <c r="K5" i="5"/>
  <c r="J5" i="5"/>
  <c r="I5" i="5"/>
  <c r="H5" i="5"/>
  <c r="F5" i="5"/>
  <c r="E5" i="5"/>
  <c r="AU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D8" i="4"/>
  <c r="E44" i="3"/>
  <c r="AJ6" i="5" s="1"/>
  <c r="E42" i="3"/>
  <c r="AJ5" i="5" s="1"/>
  <c r="E40" i="3"/>
  <c r="AJ4" i="5" s="1"/>
  <c r="D33" i="3"/>
  <c r="G6" i="5" s="1"/>
  <c r="D30" i="3"/>
  <c r="G5" i="5" s="1"/>
  <c r="D27" i="3"/>
  <c r="G4" i="5"/>
  <c r="S33" i="3"/>
  <c r="U33" i="3" s="1"/>
  <c r="E18" i="3" s="1"/>
  <c r="S30" i="3"/>
  <c r="AE5" i="5" s="1"/>
  <c r="S27" i="3"/>
  <c r="U27" i="3"/>
  <c r="H13" i="3" s="1"/>
  <c r="AE4" i="5"/>
  <c r="DT5" i="5" l="1"/>
  <c r="H12" i="7"/>
  <c r="DS4" i="5"/>
  <c r="AL4" i="5"/>
  <c r="AF4" i="5"/>
  <c r="H12" i="3"/>
  <c r="D21" i="3" s="1"/>
  <c r="AR4" i="5" s="1"/>
  <c r="AE6" i="5"/>
  <c r="U30" i="3"/>
  <c r="AF5" i="5" s="1"/>
  <c r="DY4" i="5"/>
  <c r="D21" i="7"/>
  <c r="EF4" i="5" s="1"/>
  <c r="EH4" i="5"/>
  <c r="DT4" i="5"/>
  <c r="H13" i="7"/>
  <c r="F17" i="7"/>
  <c r="EL4" i="5" s="1"/>
  <c r="EG4" i="5"/>
  <c r="AT4" i="5"/>
  <c r="AK4" i="5"/>
  <c r="D18" i="3"/>
  <c r="AO4" i="5" s="1"/>
  <c r="CU4" i="5"/>
  <c r="DT6" i="5"/>
  <c r="D18" i="7"/>
  <c r="EC4" i="5" s="1"/>
  <c r="AF6" i="5"/>
  <c r="D17" i="3"/>
  <c r="AN4" i="5" s="1"/>
  <c r="F18" i="7" l="1"/>
  <c r="E17" i="3"/>
  <c r="H14" i="3"/>
  <c r="AM4" i="5" s="1"/>
  <c r="E21" i="3"/>
  <c r="E21" i="7"/>
  <c r="DZ4" i="5"/>
  <c r="EM4" i="5"/>
  <c r="AS4" i="5"/>
  <c r="F17" i="3"/>
  <c r="AX4" i="5" s="1"/>
  <c r="F18" i="3"/>
  <c r="H14" i="7"/>
  <c r="EA4" i="5" s="1"/>
  <c r="F21" i="3" l="1"/>
  <c r="BB4" i="5" s="1"/>
  <c r="AW4" i="5"/>
  <c r="F9" i="4"/>
  <c r="AY4" i="5"/>
  <c r="EK4" i="5"/>
  <c r="F21" i="7"/>
  <c r="EP4" i="5" s="1"/>
</calcChain>
</file>

<file path=xl/sharedStrings.xml><?xml version="1.0" encoding="utf-8"?>
<sst xmlns="http://schemas.openxmlformats.org/spreadsheetml/2006/main" count="4002" uniqueCount="883">
  <si>
    <t>Block 1:</t>
  </si>
  <si>
    <t>Number of :</t>
  </si>
  <si>
    <t>Type of Patient</t>
  </si>
  <si>
    <t>Total</t>
  </si>
  <si>
    <t>MTB detected</t>
  </si>
  <si>
    <t>RR TB detected</t>
  </si>
  <si>
    <t>Presumptive DR TB cases</t>
  </si>
  <si>
    <t>N</t>
  </si>
  <si>
    <t>Block 2:</t>
  </si>
  <si>
    <t xml:space="preserve">District : </t>
  </si>
  <si>
    <t>Name of the reporting unit :</t>
  </si>
  <si>
    <t>Date of completion of the form :</t>
  </si>
  <si>
    <t>Cell Number :</t>
  </si>
  <si>
    <t>New:</t>
  </si>
  <si>
    <t xml:space="preserve">Reporting period : </t>
  </si>
  <si>
    <t>Type of Patient : Presumptive DR TB Cases</t>
  </si>
  <si>
    <t>Column (1)</t>
  </si>
  <si>
    <t>Column (2)</t>
  </si>
  <si>
    <t>Failures of CAT I (remain positive at month 5 or later/ Smear negative patients become smear positive at month 2)</t>
  </si>
  <si>
    <t>Failures of CAT II (remain positive at month 5 or 8)</t>
  </si>
  <si>
    <t>Non converters of CAT I (remain positive at month 2)</t>
  </si>
  <si>
    <t>Column (3)</t>
  </si>
  <si>
    <t>Non converters of CAT II (remain positive at month 3)</t>
  </si>
  <si>
    <t>Column (4)</t>
  </si>
  <si>
    <t>Relapses (CAT I)</t>
  </si>
  <si>
    <t>Column (5)</t>
  </si>
  <si>
    <t>Relapses (CAT II)</t>
  </si>
  <si>
    <t>Column (6)</t>
  </si>
  <si>
    <t>Treatment after loss to follow up (CAT I)</t>
  </si>
  <si>
    <t>Column (7)</t>
  </si>
  <si>
    <t>Treatment after loss to follow up (CAT II)</t>
  </si>
  <si>
    <t>Column (8)</t>
  </si>
  <si>
    <t>Close contacts of DR TB patient with symptoms</t>
  </si>
  <si>
    <t>Column (9)</t>
  </si>
  <si>
    <t>HIV infected person with TB S/S</t>
  </si>
  <si>
    <t>Column (10)</t>
  </si>
  <si>
    <t>Column (11)</t>
  </si>
  <si>
    <t>Unknown history:</t>
  </si>
  <si>
    <t>Block 3:</t>
  </si>
  <si>
    <t>Presumptive Sm. Neg cases tested by Xpert MTB/RIF</t>
  </si>
  <si>
    <t>MTB Detected</t>
  </si>
  <si>
    <t>RR TB Detected</t>
  </si>
  <si>
    <t>Number of Presumptive smear negative TB cases</t>
  </si>
  <si>
    <t>Unknown History</t>
  </si>
  <si>
    <t>New</t>
  </si>
  <si>
    <t>Prev. Treated</t>
  </si>
  <si>
    <t>Prev. treated:</t>
  </si>
  <si>
    <t>*Others (Specify)</t>
  </si>
  <si>
    <t>Un. His.</t>
  </si>
  <si>
    <t>Prev. Tr.</t>
  </si>
  <si>
    <t>i) Pulmonary clinically diagnosed</t>
  </si>
  <si>
    <t>ii) Extra Pulmonary</t>
  </si>
  <si>
    <t>iii) Pulmonary bacteriologically confirmed</t>
  </si>
  <si>
    <t>Un. His. = Unknown History, N = New, Prev. Tr. = Previously Treated</t>
  </si>
  <si>
    <t>Name and disignation of Coordinator/ authority of the center:</t>
  </si>
  <si>
    <t>Organization:</t>
  </si>
  <si>
    <t>Signature:</t>
  </si>
  <si>
    <t>Date:</t>
  </si>
  <si>
    <t xml:space="preserve">Cell number: </t>
  </si>
  <si>
    <t>Results:</t>
  </si>
  <si>
    <t>A) Number of MTB detected, Rif Resistance not detected (T):</t>
  </si>
  <si>
    <t>B) Number of MTB detected, Rif Resistance detected (RR):</t>
  </si>
  <si>
    <t>C) Number of MTB detected, Rif Resistance indeterminate (TI):</t>
  </si>
  <si>
    <t xml:space="preserve">                                                                  National TB Control Programme                                                                      </t>
  </si>
  <si>
    <t>Designation and organization :</t>
  </si>
  <si>
    <t>Name of the person completing the report :</t>
  </si>
  <si>
    <t>Form DR TB 10 A</t>
  </si>
  <si>
    <t>Presumptive DR-TB</t>
  </si>
  <si>
    <t>Number of total Cases Tested</t>
  </si>
  <si>
    <t xml:space="preserve">Signature : </t>
  </si>
  <si>
    <t>Presumptive cases tested by Xpert MTB/RIF</t>
  </si>
  <si>
    <t xml:space="preserve"> Presumptive DR TB Cases(Total)</t>
  </si>
  <si>
    <t>Column (12)</t>
  </si>
  <si>
    <t>Column (13)</t>
  </si>
  <si>
    <t xml:space="preserve">                                                               Programmatic Management of Drug Resistant Tuberculosis (PMDT)</t>
  </si>
  <si>
    <t>Presumptive  TB</t>
  </si>
  <si>
    <t>Presumptive   TB</t>
  </si>
  <si>
    <t xml:space="preserve"> Presumptive  TB Cases(Total)</t>
  </si>
  <si>
    <t>Type of Patient : Presumptive  TB Cases</t>
  </si>
  <si>
    <t>February</t>
  </si>
  <si>
    <t>January</t>
  </si>
  <si>
    <t>1st</t>
  </si>
  <si>
    <t>Barisal</t>
  </si>
  <si>
    <t>Bhola</t>
  </si>
  <si>
    <t>March</t>
  </si>
  <si>
    <t>Patuakhali</t>
  </si>
  <si>
    <t>April</t>
  </si>
  <si>
    <t>2nd</t>
  </si>
  <si>
    <t>Bandarban Sadar Hospital</t>
  </si>
  <si>
    <t>Bandarban</t>
  </si>
  <si>
    <t>May</t>
  </si>
  <si>
    <t>Brahmanbaria</t>
  </si>
  <si>
    <t>June</t>
  </si>
  <si>
    <t>Chandpur</t>
  </si>
  <si>
    <t>July</t>
  </si>
  <si>
    <t>3rd</t>
  </si>
  <si>
    <t>August</t>
  </si>
  <si>
    <t>September</t>
  </si>
  <si>
    <t>Comilla</t>
  </si>
  <si>
    <t>October</t>
  </si>
  <si>
    <t>4th</t>
  </si>
  <si>
    <t>November</t>
  </si>
  <si>
    <t>Noakhali</t>
  </si>
  <si>
    <t>December</t>
  </si>
  <si>
    <t>Rangamati</t>
  </si>
  <si>
    <t>AFIP, Dhaka Cantonment</t>
  </si>
  <si>
    <t>Dhaka</t>
  </si>
  <si>
    <t>NTRL, NIDCH</t>
  </si>
  <si>
    <t>Faridpur</t>
  </si>
  <si>
    <t>Gazipur</t>
  </si>
  <si>
    <t>Gopalganj</t>
  </si>
  <si>
    <t>Kishoreganj</t>
  </si>
  <si>
    <t>Manikganj</t>
  </si>
  <si>
    <t>Narayanganj</t>
  </si>
  <si>
    <t>Tangail</t>
  </si>
  <si>
    <t>ICDDR,B: Golapbagh</t>
  </si>
  <si>
    <t>ICDDR,B: Mohakhali</t>
  </si>
  <si>
    <t>Mymensingh</t>
  </si>
  <si>
    <t>Khulna</t>
  </si>
  <si>
    <t>Chuadanga</t>
  </si>
  <si>
    <t>Jessore</t>
  </si>
  <si>
    <t>Kushtia</t>
  </si>
  <si>
    <t>Satkhira</t>
  </si>
  <si>
    <t>Rajshahi</t>
  </si>
  <si>
    <t>Bogra</t>
  </si>
  <si>
    <t>Natore</t>
  </si>
  <si>
    <t>CDH Pabna</t>
  </si>
  <si>
    <t>Pabna</t>
  </si>
  <si>
    <t>Sirajganj</t>
  </si>
  <si>
    <t>Rangpur</t>
  </si>
  <si>
    <t>Gaibandha</t>
  </si>
  <si>
    <t>Kurigram</t>
  </si>
  <si>
    <t>Sylhet</t>
  </si>
  <si>
    <t>Habiganj</t>
  </si>
  <si>
    <t>Sunamganj</t>
  </si>
  <si>
    <t>CDH Sylhet</t>
  </si>
  <si>
    <t>Division :</t>
  </si>
  <si>
    <t>Barguna</t>
  </si>
  <si>
    <t>Pirojpur</t>
  </si>
  <si>
    <t>Feni</t>
  </si>
  <si>
    <t>Khagrachari</t>
  </si>
  <si>
    <t>Jamalpur</t>
  </si>
  <si>
    <t>Madaripur</t>
  </si>
  <si>
    <t>Munshiganj</t>
  </si>
  <si>
    <t>Netrakona</t>
  </si>
  <si>
    <t>Rajbari</t>
  </si>
  <si>
    <t>Shariatpur</t>
  </si>
  <si>
    <t>Sherpur</t>
  </si>
  <si>
    <t>Bagerhat</t>
  </si>
  <si>
    <t>Jhenaidah</t>
  </si>
  <si>
    <t>Magura</t>
  </si>
  <si>
    <t>Meherpur</t>
  </si>
  <si>
    <t>Narail</t>
  </si>
  <si>
    <t>Naogaon</t>
  </si>
  <si>
    <t>Nawabganj</t>
  </si>
  <si>
    <t>Dinajpur</t>
  </si>
  <si>
    <t>Lalmonirhat</t>
  </si>
  <si>
    <t>Nilphamari</t>
  </si>
  <si>
    <t>Panchagarh</t>
  </si>
  <si>
    <t>Thakurgaon</t>
  </si>
  <si>
    <t>Moulvibazar</t>
  </si>
  <si>
    <t>Division</t>
  </si>
  <si>
    <t>District</t>
  </si>
  <si>
    <t>Name of GeneXpert Site</t>
  </si>
  <si>
    <t>Sadar Hospital, Barguna</t>
  </si>
  <si>
    <t xml:space="preserve">Bhola </t>
  </si>
  <si>
    <t>Jhalakathi</t>
  </si>
  <si>
    <t>Sadar Hospital, Jhalakathi</t>
  </si>
  <si>
    <t xml:space="preserve">Patuakhali   </t>
  </si>
  <si>
    <t xml:space="preserve">Bandarban  </t>
  </si>
  <si>
    <t>Brahamanbaria</t>
  </si>
  <si>
    <t xml:space="preserve">Brahmanbaria  </t>
  </si>
  <si>
    <t>CDC B.Baria</t>
  </si>
  <si>
    <t xml:space="preserve">Chandpur  </t>
  </si>
  <si>
    <t>Comilla Medical College Hospital, Comilla</t>
  </si>
  <si>
    <t xml:space="preserve">Comilla  </t>
  </si>
  <si>
    <t>Cox's Bazar</t>
  </si>
  <si>
    <t xml:space="preserve">Cox's Bazar  </t>
  </si>
  <si>
    <t>Sadar Hospital, Khagrachari</t>
  </si>
  <si>
    <t>Laxmipur</t>
  </si>
  <si>
    <t>Sadar Hospital, Laxmipur</t>
  </si>
  <si>
    <t xml:space="preserve">Noakhali  </t>
  </si>
  <si>
    <t xml:space="preserve">Rangamati  </t>
  </si>
  <si>
    <t>ICDDR,B: Bondortila</t>
  </si>
  <si>
    <t>ICDDR,B: Golpahar</t>
  </si>
  <si>
    <t xml:space="preserve">Cox’s Bazar </t>
  </si>
  <si>
    <t xml:space="preserve">Noakhali </t>
  </si>
  <si>
    <t xml:space="preserve">Dhaka </t>
  </si>
  <si>
    <t>ICDDR,B: Mirpur</t>
  </si>
  <si>
    <t>ICDDR,B: Rampura</t>
  </si>
  <si>
    <t>ICDDR,B: Uttara</t>
  </si>
  <si>
    <t>National Medical College Hospital, Dhaka</t>
  </si>
  <si>
    <t>Shahid Sarwardi Medical College, Dhaka</t>
  </si>
  <si>
    <t xml:space="preserve">Dhaka  </t>
  </si>
  <si>
    <t>250 Beded TB Hospital, Shyamoli</t>
  </si>
  <si>
    <t>BIRDEM Hospital,  Dhaka</t>
  </si>
  <si>
    <t>BSMMU Hospital, Dhaka</t>
  </si>
  <si>
    <t>Capt. Monsur Ali  Medical College Hospital</t>
  </si>
  <si>
    <t>Dhaka Medical College Hospital</t>
  </si>
  <si>
    <t>Faridpur Medical College Hospital, Faridpur</t>
  </si>
  <si>
    <t xml:space="preserve">Faridpur  </t>
  </si>
  <si>
    <t xml:space="preserve">Gazipur </t>
  </si>
  <si>
    <t xml:space="preserve">Gazipur  </t>
  </si>
  <si>
    <t>Taj Uddin Ahmed Medical College, Hospital</t>
  </si>
  <si>
    <t xml:space="preserve">Gopalganj  </t>
  </si>
  <si>
    <t xml:space="preserve">Kishoreganj  </t>
  </si>
  <si>
    <t>Kishorganj Chest Disease, Clinic</t>
  </si>
  <si>
    <t>Sadar Hospital, Madaripur</t>
  </si>
  <si>
    <t xml:space="preserve">Manikganj </t>
  </si>
  <si>
    <t xml:space="preserve">Manikganj  </t>
  </si>
  <si>
    <t>250 Bed Sadar Hospital, Manikganj</t>
  </si>
  <si>
    <t>Sadar Hospital, Munshiganj</t>
  </si>
  <si>
    <t xml:space="preserve">Narayanganj </t>
  </si>
  <si>
    <t xml:space="preserve">Narayanganj  </t>
  </si>
  <si>
    <t>General Hospital(Victoria), Narayanganj</t>
  </si>
  <si>
    <t>Narsingdi</t>
  </si>
  <si>
    <t>Sadar Hospital, Narsingdi</t>
  </si>
  <si>
    <t xml:space="preserve">Narsingdi </t>
  </si>
  <si>
    <t>Sadar Hospital, Rajbari</t>
  </si>
  <si>
    <t>Sadar Hospital, Shariatpur</t>
  </si>
  <si>
    <t xml:space="preserve">Tangail  </t>
  </si>
  <si>
    <t>Jalchatra Hospital, Tangail</t>
  </si>
  <si>
    <t xml:space="preserve">Chuadanga  </t>
  </si>
  <si>
    <t xml:space="preserve">Jessore </t>
  </si>
  <si>
    <t xml:space="preserve">Jessore  </t>
  </si>
  <si>
    <t>Sadar Hospital, Jhenaidah</t>
  </si>
  <si>
    <t>Khulna Medical College Hospital, Khulna</t>
  </si>
  <si>
    <t xml:space="preserve">Khulna  </t>
  </si>
  <si>
    <t xml:space="preserve">Kushtia  </t>
  </si>
  <si>
    <t xml:space="preserve">Narail </t>
  </si>
  <si>
    <t>Sadar Hospital, Narail</t>
  </si>
  <si>
    <t xml:space="preserve">Satkhira  </t>
  </si>
  <si>
    <t xml:space="preserve">Mymensingh  </t>
  </si>
  <si>
    <t>Mymensingh Medical  Colege Hospital</t>
  </si>
  <si>
    <t>Shambhugonj Hospital, Mymensingh</t>
  </si>
  <si>
    <t xml:space="preserve">Netrakona  </t>
  </si>
  <si>
    <t>Anantapur TB Hospital, Netrokona</t>
  </si>
  <si>
    <t>Netrokona</t>
  </si>
  <si>
    <t>Sadar Hospital, Sherpur</t>
  </si>
  <si>
    <t xml:space="preserve">Bogra </t>
  </si>
  <si>
    <t xml:space="preserve">Bogra  </t>
  </si>
  <si>
    <t>Joypurhat</t>
  </si>
  <si>
    <t>Mordanlized District Hospital, Joypurhat</t>
  </si>
  <si>
    <t>Sadar Hospital, Naogaon</t>
  </si>
  <si>
    <t xml:space="preserve">Natore  </t>
  </si>
  <si>
    <t xml:space="preserve">Pabna  </t>
  </si>
  <si>
    <t>Rajshahi Medical College Hospital, Rajshahi</t>
  </si>
  <si>
    <t xml:space="preserve">Rajshahi  </t>
  </si>
  <si>
    <t xml:space="preserve">CDH Rajshahi </t>
  </si>
  <si>
    <t xml:space="preserve">Sirajganj  </t>
  </si>
  <si>
    <t xml:space="preserve">Gaibandha  </t>
  </si>
  <si>
    <t xml:space="preserve">Kurigram  </t>
  </si>
  <si>
    <t>Sadar Hospital, Lalmonirhat</t>
  </si>
  <si>
    <t>Sadar Hospital, Nilphamari</t>
  </si>
  <si>
    <t>Sadar Hospital, Panchagarh</t>
  </si>
  <si>
    <t xml:space="preserve">Rangpur  </t>
  </si>
  <si>
    <t>Rangpur Medical College, Rangpur</t>
  </si>
  <si>
    <t xml:space="preserve">Habiganj  </t>
  </si>
  <si>
    <t>Sadar Hospital, Habiganj</t>
  </si>
  <si>
    <t>Sadar Hospital, Moulvibazar</t>
  </si>
  <si>
    <t xml:space="preserve">Moulvibazar  </t>
  </si>
  <si>
    <t>UHC Sreemongol</t>
  </si>
  <si>
    <t xml:space="preserve">Sunamganj  </t>
  </si>
  <si>
    <t>M.A.G Osmani Medical College Hospital, Sylhet</t>
  </si>
  <si>
    <t xml:space="preserve">Sylhet  </t>
  </si>
  <si>
    <t xml:space="preserve">Mymensingh </t>
  </si>
  <si>
    <t>Government of the People's Republic of Bangladesh</t>
  </si>
  <si>
    <t>National TB Control Program</t>
  </si>
  <si>
    <t>Programmatic Management of Drug Resistant Tuberculosis (PMDT)</t>
  </si>
  <si>
    <t xml:space="preserve">Monthly Report of Enrolment status of Detected </t>
  </si>
  <si>
    <t>Name and address of the reporting Unit:</t>
  </si>
  <si>
    <t>Reporting period:</t>
  </si>
  <si>
    <t>Sl.              No</t>
  </si>
  <si>
    <t>Age</t>
  </si>
  <si>
    <t>Address and                                        cell number</t>
  </si>
  <si>
    <t>Current and previous (if any)  TB registration number</t>
  </si>
  <si>
    <t>Remarks</t>
  </si>
  <si>
    <t>Sex
(M/F)</t>
  </si>
  <si>
    <t>Enrollment status                   (Y/N)</t>
  </si>
  <si>
    <t>ICDDR,B: Dhanmondi</t>
  </si>
  <si>
    <t>District / Area</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</si>
  <si>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</si>
  <si>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</si>
  <si>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</si>
  <si>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</si>
  <si>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</si>
  <si>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</si>
  <si>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</si>
  <si>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</si>
  <si>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</si>
  <si>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</si>
  <si>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</si>
  <si>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</si>
  <si>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</si>
  <si>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</si>
  <si>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</si>
  <si>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</si>
  <si>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</si>
  <si>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</si>
  <si>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</si>
  <si>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</si>
  <si>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Unknown history</t>
  </si>
  <si>
    <t>Prev. treated</t>
  </si>
  <si>
    <t>Tested by Xpert MTB/RIF</t>
  </si>
  <si>
    <t xml:space="preserve">Total
</t>
  </si>
  <si>
    <t>ICDDR,B: Rikabi Bazar</t>
  </si>
  <si>
    <t>ICDDR,B: Old Dhaka</t>
  </si>
  <si>
    <t>Dhaka Sishu Hospital, Sher-E-Bangla Nagar, Dhaka.</t>
  </si>
  <si>
    <t xml:space="preserve">Sher-e-Bangla Medical College &amp; Hospital, Barisal, </t>
  </si>
  <si>
    <t xml:space="preserve">Kurmitola General Hospital, Dhaka </t>
  </si>
  <si>
    <t>Bangladesh Central Police Hospital, Rajarbag, Dhaka</t>
  </si>
  <si>
    <t>Jahurul Islam Medical C &amp; H, Bhagalpur, Bajitpur, Kishoreganj</t>
  </si>
  <si>
    <t>M. Abdur Rahim Medical College, Dinajpur</t>
  </si>
  <si>
    <t>Child &amp; Mother health institute, Matuail, Dhaka</t>
  </si>
  <si>
    <t>Sir Salimullah Medical College, Dhaka</t>
  </si>
  <si>
    <t>Mugda Medical College Hospital, Dhaka</t>
  </si>
  <si>
    <t>Center for Medical Biotechnology, Mohakhali, Dhaka</t>
  </si>
  <si>
    <t>Chest Disease Hospital, Khulna</t>
  </si>
  <si>
    <t>BSMMU (Virology), Dhaka</t>
  </si>
  <si>
    <t>UHC Tazimuddin, Bhola</t>
  </si>
  <si>
    <t>UHC Gurudaspur, Natore</t>
  </si>
  <si>
    <t>UHC Muradnagar, Comilla</t>
  </si>
  <si>
    <t>UHC Dhamrai, Dhaka</t>
  </si>
  <si>
    <t>UHC Kapasia, Gazipur</t>
  </si>
  <si>
    <t>UHC Sreenagar, Munshiganj</t>
  </si>
  <si>
    <t>UHC Araihazar, Narayanganj</t>
  </si>
  <si>
    <t>UHC Shipganj, Chapainawabganj</t>
  </si>
  <si>
    <t>UHC Sherpur, Bogra</t>
  </si>
  <si>
    <t>UHC Shahajadpur, Sirajganj</t>
  </si>
  <si>
    <t>UHC Chakoria, Cox's Bazar</t>
  </si>
  <si>
    <t>UHC Raipur, Laxmipur</t>
  </si>
  <si>
    <t>UHC Chowddagram, Comilla</t>
  </si>
  <si>
    <t>UHC Sarail, B.Baria</t>
  </si>
  <si>
    <t>UHC Charfession, Bhola</t>
  </si>
  <si>
    <t>UHC Nawabganj, Dhaka</t>
  </si>
  <si>
    <t>UHC Singair, Manikganj</t>
  </si>
  <si>
    <t xml:space="preserve">UHC Monohardi, Narsingdi </t>
  </si>
  <si>
    <t>UHC Moheshpur, Jhenaidah</t>
  </si>
  <si>
    <t>UHC Dumuria, Khulna</t>
  </si>
  <si>
    <t>UHC Gangni, Meherpur</t>
  </si>
  <si>
    <t>UHC Mithapukur, Rangpur</t>
  </si>
  <si>
    <t>Gaibandh</t>
  </si>
  <si>
    <t>UHC Sundarganj, Gaibandha</t>
  </si>
  <si>
    <t>UHC Fulpur, Mymensingh</t>
  </si>
  <si>
    <t>UHC Mehendiganj, Barisal</t>
  </si>
  <si>
    <t>UHC Iswardi, Pabna</t>
  </si>
  <si>
    <t>UHC Nabiganj, Habiganj</t>
  </si>
  <si>
    <t>UHC Kamalganj, Moulvibazar</t>
  </si>
  <si>
    <t>UHC Taherpur, Sunamganj</t>
  </si>
  <si>
    <t>UHC Trishal, Mymensingh</t>
  </si>
  <si>
    <t>UHC Nalitabari, Sherpur</t>
  </si>
  <si>
    <t>UHC Kendua, Netrokona</t>
  </si>
  <si>
    <t>UHC Galachipa, Patuakhali</t>
  </si>
  <si>
    <t>UHC Kalapara, Patuakhali</t>
  </si>
  <si>
    <t>UHC Amtali, Barguna</t>
  </si>
  <si>
    <t>UHC Mothbaria, Pirojpur</t>
  </si>
  <si>
    <t>UHC Kaliganj, Satkhira</t>
  </si>
  <si>
    <t>UHC Sharsha, Jessore</t>
  </si>
  <si>
    <t>UHC Damurhuda, Chuadanga</t>
  </si>
  <si>
    <t>UHC Mirpur, Kushtia</t>
  </si>
  <si>
    <t>UHC Sadullapur, Gaibandha</t>
  </si>
  <si>
    <t>UHC Parbatipur, Dinajpur</t>
  </si>
  <si>
    <t>UHC Golapganj, Sylhet</t>
  </si>
  <si>
    <t>UHC Dowarabazar, Sunamganj</t>
  </si>
  <si>
    <t>UHC Kulaura, Moulvibazar</t>
  </si>
  <si>
    <t>UHC Lohagara,Narail</t>
  </si>
  <si>
    <t>Chattogram</t>
  </si>
  <si>
    <t>Medical College Hospital, Chattogram</t>
  </si>
  <si>
    <t>BITID, Chattogram</t>
  </si>
  <si>
    <t>RTRL Chattogram</t>
  </si>
  <si>
    <t>UHC Banskhali, Chattogram</t>
  </si>
  <si>
    <t>UHC Patiya, Chattogram</t>
  </si>
  <si>
    <t>UHC Fatikchari, Chattogram</t>
  </si>
  <si>
    <t>UHC Hathazari, Chattogram</t>
  </si>
  <si>
    <t>UHC Bahubal, Habiganj</t>
  </si>
  <si>
    <t>UHC Daganbhuiyan, Feni</t>
  </si>
  <si>
    <t>UHC Matiranga, Khagrachari</t>
  </si>
  <si>
    <t>UHC Kamalnagar, Laxmipur</t>
  </si>
  <si>
    <t>UHC Hatiya, Noakhali</t>
  </si>
  <si>
    <t>UHC Sonaimuri, Noakhali</t>
  </si>
  <si>
    <t>UHC Subarnachar, Noakhali</t>
  </si>
  <si>
    <t>UHC Baghaichari, Rangamati</t>
  </si>
  <si>
    <t>UHC Mirsarai, Chattogram</t>
  </si>
  <si>
    <t>UHC Sitakundu, Chattogram</t>
  </si>
  <si>
    <t>UHC Raujan, Chattogram</t>
  </si>
  <si>
    <t>250 Beded General Hospital, Tangail</t>
  </si>
  <si>
    <t>UHC Ajmeriganj, Habiganj</t>
  </si>
  <si>
    <t>UHC Shibalaya, Manikganj</t>
  </si>
  <si>
    <t>UHC Saturia, Manikganj</t>
  </si>
  <si>
    <t>UHC Kanaighat, Sylhet</t>
  </si>
  <si>
    <t>UHC Rangunia, Chattogram</t>
  </si>
  <si>
    <t>UHC Bhandaria, Pirojpur</t>
  </si>
  <si>
    <t>UHC Shahrasti, Chandpur</t>
  </si>
  <si>
    <t>UHC Dhamoirhat, Naogaon</t>
  </si>
  <si>
    <t>UHC Ulipur, Kurigram</t>
  </si>
  <si>
    <t>UHC Domar, Nilphamari</t>
  </si>
  <si>
    <t>UHC Boda, Panchagar</t>
  </si>
  <si>
    <t xml:space="preserve">UHC Fulbari, Dinajpur </t>
  </si>
  <si>
    <t xml:space="preserve">UHC Birol, Dinajpur </t>
  </si>
  <si>
    <t>UHC Kuliarchar, Kishoreganj</t>
  </si>
  <si>
    <t>UHC Pathorghata, Barguna</t>
  </si>
  <si>
    <t>UHC Gournodi, Barisal</t>
  </si>
  <si>
    <t>UHC Khathalia, Jhalakathi</t>
  </si>
  <si>
    <t>UHC Najirpur, Pirojpur</t>
  </si>
  <si>
    <t>UHC Nabinagar, Brahmanbaria</t>
  </si>
  <si>
    <t>UHC Satkania, Chittagong</t>
  </si>
  <si>
    <t xml:space="preserve">UHC Matlab south, Chandpur  </t>
  </si>
  <si>
    <t>UHC Langolkot, Comilla</t>
  </si>
  <si>
    <t>UHC Ramgoti, Laxmipur</t>
  </si>
  <si>
    <t xml:space="preserve">UHC Senbag, Noakhali </t>
  </si>
  <si>
    <t>UHC Bhedergonj, Sariatpur</t>
  </si>
  <si>
    <t>UHC Zanjira, Sariatpur</t>
  </si>
  <si>
    <t>UHC Kalkini, Madaripur</t>
  </si>
  <si>
    <t>UHC Shibchar, Madaripur</t>
  </si>
  <si>
    <t>UHC Kotiadi, Kishoreganj</t>
  </si>
  <si>
    <t>UHC Pakundia, Kishoreganj</t>
  </si>
  <si>
    <t>UHC Mongla, Bagerhat</t>
  </si>
  <si>
    <t>UHC Jibon Nagar, Chuadanga</t>
  </si>
  <si>
    <t>UHC Abhoynagar, Jessore</t>
  </si>
  <si>
    <t>UHC Horinakunda, Jhenaidah</t>
  </si>
  <si>
    <t>UHC Koyra, Khulna</t>
  </si>
  <si>
    <t>UHC Kumarkhali, Kushtia</t>
  </si>
  <si>
    <t>UHC Kolaroa, Satkhira</t>
  </si>
  <si>
    <t>UHC Bokshigonj, Jamalpur</t>
  </si>
  <si>
    <t>UHC Gaforgaon, Mymensingh</t>
  </si>
  <si>
    <t>UHC Mohongonj, Netrokona</t>
  </si>
  <si>
    <t>UHC Bagmara, Rajshahi</t>
  </si>
  <si>
    <t>UHC Panchbibi, Joypurhat</t>
  </si>
  <si>
    <t>UHC Manda, Naogaon</t>
  </si>
  <si>
    <t>UHC Santhiya, Pabna</t>
  </si>
  <si>
    <t>UHC Birgonj, Dinajpur</t>
  </si>
  <si>
    <t xml:space="preserve">UHC Bhurangamari, Kurigram  </t>
  </si>
  <si>
    <t>UHC Kaligonj, Lalmonirhat</t>
  </si>
  <si>
    <t>UHC Jaldhaka, Nilphamari</t>
  </si>
  <si>
    <t>UHC Pirgonj, Rangpur</t>
  </si>
  <si>
    <t xml:space="preserve">UHC Baliadangi, Thakurgaon  </t>
  </si>
  <si>
    <t>UHC Madhabpur, Habiganj</t>
  </si>
  <si>
    <t>UHC Baniarchong, Habiganj</t>
  </si>
  <si>
    <t xml:space="preserve">UHC Jagannathpur, Sunamganj  </t>
  </si>
  <si>
    <t>UHC Jaintapur, Sylhet</t>
  </si>
  <si>
    <t>UHC Agoiljhara</t>
  </si>
  <si>
    <t>UHC Babugonj, Barisal</t>
  </si>
  <si>
    <t>UHC Hizla, Barisal</t>
  </si>
  <si>
    <t>UHC Muladi, Barisal</t>
  </si>
  <si>
    <t>UHC Uzirpur, Barisal</t>
  </si>
  <si>
    <t>UHC Daulatkhan</t>
  </si>
  <si>
    <t>UHC Rajapur, Jhalakathi</t>
  </si>
  <si>
    <t>UHC Nalchiti, Jhalakathi</t>
  </si>
  <si>
    <t>UHC Dashmina, Patuakhali</t>
  </si>
  <si>
    <t>UHC Nesarabad, Pirojpur</t>
  </si>
  <si>
    <t xml:space="preserve">UHC Lama, Bandarban </t>
  </si>
  <si>
    <t>UHC Bancharampur, Brahmanbaria</t>
  </si>
  <si>
    <t>UHC Ashugonj, Brahmanbaria</t>
  </si>
  <si>
    <t>UHC Kashba, Brahmanbaria</t>
  </si>
  <si>
    <t xml:space="preserve">UHC Faridgonj, Chandpur  </t>
  </si>
  <si>
    <t xml:space="preserve">UHC Anwara, Chittagong </t>
  </si>
  <si>
    <t xml:space="preserve">UHC Boalkhali, Chittagong </t>
  </si>
  <si>
    <t>UHC Barura, Comilla</t>
  </si>
  <si>
    <t>UHC Daudkandi, Comilla</t>
  </si>
  <si>
    <t>UHC Chandina, Comilla</t>
  </si>
  <si>
    <t>UHC Homna, Comilla</t>
  </si>
  <si>
    <t>UHC Burichong, Comilla</t>
  </si>
  <si>
    <t>UHC Monohargonj, Comilla</t>
  </si>
  <si>
    <t>UHC Laksam, Comilla</t>
  </si>
  <si>
    <t>UHC Fakirhat, Bagerhat</t>
  </si>
  <si>
    <t>UHC Rampal, Bagerhat</t>
  </si>
  <si>
    <t>UHC Gabtali, Bogra</t>
  </si>
  <si>
    <t>UHC Dhunot, Bogra</t>
  </si>
  <si>
    <t>UHC Shariakandi, Bogra</t>
  </si>
  <si>
    <t>UHC Sibganj, Bogra</t>
  </si>
  <si>
    <t>UHC Dohar, Dhaka</t>
  </si>
  <si>
    <t>UHC Nawabganj, Dinajpur</t>
  </si>
  <si>
    <t>UHC Boalmari, Faridpur</t>
  </si>
  <si>
    <t>UHC Nagarkanda, Faridpur</t>
  </si>
  <si>
    <t>UHC Modhukhali, Faridpur</t>
  </si>
  <si>
    <t>UHC Gobindagonj, Gaibandha</t>
  </si>
  <si>
    <t>UHC Saghata, Gaibandha</t>
  </si>
  <si>
    <t>UHC Kaligonj, Gazipur</t>
  </si>
  <si>
    <t>UHC Moksudpur, Gopalganj</t>
  </si>
  <si>
    <t>UHC Dewangonj, Jamalpur</t>
  </si>
  <si>
    <t>UHC Kaligonj, Jehenaidaha</t>
  </si>
  <si>
    <t>UHC Keshobpur, Jessore</t>
  </si>
  <si>
    <t>UHC Chougacha, Jessore</t>
  </si>
  <si>
    <t>UHC Jhikorgacha, Jessore</t>
  </si>
  <si>
    <t>UHC Dacope, Khulna</t>
  </si>
  <si>
    <t>UHC Digholia, Khulna</t>
  </si>
  <si>
    <t>UHC Bajitpur, Kishoreganj</t>
  </si>
  <si>
    <t>UHC Rowmari, Kurigram</t>
  </si>
  <si>
    <t>UHC Aditmari, Lalmonirhat</t>
  </si>
  <si>
    <t>UHC Mohammadpur, Magura</t>
  </si>
  <si>
    <t>UHC Horirampur, Manikganj</t>
  </si>
  <si>
    <t>UHC Mujibnagar, Meherpur</t>
  </si>
  <si>
    <t>UHC Baralekha, Moulvibazar</t>
  </si>
  <si>
    <t>UHC Rajnagar, Moulvibazar</t>
  </si>
  <si>
    <t>UHC Louhojong, Munshiganj</t>
  </si>
  <si>
    <t>UHC Gazaria, Munshiganj</t>
  </si>
  <si>
    <t>UHC Fulbaria, Mymensingh</t>
  </si>
  <si>
    <t>UHC Haluaghat, Mymensingh</t>
  </si>
  <si>
    <t>UHC Ishwarganj, Mymensingh</t>
  </si>
  <si>
    <t>UHC Muktagacha, Mymensingh</t>
  </si>
  <si>
    <t>UHC Nandail, Mymensingh</t>
  </si>
  <si>
    <t>UHC Shapahar, Naogaon</t>
  </si>
  <si>
    <t>UHC Kalia, Narail</t>
  </si>
  <si>
    <t>UHC Bandar, Narayangonj</t>
  </si>
  <si>
    <t>UHC Belabo, Narsingdi</t>
  </si>
  <si>
    <t>UHC Shibpur, Narsingdi</t>
  </si>
  <si>
    <t>UHC Singra, Natore</t>
  </si>
  <si>
    <t>UHC Lalpur, Natore</t>
  </si>
  <si>
    <t>UHC Kalmakanda, Netrokona</t>
  </si>
  <si>
    <t>UHC Modan, Netrokona</t>
  </si>
  <si>
    <t>UHC Khaliajuri, Netrokona</t>
  </si>
  <si>
    <t xml:space="preserve">UHC Begumganj, Noakhali </t>
  </si>
  <si>
    <t>UHC Sujanagar, Pabna</t>
  </si>
  <si>
    <t>UHC Bera, Pabna</t>
  </si>
  <si>
    <t>UHC Baliakandi, Rajbari</t>
  </si>
  <si>
    <t>UHC Tanore, Rajshahi</t>
  </si>
  <si>
    <t>UHC Puthia, Rajshahi</t>
  </si>
  <si>
    <t>UHC Godagari, Rajshahi</t>
  </si>
  <si>
    <t>UHC Gangachara, Rangpur</t>
  </si>
  <si>
    <t>UHC Ashasoni, Satkhira</t>
  </si>
  <si>
    <t>UHC Tala, Satkhira</t>
  </si>
  <si>
    <t>UHC Debhata, Satkhira</t>
  </si>
  <si>
    <t>UHC Jhinaigati, Sherpur</t>
  </si>
  <si>
    <t>UHC Nakla, Sherpur</t>
  </si>
  <si>
    <t>UHC Kazipur, Sirajganj</t>
  </si>
  <si>
    <t>UHC Ullahpara, Sirajganj</t>
  </si>
  <si>
    <t>UHC Dirai, Sunamganj</t>
  </si>
  <si>
    <t>UHC Dharampasha, Sunamganj</t>
  </si>
  <si>
    <t>UHC Bishwnath, Sylhet</t>
  </si>
  <si>
    <t>UHC Gowainghat, Sylhet</t>
  </si>
  <si>
    <t>UHC Bhuapur, Tangail</t>
  </si>
  <si>
    <t>UHC Nagorpur, Tangail</t>
  </si>
  <si>
    <t>UHC Ghatail, Tangail</t>
  </si>
  <si>
    <t>UHC Gopalpur, Tangail</t>
  </si>
  <si>
    <t>UHC- Bakerganj, Barisal</t>
  </si>
  <si>
    <t>UHC- Lalmohon, Bhola</t>
  </si>
  <si>
    <t>UHC- Bauphal, Patuakhali</t>
  </si>
  <si>
    <t>UHC- Nasirnagar, Barahamanbaria</t>
  </si>
  <si>
    <t>UHC- Hajiganj, Chandpur</t>
  </si>
  <si>
    <t>UHC- Debiddar, Comilla</t>
  </si>
  <si>
    <t>UHC- Teknaf, Coxsbazar</t>
  </si>
  <si>
    <t>UHC- Ukhia, CoxsBazar</t>
  </si>
  <si>
    <t>UHC- Sonagazi, Feni</t>
  </si>
  <si>
    <t>UHC- Ramganj, Laxmipur</t>
  </si>
  <si>
    <t>UHC- Kaliakoir, Gazipur</t>
  </si>
  <si>
    <t>UHC-Sreepur, Gazipur</t>
  </si>
  <si>
    <t>UHC- Tungipara, Gopalganj</t>
  </si>
  <si>
    <t>UHC- Kashiani, Gopalganj</t>
  </si>
  <si>
    <t>UHC- Bhoirab, Kishoreganj</t>
  </si>
  <si>
    <t>UHC- Daulatpur, Manikganj</t>
  </si>
  <si>
    <t>UHC- Sirajdikhan, Munshiganj</t>
  </si>
  <si>
    <t>UHC- Rupganj, Narayanganj</t>
  </si>
  <si>
    <t>UHC- Raipura, Narsingdi</t>
  </si>
  <si>
    <t>UHC- Pangsha, Rajbari</t>
  </si>
  <si>
    <t>UHC- Mirjapur, Tangail</t>
  </si>
  <si>
    <t>UHC Shakhipur, Tangail</t>
  </si>
  <si>
    <t>UHC-  Alamdanga, Chuadanga</t>
  </si>
  <si>
    <t>UHC- Monirampur, Jessore</t>
  </si>
  <si>
    <t>UHC- Shailakupa, Jhenaidah</t>
  </si>
  <si>
    <t>UHC- Paikgacha, Khulna</t>
  </si>
  <si>
    <t>UHC- Daulatpur, Kushtia</t>
  </si>
  <si>
    <t>UHC-Veramara, Kushtia</t>
  </si>
  <si>
    <t>UHC- Shalikha, Magura</t>
  </si>
  <si>
    <t>UHC- Shaymnagar, Satkhira</t>
  </si>
  <si>
    <t>UHC- Islampur, Jamalpur</t>
  </si>
  <si>
    <t>UHC- Bhaluka, Mymensingh</t>
  </si>
  <si>
    <t>UHC- Durgapur, Netrokona</t>
  </si>
  <si>
    <t>UHC- Sreebordi, Sherpur</t>
  </si>
  <si>
    <t>UHC- Dhupchachia, Bogra</t>
  </si>
  <si>
    <t>UHC- Gomostapur, Chapainawabganj</t>
  </si>
  <si>
    <t>UHC- Akkelpur, Joypurhat</t>
  </si>
  <si>
    <t>UHC- Patnitala, Naogaon</t>
  </si>
  <si>
    <t>UHC- Baraigram, Natore</t>
  </si>
  <si>
    <t>UHC- Chatmohar, Pabna</t>
  </si>
  <si>
    <t>UHC- Belkuchi, Sirajganj</t>
  </si>
  <si>
    <t>UHC- Birampur, Dinajpur</t>
  </si>
  <si>
    <t>UHC- Palasbari, Gaibandha</t>
  </si>
  <si>
    <t>UHC- Nageshwari, Kurigram</t>
  </si>
  <si>
    <t>UHC- Hatibanda, Lalmonirhat</t>
  </si>
  <si>
    <t>UHC- Dimla, Nilphamari</t>
  </si>
  <si>
    <t>UHC- Tetulia, Panchagarh</t>
  </si>
  <si>
    <t>UHC- Ranishankail, Thakurgaon</t>
  </si>
  <si>
    <t>UHC- Chunarughat, Habiganj</t>
  </si>
  <si>
    <t>UHC- Chatak, Sunamganj</t>
  </si>
  <si>
    <t>UHC- Banibazar, Sylhet</t>
  </si>
  <si>
    <t>TDC, BRAC, Barguna</t>
  </si>
  <si>
    <t>TDC, BRAC, Bhola</t>
  </si>
  <si>
    <t>TDC, BRAC, Pirojpur</t>
  </si>
  <si>
    <t>TDC, BRAC, Brahmanbaria</t>
  </si>
  <si>
    <t>TDC, BRAC, Oxygen More, Chattogram</t>
  </si>
  <si>
    <t>TDC, BRAC, Bandar, Chattogram</t>
  </si>
  <si>
    <t>TDC, BRAC, Feni</t>
  </si>
  <si>
    <t>TDC, BRAC, Khagrachari</t>
  </si>
  <si>
    <t>TDC, BRAC, Laxmipur</t>
  </si>
  <si>
    <t>TDC, BRAC, Mohammadpur, Dhaka</t>
  </si>
  <si>
    <t>TDC, BRAC, Khilgaon, Dhaka</t>
  </si>
  <si>
    <t>TDC, BRAC, Lalbag, Dhaka</t>
  </si>
  <si>
    <t>TDC, BRAC, Faridpur</t>
  </si>
  <si>
    <t>TDC, BRAC, Gopalganj</t>
  </si>
  <si>
    <t>TDC, BRAC, Madaripur</t>
  </si>
  <si>
    <t>TDC, BRAC, Munshiganj</t>
  </si>
  <si>
    <t>TDC, BRAC, Tangail</t>
  </si>
  <si>
    <t>TDC, BRAC, Bagerhat</t>
  </si>
  <si>
    <t>TDC, BRAC, Chuadanga</t>
  </si>
  <si>
    <t>TDC, BRAC, Jhenaidah</t>
  </si>
  <si>
    <t>TDC, BRAC, Satkhira</t>
  </si>
  <si>
    <t>TDC, BRAC, Netrokona</t>
  </si>
  <si>
    <t>TDC, BRAC, Sherpur</t>
  </si>
  <si>
    <t>TDC, BRAC, Chapainawabganj</t>
  </si>
  <si>
    <t>TDC, BRAC, Gaibandha</t>
  </si>
  <si>
    <t>TDC, BRAC, Nilphamari</t>
  </si>
  <si>
    <t>TDC, BRAC, Rangpur</t>
  </si>
  <si>
    <t>TDC, BRAC, Thakurgaon</t>
  </si>
  <si>
    <t>TDC, BRAC, Habiganj</t>
  </si>
  <si>
    <t>TDC, BRAC, Moulvibazar</t>
  </si>
  <si>
    <t>TDC, BRAC, Sunamganj</t>
  </si>
  <si>
    <t>CDC Barishal</t>
  </si>
  <si>
    <t>CDC, Bhola</t>
  </si>
  <si>
    <t>CDC, Patuakhali</t>
  </si>
  <si>
    <t>CDC, Perojpur</t>
  </si>
  <si>
    <t>CDC Chandpur</t>
  </si>
  <si>
    <t>CDC Comilla</t>
  </si>
  <si>
    <t>CDC Cox's Bazar</t>
  </si>
  <si>
    <t>CDC- Feni</t>
  </si>
  <si>
    <t>CDC, Noakhali</t>
  </si>
  <si>
    <t>CDC Rangamati</t>
  </si>
  <si>
    <t xml:space="preserve">CDC, Chankharpul </t>
  </si>
  <si>
    <t xml:space="preserve">CDC, Faridpur </t>
  </si>
  <si>
    <t>CDC, Gopalgonj</t>
  </si>
  <si>
    <t>CDC, Tangail</t>
  </si>
  <si>
    <t>CDC, Bagerhat</t>
  </si>
  <si>
    <t>CDC Chuadanga</t>
  </si>
  <si>
    <t>CDC Jessore</t>
  </si>
  <si>
    <t>CDC Khulna</t>
  </si>
  <si>
    <t>CDC Kustia</t>
  </si>
  <si>
    <t>CDC, Magura</t>
  </si>
  <si>
    <t>CDC, Meherpur</t>
  </si>
  <si>
    <t>CDC, Satkhira</t>
  </si>
  <si>
    <t>CDC, Jamalpur</t>
  </si>
  <si>
    <t>CDC Bogra</t>
  </si>
  <si>
    <t>CDC, Chapainawabganj</t>
  </si>
  <si>
    <t>CDC Natore</t>
  </si>
  <si>
    <t>CDC, Sirajganj</t>
  </si>
  <si>
    <t>CDC, Dinajpur</t>
  </si>
  <si>
    <t>CDC, Gaibandha</t>
  </si>
  <si>
    <t>CDC, Kurigram</t>
  </si>
  <si>
    <t>CDC, Rangpur</t>
  </si>
  <si>
    <t>CDC, Thakurgaon</t>
  </si>
  <si>
    <t>CDC, Sunamgonj</t>
  </si>
  <si>
    <t xml:space="preserve">TDC , BRAC, Barisal </t>
  </si>
  <si>
    <t>TDC , BRAC, Bakulia, Chattogram</t>
  </si>
  <si>
    <t>TDC , BRAC, Comilla</t>
  </si>
  <si>
    <t>TDC , BRAC, Cox's Bazar</t>
  </si>
  <si>
    <t>TDC , BRAC, Noakhali</t>
  </si>
  <si>
    <t>TDC , BRAC, Keranigonj,Dhaka</t>
  </si>
  <si>
    <t>TDC , BRAC, Savar,Dhaka</t>
  </si>
  <si>
    <t>TDC , BRAC, Badda, Dhaka</t>
  </si>
  <si>
    <t xml:space="preserve">TDC , BRAC, Matuail, Dhaka </t>
  </si>
  <si>
    <t xml:space="preserve">TDC , BRAC, Mirpur-1, Dhaka </t>
  </si>
  <si>
    <t>TDC , BRAC, Gazipur</t>
  </si>
  <si>
    <t>TDC , BRAC, Tongi, Gazipur</t>
  </si>
  <si>
    <t>TDC , BRAC, Manikgonj</t>
  </si>
  <si>
    <t>TDC , BRAC, Narayangonj</t>
  </si>
  <si>
    <t>TDC , BRAC, Narsingdi</t>
  </si>
  <si>
    <t>TDC , BRAC, Jessore</t>
  </si>
  <si>
    <t>TDC , BRAC, Khulna</t>
  </si>
  <si>
    <t xml:space="preserve">TDC , BRAC, Mymensingh </t>
  </si>
  <si>
    <t>TDC , BRAC, Bogra</t>
  </si>
  <si>
    <t>TDC , BRAC, Rajshahi</t>
  </si>
  <si>
    <t>TDC , BRAC, Dinajpur</t>
  </si>
  <si>
    <t>TDC , BRAC, Sylhet</t>
  </si>
  <si>
    <t>UHC Pirgonj, Thakurgaon</t>
  </si>
  <si>
    <t>Comments</t>
  </si>
  <si>
    <t>20 Beded Hospital, Bhasanchar, Hatiya</t>
  </si>
  <si>
    <t>Mobial X-ray Van-1, Kutupalong, Ukhiya Cox's Bazar (FDMN)</t>
  </si>
  <si>
    <t>Mobial X-ray Van-4,Teknaf, Cox's Bazar (FDMN)</t>
  </si>
  <si>
    <t>Mobial X-ray Van-2, Dhaka-Urban</t>
  </si>
  <si>
    <t>Mobial X-ray Van-3, Dhaka and Nearby Districts</t>
  </si>
  <si>
    <t>Coxs_Bazar</t>
  </si>
  <si>
    <t>Date of Diagnosis</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</si>
  <si>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</si>
  <si>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</si>
  <si>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</si>
  <si>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</si>
  <si>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</si>
  <si>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</si>
  <si>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</si>
  <si>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</si>
  <si>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</si>
  <si>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</si>
  <si>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</si>
  <si>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</si>
  <si>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</si>
  <si>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</si>
  <si>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</si>
  <si>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</si>
  <si>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</si>
  <si>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COVID19 Test Reporting Form</t>
  </si>
  <si>
    <t xml:space="preserve">                                                                                       Government of the People's Republic of Bangladesh</t>
  </si>
  <si>
    <t>Number of Gene Xpert Machine:</t>
  </si>
  <si>
    <t>Number of Module Functional:</t>
  </si>
  <si>
    <t>Total Number Of Module:</t>
  </si>
  <si>
    <t>UHC- Morrelganj, Bagerhat</t>
  </si>
  <si>
    <t>Date Of Enrollment</t>
  </si>
  <si>
    <t>Air Port (Hazi Camp)</t>
  </si>
  <si>
    <t>UHC Natore Sadar</t>
  </si>
  <si>
    <t>PM Office ,Dhaka</t>
  </si>
  <si>
    <t>UHC sarishabari, Jamalpur</t>
  </si>
  <si>
    <t>ICDDRB: Lokkhipur</t>
  </si>
  <si>
    <t>CDH Fouzdarhat, Chattogram</t>
  </si>
  <si>
    <t>UHC Betagi, Barguna</t>
  </si>
  <si>
    <t>UHC Kotchandpur, Jhenaidha</t>
  </si>
  <si>
    <t>UHC Fulbari, Kurigram</t>
  </si>
  <si>
    <t>UHC Atrai, Naogaon</t>
  </si>
  <si>
    <t>UHC Purbadhala, Netrokona</t>
  </si>
  <si>
    <t>UHC Nandi, Bogra</t>
  </si>
  <si>
    <t>UHC Kalai, Joypurhat</t>
  </si>
  <si>
    <t>UHC Saidpur, Nilphamari</t>
  </si>
  <si>
    <t>UHC Mirzaganj, Patuakhali</t>
  </si>
  <si>
    <t>UHC Dumki, Patuakhali</t>
  </si>
  <si>
    <t>UHC Chitalmari, Bagerhat</t>
  </si>
  <si>
    <t>UHC Charghat, Rajshahi</t>
  </si>
  <si>
    <t>UHC Taraganj, Rangpur</t>
  </si>
  <si>
    <t>UHC Gharahat, Dinajpur</t>
  </si>
  <si>
    <t>UHC Haripur, Thakurgaon</t>
  </si>
  <si>
    <t>UHC Atwari, Panchagarh</t>
  </si>
  <si>
    <t>UHC Lakhai, Habiganj</t>
  </si>
  <si>
    <t>UHC Raiganj, Sirajganj</t>
  </si>
  <si>
    <t>UHC Atghoria, Pabna</t>
  </si>
  <si>
    <t>UHC Baghatipara, Natore</t>
  </si>
  <si>
    <t>UHC Nachole, Chapainawabganj</t>
  </si>
  <si>
    <t>UHC Dhubaura, Mymensingh</t>
  </si>
  <si>
    <t>UHC Khoksha, Kushtia</t>
  </si>
  <si>
    <t>UHC Tongibari, Munshiganj</t>
  </si>
  <si>
    <t>UHC Sonargoan, Narayanganj</t>
  </si>
  <si>
    <t>UHC Palash, Narsingdi</t>
  </si>
  <si>
    <t>UHC Ghior, Manikganj</t>
  </si>
  <si>
    <t>UHC Dhanbari, Tangail</t>
  </si>
  <si>
    <t>UHC Mithamoin, Kishoreganj</t>
  </si>
  <si>
    <t>UHC Austogram, Kishoreganj</t>
  </si>
  <si>
    <t>UHC Sandip, Chattogram</t>
  </si>
  <si>
    <t>UHC Chandanaish, Chattogram</t>
  </si>
  <si>
    <t>UHC Chaygolnaya, Feni</t>
  </si>
  <si>
    <t xml:space="preserve">UHC Matlab North, Chandpur  </t>
  </si>
  <si>
    <t>UHC Borhanuddin, Bhola</t>
  </si>
  <si>
    <t>UHC Banaripara, Barisal</t>
  </si>
  <si>
    <t>UHC Brahmanpara, Comilla</t>
  </si>
  <si>
    <t>Surjer Hasi Clinic (Aftabnagar)</t>
  </si>
  <si>
    <t>Sirajganj 250 Bed Sadar Hospital</t>
  </si>
  <si>
    <t>UHC Panchagar</t>
  </si>
  <si>
    <t>DNCC,Mohakhali</t>
  </si>
  <si>
    <t>BGB Head Quarter, Pilkhana, Dhaka (BGB Hospital)</t>
  </si>
  <si>
    <t>For Xpert</t>
  </si>
  <si>
    <t>For Truenat</t>
  </si>
  <si>
    <t>No. of TruePrep Device</t>
  </si>
  <si>
    <t>Functional TruePrep Device</t>
  </si>
  <si>
    <t>No.of TrueLab Device</t>
  </si>
  <si>
    <t>Functional TrueLab Device</t>
  </si>
  <si>
    <t>Total No. of Chip Ports</t>
  </si>
  <si>
    <t>Total functional Chip Ports</t>
  </si>
  <si>
    <t>No. of Truenat Cartriage Used</t>
  </si>
  <si>
    <t>No. of Truenat MTB Chip Used</t>
  </si>
  <si>
    <t>No. of Truenat RIF Dx Chip Used</t>
  </si>
  <si>
    <t>Monthly reporting on :</t>
  </si>
  <si>
    <r>
      <t xml:space="preserve">Total
</t>
    </r>
    <r>
      <rPr>
        <b/>
        <sz val="6"/>
        <color indexed="63"/>
        <rFont val="Arial Narrow"/>
        <family val="2"/>
      </rPr>
      <t>(Column 3- Column 13)</t>
    </r>
  </si>
  <si>
    <r>
      <t xml:space="preserve">Total
</t>
    </r>
    <r>
      <rPr>
        <b/>
        <sz val="6"/>
        <color indexed="63"/>
        <rFont val="Arial Narrow"/>
        <family val="2"/>
      </rPr>
      <t>(Column 1- Column 2)</t>
    </r>
  </si>
  <si>
    <r>
      <t xml:space="preserve">Others (Specify)*                               </t>
    </r>
    <r>
      <rPr>
        <b/>
        <sz val="6.5"/>
        <color indexed="63"/>
        <rFont val="Arial Narrow"/>
        <family val="2"/>
      </rPr>
      <t>i) Pulmonary clinically diagnosed
ii) Extra Pulmonary
iii) Pulmonary bacteriologically confirmed</t>
    </r>
    <r>
      <rPr>
        <b/>
        <sz val="6"/>
        <color indexed="63"/>
        <rFont val="Arial Narrow"/>
        <family val="2"/>
      </rPr>
      <t xml:space="preserve">
</t>
    </r>
  </si>
  <si>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</si>
  <si>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 xml:space="preserve"> Nondikhila Community Clinic</t>
  </si>
  <si>
    <t xml:space="preserve"> Elenga UP 2nd Microscopy Centre</t>
  </si>
  <si>
    <t xml:space="preserve"> Kaligong Sub-Health Cente</t>
  </si>
  <si>
    <t xml:space="preserve"> Bamunia Peripharal Lab</t>
  </si>
  <si>
    <t xml:space="preserve"> Chonka Peripharal Lab</t>
  </si>
  <si>
    <t xml:space="preserve"> Ganganagar Peripharal Lab </t>
  </si>
  <si>
    <t xml:space="preserve"> Gossainbari FWC</t>
  </si>
  <si>
    <t xml:space="preserve"> Zorgacha FWC</t>
  </si>
  <si>
    <t xml:space="preserve"> Khukni Pheferipal Lab</t>
  </si>
  <si>
    <t xml:space="preserve"> Sanandabari USC (2ND LAB)</t>
  </si>
  <si>
    <t xml:space="preserve"> Chilahati P/L</t>
  </si>
  <si>
    <t xml:space="preserve"> Dalia P/L</t>
  </si>
  <si>
    <t xml:space="preserve"> Shibganj 2nd Lab</t>
  </si>
  <si>
    <t xml:space="preserve"> 31 Beded Hospital , Bagbati</t>
  </si>
  <si>
    <t xml:space="preserve"> Jharbari Peripheral Lab</t>
  </si>
  <si>
    <t xml:space="preserve"> Nindoin Community Clinic </t>
  </si>
  <si>
    <t xml:space="preserve"> Digpaith 2nd Laboratory </t>
  </si>
  <si>
    <t xml:space="preserve"> Balarhat Brac Office</t>
  </si>
  <si>
    <t xml:space="preserve"> Naowhata H &amp; FWC</t>
  </si>
  <si>
    <t xml:space="preserve"> Kamdia Health &amp; FWC </t>
  </si>
  <si>
    <t xml:space="preserve"> Kaliachapra USC</t>
  </si>
  <si>
    <t xml:space="preserve"> Kalirhat FWC</t>
  </si>
  <si>
    <t xml:space="preserve"> Khalahpir Brac Office</t>
  </si>
  <si>
    <t>PL Aowtapara UP</t>
  </si>
  <si>
    <t xml:space="preserve"> PL Handial FWC</t>
  </si>
  <si>
    <t xml:space="preserve"> Pl Natiabari RD</t>
  </si>
  <si>
    <t>Shreepur FWC PL</t>
  </si>
  <si>
    <t xml:space="preserve"> Nashratpur FWC PL</t>
  </si>
  <si>
    <t xml:space="preserve"> Karimganj UHC</t>
  </si>
  <si>
    <t xml:space="preserve"> Hossainpur UHC</t>
  </si>
  <si>
    <t xml:space="preserve"> Atpara UHC</t>
  </si>
  <si>
    <t xml:space="preserve"> Tarail UHC</t>
  </si>
  <si>
    <t xml:space="preserve"> Basail UHC</t>
  </si>
  <si>
    <t xml:space="preserve">Nandina TB clinic </t>
  </si>
  <si>
    <t xml:space="preserve"> Mirzapur Kumudini Hospital </t>
  </si>
  <si>
    <t xml:space="preserve"> UHC Delduar</t>
  </si>
  <si>
    <t xml:space="preserve"> Gauripur UHC</t>
  </si>
  <si>
    <t xml:space="preserve"> Hatkhujipur-FWC</t>
  </si>
  <si>
    <t>Name of GeneXpert/Truenat Site</t>
  </si>
  <si>
    <t xml:space="preserve">                                                                Government of the People's Republic of Bangladesh</t>
  </si>
  <si>
    <t>UHC Jamalganj, Sunamganj</t>
  </si>
  <si>
    <t>UHC Jakiganj, Sylhet</t>
  </si>
  <si>
    <t>UHC South Surma, Sylhet</t>
  </si>
  <si>
    <t>Mobial X-ray Van-5, Ramu, Cox's Bazar</t>
  </si>
  <si>
    <t>Mobial X-ray Van-6, Pekua, Cox's Bazar</t>
  </si>
  <si>
    <t>E) Number of MTB not detected (N):</t>
  </si>
  <si>
    <t>D) Number of MTB Trace detected (TT):</t>
  </si>
  <si>
    <t>MTB</t>
  </si>
  <si>
    <t>XDR</t>
  </si>
  <si>
    <t>Invalid</t>
  </si>
  <si>
    <t>No result</t>
  </si>
  <si>
    <t>Error</t>
  </si>
  <si>
    <t>Type Of Cartridge</t>
  </si>
  <si>
    <t>Eligible for XDR Testing</t>
  </si>
  <si>
    <t>Result Of MTB/XDR</t>
  </si>
  <si>
    <t>Name and address of the hospital/ treatment                initiation center            for enrollment of DR TB treatment</t>
  </si>
  <si>
    <t>eTB/ DR TB Registration Number</t>
  </si>
  <si>
    <t>INH</t>
  </si>
  <si>
    <t>FLQ</t>
  </si>
  <si>
    <t>AMK</t>
  </si>
  <si>
    <t>KAN</t>
  </si>
  <si>
    <t>CAP</t>
  </si>
  <si>
    <t>ETH</t>
  </si>
  <si>
    <t>Drug Resistant Cases by Xpert/Truenat</t>
  </si>
  <si>
    <t>Fill this format as per total DR TB detected cases during the reporting month reported in the form DR TB 10 A</t>
  </si>
  <si>
    <t xml:space="preserve">Number of total DR TB detected in the reporting month: </t>
  </si>
  <si>
    <t>Name &amp; address          of the referring unit                                                and cell number</t>
  </si>
  <si>
    <t>**Example: died(With Date), absconded/Lost to follow up, under treatment etc.</t>
  </si>
  <si>
    <t>** Current status of the patient</t>
  </si>
  <si>
    <t>Monthly Report on Truenat/Xpert Results</t>
  </si>
  <si>
    <t xml:space="preserve"> Number of MTB Trace detected (TT):</t>
  </si>
  <si>
    <t>No Result</t>
  </si>
  <si>
    <t>Type Of Sample</t>
  </si>
  <si>
    <t>Name of the RR                                                                                                                               patient</t>
  </si>
  <si>
    <t>Shaheed Ziaur Rahman Medical College &amp; Hospital, Bogra (HTC/ART Center Saheed Zia Medical College Hospital, Bogura)</t>
  </si>
  <si>
    <t xml:space="preserve">Cell Number: </t>
  </si>
  <si>
    <t>Sadar Hospital, Meherpur</t>
  </si>
  <si>
    <t>Sadar Hospital, Chuadanga</t>
  </si>
  <si>
    <t>Sheikh Fazilatunnesa Mujib Memorial Specialized Hospital &amp; Nursing College</t>
  </si>
  <si>
    <t>* Type of patient</t>
  </si>
  <si>
    <t>&lt;Dates&gt;</t>
  </si>
  <si>
    <t>&lt;#&gt;</t>
  </si>
  <si>
    <t>&lt;patientName&gt;</t>
  </si>
  <si>
    <t>&lt;patientAge&gt;</t>
  </si>
  <si>
    <t>&lt;gender&gt;</t>
  </si>
  <si>
    <t>&lt;dateOfDiagnosis&gt;</t>
  </si>
  <si>
    <t>&lt;patientAddressAndCell&gt;</t>
  </si>
  <si>
    <t>&lt;referringAddressAndCell&gt;</t>
  </si>
  <si>
    <t>&lt;tbRegistrationNumber&gt;</t>
  </si>
  <si>
    <t>&lt;resultMtbRif&gt;</t>
  </si>
  <si>
    <t>&lt;hospitalTreatmentDRTB&gt;</t>
  </si>
  <si>
    <t>&lt;enrollmentStatus&gt;</t>
  </si>
  <si>
    <t>&lt;enrollmentDate&gt;</t>
  </si>
  <si>
    <t>&lt;patientStatus&gt;</t>
  </si>
  <si>
    <t>&lt;remarks&gt;</t>
  </si>
  <si>
    <t>&lt;Table&gt;</t>
  </si>
  <si>
    <t>&lt;sampleType&gt;</t>
  </si>
  <si>
    <t>&lt;mtbDetected&gt;</t>
  </si>
  <si>
    <t>&lt;inhDetected&gt;</t>
  </si>
  <si>
    <t>&lt;flqDetected&gt;</t>
  </si>
  <si>
    <t>&lt;amkDetected&gt;</t>
  </si>
  <si>
    <t>&lt;kanDetected&gt;</t>
  </si>
  <si>
    <t>&lt;capDetected&gt;</t>
  </si>
  <si>
    <t>&lt;ethDetected&gt;</t>
  </si>
  <si>
    <t>&lt;patientType&gt;</t>
  </si>
  <si>
    <t>Bacterial Load</t>
  </si>
  <si>
    <t>&lt;bacterialLoad&gt;</t>
  </si>
  <si>
    <t>Result of Xpert/Truenat MTB/RIF/Ultra</t>
  </si>
  <si>
    <t>Number of Xpert XDR Assay</t>
  </si>
  <si>
    <t>Tested from Eligible</t>
  </si>
  <si>
    <t>No. of Total Tests</t>
  </si>
  <si>
    <t>GeneXpert (Sputum &amp; EP)</t>
  </si>
  <si>
    <t>GeneXpert (Stool)</t>
  </si>
  <si>
    <t>Site of Xpert/Truenat MTB/RIF Test</t>
  </si>
  <si>
    <t>Number Of Xpert XDR Assay From  Sputum &amp; EP 10A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</si>
</sst>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quot;$&quot;* #,##0.00_);_(&quot;$&quot;* \(#,##0.00\);_(&quot;$&quot;* &quot;-&quot;??_);_(@_)"/>
    <numFmt numFmtId="165" formatCode="dd\/mm\/yyyy"/>
    <numFmt numFmtId="166" formatCode="[$-409]General"/>
    <numFmt numFmtId="167" formatCode="[$$-409]#,##0.00;[Red]&quot;-&quot;[$$-409]#,##0.00"/>
  </numFmts>
  <fonts count="53"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8"/>
      <name val="Calibri"/>
      <family val="2"/>
      <charset val="1"/>
    </font>
    <font>
      <b/>
      <sz val="11"/>
      <color indexed="63"/>
      <name val="Arial Narrow"/>
      <family val="2"/>
    </font>
    <font>
      <b/>
      <sz val="8"/>
      <color indexed="63"/>
      <name val="Arial Narrow"/>
      <family val="2"/>
    </font>
    <font>
      <b/>
      <sz val="12"/>
      <color indexed="63"/>
      <name val="Arial Narrow"/>
      <family val="2"/>
    </font>
    <font>
      <b/>
      <sz val="10"/>
      <color indexed="63"/>
      <name val="Arial Narrow"/>
      <family val="2"/>
    </font>
    <font>
      <b/>
      <sz val="11"/>
      <color indexed="8"/>
      <name val="Arial Narrow"/>
      <family val="2"/>
    </font>
    <font>
      <sz val="11"/>
      <color theme="1"/>
      <name val="Calibri"/>
      <family val="2"/>
      <scheme val="minor"/>
    </font>
    <font>
      <b/>
      <sz val="11"/>
      <color theme="1"/>
      <name val="Arial Narrow"/>
      <family val="2"/>
    </font>
    <font>
      <b/>
      <sz val="6"/>
      <color indexed="63"/>
      <name val="Arial Narrow"/>
      <family val="2"/>
    </font>
    <font>
      <b/>
      <sz val="7"/>
      <color indexed="63"/>
      <name val="Arial Narrow"/>
      <family val="2"/>
    </font>
    <font>
      <b/>
      <sz val="8"/>
      <color theme="1"/>
      <name val="Arial Narrow"/>
      <family val="2"/>
    </font>
    <font>
      <b/>
      <sz val="9"/>
      <color indexed="63"/>
      <name val="Arial Narrow"/>
      <family val="2"/>
    </font>
    <font>
      <b/>
      <sz val="6"/>
      <color indexed="8"/>
      <name val="Arial Narrow"/>
      <family val="2"/>
    </font>
    <font>
      <b/>
      <sz val="12"/>
      <color indexed="8"/>
      <name val="Arial Narrow"/>
      <family val="2"/>
    </font>
    <font>
      <b/>
      <sz val="10"/>
      <color indexed="8"/>
      <name val="Arial Narrow"/>
      <family val="2"/>
    </font>
    <font>
      <b/>
      <sz val="10"/>
      <color theme="1"/>
      <name val="Arial Narrow"/>
      <family val="2"/>
    </font>
    <font>
      <sz val="11"/>
      <color rgb="FF000000"/>
      <name val="Calibri"/>
      <family val="2"/>
    </font>
    <font>
      <b/>
      <sz val="10"/>
      <color indexed="8"/>
      <name val="Arial"/>
      <family val="2"/>
    </font>
    <font>
      <b/>
      <sz val="10"/>
      <color indexed="8"/>
      <name val="Calibri"/>
      <family val="2"/>
    </font>
    <font>
      <b/>
      <sz val="11"/>
      <color rgb="FF000000"/>
      <name val="Calibri"/>
      <family val="2"/>
    </font>
    <font>
      <b/>
      <sz val="10"/>
      <name val="Arial Narrow"/>
      <family val="2"/>
    </font>
    <font>
      <b/>
      <sz val="11"/>
      <name val="Arial Narrow"/>
      <family val="2"/>
    </font>
    <font>
      <b/>
      <sz val="11"/>
      <color theme="1"/>
      <name val="Calibri"/>
      <family val="2"/>
      <scheme val="minor"/>
    </font>
    <font>
      <b/>
      <sz val="11"/>
      <color theme="1"/>
      <name val="Arial"/>
      <family val="2"/>
    </font>
    <font>
      <sz val="11"/>
      <color theme="1"/>
      <name val="Arial"/>
      <family val="2"/>
    </font>
    <font>
      <sz val="11"/>
      <color theme="1"/>
      <name val="Calibri"/>
      <family val="2"/>
      <charset val="1"/>
      <scheme val="minor"/>
    </font>
    <font>
      <b/>
      <i/>
      <sz val="16"/>
      <color theme="1"/>
      <name val="Arial"/>
      <family val="2"/>
    </font>
    <font>
      <b/>
      <i/>
      <u/>
      <sz val="11"/>
      <color theme="1"/>
      <name val="Arial"/>
      <family val="2"/>
    </font>
    <font>
      <b/>
      <sz val="12"/>
      <color theme="1"/>
      <name val="Arial Narrow"/>
      <family val="2"/>
    </font>
    <font>
      <b/>
      <sz val="14"/>
      <color indexed="63"/>
      <name val="Arial Narrow"/>
      <family val="2"/>
    </font>
    <font>
      <b/>
      <sz val="13"/>
      <color theme="1"/>
      <name val="Arial Narrow"/>
      <family val="2"/>
    </font>
    <font>
      <b/>
      <sz val="13"/>
      <color indexed="8"/>
      <name val="Arial Narrow"/>
      <family val="2"/>
    </font>
    <font>
      <b/>
      <sz val="11"/>
      <name val="Calibri"/>
      <family val="2"/>
      <scheme val="minor"/>
    </font>
    <font>
      <b/>
      <sz val="6.5"/>
      <color indexed="63"/>
      <name val="Arial Narrow"/>
      <family val="2"/>
    </font>
    <font>
      <b/>
      <sz val="7"/>
      <color theme="1"/>
      <name val="Arial Narrow"/>
      <family val="2"/>
    </font>
    <font>
      <b/>
      <sz val="11"/>
      <color theme="1"/>
      <name val="Calibri"/>
      <family val="2"/>
      <charset val="1"/>
      <scheme val="minor"/>
    </font>
    <font>
      <b/>
      <sz val="12"/>
      <color indexed="8"/>
      <name val="Arial"/>
      <family val="2"/>
    </font>
    <font>
      <b/>
      <sz val="11"/>
      <color indexed="8"/>
      <name val="Symbol"/>
      <family val="1"/>
      <charset val="2"/>
    </font>
    <font>
      <b/>
      <sz val="13"/>
      <color indexed="63"/>
      <name val="Arial Narrow"/>
      <family val="2"/>
    </font>
    <font>
      <b/>
      <sz val="11"/>
      <color indexed="8"/>
      <name val="Times New Roman"/>
      <family val="1"/>
    </font>
    <font>
      <b/>
      <sz val="9"/>
      <color indexed="8"/>
      <name val="Arial Narrow"/>
      <family val="2"/>
    </font>
    <font>
      <sz val="10"/>
      <color theme="1"/>
      <name val="Arial Narrow"/>
      <family val="2"/>
    </font>
    <font>
      <sz val="11"/>
      <color theme="1"/>
      <name val="Arial Narrow"/>
      <family val="2"/>
    </font>
    <font>
      <sz val="11"/>
      <name val="Calibri"/>
      <family val="2"/>
    </font>
    <font>
      <sz val="9"/>
      <name val="Calibri"/>
      <family val="2"/>
      <scheme val="minor"/>
    </font>
    <font>
      <sz val="11"/>
      <color theme="1"/>
      <name val="Calibri"/>
      <family val="2"/>
    </font>
    <font>
      <b/>
      <sz val="9"/>
      <color theme="1"/>
      <name val="Arial Narrow"/>
      <family val="2"/>
    </font>
    <font>
      <sz val="9"/>
      <color theme="1"/>
      <name val="Calibri"/>
      <family val="2"/>
      <charset val="1"/>
      <scheme val="minor"/>
    </font>
    <font>
      <b/>
      <sz val="10"/>
      <color theme="1"/>
      <name val="Arial"/>
      <family val="2"/>
    </font>
  </fonts>
  <fills count="12">
    <fill>
      <patternFill patternType="none"/>
    </fill>
    <fill>
      <patternFill patternType="gray125"/>
    </fill>
    <fill>
      <patternFill patternType="solid">
        <fgColor theme="1" tint="0.499984740745262"/>
        <bgColor indexed="64"/>
      </patternFill>
    </fill>
    <fill>
      <patternFill patternType="solid">
        <fgColor rgb="FFFFFFCC"/>
        <bgColor indexed="64"/>
      </patternFill>
    </fill>
    <fill>
      <patternFill patternType="solid">
        <fgColor theme="0"/>
        <bgColor indexed="64"/>
      </patternFill>
    </fill>
    <fill>
      <patternFill patternType="solid">
        <fgColor rgb="FFFFFF00"/>
        <bgColor indexed="64"/>
      </patternFill>
    </fill>
    <fill>
      <patternFill patternType="solid">
        <fgColor theme="8" tint="0.59999389629810485"/>
        <bgColor indexed="64"/>
      </patternFill>
    </fill>
    <fill>
      <patternFill patternType="solid">
        <fgColor theme="0" tint="-0.249977111117893"/>
        <bgColor indexed="64"/>
      </patternFill>
    </fill>
    <fill>
      <patternFill patternType="solid">
        <fgColor rgb="FF00B0F0"/>
        <bgColor indexed="64"/>
      </patternFill>
    </fill>
    <fill>
      <patternFill patternType="solid">
        <fgColor theme="5" tint="0.39997558519241921"/>
        <bgColor indexed="64"/>
      </patternFill>
    </fill>
    <fill>
      <patternFill patternType="solid">
        <fgColor theme="5"/>
        <bgColor indexed="64"/>
      </patternFill>
    </fill>
    <fill>
      <patternFill patternType="solid">
        <fgColor theme="9" tint="0.39997558519241921"/>
        <bgColor indexed="64"/>
      </patternFill>
    </fill>
  </fills>
  <borders count="7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dashed">
        <color indexed="64"/>
      </left>
      <right style="thin">
        <color indexed="64"/>
      </right>
      <top style="dashed">
        <color indexed="64"/>
      </top>
      <bottom style="dashed">
        <color indexed="64"/>
      </bottom>
      <diagonal/>
    </border>
    <border>
      <left style="dashed">
        <color indexed="64"/>
      </left>
      <right style="thin">
        <color indexed="64"/>
      </right>
      <top style="dashed">
        <color indexed="64"/>
      </top>
      <bottom style="medium">
        <color indexed="64"/>
      </bottom>
      <diagonal/>
    </border>
    <border>
      <left/>
      <right/>
      <top style="dashed">
        <color indexed="64"/>
      </top>
      <bottom style="dashed">
        <color indexed="64"/>
      </bottom>
      <diagonal/>
    </border>
    <border>
      <left/>
      <right/>
      <top/>
      <bottom style="dashed">
        <color indexed="64"/>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dashed">
        <color indexed="64"/>
      </right>
      <top style="dashed">
        <color indexed="64"/>
      </top>
      <bottom style="dashed">
        <color indexed="64"/>
      </bottom>
      <diagonal/>
    </border>
    <border>
      <left style="dashed">
        <color indexed="64"/>
      </left>
      <right style="dashed">
        <color indexed="64"/>
      </right>
      <top style="dashed">
        <color indexed="64"/>
      </top>
      <bottom style="dashed">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dashed">
        <color indexed="64"/>
      </right>
      <top style="dashed">
        <color indexed="64"/>
      </top>
      <bottom style="medium">
        <color indexed="64"/>
      </bottom>
      <diagonal/>
    </border>
    <border>
      <left style="dashed">
        <color indexed="64"/>
      </left>
      <right style="dashed">
        <color indexed="64"/>
      </right>
      <top style="dashed">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style="medium">
        <color indexed="64"/>
      </top>
      <bottom/>
      <diagonal/>
    </border>
    <border>
      <left style="thin">
        <color indexed="64"/>
      </left>
      <right/>
      <top style="thin">
        <color indexed="64"/>
      </top>
      <bottom style="medium">
        <color indexed="64"/>
      </bottom>
      <diagonal/>
    </border>
    <border>
      <left/>
      <right/>
      <top/>
      <bottom style="dotted">
        <color auto="1"/>
      </bottom>
      <diagonal/>
    </border>
    <border>
      <left/>
      <right/>
      <top style="dotted">
        <color auto="1"/>
      </top>
      <bottom/>
      <diagonal/>
    </border>
    <border>
      <left/>
      <right/>
      <top style="dotted">
        <color auto="1"/>
      </top>
      <bottom style="dotted">
        <color auto="1"/>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dashed">
        <color indexed="64"/>
      </right>
      <top style="medium">
        <color indexed="64"/>
      </top>
      <bottom style="dashed">
        <color indexed="64"/>
      </bottom>
      <diagonal/>
    </border>
    <border>
      <left style="dashed">
        <color indexed="64"/>
      </left>
      <right style="dashed">
        <color indexed="64"/>
      </right>
      <top style="medium">
        <color indexed="64"/>
      </top>
      <bottom style="dashed">
        <color indexed="64"/>
      </bottom>
      <diagonal/>
    </border>
    <border>
      <left style="dashed">
        <color indexed="64"/>
      </left>
      <right style="thin">
        <color indexed="64"/>
      </right>
      <top style="medium">
        <color indexed="64"/>
      </top>
      <bottom style="dashed">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diagonal/>
    </border>
    <border>
      <left style="thin">
        <color indexed="64"/>
      </left>
      <right/>
      <top/>
      <bottom style="thin">
        <color indexed="64"/>
      </bottom>
      <diagonal/>
    </border>
  </borders>
  <cellStyleXfs count="27">
    <xf numFmtId="0" fontId="0" fillId="0" borderId="0"/>
    <xf numFmtId="0" fontId="10" fillId="0" borderId="0"/>
    <xf numFmtId="0" fontId="20" fillId="0" borderId="0"/>
    <xf numFmtId="0" fontId="3" fillId="0" borderId="0"/>
    <xf numFmtId="0" fontId="29" fillId="0" borderId="0"/>
    <xf numFmtId="0" fontId="28" fillId="0" borderId="0"/>
    <xf numFmtId="166" fontId="20" fillId="0" borderId="0"/>
    <xf numFmtId="0" fontId="30" fillId="0" borderId="0">
      <alignment horizontal="center"/>
    </xf>
    <xf numFmtId="0" fontId="30" fillId="0" borderId="0">
      <alignment horizontal="center" textRotation="90"/>
    </xf>
    <xf numFmtId="0" fontId="3" fillId="0" borderId="0"/>
    <xf numFmtId="166" fontId="20" fillId="0" borderId="0"/>
    <xf numFmtId="166" fontId="20" fillId="0" borderId="0"/>
    <xf numFmtId="0" fontId="28" fillId="0" borderId="0"/>
    <xf numFmtId="0" fontId="31" fillId="0" borderId="0"/>
    <xf numFmtId="167" fontId="31" fillId="0" borderId="0"/>
    <xf numFmtId="0" fontId="2" fillId="0" borderId="0"/>
    <xf numFmtId="0" fontId="2" fillId="0" borderId="0"/>
    <xf numFmtId="0" fontId="2" fillId="0" borderId="0"/>
    <xf numFmtId="0" fontId="1"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cellStyleXfs>
  <cellXfs count="404">
    <xf numFmtId="0" fontId="0" fillId="0" borderId="0" xfId="0"/>
    <xf numFmtId="0" fontId="5" fillId="0" borderId="0" xfId="0" applyFont="1" applyAlignment="1" applyProtection="1">
      <alignment vertical="center"/>
      <protection hidden="1"/>
    </xf>
    <xf numFmtId="0" fontId="7" fillId="0" borderId="0" xfId="0" applyFont="1" applyAlignment="1" applyProtection="1">
      <alignment vertical="center"/>
      <protection hidden="1"/>
    </xf>
    <xf numFmtId="0" fontId="8" fillId="0" borderId="4" xfId="0" applyFont="1" applyBorder="1" applyAlignment="1" applyProtection="1">
      <alignment horizontal="left" vertical="center"/>
      <protection hidden="1"/>
    </xf>
    <xf numFmtId="0" fontId="15" fillId="0" borderId="41" xfId="0" applyFont="1" applyBorder="1" applyAlignment="1" applyProtection="1">
      <alignment horizontal="center" vertical="center" wrapText="1"/>
      <protection hidden="1"/>
    </xf>
    <xf numFmtId="0" fontId="12" fillId="0" borderId="21" xfId="0" applyFont="1" applyBorder="1" applyAlignment="1" applyProtection="1">
      <alignment horizontal="center" vertical="center" wrapText="1"/>
      <protection hidden="1"/>
    </xf>
    <xf numFmtId="0" fontId="8" fillId="0" borderId="9" xfId="0" applyFont="1" applyBorder="1" applyAlignment="1" applyProtection="1">
      <alignment horizontal="center" vertical="center"/>
      <protection locked="0"/>
    </xf>
    <xf numFmtId="0" fontId="16" fillId="0" borderId="22" xfId="0" applyFont="1" applyBorder="1" applyAlignment="1" applyProtection="1">
      <alignment horizontal="center" vertical="center"/>
      <protection hidden="1"/>
    </xf>
    <xf numFmtId="0" fontId="19" fillId="0" borderId="9" xfId="0" applyFont="1" applyBorder="1" applyAlignment="1" applyProtection="1">
      <alignment horizontal="center" vertical="center"/>
      <protection locked="0"/>
    </xf>
    <xf numFmtId="165" fontId="5" fillId="0" borderId="57" xfId="0" applyNumberFormat="1" applyFont="1" applyBorder="1" applyAlignment="1" applyProtection="1">
      <alignment horizontal="center" vertical="center"/>
      <protection hidden="1"/>
    </xf>
    <xf numFmtId="0" fontId="9" fillId="3" borderId="22" xfId="0" applyFont="1" applyFill="1" applyBorder="1" applyAlignment="1">
      <alignment horizontal="center" vertical="center"/>
    </xf>
    <xf numFmtId="0" fontId="9" fillId="3" borderId="11" xfId="0" applyFont="1" applyFill="1" applyBorder="1" applyAlignment="1">
      <alignment horizontal="center" vertical="center"/>
    </xf>
    <xf numFmtId="0" fontId="17" fillId="3" borderId="13" xfId="0" applyFont="1" applyFill="1" applyBorder="1" applyAlignment="1">
      <alignment horizontal="center" vertical="center"/>
    </xf>
    <xf numFmtId="0" fontId="18" fillId="3" borderId="9" xfId="0" applyFont="1" applyFill="1" applyBorder="1" applyAlignment="1">
      <alignment horizontal="center" vertical="center"/>
    </xf>
    <xf numFmtId="0" fontId="17" fillId="3" borderId="11" xfId="0" applyFont="1" applyFill="1" applyBorder="1" applyAlignment="1">
      <alignment horizontal="center" vertical="center"/>
    </xf>
    <xf numFmtId="0" fontId="8" fillId="3" borderId="9" xfId="0" applyFont="1" applyFill="1" applyBorder="1" applyAlignment="1">
      <alignment horizontal="center" vertical="center"/>
    </xf>
    <xf numFmtId="0" fontId="19" fillId="3" borderId="9" xfId="0" applyFont="1" applyFill="1" applyBorder="1" applyAlignment="1">
      <alignment horizontal="center" vertical="center"/>
    </xf>
    <xf numFmtId="0" fontId="8" fillId="3" borderId="12" xfId="0" applyFont="1" applyFill="1" applyBorder="1" applyAlignment="1">
      <alignment horizontal="center" vertical="center"/>
    </xf>
    <xf numFmtId="0" fontId="19" fillId="3" borderId="12" xfId="0" applyFont="1" applyFill="1" applyBorder="1" applyAlignment="1">
      <alignment horizontal="center" vertical="center"/>
    </xf>
    <xf numFmtId="0" fontId="15" fillId="0" borderId="0" xfId="2" applyFont="1" applyProtection="1">
      <protection hidden="1"/>
    </xf>
    <xf numFmtId="0" fontId="23" fillId="0" borderId="0" xfId="2" applyFont="1" applyAlignment="1" applyProtection="1">
      <alignment horizontal="left"/>
      <protection hidden="1"/>
    </xf>
    <xf numFmtId="0" fontId="14" fillId="0" borderId="10" xfId="0" applyFont="1" applyBorder="1" applyAlignment="1" applyProtection="1">
      <alignment horizontal="center" vertical="center" wrapText="1"/>
      <protection hidden="1"/>
    </xf>
    <xf numFmtId="165" fontId="7" fillId="0" borderId="57" xfId="0" applyNumberFormat="1" applyFont="1" applyBorder="1" applyAlignment="1" applyProtection="1">
      <alignment horizontal="center" vertical="center"/>
      <protection hidden="1"/>
    </xf>
    <xf numFmtId="0" fontId="32" fillId="0" borderId="0" xfId="0" applyFont="1" applyAlignment="1" applyProtection="1">
      <alignment horizontal="center" vertical="center"/>
      <protection hidden="1"/>
    </xf>
    <xf numFmtId="0" fontId="5" fillId="0" borderId="0" xfId="0" applyFont="1" applyAlignment="1" applyProtection="1">
      <alignment vertical="center" wrapText="1"/>
      <protection hidden="1"/>
    </xf>
    <xf numFmtId="0" fontId="32" fillId="0" borderId="0" xfId="0" applyFont="1" applyAlignment="1" applyProtection="1">
      <alignment vertical="center"/>
      <protection hidden="1"/>
    </xf>
    <xf numFmtId="0" fontId="32" fillId="0" borderId="0" xfId="0" applyFont="1" applyAlignment="1" applyProtection="1">
      <alignment vertical="center" wrapText="1"/>
      <protection hidden="1"/>
    </xf>
    <xf numFmtId="49" fontId="17" fillId="0" borderId="0" xfId="0" applyNumberFormat="1" applyFont="1" applyAlignment="1" applyProtection="1">
      <alignment horizontal="left" shrinkToFit="1"/>
      <protection hidden="1"/>
    </xf>
    <xf numFmtId="0" fontId="32" fillId="0" borderId="56" xfId="0" applyFont="1" applyBorder="1" applyAlignment="1" applyProtection="1">
      <alignment horizontal="center" shrinkToFit="1"/>
      <protection hidden="1"/>
    </xf>
    <xf numFmtId="0" fontId="21" fillId="5" borderId="9" xfId="2" applyFont="1" applyFill="1" applyBorder="1" applyAlignment="1" applyProtection="1">
      <alignment horizontal="center" vertical="center" wrapText="1"/>
      <protection hidden="1"/>
    </xf>
    <xf numFmtId="0" fontId="36" fillId="0" borderId="9" xfId="18" applyFont="1" applyBorder="1"/>
    <xf numFmtId="0" fontId="11" fillId="0" borderId="0" xfId="0" applyFont="1" applyAlignment="1" applyProtection="1">
      <alignment horizontal="center" vertical="center"/>
      <protection hidden="1"/>
    </xf>
    <xf numFmtId="0" fontId="7" fillId="0" borderId="0" xfId="0" applyFont="1" applyAlignment="1" applyProtection="1">
      <alignment horizontal="center" vertical="center" wrapText="1"/>
      <protection hidden="1"/>
    </xf>
    <xf numFmtId="0" fontId="17" fillId="0" borderId="0" xfId="0" applyFont="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7" fillId="4" borderId="0" xfId="0" applyFont="1" applyFill="1" applyAlignment="1" applyProtection="1">
      <alignment vertical="center"/>
      <protection hidden="1"/>
    </xf>
    <xf numFmtId="0" fontId="11" fillId="4" borderId="0" xfId="0" applyFont="1" applyFill="1" applyProtection="1">
      <protection hidden="1"/>
    </xf>
    <xf numFmtId="0" fontId="11" fillId="0" borderId="0" xfId="0" applyFont="1" applyProtection="1">
      <protection hidden="1"/>
    </xf>
    <xf numFmtId="0" fontId="5" fillId="4" borderId="0" xfId="0" applyFont="1" applyFill="1" applyAlignment="1" applyProtection="1">
      <alignment vertical="center"/>
      <protection hidden="1"/>
    </xf>
    <xf numFmtId="0" fontId="5" fillId="0" borderId="0" xfId="0" applyFont="1" applyAlignment="1" applyProtection="1">
      <alignment horizontal="center" vertical="center"/>
      <protection hidden="1"/>
    </xf>
    <xf numFmtId="0" fontId="8" fillId="0" borderId="0" xfId="0" applyFont="1" applyAlignment="1" applyProtection="1">
      <alignment vertical="center"/>
      <protection hidden="1"/>
    </xf>
    <xf numFmtId="0" fontId="19" fillId="0" borderId="0" xfId="0" applyFont="1" applyAlignment="1" applyProtection="1">
      <alignment vertical="center"/>
      <protection hidden="1"/>
    </xf>
    <xf numFmtId="0" fontId="5" fillId="0" borderId="0" xfId="0" applyFont="1" applyAlignment="1" applyProtection="1">
      <alignment horizontal="left" vertical="center"/>
      <protection hidden="1"/>
    </xf>
    <xf numFmtId="0" fontId="8" fillId="0" borderId="0" xfId="0" applyFont="1" applyAlignment="1" applyProtection="1">
      <alignment horizontal="left" vertical="center"/>
      <protection hidden="1"/>
    </xf>
    <xf numFmtId="0" fontId="8" fillId="0" borderId="57" xfId="0" applyFont="1" applyBorder="1" applyAlignment="1" applyProtection="1">
      <alignment vertical="center"/>
      <protection hidden="1"/>
    </xf>
    <xf numFmtId="0" fontId="8" fillId="0" borderId="0" xfId="0" applyFont="1" applyProtection="1">
      <protection hidden="1"/>
    </xf>
    <xf numFmtId="0" fontId="18" fillId="0" borderId="0" xfId="0" applyFont="1" applyProtection="1">
      <protection hidden="1"/>
    </xf>
    <xf numFmtId="0" fontId="8" fillId="0" borderId="0" xfId="0" applyFont="1" applyAlignment="1" applyProtection="1">
      <alignment horizontal="left"/>
      <protection hidden="1"/>
    </xf>
    <xf numFmtId="0" fontId="18" fillId="4" borderId="0" xfId="0" applyFont="1" applyFill="1" applyProtection="1">
      <protection hidden="1"/>
    </xf>
    <xf numFmtId="0" fontId="18" fillId="0" borderId="34" xfId="0" applyFont="1" applyBorder="1" applyProtection="1">
      <protection hidden="1"/>
    </xf>
    <xf numFmtId="0" fontId="18" fillId="0" borderId="9" xfId="0" applyFont="1" applyBorder="1" applyAlignment="1" applyProtection="1">
      <alignment horizontal="center" vertical="center"/>
      <protection locked="0"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8" fillId="0" borderId="2" xfId="0" applyFont="1" applyBorder="1" applyProtection="1">
      <protection hidden="1"/>
    </xf>
    <xf numFmtId="0" fontId="18" fillId="0" borderId="3" xfId="0" applyFont="1" applyBorder="1" applyProtection="1">
      <protection hidden="1"/>
    </xf>
    <xf numFmtId="0" fontId="18" fillId="0" borderId="7" xfId="0" applyFont="1" applyBorder="1" applyProtection="1">
      <protection hidden="1"/>
    </xf>
    <xf numFmtId="0" fontId="18" fillId="0" borderId="8" xfId="0" applyFont="1" applyBorder="1" applyProtection="1">
      <protection hidden="1"/>
    </xf>
    <xf numFmtId="0" fontId="8" fillId="0" borderId="6" xfId="0" applyFont="1" applyBorder="1" applyAlignment="1" applyProtection="1">
      <alignment horizontal="left"/>
      <protection hidden="1"/>
    </xf>
    <xf numFmtId="0" fontId="8" fillId="0" borderId="7" xfId="0" applyFont="1" applyBorder="1" applyAlignment="1" applyProtection="1">
      <alignment horizontal="left"/>
      <protection hidden="1"/>
    </xf>
    <xf numFmtId="0" fontId="11" fillId="0" borderId="7" xfId="0" applyFont="1" applyBorder="1" applyProtection="1">
      <protection hidden="1"/>
    </xf>
    <xf numFmtId="0" fontId="13" fillId="0" borderId="0" xfId="0" applyFont="1" applyProtection="1">
      <protection hidden="1"/>
    </xf>
    <xf numFmtId="0" fontId="13" fillId="0" borderId="10"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23"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8" fillId="0" borderId="67" xfId="0" applyFont="1" applyBorder="1" applyAlignment="1" applyProtection="1">
      <alignment horizontal="center" vertical="center" wrapText="1"/>
      <protection locked="0"/>
    </xf>
    <xf numFmtId="0" fontId="8" fillId="0" borderId="14" xfId="0" applyFont="1" applyBorder="1" applyAlignment="1" applyProtection="1">
      <alignment horizontal="center" vertical="center" wrapText="1"/>
      <protection locked="0"/>
    </xf>
    <xf numFmtId="0" fontId="8" fillId="0" borderId="15" xfId="0" applyFont="1" applyBorder="1" applyAlignment="1" applyProtection="1">
      <alignment horizontal="center" vertical="center" wrapText="1"/>
      <protection locked="0"/>
    </xf>
    <xf numFmtId="0" fontId="11" fillId="0" borderId="0" xfId="0" applyFont="1" applyAlignment="1" applyProtection="1">
      <alignment vertical="center"/>
      <protection hidden="1"/>
    </xf>
    <xf numFmtId="0" fontId="14" fillId="0" borderId="10" xfId="0" applyFont="1" applyBorder="1" applyAlignment="1" applyProtection="1">
      <alignmen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9" fillId="0" borderId="9" xfId="0" applyFont="1" applyBorder="1" applyAlignment="1" applyProtection="1">
      <alignment horizontal="center" vertical="center" shrinkToFit="1"/>
      <protection locked="0"/>
    </xf>
    <xf numFmtId="0" fontId="19" fillId="0" borderId="11" xfId="0" applyFont="1" applyBorder="1" applyAlignment="1" applyProtection="1">
      <alignment horizontal="center" vertical="center" shrinkToFit="1"/>
      <protection locked="0"/>
    </xf>
    <xf numFmtId="0" fontId="19" fillId="0" borderId="12" xfId="0" applyFont="1" applyBorder="1" applyAlignment="1" applyProtection="1">
      <alignment horizontal="center" vertical="center" shrinkToFit="1"/>
      <protection locked="0"/>
    </xf>
    <xf numFmtId="0" fontId="19" fillId="2" borderId="12" xfId="0" applyFont="1" applyFill="1" applyBorder="1" applyAlignment="1" applyProtection="1">
      <alignment horizontal="center" vertical="center" shrinkToFit="1"/>
      <protection hidden="1"/>
    </xf>
    <xf numFmtId="0" fontId="19" fillId="2" borderId="13" xfId="0" applyFont="1" applyFill="1" applyBorder="1" applyAlignment="1" applyProtection="1">
      <alignment horizontal="center" vertical="center" shrinkToFit="1"/>
      <protection hidden="1"/>
    </xf>
    <xf numFmtId="0" fontId="38" fillId="0" borderId="0" xfId="0" applyFont="1" applyProtection="1">
      <protection hidden="1"/>
    </xf>
    <xf numFmtId="0" fontId="14" fillId="0" borderId="0" xfId="0" applyFont="1" applyProtection="1">
      <protection hidden="1"/>
    </xf>
    <xf numFmtId="0" fontId="14" fillId="4" borderId="0" xfId="0" applyFont="1" applyFill="1" applyProtection="1">
      <protection hidden="1"/>
    </xf>
    <xf numFmtId="0" fontId="14" fillId="0" borderId="0" xfId="0" applyFont="1" applyAlignment="1" applyProtection="1">
      <alignment horizontal="center" vertical="center" wrapText="1"/>
      <protection hidden="1"/>
    </xf>
    <xf numFmtId="0" fontId="14" fillId="0" borderId="0" xfId="0" applyFont="1" applyAlignment="1" applyProtection="1">
      <alignment horizontal="right"/>
      <protection hidden="1"/>
    </xf>
    <xf numFmtId="0" fontId="11" fillId="0" borderId="9" xfId="0" applyFont="1" applyBorder="1" applyProtection="1">
      <protection hidden="1"/>
    </xf>
    <xf numFmtId="0" fontId="19" fillId="0" borderId="9" xfId="0" applyFont="1" applyBorder="1" applyProtection="1">
      <protection hidden="1"/>
    </xf>
    <xf numFmtId="0" fontId="39" fillId="0" borderId="9" xfId="0" applyFont="1" applyBorder="1"/>
    <xf numFmtId="0" fontId="39" fillId="0" borderId="9" xfId="0" applyFont="1" applyBorder="1" applyProtection="1">
      <protection hidden="1"/>
    </xf>
    <xf numFmtId="0" fontId="24" fillId="0" borderId="9" xfId="0" applyFont="1" applyBorder="1" applyProtection="1">
      <protection hidden="1"/>
    </xf>
    <xf numFmtId="0" fontId="39" fillId="0" borderId="9" xfId="0" applyFont="1" applyBorder="1" applyAlignment="1">
      <alignment vertical="center"/>
    </xf>
    <xf numFmtId="0" fontId="39" fillId="6" borderId="9" xfId="0" applyFont="1" applyFill="1" applyBorder="1" applyAlignment="1">
      <alignment vertical="center"/>
    </xf>
    <xf numFmtId="0" fontId="25" fillId="0" borderId="9" xfId="0" applyFont="1" applyBorder="1" applyProtection="1">
      <protection hidden="1"/>
    </xf>
    <xf numFmtId="0" fontId="40" fillId="0" borderId="0" xfId="2" applyFont="1" applyProtection="1">
      <protection hidden="1"/>
    </xf>
    <xf numFmtId="0" fontId="23" fillId="0" borderId="0" xfId="2" applyFont="1" applyProtection="1">
      <protection hidden="1"/>
    </xf>
    <xf numFmtId="0" fontId="21" fillId="0" borderId="0" xfId="2" applyFont="1" applyProtection="1">
      <protection hidden="1"/>
    </xf>
    <xf numFmtId="0" fontId="21" fillId="0" borderId="0" xfId="2" applyFont="1" applyAlignment="1" applyProtection="1">
      <alignment vertical="center"/>
      <protection hidden="1"/>
    </xf>
    <xf numFmtId="0" fontId="23" fillId="0" borderId="0" xfId="2" applyFont="1" applyAlignment="1" applyProtection="1">
      <alignment horizontal="right"/>
      <protection hidden="1"/>
    </xf>
    <xf numFmtId="0" fontId="18" fillId="0" borderId="0" xfId="2" applyFont="1" applyProtection="1">
      <protection hidden="1"/>
    </xf>
    <xf numFmtId="0" fontId="23" fillId="0" borderId="0" xfId="2" applyFont="1" applyAlignment="1" applyProtection="1">
      <alignment vertical="top"/>
      <protection locked="0"/>
    </xf>
    <xf numFmtId="0" fontId="41" fillId="0" borderId="0" xfId="2" applyFont="1" applyProtection="1">
      <protection hidden="1"/>
    </xf>
    <xf numFmtId="0" fontId="8" fillId="0" borderId="0" xfId="2" applyFont="1" applyAlignment="1" applyProtection="1">
      <alignment vertical="center"/>
      <protection hidden="1"/>
    </xf>
    <xf numFmtId="0" fontId="33" fillId="0" borderId="0" xfId="0" applyFont="1" applyAlignment="1" applyProtection="1">
      <alignment vertical="center"/>
      <protection hidden="1"/>
    </xf>
    <xf numFmtId="0" fontId="39" fillId="0" borderId="0" xfId="0" applyFont="1" applyProtection="1">
      <protection hidden="1"/>
    </xf>
    <xf numFmtId="0" fontId="39" fillId="0" borderId="0" xfId="0" applyFont="1"/>
    <xf numFmtId="0" fontId="7" fillId="0" borderId="0" xfId="0" applyFont="1" applyAlignment="1" applyProtection="1">
      <alignment horizontal="left" vertical="center"/>
      <protection hidden="1"/>
    </xf>
    <xf numFmtId="0" fontId="7" fillId="0" borderId="57" xfId="0" applyFont="1" applyBorder="1" applyAlignment="1" applyProtection="1">
      <alignment vertical="center"/>
      <protection hidden="1"/>
    </xf>
    <xf numFmtId="0" fontId="7" fillId="0" borderId="0" xfId="0" applyFont="1" applyProtection="1">
      <protection hidden="1"/>
    </xf>
    <xf numFmtId="0" fontId="17" fillId="0" borderId="0" xfId="0" applyFont="1" applyProtection="1">
      <protection hidden="1"/>
    </xf>
    <xf numFmtId="0" fontId="32" fillId="0" borderId="0" xfId="0" applyFont="1" applyProtection="1">
      <protection hidden="1"/>
    </xf>
    <xf numFmtId="0" fontId="7" fillId="0" borderId="0" xfId="0" applyFont="1" applyAlignment="1" applyProtection="1">
      <alignment horizontal="left" shrinkToFit="1"/>
      <protection hidden="1"/>
    </xf>
    <xf numFmtId="0" fontId="9" fillId="0" borderId="29" xfId="0" applyFont="1" applyBorder="1" applyAlignment="1" applyProtection="1">
      <alignment horizontal="center" vertical="center" shrinkToFit="1"/>
      <protection locked="0" hidden="1"/>
    </xf>
    <xf numFmtId="0" fontId="9" fillId="0" borderId="12" xfId="0" applyFont="1" applyBorder="1" applyAlignment="1" applyProtection="1">
      <alignment horizontal="center" vertical="center" shrinkToFit="1"/>
      <protection locked="0" hidden="1"/>
    </xf>
    <xf numFmtId="0" fontId="9" fillId="0" borderId="55" xfId="0" applyFont="1" applyBorder="1" applyAlignment="1" applyProtection="1">
      <alignment horizontal="center" vertical="center" shrinkToFit="1"/>
      <protection locked="0" hidden="1"/>
    </xf>
    <xf numFmtId="0" fontId="7" fillId="0" borderId="0" xfId="0" applyFont="1" applyAlignment="1" applyProtection="1">
      <alignment horizontal="left"/>
      <protection hidden="1"/>
    </xf>
    <xf numFmtId="0" fontId="7" fillId="0" borderId="4" xfId="0" applyFont="1" applyBorder="1" applyAlignment="1" applyProtection="1">
      <alignment horizontal="left"/>
      <protection hidden="1"/>
    </xf>
    <xf numFmtId="0" fontId="17" fillId="0" borderId="5" xfId="0" applyFont="1" applyBorder="1" applyProtection="1">
      <protection hidden="1"/>
    </xf>
    <xf numFmtId="0" fontId="32" fillId="0" borderId="0" xfId="0" applyFont="1" applyAlignment="1" applyProtection="1">
      <alignment horizontal="center" vertical="center" wrapText="1"/>
      <protection hidden="1"/>
    </xf>
    <xf numFmtId="0" fontId="32" fillId="0" borderId="0" xfId="0" applyFont="1" applyAlignment="1" applyProtection="1">
      <alignment horizontal="right"/>
      <protection hidden="1"/>
    </xf>
    <xf numFmtId="0" fontId="37"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vertical="center"/>
      <protection hidden="1"/>
    </xf>
    <xf numFmtId="0" fontId="6" fillId="0" borderId="9" xfId="0" applyFont="1" applyBorder="1" applyAlignment="1" applyProtection="1">
      <alignment vertical="center" wrapText="1"/>
      <protection hidden="1"/>
    </xf>
    <xf numFmtId="0" fontId="6" fillId="0" borderId="24" xfId="0" applyFont="1" applyBorder="1" applyAlignment="1" applyProtection="1">
      <alignment vertical="center" wrapText="1"/>
      <protection hidden="1"/>
    </xf>
    <xf numFmtId="0" fontId="37" fillId="0" borderId="9" xfId="0" applyFont="1" applyBorder="1" applyAlignment="1" applyProtection="1">
      <alignment horizontal="center" vertical="center" wrapText="1"/>
      <protection locked="0"/>
    </xf>
    <xf numFmtId="0" fontId="37" fillId="0" borderId="9" xfId="0" applyFont="1" applyBorder="1" applyAlignment="1" applyProtection="1">
      <alignment horizontal="center" vertical="center" wrapText="1"/>
      <protection hidden="1"/>
    </xf>
    <xf numFmtId="0" fontId="43" fillId="0" borderId="9" xfId="0" applyFont="1" applyBorder="1" applyAlignment="1" applyProtection="1">
      <alignment horizontal="center" vertical="center" wrapText="1"/>
      <protection locked="0"/>
    </xf>
    <xf numFmtId="0" fontId="18" fillId="4" borderId="9" xfId="0" applyFont="1" applyFill="1" applyBorder="1" applyAlignment="1" applyProtection="1">
      <alignment horizontal="center" vertical="center"/>
      <protection locked="0" hidden="1"/>
    </xf>
    <xf numFmtId="0" fontId="8" fillId="0" borderId="18" xfId="0" applyFont="1" applyBorder="1" applyAlignment="1" applyProtection="1">
      <alignment horizontal="center" vertical="center"/>
      <protection locked="0"/>
    </xf>
    <xf numFmtId="0" fontId="19" fillId="0" borderId="18" xfId="0" applyFont="1" applyBorder="1" applyAlignment="1" applyProtection="1">
      <alignment horizontal="center" vertical="center"/>
      <protection locked="0"/>
    </xf>
    <xf numFmtId="0" fontId="18" fillId="4" borderId="0" xfId="0" applyFont="1" applyFill="1" applyAlignment="1" applyProtection="1">
      <alignment horizontal="center" vertical="center"/>
      <protection locked="0" hidden="1"/>
    </xf>
    <xf numFmtId="0" fontId="18" fillId="0" borderId="4" xfId="0" applyFont="1" applyBorder="1" applyAlignment="1" applyProtection="1">
      <alignment vertical="center"/>
      <protection hidden="1"/>
    </xf>
    <xf numFmtId="0" fontId="18" fillId="0" borderId="0" xfId="0" applyFont="1" applyAlignment="1" applyProtection="1">
      <alignment vertical="center"/>
      <protection hidden="1"/>
    </xf>
    <xf numFmtId="0" fontId="18" fillId="0" borderId="0" xfId="0" applyFont="1" applyAlignment="1" applyProtection="1">
      <alignment horizontal="left"/>
      <protection hidden="1"/>
    </xf>
    <xf numFmtId="0" fontId="17" fillId="0" borderId="0" xfId="0" applyFont="1" applyAlignment="1">
      <alignment horizontal="center" vertical="center"/>
    </xf>
    <xf numFmtId="0" fontId="44" fillId="0" borderId="9" xfId="0" applyFont="1" applyBorder="1" applyProtection="1">
      <protection hidden="1"/>
    </xf>
    <xf numFmtId="0" fontId="44" fillId="3" borderId="9" xfId="0" applyFont="1" applyFill="1" applyBorder="1" applyAlignment="1">
      <alignment horizontal="center" vertical="center"/>
    </xf>
    <xf numFmtId="0" fontId="39" fillId="8" borderId="9" xfId="0" applyFont="1" applyFill="1" applyBorder="1" applyAlignment="1" applyProtection="1">
      <alignment horizontal="center" vertical="center"/>
      <protection hidden="1"/>
    </xf>
    <xf numFmtId="0" fontId="44" fillId="0" borderId="9" xfId="0" applyFont="1" applyBorder="1" applyProtection="1">
      <protection locked="0"/>
    </xf>
    <xf numFmtId="0" fontId="23" fillId="0" borderId="0" xfId="2" applyFont="1" applyAlignment="1" applyProtection="1">
      <alignment vertical="top"/>
      <protection locked="0" hidden="1"/>
    </xf>
    <xf numFmtId="0" fontId="44" fillId="0" borderId="9" xfId="0" applyFont="1" applyBorder="1" applyAlignment="1" applyProtection="1">
      <alignment horizontal="center" vertical="center" shrinkToFit="1"/>
      <protection hidden="1"/>
    </xf>
    <xf numFmtId="0" fontId="0" fillId="0" borderId="9" xfId="0" applyBorder="1" applyAlignment="1" applyProtection="1">
      <alignment wrapText="1"/>
      <protection locked="0" hidden="1"/>
    </xf>
    <xf numFmtId="14" fontId="39" fillId="0" borderId="0" xfId="0" applyNumberFormat="1" applyFont="1"/>
    <xf numFmtId="14" fontId="37" fillId="5" borderId="9" xfId="0" applyNumberFormat="1" applyFont="1" applyFill="1" applyBorder="1" applyAlignment="1" applyProtection="1">
      <alignment horizontal="center" vertical="center" wrapText="1"/>
      <protection hidden="1"/>
    </xf>
    <xf numFmtId="0" fontId="18" fillId="0" borderId="9" xfId="0" applyFont="1" applyBorder="1" applyAlignment="1" applyProtection="1">
      <alignment horizontal="center" vertical="center"/>
      <protection hidden="1"/>
    </xf>
    <xf numFmtId="0" fontId="18" fillId="4" borderId="9" xfId="0" applyFont="1" applyFill="1" applyBorder="1" applyAlignment="1" applyProtection="1">
      <alignment horizontal="center" vertical="center"/>
      <protection hidden="1"/>
    </xf>
    <xf numFmtId="49" fontId="0" fillId="0" borderId="9" xfId="0" applyNumberFormat="1" applyBorder="1" applyProtection="1">
      <protection locked="0" hidden="1"/>
    </xf>
    <xf numFmtId="14" fontId="39" fillId="0" borderId="9" xfId="0" applyNumberFormat="1" applyFont="1" applyBorder="1" applyAlignment="1">
      <alignment vertical="center"/>
    </xf>
    <xf numFmtId="0" fontId="39" fillId="0" borderId="0" xfId="0" applyFont="1" applyAlignment="1">
      <alignment vertical="center"/>
    </xf>
    <xf numFmtId="0" fontId="39" fillId="0" borderId="9" xfId="0" applyFont="1" applyBorder="1" applyAlignment="1">
      <alignment horizontal="center" vertical="center" wrapText="1"/>
    </xf>
    <xf numFmtId="0" fontId="45" fillId="0" borderId="0" xfId="0" applyFont="1" applyAlignment="1" applyProtection="1">
      <alignment vertical="center"/>
      <protection hidden="1"/>
    </xf>
    <xf numFmtId="0" fontId="46" fillId="0" borderId="0" xfId="0" applyFont="1" applyProtection="1">
      <protection hidden="1"/>
    </xf>
    <xf numFmtId="0" fontId="0" fillId="0" borderId="0" xfId="0" applyAlignment="1" applyProtection="1">
      <alignment wrapText="1"/>
      <protection locked="0" hidden="1"/>
    </xf>
    <xf numFmtId="0" fontId="47" fillId="0" borderId="9" xfId="2" applyFont="1" applyBorder="1" applyAlignment="1" applyProtection="1">
      <alignment horizontal="center" vertical="center" wrapText="1"/>
      <protection locked="0"/>
    </xf>
    <xf numFmtId="0" fontId="47" fillId="0" borderId="9" xfId="2" applyFont="1" applyBorder="1" applyAlignment="1" applyProtection="1">
      <alignment horizontal="left" vertical="center" wrapText="1"/>
      <protection locked="0"/>
    </xf>
    <xf numFmtId="0" fontId="47" fillId="4" borderId="9" xfId="2" applyFont="1" applyFill="1" applyBorder="1" applyAlignment="1" applyProtection="1">
      <alignment horizontal="center" vertical="center" wrapText="1"/>
      <protection locked="0"/>
    </xf>
    <xf numFmtId="0" fontId="48" fillId="0" borderId="9" xfId="2" applyFont="1" applyBorder="1" applyAlignment="1" applyProtection="1">
      <alignment horizontal="center" vertical="center" wrapText="1"/>
      <protection locked="0"/>
    </xf>
    <xf numFmtId="0" fontId="49" fillId="0" borderId="72" xfId="0" applyFont="1" applyBorder="1" applyAlignment="1">
      <alignment wrapText="1"/>
    </xf>
    <xf numFmtId="0" fontId="22" fillId="0" borderId="9" xfId="2" applyFont="1" applyBorder="1" applyAlignment="1" applyProtection="1">
      <alignment horizontal="center" vertical="center" wrapText="1"/>
      <protection hidden="1"/>
    </xf>
    <xf numFmtId="0" fontId="44" fillId="0" borderId="9" xfId="0" applyFont="1" applyBorder="1" applyAlignment="1">
      <alignment horizontal="center" vertical="center"/>
    </xf>
    <xf numFmtId="0" fontId="39" fillId="0" borderId="0" xfId="0" applyFont="1"/>
    <xf numFmtId="0" fontId="39" fillId="8" borderId="68" xfId="0" applyFont="1" applyFill="1" applyBorder="1" applyAlignment="1" applyProtection="1">
      <alignment horizontal="center" vertical="center" wrapText="1"/>
    </xf>
    <xf numFmtId="0" fontId="39" fillId="0" borderId="9" xfId="0" applyFont="1" applyBorder="1" applyAlignment="1" applyProtection="1">
      <alignment vertical="center"/>
    </xf>
    <xf numFmtId="49" fontId="11" fillId="0" borderId="16" xfId="0" applyNumberFormat="1" applyFont="1" applyBorder="1" applyAlignment="1" applyProtection="1">
      <alignment horizontal="left" vertical="center" shrinkToFit="1"/>
      <protection locked="0"/>
    </xf>
    <xf numFmtId="0" fontId="7" fillId="3" borderId="61" xfId="0" applyFont="1" applyFill="1" applyBorder="1" applyAlignment="1">
      <alignment horizontal="center" vertical="center" wrapText="1"/>
    </xf>
    <xf numFmtId="0" fontId="7" fillId="3" borderId="51" xfId="0" applyFont="1" applyFill="1" applyBorder="1" applyAlignment="1">
      <alignment horizontal="center" vertical="center" wrapText="1"/>
    </xf>
    <xf numFmtId="0" fontId="7" fillId="3" borderId="45" xfId="0" applyFont="1" applyFill="1" applyBorder="1" applyAlignment="1">
      <alignment horizontal="center" vertical="center" wrapText="1"/>
    </xf>
    <xf numFmtId="0" fontId="7" fillId="3" borderId="44" xfId="0" applyFont="1" applyFill="1" applyBorder="1" applyAlignment="1">
      <alignment horizontal="center" vertical="center" wrapText="1"/>
    </xf>
    <xf numFmtId="0" fontId="7" fillId="3" borderId="59" xfId="0" applyFont="1" applyFill="1" applyBorder="1" applyAlignment="1">
      <alignment horizontal="center" vertical="center" wrapText="1"/>
    </xf>
    <xf numFmtId="0" fontId="8" fillId="0" borderId="69" xfId="0" applyFont="1" applyBorder="1" applyAlignment="1" applyProtection="1">
      <alignment horizontal="center" vertical="center" wrapText="1"/>
      <protection locked="0"/>
    </xf>
    <xf numFmtId="0" fontId="8" fillId="0" borderId="47" xfId="0" applyFont="1" applyBorder="1" applyAlignment="1" applyProtection="1">
      <alignment horizontal="center" vertical="center" wrapText="1"/>
      <protection locked="0"/>
    </xf>
    <xf numFmtId="0" fontId="8" fillId="0" borderId="24" xfId="0" applyFont="1" applyBorder="1" applyAlignment="1" applyProtection="1">
      <alignment horizontal="center" vertical="center" wrapText="1"/>
      <protection locked="0"/>
    </xf>
    <xf numFmtId="0" fontId="18" fillId="3" borderId="9" xfId="0" applyFont="1" applyFill="1" applyBorder="1" applyAlignment="1">
      <alignment horizontal="center" vertical="center" wrapText="1"/>
    </xf>
    <xf numFmtId="0" fontId="18" fillId="3" borderId="12" xfId="0" applyFont="1" applyFill="1" applyBorder="1" applyAlignment="1">
      <alignment horizontal="center" vertical="center" wrapText="1"/>
    </xf>
    <xf numFmtId="0" fontId="13" fillId="0" borderId="9" xfId="0" applyFont="1" applyBorder="1" applyAlignment="1" applyProtection="1">
      <alignment horizontal="left" vertical="top" wrapText="1"/>
      <protection hidden="1"/>
    </xf>
    <xf numFmtId="0" fontId="18" fillId="11" borderId="9" xfId="0" applyFont="1" applyFill="1" applyBorder="1" applyAlignment="1" applyProtection="1">
      <alignment horizontal="left"/>
      <protection hidden="1"/>
    </xf>
    <xf numFmtId="0" fontId="18" fillId="11" borderId="9" xfId="0" applyFont="1" applyFill="1" applyBorder="1" applyAlignment="1" applyProtection="1">
      <alignment horizontal="left" vertical="center"/>
      <protection hidden="1"/>
    </xf>
    <xf numFmtId="0" fontId="14" fillId="0" borderId="9" xfId="0" applyFont="1" applyBorder="1" applyAlignment="1" applyProtection="1">
      <alignment horizontal="center" vertical="center"/>
      <protection hidden="1"/>
    </xf>
    <xf numFmtId="0" fontId="14" fillId="0" borderId="11" xfId="0" applyFont="1" applyBorder="1" applyAlignment="1" applyProtection="1">
      <alignment horizontal="center" vertical="center"/>
      <protection hidden="1"/>
    </xf>
    <xf numFmtId="0" fontId="18" fillId="0" borderId="9" xfId="0" applyFont="1" applyBorder="1" applyAlignment="1" applyProtection="1">
      <alignment horizontal="center" vertical="center" wrapText="1"/>
      <protection locked="0"/>
    </xf>
    <xf numFmtId="0" fontId="18" fillId="0" borderId="12" xfId="0" applyFont="1" applyBorder="1" applyAlignment="1" applyProtection="1">
      <alignment horizontal="center" vertical="center" wrapText="1"/>
      <protection locked="0"/>
    </xf>
    <xf numFmtId="0" fontId="18" fillId="0" borderId="21" xfId="0" applyFont="1" applyBorder="1" applyAlignment="1" applyProtection="1">
      <alignment horizontal="center" vertical="center" wrapText="1"/>
      <protection locked="0"/>
    </xf>
    <xf numFmtId="0" fontId="15"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wrapText="1"/>
      <protection hidden="1"/>
    </xf>
    <xf numFmtId="0" fontId="44" fillId="0" borderId="9" xfId="0" applyFont="1" applyBorder="1" applyAlignment="1" applyProtection="1">
      <alignment horizontal="center" vertical="center"/>
      <protection hidden="1"/>
    </xf>
    <xf numFmtId="0" fontId="18" fillId="11" borderId="9" xfId="0" applyFont="1" applyFill="1" applyBorder="1" applyAlignment="1" applyProtection="1">
      <alignment vertical="center"/>
      <protection hidden="1"/>
    </xf>
    <xf numFmtId="0" fontId="15" fillId="0" borderId="9" xfId="0" applyFont="1" applyBorder="1" applyAlignment="1" applyProtection="1">
      <alignment horizontal="left" vertical="center"/>
      <protection hidden="1"/>
    </xf>
    <xf numFmtId="0" fontId="14" fillId="0" borderId="9" xfId="0" applyFont="1" applyBorder="1" applyAlignment="1" applyProtection="1">
      <alignment horizontal="center" vertical="center" wrapText="1"/>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center" vertical="center"/>
      <protection hidden="1"/>
    </xf>
    <xf numFmtId="0" fontId="50" fillId="0" borderId="47" xfId="0" applyFont="1" applyBorder="1" applyAlignment="1" applyProtection="1">
      <alignment horizontal="left" vertical="center" wrapText="1"/>
      <protection hidden="1"/>
    </xf>
    <xf numFmtId="0" fontId="51" fillId="0" borderId="24" xfId="0" applyFont="1" applyBorder="1" applyAlignment="1">
      <alignment horizontal="left" vertical="center" wrapText="1"/>
    </xf>
    <xf numFmtId="0" fontId="19" fillId="0" borderId="18" xfId="0" applyFont="1" applyBorder="1" applyAlignment="1" applyProtection="1">
      <alignment horizontal="center" vertical="center" wrapText="1"/>
      <protection hidden="1"/>
    </xf>
    <xf numFmtId="0" fontId="19" fillId="0" borderId="24" xfId="0" applyFont="1" applyBorder="1" applyAlignment="1" applyProtection="1">
      <alignment horizontal="center" vertical="center" wrapText="1"/>
      <protection hidden="1"/>
    </xf>
    <xf numFmtId="0" fontId="14" fillId="0" borderId="10" xfId="0" applyFont="1" applyBorder="1" applyAlignment="1" applyProtection="1">
      <alignment horizontal="left" vertical="center" wrapText="1"/>
      <protection hidden="1"/>
    </xf>
    <xf numFmtId="0" fontId="14" fillId="0" borderId="23" xfId="0" applyFont="1" applyBorder="1" applyAlignment="1" applyProtection="1">
      <alignment horizontal="left" vertical="center" wrapText="1"/>
      <protection hidden="1"/>
    </xf>
    <xf numFmtId="0" fontId="11" fillId="3" borderId="11" xfId="0" applyFont="1" applyFill="1" applyBorder="1" applyAlignment="1">
      <alignment horizontal="center" vertical="center"/>
    </xf>
    <xf numFmtId="0" fontId="19" fillId="0" borderId="18" xfId="0" applyFont="1" applyBorder="1" applyAlignment="1" applyProtection="1">
      <alignment horizontal="center" vertical="center" wrapText="1"/>
      <protection locked="0"/>
    </xf>
    <xf numFmtId="0" fontId="19" fillId="0" borderId="19" xfId="0" applyFont="1" applyBorder="1" applyAlignment="1" applyProtection="1">
      <alignment horizontal="center" vertical="center" wrapText="1"/>
      <protection locked="0"/>
    </xf>
    <xf numFmtId="0" fontId="11" fillId="3" borderId="13" xfId="0" applyFont="1" applyFill="1" applyBorder="1" applyAlignment="1">
      <alignment horizontal="center" vertical="center"/>
    </xf>
    <xf numFmtId="0" fontId="19" fillId="0" borderId="24" xfId="0" applyFont="1" applyBorder="1" applyAlignment="1" applyProtection="1">
      <alignment horizontal="center" vertical="center" wrapText="1"/>
      <protection locked="0"/>
    </xf>
    <xf numFmtId="0" fontId="11" fillId="0" borderId="30" xfId="0" applyFont="1" applyBorder="1" applyAlignment="1" applyProtection="1">
      <alignment horizontal="center" vertical="center"/>
      <protection hidden="1"/>
    </xf>
    <xf numFmtId="0" fontId="11" fillId="0" borderId="31" xfId="0" applyFont="1" applyBorder="1" applyAlignment="1" applyProtection="1">
      <alignment horizontal="center" vertical="center"/>
      <protection hidden="1"/>
    </xf>
    <xf numFmtId="0" fontId="11" fillId="0" borderId="32" xfId="0" applyFont="1" applyBorder="1" applyAlignment="1" applyProtection="1">
      <alignment horizontal="center" vertical="center"/>
      <protection hidden="1"/>
    </xf>
    <xf numFmtId="0" fontId="8" fillId="0" borderId="60" xfId="0" applyFont="1" applyBorder="1" applyAlignment="1" applyProtection="1">
      <alignment horizontal="center" vertical="center" wrapText="1"/>
      <protection locked="0"/>
    </xf>
    <xf numFmtId="0" fontId="8" fillId="0" borderId="50" xfId="0" applyFont="1" applyBorder="1" applyAlignment="1" applyProtection="1">
      <alignment horizontal="center" vertical="center" wrapText="1"/>
      <protection locked="0"/>
    </xf>
    <xf numFmtId="0" fontId="8" fillId="0" borderId="52" xfId="0" applyFont="1" applyBorder="1" applyAlignment="1" applyProtection="1">
      <alignment horizontal="center" vertical="center" wrapText="1"/>
      <protection locked="0"/>
    </xf>
    <xf numFmtId="0" fontId="8" fillId="0" borderId="49" xfId="0" applyFont="1" applyBorder="1" applyAlignment="1" applyProtection="1">
      <alignment horizontal="center" vertical="center" wrapText="1"/>
      <protection locked="0"/>
    </xf>
    <xf numFmtId="0" fontId="8" fillId="0" borderId="53"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hidden="1"/>
    </xf>
    <xf numFmtId="0" fontId="18" fillId="0" borderId="20" xfId="0" applyFont="1" applyBorder="1" applyAlignment="1" applyProtection="1">
      <alignment horizontal="center" vertical="center" wrapText="1"/>
      <protection locked="0"/>
    </xf>
    <xf numFmtId="0" fontId="18" fillId="0" borderId="10" xfId="0" applyFont="1" applyBorder="1" applyAlignment="1" applyProtection="1">
      <alignment horizontal="center" vertical="center" wrapText="1"/>
      <protection locked="0"/>
    </xf>
    <xf numFmtId="0" fontId="5" fillId="0" borderId="0" xfId="0" applyFont="1" applyAlignment="1" applyProtection="1">
      <alignment horizontal="center" vertical="center"/>
      <protection hidden="1"/>
    </xf>
    <xf numFmtId="0" fontId="18" fillId="10" borderId="9" xfId="0" applyFont="1" applyFill="1" applyBorder="1" applyAlignment="1" applyProtection="1">
      <alignment horizontal="left" vertical="center"/>
      <protection hidden="1"/>
    </xf>
    <xf numFmtId="0" fontId="7" fillId="0" borderId="0" xfId="0" applyFont="1" applyAlignment="1" applyProtection="1">
      <alignment horizontal="center" vertical="center"/>
      <protection hidden="1"/>
    </xf>
    <xf numFmtId="0" fontId="6" fillId="0" borderId="62" xfId="0" applyFont="1" applyBorder="1" applyAlignment="1" applyProtection="1">
      <alignment horizontal="left" vertical="center" wrapText="1"/>
      <protection hidden="1"/>
    </xf>
    <xf numFmtId="0" fontId="6" fillId="0" borderId="63" xfId="0" applyFont="1" applyBorder="1" applyAlignment="1" applyProtection="1">
      <alignment horizontal="left" vertical="center" wrapText="1"/>
      <protection hidden="1"/>
    </xf>
    <xf numFmtId="0" fontId="6" fillId="0" borderId="64" xfId="0" applyFont="1" applyBorder="1" applyAlignment="1" applyProtection="1">
      <alignment horizontal="left" vertical="center" wrapText="1"/>
      <protection hidden="1"/>
    </xf>
    <xf numFmtId="0" fontId="18" fillId="0" borderId="23" xfId="0" applyFont="1" applyBorder="1" applyAlignment="1" applyProtection="1">
      <alignment horizontal="center" vertical="center" wrapText="1"/>
      <protection locked="0"/>
    </xf>
    <xf numFmtId="0" fontId="18" fillId="10" borderId="9" xfId="0" applyFont="1" applyFill="1" applyBorder="1" applyAlignment="1" applyProtection="1">
      <alignment horizontal="left"/>
      <protection hidden="1"/>
    </xf>
    <xf numFmtId="0" fontId="8" fillId="0" borderId="58" xfId="0" applyFont="1" applyBorder="1" applyAlignment="1" applyProtection="1">
      <alignment horizontal="left" vertical="center" shrinkToFit="1"/>
      <protection locked="0"/>
    </xf>
    <xf numFmtId="0" fontId="37" fillId="0" borderId="25" xfId="0" applyFont="1" applyBorder="1" applyAlignment="1" applyProtection="1">
      <alignment horizontal="left" vertical="center" wrapText="1"/>
      <protection hidden="1"/>
    </xf>
    <xf numFmtId="0" fontId="37" fillId="0" borderId="26" xfId="0" applyFont="1" applyBorder="1" applyAlignment="1" applyProtection="1">
      <alignment horizontal="left" vertical="center" wrapText="1"/>
      <protection hidden="1"/>
    </xf>
    <xf numFmtId="0" fontId="18" fillId="0" borderId="68" xfId="0" applyFont="1" applyBorder="1" applyAlignment="1" applyProtection="1">
      <alignment horizontal="center" vertical="center"/>
      <protection hidden="1"/>
    </xf>
    <xf numFmtId="0" fontId="18" fillId="0" borderId="40" xfId="0" applyFont="1" applyBorder="1" applyAlignment="1" applyProtection="1">
      <alignment horizontal="center" vertical="center"/>
      <protection hidden="1"/>
    </xf>
    <xf numFmtId="0" fontId="18" fillId="0" borderId="41" xfId="0" applyFont="1" applyBorder="1" applyAlignment="1" applyProtection="1">
      <alignment horizontal="center" vertical="center"/>
      <protection hidden="1"/>
    </xf>
    <xf numFmtId="0" fontId="13" fillId="0" borderId="44" xfId="0" applyFont="1" applyBorder="1" applyAlignment="1" applyProtection="1">
      <alignment horizontal="center" vertical="center" wrapText="1"/>
      <protection hidden="1"/>
    </xf>
    <xf numFmtId="0" fontId="13" fillId="0" borderId="59" xfId="0" applyFont="1" applyBorder="1" applyAlignment="1" applyProtection="1">
      <alignment horizontal="center" vertical="center" wrapText="1"/>
      <protection hidden="1"/>
    </xf>
    <xf numFmtId="0" fontId="8" fillId="0" borderId="30" xfId="0" applyFont="1" applyBorder="1" applyAlignment="1" applyProtection="1">
      <alignment horizontal="center" vertical="center" wrapText="1"/>
      <protection hidden="1"/>
    </xf>
    <xf numFmtId="0" fontId="8" fillId="0" borderId="31" xfId="0" applyFont="1" applyBorder="1" applyAlignment="1" applyProtection="1">
      <alignment horizontal="center" vertical="center" wrapText="1"/>
      <protection hidden="1"/>
    </xf>
    <xf numFmtId="0" fontId="8" fillId="0" borderId="32" xfId="0" applyFont="1" applyBorder="1" applyAlignment="1" applyProtection="1">
      <alignment horizontal="center" vertical="center" wrapText="1"/>
      <protection hidden="1"/>
    </xf>
    <xf numFmtId="0" fontId="15" fillId="0" borderId="62" xfId="0" applyFont="1" applyBorder="1" applyAlignment="1" applyProtection="1">
      <alignment horizontal="center" vertical="center" wrapText="1"/>
      <protection hidden="1"/>
    </xf>
    <xf numFmtId="0" fontId="15" fillId="0" borderId="63" xfId="0" applyFont="1" applyBorder="1" applyAlignment="1" applyProtection="1">
      <alignment horizontal="center" vertical="center" wrapText="1"/>
      <protection hidden="1"/>
    </xf>
    <xf numFmtId="0" fontId="15" fillId="0" borderId="64" xfId="0" applyFont="1" applyBorder="1" applyAlignment="1" applyProtection="1">
      <alignment horizontal="center" vertical="center" wrapText="1"/>
      <protection hidden="1"/>
    </xf>
    <xf numFmtId="0" fontId="7" fillId="0" borderId="68" xfId="0" applyFont="1" applyBorder="1" applyAlignment="1" applyProtection="1">
      <alignment horizontal="center" vertical="center"/>
      <protection hidden="1"/>
    </xf>
    <xf numFmtId="0" fontId="7" fillId="0" borderId="40" xfId="0" applyFont="1" applyBorder="1" applyAlignment="1" applyProtection="1">
      <alignment horizontal="center" vertical="center"/>
      <protection hidden="1"/>
    </xf>
    <xf numFmtId="0" fontId="7" fillId="0" borderId="41" xfId="0" applyFont="1" applyBorder="1" applyAlignment="1" applyProtection="1">
      <alignment horizontal="center" vertical="center"/>
      <protection hidden="1"/>
    </xf>
    <xf numFmtId="0" fontId="19" fillId="0" borderId="73" xfId="0" applyFont="1" applyBorder="1" applyAlignment="1" applyProtection="1">
      <alignment horizontal="center" vertical="center" wrapText="1"/>
      <protection hidden="1"/>
    </xf>
    <xf numFmtId="0" fontId="0" fillId="0" borderId="35" xfId="0" applyBorder="1" applyAlignment="1">
      <alignment horizontal="center" vertical="center" wrapText="1"/>
    </xf>
    <xf numFmtId="0" fontId="0" fillId="0" borderId="74" xfId="0" applyBorder="1" applyAlignment="1">
      <alignment horizontal="center" vertical="center" wrapText="1"/>
    </xf>
    <xf numFmtId="0" fontId="0" fillId="0" borderId="38" xfId="0" applyBorder="1" applyAlignment="1">
      <alignment horizontal="center" vertical="center" wrapText="1"/>
    </xf>
    <xf numFmtId="0" fontId="8" fillId="0" borderId="20" xfId="0" applyFont="1" applyBorder="1" applyAlignment="1" applyProtection="1">
      <alignment horizontal="center" vertical="center" wrapText="1"/>
      <protection hidden="1"/>
    </xf>
    <xf numFmtId="0" fontId="8" fillId="0" borderId="21" xfId="0" applyFont="1" applyBorder="1" applyAlignment="1" applyProtection="1">
      <alignment horizontal="center" vertical="center" wrapText="1"/>
      <protection hidden="1"/>
    </xf>
    <xf numFmtId="0" fontId="13" fillId="0" borderId="9" xfId="0" applyFont="1" applyBorder="1" applyAlignment="1" applyProtection="1">
      <alignment horizontal="center" vertical="center" wrapText="1"/>
      <protection hidden="1"/>
    </xf>
    <xf numFmtId="0" fontId="13" fillId="0" borderId="12" xfId="0" applyFont="1" applyBorder="1" applyAlignment="1" applyProtection="1">
      <alignment horizontal="center" vertical="center" wrapText="1"/>
      <protection hidden="1"/>
    </xf>
    <xf numFmtId="0" fontId="14" fillId="0" borderId="33" xfId="0" applyFont="1" applyBorder="1" applyAlignment="1" applyProtection="1">
      <alignment horizontal="center" vertical="center"/>
      <protection hidden="1"/>
    </xf>
    <xf numFmtId="0" fontId="14" fillId="0" borderId="34" xfId="0" applyFont="1" applyBorder="1" applyAlignment="1" applyProtection="1">
      <alignment horizontal="center" vertical="center"/>
      <protection hidden="1"/>
    </xf>
    <xf numFmtId="0" fontId="14" fillId="0" borderId="35" xfId="0" applyFont="1" applyBorder="1" applyAlignment="1" applyProtection="1">
      <alignment horizontal="center" vertical="center"/>
      <protection hidden="1"/>
    </xf>
    <xf numFmtId="0" fontId="14" fillId="0" borderId="36" xfId="0" applyFont="1" applyBorder="1" applyAlignment="1" applyProtection="1">
      <alignment horizontal="center" vertical="center"/>
      <protection hidden="1"/>
    </xf>
    <xf numFmtId="0" fontId="14" fillId="0" borderId="37" xfId="0" applyFont="1" applyBorder="1" applyAlignment="1" applyProtection="1">
      <alignment horizontal="center" vertical="center"/>
      <protection hidden="1"/>
    </xf>
    <xf numFmtId="0" fontId="14" fillId="0" borderId="38" xfId="0" applyFont="1" applyBorder="1" applyAlignment="1" applyProtection="1">
      <alignment horizontal="center" vertical="center"/>
      <protection hidden="1"/>
    </xf>
    <xf numFmtId="0" fontId="14" fillId="0" borderId="39" xfId="0" applyFont="1" applyBorder="1" applyAlignment="1" applyProtection="1">
      <alignment horizontal="left"/>
      <protection hidden="1"/>
    </xf>
    <xf numFmtId="0" fontId="14" fillId="0" borderId="40" xfId="0" applyFont="1" applyBorder="1" applyAlignment="1" applyProtection="1">
      <alignment horizontal="left"/>
      <protection hidden="1"/>
    </xf>
    <xf numFmtId="0" fontId="14" fillId="0" borderId="41" xfId="0" applyFont="1" applyBorder="1" applyAlignment="1" applyProtection="1">
      <alignment horizontal="left"/>
      <protection hidden="1"/>
    </xf>
    <xf numFmtId="0" fontId="14" fillId="0" borderId="27" xfId="0" applyFont="1" applyBorder="1" applyAlignment="1" applyProtection="1">
      <alignment horizontal="left"/>
      <protection hidden="1"/>
    </xf>
    <xf numFmtId="0" fontId="14" fillId="0" borderId="28" xfId="0" applyFont="1" applyBorder="1" applyAlignment="1" applyProtection="1">
      <alignment horizontal="left"/>
      <protection hidden="1"/>
    </xf>
    <xf numFmtId="0" fontId="14" fillId="0" borderId="29" xfId="0" applyFont="1" applyBorder="1" applyAlignment="1" applyProtection="1">
      <alignment horizontal="left"/>
      <protection hidden="1"/>
    </xf>
    <xf numFmtId="0" fontId="37" fillId="0" borderId="65" xfId="0" applyFont="1" applyBorder="1" applyAlignment="1" applyProtection="1">
      <alignment horizontal="left" vertical="center" wrapText="1"/>
      <protection hidden="1"/>
    </xf>
    <xf numFmtId="0" fontId="37" fillId="0" borderId="66" xfId="0" applyFont="1" applyBorder="1" applyAlignment="1" applyProtection="1">
      <alignment horizontal="left" vertical="center" wrapText="1"/>
      <protection hidden="1"/>
    </xf>
    <xf numFmtId="0" fontId="37" fillId="0" borderId="42" xfId="0" applyFont="1" applyBorder="1" applyAlignment="1" applyProtection="1">
      <alignment horizontal="left" vertical="center" wrapText="1"/>
      <protection hidden="1"/>
    </xf>
    <xf numFmtId="0" fontId="37" fillId="0" borderId="43" xfId="0" applyFont="1" applyBorder="1" applyAlignment="1" applyProtection="1">
      <alignment horizontal="left" vertical="center" wrapText="1"/>
      <protection hidden="1"/>
    </xf>
    <xf numFmtId="0" fontId="11" fillId="0" borderId="20" xfId="0" applyFont="1" applyBorder="1" applyAlignment="1" applyProtection="1">
      <alignment horizontal="center" vertical="center"/>
      <protection hidden="1"/>
    </xf>
    <xf numFmtId="0" fontId="11" fillId="0" borderId="21" xfId="0" applyFont="1" applyBorder="1" applyAlignment="1" applyProtection="1">
      <alignment horizontal="center" vertical="center"/>
      <protection hidden="1"/>
    </xf>
    <xf numFmtId="0" fontId="11" fillId="0" borderId="22" xfId="0" applyFont="1" applyBorder="1" applyAlignment="1" applyProtection="1">
      <alignment horizontal="center" vertical="center"/>
      <protection hidden="1"/>
    </xf>
    <xf numFmtId="165" fontId="11" fillId="0" borderId="17" xfId="0" applyNumberFormat="1" applyFont="1" applyBorder="1" applyAlignment="1" applyProtection="1">
      <alignment horizontal="left" vertical="center" shrinkToFit="1"/>
      <protection locked="0"/>
    </xf>
    <xf numFmtId="0" fontId="11" fillId="0" borderId="16" xfId="0" applyFont="1" applyBorder="1" applyAlignment="1" applyProtection="1">
      <alignment horizontal="left" vertical="center" shrinkToFit="1"/>
      <protection locked="0"/>
    </xf>
    <xf numFmtId="0" fontId="11" fillId="0" borderId="17" xfId="0" applyFont="1" applyBorder="1" applyAlignment="1" applyProtection="1">
      <alignment horizontal="left" vertical="center" shrinkToFit="1"/>
      <protection locked="0"/>
    </xf>
    <xf numFmtId="0" fontId="5" fillId="0" borderId="56" xfId="0" applyFont="1" applyBorder="1" applyAlignment="1" applyProtection="1">
      <alignment horizontal="center" vertical="center" shrinkToFit="1"/>
      <protection locked="0"/>
    </xf>
    <xf numFmtId="14" fontId="5" fillId="0" borderId="58" xfId="0" applyNumberFormat="1" applyFont="1" applyBorder="1" applyAlignment="1" applyProtection="1">
      <alignment horizontal="center" vertical="center" shrinkToFit="1"/>
      <protection locked="0"/>
    </xf>
    <xf numFmtId="0" fontId="5" fillId="0" borderId="56" xfId="0" applyFont="1" applyBorder="1" applyAlignment="1" applyProtection="1">
      <alignment horizontal="left" shrinkToFit="1"/>
      <protection locked="0"/>
    </xf>
    <xf numFmtId="49" fontId="9" fillId="0" borderId="56" xfId="0" applyNumberFormat="1" applyFont="1" applyBorder="1" applyAlignment="1" applyProtection="1">
      <alignment horizontal="center" shrinkToFit="1"/>
      <protection locked="0"/>
    </xf>
    <xf numFmtId="0" fontId="6" fillId="0" borderId="22" xfId="0" applyFont="1" applyBorder="1" applyAlignment="1" applyProtection="1">
      <alignment horizontal="center" vertical="center" wrapText="1"/>
      <protection hidden="1"/>
    </xf>
    <xf numFmtId="0" fontId="6" fillId="0" borderId="11" xfId="0" applyFont="1" applyBorder="1" applyAlignment="1" applyProtection="1">
      <alignment horizontal="center" vertical="center" wrapText="1"/>
      <protection hidden="1"/>
    </xf>
    <xf numFmtId="0" fontId="6" fillId="0" borderId="13" xfId="0" applyFont="1" applyBorder="1" applyAlignment="1" applyProtection="1">
      <alignment horizontal="center" vertical="center" wrapText="1"/>
      <protection hidden="1"/>
    </xf>
    <xf numFmtId="0" fontId="17" fillId="3" borderId="22" xfId="0" applyFont="1" applyFill="1" applyBorder="1" applyAlignment="1">
      <alignment horizontal="center" vertical="center" wrapText="1"/>
    </xf>
    <xf numFmtId="0" fontId="17" fillId="3" borderId="11" xfId="0" applyFont="1" applyFill="1" applyBorder="1" applyAlignment="1">
      <alignment horizontal="center" vertical="center" wrapText="1"/>
    </xf>
    <xf numFmtId="0" fontId="17" fillId="3" borderId="13" xfId="0" applyFont="1" applyFill="1" applyBorder="1" applyAlignment="1">
      <alignment horizontal="center" vertical="center" wrapText="1"/>
    </xf>
    <xf numFmtId="0" fontId="8" fillId="0" borderId="56" xfId="0" applyFont="1" applyBorder="1" applyAlignment="1" applyProtection="1">
      <alignment horizontal="left" vertical="center" shrinkToFit="1"/>
      <protection locked="0"/>
    </xf>
    <xf numFmtId="0" fontId="18" fillId="3" borderId="21" xfId="0" applyFont="1" applyFill="1" applyBorder="1" applyAlignment="1">
      <alignment horizontal="center" vertical="center" wrapText="1"/>
    </xf>
    <xf numFmtId="0" fontId="13" fillId="0" borderId="0" xfId="0" applyFont="1" applyAlignment="1" applyProtection="1">
      <alignment horizontal="center" vertical="center" wrapText="1"/>
      <protection hidden="1"/>
    </xf>
    <xf numFmtId="0" fontId="8" fillId="0" borderId="21"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8" fillId="0" borderId="12" xfId="0" applyFont="1" applyBorder="1" applyAlignment="1" applyProtection="1">
      <alignment horizontal="center" vertical="center" wrapText="1"/>
      <protection hidden="1"/>
    </xf>
    <xf numFmtId="0" fontId="8" fillId="0" borderId="1" xfId="0" applyFont="1" applyBorder="1" applyAlignment="1" applyProtection="1">
      <alignment horizontal="center" vertical="center" wrapText="1"/>
      <protection hidden="1"/>
    </xf>
    <xf numFmtId="0" fontId="8" fillId="0" borderId="2" xfId="0" applyFont="1" applyBorder="1" applyAlignment="1" applyProtection="1">
      <alignment horizontal="center" vertical="center" wrapText="1"/>
      <protection hidden="1"/>
    </xf>
    <xf numFmtId="0" fontId="8" fillId="0" borderId="54" xfId="0" applyFont="1" applyBorder="1" applyAlignment="1" applyProtection="1">
      <alignment horizontal="center" vertical="center" wrapText="1"/>
      <protection hidden="1"/>
    </xf>
    <xf numFmtId="0" fontId="8" fillId="0" borderId="4" xfId="0" applyFont="1" applyBorder="1" applyAlignment="1" applyProtection="1">
      <alignment horizontal="center" vertical="center" wrapText="1"/>
      <protection hidden="1"/>
    </xf>
    <xf numFmtId="0" fontId="8" fillId="0" borderId="0" xfId="0" applyFont="1" applyAlignment="1" applyProtection="1">
      <alignment horizontal="center" vertical="center" wrapText="1"/>
      <protection hidden="1"/>
    </xf>
    <xf numFmtId="0" fontId="8" fillId="0" borderId="48" xfId="0" applyFont="1" applyBorder="1" applyAlignment="1" applyProtection="1">
      <alignment horizontal="center" vertical="center" wrapText="1"/>
      <protection hidden="1"/>
    </xf>
    <xf numFmtId="0" fontId="8" fillId="0" borderId="6" xfId="0" applyFont="1" applyBorder="1" applyAlignment="1" applyProtection="1">
      <alignment horizontal="center" vertical="center" wrapText="1"/>
      <protection hidden="1"/>
    </xf>
    <xf numFmtId="0" fontId="8" fillId="0" borderId="7" xfId="0" applyFont="1" applyBorder="1" applyAlignment="1" applyProtection="1">
      <alignment horizontal="center" vertical="center" wrapText="1"/>
      <protection hidden="1"/>
    </xf>
    <xf numFmtId="0" fontId="8" fillId="0" borderId="46" xfId="0" applyFont="1" applyBorder="1" applyAlignment="1" applyProtection="1">
      <alignment horizontal="center" vertical="center" wrapText="1"/>
      <protection hidden="1"/>
    </xf>
    <xf numFmtId="0" fontId="8" fillId="0" borderId="18" xfId="0" applyFont="1" applyBorder="1" applyAlignment="1" applyProtection="1">
      <alignment horizontal="center" vertical="center" wrapText="1"/>
      <protection locked="0"/>
    </xf>
    <xf numFmtId="0" fontId="8" fillId="0" borderId="19" xfId="0" applyFont="1" applyBorder="1" applyAlignment="1" applyProtection="1">
      <alignment horizontal="center" vertical="center" wrapText="1"/>
      <protection locked="0"/>
    </xf>
    <xf numFmtId="0" fontId="0" fillId="0" borderId="56" xfId="0" applyBorder="1"/>
    <xf numFmtId="0" fontId="5" fillId="0" borderId="56" xfId="0" applyFont="1" applyBorder="1" applyAlignment="1">
      <alignment horizontal="left" shrinkToFit="1"/>
    </xf>
    <xf numFmtId="49" fontId="9" fillId="0" borderId="0" xfId="0" applyNumberFormat="1" applyFont="1" applyAlignment="1">
      <alignment horizontal="center" shrinkToFit="1"/>
    </xf>
    <xf numFmtId="0" fontId="9" fillId="0" borderId="0" xfId="0" applyFont="1" applyAlignment="1">
      <alignment horizontal="center" shrinkToFit="1"/>
    </xf>
    <xf numFmtId="0" fontId="8" fillId="0" borderId="58" xfId="0" applyFont="1" applyBorder="1" applyAlignment="1">
      <alignment horizontal="left" vertical="center" shrinkToFit="1"/>
    </xf>
    <xf numFmtId="0" fontId="5" fillId="0" borderId="56" xfId="0" applyFont="1" applyBorder="1" applyAlignment="1">
      <alignment horizontal="center" vertical="center" shrinkToFit="1"/>
    </xf>
    <xf numFmtId="14" fontId="5" fillId="0" borderId="58" xfId="0" applyNumberFormat="1" applyFont="1" applyBorder="1" applyAlignment="1">
      <alignment horizontal="center" vertical="center" shrinkToFit="1"/>
    </xf>
    <xf numFmtId="0" fontId="8" fillId="0" borderId="56" xfId="0" applyFont="1" applyBorder="1" applyAlignment="1">
      <alignment horizontal="left" vertical="center" shrinkToFit="1"/>
    </xf>
    <xf numFmtId="0" fontId="15" fillId="0" borderId="0" xfId="2" applyFont="1" applyAlignment="1" applyProtection="1">
      <alignment horizontal="left" vertical="center" wrapText="1"/>
      <protection hidden="1"/>
    </xf>
    <xf numFmtId="0" fontId="40" fillId="0" borderId="0" xfId="2" applyFont="1" applyAlignment="1" applyProtection="1">
      <alignment horizontal="center"/>
      <protection hidden="1"/>
    </xf>
    <xf numFmtId="0" fontId="24" fillId="0" borderId="56" xfId="2" applyFont="1" applyBorder="1" applyAlignment="1" applyProtection="1">
      <alignment horizontal="center" vertical="center" shrinkToFit="1"/>
      <protection hidden="1"/>
    </xf>
    <xf numFmtId="0" fontId="21" fillId="0" borderId="9" xfId="2" applyFont="1" applyBorder="1" applyAlignment="1" applyProtection="1">
      <alignment horizontal="center" vertical="center" wrapText="1"/>
      <protection hidden="1"/>
    </xf>
    <xf numFmtId="0" fontId="22" fillId="0" borderId="9" xfId="2" applyFont="1" applyBorder="1" applyAlignment="1" applyProtection="1">
      <alignment horizontal="center" vertical="center" wrapText="1"/>
      <protection hidden="1"/>
    </xf>
    <xf numFmtId="0" fontId="22" fillId="0" borderId="18" xfId="2" applyFont="1" applyBorder="1" applyAlignment="1" applyProtection="1">
      <alignment horizontal="center" vertical="center" wrapText="1"/>
      <protection hidden="1"/>
    </xf>
    <xf numFmtId="0" fontId="22" fillId="0" borderId="24" xfId="2" applyFont="1" applyBorder="1" applyAlignment="1" applyProtection="1">
      <alignment horizontal="center" vertical="center" wrapText="1"/>
      <protection hidden="1"/>
    </xf>
    <xf numFmtId="49" fontId="34" fillId="0" borderId="37" xfId="0" applyNumberFormat="1" applyFont="1" applyBorder="1" applyAlignment="1" applyProtection="1">
      <alignment horizontal="center" vertical="center" shrinkToFit="1"/>
      <protection locked="0" hidden="1"/>
    </xf>
    <xf numFmtId="0" fontId="32" fillId="0" borderId="37" xfId="0" applyFont="1" applyBorder="1" applyAlignment="1" applyProtection="1">
      <alignment horizontal="center"/>
      <protection locked="0" hidden="1"/>
    </xf>
    <xf numFmtId="0" fontId="32" fillId="7" borderId="9" xfId="0" applyFont="1" applyFill="1" applyBorder="1" applyAlignment="1" applyProtection="1">
      <alignment horizontal="center" vertical="center"/>
      <protection locked="0" hidden="1"/>
    </xf>
    <xf numFmtId="0" fontId="17" fillId="7" borderId="9" xfId="0" applyFont="1" applyFill="1" applyBorder="1" applyAlignment="1" applyProtection="1">
      <alignment horizontal="center" vertical="center" wrapText="1"/>
      <protection hidden="1"/>
    </xf>
    <xf numFmtId="0" fontId="33" fillId="0" borderId="0" xfId="0" applyFont="1" applyAlignment="1" applyProtection="1">
      <alignment horizontal="center" vertical="center"/>
      <protection hidden="1"/>
    </xf>
    <xf numFmtId="0" fontId="32" fillId="0" borderId="68" xfId="0" applyFont="1" applyBorder="1" applyAlignment="1" applyProtection="1">
      <alignment horizontal="center"/>
      <protection locked="0" hidden="1"/>
    </xf>
    <xf numFmtId="0" fontId="32" fillId="0" borderId="41" xfId="0" applyFont="1" applyBorder="1" applyAlignment="1" applyProtection="1">
      <alignment horizontal="center"/>
      <protection locked="0" hidden="1"/>
    </xf>
    <xf numFmtId="0" fontId="34" fillId="0" borderId="37" xfId="0" applyFont="1" applyBorder="1" applyAlignment="1" applyProtection="1">
      <alignment horizontal="center" vertical="center" shrinkToFit="1"/>
      <protection locked="0" hidden="1"/>
    </xf>
    <xf numFmtId="165" fontId="34" fillId="0" borderId="40" xfId="0" applyNumberFormat="1" applyFont="1" applyBorder="1" applyAlignment="1" applyProtection="1">
      <alignment horizontal="center" vertical="center" shrinkToFit="1"/>
      <protection locked="0" hidden="1"/>
    </xf>
    <xf numFmtId="0" fontId="32" fillId="0" borderId="9" xfId="0" applyFont="1" applyBorder="1" applyAlignment="1" applyProtection="1">
      <alignment horizontal="center" vertical="center"/>
      <protection hidden="1"/>
    </xf>
    <xf numFmtId="0" fontId="7" fillId="0" borderId="9" xfId="0" applyFont="1" applyBorder="1" applyAlignment="1" applyProtection="1">
      <alignment horizontal="center" vertical="center" wrapText="1"/>
      <protection hidden="1"/>
    </xf>
    <xf numFmtId="0" fontId="7" fillId="0" borderId="9" xfId="0" applyFont="1" applyBorder="1" applyAlignment="1" applyProtection="1">
      <alignment horizontal="center" vertical="center" wrapText="1"/>
      <protection locked="0" hidden="1"/>
    </xf>
    <xf numFmtId="0" fontId="17" fillId="7" borderId="9" xfId="0" applyFont="1" applyFill="1" applyBorder="1" applyAlignment="1" applyProtection="1">
      <alignment horizontal="center" vertical="center" wrapText="1"/>
      <protection locked="0" hidden="1"/>
    </xf>
    <xf numFmtId="0" fontId="7" fillId="0" borderId="56" xfId="0" applyFont="1" applyBorder="1" applyAlignment="1" applyProtection="1">
      <alignment horizontal="left" vertical="center" shrinkToFit="1"/>
      <protection hidden="1"/>
    </xf>
    <xf numFmtId="0" fontId="7" fillId="0" borderId="0" xfId="0" applyFont="1" applyAlignment="1" applyProtection="1">
      <alignment horizontal="center" vertical="center" wrapText="1"/>
      <protection hidden="1"/>
    </xf>
    <xf numFmtId="0" fontId="7" fillId="7" borderId="9" xfId="0" applyFont="1" applyFill="1" applyBorder="1" applyAlignment="1" applyProtection="1">
      <alignment horizontal="center" vertical="center" wrapText="1"/>
      <protection hidden="1"/>
    </xf>
    <xf numFmtId="0" fontId="42" fillId="0" borderId="56" xfId="0" applyFont="1" applyBorder="1" applyAlignment="1" applyProtection="1">
      <alignment horizontal="left" vertical="center" shrinkToFit="1"/>
      <protection hidden="1"/>
    </xf>
    <xf numFmtId="14" fontId="42" fillId="0" borderId="58" xfId="0" applyNumberFormat="1" applyFont="1" applyBorder="1" applyAlignment="1" applyProtection="1">
      <alignment horizontal="center" vertical="center" shrinkToFit="1"/>
      <protection hidden="1"/>
    </xf>
    <xf numFmtId="0" fontId="42" fillId="0" borderId="56" xfId="0" applyFont="1" applyBorder="1" applyAlignment="1" applyProtection="1">
      <alignment horizontal="left" shrinkToFit="1"/>
      <protection hidden="1"/>
    </xf>
    <xf numFmtId="49" fontId="35" fillId="0" borderId="56" xfId="0" applyNumberFormat="1" applyFont="1" applyBorder="1" applyAlignment="1" applyProtection="1">
      <alignment horizontal="left" shrinkToFit="1"/>
      <protection hidden="1"/>
    </xf>
    <xf numFmtId="0" fontId="35" fillId="0" borderId="56" xfId="0" applyFont="1" applyBorder="1" applyAlignment="1" applyProtection="1">
      <alignment horizontal="left" shrinkToFit="1"/>
      <protection hidden="1"/>
    </xf>
    <xf numFmtId="0" fontId="7" fillId="0" borderId="58" xfId="0" applyFont="1" applyBorder="1" applyAlignment="1" applyProtection="1">
      <alignment horizontal="left" vertical="center" shrinkToFit="1"/>
      <protection hidden="1"/>
    </xf>
    <xf numFmtId="0" fontId="17" fillId="0" borderId="0" xfId="0" applyFont="1" applyAlignment="1" applyProtection="1">
      <alignment horizontal="center" vertical="center" wrapText="1"/>
      <protection hidden="1"/>
    </xf>
    <xf numFmtId="0" fontId="34" fillId="0" borderId="9" xfId="0" applyFont="1" applyBorder="1" applyAlignment="1" applyProtection="1">
      <alignment horizontal="center"/>
      <protection hidden="1"/>
    </xf>
    <xf numFmtId="0" fontId="32" fillId="0" borderId="18" xfId="0" applyFont="1" applyBorder="1" applyAlignment="1" applyProtection="1">
      <alignment horizontal="center" vertical="center" wrapText="1"/>
      <protection hidden="1"/>
    </xf>
    <xf numFmtId="0" fontId="32" fillId="0" borderId="24" xfId="0" applyFont="1" applyBorder="1" applyAlignment="1" applyProtection="1">
      <alignment horizontal="center" vertical="center" wrapText="1"/>
      <protection hidden="1"/>
    </xf>
    <xf numFmtId="0" fontId="18" fillId="0" borderId="20" xfId="0" applyFont="1" applyBorder="1" applyAlignment="1" applyProtection="1">
      <alignment horizontal="center" vertical="center"/>
      <protection hidden="1"/>
    </xf>
    <xf numFmtId="0" fontId="18" fillId="0" borderId="21" xfId="0" applyFont="1" applyBorder="1" applyAlignment="1" applyProtection="1">
      <alignment horizontal="center" vertical="center"/>
      <protection hidden="1"/>
    </xf>
    <xf numFmtId="0" fontId="18" fillId="0" borderId="22" xfId="0" applyFont="1" applyBorder="1" applyAlignment="1" applyProtection="1">
      <alignment horizontal="center" vertical="center"/>
      <protection hidden="1"/>
    </xf>
    <xf numFmtId="0" fontId="18" fillId="0" borderId="23" xfId="0" applyFont="1" applyBorder="1" applyAlignment="1" applyProtection="1">
      <alignment horizontal="center" vertical="center"/>
      <protection hidden="1"/>
    </xf>
    <xf numFmtId="0" fontId="18" fillId="0" borderId="12" xfId="0" applyFont="1" applyBorder="1" applyAlignment="1" applyProtection="1">
      <alignment horizontal="center" vertical="center"/>
      <protection hidden="1"/>
    </xf>
    <xf numFmtId="0" fontId="18" fillId="0" borderId="13" xfId="0" applyFont="1" applyBorder="1" applyAlignment="1" applyProtection="1">
      <alignment horizontal="center" vertical="center"/>
      <protection hidden="1"/>
    </xf>
    <xf numFmtId="0" fontId="9" fillId="0" borderId="31" xfId="0" applyFont="1" applyBorder="1" applyAlignment="1" applyProtection="1">
      <alignment horizontal="center" vertical="center"/>
      <protection hidden="1"/>
    </xf>
    <xf numFmtId="0" fontId="5" fillId="0" borderId="70" xfId="0" applyFont="1" applyBorder="1" applyAlignment="1" applyProtection="1">
      <alignment horizontal="center" vertical="center" wrapText="1"/>
      <protection hidden="1"/>
    </xf>
    <xf numFmtId="0" fontId="5" fillId="0" borderId="71" xfId="0" applyFont="1" applyBorder="1" applyAlignment="1" applyProtection="1">
      <alignment horizontal="center" vertical="center" wrapText="1"/>
      <protection hidden="1"/>
    </xf>
    <xf numFmtId="0" fontId="9" fillId="3" borderId="6" xfId="0" applyFont="1" applyFill="1" applyBorder="1" applyAlignment="1" applyProtection="1">
      <alignment horizontal="center" vertical="center"/>
      <protection hidden="1"/>
    </xf>
    <xf numFmtId="0" fontId="9" fillId="3" borderId="8" xfId="0" applyFont="1" applyFill="1" applyBorder="1" applyAlignment="1" applyProtection="1">
      <alignment horizontal="center" vertical="center"/>
      <protection hidden="1"/>
    </xf>
    <xf numFmtId="0" fontId="39" fillId="8" borderId="18" xfId="0" applyFont="1" applyFill="1" applyBorder="1" applyAlignment="1" applyProtection="1">
      <alignment horizontal="center" vertical="center" wrapText="1"/>
      <protection hidden="1"/>
    </xf>
    <xf numFmtId="0" fontId="0" fillId="0" borderId="24" xfId="0" applyBorder="1" applyAlignment="1">
      <alignment horizontal="center" vertical="center" wrapText="1"/>
    </xf>
    <xf numFmtId="0" fontId="39" fillId="8" borderId="68" xfId="0" applyFont="1" applyFill="1" applyBorder="1" applyAlignment="1" applyProtection="1">
      <alignment horizontal="center" vertical="center" wrapText="1"/>
      <protection hidden="1"/>
    </xf>
    <xf numFmtId="0" fontId="0" fillId="0" borderId="41" xfId="0" applyBorder="1" applyAlignment="1">
      <alignment horizontal="center" vertical="center" wrapText="1"/>
    </xf>
    <xf numFmtId="0" fontId="27" fillId="5" borderId="9" xfId="0" applyFont="1" applyFill="1" applyBorder="1" applyAlignment="1" applyProtection="1">
      <alignment horizontal="center" vertical="center" wrapText="1"/>
    </xf>
    <xf numFmtId="0" fontId="39" fillId="0" borderId="9" xfId="0" applyFont="1" applyBorder="1" applyAlignment="1" applyProtection="1">
      <alignment horizontal="center" vertical="center" wrapText="1"/>
    </xf>
    <xf numFmtId="0" fontId="39" fillId="8" borderId="18" xfId="0" applyFont="1" applyFill="1" applyBorder="1" applyAlignment="1" applyProtection="1">
      <alignment horizontal="center" vertical="center" wrapText="1"/>
    </xf>
    <xf numFmtId="0" fontId="39" fillId="8" borderId="24" xfId="0" applyFont="1" applyFill="1" applyBorder="1" applyAlignment="1" applyProtection="1">
      <alignment horizontal="center" vertical="center" wrapText="1"/>
    </xf>
    <xf numFmtId="0" fontId="39" fillId="0" borderId="9" xfId="0" applyFont="1" applyBorder="1" applyAlignment="1" applyProtection="1">
      <alignment horizontal="center" vertical="center"/>
    </xf>
    <xf numFmtId="0" fontId="39" fillId="5" borderId="68" xfId="0" applyFont="1" applyFill="1" applyBorder="1" applyAlignment="1" applyProtection="1">
      <alignment horizontal="center" vertical="center" wrapText="1"/>
    </xf>
    <xf numFmtId="0" fontId="39" fillId="5" borderId="40" xfId="0" applyFont="1" applyFill="1" applyBorder="1" applyAlignment="1" applyProtection="1">
      <alignment horizontal="center" vertical="center" wrapText="1"/>
    </xf>
    <xf numFmtId="0" fontId="39" fillId="5" borderId="41" xfId="0" applyFont="1" applyFill="1" applyBorder="1" applyAlignment="1" applyProtection="1">
      <alignment horizontal="center" vertical="center" wrapText="1"/>
    </xf>
    <xf numFmtId="0" fontId="39" fillId="5" borderId="18" xfId="0" applyFont="1" applyFill="1" applyBorder="1" applyAlignment="1" applyProtection="1">
      <alignment horizontal="center" vertical="center" wrapText="1"/>
    </xf>
    <xf numFmtId="0" fontId="39" fillId="5" borderId="24" xfId="0" applyFont="1" applyFill="1" applyBorder="1" applyAlignment="1" applyProtection="1">
      <alignment horizontal="center" vertical="center" wrapText="1"/>
    </xf>
    <xf numFmtId="0" fontId="39" fillId="0" borderId="18" xfId="0" applyFont="1" applyBorder="1" applyAlignment="1" applyProtection="1">
      <alignment horizontal="center" vertical="center"/>
      <protection hidden="1"/>
    </xf>
    <xf numFmtId="0" fontId="39" fillId="0" borderId="47" xfId="0" applyFont="1" applyBorder="1" applyAlignment="1" applyProtection="1">
      <alignment horizontal="center" vertical="center"/>
      <protection hidden="1"/>
    </xf>
    <xf numFmtId="0" fontId="39" fillId="0" borderId="24" xfId="0" applyFont="1" applyBorder="1" applyAlignment="1" applyProtection="1">
      <alignment horizontal="center" vertical="center"/>
      <protection hidden="1"/>
    </xf>
    <xf numFmtId="0" fontId="27" fillId="5" borderId="9" xfId="0" applyFont="1" applyFill="1" applyBorder="1" applyAlignment="1" applyProtection="1">
      <alignment horizontal="center" vertical="center" wrapText="1"/>
      <protection hidden="1"/>
    </xf>
    <xf numFmtId="0" fontId="26" fillId="5" borderId="24"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vertical="center" wrapText="1"/>
      <protection hidden="1"/>
    </xf>
    <xf numFmtId="0" fontId="26" fillId="5" borderId="9" xfId="0" applyFont="1" applyFill="1" applyBorder="1" applyAlignment="1" applyProtection="1">
      <alignment horizontal="center" wrapText="1"/>
      <protection hidden="1"/>
    </xf>
    <xf numFmtId="0" fontId="26" fillId="0" borderId="18" xfId="0" applyFont="1" applyBorder="1" applyAlignment="1" applyProtection="1">
      <alignment horizontal="center" vertical="center"/>
      <protection hidden="1"/>
    </xf>
    <xf numFmtId="0" fontId="26" fillId="0" borderId="47" xfId="0" applyFont="1" applyBorder="1" applyAlignment="1" applyProtection="1">
      <alignment horizontal="center" vertical="center"/>
      <protection hidden="1"/>
    </xf>
    <xf numFmtId="0" fontId="26" fillId="0" borderId="24" xfId="0" applyFont="1" applyBorder="1" applyAlignment="1" applyProtection="1">
      <alignment horizontal="center" vertical="center"/>
      <protection hidden="1"/>
    </xf>
    <xf numFmtId="0" fontId="39" fillId="0" borderId="18" xfId="0" applyFont="1" applyBorder="1" applyAlignment="1" applyProtection="1">
      <alignment horizontal="center" vertical="center"/>
      <protection locked="0"/>
    </xf>
    <xf numFmtId="0" fontId="39" fillId="0" borderId="47" xfId="0" applyFont="1" applyBorder="1" applyAlignment="1" applyProtection="1">
      <alignment horizontal="center" vertical="center"/>
      <protection locked="0"/>
    </xf>
    <xf numFmtId="0" fontId="39" fillId="0" borderId="24" xfId="0" applyFont="1" applyBorder="1" applyAlignment="1" applyProtection="1">
      <alignment horizontal="center" vertical="center"/>
      <protection locked="0"/>
    </xf>
    <xf numFmtId="0" fontId="26" fillId="5" borderId="35" xfId="0" applyFont="1" applyFill="1" applyBorder="1" applyAlignment="1" applyProtection="1">
      <alignment horizontal="center" vertical="center" wrapText="1"/>
      <protection hidden="1"/>
    </xf>
    <xf numFmtId="0" fontId="26" fillId="5" borderId="48" xfId="0" applyFont="1" applyFill="1" applyBorder="1" applyAlignment="1" applyProtection="1">
      <alignment horizontal="center" vertical="center" wrapText="1"/>
      <protection hidden="1"/>
    </xf>
    <xf numFmtId="0" fontId="26" fillId="5" borderId="38" xfId="0" applyFont="1" applyFill="1" applyBorder="1" applyAlignment="1" applyProtection="1">
      <alignment horizontal="center" vertical="center" wrapText="1"/>
      <protection hidden="1"/>
    </xf>
    <xf numFmtId="0" fontId="14" fillId="5" borderId="18" xfId="2" applyFont="1" applyFill="1" applyBorder="1" applyAlignment="1" applyProtection="1">
      <alignment horizontal="center" vertical="center" wrapText="1"/>
      <protection hidden="1"/>
    </xf>
    <xf numFmtId="0" fontId="14" fillId="5" borderId="24" xfId="2" applyFont="1" applyFill="1" applyBorder="1" applyAlignment="1" applyProtection="1">
      <alignment horizontal="center" vertical="center" wrapText="1"/>
      <protection hidden="1"/>
    </xf>
    <xf numFmtId="0" fontId="15" fillId="5" borderId="9" xfId="2" applyFont="1" applyFill="1" applyBorder="1" applyAlignment="1" applyProtection="1">
      <alignment horizontal="center" vertical="center" wrapText="1"/>
      <protection hidden="1"/>
    </xf>
    <xf numFmtId="0" fontId="13" fillId="5" borderId="9" xfId="2" applyFont="1" applyFill="1" applyBorder="1" applyAlignment="1" applyProtection="1">
      <alignment horizontal="center" vertical="center" wrapText="1"/>
      <protection hidden="1"/>
    </xf>
    <xf numFmtId="14" fontId="13" fillId="5" borderId="9" xfId="0" applyNumberFormat="1" applyFont="1" applyFill="1" applyBorder="1" applyAlignment="1" applyProtection="1">
      <alignment horizontal="center" vertical="center" wrapText="1"/>
      <protection hidden="1"/>
    </xf>
    <xf numFmtId="0" fontId="13" fillId="5" borderId="9" xfId="0" applyFont="1" applyFill="1" applyBorder="1" applyAlignment="1" applyProtection="1">
      <alignment horizontal="center" vertical="center" wrapText="1"/>
      <protection hidden="1"/>
    </xf>
    <xf numFmtId="0" fontId="13" fillId="5" borderId="18" xfId="0" applyFont="1" applyFill="1" applyBorder="1" applyAlignment="1" applyProtection="1">
      <alignment horizontal="center" vertical="center" wrapText="1"/>
      <protection hidden="1"/>
    </xf>
    <xf numFmtId="0" fontId="13" fillId="5" borderId="24" xfId="0" applyFont="1" applyFill="1" applyBorder="1" applyAlignment="1" applyProtection="1">
      <alignment horizontal="center" vertical="center" wrapText="1"/>
      <protection hidden="1"/>
    </xf>
    <xf numFmtId="0" fontId="7" fillId="5" borderId="9"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protection hidden="1"/>
    </xf>
    <xf numFmtId="0" fontId="26" fillId="5" borderId="68" xfId="0" applyFont="1" applyFill="1" applyBorder="1" applyAlignment="1" applyProtection="1">
      <alignment horizontal="center" vertical="center" wrapText="1"/>
      <protection hidden="1"/>
    </xf>
    <xf numFmtId="0" fontId="26" fillId="5" borderId="40" xfId="0" applyFont="1" applyFill="1" applyBorder="1" applyAlignment="1" applyProtection="1">
      <alignment horizontal="center" vertical="center" wrapText="1"/>
      <protection hidden="1"/>
    </xf>
    <xf numFmtId="0" fontId="26" fillId="5" borderId="41" xfId="0" applyFont="1" applyFill="1" applyBorder="1" applyAlignment="1" applyProtection="1">
      <alignment horizontal="center" vertical="center" wrapText="1"/>
      <protection hidden="1"/>
    </xf>
    <xf numFmtId="0" fontId="39" fillId="0" borderId="9" xfId="0" applyFont="1" applyBorder="1" applyAlignment="1" applyProtection="1">
      <alignment horizontal="center" vertical="center" wrapText="1"/>
      <protection hidden="1"/>
    </xf>
    <xf numFmtId="0" fontId="39" fillId="0" borderId="9" xfId="0" applyFont="1" applyBorder="1" applyAlignment="1" applyProtection="1">
      <alignment horizontal="center" vertical="center"/>
      <protection hidden="1"/>
    </xf>
    <xf numFmtId="0" fontId="21" fillId="5" borderId="9" xfId="2"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protection hidden="1"/>
    </xf>
    <xf numFmtId="0" fontId="39" fillId="8" borderId="47" xfId="0" applyFont="1" applyFill="1" applyBorder="1" applyAlignment="1" applyProtection="1">
      <alignment horizontal="center" vertical="center" wrapText="1"/>
      <protection hidden="1"/>
    </xf>
    <xf numFmtId="0" fontId="39" fillId="8" borderId="24" xfId="0" applyFont="1" applyFill="1" applyBorder="1" applyAlignment="1" applyProtection="1">
      <alignment horizontal="center" vertical="center" wrapText="1"/>
      <protection hidden="1"/>
    </xf>
    <xf numFmtId="0" fontId="39" fillId="8" borderId="40" xfId="0" applyFont="1" applyFill="1" applyBorder="1" applyAlignment="1" applyProtection="1">
      <alignment horizontal="center" vertical="center" wrapText="1"/>
      <protection hidden="1"/>
    </xf>
    <xf numFmtId="0" fontId="39" fillId="8" borderId="41" xfId="0" applyFont="1" applyFill="1" applyBorder="1" applyAlignment="1" applyProtection="1">
      <alignment horizontal="center" vertical="center" wrapText="1"/>
      <protection hidden="1"/>
    </xf>
    <xf numFmtId="0" fontId="39" fillId="5" borderId="9" xfId="0" applyFont="1" applyFill="1" applyBorder="1" applyAlignment="1" applyProtection="1">
      <alignment horizontal="center" vertical="center" wrapText="1"/>
      <protection hidden="1"/>
    </xf>
    <xf numFmtId="0" fontId="39" fillId="8" borderId="9" xfId="0" applyFont="1" applyFill="1" applyBorder="1" applyAlignment="1" applyProtection="1">
      <alignment horizontal="center" vertical="center" wrapText="1"/>
      <protection hidden="1"/>
    </xf>
    <xf numFmtId="0" fontId="27" fillId="0" borderId="18" xfId="0" applyFont="1" applyBorder="1" applyAlignment="1" applyProtection="1">
      <alignment horizontal="center" vertical="center" wrapText="1"/>
      <protection locked="0"/>
    </xf>
    <xf numFmtId="0" fontId="27" fillId="0" borderId="47" xfId="0" applyFont="1" applyBorder="1" applyAlignment="1" applyProtection="1">
      <alignment horizontal="center" vertical="center" wrapText="1"/>
      <protection locked="0"/>
    </xf>
    <xf numFmtId="0" fontId="27" fillId="0" borderId="24" xfId="0" applyFont="1" applyBorder="1" applyAlignment="1" applyProtection="1">
      <alignment horizontal="center" vertical="center" wrapText="1"/>
      <protection locked="0"/>
    </xf>
    <xf numFmtId="49" fontId="39" fillId="0" borderId="9" xfId="0" applyNumberFormat="1" applyFont="1" applyBorder="1" applyAlignment="1" applyProtection="1">
      <alignment horizontal="center" vertical="center" wrapText="1"/>
      <protection hidden="1"/>
    </xf>
    <xf numFmtId="0" fontId="27" fillId="9" borderId="9" xfId="0" applyFont="1" applyFill="1" applyBorder="1" applyAlignment="1" applyProtection="1">
      <alignment horizontal="center" vertical="center" wrapText="1"/>
      <protection hidden="1"/>
    </xf>
    <xf numFmtId="0" fontId="15" fillId="9" borderId="18" xfId="0" applyFont="1" applyFill="1" applyBorder="1" applyAlignment="1" applyProtection="1">
      <alignment horizontal="center" vertical="center" wrapText="1"/>
      <protection hidden="1"/>
    </xf>
    <xf numFmtId="0" fontId="15" fillId="9" borderId="47" xfId="0" applyFont="1" applyFill="1" applyBorder="1" applyAlignment="1" applyProtection="1">
      <alignment horizontal="center" vertical="center" wrapText="1"/>
      <protection hidden="1"/>
    </xf>
    <xf numFmtId="0" fontId="15" fillId="9" borderId="24" xfId="0" applyFont="1" applyFill="1" applyBorder="1" applyAlignment="1" applyProtection="1">
      <alignment horizontal="center" vertical="center" wrapText="1"/>
      <protection hidden="1"/>
    </xf>
    <xf numFmtId="0" fontId="52" fillId="5" borderId="9" xfId="0" applyFont="1" applyFill="1" applyBorder="1" applyAlignment="1" applyProtection="1">
      <alignment horizontal="center" vertical="center" wrapText="1"/>
      <protection hidden="1"/>
    </xf>
  </cellXfs>
  <cellStyles count="27">
    <cellStyle name="ConditionalStyle_1" xfId="5"/>
    <cellStyle name="Currency 2" xfId="19"/>
    <cellStyle name="Excel Built-in Normal" xfId="6"/>
    <cellStyle name="Heading" xfId="7"/>
    <cellStyle name="Heading1" xfId="8"/>
    <cellStyle name="Normal" xfId="0" builtinId="0"/>
    <cellStyle name="Normal 2" xfId="1"/>
    <cellStyle name="Normal 2 2" xfId="10"/>
    <cellStyle name="Normal 2 2 2" xfId="16"/>
    <cellStyle name="Normal 2 2 2 2" xfId="25"/>
    <cellStyle name="Normal 2 3" xfId="9"/>
    <cellStyle name="Normal 2 3 2" xfId="23"/>
    <cellStyle name="Normal 2 4" xfId="15"/>
    <cellStyle name="Normal 2 4 2" xfId="24"/>
    <cellStyle name="Normal 2 5" xfId="21"/>
    <cellStyle name="Normal 3" xfId="2"/>
    <cellStyle name="Normal 3 2" xfId="11"/>
    <cellStyle name="Normal 4" xfId="4"/>
    <cellStyle name="Normal 4 2" xfId="17"/>
    <cellStyle name="Normal 4 2 2" xfId="26"/>
    <cellStyle name="Normal 5" xfId="12"/>
    <cellStyle name="Normal 6" xfId="3"/>
    <cellStyle name="Normal 6 2" xfId="22"/>
    <cellStyle name="Normal 7" xfId="18"/>
    <cellStyle name="Percent 2" xfId="20"/>
    <cellStyle name="Result" xfId="13"/>
    <cellStyle name="Result2" xfId="14"/>
  </cellStyles>
  <dxfs count="6">
    <dxf>
      <font>
        <b/>
        <i val="0"/>
        <color rgb="FFFF0000"/>
      </font>
    </dxf>
    <dxf>
      <font>
        <b/>
        <i val="0"/>
        <color rgb="FFFF0000"/>
      </font>
    </dxf>
    <dxf>
      <font>
        <b/>
        <i val="0"/>
        <color rgb="FFFF0000"/>
      </font>
    </dxf>
    <dxf>
      <font>
        <b/>
        <i val="0"/>
        <color rgb="FFFF0000"/>
      </font>
    </dxf>
    <dxf>
      <font>
        <b/>
        <i val="0"/>
      </font>
      <fill>
        <patternFill>
          <bgColor rgb="FFD7D7D7"/>
        </patternFill>
      </fill>
    </dxf>
    <dxf>
      <font>
        <b val="0"/>
        <i val="0"/>
      </font>
      <fill>
        <patternFill patternType="none">
          <bgColor indexed="65"/>
        </patternFill>
      </fill>
    </dxf>
  </dxfs>
  <tableStyles count="1" defaultTableStyle="TableStyleMedium9" defaultPivotStyle="PivotStyleLight16">
    <tableStyle name="MySqlDefault" pivot="0" table="0" count="2">
      <tableStyleElement type="wholeTable" dxfId="5"/>
      <tableStyleElement type="headerRow" dxfId="4"/>
    </tableStyle>
  </tableStyles>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12</xdr:col>
      <xdr:colOff>186690</xdr:colOff>
      <xdr:row>0</xdr:row>
      <xdr:rowOff>114300</xdr:rowOff>
    </xdr:from>
    <xdr:to>
      <xdr:col>15</xdr:col>
      <xdr:colOff>396240</xdr:colOff>
      <xdr:row>2</xdr:row>
      <xdr:rowOff>9525</xdr:rowOff>
    </xdr:to>
    <xdr:sp macro="" textlink="">
      <xdr:nvSpPr>
        <xdr:cNvPr id="2" name="Text Box 118">
          <a:extLst>
            <a:ext uri="{FF2B5EF4-FFF2-40B4-BE49-F238E27FC236}">
              <a16:creationId xmlns:a16="http://schemas.microsoft.com/office/drawing/2014/main" id="{00000000-0008-0000-0100-000002000000}"/>
            </a:ext>
          </a:extLst>
        </xdr:cNvPr>
        <xdr:cNvSpPr txBox="1">
          <a:spLocks noChangeArrowheads="1"/>
        </xdr:cNvSpPr>
      </xdr:nvSpPr>
      <xdr:spPr bwMode="auto">
        <a:xfrm>
          <a:off x="8759190" y="114300"/>
          <a:ext cx="1609725" cy="295275"/>
        </a:xfrm>
        <a:prstGeom prst="rect">
          <a:avLst/>
        </a:prstGeom>
        <a:solidFill>
          <a:srgbClr val="FFFFFF"/>
        </a:solidFill>
        <a:ln>
          <a:noFill/>
        </a:ln>
      </xdr:spPr>
      <xdr:txBody>
        <a:bodyPr vertOverflow="clip" wrap="square" lIns="91440" tIns="45720" rIns="91440" bIns="45720" anchor="t" upright="1"/>
        <a:lstStyle/>
        <a:p>
          <a:pPr algn="ctr" rtl="0">
            <a:defRPr sz="1000"/>
          </a:pPr>
          <a:r>
            <a:rPr lang="en-US" sz="1100" b="1" i="0" u="none" strike="noStrike" baseline="0">
              <a:solidFill>
                <a:srgbClr val="000000"/>
              </a:solidFill>
              <a:latin typeface="Arial Narrow" panose="020B0606020202030204" pitchFamily="34" charset="0"/>
              <a:cs typeface="Arial"/>
            </a:rPr>
            <a:t>Form DR TB 10B</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M&amp;E%20Activities\Junk\Gene%20Xpert%20Reporting%20national\# Monthly GeneXpert data 2017 (National).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January"/>
      <sheetName val="Menu"/>
      <sheetName val="February"/>
      <sheetName val="March"/>
      <sheetName val="1st Q (Jan-Mar)"/>
      <sheetName val="April"/>
      <sheetName val="May"/>
      <sheetName val="June"/>
      <sheetName val="2nd Q (Apr-Jun)"/>
      <sheetName val="July"/>
      <sheetName val="August"/>
      <sheetName val="September"/>
      <sheetName val="3rd Q (Jul-Sep)"/>
      <sheetName val="October"/>
      <sheetName val="November"/>
      <sheetName val="December"/>
      <sheetName val="4th Q (Oct-Dec)"/>
      <sheetName val="Annual (Jan-De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7"/>
  <sheetViews>
    <sheetView showGridLines="0" view="pageBreakPreview" zoomScaleSheetLayoutView="100" workbookViewId="0">
      <selection sqref="A1:R1"/>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08" t="s">
        <v>807</v>
      </c>
      <c r="B1" s="208"/>
      <c r="C1" s="208"/>
      <c r="D1" s="208"/>
      <c r="E1" s="208"/>
      <c r="F1" s="208"/>
      <c r="G1" s="208"/>
      <c r="H1" s="208"/>
      <c r="I1" s="208"/>
      <c r="J1" s="208"/>
      <c r="K1" s="208"/>
      <c r="L1" s="208"/>
      <c r="M1" s="208"/>
      <c r="N1" s="208"/>
      <c r="O1" s="208"/>
      <c r="P1" s="208"/>
      <c r="Q1" s="208"/>
      <c r="R1" s="208"/>
      <c r="S1" s="1" t="s">
        <v>66</v>
      </c>
      <c r="T1" s="1"/>
      <c r="U1" s="1"/>
      <c r="V1" s="36"/>
      <c r="W1" s="1"/>
      <c r="X1" s="1"/>
    </row>
    <row r="2" spans="1:603" ht="13.95" customHeight="1" x14ac:dyDescent="0.25">
      <c r="A2" s="208" t="s">
        <v>63</v>
      </c>
      <c r="B2" s="208"/>
      <c r="C2" s="208"/>
      <c r="D2" s="208"/>
      <c r="E2" s="208"/>
      <c r="F2" s="208"/>
      <c r="G2" s="208"/>
      <c r="H2" s="208"/>
      <c r="I2" s="208"/>
      <c r="J2" s="208"/>
      <c r="K2" s="208"/>
      <c r="L2" s="208"/>
      <c r="M2" s="208"/>
      <c r="N2" s="208"/>
      <c r="O2" s="208"/>
      <c r="P2" s="208"/>
      <c r="Q2" s="208"/>
      <c r="R2" s="208"/>
      <c r="S2" s="208"/>
      <c r="T2" s="208"/>
      <c r="U2" s="208"/>
      <c r="V2" s="38"/>
      <c r="W2" s="1"/>
      <c r="X2" s="1"/>
    </row>
    <row r="3" spans="1:603" ht="13.95" customHeight="1" x14ac:dyDescent="0.25">
      <c r="A3" s="208" t="s">
        <v>74</v>
      </c>
      <c r="B3" s="208"/>
      <c r="C3" s="208"/>
      <c r="D3" s="208"/>
      <c r="E3" s="208"/>
      <c r="F3" s="208"/>
      <c r="G3" s="208"/>
      <c r="H3" s="208"/>
      <c r="I3" s="208"/>
      <c r="J3" s="208"/>
      <c r="K3" s="208"/>
      <c r="L3" s="208"/>
      <c r="M3" s="208"/>
      <c r="N3" s="208"/>
      <c r="O3" s="208"/>
      <c r="P3" s="208"/>
      <c r="Q3" s="208"/>
      <c r="R3" s="208"/>
      <c r="S3" s="39"/>
      <c r="T3" s="39"/>
      <c r="U3" s="39"/>
      <c r="V3" s="38"/>
      <c r="W3" s="1"/>
      <c r="X3" s="1"/>
    </row>
    <row r="4" spans="1:603" ht="13.95" customHeight="1" x14ac:dyDescent="0.25">
      <c r="A4" s="210" t="s">
        <v>837</v>
      </c>
      <c r="B4" s="210"/>
      <c r="C4" s="210"/>
      <c r="D4" s="210"/>
      <c r="E4" s="210"/>
      <c r="F4" s="210"/>
      <c r="G4" s="210"/>
      <c r="H4" s="210"/>
      <c r="I4" s="210"/>
      <c r="J4" s="210"/>
      <c r="K4" s="210"/>
      <c r="L4" s="210"/>
      <c r="M4" s="210"/>
      <c r="N4" s="210"/>
      <c r="O4" s="210"/>
      <c r="P4" s="210"/>
      <c r="Q4" s="210"/>
      <c r="R4" s="210"/>
      <c r="S4" s="210"/>
      <c r="T4" s="210"/>
      <c r="U4" s="210"/>
      <c r="V4" s="35"/>
      <c r="W4" s="2"/>
      <c r="X4" s="2"/>
    </row>
    <row r="5" spans="1:603" ht="30" customHeight="1" x14ac:dyDescent="0.25">
      <c r="A5" s="2"/>
      <c r="B5" s="2"/>
      <c r="C5" s="2"/>
      <c r="D5" s="2"/>
      <c r="E5" s="2"/>
      <c r="F5" s="2"/>
      <c r="G5" s="2"/>
      <c r="H5" s="2"/>
      <c r="I5" s="2"/>
      <c r="J5" s="146"/>
      <c r="K5" s="147"/>
      <c r="M5" s="2"/>
      <c r="N5" s="2"/>
      <c r="O5" s="2"/>
      <c r="P5" s="2"/>
      <c r="Q5" s="2"/>
      <c r="R5" s="2"/>
      <c r="S5" s="2"/>
      <c r="T5" s="2"/>
      <c r="U5" s="2"/>
      <c r="V5" s="35"/>
      <c r="W5" s="2"/>
      <c r="X5" s="2"/>
    </row>
    <row r="6" spans="1:603" ht="15.75" customHeight="1" x14ac:dyDescent="0.3">
      <c r="A6" s="40" t="s">
        <v>136</v>
      </c>
      <c r="B6" s="40"/>
      <c r="C6" s="273"/>
      <c r="D6" s="273"/>
      <c r="E6" s="273"/>
      <c r="F6" s="273"/>
      <c r="G6" s="273"/>
      <c r="I6" s="1"/>
      <c r="J6" s="41" t="s">
        <v>14</v>
      </c>
      <c r="L6" s="263" t="s">
        <v>848</v>
      </c>
      <c r="M6" s="263"/>
      <c r="N6" s="263"/>
      <c r="O6" s="263"/>
      <c r="P6" s="263"/>
      <c r="Q6" s="263"/>
      <c r="R6" s="263"/>
      <c r="S6" s="290"/>
    </row>
    <row r="7" spans="1:603" ht="15.75" customHeight="1" x14ac:dyDescent="0.25">
      <c r="A7" s="40" t="s">
        <v>9</v>
      </c>
      <c r="B7" s="40"/>
      <c r="C7" s="216"/>
      <c r="D7" s="216"/>
      <c r="E7" s="216"/>
      <c r="F7" s="216"/>
      <c r="G7" s="216"/>
      <c r="I7" s="42"/>
      <c r="J7" s="43" t="s">
        <v>65</v>
      </c>
      <c r="K7" s="43"/>
      <c r="L7" s="43"/>
      <c r="M7" s="43"/>
      <c r="N7" s="263"/>
      <c r="O7" s="263"/>
      <c r="P7" s="263"/>
      <c r="Q7" s="263"/>
      <c r="R7" s="263"/>
      <c r="S7" s="263"/>
      <c r="V7" s="36"/>
    </row>
    <row r="8" spans="1:603" ht="15.75" customHeight="1" x14ac:dyDescent="0.25">
      <c r="A8" s="40" t="s">
        <v>10</v>
      </c>
      <c r="B8" s="40"/>
      <c r="C8" s="216"/>
      <c r="D8" s="216"/>
      <c r="E8" s="216"/>
      <c r="F8" s="216"/>
      <c r="G8" s="216"/>
      <c r="I8" s="42"/>
      <c r="J8" s="43" t="s">
        <v>64</v>
      </c>
      <c r="K8" s="43"/>
      <c r="L8" s="43"/>
      <c r="M8" s="263"/>
      <c r="N8" s="263"/>
      <c r="O8" s="263"/>
      <c r="P8" s="263"/>
      <c r="Q8" s="263"/>
      <c r="R8" s="263"/>
      <c r="S8" s="263"/>
      <c r="V8" s="36"/>
    </row>
    <row r="9" spans="1:603" ht="15.75" customHeight="1" x14ac:dyDescent="0.25">
      <c r="A9" s="40" t="s">
        <v>763</v>
      </c>
      <c r="C9" s="216" t="s">
        <v>879</v>
      </c>
      <c r="D9" s="216"/>
      <c r="E9" s="216"/>
      <c r="F9" s="216"/>
      <c r="G9" s="216"/>
      <c r="J9" s="43" t="s">
        <v>11</v>
      </c>
      <c r="K9" s="43"/>
      <c r="L9" s="43"/>
      <c r="M9" s="264"/>
      <c r="N9" s="264"/>
      <c r="O9" s="44"/>
      <c r="P9" s="9"/>
      <c r="V9" s="36"/>
    </row>
    <row r="10" spans="1:603" ht="15.75" customHeight="1" x14ac:dyDescent="0.3">
      <c r="J10" s="45" t="s">
        <v>69</v>
      </c>
      <c r="K10" s="265"/>
      <c r="L10" s="265"/>
      <c r="M10" s="45"/>
      <c r="N10" s="46"/>
      <c r="O10" s="43" t="s">
        <v>12</v>
      </c>
      <c r="Q10" s="266"/>
      <c r="R10" s="266"/>
      <c r="S10" s="266"/>
      <c r="V10" s="36"/>
    </row>
    <row r="11" spans="1:603" s="46" customFormat="1" ht="14.25" customHeight="1" thickBot="1" x14ac:dyDescent="0.35">
      <c r="A11" s="1" t="s">
        <v>0</v>
      </c>
      <c r="B11" s="47"/>
      <c r="C11" s="47"/>
      <c r="D11" s="47"/>
      <c r="E11" s="47"/>
      <c r="F11" s="37"/>
      <c r="V11" s="48"/>
    </row>
    <row r="12" spans="1:603" s="49" customFormat="1" ht="13.95" customHeight="1" x14ac:dyDescent="0.3">
      <c r="A12" s="279" t="s">
        <v>68</v>
      </c>
      <c r="B12" s="280"/>
      <c r="C12" s="281"/>
      <c r="D12" s="276" t="s">
        <v>77</v>
      </c>
      <c r="E12" s="276"/>
      <c r="F12" s="276"/>
      <c r="G12" s="276"/>
      <c r="H12" s="10">
        <f>D27+E40</f>
        <v>0</v>
      </c>
      <c r="I12" s="46"/>
      <c r="J12" s="219" t="s">
        <v>752</v>
      </c>
      <c r="K12" s="220"/>
      <c r="L12" s="220"/>
      <c r="M12" s="221"/>
      <c r="N12" s="219" t="s">
        <v>753</v>
      </c>
      <c r="O12" s="220"/>
      <c r="P12" s="220"/>
      <c r="Q12" s="220"/>
      <c r="R12" s="220"/>
      <c r="S12" s="220"/>
      <c r="T12" s="220"/>
      <c r="U12" s="22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82"/>
      <c r="B13" s="283"/>
      <c r="C13" s="284"/>
      <c r="D13" s="277" t="s">
        <v>71</v>
      </c>
      <c r="E13" s="277"/>
      <c r="F13" s="277"/>
      <c r="G13" s="277"/>
      <c r="H13" s="11">
        <f>U27</f>
        <v>0</v>
      </c>
      <c r="J13" s="215" t="s">
        <v>699</v>
      </c>
      <c r="K13" s="215"/>
      <c r="L13" s="215"/>
      <c r="M13" s="50"/>
      <c r="N13" s="51" t="s">
        <v>754</v>
      </c>
      <c r="O13" s="51"/>
      <c r="P13" s="51"/>
      <c r="Q13" s="50"/>
      <c r="R13" s="171" t="s">
        <v>755</v>
      </c>
      <c r="S13" s="171"/>
      <c r="T13" s="171"/>
      <c r="U13" s="50"/>
      <c r="V13" s="48"/>
    </row>
    <row r="14" spans="1:603" s="46" customFormat="1" ht="12.75" customHeight="1" thickBot="1" x14ac:dyDescent="0.35">
      <c r="A14" s="285"/>
      <c r="B14" s="286"/>
      <c r="C14" s="287"/>
      <c r="D14" s="278" t="s">
        <v>3</v>
      </c>
      <c r="E14" s="278"/>
      <c r="F14" s="278"/>
      <c r="G14" s="278"/>
      <c r="H14" s="12">
        <f>H12+H13</f>
        <v>0</v>
      </c>
      <c r="J14" s="215" t="s">
        <v>701</v>
      </c>
      <c r="K14" s="215"/>
      <c r="L14" s="215"/>
      <c r="M14" s="50"/>
      <c r="N14" s="51" t="s">
        <v>756</v>
      </c>
      <c r="O14" s="51"/>
      <c r="P14" s="51"/>
      <c r="Q14" s="50"/>
      <c r="R14" s="171" t="s">
        <v>757</v>
      </c>
      <c r="S14" s="171"/>
      <c r="T14" s="171"/>
      <c r="U14" s="50"/>
      <c r="V14" s="48"/>
    </row>
    <row r="15" spans="1:603" s="49" customFormat="1" ht="15" thickBot="1" x14ac:dyDescent="0.35">
      <c r="A15" s="3"/>
      <c r="B15" s="47"/>
      <c r="C15" s="47"/>
      <c r="D15" s="47"/>
      <c r="E15" s="47"/>
      <c r="F15" s="37"/>
      <c r="G15" s="46"/>
      <c r="H15" s="46"/>
      <c r="I15" s="46"/>
      <c r="J15" s="209" t="s">
        <v>700</v>
      </c>
      <c r="K15" s="209"/>
      <c r="L15" s="209"/>
      <c r="M15" s="50"/>
      <c r="N15" s="52" t="s">
        <v>758</v>
      </c>
      <c r="O15" s="52"/>
      <c r="P15" s="52"/>
      <c r="Q15" s="50"/>
      <c r="R15" s="172" t="s">
        <v>759</v>
      </c>
      <c r="S15" s="172"/>
      <c r="T15" s="172"/>
      <c r="U15" s="50"/>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30" t="s">
        <v>59</v>
      </c>
      <c r="B16" s="231"/>
      <c r="C16" s="232"/>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82" t="s">
        <v>60</v>
      </c>
      <c r="B17" s="182"/>
      <c r="C17" s="182"/>
      <c r="D17" s="13">
        <f>D30+E42-D33-E44</f>
        <v>0</v>
      </c>
      <c r="E17" s="13">
        <f>+U30-U33</f>
        <v>0</v>
      </c>
      <c r="F17" s="14">
        <f>+E17+D17</f>
        <v>0</v>
      </c>
      <c r="G17" s="127"/>
      <c r="H17" s="128"/>
      <c r="I17" s="179" t="s">
        <v>820</v>
      </c>
      <c r="J17" s="180" t="s">
        <v>75</v>
      </c>
      <c r="K17" s="180"/>
      <c r="L17" s="180"/>
      <c r="M17" s="178" t="s">
        <v>67</v>
      </c>
      <c r="N17" s="178"/>
      <c r="O17" s="178"/>
      <c r="P17" s="178" t="s">
        <v>3</v>
      </c>
      <c r="Q17" s="275"/>
      <c r="R17" s="181" t="s">
        <v>760</v>
      </c>
      <c r="S17" s="181"/>
      <c r="T17" s="181"/>
      <c r="U17" s="123"/>
    </row>
    <row r="18" spans="1:22" s="46" customFormat="1" ht="17.7" customHeight="1" x14ac:dyDescent="0.3">
      <c r="A18" s="182" t="s">
        <v>61</v>
      </c>
      <c r="B18" s="182"/>
      <c r="C18" s="182"/>
      <c r="D18" s="15">
        <f>D33+E44</f>
        <v>0</v>
      </c>
      <c r="E18" s="16">
        <f>U33</f>
        <v>0</v>
      </c>
      <c r="F18" s="14">
        <f>+E18+D18</f>
        <v>0</v>
      </c>
      <c r="G18" s="127"/>
      <c r="H18" s="128"/>
      <c r="I18" s="179"/>
      <c r="J18" s="136" t="s">
        <v>817</v>
      </c>
      <c r="K18" s="136" t="s">
        <v>818</v>
      </c>
      <c r="L18" s="136" t="s">
        <v>819</v>
      </c>
      <c r="M18" s="136" t="s">
        <v>817</v>
      </c>
      <c r="N18" s="136" t="s">
        <v>818</v>
      </c>
      <c r="O18" s="136" t="s">
        <v>819</v>
      </c>
      <c r="P18" s="178"/>
      <c r="Q18" s="275"/>
      <c r="R18" s="181" t="s">
        <v>761</v>
      </c>
      <c r="S18" s="181"/>
      <c r="T18" s="181"/>
      <c r="U18" s="123"/>
    </row>
    <row r="19" spans="1:22" s="46" customFormat="1" ht="13.95" customHeight="1" x14ac:dyDescent="0.3">
      <c r="A19" s="182" t="s">
        <v>62</v>
      </c>
      <c r="B19" s="182"/>
      <c r="C19" s="182"/>
      <c r="D19" s="6"/>
      <c r="E19" s="8"/>
      <c r="F19" s="14">
        <f>+E19+D19</f>
        <v>0</v>
      </c>
      <c r="G19" s="127"/>
      <c r="H19" s="128"/>
      <c r="I19" s="131" t="s">
        <v>815</v>
      </c>
      <c r="J19" s="134"/>
      <c r="K19" s="134"/>
      <c r="L19" s="134"/>
      <c r="M19" s="134"/>
      <c r="N19" s="134"/>
      <c r="O19" s="134"/>
      <c r="P19" s="155">
        <f>J19+K19+L19+M19+N19+O19</f>
        <v>0</v>
      </c>
      <c r="Q19" s="130"/>
      <c r="R19" s="181" t="s">
        <v>762</v>
      </c>
      <c r="S19" s="181"/>
      <c r="T19" s="181"/>
      <c r="U19" s="123"/>
    </row>
    <row r="20" spans="1:22" s="46" customFormat="1" ht="13.95" customHeight="1" x14ac:dyDescent="0.3">
      <c r="A20" s="182" t="s">
        <v>814</v>
      </c>
      <c r="B20" s="182"/>
      <c r="C20" s="182"/>
      <c r="D20" s="16">
        <f>T35</f>
        <v>0</v>
      </c>
      <c r="E20" s="16">
        <f>U35</f>
        <v>0</v>
      </c>
      <c r="F20" s="14">
        <f>+E20+D20</f>
        <v>0</v>
      </c>
      <c r="I20" s="131" t="s">
        <v>816</v>
      </c>
      <c r="J20" s="134"/>
      <c r="K20" s="134"/>
      <c r="L20" s="134"/>
      <c r="M20" s="134"/>
      <c r="N20" s="134"/>
      <c r="O20" s="134"/>
      <c r="P20" s="155">
        <f>J20+K20+L20+M20+N20+O20</f>
        <v>0</v>
      </c>
      <c r="Q20" s="130"/>
      <c r="T20" s="129"/>
      <c r="U20" s="126"/>
    </row>
    <row r="21" spans="1:22" s="46" customFormat="1" ht="13.95" customHeight="1" thickBot="1" x14ac:dyDescent="0.35">
      <c r="A21" s="182" t="s">
        <v>813</v>
      </c>
      <c r="B21" s="182"/>
      <c r="C21" s="182"/>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27" t="s">
        <v>1</v>
      </c>
      <c r="B24" s="224" t="s">
        <v>78</v>
      </c>
      <c r="C24" s="225"/>
      <c r="D24" s="226"/>
      <c r="E24" s="237" t="s">
        <v>15</v>
      </c>
      <c r="F24" s="238"/>
      <c r="G24" s="238"/>
      <c r="H24" s="238"/>
      <c r="I24" s="238"/>
      <c r="J24" s="238"/>
      <c r="K24" s="238"/>
      <c r="L24" s="238"/>
      <c r="M24" s="238"/>
      <c r="N24" s="238"/>
      <c r="O24" s="238"/>
      <c r="P24" s="238"/>
      <c r="Q24" s="238"/>
      <c r="R24" s="238"/>
      <c r="S24" s="238"/>
      <c r="T24" s="238"/>
      <c r="U24" s="267" t="s">
        <v>764</v>
      </c>
      <c r="V24" s="36"/>
    </row>
    <row r="25" spans="1:22" ht="76.5" customHeight="1" x14ac:dyDescent="0.25">
      <c r="A25" s="228"/>
      <c r="B25" s="21" t="s">
        <v>43</v>
      </c>
      <c r="C25" s="4" t="s">
        <v>44</v>
      </c>
      <c r="D25" s="222" t="s">
        <v>765</v>
      </c>
      <c r="E25" s="61" t="s">
        <v>18</v>
      </c>
      <c r="F25" s="62" t="s">
        <v>19</v>
      </c>
      <c r="G25" s="62" t="s">
        <v>20</v>
      </c>
      <c r="H25" s="62" t="s">
        <v>22</v>
      </c>
      <c r="I25" s="62" t="s">
        <v>24</v>
      </c>
      <c r="J25" s="62" t="s">
        <v>26</v>
      </c>
      <c r="K25" s="62" t="s">
        <v>28</v>
      </c>
      <c r="L25" s="62" t="s">
        <v>30</v>
      </c>
      <c r="M25" s="239" t="s">
        <v>32</v>
      </c>
      <c r="N25" s="239"/>
      <c r="O25" s="239"/>
      <c r="P25" s="239" t="s">
        <v>34</v>
      </c>
      <c r="Q25" s="239"/>
      <c r="R25" s="239"/>
      <c r="S25" s="170" t="s">
        <v>766</v>
      </c>
      <c r="T25" s="170"/>
      <c r="U25" s="268"/>
      <c r="V25" s="36"/>
    </row>
    <row r="26" spans="1:22" ht="22.5" customHeight="1" thickBot="1" x14ac:dyDescent="0.3">
      <c r="A26" s="229"/>
      <c r="B26" s="63" t="s">
        <v>16</v>
      </c>
      <c r="C26" s="64" t="s">
        <v>17</v>
      </c>
      <c r="D26" s="223"/>
      <c r="E26" s="63" t="s">
        <v>21</v>
      </c>
      <c r="F26" s="64" t="s">
        <v>23</v>
      </c>
      <c r="G26" s="64" t="s">
        <v>25</v>
      </c>
      <c r="H26" s="64" t="s">
        <v>27</v>
      </c>
      <c r="I26" s="64" t="s">
        <v>29</v>
      </c>
      <c r="J26" s="64" t="s">
        <v>31</v>
      </c>
      <c r="K26" s="64" t="s">
        <v>33</v>
      </c>
      <c r="L26" s="64" t="s">
        <v>35</v>
      </c>
      <c r="M26" s="240" t="s">
        <v>36</v>
      </c>
      <c r="N26" s="240"/>
      <c r="O26" s="240"/>
      <c r="P26" s="240" t="s">
        <v>72</v>
      </c>
      <c r="Q26" s="240"/>
      <c r="R26" s="240"/>
      <c r="S26" s="240" t="s">
        <v>73</v>
      </c>
      <c r="T26" s="240"/>
      <c r="U26" s="269"/>
      <c r="V26" s="36"/>
    </row>
    <row r="27" spans="1:22" ht="13.95" customHeight="1" x14ac:dyDescent="0.25">
      <c r="A27" s="211" t="s">
        <v>70</v>
      </c>
      <c r="B27" s="200"/>
      <c r="C27" s="165"/>
      <c r="D27" s="160">
        <f>B27+C27</f>
        <v>0</v>
      </c>
      <c r="E27" s="206"/>
      <c r="F27" s="177"/>
      <c r="G27" s="177"/>
      <c r="H27" s="177"/>
      <c r="I27" s="177"/>
      <c r="J27" s="177"/>
      <c r="K27" s="177"/>
      <c r="L27" s="177"/>
      <c r="M27" s="253" t="s">
        <v>37</v>
      </c>
      <c r="N27" s="254"/>
      <c r="O27" s="65"/>
      <c r="P27" s="253" t="s">
        <v>37</v>
      </c>
      <c r="Q27" s="254"/>
      <c r="R27" s="65"/>
      <c r="S27" s="274">
        <f>M41+M42+M43+N41+N42+N43+O41+O42</f>
        <v>0</v>
      </c>
      <c r="T27" s="274"/>
      <c r="U27" s="270">
        <f>E27+F27+G27+H27+I27+J27+K27+L27+O27+O28+O29+R27+R28+R29+S27</f>
        <v>0</v>
      </c>
      <c r="V27" s="36"/>
    </row>
    <row r="28" spans="1:22" ht="13.95" customHeight="1" x14ac:dyDescent="0.25">
      <c r="A28" s="212"/>
      <c r="B28" s="201"/>
      <c r="C28" s="166"/>
      <c r="D28" s="161"/>
      <c r="E28" s="207"/>
      <c r="F28" s="175"/>
      <c r="G28" s="175"/>
      <c r="H28" s="175"/>
      <c r="I28" s="175"/>
      <c r="J28" s="175"/>
      <c r="K28" s="175"/>
      <c r="L28" s="175"/>
      <c r="M28" s="217" t="s">
        <v>13</v>
      </c>
      <c r="N28" s="218"/>
      <c r="O28" s="66"/>
      <c r="P28" s="217" t="s">
        <v>13</v>
      </c>
      <c r="Q28" s="218"/>
      <c r="R28" s="66"/>
      <c r="S28" s="168"/>
      <c r="T28" s="168"/>
      <c r="U28" s="271"/>
      <c r="V28" s="36"/>
    </row>
    <row r="29" spans="1:22" ht="13.95" customHeight="1" x14ac:dyDescent="0.25">
      <c r="A29" s="212"/>
      <c r="B29" s="202"/>
      <c r="C29" s="167"/>
      <c r="D29" s="162"/>
      <c r="E29" s="207"/>
      <c r="F29" s="175"/>
      <c r="G29" s="175"/>
      <c r="H29" s="175"/>
      <c r="I29" s="175"/>
      <c r="J29" s="175"/>
      <c r="K29" s="175"/>
      <c r="L29" s="175"/>
      <c r="M29" s="217" t="s">
        <v>46</v>
      </c>
      <c r="N29" s="218"/>
      <c r="O29" s="66"/>
      <c r="P29" s="217" t="s">
        <v>46</v>
      </c>
      <c r="Q29" s="218"/>
      <c r="R29" s="66"/>
      <c r="S29" s="168"/>
      <c r="T29" s="168"/>
      <c r="U29" s="271"/>
      <c r="V29" s="36"/>
    </row>
    <row r="30" spans="1:22" ht="13.95" customHeight="1" x14ac:dyDescent="0.25">
      <c r="A30" s="212" t="s">
        <v>4</v>
      </c>
      <c r="B30" s="203"/>
      <c r="C30" s="288"/>
      <c r="D30" s="163">
        <f>B30+C30</f>
        <v>0</v>
      </c>
      <c r="E30" s="207"/>
      <c r="F30" s="175"/>
      <c r="G30" s="175"/>
      <c r="H30" s="175"/>
      <c r="I30" s="175"/>
      <c r="J30" s="175"/>
      <c r="K30" s="175"/>
      <c r="L30" s="175"/>
      <c r="M30" s="217" t="s">
        <v>37</v>
      </c>
      <c r="N30" s="218"/>
      <c r="O30" s="66"/>
      <c r="P30" s="217" t="s">
        <v>37</v>
      </c>
      <c r="Q30" s="218"/>
      <c r="R30" s="66"/>
      <c r="S30" s="168">
        <f>P41+P42+P43+Q41+Q42+Q43+R41+R42</f>
        <v>0</v>
      </c>
      <c r="T30" s="168"/>
      <c r="U30" s="271">
        <f>E30+F30+G30+H30+I30+J30+K30+L30+O30+O31+O32+R30+R31+R32+S30</f>
        <v>0</v>
      </c>
      <c r="V30" s="36"/>
    </row>
    <row r="31" spans="1:22" ht="13.95" customHeight="1" x14ac:dyDescent="0.25">
      <c r="A31" s="212"/>
      <c r="B31" s="201"/>
      <c r="C31" s="166"/>
      <c r="D31" s="161"/>
      <c r="E31" s="207"/>
      <c r="F31" s="175"/>
      <c r="G31" s="175"/>
      <c r="H31" s="175"/>
      <c r="I31" s="175"/>
      <c r="J31" s="175"/>
      <c r="K31" s="175"/>
      <c r="L31" s="175"/>
      <c r="M31" s="217" t="s">
        <v>13</v>
      </c>
      <c r="N31" s="218"/>
      <c r="O31" s="66"/>
      <c r="P31" s="217" t="s">
        <v>13</v>
      </c>
      <c r="Q31" s="218"/>
      <c r="R31" s="66"/>
      <c r="S31" s="168"/>
      <c r="T31" s="168"/>
      <c r="U31" s="271"/>
      <c r="V31" s="36"/>
    </row>
    <row r="32" spans="1:22" ht="13.95" customHeight="1" x14ac:dyDescent="0.25">
      <c r="A32" s="212"/>
      <c r="B32" s="202"/>
      <c r="C32" s="167"/>
      <c r="D32" s="162"/>
      <c r="E32" s="207"/>
      <c r="F32" s="175"/>
      <c r="G32" s="175"/>
      <c r="H32" s="175"/>
      <c r="I32" s="175"/>
      <c r="J32" s="175"/>
      <c r="K32" s="175"/>
      <c r="L32" s="175"/>
      <c r="M32" s="217" t="s">
        <v>46</v>
      </c>
      <c r="N32" s="218"/>
      <c r="O32" s="66"/>
      <c r="P32" s="217" t="s">
        <v>46</v>
      </c>
      <c r="Q32" s="218"/>
      <c r="R32" s="66"/>
      <c r="S32" s="168"/>
      <c r="T32" s="168"/>
      <c r="U32" s="271"/>
      <c r="V32" s="36"/>
    </row>
    <row r="33" spans="1:24" ht="13.95" customHeight="1" x14ac:dyDescent="0.25">
      <c r="A33" s="212" t="s">
        <v>5</v>
      </c>
      <c r="B33" s="203"/>
      <c r="C33" s="288"/>
      <c r="D33" s="163">
        <f>B33+C33</f>
        <v>0</v>
      </c>
      <c r="E33" s="207"/>
      <c r="F33" s="175"/>
      <c r="G33" s="175"/>
      <c r="H33" s="175"/>
      <c r="I33" s="175"/>
      <c r="J33" s="175"/>
      <c r="K33" s="175"/>
      <c r="L33" s="175"/>
      <c r="M33" s="217" t="s">
        <v>37</v>
      </c>
      <c r="N33" s="218"/>
      <c r="O33" s="66"/>
      <c r="P33" s="217" t="s">
        <v>37</v>
      </c>
      <c r="Q33" s="218"/>
      <c r="R33" s="66"/>
      <c r="S33" s="168">
        <f>S41+S42+S43+T41+T42+T43+U41+U42</f>
        <v>0</v>
      </c>
      <c r="T33" s="168"/>
      <c r="U33" s="271">
        <f>E33+F33+G33+H33+I33+J33+K33+L33+O33+O34+O35+R33+R34+R35+S33</f>
        <v>0</v>
      </c>
      <c r="V33" s="36"/>
    </row>
    <row r="34" spans="1:24" ht="13.95" customHeight="1" x14ac:dyDescent="0.25">
      <c r="A34" s="212"/>
      <c r="B34" s="201"/>
      <c r="C34" s="166"/>
      <c r="D34" s="161"/>
      <c r="E34" s="207"/>
      <c r="F34" s="175"/>
      <c r="G34" s="175"/>
      <c r="H34" s="175"/>
      <c r="I34" s="175"/>
      <c r="J34" s="175"/>
      <c r="K34" s="175"/>
      <c r="L34" s="175"/>
      <c r="M34" s="217" t="s">
        <v>13</v>
      </c>
      <c r="N34" s="218"/>
      <c r="O34" s="66"/>
      <c r="P34" s="217" t="s">
        <v>13</v>
      </c>
      <c r="Q34" s="218"/>
      <c r="R34" s="66"/>
      <c r="S34" s="168"/>
      <c r="T34" s="168"/>
      <c r="U34" s="271"/>
      <c r="V34" s="36"/>
    </row>
    <row r="35" spans="1:24" ht="13.95" customHeight="1" thickBot="1" x14ac:dyDescent="0.3">
      <c r="A35" s="213"/>
      <c r="B35" s="204"/>
      <c r="C35" s="289"/>
      <c r="D35" s="164"/>
      <c r="E35" s="214"/>
      <c r="F35" s="176"/>
      <c r="G35" s="176"/>
      <c r="H35" s="176"/>
      <c r="I35" s="176"/>
      <c r="J35" s="176"/>
      <c r="K35" s="176"/>
      <c r="L35" s="176"/>
      <c r="M35" s="255" t="s">
        <v>46</v>
      </c>
      <c r="N35" s="256"/>
      <c r="O35" s="67"/>
      <c r="P35" s="255" t="s">
        <v>46</v>
      </c>
      <c r="Q35" s="256"/>
      <c r="R35" s="67"/>
      <c r="S35" s="169"/>
      <c r="T35" s="169"/>
      <c r="U35" s="272"/>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57" t="s">
        <v>42</v>
      </c>
      <c r="B38" s="258"/>
      <c r="C38" s="258"/>
      <c r="D38" s="258"/>
      <c r="E38" s="259"/>
      <c r="F38" s="68"/>
      <c r="G38" s="233" t="s">
        <v>876</v>
      </c>
      <c r="H38" s="234"/>
      <c r="J38" s="197" t="s">
        <v>47</v>
      </c>
      <c r="K38" s="198"/>
      <c r="L38" s="198"/>
      <c r="M38" s="198"/>
      <c r="N38" s="198"/>
      <c r="O38" s="198"/>
      <c r="P38" s="198"/>
      <c r="Q38" s="198"/>
      <c r="R38" s="198"/>
      <c r="S38" s="198"/>
      <c r="T38" s="198"/>
      <c r="U38" s="199"/>
      <c r="V38" s="36"/>
    </row>
    <row r="39" spans="1:24" ht="12.75" customHeight="1" x14ac:dyDescent="0.25">
      <c r="A39" s="69"/>
      <c r="B39" s="70" t="s">
        <v>43</v>
      </c>
      <c r="C39" s="70" t="s">
        <v>44</v>
      </c>
      <c r="D39" s="70" t="s">
        <v>45</v>
      </c>
      <c r="E39" s="71" t="s">
        <v>3</v>
      </c>
      <c r="G39" s="235"/>
      <c r="H39" s="236"/>
      <c r="J39" s="241" t="s">
        <v>2</v>
      </c>
      <c r="K39" s="242"/>
      <c r="L39" s="243"/>
      <c r="M39" s="173" t="s">
        <v>6</v>
      </c>
      <c r="N39" s="173"/>
      <c r="O39" s="173"/>
      <c r="P39" s="173" t="s">
        <v>4</v>
      </c>
      <c r="Q39" s="173"/>
      <c r="R39" s="173"/>
      <c r="S39" s="173" t="s">
        <v>5</v>
      </c>
      <c r="T39" s="173"/>
      <c r="U39" s="174"/>
      <c r="V39" s="36"/>
    </row>
    <row r="40" spans="1:24" ht="15.6" customHeight="1" x14ac:dyDescent="0.25">
      <c r="A40" s="190" t="s">
        <v>39</v>
      </c>
      <c r="B40" s="193"/>
      <c r="C40" s="193"/>
      <c r="D40" s="193"/>
      <c r="E40" s="192">
        <f>B40+C40+D40</f>
        <v>0</v>
      </c>
      <c r="F40" s="185"/>
      <c r="G40" s="186" t="s">
        <v>821</v>
      </c>
      <c r="H40" s="188">
        <f>$E$17+$F$18</f>
        <v>0</v>
      </c>
      <c r="J40" s="244"/>
      <c r="K40" s="245"/>
      <c r="L40" s="246"/>
      <c r="M40" s="70" t="s">
        <v>48</v>
      </c>
      <c r="N40" s="70" t="s">
        <v>7</v>
      </c>
      <c r="O40" s="70" t="s">
        <v>49</v>
      </c>
      <c r="P40" s="70" t="s">
        <v>48</v>
      </c>
      <c r="Q40" s="70" t="s">
        <v>7</v>
      </c>
      <c r="R40" s="70" t="s">
        <v>49</v>
      </c>
      <c r="S40" s="70" t="s">
        <v>48</v>
      </c>
      <c r="T40" s="70" t="s">
        <v>7</v>
      </c>
      <c r="U40" s="71" t="s">
        <v>49</v>
      </c>
      <c r="V40" s="36"/>
    </row>
    <row r="41" spans="1:24" ht="15" customHeight="1" x14ac:dyDescent="0.25">
      <c r="A41" s="190"/>
      <c r="B41" s="196"/>
      <c r="C41" s="196"/>
      <c r="D41" s="196"/>
      <c r="E41" s="192"/>
      <c r="F41" s="185"/>
      <c r="G41" s="187"/>
      <c r="H41" s="189"/>
      <c r="J41" s="247" t="s">
        <v>50</v>
      </c>
      <c r="K41" s="248"/>
      <c r="L41" s="249"/>
      <c r="M41" s="72"/>
      <c r="N41" s="72"/>
      <c r="O41" s="72"/>
      <c r="P41" s="72"/>
      <c r="Q41" s="72"/>
      <c r="R41" s="72"/>
      <c r="S41" s="72"/>
      <c r="T41" s="72"/>
      <c r="U41" s="73"/>
      <c r="V41" s="36"/>
    </row>
    <row r="42" spans="1:24" ht="13.95" customHeight="1" x14ac:dyDescent="0.25">
      <c r="A42" s="190" t="s">
        <v>40</v>
      </c>
      <c r="B42" s="193"/>
      <c r="C42" s="193"/>
      <c r="D42" s="193"/>
      <c r="E42" s="192">
        <f>B42+C42+D42</f>
        <v>0</v>
      </c>
      <c r="F42" s="185"/>
      <c r="G42" s="186" t="s">
        <v>877</v>
      </c>
      <c r="H42" s="188"/>
      <c r="J42" s="247" t="s">
        <v>51</v>
      </c>
      <c r="K42" s="248"/>
      <c r="L42" s="249"/>
      <c r="M42" s="72"/>
      <c r="N42" s="72"/>
      <c r="O42" s="72"/>
      <c r="P42" s="72"/>
      <c r="Q42" s="72"/>
      <c r="R42" s="72"/>
      <c r="S42" s="72"/>
      <c r="T42" s="72"/>
      <c r="U42" s="73"/>
      <c r="V42" s="36"/>
    </row>
    <row r="43" spans="1:24" ht="13.95" customHeight="1" thickBot="1" x14ac:dyDescent="0.3">
      <c r="A43" s="190"/>
      <c r="B43" s="196"/>
      <c r="C43" s="196"/>
      <c r="D43" s="196"/>
      <c r="E43" s="192"/>
      <c r="F43" s="185"/>
      <c r="G43" s="187"/>
      <c r="H43" s="189"/>
      <c r="J43" s="250" t="s">
        <v>52</v>
      </c>
      <c r="K43" s="251"/>
      <c r="L43" s="252"/>
      <c r="M43" s="74"/>
      <c r="N43" s="74"/>
      <c r="O43" s="75"/>
      <c r="P43" s="74"/>
      <c r="Q43" s="74"/>
      <c r="R43" s="75"/>
      <c r="S43" s="74"/>
      <c r="T43" s="74"/>
      <c r="U43" s="76"/>
      <c r="V43" s="36"/>
    </row>
    <row r="44" spans="1:24" ht="10.5" customHeight="1" x14ac:dyDescent="0.25">
      <c r="A44" s="190" t="s">
        <v>41</v>
      </c>
      <c r="B44" s="193"/>
      <c r="C44" s="193"/>
      <c r="D44" s="193"/>
      <c r="E44" s="192">
        <f>B44+C44+D44</f>
        <v>0</v>
      </c>
      <c r="F44" s="185"/>
      <c r="G44" s="186" t="s">
        <v>878</v>
      </c>
      <c r="H44" s="188"/>
      <c r="J44" s="77" t="s">
        <v>53</v>
      </c>
      <c r="K44" s="78"/>
      <c r="L44" s="78"/>
      <c r="M44" s="78"/>
      <c r="N44" s="78"/>
      <c r="O44" s="78"/>
      <c r="P44" s="78"/>
      <c r="Q44" s="78"/>
      <c r="R44" s="78"/>
      <c r="S44" s="78"/>
      <c r="T44" s="78"/>
      <c r="U44" s="78"/>
      <c r="V44" s="79"/>
      <c r="W44" s="78"/>
      <c r="X44" s="78"/>
    </row>
    <row r="45" spans="1:24" ht="13.95" customHeight="1" thickBot="1" x14ac:dyDescent="0.3">
      <c r="A45" s="191"/>
      <c r="B45" s="194"/>
      <c r="C45" s="194"/>
      <c r="D45" s="194"/>
      <c r="E45" s="195"/>
      <c r="F45" s="185"/>
      <c r="G45" s="187"/>
      <c r="H45" s="189"/>
      <c r="V45" s="36"/>
    </row>
    <row r="46" spans="1:24" ht="15" customHeight="1" x14ac:dyDescent="0.25">
      <c r="A46" s="1"/>
      <c r="B46" s="1"/>
      <c r="C46" s="1"/>
      <c r="D46" s="1"/>
      <c r="F46" s="184" t="s">
        <v>672</v>
      </c>
      <c r="G46" s="184"/>
      <c r="H46" s="184"/>
      <c r="L46" s="78" t="s">
        <v>54</v>
      </c>
      <c r="M46" s="78"/>
      <c r="N46" s="78"/>
      <c r="O46" s="78"/>
      <c r="P46" s="78"/>
      <c r="Q46" s="262"/>
      <c r="R46" s="262"/>
      <c r="S46" s="262"/>
      <c r="T46" s="262"/>
      <c r="U46" s="262"/>
      <c r="V46" s="36"/>
    </row>
    <row r="47" spans="1:24" ht="13.95" customHeight="1" x14ac:dyDescent="0.25">
      <c r="A47" s="205"/>
      <c r="B47" s="80"/>
      <c r="C47" s="80"/>
      <c r="D47" s="80"/>
      <c r="E47" s="183"/>
      <c r="F47" s="183"/>
      <c r="G47" s="183"/>
      <c r="H47" s="183"/>
      <c r="I47" s="183"/>
      <c r="J47" s="183"/>
      <c r="K47" s="78"/>
      <c r="L47" s="78" t="s">
        <v>55</v>
      </c>
      <c r="M47" s="262"/>
      <c r="N47" s="262"/>
      <c r="O47" s="262"/>
      <c r="P47" s="262"/>
      <c r="Q47" s="78"/>
      <c r="R47" s="78"/>
      <c r="V47" s="36"/>
    </row>
    <row r="48" spans="1:24" ht="13.95" customHeight="1" x14ac:dyDescent="0.25">
      <c r="A48" s="205"/>
      <c r="B48" s="80"/>
      <c r="C48" s="80"/>
      <c r="D48" s="80"/>
      <c r="E48" s="183"/>
      <c r="F48" s="183"/>
      <c r="G48" s="183"/>
      <c r="H48" s="183"/>
      <c r="I48" s="183"/>
      <c r="J48" s="183"/>
      <c r="K48" s="78"/>
      <c r="L48" s="78" t="s">
        <v>56</v>
      </c>
      <c r="M48" s="261"/>
      <c r="N48" s="261"/>
      <c r="O48" s="261"/>
      <c r="P48" s="261"/>
      <c r="Q48" s="78"/>
      <c r="R48" s="81" t="s">
        <v>57</v>
      </c>
      <c r="S48" s="260"/>
      <c r="T48" s="260"/>
      <c r="V48" s="36"/>
    </row>
    <row r="49" spans="1:22" ht="13.95" customHeight="1" x14ac:dyDescent="0.25">
      <c r="A49" s="185"/>
      <c r="B49" s="31"/>
      <c r="C49" s="31"/>
      <c r="D49" s="31"/>
      <c r="E49" s="183"/>
      <c r="F49" s="183"/>
      <c r="G49" s="183"/>
      <c r="H49" s="183"/>
      <c r="I49" s="183"/>
      <c r="J49" s="183"/>
      <c r="K49" s="78"/>
      <c r="L49" s="78" t="s">
        <v>58</v>
      </c>
      <c r="M49" s="159"/>
      <c r="N49" s="159"/>
      <c r="O49" s="159"/>
      <c r="P49" s="159"/>
      <c r="Q49" s="78"/>
      <c r="R49" s="78"/>
      <c r="V49" s="36"/>
    </row>
    <row r="50" spans="1:22" ht="13.95" customHeight="1" x14ac:dyDescent="0.25">
      <c r="A50" s="185"/>
      <c r="B50" s="31"/>
      <c r="C50" s="31"/>
      <c r="D50" s="31"/>
      <c r="E50" s="183"/>
      <c r="F50" s="183"/>
      <c r="G50" s="183"/>
      <c r="H50" s="183"/>
      <c r="I50" s="183"/>
      <c r="J50" s="183"/>
      <c r="K50" s="78"/>
      <c r="V50" s="36"/>
    </row>
    <row r="98" spans="1:8" hidden="1" x14ac:dyDescent="0.25"/>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7" t="s">
        <v>846</v>
      </c>
    </row>
    <row r="315" spans="5:7" s="82" customFormat="1" ht="25.5" hidden="1" customHeight="1" x14ac:dyDescent="0.25">
      <c r="E315" s="82" t="s">
        <v>106</v>
      </c>
      <c r="F315" s="82" t="s">
        <v>109</v>
      </c>
      <c r="G315" s="82" t="s">
        <v>477</v>
      </c>
    </row>
    <row r="316" spans="5:7" s="82" customFormat="1" ht="25.5" hidden="1" customHeight="1" x14ac:dyDescent="0.25"/>
    <row r="317" spans="5:7" s="82" customFormat="1" ht="25.5" hidden="1" customHeight="1" x14ac:dyDescent="0.25">
      <c r="E317" s="82" t="s">
        <v>106</v>
      </c>
      <c r="F317" s="82" t="s">
        <v>110</v>
      </c>
      <c r="G317" s="82" t="s">
        <v>546</v>
      </c>
    </row>
    <row r="318" spans="5:7" s="82" customFormat="1" ht="25.5" hidden="1" customHeight="1" x14ac:dyDescent="0.25">
      <c r="E318" s="82" t="s">
        <v>106</v>
      </c>
      <c r="F318" s="82" t="s">
        <v>204</v>
      </c>
      <c r="G318" s="82" t="s">
        <v>628</v>
      </c>
    </row>
    <row r="319" spans="5:7" s="82" customFormat="1" ht="25.5" hidden="1" customHeight="1" x14ac:dyDescent="0.25">
      <c r="E319" s="82" t="s">
        <v>106</v>
      </c>
      <c r="F319" s="82" t="s">
        <v>110</v>
      </c>
      <c r="G319" s="82" t="s">
        <v>547</v>
      </c>
    </row>
    <row r="320" spans="5:7" s="82" customFormat="1" ht="25.5" hidden="1" customHeight="1" x14ac:dyDescent="0.25">
      <c r="E320" s="82" t="s">
        <v>106</v>
      </c>
      <c r="F320" s="82" t="s">
        <v>110</v>
      </c>
      <c r="G320" s="82" t="s">
        <v>598</v>
      </c>
    </row>
    <row r="321" spans="5:7" s="82" customFormat="1" ht="25.5" hidden="1" customHeight="1" x14ac:dyDescent="0.25">
      <c r="E321" s="82" t="s">
        <v>106</v>
      </c>
      <c r="F321" s="82" t="s">
        <v>110</v>
      </c>
      <c r="G321" s="82" t="s">
        <v>478</v>
      </c>
    </row>
    <row r="322" spans="5:7" s="82" customFormat="1" ht="25.5" hidden="1" customHeight="1" x14ac:dyDescent="0.25">
      <c r="E322" s="82" t="s">
        <v>106</v>
      </c>
      <c r="F322" s="82" t="s">
        <v>111</v>
      </c>
      <c r="G322" s="82" t="s">
        <v>311</v>
      </c>
    </row>
    <row r="323" spans="5:7" s="82" customFormat="1" ht="25.5" hidden="1" customHeight="1" x14ac:dyDescent="0.25">
      <c r="E323" s="82" t="s">
        <v>106</v>
      </c>
      <c r="F323" s="82" t="s">
        <v>111</v>
      </c>
      <c r="G323" s="82" t="s">
        <v>796</v>
      </c>
    </row>
    <row r="324" spans="5:7" s="82" customFormat="1" ht="25.5" hidden="1" customHeight="1" x14ac:dyDescent="0.25">
      <c r="E324" s="82" t="s">
        <v>106</v>
      </c>
      <c r="F324" s="82" t="s">
        <v>111</v>
      </c>
      <c r="G324" s="82" t="s">
        <v>797</v>
      </c>
    </row>
    <row r="325" spans="5:7" s="82" customFormat="1" ht="25.5" hidden="1" customHeight="1" x14ac:dyDescent="0.25">
      <c r="E325" s="82" t="s">
        <v>106</v>
      </c>
      <c r="F325" s="82" t="s">
        <v>111</v>
      </c>
      <c r="G325" s="82" t="s">
        <v>788</v>
      </c>
    </row>
    <row r="326" spans="5:7" s="82" customFormat="1" ht="25.5" hidden="1" customHeight="1" x14ac:dyDescent="0.25">
      <c r="E326" s="82" t="s">
        <v>106</v>
      </c>
      <c r="F326" s="82" t="s">
        <v>111</v>
      </c>
      <c r="G326" s="82" t="s">
        <v>548</v>
      </c>
    </row>
    <row r="327" spans="5:7" s="82" customFormat="1" ht="25.5" hidden="1" customHeight="1" x14ac:dyDescent="0.25">
      <c r="E327" s="82" t="s">
        <v>106</v>
      </c>
      <c r="F327" s="82" t="s">
        <v>205</v>
      </c>
      <c r="G327" s="82" t="s">
        <v>206</v>
      </c>
    </row>
    <row r="328" spans="5:7" s="82" customFormat="1" ht="25.5" hidden="1" customHeight="1" x14ac:dyDescent="0.25">
      <c r="E328" s="82" t="s">
        <v>106</v>
      </c>
      <c r="F328" s="82" t="s">
        <v>205</v>
      </c>
      <c r="G328" s="82" t="s">
        <v>739</v>
      </c>
    </row>
    <row r="329" spans="5:7" s="82" customFormat="1" ht="25.5" hidden="1" customHeight="1" x14ac:dyDescent="0.25">
      <c r="E329" s="82" t="s">
        <v>106</v>
      </c>
      <c r="F329" s="82" t="s">
        <v>205</v>
      </c>
      <c r="G329" s="82" t="s">
        <v>738</v>
      </c>
    </row>
    <row r="330" spans="5:7" s="82" customFormat="1" ht="25.5" hidden="1" customHeight="1" x14ac:dyDescent="0.25">
      <c r="E330" s="82" t="s">
        <v>106</v>
      </c>
      <c r="F330" s="82" t="s">
        <v>205</v>
      </c>
      <c r="G330" s="82" t="s">
        <v>399</v>
      </c>
    </row>
    <row r="331" spans="5:7" s="82" customFormat="1" ht="25.5" hidden="1" customHeight="1" x14ac:dyDescent="0.25">
      <c r="E331" s="82" t="s">
        <v>106</v>
      </c>
      <c r="F331" s="82" t="s">
        <v>205</v>
      </c>
      <c r="G331" s="82" t="s">
        <v>414</v>
      </c>
    </row>
    <row r="332" spans="5:7" s="82" customFormat="1" ht="25.5" hidden="1" customHeight="1" x14ac:dyDescent="0.25">
      <c r="E332" s="82" t="s">
        <v>106</v>
      </c>
      <c r="F332" s="82" t="s">
        <v>205</v>
      </c>
      <c r="G332" s="82" t="s">
        <v>799</v>
      </c>
    </row>
    <row r="333" spans="5:7" s="82" customFormat="1" ht="25.5" hidden="1" customHeight="1" x14ac:dyDescent="0.25">
      <c r="E333" s="82" t="s">
        <v>106</v>
      </c>
      <c r="F333" s="82" t="s">
        <v>205</v>
      </c>
      <c r="G333" s="82" t="s">
        <v>486</v>
      </c>
    </row>
    <row r="334" spans="5:7" s="82" customFormat="1" ht="25.5" hidden="1" customHeight="1" x14ac:dyDescent="0.25">
      <c r="E334" s="82" t="s">
        <v>106</v>
      </c>
      <c r="F334" s="82" t="s">
        <v>205</v>
      </c>
      <c r="G334" s="82" t="s">
        <v>415</v>
      </c>
    </row>
    <row r="335" spans="5:7" s="82" customFormat="1" ht="25.5" hidden="1" customHeight="1" x14ac:dyDescent="0.25">
      <c r="E335" s="82" t="s">
        <v>106</v>
      </c>
      <c r="F335" s="82" t="s">
        <v>142</v>
      </c>
      <c r="G335" s="82" t="s">
        <v>207</v>
      </c>
    </row>
    <row r="336" spans="5:7" s="82" customFormat="1" ht="25.5" hidden="1" customHeight="1" x14ac:dyDescent="0.25">
      <c r="E336" s="82" t="s">
        <v>106</v>
      </c>
      <c r="F336" s="82" t="s">
        <v>142</v>
      </c>
      <c r="G336" s="82" t="s">
        <v>599</v>
      </c>
    </row>
    <row r="337" spans="5:7" s="82" customFormat="1" ht="25.5" hidden="1" customHeight="1" x14ac:dyDescent="0.25">
      <c r="E337" s="82" t="s">
        <v>106</v>
      </c>
      <c r="F337" s="82" t="s">
        <v>142</v>
      </c>
      <c r="G337" s="82" t="s">
        <v>412</v>
      </c>
    </row>
    <row r="338" spans="5:7" s="82" customFormat="1" ht="25.5" hidden="1" customHeight="1" x14ac:dyDescent="0.25">
      <c r="E338" s="82" t="s">
        <v>106</v>
      </c>
      <c r="F338" s="82" t="s">
        <v>142</v>
      </c>
      <c r="G338" s="82" t="s">
        <v>413</v>
      </c>
    </row>
    <row r="339" spans="5:7" s="82" customFormat="1" ht="25.5" hidden="1" customHeight="1" x14ac:dyDescent="0.25">
      <c r="E339" s="82" t="s">
        <v>106</v>
      </c>
      <c r="F339" s="82" t="s">
        <v>112</v>
      </c>
      <c r="G339" s="82" t="s">
        <v>549</v>
      </c>
    </row>
    <row r="340" spans="5:7" s="82" customFormat="1" ht="25.5" hidden="1" customHeight="1" x14ac:dyDescent="0.25">
      <c r="E340" s="82" t="s">
        <v>106</v>
      </c>
      <c r="F340" s="82" t="s">
        <v>112</v>
      </c>
      <c r="G340" s="82" t="s">
        <v>736</v>
      </c>
    </row>
    <row r="341" spans="5:7" s="82" customFormat="1" ht="25.5" hidden="1" customHeight="1" x14ac:dyDescent="0.25">
      <c r="E341" s="82" t="s">
        <v>106</v>
      </c>
      <c r="F341" s="82" t="s">
        <v>208</v>
      </c>
      <c r="G341" s="82" t="s">
        <v>661</v>
      </c>
    </row>
    <row r="342" spans="5:7" s="82" customFormat="1" ht="25.5" hidden="1" customHeight="1" x14ac:dyDescent="0.25">
      <c r="E342" s="82" t="s">
        <v>106</v>
      </c>
      <c r="F342" s="82" t="s">
        <v>112</v>
      </c>
      <c r="G342" s="82" t="s">
        <v>335</v>
      </c>
    </row>
    <row r="343" spans="5:7" s="82" customFormat="1" ht="25.5" hidden="1" customHeight="1" x14ac:dyDescent="0.25">
      <c r="E343" s="82" t="s">
        <v>106</v>
      </c>
      <c r="F343" s="82" t="s">
        <v>209</v>
      </c>
      <c r="G343" s="82" t="s">
        <v>210</v>
      </c>
    </row>
    <row r="344" spans="5:7" s="82" customFormat="1" ht="25.5" hidden="1" customHeight="1" x14ac:dyDescent="0.25">
      <c r="E344" s="82" t="s">
        <v>106</v>
      </c>
      <c r="F344" s="82" t="s">
        <v>209</v>
      </c>
      <c r="G344" s="82" t="s">
        <v>387</v>
      </c>
    </row>
    <row r="345" spans="5:7" s="82" customFormat="1" ht="25.5" hidden="1" customHeight="1" x14ac:dyDescent="0.25">
      <c r="E345" s="82" t="s">
        <v>106</v>
      </c>
      <c r="F345" s="82" t="s">
        <v>209</v>
      </c>
      <c r="G345" s="82" t="s">
        <v>388</v>
      </c>
    </row>
    <row r="346" spans="5:7" s="82" customFormat="1" ht="25.5" hidden="1" customHeight="1" x14ac:dyDescent="0.25">
      <c r="E346" s="82" t="s">
        <v>106</v>
      </c>
      <c r="F346" s="82" t="s">
        <v>209</v>
      </c>
      <c r="G346" s="82" t="s">
        <v>490</v>
      </c>
    </row>
    <row r="347" spans="5:7" s="82" customFormat="1" ht="25.5" hidden="1" customHeight="1" x14ac:dyDescent="0.25">
      <c r="E347" s="82" t="s">
        <v>106</v>
      </c>
      <c r="F347" s="82" t="s">
        <v>143</v>
      </c>
      <c r="G347" s="82" t="s">
        <v>211</v>
      </c>
    </row>
    <row r="348" spans="5:7" s="82" customFormat="1" ht="25.5" hidden="1" customHeight="1" x14ac:dyDescent="0.25">
      <c r="E348" s="82" t="s">
        <v>106</v>
      </c>
      <c r="F348" s="82" t="s">
        <v>143</v>
      </c>
      <c r="G348" s="82" t="s">
        <v>550</v>
      </c>
    </row>
    <row r="349" spans="5:7" s="82" customFormat="1" ht="25.5" hidden="1" customHeight="1" x14ac:dyDescent="0.25">
      <c r="E349" s="82" t="s">
        <v>106</v>
      </c>
      <c r="F349" s="82" t="s">
        <v>143</v>
      </c>
      <c r="G349" s="87" t="s">
        <v>324</v>
      </c>
    </row>
    <row r="350" spans="5:7" s="82" customFormat="1" ht="25.5" hidden="1" customHeight="1" x14ac:dyDescent="0.25">
      <c r="E350" s="82" t="s">
        <v>106</v>
      </c>
      <c r="F350" s="82" t="s">
        <v>143</v>
      </c>
      <c r="G350" s="87" t="s">
        <v>733</v>
      </c>
    </row>
    <row r="351" spans="5:7" s="82" customFormat="1" ht="25.5" hidden="1" customHeight="1" x14ac:dyDescent="0.25">
      <c r="E351" s="82" t="s">
        <v>106</v>
      </c>
      <c r="F351" s="82" t="s">
        <v>143</v>
      </c>
      <c r="G351" s="82" t="s">
        <v>600</v>
      </c>
    </row>
    <row r="352" spans="5:7" s="82" customFormat="1" ht="25.5" hidden="1" customHeight="1" x14ac:dyDescent="0.25">
      <c r="E352" s="82" t="s">
        <v>106</v>
      </c>
      <c r="F352" s="82" t="s">
        <v>143</v>
      </c>
      <c r="G352" s="82" t="s">
        <v>494</v>
      </c>
    </row>
    <row r="353" spans="5:7" s="82" customFormat="1" ht="25.5" hidden="1" customHeight="1" x14ac:dyDescent="0.25">
      <c r="E353" s="82" t="s">
        <v>106</v>
      </c>
      <c r="F353" s="82" t="s">
        <v>143</v>
      </c>
      <c r="G353" s="82" t="s">
        <v>495</v>
      </c>
    </row>
    <row r="354" spans="5:7" s="82" customFormat="1" ht="25.5" hidden="1" customHeight="1" x14ac:dyDescent="0.25">
      <c r="E354" s="82" t="s">
        <v>106</v>
      </c>
      <c r="F354" s="82" t="s">
        <v>212</v>
      </c>
      <c r="G354" s="82" t="s">
        <v>662</v>
      </c>
    </row>
    <row r="355" spans="5:7" s="82" customFormat="1" ht="25.5" hidden="1" customHeight="1" x14ac:dyDescent="0.25">
      <c r="E355" s="82" t="s">
        <v>106</v>
      </c>
      <c r="F355" s="82" t="s">
        <v>213</v>
      </c>
      <c r="G355" s="82" t="s">
        <v>214</v>
      </c>
    </row>
    <row r="356" spans="5:7" s="82" customFormat="1" ht="25.5" hidden="1" customHeight="1" x14ac:dyDescent="0.25">
      <c r="E356" s="82" t="s">
        <v>106</v>
      </c>
      <c r="F356" s="82" t="s">
        <v>213</v>
      </c>
      <c r="G356" s="82" t="s">
        <v>551</v>
      </c>
    </row>
    <row r="357" spans="5:7" s="82" customFormat="1" ht="25.5" hidden="1" customHeight="1" x14ac:dyDescent="0.25"/>
    <row r="358" spans="5:7" s="82" customFormat="1" ht="25.5" hidden="1" customHeight="1" x14ac:dyDescent="0.25">
      <c r="E358" s="82" t="s">
        <v>106</v>
      </c>
      <c r="F358" s="82" t="s">
        <v>213</v>
      </c>
      <c r="G358" s="87" t="s">
        <v>325</v>
      </c>
    </row>
    <row r="359" spans="5:7" s="82" customFormat="1" ht="25.5" hidden="1" customHeight="1" x14ac:dyDescent="0.25">
      <c r="E359" s="82" t="s">
        <v>106</v>
      </c>
      <c r="F359" s="82" t="s">
        <v>213</v>
      </c>
      <c r="G359" s="87" t="s">
        <v>734</v>
      </c>
    </row>
    <row r="360" spans="5:7" s="82" customFormat="1" ht="25.5" hidden="1" customHeight="1" x14ac:dyDescent="0.25">
      <c r="E360" s="82" t="s">
        <v>106</v>
      </c>
      <c r="F360" s="82" t="s">
        <v>213</v>
      </c>
      <c r="G360" s="82" t="s">
        <v>503</v>
      </c>
    </row>
    <row r="361" spans="5:7" s="82" customFormat="1" ht="25.5" hidden="1" customHeight="1" x14ac:dyDescent="0.25"/>
    <row r="362" spans="5:7" s="82" customFormat="1" ht="25.5" hidden="1" customHeight="1" x14ac:dyDescent="0.25">
      <c r="E362" s="82" t="s">
        <v>106</v>
      </c>
      <c r="F362" s="82" t="s">
        <v>215</v>
      </c>
      <c r="G362" s="82" t="s">
        <v>216</v>
      </c>
    </row>
    <row r="363" spans="5:7" s="82" customFormat="1" ht="25.5" hidden="1" customHeight="1" x14ac:dyDescent="0.25">
      <c r="E363" s="82" t="s">
        <v>106</v>
      </c>
      <c r="F363" s="82" t="s">
        <v>215</v>
      </c>
      <c r="G363" s="82" t="s">
        <v>552</v>
      </c>
    </row>
    <row r="364" spans="5:7" s="82" customFormat="1" ht="25.5" hidden="1" customHeight="1" x14ac:dyDescent="0.25">
      <c r="E364" s="82" t="s">
        <v>106</v>
      </c>
      <c r="F364" s="82" t="s">
        <v>215</v>
      </c>
      <c r="G364" s="82" t="s">
        <v>735</v>
      </c>
    </row>
    <row r="365" spans="5:7" s="82" customFormat="1" ht="25.5" hidden="1" customHeight="1" x14ac:dyDescent="0.25">
      <c r="E365" s="82" t="s">
        <v>106</v>
      </c>
      <c r="F365" s="82" t="s">
        <v>215</v>
      </c>
      <c r="G365" s="82" t="s">
        <v>336</v>
      </c>
    </row>
    <row r="366" spans="5:7" s="82" customFormat="1" ht="25.5" hidden="1" customHeight="1" x14ac:dyDescent="0.25">
      <c r="E366" s="82" t="s">
        <v>106</v>
      </c>
      <c r="F366" s="82" t="s">
        <v>217</v>
      </c>
      <c r="G366" s="82" t="s">
        <v>663</v>
      </c>
    </row>
    <row r="367" spans="5:7" s="82" customFormat="1" ht="25.5" hidden="1" customHeight="1" x14ac:dyDescent="0.25">
      <c r="E367" s="82" t="s">
        <v>106</v>
      </c>
      <c r="F367" s="82" t="s">
        <v>217</v>
      </c>
      <c r="G367" s="82" t="s">
        <v>504</v>
      </c>
    </row>
    <row r="368" spans="5:7" s="82" customFormat="1" ht="25.5" hidden="1" customHeight="1" x14ac:dyDescent="0.25">
      <c r="E368" s="82" t="s">
        <v>106</v>
      </c>
      <c r="F368" s="82" t="s">
        <v>217</v>
      </c>
      <c r="G368" s="82" t="s">
        <v>505</v>
      </c>
    </row>
    <row r="369" spans="5:7" s="82" customFormat="1" ht="25.5" hidden="1" customHeight="1" x14ac:dyDescent="0.25"/>
    <row r="370" spans="5:7" s="82" customFormat="1" ht="25.5" hidden="1" customHeight="1" x14ac:dyDescent="0.25">
      <c r="E370" s="82" t="s">
        <v>106</v>
      </c>
      <c r="F370" s="82" t="s">
        <v>145</v>
      </c>
      <c r="G370" s="82" t="s">
        <v>218</v>
      </c>
    </row>
    <row r="371" spans="5:7" s="82" customFormat="1" ht="25.5" hidden="1" customHeight="1" x14ac:dyDescent="0.25">
      <c r="E371" s="82" t="s">
        <v>106</v>
      </c>
      <c r="F371" s="82" t="s">
        <v>145</v>
      </c>
      <c r="G371" s="82" t="s">
        <v>553</v>
      </c>
    </row>
    <row r="372" spans="5:7" s="82" customFormat="1" ht="25.5" hidden="1" customHeight="1" x14ac:dyDescent="0.25">
      <c r="E372" s="82" t="s">
        <v>106</v>
      </c>
      <c r="F372" s="82" t="s">
        <v>145</v>
      </c>
      <c r="G372" s="82" t="s">
        <v>514</v>
      </c>
    </row>
    <row r="373" spans="5:7" s="82" customFormat="1" ht="25.5" hidden="1" customHeight="1" x14ac:dyDescent="0.25"/>
    <row r="374" spans="5:7" s="82" customFormat="1" ht="25.5" hidden="1" customHeight="1" x14ac:dyDescent="0.25"/>
    <row r="375" spans="5:7" s="82" customFormat="1" ht="25.5" hidden="1" customHeight="1" x14ac:dyDescent="0.25">
      <c r="E375" s="82" t="s">
        <v>106</v>
      </c>
      <c r="F375" s="82" t="s">
        <v>146</v>
      </c>
      <c r="G375" s="82" t="s">
        <v>219</v>
      </c>
    </row>
    <row r="376" spans="5:7" s="82" customFormat="1" ht="25.5" hidden="1" customHeight="1" x14ac:dyDescent="0.25">
      <c r="E376" s="82" t="s">
        <v>106</v>
      </c>
      <c r="F376" s="82" t="s">
        <v>146</v>
      </c>
      <c r="G376" s="82" t="s">
        <v>410</v>
      </c>
    </row>
    <row r="377" spans="5:7" s="82" customFormat="1" ht="25.5" hidden="1" customHeight="1" x14ac:dyDescent="0.25">
      <c r="E377" s="82" t="s">
        <v>106</v>
      </c>
      <c r="F377" s="82" t="s">
        <v>146</v>
      </c>
      <c r="G377" s="82" t="s">
        <v>411</v>
      </c>
    </row>
    <row r="378" spans="5:7" s="82" customFormat="1" ht="25.5" hidden="1" customHeight="1" x14ac:dyDescent="0.25"/>
    <row r="379" spans="5:7" s="82" customFormat="1" ht="25.5" hidden="1" customHeight="1" x14ac:dyDescent="0.25">
      <c r="E379" s="82" t="s">
        <v>106</v>
      </c>
      <c r="F379" s="82" t="s">
        <v>114</v>
      </c>
      <c r="G379" s="82" t="s">
        <v>629</v>
      </c>
    </row>
    <row r="380" spans="5:7" s="82" customFormat="1" ht="25.5" hidden="1" customHeight="1" x14ac:dyDescent="0.25">
      <c r="E380" s="82" t="s">
        <v>106</v>
      </c>
      <c r="F380" s="82" t="s">
        <v>114</v>
      </c>
      <c r="G380" s="82" t="s">
        <v>800</v>
      </c>
    </row>
    <row r="381" spans="5:7" s="82" customFormat="1" ht="25.5" hidden="1" customHeight="1" x14ac:dyDescent="0.25">
      <c r="E381" s="82" t="s">
        <v>106</v>
      </c>
      <c r="F381" s="82" t="s">
        <v>114</v>
      </c>
      <c r="G381" s="82" t="s">
        <v>554</v>
      </c>
    </row>
    <row r="382" spans="5:7" s="82" customFormat="1" ht="25.5" hidden="1" customHeight="1" x14ac:dyDescent="0.25">
      <c r="E382" s="82" t="s">
        <v>106</v>
      </c>
      <c r="F382" s="82" t="s">
        <v>220</v>
      </c>
      <c r="G382" s="82" t="s">
        <v>221</v>
      </c>
    </row>
    <row r="383" spans="5:7" s="82" customFormat="1" ht="25.5" hidden="1" customHeight="1" x14ac:dyDescent="0.25">
      <c r="E383" s="82" t="s">
        <v>106</v>
      </c>
      <c r="F383" s="82" t="s">
        <v>220</v>
      </c>
      <c r="G383" s="82" t="s">
        <v>737</v>
      </c>
    </row>
    <row r="384" spans="5:7" s="82" customFormat="1" ht="25.5" hidden="1" customHeight="1" x14ac:dyDescent="0.25">
      <c r="E384" s="82" t="s">
        <v>106</v>
      </c>
      <c r="F384" s="82" t="s">
        <v>114</v>
      </c>
      <c r="G384" s="82" t="s">
        <v>555</v>
      </c>
    </row>
    <row r="385" spans="5:7" s="82" customFormat="1" ht="25.5" hidden="1" customHeight="1" x14ac:dyDescent="0.3">
      <c r="E385" s="82" t="s">
        <v>106</v>
      </c>
      <c r="F385" s="82" t="s">
        <v>114</v>
      </c>
      <c r="G385" s="83" t="s">
        <v>385</v>
      </c>
    </row>
    <row r="386" spans="5:7" s="82" customFormat="1" ht="25.5" hidden="1" customHeight="1" x14ac:dyDescent="0.3">
      <c r="E386" s="82" t="s">
        <v>106</v>
      </c>
      <c r="F386" s="82" t="s">
        <v>114</v>
      </c>
      <c r="G386" s="83" t="s">
        <v>802</v>
      </c>
    </row>
    <row r="387" spans="5:7" s="82" customFormat="1" ht="25.5" hidden="1" customHeight="1" x14ac:dyDescent="0.3">
      <c r="E387" s="82" t="s">
        <v>106</v>
      </c>
      <c r="F387" s="82" t="s">
        <v>114</v>
      </c>
      <c r="G387" s="83" t="s">
        <v>803</v>
      </c>
    </row>
    <row r="388" spans="5:7" s="82" customFormat="1" ht="25.5" hidden="1" customHeight="1" x14ac:dyDescent="0.3">
      <c r="E388" s="82" t="s">
        <v>106</v>
      </c>
      <c r="F388" s="82" t="s">
        <v>114</v>
      </c>
      <c r="G388" s="83" t="s">
        <v>530</v>
      </c>
    </row>
    <row r="389" spans="5:7" s="82" customFormat="1" ht="25.5" hidden="1" customHeight="1" x14ac:dyDescent="0.3">
      <c r="E389" s="82" t="s">
        <v>106</v>
      </c>
      <c r="F389" s="82" t="s">
        <v>114</v>
      </c>
      <c r="G389" s="83" t="s">
        <v>531</v>
      </c>
    </row>
    <row r="390" spans="5:7" s="82" customFormat="1" ht="25.5" hidden="1" customHeight="1" x14ac:dyDescent="0.3">
      <c r="E390" s="82" t="s">
        <v>106</v>
      </c>
      <c r="F390" s="82" t="s">
        <v>114</v>
      </c>
      <c r="G390" s="83" t="s">
        <v>532</v>
      </c>
    </row>
    <row r="391" spans="5:7" s="82" customFormat="1" ht="25.5" hidden="1" customHeight="1" x14ac:dyDescent="0.3">
      <c r="E391" s="82" t="s">
        <v>106</v>
      </c>
      <c r="F391" s="82" t="s">
        <v>114</v>
      </c>
      <c r="G391" s="83" t="s">
        <v>769</v>
      </c>
    </row>
    <row r="392" spans="5:7" s="82" customFormat="1" ht="25.5" hidden="1" customHeight="1" x14ac:dyDescent="0.3">
      <c r="E392" s="82" t="s">
        <v>106</v>
      </c>
      <c r="F392" s="82" t="s">
        <v>114</v>
      </c>
      <c r="G392" s="83" t="s">
        <v>533</v>
      </c>
    </row>
    <row r="393" spans="5:7" s="82" customFormat="1" ht="25.5" hidden="1" customHeight="1" x14ac:dyDescent="0.25">
      <c r="E393" s="82" t="s">
        <v>106</v>
      </c>
      <c r="F393" s="82" t="s">
        <v>114</v>
      </c>
      <c r="G393" s="82" t="s">
        <v>601</v>
      </c>
    </row>
    <row r="394" spans="5:7" s="82" customFormat="1" ht="25.5" hidden="1" customHeight="1" x14ac:dyDescent="0.25">
      <c r="E394" s="82" t="s">
        <v>118</v>
      </c>
      <c r="F394" s="82" t="s">
        <v>148</v>
      </c>
      <c r="G394" s="82" t="s">
        <v>630</v>
      </c>
    </row>
    <row r="395" spans="5:7" s="82" customFormat="1" ht="25.5" hidden="1" customHeight="1" x14ac:dyDescent="0.25">
      <c r="E395" s="82" t="s">
        <v>118</v>
      </c>
      <c r="F395" s="82" t="s">
        <v>148</v>
      </c>
      <c r="G395" s="82" t="s">
        <v>720</v>
      </c>
    </row>
    <row r="396" spans="5:7" s="82" customFormat="1" ht="25.5" hidden="1" customHeight="1" x14ac:dyDescent="0.25">
      <c r="E396" s="82" t="s">
        <v>118</v>
      </c>
      <c r="F396" s="82" t="s">
        <v>148</v>
      </c>
      <c r="G396" s="82" t="s">
        <v>702</v>
      </c>
    </row>
    <row r="397" spans="5:7" s="82" customFormat="1" ht="25.5" hidden="1" customHeight="1" x14ac:dyDescent="0.25">
      <c r="E397" s="82" t="s">
        <v>118</v>
      </c>
      <c r="F397" s="82" t="s">
        <v>148</v>
      </c>
      <c r="G397" s="82" t="s">
        <v>602</v>
      </c>
    </row>
    <row r="398" spans="5:7" s="82" customFormat="1" ht="25.5" hidden="1" customHeight="1" x14ac:dyDescent="0.25">
      <c r="E398" s="82" t="s">
        <v>118</v>
      </c>
      <c r="F398" s="82" t="s">
        <v>148</v>
      </c>
      <c r="G398" s="82" t="s">
        <v>416</v>
      </c>
    </row>
    <row r="399" spans="5:7" s="82" customFormat="1" ht="25.5" hidden="1" customHeight="1" x14ac:dyDescent="0.25">
      <c r="E399" s="82" t="s">
        <v>118</v>
      </c>
      <c r="F399" s="82" t="s">
        <v>148</v>
      </c>
      <c r="G399" s="82" t="s">
        <v>464</v>
      </c>
    </row>
    <row r="400" spans="5:7" s="82" customFormat="1" ht="25.5" hidden="1" customHeight="1" x14ac:dyDescent="0.25">
      <c r="E400" s="82" t="s">
        <v>118</v>
      </c>
      <c r="F400" s="82" t="s">
        <v>148</v>
      </c>
      <c r="G400" s="82" t="s">
        <v>465</v>
      </c>
    </row>
    <row r="401" spans="5:7" s="82" customFormat="1" ht="25.5" hidden="1" customHeight="1" x14ac:dyDescent="0.25">
      <c r="E401" s="82" t="s">
        <v>118</v>
      </c>
      <c r="F401" s="82" t="s">
        <v>119</v>
      </c>
      <c r="G401" s="82" t="s">
        <v>556</v>
      </c>
    </row>
    <row r="402" spans="5:7" s="82" customFormat="1" ht="25.5" hidden="1" customHeight="1" x14ac:dyDescent="0.25">
      <c r="E402" s="82" t="s">
        <v>118</v>
      </c>
      <c r="F402" s="82" t="s">
        <v>222</v>
      </c>
      <c r="G402" s="82" t="s">
        <v>631</v>
      </c>
    </row>
    <row r="403" spans="5:7" s="82" customFormat="1" ht="25.5" hidden="1" customHeight="1" x14ac:dyDescent="0.25">
      <c r="E403" s="82" t="s">
        <v>118</v>
      </c>
      <c r="F403" s="82" t="s">
        <v>222</v>
      </c>
      <c r="G403" s="82" t="s">
        <v>845</v>
      </c>
    </row>
    <row r="404" spans="5:7" s="82" customFormat="1" ht="25.5" hidden="1" customHeight="1" x14ac:dyDescent="0.25">
      <c r="E404" s="82" t="s">
        <v>118</v>
      </c>
      <c r="F404" s="82" t="s">
        <v>222</v>
      </c>
      <c r="G404" s="82" t="s">
        <v>358</v>
      </c>
    </row>
    <row r="405" spans="5:7" s="82" customFormat="1" ht="25.5" hidden="1" customHeight="1" x14ac:dyDescent="0.25">
      <c r="E405" s="82" t="s">
        <v>118</v>
      </c>
      <c r="F405" s="82" t="s">
        <v>222</v>
      </c>
      <c r="G405" s="82" t="s">
        <v>603</v>
      </c>
    </row>
    <row r="406" spans="5:7" s="82" customFormat="1" ht="25.5" hidden="1" customHeight="1" x14ac:dyDescent="0.25">
      <c r="E406" s="82" t="s">
        <v>118</v>
      </c>
      <c r="F406" s="82" t="s">
        <v>222</v>
      </c>
      <c r="G406" s="82" t="s">
        <v>417</v>
      </c>
    </row>
    <row r="407" spans="5:7" s="82" customFormat="1" ht="25.5" hidden="1" customHeight="1" x14ac:dyDescent="0.25">
      <c r="E407" s="82" t="s">
        <v>118</v>
      </c>
      <c r="F407" s="82" t="s">
        <v>120</v>
      </c>
      <c r="G407" s="82" t="s">
        <v>557</v>
      </c>
    </row>
    <row r="408" spans="5:7" s="82" customFormat="1" ht="25.5" hidden="1" customHeight="1" x14ac:dyDescent="0.25">
      <c r="E408" s="82" t="s">
        <v>118</v>
      </c>
      <c r="F408" s="82" t="s">
        <v>223</v>
      </c>
      <c r="G408" s="82" t="s">
        <v>664</v>
      </c>
    </row>
    <row r="409" spans="5:7" s="82" customFormat="1" ht="25.5" hidden="1" customHeight="1" x14ac:dyDescent="0.25">
      <c r="E409" s="82" t="s">
        <v>118</v>
      </c>
      <c r="F409" s="82" t="s">
        <v>224</v>
      </c>
      <c r="G409" s="82" t="s">
        <v>632</v>
      </c>
    </row>
    <row r="410" spans="5:7" s="82" customFormat="1" ht="25.5" hidden="1" customHeight="1" x14ac:dyDescent="0.25">
      <c r="E410" s="82" t="s">
        <v>118</v>
      </c>
      <c r="F410" s="82" t="s">
        <v>224</v>
      </c>
      <c r="G410" s="82" t="s">
        <v>357</v>
      </c>
    </row>
    <row r="411" spans="5:7" s="82" customFormat="1" ht="25.5" hidden="1" customHeight="1" x14ac:dyDescent="0.25">
      <c r="E411" s="82" t="s">
        <v>118</v>
      </c>
      <c r="F411" s="82" t="s">
        <v>224</v>
      </c>
      <c r="G411" s="82" t="s">
        <v>418</v>
      </c>
    </row>
    <row r="412" spans="5:7" s="82" customFormat="1" ht="25.5" hidden="1" customHeight="1" x14ac:dyDescent="0.25">
      <c r="E412" s="82" t="s">
        <v>118</v>
      </c>
      <c r="F412" s="82" t="s">
        <v>224</v>
      </c>
      <c r="G412" s="82" t="s">
        <v>481</v>
      </c>
    </row>
    <row r="413" spans="5:7" s="82" customFormat="1" ht="25.5" hidden="1" customHeight="1" x14ac:dyDescent="0.25">
      <c r="E413" s="82" t="s">
        <v>118</v>
      </c>
      <c r="F413" s="82" t="s">
        <v>224</v>
      </c>
      <c r="G413" s="82" t="s">
        <v>482</v>
      </c>
    </row>
    <row r="414" spans="5:7" s="82" customFormat="1" ht="25.5" hidden="1" customHeight="1" x14ac:dyDescent="0.25">
      <c r="E414" s="82" t="s">
        <v>118</v>
      </c>
      <c r="F414" s="82" t="s">
        <v>224</v>
      </c>
      <c r="G414" s="82" t="s">
        <v>483</v>
      </c>
    </row>
    <row r="415" spans="5:7" s="82" customFormat="1" ht="25.5" hidden="1" customHeight="1" x14ac:dyDescent="0.25">
      <c r="E415" s="82" t="s">
        <v>118</v>
      </c>
      <c r="F415" s="82" t="s">
        <v>149</v>
      </c>
      <c r="G415" s="82" t="s">
        <v>225</v>
      </c>
    </row>
    <row r="416" spans="5:7" s="82" customFormat="1" ht="25.5" hidden="1" customHeight="1" x14ac:dyDescent="0.25">
      <c r="E416" s="82" t="s">
        <v>118</v>
      </c>
      <c r="F416" s="82" t="s">
        <v>149</v>
      </c>
      <c r="G416" s="82" t="s">
        <v>337</v>
      </c>
    </row>
    <row r="417" spans="5:7" s="82" customFormat="1" ht="25.5" hidden="1" customHeight="1" x14ac:dyDescent="0.25">
      <c r="E417" s="82" t="s">
        <v>118</v>
      </c>
      <c r="F417" s="82" t="s">
        <v>149</v>
      </c>
      <c r="G417" s="82" t="s">
        <v>711</v>
      </c>
    </row>
    <row r="418" spans="5:7" s="82" customFormat="1" ht="25.5" hidden="1" customHeight="1" x14ac:dyDescent="0.25">
      <c r="E418" s="82" t="s">
        <v>118</v>
      </c>
      <c r="F418" s="82" t="s">
        <v>149</v>
      </c>
      <c r="G418" s="82" t="s">
        <v>558</v>
      </c>
    </row>
    <row r="419" spans="5:7" s="82" customFormat="1" ht="25.5" hidden="1" customHeight="1" x14ac:dyDescent="0.25">
      <c r="E419" s="82" t="s">
        <v>118</v>
      </c>
      <c r="F419" s="82" t="s">
        <v>149</v>
      </c>
      <c r="G419" s="82" t="s">
        <v>604</v>
      </c>
    </row>
    <row r="420" spans="5:7" s="82" customFormat="1" ht="25.5" hidden="1" customHeight="1" x14ac:dyDescent="0.25">
      <c r="E420" s="82" t="s">
        <v>118</v>
      </c>
      <c r="F420" s="82" t="s">
        <v>149</v>
      </c>
      <c r="G420" s="82" t="s">
        <v>419</v>
      </c>
    </row>
    <row r="421" spans="5:7" s="82" customFormat="1" ht="25.5" hidden="1" customHeight="1" x14ac:dyDescent="0.25">
      <c r="E421" s="82" t="s">
        <v>118</v>
      </c>
      <c r="F421" s="82" t="s">
        <v>149</v>
      </c>
      <c r="G421" s="82" t="s">
        <v>480</v>
      </c>
    </row>
    <row r="422" spans="5:7" s="82" customFormat="1" ht="25.5" hidden="1" customHeight="1" x14ac:dyDescent="0.25">
      <c r="E422" s="82" t="s">
        <v>118</v>
      </c>
      <c r="F422" s="82" t="s">
        <v>118</v>
      </c>
      <c r="G422" s="82" t="s">
        <v>226</v>
      </c>
    </row>
    <row r="423" spans="5:7" s="82" customFormat="1" ht="25.5" hidden="1" customHeight="1" x14ac:dyDescent="0.25">
      <c r="E423" s="82" t="s">
        <v>118</v>
      </c>
      <c r="F423" s="82" t="s">
        <v>118</v>
      </c>
      <c r="G423" s="82" t="s">
        <v>665</v>
      </c>
    </row>
    <row r="424" spans="5:7" s="82" customFormat="1" ht="25.5" hidden="1" customHeight="1" x14ac:dyDescent="0.25">
      <c r="E424" s="82" t="s">
        <v>118</v>
      </c>
      <c r="F424" s="82" t="s">
        <v>118</v>
      </c>
      <c r="G424" s="82" t="s">
        <v>559</v>
      </c>
    </row>
    <row r="425" spans="5:7" s="82" customFormat="1" ht="25.5" hidden="1" customHeight="1" x14ac:dyDescent="0.25">
      <c r="E425" s="82" t="s">
        <v>118</v>
      </c>
      <c r="F425" s="82" t="s">
        <v>227</v>
      </c>
      <c r="G425" s="82" t="s">
        <v>633</v>
      </c>
    </row>
    <row r="426" spans="5:7" s="82" customFormat="1" ht="25.5" hidden="1" customHeight="1" x14ac:dyDescent="0.25">
      <c r="E426" s="82" t="s">
        <v>118</v>
      </c>
      <c r="F426" s="82" t="s">
        <v>118</v>
      </c>
      <c r="G426" s="82" t="s">
        <v>338</v>
      </c>
    </row>
    <row r="427" spans="5:7" s="82" customFormat="1" ht="25.5" hidden="1" customHeight="1" x14ac:dyDescent="0.25">
      <c r="E427" s="82" t="s">
        <v>118</v>
      </c>
      <c r="F427" s="82" t="s">
        <v>227</v>
      </c>
      <c r="G427" s="82" t="s">
        <v>317</v>
      </c>
    </row>
    <row r="428" spans="5:7" s="82" customFormat="1" ht="25.5" hidden="1" customHeight="1" x14ac:dyDescent="0.25">
      <c r="E428" s="82" t="s">
        <v>118</v>
      </c>
      <c r="F428" s="82" t="s">
        <v>227</v>
      </c>
      <c r="G428" s="82" t="s">
        <v>420</v>
      </c>
    </row>
    <row r="429" spans="5:7" s="82" customFormat="1" ht="25.5" hidden="1" customHeight="1" x14ac:dyDescent="0.25">
      <c r="E429" s="82" t="s">
        <v>118</v>
      </c>
      <c r="F429" s="82" t="s">
        <v>227</v>
      </c>
      <c r="G429" s="82" t="s">
        <v>484</v>
      </c>
    </row>
    <row r="430" spans="5:7" s="82" customFormat="1" ht="25.5" hidden="1" customHeight="1" x14ac:dyDescent="0.25">
      <c r="E430" s="82" t="s">
        <v>118</v>
      </c>
      <c r="F430" s="82" t="s">
        <v>227</v>
      </c>
      <c r="G430" s="82" t="s">
        <v>485</v>
      </c>
    </row>
    <row r="431" spans="5:7" s="82" customFormat="1" ht="25.5" hidden="1" customHeight="1" x14ac:dyDescent="0.25">
      <c r="E431" s="82" t="s">
        <v>118</v>
      </c>
      <c r="F431" s="82" t="s">
        <v>121</v>
      </c>
      <c r="G431" s="82" t="s">
        <v>560</v>
      </c>
    </row>
    <row r="432" spans="5:7" s="82" customFormat="1" ht="25.5" hidden="1" customHeight="1" x14ac:dyDescent="0.25">
      <c r="E432" s="82" t="s">
        <v>118</v>
      </c>
      <c r="F432" s="82" t="s">
        <v>228</v>
      </c>
      <c r="G432" s="82" t="s">
        <v>634</v>
      </c>
    </row>
    <row r="433" spans="5:7" s="82" customFormat="1" ht="25.5" hidden="1" customHeight="1" x14ac:dyDescent="0.25">
      <c r="E433" s="82" t="s">
        <v>118</v>
      </c>
      <c r="F433" s="82" t="s">
        <v>228</v>
      </c>
      <c r="G433" s="82" t="s">
        <v>732</v>
      </c>
    </row>
    <row r="434" spans="5:7" s="82" customFormat="1" ht="25.5" hidden="1" customHeight="1" x14ac:dyDescent="0.25">
      <c r="E434" s="82" t="s">
        <v>118</v>
      </c>
      <c r="F434" s="82" t="s">
        <v>121</v>
      </c>
      <c r="G434" s="82" t="s">
        <v>561</v>
      </c>
    </row>
    <row r="435" spans="5:7" s="82" customFormat="1" ht="25.5" hidden="1" customHeight="1" x14ac:dyDescent="0.25">
      <c r="E435" s="82" t="s">
        <v>118</v>
      </c>
      <c r="F435" s="82" t="s">
        <v>121</v>
      </c>
      <c r="G435" s="82" t="s">
        <v>359</v>
      </c>
    </row>
    <row r="436" spans="5:7" s="82" customFormat="1" ht="25.5" hidden="1" customHeight="1" x14ac:dyDescent="0.25">
      <c r="E436" s="82" t="s">
        <v>118</v>
      </c>
      <c r="F436" s="82" t="s">
        <v>121</v>
      </c>
      <c r="G436" s="82" t="s">
        <v>421</v>
      </c>
    </row>
    <row r="437" spans="5:7" s="82" customFormat="1" ht="25.5" hidden="1" customHeight="1" x14ac:dyDescent="0.25">
      <c r="E437" s="82" t="s">
        <v>118</v>
      </c>
      <c r="F437" s="82" t="s">
        <v>150</v>
      </c>
      <c r="G437" s="82" t="s">
        <v>635</v>
      </c>
    </row>
    <row r="438" spans="5:7" s="82" customFormat="1" ht="25.5" hidden="1" customHeight="1" x14ac:dyDescent="0.25">
      <c r="E438" s="82" t="s">
        <v>118</v>
      </c>
      <c r="F438" s="82" t="s">
        <v>150</v>
      </c>
      <c r="G438" s="82" t="s">
        <v>562</v>
      </c>
    </row>
    <row r="439" spans="5:7" s="82" customFormat="1" ht="25.5" hidden="1" customHeight="1" x14ac:dyDescent="0.25">
      <c r="E439" s="82" t="s">
        <v>118</v>
      </c>
      <c r="F439" s="82" t="s">
        <v>150</v>
      </c>
      <c r="G439" s="82" t="s">
        <v>489</v>
      </c>
    </row>
    <row r="440" spans="5:7" s="82" customFormat="1" ht="25.5" hidden="1" customHeight="1" x14ac:dyDescent="0.25"/>
    <row r="441" spans="5:7" s="82" customFormat="1" ht="25.5" hidden="1" customHeight="1" x14ac:dyDescent="0.25"/>
    <row r="442" spans="5:7" s="82" customFormat="1" ht="25.5" hidden="1" customHeight="1" x14ac:dyDescent="0.25">
      <c r="E442" s="82" t="s">
        <v>118</v>
      </c>
      <c r="F442" s="82" t="s">
        <v>151</v>
      </c>
      <c r="G442" s="82" t="s">
        <v>636</v>
      </c>
    </row>
    <row r="443" spans="5:7" s="82" customFormat="1" ht="25.5" hidden="1" customHeight="1" x14ac:dyDescent="0.25">
      <c r="E443" s="82" t="s">
        <v>118</v>
      </c>
      <c r="F443" s="82" t="s">
        <v>151</v>
      </c>
      <c r="G443" s="82" t="s">
        <v>844</v>
      </c>
    </row>
    <row r="444" spans="5:7" s="82" customFormat="1" ht="25.5" hidden="1" customHeight="1" x14ac:dyDescent="0.25">
      <c r="E444" s="82" t="s">
        <v>118</v>
      </c>
      <c r="F444" s="82" t="s">
        <v>151</v>
      </c>
      <c r="G444" s="82" t="s">
        <v>339</v>
      </c>
    </row>
    <row r="445" spans="5:7" s="82" customFormat="1" ht="25.5" hidden="1" customHeight="1" x14ac:dyDescent="0.25">
      <c r="E445" s="82" t="s">
        <v>118</v>
      </c>
      <c r="F445" s="82" t="s">
        <v>151</v>
      </c>
      <c r="G445" s="82" t="s">
        <v>491</v>
      </c>
    </row>
    <row r="446" spans="5:7" s="82" customFormat="1" ht="25.5" hidden="1" customHeight="1" x14ac:dyDescent="0.25"/>
    <row r="447" spans="5:7" s="82" customFormat="1" ht="25.5" hidden="1" customHeight="1" x14ac:dyDescent="0.25">
      <c r="E447" s="82" t="s">
        <v>118</v>
      </c>
      <c r="F447" s="82" t="s">
        <v>229</v>
      </c>
      <c r="G447" s="82" t="s">
        <v>230</v>
      </c>
    </row>
    <row r="448" spans="5:7" s="82" customFormat="1" ht="25.5" hidden="1" customHeight="1" x14ac:dyDescent="0.3">
      <c r="E448" s="82" t="s">
        <v>118</v>
      </c>
      <c r="F448" s="82" t="s">
        <v>152</v>
      </c>
      <c r="G448" s="83" t="s">
        <v>365</v>
      </c>
    </row>
    <row r="449" spans="5:7" s="82" customFormat="1" ht="25.5" hidden="1" customHeight="1" x14ac:dyDescent="0.25">
      <c r="E449" s="82" t="s">
        <v>118</v>
      </c>
      <c r="F449" s="82" t="s">
        <v>152</v>
      </c>
      <c r="G449" s="82" t="s">
        <v>502</v>
      </c>
    </row>
    <row r="450" spans="5:7" s="82" customFormat="1" ht="25.5" hidden="1" customHeight="1" x14ac:dyDescent="0.25"/>
    <row r="451" spans="5:7" s="82" customFormat="1" ht="25.5" hidden="1" customHeight="1" x14ac:dyDescent="0.25">
      <c r="E451" s="82" t="s">
        <v>118</v>
      </c>
      <c r="F451" s="82" t="s">
        <v>122</v>
      </c>
      <c r="G451" s="82" t="s">
        <v>563</v>
      </c>
    </row>
    <row r="452" spans="5:7" s="82" customFormat="1" ht="25.5" hidden="1" customHeight="1" x14ac:dyDescent="0.25">
      <c r="E452" s="82" t="s">
        <v>118</v>
      </c>
      <c r="F452" s="82" t="s">
        <v>231</v>
      </c>
      <c r="G452" s="82" t="s">
        <v>637</v>
      </c>
    </row>
    <row r="453" spans="5:7" s="82" customFormat="1" ht="25.5" hidden="1" customHeight="1" x14ac:dyDescent="0.25">
      <c r="E453" s="82" t="s">
        <v>118</v>
      </c>
      <c r="F453" s="82" t="s">
        <v>122</v>
      </c>
      <c r="G453" s="82" t="s">
        <v>356</v>
      </c>
    </row>
    <row r="454" spans="5:7" s="82" customFormat="1" ht="25.5" hidden="1" customHeight="1" x14ac:dyDescent="0.25">
      <c r="E454" s="82" t="s">
        <v>118</v>
      </c>
      <c r="F454" s="82" t="s">
        <v>122</v>
      </c>
      <c r="G454" s="82" t="s">
        <v>605</v>
      </c>
    </row>
    <row r="455" spans="5:7" s="82" customFormat="1" ht="25.5" hidden="1" customHeight="1" x14ac:dyDescent="0.25">
      <c r="E455" s="82" t="s">
        <v>118</v>
      </c>
      <c r="F455" s="82" t="s">
        <v>122</v>
      </c>
      <c r="G455" s="82" t="s">
        <v>519</v>
      </c>
    </row>
    <row r="456" spans="5:7" s="82" customFormat="1" ht="25.5" hidden="1" customHeight="1" x14ac:dyDescent="0.25">
      <c r="E456" s="82" t="s">
        <v>118</v>
      </c>
      <c r="F456" s="82" t="s">
        <v>122</v>
      </c>
      <c r="G456" s="82" t="s">
        <v>520</v>
      </c>
    </row>
    <row r="457" spans="5:7" s="82" customFormat="1" ht="25.5" hidden="1" customHeight="1" x14ac:dyDescent="0.25">
      <c r="E457" s="82" t="s">
        <v>118</v>
      </c>
      <c r="F457" s="82" t="s">
        <v>122</v>
      </c>
      <c r="G457" s="82" t="s">
        <v>521</v>
      </c>
    </row>
    <row r="458" spans="5:7" s="82" customFormat="1" ht="25.5" hidden="1" customHeight="1" x14ac:dyDescent="0.25">
      <c r="E458" s="82" t="s">
        <v>118</v>
      </c>
      <c r="F458" s="82" t="s">
        <v>122</v>
      </c>
      <c r="G458" s="82" t="s">
        <v>422</v>
      </c>
    </row>
    <row r="459" spans="5:7" s="82" customFormat="1" ht="25.5" hidden="1" customHeight="1" x14ac:dyDescent="0.25">
      <c r="E459" s="82" t="s">
        <v>117</v>
      </c>
      <c r="F459" s="82" t="s">
        <v>141</v>
      </c>
      <c r="G459" s="82" t="s">
        <v>638</v>
      </c>
    </row>
    <row r="460" spans="5:7" s="82" customFormat="1" ht="25.5" hidden="1" customHeight="1" x14ac:dyDescent="0.25">
      <c r="E460" s="82" t="s">
        <v>117</v>
      </c>
      <c r="F460" s="82" t="s">
        <v>141</v>
      </c>
      <c r="G460" s="82" t="s">
        <v>564</v>
      </c>
    </row>
    <row r="461" spans="5:7" s="82" customFormat="1" ht="25.5" hidden="1" customHeight="1" x14ac:dyDescent="0.25">
      <c r="E461" s="82" t="s">
        <v>117</v>
      </c>
      <c r="F461" s="82" t="s">
        <v>141</v>
      </c>
      <c r="G461" s="82" t="s">
        <v>784</v>
      </c>
    </row>
    <row r="462" spans="5:7" s="82" customFormat="1" ht="25.5" hidden="1" customHeight="1" x14ac:dyDescent="0.25">
      <c r="E462" s="82" t="s">
        <v>117</v>
      </c>
      <c r="F462" s="82" t="s">
        <v>141</v>
      </c>
      <c r="G462" s="82" t="s">
        <v>423</v>
      </c>
    </row>
    <row r="463" spans="5:7" s="82" customFormat="1" ht="25.5" hidden="1" customHeight="1" x14ac:dyDescent="0.25">
      <c r="E463" s="82" t="s">
        <v>117</v>
      </c>
      <c r="F463" s="82" t="s">
        <v>141</v>
      </c>
      <c r="G463" s="82" t="s">
        <v>801</v>
      </c>
    </row>
    <row r="464" spans="5:7" s="82" customFormat="1" ht="25.5" hidden="1" customHeight="1" x14ac:dyDescent="0.25">
      <c r="E464" s="82" t="s">
        <v>117</v>
      </c>
      <c r="F464" s="82" t="s">
        <v>141</v>
      </c>
      <c r="G464" s="82" t="s">
        <v>777</v>
      </c>
    </row>
    <row r="465" spans="5:7" s="82" customFormat="1" ht="25.5" hidden="1" customHeight="1" x14ac:dyDescent="0.25">
      <c r="E465" s="82" t="s">
        <v>117</v>
      </c>
      <c r="F465" s="82" t="s">
        <v>141</v>
      </c>
      <c r="G465" s="82" t="s">
        <v>707</v>
      </c>
    </row>
    <row r="466" spans="5:7" s="82" customFormat="1" ht="25.5" hidden="1" customHeight="1" x14ac:dyDescent="0.25">
      <c r="E466" s="82" t="s">
        <v>117</v>
      </c>
      <c r="F466" s="82" t="s">
        <v>141</v>
      </c>
      <c r="G466" s="82" t="s">
        <v>479</v>
      </c>
    </row>
    <row r="467" spans="5:7" s="82" customFormat="1" ht="25.5" hidden="1" customHeight="1" x14ac:dyDescent="0.25"/>
    <row r="468" spans="5:7" s="82" customFormat="1" ht="25.5" hidden="1" customHeight="1" x14ac:dyDescent="0.25">
      <c r="E468" s="82" t="s">
        <v>265</v>
      </c>
      <c r="F468" s="82" t="s">
        <v>265</v>
      </c>
      <c r="G468" s="82" t="s">
        <v>666</v>
      </c>
    </row>
    <row r="469" spans="5:7" s="82" customFormat="1" ht="25.5" hidden="1" customHeight="1" x14ac:dyDescent="0.25">
      <c r="E469" s="82" t="s">
        <v>117</v>
      </c>
      <c r="F469" s="82" t="s">
        <v>117</v>
      </c>
      <c r="G469" s="82" t="s">
        <v>565</v>
      </c>
    </row>
    <row r="470" spans="5:7" s="82" customFormat="1" ht="25.5" hidden="1" customHeight="1" x14ac:dyDescent="0.25">
      <c r="E470" s="82" t="s">
        <v>117</v>
      </c>
      <c r="F470" s="82" t="s">
        <v>232</v>
      </c>
      <c r="G470" s="82" t="s">
        <v>233</v>
      </c>
    </row>
    <row r="471" spans="5:7" s="82" customFormat="1" ht="25.5" hidden="1" customHeight="1" x14ac:dyDescent="0.25">
      <c r="E471" s="82" t="s">
        <v>117</v>
      </c>
      <c r="F471" s="82" t="s">
        <v>117</v>
      </c>
      <c r="G471" s="82" t="s">
        <v>343</v>
      </c>
    </row>
    <row r="472" spans="5:7" s="82" customFormat="1" ht="25.5" hidden="1" customHeight="1" x14ac:dyDescent="0.25">
      <c r="E472" s="82" t="s">
        <v>117</v>
      </c>
      <c r="F472" s="82" t="s">
        <v>232</v>
      </c>
      <c r="G472" s="82" t="s">
        <v>234</v>
      </c>
    </row>
    <row r="473" spans="5:7" s="82" customFormat="1" ht="25.5" hidden="1" customHeight="1" x14ac:dyDescent="0.25">
      <c r="E473" s="82" t="s">
        <v>117</v>
      </c>
      <c r="F473" s="82" t="s">
        <v>232</v>
      </c>
      <c r="G473" s="82" t="s">
        <v>731</v>
      </c>
    </row>
    <row r="474" spans="5:7" s="82" customFormat="1" ht="25.5" hidden="1" customHeight="1" x14ac:dyDescent="0.25">
      <c r="E474" s="82" t="s">
        <v>117</v>
      </c>
      <c r="F474" s="82" t="s">
        <v>117</v>
      </c>
      <c r="G474" s="82" t="s">
        <v>349</v>
      </c>
    </row>
    <row r="475" spans="5:7" s="82" customFormat="1" ht="25.5" hidden="1" customHeight="1" x14ac:dyDescent="0.25">
      <c r="E475" s="82" t="s">
        <v>117</v>
      </c>
      <c r="F475" s="82" t="s">
        <v>117</v>
      </c>
      <c r="G475" s="82" t="s">
        <v>424</v>
      </c>
    </row>
    <row r="476" spans="5:7" s="82" customFormat="1" ht="25.5" hidden="1" customHeight="1" x14ac:dyDescent="0.25">
      <c r="E476" s="82" t="s">
        <v>117</v>
      </c>
      <c r="F476" s="82" t="s">
        <v>117</v>
      </c>
      <c r="G476" s="82" t="s">
        <v>496</v>
      </c>
    </row>
    <row r="477" spans="5:7" s="82" customFormat="1" ht="25.5" hidden="1" customHeight="1" x14ac:dyDescent="0.25">
      <c r="E477" s="82" t="s">
        <v>117</v>
      </c>
      <c r="F477" s="82" t="s">
        <v>117</v>
      </c>
      <c r="G477" s="82" t="s">
        <v>804</v>
      </c>
    </row>
    <row r="478" spans="5:7" s="82" customFormat="1" ht="25.5" hidden="1" customHeight="1" x14ac:dyDescent="0.25">
      <c r="E478" s="82" t="s">
        <v>117</v>
      </c>
      <c r="F478" s="82" t="s">
        <v>117</v>
      </c>
      <c r="G478" s="82" t="s">
        <v>497</v>
      </c>
    </row>
    <row r="479" spans="5:7" s="82" customFormat="1" ht="25.5" hidden="1" customHeight="1" x14ac:dyDescent="0.25">
      <c r="E479" s="82" t="s">
        <v>117</v>
      </c>
      <c r="F479" s="82" t="s">
        <v>117</v>
      </c>
      <c r="G479" s="82" t="s">
        <v>498</v>
      </c>
    </row>
    <row r="480" spans="5:7" s="82" customFormat="1" ht="25.5" hidden="1" customHeight="1" x14ac:dyDescent="0.25">
      <c r="E480" s="82" t="s">
        <v>117</v>
      </c>
      <c r="F480" s="82" t="s">
        <v>117</v>
      </c>
      <c r="G480" s="82" t="s">
        <v>499</v>
      </c>
    </row>
    <row r="481" spans="5:7" s="82" customFormat="1" ht="25.5" hidden="1" customHeight="1" x14ac:dyDescent="0.25">
      <c r="E481" s="82" t="s">
        <v>117</v>
      </c>
      <c r="F481" s="82" t="s">
        <v>117</v>
      </c>
      <c r="G481" s="82" t="s">
        <v>500</v>
      </c>
    </row>
    <row r="482" spans="5:7" s="82" customFormat="1" ht="25.5" hidden="1" customHeight="1" x14ac:dyDescent="0.25"/>
    <row r="483" spans="5:7" s="82" customFormat="1" ht="25.5" hidden="1" customHeight="1" x14ac:dyDescent="0.25"/>
    <row r="484" spans="5:7" s="82" customFormat="1" ht="25.5" hidden="1" customHeight="1" x14ac:dyDescent="0.25"/>
    <row r="485" spans="5:7" s="82" customFormat="1" ht="25.5" hidden="1" customHeight="1" x14ac:dyDescent="0.25">
      <c r="E485" s="82" t="s">
        <v>117</v>
      </c>
      <c r="F485" s="82" t="s">
        <v>235</v>
      </c>
      <c r="G485" s="82" t="s">
        <v>236</v>
      </c>
    </row>
    <row r="486" spans="5:7" s="82" customFormat="1" ht="25.5" hidden="1" customHeight="1" x14ac:dyDescent="0.25">
      <c r="E486" s="82" t="s">
        <v>117</v>
      </c>
      <c r="F486" s="82" t="s">
        <v>237</v>
      </c>
      <c r="G486" s="82" t="s">
        <v>566</v>
      </c>
    </row>
    <row r="487" spans="5:7" s="82" customFormat="1" ht="25.5" hidden="1" customHeight="1" x14ac:dyDescent="0.25">
      <c r="E487" s="82" t="s">
        <v>117</v>
      </c>
      <c r="F487" s="82" t="s">
        <v>237</v>
      </c>
      <c r="G487" s="82" t="s">
        <v>351</v>
      </c>
    </row>
    <row r="488" spans="5:7" s="82" customFormat="1" ht="25.5" hidden="1" customHeight="1" x14ac:dyDescent="0.25">
      <c r="E488" s="82" t="s">
        <v>117</v>
      </c>
      <c r="F488" s="82" t="s">
        <v>237</v>
      </c>
      <c r="G488" s="82" t="s">
        <v>606</v>
      </c>
    </row>
    <row r="489" spans="5:7" s="82" customFormat="1" ht="25.5" hidden="1" customHeight="1" x14ac:dyDescent="0.25">
      <c r="E489" s="82" t="s">
        <v>117</v>
      </c>
      <c r="F489" s="82" t="s">
        <v>237</v>
      </c>
      <c r="G489" s="82" t="s">
        <v>508</v>
      </c>
    </row>
    <row r="490" spans="5:7" s="82" customFormat="1" ht="25.5" hidden="1" customHeight="1" x14ac:dyDescent="0.25">
      <c r="E490" s="82" t="s">
        <v>117</v>
      </c>
      <c r="F490" s="82" t="s">
        <v>237</v>
      </c>
      <c r="G490" s="82" t="s">
        <v>509</v>
      </c>
    </row>
    <row r="491" spans="5:7" s="82" customFormat="1" ht="25.5" hidden="1" customHeight="1" x14ac:dyDescent="0.25">
      <c r="E491" s="82" t="s">
        <v>117</v>
      </c>
      <c r="F491" s="82" t="s">
        <v>237</v>
      </c>
      <c r="G491" s="82" t="s">
        <v>798</v>
      </c>
    </row>
    <row r="492" spans="5:7" s="82" customFormat="1" ht="25.5" hidden="1" customHeight="1" x14ac:dyDescent="0.25">
      <c r="E492" s="82" t="s">
        <v>117</v>
      </c>
      <c r="F492" s="82" t="s">
        <v>237</v>
      </c>
      <c r="G492" s="82" t="s">
        <v>510</v>
      </c>
    </row>
    <row r="493" spans="5:7" s="82" customFormat="1" ht="25.5" hidden="1" customHeight="1" x14ac:dyDescent="0.25">
      <c r="E493" s="82" t="s">
        <v>117</v>
      </c>
      <c r="F493" s="82" t="s">
        <v>237</v>
      </c>
      <c r="G493" s="82" t="s">
        <v>768</v>
      </c>
    </row>
    <row r="494" spans="5:7" s="82" customFormat="1" ht="25.5" hidden="1" customHeight="1" x14ac:dyDescent="0.25">
      <c r="E494" s="82" t="s">
        <v>117</v>
      </c>
      <c r="F494" s="82" t="s">
        <v>237</v>
      </c>
      <c r="G494" s="82" t="s">
        <v>714</v>
      </c>
    </row>
    <row r="495" spans="5:7" s="82" customFormat="1" ht="25.5" hidden="1" customHeight="1" x14ac:dyDescent="0.25">
      <c r="E495" s="82" t="s">
        <v>117</v>
      </c>
      <c r="F495" s="82" t="s">
        <v>237</v>
      </c>
      <c r="G495" s="82" t="s">
        <v>425</v>
      </c>
    </row>
    <row r="496" spans="5:7" s="82" customFormat="1" ht="25.5" hidden="1" customHeight="1" x14ac:dyDescent="0.25">
      <c r="E496" s="82" t="s">
        <v>117</v>
      </c>
      <c r="F496" s="82" t="s">
        <v>147</v>
      </c>
      <c r="G496" s="82" t="s">
        <v>238</v>
      </c>
    </row>
    <row r="497" spans="5:7" s="82" customFormat="1" ht="25.5" hidden="1" customHeight="1" x14ac:dyDescent="0.25">
      <c r="E497" s="82" t="s">
        <v>117</v>
      </c>
      <c r="F497" s="82" t="s">
        <v>147</v>
      </c>
      <c r="G497" s="82" t="s">
        <v>567</v>
      </c>
    </row>
    <row r="498" spans="5:7" s="82" customFormat="1" ht="25.5" hidden="1" customHeight="1" x14ac:dyDescent="0.25">
      <c r="E498" s="82" t="s">
        <v>117</v>
      </c>
      <c r="F498" s="82" t="s">
        <v>147</v>
      </c>
      <c r="G498" s="82" t="s">
        <v>350</v>
      </c>
    </row>
    <row r="499" spans="5:7" s="82" customFormat="1" ht="25.5" hidden="1" customHeight="1" x14ac:dyDescent="0.25">
      <c r="E499" s="82" t="s">
        <v>117</v>
      </c>
      <c r="F499" s="82" t="s">
        <v>147</v>
      </c>
      <c r="G499" s="82" t="s">
        <v>607</v>
      </c>
    </row>
    <row r="500" spans="5:7" s="82" customFormat="1" ht="25.5" hidden="1" customHeight="1" x14ac:dyDescent="0.25">
      <c r="E500" s="82" t="s">
        <v>117</v>
      </c>
      <c r="F500" s="82" t="s">
        <v>147</v>
      </c>
      <c r="G500" s="82" t="s">
        <v>522</v>
      </c>
    </row>
    <row r="501" spans="5:7" s="82" customFormat="1" ht="25.5" hidden="1" customHeight="1" x14ac:dyDescent="0.25">
      <c r="E501" s="82" t="s">
        <v>117</v>
      </c>
      <c r="F501" s="82" t="s">
        <v>147</v>
      </c>
      <c r="G501" s="82" t="s">
        <v>523</v>
      </c>
    </row>
    <row r="502" spans="5:7" s="82" customFormat="1" ht="25.5" hidden="1" customHeight="1" x14ac:dyDescent="0.25">
      <c r="E502" s="82" t="s">
        <v>123</v>
      </c>
      <c r="F502" s="82" t="s">
        <v>124</v>
      </c>
      <c r="G502" s="82" t="s">
        <v>568</v>
      </c>
    </row>
    <row r="503" spans="5:7" s="82" customFormat="1" ht="25.5" hidden="1" customHeight="1" x14ac:dyDescent="0.25">
      <c r="E503" s="82" t="s">
        <v>123</v>
      </c>
      <c r="F503" s="82" t="s">
        <v>239</v>
      </c>
      <c r="G503" s="82" t="s">
        <v>667</v>
      </c>
    </row>
    <row r="504" spans="5:7" s="82" customFormat="1" ht="25.5" hidden="1" customHeight="1" x14ac:dyDescent="0.25">
      <c r="E504" s="82" t="s">
        <v>123</v>
      </c>
      <c r="F504" s="82" t="s">
        <v>240</v>
      </c>
      <c r="G504" s="82" t="s">
        <v>639</v>
      </c>
    </row>
    <row r="505" spans="5:7" s="82" customFormat="1" ht="25.5" hidden="1" customHeight="1" x14ac:dyDescent="0.25">
      <c r="E505" s="82" t="s">
        <v>123</v>
      </c>
      <c r="F505" s="82" t="s">
        <v>240</v>
      </c>
      <c r="G505" s="82" t="s">
        <v>715</v>
      </c>
    </row>
    <row r="506" spans="5:7" s="82" customFormat="1" ht="25.5" hidden="1" customHeight="1" x14ac:dyDescent="0.25">
      <c r="E506" s="82" t="s">
        <v>123</v>
      </c>
      <c r="F506" s="82" t="s">
        <v>124</v>
      </c>
      <c r="G506" s="82" t="s">
        <v>327</v>
      </c>
    </row>
    <row r="507" spans="5:7" s="82" customFormat="1" ht="25.5" hidden="1" customHeight="1" x14ac:dyDescent="0.25">
      <c r="E507" s="82" t="s">
        <v>123</v>
      </c>
      <c r="F507" s="82" t="s">
        <v>124</v>
      </c>
      <c r="G507" s="82" t="s">
        <v>842</v>
      </c>
    </row>
    <row r="508" spans="5:7" s="82" customFormat="1" ht="25.5" hidden="1" customHeight="1" x14ac:dyDescent="0.25">
      <c r="E508" s="82" t="s">
        <v>123</v>
      </c>
      <c r="F508" s="82" t="s">
        <v>124</v>
      </c>
      <c r="G508" s="82" t="s">
        <v>771</v>
      </c>
    </row>
    <row r="509" spans="5:7" s="82" customFormat="1" ht="25.5" hidden="1" customHeight="1" x14ac:dyDescent="0.25">
      <c r="E509" s="82" t="s">
        <v>123</v>
      </c>
      <c r="F509" s="82" t="s">
        <v>124</v>
      </c>
      <c r="G509" s="82" t="s">
        <v>772</v>
      </c>
    </row>
    <row r="510" spans="5:7" s="82" customFormat="1" ht="25.5" hidden="1" customHeight="1" x14ac:dyDescent="0.25">
      <c r="E510" s="82" t="s">
        <v>123</v>
      </c>
      <c r="F510" s="82" t="s">
        <v>124</v>
      </c>
      <c r="G510" s="82" t="s">
        <v>773</v>
      </c>
    </row>
    <row r="511" spans="5:7" s="82" customFormat="1" ht="25.5" hidden="1" customHeight="1" x14ac:dyDescent="0.25">
      <c r="E511" s="82" t="s">
        <v>123</v>
      </c>
      <c r="F511" s="82" t="s">
        <v>124</v>
      </c>
      <c r="G511" s="82" t="s">
        <v>774</v>
      </c>
    </row>
    <row r="512" spans="5:7" s="82" customFormat="1" ht="25.5" hidden="1" customHeight="1" x14ac:dyDescent="0.25">
      <c r="E512" s="82" t="s">
        <v>123</v>
      </c>
      <c r="F512" s="82" t="s">
        <v>124</v>
      </c>
      <c r="G512" s="82" t="s">
        <v>775</v>
      </c>
    </row>
    <row r="513" spans="5:7" s="82" customFormat="1" ht="25.5" hidden="1" customHeight="1" x14ac:dyDescent="0.25">
      <c r="E513" s="82" t="s">
        <v>123</v>
      </c>
      <c r="F513" s="82" t="s">
        <v>124</v>
      </c>
      <c r="G513" s="82" t="s">
        <v>466</v>
      </c>
    </row>
    <row r="514" spans="5:7" s="82" customFormat="1" ht="25.5" hidden="1" customHeight="1" x14ac:dyDescent="0.25">
      <c r="E514" s="82" t="s">
        <v>123</v>
      </c>
      <c r="F514" s="82" t="s">
        <v>124</v>
      </c>
      <c r="G514" s="82" t="s">
        <v>467</v>
      </c>
    </row>
    <row r="515" spans="5:7" s="82" customFormat="1" ht="25.5" hidden="1" customHeight="1" x14ac:dyDescent="0.25">
      <c r="E515" s="82" t="s">
        <v>123</v>
      </c>
      <c r="F515" s="82" t="s">
        <v>124</v>
      </c>
      <c r="G515" s="82" t="s">
        <v>468</v>
      </c>
    </row>
    <row r="516" spans="5:7" s="82" customFormat="1" ht="25.5" hidden="1" customHeight="1" x14ac:dyDescent="0.25">
      <c r="E516" s="82" t="s">
        <v>123</v>
      </c>
      <c r="F516" s="82" t="s">
        <v>124</v>
      </c>
      <c r="G516" s="82" t="s">
        <v>469</v>
      </c>
    </row>
    <row r="517" spans="5:7" s="82" customFormat="1" ht="25.5" hidden="1" customHeight="1" x14ac:dyDescent="0.25">
      <c r="E517" s="82" t="s">
        <v>123</v>
      </c>
      <c r="F517" s="82" t="s">
        <v>154</v>
      </c>
      <c r="G517" s="82" t="s">
        <v>640</v>
      </c>
    </row>
    <row r="518" spans="5:7" s="82" customFormat="1" ht="25.5" hidden="1" customHeight="1" x14ac:dyDescent="0.25">
      <c r="E518" s="82" t="s">
        <v>123</v>
      </c>
      <c r="F518" s="82" t="s">
        <v>154</v>
      </c>
      <c r="G518" s="82" t="s">
        <v>569</v>
      </c>
    </row>
    <row r="519" spans="5:7" s="82" customFormat="1" ht="25.5" hidden="1" customHeight="1" x14ac:dyDescent="0.25">
      <c r="E519" s="82" t="s">
        <v>123</v>
      </c>
      <c r="F519" s="82" t="s">
        <v>154</v>
      </c>
      <c r="G519" s="82" t="s">
        <v>780</v>
      </c>
    </row>
    <row r="520" spans="5:7" s="82" customFormat="1" ht="25.5" hidden="1" customHeight="1" x14ac:dyDescent="0.25">
      <c r="E520" s="82" t="s">
        <v>123</v>
      </c>
      <c r="F520" s="82" t="s">
        <v>154</v>
      </c>
      <c r="G520" s="82" t="s">
        <v>730</v>
      </c>
    </row>
    <row r="521" spans="5:7" s="82" customFormat="1" ht="25.5" hidden="1" customHeight="1" x14ac:dyDescent="0.25">
      <c r="E521" s="82" t="s">
        <v>123</v>
      </c>
      <c r="F521" s="82" t="s">
        <v>154</v>
      </c>
      <c r="G521" s="87" t="s">
        <v>326</v>
      </c>
    </row>
    <row r="522" spans="5:7" s="82" customFormat="1" ht="25.5" hidden="1" customHeight="1" x14ac:dyDescent="0.25">
      <c r="E522" s="82" t="s">
        <v>123</v>
      </c>
      <c r="F522" s="82" t="s">
        <v>154</v>
      </c>
      <c r="G522" s="82" t="s">
        <v>608</v>
      </c>
    </row>
    <row r="523" spans="5:7" s="82" customFormat="1" ht="25.5" hidden="1" customHeight="1" x14ac:dyDescent="0.25"/>
    <row r="524" spans="5:7" s="82" customFormat="1" ht="25.5" hidden="1" customHeight="1" x14ac:dyDescent="0.25">
      <c r="E524" s="82" t="s">
        <v>123</v>
      </c>
      <c r="F524" s="82" t="s">
        <v>241</v>
      </c>
      <c r="G524" s="82" t="s">
        <v>242</v>
      </c>
    </row>
    <row r="525" spans="5:7" s="82" customFormat="1" ht="25.5" hidden="1" customHeight="1" x14ac:dyDescent="0.25">
      <c r="E525" s="82" t="s">
        <v>123</v>
      </c>
      <c r="F525" s="82" t="s">
        <v>241</v>
      </c>
      <c r="G525" s="82" t="s">
        <v>716</v>
      </c>
    </row>
    <row r="526" spans="5:7" s="82" customFormat="1" ht="25.5" hidden="1" customHeight="1" x14ac:dyDescent="0.25">
      <c r="E526" s="82" t="s">
        <v>123</v>
      </c>
      <c r="F526" s="82" t="s">
        <v>241</v>
      </c>
      <c r="G526" s="82" t="s">
        <v>570</v>
      </c>
    </row>
    <row r="527" spans="5:7" s="82" customFormat="1" ht="25.5" hidden="1" customHeight="1" x14ac:dyDescent="0.25">
      <c r="E527" s="82" t="s">
        <v>123</v>
      </c>
      <c r="F527" s="82" t="s">
        <v>241</v>
      </c>
      <c r="G527" s="82" t="s">
        <v>427</v>
      </c>
    </row>
    <row r="528" spans="5:7" s="82" customFormat="1" ht="25.5" hidden="1" customHeight="1" x14ac:dyDescent="0.25"/>
    <row r="529" spans="5:7" s="82" customFormat="1" ht="25.5" hidden="1" customHeight="1" x14ac:dyDescent="0.25"/>
    <row r="530" spans="5:7" s="82" customFormat="1" ht="25.5" hidden="1" customHeight="1" x14ac:dyDescent="0.25">
      <c r="E530" s="82" t="s">
        <v>123</v>
      </c>
      <c r="F530" s="82" t="s">
        <v>153</v>
      </c>
      <c r="G530" s="82" t="s">
        <v>243</v>
      </c>
    </row>
    <row r="531" spans="5:7" s="82" customFormat="1" ht="25.5" hidden="1" customHeight="1" x14ac:dyDescent="0.25">
      <c r="E531" s="82" t="s">
        <v>123</v>
      </c>
      <c r="F531" s="82" t="s">
        <v>153</v>
      </c>
      <c r="G531" s="82" t="s">
        <v>571</v>
      </c>
    </row>
    <row r="532" spans="5:7" s="82" customFormat="1" ht="25.5" hidden="1" customHeight="1" x14ac:dyDescent="0.25">
      <c r="E532" s="82" t="s">
        <v>123</v>
      </c>
      <c r="F532" s="82" t="s">
        <v>153</v>
      </c>
      <c r="G532" s="82" t="s">
        <v>783</v>
      </c>
    </row>
    <row r="533" spans="5:7" s="82" customFormat="1" ht="25.5" hidden="1" customHeight="1" x14ac:dyDescent="0.25">
      <c r="E533" s="82" t="s">
        <v>123</v>
      </c>
      <c r="F533" s="82" t="s">
        <v>153</v>
      </c>
      <c r="G533" s="82" t="s">
        <v>713</v>
      </c>
    </row>
    <row r="534" spans="5:7" s="82" customFormat="1" ht="25.5" hidden="1" customHeight="1" x14ac:dyDescent="0.25">
      <c r="E534" s="82" t="s">
        <v>123</v>
      </c>
      <c r="F534" s="82" t="s">
        <v>153</v>
      </c>
      <c r="G534" s="82" t="s">
        <v>393</v>
      </c>
    </row>
    <row r="535" spans="5:7" s="82" customFormat="1" ht="25.5" hidden="1" customHeight="1" x14ac:dyDescent="0.25">
      <c r="E535" s="82" t="s">
        <v>123</v>
      </c>
      <c r="F535" s="82" t="s">
        <v>153</v>
      </c>
      <c r="G535" s="82" t="s">
        <v>428</v>
      </c>
    </row>
    <row r="536" spans="5:7" s="82" customFormat="1" ht="25.5" hidden="1" customHeight="1" x14ac:dyDescent="0.25">
      <c r="E536" s="82" t="s">
        <v>123</v>
      </c>
      <c r="F536" s="82" t="s">
        <v>153</v>
      </c>
      <c r="G536" s="82" t="s">
        <v>501</v>
      </c>
    </row>
    <row r="537" spans="5:7" s="82" customFormat="1" ht="25.5" hidden="1" customHeight="1" x14ac:dyDescent="0.25">
      <c r="E537" s="82" t="s">
        <v>123</v>
      </c>
      <c r="F537" s="82" t="s">
        <v>125</v>
      </c>
      <c r="G537" s="82" t="s">
        <v>572</v>
      </c>
    </row>
    <row r="538" spans="5:7" s="82" customFormat="1" ht="25.5" hidden="1" customHeight="1" x14ac:dyDescent="0.25">
      <c r="E538" s="82" t="s">
        <v>123</v>
      </c>
      <c r="F538" s="82" t="s">
        <v>125</v>
      </c>
      <c r="G538" s="82" t="s">
        <v>795</v>
      </c>
    </row>
    <row r="539" spans="5:7" s="82" customFormat="1" ht="25.5" hidden="1" customHeight="1" x14ac:dyDescent="0.25">
      <c r="E539" s="82" t="s">
        <v>123</v>
      </c>
      <c r="F539" s="82" t="s">
        <v>244</v>
      </c>
      <c r="G539" s="82" t="s">
        <v>641</v>
      </c>
    </row>
    <row r="540" spans="5:7" s="82" customFormat="1" ht="25.5" hidden="1" customHeight="1" x14ac:dyDescent="0.25">
      <c r="E540" s="82" t="s">
        <v>123</v>
      </c>
      <c r="F540" s="82" t="s">
        <v>244</v>
      </c>
      <c r="G540" s="82" t="s">
        <v>770</v>
      </c>
    </row>
    <row r="541" spans="5:7" s="82" customFormat="1" ht="25.5" hidden="1" customHeight="1" x14ac:dyDescent="0.25">
      <c r="E541" s="82" t="s">
        <v>123</v>
      </c>
      <c r="F541" s="82" t="s">
        <v>244</v>
      </c>
      <c r="G541" s="82" t="s">
        <v>729</v>
      </c>
    </row>
    <row r="542" spans="5:7" s="82" customFormat="1" ht="25.5" hidden="1" customHeight="1" x14ac:dyDescent="0.25">
      <c r="E542" s="82" t="s">
        <v>123</v>
      </c>
      <c r="F542" s="82" t="s">
        <v>125</v>
      </c>
      <c r="G542" s="82" t="s">
        <v>320</v>
      </c>
    </row>
    <row r="543" spans="5:7" s="82" customFormat="1" ht="25.5" hidden="1" customHeight="1" x14ac:dyDescent="0.25">
      <c r="E543" s="82" t="s">
        <v>123</v>
      </c>
      <c r="F543" s="82" t="s">
        <v>125</v>
      </c>
      <c r="G543" s="82" t="s">
        <v>506</v>
      </c>
    </row>
    <row r="544" spans="5:7" s="82" customFormat="1" ht="25.5" hidden="1" customHeight="1" x14ac:dyDescent="0.25">
      <c r="E544" s="82" t="s">
        <v>123</v>
      </c>
      <c r="F544" s="82" t="s">
        <v>125</v>
      </c>
      <c r="G544" s="82" t="s">
        <v>705</v>
      </c>
    </row>
    <row r="545" spans="5:7" s="82" customFormat="1" ht="25.5" hidden="1" customHeight="1" x14ac:dyDescent="0.25">
      <c r="E545" s="82" t="s">
        <v>123</v>
      </c>
      <c r="F545" s="82" t="s">
        <v>125</v>
      </c>
      <c r="G545" s="82" t="s">
        <v>507</v>
      </c>
    </row>
    <row r="546" spans="5:7" s="82" customFormat="1" ht="25.5" hidden="1" customHeight="1" x14ac:dyDescent="0.25">
      <c r="E546" s="82" t="s">
        <v>123</v>
      </c>
      <c r="F546" s="82" t="s">
        <v>127</v>
      </c>
      <c r="G546" s="82" t="s">
        <v>573</v>
      </c>
    </row>
    <row r="547" spans="5:7" s="82" customFormat="1" ht="25.5" hidden="1" customHeight="1" x14ac:dyDescent="0.25">
      <c r="E547" s="82" t="s">
        <v>123</v>
      </c>
      <c r="F547" s="82" t="s">
        <v>127</v>
      </c>
      <c r="G547" s="82" t="s">
        <v>791</v>
      </c>
    </row>
    <row r="548" spans="5:7" s="82" customFormat="1" ht="25.5" hidden="1" customHeight="1" x14ac:dyDescent="0.25">
      <c r="E548" s="82" t="s">
        <v>123</v>
      </c>
      <c r="F548" s="82" t="s">
        <v>127</v>
      </c>
      <c r="G548" s="82" t="s">
        <v>792</v>
      </c>
    </row>
    <row r="549" spans="5:7" s="82" customFormat="1" ht="25.5" hidden="1" customHeight="1" x14ac:dyDescent="0.25">
      <c r="E549" s="82" t="s">
        <v>123</v>
      </c>
      <c r="F549" s="82" t="s">
        <v>127</v>
      </c>
      <c r="G549" s="82" t="s">
        <v>793</v>
      </c>
    </row>
    <row r="550" spans="5:7" s="82" customFormat="1" ht="25.5" hidden="1" customHeight="1" x14ac:dyDescent="0.25">
      <c r="E550" s="82" t="s">
        <v>123</v>
      </c>
      <c r="F550" s="82" t="s">
        <v>127</v>
      </c>
      <c r="G550" s="82" t="s">
        <v>345</v>
      </c>
    </row>
    <row r="551" spans="5:7" s="82" customFormat="1" ht="25.5" hidden="1" customHeight="1" x14ac:dyDescent="0.25">
      <c r="E551" s="82" t="s">
        <v>123</v>
      </c>
      <c r="F551" s="82" t="s">
        <v>127</v>
      </c>
      <c r="G551" s="82" t="s">
        <v>728</v>
      </c>
    </row>
    <row r="552" spans="5:7" s="82" customFormat="1" ht="25.5" hidden="1" customHeight="1" x14ac:dyDescent="0.25">
      <c r="E552" s="82" t="s">
        <v>123</v>
      </c>
      <c r="F552" s="82" t="s">
        <v>245</v>
      </c>
      <c r="G552" s="82" t="s">
        <v>126</v>
      </c>
    </row>
    <row r="553" spans="5:7" s="82" customFormat="1" ht="25.5" hidden="1" customHeight="1" x14ac:dyDescent="0.25">
      <c r="E553" s="82" t="s">
        <v>123</v>
      </c>
      <c r="F553" s="82" t="s">
        <v>245</v>
      </c>
      <c r="G553" s="82" t="s">
        <v>429</v>
      </c>
    </row>
    <row r="554" spans="5:7" s="82" customFormat="1" ht="25.5" hidden="1" customHeight="1" x14ac:dyDescent="0.25">
      <c r="E554" s="82" t="s">
        <v>123</v>
      </c>
      <c r="F554" s="82" t="s">
        <v>245</v>
      </c>
      <c r="G554" s="82" t="s">
        <v>512</v>
      </c>
    </row>
    <row r="555" spans="5:7" s="82" customFormat="1" ht="25.5" hidden="1" customHeight="1" x14ac:dyDescent="0.25">
      <c r="E555" s="82" t="s">
        <v>123</v>
      </c>
      <c r="F555" s="82" t="s">
        <v>245</v>
      </c>
      <c r="G555" s="82" t="s">
        <v>513</v>
      </c>
    </row>
    <row r="556" spans="5:7" s="82" customFormat="1" ht="25.5" hidden="1" customHeight="1" x14ac:dyDescent="0.25">
      <c r="E556" s="82" t="s">
        <v>123</v>
      </c>
      <c r="F556" s="82" t="s">
        <v>123</v>
      </c>
      <c r="G556" s="82" t="s">
        <v>246</v>
      </c>
    </row>
    <row r="557" spans="5:7" s="82" customFormat="1" ht="25.5" hidden="1" customHeight="1" x14ac:dyDescent="0.25">
      <c r="E557" s="82" t="s">
        <v>123</v>
      </c>
      <c r="F557" s="82" t="s">
        <v>123</v>
      </c>
      <c r="G557" s="82" t="s">
        <v>668</v>
      </c>
    </row>
    <row r="558" spans="5:7" s="82" customFormat="1" ht="25.5" hidden="1" customHeight="1" x14ac:dyDescent="0.25">
      <c r="E558" s="82" t="s">
        <v>123</v>
      </c>
      <c r="F558" s="82" t="s">
        <v>247</v>
      </c>
      <c r="G558" s="82" t="s">
        <v>248</v>
      </c>
    </row>
    <row r="559" spans="5:7" s="82" customFormat="1" ht="25.5" hidden="1" customHeight="1" x14ac:dyDescent="0.25">
      <c r="E559" s="82" t="s">
        <v>123</v>
      </c>
      <c r="F559" s="82" t="s">
        <v>247</v>
      </c>
      <c r="G559" s="82" t="s">
        <v>721</v>
      </c>
    </row>
    <row r="560" spans="5:7" s="82" customFormat="1" ht="25.5" hidden="1" customHeight="1" x14ac:dyDescent="0.25">
      <c r="E560" s="82" t="s">
        <v>123</v>
      </c>
      <c r="F560" s="82" t="s">
        <v>247</v>
      </c>
      <c r="G560" s="82" t="s">
        <v>786</v>
      </c>
    </row>
    <row r="561" spans="5:7" s="82" customFormat="1" ht="25.5" hidden="1" customHeight="1" x14ac:dyDescent="0.25">
      <c r="E561" s="82" t="s">
        <v>123</v>
      </c>
      <c r="F561" s="82" t="s">
        <v>247</v>
      </c>
      <c r="G561" s="82" t="s">
        <v>805</v>
      </c>
    </row>
    <row r="562" spans="5:7" s="82" customFormat="1" ht="25.5" hidden="1" customHeight="1" x14ac:dyDescent="0.25">
      <c r="E562" s="82" t="s">
        <v>123</v>
      </c>
      <c r="F562" s="82" t="s">
        <v>247</v>
      </c>
      <c r="G562" s="82" t="s">
        <v>708</v>
      </c>
    </row>
    <row r="563" spans="5:7" s="82" customFormat="1" ht="25.5" hidden="1" customHeight="1" x14ac:dyDescent="0.25">
      <c r="E563" s="82" t="s">
        <v>123</v>
      </c>
      <c r="F563" s="82" t="s">
        <v>247</v>
      </c>
      <c r="G563" s="82" t="s">
        <v>426</v>
      </c>
    </row>
    <row r="564" spans="5:7" s="82" customFormat="1" ht="25.5" hidden="1" customHeight="1" x14ac:dyDescent="0.25">
      <c r="E564" s="82" t="s">
        <v>123</v>
      </c>
      <c r="F564" s="82" t="s">
        <v>247</v>
      </c>
      <c r="G564" s="82" t="s">
        <v>515</v>
      </c>
    </row>
    <row r="565" spans="5:7" s="82" customFormat="1" ht="25.5" hidden="1" customHeight="1" x14ac:dyDescent="0.25">
      <c r="E565" s="82" t="s">
        <v>123</v>
      </c>
      <c r="F565" s="82" t="s">
        <v>247</v>
      </c>
      <c r="G565" s="82" t="s">
        <v>516</v>
      </c>
    </row>
    <row r="566" spans="5:7" s="82" customFormat="1" ht="25.5" hidden="1" customHeight="1" x14ac:dyDescent="0.25">
      <c r="E566" s="82" t="s">
        <v>123</v>
      </c>
      <c r="F566" s="82" t="s">
        <v>247</v>
      </c>
      <c r="G566" s="82" t="s">
        <v>517</v>
      </c>
    </row>
    <row r="567" spans="5:7" s="82" customFormat="1" ht="25.5" hidden="1" customHeight="1" x14ac:dyDescent="0.25">
      <c r="E567" s="82" t="s">
        <v>123</v>
      </c>
      <c r="F567" s="82" t="s">
        <v>128</v>
      </c>
      <c r="G567" s="82" t="s">
        <v>642</v>
      </c>
    </row>
    <row r="568" spans="5:7" s="82" customFormat="1" ht="25.5" hidden="1" customHeight="1" x14ac:dyDescent="0.25">
      <c r="E568" s="82" t="s">
        <v>123</v>
      </c>
      <c r="F568" s="82" t="s">
        <v>128</v>
      </c>
      <c r="G568" s="82" t="s">
        <v>727</v>
      </c>
    </row>
    <row r="569" spans="5:7" s="82" customFormat="1" ht="25.5" hidden="1" customHeight="1" x14ac:dyDescent="0.25">
      <c r="E569" s="82" t="s">
        <v>123</v>
      </c>
      <c r="F569" s="82" t="s">
        <v>128</v>
      </c>
      <c r="G569" s="82" t="s">
        <v>574</v>
      </c>
    </row>
    <row r="570" spans="5:7" s="82" customFormat="1" ht="25.5" hidden="1" customHeight="1" x14ac:dyDescent="0.25">
      <c r="E570" s="82" t="s">
        <v>123</v>
      </c>
      <c r="F570" s="82" t="s">
        <v>128</v>
      </c>
      <c r="G570" s="82" t="s">
        <v>776</v>
      </c>
    </row>
    <row r="571" spans="5:7" s="82" customFormat="1" ht="25.5" hidden="1" customHeight="1" x14ac:dyDescent="0.25">
      <c r="E571" s="82" t="s">
        <v>123</v>
      </c>
      <c r="F571" s="82" t="s">
        <v>249</v>
      </c>
      <c r="G571" s="82" t="s">
        <v>328</v>
      </c>
    </row>
    <row r="572" spans="5:7" s="82" customFormat="1" ht="25.5" hidden="1" customHeight="1" x14ac:dyDescent="0.25">
      <c r="E572" s="82" t="s">
        <v>123</v>
      </c>
      <c r="F572" s="82" t="s">
        <v>249</v>
      </c>
      <c r="G572" s="82" t="s">
        <v>781</v>
      </c>
    </row>
    <row r="573" spans="5:7" s="82" customFormat="1" ht="25.5" hidden="1" customHeight="1" x14ac:dyDescent="0.25">
      <c r="E573" s="82" t="s">
        <v>123</v>
      </c>
      <c r="F573" s="82" t="s">
        <v>249</v>
      </c>
      <c r="G573" s="82" t="s">
        <v>524</v>
      </c>
    </row>
    <row r="574" spans="5:7" s="82" customFormat="1" ht="25.5" hidden="1" customHeight="1" x14ac:dyDescent="0.25">
      <c r="E574" s="82" t="s">
        <v>123</v>
      </c>
      <c r="F574" s="82" t="s">
        <v>249</v>
      </c>
      <c r="G574" s="82" t="s">
        <v>748</v>
      </c>
    </row>
    <row r="575" spans="5:7" s="82" customFormat="1" ht="25.5" hidden="1" customHeight="1" x14ac:dyDescent="0.25">
      <c r="E575" s="82" t="s">
        <v>123</v>
      </c>
      <c r="F575" s="82" t="s">
        <v>249</v>
      </c>
      <c r="G575" s="82" t="s">
        <v>525</v>
      </c>
    </row>
    <row r="576" spans="5:7" s="82" customFormat="1" ht="25.5" hidden="1" customHeight="1" x14ac:dyDescent="0.25"/>
    <row r="577" spans="5:7" s="82" customFormat="1" ht="25.5" hidden="1" customHeight="1" x14ac:dyDescent="0.25">
      <c r="E577" s="82" t="s">
        <v>129</v>
      </c>
      <c r="F577" s="82" t="s">
        <v>155</v>
      </c>
      <c r="G577" s="82" t="s">
        <v>643</v>
      </c>
    </row>
    <row r="578" spans="5:7" s="82" customFormat="1" ht="25.5" hidden="1" customHeight="1" x14ac:dyDescent="0.25">
      <c r="E578" s="82" t="s">
        <v>129</v>
      </c>
      <c r="F578" s="82" t="s">
        <v>155</v>
      </c>
      <c r="G578" s="82" t="s">
        <v>669</v>
      </c>
    </row>
    <row r="579" spans="5:7" s="82" customFormat="1" ht="25.5" hidden="1" customHeight="1" x14ac:dyDescent="0.25">
      <c r="E579" s="82" t="s">
        <v>129</v>
      </c>
      <c r="F579" s="82" t="s">
        <v>155</v>
      </c>
      <c r="G579" s="82" t="s">
        <v>782</v>
      </c>
    </row>
    <row r="580" spans="5:7" s="82" customFormat="1" ht="25.5" hidden="1" customHeight="1" x14ac:dyDescent="0.25">
      <c r="E580" s="82" t="s">
        <v>129</v>
      </c>
      <c r="F580" s="82" t="s">
        <v>155</v>
      </c>
      <c r="G580" s="82" t="s">
        <v>575</v>
      </c>
    </row>
    <row r="581" spans="5:7" s="82" customFormat="1" ht="25.5" hidden="1" customHeight="1" x14ac:dyDescent="0.25">
      <c r="E581" s="82" t="s">
        <v>129</v>
      </c>
      <c r="F581" s="82" t="s">
        <v>155</v>
      </c>
      <c r="G581" s="82" t="s">
        <v>789</v>
      </c>
    </row>
    <row r="582" spans="5:7" s="82" customFormat="1" ht="25.5" hidden="1" customHeight="1" x14ac:dyDescent="0.25">
      <c r="E582" s="82" t="s">
        <v>129</v>
      </c>
      <c r="F582" s="82" t="s">
        <v>155</v>
      </c>
      <c r="G582" s="82" t="s">
        <v>312</v>
      </c>
    </row>
    <row r="583" spans="5:7" s="82" customFormat="1" ht="25.5" hidden="1" customHeight="1" x14ac:dyDescent="0.25">
      <c r="E583" s="82" t="s">
        <v>129</v>
      </c>
      <c r="F583" s="82" t="s">
        <v>155</v>
      </c>
      <c r="G583" s="82" t="s">
        <v>361</v>
      </c>
    </row>
    <row r="584" spans="5:7" s="82" customFormat="1" ht="25.5" hidden="1" customHeight="1" x14ac:dyDescent="0.25">
      <c r="E584" s="82" t="s">
        <v>129</v>
      </c>
      <c r="F584" s="82" t="s">
        <v>155</v>
      </c>
      <c r="G584" s="82" t="s">
        <v>723</v>
      </c>
    </row>
    <row r="585" spans="5:7" s="82" customFormat="1" ht="25.5" hidden="1" customHeight="1" x14ac:dyDescent="0.25">
      <c r="E585" s="82" t="s">
        <v>129</v>
      </c>
      <c r="F585" s="82" t="s">
        <v>155</v>
      </c>
      <c r="G585" s="82" t="s">
        <v>397</v>
      </c>
    </row>
    <row r="586" spans="5:7" s="82" customFormat="1" ht="25.5" hidden="1" customHeight="1" x14ac:dyDescent="0.25">
      <c r="E586" s="82" t="s">
        <v>129</v>
      </c>
      <c r="F586" s="82" t="s">
        <v>155</v>
      </c>
      <c r="G586" s="82" t="s">
        <v>398</v>
      </c>
    </row>
    <row r="587" spans="5:7" s="82" customFormat="1" ht="25.5" hidden="1" customHeight="1" x14ac:dyDescent="0.25">
      <c r="E587" s="82" t="s">
        <v>129</v>
      </c>
      <c r="F587" s="82" t="s">
        <v>155</v>
      </c>
      <c r="G587" s="82" t="s">
        <v>430</v>
      </c>
    </row>
    <row r="588" spans="5:7" s="82" customFormat="1" ht="25.5" hidden="1" customHeight="1" x14ac:dyDescent="0.25">
      <c r="E588" s="82" t="s">
        <v>129</v>
      </c>
      <c r="F588" s="82" t="s">
        <v>155</v>
      </c>
      <c r="G588" s="82" t="s">
        <v>471</v>
      </c>
    </row>
    <row r="589" spans="5:7" s="82" customFormat="1" ht="25.5" hidden="1" customHeight="1" x14ac:dyDescent="0.25">
      <c r="E589" s="82" t="s">
        <v>129</v>
      </c>
      <c r="F589" s="82" t="s">
        <v>130</v>
      </c>
      <c r="G589" s="82" t="s">
        <v>576</v>
      </c>
    </row>
    <row r="590" spans="5:7" s="82" customFormat="1" ht="25.5" hidden="1" customHeight="1" x14ac:dyDescent="0.25">
      <c r="E590" s="82" t="s">
        <v>129</v>
      </c>
      <c r="F590" s="82" t="s">
        <v>341</v>
      </c>
      <c r="G590" s="82" t="s">
        <v>342</v>
      </c>
    </row>
    <row r="591" spans="5:7" s="82" customFormat="1" ht="25.5" hidden="1" customHeight="1" x14ac:dyDescent="0.25">
      <c r="E591" s="82" t="s">
        <v>129</v>
      </c>
      <c r="F591" s="82" t="s">
        <v>250</v>
      </c>
      <c r="G591" s="82" t="s">
        <v>644</v>
      </c>
    </row>
    <row r="592" spans="5:7" s="82" customFormat="1" ht="25.5" hidden="1" customHeight="1" x14ac:dyDescent="0.25">
      <c r="E592" s="82" t="s">
        <v>129</v>
      </c>
      <c r="F592" s="82" t="s">
        <v>250</v>
      </c>
      <c r="G592" s="82" t="s">
        <v>360</v>
      </c>
    </row>
    <row r="593" spans="5:7" s="82" customFormat="1" ht="25.5" hidden="1" customHeight="1" x14ac:dyDescent="0.25">
      <c r="E593" s="82" t="s">
        <v>129</v>
      </c>
      <c r="F593" s="82" t="s">
        <v>250</v>
      </c>
      <c r="G593" s="82" t="s">
        <v>794</v>
      </c>
    </row>
    <row r="594" spans="5:7" s="82" customFormat="1" ht="25.5" hidden="1" customHeight="1" x14ac:dyDescent="0.25">
      <c r="E594" s="82" t="s">
        <v>129</v>
      </c>
      <c r="F594" s="82" t="s">
        <v>250</v>
      </c>
      <c r="G594" s="82" t="s">
        <v>787</v>
      </c>
    </row>
    <row r="595" spans="5:7" s="82" customFormat="1" ht="25.5" hidden="1" customHeight="1" x14ac:dyDescent="0.25">
      <c r="E595" s="82" t="s">
        <v>129</v>
      </c>
      <c r="F595" s="82" t="s">
        <v>250</v>
      </c>
      <c r="G595" s="82" t="s">
        <v>609</v>
      </c>
    </row>
    <row r="596" spans="5:7" s="82" customFormat="1" ht="25.5" hidden="1" customHeight="1" x14ac:dyDescent="0.25">
      <c r="E596" s="82" t="s">
        <v>129</v>
      </c>
      <c r="F596" s="82" t="s">
        <v>250</v>
      </c>
      <c r="G596" s="82" t="s">
        <v>475</v>
      </c>
    </row>
    <row r="597" spans="5:7" s="82" customFormat="1" ht="25.5" hidden="1" customHeight="1" x14ac:dyDescent="0.25">
      <c r="E597" s="82" t="s">
        <v>129</v>
      </c>
      <c r="F597" s="82" t="s">
        <v>250</v>
      </c>
      <c r="G597" s="82" t="s">
        <v>476</v>
      </c>
    </row>
    <row r="598" spans="5:7" s="82" customFormat="1" ht="25.5" hidden="1" customHeight="1" x14ac:dyDescent="0.25">
      <c r="E598" s="82" t="s">
        <v>129</v>
      </c>
      <c r="F598" s="82" t="s">
        <v>131</v>
      </c>
      <c r="G598" s="82" t="s">
        <v>577</v>
      </c>
    </row>
    <row r="599" spans="5:7" s="82" customFormat="1" ht="25.5" hidden="1" customHeight="1" x14ac:dyDescent="0.25">
      <c r="E599" s="82" t="s">
        <v>129</v>
      </c>
      <c r="F599" s="82" t="s">
        <v>251</v>
      </c>
      <c r="G599" s="82" t="s">
        <v>645</v>
      </c>
    </row>
    <row r="600" spans="5:7" s="82" customFormat="1" ht="25.5" hidden="1" customHeight="1" x14ac:dyDescent="0.25">
      <c r="E600" s="82" t="s">
        <v>129</v>
      </c>
      <c r="F600" s="82" t="s">
        <v>251</v>
      </c>
      <c r="G600" s="82" t="s">
        <v>712</v>
      </c>
    </row>
    <row r="601" spans="5:7" s="82" customFormat="1" ht="25.5" hidden="1" customHeight="1" x14ac:dyDescent="0.25">
      <c r="E601" s="82" t="s">
        <v>129</v>
      </c>
      <c r="F601" s="82" t="s">
        <v>251</v>
      </c>
      <c r="G601" s="82" t="s">
        <v>394</v>
      </c>
    </row>
    <row r="602" spans="5:7" s="82" customFormat="1" ht="25.5" hidden="1" customHeight="1" x14ac:dyDescent="0.25">
      <c r="E602" s="82" t="s">
        <v>129</v>
      </c>
      <c r="F602" s="82" t="s">
        <v>251</v>
      </c>
      <c r="G602" s="82" t="s">
        <v>431</v>
      </c>
    </row>
    <row r="603" spans="5:7" s="82" customFormat="1" ht="25.5" hidden="1" customHeight="1" x14ac:dyDescent="0.25">
      <c r="E603" s="82" t="s">
        <v>129</v>
      </c>
      <c r="F603" s="82" t="s">
        <v>251</v>
      </c>
      <c r="G603" s="82" t="s">
        <v>487</v>
      </c>
    </row>
    <row r="604" spans="5:7" s="82" customFormat="1" ht="25.5" hidden="1" customHeight="1" x14ac:dyDescent="0.25">
      <c r="E604" s="82" t="s">
        <v>129</v>
      </c>
      <c r="F604" s="82" t="s">
        <v>156</v>
      </c>
      <c r="G604" s="82" t="s">
        <v>252</v>
      </c>
    </row>
    <row r="605" spans="5:7" s="82" customFormat="1" ht="25.5" hidden="1" customHeight="1" x14ac:dyDescent="0.25">
      <c r="E605" s="82" t="s">
        <v>129</v>
      </c>
      <c r="F605" s="82" t="s">
        <v>156</v>
      </c>
      <c r="G605" s="82" t="s">
        <v>578</v>
      </c>
    </row>
    <row r="606" spans="5:7" s="82" customFormat="1" ht="25.5" hidden="1" customHeight="1" x14ac:dyDescent="0.25">
      <c r="E606" s="82" t="s">
        <v>129</v>
      </c>
      <c r="F606" s="82" t="s">
        <v>156</v>
      </c>
      <c r="G606" s="82" t="s">
        <v>432</v>
      </c>
    </row>
    <row r="607" spans="5:7" s="82" customFormat="1" ht="25.5" hidden="1" customHeight="1" x14ac:dyDescent="0.25">
      <c r="E607" s="82" t="s">
        <v>129</v>
      </c>
      <c r="F607" s="82" t="s">
        <v>156</v>
      </c>
      <c r="G607" s="82" t="s">
        <v>488</v>
      </c>
    </row>
    <row r="608" spans="5:7" s="82" customFormat="1" ht="25.5" hidden="1" customHeight="1" x14ac:dyDescent="0.25"/>
    <row r="609" spans="5:7" s="82" customFormat="1" ht="25.5" hidden="1" customHeight="1" x14ac:dyDescent="0.25">
      <c r="E609" s="82" t="s">
        <v>129</v>
      </c>
      <c r="F609" s="82" t="s">
        <v>157</v>
      </c>
      <c r="G609" s="82" t="s">
        <v>253</v>
      </c>
    </row>
    <row r="610" spans="5:7" s="82" customFormat="1" ht="25.5" hidden="1" customHeight="1" x14ac:dyDescent="0.25">
      <c r="E610" s="82" t="s">
        <v>129</v>
      </c>
      <c r="F610" s="82" t="s">
        <v>157</v>
      </c>
      <c r="G610" s="82" t="s">
        <v>717</v>
      </c>
    </row>
    <row r="611" spans="5:7" s="82" customFormat="1" ht="25.5" hidden="1" customHeight="1" x14ac:dyDescent="0.25">
      <c r="E611" s="82" t="s">
        <v>129</v>
      </c>
      <c r="F611" s="82" t="s">
        <v>157</v>
      </c>
      <c r="G611" s="82" t="s">
        <v>778</v>
      </c>
    </row>
    <row r="612" spans="5:7" s="82" customFormat="1" ht="25.5" hidden="1" customHeight="1" x14ac:dyDescent="0.25">
      <c r="E612" s="82" t="s">
        <v>129</v>
      </c>
      <c r="F612" s="82" t="s">
        <v>157</v>
      </c>
      <c r="G612" s="82" t="s">
        <v>779</v>
      </c>
    </row>
    <row r="613" spans="5:7" s="82" customFormat="1" ht="25.5" hidden="1" customHeight="1" x14ac:dyDescent="0.25">
      <c r="E613" s="82" t="s">
        <v>129</v>
      </c>
      <c r="F613" s="82" t="s">
        <v>157</v>
      </c>
      <c r="G613" s="82" t="s">
        <v>579</v>
      </c>
    </row>
    <row r="614" spans="5:7" s="82" customFormat="1" ht="25.5" hidden="1" customHeight="1" x14ac:dyDescent="0.25">
      <c r="E614" s="82" t="s">
        <v>129</v>
      </c>
      <c r="F614" s="82" t="s">
        <v>157</v>
      </c>
      <c r="G614" s="82" t="s">
        <v>610</v>
      </c>
    </row>
    <row r="615" spans="5:7" s="82" customFormat="1" ht="25.5" hidden="1" customHeight="1" x14ac:dyDescent="0.25">
      <c r="E615" s="82" t="s">
        <v>129</v>
      </c>
      <c r="F615" s="82" t="s">
        <v>157</v>
      </c>
      <c r="G615" s="82" t="s">
        <v>395</v>
      </c>
    </row>
    <row r="616" spans="5:7" s="82" customFormat="1" ht="25.5" hidden="1" customHeight="1" x14ac:dyDescent="0.25">
      <c r="E616" s="82" t="s">
        <v>129</v>
      </c>
      <c r="F616" s="82" t="s">
        <v>157</v>
      </c>
      <c r="G616" s="82" t="s">
        <v>433</v>
      </c>
    </row>
    <row r="617" spans="5:7" s="82" customFormat="1" ht="25.5" hidden="1" customHeight="1" x14ac:dyDescent="0.25">
      <c r="E617" s="82" t="s">
        <v>129</v>
      </c>
      <c r="F617" s="82" t="s">
        <v>158</v>
      </c>
      <c r="G617" s="82" t="s">
        <v>254</v>
      </c>
    </row>
    <row r="618" spans="5:7" s="82" customFormat="1" ht="25.5" hidden="1" customHeight="1" x14ac:dyDescent="0.25">
      <c r="E618" s="82" t="s">
        <v>129</v>
      </c>
      <c r="F618" s="82" t="s">
        <v>158</v>
      </c>
      <c r="G618" s="82" t="s">
        <v>749</v>
      </c>
    </row>
    <row r="619" spans="5:7" s="82" customFormat="1" ht="25.5" hidden="1" customHeight="1" x14ac:dyDescent="0.25">
      <c r="E619" s="82" t="s">
        <v>129</v>
      </c>
      <c r="F619" s="82" t="s">
        <v>158</v>
      </c>
      <c r="G619" s="82" t="s">
        <v>725</v>
      </c>
    </row>
    <row r="620" spans="5:7" s="82" customFormat="1" ht="25.5" hidden="1" customHeight="1" x14ac:dyDescent="0.25">
      <c r="E620" s="82" t="s">
        <v>129</v>
      </c>
      <c r="F620" s="82" t="s">
        <v>158</v>
      </c>
      <c r="G620" s="82" t="s">
        <v>580</v>
      </c>
    </row>
    <row r="621" spans="5:7" s="82" customFormat="1" ht="25.5" hidden="1" customHeight="1" x14ac:dyDescent="0.25">
      <c r="E621" s="82" t="s">
        <v>129</v>
      </c>
      <c r="F621" s="82" t="s">
        <v>158</v>
      </c>
      <c r="G621" s="82" t="s">
        <v>396</v>
      </c>
    </row>
    <row r="622" spans="5:7" s="82" customFormat="1" ht="25.5" hidden="1" customHeight="1" x14ac:dyDescent="0.25"/>
    <row r="623" spans="5:7" s="82" customFormat="1" ht="25.5" hidden="1" customHeight="1" x14ac:dyDescent="0.25">
      <c r="E623" s="82" t="s">
        <v>129</v>
      </c>
      <c r="F623" s="82" t="s">
        <v>255</v>
      </c>
      <c r="G623" s="82" t="s">
        <v>646</v>
      </c>
    </row>
    <row r="624" spans="5:7" s="82" customFormat="1" ht="25.5" hidden="1" customHeight="1" x14ac:dyDescent="0.25">
      <c r="E624" s="82" t="s">
        <v>129</v>
      </c>
      <c r="F624" s="82" t="s">
        <v>129</v>
      </c>
      <c r="G624" s="82" t="s">
        <v>256</v>
      </c>
    </row>
    <row r="625" spans="5:7" s="82" customFormat="1" ht="25.5" hidden="1" customHeight="1" x14ac:dyDescent="0.25">
      <c r="E625" s="82" t="s">
        <v>129</v>
      </c>
      <c r="F625" s="82" t="s">
        <v>129</v>
      </c>
      <c r="G625" s="82" t="s">
        <v>790</v>
      </c>
    </row>
    <row r="626" spans="5:7" s="82" customFormat="1" ht="25.5" hidden="1" customHeight="1" x14ac:dyDescent="0.25">
      <c r="E626" s="82" t="s">
        <v>129</v>
      </c>
      <c r="F626" s="82" t="s">
        <v>129</v>
      </c>
      <c r="G626" s="82" t="s">
        <v>722</v>
      </c>
    </row>
    <row r="627" spans="5:7" s="82" customFormat="1" ht="25.5" hidden="1" customHeight="1" x14ac:dyDescent="0.25">
      <c r="E627" s="82" t="s">
        <v>129</v>
      </c>
      <c r="F627" s="82" t="s">
        <v>129</v>
      </c>
      <c r="G627" s="82" t="s">
        <v>785</v>
      </c>
    </row>
    <row r="628" spans="5:7" s="82" customFormat="1" ht="25.5" hidden="1" customHeight="1" x14ac:dyDescent="0.25">
      <c r="E628" s="82" t="s">
        <v>129</v>
      </c>
      <c r="F628" s="82" t="s">
        <v>129</v>
      </c>
      <c r="G628" s="82" t="s">
        <v>340</v>
      </c>
    </row>
    <row r="629" spans="5:7" s="82" customFormat="1" ht="25.5" hidden="1" customHeight="1" x14ac:dyDescent="0.25">
      <c r="E629" s="82" t="s">
        <v>129</v>
      </c>
      <c r="F629" s="82" t="s">
        <v>129</v>
      </c>
      <c r="G629" s="82" t="s">
        <v>611</v>
      </c>
    </row>
    <row r="630" spans="5:7" s="82" customFormat="1" ht="25.5" hidden="1" customHeight="1" x14ac:dyDescent="0.25">
      <c r="E630" s="82" t="s">
        <v>129</v>
      </c>
      <c r="F630" s="82" t="s">
        <v>129</v>
      </c>
      <c r="G630" s="82" t="s">
        <v>434</v>
      </c>
    </row>
    <row r="631" spans="5:7" s="82" customFormat="1" ht="25.5" hidden="1" customHeight="1" x14ac:dyDescent="0.25">
      <c r="E631" s="82" t="s">
        <v>129</v>
      </c>
      <c r="F631" s="82" t="s">
        <v>129</v>
      </c>
      <c r="G631" s="82" t="s">
        <v>518</v>
      </c>
    </row>
    <row r="632" spans="5:7" s="82" customFormat="1" ht="25.5" hidden="1" customHeight="1" x14ac:dyDescent="0.25">
      <c r="E632" s="82" t="s">
        <v>129</v>
      </c>
      <c r="F632" s="82" t="s">
        <v>159</v>
      </c>
      <c r="G632" s="82" t="s">
        <v>581</v>
      </c>
    </row>
    <row r="633" spans="5:7" s="82" customFormat="1" ht="25.5" hidden="1" customHeight="1" x14ac:dyDescent="0.25">
      <c r="E633" s="82" t="s">
        <v>129</v>
      </c>
      <c r="F633" s="82" t="s">
        <v>159</v>
      </c>
      <c r="G633" s="82" t="s">
        <v>647</v>
      </c>
    </row>
    <row r="634" spans="5:7" s="82" customFormat="1" ht="25.5" hidden="1" customHeight="1" x14ac:dyDescent="0.25">
      <c r="E634" s="82" t="s">
        <v>129</v>
      </c>
      <c r="F634" s="82" t="s">
        <v>159</v>
      </c>
      <c r="G634" s="82" t="s">
        <v>724</v>
      </c>
    </row>
    <row r="635" spans="5:7" s="82" customFormat="1" ht="25.5" hidden="1" customHeight="1" x14ac:dyDescent="0.25">
      <c r="E635" s="82" t="s">
        <v>129</v>
      </c>
      <c r="F635" s="82" t="s">
        <v>159</v>
      </c>
      <c r="G635" s="82" t="s">
        <v>612</v>
      </c>
    </row>
    <row r="636" spans="5:7" s="82" customFormat="1" ht="25.5" hidden="1" customHeight="1" x14ac:dyDescent="0.25">
      <c r="E636" s="82" t="s">
        <v>129</v>
      </c>
      <c r="F636" s="82" t="s">
        <v>159</v>
      </c>
      <c r="G636" s="82" t="s">
        <v>435</v>
      </c>
    </row>
    <row r="637" spans="5:7" s="82" customFormat="1" ht="25.5" hidden="1" customHeight="1" x14ac:dyDescent="0.25">
      <c r="E637" s="82" t="s">
        <v>129</v>
      </c>
      <c r="F637" s="82" t="s">
        <v>159</v>
      </c>
      <c r="G637" s="82" t="s">
        <v>671</v>
      </c>
    </row>
    <row r="638" spans="5:7" s="82" customFormat="1" ht="25.5" hidden="1" customHeight="1" x14ac:dyDescent="0.25">
      <c r="E638" s="82" t="s">
        <v>132</v>
      </c>
      <c r="F638" s="82" t="s">
        <v>133</v>
      </c>
      <c r="G638" s="82" t="s">
        <v>582</v>
      </c>
    </row>
    <row r="639" spans="5:7" s="82" customFormat="1" ht="25.5" hidden="1" customHeight="1" x14ac:dyDescent="0.25">
      <c r="E639" s="82" t="s">
        <v>132</v>
      </c>
      <c r="F639" s="82" t="s">
        <v>133</v>
      </c>
      <c r="G639" s="82" t="s">
        <v>346</v>
      </c>
    </row>
    <row r="640" spans="5:7" s="82" customFormat="1" ht="25.5" hidden="1" customHeight="1" x14ac:dyDescent="0.25">
      <c r="E640" s="82" t="s">
        <v>132</v>
      </c>
      <c r="F640" s="82" t="s">
        <v>257</v>
      </c>
      <c r="G640" s="82" t="s">
        <v>258</v>
      </c>
    </row>
    <row r="641" spans="5:7" s="82" customFormat="1" ht="25.5" hidden="1" customHeight="1" x14ac:dyDescent="0.25">
      <c r="E641" s="82" t="s">
        <v>132</v>
      </c>
      <c r="F641" s="82" t="s">
        <v>257</v>
      </c>
      <c r="G641" s="82" t="s">
        <v>726</v>
      </c>
    </row>
    <row r="642" spans="5:7" s="82" customFormat="1" ht="25.5" hidden="1" customHeight="1" x14ac:dyDescent="0.25">
      <c r="E642" s="82" t="s">
        <v>132</v>
      </c>
      <c r="F642" s="82" t="s">
        <v>257</v>
      </c>
      <c r="G642" s="82" t="s">
        <v>374</v>
      </c>
    </row>
    <row r="643" spans="5:7" s="82" customFormat="1" ht="25.5" hidden="1" customHeight="1" x14ac:dyDescent="0.25">
      <c r="E643" s="82" t="s">
        <v>132</v>
      </c>
      <c r="F643" s="82" t="s">
        <v>257</v>
      </c>
      <c r="G643" s="82" t="s">
        <v>386</v>
      </c>
    </row>
    <row r="644" spans="5:7" s="82" customFormat="1" ht="25.5" hidden="1" customHeight="1" x14ac:dyDescent="0.25">
      <c r="E644" s="82" t="s">
        <v>132</v>
      </c>
      <c r="F644" s="82" t="s">
        <v>257</v>
      </c>
      <c r="G644" s="82" t="s">
        <v>613</v>
      </c>
    </row>
    <row r="645" spans="5:7" s="82" customFormat="1" ht="25.5" hidden="1" customHeight="1" x14ac:dyDescent="0.25">
      <c r="E645" s="82" t="s">
        <v>132</v>
      </c>
      <c r="F645" s="82" t="s">
        <v>257</v>
      </c>
      <c r="G645" s="82" t="s">
        <v>436</v>
      </c>
    </row>
    <row r="646" spans="5:7" s="82" customFormat="1" ht="25.5" hidden="1" customHeight="1" x14ac:dyDescent="0.25">
      <c r="E646" s="82" t="s">
        <v>132</v>
      </c>
      <c r="F646" s="82" t="s">
        <v>257</v>
      </c>
      <c r="G646" s="82" t="s">
        <v>437</v>
      </c>
    </row>
    <row r="647" spans="5:7" s="82" customFormat="1" ht="25.5" hidden="1" customHeight="1" x14ac:dyDescent="0.25"/>
    <row r="648" spans="5:7" s="82" customFormat="1" ht="25.5" hidden="1" customHeight="1" x14ac:dyDescent="0.25"/>
    <row r="649" spans="5:7" s="82" customFormat="1" ht="25.5" hidden="1" customHeight="1" x14ac:dyDescent="0.25">
      <c r="E649" s="82" t="s">
        <v>132</v>
      </c>
      <c r="F649" s="82" t="s">
        <v>160</v>
      </c>
      <c r="G649" s="82" t="s">
        <v>259</v>
      </c>
    </row>
    <row r="650" spans="5:7" s="82" customFormat="1" ht="25.5" hidden="1" customHeight="1" x14ac:dyDescent="0.25">
      <c r="E650" s="82" t="s">
        <v>132</v>
      </c>
      <c r="F650" s="82" t="s">
        <v>160</v>
      </c>
      <c r="G650" s="82" t="s">
        <v>347</v>
      </c>
    </row>
    <row r="651" spans="5:7" s="82" customFormat="1" ht="25.5" hidden="1" customHeight="1" x14ac:dyDescent="0.25">
      <c r="E651" s="82" t="s">
        <v>132</v>
      </c>
      <c r="F651" s="82" t="s">
        <v>260</v>
      </c>
      <c r="G651" s="82" t="s">
        <v>261</v>
      </c>
    </row>
    <row r="652" spans="5:7" s="82" customFormat="1" ht="25.5" hidden="1" customHeight="1" x14ac:dyDescent="0.25">
      <c r="E652" s="82" t="s">
        <v>132</v>
      </c>
      <c r="F652" s="82" t="s">
        <v>260</v>
      </c>
      <c r="G652" s="82" t="s">
        <v>364</v>
      </c>
    </row>
    <row r="653" spans="5:7" s="82" customFormat="1" ht="25.5" hidden="1" customHeight="1" x14ac:dyDescent="0.25">
      <c r="E653" s="82" t="s">
        <v>132</v>
      </c>
      <c r="F653" s="82" t="s">
        <v>260</v>
      </c>
      <c r="G653" s="82" t="s">
        <v>614</v>
      </c>
    </row>
    <row r="654" spans="5:7" s="82" customFormat="1" ht="25.5" hidden="1" customHeight="1" x14ac:dyDescent="0.25">
      <c r="E654" s="82" t="s">
        <v>132</v>
      </c>
      <c r="F654" s="82" t="s">
        <v>260</v>
      </c>
      <c r="G654" s="82" t="s">
        <v>492</v>
      </c>
    </row>
    <row r="655" spans="5:7" s="82" customFormat="1" ht="25.5" hidden="1" customHeight="1" x14ac:dyDescent="0.25">
      <c r="E655" s="82" t="s">
        <v>132</v>
      </c>
      <c r="F655" s="82" t="s">
        <v>260</v>
      </c>
      <c r="G655" s="82" t="s">
        <v>493</v>
      </c>
    </row>
    <row r="656" spans="5:7" s="82" customFormat="1" ht="25.5" hidden="1" customHeight="1" x14ac:dyDescent="0.25">
      <c r="E656" s="82" t="s">
        <v>132</v>
      </c>
      <c r="F656" s="82" t="s">
        <v>134</v>
      </c>
      <c r="G656" s="82" t="s">
        <v>583</v>
      </c>
    </row>
    <row r="657" spans="5:7" s="82" customFormat="1" ht="25.5" hidden="1" customHeight="1" x14ac:dyDescent="0.25">
      <c r="E657" s="82" t="s">
        <v>132</v>
      </c>
      <c r="F657" s="82" t="s">
        <v>134</v>
      </c>
      <c r="G657" s="82" t="s">
        <v>348</v>
      </c>
    </row>
    <row r="658" spans="5:7" s="82" customFormat="1" ht="25.5" hidden="1" customHeight="1" x14ac:dyDescent="0.25">
      <c r="E658" s="82" t="s">
        <v>132</v>
      </c>
      <c r="F658" s="82" t="s">
        <v>262</v>
      </c>
      <c r="G658" s="82" t="s">
        <v>648</v>
      </c>
    </row>
    <row r="659" spans="5:7" s="82" customFormat="1" ht="25.5" hidden="1" customHeight="1" x14ac:dyDescent="0.25">
      <c r="E659" s="82" t="s">
        <v>132</v>
      </c>
      <c r="F659" s="82" t="s">
        <v>262</v>
      </c>
      <c r="G659" s="82" t="s">
        <v>363</v>
      </c>
    </row>
    <row r="660" spans="5:7" s="82" customFormat="1" ht="25.5" hidden="1" customHeight="1" x14ac:dyDescent="0.25">
      <c r="E660" s="82" t="s">
        <v>132</v>
      </c>
      <c r="F660" s="82" t="s">
        <v>262</v>
      </c>
      <c r="G660" s="82" t="s">
        <v>808</v>
      </c>
    </row>
    <row r="661" spans="5:7" s="82" customFormat="1" ht="25.5" hidden="1" customHeight="1" x14ac:dyDescent="0.25">
      <c r="E661" s="82" t="s">
        <v>132</v>
      </c>
      <c r="F661" s="82" t="s">
        <v>262</v>
      </c>
      <c r="G661" s="82" t="s">
        <v>615</v>
      </c>
    </row>
    <row r="662" spans="5:7" s="82" customFormat="1" ht="25.5" hidden="1" customHeight="1" x14ac:dyDescent="0.25">
      <c r="E662" s="82" t="s">
        <v>132</v>
      </c>
      <c r="F662" s="82" t="s">
        <v>262</v>
      </c>
      <c r="G662" s="82" t="s">
        <v>526</v>
      </c>
    </row>
    <row r="663" spans="5:7" s="82" customFormat="1" ht="25.5" hidden="1" customHeight="1" x14ac:dyDescent="0.25">
      <c r="E663" s="82" t="s">
        <v>132</v>
      </c>
      <c r="F663" s="82" t="s">
        <v>262</v>
      </c>
      <c r="G663" s="82" t="s">
        <v>527</v>
      </c>
    </row>
    <row r="664" spans="5:7" s="82" customFormat="1" ht="25.5" hidden="1" customHeight="1" x14ac:dyDescent="0.25">
      <c r="E664" s="82" t="s">
        <v>132</v>
      </c>
      <c r="F664" s="82" t="s">
        <v>262</v>
      </c>
      <c r="G664" s="82" t="s">
        <v>438</v>
      </c>
    </row>
    <row r="665" spans="5:7" s="82" customFormat="1" ht="25.5" hidden="1" customHeight="1" x14ac:dyDescent="0.25">
      <c r="E665" s="82" t="s">
        <v>132</v>
      </c>
      <c r="F665" s="82" t="s">
        <v>132</v>
      </c>
      <c r="G665" s="82" t="s">
        <v>263</v>
      </c>
    </row>
    <row r="666" spans="5:7" s="82" customFormat="1" ht="25.5" hidden="1" customHeight="1" x14ac:dyDescent="0.25">
      <c r="E666" s="82" t="s">
        <v>132</v>
      </c>
      <c r="F666" s="82" t="s">
        <v>132</v>
      </c>
      <c r="G666" s="82" t="s">
        <v>670</v>
      </c>
    </row>
    <row r="667" spans="5:7" s="82" customFormat="1" ht="25.5" hidden="1" customHeight="1" x14ac:dyDescent="0.25">
      <c r="E667" s="82" t="s">
        <v>132</v>
      </c>
      <c r="F667" s="82" t="s">
        <v>132</v>
      </c>
      <c r="G667" s="82" t="s">
        <v>584</v>
      </c>
    </row>
    <row r="668" spans="5:7" s="82" customFormat="1" ht="25.5" hidden="1" customHeight="1" x14ac:dyDescent="0.25">
      <c r="E668" s="82" t="s">
        <v>132</v>
      </c>
      <c r="F668" s="82" t="s">
        <v>264</v>
      </c>
      <c r="G668" s="82" t="s">
        <v>135</v>
      </c>
    </row>
    <row r="669" spans="5:7" s="82" customFormat="1" ht="25.5" hidden="1" customHeight="1" x14ac:dyDescent="0.25">
      <c r="E669" s="82" t="s">
        <v>132</v>
      </c>
      <c r="F669" s="82" t="s">
        <v>132</v>
      </c>
      <c r="G669" s="82" t="s">
        <v>362</v>
      </c>
    </row>
    <row r="670" spans="5:7" s="82" customFormat="1" ht="25.5" hidden="1" customHeight="1" x14ac:dyDescent="0.25">
      <c r="E670" s="82" t="s">
        <v>132</v>
      </c>
      <c r="F670" s="82" t="s">
        <v>132</v>
      </c>
      <c r="G670" s="82" t="s">
        <v>810</v>
      </c>
    </row>
    <row r="671" spans="5:7" s="82" customFormat="1" ht="25.5" hidden="1" customHeight="1" x14ac:dyDescent="0.25">
      <c r="E671" s="82" t="s">
        <v>132</v>
      </c>
      <c r="F671" s="82" t="s">
        <v>132</v>
      </c>
      <c r="G671" s="82" t="s">
        <v>809</v>
      </c>
    </row>
    <row r="672" spans="5:7" s="82" customFormat="1" ht="25.5" hidden="1" customHeight="1" x14ac:dyDescent="0.3">
      <c r="E672" s="82" t="s">
        <v>132</v>
      </c>
      <c r="F672" s="82" t="s">
        <v>264</v>
      </c>
      <c r="G672" s="83" t="s">
        <v>305</v>
      </c>
    </row>
    <row r="673" spans="5:7" s="82" customFormat="1" ht="25.5" hidden="1" customHeight="1" x14ac:dyDescent="0.25">
      <c r="E673" s="82" t="s">
        <v>132</v>
      </c>
      <c r="F673" s="82" t="s">
        <v>264</v>
      </c>
      <c r="G673" s="82" t="s">
        <v>389</v>
      </c>
    </row>
    <row r="674" spans="5:7" s="82" customFormat="1" ht="25.5" hidden="1" customHeight="1" x14ac:dyDescent="0.25">
      <c r="E674" s="82" t="s">
        <v>132</v>
      </c>
      <c r="F674" s="82" t="s">
        <v>264</v>
      </c>
      <c r="G674" s="82" t="s">
        <v>439</v>
      </c>
    </row>
    <row r="675" spans="5:7" s="82" customFormat="1" ht="25.5" hidden="1" customHeight="1" x14ac:dyDescent="0.25">
      <c r="E675" s="82" t="s">
        <v>132</v>
      </c>
      <c r="F675" s="82" t="s">
        <v>264</v>
      </c>
      <c r="G675" s="82" t="s">
        <v>528</v>
      </c>
    </row>
    <row r="676" spans="5:7" s="82" customFormat="1" ht="25.5" hidden="1" customHeight="1" x14ac:dyDescent="0.25">
      <c r="E676" s="82" t="s">
        <v>132</v>
      </c>
      <c r="F676" s="82" t="s">
        <v>264</v>
      </c>
      <c r="G676" s="82" t="s">
        <v>529</v>
      </c>
    </row>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s="82" customFormat="1" ht="25.5" hidden="1" customHeight="1" x14ac:dyDescent="0.25"/>
    <row r="775" s="82" customFormat="1" ht="25.5" hidden="1" customHeight="1" x14ac:dyDescent="0.25"/>
    <row r="776" s="82" customFormat="1"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customHeight="1" x14ac:dyDescent="0.25"/>
    <row r="1023" ht="25.5" customHeight="1" x14ac:dyDescent="0.25"/>
    <row r="1024" ht="25.5" customHeight="1" x14ac:dyDescent="0.25"/>
    <row r="1025" ht="25.5" customHeight="1" x14ac:dyDescent="0.25"/>
    <row r="1026" ht="25.5" customHeight="1" x14ac:dyDescent="0.25"/>
    <row r="1027" ht="25.5" customHeight="1" x14ac:dyDescent="0.25"/>
    <row r="1028" ht="25.5" customHeight="1" x14ac:dyDescent="0.25"/>
    <row r="1029" ht="25.5" customHeight="1" x14ac:dyDescent="0.25"/>
    <row r="1030" ht="25.5" customHeight="1" x14ac:dyDescent="0.25"/>
    <row r="1031" ht="25.5" customHeight="1" x14ac:dyDescent="0.25"/>
    <row r="1032" ht="25.5" customHeight="1" x14ac:dyDescent="0.25"/>
    <row r="1033" ht="25.5" customHeight="1" x14ac:dyDescent="0.25"/>
    <row r="1034" ht="25.5" customHeight="1" x14ac:dyDescent="0.25"/>
    <row r="1035" ht="25.5" customHeight="1" x14ac:dyDescent="0.25"/>
    <row r="1036" ht="25.5" customHeight="1" x14ac:dyDescent="0.25"/>
    <row r="1037" ht="25.5" customHeight="1" x14ac:dyDescent="0.25"/>
    <row r="1038" ht="25.5" customHeight="1" x14ac:dyDescent="0.25"/>
    <row r="1039" ht="25.5" customHeight="1" x14ac:dyDescent="0.25"/>
    <row r="1040" ht="25.5" customHeight="1" x14ac:dyDescent="0.25"/>
    <row r="1041" ht="25.5" customHeight="1" x14ac:dyDescent="0.25"/>
    <row r="1042" ht="25.5" customHeight="1" x14ac:dyDescent="0.25"/>
    <row r="1043" ht="25.5" customHeight="1" x14ac:dyDescent="0.25"/>
    <row r="1044" ht="25.5" customHeight="1" x14ac:dyDescent="0.25"/>
    <row r="1045" ht="25.5" customHeight="1" x14ac:dyDescent="0.25"/>
    <row r="1046" ht="25.5" customHeight="1" x14ac:dyDescent="0.25"/>
    <row r="1047" ht="25.5" customHeight="1" x14ac:dyDescent="0.25"/>
    <row r="1048" ht="25.5" customHeight="1" x14ac:dyDescent="0.25"/>
    <row r="1049" ht="25.5" customHeight="1" x14ac:dyDescent="0.25"/>
    <row r="1050" ht="25.5" customHeight="1" x14ac:dyDescent="0.25"/>
    <row r="1051" ht="25.5" customHeight="1" x14ac:dyDescent="0.25"/>
    <row r="1052" ht="25.5" customHeight="1" x14ac:dyDescent="0.25"/>
    <row r="1053" ht="25.5" customHeight="1" x14ac:dyDescent="0.25"/>
    <row r="1054" ht="25.5" customHeight="1" x14ac:dyDescent="0.25"/>
    <row r="1055" ht="25.5" customHeight="1" x14ac:dyDescent="0.25"/>
    <row r="1056" ht="25.5" customHeight="1" x14ac:dyDescent="0.25"/>
    <row r="1057" ht="25.5" customHeight="1" x14ac:dyDescent="0.25"/>
    <row r="1058" ht="25.5" customHeight="1" x14ac:dyDescent="0.25"/>
    <row r="1059" ht="25.5" customHeight="1" x14ac:dyDescent="0.25"/>
    <row r="1060" ht="25.5" customHeight="1" x14ac:dyDescent="0.25"/>
    <row r="1061" ht="25.5" customHeight="1" x14ac:dyDescent="0.25"/>
    <row r="1062" ht="25.5" customHeight="1" x14ac:dyDescent="0.25"/>
    <row r="1063" ht="25.5" customHeight="1" x14ac:dyDescent="0.25"/>
    <row r="1064" ht="25.5" customHeight="1" x14ac:dyDescent="0.25"/>
    <row r="1065" ht="25.5" customHeight="1" x14ac:dyDescent="0.25"/>
    <row r="1066" ht="25.5" customHeight="1" x14ac:dyDescent="0.25"/>
    <row r="1067" ht="25.5" customHeight="1" x14ac:dyDescent="0.25"/>
    <row r="1068" ht="25.5" customHeight="1" x14ac:dyDescent="0.25"/>
    <row r="1069" ht="25.5" customHeight="1" x14ac:dyDescent="0.25"/>
    <row r="1070" ht="25.5" customHeight="1" x14ac:dyDescent="0.25"/>
    <row r="1071" ht="25.5" customHeight="1" x14ac:dyDescent="0.25"/>
    <row r="1072" ht="25.5" customHeight="1" x14ac:dyDescent="0.25"/>
    <row r="1073" ht="25.5" customHeight="1" x14ac:dyDescent="0.25"/>
    <row r="1074" ht="25.5" customHeight="1" x14ac:dyDescent="0.25"/>
    <row r="1075" ht="25.5" customHeight="1" x14ac:dyDescent="0.25"/>
    <row r="1076" ht="25.5" customHeight="1" x14ac:dyDescent="0.25"/>
    <row r="1077" ht="25.5" customHeight="1" x14ac:dyDescent="0.25"/>
    <row r="1078" ht="25.5" customHeight="1" x14ac:dyDescent="0.25"/>
    <row r="1079" ht="25.5" customHeight="1" x14ac:dyDescent="0.25"/>
    <row r="1080" ht="25.5" customHeight="1" x14ac:dyDescent="0.25"/>
    <row r="1081" ht="25.5" customHeight="1" x14ac:dyDescent="0.25"/>
    <row r="1082" ht="25.5" customHeight="1" x14ac:dyDescent="0.25"/>
    <row r="1083" ht="25.5" customHeight="1" x14ac:dyDescent="0.25"/>
    <row r="1084" ht="25.5" customHeight="1" x14ac:dyDescent="0.25"/>
    <row r="1085" ht="25.5" customHeight="1" x14ac:dyDescent="0.25"/>
    <row r="1086" ht="25.5" customHeight="1" x14ac:dyDescent="0.25"/>
    <row r="1087" ht="25.5" customHeight="1" x14ac:dyDescent="0.25"/>
    <row r="1088" ht="25.5" customHeight="1" x14ac:dyDescent="0.25"/>
    <row r="1089" ht="25.5" customHeight="1" x14ac:dyDescent="0.25"/>
    <row r="1090" ht="25.5" customHeight="1" x14ac:dyDescent="0.25"/>
    <row r="1091" ht="25.5" customHeight="1" x14ac:dyDescent="0.25"/>
    <row r="1092" ht="25.5" customHeight="1" x14ac:dyDescent="0.25"/>
    <row r="1093" ht="25.5" customHeight="1" x14ac:dyDescent="0.25"/>
    <row r="1094" ht="25.5" customHeight="1" x14ac:dyDescent="0.25"/>
    <row r="1095" ht="25.5" customHeight="1" x14ac:dyDescent="0.25"/>
    <row r="1096" ht="25.5" customHeight="1" x14ac:dyDescent="0.25"/>
    <row r="1097" ht="25.5" customHeight="1" x14ac:dyDescent="0.25"/>
    <row r="1098" ht="25.5" customHeight="1" x14ac:dyDescent="0.25"/>
    <row r="1099" ht="25.5" customHeight="1" x14ac:dyDescent="0.25"/>
    <row r="1100" ht="25.5" customHeight="1" x14ac:dyDescent="0.25"/>
    <row r="1101" ht="25.5" customHeight="1" x14ac:dyDescent="0.25"/>
    <row r="1102" ht="25.5" customHeight="1" x14ac:dyDescent="0.25"/>
    <row r="1103" ht="25.5" customHeight="1" x14ac:dyDescent="0.25"/>
    <row r="1104" ht="25.5" customHeight="1" x14ac:dyDescent="0.25"/>
    <row r="1105" ht="25.5" customHeight="1" x14ac:dyDescent="0.25"/>
    <row r="1106" ht="25.5"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row r="1115" ht="25.5" customHeight="1" x14ac:dyDescent="0.25"/>
    <row r="1116" ht="25.5" customHeight="1" x14ac:dyDescent="0.25"/>
    <row r="1117" ht="25.5" customHeight="1" x14ac:dyDescent="0.25"/>
  </sheetData>
  <mergeCells count="154">
    <mergeCell ref="C33:C35"/>
    <mergeCell ref="L6:S6"/>
    <mergeCell ref="C6:G6"/>
    <mergeCell ref="S27:T29"/>
    <mergeCell ref="A20:C20"/>
    <mergeCell ref="Q17:Q18"/>
    <mergeCell ref="H27:H29"/>
    <mergeCell ref="H30:H32"/>
    <mergeCell ref="C7:G7"/>
    <mergeCell ref="D12:G12"/>
    <mergeCell ref="D13:G13"/>
    <mergeCell ref="D14:G14"/>
    <mergeCell ref="A12:C14"/>
    <mergeCell ref="A21:C21"/>
    <mergeCell ref="C30:C32"/>
    <mergeCell ref="A38:E38"/>
    <mergeCell ref="A40:A41"/>
    <mergeCell ref="S48:T48"/>
    <mergeCell ref="M48:P48"/>
    <mergeCell ref="M47:P47"/>
    <mergeCell ref="Q46:U46"/>
    <mergeCell ref="N7:S7"/>
    <mergeCell ref="M8:S8"/>
    <mergeCell ref="M9:N9"/>
    <mergeCell ref="K10:L10"/>
    <mergeCell ref="Q10:S10"/>
    <mergeCell ref="U24:U26"/>
    <mergeCell ref="U27:U29"/>
    <mergeCell ref="U30:U32"/>
    <mergeCell ref="U33:U35"/>
    <mergeCell ref="L27:L29"/>
    <mergeCell ref="L30:L32"/>
    <mergeCell ref="M34:N34"/>
    <mergeCell ref="J14:L14"/>
    <mergeCell ref="M25:O25"/>
    <mergeCell ref="M26:O26"/>
    <mergeCell ref="P26:R26"/>
    <mergeCell ref="R17:T17"/>
    <mergeCell ref="P33:Q33"/>
    <mergeCell ref="P27:Q27"/>
    <mergeCell ref="P34:Q34"/>
    <mergeCell ref="K33:K35"/>
    <mergeCell ref="F33:F35"/>
    <mergeCell ref="G30:G32"/>
    <mergeCell ref="I27:I29"/>
    <mergeCell ref="P28:Q28"/>
    <mergeCell ref="L33:L35"/>
    <mergeCell ref="P32:Q32"/>
    <mergeCell ref="I30:I32"/>
    <mergeCell ref="I33:I35"/>
    <mergeCell ref="M28:N28"/>
    <mergeCell ref="M27:N27"/>
    <mergeCell ref="P29:Q29"/>
    <mergeCell ref="P30:Q30"/>
    <mergeCell ref="M29:N29"/>
    <mergeCell ref="M35:N35"/>
    <mergeCell ref="K27:K29"/>
    <mergeCell ref="M33:N33"/>
    <mergeCell ref="P35:Q35"/>
    <mergeCell ref="P31:Q31"/>
    <mergeCell ref="J39:L40"/>
    <mergeCell ref="J41:L41"/>
    <mergeCell ref="J42:L42"/>
    <mergeCell ref="F40:F41"/>
    <mergeCell ref="E42:E43"/>
    <mergeCell ref="J43:L43"/>
    <mergeCell ref="C40:C41"/>
    <mergeCell ref="D40:D41"/>
    <mergeCell ref="C44:C45"/>
    <mergeCell ref="M30:N30"/>
    <mergeCell ref="M31:N31"/>
    <mergeCell ref="M32:N32"/>
    <mergeCell ref="C9:G9"/>
    <mergeCell ref="J12:M12"/>
    <mergeCell ref="N12:U12"/>
    <mergeCell ref="S30:T32"/>
    <mergeCell ref="A18:C18"/>
    <mergeCell ref="A42:A43"/>
    <mergeCell ref="A19:C19"/>
    <mergeCell ref="D25:D26"/>
    <mergeCell ref="B24:D24"/>
    <mergeCell ref="A24:A26"/>
    <mergeCell ref="B40:B41"/>
    <mergeCell ref="A16:C16"/>
    <mergeCell ref="B42:B43"/>
    <mergeCell ref="G38:H39"/>
    <mergeCell ref="G40:G41"/>
    <mergeCell ref="H40:H41"/>
    <mergeCell ref="H33:H35"/>
    <mergeCell ref="F30:F32"/>
    <mergeCell ref="E24:T24"/>
    <mergeCell ref="P25:R25"/>
    <mergeCell ref="S26:T26"/>
    <mergeCell ref="J38:U38"/>
    <mergeCell ref="M39:O39"/>
    <mergeCell ref="P39:R39"/>
    <mergeCell ref="B27:B29"/>
    <mergeCell ref="B30:B32"/>
    <mergeCell ref="B33:B35"/>
    <mergeCell ref="A47:A48"/>
    <mergeCell ref="E27:E29"/>
    <mergeCell ref="A1:R1"/>
    <mergeCell ref="J15:L15"/>
    <mergeCell ref="A4:U4"/>
    <mergeCell ref="A2:U2"/>
    <mergeCell ref="A3:R3"/>
    <mergeCell ref="A27:A29"/>
    <mergeCell ref="A30:A32"/>
    <mergeCell ref="A33:A35"/>
    <mergeCell ref="E30:E32"/>
    <mergeCell ref="E33:E35"/>
    <mergeCell ref="F27:F29"/>
    <mergeCell ref="G33:G35"/>
    <mergeCell ref="J30:J32"/>
    <mergeCell ref="K30:K32"/>
    <mergeCell ref="J13:L13"/>
    <mergeCell ref="C8:G8"/>
    <mergeCell ref="G44:G45"/>
    <mergeCell ref="H44:H45"/>
    <mergeCell ref="A44:A45"/>
    <mergeCell ref="E40:E41"/>
    <mergeCell ref="F42:F43"/>
    <mergeCell ref="G42:G43"/>
    <mergeCell ref="H42:H43"/>
    <mergeCell ref="B44:B45"/>
    <mergeCell ref="D44:D45"/>
    <mergeCell ref="E44:E45"/>
    <mergeCell ref="F44:F45"/>
    <mergeCell ref="C42:C43"/>
    <mergeCell ref="D42:D43"/>
    <mergeCell ref="M49:P49"/>
    <mergeCell ref="D27:D29"/>
    <mergeCell ref="D30:D32"/>
    <mergeCell ref="D33:D35"/>
    <mergeCell ref="C27:C29"/>
    <mergeCell ref="S33:T35"/>
    <mergeCell ref="S25:T25"/>
    <mergeCell ref="R13:T13"/>
    <mergeCell ref="R14:T14"/>
    <mergeCell ref="R15:T15"/>
    <mergeCell ref="S39:U39"/>
    <mergeCell ref="J33:J35"/>
    <mergeCell ref="G27:G29"/>
    <mergeCell ref="J27:J29"/>
    <mergeCell ref="P17:P18"/>
    <mergeCell ref="I17:I18"/>
    <mergeCell ref="J17:L17"/>
    <mergeCell ref="M17:O17"/>
    <mergeCell ref="R18:T18"/>
    <mergeCell ref="R19:T19"/>
    <mergeCell ref="A17:C17"/>
    <mergeCell ref="E47:J50"/>
    <mergeCell ref="F46:H46"/>
    <mergeCell ref="A49:A50"/>
  </mergeCells>
  <phoneticPr fontId="4" type="noConversion"/>
  <dataValidations count="7">
    <dataValidation allowBlank="1" showInputMessage="1" showErrorMessage="1" prompt="Date Format:_x000a_DD/MM/YYYY" sqref="S48 P9"/>
    <dataValidation type="whole" allowBlank="1" showInputMessage="1" showErrorMessage="1" sqref="E27:L35 M41:U43 O27:O35 R27:R35 B27:C35 B40:D45">
      <formula1>0</formula1>
      <formula2>999999</formula2>
    </dataValidation>
    <dataValidation type="whole" allowBlank="1" showInputMessage="1" showErrorMessage="1" prompt="Fill the following Others (Specify) table to get the number automatically " sqref="S27:T35">
      <formula1>0</formula1>
      <formula2>999999</formula2>
    </dataValidation>
    <dataValidation type="list" allowBlank="1" showInputMessage="1" showErrorMessage="1" prompt="Select from drop down list" sqref="C6:G6">
      <formula1>"Barisal_Division, Chattogram_Division, Dhaka_Division, Khulna_Division, Mymensingh_Division, Rajshahi_Division, Rangpur_Division, Sylhet_Division"</formula1>
    </dataValidation>
    <dataValidation type="list" allowBlank="1" showInputMessage="1" showErrorMessage="1" prompt="Select from drop down list" sqref="C7:G7">
      <formula1>INDIRECT($C$6)</formula1>
    </dataValidation>
    <dataValidation type="list" allowBlank="1" showInputMessage="1" showErrorMessage="1" prompt="Select from drop down list" sqref="C8:G8">
      <formula1>INDIRECT($C$7)</formula1>
    </dataValidation>
    <dataValidation type="list" allowBlank="1" showInputMessage="1" showErrorMessage="1" prompt="Select from drop down list" sqref="C9:G9">
      <formula1>"GeneXpert (Sputum &amp; EP), GeneXpert (Stool), Truenat"</formula1>
    </dataValidation>
  </dataValidations>
  <pageMargins left="0.21" right="0.17" top="0.47" bottom="0.22" header="0.23" footer="0.16"/>
  <pageSetup paperSize="9" scale="66" orientation="landscape"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WE1114"/>
  <sheetViews>
    <sheetView showGridLines="0" view="pageBreakPreview" topLeftCell="A25" zoomScaleSheetLayoutView="100" workbookViewId="0">
      <selection activeCell="H44" sqref="H44:H45"/>
    </sheetView>
  </sheetViews>
  <sheetFormatPr defaultColWidth="9.33203125" defaultRowHeight="13.8" x14ac:dyDescent="0.25"/>
  <cols>
    <col min="1" max="1" width="18.6640625" style="37" customWidth="1"/>
    <col min="2" max="2" width="11.6640625" style="37" customWidth="1"/>
    <col min="3" max="4" width="11.44140625" style="37" customWidth="1"/>
    <col min="5" max="5" width="14.44140625" style="37" customWidth="1"/>
    <col min="6" max="6" width="9.6640625" style="37" customWidth="1"/>
    <col min="7" max="7" width="11.6640625" style="37" customWidth="1"/>
    <col min="8" max="8" width="12.33203125" style="37" bestFit="1" customWidth="1"/>
    <col min="9" max="9" width="7.5546875" style="37" customWidth="1"/>
    <col min="10" max="11" width="9" style="37" customWidth="1"/>
    <col min="12" max="12" width="9.6640625" style="37" customWidth="1"/>
    <col min="13" max="13" width="8.44140625" style="37" customWidth="1"/>
    <col min="14" max="15" width="6.6640625" style="37" customWidth="1"/>
    <col min="16" max="16" width="11.5546875" style="37" customWidth="1"/>
    <col min="17" max="17" width="6.5546875" style="37" customWidth="1"/>
    <col min="18" max="18" width="7.33203125" style="37" customWidth="1"/>
    <col min="19" max="19" width="6.6640625" style="37" customWidth="1"/>
    <col min="20" max="20" width="11.6640625" style="37" customWidth="1"/>
    <col min="21" max="21" width="13" style="37" customWidth="1"/>
    <col min="22" max="22" width="8.33203125" style="37" customWidth="1"/>
    <col min="23" max="23" width="16.6640625" style="37" customWidth="1"/>
    <col min="24" max="24" width="10.33203125" style="37" customWidth="1"/>
    <col min="25" max="28" width="9.33203125" style="37"/>
    <col min="29" max="29" width="13.33203125" style="37" customWidth="1"/>
    <col min="30" max="16384" width="9.33203125" style="37"/>
  </cols>
  <sheetData>
    <row r="1" spans="1:603" ht="13.95" customHeight="1" x14ac:dyDescent="0.25">
      <c r="A1" s="208" t="s">
        <v>807</v>
      </c>
      <c r="B1" s="208"/>
      <c r="C1" s="208"/>
      <c r="D1" s="208"/>
      <c r="E1" s="208"/>
      <c r="F1" s="208"/>
      <c r="G1" s="208"/>
      <c r="H1" s="208"/>
      <c r="I1" s="208"/>
      <c r="J1" s="208"/>
      <c r="K1" s="208"/>
      <c r="L1" s="208"/>
      <c r="M1" s="208"/>
      <c r="N1" s="208"/>
      <c r="O1" s="208"/>
      <c r="P1" s="208"/>
      <c r="Q1" s="208"/>
      <c r="R1" s="208"/>
      <c r="S1" s="1" t="s">
        <v>66</v>
      </c>
      <c r="T1" s="1"/>
      <c r="U1" s="1"/>
      <c r="V1" s="36"/>
      <c r="W1" s="1"/>
      <c r="X1" s="1"/>
    </row>
    <row r="2" spans="1:603" ht="13.95" customHeight="1" x14ac:dyDescent="0.25">
      <c r="A2" s="208" t="s">
        <v>63</v>
      </c>
      <c r="B2" s="208"/>
      <c r="C2" s="208"/>
      <c r="D2" s="208"/>
      <c r="E2" s="208"/>
      <c r="F2" s="208"/>
      <c r="G2" s="208"/>
      <c r="H2" s="208"/>
      <c r="I2" s="208"/>
      <c r="J2" s="208"/>
      <c r="K2" s="208"/>
      <c r="L2" s="208"/>
      <c r="M2" s="208"/>
      <c r="N2" s="208"/>
      <c r="O2" s="208"/>
      <c r="P2" s="208"/>
      <c r="Q2" s="208"/>
      <c r="R2" s="208"/>
      <c r="S2" s="208"/>
      <c r="T2" s="208"/>
      <c r="U2" s="208"/>
      <c r="V2" s="38"/>
      <c r="W2" s="1"/>
      <c r="X2" s="1"/>
    </row>
    <row r="3" spans="1:603" ht="13.95" customHeight="1" x14ac:dyDescent="0.25">
      <c r="A3" s="208" t="s">
        <v>74</v>
      </c>
      <c r="B3" s="208"/>
      <c r="C3" s="208"/>
      <c r="D3" s="208"/>
      <c r="E3" s="208"/>
      <c r="F3" s="208"/>
      <c r="G3" s="208"/>
      <c r="H3" s="208"/>
      <c r="I3" s="208"/>
      <c r="J3" s="208"/>
      <c r="K3" s="208"/>
      <c r="L3" s="208"/>
      <c r="M3" s="208"/>
      <c r="N3" s="208"/>
      <c r="O3" s="208"/>
      <c r="P3" s="208"/>
      <c r="Q3" s="208"/>
      <c r="R3" s="208"/>
      <c r="S3" s="39"/>
      <c r="T3" s="39"/>
      <c r="U3" s="39"/>
      <c r="V3" s="38"/>
      <c r="W3" s="1"/>
      <c r="X3" s="1"/>
    </row>
    <row r="4" spans="1:603" ht="13.95" customHeight="1" x14ac:dyDescent="0.25">
      <c r="A4" s="210" t="s">
        <v>837</v>
      </c>
      <c r="B4" s="210"/>
      <c r="C4" s="210"/>
      <c r="D4" s="210"/>
      <c r="E4" s="210"/>
      <c r="F4" s="210"/>
      <c r="G4" s="210"/>
      <c r="H4" s="210"/>
      <c r="I4" s="210"/>
      <c r="J4" s="210"/>
      <c r="K4" s="210"/>
      <c r="L4" s="210"/>
      <c r="M4" s="210"/>
      <c r="N4" s="210"/>
      <c r="O4" s="210"/>
      <c r="P4" s="210"/>
      <c r="Q4" s="210"/>
      <c r="R4" s="210"/>
      <c r="S4" s="210"/>
      <c r="T4" s="210"/>
      <c r="U4" s="210"/>
      <c r="V4" s="35"/>
      <c r="W4" s="2"/>
      <c r="X4" s="2"/>
    </row>
    <row r="5" spans="1:603" ht="30" customHeight="1" x14ac:dyDescent="0.25">
      <c r="A5" s="2"/>
      <c r="B5" s="2"/>
      <c r="C5" s="2"/>
      <c r="D5" s="2"/>
      <c r="E5" s="2"/>
      <c r="F5" s="2"/>
      <c r="G5" s="2"/>
      <c r="H5" s="2"/>
      <c r="I5" s="2"/>
      <c r="J5" s="2"/>
      <c r="K5" s="2"/>
      <c r="L5" s="2"/>
      <c r="M5" s="2"/>
      <c r="N5" s="2"/>
      <c r="O5" s="2"/>
      <c r="P5" s="2"/>
      <c r="Q5" s="2"/>
      <c r="R5" s="2"/>
      <c r="S5" s="2"/>
      <c r="T5" s="2"/>
      <c r="U5" s="2"/>
      <c r="V5" s="35"/>
      <c r="W5" s="2"/>
      <c r="X5" s="2"/>
    </row>
    <row r="6" spans="1:603" ht="15.75" customHeight="1" x14ac:dyDescent="0.3">
      <c r="A6" s="40" t="s">
        <v>136</v>
      </c>
      <c r="B6" s="40"/>
      <c r="C6" s="297">
        <f>'DR-TB 10A (Sputum &amp; EP Sample)'!C6:G6</f>
        <v>0</v>
      </c>
      <c r="D6" s="297"/>
      <c r="E6" s="297"/>
      <c r="F6" s="297"/>
      <c r="G6" s="297"/>
      <c r="I6" s="1"/>
      <c r="J6" s="41" t="s">
        <v>14</v>
      </c>
      <c r="L6" s="263" t="str">
        <f>'DR-TB 10A (Sputum &amp; EP Sample)'!L6</f>
        <v>&lt;Dates&gt;</v>
      </c>
      <c r="M6" s="263"/>
      <c r="N6" s="263"/>
      <c r="O6" s="263"/>
      <c r="P6" s="263"/>
      <c r="Q6" s="263"/>
      <c r="R6" s="263"/>
      <c r="S6" s="290"/>
    </row>
    <row r="7" spans="1:603" ht="15.75" customHeight="1" x14ac:dyDescent="0.25">
      <c r="A7" s="40" t="s">
        <v>9</v>
      </c>
      <c r="B7" s="40"/>
      <c r="C7" s="294">
        <f>'DR-TB 10A (Sputum &amp; EP Sample)'!C7:G7</f>
        <v>0</v>
      </c>
      <c r="D7" s="294"/>
      <c r="E7" s="294"/>
      <c r="F7" s="294"/>
      <c r="G7" s="294"/>
      <c r="I7" s="42"/>
      <c r="J7" s="43" t="s">
        <v>65</v>
      </c>
      <c r="K7" s="43"/>
      <c r="L7" s="43"/>
      <c r="M7" s="43"/>
      <c r="N7" s="295">
        <f>'DR-TB 10A (Sputum &amp; EP Sample)'!N7</f>
        <v>0</v>
      </c>
      <c r="O7" s="295"/>
      <c r="P7" s="295"/>
      <c r="Q7" s="295"/>
      <c r="R7" s="295"/>
      <c r="S7" s="295"/>
      <c r="V7" s="36"/>
    </row>
    <row r="8" spans="1:603" ht="15.75" customHeight="1" x14ac:dyDescent="0.25">
      <c r="A8" s="40" t="s">
        <v>10</v>
      </c>
      <c r="B8" s="40"/>
      <c r="C8" s="294">
        <f>'DR-TB 10A (Sputum &amp; EP Sample)'!C8:G8</f>
        <v>0</v>
      </c>
      <c r="D8" s="294"/>
      <c r="E8" s="294"/>
      <c r="F8" s="294"/>
      <c r="G8" s="294"/>
      <c r="I8" s="42"/>
      <c r="J8" s="43" t="s">
        <v>64</v>
      </c>
      <c r="K8" s="43"/>
      <c r="L8" s="43"/>
      <c r="M8" s="295">
        <f>'DR-TB 10A (Sputum &amp; EP Sample)'!M8</f>
        <v>0</v>
      </c>
      <c r="N8" s="295"/>
      <c r="O8" s="295"/>
      <c r="P8" s="295"/>
      <c r="Q8" s="295"/>
      <c r="R8" s="295"/>
      <c r="S8" s="295"/>
      <c r="V8" s="36"/>
    </row>
    <row r="9" spans="1:603" ht="15.75" customHeight="1" x14ac:dyDescent="0.25">
      <c r="A9" s="40" t="s">
        <v>763</v>
      </c>
      <c r="C9" s="216" t="s">
        <v>880</v>
      </c>
      <c r="D9" s="216"/>
      <c r="E9" s="216"/>
      <c r="F9" s="216"/>
      <c r="G9" s="216"/>
      <c r="J9" s="43" t="s">
        <v>11</v>
      </c>
      <c r="K9" s="43"/>
      <c r="L9" s="43"/>
      <c r="M9" s="296">
        <f>'DR-TB 10A (Sputum &amp; EP Sample)'!M9</f>
        <v>0</v>
      </c>
      <c r="N9" s="296"/>
      <c r="O9" s="44"/>
      <c r="P9" s="9"/>
      <c r="V9" s="36"/>
    </row>
    <row r="10" spans="1:603" ht="15.75" customHeight="1" x14ac:dyDescent="0.3">
      <c r="J10" s="45" t="s">
        <v>69</v>
      </c>
      <c r="K10" s="291">
        <f>'DR-TB 10A (Sputum &amp; EP Sample)'!K10:L10</f>
        <v>0</v>
      </c>
      <c r="L10" s="291"/>
      <c r="M10" s="45"/>
      <c r="N10" s="46"/>
      <c r="O10" s="43"/>
      <c r="P10" s="37" t="s">
        <v>843</v>
      </c>
      <c r="Q10" s="292">
        <f>'DR-TB 10A (Sputum &amp; EP Sample)'!Q10:S10</f>
        <v>0</v>
      </c>
      <c r="R10" s="293"/>
      <c r="S10" s="293"/>
      <c r="V10" s="36"/>
    </row>
    <row r="11" spans="1:603" s="46" customFormat="1" ht="14.25" customHeight="1" thickBot="1" x14ac:dyDescent="0.35">
      <c r="A11" s="1" t="s">
        <v>0</v>
      </c>
      <c r="B11" s="47"/>
      <c r="C11" s="47"/>
      <c r="D11" s="47"/>
      <c r="E11" s="47"/>
      <c r="F11" s="37"/>
      <c r="V11" s="48"/>
    </row>
    <row r="12" spans="1:603" s="49" customFormat="1" ht="13.95" customHeight="1" x14ac:dyDescent="0.3">
      <c r="A12" s="279" t="s">
        <v>68</v>
      </c>
      <c r="B12" s="280"/>
      <c r="C12" s="281"/>
      <c r="D12" s="276" t="s">
        <v>77</v>
      </c>
      <c r="E12" s="276"/>
      <c r="F12" s="276"/>
      <c r="G12" s="276"/>
      <c r="H12" s="10">
        <f>D27+E40</f>
        <v>0</v>
      </c>
      <c r="I12" s="46"/>
      <c r="J12" s="219" t="s">
        <v>752</v>
      </c>
      <c r="K12" s="220"/>
      <c r="L12" s="220"/>
      <c r="M12" s="221"/>
      <c r="N12" s="219" t="s">
        <v>753</v>
      </c>
      <c r="O12" s="220"/>
      <c r="P12" s="220"/>
      <c r="Q12" s="220"/>
      <c r="R12" s="220"/>
      <c r="S12" s="220"/>
      <c r="T12" s="220"/>
      <c r="U12" s="221"/>
      <c r="V12" s="48"/>
      <c r="W12" s="46"/>
      <c r="X12" s="46"/>
      <c r="Y12" s="46"/>
      <c r="Z12" s="46"/>
      <c r="AA12" s="46"/>
      <c r="AB12" s="46"/>
      <c r="AC12" s="46"/>
      <c r="AD12" s="46"/>
      <c r="AE12" s="46"/>
      <c r="AF12" s="46"/>
      <c r="AG12" s="46"/>
      <c r="AH12" s="46"/>
      <c r="AI12" s="46"/>
      <c r="AJ12" s="46"/>
      <c r="AK12" s="46"/>
      <c r="AL12" s="46"/>
      <c r="AM12" s="46"/>
      <c r="AN12" s="46"/>
      <c r="AO12" s="46"/>
      <c r="AP12" s="46"/>
      <c r="AQ12" s="46"/>
      <c r="AR12" s="46"/>
      <c r="AS12" s="46"/>
      <c r="AT12" s="46"/>
      <c r="AU12" s="46"/>
      <c r="AV12" s="46"/>
      <c r="AW12" s="46"/>
      <c r="AX12" s="46"/>
      <c r="AY12" s="46"/>
      <c r="AZ12" s="46"/>
      <c r="BA12" s="46"/>
      <c r="BB12" s="46"/>
      <c r="BC12" s="46"/>
      <c r="BD12" s="46"/>
      <c r="BE12" s="46"/>
      <c r="BF12" s="46"/>
      <c r="BG12" s="46"/>
      <c r="BH12" s="46"/>
      <c r="BI12" s="46"/>
      <c r="BJ12" s="46"/>
      <c r="BK12" s="46"/>
      <c r="BL12" s="46"/>
      <c r="BM12" s="46"/>
      <c r="BN12" s="46"/>
      <c r="BO12" s="46"/>
      <c r="BP12" s="46"/>
      <c r="BQ12" s="46"/>
      <c r="BR12" s="46"/>
      <c r="BS12" s="46"/>
      <c r="BT12" s="46"/>
      <c r="BU12" s="46"/>
      <c r="BV12" s="46"/>
      <c r="BW12" s="46"/>
      <c r="BX12" s="46"/>
      <c r="BY12" s="46"/>
      <c r="BZ12" s="46"/>
      <c r="CA12" s="46"/>
      <c r="CB12" s="46"/>
      <c r="CC12" s="46"/>
      <c r="CD12" s="46"/>
      <c r="CE12" s="46"/>
      <c r="CF12" s="46"/>
      <c r="CG12" s="46"/>
      <c r="CH12" s="46"/>
      <c r="CI12" s="46"/>
      <c r="CJ12" s="46"/>
      <c r="CK12" s="46"/>
      <c r="CL12" s="46"/>
      <c r="CM12" s="46"/>
      <c r="CN12" s="46"/>
      <c r="CO12" s="46"/>
      <c r="CP12" s="46"/>
      <c r="CQ12" s="46"/>
      <c r="CR12" s="46"/>
      <c r="CS12" s="46"/>
      <c r="CT12" s="46"/>
      <c r="CU12" s="46"/>
      <c r="CV12" s="46"/>
      <c r="CW12" s="46"/>
      <c r="CX12" s="46"/>
      <c r="CY12" s="46"/>
      <c r="CZ12" s="46"/>
      <c r="DA12" s="46"/>
      <c r="DB12" s="46"/>
      <c r="DC12" s="46"/>
      <c r="DD12" s="46"/>
      <c r="DE12" s="46"/>
      <c r="DF12" s="46"/>
      <c r="DG12" s="46"/>
      <c r="DH12" s="46"/>
      <c r="DI12" s="46"/>
      <c r="DJ12" s="46"/>
      <c r="DK12" s="46"/>
      <c r="DL12" s="46"/>
      <c r="DM12" s="46"/>
      <c r="DN12" s="46"/>
      <c r="DO12" s="46"/>
      <c r="DP12" s="46"/>
      <c r="DQ12" s="46"/>
      <c r="DR12" s="46"/>
      <c r="DS12" s="46"/>
      <c r="DT12" s="46"/>
      <c r="DU12" s="46"/>
      <c r="DV12" s="46"/>
      <c r="DW12" s="46"/>
      <c r="DX12" s="46"/>
      <c r="DY12" s="46"/>
      <c r="DZ12" s="46"/>
      <c r="EA12" s="46"/>
      <c r="EB12" s="46"/>
      <c r="EC12" s="46"/>
      <c r="ED12" s="46"/>
      <c r="EE12" s="46"/>
      <c r="EF12" s="46"/>
      <c r="EG12" s="46"/>
      <c r="EH12" s="46"/>
      <c r="EI12" s="46"/>
      <c r="EJ12" s="46"/>
      <c r="EK12" s="46"/>
      <c r="EL12" s="46"/>
      <c r="EM12" s="46"/>
      <c r="EN12" s="46"/>
      <c r="EO12" s="46"/>
      <c r="EP12" s="46"/>
      <c r="EQ12" s="46"/>
      <c r="ER12" s="46"/>
      <c r="ES12" s="46"/>
      <c r="ET12" s="46"/>
      <c r="EU12" s="46"/>
      <c r="EV12" s="46"/>
      <c r="EW12" s="46"/>
      <c r="EX12" s="46"/>
      <c r="EY12" s="46"/>
      <c r="EZ12" s="46"/>
      <c r="FA12" s="46"/>
      <c r="FB12" s="46"/>
      <c r="FC12" s="46"/>
      <c r="FD12" s="46"/>
      <c r="FE12" s="46"/>
      <c r="FF12" s="46"/>
      <c r="FG12" s="46"/>
      <c r="FH12" s="46"/>
      <c r="FI12" s="46"/>
      <c r="FJ12" s="46"/>
      <c r="FK12" s="46"/>
      <c r="FL12" s="46"/>
      <c r="FM12" s="46"/>
      <c r="FN12" s="46"/>
      <c r="FO12" s="46"/>
      <c r="FP12" s="46"/>
      <c r="FQ12" s="46"/>
      <c r="FR12" s="46"/>
      <c r="FS12" s="46"/>
      <c r="FT12" s="46"/>
      <c r="FU12" s="46"/>
      <c r="FV12" s="46"/>
      <c r="FW12" s="46"/>
      <c r="FX12" s="46"/>
      <c r="FY12" s="46"/>
      <c r="FZ12" s="46"/>
      <c r="GA12" s="46"/>
      <c r="GB12" s="46"/>
      <c r="GC12" s="46"/>
      <c r="GD12" s="46"/>
      <c r="GE12" s="46"/>
      <c r="GF12" s="46"/>
      <c r="GG12" s="46"/>
      <c r="GH12" s="46"/>
      <c r="GI12" s="46"/>
      <c r="GJ12" s="46"/>
      <c r="GK12" s="46"/>
      <c r="GL12" s="46"/>
      <c r="GM12" s="46"/>
      <c r="GN12" s="46"/>
      <c r="GO12" s="46"/>
      <c r="GP12" s="46"/>
      <c r="GQ12" s="46"/>
      <c r="GR12" s="46"/>
      <c r="GS12" s="46"/>
      <c r="GT12" s="46"/>
      <c r="GU12" s="46"/>
      <c r="GV12" s="46"/>
      <c r="GW12" s="46"/>
      <c r="GX12" s="46"/>
      <c r="GY12" s="46"/>
      <c r="GZ12" s="46"/>
      <c r="HA12" s="46"/>
      <c r="HB12" s="46"/>
      <c r="HC12" s="46"/>
      <c r="HD12" s="46"/>
      <c r="HE12" s="46"/>
      <c r="HF12" s="46"/>
      <c r="HG12" s="46"/>
      <c r="HH12" s="46"/>
      <c r="HI12" s="46"/>
      <c r="HJ12" s="46"/>
      <c r="HK12" s="46"/>
      <c r="HL12" s="46"/>
      <c r="HM12" s="46"/>
      <c r="HN12" s="46"/>
      <c r="HO12" s="46"/>
      <c r="HP12" s="46"/>
      <c r="HQ12" s="46"/>
      <c r="HR12" s="46"/>
      <c r="HS12" s="46"/>
      <c r="HT12" s="46"/>
      <c r="HU12" s="46"/>
      <c r="HV12" s="46"/>
      <c r="HW12" s="46"/>
      <c r="HX12" s="46"/>
      <c r="HY12" s="46"/>
      <c r="HZ12" s="46"/>
      <c r="IA12" s="46"/>
      <c r="IB12" s="46"/>
      <c r="IC12" s="46"/>
      <c r="ID12" s="46"/>
      <c r="IE12" s="46"/>
      <c r="IF12" s="46"/>
      <c r="IG12" s="46"/>
      <c r="IH12" s="46"/>
      <c r="II12" s="46"/>
      <c r="IJ12" s="46"/>
      <c r="IK12" s="46"/>
      <c r="IL12" s="46"/>
      <c r="IM12" s="46"/>
      <c r="IN12" s="46"/>
      <c r="IO12" s="46"/>
      <c r="IP12" s="46"/>
      <c r="IQ12" s="46"/>
      <c r="IR12" s="46"/>
      <c r="IS12" s="46"/>
      <c r="IT12" s="46"/>
      <c r="IU12" s="46"/>
      <c r="IV12" s="46"/>
      <c r="IW12" s="46"/>
      <c r="IX12" s="46"/>
      <c r="IY12" s="46"/>
      <c r="IZ12" s="46"/>
      <c r="JA12" s="46"/>
      <c r="JB12" s="46"/>
      <c r="JC12" s="46"/>
      <c r="JD12" s="46"/>
      <c r="JE12" s="46"/>
      <c r="JF12" s="46"/>
      <c r="JG12" s="46"/>
      <c r="JH12" s="46"/>
      <c r="JI12" s="46"/>
      <c r="JJ12" s="46"/>
      <c r="JK12" s="46"/>
      <c r="JL12" s="46"/>
      <c r="JM12" s="46"/>
      <c r="JN12" s="46"/>
      <c r="JO12" s="46"/>
      <c r="JP12" s="46"/>
      <c r="JQ12" s="46"/>
      <c r="JR12" s="46"/>
      <c r="JS12" s="46"/>
      <c r="JT12" s="46"/>
      <c r="JU12" s="46"/>
      <c r="JV12" s="46"/>
      <c r="JW12" s="46"/>
      <c r="JX12" s="46"/>
      <c r="JY12" s="46"/>
      <c r="JZ12" s="46"/>
      <c r="KA12" s="46"/>
      <c r="KB12" s="46"/>
      <c r="KC12" s="46"/>
      <c r="KD12" s="46"/>
      <c r="KE12" s="46"/>
      <c r="KF12" s="46"/>
      <c r="KG12" s="46"/>
      <c r="KH12" s="46"/>
      <c r="KI12" s="46"/>
      <c r="KJ12" s="46"/>
      <c r="KK12" s="46"/>
      <c r="KL12" s="46"/>
      <c r="KM12" s="46"/>
      <c r="KN12" s="46"/>
      <c r="KO12" s="46"/>
      <c r="KP12" s="46"/>
      <c r="KQ12" s="46"/>
      <c r="KR12" s="46"/>
      <c r="KS12" s="46"/>
      <c r="KT12" s="46"/>
      <c r="KU12" s="46"/>
      <c r="KV12" s="46"/>
      <c r="KW12" s="46"/>
      <c r="KX12" s="46"/>
      <c r="KY12" s="46"/>
      <c r="KZ12" s="46"/>
      <c r="LA12" s="46"/>
      <c r="LB12" s="46"/>
      <c r="LC12" s="46"/>
      <c r="LD12" s="46"/>
      <c r="LE12" s="46"/>
      <c r="LF12" s="46"/>
      <c r="LG12" s="46"/>
      <c r="LH12" s="46"/>
      <c r="LI12" s="46"/>
      <c r="LJ12" s="46"/>
      <c r="LK12" s="46"/>
      <c r="LL12" s="46"/>
      <c r="LM12" s="46"/>
      <c r="LN12" s="46"/>
      <c r="LO12" s="46"/>
      <c r="LP12" s="46"/>
      <c r="LQ12" s="46"/>
      <c r="LR12" s="46"/>
      <c r="LS12" s="46"/>
      <c r="LT12" s="46"/>
      <c r="LU12" s="46"/>
      <c r="LV12" s="46"/>
      <c r="LW12" s="46"/>
      <c r="LX12" s="46"/>
      <c r="LY12" s="46"/>
      <c r="LZ12" s="46"/>
      <c r="MA12" s="46"/>
      <c r="MB12" s="46"/>
      <c r="MC12" s="46"/>
      <c r="MD12" s="46"/>
      <c r="ME12" s="46"/>
      <c r="MF12" s="46"/>
      <c r="MG12" s="46"/>
      <c r="MH12" s="46"/>
      <c r="MI12" s="46"/>
      <c r="MJ12" s="46"/>
      <c r="MK12" s="46"/>
      <c r="ML12" s="46"/>
      <c r="MM12" s="46"/>
      <c r="MN12" s="46"/>
      <c r="MO12" s="46"/>
      <c r="MP12" s="46"/>
      <c r="MQ12" s="46"/>
      <c r="MR12" s="46"/>
      <c r="MS12" s="46"/>
      <c r="MT12" s="46"/>
      <c r="MU12" s="46"/>
      <c r="MV12" s="46"/>
      <c r="MW12" s="46"/>
      <c r="MX12" s="46"/>
      <c r="MY12" s="46"/>
      <c r="MZ12" s="46"/>
      <c r="NA12" s="46"/>
      <c r="NB12" s="46"/>
      <c r="NC12" s="46"/>
      <c r="ND12" s="46"/>
      <c r="NE12" s="46"/>
      <c r="NF12" s="46"/>
      <c r="NG12" s="46"/>
      <c r="NH12" s="46"/>
      <c r="NI12" s="46"/>
      <c r="NJ12" s="46"/>
      <c r="NK12" s="46"/>
      <c r="NL12" s="46"/>
      <c r="NM12" s="46"/>
      <c r="NN12" s="46"/>
      <c r="NO12" s="46"/>
      <c r="NP12" s="46"/>
      <c r="NQ12" s="46"/>
      <c r="NR12" s="46"/>
      <c r="NS12" s="46"/>
      <c r="NT12" s="46"/>
      <c r="NU12" s="46"/>
      <c r="NV12" s="46"/>
      <c r="NW12" s="46"/>
      <c r="NX12" s="46"/>
      <c r="NY12" s="46"/>
      <c r="NZ12" s="46"/>
      <c r="OA12" s="46"/>
      <c r="OB12" s="46"/>
      <c r="OC12" s="46"/>
      <c r="OD12" s="46"/>
      <c r="OE12" s="46"/>
      <c r="OF12" s="46"/>
      <c r="OG12" s="46"/>
      <c r="OH12" s="46"/>
      <c r="OI12" s="46"/>
      <c r="OJ12" s="46"/>
      <c r="OK12" s="46"/>
      <c r="OL12" s="46"/>
      <c r="OM12" s="46"/>
      <c r="ON12" s="46"/>
      <c r="OO12" s="46"/>
      <c r="OP12" s="46"/>
      <c r="OQ12" s="46"/>
      <c r="OR12" s="46"/>
      <c r="OS12" s="46"/>
      <c r="OT12" s="46"/>
      <c r="OU12" s="46"/>
      <c r="OV12" s="46"/>
      <c r="OW12" s="46"/>
      <c r="OX12" s="46"/>
      <c r="OY12" s="46"/>
      <c r="OZ12" s="46"/>
      <c r="PA12" s="46"/>
      <c r="PB12" s="46"/>
      <c r="PC12" s="46"/>
      <c r="PD12" s="46"/>
      <c r="PE12" s="46"/>
      <c r="PF12" s="46"/>
      <c r="PG12" s="46"/>
      <c r="PH12" s="46"/>
      <c r="PI12" s="46"/>
      <c r="PJ12" s="46"/>
      <c r="PK12" s="46"/>
      <c r="PL12" s="46"/>
      <c r="PM12" s="46"/>
      <c r="PN12" s="46"/>
      <c r="PO12" s="46"/>
      <c r="PP12" s="46"/>
      <c r="PQ12" s="46"/>
      <c r="PR12" s="46"/>
      <c r="PS12" s="46"/>
      <c r="PT12" s="46"/>
      <c r="PU12" s="46"/>
      <c r="PV12" s="46"/>
      <c r="PW12" s="46"/>
      <c r="PX12" s="46"/>
      <c r="PY12" s="46"/>
      <c r="PZ12" s="46"/>
      <c r="QA12" s="46"/>
      <c r="QB12" s="46"/>
      <c r="QC12" s="46"/>
      <c r="QD12" s="46"/>
      <c r="QE12" s="46"/>
      <c r="QF12" s="46"/>
      <c r="QG12" s="46"/>
      <c r="QH12" s="46"/>
      <c r="QI12" s="46"/>
      <c r="QJ12" s="46"/>
      <c r="QK12" s="46"/>
      <c r="QL12" s="46"/>
      <c r="QM12" s="46"/>
      <c r="QN12" s="46"/>
      <c r="QO12" s="46"/>
      <c r="QP12" s="46"/>
      <c r="QQ12" s="46"/>
      <c r="QR12" s="46"/>
      <c r="QS12" s="46"/>
      <c r="QT12" s="46"/>
      <c r="QU12" s="46"/>
      <c r="QV12" s="46"/>
      <c r="QW12" s="46"/>
      <c r="QX12" s="46"/>
      <c r="QY12" s="46"/>
      <c r="QZ12" s="46"/>
      <c r="RA12" s="46"/>
      <c r="RB12" s="46"/>
      <c r="RC12" s="46"/>
      <c r="RD12" s="46"/>
      <c r="RE12" s="46"/>
      <c r="RF12" s="46"/>
      <c r="RG12" s="46"/>
      <c r="RH12" s="46"/>
      <c r="RI12" s="46"/>
      <c r="RJ12" s="46"/>
      <c r="RK12" s="46"/>
      <c r="RL12" s="46"/>
      <c r="RM12" s="46"/>
      <c r="RN12" s="46"/>
      <c r="RO12" s="46"/>
      <c r="RP12" s="46"/>
      <c r="RQ12" s="46"/>
      <c r="RR12" s="46"/>
      <c r="RS12" s="46"/>
      <c r="RT12" s="46"/>
      <c r="RU12" s="46"/>
      <c r="RV12" s="46"/>
      <c r="RW12" s="46"/>
      <c r="RX12" s="46"/>
      <c r="RY12" s="46"/>
      <c r="RZ12" s="46"/>
      <c r="SA12" s="46"/>
      <c r="SB12" s="46"/>
      <c r="SC12" s="46"/>
      <c r="SD12" s="46"/>
      <c r="SE12" s="46"/>
      <c r="SF12" s="46"/>
      <c r="SG12" s="46"/>
      <c r="SH12" s="46"/>
      <c r="SI12" s="46"/>
      <c r="SJ12" s="46"/>
      <c r="SK12" s="46"/>
      <c r="SL12" s="46"/>
      <c r="SM12" s="46"/>
      <c r="SN12" s="46"/>
      <c r="SO12" s="46"/>
      <c r="SP12" s="46"/>
      <c r="SQ12" s="46"/>
      <c r="SR12" s="46"/>
      <c r="SS12" s="46"/>
      <c r="ST12" s="46"/>
      <c r="SU12" s="46"/>
      <c r="SV12" s="46"/>
      <c r="SW12" s="46"/>
      <c r="SX12" s="46"/>
      <c r="SY12" s="46"/>
      <c r="SZ12" s="46"/>
      <c r="TA12" s="46"/>
      <c r="TB12" s="46"/>
      <c r="TC12" s="46"/>
      <c r="TD12" s="46"/>
      <c r="TE12" s="46"/>
      <c r="TF12" s="46"/>
      <c r="TG12" s="46"/>
      <c r="TH12" s="46"/>
      <c r="TI12" s="46"/>
      <c r="TJ12" s="46"/>
      <c r="TK12" s="46"/>
      <c r="TL12" s="46"/>
      <c r="TM12" s="46"/>
      <c r="TN12" s="46"/>
      <c r="TO12" s="46"/>
      <c r="TP12" s="46"/>
      <c r="TQ12" s="46"/>
      <c r="TR12" s="46"/>
      <c r="TS12" s="46"/>
      <c r="TT12" s="46"/>
      <c r="TU12" s="46"/>
      <c r="TV12" s="46"/>
      <c r="TW12" s="46"/>
      <c r="TX12" s="46"/>
      <c r="TY12" s="46"/>
      <c r="TZ12" s="46"/>
      <c r="UA12" s="46"/>
      <c r="UB12" s="46"/>
      <c r="UC12" s="46"/>
      <c r="UD12" s="46"/>
      <c r="UE12" s="46"/>
      <c r="UF12" s="46"/>
      <c r="UG12" s="46"/>
      <c r="UH12" s="46"/>
      <c r="UI12" s="46"/>
      <c r="UJ12" s="46"/>
      <c r="UK12" s="46"/>
      <c r="UL12" s="46"/>
      <c r="UM12" s="46"/>
      <c r="UN12" s="46"/>
      <c r="UO12" s="46"/>
      <c r="UP12" s="46"/>
      <c r="UQ12" s="46"/>
      <c r="UR12" s="46"/>
      <c r="US12" s="46"/>
      <c r="UT12" s="46"/>
      <c r="UU12" s="46"/>
      <c r="UV12" s="46"/>
      <c r="UW12" s="46"/>
      <c r="UX12" s="46"/>
      <c r="UY12" s="46"/>
      <c r="UZ12" s="46"/>
      <c r="VA12" s="46"/>
      <c r="VB12" s="46"/>
      <c r="VC12" s="46"/>
      <c r="VD12" s="46"/>
      <c r="VE12" s="46"/>
      <c r="VF12" s="46"/>
      <c r="VG12" s="46"/>
      <c r="VH12" s="46"/>
      <c r="VI12" s="46"/>
      <c r="VJ12" s="46"/>
      <c r="VK12" s="46"/>
      <c r="VL12" s="46"/>
      <c r="VM12" s="46"/>
      <c r="VN12" s="46"/>
      <c r="VO12" s="46"/>
      <c r="VP12" s="46"/>
      <c r="VQ12" s="46"/>
      <c r="VR12" s="46"/>
      <c r="VS12" s="46"/>
      <c r="VT12" s="46"/>
      <c r="VU12" s="46"/>
      <c r="VV12" s="46"/>
      <c r="VW12" s="46"/>
      <c r="VX12" s="46"/>
      <c r="VY12" s="46"/>
      <c r="VZ12" s="46"/>
      <c r="WA12" s="46"/>
      <c r="WB12" s="46"/>
      <c r="WC12" s="46"/>
      <c r="WD12" s="46"/>
      <c r="WE12" s="46"/>
    </row>
    <row r="13" spans="1:603" s="46" customFormat="1" ht="16.5" customHeight="1" x14ac:dyDescent="0.3">
      <c r="A13" s="282"/>
      <c r="B13" s="283"/>
      <c r="C13" s="284"/>
      <c r="D13" s="277" t="s">
        <v>71</v>
      </c>
      <c r="E13" s="277"/>
      <c r="F13" s="277"/>
      <c r="G13" s="277"/>
      <c r="H13" s="11">
        <f>U27</f>
        <v>0</v>
      </c>
      <c r="J13" s="215" t="s">
        <v>699</v>
      </c>
      <c r="K13" s="215"/>
      <c r="L13" s="215"/>
      <c r="M13" s="140">
        <f>'DR-TB 10A (Sputum &amp; EP Sample)'!M13</f>
        <v>0</v>
      </c>
      <c r="N13" s="51" t="s">
        <v>754</v>
      </c>
      <c r="O13" s="51"/>
      <c r="P13" s="51"/>
      <c r="Q13" s="140">
        <f>'DR-TB 10A (Sputum &amp; EP Sample)'!Q13</f>
        <v>0</v>
      </c>
      <c r="R13" s="171" t="s">
        <v>755</v>
      </c>
      <c r="S13" s="171"/>
      <c r="T13" s="171"/>
      <c r="U13" s="140">
        <f>'DR-TB 10A (Sputum &amp; EP Sample)'!U13</f>
        <v>0</v>
      </c>
      <c r="V13" s="48"/>
    </row>
    <row r="14" spans="1:603" s="46" customFormat="1" ht="12.75" customHeight="1" thickBot="1" x14ac:dyDescent="0.35">
      <c r="A14" s="285"/>
      <c r="B14" s="286"/>
      <c r="C14" s="287"/>
      <c r="D14" s="278" t="s">
        <v>3</v>
      </c>
      <c r="E14" s="278"/>
      <c r="F14" s="278"/>
      <c r="G14" s="278"/>
      <c r="H14" s="12">
        <f>H12+H13</f>
        <v>0</v>
      </c>
      <c r="J14" s="215" t="s">
        <v>701</v>
      </c>
      <c r="K14" s="215"/>
      <c r="L14" s="215"/>
      <c r="M14" s="140">
        <f>'DR-TB 10A (Sputum &amp; EP Sample)'!M14</f>
        <v>0</v>
      </c>
      <c r="N14" s="51" t="s">
        <v>756</v>
      </c>
      <c r="O14" s="51"/>
      <c r="P14" s="51"/>
      <c r="Q14" s="140">
        <f>'DR-TB 10A (Sputum &amp; EP Sample)'!Q14</f>
        <v>0</v>
      </c>
      <c r="R14" s="171" t="s">
        <v>757</v>
      </c>
      <c r="S14" s="171"/>
      <c r="T14" s="171"/>
      <c r="U14" s="140">
        <f>'DR-TB 10A (Sputum &amp; EP Sample)'!U14</f>
        <v>0</v>
      </c>
      <c r="V14" s="48"/>
    </row>
    <row r="15" spans="1:603" s="49" customFormat="1" ht="15" thickBot="1" x14ac:dyDescent="0.35">
      <c r="A15" s="3"/>
      <c r="B15" s="47"/>
      <c r="C15" s="47"/>
      <c r="D15" s="47"/>
      <c r="E15" s="47"/>
      <c r="F15" s="37"/>
      <c r="G15" s="46"/>
      <c r="H15" s="46"/>
      <c r="I15" s="46"/>
      <c r="J15" s="209" t="s">
        <v>700</v>
      </c>
      <c r="K15" s="209"/>
      <c r="L15" s="209"/>
      <c r="M15" s="140">
        <f>'DR-TB 10A (Sputum &amp; EP Sample)'!M15</f>
        <v>0</v>
      </c>
      <c r="N15" s="52" t="s">
        <v>758</v>
      </c>
      <c r="O15" s="52"/>
      <c r="P15" s="52"/>
      <c r="Q15" s="140">
        <f>'DR-TB 10A (Sputum &amp; EP Sample)'!Q15</f>
        <v>0</v>
      </c>
      <c r="R15" s="172" t="s">
        <v>759</v>
      </c>
      <c r="S15" s="172"/>
      <c r="T15" s="172"/>
      <c r="U15" s="140">
        <f>'DR-TB 10A (Sputum &amp; EP Sample)'!U15</f>
        <v>0</v>
      </c>
      <c r="V15" s="48"/>
      <c r="W15" s="46"/>
      <c r="X15" s="46"/>
      <c r="Y15" s="46"/>
      <c r="Z15" s="46"/>
      <c r="AA15" s="46"/>
      <c r="AB15" s="46"/>
      <c r="AC15" s="46"/>
      <c r="AD15" s="46"/>
      <c r="AE15" s="46"/>
      <c r="AF15" s="46"/>
      <c r="AG15" s="46"/>
      <c r="AH15" s="46"/>
      <c r="AI15" s="46"/>
      <c r="AJ15" s="46"/>
      <c r="AK15" s="46"/>
      <c r="AL15" s="46"/>
      <c r="AM15" s="46"/>
      <c r="AN15" s="46"/>
      <c r="AO15" s="46"/>
      <c r="AP15" s="46"/>
      <c r="AQ15" s="46"/>
      <c r="AR15" s="46"/>
      <c r="AS15" s="46"/>
      <c r="AT15" s="46"/>
      <c r="AU15" s="46"/>
      <c r="AV15" s="46"/>
      <c r="AW15" s="46"/>
      <c r="AX15" s="46"/>
      <c r="AY15" s="46"/>
      <c r="AZ15" s="46"/>
      <c r="BA15" s="46"/>
      <c r="BB15" s="46"/>
      <c r="BC15" s="46"/>
      <c r="BD15" s="46"/>
      <c r="BE15" s="46"/>
      <c r="BF15" s="46"/>
      <c r="BG15" s="46"/>
      <c r="BH15" s="46"/>
      <c r="BI15" s="46"/>
      <c r="BJ15" s="46"/>
      <c r="BK15" s="46"/>
      <c r="BL15" s="46"/>
      <c r="BM15" s="46"/>
      <c r="BN15" s="46"/>
      <c r="BO15" s="46"/>
      <c r="BP15" s="46"/>
      <c r="BQ15" s="46"/>
      <c r="BR15" s="46"/>
      <c r="BS15" s="46"/>
      <c r="BT15" s="46"/>
      <c r="BU15" s="46"/>
      <c r="BV15" s="46"/>
      <c r="BW15" s="46"/>
      <c r="BX15" s="46"/>
      <c r="BY15" s="46"/>
      <c r="BZ15" s="46"/>
      <c r="CA15" s="46"/>
      <c r="CB15" s="46"/>
      <c r="CC15" s="46"/>
      <c r="CD15" s="46"/>
      <c r="CE15" s="46"/>
      <c r="CF15" s="46"/>
      <c r="CG15" s="46"/>
      <c r="CH15" s="46"/>
      <c r="CI15" s="46"/>
      <c r="CJ15" s="46"/>
      <c r="CK15" s="46"/>
      <c r="CL15" s="46"/>
      <c r="CM15" s="46"/>
      <c r="CN15" s="46"/>
      <c r="CO15" s="46"/>
      <c r="CP15" s="46"/>
      <c r="CQ15" s="46"/>
      <c r="CR15" s="46"/>
      <c r="CS15" s="46"/>
      <c r="CT15" s="46"/>
      <c r="CU15" s="46"/>
      <c r="CV15" s="46"/>
      <c r="CW15" s="46"/>
      <c r="CX15" s="46"/>
      <c r="CY15" s="46"/>
      <c r="CZ15" s="46"/>
      <c r="DA15" s="46"/>
      <c r="DB15" s="46"/>
      <c r="DC15" s="46"/>
      <c r="DD15" s="46"/>
      <c r="DE15" s="46"/>
      <c r="DF15" s="46"/>
      <c r="DG15" s="46"/>
      <c r="DH15" s="46"/>
      <c r="DI15" s="46"/>
      <c r="DJ15" s="46"/>
      <c r="DK15" s="46"/>
      <c r="DL15" s="46"/>
      <c r="DM15" s="46"/>
      <c r="DN15" s="46"/>
      <c r="DO15" s="46"/>
      <c r="DP15" s="46"/>
      <c r="DQ15" s="46"/>
      <c r="DR15" s="46"/>
      <c r="DS15" s="46"/>
      <c r="DT15" s="46"/>
      <c r="DU15" s="46"/>
      <c r="DV15" s="46"/>
      <c r="DW15" s="46"/>
      <c r="DX15" s="46"/>
      <c r="DY15" s="46"/>
      <c r="DZ15" s="46"/>
      <c r="EA15" s="46"/>
      <c r="EB15" s="46"/>
      <c r="EC15" s="46"/>
      <c r="ED15" s="46"/>
      <c r="EE15" s="46"/>
      <c r="EF15" s="46"/>
      <c r="EG15" s="46"/>
      <c r="EH15" s="46"/>
      <c r="EI15" s="46"/>
      <c r="EJ15" s="46"/>
      <c r="EK15" s="46"/>
      <c r="EL15" s="46"/>
      <c r="EM15" s="46"/>
      <c r="EN15" s="46"/>
      <c r="EO15" s="46"/>
      <c r="EP15" s="46"/>
      <c r="EQ15" s="46"/>
      <c r="ER15" s="46"/>
      <c r="ES15" s="46"/>
      <c r="ET15" s="46"/>
      <c r="EU15" s="46"/>
      <c r="EV15" s="46"/>
      <c r="EW15" s="46"/>
      <c r="EX15" s="46"/>
      <c r="EY15" s="46"/>
      <c r="EZ15" s="46"/>
      <c r="FA15" s="46"/>
      <c r="FB15" s="46"/>
      <c r="FC15" s="46"/>
      <c r="FD15" s="46"/>
      <c r="FE15" s="46"/>
      <c r="FF15" s="46"/>
      <c r="FG15" s="46"/>
      <c r="FH15" s="46"/>
      <c r="FI15" s="46"/>
      <c r="FJ15" s="46"/>
      <c r="FK15" s="46"/>
      <c r="FL15" s="46"/>
      <c r="FM15" s="46"/>
      <c r="FN15" s="46"/>
      <c r="FO15" s="46"/>
      <c r="FP15" s="46"/>
      <c r="FQ15" s="46"/>
      <c r="FR15" s="46"/>
      <c r="FS15" s="46"/>
      <c r="FT15" s="46"/>
      <c r="FU15" s="46"/>
      <c r="FV15" s="46"/>
      <c r="FW15" s="46"/>
      <c r="FX15" s="46"/>
      <c r="FY15" s="46"/>
      <c r="FZ15" s="46"/>
      <c r="GA15" s="46"/>
      <c r="GB15" s="46"/>
      <c r="GC15" s="46"/>
      <c r="GD15" s="46"/>
      <c r="GE15" s="46"/>
      <c r="GF15" s="46"/>
      <c r="GG15" s="46"/>
      <c r="GH15" s="46"/>
      <c r="GI15" s="46"/>
      <c r="GJ15" s="46"/>
      <c r="GK15" s="46"/>
      <c r="GL15" s="46"/>
      <c r="GM15" s="46"/>
      <c r="GN15" s="46"/>
      <c r="GO15" s="46"/>
      <c r="GP15" s="46"/>
      <c r="GQ15" s="46"/>
      <c r="GR15" s="46"/>
      <c r="GS15" s="46"/>
      <c r="GT15" s="46"/>
      <c r="GU15" s="46"/>
      <c r="GV15" s="46"/>
      <c r="GW15" s="46"/>
      <c r="GX15" s="46"/>
      <c r="GY15" s="46"/>
      <c r="GZ15" s="46"/>
      <c r="HA15" s="46"/>
      <c r="HB15" s="46"/>
      <c r="HC15" s="46"/>
      <c r="HD15" s="46"/>
      <c r="HE15" s="46"/>
      <c r="HF15" s="46"/>
      <c r="HG15" s="46"/>
      <c r="HH15" s="46"/>
      <c r="HI15" s="46"/>
      <c r="HJ15" s="46"/>
      <c r="HK15" s="46"/>
      <c r="HL15" s="46"/>
      <c r="HM15" s="46"/>
      <c r="HN15" s="46"/>
      <c r="HO15" s="46"/>
      <c r="HP15" s="46"/>
      <c r="HQ15" s="46"/>
      <c r="HR15" s="46"/>
      <c r="HS15" s="46"/>
      <c r="HT15" s="46"/>
      <c r="HU15" s="46"/>
      <c r="HV15" s="46"/>
      <c r="HW15" s="46"/>
      <c r="HX15" s="46"/>
      <c r="HY15" s="46"/>
      <c r="HZ15" s="46"/>
      <c r="IA15" s="46"/>
      <c r="IB15" s="46"/>
      <c r="IC15" s="46"/>
      <c r="ID15" s="46"/>
      <c r="IE15" s="46"/>
      <c r="IF15" s="46"/>
      <c r="IG15" s="46"/>
      <c r="IH15" s="46"/>
      <c r="II15" s="46"/>
      <c r="IJ15" s="46"/>
      <c r="IK15" s="46"/>
      <c r="IL15" s="46"/>
      <c r="IM15" s="46"/>
      <c r="IN15" s="46"/>
      <c r="IO15" s="46"/>
      <c r="IP15" s="46"/>
      <c r="IQ15" s="46"/>
      <c r="IR15" s="46"/>
      <c r="IS15" s="46"/>
      <c r="IT15" s="46"/>
      <c r="IU15" s="46"/>
      <c r="IV15" s="46"/>
      <c r="IW15" s="46"/>
      <c r="IX15" s="46"/>
      <c r="IY15" s="46"/>
      <c r="IZ15" s="46"/>
      <c r="JA15" s="46"/>
      <c r="JB15" s="46"/>
      <c r="JC15" s="46"/>
      <c r="JD15" s="46"/>
      <c r="JE15" s="46"/>
      <c r="JF15" s="46"/>
      <c r="JG15" s="46"/>
      <c r="JH15" s="46"/>
      <c r="JI15" s="46"/>
      <c r="JJ15" s="46"/>
      <c r="JK15" s="46"/>
      <c r="JL15" s="46"/>
      <c r="JM15" s="46"/>
      <c r="JN15" s="46"/>
      <c r="JO15" s="46"/>
      <c r="JP15" s="46"/>
      <c r="JQ15" s="46"/>
      <c r="JR15" s="46"/>
      <c r="JS15" s="46"/>
      <c r="JT15" s="46"/>
      <c r="JU15" s="46"/>
      <c r="JV15" s="46"/>
      <c r="JW15" s="46"/>
      <c r="JX15" s="46"/>
      <c r="JY15" s="46"/>
      <c r="JZ15" s="46"/>
      <c r="KA15" s="46"/>
      <c r="KB15" s="46"/>
      <c r="KC15" s="46"/>
      <c r="KD15" s="46"/>
      <c r="KE15" s="46"/>
      <c r="KF15" s="46"/>
      <c r="KG15" s="46"/>
      <c r="KH15" s="46"/>
      <c r="KI15" s="46"/>
      <c r="KJ15" s="46"/>
      <c r="KK15" s="46"/>
      <c r="KL15" s="46"/>
      <c r="KM15" s="46"/>
      <c r="KN15" s="46"/>
      <c r="KO15" s="46"/>
      <c r="KP15" s="46"/>
      <c r="KQ15" s="46"/>
      <c r="KR15" s="46"/>
      <c r="KS15" s="46"/>
      <c r="KT15" s="46"/>
      <c r="KU15" s="46"/>
      <c r="KV15" s="46"/>
      <c r="KW15" s="46"/>
      <c r="KX15" s="46"/>
      <c r="KY15" s="46"/>
      <c r="KZ15" s="46"/>
      <c r="LA15" s="46"/>
      <c r="LB15" s="46"/>
      <c r="LC15" s="46"/>
      <c r="LD15" s="46"/>
      <c r="LE15" s="46"/>
      <c r="LF15" s="46"/>
      <c r="LG15" s="46"/>
      <c r="LH15" s="46"/>
      <c r="LI15" s="46"/>
      <c r="LJ15" s="46"/>
      <c r="LK15" s="46"/>
      <c r="LL15" s="46"/>
      <c r="LM15" s="46"/>
      <c r="LN15" s="46"/>
      <c r="LO15" s="46"/>
      <c r="LP15" s="46"/>
      <c r="LQ15" s="46"/>
      <c r="LR15" s="46"/>
      <c r="LS15" s="46"/>
      <c r="LT15" s="46"/>
      <c r="LU15" s="46"/>
      <c r="LV15" s="46"/>
      <c r="LW15" s="46"/>
      <c r="LX15" s="46"/>
      <c r="LY15" s="46"/>
      <c r="LZ15" s="46"/>
      <c r="MA15" s="46"/>
      <c r="MB15" s="46"/>
      <c r="MC15" s="46"/>
      <c r="MD15" s="46"/>
      <c r="ME15" s="46"/>
      <c r="MF15" s="46"/>
      <c r="MG15" s="46"/>
      <c r="MH15" s="46"/>
      <c r="MI15" s="46"/>
      <c r="MJ15" s="46"/>
      <c r="MK15" s="46"/>
      <c r="ML15" s="46"/>
      <c r="MM15" s="46"/>
      <c r="MN15" s="46"/>
      <c r="MO15" s="46"/>
      <c r="MP15" s="46"/>
      <c r="MQ15" s="46"/>
      <c r="MR15" s="46"/>
      <c r="MS15" s="46"/>
      <c r="MT15" s="46"/>
      <c r="MU15" s="46"/>
      <c r="MV15" s="46"/>
      <c r="MW15" s="46"/>
      <c r="MX15" s="46"/>
      <c r="MY15" s="46"/>
      <c r="MZ15" s="46"/>
      <c r="NA15" s="46"/>
      <c r="NB15" s="46"/>
      <c r="NC15" s="46"/>
      <c r="ND15" s="46"/>
      <c r="NE15" s="46"/>
      <c r="NF15" s="46"/>
      <c r="NG15" s="46"/>
      <c r="NH15" s="46"/>
      <c r="NI15" s="46"/>
      <c r="NJ15" s="46"/>
      <c r="NK15" s="46"/>
      <c r="NL15" s="46"/>
      <c r="NM15" s="46"/>
      <c r="NN15" s="46"/>
      <c r="NO15" s="46"/>
      <c r="NP15" s="46"/>
      <c r="NQ15" s="46"/>
      <c r="NR15" s="46"/>
      <c r="NS15" s="46"/>
      <c r="NT15" s="46"/>
      <c r="NU15" s="46"/>
      <c r="NV15" s="46"/>
      <c r="NW15" s="46"/>
      <c r="NX15" s="46"/>
      <c r="NY15" s="46"/>
      <c r="NZ15" s="46"/>
      <c r="OA15" s="46"/>
      <c r="OB15" s="46"/>
      <c r="OC15" s="46"/>
      <c r="OD15" s="46"/>
      <c r="OE15" s="46"/>
      <c r="OF15" s="46"/>
      <c r="OG15" s="46"/>
      <c r="OH15" s="46"/>
      <c r="OI15" s="46"/>
      <c r="OJ15" s="46"/>
      <c r="OK15" s="46"/>
      <c r="OL15" s="46"/>
      <c r="OM15" s="46"/>
      <c r="ON15" s="46"/>
      <c r="OO15" s="46"/>
      <c r="OP15" s="46"/>
      <c r="OQ15" s="46"/>
      <c r="OR15" s="46"/>
      <c r="OS15" s="46"/>
      <c r="OT15" s="46"/>
      <c r="OU15" s="46"/>
      <c r="OV15" s="46"/>
      <c r="OW15" s="46"/>
      <c r="OX15" s="46"/>
      <c r="OY15" s="46"/>
      <c r="OZ15" s="46"/>
      <c r="PA15" s="46"/>
      <c r="PB15" s="46"/>
      <c r="PC15" s="46"/>
      <c r="PD15" s="46"/>
      <c r="PE15" s="46"/>
      <c r="PF15" s="46"/>
      <c r="PG15" s="46"/>
      <c r="PH15" s="46"/>
      <c r="PI15" s="46"/>
      <c r="PJ15" s="46"/>
      <c r="PK15" s="46"/>
      <c r="PL15" s="46"/>
      <c r="PM15" s="46"/>
      <c r="PN15" s="46"/>
      <c r="PO15" s="46"/>
      <c r="PP15" s="46"/>
      <c r="PQ15" s="46"/>
      <c r="PR15" s="46"/>
      <c r="PS15" s="46"/>
      <c r="PT15" s="46"/>
      <c r="PU15" s="46"/>
      <c r="PV15" s="46"/>
      <c r="PW15" s="46"/>
      <c r="PX15" s="46"/>
      <c r="PY15" s="46"/>
      <c r="PZ15" s="46"/>
      <c r="QA15" s="46"/>
      <c r="QB15" s="46"/>
      <c r="QC15" s="46"/>
      <c r="QD15" s="46"/>
      <c r="QE15" s="46"/>
      <c r="QF15" s="46"/>
      <c r="QG15" s="46"/>
      <c r="QH15" s="46"/>
      <c r="QI15" s="46"/>
      <c r="QJ15" s="46"/>
      <c r="QK15" s="46"/>
      <c r="QL15" s="46"/>
      <c r="QM15" s="46"/>
      <c r="QN15" s="46"/>
      <c r="QO15" s="46"/>
      <c r="QP15" s="46"/>
      <c r="QQ15" s="46"/>
      <c r="QR15" s="46"/>
      <c r="QS15" s="46"/>
      <c r="QT15" s="46"/>
      <c r="QU15" s="46"/>
      <c r="QV15" s="46"/>
      <c r="QW15" s="46"/>
      <c r="QX15" s="46"/>
      <c r="QY15" s="46"/>
      <c r="QZ15" s="46"/>
      <c r="RA15" s="46"/>
      <c r="RB15" s="46"/>
      <c r="RC15" s="46"/>
      <c r="RD15" s="46"/>
      <c r="RE15" s="46"/>
      <c r="RF15" s="46"/>
      <c r="RG15" s="46"/>
      <c r="RH15" s="46"/>
      <c r="RI15" s="46"/>
      <c r="RJ15" s="46"/>
      <c r="RK15" s="46"/>
      <c r="RL15" s="46"/>
      <c r="RM15" s="46"/>
      <c r="RN15" s="46"/>
      <c r="RO15" s="46"/>
      <c r="RP15" s="46"/>
      <c r="RQ15" s="46"/>
      <c r="RR15" s="46"/>
      <c r="RS15" s="46"/>
      <c r="RT15" s="46"/>
      <c r="RU15" s="46"/>
      <c r="RV15" s="46"/>
      <c r="RW15" s="46"/>
      <c r="RX15" s="46"/>
      <c r="RY15" s="46"/>
      <c r="RZ15" s="46"/>
      <c r="SA15" s="46"/>
      <c r="SB15" s="46"/>
      <c r="SC15" s="46"/>
      <c r="SD15" s="46"/>
      <c r="SE15" s="46"/>
      <c r="SF15" s="46"/>
      <c r="SG15" s="46"/>
      <c r="SH15" s="46"/>
      <c r="SI15" s="46"/>
      <c r="SJ15" s="46"/>
      <c r="SK15" s="46"/>
      <c r="SL15" s="46"/>
      <c r="SM15" s="46"/>
      <c r="SN15" s="46"/>
      <c r="SO15" s="46"/>
      <c r="SP15" s="46"/>
      <c r="SQ15" s="46"/>
      <c r="SR15" s="46"/>
      <c r="SS15" s="46"/>
      <c r="ST15" s="46"/>
      <c r="SU15" s="46"/>
      <c r="SV15" s="46"/>
      <c r="SW15" s="46"/>
      <c r="SX15" s="46"/>
      <c r="SY15" s="46"/>
      <c r="SZ15" s="46"/>
      <c r="TA15" s="46"/>
      <c r="TB15" s="46"/>
      <c r="TC15" s="46"/>
      <c r="TD15" s="46"/>
      <c r="TE15" s="46"/>
      <c r="TF15" s="46"/>
      <c r="TG15" s="46"/>
      <c r="TH15" s="46"/>
      <c r="TI15" s="46"/>
      <c r="TJ15" s="46"/>
      <c r="TK15" s="46"/>
      <c r="TL15" s="46"/>
      <c r="TM15" s="46"/>
      <c r="TN15" s="46"/>
      <c r="TO15" s="46"/>
      <c r="TP15" s="46"/>
      <c r="TQ15" s="46"/>
      <c r="TR15" s="46"/>
      <c r="TS15" s="46"/>
      <c r="TT15" s="46"/>
      <c r="TU15" s="46"/>
      <c r="TV15" s="46"/>
      <c r="TW15" s="46"/>
      <c r="TX15" s="46"/>
      <c r="TY15" s="46"/>
      <c r="TZ15" s="46"/>
      <c r="UA15" s="46"/>
      <c r="UB15" s="46"/>
      <c r="UC15" s="46"/>
      <c r="UD15" s="46"/>
      <c r="UE15" s="46"/>
      <c r="UF15" s="46"/>
      <c r="UG15" s="46"/>
      <c r="UH15" s="46"/>
      <c r="UI15" s="46"/>
      <c r="UJ15" s="46"/>
      <c r="UK15" s="46"/>
      <c r="UL15" s="46"/>
      <c r="UM15" s="46"/>
      <c r="UN15" s="46"/>
      <c r="UO15" s="46"/>
      <c r="UP15" s="46"/>
      <c r="UQ15" s="46"/>
      <c r="UR15" s="46"/>
      <c r="US15" s="46"/>
      <c r="UT15" s="46"/>
      <c r="UU15" s="46"/>
      <c r="UV15" s="46"/>
      <c r="UW15" s="46"/>
      <c r="UX15" s="46"/>
      <c r="UY15" s="46"/>
      <c r="UZ15" s="46"/>
      <c r="VA15" s="46"/>
      <c r="VB15" s="46"/>
      <c r="VC15" s="46"/>
      <c r="VD15" s="46"/>
      <c r="VE15" s="46"/>
      <c r="VF15" s="46"/>
      <c r="VG15" s="46"/>
      <c r="VH15" s="46"/>
      <c r="VI15" s="46"/>
      <c r="VJ15" s="46"/>
      <c r="VK15" s="46"/>
      <c r="VL15" s="46"/>
      <c r="VM15" s="46"/>
      <c r="VN15" s="46"/>
      <c r="VO15" s="46"/>
      <c r="VP15" s="46"/>
      <c r="VQ15" s="46"/>
      <c r="VR15" s="46"/>
      <c r="VS15" s="46"/>
      <c r="VT15" s="46"/>
      <c r="VU15" s="46"/>
      <c r="VV15" s="46"/>
      <c r="VW15" s="46"/>
      <c r="VX15" s="46"/>
      <c r="VY15" s="46"/>
      <c r="VZ15" s="46"/>
      <c r="WA15" s="46"/>
      <c r="WB15" s="46"/>
      <c r="WC15" s="46"/>
      <c r="WD15" s="46"/>
      <c r="WE15" s="46"/>
    </row>
    <row r="16" spans="1:603" s="46" customFormat="1" ht="15" customHeight="1" x14ac:dyDescent="0.3">
      <c r="A16" s="230" t="s">
        <v>59</v>
      </c>
      <c r="B16" s="231"/>
      <c r="C16" s="232"/>
      <c r="D16" s="5" t="s">
        <v>76</v>
      </c>
      <c r="E16" s="5" t="s">
        <v>67</v>
      </c>
      <c r="F16" s="7" t="s">
        <v>3</v>
      </c>
      <c r="G16" s="53"/>
      <c r="H16" s="53"/>
      <c r="I16" s="53"/>
      <c r="J16" s="53"/>
      <c r="K16" s="53"/>
      <c r="L16" s="53"/>
      <c r="M16" s="53"/>
      <c r="N16" s="53"/>
      <c r="O16" s="53"/>
      <c r="P16" s="53"/>
      <c r="Q16" s="53"/>
      <c r="R16" s="53"/>
      <c r="S16" s="53"/>
      <c r="T16" s="53"/>
      <c r="U16" s="54"/>
      <c r="V16" s="48"/>
    </row>
    <row r="17" spans="1:22" s="46" customFormat="1" ht="15.75" customHeight="1" x14ac:dyDescent="0.3">
      <c r="A17" s="182" t="s">
        <v>60</v>
      </c>
      <c r="B17" s="182"/>
      <c r="C17" s="182"/>
      <c r="D17" s="13">
        <f>D30+E42-D33-E44</f>
        <v>0</v>
      </c>
      <c r="E17" s="13">
        <f>+U30-U33</f>
        <v>0</v>
      </c>
      <c r="F17" s="14">
        <f>+E17+D17</f>
        <v>0</v>
      </c>
      <c r="G17" s="127"/>
      <c r="H17" s="128"/>
      <c r="I17" s="179" t="s">
        <v>820</v>
      </c>
      <c r="J17" s="180" t="s">
        <v>75</v>
      </c>
      <c r="K17" s="180"/>
      <c r="L17" s="180"/>
      <c r="M17" s="178" t="s">
        <v>67</v>
      </c>
      <c r="N17" s="178"/>
      <c r="O17" s="178"/>
      <c r="P17" s="178" t="s">
        <v>3</v>
      </c>
      <c r="Q17" s="275"/>
      <c r="R17" s="181" t="s">
        <v>760</v>
      </c>
      <c r="S17" s="181"/>
      <c r="T17" s="181"/>
      <c r="U17" s="141">
        <f>'DR-TB 10A (Sputum &amp; EP Sample)'!U17</f>
        <v>0</v>
      </c>
    </row>
    <row r="18" spans="1:22" s="46" customFormat="1" ht="17.7" customHeight="1" x14ac:dyDescent="0.3">
      <c r="A18" s="182" t="s">
        <v>61</v>
      </c>
      <c r="B18" s="182"/>
      <c r="C18" s="182"/>
      <c r="D18" s="15">
        <f>D33+E44</f>
        <v>0</v>
      </c>
      <c r="E18" s="16">
        <f>U33</f>
        <v>0</v>
      </c>
      <c r="F18" s="14">
        <f>+E18+D18</f>
        <v>0</v>
      </c>
      <c r="G18" s="127"/>
      <c r="H18" s="128"/>
      <c r="I18" s="179"/>
      <c r="J18" s="136" t="s">
        <v>817</v>
      </c>
      <c r="K18" s="136" t="s">
        <v>818</v>
      </c>
      <c r="L18" s="136" t="s">
        <v>819</v>
      </c>
      <c r="M18" s="136" t="s">
        <v>817</v>
      </c>
      <c r="N18" s="136" t="s">
        <v>818</v>
      </c>
      <c r="O18" s="136" t="s">
        <v>819</v>
      </c>
      <c r="P18" s="178"/>
      <c r="Q18" s="275"/>
      <c r="R18" s="181" t="s">
        <v>761</v>
      </c>
      <c r="S18" s="181"/>
      <c r="T18" s="181"/>
      <c r="U18" s="141">
        <f>'DR-TB 10A (Sputum &amp; EP Sample)'!U18</f>
        <v>0</v>
      </c>
    </row>
    <row r="19" spans="1:22" s="46" customFormat="1" ht="13.95" customHeight="1" x14ac:dyDescent="0.3">
      <c r="A19" s="182" t="s">
        <v>62</v>
      </c>
      <c r="B19" s="182"/>
      <c r="C19" s="182"/>
      <c r="D19" s="6"/>
      <c r="E19" s="8"/>
      <c r="F19" s="14">
        <f>+E19+D19</f>
        <v>0</v>
      </c>
      <c r="G19" s="127"/>
      <c r="H19" s="128"/>
      <c r="I19" s="131" t="s">
        <v>815</v>
      </c>
      <c r="J19" s="134"/>
      <c r="K19" s="134"/>
      <c r="L19" s="134"/>
      <c r="M19" s="134"/>
      <c r="N19" s="134"/>
      <c r="O19" s="134"/>
      <c r="P19" s="132">
        <f>J19+K19+L19+M19+N19+O19</f>
        <v>0</v>
      </c>
      <c r="Q19" s="130"/>
      <c r="R19" s="181" t="s">
        <v>762</v>
      </c>
      <c r="S19" s="181"/>
      <c r="T19" s="181"/>
      <c r="U19" s="141">
        <f>'DR-TB 10A (Sputum &amp; EP Sample)'!U19</f>
        <v>0</v>
      </c>
    </row>
    <row r="20" spans="1:22" s="46" customFormat="1" ht="13.95" customHeight="1" x14ac:dyDescent="0.3">
      <c r="A20" s="182" t="s">
        <v>814</v>
      </c>
      <c r="B20" s="182"/>
      <c r="C20" s="182"/>
      <c r="D20" s="124"/>
      <c r="E20" s="125"/>
      <c r="F20" s="14">
        <f>+E20+D20</f>
        <v>0</v>
      </c>
      <c r="I20" s="131" t="s">
        <v>816</v>
      </c>
      <c r="J20" s="134"/>
      <c r="K20" s="134"/>
      <c r="L20" s="134"/>
      <c r="M20" s="134"/>
      <c r="N20" s="134"/>
      <c r="O20" s="134"/>
      <c r="P20" s="132">
        <f>J20+K20+L20+M20+N20+O20</f>
        <v>0</v>
      </c>
      <c r="Q20" s="130"/>
      <c r="T20" s="129"/>
      <c r="U20" s="126"/>
    </row>
    <row r="21" spans="1:22" s="46" customFormat="1" ht="13.95" customHeight="1" thickBot="1" x14ac:dyDescent="0.35">
      <c r="A21" s="182" t="s">
        <v>813</v>
      </c>
      <c r="B21" s="182"/>
      <c r="C21" s="182"/>
      <c r="D21" s="17">
        <f>H12-D30-E42</f>
        <v>0</v>
      </c>
      <c r="E21" s="18">
        <f>H13-U30</f>
        <v>0</v>
      </c>
      <c r="F21" s="14">
        <f t="shared" ref="F21" si="0">+E21+D21</f>
        <v>0</v>
      </c>
      <c r="G21" s="55"/>
      <c r="H21" s="55"/>
      <c r="I21" s="55"/>
      <c r="J21" s="55"/>
      <c r="K21" s="55"/>
      <c r="L21" s="55"/>
      <c r="M21" s="55"/>
      <c r="N21" s="55"/>
      <c r="O21" s="55"/>
      <c r="P21" s="55"/>
      <c r="Q21" s="55"/>
      <c r="R21" s="55"/>
      <c r="S21" s="55"/>
      <c r="T21" s="55"/>
      <c r="U21" s="56"/>
      <c r="V21" s="48"/>
    </row>
    <row r="22" spans="1:22" s="46" customFormat="1" ht="15" thickBot="1" x14ac:dyDescent="0.35">
      <c r="A22" s="57"/>
      <c r="B22" s="58"/>
      <c r="C22" s="58"/>
      <c r="D22" s="58"/>
      <c r="E22" s="58"/>
      <c r="F22" s="58"/>
      <c r="G22" s="58"/>
      <c r="H22" s="58"/>
      <c r="I22" s="59"/>
      <c r="J22" s="55"/>
      <c r="K22" s="55"/>
      <c r="L22" s="55"/>
      <c r="M22" s="55"/>
      <c r="N22" s="55"/>
      <c r="O22" s="55"/>
      <c r="P22" s="55"/>
      <c r="Q22" s="55"/>
      <c r="R22" s="55"/>
      <c r="S22" s="55"/>
      <c r="T22" s="55"/>
      <c r="U22" s="56"/>
      <c r="V22" s="48"/>
    </row>
    <row r="23" spans="1:22" ht="12.45" customHeight="1" thickBot="1" x14ac:dyDescent="0.3">
      <c r="A23" s="1" t="s">
        <v>8</v>
      </c>
      <c r="B23" s="1"/>
      <c r="C23" s="1"/>
      <c r="D23" s="1"/>
      <c r="E23" s="60"/>
      <c r="V23" s="36"/>
    </row>
    <row r="24" spans="1:22" ht="13.95" customHeight="1" x14ac:dyDescent="0.25">
      <c r="A24" s="227" t="s">
        <v>1</v>
      </c>
      <c r="B24" s="224" t="s">
        <v>78</v>
      </c>
      <c r="C24" s="225"/>
      <c r="D24" s="226"/>
      <c r="E24" s="237" t="s">
        <v>15</v>
      </c>
      <c r="F24" s="238"/>
      <c r="G24" s="238"/>
      <c r="H24" s="238"/>
      <c r="I24" s="238"/>
      <c r="J24" s="238"/>
      <c r="K24" s="238"/>
      <c r="L24" s="238"/>
      <c r="M24" s="238"/>
      <c r="N24" s="238"/>
      <c r="O24" s="238"/>
      <c r="P24" s="238"/>
      <c r="Q24" s="238"/>
      <c r="R24" s="238"/>
      <c r="S24" s="238"/>
      <c r="T24" s="238"/>
      <c r="U24" s="267" t="s">
        <v>764</v>
      </c>
      <c r="V24" s="36"/>
    </row>
    <row r="25" spans="1:22" ht="76.5" customHeight="1" x14ac:dyDescent="0.25">
      <c r="A25" s="228"/>
      <c r="B25" s="21" t="s">
        <v>43</v>
      </c>
      <c r="C25" s="4" t="s">
        <v>44</v>
      </c>
      <c r="D25" s="222" t="s">
        <v>765</v>
      </c>
      <c r="E25" s="61" t="s">
        <v>18</v>
      </c>
      <c r="F25" s="62" t="s">
        <v>19</v>
      </c>
      <c r="G25" s="62" t="s">
        <v>20</v>
      </c>
      <c r="H25" s="62" t="s">
        <v>22</v>
      </c>
      <c r="I25" s="62" t="s">
        <v>24</v>
      </c>
      <c r="J25" s="62" t="s">
        <v>26</v>
      </c>
      <c r="K25" s="62" t="s">
        <v>28</v>
      </c>
      <c r="L25" s="62" t="s">
        <v>30</v>
      </c>
      <c r="M25" s="239" t="s">
        <v>32</v>
      </c>
      <c r="N25" s="239"/>
      <c r="O25" s="239"/>
      <c r="P25" s="239" t="s">
        <v>34</v>
      </c>
      <c r="Q25" s="239"/>
      <c r="R25" s="239"/>
      <c r="S25" s="170" t="s">
        <v>766</v>
      </c>
      <c r="T25" s="170"/>
      <c r="U25" s="268"/>
      <c r="V25" s="36"/>
    </row>
    <row r="26" spans="1:22" ht="22.5" customHeight="1" thickBot="1" x14ac:dyDescent="0.3">
      <c r="A26" s="229"/>
      <c r="B26" s="63" t="s">
        <v>16</v>
      </c>
      <c r="C26" s="64" t="s">
        <v>17</v>
      </c>
      <c r="D26" s="223"/>
      <c r="E26" s="63" t="s">
        <v>21</v>
      </c>
      <c r="F26" s="64" t="s">
        <v>23</v>
      </c>
      <c r="G26" s="64" t="s">
        <v>25</v>
      </c>
      <c r="H26" s="64" t="s">
        <v>27</v>
      </c>
      <c r="I26" s="64" t="s">
        <v>29</v>
      </c>
      <c r="J26" s="64" t="s">
        <v>31</v>
      </c>
      <c r="K26" s="64" t="s">
        <v>33</v>
      </c>
      <c r="L26" s="64" t="s">
        <v>35</v>
      </c>
      <c r="M26" s="240" t="s">
        <v>36</v>
      </c>
      <c r="N26" s="240"/>
      <c r="O26" s="240"/>
      <c r="P26" s="240" t="s">
        <v>72</v>
      </c>
      <c r="Q26" s="240"/>
      <c r="R26" s="240"/>
      <c r="S26" s="240" t="s">
        <v>73</v>
      </c>
      <c r="T26" s="240"/>
      <c r="U26" s="269"/>
      <c r="V26" s="36"/>
    </row>
    <row r="27" spans="1:22" ht="13.95" customHeight="1" x14ac:dyDescent="0.25">
      <c r="A27" s="211" t="s">
        <v>70</v>
      </c>
      <c r="B27" s="200"/>
      <c r="C27" s="165"/>
      <c r="D27" s="160">
        <f>B27+C27</f>
        <v>0</v>
      </c>
      <c r="E27" s="206"/>
      <c r="F27" s="177"/>
      <c r="G27" s="177"/>
      <c r="H27" s="177"/>
      <c r="I27" s="177"/>
      <c r="J27" s="177"/>
      <c r="K27" s="177"/>
      <c r="L27" s="177"/>
      <c r="M27" s="253" t="s">
        <v>37</v>
      </c>
      <c r="N27" s="254"/>
      <c r="O27" s="65"/>
      <c r="P27" s="253" t="s">
        <v>37</v>
      </c>
      <c r="Q27" s="254"/>
      <c r="R27" s="65"/>
      <c r="S27" s="274">
        <f>M41+M42+M43+N41+N42+N43+O41+O42</f>
        <v>0</v>
      </c>
      <c r="T27" s="274"/>
      <c r="U27" s="270">
        <f>E27+F27+G27+H27+I27+J27+K27+L27+O27+O28+O29+R27+R28+R29+S27</f>
        <v>0</v>
      </c>
      <c r="V27" s="36"/>
    </row>
    <row r="28" spans="1:22" ht="13.95" customHeight="1" x14ac:dyDescent="0.25">
      <c r="A28" s="212"/>
      <c r="B28" s="201"/>
      <c r="C28" s="166"/>
      <c r="D28" s="161"/>
      <c r="E28" s="207"/>
      <c r="F28" s="175"/>
      <c r="G28" s="175"/>
      <c r="H28" s="175"/>
      <c r="I28" s="175"/>
      <c r="J28" s="175"/>
      <c r="K28" s="175"/>
      <c r="L28" s="175"/>
      <c r="M28" s="217" t="s">
        <v>13</v>
      </c>
      <c r="N28" s="218"/>
      <c r="O28" s="66"/>
      <c r="P28" s="217" t="s">
        <v>13</v>
      </c>
      <c r="Q28" s="218"/>
      <c r="R28" s="66"/>
      <c r="S28" s="168"/>
      <c r="T28" s="168"/>
      <c r="U28" s="271"/>
      <c r="V28" s="36"/>
    </row>
    <row r="29" spans="1:22" ht="13.95" customHeight="1" x14ac:dyDescent="0.25">
      <c r="A29" s="212"/>
      <c r="B29" s="202"/>
      <c r="C29" s="167"/>
      <c r="D29" s="162"/>
      <c r="E29" s="207"/>
      <c r="F29" s="175"/>
      <c r="G29" s="175"/>
      <c r="H29" s="175"/>
      <c r="I29" s="175"/>
      <c r="J29" s="175"/>
      <c r="K29" s="175"/>
      <c r="L29" s="175"/>
      <c r="M29" s="217" t="s">
        <v>46</v>
      </c>
      <c r="N29" s="218"/>
      <c r="O29" s="66"/>
      <c r="P29" s="217" t="s">
        <v>46</v>
      </c>
      <c r="Q29" s="218"/>
      <c r="R29" s="66"/>
      <c r="S29" s="168"/>
      <c r="T29" s="168"/>
      <c r="U29" s="271"/>
      <c r="V29" s="36"/>
    </row>
    <row r="30" spans="1:22" ht="13.95" customHeight="1" x14ac:dyDescent="0.25">
      <c r="A30" s="212" t="s">
        <v>4</v>
      </c>
      <c r="B30" s="203"/>
      <c r="C30" s="288"/>
      <c r="D30" s="163">
        <f>B30+C30</f>
        <v>0</v>
      </c>
      <c r="E30" s="207"/>
      <c r="F30" s="175"/>
      <c r="G30" s="175"/>
      <c r="H30" s="175"/>
      <c r="I30" s="175"/>
      <c r="J30" s="175"/>
      <c r="K30" s="175"/>
      <c r="L30" s="175"/>
      <c r="M30" s="217" t="s">
        <v>37</v>
      </c>
      <c r="N30" s="218"/>
      <c r="O30" s="66"/>
      <c r="P30" s="217" t="s">
        <v>37</v>
      </c>
      <c r="Q30" s="218"/>
      <c r="R30" s="66"/>
      <c r="S30" s="168">
        <f>P41+P42+P43+Q41+Q42+Q43+R41+R42</f>
        <v>0</v>
      </c>
      <c r="T30" s="168"/>
      <c r="U30" s="271">
        <f>E30+F30+G30+H30+I30+J30+K30+L30+O30+O31+O32+R30+R31+R32+S30</f>
        <v>0</v>
      </c>
      <c r="V30" s="36"/>
    </row>
    <row r="31" spans="1:22" ht="13.95" customHeight="1" x14ac:dyDescent="0.25">
      <c r="A31" s="212"/>
      <c r="B31" s="201"/>
      <c r="C31" s="166"/>
      <c r="D31" s="161"/>
      <c r="E31" s="207"/>
      <c r="F31" s="175"/>
      <c r="G31" s="175"/>
      <c r="H31" s="175"/>
      <c r="I31" s="175"/>
      <c r="J31" s="175"/>
      <c r="K31" s="175"/>
      <c r="L31" s="175"/>
      <c r="M31" s="217" t="s">
        <v>13</v>
      </c>
      <c r="N31" s="218"/>
      <c r="O31" s="66"/>
      <c r="P31" s="217" t="s">
        <v>13</v>
      </c>
      <c r="Q31" s="218"/>
      <c r="R31" s="66"/>
      <c r="S31" s="168"/>
      <c r="T31" s="168"/>
      <c r="U31" s="271"/>
      <c r="V31" s="36"/>
    </row>
    <row r="32" spans="1:22" ht="13.95" customHeight="1" x14ac:dyDescent="0.25">
      <c r="A32" s="212"/>
      <c r="B32" s="202"/>
      <c r="C32" s="167"/>
      <c r="D32" s="162"/>
      <c r="E32" s="207"/>
      <c r="F32" s="175"/>
      <c r="G32" s="175"/>
      <c r="H32" s="175"/>
      <c r="I32" s="175"/>
      <c r="J32" s="175"/>
      <c r="K32" s="175"/>
      <c r="L32" s="175"/>
      <c r="M32" s="217" t="s">
        <v>46</v>
      </c>
      <c r="N32" s="218"/>
      <c r="O32" s="66"/>
      <c r="P32" s="217" t="s">
        <v>46</v>
      </c>
      <c r="Q32" s="218"/>
      <c r="R32" s="66"/>
      <c r="S32" s="168"/>
      <c r="T32" s="168"/>
      <c r="U32" s="271"/>
      <c r="V32" s="36"/>
    </row>
    <row r="33" spans="1:24" ht="13.95" customHeight="1" x14ac:dyDescent="0.25">
      <c r="A33" s="212" t="s">
        <v>5</v>
      </c>
      <c r="B33" s="203"/>
      <c r="C33" s="288"/>
      <c r="D33" s="163">
        <f>B33+C33</f>
        <v>0</v>
      </c>
      <c r="E33" s="207"/>
      <c r="F33" s="175"/>
      <c r="G33" s="175"/>
      <c r="H33" s="175"/>
      <c r="I33" s="175"/>
      <c r="J33" s="175"/>
      <c r="K33" s="175"/>
      <c r="L33" s="175"/>
      <c r="M33" s="217" t="s">
        <v>37</v>
      </c>
      <c r="N33" s="218"/>
      <c r="O33" s="66"/>
      <c r="P33" s="217" t="s">
        <v>37</v>
      </c>
      <c r="Q33" s="218"/>
      <c r="R33" s="66"/>
      <c r="S33" s="168">
        <f>S41+S42+S43+T41+T42+T43+U41+U42</f>
        <v>0</v>
      </c>
      <c r="T33" s="168"/>
      <c r="U33" s="271">
        <f>E33+F33+G33+H33+I33+J33+K33+L33+O33+O34+O35+R33+R34+R35+S33</f>
        <v>0</v>
      </c>
      <c r="V33" s="36"/>
    </row>
    <row r="34" spans="1:24" ht="13.95" customHeight="1" x14ac:dyDescent="0.25">
      <c r="A34" s="212"/>
      <c r="B34" s="201"/>
      <c r="C34" s="166"/>
      <c r="D34" s="161"/>
      <c r="E34" s="207"/>
      <c r="F34" s="175"/>
      <c r="G34" s="175"/>
      <c r="H34" s="175"/>
      <c r="I34" s="175"/>
      <c r="J34" s="175"/>
      <c r="K34" s="175"/>
      <c r="L34" s="175"/>
      <c r="M34" s="217" t="s">
        <v>13</v>
      </c>
      <c r="N34" s="218"/>
      <c r="O34" s="66"/>
      <c r="P34" s="217" t="s">
        <v>13</v>
      </c>
      <c r="Q34" s="218"/>
      <c r="R34" s="66"/>
      <c r="S34" s="168"/>
      <c r="T34" s="168"/>
      <c r="U34" s="271"/>
      <c r="V34" s="36"/>
    </row>
    <row r="35" spans="1:24" ht="13.95" customHeight="1" thickBot="1" x14ac:dyDescent="0.3">
      <c r="A35" s="213"/>
      <c r="B35" s="204"/>
      <c r="C35" s="289"/>
      <c r="D35" s="164"/>
      <c r="E35" s="214"/>
      <c r="F35" s="176"/>
      <c r="G35" s="176"/>
      <c r="H35" s="176"/>
      <c r="I35" s="176"/>
      <c r="J35" s="176"/>
      <c r="K35" s="176"/>
      <c r="L35" s="176"/>
      <c r="M35" s="255" t="s">
        <v>46</v>
      </c>
      <c r="N35" s="256"/>
      <c r="O35" s="67"/>
      <c r="P35" s="255" t="s">
        <v>46</v>
      </c>
      <c r="Q35" s="256"/>
      <c r="R35" s="67"/>
      <c r="S35" s="169"/>
      <c r="T35" s="169"/>
      <c r="U35" s="272"/>
      <c r="V35" s="36"/>
    </row>
    <row r="36" spans="1:24" ht="4.95" customHeight="1" x14ac:dyDescent="0.25">
      <c r="V36" s="36"/>
    </row>
    <row r="37" spans="1:24" ht="13.95" customHeight="1" thickBot="1" x14ac:dyDescent="0.3">
      <c r="A37" s="1" t="s">
        <v>38</v>
      </c>
      <c r="B37" s="1"/>
      <c r="C37" s="1"/>
      <c r="D37" s="1"/>
      <c r="V37" s="36"/>
    </row>
    <row r="38" spans="1:24" ht="11.25" customHeight="1" x14ac:dyDescent="0.25">
      <c r="A38" s="257" t="s">
        <v>42</v>
      </c>
      <c r="B38" s="258"/>
      <c r="C38" s="258"/>
      <c r="D38" s="258"/>
      <c r="E38" s="259"/>
      <c r="F38" s="68"/>
      <c r="G38" s="233" t="s">
        <v>876</v>
      </c>
      <c r="H38" s="234"/>
      <c r="J38" s="197" t="s">
        <v>47</v>
      </c>
      <c r="K38" s="198"/>
      <c r="L38" s="198"/>
      <c r="M38" s="198"/>
      <c r="N38" s="198"/>
      <c r="O38" s="198"/>
      <c r="P38" s="198"/>
      <c r="Q38" s="198"/>
      <c r="R38" s="198"/>
      <c r="S38" s="198"/>
      <c r="T38" s="198"/>
      <c r="U38" s="199"/>
      <c r="V38" s="36"/>
    </row>
    <row r="39" spans="1:24" ht="12.75" customHeight="1" x14ac:dyDescent="0.25">
      <c r="A39" s="69"/>
      <c r="B39" s="70" t="s">
        <v>43</v>
      </c>
      <c r="C39" s="70" t="s">
        <v>44</v>
      </c>
      <c r="D39" s="70" t="s">
        <v>45</v>
      </c>
      <c r="E39" s="71" t="s">
        <v>3</v>
      </c>
      <c r="G39" s="235"/>
      <c r="H39" s="236"/>
      <c r="J39" s="241" t="s">
        <v>2</v>
      </c>
      <c r="K39" s="242"/>
      <c r="L39" s="243"/>
      <c r="M39" s="173" t="s">
        <v>6</v>
      </c>
      <c r="N39" s="173"/>
      <c r="O39" s="173"/>
      <c r="P39" s="173" t="s">
        <v>4</v>
      </c>
      <c r="Q39" s="173"/>
      <c r="R39" s="173"/>
      <c r="S39" s="173" t="s">
        <v>5</v>
      </c>
      <c r="T39" s="173"/>
      <c r="U39" s="174"/>
      <c r="V39" s="36"/>
    </row>
    <row r="40" spans="1:24" ht="15.6" customHeight="1" x14ac:dyDescent="0.25">
      <c r="A40" s="190" t="s">
        <v>39</v>
      </c>
      <c r="B40" s="193"/>
      <c r="C40" s="193"/>
      <c r="D40" s="193"/>
      <c r="E40" s="192">
        <f>B40+C40+D40</f>
        <v>0</v>
      </c>
      <c r="F40" s="185"/>
      <c r="G40" s="186" t="s">
        <v>821</v>
      </c>
      <c r="H40" s="188">
        <f>$E$17+$F$18</f>
        <v>0</v>
      </c>
      <c r="J40" s="244"/>
      <c r="K40" s="245"/>
      <c r="L40" s="246"/>
      <c r="M40" s="70" t="s">
        <v>48</v>
      </c>
      <c r="N40" s="70" t="s">
        <v>7</v>
      </c>
      <c r="O40" s="70" t="s">
        <v>49</v>
      </c>
      <c r="P40" s="70" t="s">
        <v>48</v>
      </c>
      <c r="Q40" s="70" t="s">
        <v>7</v>
      </c>
      <c r="R40" s="70" t="s">
        <v>49</v>
      </c>
      <c r="S40" s="70" t="s">
        <v>48</v>
      </c>
      <c r="T40" s="70" t="s">
        <v>7</v>
      </c>
      <c r="U40" s="71" t="s">
        <v>49</v>
      </c>
      <c r="V40" s="36"/>
    </row>
    <row r="41" spans="1:24" ht="15" customHeight="1" x14ac:dyDescent="0.25">
      <c r="A41" s="190"/>
      <c r="B41" s="196"/>
      <c r="C41" s="196"/>
      <c r="D41" s="196"/>
      <c r="E41" s="192"/>
      <c r="F41" s="185"/>
      <c r="G41" s="187"/>
      <c r="H41" s="189"/>
      <c r="J41" s="247" t="s">
        <v>50</v>
      </c>
      <c r="K41" s="248"/>
      <c r="L41" s="249"/>
      <c r="M41" s="72"/>
      <c r="N41" s="72"/>
      <c r="O41" s="72"/>
      <c r="P41" s="72"/>
      <c r="Q41" s="72"/>
      <c r="R41" s="72"/>
      <c r="S41" s="72"/>
      <c r="T41" s="72"/>
      <c r="U41" s="73"/>
      <c r="V41" s="36"/>
    </row>
    <row r="42" spans="1:24" ht="13.95" customHeight="1" x14ac:dyDescent="0.25">
      <c r="A42" s="190" t="s">
        <v>40</v>
      </c>
      <c r="B42" s="193"/>
      <c r="C42" s="193"/>
      <c r="D42" s="193"/>
      <c r="E42" s="192">
        <f>B42+C42+D42</f>
        <v>0</v>
      </c>
      <c r="F42" s="185"/>
      <c r="G42" s="186" t="s">
        <v>877</v>
      </c>
      <c r="H42" s="188"/>
      <c r="J42" s="247" t="s">
        <v>51</v>
      </c>
      <c r="K42" s="248"/>
      <c r="L42" s="249"/>
      <c r="M42" s="72"/>
      <c r="N42" s="72"/>
      <c r="O42" s="72"/>
      <c r="P42" s="72"/>
      <c r="Q42" s="72"/>
      <c r="R42" s="72"/>
      <c r="S42" s="72"/>
      <c r="T42" s="72"/>
      <c r="U42" s="73"/>
      <c r="V42" s="36"/>
    </row>
    <row r="43" spans="1:24" ht="13.95" customHeight="1" thickBot="1" x14ac:dyDescent="0.3">
      <c r="A43" s="190"/>
      <c r="B43" s="196"/>
      <c r="C43" s="196"/>
      <c r="D43" s="196"/>
      <c r="E43" s="192"/>
      <c r="F43" s="185"/>
      <c r="G43" s="187"/>
      <c r="H43" s="189"/>
      <c r="J43" s="250" t="s">
        <v>52</v>
      </c>
      <c r="K43" s="251"/>
      <c r="L43" s="252"/>
      <c r="M43" s="74"/>
      <c r="N43" s="74"/>
      <c r="O43" s="75"/>
      <c r="P43" s="74"/>
      <c r="Q43" s="74"/>
      <c r="R43" s="75"/>
      <c r="S43" s="74"/>
      <c r="T43" s="74"/>
      <c r="U43" s="76"/>
      <c r="V43" s="36"/>
    </row>
    <row r="44" spans="1:24" ht="10.5" customHeight="1" x14ac:dyDescent="0.25">
      <c r="A44" s="190" t="s">
        <v>41</v>
      </c>
      <c r="B44" s="193"/>
      <c r="C44" s="193"/>
      <c r="D44" s="193"/>
      <c r="E44" s="192">
        <f>B44+C44+D44</f>
        <v>0</v>
      </c>
      <c r="F44" s="185"/>
      <c r="G44" s="186" t="s">
        <v>878</v>
      </c>
      <c r="H44" s="188"/>
      <c r="J44" s="77" t="s">
        <v>53</v>
      </c>
      <c r="K44" s="78"/>
      <c r="L44" s="78"/>
      <c r="M44" s="78"/>
      <c r="N44" s="78"/>
      <c r="O44" s="78"/>
      <c r="P44" s="78"/>
      <c r="Q44" s="78"/>
      <c r="R44" s="78"/>
      <c r="S44" s="78"/>
      <c r="T44" s="78"/>
      <c r="U44" s="78"/>
      <c r="V44" s="79"/>
      <c r="W44" s="78"/>
      <c r="X44" s="78"/>
    </row>
    <row r="45" spans="1:24" ht="13.95" customHeight="1" thickBot="1" x14ac:dyDescent="0.3">
      <c r="A45" s="191"/>
      <c r="B45" s="194"/>
      <c r="C45" s="194"/>
      <c r="D45" s="194"/>
      <c r="E45" s="195"/>
      <c r="F45" s="185"/>
      <c r="G45" s="187"/>
      <c r="H45" s="189"/>
      <c r="V45" s="36"/>
    </row>
    <row r="46" spans="1:24" ht="15" customHeight="1" x14ac:dyDescent="0.25">
      <c r="A46" s="1"/>
      <c r="B46" s="1"/>
      <c r="C46" s="1"/>
      <c r="D46" s="1"/>
      <c r="F46" s="184" t="s">
        <v>672</v>
      </c>
      <c r="G46" s="184"/>
      <c r="H46" s="184"/>
      <c r="L46" s="78" t="s">
        <v>54</v>
      </c>
      <c r="M46" s="78"/>
      <c r="N46" s="78"/>
      <c r="O46" s="78"/>
      <c r="P46" s="78"/>
      <c r="Q46" s="262"/>
      <c r="R46" s="262"/>
      <c r="S46" s="262"/>
      <c r="T46" s="262"/>
      <c r="U46" s="262"/>
      <c r="V46" s="36"/>
    </row>
    <row r="47" spans="1:24" ht="13.95" customHeight="1" x14ac:dyDescent="0.25">
      <c r="A47" s="205"/>
      <c r="B47" s="80"/>
      <c r="C47" s="80"/>
      <c r="D47" s="80"/>
      <c r="E47" s="183"/>
      <c r="F47" s="183"/>
      <c r="G47" s="183"/>
      <c r="H47" s="183"/>
      <c r="I47" s="183"/>
      <c r="J47" s="183"/>
      <c r="K47" s="78"/>
      <c r="L47" s="78" t="s">
        <v>55</v>
      </c>
      <c r="M47" s="262"/>
      <c r="N47" s="262"/>
      <c r="O47" s="262"/>
      <c r="P47" s="262"/>
      <c r="Q47" s="78"/>
      <c r="R47" s="78"/>
      <c r="V47" s="36"/>
    </row>
    <row r="48" spans="1:24" ht="13.95" customHeight="1" x14ac:dyDescent="0.25">
      <c r="A48" s="205"/>
      <c r="B48" s="80"/>
      <c r="C48" s="80"/>
      <c r="D48" s="80"/>
      <c r="E48" s="183"/>
      <c r="F48" s="183"/>
      <c r="G48" s="183"/>
      <c r="H48" s="183"/>
      <c r="I48" s="183"/>
      <c r="J48" s="183"/>
      <c r="K48" s="78"/>
      <c r="L48" s="78" t="s">
        <v>56</v>
      </c>
      <c r="M48" s="261"/>
      <c r="N48" s="261"/>
      <c r="O48" s="261"/>
      <c r="P48" s="261"/>
      <c r="Q48" s="78"/>
      <c r="R48" s="81" t="s">
        <v>57</v>
      </c>
      <c r="S48" s="260"/>
      <c r="T48" s="260"/>
      <c r="V48" s="36"/>
    </row>
    <row r="49" spans="1:22" ht="13.95" customHeight="1" x14ac:dyDescent="0.25">
      <c r="A49" s="185"/>
      <c r="B49" s="31"/>
      <c r="C49" s="31"/>
      <c r="D49" s="31"/>
      <c r="E49" s="183"/>
      <c r="F49" s="183"/>
      <c r="G49" s="183"/>
      <c r="H49" s="183"/>
      <c r="I49" s="183"/>
      <c r="J49" s="183"/>
      <c r="K49" s="78"/>
      <c r="L49" s="78" t="s">
        <v>58</v>
      </c>
      <c r="M49" s="159"/>
      <c r="N49" s="159"/>
      <c r="O49" s="159"/>
      <c r="P49" s="159"/>
      <c r="Q49" s="78"/>
      <c r="R49" s="78"/>
      <c r="V49" s="36"/>
    </row>
    <row r="50" spans="1:22" ht="13.95" customHeight="1" x14ac:dyDescent="0.25">
      <c r="A50" s="185"/>
      <c r="B50" s="31"/>
      <c r="C50" s="31"/>
      <c r="D50" s="31"/>
      <c r="E50" s="183"/>
      <c r="F50" s="183"/>
      <c r="G50" s="183"/>
      <c r="H50" s="183"/>
      <c r="I50" s="183"/>
      <c r="J50" s="183"/>
      <c r="K50" s="78"/>
      <c r="V50" s="36"/>
    </row>
    <row r="99" spans="1:8" hidden="1" x14ac:dyDescent="0.25"/>
    <row r="100" spans="1:8" hidden="1" x14ac:dyDescent="0.25"/>
    <row r="101" spans="1:8" s="82" customFormat="1" ht="25.5" hidden="1" customHeight="1" x14ac:dyDescent="0.25">
      <c r="E101" s="82" t="s">
        <v>161</v>
      </c>
      <c r="F101" s="82" t="s">
        <v>162</v>
      </c>
      <c r="G101" s="82" t="s">
        <v>163</v>
      </c>
    </row>
    <row r="102" spans="1:8" s="82" customFormat="1" ht="25.5" hidden="1" customHeight="1" x14ac:dyDescent="0.3">
      <c r="A102" s="82" t="s">
        <v>80</v>
      </c>
      <c r="B102" s="82" t="s">
        <v>81</v>
      </c>
      <c r="C102" s="82" t="s">
        <v>82</v>
      </c>
      <c r="D102" s="82" t="s">
        <v>137</v>
      </c>
      <c r="E102" s="83" t="s">
        <v>82</v>
      </c>
      <c r="F102" s="83" t="s">
        <v>137</v>
      </c>
      <c r="G102" s="83" t="s">
        <v>164</v>
      </c>
      <c r="H102" s="84"/>
    </row>
    <row r="103" spans="1:8" s="82" customFormat="1" ht="25.5" hidden="1" customHeight="1" x14ac:dyDescent="0.3">
      <c r="A103" s="82" t="s">
        <v>79</v>
      </c>
      <c r="B103" s="82" t="s">
        <v>81</v>
      </c>
      <c r="C103" s="82" t="s">
        <v>82</v>
      </c>
      <c r="D103" s="82" t="s">
        <v>82</v>
      </c>
      <c r="E103" s="83" t="s">
        <v>82</v>
      </c>
      <c r="F103" s="83" t="s">
        <v>137</v>
      </c>
      <c r="G103" s="83" t="s">
        <v>354</v>
      </c>
      <c r="H103" s="84"/>
    </row>
    <row r="104" spans="1:8" s="82" customFormat="1" ht="25.5" hidden="1" customHeight="1" x14ac:dyDescent="0.3">
      <c r="A104" s="82" t="s">
        <v>84</v>
      </c>
      <c r="B104" s="82" t="s">
        <v>81</v>
      </c>
      <c r="C104" s="82" t="s">
        <v>82</v>
      </c>
      <c r="D104" s="82" t="s">
        <v>83</v>
      </c>
      <c r="E104" s="83" t="s">
        <v>82</v>
      </c>
      <c r="F104" s="83" t="s">
        <v>137</v>
      </c>
      <c r="G104" s="83" t="s">
        <v>710</v>
      </c>
      <c r="H104" s="84"/>
    </row>
    <row r="105" spans="1:8" s="82" customFormat="1" ht="25.5" hidden="1" customHeight="1" x14ac:dyDescent="0.3">
      <c r="A105" s="82" t="s">
        <v>86</v>
      </c>
      <c r="B105" s="82" t="s">
        <v>87</v>
      </c>
      <c r="C105" s="82" t="s">
        <v>82</v>
      </c>
      <c r="D105" s="82" t="s">
        <v>166</v>
      </c>
      <c r="E105" s="83" t="s">
        <v>82</v>
      </c>
      <c r="F105" s="83" t="s">
        <v>137</v>
      </c>
      <c r="G105" s="83" t="s">
        <v>585</v>
      </c>
      <c r="H105" s="84"/>
    </row>
    <row r="106" spans="1:8" s="82" customFormat="1" ht="25.5" hidden="1" customHeight="1" x14ac:dyDescent="0.3">
      <c r="A106" s="82" t="s">
        <v>90</v>
      </c>
      <c r="B106" s="82" t="s">
        <v>87</v>
      </c>
      <c r="C106" s="82" t="s">
        <v>82</v>
      </c>
      <c r="D106" s="82" t="s">
        <v>85</v>
      </c>
      <c r="E106" s="83" t="s">
        <v>82</v>
      </c>
      <c r="F106" s="83" t="s">
        <v>137</v>
      </c>
      <c r="G106" s="83" t="s">
        <v>400</v>
      </c>
      <c r="H106" s="84"/>
    </row>
    <row r="107" spans="1:8" s="82" customFormat="1" ht="25.5" hidden="1" customHeight="1" x14ac:dyDescent="0.3">
      <c r="A107" s="82" t="s">
        <v>92</v>
      </c>
      <c r="B107" s="82" t="s">
        <v>87</v>
      </c>
      <c r="C107" s="82" t="s">
        <v>82</v>
      </c>
      <c r="D107" s="82" t="s">
        <v>138</v>
      </c>
      <c r="E107" s="83" t="s">
        <v>82</v>
      </c>
      <c r="F107" s="83" t="s">
        <v>82</v>
      </c>
      <c r="G107" s="83" t="s">
        <v>616</v>
      </c>
      <c r="H107" s="84"/>
    </row>
    <row r="108" spans="1:8" s="82" customFormat="1" ht="25.5" hidden="1" customHeight="1" x14ac:dyDescent="0.3">
      <c r="A108" s="82" t="s">
        <v>94</v>
      </c>
      <c r="B108" s="82" t="s">
        <v>95</v>
      </c>
      <c r="C108" s="83" t="s">
        <v>366</v>
      </c>
      <c r="D108" s="82" t="s">
        <v>89</v>
      </c>
      <c r="E108" s="83" t="s">
        <v>82</v>
      </c>
      <c r="F108" s="83" t="s">
        <v>82</v>
      </c>
      <c r="G108" s="83" t="s">
        <v>649</v>
      </c>
      <c r="H108" s="84"/>
    </row>
    <row r="109" spans="1:8" s="82" customFormat="1" ht="25.5" hidden="1" customHeight="1" x14ac:dyDescent="0.3">
      <c r="A109" s="82" t="s">
        <v>96</v>
      </c>
      <c r="B109" s="82" t="s">
        <v>95</v>
      </c>
      <c r="C109" s="83" t="s">
        <v>366</v>
      </c>
      <c r="D109" s="82" t="s">
        <v>91</v>
      </c>
      <c r="E109" s="83" t="s">
        <v>82</v>
      </c>
      <c r="F109" s="83" t="s">
        <v>82</v>
      </c>
      <c r="G109" s="83" t="s">
        <v>534</v>
      </c>
      <c r="H109" s="84"/>
    </row>
    <row r="110" spans="1:8" s="82" customFormat="1" ht="25.5" hidden="1" customHeight="1" x14ac:dyDescent="0.3">
      <c r="A110" s="82" t="s">
        <v>97</v>
      </c>
      <c r="B110" s="82" t="s">
        <v>95</v>
      </c>
      <c r="C110" s="83" t="s">
        <v>366</v>
      </c>
      <c r="D110" s="82" t="s">
        <v>93</v>
      </c>
      <c r="E110" s="83" t="s">
        <v>82</v>
      </c>
      <c r="F110" s="83" t="s">
        <v>82</v>
      </c>
      <c r="G110" s="83" t="s">
        <v>308</v>
      </c>
      <c r="H110" s="84"/>
    </row>
    <row r="111" spans="1:8" s="82" customFormat="1" ht="25.5" hidden="1" customHeight="1" x14ac:dyDescent="0.3">
      <c r="A111" s="82" t="s">
        <v>99</v>
      </c>
      <c r="B111" s="82" t="s">
        <v>100</v>
      </c>
      <c r="C111" s="83" t="s">
        <v>366</v>
      </c>
      <c r="D111" s="83" t="s">
        <v>366</v>
      </c>
      <c r="E111" s="83" t="s">
        <v>82</v>
      </c>
      <c r="F111" s="83" t="s">
        <v>82</v>
      </c>
      <c r="G111" s="83" t="s">
        <v>344</v>
      </c>
      <c r="H111" s="84"/>
    </row>
    <row r="112" spans="1:8" s="82" customFormat="1" ht="25.5" hidden="1" customHeight="1" x14ac:dyDescent="0.3">
      <c r="A112" s="82" t="s">
        <v>101</v>
      </c>
      <c r="B112" s="82" t="s">
        <v>100</v>
      </c>
      <c r="C112" s="83" t="s">
        <v>366</v>
      </c>
      <c r="D112" s="82" t="s">
        <v>98</v>
      </c>
      <c r="E112" s="83" t="s">
        <v>82</v>
      </c>
      <c r="F112" s="83" t="s">
        <v>82</v>
      </c>
      <c r="G112" s="83" t="s">
        <v>401</v>
      </c>
      <c r="H112" s="84"/>
    </row>
    <row r="113" spans="1:8" s="82" customFormat="1" ht="25.5" hidden="1" customHeight="1" x14ac:dyDescent="0.3">
      <c r="A113" s="82" t="s">
        <v>103</v>
      </c>
      <c r="B113" s="82" t="s">
        <v>100</v>
      </c>
      <c r="C113" s="83" t="s">
        <v>366</v>
      </c>
      <c r="D113" s="85" t="s">
        <v>678</v>
      </c>
      <c r="E113" s="83" t="s">
        <v>82</v>
      </c>
      <c r="F113" s="83" t="s">
        <v>82</v>
      </c>
      <c r="G113" s="83" t="s">
        <v>440</v>
      </c>
      <c r="H113" s="84"/>
    </row>
    <row r="114" spans="1:8" s="82" customFormat="1" ht="25.5" hidden="1" customHeight="1" x14ac:dyDescent="0.3">
      <c r="C114" s="83" t="s">
        <v>366</v>
      </c>
      <c r="D114" s="85" t="s">
        <v>139</v>
      </c>
      <c r="E114" s="83" t="s">
        <v>82</v>
      </c>
      <c r="F114" s="83" t="s">
        <v>82</v>
      </c>
      <c r="G114" s="83" t="s">
        <v>441</v>
      </c>
      <c r="H114" s="84"/>
    </row>
    <row r="115" spans="1:8" s="82" customFormat="1" ht="25.5" hidden="1" customHeight="1" x14ac:dyDescent="0.3">
      <c r="A115" s="85"/>
      <c r="B115" s="85"/>
      <c r="C115" s="83" t="s">
        <v>366</v>
      </c>
      <c r="D115" s="85" t="s">
        <v>140</v>
      </c>
      <c r="E115" s="83" t="s">
        <v>82</v>
      </c>
      <c r="F115" s="83" t="s">
        <v>82</v>
      </c>
      <c r="G115" s="83" t="s">
        <v>442</v>
      </c>
      <c r="H115" s="84"/>
    </row>
    <row r="116" spans="1:8" s="82" customFormat="1" ht="25.5" hidden="1" customHeight="1" x14ac:dyDescent="0.3">
      <c r="A116" s="85"/>
      <c r="B116" s="85"/>
      <c r="C116" s="83" t="s">
        <v>366</v>
      </c>
      <c r="D116" s="85" t="s">
        <v>179</v>
      </c>
      <c r="E116" s="83" t="s">
        <v>82</v>
      </c>
      <c r="F116" s="83" t="s">
        <v>82</v>
      </c>
      <c r="G116" s="83" t="s">
        <v>745</v>
      </c>
      <c r="H116" s="84"/>
    </row>
    <row r="117" spans="1:8" s="82" customFormat="1" ht="25.5" hidden="1" customHeight="1" x14ac:dyDescent="0.3">
      <c r="A117" s="85"/>
      <c r="B117" s="85"/>
      <c r="C117" s="83" t="s">
        <v>366</v>
      </c>
      <c r="D117" s="85" t="s">
        <v>102</v>
      </c>
      <c r="E117" s="83" t="s">
        <v>82</v>
      </c>
      <c r="F117" s="83" t="s">
        <v>82</v>
      </c>
      <c r="G117" s="83" t="s">
        <v>443</v>
      </c>
      <c r="H117" s="84"/>
    </row>
    <row r="118" spans="1:8" s="82" customFormat="1" ht="25.5" hidden="1" customHeight="1" x14ac:dyDescent="0.3">
      <c r="A118" s="85"/>
      <c r="B118" s="85"/>
      <c r="C118" s="83" t="s">
        <v>366</v>
      </c>
      <c r="D118" s="85" t="s">
        <v>104</v>
      </c>
      <c r="E118" s="83" t="s">
        <v>82</v>
      </c>
      <c r="F118" s="83" t="s">
        <v>82</v>
      </c>
      <c r="G118" s="83" t="s">
        <v>444</v>
      </c>
      <c r="H118" s="84"/>
    </row>
    <row r="119" spans="1:8" s="82" customFormat="1" ht="25.5" hidden="1" customHeight="1" x14ac:dyDescent="0.3">
      <c r="A119" s="85"/>
      <c r="B119" s="85"/>
      <c r="C119" s="85" t="s">
        <v>106</v>
      </c>
      <c r="D119" s="85" t="s">
        <v>106</v>
      </c>
      <c r="E119" s="83"/>
      <c r="F119" s="83"/>
      <c r="G119" s="83"/>
      <c r="H119" s="84"/>
    </row>
    <row r="120" spans="1:8" s="82" customFormat="1" ht="25.5" hidden="1" customHeight="1" x14ac:dyDescent="0.3">
      <c r="A120" s="85"/>
      <c r="B120" s="85"/>
      <c r="C120" s="85" t="s">
        <v>106</v>
      </c>
      <c r="D120" s="85" t="s">
        <v>108</v>
      </c>
      <c r="E120" s="83" t="s">
        <v>82</v>
      </c>
      <c r="F120" s="83" t="s">
        <v>83</v>
      </c>
      <c r="G120" s="83" t="s">
        <v>535</v>
      </c>
      <c r="H120" s="84"/>
    </row>
    <row r="121" spans="1:8" s="82" customFormat="1" ht="25.5" hidden="1" customHeight="1" x14ac:dyDescent="0.3">
      <c r="A121" s="85"/>
      <c r="B121" s="85"/>
      <c r="C121" s="85" t="s">
        <v>106</v>
      </c>
      <c r="D121" s="85" t="s">
        <v>109</v>
      </c>
      <c r="E121" s="83" t="s">
        <v>82</v>
      </c>
      <c r="F121" s="83" t="s">
        <v>165</v>
      </c>
      <c r="G121" s="83" t="s">
        <v>617</v>
      </c>
      <c r="H121" s="84"/>
    </row>
    <row r="122" spans="1:8" s="82" customFormat="1" ht="25.5" hidden="1" customHeight="1" x14ac:dyDescent="0.3">
      <c r="A122" s="85"/>
      <c r="B122" s="85"/>
      <c r="C122" s="85" t="s">
        <v>106</v>
      </c>
      <c r="D122" s="85" t="s">
        <v>110</v>
      </c>
      <c r="E122" s="83" t="s">
        <v>82</v>
      </c>
      <c r="F122" s="83" t="s">
        <v>165</v>
      </c>
      <c r="G122" s="83" t="s">
        <v>744</v>
      </c>
      <c r="H122" s="84"/>
    </row>
    <row r="123" spans="1:8" s="82" customFormat="1" ht="25.5" hidden="1" customHeight="1" x14ac:dyDescent="0.3">
      <c r="A123" s="85"/>
      <c r="B123" s="85"/>
      <c r="C123" s="85" t="s">
        <v>106</v>
      </c>
      <c r="D123" s="85" t="s">
        <v>111</v>
      </c>
      <c r="E123" s="83" t="s">
        <v>82</v>
      </c>
      <c r="F123" s="83" t="s">
        <v>83</v>
      </c>
      <c r="G123" s="83" t="s">
        <v>445</v>
      </c>
      <c r="H123" s="84"/>
    </row>
    <row r="124" spans="1:8" s="82" customFormat="1" ht="25.5" hidden="1" customHeight="1" x14ac:dyDescent="0.3">
      <c r="A124" s="85"/>
      <c r="B124" s="85"/>
      <c r="C124" s="85" t="s">
        <v>106</v>
      </c>
      <c r="D124" s="85" t="s">
        <v>142</v>
      </c>
      <c r="E124" s="83" t="s">
        <v>82</v>
      </c>
      <c r="F124" s="83" t="s">
        <v>83</v>
      </c>
      <c r="G124" s="83" t="s">
        <v>319</v>
      </c>
      <c r="H124" s="84"/>
    </row>
    <row r="125" spans="1:8" s="82" customFormat="1" ht="25.5" hidden="1" customHeight="1" x14ac:dyDescent="0.3">
      <c r="A125" s="85"/>
      <c r="B125" s="85"/>
      <c r="C125" s="85" t="s">
        <v>106</v>
      </c>
      <c r="D125" s="85" t="s">
        <v>112</v>
      </c>
      <c r="E125" s="83" t="s">
        <v>82</v>
      </c>
      <c r="F125" s="83" t="s">
        <v>83</v>
      </c>
      <c r="G125" s="83" t="s">
        <v>333</v>
      </c>
      <c r="H125" s="84"/>
    </row>
    <row r="126" spans="1:8" s="82" customFormat="1" ht="25.5" hidden="1" customHeight="1" x14ac:dyDescent="0.3">
      <c r="A126" s="85"/>
      <c r="B126" s="85"/>
      <c r="C126" s="85" t="s">
        <v>106</v>
      </c>
      <c r="D126" s="85" t="s">
        <v>143</v>
      </c>
      <c r="E126" s="83" t="s">
        <v>82</v>
      </c>
      <c r="F126" s="83" t="s">
        <v>83</v>
      </c>
      <c r="G126" s="83" t="s">
        <v>586</v>
      </c>
      <c r="H126" s="84"/>
    </row>
    <row r="127" spans="1:8" s="82" customFormat="1" ht="25.5" hidden="1" customHeight="1" x14ac:dyDescent="0.3">
      <c r="A127" s="85"/>
      <c r="B127" s="85"/>
      <c r="C127" s="85" t="s">
        <v>106</v>
      </c>
      <c r="D127" s="85" t="s">
        <v>113</v>
      </c>
      <c r="H127" s="84"/>
    </row>
    <row r="128" spans="1:8" s="82" customFormat="1" ht="25.5" hidden="1" customHeight="1" x14ac:dyDescent="0.3">
      <c r="A128" s="85"/>
      <c r="B128" s="85"/>
      <c r="C128" s="85" t="s">
        <v>106</v>
      </c>
      <c r="D128" s="85" t="s">
        <v>215</v>
      </c>
      <c r="H128" s="84"/>
    </row>
    <row r="129" spans="1:8" s="82" customFormat="1" ht="25.5" hidden="1" customHeight="1" x14ac:dyDescent="0.3">
      <c r="A129" s="85"/>
      <c r="B129" s="85"/>
      <c r="C129" s="85" t="s">
        <v>106</v>
      </c>
      <c r="D129" s="85" t="s">
        <v>145</v>
      </c>
      <c r="E129" s="83"/>
      <c r="F129" s="83"/>
      <c r="G129" s="83"/>
      <c r="H129" s="84"/>
    </row>
    <row r="130" spans="1:8" s="82" customFormat="1" ht="25.5" hidden="1" customHeight="1" x14ac:dyDescent="0.3">
      <c r="A130" s="85"/>
      <c r="B130" s="85"/>
      <c r="C130" s="85" t="s">
        <v>106</v>
      </c>
      <c r="D130" s="85" t="s">
        <v>146</v>
      </c>
      <c r="E130" s="83"/>
      <c r="F130" s="83"/>
      <c r="G130" s="83"/>
      <c r="H130" s="84"/>
    </row>
    <row r="131" spans="1:8" s="82" customFormat="1" ht="25.5" hidden="1" customHeight="1" x14ac:dyDescent="0.3">
      <c r="A131" s="85"/>
      <c r="B131" s="85"/>
      <c r="C131" s="85" t="s">
        <v>106</v>
      </c>
      <c r="D131" s="85" t="s">
        <v>114</v>
      </c>
      <c r="E131" s="83"/>
      <c r="F131" s="83"/>
      <c r="G131" s="83"/>
      <c r="H131" s="84"/>
    </row>
    <row r="132" spans="1:8" s="82" customFormat="1" ht="25.5" hidden="1" customHeight="1" x14ac:dyDescent="0.3">
      <c r="A132" s="85"/>
      <c r="B132" s="85"/>
      <c r="C132" s="85" t="s">
        <v>118</v>
      </c>
      <c r="D132" s="85" t="s">
        <v>148</v>
      </c>
      <c r="E132" s="83" t="s">
        <v>82</v>
      </c>
      <c r="F132" s="83" t="s">
        <v>166</v>
      </c>
      <c r="G132" s="83" t="s">
        <v>167</v>
      </c>
      <c r="H132" s="84"/>
    </row>
    <row r="133" spans="1:8" s="82" customFormat="1" ht="25.5" hidden="1" customHeight="1" x14ac:dyDescent="0.3">
      <c r="A133" s="85"/>
      <c r="B133" s="85"/>
      <c r="C133" s="85" t="s">
        <v>118</v>
      </c>
      <c r="D133" s="85" t="s">
        <v>119</v>
      </c>
      <c r="E133" s="83" t="s">
        <v>82</v>
      </c>
      <c r="F133" s="83" t="s">
        <v>166</v>
      </c>
      <c r="G133" s="83" t="s">
        <v>402</v>
      </c>
      <c r="H133" s="84"/>
    </row>
    <row r="134" spans="1:8" s="82" customFormat="1" ht="25.5" hidden="1" customHeight="1" x14ac:dyDescent="0.3">
      <c r="A134" s="85"/>
      <c r="B134" s="85"/>
      <c r="C134" s="85" t="s">
        <v>118</v>
      </c>
      <c r="D134" s="85" t="s">
        <v>120</v>
      </c>
      <c r="E134" s="83" t="s">
        <v>82</v>
      </c>
      <c r="F134" s="83" t="s">
        <v>166</v>
      </c>
      <c r="G134" s="83" t="s">
        <v>446</v>
      </c>
      <c r="H134" s="84"/>
    </row>
    <row r="135" spans="1:8" s="82" customFormat="1" ht="25.5" hidden="1" customHeight="1" x14ac:dyDescent="0.3">
      <c r="A135" s="85"/>
      <c r="B135" s="85"/>
      <c r="C135" s="85" t="s">
        <v>118</v>
      </c>
      <c r="D135" s="85" t="s">
        <v>149</v>
      </c>
      <c r="E135" s="83" t="s">
        <v>82</v>
      </c>
      <c r="F135" s="83" t="s">
        <v>166</v>
      </c>
      <c r="G135" s="83" t="s">
        <v>447</v>
      </c>
      <c r="H135" s="84"/>
    </row>
    <row r="136" spans="1:8" s="82" customFormat="1" ht="25.5" hidden="1" customHeight="1" x14ac:dyDescent="0.3">
      <c r="A136" s="85"/>
      <c r="B136" s="85"/>
      <c r="C136" s="85" t="s">
        <v>118</v>
      </c>
      <c r="D136" s="85" t="s">
        <v>118</v>
      </c>
      <c r="E136" s="83" t="s">
        <v>82</v>
      </c>
      <c r="F136" s="83" t="s">
        <v>85</v>
      </c>
      <c r="G136" s="83" t="s">
        <v>536</v>
      </c>
      <c r="H136" s="84"/>
    </row>
    <row r="137" spans="1:8" s="82" customFormat="1" ht="25.5" hidden="1" customHeight="1" x14ac:dyDescent="0.3">
      <c r="A137" s="85"/>
      <c r="B137" s="85"/>
      <c r="C137" s="85" t="s">
        <v>118</v>
      </c>
      <c r="D137" s="85" t="s">
        <v>121</v>
      </c>
      <c r="E137" s="83" t="s">
        <v>82</v>
      </c>
      <c r="F137" s="83" t="s">
        <v>168</v>
      </c>
      <c r="G137" s="83" t="s">
        <v>618</v>
      </c>
      <c r="H137" s="84"/>
    </row>
    <row r="138" spans="1:8" s="82" customFormat="1" ht="25.5" hidden="1" customHeight="1" x14ac:dyDescent="0.3">
      <c r="A138" s="85"/>
      <c r="B138" s="85"/>
      <c r="C138" s="85" t="s">
        <v>118</v>
      </c>
      <c r="D138" s="85" t="s">
        <v>150</v>
      </c>
      <c r="E138" s="83" t="s">
        <v>82</v>
      </c>
      <c r="F138" s="83" t="s">
        <v>168</v>
      </c>
      <c r="G138" s="83" t="s">
        <v>718</v>
      </c>
      <c r="H138" s="84"/>
    </row>
    <row r="139" spans="1:8" s="82" customFormat="1" ht="25.5" hidden="1" customHeight="1" x14ac:dyDescent="0.3">
      <c r="A139" s="85"/>
      <c r="B139" s="85"/>
      <c r="C139" s="85" t="s">
        <v>118</v>
      </c>
      <c r="D139" s="85" t="s">
        <v>151</v>
      </c>
      <c r="E139" s="83" t="s">
        <v>82</v>
      </c>
      <c r="F139" s="83" t="s">
        <v>168</v>
      </c>
      <c r="G139" s="83" t="s">
        <v>719</v>
      </c>
      <c r="H139" s="84"/>
    </row>
    <row r="140" spans="1:8" s="82" customFormat="1" ht="25.5" hidden="1" customHeight="1" x14ac:dyDescent="0.3">
      <c r="A140" s="85"/>
      <c r="B140" s="85"/>
      <c r="C140" s="85" t="s">
        <v>118</v>
      </c>
      <c r="D140" s="85" t="s">
        <v>152</v>
      </c>
      <c r="E140" s="83" t="s">
        <v>82</v>
      </c>
      <c r="F140" s="83" t="s">
        <v>168</v>
      </c>
      <c r="G140" s="83" t="s">
        <v>352</v>
      </c>
      <c r="H140" s="84"/>
    </row>
    <row r="141" spans="1:8" s="82" customFormat="1" ht="25.5" hidden="1" customHeight="1" x14ac:dyDescent="0.3">
      <c r="A141" s="85"/>
      <c r="B141" s="85"/>
      <c r="C141" s="85" t="s">
        <v>118</v>
      </c>
      <c r="D141" s="85" t="s">
        <v>122</v>
      </c>
      <c r="E141" s="83" t="s">
        <v>82</v>
      </c>
      <c r="F141" s="83" t="s">
        <v>168</v>
      </c>
      <c r="G141" s="83" t="s">
        <v>353</v>
      </c>
      <c r="H141" s="84"/>
    </row>
    <row r="142" spans="1:8" s="82" customFormat="1" ht="25.5" hidden="1" customHeight="1" x14ac:dyDescent="0.3">
      <c r="A142" s="85"/>
      <c r="B142" s="85"/>
      <c r="C142" s="85" t="s">
        <v>117</v>
      </c>
      <c r="D142" s="85" t="s">
        <v>141</v>
      </c>
      <c r="E142" s="83" t="s">
        <v>82</v>
      </c>
      <c r="F142" s="83" t="s">
        <v>168</v>
      </c>
      <c r="G142" s="83" t="s">
        <v>448</v>
      </c>
      <c r="H142" s="84"/>
    </row>
    <row r="143" spans="1:8" s="82" customFormat="1" ht="25.5" hidden="1" customHeight="1" x14ac:dyDescent="0.3">
      <c r="A143" s="85"/>
      <c r="B143" s="85"/>
      <c r="C143" s="85" t="s">
        <v>117</v>
      </c>
      <c r="D143" s="85" t="s">
        <v>117</v>
      </c>
      <c r="E143" s="83" t="s">
        <v>82</v>
      </c>
      <c r="F143" s="83" t="s">
        <v>138</v>
      </c>
      <c r="G143" s="83" t="s">
        <v>619</v>
      </c>
      <c r="H143" s="84"/>
    </row>
    <row r="144" spans="1:8" s="82" customFormat="1" ht="25.5" hidden="1" customHeight="1" x14ac:dyDescent="0.3">
      <c r="A144" s="85"/>
      <c r="B144" s="85"/>
      <c r="C144" s="85" t="s">
        <v>117</v>
      </c>
      <c r="D144" s="85" t="s">
        <v>144</v>
      </c>
      <c r="E144" s="83" t="s">
        <v>82</v>
      </c>
      <c r="F144" s="83" t="s">
        <v>138</v>
      </c>
      <c r="G144" s="83" t="s">
        <v>355</v>
      </c>
      <c r="H144" s="84"/>
    </row>
    <row r="145" spans="1:8" s="82" customFormat="1" ht="25.5" hidden="1" customHeight="1" x14ac:dyDescent="0.3">
      <c r="A145" s="85"/>
      <c r="B145" s="85"/>
      <c r="C145" s="85" t="s">
        <v>117</v>
      </c>
      <c r="D145" s="85" t="s">
        <v>147</v>
      </c>
      <c r="E145" s="83" t="s">
        <v>82</v>
      </c>
      <c r="F145" s="83" t="s">
        <v>138</v>
      </c>
      <c r="G145" s="83" t="s">
        <v>587</v>
      </c>
      <c r="H145" s="84"/>
    </row>
    <row r="146" spans="1:8" s="82" customFormat="1" ht="25.5" hidden="1" customHeight="1" x14ac:dyDescent="0.3">
      <c r="A146" s="85"/>
      <c r="B146" s="85"/>
      <c r="C146" s="82" t="s">
        <v>123</v>
      </c>
      <c r="D146" s="85" t="s">
        <v>124</v>
      </c>
      <c r="E146" s="83" t="s">
        <v>82</v>
      </c>
      <c r="F146" s="83" t="s">
        <v>138</v>
      </c>
      <c r="G146" s="83" t="s">
        <v>391</v>
      </c>
      <c r="H146" s="84"/>
    </row>
    <row r="147" spans="1:8" s="82" customFormat="1" ht="25.5" hidden="1" customHeight="1" x14ac:dyDescent="0.3">
      <c r="A147" s="85"/>
      <c r="B147" s="85"/>
      <c r="C147" s="82" t="s">
        <v>123</v>
      </c>
      <c r="D147" s="85" t="s">
        <v>241</v>
      </c>
      <c r="E147" s="83" t="s">
        <v>82</v>
      </c>
      <c r="F147" s="83" t="s">
        <v>138</v>
      </c>
      <c r="G147" s="83" t="s">
        <v>403</v>
      </c>
      <c r="H147" s="84"/>
    </row>
    <row r="148" spans="1:8" s="82" customFormat="1" ht="25.5" hidden="1" customHeight="1" x14ac:dyDescent="0.3">
      <c r="A148" s="85"/>
      <c r="B148" s="85"/>
      <c r="C148" s="82" t="s">
        <v>123</v>
      </c>
      <c r="D148" s="85" t="s">
        <v>153</v>
      </c>
      <c r="E148" s="83" t="s">
        <v>82</v>
      </c>
      <c r="F148" s="83" t="s">
        <v>138</v>
      </c>
      <c r="G148" s="83" t="s">
        <v>449</v>
      </c>
      <c r="H148" s="84"/>
    </row>
    <row r="149" spans="1:8" s="82" customFormat="1" ht="25.5" hidden="1" customHeight="1" x14ac:dyDescent="0.3">
      <c r="A149" s="85"/>
      <c r="B149" s="85"/>
      <c r="C149" s="82" t="s">
        <v>123</v>
      </c>
      <c r="D149" s="82" t="s">
        <v>125</v>
      </c>
      <c r="E149" s="83"/>
      <c r="F149" s="83"/>
      <c r="G149" s="83"/>
      <c r="H149" s="84"/>
    </row>
    <row r="150" spans="1:8" s="82" customFormat="1" ht="25.5" hidden="1" customHeight="1" x14ac:dyDescent="0.3">
      <c r="A150" s="85"/>
      <c r="B150" s="85"/>
      <c r="C150" s="82" t="s">
        <v>123</v>
      </c>
      <c r="D150" s="82" t="s">
        <v>154</v>
      </c>
      <c r="E150" s="83" t="s">
        <v>366</v>
      </c>
      <c r="F150" s="86" t="s">
        <v>169</v>
      </c>
      <c r="G150" s="86" t="s">
        <v>88</v>
      </c>
      <c r="H150" s="84"/>
    </row>
    <row r="151" spans="1:8" s="82" customFormat="1" ht="25.5" hidden="1" customHeight="1" x14ac:dyDescent="0.3">
      <c r="A151" s="85"/>
      <c r="B151" s="85"/>
      <c r="C151" s="82" t="s">
        <v>123</v>
      </c>
      <c r="D151" s="82" t="s">
        <v>127</v>
      </c>
      <c r="E151" s="83" t="s">
        <v>366</v>
      </c>
      <c r="F151" s="86" t="s">
        <v>169</v>
      </c>
      <c r="G151" s="86" t="s">
        <v>450</v>
      </c>
      <c r="H151" s="84"/>
    </row>
    <row r="152" spans="1:8" s="82" customFormat="1" ht="25.5" hidden="1" customHeight="1" x14ac:dyDescent="0.3">
      <c r="A152" s="85"/>
      <c r="B152" s="85"/>
      <c r="C152" s="82" t="s">
        <v>123</v>
      </c>
      <c r="D152" s="82" t="s">
        <v>123</v>
      </c>
      <c r="E152" s="86"/>
      <c r="F152" s="86"/>
      <c r="G152" s="86"/>
      <c r="H152" s="84"/>
    </row>
    <row r="153" spans="1:8" s="82" customFormat="1" ht="25.5" hidden="1" customHeight="1" x14ac:dyDescent="0.3">
      <c r="A153" s="85"/>
      <c r="B153" s="85"/>
      <c r="C153" s="82" t="s">
        <v>123</v>
      </c>
      <c r="D153" s="82" t="s">
        <v>128</v>
      </c>
      <c r="E153" s="86"/>
      <c r="F153" s="86"/>
      <c r="G153" s="86"/>
      <c r="H153" s="84"/>
    </row>
    <row r="154" spans="1:8" s="82" customFormat="1" ht="25.5" hidden="1" customHeight="1" x14ac:dyDescent="0.3">
      <c r="A154" s="85"/>
      <c r="B154" s="85"/>
      <c r="C154" s="82" t="s">
        <v>129</v>
      </c>
      <c r="D154" s="82" t="s">
        <v>155</v>
      </c>
      <c r="E154" s="83" t="s">
        <v>366</v>
      </c>
      <c r="F154" s="83" t="s">
        <v>170</v>
      </c>
      <c r="G154" s="83" t="s">
        <v>537</v>
      </c>
      <c r="H154" s="84"/>
    </row>
    <row r="155" spans="1:8" s="82" customFormat="1" ht="25.5" hidden="1" customHeight="1" x14ac:dyDescent="0.3">
      <c r="A155" s="85"/>
      <c r="B155" s="85"/>
      <c r="C155" s="82" t="s">
        <v>129</v>
      </c>
      <c r="D155" s="82" t="s">
        <v>130</v>
      </c>
      <c r="E155" s="83" t="s">
        <v>366</v>
      </c>
      <c r="F155" s="83" t="s">
        <v>171</v>
      </c>
      <c r="G155" s="83" t="s">
        <v>172</v>
      </c>
      <c r="H155" s="84"/>
    </row>
    <row r="156" spans="1:8" s="82" customFormat="1" ht="25.5" hidden="1" customHeight="1" x14ac:dyDescent="0.3">
      <c r="A156" s="85"/>
      <c r="B156" s="85"/>
      <c r="C156" s="82" t="s">
        <v>129</v>
      </c>
      <c r="D156" s="82" t="s">
        <v>131</v>
      </c>
      <c r="E156" s="83" t="s">
        <v>366</v>
      </c>
      <c r="F156" s="83" t="s">
        <v>171</v>
      </c>
      <c r="G156" s="83" t="s">
        <v>332</v>
      </c>
      <c r="H156" s="84"/>
    </row>
    <row r="157" spans="1:8" s="82" customFormat="1" ht="25.5" hidden="1" customHeight="1" x14ac:dyDescent="0.3">
      <c r="A157" s="85"/>
      <c r="B157" s="85"/>
      <c r="C157" s="82" t="s">
        <v>129</v>
      </c>
      <c r="D157" s="82" t="s">
        <v>156</v>
      </c>
      <c r="E157" s="83" t="s">
        <v>366</v>
      </c>
      <c r="F157" s="83" t="s">
        <v>171</v>
      </c>
      <c r="G157" s="83" t="s">
        <v>588</v>
      </c>
      <c r="H157" s="84"/>
    </row>
    <row r="158" spans="1:8" s="82" customFormat="1" ht="25.5" hidden="1" customHeight="1" x14ac:dyDescent="0.3">
      <c r="A158" s="85"/>
      <c r="B158" s="85"/>
      <c r="C158" s="82" t="s">
        <v>129</v>
      </c>
      <c r="D158" s="82" t="s">
        <v>157</v>
      </c>
      <c r="E158" s="83" t="s">
        <v>366</v>
      </c>
      <c r="F158" s="83" t="s">
        <v>171</v>
      </c>
      <c r="G158" s="83" t="s">
        <v>404</v>
      </c>
      <c r="H158" s="84"/>
    </row>
    <row r="159" spans="1:8" s="82" customFormat="1" ht="25.5" hidden="1" customHeight="1" x14ac:dyDescent="0.3">
      <c r="A159" s="85"/>
      <c r="B159" s="85"/>
      <c r="C159" s="82" t="s">
        <v>129</v>
      </c>
      <c r="D159" s="82" t="s">
        <v>158</v>
      </c>
      <c r="E159" s="83" t="s">
        <v>366</v>
      </c>
      <c r="F159" s="83" t="s">
        <v>171</v>
      </c>
      <c r="G159" s="83" t="s">
        <v>451</v>
      </c>
      <c r="H159" s="84"/>
    </row>
    <row r="160" spans="1:8" s="82" customFormat="1" ht="25.5" hidden="1" customHeight="1" x14ac:dyDescent="0.3">
      <c r="A160" s="85"/>
      <c r="B160" s="85"/>
      <c r="C160" s="82" t="s">
        <v>129</v>
      </c>
      <c r="D160" s="82" t="s">
        <v>129</v>
      </c>
      <c r="E160" s="83" t="s">
        <v>366</v>
      </c>
      <c r="F160" s="83" t="s">
        <v>171</v>
      </c>
      <c r="G160" s="83" t="s">
        <v>452</v>
      </c>
      <c r="H160" s="84"/>
    </row>
    <row r="161" spans="1:8" s="82" customFormat="1" ht="25.5" hidden="1" customHeight="1" x14ac:dyDescent="0.3">
      <c r="A161" s="85"/>
      <c r="B161" s="85"/>
      <c r="C161" s="82" t="s">
        <v>129</v>
      </c>
      <c r="D161" s="82" t="s">
        <v>159</v>
      </c>
      <c r="E161" s="83" t="s">
        <v>366</v>
      </c>
      <c r="F161" s="83" t="s">
        <v>171</v>
      </c>
      <c r="G161" s="83" t="s">
        <v>453</v>
      </c>
      <c r="H161" s="84"/>
    </row>
    <row r="162" spans="1:8" s="82" customFormat="1" ht="25.5" hidden="1" customHeight="1" x14ac:dyDescent="0.3">
      <c r="A162" s="85"/>
      <c r="B162" s="85"/>
      <c r="C162" s="82" t="s">
        <v>132</v>
      </c>
      <c r="D162" s="82" t="s">
        <v>133</v>
      </c>
      <c r="E162" s="83"/>
      <c r="F162" s="83"/>
      <c r="G162" s="83"/>
      <c r="H162" s="84"/>
    </row>
    <row r="163" spans="1:8" s="82" customFormat="1" ht="25.5" hidden="1" customHeight="1" x14ac:dyDescent="0.3">
      <c r="C163" s="82" t="s">
        <v>132</v>
      </c>
      <c r="D163" s="82" t="s">
        <v>160</v>
      </c>
      <c r="E163" s="83" t="s">
        <v>366</v>
      </c>
      <c r="F163" s="83" t="s">
        <v>93</v>
      </c>
      <c r="G163" s="83" t="s">
        <v>538</v>
      </c>
    </row>
    <row r="164" spans="1:8" s="82" customFormat="1" ht="25.5" hidden="1" customHeight="1" x14ac:dyDescent="0.3">
      <c r="C164" s="82" t="s">
        <v>132</v>
      </c>
      <c r="D164" s="82" t="s">
        <v>134</v>
      </c>
      <c r="E164" s="83" t="s">
        <v>366</v>
      </c>
      <c r="F164" s="83" t="s">
        <v>173</v>
      </c>
      <c r="G164" s="83" t="s">
        <v>620</v>
      </c>
    </row>
    <row r="165" spans="1:8" s="82" customFormat="1" ht="25.5" hidden="1" customHeight="1" x14ac:dyDescent="0.3">
      <c r="C165" s="82" t="s">
        <v>132</v>
      </c>
      <c r="D165" s="82" t="s">
        <v>132</v>
      </c>
      <c r="E165" s="83" t="s">
        <v>366</v>
      </c>
      <c r="F165" s="83" t="s">
        <v>173</v>
      </c>
      <c r="G165" s="83" t="s">
        <v>392</v>
      </c>
    </row>
    <row r="166" spans="1:8" s="82" customFormat="1" ht="25.5" hidden="1" customHeight="1" x14ac:dyDescent="0.3">
      <c r="E166" s="83" t="s">
        <v>366</v>
      </c>
      <c r="F166" s="83" t="s">
        <v>173</v>
      </c>
      <c r="G166" s="83" t="s">
        <v>743</v>
      </c>
    </row>
    <row r="167" spans="1:8" s="82" customFormat="1" ht="25.5" hidden="1" customHeight="1" x14ac:dyDescent="0.3">
      <c r="E167" s="83" t="s">
        <v>366</v>
      </c>
      <c r="F167" s="83" t="s">
        <v>173</v>
      </c>
      <c r="G167" s="83" t="s">
        <v>406</v>
      </c>
    </row>
    <row r="168" spans="1:8" s="82" customFormat="1" ht="25.5" hidden="1" customHeight="1" x14ac:dyDescent="0.3">
      <c r="E168" s="83" t="s">
        <v>366</v>
      </c>
      <c r="F168" s="83" t="s">
        <v>173</v>
      </c>
      <c r="G168" s="83" t="s">
        <v>454</v>
      </c>
    </row>
    <row r="169" spans="1:8" s="82" customFormat="1" ht="25.5" hidden="1" customHeight="1" x14ac:dyDescent="0.3">
      <c r="E169" s="83" t="s">
        <v>366</v>
      </c>
      <c r="F169" s="83" t="s">
        <v>366</v>
      </c>
      <c r="G169" s="83" t="s">
        <v>367</v>
      </c>
    </row>
    <row r="170" spans="1:8" s="82" customFormat="1" ht="25.5" hidden="1" customHeight="1" x14ac:dyDescent="0.3">
      <c r="E170" s="83" t="s">
        <v>366</v>
      </c>
      <c r="F170" s="83" t="s">
        <v>366</v>
      </c>
      <c r="G170" s="83" t="s">
        <v>368</v>
      </c>
    </row>
    <row r="171" spans="1:8" s="82" customFormat="1" ht="25.5" hidden="1" customHeight="1" x14ac:dyDescent="0.3">
      <c r="E171" s="83" t="s">
        <v>366</v>
      </c>
      <c r="F171" s="83" t="s">
        <v>366</v>
      </c>
      <c r="G171" s="83" t="s">
        <v>369</v>
      </c>
    </row>
    <row r="172" spans="1:8" s="82" customFormat="1" ht="25.5" hidden="1" customHeight="1" x14ac:dyDescent="0.3">
      <c r="E172" s="83" t="s">
        <v>366</v>
      </c>
      <c r="F172" s="83" t="s">
        <v>366</v>
      </c>
      <c r="G172" s="83" t="s">
        <v>183</v>
      </c>
    </row>
    <row r="173" spans="1:8" s="82" customFormat="1" ht="25.5" hidden="1" customHeight="1" x14ac:dyDescent="0.3">
      <c r="E173" s="83" t="s">
        <v>366</v>
      </c>
      <c r="F173" s="83" t="s">
        <v>366</v>
      </c>
      <c r="G173" s="83" t="s">
        <v>184</v>
      </c>
    </row>
    <row r="174" spans="1:8" s="82" customFormat="1" ht="25.5" hidden="1" customHeight="1" x14ac:dyDescent="0.3">
      <c r="E174" s="83" t="s">
        <v>366</v>
      </c>
      <c r="F174" s="83" t="s">
        <v>366</v>
      </c>
      <c r="G174" s="83" t="s">
        <v>650</v>
      </c>
    </row>
    <row r="175" spans="1:8" s="82" customFormat="1" ht="25.5" hidden="1" customHeight="1" x14ac:dyDescent="0.3">
      <c r="E175" s="83" t="s">
        <v>366</v>
      </c>
      <c r="F175" s="83" t="s">
        <v>366</v>
      </c>
      <c r="G175" s="83" t="s">
        <v>589</v>
      </c>
    </row>
    <row r="176" spans="1:8" s="82" customFormat="1" ht="25.5" hidden="1" customHeight="1" x14ac:dyDescent="0.3">
      <c r="E176" s="83" t="s">
        <v>366</v>
      </c>
      <c r="F176" s="83" t="s">
        <v>366</v>
      </c>
      <c r="G176" s="83" t="s">
        <v>590</v>
      </c>
    </row>
    <row r="177" spans="5:7" s="82" customFormat="1" ht="25.5" hidden="1" customHeight="1" x14ac:dyDescent="0.3">
      <c r="E177" s="83" t="s">
        <v>366</v>
      </c>
      <c r="F177" s="83" t="s">
        <v>366</v>
      </c>
      <c r="G177" s="83" t="s">
        <v>370</v>
      </c>
    </row>
    <row r="178" spans="5:7" s="82" customFormat="1" ht="25.5" hidden="1" customHeight="1" x14ac:dyDescent="0.3">
      <c r="E178" s="83" t="s">
        <v>366</v>
      </c>
      <c r="F178" s="83" t="s">
        <v>366</v>
      </c>
      <c r="G178" s="83" t="s">
        <v>371</v>
      </c>
    </row>
    <row r="179" spans="5:7" s="82" customFormat="1" ht="25.5" hidden="1" customHeight="1" x14ac:dyDescent="0.3">
      <c r="E179" s="83" t="s">
        <v>366</v>
      </c>
      <c r="F179" s="83" t="s">
        <v>366</v>
      </c>
      <c r="G179" s="83" t="s">
        <v>741</v>
      </c>
    </row>
    <row r="180" spans="5:7" s="82" customFormat="1" ht="25.5" hidden="1" customHeight="1" x14ac:dyDescent="0.3">
      <c r="E180" s="83" t="s">
        <v>366</v>
      </c>
      <c r="F180" s="83" t="s">
        <v>366</v>
      </c>
      <c r="G180" s="83" t="s">
        <v>740</v>
      </c>
    </row>
    <row r="181" spans="5:7" s="82" customFormat="1" ht="25.5" hidden="1" customHeight="1" x14ac:dyDescent="0.3">
      <c r="E181" s="83" t="s">
        <v>366</v>
      </c>
      <c r="F181" s="83" t="s">
        <v>366</v>
      </c>
      <c r="G181" s="83" t="s">
        <v>372</v>
      </c>
    </row>
    <row r="182" spans="5:7" s="82" customFormat="1" ht="25.5" hidden="1" customHeight="1" x14ac:dyDescent="0.3">
      <c r="E182" s="83" t="s">
        <v>366</v>
      </c>
      <c r="F182" s="83" t="s">
        <v>366</v>
      </c>
      <c r="G182" s="83" t="s">
        <v>373</v>
      </c>
    </row>
    <row r="183" spans="5:7" s="82" customFormat="1" ht="25.5" hidden="1" customHeight="1" x14ac:dyDescent="0.3">
      <c r="E183" s="83" t="s">
        <v>366</v>
      </c>
      <c r="F183" s="83" t="s">
        <v>366</v>
      </c>
      <c r="G183" s="83" t="s">
        <v>382</v>
      </c>
    </row>
    <row r="184" spans="5:7" s="82" customFormat="1" ht="25.5" hidden="1" customHeight="1" x14ac:dyDescent="0.3">
      <c r="E184" s="83" t="s">
        <v>366</v>
      </c>
      <c r="F184" s="83" t="s">
        <v>366</v>
      </c>
      <c r="G184" s="83" t="s">
        <v>383</v>
      </c>
    </row>
    <row r="185" spans="5:7" s="82" customFormat="1" ht="25.5" hidden="1" customHeight="1" x14ac:dyDescent="0.3">
      <c r="E185" s="83" t="s">
        <v>366</v>
      </c>
      <c r="F185" s="83" t="s">
        <v>366</v>
      </c>
      <c r="G185" s="83" t="s">
        <v>709</v>
      </c>
    </row>
    <row r="186" spans="5:7" s="82" customFormat="1" ht="25.5" hidden="1" customHeight="1" x14ac:dyDescent="0.3">
      <c r="E186" s="83" t="s">
        <v>366</v>
      </c>
      <c r="F186" s="83" t="s">
        <v>366</v>
      </c>
      <c r="G186" s="83" t="s">
        <v>384</v>
      </c>
    </row>
    <row r="187" spans="5:7" s="82" customFormat="1" ht="25.5" hidden="1" customHeight="1" x14ac:dyDescent="0.3">
      <c r="E187" s="83" t="s">
        <v>366</v>
      </c>
      <c r="F187" s="83" t="s">
        <v>366</v>
      </c>
      <c r="G187" s="83" t="s">
        <v>390</v>
      </c>
    </row>
    <row r="188" spans="5:7" s="82" customFormat="1" ht="25.5" hidden="1" customHeight="1" x14ac:dyDescent="0.3">
      <c r="E188" s="83" t="s">
        <v>366</v>
      </c>
      <c r="F188" s="83" t="s">
        <v>366</v>
      </c>
      <c r="G188" s="83" t="s">
        <v>405</v>
      </c>
    </row>
    <row r="189" spans="5:7" s="82" customFormat="1" ht="25.5" hidden="1" customHeight="1" x14ac:dyDescent="0.3">
      <c r="E189" s="83" t="s">
        <v>366</v>
      </c>
      <c r="F189" s="83" t="s">
        <v>366</v>
      </c>
      <c r="G189" s="83" t="s">
        <v>455</v>
      </c>
    </row>
    <row r="190" spans="5:7" s="82" customFormat="1" ht="25.5" hidden="1" customHeight="1" x14ac:dyDescent="0.3">
      <c r="E190" s="83" t="s">
        <v>366</v>
      </c>
      <c r="F190" s="83" t="s">
        <v>366</v>
      </c>
      <c r="G190" s="83" t="s">
        <v>456</v>
      </c>
    </row>
    <row r="191" spans="5:7" s="82" customFormat="1" ht="25.5" hidden="1" customHeight="1" x14ac:dyDescent="0.3">
      <c r="E191" s="83"/>
      <c r="F191" s="83"/>
      <c r="G191" s="83"/>
    </row>
    <row r="192" spans="5:7" s="82" customFormat="1" ht="25.5" hidden="1" customHeight="1" x14ac:dyDescent="0.3">
      <c r="E192" s="83"/>
      <c r="F192" s="83"/>
      <c r="G192" s="83"/>
    </row>
    <row r="193" spans="5:7" s="82" customFormat="1" ht="25.5" hidden="1" customHeight="1" x14ac:dyDescent="0.3">
      <c r="E193" s="83"/>
      <c r="F193" s="83"/>
      <c r="G193" s="83"/>
    </row>
    <row r="194" spans="5:7" s="82" customFormat="1" ht="25.5" hidden="1" customHeight="1" x14ac:dyDescent="0.3">
      <c r="E194" s="83"/>
      <c r="F194" s="83"/>
      <c r="G194" s="83"/>
    </row>
    <row r="195" spans="5:7" s="82" customFormat="1" ht="25.5" hidden="1" customHeight="1" x14ac:dyDescent="0.3">
      <c r="E195" s="83"/>
      <c r="F195" s="83"/>
      <c r="G195" s="83"/>
    </row>
    <row r="196" spans="5:7" s="82" customFormat="1" ht="25.5" hidden="1" customHeight="1" x14ac:dyDescent="0.3">
      <c r="E196" s="83"/>
      <c r="F196" s="83"/>
      <c r="G196" s="83"/>
    </row>
    <row r="197" spans="5:7" s="82" customFormat="1" ht="25.5" hidden="1" customHeight="1" x14ac:dyDescent="0.3">
      <c r="E197" s="83" t="s">
        <v>366</v>
      </c>
      <c r="F197" s="83" t="s">
        <v>98</v>
      </c>
      <c r="G197" s="83" t="s">
        <v>174</v>
      </c>
    </row>
    <row r="198" spans="5:7" s="82" customFormat="1" ht="25.5" hidden="1" customHeight="1" x14ac:dyDescent="0.3">
      <c r="E198" s="83" t="s">
        <v>366</v>
      </c>
      <c r="F198" s="83" t="s">
        <v>98</v>
      </c>
      <c r="G198" s="83" t="s">
        <v>651</v>
      </c>
    </row>
    <row r="199" spans="5:7" s="82" customFormat="1" ht="25.5" hidden="1" customHeight="1" x14ac:dyDescent="0.3">
      <c r="E199" s="83" t="s">
        <v>366</v>
      </c>
      <c r="F199" s="83" t="s">
        <v>98</v>
      </c>
      <c r="G199" s="83" t="s">
        <v>539</v>
      </c>
    </row>
    <row r="200" spans="5:7" s="82" customFormat="1" ht="25.5" hidden="1" customHeight="1" x14ac:dyDescent="0.3">
      <c r="E200" s="83" t="s">
        <v>366</v>
      </c>
      <c r="F200" s="83" t="s">
        <v>175</v>
      </c>
      <c r="G200" s="83" t="s">
        <v>621</v>
      </c>
    </row>
    <row r="201" spans="5:7" s="82" customFormat="1" ht="25.5" hidden="1" customHeight="1" x14ac:dyDescent="0.3">
      <c r="E201" s="83" t="s">
        <v>366</v>
      </c>
      <c r="F201" s="83" t="s">
        <v>175</v>
      </c>
      <c r="G201" s="87" t="s">
        <v>321</v>
      </c>
    </row>
    <row r="202" spans="5:7" s="82" customFormat="1" ht="25.5" hidden="1" customHeight="1" x14ac:dyDescent="0.3">
      <c r="E202" s="83" t="s">
        <v>366</v>
      </c>
      <c r="F202" s="83" t="s">
        <v>98</v>
      </c>
      <c r="G202" s="83" t="s">
        <v>331</v>
      </c>
    </row>
    <row r="203" spans="5:7" s="82" customFormat="1" ht="25.5" hidden="1" customHeight="1" x14ac:dyDescent="0.3">
      <c r="E203" s="83" t="s">
        <v>366</v>
      </c>
      <c r="F203" s="83" t="s">
        <v>98</v>
      </c>
      <c r="G203" s="83" t="s">
        <v>407</v>
      </c>
    </row>
    <row r="204" spans="5:7" s="82" customFormat="1" ht="25.5" hidden="1" customHeight="1" x14ac:dyDescent="0.3">
      <c r="E204" s="83" t="s">
        <v>366</v>
      </c>
      <c r="F204" s="83" t="s">
        <v>98</v>
      </c>
      <c r="G204" s="83" t="s">
        <v>457</v>
      </c>
    </row>
    <row r="205" spans="5:7" s="82" customFormat="1" ht="25.5" hidden="1" customHeight="1" x14ac:dyDescent="0.3">
      <c r="E205" s="83" t="s">
        <v>366</v>
      </c>
      <c r="F205" s="83" t="s">
        <v>98</v>
      </c>
      <c r="G205" s="83" t="s">
        <v>458</v>
      </c>
    </row>
    <row r="206" spans="5:7" s="82" customFormat="1" ht="25.5" hidden="1" customHeight="1" x14ac:dyDescent="0.3">
      <c r="E206" s="83" t="s">
        <v>366</v>
      </c>
      <c r="F206" s="83" t="s">
        <v>98</v>
      </c>
      <c r="G206" s="83" t="s">
        <v>746</v>
      </c>
    </row>
    <row r="207" spans="5:7" s="82" customFormat="1" ht="25.5" hidden="1" customHeight="1" x14ac:dyDescent="0.3">
      <c r="E207" s="83" t="s">
        <v>366</v>
      </c>
      <c r="F207" s="83" t="s">
        <v>98</v>
      </c>
      <c r="G207" s="83" t="s">
        <v>459</v>
      </c>
    </row>
    <row r="208" spans="5:7" s="82" customFormat="1" ht="25.5" hidden="1" customHeight="1" x14ac:dyDescent="0.3">
      <c r="E208" s="83" t="s">
        <v>366</v>
      </c>
      <c r="F208" s="83" t="s">
        <v>98</v>
      </c>
      <c r="G208" s="83" t="s">
        <v>460</v>
      </c>
    </row>
    <row r="209" spans="5:7" s="82" customFormat="1" ht="25.5" hidden="1" customHeight="1" x14ac:dyDescent="0.3">
      <c r="E209" s="83" t="s">
        <v>366</v>
      </c>
      <c r="F209" s="83" t="s">
        <v>98</v>
      </c>
      <c r="G209" s="83" t="s">
        <v>461</v>
      </c>
    </row>
    <row r="210" spans="5:7" s="82" customFormat="1" ht="25.5" hidden="1" customHeight="1" x14ac:dyDescent="0.3">
      <c r="E210" s="83" t="s">
        <v>366</v>
      </c>
      <c r="F210" s="83" t="s">
        <v>98</v>
      </c>
      <c r="G210" s="83" t="s">
        <v>462</v>
      </c>
    </row>
    <row r="211" spans="5:7" s="82" customFormat="1" ht="25.5" hidden="1" customHeight="1" x14ac:dyDescent="0.3">
      <c r="E211" s="83" t="s">
        <v>366</v>
      </c>
      <c r="F211" s="83" t="s">
        <v>98</v>
      </c>
      <c r="G211" s="83" t="s">
        <v>463</v>
      </c>
    </row>
    <row r="212" spans="5:7" s="82" customFormat="1" ht="25.5" hidden="1" customHeight="1" x14ac:dyDescent="0.3">
      <c r="E212" s="83"/>
      <c r="F212" s="83"/>
      <c r="G212" s="83"/>
    </row>
    <row r="213" spans="5:7" s="82" customFormat="1" ht="25.5" hidden="1" customHeight="1" x14ac:dyDescent="0.3">
      <c r="E213" s="83" t="s">
        <v>366</v>
      </c>
      <c r="F213" s="83" t="s">
        <v>176</v>
      </c>
      <c r="G213" s="83" t="s">
        <v>540</v>
      </c>
    </row>
    <row r="214" spans="5:7" s="82" customFormat="1" ht="25.5" hidden="1" customHeight="1" x14ac:dyDescent="0.3">
      <c r="E214" s="83" t="s">
        <v>366</v>
      </c>
      <c r="F214" s="83" t="s">
        <v>176</v>
      </c>
      <c r="G214" s="83" t="s">
        <v>541</v>
      </c>
    </row>
    <row r="215" spans="5:7" s="82" customFormat="1" ht="25.5" hidden="1" customHeight="1" x14ac:dyDescent="0.3">
      <c r="E215" s="83" t="s">
        <v>366</v>
      </c>
      <c r="F215" s="83" t="s">
        <v>177</v>
      </c>
      <c r="G215" s="83" t="s">
        <v>622</v>
      </c>
    </row>
    <row r="216" spans="5:7" s="82" customFormat="1" ht="25.5" hidden="1" customHeight="1" x14ac:dyDescent="0.3">
      <c r="E216" s="83" t="s">
        <v>366</v>
      </c>
      <c r="F216" s="83" t="s">
        <v>185</v>
      </c>
      <c r="G216" s="83" t="s">
        <v>652</v>
      </c>
    </row>
    <row r="217" spans="5:7" s="82" customFormat="1" ht="25.5" hidden="1" customHeight="1" x14ac:dyDescent="0.3">
      <c r="E217" s="83" t="s">
        <v>366</v>
      </c>
      <c r="F217" s="83" t="s">
        <v>185</v>
      </c>
      <c r="G217" s="83" t="s">
        <v>811</v>
      </c>
    </row>
    <row r="218" spans="5:7" s="82" customFormat="1" ht="25.5" hidden="1" customHeight="1" x14ac:dyDescent="0.3">
      <c r="E218" s="83" t="s">
        <v>366</v>
      </c>
      <c r="F218" s="83" t="s">
        <v>185</v>
      </c>
      <c r="G218" s="83" t="s">
        <v>812</v>
      </c>
    </row>
    <row r="219" spans="5:7" s="82" customFormat="1" ht="25.5" hidden="1" customHeight="1" x14ac:dyDescent="0.3">
      <c r="E219" s="83" t="s">
        <v>366</v>
      </c>
      <c r="F219" s="83" t="s">
        <v>185</v>
      </c>
      <c r="G219" s="88" t="s">
        <v>674</v>
      </c>
    </row>
    <row r="220" spans="5:7" s="82" customFormat="1" ht="25.5" hidden="1" customHeight="1" x14ac:dyDescent="0.3">
      <c r="E220" s="83" t="s">
        <v>366</v>
      </c>
      <c r="F220" s="83" t="s">
        <v>185</v>
      </c>
      <c r="G220" s="88" t="s">
        <v>675</v>
      </c>
    </row>
    <row r="221" spans="5:7" s="82" customFormat="1" ht="25.5" hidden="1" customHeight="1" x14ac:dyDescent="0.3">
      <c r="E221" s="83" t="s">
        <v>366</v>
      </c>
      <c r="F221" s="83" t="s">
        <v>176</v>
      </c>
      <c r="G221" s="87" t="s">
        <v>329</v>
      </c>
    </row>
    <row r="222" spans="5:7" s="82" customFormat="1" ht="25.5" hidden="1" customHeight="1" x14ac:dyDescent="0.3">
      <c r="E222" s="83"/>
      <c r="F222" s="83"/>
      <c r="G222" s="87"/>
    </row>
    <row r="223" spans="5:7" s="82" customFormat="1" ht="25.5" hidden="1" customHeight="1" x14ac:dyDescent="0.3">
      <c r="E223" s="83"/>
      <c r="F223" s="83"/>
      <c r="G223" s="88"/>
    </row>
    <row r="224" spans="5:7" s="82" customFormat="1" ht="25.5" hidden="1" customHeight="1" x14ac:dyDescent="0.3">
      <c r="E224" s="83"/>
      <c r="F224" s="83"/>
      <c r="G224" s="83"/>
    </row>
    <row r="225" spans="5:7" s="82" customFormat="1" ht="25.5" hidden="1" customHeight="1" x14ac:dyDescent="0.3">
      <c r="E225" s="83" t="s">
        <v>366</v>
      </c>
      <c r="F225" s="83" t="s">
        <v>139</v>
      </c>
      <c r="G225" s="83" t="s">
        <v>623</v>
      </c>
    </row>
    <row r="226" spans="5:7" s="82" customFormat="1" ht="25.5" hidden="1" customHeight="1" x14ac:dyDescent="0.3">
      <c r="E226" s="83" t="s">
        <v>366</v>
      </c>
      <c r="F226" s="83" t="s">
        <v>139</v>
      </c>
      <c r="G226" s="83" t="s">
        <v>742</v>
      </c>
    </row>
    <row r="227" spans="5:7" s="82" customFormat="1" ht="25.5" hidden="1" customHeight="1" x14ac:dyDescent="0.3">
      <c r="E227" s="83" t="s">
        <v>366</v>
      </c>
      <c r="F227" s="83" t="s">
        <v>139</v>
      </c>
      <c r="G227" s="83" t="s">
        <v>542</v>
      </c>
    </row>
    <row r="228" spans="5:7" s="82" customFormat="1" ht="25.5" hidden="1" customHeight="1" x14ac:dyDescent="0.3">
      <c r="E228" s="83" t="s">
        <v>366</v>
      </c>
      <c r="F228" s="83" t="s">
        <v>139</v>
      </c>
      <c r="G228" s="83" t="s">
        <v>375</v>
      </c>
    </row>
    <row r="229" spans="5:7" s="82" customFormat="1" ht="25.5" hidden="1" customHeight="1" x14ac:dyDescent="0.3">
      <c r="E229" s="83" t="s">
        <v>366</v>
      </c>
      <c r="F229" s="83" t="s">
        <v>139</v>
      </c>
      <c r="G229" s="83" t="s">
        <v>591</v>
      </c>
    </row>
    <row r="230" spans="5:7" s="82" customFormat="1" ht="25.5" hidden="1" customHeight="1" x14ac:dyDescent="0.3">
      <c r="E230" s="83"/>
      <c r="F230" s="83"/>
      <c r="G230" s="83"/>
    </row>
    <row r="231" spans="5:7" s="82" customFormat="1" ht="25.5" hidden="1" customHeight="1" x14ac:dyDescent="0.3">
      <c r="E231" s="83" t="s">
        <v>366</v>
      </c>
      <c r="F231" s="83" t="s">
        <v>140</v>
      </c>
      <c r="G231" s="83" t="s">
        <v>178</v>
      </c>
    </row>
    <row r="232" spans="5:7" s="82" customFormat="1" ht="25.5" hidden="1" customHeight="1" x14ac:dyDescent="0.3">
      <c r="E232" s="83" t="s">
        <v>366</v>
      </c>
      <c r="F232" s="83" t="s">
        <v>140</v>
      </c>
      <c r="G232" s="83" t="s">
        <v>376</v>
      </c>
    </row>
    <row r="233" spans="5:7" s="82" customFormat="1" ht="25.5" hidden="1" customHeight="1" x14ac:dyDescent="0.3">
      <c r="E233" s="83" t="s">
        <v>366</v>
      </c>
      <c r="F233" s="83" t="s">
        <v>140</v>
      </c>
      <c r="G233" s="83" t="s">
        <v>592</v>
      </c>
    </row>
    <row r="234" spans="5:7" s="82" customFormat="1" ht="25.5" hidden="1" customHeight="1" x14ac:dyDescent="0.3">
      <c r="E234" s="83"/>
      <c r="F234" s="83"/>
      <c r="G234" s="83"/>
    </row>
    <row r="235" spans="5:7" s="82" customFormat="1" ht="25.5" hidden="1" customHeight="1" x14ac:dyDescent="0.3">
      <c r="E235" s="83" t="s">
        <v>366</v>
      </c>
      <c r="F235" s="83" t="s">
        <v>179</v>
      </c>
      <c r="G235" s="83" t="s">
        <v>180</v>
      </c>
    </row>
    <row r="236" spans="5:7" s="82" customFormat="1" ht="25.5" hidden="1" customHeight="1" x14ac:dyDescent="0.3">
      <c r="E236" s="83" t="s">
        <v>366</v>
      </c>
      <c r="F236" s="83" t="s">
        <v>179</v>
      </c>
      <c r="G236" s="83" t="s">
        <v>330</v>
      </c>
    </row>
    <row r="237" spans="5:7" s="82" customFormat="1" ht="25.5" hidden="1" customHeight="1" x14ac:dyDescent="0.3">
      <c r="E237" s="83" t="s">
        <v>366</v>
      </c>
      <c r="F237" s="83" t="s">
        <v>179</v>
      </c>
      <c r="G237" s="83" t="s">
        <v>543</v>
      </c>
    </row>
    <row r="238" spans="5:7" s="82" customFormat="1" ht="25.5" hidden="1" customHeight="1" x14ac:dyDescent="0.3">
      <c r="E238" s="83" t="s">
        <v>366</v>
      </c>
      <c r="F238" s="83" t="s">
        <v>179</v>
      </c>
      <c r="G238" s="83" t="s">
        <v>377</v>
      </c>
    </row>
    <row r="239" spans="5:7" s="82" customFormat="1" ht="25.5" hidden="1" customHeight="1" x14ac:dyDescent="0.3">
      <c r="E239" s="83" t="s">
        <v>366</v>
      </c>
      <c r="F239" s="83" t="s">
        <v>179</v>
      </c>
      <c r="G239" s="83" t="s">
        <v>593</v>
      </c>
    </row>
    <row r="240" spans="5:7" s="82" customFormat="1" ht="25.5" hidden="1" customHeight="1" x14ac:dyDescent="0.3">
      <c r="E240" s="83" t="s">
        <v>366</v>
      </c>
      <c r="F240" s="83" t="s">
        <v>179</v>
      </c>
      <c r="G240" s="83" t="s">
        <v>408</v>
      </c>
    </row>
    <row r="241" spans="5:7" s="82" customFormat="1" ht="25.5" hidden="1" customHeight="1" x14ac:dyDescent="0.3">
      <c r="E241" s="83" t="s">
        <v>366</v>
      </c>
      <c r="F241" s="83" t="s">
        <v>181</v>
      </c>
      <c r="G241" s="83" t="s">
        <v>624</v>
      </c>
    </row>
    <row r="242" spans="5:7" s="82" customFormat="1" ht="25.5" hidden="1" customHeight="1" x14ac:dyDescent="0.3">
      <c r="E242" s="83" t="s">
        <v>366</v>
      </c>
      <c r="F242" s="83" t="s">
        <v>186</v>
      </c>
      <c r="G242" s="83" t="s">
        <v>653</v>
      </c>
    </row>
    <row r="243" spans="5:7" s="82" customFormat="1" ht="25.5" hidden="1" customHeight="1" x14ac:dyDescent="0.3">
      <c r="E243" s="83" t="s">
        <v>366</v>
      </c>
      <c r="F243" s="83" t="s">
        <v>186</v>
      </c>
      <c r="G243" s="83" t="s">
        <v>378</v>
      </c>
    </row>
    <row r="244" spans="5:7" s="82" customFormat="1" ht="25.5" hidden="1" customHeight="1" x14ac:dyDescent="0.3">
      <c r="E244" s="83" t="s">
        <v>366</v>
      </c>
      <c r="F244" s="83" t="s">
        <v>186</v>
      </c>
      <c r="G244" s="83" t="s">
        <v>379</v>
      </c>
    </row>
    <row r="245" spans="5:7" s="82" customFormat="1" ht="25.5" hidden="1" customHeight="1" x14ac:dyDescent="0.3">
      <c r="E245" s="83" t="s">
        <v>366</v>
      </c>
      <c r="F245" s="83" t="s">
        <v>186</v>
      </c>
      <c r="G245" s="83" t="s">
        <v>380</v>
      </c>
    </row>
    <row r="246" spans="5:7" s="82" customFormat="1" ht="25.5" hidden="1" customHeight="1" x14ac:dyDescent="0.3">
      <c r="E246" s="83" t="s">
        <v>366</v>
      </c>
      <c r="F246" s="83" t="s">
        <v>186</v>
      </c>
      <c r="G246" s="83" t="s">
        <v>409</v>
      </c>
    </row>
    <row r="247" spans="5:7" s="82" customFormat="1" ht="25.5" hidden="1" customHeight="1" x14ac:dyDescent="0.3">
      <c r="E247" s="83" t="s">
        <v>366</v>
      </c>
      <c r="F247" s="83" t="s">
        <v>186</v>
      </c>
      <c r="G247" s="83" t="s">
        <v>511</v>
      </c>
    </row>
    <row r="248" spans="5:7" s="82" customFormat="1" ht="25.5" hidden="1" customHeight="1" x14ac:dyDescent="0.3">
      <c r="E248" s="83" t="s">
        <v>366</v>
      </c>
      <c r="F248" s="83" t="s">
        <v>186</v>
      </c>
      <c r="G248" s="83" t="s">
        <v>673</v>
      </c>
    </row>
    <row r="249" spans="5:7" s="82" customFormat="1" ht="25.5" hidden="1" customHeight="1" x14ac:dyDescent="0.3">
      <c r="E249" s="83"/>
      <c r="F249" s="83"/>
      <c r="G249" s="83"/>
    </row>
    <row r="250" spans="5:7" s="82" customFormat="1" ht="25.5" hidden="1" customHeight="1" x14ac:dyDescent="0.3">
      <c r="E250" s="83" t="s">
        <v>366</v>
      </c>
      <c r="F250" s="83" t="s">
        <v>182</v>
      </c>
      <c r="G250" s="83" t="s">
        <v>625</v>
      </c>
    </row>
    <row r="251" spans="5:7" s="82" customFormat="1" ht="25.5" hidden="1" customHeight="1" x14ac:dyDescent="0.3">
      <c r="E251" s="83" t="s">
        <v>366</v>
      </c>
      <c r="F251" s="83" t="s">
        <v>182</v>
      </c>
      <c r="G251" s="83" t="s">
        <v>381</v>
      </c>
    </row>
    <row r="252" spans="5:7" s="82" customFormat="1" ht="25.5" hidden="1" customHeight="1" x14ac:dyDescent="0.3">
      <c r="E252" s="83"/>
      <c r="F252" s="83"/>
      <c r="G252" s="83"/>
    </row>
    <row r="253" spans="5:7" s="82" customFormat="1" ht="25.5" hidden="1" customHeight="1" x14ac:dyDescent="0.3">
      <c r="E253" s="83"/>
      <c r="F253" s="83"/>
      <c r="G253" s="83"/>
    </row>
    <row r="254" spans="5:7" s="82" customFormat="1" ht="25.5" hidden="1" customHeight="1" x14ac:dyDescent="0.3">
      <c r="E254" s="83" t="s">
        <v>106</v>
      </c>
      <c r="F254" s="83" t="s">
        <v>187</v>
      </c>
      <c r="G254" s="83" t="s">
        <v>279</v>
      </c>
    </row>
    <row r="255" spans="5:7" s="82" customFormat="1" ht="25.5" hidden="1" customHeight="1" x14ac:dyDescent="0.3">
      <c r="E255" s="83" t="s">
        <v>106</v>
      </c>
      <c r="F255" s="83" t="s">
        <v>187</v>
      </c>
      <c r="G255" s="83" t="s">
        <v>115</v>
      </c>
    </row>
    <row r="256" spans="5:7" s="82" customFormat="1" ht="25.5" hidden="1" customHeight="1" x14ac:dyDescent="0.3">
      <c r="E256" s="83" t="s">
        <v>106</v>
      </c>
      <c r="F256" s="83" t="s">
        <v>187</v>
      </c>
      <c r="G256" s="83" t="s">
        <v>116</v>
      </c>
    </row>
    <row r="257" spans="5:7" s="82" customFormat="1" ht="25.5" hidden="1" customHeight="1" x14ac:dyDescent="0.3">
      <c r="E257" s="83" t="s">
        <v>106</v>
      </c>
      <c r="F257" s="83" t="s">
        <v>106</v>
      </c>
      <c r="G257" s="83" t="s">
        <v>188</v>
      </c>
    </row>
    <row r="258" spans="5:7" s="82" customFormat="1" ht="25.5" hidden="1" customHeight="1" x14ac:dyDescent="0.3">
      <c r="E258" s="83" t="s">
        <v>106</v>
      </c>
      <c r="F258" s="83" t="s">
        <v>106</v>
      </c>
      <c r="G258" s="83" t="s">
        <v>189</v>
      </c>
    </row>
    <row r="259" spans="5:7" s="82" customFormat="1" ht="25.5" hidden="1" customHeight="1" x14ac:dyDescent="0.3">
      <c r="E259" s="83" t="s">
        <v>106</v>
      </c>
      <c r="F259" s="83" t="s">
        <v>106</v>
      </c>
      <c r="G259" s="83" t="s">
        <v>190</v>
      </c>
    </row>
    <row r="260" spans="5:7" s="82" customFormat="1" ht="25.5" hidden="1" customHeight="1" x14ac:dyDescent="0.3">
      <c r="E260" s="83" t="s">
        <v>106</v>
      </c>
      <c r="F260" s="83" t="s">
        <v>106</v>
      </c>
      <c r="G260" s="83" t="s">
        <v>191</v>
      </c>
    </row>
    <row r="261" spans="5:7" s="82" customFormat="1" ht="25.5" hidden="1" customHeight="1" x14ac:dyDescent="0.3">
      <c r="E261" s="83" t="s">
        <v>106</v>
      </c>
      <c r="F261" s="83" t="s">
        <v>106</v>
      </c>
      <c r="G261" s="83" t="s">
        <v>192</v>
      </c>
    </row>
    <row r="262" spans="5:7" s="82" customFormat="1" ht="25.5" hidden="1" customHeight="1" x14ac:dyDescent="0.3">
      <c r="E262" s="83" t="s">
        <v>106</v>
      </c>
      <c r="F262" s="83" t="s">
        <v>106</v>
      </c>
      <c r="G262" s="83" t="s">
        <v>654</v>
      </c>
    </row>
    <row r="263" spans="5:7" s="82" customFormat="1" ht="25.5" hidden="1" customHeight="1" x14ac:dyDescent="0.3">
      <c r="E263" s="83" t="s">
        <v>106</v>
      </c>
      <c r="F263" s="83" t="s">
        <v>106</v>
      </c>
      <c r="G263" s="83" t="s">
        <v>655</v>
      </c>
    </row>
    <row r="264" spans="5:7" s="82" customFormat="1" ht="25.5" hidden="1" customHeight="1" x14ac:dyDescent="0.3">
      <c r="E264" s="83" t="s">
        <v>106</v>
      </c>
      <c r="F264" s="83" t="s">
        <v>187</v>
      </c>
      <c r="G264" s="83" t="s">
        <v>656</v>
      </c>
    </row>
    <row r="265" spans="5:7" s="82" customFormat="1" ht="25.5" hidden="1" customHeight="1" x14ac:dyDescent="0.3">
      <c r="E265" s="83" t="s">
        <v>106</v>
      </c>
      <c r="F265" s="83" t="s">
        <v>187</v>
      </c>
      <c r="G265" s="83" t="s">
        <v>657</v>
      </c>
    </row>
    <row r="266" spans="5:7" s="82" customFormat="1" ht="25.5" hidden="1" customHeight="1" x14ac:dyDescent="0.3">
      <c r="E266" s="83" t="s">
        <v>106</v>
      </c>
      <c r="F266" s="83" t="s">
        <v>187</v>
      </c>
      <c r="G266" s="83" t="s">
        <v>658</v>
      </c>
    </row>
    <row r="267" spans="5:7" s="82" customFormat="1" ht="25.5" hidden="1" customHeight="1" x14ac:dyDescent="0.3">
      <c r="E267" s="83" t="s">
        <v>106</v>
      </c>
      <c r="F267" s="83" t="s">
        <v>193</v>
      </c>
      <c r="G267" s="83" t="s">
        <v>194</v>
      </c>
    </row>
    <row r="268" spans="5:7" s="82" customFormat="1" ht="25.5" hidden="1" customHeight="1" x14ac:dyDescent="0.25">
      <c r="E268" s="82" t="s">
        <v>106</v>
      </c>
      <c r="F268" s="82" t="s">
        <v>193</v>
      </c>
      <c r="G268" s="82" t="s">
        <v>105</v>
      </c>
    </row>
    <row r="269" spans="5:7" s="82" customFormat="1" ht="25.5" hidden="1" customHeight="1" x14ac:dyDescent="0.25">
      <c r="E269" s="82" t="s">
        <v>106</v>
      </c>
      <c r="F269" s="82" t="s">
        <v>193</v>
      </c>
      <c r="G269" s="82" t="s">
        <v>195</v>
      </c>
    </row>
    <row r="270" spans="5:7" s="82" customFormat="1" ht="25.5" hidden="1" customHeight="1" x14ac:dyDescent="0.25">
      <c r="E270" s="82" t="s">
        <v>106</v>
      </c>
      <c r="F270" s="82" t="s">
        <v>193</v>
      </c>
      <c r="G270" s="82" t="s">
        <v>196</v>
      </c>
    </row>
    <row r="271" spans="5:7" s="82" customFormat="1" ht="25.5" hidden="1" customHeight="1" x14ac:dyDescent="0.25">
      <c r="E271" s="82" t="s">
        <v>106</v>
      </c>
      <c r="F271" s="82" t="s">
        <v>193</v>
      </c>
      <c r="G271" s="82" t="s">
        <v>197</v>
      </c>
    </row>
    <row r="272" spans="5:7" s="82" customFormat="1" ht="25.5" hidden="1" customHeight="1" x14ac:dyDescent="0.25">
      <c r="E272" s="82" t="s">
        <v>106</v>
      </c>
      <c r="F272" s="82" t="s">
        <v>193</v>
      </c>
      <c r="G272" s="82" t="s">
        <v>626</v>
      </c>
    </row>
    <row r="273" spans="5:7" s="82" customFormat="1" ht="25.5" hidden="1" customHeight="1" x14ac:dyDescent="0.25">
      <c r="E273" s="82" t="s">
        <v>106</v>
      </c>
      <c r="F273" s="82" t="s">
        <v>193</v>
      </c>
      <c r="G273" s="82" t="s">
        <v>198</v>
      </c>
    </row>
    <row r="274" spans="5:7" s="82" customFormat="1" ht="25.5" hidden="1" customHeight="1" x14ac:dyDescent="0.25">
      <c r="E274" s="82" t="s">
        <v>106</v>
      </c>
      <c r="F274" s="82" t="s">
        <v>193</v>
      </c>
      <c r="G274" s="82" t="s">
        <v>107</v>
      </c>
    </row>
    <row r="275" spans="5:7" s="82" customFormat="1" ht="25.5" hidden="1" customHeight="1" x14ac:dyDescent="0.3">
      <c r="E275" s="82" t="s">
        <v>106</v>
      </c>
      <c r="F275" s="82" t="s">
        <v>193</v>
      </c>
      <c r="G275" s="83" t="s">
        <v>306</v>
      </c>
    </row>
    <row r="276" spans="5:7" s="82" customFormat="1" ht="25.5" hidden="1" customHeight="1" x14ac:dyDescent="0.25">
      <c r="E276" s="82" t="s">
        <v>106</v>
      </c>
      <c r="F276" s="82" t="s">
        <v>106</v>
      </c>
      <c r="G276" s="82" t="s">
        <v>307</v>
      </c>
    </row>
    <row r="277" spans="5:7" s="82" customFormat="1" ht="25.5" hidden="1" customHeight="1" x14ac:dyDescent="0.25">
      <c r="E277" s="82" t="s">
        <v>106</v>
      </c>
      <c r="F277" s="82" t="s">
        <v>106</v>
      </c>
      <c r="G277" s="82" t="s">
        <v>309</v>
      </c>
    </row>
    <row r="278" spans="5:7" s="82" customFormat="1" ht="25.5" hidden="1" customHeight="1" x14ac:dyDescent="0.25">
      <c r="E278" s="82" t="s">
        <v>106</v>
      </c>
      <c r="F278" s="82" t="s">
        <v>106</v>
      </c>
      <c r="G278" s="82" t="s">
        <v>310</v>
      </c>
    </row>
    <row r="279" spans="5:7" s="82" customFormat="1" ht="25.5" hidden="1" customHeight="1" x14ac:dyDescent="0.25">
      <c r="E279" s="82" t="s">
        <v>106</v>
      </c>
      <c r="F279" s="82" t="s">
        <v>106</v>
      </c>
      <c r="G279" s="82" t="s">
        <v>594</v>
      </c>
    </row>
    <row r="280" spans="5:7" s="82" customFormat="1" ht="25.5" hidden="1" customHeight="1" x14ac:dyDescent="0.25">
      <c r="E280" s="82" t="s">
        <v>106</v>
      </c>
      <c r="F280" s="82" t="s">
        <v>106</v>
      </c>
      <c r="G280" s="82" t="s">
        <v>595</v>
      </c>
    </row>
    <row r="281" spans="5:7" s="82" customFormat="1" ht="25.5" hidden="1" customHeight="1" x14ac:dyDescent="0.25">
      <c r="E281" s="82" t="s">
        <v>106</v>
      </c>
      <c r="F281" s="82" t="s">
        <v>106</v>
      </c>
      <c r="G281" s="82" t="s">
        <v>313</v>
      </c>
    </row>
    <row r="282" spans="5:7" s="82" customFormat="1" ht="25.5" hidden="1" customHeight="1" x14ac:dyDescent="0.25">
      <c r="E282" s="82" t="s">
        <v>106</v>
      </c>
      <c r="F282" s="82" t="s">
        <v>106</v>
      </c>
      <c r="G282" s="82" t="s">
        <v>596</v>
      </c>
    </row>
    <row r="283" spans="5:7" s="82" customFormat="1" ht="25.5" hidden="1" customHeight="1" x14ac:dyDescent="0.25">
      <c r="E283" s="82" t="s">
        <v>106</v>
      </c>
      <c r="F283" s="82" t="s">
        <v>106</v>
      </c>
      <c r="G283" s="82" t="s">
        <v>315</v>
      </c>
    </row>
    <row r="284" spans="5:7" s="82" customFormat="1" ht="25.5" hidden="1" customHeight="1" x14ac:dyDescent="0.25">
      <c r="E284" s="82" t="s">
        <v>106</v>
      </c>
      <c r="F284" s="82" t="s">
        <v>106</v>
      </c>
      <c r="G284" s="82" t="s">
        <v>316</v>
      </c>
    </row>
    <row r="285" spans="5:7" s="82" customFormat="1" ht="25.5" hidden="1" customHeight="1" x14ac:dyDescent="0.25">
      <c r="E285" s="82" t="s">
        <v>106</v>
      </c>
      <c r="F285" s="82" t="s">
        <v>106</v>
      </c>
      <c r="G285" s="82" t="s">
        <v>314</v>
      </c>
    </row>
    <row r="286" spans="5:7" s="82" customFormat="1" ht="25.5" hidden="1" customHeight="1" x14ac:dyDescent="0.25">
      <c r="E286" s="82" t="s">
        <v>106</v>
      </c>
      <c r="F286" s="82" t="s">
        <v>106</v>
      </c>
      <c r="G286" s="88" t="s">
        <v>676</v>
      </c>
    </row>
    <row r="287" spans="5:7" s="82" customFormat="1" ht="25.5" hidden="1" customHeight="1" x14ac:dyDescent="0.25">
      <c r="E287" s="82" t="s">
        <v>106</v>
      </c>
      <c r="F287" s="82" t="s">
        <v>106</v>
      </c>
      <c r="G287" s="88" t="s">
        <v>677</v>
      </c>
    </row>
    <row r="288" spans="5:7" s="82" customFormat="1" ht="25.5" hidden="1" customHeight="1" x14ac:dyDescent="0.25">
      <c r="E288" s="82" t="s">
        <v>106</v>
      </c>
      <c r="F288" s="82" t="s">
        <v>106</v>
      </c>
      <c r="G288" s="87" t="s">
        <v>322</v>
      </c>
    </row>
    <row r="289" spans="5:7" s="82" customFormat="1" ht="25.5" hidden="1" customHeight="1" x14ac:dyDescent="0.25">
      <c r="E289" s="82" t="s">
        <v>106</v>
      </c>
      <c r="F289" s="82" t="s">
        <v>106</v>
      </c>
      <c r="G289" s="87" t="s">
        <v>334</v>
      </c>
    </row>
    <row r="290" spans="5:7" s="82" customFormat="1" ht="25.5" hidden="1" customHeight="1" x14ac:dyDescent="0.25">
      <c r="E290" s="82" t="s">
        <v>106</v>
      </c>
      <c r="F290" s="82" t="s">
        <v>106</v>
      </c>
      <c r="G290" s="82" t="s">
        <v>318</v>
      </c>
    </row>
    <row r="291" spans="5:7" s="82" customFormat="1" ht="25.5" hidden="1" customHeight="1" x14ac:dyDescent="0.25">
      <c r="E291" s="82" t="s">
        <v>106</v>
      </c>
      <c r="F291" s="82" t="s">
        <v>106</v>
      </c>
      <c r="G291" s="82" t="s">
        <v>751</v>
      </c>
    </row>
    <row r="292" spans="5:7" s="82" customFormat="1" ht="25.5" hidden="1" customHeight="1" x14ac:dyDescent="0.3">
      <c r="E292" s="82" t="s">
        <v>106</v>
      </c>
      <c r="F292" s="82" t="s">
        <v>106</v>
      </c>
      <c r="G292" s="30" t="s">
        <v>704</v>
      </c>
    </row>
    <row r="293" spans="5:7" s="82" customFormat="1" ht="25.5" hidden="1" customHeight="1" x14ac:dyDescent="0.25">
      <c r="E293" s="82" t="s">
        <v>106</v>
      </c>
      <c r="F293" s="82" t="s">
        <v>106</v>
      </c>
      <c r="G293" s="82" t="s">
        <v>706</v>
      </c>
    </row>
    <row r="294" spans="5:7" s="82" customFormat="1" ht="25.5" hidden="1" customHeight="1" x14ac:dyDescent="0.3">
      <c r="E294" s="82" t="s">
        <v>106</v>
      </c>
      <c r="F294" s="82" t="s">
        <v>106</v>
      </c>
      <c r="G294" s="30" t="s">
        <v>750</v>
      </c>
    </row>
    <row r="295" spans="5:7" s="82" customFormat="1" ht="25.5" hidden="1" customHeight="1" x14ac:dyDescent="0.3">
      <c r="E295" s="82" t="s">
        <v>106</v>
      </c>
      <c r="F295" s="82" t="s">
        <v>106</v>
      </c>
      <c r="G295" s="30" t="s">
        <v>747</v>
      </c>
    </row>
    <row r="296" spans="5:7" s="82" customFormat="1" ht="25.5" hidden="1" customHeight="1" x14ac:dyDescent="0.25">
      <c r="E296" s="82" t="s">
        <v>106</v>
      </c>
      <c r="F296" s="82" t="s">
        <v>106</v>
      </c>
      <c r="G296" s="89" t="s">
        <v>470</v>
      </c>
    </row>
    <row r="297" spans="5:7" s="82" customFormat="1" ht="25.5" hidden="1" customHeight="1" x14ac:dyDescent="0.25">
      <c r="E297" s="82" t="s">
        <v>106</v>
      </c>
      <c r="F297" s="82" t="s">
        <v>106</v>
      </c>
    </row>
    <row r="298" spans="5:7" s="82" customFormat="1" ht="25.5" hidden="1" customHeight="1" x14ac:dyDescent="0.25">
      <c r="E298" s="82" t="s">
        <v>106</v>
      </c>
      <c r="F298" s="82" t="s">
        <v>106</v>
      </c>
    </row>
    <row r="299" spans="5:7" s="82" customFormat="1" ht="25.5" hidden="1" customHeight="1" x14ac:dyDescent="0.25">
      <c r="E299" s="82" t="s">
        <v>106</v>
      </c>
      <c r="F299" s="82" t="s">
        <v>106</v>
      </c>
    </row>
    <row r="300" spans="5:7" s="82" customFormat="1" ht="25.5" hidden="1" customHeight="1" x14ac:dyDescent="0.25">
      <c r="E300" s="82" t="s">
        <v>106</v>
      </c>
      <c r="F300" s="82" t="s">
        <v>106</v>
      </c>
    </row>
    <row r="301" spans="5:7" s="82" customFormat="1" ht="25.5" hidden="1" customHeight="1" x14ac:dyDescent="0.25">
      <c r="E301" s="82" t="s">
        <v>106</v>
      </c>
      <c r="F301" s="82" t="s">
        <v>108</v>
      </c>
      <c r="G301" s="82" t="s">
        <v>199</v>
      </c>
    </row>
    <row r="302" spans="5:7" s="82" customFormat="1" ht="25.5" hidden="1" customHeight="1" x14ac:dyDescent="0.25">
      <c r="E302" s="82" t="s">
        <v>106</v>
      </c>
      <c r="F302" s="82" t="s">
        <v>200</v>
      </c>
      <c r="G302" s="82" t="s">
        <v>627</v>
      </c>
    </row>
    <row r="303" spans="5:7" s="82" customFormat="1" ht="25.5" hidden="1" customHeight="1" x14ac:dyDescent="0.25">
      <c r="E303" s="82" t="s">
        <v>106</v>
      </c>
      <c r="F303" s="82" t="s">
        <v>200</v>
      </c>
      <c r="G303" s="82" t="s">
        <v>597</v>
      </c>
    </row>
    <row r="304" spans="5:7" s="82" customFormat="1" ht="25.5" hidden="1" customHeight="1" x14ac:dyDescent="0.25">
      <c r="E304" s="82" t="s">
        <v>106</v>
      </c>
      <c r="F304" s="82" t="s">
        <v>200</v>
      </c>
      <c r="G304" s="82" t="s">
        <v>472</v>
      </c>
    </row>
    <row r="305" spans="5:7" s="82" customFormat="1" ht="25.5" hidden="1" customHeight="1" x14ac:dyDescent="0.25">
      <c r="E305" s="82" t="s">
        <v>106</v>
      </c>
      <c r="F305" s="82" t="s">
        <v>200</v>
      </c>
      <c r="G305" s="82" t="s">
        <v>473</v>
      </c>
    </row>
    <row r="306" spans="5:7" s="82" customFormat="1" ht="25.5" hidden="1" customHeight="1" x14ac:dyDescent="0.25">
      <c r="E306" s="82" t="s">
        <v>106</v>
      </c>
      <c r="F306" s="82" t="s">
        <v>200</v>
      </c>
      <c r="G306" s="82" t="s">
        <v>474</v>
      </c>
    </row>
    <row r="307" spans="5:7" s="82" customFormat="1" ht="25.5" hidden="1" customHeight="1" x14ac:dyDescent="0.25"/>
    <row r="308" spans="5:7" s="82" customFormat="1" ht="25.5" hidden="1" customHeight="1" x14ac:dyDescent="0.25">
      <c r="E308" s="82" t="s">
        <v>106</v>
      </c>
      <c r="F308" s="82" t="s">
        <v>109</v>
      </c>
      <c r="G308" s="82" t="s">
        <v>544</v>
      </c>
    </row>
    <row r="309" spans="5:7" s="82" customFormat="1" ht="25.5" hidden="1" customHeight="1" x14ac:dyDescent="0.25">
      <c r="E309" s="82" t="s">
        <v>106</v>
      </c>
      <c r="F309" s="82" t="s">
        <v>201</v>
      </c>
      <c r="G309" s="82" t="s">
        <v>659</v>
      </c>
    </row>
    <row r="310" spans="5:7" s="82" customFormat="1" ht="25.5" hidden="1" customHeight="1" x14ac:dyDescent="0.25">
      <c r="E310" s="82" t="s">
        <v>106</v>
      </c>
      <c r="F310" s="82" t="s">
        <v>201</v>
      </c>
      <c r="G310" s="82" t="s">
        <v>660</v>
      </c>
    </row>
    <row r="311" spans="5:7" s="82" customFormat="1" ht="25.5" hidden="1" customHeight="1" x14ac:dyDescent="0.25">
      <c r="E311" s="82" t="s">
        <v>106</v>
      </c>
      <c r="F311" s="82" t="s">
        <v>202</v>
      </c>
      <c r="G311" s="82" t="s">
        <v>203</v>
      </c>
    </row>
    <row r="312" spans="5:7" s="82" customFormat="1" ht="25.5" hidden="1" customHeight="1" x14ac:dyDescent="0.25">
      <c r="E312" s="82" t="s">
        <v>106</v>
      </c>
      <c r="F312" s="82" t="s">
        <v>109</v>
      </c>
      <c r="G312" s="82" t="s">
        <v>545</v>
      </c>
    </row>
    <row r="313" spans="5:7" s="82" customFormat="1" ht="25.5" hidden="1" customHeight="1" x14ac:dyDescent="0.25">
      <c r="E313" s="82" t="s">
        <v>106</v>
      </c>
      <c r="F313" s="82" t="s">
        <v>109</v>
      </c>
      <c r="G313" s="87" t="s">
        <v>323</v>
      </c>
    </row>
    <row r="314" spans="5:7" s="82" customFormat="1" ht="25.5" hidden="1" customHeight="1" x14ac:dyDescent="0.25">
      <c r="E314" s="82" t="s">
        <v>106</v>
      </c>
      <c r="F314" s="82" t="s">
        <v>109</v>
      </c>
      <c r="G314" s="82" t="s">
        <v>477</v>
      </c>
    </row>
    <row r="315" spans="5:7" s="82" customFormat="1" ht="25.5" hidden="1" customHeight="1" x14ac:dyDescent="0.25"/>
    <row r="316" spans="5:7" s="82" customFormat="1" ht="25.5" hidden="1" customHeight="1" x14ac:dyDescent="0.25">
      <c r="E316" s="82" t="s">
        <v>106</v>
      </c>
      <c r="F316" s="82" t="s">
        <v>110</v>
      </c>
      <c r="G316" s="82" t="s">
        <v>546</v>
      </c>
    </row>
    <row r="317" spans="5:7" s="82" customFormat="1" ht="25.5" hidden="1" customHeight="1" x14ac:dyDescent="0.25">
      <c r="E317" s="82" t="s">
        <v>106</v>
      </c>
      <c r="F317" s="82" t="s">
        <v>204</v>
      </c>
      <c r="G317" s="82" t="s">
        <v>628</v>
      </c>
    </row>
    <row r="318" spans="5:7" s="82" customFormat="1" ht="25.5" hidden="1" customHeight="1" x14ac:dyDescent="0.25">
      <c r="E318" s="82" t="s">
        <v>106</v>
      </c>
      <c r="F318" s="82" t="s">
        <v>110</v>
      </c>
      <c r="G318" s="82" t="s">
        <v>547</v>
      </c>
    </row>
    <row r="319" spans="5:7" s="82" customFormat="1" ht="25.5" hidden="1" customHeight="1" x14ac:dyDescent="0.25">
      <c r="E319" s="82" t="s">
        <v>106</v>
      </c>
      <c r="F319" s="82" t="s">
        <v>110</v>
      </c>
      <c r="G319" s="82" t="s">
        <v>598</v>
      </c>
    </row>
    <row r="320" spans="5:7" s="82" customFormat="1" ht="25.5" hidden="1" customHeight="1" x14ac:dyDescent="0.25">
      <c r="E320" s="82" t="s">
        <v>106</v>
      </c>
      <c r="F320" s="82" t="s">
        <v>110</v>
      </c>
      <c r="G320" s="82" t="s">
        <v>478</v>
      </c>
    </row>
    <row r="321" spans="5:7" s="82" customFormat="1" ht="25.5" hidden="1" customHeight="1" x14ac:dyDescent="0.25">
      <c r="E321" s="82" t="s">
        <v>106</v>
      </c>
      <c r="F321" s="82" t="s">
        <v>111</v>
      </c>
      <c r="G321" s="82" t="s">
        <v>311</v>
      </c>
    </row>
    <row r="322" spans="5:7" s="82" customFormat="1" ht="25.5" hidden="1" customHeight="1" x14ac:dyDescent="0.25">
      <c r="E322" s="82" t="s">
        <v>106</v>
      </c>
      <c r="F322" s="82" t="s">
        <v>111</v>
      </c>
      <c r="G322" s="82" t="s">
        <v>796</v>
      </c>
    </row>
    <row r="323" spans="5:7" s="82" customFormat="1" ht="25.5" hidden="1" customHeight="1" x14ac:dyDescent="0.25">
      <c r="E323" s="82" t="s">
        <v>106</v>
      </c>
      <c r="F323" s="82" t="s">
        <v>111</v>
      </c>
      <c r="G323" s="82" t="s">
        <v>797</v>
      </c>
    </row>
    <row r="324" spans="5:7" s="82" customFormat="1" ht="25.5" hidden="1" customHeight="1" x14ac:dyDescent="0.25">
      <c r="E324" s="82" t="s">
        <v>106</v>
      </c>
      <c r="F324" s="82" t="s">
        <v>111</v>
      </c>
      <c r="G324" s="82" t="s">
        <v>788</v>
      </c>
    </row>
    <row r="325" spans="5:7" s="82" customFormat="1" ht="25.5" hidden="1" customHeight="1" x14ac:dyDescent="0.25">
      <c r="E325" s="82" t="s">
        <v>106</v>
      </c>
      <c r="F325" s="82" t="s">
        <v>111</v>
      </c>
      <c r="G325" s="82" t="s">
        <v>548</v>
      </c>
    </row>
    <row r="326" spans="5:7" s="82" customFormat="1" ht="25.5" hidden="1" customHeight="1" x14ac:dyDescent="0.25">
      <c r="E326" s="82" t="s">
        <v>106</v>
      </c>
      <c r="F326" s="82" t="s">
        <v>205</v>
      </c>
      <c r="G326" s="82" t="s">
        <v>206</v>
      </c>
    </row>
    <row r="327" spans="5:7" s="82" customFormat="1" ht="25.5" hidden="1" customHeight="1" x14ac:dyDescent="0.25">
      <c r="E327" s="82" t="s">
        <v>106</v>
      </c>
      <c r="F327" s="82" t="s">
        <v>205</v>
      </c>
      <c r="G327" s="82" t="s">
        <v>739</v>
      </c>
    </row>
    <row r="328" spans="5:7" s="82" customFormat="1" ht="25.5" hidden="1" customHeight="1" x14ac:dyDescent="0.25">
      <c r="E328" s="82" t="s">
        <v>106</v>
      </c>
      <c r="F328" s="82" t="s">
        <v>205</v>
      </c>
      <c r="G328" s="82" t="s">
        <v>738</v>
      </c>
    </row>
    <row r="329" spans="5:7" s="82" customFormat="1" ht="25.5" hidden="1" customHeight="1" x14ac:dyDescent="0.25">
      <c r="E329" s="82" t="s">
        <v>106</v>
      </c>
      <c r="F329" s="82" t="s">
        <v>205</v>
      </c>
      <c r="G329" s="82" t="s">
        <v>399</v>
      </c>
    </row>
    <row r="330" spans="5:7" s="82" customFormat="1" ht="25.5" hidden="1" customHeight="1" x14ac:dyDescent="0.25">
      <c r="E330" s="82" t="s">
        <v>106</v>
      </c>
      <c r="F330" s="82" t="s">
        <v>205</v>
      </c>
      <c r="G330" s="82" t="s">
        <v>414</v>
      </c>
    </row>
    <row r="331" spans="5:7" s="82" customFormat="1" ht="25.5" hidden="1" customHeight="1" x14ac:dyDescent="0.25">
      <c r="E331" s="82" t="s">
        <v>106</v>
      </c>
      <c r="F331" s="82" t="s">
        <v>205</v>
      </c>
      <c r="G331" s="82" t="s">
        <v>799</v>
      </c>
    </row>
    <row r="332" spans="5:7" s="82" customFormat="1" ht="25.5" hidden="1" customHeight="1" x14ac:dyDescent="0.25">
      <c r="E332" s="82" t="s">
        <v>106</v>
      </c>
      <c r="F332" s="82" t="s">
        <v>205</v>
      </c>
      <c r="G332" s="82" t="s">
        <v>486</v>
      </c>
    </row>
    <row r="333" spans="5:7" s="82" customFormat="1" ht="25.5" hidden="1" customHeight="1" x14ac:dyDescent="0.25">
      <c r="E333" s="82" t="s">
        <v>106</v>
      </c>
      <c r="F333" s="82" t="s">
        <v>205</v>
      </c>
      <c r="G333" s="82" t="s">
        <v>415</v>
      </c>
    </row>
    <row r="334" spans="5:7" s="82" customFormat="1" ht="25.5" hidden="1" customHeight="1" x14ac:dyDescent="0.25">
      <c r="E334" s="82" t="s">
        <v>106</v>
      </c>
      <c r="F334" s="82" t="s">
        <v>142</v>
      </c>
      <c r="G334" s="82" t="s">
        <v>207</v>
      </c>
    </row>
    <row r="335" spans="5:7" s="82" customFormat="1" ht="25.5" hidden="1" customHeight="1" x14ac:dyDescent="0.25">
      <c r="E335" s="82" t="s">
        <v>106</v>
      </c>
      <c r="F335" s="82" t="s">
        <v>142</v>
      </c>
      <c r="G335" s="82" t="s">
        <v>599</v>
      </c>
    </row>
    <row r="336" spans="5:7" s="82" customFormat="1" ht="25.5" hidden="1" customHeight="1" x14ac:dyDescent="0.25">
      <c r="E336" s="82" t="s">
        <v>106</v>
      </c>
      <c r="F336" s="82" t="s">
        <v>142</v>
      </c>
      <c r="G336" s="82" t="s">
        <v>412</v>
      </c>
    </row>
    <row r="337" spans="5:7" s="82" customFormat="1" ht="25.5" hidden="1" customHeight="1" x14ac:dyDescent="0.25">
      <c r="E337" s="82" t="s">
        <v>106</v>
      </c>
      <c r="F337" s="82" t="s">
        <v>142</v>
      </c>
      <c r="G337" s="82" t="s">
        <v>413</v>
      </c>
    </row>
    <row r="338" spans="5:7" s="82" customFormat="1" ht="25.5" hidden="1" customHeight="1" x14ac:dyDescent="0.25">
      <c r="E338" s="82" t="s">
        <v>106</v>
      </c>
      <c r="F338" s="82" t="s">
        <v>112</v>
      </c>
      <c r="G338" s="82" t="s">
        <v>549</v>
      </c>
    </row>
    <row r="339" spans="5:7" s="82" customFormat="1" ht="25.5" hidden="1" customHeight="1" x14ac:dyDescent="0.25">
      <c r="E339" s="82" t="s">
        <v>106</v>
      </c>
      <c r="F339" s="82" t="s">
        <v>112</v>
      </c>
      <c r="G339" s="82" t="s">
        <v>736</v>
      </c>
    </row>
    <row r="340" spans="5:7" s="82" customFormat="1" ht="25.5" hidden="1" customHeight="1" x14ac:dyDescent="0.25">
      <c r="E340" s="82" t="s">
        <v>106</v>
      </c>
      <c r="F340" s="82" t="s">
        <v>208</v>
      </c>
      <c r="G340" s="82" t="s">
        <v>661</v>
      </c>
    </row>
    <row r="341" spans="5:7" s="82" customFormat="1" ht="25.5" hidden="1" customHeight="1" x14ac:dyDescent="0.25">
      <c r="E341" s="82" t="s">
        <v>106</v>
      </c>
      <c r="F341" s="82" t="s">
        <v>112</v>
      </c>
      <c r="G341" s="82" t="s">
        <v>335</v>
      </c>
    </row>
    <row r="342" spans="5:7" s="82" customFormat="1" ht="25.5" hidden="1" customHeight="1" x14ac:dyDescent="0.25">
      <c r="E342" s="82" t="s">
        <v>106</v>
      </c>
      <c r="F342" s="82" t="s">
        <v>209</v>
      </c>
      <c r="G342" s="82" t="s">
        <v>210</v>
      </c>
    </row>
    <row r="343" spans="5:7" s="82" customFormat="1" ht="25.5" hidden="1" customHeight="1" x14ac:dyDescent="0.25">
      <c r="E343" s="82" t="s">
        <v>106</v>
      </c>
      <c r="F343" s="82" t="s">
        <v>209</v>
      </c>
      <c r="G343" s="82" t="s">
        <v>387</v>
      </c>
    </row>
    <row r="344" spans="5:7" s="82" customFormat="1" ht="25.5" hidden="1" customHeight="1" x14ac:dyDescent="0.25">
      <c r="E344" s="82" t="s">
        <v>106</v>
      </c>
      <c r="F344" s="82" t="s">
        <v>209</v>
      </c>
      <c r="G344" s="82" t="s">
        <v>388</v>
      </c>
    </row>
    <row r="345" spans="5:7" s="82" customFormat="1" ht="25.5" hidden="1" customHeight="1" x14ac:dyDescent="0.25">
      <c r="E345" s="82" t="s">
        <v>106</v>
      </c>
      <c r="F345" s="82" t="s">
        <v>209</v>
      </c>
      <c r="G345" s="82" t="s">
        <v>490</v>
      </c>
    </row>
    <row r="346" spans="5:7" s="82" customFormat="1" ht="25.5" hidden="1" customHeight="1" x14ac:dyDescent="0.25">
      <c r="E346" s="82" t="s">
        <v>106</v>
      </c>
      <c r="F346" s="82" t="s">
        <v>143</v>
      </c>
      <c r="G346" s="82" t="s">
        <v>211</v>
      </c>
    </row>
    <row r="347" spans="5:7" s="82" customFormat="1" ht="25.5" hidden="1" customHeight="1" x14ac:dyDescent="0.25">
      <c r="E347" s="82" t="s">
        <v>106</v>
      </c>
      <c r="F347" s="82" t="s">
        <v>143</v>
      </c>
      <c r="G347" s="82" t="s">
        <v>550</v>
      </c>
    </row>
    <row r="348" spans="5:7" s="82" customFormat="1" ht="25.5" hidden="1" customHeight="1" x14ac:dyDescent="0.25">
      <c r="E348" s="82" t="s">
        <v>106</v>
      </c>
      <c r="F348" s="82" t="s">
        <v>143</v>
      </c>
      <c r="G348" s="87" t="s">
        <v>324</v>
      </c>
    </row>
    <row r="349" spans="5:7" s="82" customFormat="1" ht="25.5" hidden="1" customHeight="1" x14ac:dyDescent="0.25">
      <c r="E349" s="82" t="s">
        <v>106</v>
      </c>
      <c r="F349" s="82" t="s">
        <v>143</v>
      </c>
      <c r="G349" s="87" t="s">
        <v>733</v>
      </c>
    </row>
    <row r="350" spans="5:7" s="82" customFormat="1" ht="25.5" hidden="1" customHeight="1" x14ac:dyDescent="0.25">
      <c r="E350" s="82" t="s">
        <v>106</v>
      </c>
      <c r="F350" s="82" t="s">
        <v>143</v>
      </c>
      <c r="G350" s="82" t="s">
        <v>600</v>
      </c>
    </row>
    <row r="351" spans="5:7" s="82" customFormat="1" ht="25.5" hidden="1" customHeight="1" x14ac:dyDescent="0.25">
      <c r="E351" s="82" t="s">
        <v>106</v>
      </c>
      <c r="F351" s="82" t="s">
        <v>143</v>
      </c>
      <c r="G351" s="82" t="s">
        <v>494</v>
      </c>
    </row>
    <row r="352" spans="5:7" s="82" customFormat="1" ht="25.5" hidden="1" customHeight="1" x14ac:dyDescent="0.25">
      <c r="E352" s="82" t="s">
        <v>106</v>
      </c>
      <c r="F352" s="82" t="s">
        <v>143</v>
      </c>
      <c r="G352" s="82" t="s">
        <v>495</v>
      </c>
    </row>
    <row r="353" spans="5:7" s="82" customFormat="1" ht="25.5" hidden="1" customHeight="1" x14ac:dyDescent="0.25">
      <c r="E353" s="82" t="s">
        <v>106</v>
      </c>
      <c r="F353" s="82" t="s">
        <v>212</v>
      </c>
      <c r="G353" s="82" t="s">
        <v>662</v>
      </c>
    </row>
    <row r="354" spans="5:7" s="82" customFormat="1" ht="25.5" hidden="1" customHeight="1" x14ac:dyDescent="0.25">
      <c r="E354" s="82" t="s">
        <v>106</v>
      </c>
      <c r="F354" s="82" t="s">
        <v>213</v>
      </c>
      <c r="G354" s="82" t="s">
        <v>214</v>
      </c>
    </row>
    <row r="355" spans="5:7" s="82" customFormat="1" ht="25.5" hidden="1" customHeight="1" x14ac:dyDescent="0.25">
      <c r="E355" s="82" t="s">
        <v>106</v>
      </c>
      <c r="F355" s="82" t="s">
        <v>213</v>
      </c>
      <c r="G355" s="82" t="s">
        <v>551</v>
      </c>
    </row>
    <row r="356" spans="5:7" s="82" customFormat="1" ht="25.5" hidden="1" customHeight="1" x14ac:dyDescent="0.25"/>
    <row r="357" spans="5:7" s="82" customFormat="1" ht="25.5" hidden="1" customHeight="1" x14ac:dyDescent="0.25">
      <c r="E357" s="82" t="s">
        <v>106</v>
      </c>
      <c r="F357" s="82" t="s">
        <v>213</v>
      </c>
      <c r="G357" s="87" t="s">
        <v>325</v>
      </c>
    </row>
    <row r="358" spans="5:7" s="82" customFormat="1" ht="25.5" hidden="1" customHeight="1" x14ac:dyDescent="0.25">
      <c r="E358" s="82" t="s">
        <v>106</v>
      </c>
      <c r="F358" s="82" t="s">
        <v>213</v>
      </c>
      <c r="G358" s="87" t="s">
        <v>734</v>
      </c>
    </row>
    <row r="359" spans="5:7" s="82" customFormat="1" ht="25.5" hidden="1" customHeight="1" x14ac:dyDescent="0.25">
      <c r="E359" s="82" t="s">
        <v>106</v>
      </c>
      <c r="F359" s="82" t="s">
        <v>213</v>
      </c>
      <c r="G359" s="82" t="s">
        <v>503</v>
      </c>
    </row>
    <row r="360" spans="5:7" s="82" customFormat="1" ht="25.5" hidden="1" customHeight="1" x14ac:dyDescent="0.25"/>
    <row r="361" spans="5:7" s="82" customFormat="1" ht="25.5" hidden="1" customHeight="1" x14ac:dyDescent="0.25">
      <c r="E361" s="82" t="s">
        <v>106</v>
      </c>
      <c r="F361" s="82" t="s">
        <v>215</v>
      </c>
      <c r="G361" s="82" t="s">
        <v>216</v>
      </c>
    </row>
    <row r="362" spans="5:7" s="82" customFormat="1" ht="25.5" hidden="1" customHeight="1" x14ac:dyDescent="0.25">
      <c r="E362" s="82" t="s">
        <v>106</v>
      </c>
      <c r="F362" s="82" t="s">
        <v>215</v>
      </c>
      <c r="G362" s="82" t="s">
        <v>552</v>
      </c>
    </row>
    <row r="363" spans="5:7" s="82" customFormat="1" ht="25.5" hidden="1" customHeight="1" x14ac:dyDescent="0.25">
      <c r="E363" s="82" t="s">
        <v>106</v>
      </c>
      <c r="F363" s="82" t="s">
        <v>215</v>
      </c>
      <c r="G363" s="82" t="s">
        <v>735</v>
      </c>
    </row>
    <row r="364" spans="5:7" s="82" customFormat="1" ht="25.5" hidden="1" customHeight="1" x14ac:dyDescent="0.25">
      <c r="E364" s="82" t="s">
        <v>106</v>
      </c>
      <c r="F364" s="82" t="s">
        <v>215</v>
      </c>
      <c r="G364" s="82" t="s">
        <v>336</v>
      </c>
    </row>
    <row r="365" spans="5:7" s="82" customFormat="1" ht="25.5" hidden="1" customHeight="1" x14ac:dyDescent="0.25">
      <c r="E365" s="82" t="s">
        <v>106</v>
      </c>
      <c r="F365" s="82" t="s">
        <v>217</v>
      </c>
      <c r="G365" s="82" t="s">
        <v>663</v>
      </c>
    </row>
    <row r="366" spans="5:7" s="82" customFormat="1" ht="25.5" hidden="1" customHeight="1" x14ac:dyDescent="0.25">
      <c r="E366" s="82" t="s">
        <v>106</v>
      </c>
      <c r="F366" s="82" t="s">
        <v>217</v>
      </c>
      <c r="G366" s="82" t="s">
        <v>504</v>
      </c>
    </row>
    <row r="367" spans="5:7" s="82" customFormat="1" ht="25.5" hidden="1" customHeight="1" x14ac:dyDescent="0.25">
      <c r="E367" s="82" t="s">
        <v>106</v>
      </c>
      <c r="F367" s="82" t="s">
        <v>217</v>
      </c>
      <c r="G367" s="82" t="s">
        <v>505</v>
      </c>
    </row>
    <row r="368" spans="5:7" s="82" customFormat="1" ht="25.5" hidden="1" customHeight="1" x14ac:dyDescent="0.25"/>
    <row r="369" spans="5:7" s="82" customFormat="1" ht="25.5" hidden="1" customHeight="1" x14ac:dyDescent="0.25">
      <c r="E369" s="82" t="s">
        <v>106</v>
      </c>
      <c r="F369" s="82" t="s">
        <v>145</v>
      </c>
      <c r="G369" s="82" t="s">
        <v>218</v>
      </c>
    </row>
    <row r="370" spans="5:7" s="82" customFormat="1" ht="25.5" hidden="1" customHeight="1" x14ac:dyDescent="0.25">
      <c r="E370" s="82" t="s">
        <v>106</v>
      </c>
      <c r="F370" s="82" t="s">
        <v>145</v>
      </c>
      <c r="G370" s="82" t="s">
        <v>553</v>
      </c>
    </row>
    <row r="371" spans="5:7" s="82" customFormat="1" ht="25.5" hidden="1" customHeight="1" x14ac:dyDescent="0.25">
      <c r="E371" s="82" t="s">
        <v>106</v>
      </c>
      <c r="F371" s="82" t="s">
        <v>145</v>
      </c>
      <c r="G371" s="82" t="s">
        <v>514</v>
      </c>
    </row>
    <row r="372" spans="5:7" s="82" customFormat="1" ht="25.5" hidden="1" customHeight="1" x14ac:dyDescent="0.25"/>
    <row r="373" spans="5:7" s="82" customFormat="1" ht="25.5" hidden="1" customHeight="1" x14ac:dyDescent="0.25"/>
    <row r="374" spans="5:7" s="82" customFormat="1" ht="25.5" hidden="1" customHeight="1" x14ac:dyDescent="0.25">
      <c r="E374" s="82" t="s">
        <v>106</v>
      </c>
      <c r="F374" s="82" t="s">
        <v>146</v>
      </c>
      <c r="G374" s="82" t="s">
        <v>219</v>
      </c>
    </row>
    <row r="375" spans="5:7" s="82" customFormat="1" ht="25.5" hidden="1" customHeight="1" x14ac:dyDescent="0.25">
      <c r="E375" s="82" t="s">
        <v>106</v>
      </c>
      <c r="F375" s="82" t="s">
        <v>146</v>
      </c>
      <c r="G375" s="82" t="s">
        <v>410</v>
      </c>
    </row>
    <row r="376" spans="5:7" s="82" customFormat="1" ht="25.5" hidden="1" customHeight="1" x14ac:dyDescent="0.25">
      <c r="E376" s="82" t="s">
        <v>106</v>
      </c>
      <c r="F376" s="82" t="s">
        <v>146</v>
      </c>
      <c r="G376" s="82" t="s">
        <v>411</v>
      </c>
    </row>
    <row r="377" spans="5:7" s="82" customFormat="1" ht="25.5" hidden="1" customHeight="1" x14ac:dyDescent="0.25"/>
    <row r="378" spans="5:7" s="82" customFormat="1" ht="25.5" hidden="1" customHeight="1" x14ac:dyDescent="0.25">
      <c r="E378" s="82" t="s">
        <v>106</v>
      </c>
      <c r="F378" s="82" t="s">
        <v>114</v>
      </c>
      <c r="G378" s="82" t="s">
        <v>629</v>
      </c>
    </row>
    <row r="379" spans="5:7" s="82" customFormat="1" ht="25.5" hidden="1" customHeight="1" x14ac:dyDescent="0.25">
      <c r="E379" s="82" t="s">
        <v>106</v>
      </c>
      <c r="F379" s="82" t="s">
        <v>114</v>
      </c>
      <c r="G379" s="82" t="s">
        <v>800</v>
      </c>
    </row>
    <row r="380" spans="5:7" s="82" customFormat="1" ht="25.5" hidden="1" customHeight="1" x14ac:dyDescent="0.25">
      <c r="E380" s="82" t="s">
        <v>106</v>
      </c>
      <c r="F380" s="82" t="s">
        <v>114</v>
      </c>
      <c r="G380" s="82" t="s">
        <v>554</v>
      </c>
    </row>
    <row r="381" spans="5:7" s="82" customFormat="1" ht="25.5" hidden="1" customHeight="1" x14ac:dyDescent="0.25">
      <c r="E381" s="82" t="s">
        <v>106</v>
      </c>
      <c r="F381" s="82" t="s">
        <v>220</v>
      </c>
      <c r="G381" s="82" t="s">
        <v>221</v>
      </c>
    </row>
    <row r="382" spans="5:7" s="82" customFormat="1" ht="25.5" hidden="1" customHeight="1" x14ac:dyDescent="0.25">
      <c r="E382" s="82" t="s">
        <v>106</v>
      </c>
      <c r="F382" s="82" t="s">
        <v>220</v>
      </c>
      <c r="G382" s="82" t="s">
        <v>737</v>
      </c>
    </row>
    <row r="383" spans="5:7" s="82" customFormat="1" ht="25.5" hidden="1" customHeight="1" x14ac:dyDescent="0.25">
      <c r="E383" s="82" t="s">
        <v>106</v>
      </c>
      <c r="F383" s="82" t="s">
        <v>114</v>
      </c>
      <c r="G383" s="82" t="s">
        <v>555</v>
      </c>
    </row>
    <row r="384" spans="5:7" s="82" customFormat="1" ht="25.5" hidden="1" customHeight="1" x14ac:dyDescent="0.3">
      <c r="E384" s="82" t="s">
        <v>106</v>
      </c>
      <c r="F384" s="82" t="s">
        <v>114</v>
      </c>
      <c r="G384" s="83" t="s">
        <v>385</v>
      </c>
    </row>
    <row r="385" spans="5:7" s="82" customFormat="1" ht="25.5" hidden="1" customHeight="1" x14ac:dyDescent="0.3">
      <c r="E385" s="82" t="s">
        <v>106</v>
      </c>
      <c r="F385" s="82" t="s">
        <v>114</v>
      </c>
      <c r="G385" s="83" t="s">
        <v>802</v>
      </c>
    </row>
    <row r="386" spans="5:7" s="82" customFormat="1" ht="25.5" hidden="1" customHeight="1" x14ac:dyDescent="0.3">
      <c r="E386" s="82" t="s">
        <v>106</v>
      </c>
      <c r="F386" s="82" t="s">
        <v>114</v>
      </c>
      <c r="G386" s="83" t="s">
        <v>803</v>
      </c>
    </row>
    <row r="387" spans="5:7" s="82" customFormat="1" ht="25.5" hidden="1" customHeight="1" x14ac:dyDescent="0.3">
      <c r="E387" s="82" t="s">
        <v>106</v>
      </c>
      <c r="F387" s="82" t="s">
        <v>114</v>
      </c>
      <c r="G387" s="83" t="s">
        <v>530</v>
      </c>
    </row>
    <row r="388" spans="5:7" s="82" customFormat="1" ht="25.5" hidden="1" customHeight="1" x14ac:dyDescent="0.3">
      <c r="E388" s="82" t="s">
        <v>106</v>
      </c>
      <c r="F388" s="82" t="s">
        <v>114</v>
      </c>
      <c r="G388" s="83" t="s">
        <v>531</v>
      </c>
    </row>
    <row r="389" spans="5:7" s="82" customFormat="1" ht="25.5" hidden="1" customHeight="1" x14ac:dyDescent="0.3">
      <c r="E389" s="82" t="s">
        <v>106</v>
      </c>
      <c r="F389" s="82" t="s">
        <v>114</v>
      </c>
      <c r="G389" s="83" t="s">
        <v>532</v>
      </c>
    </row>
    <row r="390" spans="5:7" s="82" customFormat="1" ht="25.5" hidden="1" customHeight="1" x14ac:dyDescent="0.3">
      <c r="E390" s="82" t="s">
        <v>106</v>
      </c>
      <c r="F390" s="82" t="s">
        <v>114</v>
      </c>
      <c r="G390" s="83" t="s">
        <v>769</v>
      </c>
    </row>
    <row r="391" spans="5:7" s="82" customFormat="1" ht="25.5" hidden="1" customHeight="1" x14ac:dyDescent="0.3">
      <c r="E391" s="82" t="s">
        <v>106</v>
      </c>
      <c r="F391" s="82" t="s">
        <v>114</v>
      </c>
      <c r="G391" s="83" t="s">
        <v>533</v>
      </c>
    </row>
    <row r="392" spans="5:7" s="82" customFormat="1" ht="25.5" hidden="1" customHeight="1" x14ac:dyDescent="0.25">
      <c r="E392" s="82" t="s">
        <v>106</v>
      </c>
      <c r="F392" s="82" t="s">
        <v>114</v>
      </c>
      <c r="G392" s="82" t="s">
        <v>601</v>
      </c>
    </row>
    <row r="393" spans="5:7" s="82" customFormat="1" ht="25.5" hidden="1" customHeight="1" x14ac:dyDescent="0.25">
      <c r="E393" s="82" t="s">
        <v>118</v>
      </c>
      <c r="F393" s="82" t="s">
        <v>148</v>
      </c>
      <c r="G393" s="82" t="s">
        <v>630</v>
      </c>
    </row>
    <row r="394" spans="5:7" s="82" customFormat="1" ht="25.5" hidden="1" customHeight="1" x14ac:dyDescent="0.25">
      <c r="E394" s="82" t="s">
        <v>118</v>
      </c>
      <c r="F394" s="82" t="s">
        <v>148</v>
      </c>
      <c r="G394" s="82" t="s">
        <v>720</v>
      </c>
    </row>
    <row r="395" spans="5:7" s="82" customFormat="1" ht="25.5" hidden="1" customHeight="1" x14ac:dyDescent="0.25">
      <c r="E395" s="82" t="s">
        <v>118</v>
      </c>
      <c r="F395" s="82" t="s">
        <v>148</v>
      </c>
      <c r="G395" s="82" t="s">
        <v>702</v>
      </c>
    </row>
    <row r="396" spans="5:7" s="82" customFormat="1" ht="25.5" hidden="1" customHeight="1" x14ac:dyDescent="0.25">
      <c r="E396" s="82" t="s">
        <v>118</v>
      </c>
      <c r="F396" s="82" t="s">
        <v>148</v>
      </c>
      <c r="G396" s="82" t="s">
        <v>602</v>
      </c>
    </row>
    <row r="397" spans="5:7" s="82" customFormat="1" ht="25.5" hidden="1" customHeight="1" x14ac:dyDescent="0.25">
      <c r="E397" s="82" t="s">
        <v>118</v>
      </c>
      <c r="F397" s="82" t="s">
        <v>148</v>
      </c>
      <c r="G397" s="82" t="s">
        <v>416</v>
      </c>
    </row>
    <row r="398" spans="5:7" s="82" customFormat="1" ht="25.5" hidden="1" customHeight="1" x14ac:dyDescent="0.25">
      <c r="E398" s="82" t="s">
        <v>118</v>
      </c>
      <c r="F398" s="82" t="s">
        <v>148</v>
      </c>
      <c r="G398" s="82" t="s">
        <v>464</v>
      </c>
    </row>
    <row r="399" spans="5:7" s="82" customFormat="1" ht="25.5" hidden="1" customHeight="1" x14ac:dyDescent="0.25">
      <c r="E399" s="82" t="s">
        <v>118</v>
      </c>
      <c r="F399" s="82" t="s">
        <v>148</v>
      </c>
      <c r="G399" s="82" t="s">
        <v>465</v>
      </c>
    </row>
    <row r="400" spans="5:7" s="82" customFormat="1" ht="25.5" hidden="1" customHeight="1" x14ac:dyDescent="0.25">
      <c r="E400" s="82" t="s">
        <v>118</v>
      </c>
      <c r="F400" s="82" t="s">
        <v>119</v>
      </c>
      <c r="G400" s="82" t="s">
        <v>556</v>
      </c>
    </row>
    <row r="401" spans="5:7" s="82" customFormat="1" ht="25.5" hidden="1" customHeight="1" x14ac:dyDescent="0.25">
      <c r="E401" s="82" t="s">
        <v>118</v>
      </c>
      <c r="F401" s="82" t="s">
        <v>222</v>
      </c>
      <c r="G401" s="82" t="s">
        <v>631</v>
      </c>
    </row>
    <row r="402" spans="5:7" s="82" customFormat="1" ht="25.5" hidden="1" customHeight="1" x14ac:dyDescent="0.25">
      <c r="E402" s="82" t="s">
        <v>118</v>
      </c>
      <c r="F402" s="82" t="s">
        <v>222</v>
      </c>
      <c r="G402" s="82" t="s">
        <v>358</v>
      </c>
    </row>
    <row r="403" spans="5:7" s="82" customFormat="1" ht="25.5" hidden="1" customHeight="1" x14ac:dyDescent="0.25">
      <c r="E403" s="82" t="s">
        <v>118</v>
      </c>
      <c r="F403" s="82" t="s">
        <v>222</v>
      </c>
      <c r="G403" s="82" t="s">
        <v>603</v>
      </c>
    </row>
    <row r="404" spans="5:7" s="82" customFormat="1" ht="25.5" hidden="1" customHeight="1" x14ac:dyDescent="0.25">
      <c r="E404" s="82" t="s">
        <v>118</v>
      </c>
      <c r="F404" s="82" t="s">
        <v>222</v>
      </c>
      <c r="G404" s="82" t="s">
        <v>417</v>
      </c>
    </row>
    <row r="405" spans="5:7" s="82" customFormat="1" ht="25.5" hidden="1" customHeight="1" x14ac:dyDescent="0.25">
      <c r="E405" s="82" t="s">
        <v>118</v>
      </c>
      <c r="F405" s="82" t="s">
        <v>120</v>
      </c>
      <c r="G405" s="82" t="s">
        <v>557</v>
      </c>
    </row>
    <row r="406" spans="5:7" s="82" customFormat="1" ht="25.5" hidden="1" customHeight="1" x14ac:dyDescent="0.25">
      <c r="E406" s="82" t="s">
        <v>118</v>
      </c>
      <c r="F406" s="82" t="s">
        <v>223</v>
      </c>
      <c r="G406" s="82" t="s">
        <v>664</v>
      </c>
    </row>
    <row r="407" spans="5:7" s="82" customFormat="1" ht="25.5" hidden="1" customHeight="1" x14ac:dyDescent="0.25">
      <c r="E407" s="82" t="s">
        <v>118</v>
      </c>
      <c r="F407" s="82" t="s">
        <v>224</v>
      </c>
      <c r="G407" s="82" t="s">
        <v>632</v>
      </c>
    </row>
    <row r="408" spans="5:7" s="82" customFormat="1" ht="25.5" hidden="1" customHeight="1" x14ac:dyDescent="0.25">
      <c r="E408" s="82" t="s">
        <v>118</v>
      </c>
      <c r="F408" s="82" t="s">
        <v>224</v>
      </c>
      <c r="G408" s="82" t="s">
        <v>357</v>
      </c>
    </row>
    <row r="409" spans="5:7" s="82" customFormat="1" ht="25.5" hidden="1" customHeight="1" x14ac:dyDescent="0.25">
      <c r="E409" s="82" t="s">
        <v>118</v>
      </c>
      <c r="F409" s="82" t="s">
        <v>224</v>
      </c>
      <c r="G409" s="82" t="s">
        <v>418</v>
      </c>
    </row>
    <row r="410" spans="5:7" s="82" customFormat="1" ht="25.5" hidden="1" customHeight="1" x14ac:dyDescent="0.25">
      <c r="E410" s="82" t="s">
        <v>118</v>
      </c>
      <c r="F410" s="82" t="s">
        <v>224</v>
      </c>
      <c r="G410" s="82" t="s">
        <v>481</v>
      </c>
    </row>
    <row r="411" spans="5:7" s="82" customFormat="1" ht="25.5" hidden="1" customHeight="1" x14ac:dyDescent="0.25">
      <c r="E411" s="82" t="s">
        <v>118</v>
      </c>
      <c r="F411" s="82" t="s">
        <v>224</v>
      </c>
      <c r="G411" s="82" t="s">
        <v>482</v>
      </c>
    </row>
    <row r="412" spans="5:7" s="82" customFormat="1" ht="25.5" hidden="1" customHeight="1" x14ac:dyDescent="0.25">
      <c r="E412" s="82" t="s">
        <v>118</v>
      </c>
      <c r="F412" s="82" t="s">
        <v>224</v>
      </c>
      <c r="G412" s="82" t="s">
        <v>483</v>
      </c>
    </row>
    <row r="413" spans="5:7" s="82" customFormat="1" ht="25.5" hidden="1" customHeight="1" x14ac:dyDescent="0.25">
      <c r="E413" s="82" t="s">
        <v>118</v>
      </c>
      <c r="F413" s="82" t="s">
        <v>149</v>
      </c>
      <c r="G413" s="82" t="s">
        <v>225</v>
      </c>
    </row>
    <row r="414" spans="5:7" s="82" customFormat="1" ht="25.5" hidden="1" customHeight="1" x14ac:dyDescent="0.25">
      <c r="E414" s="82" t="s">
        <v>118</v>
      </c>
      <c r="F414" s="82" t="s">
        <v>149</v>
      </c>
      <c r="G414" s="82" t="s">
        <v>337</v>
      </c>
    </row>
    <row r="415" spans="5:7" s="82" customFormat="1" ht="25.5" hidden="1" customHeight="1" x14ac:dyDescent="0.25">
      <c r="E415" s="82" t="s">
        <v>118</v>
      </c>
      <c r="F415" s="82" t="s">
        <v>149</v>
      </c>
      <c r="G415" s="82" t="s">
        <v>711</v>
      </c>
    </row>
    <row r="416" spans="5:7" s="82" customFormat="1" ht="25.5" hidden="1" customHeight="1" x14ac:dyDescent="0.25">
      <c r="E416" s="82" t="s">
        <v>118</v>
      </c>
      <c r="F416" s="82" t="s">
        <v>149</v>
      </c>
      <c r="G416" s="82" t="s">
        <v>558</v>
      </c>
    </row>
    <row r="417" spans="5:7" s="82" customFormat="1" ht="25.5" hidden="1" customHeight="1" x14ac:dyDescent="0.25">
      <c r="E417" s="82" t="s">
        <v>118</v>
      </c>
      <c r="F417" s="82" t="s">
        <v>149</v>
      </c>
      <c r="G417" s="82" t="s">
        <v>604</v>
      </c>
    </row>
    <row r="418" spans="5:7" s="82" customFormat="1" ht="25.5" hidden="1" customHeight="1" x14ac:dyDescent="0.25">
      <c r="E418" s="82" t="s">
        <v>118</v>
      </c>
      <c r="F418" s="82" t="s">
        <v>149</v>
      </c>
      <c r="G418" s="82" t="s">
        <v>419</v>
      </c>
    </row>
    <row r="419" spans="5:7" s="82" customFormat="1" ht="25.5" hidden="1" customHeight="1" x14ac:dyDescent="0.25">
      <c r="E419" s="82" t="s">
        <v>118</v>
      </c>
      <c r="F419" s="82" t="s">
        <v>149</v>
      </c>
      <c r="G419" s="82" t="s">
        <v>480</v>
      </c>
    </row>
    <row r="420" spans="5:7" s="82" customFormat="1" ht="25.5" hidden="1" customHeight="1" x14ac:dyDescent="0.25">
      <c r="E420" s="82" t="s">
        <v>118</v>
      </c>
      <c r="F420" s="82" t="s">
        <v>118</v>
      </c>
      <c r="G420" s="82" t="s">
        <v>226</v>
      </c>
    </row>
    <row r="421" spans="5:7" s="82" customFormat="1" ht="25.5" hidden="1" customHeight="1" x14ac:dyDescent="0.25">
      <c r="E421" s="82" t="s">
        <v>118</v>
      </c>
      <c r="F421" s="82" t="s">
        <v>118</v>
      </c>
      <c r="G421" s="82" t="s">
        <v>665</v>
      </c>
    </row>
    <row r="422" spans="5:7" s="82" customFormat="1" ht="25.5" hidden="1" customHeight="1" x14ac:dyDescent="0.25">
      <c r="E422" s="82" t="s">
        <v>118</v>
      </c>
      <c r="F422" s="82" t="s">
        <v>118</v>
      </c>
      <c r="G422" s="82" t="s">
        <v>559</v>
      </c>
    </row>
    <row r="423" spans="5:7" s="82" customFormat="1" ht="25.5" hidden="1" customHeight="1" x14ac:dyDescent="0.25">
      <c r="E423" s="82" t="s">
        <v>118</v>
      </c>
      <c r="F423" s="82" t="s">
        <v>227</v>
      </c>
      <c r="G423" s="82" t="s">
        <v>633</v>
      </c>
    </row>
    <row r="424" spans="5:7" s="82" customFormat="1" ht="25.5" hidden="1" customHeight="1" x14ac:dyDescent="0.25">
      <c r="E424" s="82" t="s">
        <v>118</v>
      </c>
      <c r="F424" s="82" t="s">
        <v>118</v>
      </c>
      <c r="G424" s="82" t="s">
        <v>338</v>
      </c>
    </row>
    <row r="425" spans="5:7" s="82" customFormat="1" ht="25.5" hidden="1" customHeight="1" x14ac:dyDescent="0.25">
      <c r="E425" s="82" t="s">
        <v>118</v>
      </c>
      <c r="F425" s="82" t="s">
        <v>227</v>
      </c>
      <c r="G425" s="82" t="s">
        <v>317</v>
      </c>
    </row>
    <row r="426" spans="5:7" s="82" customFormat="1" ht="25.5" hidden="1" customHeight="1" x14ac:dyDescent="0.25">
      <c r="E426" s="82" t="s">
        <v>118</v>
      </c>
      <c r="F426" s="82" t="s">
        <v>227</v>
      </c>
      <c r="G426" s="82" t="s">
        <v>420</v>
      </c>
    </row>
    <row r="427" spans="5:7" s="82" customFormat="1" ht="25.5" hidden="1" customHeight="1" x14ac:dyDescent="0.25">
      <c r="E427" s="82" t="s">
        <v>118</v>
      </c>
      <c r="F427" s="82" t="s">
        <v>227</v>
      </c>
      <c r="G427" s="82" t="s">
        <v>484</v>
      </c>
    </row>
    <row r="428" spans="5:7" s="82" customFormat="1" ht="25.5" hidden="1" customHeight="1" x14ac:dyDescent="0.25">
      <c r="E428" s="82" t="s">
        <v>118</v>
      </c>
      <c r="F428" s="82" t="s">
        <v>227</v>
      </c>
      <c r="G428" s="82" t="s">
        <v>485</v>
      </c>
    </row>
    <row r="429" spans="5:7" s="82" customFormat="1" ht="25.5" hidden="1" customHeight="1" x14ac:dyDescent="0.25">
      <c r="E429" s="82" t="s">
        <v>118</v>
      </c>
      <c r="F429" s="82" t="s">
        <v>121</v>
      </c>
      <c r="G429" s="82" t="s">
        <v>560</v>
      </c>
    </row>
    <row r="430" spans="5:7" s="82" customFormat="1" ht="25.5" hidden="1" customHeight="1" x14ac:dyDescent="0.25">
      <c r="E430" s="82" t="s">
        <v>118</v>
      </c>
      <c r="F430" s="82" t="s">
        <v>228</v>
      </c>
      <c r="G430" s="82" t="s">
        <v>634</v>
      </c>
    </row>
    <row r="431" spans="5:7" s="82" customFormat="1" ht="25.5" hidden="1" customHeight="1" x14ac:dyDescent="0.25">
      <c r="E431" s="82" t="s">
        <v>118</v>
      </c>
      <c r="F431" s="82" t="s">
        <v>228</v>
      </c>
      <c r="G431" s="82" t="s">
        <v>732</v>
      </c>
    </row>
    <row r="432" spans="5:7" s="82" customFormat="1" ht="25.5" hidden="1" customHeight="1" x14ac:dyDescent="0.25">
      <c r="E432" s="82" t="s">
        <v>118</v>
      </c>
      <c r="F432" s="82" t="s">
        <v>121</v>
      </c>
      <c r="G432" s="82" t="s">
        <v>561</v>
      </c>
    </row>
    <row r="433" spans="5:7" s="82" customFormat="1" ht="25.5" hidden="1" customHeight="1" x14ac:dyDescent="0.25">
      <c r="E433" s="82" t="s">
        <v>118</v>
      </c>
      <c r="F433" s="82" t="s">
        <v>121</v>
      </c>
      <c r="G433" s="82" t="s">
        <v>359</v>
      </c>
    </row>
    <row r="434" spans="5:7" s="82" customFormat="1" ht="25.5" hidden="1" customHeight="1" x14ac:dyDescent="0.25">
      <c r="E434" s="82" t="s">
        <v>118</v>
      </c>
      <c r="F434" s="82" t="s">
        <v>121</v>
      </c>
      <c r="G434" s="82" t="s">
        <v>421</v>
      </c>
    </row>
    <row r="435" spans="5:7" s="82" customFormat="1" ht="25.5" hidden="1" customHeight="1" x14ac:dyDescent="0.25">
      <c r="E435" s="82" t="s">
        <v>118</v>
      </c>
      <c r="F435" s="82" t="s">
        <v>150</v>
      </c>
      <c r="G435" s="82" t="s">
        <v>635</v>
      </c>
    </row>
    <row r="436" spans="5:7" s="82" customFormat="1" ht="25.5" hidden="1" customHeight="1" x14ac:dyDescent="0.25">
      <c r="E436" s="82" t="s">
        <v>118</v>
      </c>
      <c r="F436" s="82" t="s">
        <v>150</v>
      </c>
      <c r="G436" s="82" t="s">
        <v>562</v>
      </c>
    </row>
    <row r="437" spans="5:7" s="82" customFormat="1" ht="25.5" hidden="1" customHeight="1" x14ac:dyDescent="0.25">
      <c r="E437" s="82" t="s">
        <v>118</v>
      </c>
      <c r="F437" s="82" t="s">
        <v>150</v>
      </c>
      <c r="G437" s="82" t="s">
        <v>489</v>
      </c>
    </row>
    <row r="438" spans="5:7" s="82" customFormat="1" ht="25.5" hidden="1" customHeight="1" x14ac:dyDescent="0.25"/>
    <row r="439" spans="5:7" s="82" customFormat="1" ht="25.5" hidden="1" customHeight="1" x14ac:dyDescent="0.25"/>
    <row r="440" spans="5:7" s="82" customFormat="1" ht="25.5" hidden="1" customHeight="1" x14ac:dyDescent="0.25">
      <c r="E440" s="82" t="s">
        <v>118</v>
      </c>
      <c r="F440" s="82" t="s">
        <v>151</v>
      </c>
      <c r="G440" s="82" t="s">
        <v>636</v>
      </c>
    </row>
    <row r="441" spans="5:7" s="82" customFormat="1" ht="25.5" hidden="1" customHeight="1" x14ac:dyDescent="0.25">
      <c r="E441" s="82" t="s">
        <v>118</v>
      </c>
      <c r="F441" s="82" t="s">
        <v>151</v>
      </c>
      <c r="G441" s="82" t="s">
        <v>339</v>
      </c>
    </row>
    <row r="442" spans="5:7" s="82" customFormat="1" ht="25.5" hidden="1" customHeight="1" x14ac:dyDescent="0.25">
      <c r="E442" s="82" t="s">
        <v>118</v>
      </c>
      <c r="F442" s="82" t="s">
        <v>151</v>
      </c>
      <c r="G442" s="82" t="s">
        <v>491</v>
      </c>
    </row>
    <row r="443" spans="5:7" s="82" customFormat="1" ht="25.5" hidden="1" customHeight="1" x14ac:dyDescent="0.25"/>
    <row r="444" spans="5:7" s="82" customFormat="1" ht="25.5" hidden="1" customHeight="1" x14ac:dyDescent="0.25">
      <c r="E444" s="82" t="s">
        <v>118</v>
      </c>
      <c r="F444" s="82" t="s">
        <v>229</v>
      </c>
      <c r="G444" s="82" t="s">
        <v>230</v>
      </c>
    </row>
    <row r="445" spans="5:7" s="82" customFormat="1" ht="25.5" hidden="1" customHeight="1" x14ac:dyDescent="0.3">
      <c r="E445" s="82" t="s">
        <v>118</v>
      </c>
      <c r="F445" s="82" t="s">
        <v>152</v>
      </c>
      <c r="G445" s="83" t="s">
        <v>365</v>
      </c>
    </row>
    <row r="446" spans="5:7" s="82" customFormat="1" ht="25.5" hidden="1" customHeight="1" x14ac:dyDescent="0.25">
      <c r="E446" s="82" t="s">
        <v>118</v>
      </c>
      <c r="F446" s="82" t="s">
        <v>152</v>
      </c>
      <c r="G446" s="82" t="s">
        <v>502</v>
      </c>
    </row>
    <row r="447" spans="5:7" s="82" customFormat="1" ht="25.5" hidden="1" customHeight="1" x14ac:dyDescent="0.25"/>
    <row r="448" spans="5:7" s="82" customFormat="1" ht="25.5" hidden="1" customHeight="1" x14ac:dyDescent="0.25">
      <c r="E448" s="82" t="s">
        <v>118</v>
      </c>
      <c r="F448" s="82" t="s">
        <v>122</v>
      </c>
      <c r="G448" s="82" t="s">
        <v>563</v>
      </c>
    </row>
    <row r="449" spans="5:7" s="82" customFormat="1" ht="25.5" hidden="1" customHeight="1" x14ac:dyDescent="0.25">
      <c r="E449" s="82" t="s">
        <v>118</v>
      </c>
      <c r="F449" s="82" t="s">
        <v>231</v>
      </c>
      <c r="G449" s="82" t="s">
        <v>637</v>
      </c>
    </row>
    <row r="450" spans="5:7" s="82" customFormat="1" ht="25.5" hidden="1" customHeight="1" x14ac:dyDescent="0.25">
      <c r="E450" s="82" t="s">
        <v>118</v>
      </c>
      <c r="F450" s="82" t="s">
        <v>122</v>
      </c>
      <c r="G450" s="82" t="s">
        <v>356</v>
      </c>
    </row>
    <row r="451" spans="5:7" s="82" customFormat="1" ht="25.5" hidden="1" customHeight="1" x14ac:dyDescent="0.25">
      <c r="E451" s="82" t="s">
        <v>118</v>
      </c>
      <c r="F451" s="82" t="s">
        <v>122</v>
      </c>
      <c r="G451" s="82" t="s">
        <v>605</v>
      </c>
    </row>
    <row r="452" spans="5:7" s="82" customFormat="1" ht="25.5" hidden="1" customHeight="1" x14ac:dyDescent="0.25">
      <c r="E452" s="82" t="s">
        <v>118</v>
      </c>
      <c r="F452" s="82" t="s">
        <v>122</v>
      </c>
      <c r="G452" s="82" t="s">
        <v>519</v>
      </c>
    </row>
    <row r="453" spans="5:7" s="82" customFormat="1" ht="25.5" hidden="1" customHeight="1" x14ac:dyDescent="0.25">
      <c r="E453" s="82" t="s">
        <v>118</v>
      </c>
      <c r="F453" s="82" t="s">
        <v>122</v>
      </c>
      <c r="G453" s="82" t="s">
        <v>520</v>
      </c>
    </row>
    <row r="454" spans="5:7" s="82" customFormat="1" ht="25.5" hidden="1" customHeight="1" x14ac:dyDescent="0.25">
      <c r="E454" s="82" t="s">
        <v>118</v>
      </c>
      <c r="F454" s="82" t="s">
        <v>122</v>
      </c>
      <c r="G454" s="82" t="s">
        <v>521</v>
      </c>
    </row>
    <row r="455" spans="5:7" s="82" customFormat="1" ht="25.5" hidden="1" customHeight="1" x14ac:dyDescent="0.25">
      <c r="E455" s="82" t="s">
        <v>118</v>
      </c>
      <c r="F455" s="82" t="s">
        <v>122</v>
      </c>
      <c r="G455" s="82" t="s">
        <v>422</v>
      </c>
    </row>
    <row r="456" spans="5:7" s="82" customFormat="1" ht="25.5" hidden="1" customHeight="1" x14ac:dyDescent="0.25">
      <c r="E456" s="82" t="s">
        <v>117</v>
      </c>
      <c r="F456" s="82" t="s">
        <v>141</v>
      </c>
      <c r="G456" s="82" t="s">
        <v>638</v>
      </c>
    </row>
    <row r="457" spans="5:7" s="82" customFormat="1" ht="25.5" hidden="1" customHeight="1" x14ac:dyDescent="0.25">
      <c r="E457" s="82" t="s">
        <v>117</v>
      </c>
      <c r="F457" s="82" t="s">
        <v>141</v>
      </c>
      <c r="G457" s="82" t="s">
        <v>564</v>
      </c>
    </row>
    <row r="458" spans="5:7" s="82" customFormat="1" ht="25.5" hidden="1" customHeight="1" x14ac:dyDescent="0.25">
      <c r="E458" s="82" t="s">
        <v>117</v>
      </c>
      <c r="F458" s="82" t="s">
        <v>141</v>
      </c>
      <c r="G458" s="82" t="s">
        <v>784</v>
      </c>
    </row>
    <row r="459" spans="5:7" s="82" customFormat="1" ht="25.5" hidden="1" customHeight="1" x14ac:dyDescent="0.25">
      <c r="E459" s="82" t="s">
        <v>117</v>
      </c>
      <c r="F459" s="82" t="s">
        <v>141</v>
      </c>
      <c r="G459" s="82" t="s">
        <v>423</v>
      </c>
    </row>
    <row r="460" spans="5:7" s="82" customFormat="1" ht="25.5" hidden="1" customHeight="1" x14ac:dyDescent="0.25">
      <c r="E460" s="82" t="s">
        <v>117</v>
      </c>
      <c r="F460" s="82" t="s">
        <v>141</v>
      </c>
      <c r="G460" s="82" t="s">
        <v>801</v>
      </c>
    </row>
    <row r="461" spans="5:7" s="82" customFormat="1" ht="25.5" hidden="1" customHeight="1" x14ac:dyDescent="0.25">
      <c r="E461" s="82" t="s">
        <v>117</v>
      </c>
      <c r="F461" s="82" t="s">
        <v>141</v>
      </c>
      <c r="G461" s="82" t="s">
        <v>777</v>
      </c>
    </row>
    <row r="462" spans="5:7" s="82" customFormat="1" ht="25.5" hidden="1" customHeight="1" x14ac:dyDescent="0.25">
      <c r="E462" s="82" t="s">
        <v>117</v>
      </c>
      <c r="F462" s="82" t="s">
        <v>141</v>
      </c>
      <c r="G462" s="82" t="s">
        <v>707</v>
      </c>
    </row>
    <row r="463" spans="5:7" s="82" customFormat="1" ht="25.5" hidden="1" customHeight="1" x14ac:dyDescent="0.25">
      <c r="E463" s="82" t="s">
        <v>117</v>
      </c>
      <c r="F463" s="82" t="s">
        <v>141</v>
      </c>
      <c r="G463" s="82" t="s">
        <v>479</v>
      </c>
    </row>
    <row r="464" spans="5:7" s="82" customFormat="1" ht="25.5" hidden="1" customHeight="1" x14ac:dyDescent="0.25"/>
    <row r="465" spans="5:7" s="82" customFormat="1" ht="25.5" hidden="1" customHeight="1" x14ac:dyDescent="0.25">
      <c r="E465" s="82" t="s">
        <v>265</v>
      </c>
      <c r="F465" s="82" t="s">
        <v>265</v>
      </c>
      <c r="G465" s="82" t="s">
        <v>666</v>
      </c>
    </row>
    <row r="466" spans="5:7" s="82" customFormat="1" ht="25.5" hidden="1" customHeight="1" x14ac:dyDescent="0.25">
      <c r="E466" s="82" t="s">
        <v>117</v>
      </c>
      <c r="F466" s="82" t="s">
        <v>117</v>
      </c>
      <c r="G466" s="82" t="s">
        <v>565</v>
      </c>
    </row>
    <row r="467" spans="5:7" s="82" customFormat="1" ht="25.5" hidden="1" customHeight="1" x14ac:dyDescent="0.25">
      <c r="E467" s="82" t="s">
        <v>117</v>
      </c>
      <c r="F467" s="82" t="s">
        <v>232</v>
      </c>
      <c r="G467" s="82" t="s">
        <v>233</v>
      </c>
    </row>
    <row r="468" spans="5:7" s="82" customFormat="1" ht="25.5" hidden="1" customHeight="1" x14ac:dyDescent="0.25">
      <c r="E468" s="82" t="s">
        <v>117</v>
      </c>
      <c r="F468" s="82" t="s">
        <v>117</v>
      </c>
      <c r="G468" s="82" t="s">
        <v>343</v>
      </c>
    </row>
    <row r="469" spans="5:7" s="82" customFormat="1" ht="25.5" hidden="1" customHeight="1" x14ac:dyDescent="0.25">
      <c r="E469" s="82" t="s">
        <v>117</v>
      </c>
      <c r="F469" s="82" t="s">
        <v>232</v>
      </c>
      <c r="G469" s="82" t="s">
        <v>234</v>
      </c>
    </row>
    <row r="470" spans="5:7" s="82" customFormat="1" ht="25.5" hidden="1" customHeight="1" x14ac:dyDescent="0.25">
      <c r="E470" s="82" t="s">
        <v>117</v>
      </c>
      <c r="F470" s="82" t="s">
        <v>232</v>
      </c>
      <c r="G470" s="82" t="s">
        <v>731</v>
      </c>
    </row>
    <row r="471" spans="5:7" s="82" customFormat="1" ht="25.5" hidden="1" customHeight="1" x14ac:dyDescent="0.25">
      <c r="E471" s="82" t="s">
        <v>117</v>
      </c>
      <c r="F471" s="82" t="s">
        <v>117</v>
      </c>
      <c r="G471" s="82" t="s">
        <v>349</v>
      </c>
    </row>
    <row r="472" spans="5:7" s="82" customFormat="1" ht="25.5" hidden="1" customHeight="1" x14ac:dyDescent="0.25">
      <c r="E472" s="82" t="s">
        <v>117</v>
      </c>
      <c r="F472" s="82" t="s">
        <v>117</v>
      </c>
      <c r="G472" s="82" t="s">
        <v>424</v>
      </c>
    </row>
    <row r="473" spans="5:7" s="82" customFormat="1" ht="25.5" hidden="1" customHeight="1" x14ac:dyDescent="0.25">
      <c r="E473" s="82" t="s">
        <v>117</v>
      </c>
      <c r="F473" s="82" t="s">
        <v>117</v>
      </c>
      <c r="G473" s="82" t="s">
        <v>496</v>
      </c>
    </row>
    <row r="474" spans="5:7" s="82" customFormat="1" ht="25.5" hidden="1" customHeight="1" x14ac:dyDescent="0.25">
      <c r="E474" s="82" t="s">
        <v>117</v>
      </c>
      <c r="F474" s="82" t="s">
        <v>117</v>
      </c>
      <c r="G474" s="82" t="s">
        <v>804</v>
      </c>
    </row>
    <row r="475" spans="5:7" s="82" customFormat="1" ht="25.5" hidden="1" customHeight="1" x14ac:dyDescent="0.25">
      <c r="E475" s="82" t="s">
        <v>117</v>
      </c>
      <c r="F475" s="82" t="s">
        <v>117</v>
      </c>
      <c r="G475" s="82" t="s">
        <v>497</v>
      </c>
    </row>
    <row r="476" spans="5:7" s="82" customFormat="1" ht="25.5" hidden="1" customHeight="1" x14ac:dyDescent="0.25">
      <c r="E476" s="82" t="s">
        <v>117</v>
      </c>
      <c r="F476" s="82" t="s">
        <v>117</v>
      </c>
      <c r="G476" s="82" t="s">
        <v>498</v>
      </c>
    </row>
    <row r="477" spans="5:7" s="82" customFormat="1" ht="25.5" hidden="1" customHeight="1" x14ac:dyDescent="0.25">
      <c r="E477" s="82" t="s">
        <v>117</v>
      </c>
      <c r="F477" s="82" t="s">
        <v>117</v>
      </c>
      <c r="G477" s="82" t="s">
        <v>499</v>
      </c>
    </row>
    <row r="478" spans="5:7" s="82" customFormat="1" ht="25.5" hidden="1" customHeight="1" x14ac:dyDescent="0.25">
      <c r="E478" s="82" t="s">
        <v>117</v>
      </c>
      <c r="F478" s="82" t="s">
        <v>117</v>
      </c>
      <c r="G478" s="82" t="s">
        <v>500</v>
      </c>
    </row>
    <row r="479" spans="5:7" s="82" customFormat="1" ht="25.5" hidden="1" customHeight="1" x14ac:dyDescent="0.25"/>
    <row r="480" spans="5:7" s="82" customFormat="1" ht="25.5" hidden="1" customHeight="1" x14ac:dyDescent="0.25"/>
    <row r="481" spans="5:7" s="82" customFormat="1" ht="25.5" hidden="1" customHeight="1" x14ac:dyDescent="0.25"/>
    <row r="482" spans="5:7" s="82" customFormat="1" ht="25.5" hidden="1" customHeight="1" x14ac:dyDescent="0.25">
      <c r="E482" s="82" t="s">
        <v>117</v>
      </c>
      <c r="F482" s="82" t="s">
        <v>235</v>
      </c>
      <c r="G482" s="82" t="s">
        <v>236</v>
      </c>
    </row>
    <row r="483" spans="5:7" s="82" customFormat="1" ht="25.5" hidden="1" customHeight="1" x14ac:dyDescent="0.25">
      <c r="E483" s="82" t="s">
        <v>117</v>
      </c>
      <c r="F483" s="82" t="s">
        <v>237</v>
      </c>
      <c r="G483" s="82" t="s">
        <v>566</v>
      </c>
    </row>
    <row r="484" spans="5:7" s="82" customFormat="1" ht="25.5" hidden="1" customHeight="1" x14ac:dyDescent="0.25">
      <c r="E484" s="82" t="s">
        <v>117</v>
      </c>
      <c r="F484" s="82" t="s">
        <v>237</v>
      </c>
      <c r="G484" s="82" t="s">
        <v>351</v>
      </c>
    </row>
    <row r="485" spans="5:7" s="82" customFormat="1" ht="25.5" hidden="1" customHeight="1" x14ac:dyDescent="0.25">
      <c r="E485" s="82" t="s">
        <v>117</v>
      </c>
      <c r="F485" s="82" t="s">
        <v>237</v>
      </c>
      <c r="G485" s="82" t="s">
        <v>606</v>
      </c>
    </row>
    <row r="486" spans="5:7" s="82" customFormat="1" ht="25.5" hidden="1" customHeight="1" x14ac:dyDescent="0.25">
      <c r="E486" s="82" t="s">
        <v>117</v>
      </c>
      <c r="F486" s="82" t="s">
        <v>237</v>
      </c>
      <c r="G486" s="82" t="s">
        <v>508</v>
      </c>
    </row>
    <row r="487" spans="5:7" s="82" customFormat="1" ht="25.5" hidden="1" customHeight="1" x14ac:dyDescent="0.25">
      <c r="E487" s="82" t="s">
        <v>117</v>
      </c>
      <c r="F487" s="82" t="s">
        <v>237</v>
      </c>
      <c r="G487" s="82" t="s">
        <v>509</v>
      </c>
    </row>
    <row r="488" spans="5:7" s="82" customFormat="1" ht="25.5" hidden="1" customHeight="1" x14ac:dyDescent="0.25">
      <c r="E488" s="82" t="s">
        <v>117</v>
      </c>
      <c r="F488" s="82" t="s">
        <v>237</v>
      </c>
      <c r="G488" s="82" t="s">
        <v>798</v>
      </c>
    </row>
    <row r="489" spans="5:7" s="82" customFormat="1" ht="25.5" hidden="1" customHeight="1" x14ac:dyDescent="0.25">
      <c r="E489" s="82" t="s">
        <v>117</v>
      </c>
      <c r="F489" s="82" t="s">
        <v>237</v>
      </c>
      <c r="G489" s="82" t="s">
        <v>510</v>
      </c>
    </row>
    <row r="490" spans="5:7" s="82" customFormat="1" ht="25.5" hidden="1" customHeight="1" x14ac:dyDescent="0.25">
      <c r="E490" s="82" t="s">
        <v>117</v>
      </c>
      <c r="F490" s="82" t="s">
        <v>237</v>
      </c>
      <c r="G490" s="82" t="s">
        <v>768</v>
      </c>
    </row>
    <row r="491" spans="5:7" s="82" customFormat="1" ht="25.5" hidden="1" customHeight="1" x14ac:dyDescent="0.25">
      <c r="E491" s="82" t="s">
        <v>117</v>
      </c>
      <c r="F491" s="82" t="s">
        <v>237</v>
      </c>
      <c r="G491" s="82" t="s">
        <v>714</v>
      </c>
    </row>
    <row r="492" spans="5:7" s="82" customFormat="1" ht="25.5" hidden="1" customHeight="1" x14ac:dyDescent="0.25">
      <c r="E492" s="82" t="s">
        <v>117</v>
      </c>
      <c r="F492" s="82" t="s">
        <v>237</v>
      </c>
      <c r="G492" s="82" t="s">
        <v>425</v>
      </c>
    </row>
    <row r="493" spans="5:7" s="82" customFormat="1" ht="25.5" hidden="1" customHeight="1" x14ac:dyDescent="0.25">
      <c r="E493" s="82" t="s">
        <v>117</v>
      </c>
      <c r="F493" s="82" t="s">
        <v>147</v>
      </c>
      <c r="G493" s="82" t="s">
        <v>238</v>
      </c>
    </row>
    <row r="494" spans="5:7" s="82" customFormat="1" ht="25.5" hidden="1" customHeight="1" x14ac:dyDescent="0.25">
      <c r="E494" s="82" t="s">
        <v>117</v>
      </c>
      <c r="F494" s="82" t="s">
        <v>147</v>
      </c>
      <c r="G494" s="82" t="s">
        <v>567</v>
      </c>
    </row>
    <row r="495" spans="5:7" s="82" customFormat="1" ht="25.5" hidden="1" customHeight="1" x14ac:dyDescent="0.25">
      <c r="E495" s="82" t="s">
        <v>117</v>
      </c>
      <c r="F495" s="82" t="s">
        <v>147</v>
      </c>
      <c r="G495" s="82" t="s">
        <v>350</v>
      </c>
    </row>
    <row r="496" spans="5:7" s="82" customFormat="1" ht="25.5" hidden="1" customHeight="1" x14ac:dyDescent="0.25">
      <c r="E496" s="82" t="s">
        <v>117</v>
      </c>
      <c r="F496" s="82" t="s">
        <v>147</v>
      </c>
      <c r="G496" s="82" t="s">
        <v>607</v>
      </c>
    </row>
    <row r="497" spans="5:7" s="82" customFormat="1" ht="25.5" hidden="1" customHeight="1" x14ac:dyDescent="0.25">
      <c r="E497" s="82" t="s">
        <v>117</v>
      </c>
      <c r="F497" s="82" t="s">
        <v>147</v>
      </c>
      <c r="G497" s="82" t="s">
        <v>522</v>
      </c>
    </row>
    <row r="498" spans="5:7" s="82" customFormat="1" ht="25.5" hidden="1" customHeight="1" x14ac:dyDescent="0.25">
      <c r="E498" s="82" t="s">
        <v>117</v>
      </c>
      <c r="F498" s="82" t="s">
        <v>147</v>
      </c>
      <c r="G498" s="82" t="s">
        <v>523</v>
      </c>
    </row>
    <row r="499" spans="5:7" s="82" customFormat="1" ht="25.5" hidden="1" customHeight="1" x14ac:dyDescent="0.25">
      <c r="E499" s="82" t="s">
        <v>123</v>
      </c>
      <c r="F499" s="82" t="s">
        <v>124</v>
      </c>
      <c r="G499" s="82" t="s">
        <v>568</v>
      </c>
    </row>
    <row r="500" spans="5:7" s="82" customFormat="1" ht="25.5" hidden="1" customHeight="1" x14ac:dyDescent="0.25">
      <c r="E500" s="82" t="s">
        <v>123</v>
      </c>
      <c r="F500" s="82" t="s">
        <v>239</v>
      </c>
      <c r="G500" s="82" t="s">
        <v>667</v>
      </c>
    </row>
    <row r="501" spans="5:7" s="82" customFormat="1" ht="25.5" hidden="1" customHeight="1" x14ac:dyDescent="0.25">
      <c r="E501" s="82" t="s">
        <v>123</v>
      </c>
      <c r="F501" s="82" t="s">
        <v>240</v>
      </c>
      <c r="G501" s="82" t="s">
        <v>639</v>
      </c>
    </row>
    <row r="502" spans="5:7" s="82" customFormat="1" ht="25.5" hidden="1" customHeight="1" x14ac:dyDescent="0.25">
      <c r="E502" s="82" t="s">
        <v>123</v>
      </c>
      <c r="F502" s="82" t="s">
        <v>240</v>
      </c>
      <c r="G502" s="82" t="s">
        <v>715</v>
      </c>
    </row>
    <row r="503" spans="5:7" s="82" customFormat="1" ht="25.5" hidden="1" customHeight="1" x14ac:dyDescent="0.25">
      <c r="E503" s="82" t="s">
        <v>123</v>
      </c>
      <c r="F503" s="82" t="s">
        <v>124</v>
      </c>
      <c r="G503" s="82" t="s">
        <v>327</v>
      </c>
    </row>
    <row r="504" spans="5:7" s="82" customFormat="1" ht="25.5" hidden="1" customHeight="1" x14ac:dyDescent="0.25">
      <c r="E504" s="82" t="s">
        <v>123</v>
      </c>
      <c r="F504" s="82" t="s">
        <v>124</v>
      </c>
      <c r="G504" s="82" t="s">
        <v>842</v>
      </c>
    </row>
    <row r="505" spans="5:7" s="82" customFormat="1" ht="25.5" hidden="1" customHeight="1" x14ac:dyDescent="0.25">
      <c r="E505" s="82" t="s">
        <v>123</v>
      </c>
      <c r="F505" s="82" t="s">
        <v>124</v>
      </c>
      <c r="G505" s="82" t="s">
        <v>771</v>
      </c>
    </row>
    <row r="506" spans="5:7" s="82" customFormat="1" ht="25.5" hidden="1" customHeight="1" x14ac:dyDescent="0.25">
      <c r="E506" s="82" t="s">
        <v>123</v>
      </c>
      <c r="F506" s="82" t="s">
        <v>124</v>
      </c>
      <c r="G506" s="82" t="s">
        <v>772</v>
      </c>
    </row>
    <row r="507" spans="5:7" s="82" customFormat="1" ht="25.5" hidden="1" customHeight="1" x14ac:dyDescent="0.25">
      <c r="E507" s="82" t="s">
        <v>123</v>
      </c>
      <c r="F507" s="82" t="s">
        <v>124</v>
      </c>
      <c r="G507" s="82" t="s">
        <v>773</v>
      </c>
    </row>
    <row r="508" spans="5:7" s="82" customFormat="1" ht="25.5" hidden="1" customHeight="1" x14ac:dyDescent="0.25">
      <c r="E508" s="82" t="s">
        <v>123</v>
      </c>
      <c r="F508" s="82" t="s">
        <v>124</v>
      </c>
      <c r="G508" s="82" t="s">
        <v>774</v>
      </c>
    </row>
    <row r="509" spans="5:7" s="82" customFormat="1" ht="25.5" hidden="1" customHeight="1" x14ac:dyDescent="0.25">
      <c r="E509" s="82" t="s">
        <v>123</v>
      </c>
      <c r="F509" s="82" t="s">
        <v>124</v>
      </c>
      <c r="G509" s="82" t="s">
        <v>775</v>
      </c>
    </row>
    <row r="510" spans="5:7" s="82" customFormat="1" ht="25.5" hidden="1" customHeight="1" x14ac:dyDescent="0.25">
      <c r="E510" s="82" t="s">
        <v>123</v>
      </c>
      <c r="F510" s="82" t="s">
        <v>124</v>
      </c>
      <c r="G510" s="82" t="s">
        <v>466</v>
      </c>
    </row>
    <row r="511" spans="5:7" s="82" customFormat="1" ht="25.5" hidden="1" customHeight="1" x14ac:dyDescent="0.25">
      <c r="E511" s="82" t="s">
        <v>123</v>
      </c>
      <c r="F511" s="82" t="s">
        <v>124</v>
      </c>
      <c r="G511" s="82" t="s">
        <v>467</v>
      </c>
    </row>
    <row r="512" spans="5:7" s="82" customFormat="1" ht="25.5" hidden="1" customHeight="1" x14ac:dyDescent="0.25">
      <c r="E512" s="82" t="s">
        <v>123</v>
      </c>
      <c r="F512" s="82" t="s">
        <v>124</v>
      </c>
      <c r="G512" s="82" t="s">
        <v>468</v>
      </c>
    </row>
    <row r="513" spans="5:7" s="82" customFormat="1" ht="25.5" hidden="1" customHeight="1" x14ac:dyDescent="0.25">
      <c r="E513" s="82" t="s">
        <v>123</v>
      </c>
      <c r="F513" s="82" t="s">
        <v>124</v>
      </c>
      <c r="G513" s="82" t="s">
        <v>469</v>
      </c>
    </row>
    <row r="514" spans="5:7" s="82" customFormat="1" ht="25.5" hidden="1" customHeight="1" x14ac:dyDescent="0.25">
      <c r="E514" s="82" t="s">
        <v>123</v>
      </c>
      <c r="F514" s="82" t="s">
        <v>154</v>
      </c>
      <c r="G514" s="82" t="s">
        <v>640</v>
      </c>
    </row>
    <row r="515" spans="5:7" s="82" customFormat="1" ht="25.5" hidden="1" customHeight="1" x14ac:dyDescent="0.25">
      <c r="E515" s="82" t="s">
        <v>123</v>
      </c>
      <c r="F515" s="82" t="s">
        <v>154</v>
      </c>
      <c r="G515" s="82" t="s">
        <v>569</v>
      </c>
    </row>
    <row r="516" spans="5:7" s="82" customFormat="1" ht="25.5" hidden="1" customHeight="1" x14ac:dyDescent="0.25">
      <c r="E516" s="82" t="s">
        <v>123</v>
      </c>
      <c r="F516" s="82" t="s">
        <v>154</v>
      </c>
      <c r="G516" s="82" t="s">
        <v>780</v>
      </c>
    </row>
    <row r="517" spans="5:7" s="82" customFormat="1" ht="25.5" hidden="1" customHeight="1" x14ac:dyDescent="0.25">
      <c r="E517" s="82" t="s">
        <v>123</v>
      </c>
      <c r="F517" s="82" t="s">
        <v>154</v>
      </c>
      <c r="G517" s="82" t="s">
        <v>730</v>
      </c>
    </row>
    <row r="518" spans="5:7" s="82" customFormat="1" ht="25.5" hidden="1" customHeight="1" x14ac:dyDescent="0.25">
      <c r="E518" s="82" t="s">
        <v>123</v>
      </c>
      <c r="F518" s="82" t="s">
        <v>154</v>
      </c>
      <c r="G518" s="87" t="s">
        <v>326</v>
      </c>
    </row>
    <row r="519" spans="5:7" s="82" customFormat="1" ht="25.5" hidden="1" customHeight="1" x14ac:dyDescent="0.25">
      <c r="E519" s="82" t="s">
        <v>123</v>
      </c>
      <c r="F519" s="82" t="s">
        <v>154</v>
      </c>
      <c r="G519" s="82" t="s">
        <v>608</v>
      </c>
    </row>
    <row r="520" spans="5:7" s="82" customFormat="1" ht="25.5" hidden="1" customHeight="1" x14ac:dyDescent="0.25"/>
    <row r="521" spans="5:7" s="82" customFormat="1" ht="25.5" hidden="1" customHeight="1" x14ac:dyDescent="0.25">
      <c r="E521" s="82" t="s">
        <v>123</v>
      </c>
      <c r="F521" s="82" t="s">
        <v>241</v>
      </c>
      <c r="G521" s="82" t="s">
        <v>242</v>
      </c>
    </row>
    <row r="522" spans="5:7" s="82" customFormat="1" ht="25.5" hidden="1" customHeight="1" x14ac:dyDescent="0.25">
      <c r="E522" s="82" t="s">
        <v>123</v>
      </c>
      <c r="F522" s="82" t="s">
        <v>241</v>
      </c>
      <c r="G522" s="82" t="s">
        <v>716</v>
      </c>
    </row>
    <row r="523" spans="5:7" s="82" customFormat="1" ht="25.5" hidden="1" customHeight="1" x14ac:dyDescent="0.25">
      <c r="E523" s="82" t="s">
        <v>123</v>
      </c>
      <c r="F523" s="82" t="s">
        <v>241</v>
      </c>
      <c r="G523" s="82" t="s">
        <v>570</v>
      </c>
    </row>
    <row r="524" spans="5:7" s="82" customFormat="1" ht="25.5" hidden="1" customHeight="1" x14ac:dyDescent="0.25">
      <c r="E524" s="82" t="s">
        <v>123</v>
      </c>
      <c r="F524" s="82" t="s">
        <v>241</v>
      </c>
      <c r="G524" s="82" t="s">
        <v>427</v>
      </c>
    </row>
    <row r="525" spans="5:7" s="82" customFormat="1" ht="25.5" hidden="1" customHeight="1" x14ac:dyDescent="0.25"/>
    <row r="526" spans="5:7" s="82" customFormat="1" ht="25.5" hidden="1" customHeight="1" x14ac:dyDescent="0.25"/>
    <row r="527" spans="5:7" s="82" customFormat="1" ht="25.5" hidden="1" customHeight="1" x14ac:dyDescent="0.25">
      <c r="E527" s="82" t="s">
        <v>123</v>
      </c>
      <c r="F527" s="82" t="s">
        <v>153</v>
      </c>
      <c r="G527" s="82" t="s">
        <v>243</v>
      </c>
    </row>
    <row r="528" spans="5:7" s="82" customFormat="1" ht="25.5" hidden="1" customHeight="1" x14ac:dyDescent="0.25">
      <c r="E528" s="82" t="s">
        <v>123</v>
      </c>
      <c r="F528" s="82" t="s">
        <v>153</v>
      </c>
      <c r="G528" s="82" t="s">
        <v>571</v>
      </c>
    </row>
    <row r="529" spans="5:7" s="82" customFormat="1" ht="25.5" hidden="1" customHeight="1" x14ac:dyDescent="0.25">
      <c r="E529" s="82" t="s">
        <v>123</v>
      </c>
      <c r="F529" s="82" t="s">
        <v>153</v>
      </c>
      <c r="G529" s="82" t="s">
        <v>783</v>
      </c>
    </row>
    <row r="530" spans="5:7" s="82" customFormat="1" ht="25.5" hidden="1" customHeight="1" x14ac:dyDescent="0.25">
      <c r="E530" s="82" t="s">
        <v>123</v>
      </c>
      <c r="F530" s="82" t="s">
        <v>153</v>
      </c>
      <c r="G530" s="82" t="s">
        <v>713</v>
      </c>
    </row>
    <row r="531" spans="5:7" s="82" customFormat="1" ht="25.5" hidden="1" customHeight="1" x14ac:dyDescent="0.25">
      <c r="E531" s="82" t="s">
        <v>123</v>
      </c>
      <c r="F531" s="82" t="s">
        <v>153</v>
      </c>
      <c r="G531" s="82" t="s">
        <v>393</v>
      </c>
    </row>
    <row r="532" spans="5:7" s="82" customFormat="1" ht="25.5" hidden="1" customHeight="1" x14ac:dyDescent="0.25">
      <c r="E532" s="82" t="s">
        <v>123</v>
      </c>
      <c r="F532" s="82" t="s">
        <v>153</v>
      </c>
      <c r="G532" s="82" t="s">
        <v>428</v>
      </c>
    </row>
    <row r="533" spans="5:7" s="82" customFormat="1" ht="25.5" hidden="1" customHeight="1" x14ac:dyDescent="0.25">
      <c r="E533" s="82" t="s">
        <v>123</v>
      </c>
      <c r="F533" s="82" t="s">
        <v>153</v>
      </c>
      <c r="G533" s="82" t="s">
        <v>501</v>
      </c>
    </row>
    <row r="534" spans="5:7" s="82" customFormat="1" ht="25.5" hidden="1" customHeight="1" x14ac:dyDescent="0.25">
      <c r="E534" s="82" t="s">
        <v>123</v>
      </c>
      <c r="F534" s="82" t="s">
        <v>125</v>
      </c>
      <c r="G534" s="82" t="s">
        <v>572</v>
      </c>
    </row>
    <row r="535" spans="5:7" s="82" customFormat="1" ht="25.5" hidden="1" customHeight="1" x14ac:dyDescent="0.25">
      <c r="E535" s="82" t="s">
        <v>123</v>
      </c>
      <c r="F535" s="82" t="s">
        <v>125</v>
      </c>
      <c r="G535" s="82" t="s">
        <v>795</v>
      </c>
    </row>
    <row r="536" spans="5:7" s="82" customFormat="1" ht="25.5" hidden="1" customHeight="1" x14ac:dyDescent="0.25">
      <c r="E536" s="82" t="s">
        <v>123</v>
      </c>
      <c r="F536" s="82" t="s">
        <v>244</v>
      </c>
      <c r="G536" s="82" t="s">
        <v>641</v>
      </c>
    </row>
    <row r="537" spans="5:7" s="82" customFormat="1" ht="25.5" hidden="1" customHeight="1" x14ac:dyDescent="0.25">
      <c r="E537" s="82" t="s">
        <v>123</v>
      </c>
      <c r="F537" s="82" t="s">
        <v>244</v>
      </c>
      <c r="G537" s="82" t="s">
        <v>770</v>
      </c>
    </row>
    <row r="538" spans="5:7" s="82" customFormat="1" ht="25.5" hidden="1" customHeight="1" x14ac:dyDescent="0.25">
      <c r="E538" s="82" t="s">
        <v>123</v>
      </c>
      <c r="F538" s="82" t="s">
        <v>244</v>
      </c>
      <c r="G538" s="82" t="s">
        <v>729</v>
      </c>
    </row>
    <row r="539" spans="5:7" s="82" customFormat="1" ht="25.5" hidden="1" customHeight="1" x14ac:dyDescent="0.25">
      <c r="E539" s="82" t="s">
        <v>123</v>
      </c>
      <c r="F539" s="82" t="s">
        <v>125</v>
      </c>
      <c r="G539" s="82" t="s">
        <v>320</v>
      </c>
    </row>
    <row r="540" spans="5:7" s="82" customFormat="1" ht="25.5" hidden="1" customHeight="1" x14ac:dyDescent="0.25">
      <c r="E540" s="82" t="s">
        <v>123</v>
      </c>
      <c r="F540" s="82" t="s">
        <v>125</v>
      </c>
      <c r="G540" s="82" t="s">
        <v>506</v>
      </c>
    </row>
    <row r="541" spans="5:7" s="82" customFormat="1" ht="25.5" hidden="1" customHeight="1" x14ac:dyDescent="0.25">
      <c r="E541" s="82" t="s">
        <v>123</v>
      </c>
      <c r="F541" s="82" t="s">
        <v>125</v>
      </c>
      <c r="G541" s="82" t="s">
        <v>705</v>
      </c>
    </row>
    <row r="542" spans="5:7" s="82" customFormat="1" ht="25.5" hidden="1" customHeight="1" x14ac:dyDescent="0.25">
      <c r="E542" s="82" t="s">
        <v>123</v>
      </c>
      <c r="F542" s="82" t="s">
        <v>125</v>
      </c>
      <c r="G542" s="82" t="s">
        <v>507</v>
      </c>
    </row>
    <row r="543" spans="5:7" s="82" customFormat="1" ht="25.5" hidden="1" customHeight="1" x14ac:dyDescent="0.25">
      <c r="E543" s="82" t="s">
        <v>123</v>
      </c>
      <c r="F543" s="82" t="s">
        <v>127</v>
      </c>
      <c r="G543" s="82" t="s">
        <v>573</v>
      </c>
    </row>
    <row r="544" spans="5:7" s="82" customFormat="1" ht="25.5" hidden="1" customHeight="1" x14ac:dyDescent="0.25">
      <c r="E544" s="82" t="s">
        <v>123</v>
      </c>
      <c r="F544" s="82" t="s">
        <v>127</v>
      </c>
      <c r="G544" s="82" t="s">
        <v>791</v>
      </c>
    </row>
    <row r="545" spans="5:7" s="82" customFormat="1" ht="25.5" hidden="1" customHeight="1" x14ac:dyDescent="0.25">
      <c r="E545" s="82" t="s">
        <v>123</v>
      </c>
      <c r="F545" s="82" t="s">
        <v>127</v>
      </c>
      <c r="G545" s="82" t="s">
        <v>792</v>
      </c>
    </row>
    <row r="546" spans="5:7" s="82" customFormat="1" ht="25.5" hidden="1" customHeight="1" x14ac:dyDescent="0.25">
      <c r="E546" s="82" t="s">
        <v>123</v>
      </c>
      <c r="F546" s="82" t="s">
        <v>127</v>
      </c>
      <c r="G546" s="82" t="s">
        <v>793</v>
      </c>
    </row>
    <row r="547" spans="5:7" s="82" customFormat="1" ht="25.5" hidden="1" customHeight="1" x14ac:dyDescent="0.25">
      <c r="E547" s="82" t="s">
        <v>123</v>
      </c>
      <c r="F547" s="82" t="s">
        <v>127</v>
      </c>
      <c r="G547" s="82" t="s">
        <v>345</v>
      </c>
    </row>
    <row r="548" spans="5:7" s="82" customFormat="1" ht="25.5" hidden="1" customHeight="1" x14ac:dyDescent="0.25">
      <c r="E548" s="82" t="s">
        <v>123</v>
      </c>
      <c r="F548" s="82" t="s">
        <v>127</v>
      </c>
      <c r="G548" s="82" t="s">
        <v>728</v>
      </c>
    </row>
    <row r="549" spans="5:7" s="82" customFormat="1" ht="25.5" hidden="1" customHeight="1" x14ac:dyDescent="0.25">
      <c r="E549" s="82" t="s">
        <v>123</v>
      </c>
      <c r="F549" s="82" t="s">
        <v>245</v>
      </c>
      <c r="G549" s="82" t="s">
        <v>126</v>
      </c>
    </row>
    <row r="550" spans="5:7" s="82" customFormat="1" ht="25.5" hidden="1" customHeight="1" x14ac:dyDescent="0.25">
      <c r="E550" s="82" t="s">
        <v>123</v>
      </c>
      <c r="F550" s="82" t="s">
        <v>245</v>
      </c>
      <c r="G550" s="82" t="s">
        <v>429</v>
      </c>
    </row>
    <row r="551" spans="5:7" s="82" customFormat="1" ht="25.5" hidden="1" customHeight="1" x14ac:dyDescent="0.25">
      <c r="E551" s="82" t="s">
        <v>123</v>
      </c>
      <c r="F551" s="82" t="s">
        <v>245</v>
      </c>
      <c r="G551" s="82" t="s">
        <v>512</v>
      </c>
    </row>
    <row r="552" spans="5:7" s="82" customFormat="1" ht="25.5" hidden="1" customHeight="1" x14ac:dyDescent="0.25">
      <c r="E552" s="82" t="s">
        <v>123</v>
      </c>
      <c r="F552" s="82" t="s">
        <v>245</v>
      </c>
      <c r="G552" s="82" t="s">
        <v>513</v>
      </c>
    </row>
    <row r="553" spans="5:7" s="82" customFormat="1" ht="25.5" hidden="1" customHeight="1" x14ac:dyDescent="0.25">
      <c r="E553" s="82" t="s">
        <v>123</v>
      </c>
      <c r="F553" s="82" t="s">
        <v>123</v>
      </c>
      <c r="G553" s="82" t="s">
        <v>246</v>
      </c>
    </row>
    <row r="554" spans="5:7" s="82" customFormat="1" ht="25.5" hidden="1" customHeight="1" x14ac:dyDescent="0.25">
      <c r="E554" s="82" t="s">
        <v>123</v>
      </c>
      <c r="F554" s="82" t="s">
        <v>123</v>
      </c>
      <c r="G554" s="82" t="s">
        <v>668</v>
      </c>
    </row>
    <row r="555" spans="5:7" s="82" customFormat="1" ht="25.5" hidden="1" customHeight="1" x14ac:dyDescent="0.25">
      <c r="E555" s="82" t="s">
        <v>123</v>
      </c>
      <c r="F555" s="82" t="s">
        <v>247</v>
      </c>
      <c r="G555" s="82" t="s">
        <v>248</v>
      </c>
    </row>
    <row r="556" spans="5:7" s="82" customFormat="1" ht="25.5" hidden="1" customHeight="1" x14ac:dyDescent="0.25">
      <c r="E556" s="82" t="s">
        <v>123</v>
      </c>
      <c r="F556" s="82" t="s">
        <v>247</v>
      </c>
      <c r="G556" s="82" t="s">
        <v>721</v>
      </c>
    </row>
    <row r="557" spans="5:7" s="82" customFormat="1" ht="25.5" hidden="1" customHeight="1" x14ac:dyDescent="0.25">
      <c r="E557" s="82" t="s">
        <v>123</v>
      </c>
      <c r="F557" s="82" t="s">
        <v>247</v>
      </c>
      <c r="G557" s="82" t="s">
        <v>786</v>
      </c>
    </row>
    <row r="558" spans="5:7" s="82" customFormat="1" ht="25.5" hidden="1" customHeight="1" x14ac:dyDescent="0.25">
      <c r="E558" s="82" t="s">
        <v>123</v>
      </c>
      <c r="F558" s="82" t="s">
        <v>247</v>
      </c>
      <c r="G558" s="82" t="s">
        <v>805</v>
      </c>
    </row>
    <row r="559" spans="5:7" s="82" customFormat="1" ht="25.5" hidden="1" customHeight="1" x14ac:dyDescent="0.25">
      <c r="E559" s="82" t="s">
        <v>123</v>
      </c>
      <c r="F559" s="82" t="s">
        <v>247</v>
      </c>
      <c r="G559" s="82" t="s">
        <v>708</v>
      </c>
    </row>
    <row r="560" spans="5:7" s="82" customFormat="1" ht="25.5" hidden="1" customHeight="1" x14ac:dyDescent="0.25">
      <c r="E560" s="82" t="s">
        <v>123</v>
      </c>
      <c r="F560" s="82" t="s">
        <v>247</v>
      </c>
      <c r="G560" s="82" t="s">
        <v>426</v>
      </c>
    </row>
    <row r="561" spans="5:7" s="82" customFormat="1" ht="25.5" hidden="1" customHeight="1" x14ac:dyDescent="0.25">
      <c r="E561" s="82" t="s">
        <v>123</v>
      </c>
      <c r="F561" s="82" t="s">
        <v>247</v>
      </c>
      <c r="G561" s="82" t="s">
        <v>515</v>
      </c>
    </row>
    <row r="562" spans="5:7" s="82" customFormat="1" ht="25.5" hidden="1" customHeight="1" x14ac:dyDescent="0.25">
      <c r="E562" s="82" t="s">
        <v>123</v>
      </c>
      <c r="F562" s="82" t="s">
        <v>247</v>
      </c>
      <c r="G562" s="82" t="s">
        <v>516</v>
      </c>
    </row>
    <row r="563" spans="5:7" s="82" customFormat="1" ht="25.5" hidden="1" customHeight="1" x14ac:dyDescent="0.25">
      <c r="E563" s="82" t="s">
        <v>123</v>
      </c>
      <c r="F563" s="82" t="s">
        <v>247</v>
      </c>
      <c r="G563" s="82" t="s">
        <v>517</v>
      </c>
    </row>
    <row r="564" spans="5:7" s="82" customFormat="1" ht="25.5" hidden="1" customHeight="1" x14ac:dyDescent="0.25">
      <c r="E564" s="82" t="s">
        <v>123</v>
      </c>
      <c r="F564" s="82" t="s">
        <v>128</v>
      </c>
      <c r="G564" s="82" t="s">
        <v>642</v>
      </c>
    </row>
    <row r="565" spans="5:7" s="82" customFormat="1" ht="25.5" hidden="1" customHeight="1" x14ac:dyDescent="0.25">
      <c r="E565" s="82" t="s">
        <v>123</v>
      </c>
      <c r="F565" s="82" t="s">
        <v>128</v>
      </c>
      <c r="G565" s="82" t="s">
        <v>727</v>
      </c>
    </row>
    <row r="566" spans="5:7" s="82" customFormat="1" ht="25.5" hidden="1" customHeight="1" x14ac:dyDescent="0.25">
      <c r="E566" s="82" t="s">
        <v>123</v>
      </c>
      <c r="F566" s="82" t="s">
        <v>128</v>
      </c>
      <c r="G566" s="82" t="s">
        <v>574</v>
      </c>
    </row>
    <row r="567" spans="5:7" s="82" customFormat="1" ht="25.5" hidden="1" customHeight="1" x14ac:dyDescent="0.25">
      <c r="E567" s="82" t="s">
        <v>123</v>
      </c>
      <c r="F567" s="82" t="s">
        <v>128</v>
      </c>
      <c r="G567" s="82" t="s">
        <v>776</v>
      </c>
    </row>
    <row r="568" spans="5:7" s="82" customFormat="1" ht="25.5" hidden="1" customHeight="1" x14ac:dyDescent="0.25">
      <c r="E568" s="82" t="s">
        <v>123</v>
      </c>
      <c r="F568" s="82" t="s">
        <v>249</v>
      </c>
      <c r="G568" s="82" t="s">
        <v>328</v>
      </c>
    </row>
    <row r="569" spans="5:7" s="82" customFormat="1" ht="25.5" hidden="1" customHeight="1" x14ac:dyDescent="0.25">
      <c r="E569" s="82" t="s">
        <v>123</v>
      </c>
      <c r="F569" s="82" t="s">
        <v>249</v>
      </c>
      <c r="G569" s="82" t="s">
        <v>781</v>
      </c>
    </row>
    <row r="570" spans="5:7" s="82" customFormat="1" ht="25.5" hidden="1" customHeight="1" x14ac:dyDescent="0.25">
      <c r="E570" s="82" t="s">
        <v>123</v>
      </c>
      <c r="F570" s="82" t="s">
        <v>249</v>
      </c>
      <c r="G570" s="82" t="s">
        <v>524</v>
      </c>
    </row>
    <row r="571" spans="5:7" s="82" customFormat="1" ht="25.5" hidden="1" customHeight="1" x14ac:dyDescent="0.25">
      <c r="E571" s="82" t="s">
        <v>123</v>
      </c>
      <c r="F571" s="82" t="s">
        <v>249</v>
      </c>
      <c r="G571" s="82" t="s">
        <v>748</v>
      </c>
    </row>
    <row r="572" spans="5:7" s="82" customFormat="1" ht="25.5" hidden="1" customHeight="1" x14ac:dyDescent="0.25">
      <c r="E572" s="82" t="s">
        <v>123</v>
      </c>
      <c r="F572" s="82" t="s">
        <v>249</v>
      </c>
      <c r="G572" s="82" t="s">
        <v>525</v>
      </c>
    </row>
    <row r="573" spans="5:7" s="82" customFormat="1" ht="25.5" hidden="1" customHeight="1" x14ac:dyDescent="0.25"/>
    <row r="574" spans="5:7" s="82" customFormat="1" ht="25.5" hidden="1" customHeight="1" x14ac:dyDescent="0.25">
      <c r="E574" s="82" t="s">
        <v>129</v>
      </c>
      <c r="F574" s="82" t="s">
        <v>155</v>
      </c>
      <c r="G574" s="82" t="s">
        <v>643</v>
      </c>
    </row>
    <row r="575" spans="5:7" s="82" customFormat="1" ht="25.5" hidden="1" customHeight="1" x14ac:dyDescent="0.25">
      <c r="E575" s="82" t="s">
        <v>129</v>
      </c>
      <c r="F575" s="82" t="s">
        <v>155</v>
      </c>
      <c r="G575" s="82" t="s">
        <v>669</v>
      </c>
    </row>
    <row r="576" spans="5:7" s="82" customFormat="1" ht="25.5" hidden="1" customHeight="1" x14ac:dyDescent="0.25">
      <c r="E576" s="82" t="s">
        <v>129</v>
      </c>
      <c r="F576" s="82" t="s">
        <v>155</v>
      </c>
      <c r="G576" s="82" t="s">
        <v>782</v>
      </c>
    </row>
    <row r="577" spans="5:7" s="82" customFormat="1" ht="25.5" hidden="1" customHeight="1" x14ac:dyDescent="0.25">
      <c r="E577" s="82" t="s">
        <v>129</v>
      </c>
      <c r="F577" s="82" t="s">
        <v>155</v>
      </c>
      <c r="G577" s="82" t="s">
        <v>575</v>
      </c>
    </row>
    <row r="578" spans="5:7" s="82" customFormat="1" ht="25.5" hidden="1" customHeight="1" x14ac:dyDescent="0.25">
      <c r="E578" s="82" t="s">
        <v>129</v>
      </c>
      <c r="F578" s="82" t="s">
        <v>155</v>
      </c>
      <c r="G578" s="82" t="s">
        <v>789</v>
      </c>
    </row>
    <row r="579" spans="5:7" s="82" customFormat="1" ht="25.5" hidden="1" customHeight="1" x14ac:dyDescent="0.25">
      <c r="E579" s="82" t="s">
        <v>129</v>
      </c>
      <c r="F579" s="82" t="s">
        <v>155</v>
      </c>
      <c r="G579" s="82" t="s">
        <v>312</v>
      </c>
    </row>
    <row r="580" spans="5:7" s="82" customFormat="1" ht="25.5" hidden="1" customHeight="1" x14ac:dyDescent="0.25">
      <c r="E580" s="82" t="s">
        <v>129</v>
      </c>
      <c r="F580" s="82" t="s">
        <v>155</v>
      </c>
      <c r="G580" s="82" t="s">
        <v>361</v>
      </c>
    </row>
    <row r="581" spans="5:7" s="82" customFormat="1" ht="25.5" hidden="1" customHeight="1" x14ac:dyDescent="0.25">
      <c r="E581" s="82" t="s">
        <v>129</v>
      </c>
      <c r="F581" s="82" t="s">
        <v>155</v>
      </c>
      <c r="G581" s="82" t="s">
        <v>723</v>
      </c>
    </row>
    <row r="582" spans="5:7" s="82" customFormat="1" ht="25.5" hidden="1" customHeight="1" x14ac:dyDescent="0.25">
      <c r="E582" s="82" t="s">
        <v>129</v>
      </c>
      <c r="F582" s="82" t="s">
        <v>155</v>
      </c>
      <c r="G582" s="82" t="s">
        <v>397</v>
      </c>
    </row>
    <row r="583" spans="5:7" s="82" customFormat="1" ht="25.5" hidden="1" customHeight="1" x14ac:dyDescent="0.25">
      <c r="E583" s="82" t="s">
        <v>129</v>
      </c>
      <c r="F583" s="82" t="s">
        <v>155</v>
      </c>
      <c r="G583" s="82" t="s">
        <v>398</v>
      </c>
    </row>
    <row r="584" spans="5:7" s="82" customFormat="1" ht="25.5" hidden="1" customHeight="1" x14ac:dyDescent="0.25">
      <c r="E584" s="82" t="s">
        <v>129</v>
      </c>
      <c r="F584" s="82" t="s">
        <v>155</v>
      </c>
      <c r="G584" s="82" t="s">
        <v>430</v>
      </c>
    </row>
    <row r="585" spans="5:7" s="82" customFormat="1" ht="25.5" hidden="1" customHeight="1" x14ac:dyDescent="0.25">
      <c r="E585" s="82" t="s">
        <v>129</v>
      </c>
      <c r="F585" s="82" t="s">
        <v>155</v>
      </c>
      <c r="G585" s="82" t="s">
        <v>471</v>
      </c>
    </row>
    <row r="586" spans="5:7" s="82" customFormat="1" ht="25.5" hidden="1" customHeight="1" x14ac:dyDescent="0.25">
      <c r="E586" s="82" t="s">
        <v>129</v>
      </c>
      <c r="F586" s="82" t="s">
        <v>130</v>
      </c>
      <c r="G586" s="82" t="s">
        <v>576</v>
      </c>
    </row>
    <row r="587" spans="5:7" s="82" customFormat="1" ht="25.5" hidden="1" customHeight="1" x14ac:dyDescent="0.25">
      <c r="E587" s="82" t="s">
        <v>129</v>
      </c>
      <c r="F587" s="82" t="s">
        <v>341</v>
      </c>
      <c r="G587" s="82" t="s">
        <v>342</v>
      </c>
    </row>
    <row r="588" spans="5:7" s="82" customFormat="1" ht="25.5" hidden="1" customHeight="1" x14ac:dyDescent="0.25">
      <c r="E588" s="82" t="s">
        <v>129</v>
      </c>
      <c r="F588" s="82" t="s">
        <v>250</v>
      </c>
      <c r="G588" s="82" t="s">
        <v>644</v>
      </c>
    </row>
    <row r="589" spans="5:7" s="82" customFormat="1" ht="25.5" hidden="1" customHeight="1" x14ac:dyDescent="0.25">
      <c r="E589" s="82" t="s">
        <v>129</v>
      </c>
      <c r="F589" s="82" t="s">
        <v>250</v>
      </c>
      <c r="G589" s="82" t="s">
        <v>360</v>
      </c>
    </row>
    <row r="590" spans="5:7" s="82" customFormat="1" ht="25.5" hidden="1" customHeight="1" x14ac:dyDescent="0.25">
      <c r="E590" s="82" t="s">
        <v>129</v>
      </c>
      <c r="F590" s="82" t="s">
        <v>250</v>
      </c>
      <c r="G590" s="82" t="s">
        <v>794</v>
      </c>
    </row>
    <row r="591" spans="5:7" s="82" customFormat="1" ht="25.5" hidden="1" customHeight="1" x14ac:dyDescent="0.25">
      <c r="E591" s="82" t="s">
        <v>129</v>
      </c>
      <c r="F591" s="82" t="s">
        <v>250</v>
      </c>
      <c r="G591" s="82" t="s">
        <v>787</v>
      </c>
    </row>
    <row r="592" spans="5:7" s="82" customFormat="1" ht="25.5" hidden="1" customHeight="1" x14ac:dyDescent="0.25">
      <c r="E592" s="82" t="s">
        <v>129</v>
      </c>
      <c r="F592" s="82" t="s">
        <v>250</v>
      </c>
      <c r="G592" s="82" t="s">
        <v>609</v>
      </c>
    </row>
    <row r="593" spans="5:7" s="82" customFormat="1" ht="25.5" hidden="1" customHeight="1" x14ac:dyDescent="0.25">
      <c r="E593" s="82" t="s">
        <v>129</v>
      </c>
      <c r="F593" s="82" t="s">
        <v>250</v>
      </c>
      <c r="G593" s="82" t="s">
        <v>475</v>
      </c>
    </row>
    <row r="594" spans="5:7" s="82" customFormat="1" ht="25.5" hidden="1" customHeight="1" x14ac:dyDescent="0.25">
      <c r="E594" s="82" t="s">
        <v>129</v>
      </c>
      <c r="F594" s="82" t="s">
        <v>250</v>
      </c>
      <c r="G594" s="82" t="s">
        <v>476</v>
      </c>
    </row>
    <row r="595" spans="5:7" s="82" customFormat="1" ht="25.5" hidden="1" customHeight="1" x14ac:dyDescent="0.25">
      <c r="E595" s="82" t="s">
        <v>129</v>
      </c>
      <c r="F595" s="82" t="s">
        <v>131</v>
      </c>
      <c r="G595" s="82" t="s">
        <v>577</v>
      </c>
    </row>
    <row r="596" spans="5:7" s="82" customFormat="1" ht="25.5" hidden="1" customHeight="1" x14ac:dyDescent="0.25">
      <c r="E596" s="82" t="s">
        <v>129</v>
      </c>
      <c r="F596" s="82" t="s">
        <v>251</v>
      </c>
      <c r="G596" s="82" t="s">
        <v>645</v>
      </c>
    </row>
    <row r="597" spans="5:7" s="82" customFormat="1" ht="25.5" hidden="1" customHeight="1" x14ac:dyDescent="0.25">
      <c r="E597" s="82" t="s">
        <v>129</v>
      </c>
      <c r="F597" s="82" t="s">
        <v>251</v>
      </c>
      <c r="G597" s="82" t="s">
        <v>712</v>
      </c>
    </row>
    <row r="598" spans="5:7" s="82" customFormat="1" ht="25.5" hidden="1" customHeight="1" x14ac:dyDescent="0.25">
      <c r="E598" s="82" t="s">
        <v>129</v>
      </c>
      <c r="F598" s="82" t="s">
        <v>251</v>
      </c>
      <c r="G598" s="82" t="s">
        <v>394</v>
      </c>
    </row>
    <row r="599" spans="5:7" s="82" customFormat="1" ht="25.5" hidden="1" customHeight="1" x14ac:dyDescent="0.25">
      <c r="E599" s="82" t="s">
        <v>129</v>
      </c>
      <c r="F599" s="82" t="s">
        <v>251</v>
      </c>
      <c r="G599" s="82" t="s">
        <v>431</v>
      </c>
    </row>
    <row r="600" spans="5:7" s="82" customFormat="1" ht="25.5" hidden="1" customHeight="1" x14ac:dyDescent="0.25">
      <c r="E600" s="82" t="s">
        <v>129</v>
      </c>
      <c r="F600" s="82" t="s">
        <v>251</v>
      </c>
      <c r="G600" s="82" t="s">
        <v>487</v>
      </c>
    </row>
    <row r="601" spans="5:7" s="82" customFormat="1" ht="25.5" hidden="1" customHeight="1" x14ac:dyDescent="0.25">
      <c r="E601" s="82" t="s">
        <v>129</v>
      </c>
      <c r="F601" s="82" t="s">
        <v>156</v>
      </c>
      <c r="G601" s="82" t="s">
        <v>252</v>
      </c>
    </row>
    <row r="602" spans="5:7" s="82" customFormat="1" ht="25.5" hidden="1" customHeight="1" x14ac:dyDescent="0.25">
      <c r="E602" s="82" t="s">
        <v>129</v>
      </c>
      <c r="F602" s="82" t="s">
        <v>156</v>
      </c>
      <c r="G602" s="82" t="s">
        <v>578</v>
      </c>
    </row>
    <row r="603" spans="5:7" s="82" customFormat="1" ht="25.5" hidden="1" customHeight="1" x14ac:dyDescent="0.25">
      <c r="E603" s="82" t="s">
        <v>129</v>
      </c>
      <c r="F603" s="82" t="s">
        <v>156</v>
      </c>
      <c r="G603" s="82" t="s">
        <v>432</v>
      </c>
    </row>
    <row r="604" spans="5:7" s="82" customFormat="1" ht="25.5" hidden="1" customHeight="1" x14ac:dyDescent="0.25">
      <c r="E604" s="82" t="s">
        <v>129</v>
      </c>
      <c r="F604" s="82" t="s">
        <v>156</v>
      </c>
      <c r="G604" s="82" t="s">
        <v>488</v>
      </c>
    </row>
    <row r="605" spans="5:7" s="82" customFormat="1" ht="25.5" hidden="1" customHeight="1" x14ac:dyDescent="0.25"/>
    <row r="606" spans="5:7" s="82" customFormat="1" ht="25.5" hidden="1" customHeight="1" x14ac:dyDescent="0.25">
      <c r="E606" s="82" t="s">
        <v>129</v>
      </c>
      <c r="F606" s="82" t="s">
        <v>157</v>
      </c>
      <c r="G606" s="82" t="s">
        <v>253</v>
      </c>
    </row>
    <row r="607" spans="5:7" s="82" customFormat="1" ht="25.5" hidden="1" customHeight="1" x14ac:dyDescent="0.25">
      <c r="E607" s="82" t="s">
        <v>129</v>
      </c>
      <c r="F607" s="82" t="s">
        <v>157</v>
      </c>
      <c r="G607" s="82" t="s">
        <v>717</v>
      </c>
    </row>
    <row r="608" spans="5:7" s="82" customFormat="1" ht="25.5" hidden="1" customHeight="1" x14ac:dyDescent="0.25">
      <c r="E608" s="82" t="s">
        <v>129</v>
      </c>
      <c r="F608" s="82" t="s">
        <v>157</v>
      </c>
      <c r="G608" s="82" t="s">
        <v>778</v>
      </c>
    </row>
    <row r="609" spans="5:7" s="82" customFormat="1" ht="25.5" hidden="1" customHeight="1" x14ac:dyDescent="0.25">
      <c r="E609" s="82" t="s">
        <v>129</v>
      </c>
      <c r="F609" s="82" t="s">
        <v>157</v>
      </c>
      <c r="G609" s="82" t="s">
        <v>779</v>
      </c>
    </row>
    <row r="610" spans="5:7" s="82" customFormat="1" ht="25.5" hidden="1" customHeight="1" x14ac:dyDescent="0.25">
      <c r="E610" s="82" t="s">
        <v>129</v>
      </c>
      <c r="F610" s="82" t="s">
        <v>157</v>
      </c>
      <c r="G610" s="82" t="s">
        <v>579</v>
      </c>
    </row>
    <row r="611" spans="5:7" s="82" customFormat="1" ht="25.5" hidden="1" customHeight="1" x14ac:dyDescent="0.25">
      <c r="E611" s="82" t="s">
        <v>129</v>
      </c>
      <c r="F611" s="82" t="s">
        <v>157</v>
      </c>
      <c r="G611" s="82" t="s">
        <v>610</v>
      </c>
    </row>
    <row r="612" spans="5:7" s="82" customFormat="1" ht="25.5" hidden="1" customHeight="1" x14ac:dyDescent="0.25">
      <c r="E612" s="82" t="s">
        <v>129</v>
      </c>
      <c r="F612" s="82" t="s">
        <v>157</v>
      </c>
      <c r="G612" s="82" t="s">
        <v>395</v>
      </c>
    </row>
    <row r="613" spans="5:7" s="82" customFormat="1" ht="25.5" hidden="1" customHeight="1" x14ac:dyDescent="0.25">
      <c r="E613" s="82" t="s">
        <v>129</v>
      </c>
      <c r="F613" s="82" t="s">
        <v>157</v>
      </c>
      <c r="G613" s="82" t="s">
        <v>433</v>
      </c>
    </row>
    <row r="614" spans="5:7" s="82" customFormat="1" ht="25.5" hidden="1" customHeight="1" x14ac:dyDescent="0.25">
      <c r="E614" s="82" t="s">
        <v>129</v>
      </c>
      <c r="F614" s="82" t="s">
        <v>158</v>
      </c>
      <c r="G614" s="82" t="s">
        <v>254</v>
      </c>
    </row>
    <row r="615" spans="5:7" s="82" customFormat="1" ht="25.5" hidden="1" customHeight="1" x14ac:dyDescent="0.25">
      <c r="E615" s="82" t="s">
        <v>129</v>
      </c>
      <c r="F615" s="82" t="s">
        <v>158</v>
      </c>
      <c r="G615" s="82" t="s">
        <v>749</v>
      </c>
    </row>
    <row r="616" spans="5:7" s="82" customFormat="1" ht="25.5" hidden="1" customHeight="1" x14ac:dyDescent="0.25">
      <c r="E616" s="82" t="s">
        <v>129</v>
      </c>
      <c r="F616" s="82" t="s">
        <v>158</v>
      </c>
      <c r="G616" s="82" t="s">
        <v>725</v>
      </c>
    </row>
    <row r="617" spans="5:7" s="82" customFormat="1" ht="25.5" hidden="1" customHeight="1" x14ac:dyDescent="0.25">
      <c r="E617" s="82" t="s">
        <v>129</v>
      </c>
      <c r="F617" s="82" t="s">
        <v>158</v>
      </c>
      <c r="G617" s="82" t="s">
        <v>580</v>
      </c>
    </row>
    <row r="618" spans="5:7" s="82" customFormat="1" ht="25.5" hidden="1" customHeight="1" x14ac:dyDescent="0.25">
      <c r="E618" s="82" t="s">
        <v>129</v>
      </c>
      <c r="F618" s="82" t="s">
        <v>158</v>
      </c>
      <c r="G618" s="82" t="s">
        <v>396</v>
      </c>
    </row>
    <row r="619" spans="5:7" s="82" customFormat="1" ht="25.5" hidden="1" customHeight="1" x14ac:dyDescent="0.25"/>
    <row r="620" spans="5:7" s="82" customFormat="1" ht="25.5" hidden="1" customHeight="1" x14ac:dyDescent="0.25">
      <c r="E620" s="82" t="s">
        <v>129</v>
      </c>
      <c r="F620" s="82" t="s">
        <v>255</v>
      </c>
      <c r="G620" s="82" t="s">
        <v>646</v>
      </c>
    </row>
    <row r="621" spans="5:7" s="82" customFormat="1" ht="25.5" hidden="1" customHeight="1" x14ac:dyDescent="0.25">
      <c r="E621" s="82" t="s">
        <v>129</v>
      </c>
      <c r="F621" s="82" t="s">
        <v>129</v>
      </c>
      <c r="G621" s="82" t="s">
        <v>256</v>
      </c>
    </row>
    <row r="622" spans="5:7" s="82" customFormat="1" ht="25.5" hidden="1" customHeight="1" x14ac:dyDescent="0.25">
      <c r="E622" s="82" t="s">
        <v>129</v>
      </c>
      <c r="F622" s="82" t="s">
        <v>129</v>
      </c>
      <c r="G622" s="82" t="s">
        <v>790</v>
      </c>
    </row>
    <row r="623" spans="5:7" s="82" customFormat="1" ht="25.5" hidden="1" customHeight="1" x14ac:dyDescent="0.25">
      <c r="E623" s="82" t="s">
        <v>129</v>
      </c>
      <c r="F623" s="82" t="s">
        <v>129</v>
      </c>
      <c r="G623" s="82" t="s">
        <v>722</v>
      </c>
    </row>
    <row r="624" spans="5:7" s="82" customFormat="1" ht="25.5" hidden="1" customHeight="1" x14ac:dyDescent="0.25">
      <c r="E624" s="82" t="s">
        <v>129</v>
      </c>
      <c r="F624" s="82" t="s">
        <v>129</v>
      </c>
      <c r="G624" s="82" t="s">
        <v>785</v>
      </c>
    </row>
    <row r="625" spans="5:7" s="82" customFormat="1" ht="25.5" hidden="1" customHeight="1" x14ac:dyDescent="0.25">
      <c r="E625" s="82" t="s">
        <v>129</v>
      </c>
      <c r="F625" s="82" t="s">
        <v>129</v>
      </c>
      <c r="G625" s="82" t="s">
        <v>340</v>
      </c>
    </row>
    <row r="626" spans="5:7" s="82" customFormat="1" ht="25.5" hidden="1" customHeight="1" x14ac:dyDescent="0.25">
      <c r="E626" s="82" t="s">
        <v>129</v>
      </c>
      <c r="F626" s="82" t="s">
        <v>129</v>
      </c>
      <c r="G626" s="82" t="s">
        <v>611</v>
      </c>
    </row>
    <row r="627" spans="5:7" s="82" customFormat="1" ht="25.5" hidden="1" customHeight="1" x14ac:dyDescent="0.25">
      <c r="E627" s="82" t="s">
        <v>129</v>
      </c>
      <c r="F627" s="82" t="s">
        <v>129</v>
      </c>
      <c r="G627" s="82" t="s">
        <v>434</v>
      </c>
    </row>
    <row r="628" spans="5:7" s="82" customFormat="1" ht="25.5" hidden="1" customHeight="1" x14ac:dyDescent="0.25">
      <c r="E628" s="82" t="s">
        <v>129</v>
      </c>
      <c r="F628" s="82" t="s">
        <v>129</v>
      </c>
      <c r="G628" s="82" t="s">
        <v>518</v>
      </c>
    </row>
    <row r="629" spans="5:7" s="82" customFormat="1" ht="25.5" hidden="1" customHeight="1" x14ac:dyDescent="0.25">
      <c r="E629" s="82" t="s">
        <v>129</v>
      </c>
      <c r="F629" s="82" t="s">
        <v>159</v>
      </c>
      <c r="G629" s="82" t="s">
        <v>581</v>
      </c>
    </row>
    <row r="630" spans="5:7" s="82" customFormat="1" ht="25.5" hidden="1" customHeight="1" x14ac:dyDescent="0.25">
      <c r="E630" s="82" t="s">
        <v>129</v>
      </c>
      <c r="F630" s="82" t="s">
        <v>159</v>
      </c>
      <c r="G630" s="82" t="s">
        <v>647</v>
      </c>
    </row>
    <row r="631" spans="5:7" s="82" customFormat="1" ht="25.5" hidden="1" customHeight="1" x14ac:dyDescent="0.25">
      <c r="E631" s="82" t="s">
        <v>129</v>
      </c>
      <c r="F631" s="82" t="s">
        <v>159</v>
      </c>
      <c r="G631" s="82" t="s">
        <v>724</v>
      </c>
    </row>
    <row r="632" spans="5:7" s="82" customFormat="1" ht="25.5" hidden="1" customHeight="1" x14ac:dyDescent="0.25">
      <c r="E632" s="82" t="s">
        <v>129</v>
      </c>
      <c r="F632" s="82" t="s">
        <v>159</v>
      </c>
      <c r="G632" s="82" t="s">
        <v>612</v>
      </c>
    </row>
    <row r="633" spans="5:7" s="82" customFormat="1" ht="25.5" hidden="1" customHeight="1" x14ac:dyDescent="0.25">
      <c r="E633" s="82" t="s">
        <v>129</v>
      </c>
      <c r="F633" s="82" t="s">
        <v>159</v>
      </c>
      <c r="G633" s="82" t="s">
        <v>435</v>
      </c>
    </row>
    <row r="634" spans="5:7" s="82" customFormat="1" ht="25.5" hidden="1" customHeight="1" x14ac:dyDescent="0.25">
      <c r="E634" s="82" t="s">
        <v>129</v>
      </c>
      <c r="F634" s="82" t="s">
        <v>159</v>
      </c>
      <c r="G634" s="82" t="s">
        <v>671</v>
      </c>
    </row>
    <row r="635" spans="5:7" s="82" customFormat="1" ht="25.5" hidden="1" customHeight="1" x14ac:dyDescent="0.25">
      <c r="E635" s="82" t="s">
        <v>132</v>
      </c>
      <c r="F635" s="82" t="s">
        <v>133</v>
      </c>
      <c r="G635" s="82" t="s">
        <v>582</v>
      </c>
    </row>
    <row r="636" spans="5:7" s="82" customFormat="1" ht="25.5" hidden="1" customHeight="1" x14ac:dyDescent="0.25">
      <c r="E636" s="82" t="s">
        <v>132</v>
      </c>
      <c r="F636" s="82" t="s">
        <v>133</v>
      </c>
      <c r="G636" s="82" t="s">
        <v>346</v>
      </c>
    </row>
    <row r="637" spans="5:7" s="82" customFormat="1" ht="25.5" hidden="1" customHeight="1" x14ac:dyDescent="0.25">
      <c r="E637" s="82" t="s">
        <v>132</v>
      </c>
      <c r="F637" s="82" t="s">
        <v>257</v>
      </c>
      <c r="G637" s="82" t="s">
        <v>258</v>
      </c>
    </row>
    <row r="638" spans="5:7" s="82" customFormat="1" ht="25.5" hidden="1" customHeight="1" x14ac:dyDescent="0.25">
      <c r="E638" s="82" t="s">
        <v>132</v>
      </c>
      <c r="F638" s="82" t="s">
        <v>257</v>
      </c>
      <c r="G638" s="82" t="s">
        <v>726</v>
      </c>
    </row>
    <row r="639" spans="5:7" s="82" customFormat="1" ht="25.5" hidden="1" customHeight="1" x14ac:dyDescent="0.25">
      <c r="E639" s="82" t="s">
        <v>132</v>
      </c>
      <c r="F639" s="82" t="s">
        <v>257</v>
      </c>
      <c r="G639" s="82" t="s">
        <v>374</v>
      </c>
    </row>
    <row r="640" spans="5:7" s="82" customFormat="1" ht="25.5" hidden="1" customHeight="1" x14ac:dyDescent="0.25">
      <c r="E640" s="82" t="s">
        <v>132</v>
      </c>
      <c r="F640" s="82" t="s">
        <v>257</v>
      </c>
      <c r="G640" s="82" t="s">
        <v>386</v>
      </c>
    </row>
    <row r="641" spans="5:7" s="82" customFormat="1" ht="25.5" hidden="1" customHeight="1" x14ac:dyDescent="0.25">
      <c r="E641" s="82" t="s">
        <v>132</v>
      </c>
      <c r="F641" s="82" t="s">
        <v>257</v>
      </c>
      <c r="G641" s="82" t="s">
        <v>613</v>
      </c>
    </row>
    <row r="642" spans="5:7" s="82" customFormat="1" ht="25.5" hidden="1" customHeight="1" x14ac:dyDescent="0.25">
      <c r="E642" s="82" t="s">
        <v>132</v>
      </c>
      <c r="F642" s="82" t="s">
        <v>257</v>
      </c>
      <c r="G642" s="82" t="s">
        <v>436</v>
      </c>
    </row>
    <row r="643" spans="5:7" s="82" customFormat="1" ht="25.5" hidden="1" customHeight="1" x14ac:dyDescent="0.25">
      <c r="E643" s="82" t="s">
        <v>132</v>
      </c>
      <c r="F643" s="82" t="s">
        <v>257</v>
      </c>
      <c r="G643" s="82" t="s">
        <v>437</v>
      </c>
    </row>
    <row r="644" spans="5:7" s="82" customFormat="1" ht="25.5" hidden="1" customHeight="1" x14ac:dyDescent="0.25"/>
    <row r="645" spans="5:7" s="82" customFormat="1" ht="25.5" hidden="1" customHeight="1" x14ac:dyDescent="0.25"/>
    <row r="646" spans="5:7" s="82" customFormat="1" ht="25.5" hidden="1" customHeight="1" x14ac:dyDescent="0.25">
      <c r="E646" s="82" t="s">
        <v>132</v>
      </c>
      <c r="F646" s="82" t="s">
        <v>160</v>
      </c>
      <c r="G646" s="82" t="s">
        <v>259</v>
      </c>
    </row>
    <row r="647" spans="5:7" s="82" customFormat="1" ht="25.5" hidden="1" customHeight="1" x14ac:dyDescent="0.25">
      <c r="E647" s="82" t="s">
        <v>132</v>
      </c>
      <c r="F647" s="82" t="s">
        <v>160</v>
      </c>
      <c r="G647" s="82" t="s">
        <v>347</v>
      </c>
    </row>
    <row r="648" spans="5:7" s="82" customFormat="1" ht="25.5" hidden="1" customHeight="1" x14ac:dyDescent="0.25">
      <c r="E648" s="82" t="s">
        <v>132</v>
      </c>
      <c r="F648" s="82" t="s">
        <v>260</v>
      </c>
      <c r="G648" s="82" t="s">
        <v>261</v>
      </c>
    </row>
    <row r="649" spans="5:7" s="82" customFormat="1" ht="25.5" hidden="1" customHeight="1" x14ac:dyDescent="0.25">
      <c r="E649" s="82" t="s">
        <v>132</v>
      </c>
      <c r="F649" s="82" t="s">
        <v>260</v>
      </c>
      <c r="G649" s="82" t="s">
        <v>364</v>
      </c>
    </row>
    <row r="650" spans="5:7" s="82" customFormat="1" ht="25.5" hidden="1" customHeight="1" x14ac:dyDescent="0.25">
      <c r="E650" s="82" t="s">
        <v>132</v>
      </c>
      <c r="F650" s="82" t="s">
        <v>260</v>
      </c>
      <c r="G650" s="82" t="s">
        <v>614</v>
      </c>
    </row>
    <row r="651" spans="5:7" s="82" customFormat="1" ht="25.5" hidden="1" customHeight="1" x14ac:dyDescent="0.25">
      <c r="E651" s="82" t="s">
        <v>132</v>
      </c>
      <c r="F651" s="82" t="s">
        <v>260</v>
      </c>
      <c r="G651" s="82" t="s">
        <v>492</v>
      </c>
    </row>
    <row r="652" spans="5:7" s="82" customFormat="1" ht="25.5" hidden="1" customHeight="1" x14ac:dyDescent="0.25">
      <c r="E652" s="82" t="s">
        <v>132</v>
      </c>
      <c r="F652" s="82" t="s">
        <v>260</v>
      </c>
      <c r="G652" s="82" t="s">
        <v>493</v>
      </c>
    </row>
    <row r="653" spans="5:7" s="82" customFormat="1" ht="25.5" hidden="1" customHeight="1" x14ac:dyDescent="0.25">
      <c r="E653" s="82" t="s">
        <v>132</v>
      </c>
      <c r="F653" s="82" t="s">
        <v>134</v>
      </c>
      <c r="G653" s="82" t="s">
        <v>583</v>
      </c>
    </row>
    <row r="654" spans="5:7" s="82" customFormat="1" ht="25.5" hidden="1" customHeight="1" x14ac:dyDescent="0.25">
      <c r="E654" s="82" t="s">
        <v>132</v>
      </c>
      <c r="F654" s="82" t="s">
        <v>134</v>
      </c>
      <c r="G654" s="82" t="s">
        <v>348</v>
      </c>
    </row>
    <row r="655" spans="5:7" s="82" customFormat="1" ht="25.5" hidden="1" customHeight="1" x14ac:dyDescent="0.25">
      <c r="E655" s="82" t="s">
        <v>132</v>
      </c>
      <c r="F655" s="82" t="s">
        <v>262</v>
      </c>
      <c r="G655" s="82" t="s">
        <v>648</v>
      </c>
    </row>
    <row r="656" spans="5:7" s="82" customFormat="1" ht="25.5" hidden="1" customHeight="1" x14ac:dyDescent="0.25">
      <c r="E656" s="82" t="s">
        <v>132</v>
      </c>
      <c r="F656" s="82" t="s">
        <v>262</v>
      </c>
      <c r="G656" s="82" t="s">
        <v>363</v>
      </c>
    </row>
    <row r="657" spans="5:7" s="82" customFormat="1" ht="25.5" hidden="1" customHeight="1" x14ac:dyDescent="0.25">
      <c r="E657" s="82" t="s">
        <v>132</v>
      </c>
      <c r="F657" s="82" t="s">
        <v>262</v>
      </c>
      <c r="G657" s="82" t="s">
        <v>808</v>
      </c>
    </row>
    <row r="658" spans="5:7" s="82" customFormat="1" ht="25.5" hidden="1" customHeight="1" x14ac:dyDescent="0.25">
      <c r="E658" s="82" t="s">
        <v>132</v>
      </c>
      <c r="F658" s="82" t="s">
        <v>262</v>
      </c>
      <c r="G658" s="82" t="s">
        <v>615</v>
      </c>
    </row>
    <row r="659" spans="5:7" s="82" customFormat="1" ht="25.5" hidden="1" customHeight="1" x14ac:dyDescent="0.25">
      <c r="E659" s="82" t="s">
        <v>132</v>
      </c>
      <c r="F659" s="82" t="s">
        <v>262</v>
      </c>
      <c r="G659" s="82" t="s">
        <v>526</v>
      </c>
    </row>
    <row r="660" spans="5:7" s="82" customFormat="1" ht="25.5" hidden="1" customHeight="1" x14ac:dyDescent="0.25">
      <c r="E660" s="82" t="s">
        <v>132</v>
      </c>
      <c r="F660" s="82" t="s">
        <v>262</v>
      </c>
      <c r="G660" s="82" t="s">
        <v>527</v>
      </c>
    </row>
    <row r="661" spans="5:7" s="82" customFormat="1" ht="25.5" hidden="1" customHeight="1" x14ac:dyDescent="0.25">
      <c r="E661" s="82" t="s">
        <v>132</v>
      </c>
      <c r="F661" s="82" t="s">
        <v>262</v>
      </c>
      <c r="G661" s="82" t="s">
        <v>438</v>
      </c>
    </row>
    <row r="662" spans="5:7" s="82" customFormat="1" ht="25.5" hidden="1" customHeight="1" x14ac:dyDescent="0.25">
      <c r="E662" s="82" t="s">
        <v>132</v>
      </c>
      <c r="F662" s="82" t="s">
        <v>132</v>
      </c>
      <c r="G662" s="82" t="s">
        <v>263</v>
      </c>
    </row>
    <row r="663" spans="5:7" s="82" customFormat="1" ht="25.5" hidden="1" customHeight="1" x14ac:dyDescent="0.25">
      <c r="E663" s="82" t="s">
        <v>132</v>
      </c>
      <c r="F663" s="82" t="s">
        <v>132</v>
      </c>
      <c r="G663" s="82" t="s">
        <v>670</v>
      </c>
    </row>
    <row r="664" spans="5:7" s="82" customFormat="1" ht="25.5" hidden="1" customHeight="1" x14ac:dyDescent="0.25">
      <c r="E664" s="82" t="s">
        <v>132</v>
      </c>
      <c r="F664" s="82" t="s">
        <v>132</v>
      </c>
      <c r="G664" s="82" t="s">
        <v>584</v>
      </c>
    </row>
    <row r="665" spans="5:7" s="82" customFormat="1" ht="25.5" hidden="1" customHeight="1" x14ac:dyDescent="0.25">
      <c r="E665" s="82" t="s">
        <v>132</v>
      </c>
      <c r="F665" s="82" t="s">
        <v>264</v>
      </c>
      <c r="G665" s="82" t="s">
        <v>135</v>
      </c>
    </row>
    <row r="666" spans="5:7" s="82" customFormat="1" ht="25.5" hidden="1" customHeight="1" x14ac:dyDescent="0.25">
      <c r="E666" s="82" t="s">
        <v>132</v>
      </c>
      <c r="F666" s="82" t="s">
        <v>132</v>
      </c>
      <c r="G666" s="82" t="s">
        <v>362</v>
      </c>
    </row>
    <row r="667" spans="5:7" s="82" customFormat="1" ht="25.5" hidden="1" customHeight="1" x14ac:dyDescent="0.25">
      <c r="E667" s="82" t="s">
        <v>132</v>
      </c>
      <c r="F667" s="82" t="s">
        <v>132</v>
      </c>
      <c r="G667" s="82" t="s">
        <v>810</v>
      </c>
    </row>
    <row r="668" spans="5:7" s="82" customFormat="1" ht="25.5" hidden="1" customHeight="1" x14ac:dyDescent="0.25">
      <c r="E668" s="82" t="s">
        <v>132</v>
      </c>
      <c r="F668" s="82" t="s">
        <v>132</v>
      </c>
      <c r="G668" s="82" t="s">
        <v>809</v>
      </c>
    </row>
    <row r="669" spans="5:7" s="82" customFormat="1" ht="25.5" hidden="1" customHeight="1" x14ac:dyDescent="0.3">
      <c r="E669" s="82" t="s">
        <v>132</v>
      </c>
      <c r="F669" s="82" t="s">
        <v>264</v>
      </c>
      <c r="G669" s="83" t="s">
        <v>305</v>
      </c>
    </row>
    <row r="670" spans="5:7" s="82" customFormat="1" ht="25.5" hidden="1" customHeight="1" x14ac:dyDescent="0.25">
      <c r="E670" s="82" t="s">
        <v>132</v>
      </c>
      <c r="F670" s="82" t="s">
        <v>264</v>
      </c>
      <c r="G670" s="82" t="s">
        <v>389</v>
      </c>
    </row>
    <row r="671" spans="5:7" s="82" customFormat="1" ht="25.5" hidden="1" customHeight="1" x14ac:dyDescent="0.25">
      <c r="E671" s="82" t="s">
        <v>132</v>
      </c>
      <c r="F671" s="82" t="s">
        <v>264</v>
      </c>
      <c r="G671" s="82" t="s">
        <v>439</v>
      </c>
    </row>
    <row r="672" spans="5:7" s="82" customFormat="1" ht="25.5" hidden="1" customHeight="1" x14ac:dyDescent="0.25">
      <c r="E672" s="82" t="s">
        <v>132</v>
      </c>
      <c r="F672" s="82" t="s">
        <v>264</v>
      </c>
      <c r="G672" s="82" t="s">
        <v>528</v>
      </c>
    </row>
    <row r="673" spans="5:7" s="82" customFormat="1" ht="25.5" hidden="1" customHeight="1" x14ac:dyDescent="0.25">
      <c r="E673" s="82" t="s">
        <v>132</v>
      </c>
      <c r="F673" s="82" t="s">
        <v>264</v>
      </c>
      <c r="G673" s="82" t="s">
        <v>529</v>
      </c>
    </row>
    <row r="674" spans="5:7" s="82" customFormat="1" ht="25.5" hidden="1" customHeight="1" x14ac:dyDescent="0.25"/>
    <row r="675" spans="5:7" s="82" customFormat="1" ht="25.5" hidden="1" customHeight="1" x14ac:dyDescent="0.25"/>
    <row r="676" spans="5:7" s="82" customFormat="1" ht="25.5" hidden="1" customHeight="1" x14ac:dyDescent="0.25"/>
    <row r="677" spans="5:7" s="82" customFormat="1" ht="25.5" hidden="1" customHeight="1" x14ac:dyDescent="0.25"/>
    <row r="678" spans="5:7" s="82" customFormat="1" ht="25.5" hidden="1" customHeight="1" x14ac:dyDescent="0.25"/>
    <row r="679" spans="5:7" s="82" customFormat="1" ht="25.5" hidden="1" customHeight="1" x14ac:dyDescent="0.25"/>
    <row r="680" spans="5:7" s="82" customFormat="1" ht="25.5" hidden="1" customHeight="1" x14ac:dyDescent="0.25"/>
    <row r="681" spans="5:7" s="82" customFormat="1" ht="25.5" hidden="1" customHeight="1" x14ac:dyDescent="0.25"/>
    <row r="682" spans="5:7" s="82" customFormat="1" ht="25.5" hidden="1" customHeight="1" x14ac:dyDescent="0.25"/>
    <row r="683" spans="5:7" s="82" customFormat="1" ht="25.5" hidden="1" customHeight="1" x14ac:dyDescent="0.25"/>
    <row r="684" spans="5:7" s="82" customFormat="1" ht="25.5" hidden="1" customHeight="1" x14ac:dyDescent="0.25"/>
    <row r="685" spans="5:7" s="82" customFormat="1" ht="25.5" hidden="1" customHeight="1" x14ac:dyDescent="0.25"/>
    <row r="686" spans="5:7" s="82" customFormat="1" ht="25.5" hidden="1" customHeight="1" x14ac:dyDescent="0.25"/>
    <row r="687" spans="5:7" s="82" customFormat="1" ht="25.5" hidden="1" customHeight="1" x14ac:dyDescent="0.25"/>
    <row r="688" spans="5:7" s="82" customFormat="1" ht="25.5" hidden="1" customHeight="1" x14ac:dyDescent="0.25"/>
    <row r="689" s="82" customFormat="1" ht="25.5" hidden="1" customHeight="1" x14ac:dyDescent="0.25"/>
    <row r="690" s="82" customFormat="1" ht="25.5" hidden="1" customHeight="1" x14ac:dyDescent="0.25"/>
    <row r="691" s="82" customFormat="1" ht="25.5" hidden="1" customHeight="1" x14ac:dyDescent="0.25"/>
    <row r="692" s="82" customFormat="1" ht="25.5" hidden="1" customHeight="1" x14ac:dyDescent="0.25"/>
    <row r="693" s="82" customFormat="1" ht="25.5" hidden="1" customHeight="1" x14ac:dyDescent="0.25"/>
    <row r="694" s="82" customFormat="1" ht="25.5" hidden="1" customHeight="1" x14ac:dyDescent="0.25"/>
    <row r="695" s="82" customFormat="1" ht="25.5" hidden="1" customHeight="1" x14ac:dyDescent="0.25"/>
    <row r="696" s="82" customFormat="1" ht="25.5" hidden="1" customHeight="1" x14ac:dyDescent="0.25"/>
    <row r="697" s="82" customFormat="1" ht="25.5" hidden="1" customHeight="1" x14ac:dyDescent="0.25"/>
    <row r="698" s="82" customFormat="1" ht="25.5" hidden="1" customHeight="1" x14ac:dyDescent="0.25"/>
    <row r="699" s="82" customFormat="1" ht="25.5" hidden="1" customHeight="1" x14ac:dyDescent="0.25"/>
    <row r="700" s="82" customFormat="1" ht="25.5" hidden="1" customHeight="1" x14ac:dyDescent="0.25"/>
    <row r="701" s="82" customFormat="1" ht="25.5" hidden="1" customHeight="1" x14ac:dyDescent="0.25"/>
    <row r="702" s="82" customFormat="1" ht="25.5" hidden="1" customHeight="1" x14ac:dyDescent="0.25"/>
    <row r="703" s="82" customFormat="1" ht="25.5" hidden="1" customHeight="1" x14ac:dyDescent="0.25"/>
    <row r="704" s="82" customFormat="1" ht="25.5" hidden="1" customHeight="1" x14ac:dyDescent="0.25"/>
    <row r="705" s="82" customFormat="1" ht="25.5" hidden="1" customHeight="1" x14ac:dyDescent="0.25"/>
    <row r="706" s="82" customFormat="1" ht="25.5" hidden="1" customHeight="1" x14ac:dyDescent="0.25"/>
    <row r="707" s="82" customFormat="1" ht="25.5" hidden="1" customHeight="1" x14ac:dyDescent="0.25"/>
    <row r="708" s="82" customFormat="1" ht="25.5" hidden="1" customHeight="1" x14ac:dyDescent="0.25"/>
    <row r="709" s="82" customFormat="1" ht="25.5" hidden="1" customHeight="1" x14ac:dyDescent="0.25"/>
    <row r="710" s="82" customFormat="1" ht="25.5" hidden="1" customHeight="1" x14ac:dyDescent="0.25"/>
    <row r="711" s="82" customFormat="1" ht="25.5" hidden="1" customHeight="1" x14ac:dyDescent="0.25"/>
    <row r="712" s="82" customFormat="1" ht="25.5" hidden="1" customHeight="1" x14ac:dyDescent="0.25"/>
    <row r="713" s="82" customFormat="1" ht="25.5" hidden="1" customHeight="1" x14ac:dyDescent="0.25"/>
    <row r="714" s="82" customFormat="1" ht="25.5" hidden="1" customHeight="1" x14ac:dyDescent="0.25"/>
    <row r="715" s="82" customFormat="1" ht="25.5" hidden="1" customHeight="1" x14ac:dyDescent="0.25"/>
    <row r="716" s="82" customFormat="1" ht="25.5" hidden="1" customHeight="1" x14ac:dyDescent="0.25"/>
    <row r="717" s="82" customFormat="1" ht="25.5" hidden="1" customHeight="1" x14ac:dyDescent="0.25"/>
    <row r="718" s="82" customFormat="1" ht="25.5" hidden="1" customHeight="1" x14ac:dyDescent="0.25"/>
    <row r="719" s="82" customFormat="1" ht="25.5" hidden="1" customHeight="1" x14ac:dyDescent="0.25"/>
    <row r="720" s="82" customFormat="1" ht="25.5" hidden="1" customHeight="1" x14ac:dyDescent="0.25"/>
    <row r="721" s="82" customFormat="1" ht="25.5" hidden="1" customHeight="1" x14ac:dyDescent="0.25"/>
    <row r="722" s="82" customFormat="1" ht="25.5" hidden="1" customHeight="1" x14ac:dyDescent="0.25"/>
    <row r="723" s="82" customFormat="1" ht="25.5" hidden="1" customHeight="1" x14ac:dyDescent="0.25"/>
    <row r="724" s="82" customFormat="1" ht="25.5" hidden="1" customHeight="1" x14ac:dyDescent="0.25"/>
    <row r="725" s="82" customFormat="1" ht="25.5" hidden="1" customHeight="1" x14ac:dyDescent="0.25"/>
    <row r="726" s="82" customFormat="1" ht="25.5" hidden="1" customHeight="1" x14ac:dyDescent="0.25"/>
    <row r="727" s="82" customFormat="1" ht="25.5" hidden="1" customHeight="1" x14ac:dyDescent="0.25"/>
    <row r="728" s="82" customFormat="1" ht="25.5" hidden="1" customHeight="1" x14ac:dyDescent="0.25"/>
    <row r="729" s="82" customFormat="1" ht="25.5" hidden="1" customHeight="1" x14ac:dyDescent="0.25"/>
    <row r="730" s="82" customFormat="1" ht="25.5" hidden="1" customHeight="1" x14ac:dyDescent="0.25"/>
    <row r="731" s="82" customFormat="1" ht="25.5" hidden="1" customHeight="1" x14ac:dyDescent="0.25"/>
    <row r="732" s="82" customFormat="1" ht="25.5" hidden="1" customHeight="1" x14ac:dyDescent="0.25"/>
    <row r="733" s="82" customFormat="1" ht="25.5" hidden="1" customHeight="1" x14ac:dyDescent="0.25"/>
    <row r="734" s="82" customFormat="1" ht="25.5" hidden="1" customHeight="1" x14ac:dyDescent="0.25"/>
    <row r="735" s="82" customFormat="1" ht="25.5" hidden="1" customHeight="1" x14ac:dyDescent="0.25"/>
    <row r="736" s="82" customFormat="1" ht="25.5" hidden="1" customHeight="1" x14ac:dyDescent="0.25"/>
    <row r="737" s="82" customFormat="1" ht="25.5" hidden="1" customHeight="1" x14ac:dyDescent="0.25"/>
    <row r="738" s="82" customFormat="1" ht="25.5" hidden="1" customHeight="1" x14ac:dyDescent="0.25"/>
    <row r="739" s="82" customFormat="1" ht="25.5" hidden="1" customHeight="1" x14ac:dyDescent="0.25"/>
    <row r="740" s="82" customFormat="1" ht="25.5" hidden="1" customHeight="1" x14ac:dyDescent="0.25"/>
    <row r="741" s="82" customFormat="1" ht="25.5" hidden="1" customHeight="1" x14ac:dyDescent="0.25"/>
    <row r="742" s="82" customFormat="1" ht="25.5" hidden="1" customHeight="1" x14ac:dyDescent="0.25"/>
    <row r="743" s="82" customFormat="1" ht="25.5" hidden="1" customHeight="1" x14ac:dyDescent="0.25"/>
    <row r="744" s="82" customFormat="1" ht="25.5" hidden="1" customHeight="1" x14ac:dyDescent="0.25"/>
    <row r="745" s="82" customFormat="1" ht="25.5" hidden="1" customHeight="1" x14ac:dyDescent="0.25"/>
    <row r="746" s="82" customFormat="1" ht="25.5" hidden="1" customHeight="1" x14ac:dyDescent="0.25"/>
    <row r="747" s="82" customFormat="1" ht="25.5" hidden="1" customHeight="1" x14ac:dyDescent="0.25"/>
    <row r="748" s="82" customFormat="1" ht="25.5" hidden="1" customHeight="1" x14ac:dyDescent="0.25"/>
    <row r="749" s="82" customFormat="1" ht="25.5" hidden="1" customHeight="1" x14ac:dyDescent="0.25"/>
    <row r="750" s="82" customFormat="1" ht="25.5" hidden="1" customHeight="1" x14ac:dyDescent="0.25"/>
    <row r="751" s="82" customFormat="1" ht="25.5" hidden="1" customHeight="1" x14ac:dyDescent="0.25"/>
    <row r="752" s="82" customFormat="1" ht="25.5" hidden="1" customHeight="1" x14ac:dyDescent="0.25"/>
    <row r="753" s="82" customFormat="1" ht="25.5" hidden="1" customHeight="1" x14ac:dyDescent="0.25"/>
    <row r="754" s="82" customFormat="1" ht="25.5" hidden="1" customHeight="1" x14ac:dyDescent="0.25"/>
    <row r="755" s="82" customFormat="1" ht="25.5" hidden="1" customHeight="1" x14ac:dyDescent="0.25"/>
    <row r="756" s="82" customFormat="1" ht="25.5" hidden="1" customHeight="1" x14ac:dyDescent="0.25"/>
    <row r="757" s="82" customFormat="1" ht="25.5" hidden="1" customHeight="1" x14ac:dyDescent="0.25"/>
    <row r="758" s="82" customFormat="1" ht="25.5" hidden="1" customHeight="1" x14ac:dyDescent="0.25"/>
    <row r="759" s="82" customFormat="1" ht="25.5" hidden="1" customHeight="1" x14ac:dyDescent="0.25"/>
    <row r="760" s="82" customFormat="1" ht="25.5" hidden="1" customHeight="1" x14ac:dyDescent="0.25"/>
    <row r="761" s="82" customFormat="1" ht="25.5" hidden="1" customHeight="1" x14ac:dyDescent="0.25"/>
    <row r="762" s="82" customFormat="1" ht="25.5" hidden="1" customHeight="1" x14ac:dyDescent="0.25"/>
    <row r="763" s="82" customFormat="1" ht="25.5" hidden="1" customHeight="1" x14ac:dyDescent="0.25"/>
    <row r="764" s="82" customFormat="1" ht="25.5" hidden="1" customHeight="1" x14ac:dyDescent="0.25"/>
    <row r="765" s="82" customFormat="1" ht="25.5" hidden="1" customHeight="1" x14ac:dyDescent="0.25"/>
    <row r="766" s="82" customFormat="1" ht="25.5" hidden="1" customHeight="1" x14ac:dyDescent="0.25"/>
    <row r="767" s="82" customFormat="1" ht="25.5" hidden="1" customHeight="1" x14ac:dyDescent="0.25"/>
    <row r="768" s="82" customFormat="1" ht="25.5" hidden="1" customHeight="1" x14ac:dyDescent="0.25"/>
    <row r="769" s="82" customFormat="1" ht="25.5" hidden="1" customHeight="1" x14ac:dyDescent="0.25"/>
    <row r="770" s="82" customFormat="1" ht="25.5" hidden="1" customHeight="1" x14ac:dyDescent="0.25"/>
    <row r="771" s="82" customFormat="1" ht="25.5" hidden="1" customHeight="1" x14ac:dyDescent="0.25"/>
    <row r="772" s="82" customFormat="1" ht="25.5" hidden="1" customHeight="1" x14ac:dyDescent="0.25"/>
    <row r="773" s="82" customFormat="1" ht="25.5" hidden="1" customHeight="1" x14ac:dyDescent="0.25"/>
    <row r="774" ht="25.5" hidden="1" customHeight="1" x14ac:dyDescent="0.25"/>
    <row r="775" ht="25.5" hidden="1" customHeight="1" x14ac:dyDescent="0.25"/>
    <row r="776" ht="25.5" hidden="1" customHeight="1" x14ac:dyDescent="0.25"/>
    <row r="777" ht="25.5" hidden="1" customHeight="1" x14ac:dyDescent="0.25"/>
    <row r="778" ht="25.5" hidden="1" customHeight="1" x14ac:dyDescent="0.25"/>
    <row r="779" ht="25.5" hidden="1" customHeight="1" x14ac:dyDescent="0.25"/>
    <row r="780" ht="25.5" hidden="1" customHeight="1" x14ac:dyDescent="0.25"/>
    <row r="781" ht="25.5" hidden="1" customHeight="1" x14ac:dyDescent="0.25"/>
    <row r="782" ht="25.5" hidden="1" customHeight="1" x14ac:dyDescent="0.25"/>
    <row r="783" ht="25.5" hidden="1" customHeight="1" x14ac:dyDescent="0.25"/>
    <row r="784" ht="25.5" hidden="1" customHeight="1" x14ac:dyDescent="0.25"/>
    <row r="785" ht="25.5" hidden="1" customHeight="1" x14ac:dyDescent="0.25"/>
    <row r="786" ht="25.5" hidden="1" customHeight="1" x14ac:dyDescent="0.25"/>
    <row r="787" ht="25.5" hidden="1" customHeight="1" x14ac:dyDescent="0.25"/>
    <row r="788" ht="25.5" hidden="1" customHeight="1" x14ac:dyDescent="0.25"/>
    <row r="789" ht="25.5" hidden="1" customHeight="1" x14ac:dyDescent="0.25"/>
    <row r="790" ht="25.5" hidden="1" customHeight="1" x14ac:dyDescent="0.25"/>
    <row r="791" ht="25.5" hidden="1" customHeight="1" x14ac:dyDescent="0.25"/>
    <row r="792" ht="25.5" hidden="1" customHeight="1" x14ac:dyDescent="0.25"/>
    <row r="793" ht="25.5" hidden="1" customHeight="1" x14ac:dyDescent="0.25"/>
    <row r="794" ht="25.5" hidden="1" customHeight="1" x14ac:dyDescent="0.25"/>
    <row r="795" ht="25.5" hidden="1" customHeight="1" x14ac:dyDescent="0.25"/>
    <row r="796" ht="25.5" hidden="1" customHeight="1" x14ac:dyDescent="0.25"/>
    <row r="797" ht="25.5" hidden="1" customHeight="1" x14ac:dyDescent="0.25"/>
    <row r="798" ht="25.5" hidden="1" customHeight="1" x14ac:dyDescent="0.25"/>
    <row r="799" ht="25.5" hidden="1" customHeight="1" x14ac:dyDescent="0.25"/>
    <row r="800" ht="25.5" hidden="1" customHeight="1" x14ac:dyDescent="0.25"/>
    <row r="801" ht="25.5" hidden="1" customHeight="1" x14ac:dyDescent="0.25"/>
    <row r="802" ht="25.5" hidden="1" customHeight="1" x14ac:dyDescent="0.25"/>
    <row r="803" ht="25.5" hidden="1" customHeight="1" x14ac:dyDescent="0.25"/>
    <row r="804" ht="25.5" hidden="1" customHeight="1" x14ac:dyDescent="0.25"/>
    <row r="805" ht="25.5" hidden="1" customHeight="1" x14ac:dyDescent="0.25"/>
    <row r="806" ht="25.5" hidden="1" customHeight="1" x14ac:dyDescent="0.25"/>
    <row r="807" ht="25.5" hidden="1" customHeight="1" x14ac:dyDescent="0.25"/>
    <row r="808" ht="25.5" hidden="1" customHeight="1" x14ac:dyDescent="0.25"/>
    <row r="809" ht="25.5" hidden="1" customHeight="1" x14ac:dyDescent="0.25"/>
    <row r="810" ht="25.5" hidden="1" customHeight="1" x14ac:dyDescent="0.25"/>
    <row r="811" ht="25.5" hidden="1" customHeight="1" x14ac:dyDescent="0.25"/>
    <row r="812" ht="25.5" hidden="1" customHeight="1" x14ac:dyDescent="0.25"/>
    <row r="813" ht="25.5" hidden="1" customHeight="1" x14ac:dyDescent="0.25"/>
    <row r="814" ht="25.5" hidden="1" customHeight="1" x14ac:dyDescent="0.25"/>
    <row r="815" ht="25.5" hidden="1" customHeight="1" x14ac:dyDescent="0.25"/>
    <row r="816" ht="25.5" hidden="1" customHeight="1" x14ac:dyDescent="0.25"/>
    <row r="817" ht="25.5" hidden="1" customHeight="1" x14ac:dyDescent="0.25"/>
    <row r="818" ht="25.5" hidden="1" customHeight="1" x14ac:dyDescent="0.25"/>
    <row r="819" ht="25.5" hidden="1" customHeight="1" x14ac:dyDescent="0.25"/>
    <row r="820" ht="25.5" hidden="1" customHeight="1" x14ac:dyDescent="0.25"/>
    <row r="821" ht="25.5" hidden="1" customHeight="1" x14ac:dyDescent="0.25"/>
    <row r="822" ht="25.5" hidden="1" customHeight="1" x14ac:dyDescent="0.25"/>
    <row r="823" ht="25.5" hidden="1" customHeight="1" x14ac:dyDescent="0.25"/>
    <row r="824" ht="25.5" hidden="1" customHeight="1" x14ac:dyDescent="0.25"/>
    <row r="825" ht="25.5" hidden="1" customHeight="1" x14ac:dyDescent="0.25"/>
    <row r="826" ht="25.5" hidden="1" customHeight="1" x14ac:dyDescent="0.25"/>
    <row r="827" ht="25.5" hidden="1" customHeight="1" x14ac:dyDescent="0.25"/>
    <row r="828" ht="25.5" hidden="1" customHeight="1" x14ac:dyDescent="0.25"/>
    <row r="829" ht="25.5" hidden="1" customHeight="1" x14ac:dyDescent="0.25"/>
    <row r="830" ht="25.5" hidden="1" customHeight="1" x14ac:dyDescent="0.25"/>
    <row r="831" ht="25.5" hidden="1" customHeight="1" x14ac:dyDescent="0.25"/>
    <row r="832" ht="25.5" hidden="1" customHeight="1" x14ac:dyDescent="0.25"/>
    <row r="833" ht="25.5" hidden="1" customHeight="1" x14ac:dyDescent="0.25"/>
    <row r="834" ht="25.5" hidden="1" customHeight="1" x14ac:dyDescent="0.25"/>
    <row r="835" ht="25.5" hidden="1" customHeight="1" x14ac:dyDescent="0.25"/>
    <row r="836" ht="25.5" hidden="1" customHeight="1" x14ac:dyDescent="0.25"/>
    <row r="837" ht="25.5" hidden="1" customHeight="1" x14ac:dyDescent="0.25"/>
    <row r="838" ht="25.5" hidden="1" customHeight="1" x14ac:dyDescent="0.25"/>
    <row r="839" ht="25.5" hidden="1" customHeight="1" x14ac:dyDescent="0.25"/>
    <row r="840" ht="25.5" hidden="1" customHeight="1" x14ac:dyDescent="0.25"/>
    <row r="841" ht="25.5" hidden="1" customHeight="1" x14ac:dyDescent="0.25"/>
    <row r="842" ht="25.5" hidden="1" customHeight="1" x14ac:dyDescent="0.25"/>
    <row r="843" ht="25.5" hidden="1" customHeight="1" x14ac:dyDescent="0.25"/>
    <row r="844" ht="25.5" hidden="1" customHeight="1" x14ac:dyDescent="0.25"/>
    <row r="845" ht="25.5" hidden="1" customHeight="1" x14ac:dyDescent="0.25"/>
    <row r="846" ht="25.5" hidden="1" customHeight="1" x14ac:dyDescent="0.25"/>
    <row r="847" ht="25.5" hidden="1" customHeight="1" x14ac:dyDescent="0.25"/>
    <row r="848" ht="25.5" hidden="1" customHeight="1" x14ac:dyDescent="0.25"/>
    <row r="849" ht="25.5" hidden="1" customHeight="1" x14ac:dyDescent="0.25"/>
    <row r="850" ht="25.5" hidden="1" customHeight="1" x14ac:dyDescent="0.25"/>
    <row r="851" ht="25.5" hidden="1" customHeight="1" x14ac:dyDescent="0.25"/>
    <row r="852" ht="25.5" hidden="1" customHeight="1" x14ac:dyDescent="0.25"/>
    <row r="853" ht="25.5" hidden="1" customHeight="1" x14ac:dyDescent="0.25"/>
    <row r="854" ht="25.5" hidden="1" customHeight="1" x14ac:dyDescent="0.25"/>
    <row r="855" ht="25.5" hidden="1" customHeight="1" x14ac:dyDescent="0.25"/>
    <row r="856" ht="25.5" hidden="1" customHeight="1" x14ac:dyDescent="0.25"/>
    <row r="857" ht="25.5" hidden="1" customHeight="1" x14ac:dyDescent="0.25"/>
    <row r="858" ht="25.5" hidden="1" customHeight="1" x14ac:dyDescent="0.25"/>
    <row r="859" ht="25.5" hidden="1" customHeight="1" x14ac:dyDescent="0.25"/>
    <row r="860" ht="25.5" hidden="1" customHeight="1" x14ac:dyDescent="0.25"/>
    <row r="861" ht="25.5" hidden="1" customHeight="1" x14ac:dyDescent="0.25"/>
    <row r="862" ht="25.5" hidden="1" customHeight="1" x14ac:dyDescent="0.25"/>
    <row r="863" ht="25.5" hidden="1" customHeight="1" x14ac:dyDescent="0.25"/>
    <row r="864" ht="25.5" hidden="1" customHeight="1" x14ac:dyDescent="0.25"/>
    <row r="865" ht="25.5" hidden="1" customHeight="1" x14ac:dyDescent="0.25"/>
    <row r="866" ht="25.5" hidden="1" customHeight="1" x14ac:dyDescent="0.25"/>
    <row r="867" ht="25.5" hidden="1" customHeight="1" x14ac:dyDescent="0.25"/>
    <row r="868" ht="25.5" hidden="1" customHeight="1" x14ac:dyDescent="0.25"/>
    <row r="869" ht="25.5" hidden="1" customHeight="1" x14ac:dyDescent="0.25"/>
    <row r="870" ht="25.5" hidden="1" customHeight="1" x14ac:dyDescent="0.25"/>
    <row r="871" ht="25.5" hidden="1" customHeight="1" x14ac:dyDescent="0.25"/>
    <row r="872" ht="25.5" hidden="1" customHeight="1" x14ac:dyDescent="0.25"/>
    <row r="873" ht="25.5" hidden="1" customHeight="1" x14ac:dyDescent="0.25"/>
    <row r="874" ht="25.5" hidden="1" customHeight="1" x14ac:dyDescent="0.25"/>
    <row r="875" ht="25.5" hidden="1" customHeight="1" x14ac:dyDescent="0.25"/>
    <row r="876" ht="25.5" hidden="1" customHeight="1" x14ac:dyDescent="0.25"/>
    <row r="877" ht="25.5" hidden="1" customHeight="1" x14ac:dyDescent="0.25"/>
    <row r="878" ht="25.5" hidden="1" customHeight="1" x14ac:dyDescent="0.25"/>
    <row r="879" ht="25.5" hidden="1" customHeight="1" x14ac:dyDescent="0.25"/>
    <row r="880" ht="25.5" hidden="1" customHeight="1" x14ac:dyDescent="0.25"/>
    <row r="881" ht="25.5" hidden="1" customHeight="1" x14ac:dyDescent="0.25"/>
    <row r="882" ht="25.5" hidden="1" customHeight="1" x14ac:dyDescent="0.25"/>
    <row r="883" ht="25.5" hidden="1" customHeight="1" x14ac:dyDescent="0.25"/>
    <row r="884" ht="25.5" hidden="1" customHeight="1" x14ac:dyDescent="0.25"/>
    <row r="885" ht="25.5" hidden="1" customHeight="1" x14ac:dyDescent="0.25"/>
    <row r="886" ht="25.5" hidden="1" customHeight="1" x14ac:dyDescent="0.25"/>
    <row r="887" ht="25.5" hidden="1" customHeight="1" x14ac:dyDescent="0.25"/>
    <row r="888" ht="25.5" hidden="1" customHeight="1" x14ac:dyDescent="0.25"/>
    <row r="889" ht="25.5" hidden="1" customHeight="1" x14ac:dyDescent="0.25"/>
    <row r="890" ht="25.5" hidden="1" customHeight="1" x14ac:dyDescent="0.25"/>
    <row r="891" ht="25.5" hidden="1" customHeight="1" x14ac:dyDescent="0.25"/>
    <row r="892" ht="25.5" hidden="1" customHeight="1" x14ac:dyDescent="0.25"/>
    <row r="893" ht="25.5" hidden="1" customHeight="1" x14ac:dyDescent="0.25"/>
    <row r="894" ht="25.5" hidden="1" customHeight="1" x14ac:dyDescent="0.25"/>
    <row r="895" ht="25.5" hidden="1" customHeight="1" x14ac:dyDescent="0.25"/>
    <row r="896" ht="25.5" hidden="1" customHeight="1" x14ac:dyDescent="0.25"/>
    <row r="897" ht="25.5" hidden="1" customHeight="1" x14ac:dyDescent="0.25"/>
    <row r="898" ht="25.5" hidden="1" customHeight="1" x14ac:dyDescent="0.25"/>
    <row r="899" ht="25.5" hidden="1" customHeight="1" x14ac:dyDescent="0.25"/>
    <row r="900" ht="25.5" hidden="1" customHeight="1" x14ac:dyDescent="0.25"/>
    <row r="901" ht="25.5" hidden="1" customHeight="1" x14ac:dyDescent="0.25"/>
    <row r="902" ht="25.5" hidden="1" customHeight="1" x14ac:dyDescent="0.25"/>
    <row r="903" ht="25.5" hidden="1" customHeight="1" x14ac:dyDescent="0.25"/>
    <row r="904" ht="25.5" hidden="1" customHeight="1" x14ac:dyDescent="0.25"/>
    <row r="905" ht="25.5" hidden="1" customHeight="1" x14ac:dyDescent="0.25"/>
    <row r="906" ht="25.5" hidden="1" customHeight="1" x14ac:dyDescent="0.25"/>
    <row r="907" ht="25.5" hidden="1" customHeight="1" x14ac:dyDescent="0.25"/>
    <row r="908" ht="25.5" hidden="1" customHeight="1" x14ac:dyDescent="0.25"/>
    <row r="909" ht="25.5" hidden="1" customHeight="1" x14ac:dyDescent="0.25"/>
    <row r="910" ht="25.5" hidden="1" customHeight="1" x14ac:dyDescent="0.25"/>
    <row r="911" ht="25.5" hidden="1" customHeight="1" x14ac:dyDescent="0.25"/>
    <row r="912" ht="25.5" hidden="1" customHeight="1" x14ac:dyDescent="0.25"/>
    <row r="913" ht="25.5" hidden="1" customHeight="1" x14ac:dyDescent="0.25"/>
    <row r="914" ht="25.5" hidden="1" customHeight="1" x14ac:dyDescent="0.25"/>
    <row r="915" ht="25.5" hidden="1" customHeight="1" x14ac:dyDescent="0.25"/>
    <row r="916" ht="25.5" hidden="1" customHeight="1" x14ac:dyDescent="0.25"/>
    <row r="917" ht="25.5" hidden="1" customHeight="1" x14ac:dyDescent="0.25"/>
    <row r="918" ht="25.5" hidden="1" customHeight="1" x14ac:dyDescent="0.25"/>
    <row r="919" ht="25.5" hidden="1" customHeight="1" x14ac:dyDescent="0.25"/>
    <row r="920" ht="25.5" hidden="1" customHeight="1" x14ac:dyDescent="0.25"/>
    <row r="921" ht="25.5" hidden="1" customHeight="1" x14ac:dyDescent="0.25"/>
    <row r="922" ht="25.5" hidden="1" customHeight="1" x14ac:dyDescent="0.25"/>
    <row r="923" ht="25.5" hidden="1" customHeight="1" x14ac:dyDescent="0.25"/>
    <row r="924" ht="25.5" hidden="1" customHeight="1" x14ac:dyDescent="0.25"/>
    <row r="925" ht="25.5" hidden="1" customHeight="1" x14ac:dyDescent="0.25"/>
    <row r="926" ht="25.5" hidden="1" customHeight="1" x14ac:dyDescent="0.25"/>
    <row r="927" ht="25.5" hidden="1" customHeight="1" x14ac:dyDescent="0.25"/>
    <row r="928" ht="25.5" hidden="1" customHeight="1" x14ac:dyDescent="0.25"/>
    <row r="929" ht="25.5" hidden="1" customHeight="1" x14ac:dyDescent="0.25"/>
    <row r="930" ht="25.5" hidden="1" customHeight="1" x14ac:dyDescent="0.25"/>
    <row r="931" ht="25.5" hidden="1" customHeight="1" x14ac:dyDescent="0.25"/>
    <row r="932" ht="25.5" hidden="1" customHeight="1" x14ac:dyDescent="0.25"/>
    <row r="933" ht="25.5" hidden="1" customHeight="1" x14ac:dyDescent="0.25"/>
    <row r="934" ht="25.5" hidden="1" customHeight="1" x14ac:dyDescent="0.25"/>
    <row r="935" ht="25.5" hidden="1" customHeight="1" x14ac:dyDescent="0.25"/>
    <row r="936" ht="25.5" hidden="1" customHeight="1" x14ac:dyDescent="0.25"/>
    <row r="937" ht="25.5" hidden="1" customHeight="1" x14ac:dyDescent="0.25"/>
    <row r="938" ht="25.5" hidden="1" customHeight="1" x14ac:dyDescent="0.25"/>
    <row r="939" ht="25.5" hidden="1" customHeight="1" x14ac:dyDescent="0.25"/>
    <row r="940" ht="25.5" hidden="1" customHeight="1" x14ac:dyDescent="0.25"/>
    <row r="941" ht="25.5" hidden="1" customHeight="1" x14ac:dyDescent="0.25"/>
    <row r="942" ht="25.5" hidden="1" customHeight="1" x14ac:dyDescent="0.25"/>
    <row r="943" ht="25.5" hidden="1" customHeight="1" x14ac:dyDescent="0.25"/>
    <row r="944" ht="25.5" hidden="1" customHeight="1" x14ac:dyDescent="0.25"/>
    <row r="945" ht="25.5" hidden="1" customHeight="1" x14ac:dyDescent="0.25"/>
    <row r="946" ht="25.5" hidden="1" customHeight="1" x14ac:dyDescent="0.25"/>
    <row r="947" ht="25.5" hidden="1" customHeight="1" x14ac:dyDescent="0.25"/>
    <row r="948" ht="25.5" hidden="1" customHeight="1" x14ac:dyDescent="0.25"/>
    <row r="949" ht="25.5" hidden="1" customHeight="1" x14ac:dyDescent="0.25"/>
    <row r="950" ht="25.5" hidden="1" customHeight="1" x14ac:dyDescent="0.25"/>
    <row r="951" ht="25.5" hidden="1" customHeight="1" x14ac:dyDescent="0.25"/>
    <row r="952" ht="25.5" hidden="1" customHeight="1" x14ac:dyDescent="0.25"/>
    <row r="953" ht="25.5" hidden="1" customHeight="1" x14ac:dyDescent="0.25"/>
    <row r="954" ht="25.5" hidden="1" customHeight="1" x14ac:dyDescent="0.25"/>
    <row r="955" ht="25.5" hidden="1" customHeight="1" x14ac:dyDescent="0.25"/>
    <row r="956" ht="25.5" hidden="1" customHeight="1" x14ac:dyDescent="0.25"/>
    <row r="957" ht="25.5" hidden="1" customHeight="1" x14ac:dyDescent="0.25"/>
    <row r="958" ht="25.5" hidden="1" customHeight="1" x14ac:dyDescent="0.25"/>
    <row r="959" ht="25.5" hidden="1" customHeight="1" x14ac:dyDescent="0.25"/>
    <row r="960" ht="25.5" hidden="1" customHeight="1" x14ac:dyDescent="0.25"/>
    <row r="961" ht="25.5" hidden="1" customHeight="1" x14ac:dyDescent="0.25"/>
    <row r="962" ht="25.5" hidden="1" customHeight="1" x14ac:dyDescent="0.25"/>
    <row r="963" ht="25.5" hidden="1" customHeight="1" x14ac:dyDescent="0.25"/>
    <row r="964" ht="25.5" hidden="1" customHeight="1" x14ac:dyDescent="0.25"/>
    <row r="965" ht="25.5" hidden="1" customHeight="1" x14ac:dyDescent="0.25"/>
    <row r="966" ht="25.5" hidden="1" customHeight="1" x14ac:dyDescent="0.25"/>
    <row r="967" ht="25.5" hidden="1" customHeight="1" x14ac:dyDescent="0.25"/>
    <row r="968" ht="25.5" hidden="1" customHeight="1" x14ac:dyDescent="0.25"/>
    <row r="969" ht="25.5" hidden="1" customHeight="1" x14ac:dyDescent="0.25"/>
    <row r="970" ht="25.5" hidden="1" customHeight="1" x14ac:dyDescent="0.25"/>
    <row r="971" ht="25.5" hidden="1" customHeight="1" x14ac:dyDescent="0.25"/>
    <row r="972" ht="25.5" hidden="1" customHeight="1" x14ac:dyDescent="0.25"/>
    <row r="973" ht="25.5" hidden="1" customHeight="1" x14ac:dyDescent="0.25"/>
    <row r="974" ht="25.5" hidden="1" customHeight="1" x14ac:dyDescent="0.25"/>
    <row r="975" ht="25.5" hidden="1" customHeight="1" x14ac:dyDescent="0.25"/>
    <row r="976" ht="25.5" hidden="1" customHeight="1" x14ac:dyDescent="0.25"/>
    <row r="977" ht="25.5" hidden="1" customHeight="1" x14ac:dyDescent="0.25"/>
    <row r="978" ht="25.5" hidden="1" customHeight="1" x14ac:dyDescent="0.25"/>
    <row r="979" ht="25.5" hidden="1" customHeight="1" x14ac:dyDescent="0.25"/>
    <row r="980" ht="25.5" hidden="1" customHeight="1" x14ac:dyDescent="0.25"/>
    <row r="981" ht="25.5" hidden="1" customHeight="1" x14ac:dyDescent="0.25"/>
    <row r="982" ht="25.5" hidden="1" customHeight="1" x14ac:dyDescent="0.25"/>
    <row r="983" ht="25.5" hidden="1" customHeight="1" x14ac:dyDescent="0.25"/>
    <row r="984" ht="25.5" hidden="1" customHeight="1" x14ac:dyDescent="0.25"/>
    <row r="985" ht="25.5" hidden="1" customHeight="1" x14ac:dyDescent="0.25"/>
    <row r="986" ht="25.5" hidden="1" customHeight="1" x14ac:dyDescent="0.25"/>
    <row r="987" ht="25.5" hidden="1" customHeight="1" x14ac:dyDescent="0.25"/>
    <row r="988" ht="25.5" hidden="1" customHeight="1" x14ac:dyDescent="0.25"/>
    <row r="989" ht="25.5" hidden="1" customHeight="1" x14ac:dyDescent="0.25"/>
    <row r="990" ht="25.5" hidden="1" customHeight="1" x14ac:dyDescent="0.25"/>
    <row r="991" ht="25.5" hidden="1" customHeight="1" x14ac:dyDescent="0.25"/>
    <row r="992" ht="25.5" hidden="1" customHeight="1" x14ac:dyDescent="0.25"/>
    <row r="993" ht="25.5" hidden="1" customHeight="1" x14ac:dyDescent="0.25"/>
    <row r="994" ht="25.5" hidden="1" customHeight="1" x14ac:dyDescent="0.25"/>
    <row r="995" ht="25.5" hidden="1" customHeight="1" x14ac:dyDescent="0.25"/>
    <row r="996" ht="25.5" hidden="1" customHeight="1" x14ac:dyDescent="0.25"/>
    <row r="997" ht="25.5" hidden="1" customHeight="1" x14ac:dyDescent="0.25"/>
    <row r="998" ht="25.5" hidden="1" customHeight="1" x14ac:dyDescent="0.25"/>
    <row r="999" ht="25.5" hidden="1" customHeight="1" x14ac:dyDescent="0.25"/>
    <row r="1000" ht="25.5" hidden="1" customHeight="1" x14ac:dyDescent="0.25"/>
    <row r="1001" ht="25.5" hidden="1" customHeight="1" x14ac:dyDescent="0.25"/>
    <row r="1002" ht="25.5" hidden="1" customHeight="1" x14ac:dyDescent="0.25"/>
    <row r="1003" ht="25.5" hidden="1" customHeight="1" x14ac:dyDescent="0.25"/>
    <row r="1004" ht="25.5" hidden="1" customHeight="1" x14ac:dyDescent="0.25"/>
    <row r="1005" ht="25.5" hidden="1" customHeight="1" x14ac:dyDescent="0.25"/>
    <row r="1006" ht="25.5" hidden="1" customHeight="1" x14ac:dyDescent="0.25"/>
    <row r="1007" ht="25.5" hidden="1" customHeight="1" x14ac:dyDescent="0.25"/>
    <row r="1008" ht="25.5" hidden="1" customHeight="1" x14ac:dyDescent="0.25"/>
    <row r="1009" ht="25.5" hidden="1" customHeight="1" x14ac:dyDescent="0.25"/>
    <row r="1010" ht="25.5" hidden="1" customHeight="1" x14ac:dyDescent="0.25"/>
    <row r="1011" ht="25.5" hidden="1" customHeight="1" x14ac:dyDescent="0.25"/>
    <row r="1012" ht="25.5" hidden="1" customHeight="1" x14ac:dyDescent="0.25"/>
    <row r="1013" ht="25.5" hidden="1" customHeight="1" x14ac:dyDescent="0.25"/>
    <row r="1014" ht="25.5" hidden="1" customHeight="1" x14ac:dyDescent="0.25"/>
    <row r="1015" ht="25.5" hidden="1" customHeight="1" x14ac:dyDescent="0.25"/>
    <row r="1016" ht="25.5" hidden="1" customHeight="1" x14ac:dyDescent="0.25"/>
    <row r="1017" ht="25.5" hidden="1" customHeight="1" x14ac:dyDescent="0.25"/>
    <row r="1018" ht="25.5" hidden="1" customHeight="1" x14ac:dyDescent="0.25"/>
    <row r="1019" ht="25.5" hidden="1" customHeight="1" x14ac:dyDescent="0.25"/>
    <row r="1020" ht="25.5" hidden="1" customHeight="1" x14ac:dyDescent="0.25"/>
    <row r="1021" ht="25.5" hidden="1" customHeight="1" x14ac:dyDescent="0.25"/>
    <row r="1022" ht="25.5" hidden="1" customHeight="1" x14ac:dyDescent="0.25"/>
    <row r="1023" ht="25.5" hidden="1" customHeight="1" x14ac:dyDescent="0.25"/>
    <row r="1024" ht="25.5" hidden="1" customHeight="1" x14ac:dyDescent="0.25"/>
    <row r="1025" ht="25.5" hidden="1" customHeight="1" x14ac:dyDescent="0.25"/>
    <row r="1026" ht="25.5" hidden="1" customHeight="1" x14ac:dyDescent="0.25"/>
    <row r="1027" ht="25.5" hidden="1" customHeight="1" x14ac:dyDescent="0.25"/>
    <row r="1028" ht="25.5" hidden="1" customHeight="1" x14ac:dyDescent="0.25"/>
    <row r="1029" ht="25.5" hidden="1" customHeight="1" x14ac:dyDescent="0.25"/>
    <row r="1030" ht="25.5" hidden="1" customHeight="1" x14ac:dyDescent="0.25"/>
    <row r="1031" ht="25.5" hidden="1" customHeight="1" x14ac:dyDescent="0.25"/>
    <row r="1032" ht="25.5" hidden="1" customHeight="1" x14ac:dyDescent="0.25"/>
    <row r="1033" ht="25.5" hidden="1" customHeight="1" x14ac:dyDescent="0.25"/>
    <row r="1034" ht="25.5" hidden="1" customHeight="1" x14ac:dyDescent="0.25"/>
    <row r="1035" ht="25.5" hidden="1" customHeight="1" x14ac:dyDescent="0.25"/>
    <row r="1036" ht="25.5" hidden="1" customHeight="1" x14ac:dyDescent="0.25"/>
    <row r="1037" ht="25.5" hidden="1" customHeight="1" x14ac:dyDescent="0.25"/>
    <row r="1038" ht="25.5" hidden="1" customHeight="1" x14ac:dyDescent="0.25"/>
    <row r="1039" ht="25.5" hidden="1" customHeight="1" x14ac:dyDescent="0.25"/>
    <row r="1040" ht="25.5" hidden="1" customHeight="1" x14ac:dyDescent="0.25"/>
    <row r="1041" ht="25.5" hidden="1" customHeight="1" x14ac:dyDescent="0.25"/>
    <row r="1042" ht="25.5" hidden="1" customHeight="1" x14ac:dyDescent="0.25"/>
    <row r="1043" ht="25.5" hidden="1" customHeight="1" x14ac:dyDescent="0.25"/>
    <row r="1044" ht="25.5" hidden="1" customHeight="1" x14ac:dyDescent="0.25"/>
    <row r="1045" ht="25.5" hidden="1" customHeight="1" x14ac:dyDescent="0.25"/>
    <row r="1046" ht="25.5" hidden="1" customHeight="1" x14ac:dyDescent="0.25"/>
    <row r="1047" ht="25.5" hidden="1" customHeight="1" x14ac:dyDescent="0.25"/>
    <row r="1048" ht="25.5" hidden="1" customHeight="1" x14ac:dyDescent="0.25"/>
    <row r="1049" ht="25.5" hidden="1" customHeight="1" x14ac:dyDescent="0.25"/>
    <row r="1050" ht="25.5" hidden="1" customHeight="1" x14ac:dyDescent="0.25"/>
    <row r="1051" ht="25.5" hidden="1" customHeight="1" x14ac:dyDescent="0.25"/>
    <row r="1052" ht="25.5" hidden="1" customHeight="1" x14ac:dyDescent="0.25"/>
    <row r="1053" ht="25.5" hidden="1" customHeight="1" x14ac:dyDescent="0.25"/>
    <row r="1054" ht="25.5" hidden="1" customHeight="1" x14ac:dyDescent="0.25"/>
    <row r="1055" ht="25.5" hidden="1" customHeight="1" x14ac:dyDescent="0.25"/>
    <row r="1056" ht="25.5" hidden="1" customHeight="1" x14ac:dyDescent="0.25"/>
    <row r="1057" ht="25.5" hidden="1" customHeight="1" x14ac:dyDescent="0.25"/>
    <row r="1058" ht="25.5" hidden="1" customHeight="1" x14ac:dyDescent="0.25"/>
    <row r="1059" ht="25.5" hidden="1" customHeight="1" x14ac:dyDescent="0.25"/>
    <row r="1060" ht="25.5" hidden="1" customHeight="1" x14ac:dyDescent="0.25"/>
    <row r="1061" ht="25.5" hidden="1" customHeight="1" x14ac:dyDescent="0.25"/>
    <row r="1062" ht="25.5" hidden="1" customHeight="1" x14ac:dyDescent="0.25"/>
    <row r="1063" ht="25.5" hidden="1" customHeight="1" x14ac:dyDescent="0.25"/>
    <row r="1064" ht="25.5" hidden="1" customHeight="1" x14ac:dyDescent="0.25"/>
    <row r="1065" ht="25.5" hidden="1" customHeight="1" x14ac:dyDescent="0.25"/>
    <row r="1066" ht="25.5" hidden="1" customHeight="1" x14ac:dyDescent="0.25"/>
    <row r="1067" ht="25.5" hidden="1" customHeight="1" x14ac:dyDescent="0.25"/>
    <row r="1068" ht="25.5" hidden="1" customHeight="1" x14ac:dyDescent="0.25"/>
    <row r="1069" ht="25.5" hidden="1" customHeight="1" x14ac:dyDescent="0.25"/>
    <row r="1070" ht="25.5" hidden="1" customHeight="1" x14ac:dyDescent="0.25"/>
    <row r="1071" ht="25.5" hidden="1" customHeight="1" x14ac:dyDescent="0.25"/>
    <row r="1072" ht="25.5" hidden="1" customHeight="1" x14ac:dyDescent="0.25"/>
    <row r="1073" ht="25.5" hidden="1" customHeight="1" x14ac:dyDescent="0.25"/>
    <row r="1074" ht="25.5" hidden="1" customHeight="1" x14ac:dyDescent="0.25"/>
    <row r="1075" ht="25.5" hidden="1" customHeight="1" x14ac:dyDescent="0.25"/>
    <row r="1076" ht="25.5" hidden="1" customHeight="1" x14ac:dyDescent="0.25"/>
    <row r="1077" ht="25.5" hidden="1" customHeight="1" x14ac:dyDescent="0.25"/>
    <row r="1078" ht="25.5" hidden="1" customHeight="1" x14ac:dyDescent="0.25"/>
    <row r="1079" ht="25.5" hidden="1" customHeight="1" x14ac:dyDescent="0.25"/>
    <row r="1080" ht="25.5" hidden="1" customHeight="1" x14ac:dyDescent="0.25"/>
    <row r="1081" ht="25.5" hidden="1" customHeight="1" x14ac:dyDescent="0.25"/>
    <row r="1082" ht="25.5" hidden="1" customHeight="1" x14ac:dyDescent="0.25"/>
    <row r="1083" ht="25.5" hidden="1" customHeight="1" x14ac:dyDescent="0.25"/>
    <row r="1084" ht="25.5" hidden="1" customHeight="1" x14ac:dyDescent="0.25"/>
    <row r="1085" ht="25.5" hidden="1" customHeight="1" x14ac:dyDescent="0.25"/>
    <row r="1086" ht="25.5" hidden="1" customHeight="1" x14ac:dyDescent="0.25"/>
    <row r="1087" ht="25.5" hidden="1" customHeight="1" x14ac:dyDescent="0.25"/>
    <row r="1088" ht="25.5" hidden="1" customHeight="1" x14ac:dyDescent="0.25"/>
    <row r="1089" ht="25.5" hidden="1" customHeight="1" x14ac:dyDescent="0.25"/>
    <row r="1090" ht="25.5" hidden="1" customHeight="1" x14ac:dyDescent="0.25"/>
    <row r="1091" ht="25.5" hidden="1" customHeight="1" x14ac:dyDescent="0.25"/>
    <row r="1092" ht="25.5" hidden="1" customHeight="1" x14ac:dyDescent="0.25"/>
    <row r="1093" ht="25.5" hidden="1" customHeight="1" x14ac:dyDescent="0.25"/>
    <row r="1094" ht="25.5" hidden="1" customHeight="1" x14ac:dyDescent="0.25"/>
    <row r="1095" ht="25.5" hidden="1" customHeight="1" x14ac:dyDescent="0.25"/>
    <row r="1096" ht="25.5" hidden="1" customHeight="1" x14ac:dyDescent="0.25"/>
    <row r="1097" ht="25.5" hidden="1" customHeight="1" x14ac:dyDescent="0.25"/>
    <row r="1098" ht="25.5" hidden="1" customHeight="1" x14ac:dyDescent="0.25"/>
    <row r="1099" ht="25.5" hidden="1" customHeight="1" x14ac:dyDescent="0.25"/>
    <row r="1100" ht="25.5" hidden="1" customHeight="1" x14ac:dyDescent="0.25"/>
    <row r="1101" ht="25.5" hidden="1" customHeight="1" x14ac:dyDescent="0.25"/>
    <row r="1102" ht="25.5" hidden="1" customHeight="1" x14ac:dyDescent="0.25"/>
    <row r="1103" ht="25.5" hidden="1" customHeight="1" x14ac:dyDescent="0.25"/>
    <row r="1104" ht="25.5" hidden="1" customHeight="1" x14ac:dyDescent="0.25"/>
    <row r="1105" ht="25.5" hidden="1" customHeight="1" x14ac:dyDescent="0.25"/>
    <row r="1106" ht="25.5" hidden="1" customHeight="1" x14ac:dyDescent="0.25"/>
    <row r="1107" ht="25.5" customHeight="1" x14ac:dyDescent="0.25"/>
    <row r="1108" ht="25.5" customHeight="1" x14ac:dyDescent="0.25"/>
    <row r="1109" ht="25.5" customHeight="1" x14ac:dyDescent="0.25"/>
    <row r="1110" ht="25.5" customHeight="1" x14ac:dyDescent="0.25"/>
    <row r="1111" ht="25.5" customHeight="1" x14ac:dyDescent="0.25"/>
    <row r="1112" ht="25.5" customHeight="1" x14ac:dyDescent="0.25"/>
    <row r="1113" ht="25.5" customHeight="1" x14ac:dyDescent="0.25"/>
    <row r="1114" ht="25.5" customHeight="1" x14ac:dyDescent="0.25"/>
  </sheetData>
  <mergeCells count="154">
    <mergeCell ref="C7:G7"/>
    <mergeCell ref="N7:S7"/>
    <mergeCell ref="C8:G8"/>
    <mergeCell ref="M8:S8"/>
    <mergeCell ref="C9:G9"/>
    <mergeCell ref="M9:N9"/>
    <mergeCell ref="A1:R1"/>
    <mergeCell ref="A2:U2"/>
    <mergeCell ref="A3:R3"/>
    <mergeCell ref="A4:U4"/>
    <mergeCell ref="C6:G6"/>
    <mergeCell ref="L6:S6"/>
    <mergeCell ref="K10:L10"/>
    <mergeCell ref="Q10:S10"/>
    <mergeCell ref="A12:C14"/>
    <mergeCell ref="D12:G12"/>
    <mergeCell ref="J12:M12"/>
    <mergeCell ref="N12:U12"/>
    <mergeCell ref="D13:G13"/>
    <mergeCell ref="J13:L13"/>
    <mergeCell ref="R13:T13"/>
    <mergeCell ref="D14:G14"/>
    <mergeCell ref="Q17:Q18"/>
    <mergeCell ref="R17:T17"/>
    <mergeCell ref="A18:C18"/>
    <mergeCell ref="R18:T18"/>
    <mergeCell ref="A19:C19"/>
    <mergeCell ref="R19:T19"/>
    <mergeCell ref="J14:L14"/>
    <mergeCell ref="R14:T14"/>
    <mergeCell ref="J15:L15"/>
    <mergeCell ref="R15:T15"/>
    <mergeCell ref="A16:C16"/>
    <mergeCell ref="A17:C17"/>
    <mergeCell ref="I17:I18"/>
    <mergeCell ref="J17:L17"/>
    <mergeCell ref="M17:O17"/>
    <mergeCell ref="P17:P18"/>
    <mergeCell ref="A20:C20"/>
    <mergeCell ref="A21:C21"/>
    <mergeCell ref="A24:A26"/>
    <mergeCell ref="B24:D24"/>
    <mergeCell ref="E24:T24"/>
    <mergeCell ref="U24:U26"/>
    <mergeCell ref="D25:D26"/>
    <mergeCell ref="M25:O25"/>
    <mergeCell ref="P25:R25"/>
    <mergeCell ref="S25:T25"/>
    <mergeCell ref="M26:O26"/>
    <mergeCell ref="P26:R26"/>
    <mergeCell ref="S26:T26"/>
    <mergeCell ref="A27:A29"/>
    <mergeCell ref="B27:B29"/>
    <mergeCell ref="C27:C29"/>
    <mergeCell ref="D27:D29"/>
    <mergeCell ref="E27:E29"/>
    <mergeCell ref="F27:F29"/>
    <mergeCell ref="G27:G29"/>
    <mergeCell ref="P27:Q27"/>
    <mergeCell ref="S27:T29"/>
    <mergeCell ref="U27:U29"/>
    <mergeCell ref="M28:N28"/>
    <mergeCell ref="P28:Q28"/>
    <mergeCell ref="M29:N29"/>
    <mergeCell ref="P29:Q29"/>
    <mergeCell ref="H27:H29"/>
    <mergeCell ref="I27:I29"/>
    <mergeCell ref="J27:J29"/>
    <mergeCell ref="K27:K29"/>
    <mergeCell ref="L27:L29"/>
    <mergeCell ref="M27:N27"/>
    <mergeCell ref="U30:U32"/>
    <mergeCell ref="M31:N31"/>
    <mergeCell ref="P31:Q31"/>
    <mergeCell ref="M32:N32"/>
    <mergeCell ref="P32:Q32"/>
    <mergeCell ref="G30:G32"/>
    <mergeCell ref="H30:H32"/>
    <mergeCell ref="I30:I32"/>
    <mergeCell ref="J30:J32"/>
    <mergeCell ref="K30:K32"/>
    <mergeCell ref="L30:L32"/>
    <mergeCell ref="A33:A35"/>
    <mergeCell ref="B33:B35"/>
    <mergeCell ref="C33:C35"/>
    <mergeCell ref="D33:D35"/>
    <mergeCell ref="E33:E35"/>
    <mergeCell ref="F33:F35"/>
    <mergeCell ref="M30:N30"/>
    <mergeCell ref="P30:Q30"/>
    <mergeCell ref="S30:T32"/>
    <mergeCell ref="A30:A32"/>
    <mergeCell ref="B30:B32"/>
    <mergeCell ref="C30:C32"/>
    <mergeCell ref="D30:D32"/>
    <mergeCell ref="E30:E32"/>
    <mergeCell ref="F30:F32"/>
    <mergeCell ref="M33:N33"/>
    <mergeCell ref="P33:Q33"/>
    <mergeCell ref="S33:T35"/>
    <mergeCell ref="U33:U35"/>
    <mergeCell ref="M34:N34"/>
    <mergeCell ref="P34:Q34"/>
    <mergeCell ref="M35:N35"/>
    <mergeCell ref="P35:Q35"/>
    <mergeCell ref="G33:G35"/>
    <mergeCell ref="H33:H35"/>
    <mergeCell ref="I33:I35"/>
    <mergeCell ref="J33:J35"/>
    <mergeCell ref="K33:K35"/>
    <mergeCell ref="L33:L35"/>
    <mergeCell ref="A38:E38"/>
    <mergeCell ref="J38:U38"/>
    <mergeCell ref="J39:L40"/>
    <mergeCell ref="M39:O39"/>
    <mergeCell ref="P39:R39"/>
    <mergeCell ref="S39:U39"/>
    <mergeCell ref="A40:A41"/>
    <mergeCell ref="B40:B41"/>
    <mergeCell ref="C40:C41"/>
    <mergeCell ref="D40:D41"/>
    <mergeCell ref="E40:E41"/>
    <mergeCell ref="F40:F41"/>
    <mergeCell ref="J41:L41"/>
    <mergeCell ref="G38:H39"/>
    <mergeCell ref="G40:G41"/>
    <mergeCell ref="H40:H41"/>
    <mergeCell ref="A42:A43"/>
    <mergeCell ref="B42:B43"/>
    <mergeCell ref="C42:C43"/>
    <mergeCell ref="D42:D43"/>
    <mergeCell ref="E42:E43"/>
    <mergeCell ref="F42:F43"/>
    <mergeCell ref="G42:G43"/>
    <mergeCell ref="H42:H43"/>
    <mergeCell ref="J42:L42"/>
    <mergeCell ref="J43:L43"/>
    <mergeCell ref="Q46:U46"/>
    <mergeCell ref="A47:A48"/>
    <mergeCell ref="E47:J50"/>
    <mergeCell ref="M47:P47"/>
    <mergeCell ref="M48:P48"/>
    <mergeCell ref="S48:T48"/>
    <mergeCell ref="A44:A45"/>
    <mergeCell ref="B44:B45"/>
    <mergeCell ref="C44:C45"/>
    <mergeCell ref="D44:D45"/>
    <mergeCell ref="E44:E45"/>
    <mergeCell ref="A49:A50"/>
    <mergeCell ref="M49:P49"/>
    <mergeCell ref="F44:F45"/>
    <mergeCell ref="G44:G45"/>
    <mergeCell ref="H44:H45"/>
    <mergeCell ref="F46:H46"/>
  </mergeCells>
  <dataValidations count="4">
    <dataValidation type="list" allowBlank="1" showInputMessage="1" showErrorMessage="1" prompt="Select from drop down list" sqref="C9:G9">
      <formula1>"GeneXpert (Sputum &amp; EP), GeneXpert (Stool), Truenat"</formula1>
    </dataValidation>
    <dataValidation type="whole" allowBlank="1" showInputMessage="1" showErrorMessage="1" prompt="Fill the following Others (Specify) table to get the number automatically " sqref="S27:T35">
      <formula1>0</formula1>
      <formula2>999999</formula2>
    </dataValidation>
    <dataValidation type="whole" allowBlank="1" showInputMessage="1" showErrorMessage="1" sqref="E27:L35 M41:U43 O27:O35 R27:R35 B27:C35 B40:D45">
      <formula1>0</formula1>
      <formula2>999999</formula2>
    </dataValidation>
    <dataValidation allowBlank="1" showInputMessage="1" showErrorMessage="1" prompt="Date Format:_x000a_DD/MM/YYYY" sqref="S48 P9"/>
  </dataValidations>
  <pageMargins left="0.21" right="0.17" top="0.47" bottom="0.22" header="0.23" footer="0.16"/>
  <pageSetup paperSize="9" scale="66" orientation="landscape"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Q17"/>
  <sheetViews>
    <sheetView showGridLines="0" view="pageBreakPreview" topLeftCell="A7" zoomScaleSheetLayoutView="100" workbookViewId="0">
      <selection activeCell="A10" sqref="A10"/>
    </sheetView>
  </sheetViews>
  <sheetFormatPr defaultRowHeight="14.4" x14ac:dyDescent="0.3"/>
  <cols>
    <col min="1" max="1" width="6" style="91" customWidth="1"/>
    <col min="2" max="2" width="17.5546875" style="91" customWidth="1"/>
    <col min="3" max="3" width="5.33203125" style="91" customWidth="1"/>
    <col min="4" max="4" width="5" style="91" customWidth="1"/>
    <col min="5" max="5" width="11.5546875" style="91" bestFit="1" customWidth="1"/>
    <col min="6" max="6" width="19.5546875" style="91" customWidth="1"/>
    <col min="7" max="7" width="14.44140625" style="91" customWidth="1"/>
    <col min="8" max="8" width="10.33203125" style="91" customWidth="1"/>
    <col min="9" max="9" width="15.6640625" style="91" customWidth="1"/>
    <col min="10" max="11" width="10.6640625" style="91" customWidth="1"/>
    <col min="12" max="12" width="12.33203125" style="91" customWidth="1"/>
    <col min="13" max="13" width="7.6640625" style="91" customWidth="1"/>
    <col min="14" max="14" width="8.44140625" style="91" customWidth="1"/>
    <col min="15" max="15" width="7.6640625" style="91" customWidth="1"/>
    <col min="16" max="16" width="9.5546875" style="91" customWidth="1"/>
    <col min="17" max="17" width="7.6640625" style="91" customWidth="1"/>
    <col min="18" max="19" width="8.33203125" style="91" customWidth="1"/>
    <col min="20" max="20" width="14.33203125" style="91" customWidth="1"/>
    <col min="21" max="21" width="9.33203125" style="91" customWidth="1"/>
    <col min="22" max="22" width="10.6640625" style="91" bestFit="1" customWidth="1"/>
    <col min="23" max="23" width="10.33203125" style="91" customWidth="1"/>
    <col min="24" max="24" width="9.33203125" style="91"/>
    <col min="25" max="25" width="13.6640625" style="91" customWidth="1"/>
    <col min="26" max="259" width="9.33203125" style="91"/>
    <col min="260" max="260" width="6" style="91" customWidth="1"/>
    <col min="261" max="261" width="22.33203125" style="91" customWidth="1"/>
    <col min="262" max="262" width="5.44140625" style="91" customWidth="1"/>
    <col min="263" max="263" width="5.33203125" style="91" customWidth="1"/>
    <col min="264" max="264" width="21.33203125" style="91" customWidth="1"/>
    <col min="265" max="265" width="17.33203125" style="91" customWidth="1"/>
    <col min="266" max="266" width="10.33203125" style="91" customWidth="1"/>
    <col min="267" max="267" width="15" style="91" customWidth="1"/>
    <col min="268" max="268" width="10.33203125" style="91" customWidth="1"/>
    <col min="269" max="269" width="15.6640625" style="91" customWidth="1"/>
    <col min="270" max="270" width="9.5546875" style="91" customWidth="1"/>
    <col min="271" max="271" width="11.44140625" style="91" customWidth="1"/>
    <col min="272" max="272" width="12" style="91" customWidth="1"/>
    <col min="273" max="515" width="9.33203125" style="91"/>
    <col min="516" max="516" width="6" style="91" customWidth="1"/>
    <col min="517" max="517" width="22.33203125" style="91" customWidth="1"/>
    <col min="518" max="518" width="5.44140625" style="91" customWidth="1"/>
    <col min="519" max="519" width="5.33203125" style="91" customWidth="1"/>
    <col min="520" max="520" width="21.33203125" style="91" customWidth="1"/>
    <col min="521" max="521" width="17.33203125" style="91" customWidth="1"/>
    <col min="522" max="522" width="10.33203125" style="91" customWidth="1"/>
    <col min="523" max="523" width="15" style="91" customWidth="1"/>
    <col min="524" max="524" width="10.33203125" style="91" customWidth="1"/>
    <col min="525" max="525" width="15.6640625" style="91" customWidth="1"/>
    <col min="526" max="526" width="9.5546875" style="91" customWidth="1"/>
    <col min="527" max="527" width="11.44140625" style="91" customWidth="1"/>
    <col min="528" max="528" width="12" style="91" customWidth="1"/>
    <col min="529" max="771" width="9.33203125" style="91"/>
    <col min="772" max="772" width="6" style="91" customWidth="1"/>
    <col min="773" max="773" width="22.33203125" style="91" customWidth="1"/>
    <col min="774" max="774" width="5.44140625" style="91" customWidth="1"/>
    <col min="775" max="775" width="5.33203125" style="91" customWidth="1"/>
    <col min="776" max="776" width="21.33203125" style="91" customWidth="1"/>
    <col min="777" max="777" width="17.33203125" style="91" customWidth="1"/>
    <col min="778" max="778" width="10.33203125" style="91" customWidth="1"/>
    <col min="779" max="779" width="15" style="91" customWidth="1"/>
    <col min="780" max="780" width="10.33203125" style="91" customWidth="1"/>
    <col min="781" max="781" width="15.6640625" style="91" customWidth="1"/>
    <col min="782" max="782" width="9.5546875" style="91" customWidth="1"/>
    <col min="783" max="783" width="11.44140625" style="91" customWidth="1"/>
    <col min="784" max="784" width="12" style="91" customWidth="1"/>
    <col min="785" max="1027" width="9.33203125" style="91"/>
    <col min="1028" max="1028" width="6" style="91" customWidth="1"/>
    <col min="1029" max="1029" width="22.33203125" style="91" customWidth="1"/>
    <col min="1030" max="1030" width="5.44140625" style="91" customWidth="1"/>
    <col min="1031" max="1031" width="5.33203125" style="91" customWidth="1"/>
    <col min="1032" max="1032" width="21.33203125" style="91" customWidth="1"/>
    <col min="1033" max="1033" width="17.33203125" style="91" customWidth="1"/>
    <col min="1034" max="1034" width="10.33203125" style="91" customWidth="1"/>
    <col min="1035" max="1035" width="15" style="91" customWidth="1"/>
    <col min="1036" max="1036" width="10.33203125" style="91" customWidth="1"/>
    <col min="1037" max="1037" width="15.6640625" style="91" customWidth="1"/>
    <col min="1038" max="1038" width="9.5546875" style="91" customWidth="1"/>
    <col min="1039" max="1039" width="11.44140625" style="91" customWidth="1"/>
    <col min="1040" max="1040" width="12" style="91" customWidth="1"/>
    <col min="1041" max="1283" width="9.33203125" style="91"/>
    <col min="1284" max="1284" width="6" style="91" customWidth="1"/>
    <col min="1285" max="1285" width="22.33203125" style="91" customWidth="1"/>
    <col min="1286" max="1286" width="5.44140625" style="91" customWidth="1"/>
    <col min="1287" max="1287" width="5.33203125" style="91" customWidth="1"/>
    <col min="1288" max="1288" width="21.33203125" style="91" customWidth="1"/>
    <col min="1289" max="1289" width="17.33203125" style="91" customWidth="1"/>
    <col min="1290" max="1290" width="10.33203125" style="91" customWidth="1"/>
    <col min="1291" max="1291" width="15" style="91" customWidth="1"/>
    <col min="1292" max="1292" width="10.33203125" style="91" customWidth="1"/>
    <col min="1293" max="1293" width="15.6640625" style="91" customWidth="1"/>
    <col min="1294" max="1294" width="9.5546875" style="91" customWidth="1"/>
    <col min="1295" max="1295" width="11.44140625" style="91" customWidth="1"/>
    <col min="1296" max="1296" width="12" style="91" customWidth="1"/>
    <col min="1297" max="1539" width="9.33203125" style="91"/>
    <col min="1540" max="1540" width="6" style="91" customWidth="1"/>
    <col min="1541" max="1541" width="22.33203125" style="91" customWidth="1"/>
    <col min="1542" max="1542" width="5.44140625" style="91" customWidth="1"/>
    <col min="1543" max="1543" width="5.33203125" style="91" customWidth="1"/>
    <col min="1544" max="1544" width="21.33203125" style="91" customWidth="1"/>
    <col min="1545" max="1545" width="17.33203125" style="91" customWidth="1"/>
    <col min="1546" max="1546" width="10.33203125" style="91" customWidth="1"/>
    <col min="1547" max="1547" width="15" style="91" customWidth="1"/>
    <col min="1548" max="1548" width="10.33203125" style="91" customWidth="1"/>
    <col min="1549" max="1549" width="15.6640625" style="91" customWidth="1"/>
    <col min="1550" max="1550" width="9.5546875" style="91" customWidth="1"/>
    <col min="1551" max="1551" width="11.44140625" style="91" customWidth="1"/>
    <col min="1552" max="1552" width="12" style="91" customWidth="1"/>
    <col min="1553" max="1795" width="9.33203125" style="91"/>
    <col min="1796" max="1796" width="6" style="91" customWidth="1"/>
    <col min="1797" max="1797" width="22.33203125" style="91" customWidth="1"/>
    <col min="1798" max="1798" width="5.44140625" style="91" customWidth="1"/>
    <col min="1799" max="1799" width="5.33203125" style="91" customWidth="1"/>
    <col min="1800" max="1800" width="21.33203125" style="91" customWidth="1"/>
    <col min="1801" max="1801" width="17.33203125" style="91" customWidth="1"/>
    <col min="1802" max="1802" width="10.33203125" style="91" customWidth="1"/>
    <col min="1803" max="1803" width="15" style="91" customWidth="1"/>
    <col min="1804" max="1804" width="10.33203125" style="91" customWidth="1"/>
    <col min="1805" max="1805" width="15.6640625" style="91" customWidth="1"/>
    <col min="1806" max="1806" width="9.5546875" style="91" customWidth="1"/>
    <col min="1807" max="1807" width="11.44140625" style="91" customWidth="1"/>
    <col min="1808" max="1808" width="12" style="91" customWidth="1"/>
    <col min="1809" max="2051" width="9.33203125" style="91"/>
    <col min="2052" max="2052" width="6" style="91" customWidth="1"/>
    <col min="2053" max="2053" width="22.33203125" style="91" customWidth="1"/>
    <col min="2054" max="2054" width="5.44140625" style="91" customWidth="1"/>
    <col min="2055" max="2055" width="5.33203125" style="91" customWidth="1"/>
    <col min="2056" max="2056" width="21.33203125" style="91" customWidth="1"/>
    <col min="2057" max="2057" width="17.33203125" style="91" customWidth="1"/>
    <col min="2058" max="2058" width="10.33203125" style="91" customWidth="1"/>
    <col min="2059" max="2059" width="15" style="91" customWidth="1"/>
    <col min="2060" max="2060" width="10.33203125" style="91" customWidth="1"/>
    <col min="2061" max="2061" width="15.6640625" style="91" customWidth="1"/>
    <col min="2062" max="2062" width="9.5546875" style="91" customWidth="1"/>
    <col min="2063" max="2063" width="11.44140625" style="91" customWidth="1"/>
    <col min="2064" max="2064" width="12" style="91" customWidth="1"/>
    <col min="2065" max="2307" width="9.33203125" style="91"/>
    <col min="2308" max="2308" width="6" style="91" customWidth="1"/>
    <col min="2309" max="2309" width="22.33203125" style="91" customWidth="1"/>
    <col min="2310" max="2310" width="5.44140625" style="91" customWidth="1"/>
    <col min="2311" max="2311" width="5.33203125" style="91" customWidth="1"/>
    <col min="2312" max="2312" width="21.33203125" style="91" customWidth="1"/>
    <col min="2313" max="2313" width="17.33203125" style="91" customWidth="1"/>
    <col min="2314" max="2314" width="10.33203125" style="91" customWidth="1"/>
    <col min="2315" max="2315" width="15" style="91" customWidth="1"/>
    <col min="2316" max="2316" width="10.33203125" style="91" customWidth="1"/>
    <col min="2317" max="2317" width="15.6640625" style="91" customWidth="1"/>
    <col min="2318" max="2318" width="9.5546875" style="91" customWidth="1"/>
    <col min="2319" max="2319" width="11.44140625" style="91" customWidth="1"/>
    <col min="2320" max="2320" width="12" style="91" customWidth="1"/>
    <col min="2321" max="2563" width="9.33203125" style="91"/>
    <col min="2564" max="2564" width="6" style="91" customWidth="1"/>
    <col min="2565" max="2565" width="22.33203125" style="91" customWidth="1"/>
    <col min="2566" max="2566" width="5.44140625" style="91" customWidth="1"/>
    <col min="2567" max="2567" width="5.33203125" style="91" customWidth="1"/>
    <col min="2568" max="2568" width="21.33203125" style="91" customWidth="1"/>
    <col min="2569" max="2569" width="17.33203125" style="91" customWidth="1"/>
    <col min="2570" max="2570" width="10.33203125" style="91" customWidth="1"/>
    <col min="2571" max="2571" width="15" style="91" customWidth="1"/>
    <col min="2572" max="2572" width="10.33203125" style="91" customWidth="1"/>
    <col min="2573" max="2573" width="15.6640625" style="91" customWidth="1"/>
    <col min="2574" max="2574" width="9.5546875" style="91" customWidth="1"/>
    <col min="2575" max="2575" width="11.44140625" style="91" customWidth="1"/>
    <col min="2576" max="2576" width="12" style="91" customWidth="1"/>
    <col min="2577" max="2819" width="9.33203125" style="91"/>
    <col min="2820" max="2820" width="6" style="91" customWidth="1"/>
    <col min="2821" max="2821" width="22.33203125" style="91" customWidth="1"/>
    <col min="2822" max="2822" width="5.44140625" style="91" customWidth="1"/>
    <col min="2823" max="2823" width="5.33203125" style="91" customWidth="1"/>
    <col min="2824" max="2824" width="21.33203125" style="91" customWidth="1"/>
    <col min="2825" max="2825" width="17.33203125" style="91" customWidth="1"/>
    <col min="2826" max="2826" width="10.33203125" style="91" customWidth="1"/>
    <col min="2827" max="2827" width="15" style="91" customWidth="1"/>
    <col min="2828" max="2828" width="10.33203125" style="91" customWidth="1"/>
    <col min="2829" max="2829" width="15.6640625" style="91" customWidth="1"/>
    <col min="2830" max="2830" width="9.5546875" style="91" customWidth="1"/>
    <col min="2831" max="2831" width="11.44140625" style="91" customWidth="1"/>
    <col min="2832" max="2832" width="12" style="91" customWidth="1"/>
    <col min="2833" max="3075" width="9.33203125" style="91"/>
    <col min="3076" max="3076" width="6" style="91" customWidth="1"/>
    <col min="3077" max="3077" width="22.33203125" style="91" customWidth="1"/>
    <col min="3078" max="3078" width="5.44140625" style="91" customWidth="1"/>
    <col min="3079" max="3079" width="5.33203125" style="91" customWidth="1"/>
    <col min="3080" max="3080" width="21.33203125" style="91" customWidth="1"/>
    <col min="3081" max="3081" width="17.33203125" style="91" customWidth="1"/>
    <col min="3082" max="3082" width="10.33203125" style="91" customWidth="1"/>
    <col min="3083" max="3083" width="15" style="91" customWidth="1"/>
    <col min="3084" max="3084" width="10.33203125" style="91" customWidth="1"/>
    <col min="3085" max="3085" width="15.6640625" style="91" customWidth="1"/>
    <col min="3086" max="3086" width="9.5546875" style="91" customWidth="1"/>
    <col min="3087" max="3087" width="11.44140625" style="91" customWidth="1"/>
    <col min="3088" max="3088" width="12" style="91" customWidth="1"/>
    <col min="3089" max="3331" width="9.33203125" style="91"/>
    <col min="3332" max="3332" width="6" style="91" customWidth="1"/>
    <col min="3333" max="3333" width="22.33203125" style="91" customWidth="1"/>
    <col min="3334" max="3334" width="5.44140625" style="91" customWidth="1"/>
    <col min="3335" max="3335" width="5.33203125" style="91" customWidth="1"/>
    <col min="3336" max="3336" width="21.33203125" style="91" customWidth="1"/>
    <col min="3337" max="3337" width="17.33203125" style="91" customWidth="1"/>
    <col min="3338" max="3338" width="10.33203125" style="91" customWidth="1"/>
    <col min="3339" max="3339" width="15" style="91" customWidth="1"/>
    <col min="3340" max="3340" width="10.33203125" style="91" customWidth="1"/>
    <col min="3341" max="3341" width="15.6640625" style="91" customWidth="1"/>
    <col min="3342" max="3342" width="9.5546875" style="91" customWidth="1"/>
    <col min="3343" max="3343" width="11.44140625" style="91" customWidth="1"/>
    <col min="3344" max="3344" width="12" style="91" customWidth="1"/>
    <col min="3345" max="3587" width="9.33203125" style="91"/>
    <col min="3588" max="3588" width="6" style="91" customWidth="1"/>
    <col min="3589" max="3589" width="22.33203125" style="91" customWidth="1"/>
    <col min="3590" max="3590" width="5.44140625" style="91" customWidth="1"/>
    <col min="3591" max="3591" width="5.33203125" style="91" customWidth="1"/>
    <col min="3592" max="3592" width="21.33203125" style="91" customWidth="1"/>
    <col min="3593" max="3593" width="17.33203125" style="91" customWidth="1"/>
    <col min="3594" max="3594" width="10.33203125" style="91" customWidth="1"/>
    <col min="3595" max="3595" width="15" style="91" customWidth="1"/>
    <col min="3596" max="3596" width="10.33203125" style="91" customWidth="1"/>
    <col min="3597" max="3597" width="15.6640625" style="91" customWidth="1"/>
    <col min="3598" max="3598" width="9.5546875" style="91" customWidth="1"/>
    <col min="3599" max="3599" width="11.44140625" style="91" customWidth="1"/>
    <col min="3600" max="3600" width="12" style="91" customWidth="1"/>
    <col min="3601" max="3843" width="9.33203125" style="91"/>
    <col min="3844" max="3844" width="6" style="91" customWidth="1"/>
    <col min="3845" max="3845" width="22.33203125" style="91" customWidth="1"/>
    <col min="3846" max="3846" width="5.44140625" style="91" customWidth="1"/>
    <col min="3847" max="3847" width="5.33203125" style="91" customWidth="1"/>
    <col min="3848" max="3848" width="21.33203125" style="91" customWidth="1"/>
    <col min="3849" max="3849" width="17.33203125" style="91" customWidth="1"/>
    <col min="3850" max="3850" width="10.33203125" style="91" customWidth="1"/>
    <col min="3851" max="3851" width="15" style="91" customWidth="1"/>
    <col min="3852" max="3852" width="10.33203125" style="91" customWidth="1"/>
    <col min="3853" max="3853" width="15.6640625" style="91" customWidth="1"/>
    <col min="3854" max="3854" width="9.5546875" style="91" customWidth="1"/>
    <col min="3855" max="3855" width="11.44140625" style="91" customWidth="1"/>
    <col min="3856" max="3856" width="12" style="91" customWidth="1"/>
    <col min="3857" max="4099" width="9.33203125" style="91"/>
    <col min="4100" max="4100" width="6" style="91" customWidth="1"/>
    <col min="4101" max="4101" width="22.33203125" style="91" customWidth="1"/>
    <col min="4102" max="4102" width="5.44140625" style="91" customWidth="1"/>
    <col min="4103" max="4103" width="5.33203125" style="91" customWidth="1"/>
    <col min="4104" max="4104" width="21.33203125" style="91" customWidth="1"/>
    <col min="4105" max="4105" width="17.33203125" style="91" customWidth="1"/>
    <col min="4106" max="4106" width="10.33203125" style="91" customWidth="1"/>
    <col min="4107" max="4107" width="15" style="91" customWidth="1"/>
    <col min="4108" max="4108" width="10.33203125" style="91" customWidth="1"/>
    <col min="4109" max="4109" width="15.6640625" style="91" customWidth="1"/>
    <col min="4110" max="4110" width="9.5546875" style="91" customWidth="1"/>
    <col min="4111" max="4111" width="11.44140625" style="91" customWidth="1"/>
    <col min="4112" max="4112" width="12" style="91" customWidth="1"/>
    <col min="4113" max="4355" width="9.33203125" style="91"/>
    <col min="4356" max="4356" width="6" style="91" customWidth="1"/>
    <col min="4357" max="4357" width="22.33203125" style="91" customWidth="1"/>
    <col min="4358" max="4358" width="5.44140625" style="91" customWidth="1"/>
    <col min="4359" max="4359" width="5.33203125" style="91" customWidth="1"/>
    <col min="4360" max="4360" width="21.33203125" style="91" customWidth="1"/>
    <col min="4361" max="4361" width="17.33203125" style="91" customWidth="1"/>
    <col min="4362" max="4362" width="10.33203125" style="91" customWidth="1"/>
    <col min="4363" max="4363" width="15" style="91" customWidth="1"/>
    <col min="4364" max="4364" width="10.33203125" style="91" customWidth="1"/>
    <col min="4365" max="4365" width="15.6640625" style="91" customWidth="1"/>
    <col min="4366" max="4366" width="9.5546875" style="91" customWidth="1"/>
    <col min="4367" max="4367" width="11.44140625" style="91" customWidth="1"/>
    <col min="4368" max="4368" width="12" style="91" customWidth="1"/>
    <col min="4369" max="4611" width="9.33203125" style="91"/>
    <col min="4612" max="4612" width="6" style="91" customWidth="1"/>
    <col min="4613" max="4613" width="22.33203125" style="91" customWidth="1"/>
    <col min="4614" max="4614" width="5.44140625" style="91" customWidth="1"/>
    <col min="4615" max="4615" width="5.33203125" style="91" customWidth="1"/>
    <col min="4616" max="4616" width="21.33203125" style="91" customWidth="1"/>
    <col min="4617" max="4617" width="17.33203125" style="91" customWidth="1"/>
    <col min="4618" max="4618" width="10.33203125" style="91" customWidth="1"/>
    <col min="4619" max="4619" width="15" style="91" customWidth="1"/>
    <col min="4620" max="4620" width="10.33203125" style="91" customWidth="1"/>
    <col min="4621" max="4621" width="15.6640625" style="91" customWidth="1"/>
    <col min="4622" max="4622" width="9.5546875" style="91" customWidth="1"/>
    <col min="4623" max="4623" width="11.44140625" style="91" customWidth="1"/>
    <col min="4624" max="4624" width="12" style="91" customWidth="1"/>
    <col min="4625" max="4867" width="9.33203125" style="91"/>
    <col min="4868" max="4868" width="6" style="91" customWidth="1"/>
    <col min="4869" max="4869" width="22.33203125" style="91" customWidth="1"/>
    <col min="4870" max="4870" width="5.44140625" style="91" customWidth="1"/>
    <col min="4871" max="4871" width="5.33203125" style="91" customWidth="1"/>
    <col min="4872" max="4872" width="21.33203125" style="91" customWidth="1"/>
    <col min="4873" max="4873" width="17.33203125" style="91" customWidth="1"/>
    <col min="4874" max="4874" width="10.33203125" style="91" customWidth="1"/>
    <col min="4875" max="4875" width="15" style="91" customWidth="1"/>
    <col min="4876" max="4876" width="10.33203125" style="91" customWidth="1"/>
    <col min="4877" max="4877" width="15.6640625" style="91" customWidth="1"/>
    <col min="4878" max="4878" width="9.5546875" style="91" customWidth="1"/>
    <col min="4879" max="4879" width="11.44140625" style="91" customWidth="1"/>
    <col min="4880" max="4880" width="12" style="91" customWidth="1"/>
    <col min="4881" max="5123" width="9.33203125" style="91"/>
    <col min="5124" max="5124" width="6" style="91" customWidth="1"/>
    <col min="5125" max="5125" width="22.33203125" style="91" customWidth="1"/>
    <col min="5126" max="5126" width="5.44140625" style="91" customWidth="1"/>
    <col min="5127" max="5127" width="5.33203125" style="91" customWidth="1"/>
    <col min="5128" max="5128" width="21.33203125" style="91" customWidth="1"/>
    <col min="5129" max="5129" width="17.33203125" style="91" customWidth="1"/>
    <col min="5130" max="5130" width="10.33203125" style="91" customWidth="1"/>
    <col min="5131" max="5131" width="15" style="91" customWidth="1"/>
    <col min="5132" max="5132" width="10.33203125" style="91" customWidth="1"/>
    <col min="5133" max="5133" width="15.6640625" style="91" customWidth="1"/>
    <col min="5134" max="5134" width="9.5546875" style="91" customWidth="1"/>
    <col min="5135" max="5135" width="11.44140625" style="91" customWidth="1"/>
    <col min="5136" max="5136" width="12" style="91" customWidth="1"/>
    <col min="5137" max="5379" width="9.33203125" style="91"/>
    <col min="5380" max="5380" width="6" style="91" customWidth="1"/>
    <col min="5381" max="5381" width="22.33203125" style="91" customWidth="1"/>
    <col min="5382" max="5382" width="5.44140625" style="91" customWidth="1"/>
    <col min="5383" max="5383" width="5.33203125" style="91" customWidth="1"/>
    <col min="5384" max="5384" width="21.33203125" style="91" customWidth="1"/>
    <col min="5385" max="5385" width="17.33203125" style="91" customWidth="1"/>
    <col min="5386" max="5386" width="10.33203125" style="91" customWidth="1"/>
    <col min="5387" max="5387" width="15" style="91" customWidth="1"/>
    <col min="5388" max="5388" width="10.33203125" style="91" customWidth="1"/>
    <col min="5389" max="5389" width="15.6640625" style="91" customWidth="1"/>
    <col min="5390" max="5390" width="9.5546875" style="91" customWidth="1"/>
    <col min="5391" max="5391" width="11.44140625" style="91" customWidth="1"/>
    <col min="5392" max="5392" width="12" style="91" customWidth="1"/>
    <col min="5393" max="5635" width="9.33203125" style="91"/>
    <col min="5636" max="5636" width="6" style="91" customWidth="1"/>
    <col min="5637" max="5637" width="22.33203125" style="91" customWidth="1"/>
    <col min="5638" max="5638" width="5.44140625" style="91" customWidth="1"/>
    <col min="5639" max="5639" width="5.33203125" style="91" customWidth="1"/>
    <col min="5640" max="5640" width="21.33203125" style="91" customWidth="1"/>
    <col min="5641" max="5641" width="17.33203125" style="91" customWidth="1"/>
    <col min="5642" max="5642" width="10.33203125" style="91" customWidth="1"/>
    <col min="5643" max="5643" width="15" style="91" customWidth="1"/>
    <col min="5644" max="5644" width="10.33203125" style="91" customWidth="1"/>
    <col min="5645" max="5645" width="15.6640625" style="91" customWidth="1"/>
    <col min="5646" max="5646" width="9.5546875" style="91" customWidth="1"/>
    <col min="5647" max="5647" width="11.44140625" style="91" customWidth="1"/>
    <col min="5648" max="5648" width="12" style="91" customWidth="1"/>
    <col min="5649" max="5891" width="9.33203125" style="91"/>
    <col min="5892" max="5892" width="6" style="91" customWidth="1"/>
    <col min="5893" max="5893" width="22.33203125" style="91" customWidth="1"/>
    <col min="5894" max="5894" width="5.44140625" style="91" customWidth="1"/>
    <col min="5895" max="5895" width="5.33203125" style="91" customWidth="1"/>
    <col min="5896" max="5896" width="21.33203125" style="91" customWidth="1"/>
    <col min="5897" max="5897" width="17.33203125" style="91" customWidth="1"/>
    <col min="5898" max="5898" width="10.33203125" style="91" customWidth="1"/>
    <col min="5899" max="5899" width="15" style="91" customWidth="1"/>
    <col min="5900" max="5900" width="10.33203125" style="91" customWidth="1"/>
    <col min="5901" max="5901" width="15.6640625" style="91" customWidth="1"/>
    <col min="5902" max="5902" width="9.5546875" style="91" customWidth="1"/>
    <col min="5903" max="5903" width="11.44140625" style="91" customWidth="1"/>
    <col min="5904" max="5904" width="12" style="91" customWidth="1"/>
    <col min="5905" max="6147" width="9.33203125" style="91"/>
    <col min="6148" max="6148" width="6" style="91" customWidth="1"/>
    <col min="6149" max="6149" width="22.33203125" style="91" customWidth="1"/>
    <col min="6150" max="6150" width="5.44140625" style="91" customWidth="1"/>
    <col min="6151" max="6151" width="5.33203125" style="91" customWidth="1"/>
    <col min="6152" max="6152" width="21.33203125" style="91" customWidth="1"/>
    <col min="6153" max="6153" width="17.33203125" style="91" customWidth="1"/>
    <col min="6154" max="6154" width="10.33203125" style="91" customWidth="1"/>
    <col min="6155" max="6155" width="15" style="91" customWidth="1"/>
    <col min="6156" max="6156" width="10.33203125" style="91" customWidth="1"/>
    <col min="6157" max="6157" width="15.6640625" style="91" customWidth="1"/>
    <col min="6158" max="6158" width="9.5546875" style="91" customWidth="1"/>
    <col min="6159" max="6159" width="11.44140625" style="91" customWidth="1"/>
    <col min="6160" max="6160" width="12" style="91" customWidth="1"/>
    <col min="6161" max="6403" width="9.33203125" style="91"/>
    <col min="6404" max="6404" width="6" style="91" customWidth="1"/>
    <col min="6405" max="6405" width="22.33203125" style="91" customWidth="1"/>
    <col min="6406" max="6406" width="5.44140625" style="91" customWidth="1"/>
    <col min="6407" max="6407" width="5.33203125" style="91" customWidth="1"/>
    <col min="6408" max="6408" width="21.33203125" style="91" customWidth="1"/>
    <col min="6409" max="6409" width="17.33203125" style="91" customWidth="1"/>
    <col min="6410" max="6410" width="10.33203125" style="91" customWidth="1"/>
    <col min="6411" max="6411" width="15" style="91" customWidth="1"/>
    <col min="6412" max="6412" width="10.33203125" style="91" customWidth="1"/>
    <col min="6413" max="6413" width="15.6640625" style="91" customWidth="1"/>
    <col min="6414" max="6414" width="9.5546875" style="91" customWidth="1"/>
    <col min="6415" max="6415" width="11.44140625" style="91" customWidth="1"/>
    <col min="6416" max="6416" width="12" style="91" customWidth="1"/>
    <col min="6417" max="6659" width="9.33203125" style="91"/>
    <col min="6660" max="6660" width="6" style="91" customWidth="1"/>
    <col min="6661" max="6661" width="22.33203125" style="91" customWidth="1"/>
    <col min="6662" max="6662" width="5.44140625" style="91" customWidth="1"/>
    <col min="6663" max="6663" width="5.33203125" style="91" customWidth="1"/>
    <col min="6664" max="6664" width="21.33203125" style="91" customWidth="1"/>
    <col min="6665" max="6665" width="17.33203125" style="91" customWidth="1"/>
    <col min="6666" max="6666" width="10.33203125" style="91" customWidth="1"/>
    <col min="6667" max="6667" width="15" style="91" customWidth="1"/>
    <col min="6668" max="6668" width="10.33203125" style="91" customWidth="1"/>
    <col min="6669" max="6669" width="15.6640625" style="91" customWidth="1"/>
    <col min="6670" max="6670" width="9.5546875" style="91" customWidth="1"/>
    <col min="6671" max="6671" width="11.44140625" style="91" customWidth="1"/>
    <col min="6672" max="6672" width="12" style="91" customWidth="1"/>
    <col min="6673" max="6915" width="9.33203125" style="91"/>
    <col min="6916" max="6916" width="6" style="91" customWidth="1"/>
    <col min="6917" max="6917" width="22.33203125" style="91" customWidth="1"/>
    <col min="6918" max="6918" width="5.44140625" style="91" customWidth="1"/>
    <col min="6919" max="6919" width="5.33203125" style="91" customWidth="1"/>
    <col min="6920" max="6920" width="21.33203125" style="91" customWidth="1"/>
    <col min="6921" max="6921" width="17.33203125" style="91" customWidth="1"/>
    <col min="6922" max="6922" width="10.33203125" style="91" customWidth="1"/>
    <col min="6923" max="6923" width="15" style="91" customWidth="1"/>
    <col min="6924" max="6924" width="10.33203125" style="91" customWidth="1"/>
    <col min="6925" max="6925" width="15.6640625" style="91" customWidth="1"/>
    <col min="6926" max="6926" width="9.5546875" style="91" customWidth="1"/>
    <col min="6927" max="6927" width="11.44140625" style="91" customWidth="1"/>
    <col min="6928" max="6928" width="12" style="91" customWidth="1"/>
    <col min="6929" max="7171" width="9.33203125" style="91"/>
    <col min="7172" max="7172" width="6" style="91" customWidth="1"/>
    <col min="7173" max="7173" width="22.33203125" style="91" customWidth="1"/>
    <col min="7174" max="7174" width="5.44140625" style="91" customWidth="1"/>
    <col min="7175" max="7175" width="5.33203125" style="91" customWidth="1"/>
    <col min="7176" max="7176" width="21.33203125" style="91" customWidth="1"/>
    <col min="7177" max="7177" width="17.33203125" style="91" customWidth="1"/>
    <col min="7178" max="7178" width="10.33203125" style="91" customWidth="1"/>
    <col min="7179" max="7179" width="15" style="91" customWidth="1"/>
    <col min="7180" max="7180" width="10.33203125" style="91" customWidth="1"/>
    <col min="7181" max="7181" width="15.6640625" style="91" customWidth="1"/>
    <col min="7182" max="7182" width="9.5546875" style="91" customWidth="1"/>
    <col min="7183" max="7183" width="11.44140625" style="91" customWidth="1"/>
    <col min="7184" max="7184" width="12" style="91" customWidth="1"/>
    <col min="7185" max="7427" width="9.33203125" style="91"/>
    <col min="7428" max="7428" width="6" style="91" customWidth="1"/>
    <col min="7429" max="7429" width="22.33203125" style="91" customWidth="1"/>
    <col min="7430" max="7430" width="5.44140625" style="91" customWidth="1"/>
    <col min="7431" max="7431" width="5.33203125" style="91" customWidth="1"/>
    <col min="7432" max="7432" width="21.33203125" style="91" customWidth="1"/>
    <col min="7433" max="7433" width="17.33203125" style="91" customWidth="1"/>
    <col min="7434" max="7434" width="10.33203125" style="91" customWidth="1"/>
    <col min="7435" max="7435" width="15" style="91" customWidth="1"/>
    <col min="7436" max="7436" width="10.33203125" style="91" customWidth="1"/>
    <col min="7437" max="7437" width="15.6640625" style="91" customWidth="1"/>
    <col min="7438" max="7438" width="9.5546875" style="91" customWidth="1"/>
    <col min="7439" max="7439" width="11.44140625" style="91" customWidth="1"/>
    <col min="7440" max="7440" width="12" style="91" customWidth="1"/>
    <col min="7441" max="7683" width="9.33203125" style="91"/>
    <col min="7684" max="7684" width="6" style="91" customWidth="1"/>
    <col min="7685" max="7685" width="22.33203125" style="91" customWidth="1"/>
    <col min="7686" max="7686" width="5.44140625" style="91" customWidth="1"/>
    <col min="7687" max="7687" width="5.33203125" style="91" customWidth="1"/>
    <col min="7688" max="7688" width="21.33203125" style="91" customWidth="1"/>
    <col min="7689" max="7689" width="17.33203125" style="91" customWidth="1"/>
    <col min="7690" max="7690" width="10.33203125" style="91" customWidth="1"/>
    <col min="7691" max="7691" width="15" style="91" customWidth="1"/>
    <col min="7692" max="7692" width="10.33203125" style="91" customWidth="1"/>
    <col min="7693" max="7693" width="15.6640625" style="91" customWidth="1"/>
    <col min="7694" max="7694" width="9.5546875" style="91" customWidth="1"/>
    <col min="7695" max="7695" width="11.44140625" style="91" customWidth="1"/>
    <col min="7696" max="7696" width="12" style="91" customWidth="1"/>
    <col min="7697" max="7939" width="9.33203125" style="91"/>
    <col min="7940" max="7940" width="6" style="91" customWidth="1"/>
    <col min="7941" max="7941" width="22.33203125" style="91" customWidth="1"/>
    <col min="7942" max="7942" width="5.44140625" style="91" customWidth="1"/>
    <col min="7943" max="7943" width="5.33203125" style="91" customWidth="1"/>
    <col min="7944" max="7944" width="21.33203125" style="91" customWidth="1"/>
    <col min="7945" max="7945" width="17.33203125" style="91" customWidth="1"/>
    <col min="7946" max="7946" width="10.33203125" style="91" customWidth="1"/>
    <col min="7947" max="7947" width="15" style="91" customWidth="1"/>
    <col min="7948" max="7948" width="10.33203125" style="91" customWidth="1"/>
    <col min="7949" max="7949" width="15.6640625" style="91" customWidth="1"/>
    <col min="7950" max="7950" width="9.5546875" style="91" customWidth="1"/>
    <col min="7951" max="7951" width="11.44140625" style="91" customWidth="1"/>
    <col min="7952" max="7952" width="12" style="91" customWidth="1"/>
    <col min="7953" max="8195" width="9.33203125" style="91"/>
    <col min="8196" max="8196" width="6" style="91" customWidth="1"/>
    <col min="8197" max="8197" width="22.33203125" style="91" customWidth="1"/>
    <col min="8198" max="8198" width="5.44140625" style="91" customWidth="1"/>
    <col min="8199" max="8199" width="5.33203125" style="91" customWidth="1"/>
    <col min="8200" max="8200" width="21.33203125" style="91" customWidth="1"/>
    <col min="8201" max="8201" width="17.33203125" style="91" customWidth="1"/>
    <col min="8202" max="8202" width="10.33203125" style="91" customWidth="1"/>
    <col min="8203" max="8203" width="15" style="91" customWidth="1"/>
    <col min="8204" max="8204" width="10.33203125" style="91" customWidth="1"/>
    <col min="8205" max="8205" width="15.6640625" style="91" customWidth="1"/>
    <col min="8206" max="8206" width="9.5546875" style="91" customWidth="1"/>
    <col min="8207" max="8207" width="11.44140625" style="91" customWidth="1"/>
    <col min="8208" max="8208" width="12" style="91" customWidth="1"/>
    <col min="8209" max="8451" width="9.33203125" style="91"/>
    <col min="8452" max="8452" width="6" style="91" customWidth="1"/>
    <col min="8453" max="8453" width="22.33203125" style="91" customWidth="1"/>
    <col min="8454" max="8454" width="5.44140625" style="91" customWidth="1"/>
    <col min="8455" max="8455" width="5.33203125" style="91" customWidth="1"/>
    <col min="8456" max="8456" width="21.33203125" style="91" customWidth="1"/>
    <col min="8457" max="8457" width="17.33203125" style="91" customWidth="1"/>
    <col min="8458" max="8458" width="10.33203125" style="91" customWidth="1"/>
    <col min="8459" max="8459" width="15" style="91" customWidth="1"/>
    <col min="8460" max="8460" width="10.33203125" style="91" customWidth="1"/>
    <col min="8461" max="8461" width="15.6640625" style="91" customWidth="1"/>
    <col min="8462" max="8462" width="9.5546875" style="91" customWidth="1"/>
    <col min="8463" max="8463" width="11.44140625" style="91" customWidth="1"/>
    <col min="8464" max="8464" width="12" style="91" customWidth="1"/>
    <col min="8465" max="8707" width="9.33203125" style="91"/>
    <col min="8708" max="8708" width="6" style="91" customWidth="1"/>
    <col min="8709" max="8709" width="22.33203125" style="91" customWidth="1"/>
    <col min="8710" max="8710" width="5.44140625" style="91" customWidth="1"/>
    <col min="8711" max="8711" width="5.33203125" style="91" customWidth="1"/>
    <col min="8712" max="8712" width="21.33203125" style="91" customWidth="1"/>
    <col min="8713" max="8713" width="17.33203125" style="91" customWidth="1"/>
    <col min="8714" max="8714" width="10.33203125" style="91" customWidth="1"/>
    <col min="8715" max="8715" width="15" style="91" customWidth="1"/>
    <col min="8716" max="8716" width="10.33203125" style="91" customWidth="1"/>
    <col min="8717" max="8717" width="15.6640625" style="91" customWidth="1"/>
    <col min="8718" max="8718" width="9.5546875" style="91" customWidth="1"/>
    <col min="8719" max="8719" width="11.44140625" style="91" customWidth="1"/>
    <col min="8720" max="8720" width="12" style="91" customWidth="1"/>
    <col min="8721" max="8963" width="9.33203125" style="91"/>
    <col min="8964" max="8964" width="6" style="91" customWidth="1"/>
    <col min="8965" max="8965" width="22.33203125" style="91" customWidth="1"/>
    <col min="8966" max="8966" width="5.44140625" style="91" customWidth="1"/>
    <col min="8967" max="8967" width="5.33203125" style="91" customWidth="1"/>
    <col min="8968" max="8968" width="21.33203125" style="91" customWidth="1"/>
    <col min="8969" max="8969" width="17.33203125" style="91" customWidth="1"/>
    <col min="8970" max="8970" width="10.33203125" style="91" customWidth="1"/>
    <col min="8971" max="8971" width="15" style="91" customWidth="1"/>
    <col min="8972" max="8972" width="10.33203125" style="91" customWidth="1"/>
    <col min="8973" max="8973" width="15.6640625" style="91" customWidth="1"/>
    <col min="8974" max="8974" width="9.5546875" style="91" customWidth="1"/>
    <col min="8975" max="8975" width="11.44140625" style="91" customWidth="1"/>
    <col min="8976" max="8976" width="12" style="91" customWidth="1"/>
    <col min="8977" max="9219" width="9.33203125" style="91"/>
    <col min="9220" max="9220" width="6" style="91" customWidth="1"/>
    <col min="9221" max="9221" width="22.33203125" style="91" customWidth="1"/>
    <col min="9222" max="9222" width="5.44140625" style="91" customWidth="1"/>
    <col min="9223" max="9223" width="5.33203125" style="91" customWidth="1"/>
    <col min="9224" max="9224" width="21.33203125" style="91" customWidth="1"/>
    <col min="9225" max="9225" width="17.33203125" style="91" customWidth="1"/>
    <col min="9226" max="9226" width="10.33203125" style="91" customWidth="1"/>
    <col min="9227" max="9227" width="15" style="91" customWidth="1"/>
    <col min="9228" max="9228" width="10.33203125" style="91" customWidth="1"/>
    <col min="9229" max="9229" width="15.6640625" style="91" customWidth="1"/>
    <col min="9230" max="9230" width="9.5546875" style="91" customWidth="1"/>
    <col min="9231" max="9231" width="11.44140625" style="91" customWidth="1"/>
    <col min="9232" max="9232" width="12" style="91" customWidth="1"/>
    <col min="9233" max="9475" width="9.33203125" style="91"/>
    <col min="9476" max="9476" width="6" style="91" customWidth="1"/>
    <col min="9477" max="9477" width="22.33203125" style="91" customWidth="1"/>
    <col min="9478" max="9478" width="5.44140625" style="91" customWidth="1"/>
    <col min="9479" max="9479" width="5.33203125" style="91" customWidth="1"/>
    <col min="9480" max="9480" width="21.33203125" style="91" customWidth="1"/>
    <col min="9481" max="9481" width="17.33203125" style="91" customWidth="1"/>
    <col min="9482" max="9482" width="10.33203125" style="91" customWidth="1"/>
    <col min="9483" max="9483" width="15" style="91" customWidth="1"/>
    <col min="9484" max="9484" width="10.33203125" style="91" customWidth="1"/>
    <col min="9485" max="9485" width="15.6640625" style="91" customWidth="1"/>
    <col min="9486" max="9486" width="9.5546875" style="91" customWidth="1"/>
    <col min="9487" max="9487" width="11.44140625" style="91" customWidth="1"/>
    <col min="9488" max="9488" width="12" style="91" customWidth="1"/>
    <col min="9489" max="9731" width="9.33203125" style="91"/>
    <col min="9732" max="9732" width="6" style="91" customWidth="1"/>
    <col min="9733" max="9733" width="22.33203125" style="91" customWidth="1"/>
    <col min="9734" max="9734" width="5.44140625" style="91" customWidth="1"/>
    <col min="9735" max="9735" width="5.33203125" style="91" customWidth="1"/>
    <col min="9736" max="9736" width="21.33203125" style="91" customWidth="1"/>
    <col min="9737" max="9737" width="17.33203125" style="91" customWidth="1"/>
    <col min="9738" max="9738" width="10.33203125" style="91" customWidth="1"/>
    <col min="9739" max="9739" width="15" style="91" customWidth="1"/>
    <col min="9740" max="9740" width="10.33203125" style="91" customWidth="1"/>
    <col min="9741" max="9741" width="15.6640625" style="91" customWidth="1"/>
    <col min="9742" max="9742" width="9.5546875" style="91" customWidth="1"/>
    <col min="9743" max="9743" width="11.44140625" style="91" customWidth="1"/>
    <col min="9744" max="9744" width="12" style="91" customWidth="1"/>
    <col min="9745" max="9987" width="9.33203125" style="91"/>
    <col min="9988" max="9988" width="6" style="91" customWidth="1"/>
    <col min="9989" max="9989" width="22.33203125" style="91" customWidth="1"/>
    <col min="9990" max="9990" width="5.44140625" style="91" customWidth="1"/>
    <col min="9991" max="9991" width="5.33203125" style="91" customWidth="1"/>
    <col min="9992" max="9992" width="21.33203125" style="91" customWidth="1"/>
    <col min="9993" max="9993" width="17.33203125" style="91" customWidth="1"/>
    <col min="9994" max="9994" width="10.33203125" style="91" customWidth="1"/>
    <col min="9995" max="9995" width="15" style="91" customWidth="1"/>
    <col min="9996" max="9996" width="10.33203125" style="91" customWidth="1"/>
    <col min="9997" max="9997" width="15.6640625" style="91" customWidth="1"/>
    <col min="9998" max="9998" width="9.5546875" style="91" customWidth="1"/>
    <col min="9999" max="9999" width="11.44140625" style="91" customWidth="1"/>
    <col min="10000" max="10000" width="12" style="91" customWidth="1"/>
    <col min="10001" max="10243" width="9.33203125" style="91"/>
    <col min="10244" max="10244" width="6" style="91" customWidth="1"/>
    <col min="10245" max="10245" width="22.33203125" style="91" customWidth="1"/>
    <col min="10246" max="10246" width="5.44140625" style="91" customWidth="1"/>
    <col min="10247" max="10247" width="5.33203125" style="91" customWidth="1"/>
    <col min="10248" max="10248" width="21.33203125" style="91" customWidth="1"/>
    <col min="10249" max="10249" width="17.33203125" style="91" customWidth="1"/>
    <col min="10250" max="10250" width="10.33203125" style="91" customWidth="1"/>
    <col min="10251" max="10251" width="15" style="91" customWidth="1"/>
    <col min="10252" max="10252" width="10.33203125" style="91" customWidth="1"/>
    <col min="10253" max="10253" width="15.6640625" style="91" customWidth="1"/>
    <col min="10254" max="10254" width="9.5546875" style="91" customWidth="1"/>
    <col min="10255" max="10255" width="11.44140625" style="91" customWidth="1"/>
    <col min="10256" max="10256" width="12" style="91" customWidth="1"/>
    <col min="10257" max="10499" width="9.33203125" style="91"/>
    <col min="10500" max="10500" width="6" style="91" customWidth="1"/>
    <col min="10501" max="10501" width="22.33203125" style="91" customWidth="1"/>
    <col min="10502" max="10502" width="5.44140625" style="91" customWidth="1"/>
    <col min="10503" max="10503" width="5.33203125" style="91" customWidth="1"/>
    <col min="10504" max="10504" width="21.33203125" style="91" customWidth="1"/>
    <col min="10505" max="10505" width="17.33203125" style="91" customWidth="1"/>
    <col min="10506" max="10506" width="10.33203125" style="91" customWidth="1"/>
    <col min="10507" max="10507" width="15" style="91" customWidth="1"/>
    <col min="10508" max="10508" width="10.33203125" style="91" customWidth="1"/>
    <col min="10509" max="10509" width="15.6640625" style="91" customWidth="1"/>
    <col min="10510" max="10510" width="9.5546875" style="91" customWidth="1"/>
    <col min="10511" max="10511" width="11.44140625" style="91" customWidth="1"/>
    <col min="10512" max="10512" width="12" style="91" customWidth="1"/>
    <col min="10513" max="10755" width="9.33203125" style="91"/>
    <col min="10756" max="10756" width="6" style="91" customWidth="1"/>
    <col min="10757" max="10757" width="22.33203125" style="91" customWidth="1"/>
    <col min="10758" max="10758" width="5.44140625" style="91" customWidth="1"/>
    <col min="10759" max="10759" width="5.33203125" style="91" customWidth="1"/>
    <col min="10760" max="10760" width="21.33203125" style="91" customWidth="1"/>
    <col min="10761" max="10761" width="17.33203125" style="91" customWidth="1"/>
    <col min="10762" max="10762" width="10.33203125" style="91" customWidth="1"/>
    <col min="10763" max="10763" width="15" style="91" customWidth="1"/>
    <col min="10764" max="10764" width="10.33203125" style="91" customWidth="1"/>
    <col min="10765" max="10765" width="15.6640625" style="91" customWidth="1"/>
    <col min="10766" max="10766" width="9.5546875" style="91" customWidth="1"/>
    <col min="10767" max="10767" width="11.44140625" style="91" customWidth="1"/>
    <col min="10768" max="10768" width="12" style="91" customWidth="1"/>
    <col min="10769" max="11011" width="9.33203125" style="91"/>
    <col min="11012" max="11012" width="6" style="91" customWidth="1"/>
    <col min="11013" max="11013" width="22.33203125" style="91" customWidth="1"/>
    <col min="11014" max="11014" width="5.44140625" style="91" customWidth="1"/>
    <col min="11015" max="11015" width="5.33203125" style="91" customWidth="1"/>
    <col min="11016" max="11016" width="21.33203125" style="91" customWidth="1"/>
    <col min="11017" max="11017" width="17.33203125" style="91" customWidth="1"/>
    <col min="11018" max="11018" width="10.33203125" style="91" customWidth="1"/>
    <col min="11019" max="11019" width="15" style="91" customWidth="1"/>
    <col min="11020" max="11020" width="10.33203125" style="91" customWidth="1"/>
    <col min="11021" max="11021" width="15.6640625" style="91" customWidth="1"/>
    <col min="11022" max="11022" width="9.5546875" style="91" customWidth="1"/>
    <col min="11023" max="11023" width="11.44140625" style="91" customWidth="1"/>
    <col min="11024" max="11024" width="12" style="91" customWidth="1"/>
    <col min="11025" max="11267" width="9.33203125" style="91"/>
    <col min="11268" max="11268" width="6" style="91" customWidth="1"/>
    <col min="11269" max="11269" width="22.33203125" style="91" customWidth="1"/>
    <col min="11270" max="11270" width="5.44140625" style="91" customWidth="1"/>
    <col min="11271" max="11271" width="5.33203125" style="91" customWidth="1"/>
    <col min="11272" max="11272" width="21.33203125" style="91" customWidth="1"/>
    <col min="11273" max="11273" width="17.33203125" style="91" customWidth="1"/>
    <col min="11274" max="11274" width="10.33203125" style="91" customWidth="1"/>
    <col min="11275" max="11275" width="15" style="91" customWidth="1"/>
    <col min="11276" max="11276" width="10.33203125" style="91" customWidth="1"/>
    <col min="11277" max="11277" width="15.6640625" style="91" customWidth="1"/>
    <col min="11278" max="11278" width="9.5546875" style="91" customWidth="1"/>
    <col min="11279" max="11279" width="11.44140625" style="91" customWidth="1"/>
    <col min="11280" max="11280" width="12" style="91" customWidth="1"/>
    <col min="11281" max="11523" width="9.33203125" style="91"/>
    <col min="11524" max="11524" width="6" style="91" customWidth="1"/>
    <col min="11525" max="11525" width="22.33203125" style="91" customWidth="1"/>
    <col min="11526" max="11526" width="5.44140625" style="91" customWidth="1"/>
    <col min="11527" max="11527" width="5.33203125" style="91" customWidth="1"/>
    <col min="11528" max="11528" width="21.33203125" style="91" customWidth="1"/>
    <col min="11529" max="11529" width="17.33203125" style="91" customWidth="1"/>
    <col min="11530" max="11530" width="10.33203125" style="91" customWidth="1"/>
    <col min="11531" max="11531" width="15" style="91" customWidth="1"/>
    <col min="11532" max="11532" width="10.33203125" style="91" customWidth="1"/>
    <col min="11533" max="11533" width="15.6640625" style="91" customWidth="1"/>
    <col min="11534" max="11534" width="9.5546875" style="91" customWidth="1"/>
    <col min="11535" max="11535" width="11.44140625" style="91" customWidth="1"/>
    <col min="11536" max="11536" width="12" style="91" customWidth="1"/>
    <col min="11537" max="11779" width="9.33203125" style="91"/>
    <col min="11780" max="11780" width="6" style="91" customWidth="1"/>
    <col min="11781" max="11781" width="22.33203125" style="91" customWidth="1"/>
    <col min="11782" max="11782" width="5.44140625" style="91" customWidth="1"/>
    <col min="11783" max="11783" width="5.33203125" style="91" customWidth="1"/>
    <col min="11784" max="11784" width="21.33203125" style="91" customWidth="1"/>
    <col min="11785" max="11785" width="17.33203125" style="91" customWidth="1"/>
    <col min="11786" max="11786" width="10.33203125" style="91" customWidth="1"/>
    <col min="11787" max="11787" width="15" style="91" customWidth="1"/>
    <col min="11788" max="11788" width="10.33203125" style="91" customWidth="1"/>
    <col min="11789" max="11789" width="15.6640625" style="91" customWidth="1"/>
    <col min="11790" max="11790" width="9.5546875" style="91" customWidth="1"/>
    <col min="11791" max="11791" width="11.44140625" style="91" customWidth="1"/>
    <col min="11792" max="11792" width="12" style="91" customWidth="1"/>
    <col min="11793" max="12035" width="9.33203125" style="91"/>
    <col min="12036" max="12036" width="6" style="91" customWidth="1"/>
    <col min="12037" max="12037" width="22.33203125" style="91" customWidth="1"/>
    <col min="12038" max="12038" width="5.44140625" style="91" customWidth="1"/>
    <col min="12039" max="12039" width="5.33203125" style="91" customWidth="1"/>
    <col min="12040" max="12040" width="21.33203125" style="91" customWidth="1"/>
    <col min="12041" max="12041" width="17.33203125" style="91" customWidth="1"/>
    <col min="12042" max="12042" width="10.33203125" style="91" customWidth="1"/>
    <col min="12043" max="12043" width="15" style="91" customWidth="1"/>
    <col min="12044" max="12044" width="10.33203125" style="91" customWidth="1"/>
    <col min="12045" max="12045" width="15.6640625" style="91" customWidth="1"/>
    <col min="12046" max="12046" width="9.5546875" style="91" customWidth="1"/>
    <col min="12047" max="12047" width="11.44140625" style="91" customWidth="1"/>
    <col min="12048" max="12048" width="12" style="91" customWidth="1"/>
    <col min="12049" max="12291" width="9.33203125" style="91"/>
    <col min="12292" max="12292" width="6" style="91" customWidth="1"/>
    <col min="12293" max="12293" width="22.33203125" style="91" customWidth="1"/>
    <col min="12294" max="12294" width="5.44140625" style="91" customWidth="1"/>
    <col min="12295" max="12295" width="5.33203125" style="91" customWidth="1"/>
    <col min="12296" max="12296" width="21.33203125" style="91" customWidth="1"/>
    <col min="12297" max="12297" width="17.33203125" style="91" customWidth="1"/>
    <col min="12298" max="12298" width="10.33203125" style="91" customWidth="1"/>
    <col min="12299" max="12299" width="15" style="91" customWidth="1"/>
    <col min="12300" max="12300" width="10.33203125" style="91" customWidth="1"/>
    <col min="12301" max="12301" width="15.6640625" style="91" customWidth="1"/>
    <col min="12302" max="12302" width="9.5546875" style="91" customWidth="1"/>
    <col min="12303" max="12303" width="11.44140625" style="91" customWidth="1"/>
    <col min="12304" max="12304" width="12" style="91" customWidth="1"/>
    <col min="12305" max="12547" width="9.33203125" style="91"/>
    <col min="12548" max="12548" width="6" style="91" customWidth="1"/>
    <col min="12549" max="12549" width="22.33203125" style="91" customWidth="1"/>
    <col min="12550" max="12550" width="5.44140625" style="91" customWidth="1"/>
    <col min="12551" max="12551" width="5.33203125" style="91" customWidth="1"/>
    <col min="12552" max="12552" width="21.33203125" style="91" customWidth="1"/>
    <col min="12553" max="12553" width="17.33203125" style="91" customWidth="1"/>
    <col min="12554" max="12554" width="10.33203125" style="91" customWidth="1"/>
    <col min="12555" max="12555" width="15" style="91" customWidth="1"/>
    <col min="12556" max="12556" width="10.33203125" style="91" customWidth="1"/>
    <col min="12557" max="12557" width="15.6640625" style="91" customWidth="1"/>
    <col min="12558" max="12558" width="9.5546875" style="91" customWidth="1"/>
    <col min="12559" max="12559" width="11.44140625" style="91" customWidth="1"/>
    <col min="12560" max="12560" width="12" style="91" customWidth="1"/>
    <col min="12561" max="12803" width="9.33203125" style="91"/>
    <col min="12804" max="12804" width="6" style="91" customWidth="1"/>
    <col min="12805" max="12805" width="22.33203125" style="91" customWidth="1"/>
    <col min="12806" max="12806" width="5.44140625" style="91" customWidth="1"/>
    <col min="12807" max="12807" width="5.33203125" style="91" customWidth="1"/>
    <col min="12808" max="12808" width="21.33203125" style="91" customWidth="1"/>
    <col min="12809" max="12809" width="17.33203125" style="91" customWidth="1"/>
    <col min="12810" max="12810" width="10.33203125" style="91" customWidth="1"/>
    <col min="12811" max="12811" width="15" style="91" customWidth="1"/>
    <col min="12812" max="12812" width="10.33203125" style="91" customWidth="1"/>
    <col min="12813" max="12813" width="15.6640625" style="91" customWidth="1"/>
    <col min="12814" max="12814" width="9.5546875" style="91" customWidth="1"/>
    <col min="12815" max="12815" width="11.44140625" style="91" customWidth="1"/>
    <col min="12816" max="12816" width="12" style="91" customWidth="1"/>
    <col min="12817" max="13059" width="9.33203125" style="91"/>
    <col min="13060" max="13060" width="6" style="91" customWidth="1"/>
    <col min="13061" max="13061" width="22.33203125" style="91" customWidth="1"/>
    <col min="13062" max="13062" width="5.44140625" style="91" customWidth="1"/>
    <col min="13063" max="13063" width="5.33203125" style="91" customWidth="1"/>
    <col min="13064" max="13064" width="21.33203125" style="91" customWidth="1"/>
    <col min="13065" max="13065" width="17.33203125" style="91" customWidth="1"/>
    <col min="13066" max="13066" width="10.33203125" style="91" customWidth="1"/>
    <col min="13067" max="13067" width="15" style="91" customWidth="1"/>
    <col min="13068" max="13068" width="10.33203125" style="91" customWidth="1"/>
    <col min="13069" max="13069" width="15.6640625" style="91" customWidth="1"/>
    <col min="13070" max="13070" width="9.5546875" style="91" customWidth="1"/>
    <col min="13071" max="13071" width="11.44140625" style="91" customWidth="1"/>
    <col min="13072" max="13072" width="12" style="91" customWidth="1"/>
    <col min="13073" max="13315" width="9.33203125" style="91"/>
    <col min="13316" max="13316" width="6" style="91" customWidth="1"/>
    <col min="13317" max="13317" width="22.33203125" style="91" customWidth="1"/>
    <col min="13318" max="13318" width="5.44140625" style="91" customWidth="1"/>
    <col min="13319" max="13319" width="5.33203125" style="91" customWidth="1"/>
    <col min="13320" max="13320" width="21.33203125" style="91" customWidth="1"/>
    <col min="13321" max="13321" width="17.33203125" style="91" customWidth="1"/>
    <col min="13322" max="13322" width="10.33203125" style="91" customWidth="1"/>
    <col min="13323" max="13323" width="15" style="91" customWidth="1"/>
    <col min="13324" max="13324" width="10.33203125" style="91" customWidth="1"/>
    <col min="13325" max="13325" width="15.6640625" style="91" customWidth="1"/>
    <col min="13326" max="13326" width="9.5546875" style="91" customWidth="1"/>
    <col min="13327" max="13327" width="11.44140625" style="91" customWidth="1"/>
    <col min="13328" max="13328" width="12" style="91" customWidth="1"/>
    <col min="13329" max="13571" width="9.33203125" style="91"/>
    <col min="13572" max="13572" width="6" style="91" customWidth="1"/>
    <col min="13573" max="13573" width="22.33203125" style="91" customWidth="1"/>
    <col min="13574" max="13574" width="5.44140625" style="91" customWidth="1"/>
    <col min="13575" max="13575" width="5.33203125" style="91" customWidth="1"/>
    <col min="13576" max="13576" width="21.33203125" style="91" customWidth="1"/>
    <col min="13577" max="13577" width="17.33203125" style="91" customWidth="1"/>
    <col min="13578" max="13578" width="10.33203125" style="91" customWidth="1"/>
    <col min="13579" max="13579" width="15" style="91" customWidth="1"/>
    <col min="13580" max="13580" width="10.33203125" style="91" customWidth="1"/>
    <col min="13581" max="13581" width="15.6640625" style="91" customWidth="1"/>
    <col min="13582" max="13582" width="9.5546875" style="91" customWidth="1"/>
    <col min="13583" max="13583" width="11.44140625" style="91" customWidth="1"/>
    <col min="13584" max="13584" width="12" style="91" customWidth="1"/>
    <col min="13585" max="13827" width="9.33203125" style="91"/>
    <col min="13828" max="13828" width="6" style="91" customWidth="1"/>
    <col min="13829" max="13829" width="22.33203125" style="91" customWidth="1"/>
    <col min="13830" max="13830" width="5.44140625" style="91" customWidth="1"/>
    <col min="13831" max="13831" width="5.33203125" style="91" customWidth="1"/>
    <col min="13832" max="13832" width="21.33203125" style="91" customWidth="1"/>
    <col min="13833" max="13833" width="17.33203125" style="91" customWidth="1"/>
    <col min="13834" max="13834" width="10.33203125" style="91" customWidth="1"/>
    <col min="13835" max="13835" width="15" style="91" customWidth="1"/>
    <col min="13836" max="13836" width="10.33203125" style="91" customWidth="1"/>
    <col min="13837" max="13837" width="15.6640625" style="91" customWidth="1"/>
    <col min="13838" max="13838" width="9.5546875" style="91" customWidth="1"/>
    <col min="13839" max="13839" width="11.44140625" style="91" customWidth="1"/>
    <col min="13840" max="13840" width="12" style="91" customWidth="1"/>
    <col min="13841" max="14083" width="9.33203125" style="91"/>
    <col min="14084" max="14084" width="6" style="91" customWidth="1"/>
    <col min="14085" max="14085" width="22.33203125" style="91" customWidth="1"/>
    <col min="14086" max="14086" width="5.44140625" style="91" customWidth="1"/>
    <col min="14087" max="14087" width="5.33203125" style="91" customWidth="1"/>
    <col min="14088" max="14088" width="21.33203125" style="91" customWidth="1"/>
    <col min="14089" max="14089" width="17.33203125" style="91" customWidth="1"/>
    <col min="14090" max="14090" width="10.33203125" style="91" customWidth="1"/>
    <col min="14091" max="14091" width="15" style="91" customWidth="1"/>
    <col min="14092" max="14092" width="10.33203125" style="91" customWidth="1"/>
    <col min="14093" max="14093" width="15.6640625" style="91" customWidth="1"/>
    <col min="14094" max="14094" width="9.5546875" style="91" customWidth="1"/>
    <col min="14095" max="14095" width="11.44140625" style="91" customWidth="1"/>
    <col min="14096" max="14096" width="12" style="91" customWidth="1"/>
    <col min="14097" max="14339" width="9.33203125" style="91"/>
    <col min="14340" max="14340" width="6" style="91" customWidth="1"/>
    <col min="14341" max="14341" width="22.33203125" style="91" customWidth="1"/>
    <col min="14342" max="14342" width="5.44140625" style="91" customWidth="1"/>
    <col min="14343" max="14343" width="5.33203125" style="91" customWidth="1"/>
    <col min="14344" max="14344" width="21.33203125" style="91" customWidth="1"/>
    <col min="14345" max="14345" width="17.33203125" style="91" customWidth="1"/>
    <col min="14346" max="14346" width="10.33203125" style="91" customWidth="1"/>
    <col min="14347" max="14347" width="15" style="91" customWidth="1"/>
    <col min="14348" max="14348" width="10.33203125" style="91" customWidth="1"/>
    <col min="14349" max="14349" width="15.6640625" style="91" customWidth="1"/>
    <col min="14350" max="14350" width="9.5546875" style="91" customWidth="1"/>
    <col min="14351" max="14351" width="11.44140625" style="91" customWidth="1"/>
    <col min="14352" max="14352" width="12" style="91" customWidth="1"/>
    <col min="14353" max="14595" width="9.33203125" style="91"/>
    <col min="14596" max="14596" width="6" style="91" customWidth="1"/>
    <col min="14597" max="14597" width="22.33203125" style="91" customWidth="1"/>
    <col min="14598" max="14598" width="5.44140625" style="91" customWidth="1"/>
    <col min="14599" max="14599" width="5.33203125" style="91" customWidth="1"/>
    <col min="14600" max="14600" width="21.33203125" style="91" customWidth="1"/>
    <col min="14601" max="14601" width="17.33203125" style="91" customWidth="1"/>
    <col min="14602" max="14602" width="10.33203125" style="91" customWidth="1"/>
    <col min="14603" max="14603" width="15" style="91" customWidth="1"/>
    <col min="14604" max="14604" width="10.33203125" style="91" customWidth="1"/>
    <col min="14605" max="14605" width="15.6640625" style="91" customWidth="1"/>
    <col min="14606" max="14606" width="9.5546875" style="91" customWidth="1"/>
    <col min="14607" max="14607" width="11.44140625" style="91" customWidth="1"/>
    <col min="14608" max="14608" width="12" style="91" customWidth="1"/>
    <col min="14609" max="14851" width="9.33203125" style="91"/>
    <col min="14852" max="14852" width="6" style="91" customWidth="1"/>
    <col min="14853" max="14853" width="22.33203125" style="91" customWidth="1"/>
    <col min="14854" max="14854" width="5.44140625" style="91" customWidth="1"/>
    <col min="14855" max="14855" width="5.33203125" style="91" customWidth="1"/>
    <col min="14856" max="14856" width="21.33203125" style="91" customWidth="1"/>
    <col min="14857" max="14857" width="17.33203125" style="91" customWidth="1"/>
    <col min="14858" max="14858" width="10.33203125" style="91" customWidth="1"/>
    <col min="14859" max="14859" width="15" style="91" customWidth="1"/>
    <col min="14860" max="14860" width="10.33203125" style="91" customWidth="1"/>
    <col min="14861" max="14861" width="15.6640625" style="91" customWidth="1"/>
    <col min="14862" max="14862" width="9.5546875" style="91" customWidth="1"/>
    <col min="14863" max="14863" width="11.44140625" style="91" customWidth="1"/>
    <col min="14864" max="14864" width="12" style="91" customWidth="1"/>
    <col min="14865" max="15107" width="9.33203125" style="91"/>
    <col min="15108" max="15108" width="6" style="91" customWidth="1"/>
    <col min="15109" max="15109" width="22.33203125" style="91" customWidth="1"/>
    <col min="15110" max="15110" width="5.44140625" style="91" customWidth="1"/>
    <col min="15111" max="15111" width="5.33203125" style="91" customWidth="1"/>
    <col min="15112" max="15112" width="21.33203125" style="91" customWidth="1"/>
    <col min="15113" max="15113" width="17.33203125" style="91" customWidth="1"/>
    <col min="15114" max="15114" width="10.33203125" style="91" customWidth="1"/>
    <col min="15115" max="15115" width="15" style="91" customWidth="1"/>
    <col min="15116" max="15116" width="10.33203125" style="91" customWidth="1"/>
    <col min="15117" max="15117" width="15.6640625" style="91" customWidth="1"/>
    <col min="15118" max="15118" width="9.5546875" style="91" customWidth="1"/>
    <col min="15119" max="15119" width="11.44140625" style="91" customWidth="1"/>
    <col min="15120" max="15120" width="12" style="91" customWidth="1"/>
    <col min="15121" max="15363" width="9.33203125" style="91"/>
    <col min="15364" max="15364" width="6" style="91" customWidth="1"/>
    <col min="15365" max="15365" width="22.33203125" style="91" customWidth="1"/>
    <col min="15366" max="15366" width="5.44140625" style="91" customWidth="1"/>
    <col min="15367" max="15367" width="5.33203125" style="91" customWidth="1"/>
    <col min="15368" max="15368" width="21.33203125" style="91" customWidth="1"/>
    <col min="15369" max="15369" width="17.33203125" style="91" customWidth="1"/>
    <col min="15370" max="15370" width="10.33203125" style="91" customWidth="1"/>
    <col min="15371" max="15371" width="15" style="91" customWidth="1"/>
    <col min="15372" max="15372" width="10.33203125" style="91" customWidth="1"/>
    <col min="15373" max="15373" width="15.6640625" style="91" customWidth="1"/>
    <col min="15374" max="15374" width="9.5546875" style="91" customWidth="1"/>
    <col min="15375" max="15375" width="11.44140625" style="91" customWidth="1"/>
    <col min="15376" max="15376" width="12" style="91" customWidth="1"/>
    <col min="15377" max="15619" width="9.33203125" style="91"/>
    <col min="15620" max="15620" width="6" style="91" customWidth="1"/>
    <col min="15621" max="15621" width="22.33203125" style="91" customWidth="1"/>
    <col min="15622" max="15622" width="5.44140625" style="91" customWidth="1"/>
    <col min="15623" max="15623" width="5.33203125" style="91" customWidth="1"/>
    <col min="15624" max="15624" width="21.33203125" style="91" customWidth="1"/>
    <col min="15625" max="15625" width="17.33203125" style="91" customWidth="1"/>
    <col min="15626" max="15626" width="10.33203125" style="91" customWidth="1"/>
    <col min="15627" max="15627" width="15" style="91" customWidth="1"/>
    <col min="15628" max="15628" width="10.33203125" style="91" customWidth="1"/>
    <col min="15629" max="15629" width="15.6640625" style="91" customWidth="1"/>
    <col min="15630" max="15630" width="9.5546875" style="91" customWidth="1"/>
    <col min="15631" max="15631" width="11.44140625" style="91" customWidth="1"/>
    <col min="15632" max="15632" width="12" style="91" customWidth="1"/>
    <col min="15633" max="15875" width="9.33203125" style="91"/>
    <col min="15876" max="15876" width="6" style="91" customWidth="1"/>
    <col min="15877" max="15877" width="22.33203125" style="91" customWidth="1"/>
    <col min="15878" max="15878" width="5.44140625" style="91" customWidth="1"/>
    <col min="15879" max="15879" width="5.33203125" style="91" customWidth="1"/>
    <col min="15880" max="15880" width="21.33203125" style="91" customWidth="1"/>
    <col min="15881" max="15881" width="17.33203125" style="91" customWidth="1"/>
    <col min="15882" max="15882" width="10.33203125" style="91" customWidth="1"/>
    <col min="15883" max="15883" width="15" style="91" customWidth="1"/>
    <col min="15884" max="15884" width="10.33203125" style="91" customWidth="1"/>
    <col min="15885" max="15885" width="15.6640625" style="91" customWidth="1"/>
    <col min="15886" max="15886" width="9.5546875" style="91" customWidth="1"/>
    <col min="15887" max="15887" width="11.44140625" style="91" customWidth="1"/>
    <col min="15888" max="15888" width="12" style="91" customWidth="1"/>
    <col min="15889" max="16131" width="9.33203125" style="91"/>
    <col min="16132" max="16132" width="6" style="91" customWidth="1"/>
    <col min="16133" max="16133" width="22.33203125" style="91" customWidth="1"/>
    <col min="16134" max="16134" width="5.44140625" style="91" customWidth="1"/>
    <col min="16135" max="16135" width="5.33203125" style="91" customWidth="1"/>
    <col min="16136" max="16136" width="21.33203125" style="91" customWidth="1"/>
    <col min="16137" max="16137" width="17.33203125" style="91" customWidth="1"/>
    <col min="16138" max="16138" width="10.33203125" style="91" customWidth="1"/>
    <col min="16139" max="16139" width="15" style="91" customWidth="1"/>
    <col min="16140" max="16140" width="10.33203125" style="91" customWidth="1"/>
    <col min="16141" max="16141" width="15.6640625" style="91" customWidth="1"/>
    <col min="16142" max="16142" width="9.5546875" style="91" customWidth="1"/>
    <col min="16143" max="16143" width="11.44140625" style="91" customWidth="1"/>
    <col min="16144" max="16144" width="12" style="91" customWidth="1"/>
    <col min="16145" max="16384" width="9.33203125" style="91"/>
  </cols>
  <sheetData>
    <row r="1" spans="1:43" ht="15.6" x14ac:dyDescent="0.3">
      <c r="A1" s="299" t="s">
        <v>266</v>
      </c>
      <c r="B1" s="299"/>
      <c r="C1" s="299"/>
      <c r="D1" s="299"/>
      <c r="E1" s="299"/>
      <c r="F1" s="299"/>
      <c r="G1" s="299"/>
      <c r="H1" s="299"/>
      <c r="I1" s="299"/>
      <c r="J1" s="299"/>
      <c r="K1" s="299"/>
      <c r="L1" s="299"/>
      <c r="M1" s="299"/>
      <c r="N1" s="299"/>
      <c r="O1" s="299"/>
      <c r="P1" s="299"/>
      <c r="Q1" s="90"/>
      <c r="R1" s="90"/>
      <c r="S1" s="90"/>
      <c r="T1" s="90"/>
      <c r="U1" s="90"/>
      <c r="V1" s="90"/>
      <c r="W1" s="90"/>
      <c r="X1" s="90"/>
      <c r="Y1" s="90"/>
      <c r="Z1" s="90"/>
      <c r="AA1" s="90"/>
      <c r="AB1" s="90"/>
      <c r="AC1" s="90"/>
      <c r="AD1" s="90"/>
      <c r="AE1" s="90"/>
      <c r="AF1" s="90"/>
      <c r="AG1" s="90"/>
      <c r="AH1" s="90"/>
      <c r="AI1" s="90"/>
      <c r="AJ1" s="90"/>
      <c r="AK1" s="90"/>
      <c r="AL1" s="90"/>
      <c r="AM1" s="90"/>
      <c r="AN1" s="90"/>
      <c r="AO1" s="90"/>
      <c r="AP1" s="90"/>
      <c r="AQ1" s="90"/>
    </row>
    <row r="2" spans="1:43" ht="15.6" x14ac:dyDescent="0.3">
      <c r="A2" s="299" t="s">
        <v>267</v>
      </c>
      <c r="B2" s="299"/>
      <c r="C2" s="299"/>
      <c r="D2" s="299"/>
      <c r="E2" s="299"/>
      <c r="F2" s="299"/>
      <c r="G2" s="299"/>
      <c r="H2" s="299"/>
      <c r="I2" s="299"/>
      <c r="J2" s="299"/>
      <c r="K2" s="299"/>
      <c r="L2" s="299"/>
      <c r="M2" s="299"/>
      <c r="N2" s="299"/>
      <c r="O2" s="299"/>
      <c r="P2" s="299"/>
      <c r="Q2" s="90"/>
      <c r="R2" s="90"/>
      <c r="S2" s="90"/>
      <c r="T2" s="90"/>
      <c r="U2" s="90"/>
      <c r="V2" s="90"/>
      <c r="W2" s="90"/>
      <c r="X2" s="90"/>
      <c r="Y2" s="90"/>
      <c r="Z2" s="90"/>
      <c r="AA2" s="90"/>
      <c r="AB2" s="90"/>
      <c r="AC2" s="90"/>
      <c r="AD2" s="90"/>
      <c r="AE2" s="90"/>
      <c r="AF2" s="90"/>
      <c r="AG2" s="90"/>
      <c r="AH2" s="90"/>
      <c r="AI2" s="90"/>
      <c r="AJ2" s="90"/>
      <c r="AK2" s="90"/>
      <c r="AL2" s="90"/>
      <c r="AM2" s="90"/>
      <c r="AN2" s="90"/>
      <c r="AO2" s="90"/>
      <c r="AP2" s="90"/>
      <c r="AQ2" s="90"/>
    </row>
    <row r="3" spans="1:43" ht="15.6" x14ac:dyDescent="0.3">
      <c r="A3" s="299" t="s">
        <v>268</v>
      </c>
      <c r="B3" s="299"/>
      <c r="C3" s="299"/>
      <c r="D3" s="299"/>
      <c r="E3" s="299"/>
      <c r="F3" s="299"/>
      <c r="G3" s="299"/>
      <c r="H3" s="299"/>
      <c r="I3" s="299"/>
      <c r="J3" s="299"/>
      <c r="K3" s="299"/>
      <c r="L3" s="299"/>
      <c r="M3" s="299"/>
      <c r="N3" s="299"/>
      <c r="O3" s="299"/>
      <c r="P3" s="299"/>
      <c r="Q3" s="90"/>
      <c r="R3" s="90"/>
      <c r="S3" s="90"/>
      <c r="T3" s="90"/>
      <c r="U3" s="90"/>
      <c r="V3" s="90"/>
      <c r="W3" s="90"/>
      <c r="X3" s="90"/>
      <c r="Y3" s="90"/>
      <c r="Z3" s="90"/>
      <c r="AA3" s="90"/>
      <c r="AB3" s="90"/>
      <c r="AC3" s="90"/>
      <c r="AD3" s="90"/>
      <c r="AE3" s="90"/>
      <c r="AF3" s="90"/>
      <c r="AG3" s="90"/>
      <c r="AH3" s="90"/>
      <c r="AI3" s="90"/>
      <c r="AJ3" s="90"/>
      <c r="AK3" s="90"/>
      <c r="AL3" s="90"/>
      <c r="AM3" s="90"/>
      <c r="AN3" s="90"/>
      <c r="AO3" s="90"/>
      <c r="AP3" s="90"/>
      <c r="AQ3" s="90"/>
    </row>
    <row r="4" spans="1:43" ht="15.6" x14ac:dyDescent="0.3">
      <c r="A4" s="299" t="s">
        <v>269</v>
      </c>
      <c r="B4" s="299"/>
      <c r="C4" s="299"/>
      <c r="D4" s="299"/>
      <c r="E4" s="299"/>
      <c r="F4" s="299"/>
      <c r="G4" s="299"/>
      <c r="H4" s="299"/>
      <c r="I4" s="299"/>
      <c r="J4" s="299"/>
      <c r="K4" s="299"/>
      <c r="L4" s="299"/>
      <c r="M4" s="299"/>
      <c r="N4" s="299"/>
      <c r="O4" s="299"/>
      <c r="P4" s="299"/>
      <c r="Q4" s="90"/>
      <c r="R4" s="90"/>
      <c r="S4" s="90"/>
      <c r="T4" s="90"/>
      <c r="U4" s="90"/>
      <c r="V4" s="90"/>
      <c r="W4" s="90"/>
      <c r="X4" s="90"/>
      <c r="Y4" s="90"/>
      <c r="Z4" s="90"/>
      <c r="AA4" s="90"/>
      <c r="AB4" s="90"/>
      <c r="AC4" s="90"/>
      <c r="AD4" s="90"/>
      <c r="AE4" s="90"/>
      <c r="AF4" s="90"/>
      <c r="AG4" s="90"/>
      <c r="AH4" s="90"/>
      <c r="AI4" s="90"/>
      <c r="AJ4" s="90"/>
      <c r="AK4" s="90"/>
      <c r="AL4" s="90"/>
      <c r="AM4" s="90"/>
      <c r="AN4" s="90"/>
      <c r="AO4" s="90"/>
      <c r="AP4" s="90"/>
      <c r="AQ4" s="90"/>
    </row>
    <row r="5" spans="1:43" ht="15.6" x14ac:dyDescent="0.3">
      <c r="A5" s="299" t="s">
        <v>831</v>
      </c>
      <c r="B5" s="299"/>
      <c r="C5" s="299"/>
      <c r="D5" s="299"/>
      <c r="E5" s="299"/>
      <c r="F5" s="299"/>
      <c r="G5" s="299"/>
      <c r="H5" s="299"/>
      <c r="I5" s="299"/>
      <c r="J5" s="299"/>
      <c r="K5" s="299"/>
      <c r="L5" s="299"/>
      <c r="M5" s="299"/>
      <c r="N5" s="299"/>
      <c r="O5" s="299"/>
      <c r="P5" s="299"/>
    </row>
    <row r="6" spans="1:43" ht="9.75" customHeight="1" x14ac:dyDescent="0.3"/>
    <row r="7" spans="1:43" x14ac:dyDescent="0.3">
      <c r="A7" s="92" t="s">
        <v>832</v>
      </c>
    </row>
    <row r="8" spans="1:43" ht="17.7" customHeight="1" x14ac:dyDescent="0.3">
      <c r="A8" s="93" t="s">
        <v>270</v>
      </c>
      <c r="D8" s="300" t="str">
        <f>IF('DR-TB 10A (Sputum &amp; EP Sample)'!C8="","",'DR-TB 10A (Sputum &amp; EP Sample)'!C8)</f>
        <v/>
      </c>
      <c r="E8" s="300"/>
      <c r="F8" s="300"/>
      <c r="H8" s="94" t="s">
        <v>271</v>
      </c>
      <c r="I8" s="263" t="str">
        <f>'DR-TB 10A (Sputum &amp; EP Sample)'!L6</f>
        <v>&lt;Dates&gt;</v>
      </c>
      <c r="J8" s="263"/>
      <c r="K8" s="263"/>
      <c r="L8" s="263"/>
      <c r="M8" s="263"/>
      <c r="N8" s="263"/>
      <c r="O8" s="263"/>
      <c r="P8" s="263"/>
      <c r="Q8" s="290"/>
    </row>
    <row r="9" spans="1:43" ht="17.7" customHeight="1" x14ac:dyDescent="0.3">
      <c r="A9" s="95" t="s">
        <v>833</v>
      </c>
      <c r="F9" s="20">
        <f>'DR-TB 10A (Sputum &amp; EP Sample)'!F18+'DR-TB 10A (Stool)'!F18</f>
        <v>0</v>
      </c>
    </row>
    <row r="10" spans="1:43" ht="24.6" customHeight="1" x14ac:dyDescent="0.3">
      <c r="A10" s="91" t="s">
        <v>863</v>
      </c>
      <c r="B10" s="91">
        <v>2</v>
      </c>
    </row>
    <row r="11" spans="1:43" s="96" customFormat="1" ht="55.2" customHeight="1" x14ac:dyDescent="0.3">
      <c r="A11" s="301" t="s">
        <v>272</v>
      </c>
      <c r="B11" s="302" t="s">
        <v>841</v>
      </c>
      <c r="C11" s="303" t="s">
        <v>273</v>
      </c>
      <c r="D11" s="303" t="s">
        <v>277</v>
      </c>
      <c r="E11" s="303" t="s">
        <v>679</v>
      </c>
      <c r="F11" s="303" t="s">
        <v>274</v>
      </c>
      <c r="G11" s="303" t="s">
        <v>834</v>
      </c>
      <c r="H11" s="303" t="s">
        <v>847</v>
      </c>
      <c r="I11" s="302" t="s">
        <v>840</v>
      </c>
      <c r="J11" s="303" t="s">
        <v>275</v>
      </c>
      <c r="K11" s="303" t="s">
        <v>875</v>
      </c>
      <c r="L11" s="303" t="s">
        <v>873</v>
      </c>
      <c r="M11" s="302" t="s">
        <v>822</v>
      </c>
      <c r="N11" s="302"/>
      <c r="O11" s="302"/>
      <c r="P11" s="302"/>
      <c r="Q11" s="302"/>
      <c r="R11" s="302"/>
      <c r="S11" s="302"/>
      <c r="T11" s="303" t="s">
        <v>823</v>
      </c>
      <c r="U11" s="303" t="s">
        <v>278</v>
      </c>
      <c r="V11" s="303" t="s">
        <v>703</v>
      </c>
      <c r="W11" s="303" t="s">
        <v>824</v>
      </c>
      <c r="X11" s="303" t="s">
        <v>836</v>
      </c>
      <c r="Y11" s="303" t="s">
        <v>276</v>
      </c>
    </row>
    <row r="12" spans="1:43" s="96" customFormat="1" ht="55.2" customHeight="1" x14ac:dyDescent="0.3">
      <c r="A12" s="301"/>
      <c r="B12" s="302"/>
      <c r="C12" s="304"/>
      <c r="D12" s="304"/>
      <c r="E12" s="304"/>
      <c r="F12" s="304"/>
      <c r="G12" s="304"/>
      <c r="H12" s="304"/>
      <c r="I12" s="302"/>
      <c r="J12" s="304"/>
      <c r="K12" s="304"/>
      <c r="L12" s="304"/>
      <c r="M12" s="154" t="s">
        <v>815</v>
      </c>
      <c r="N12" s="154" t="s">
        <v>825</v>
      </c>
      <c r="O12" s="154" t="s">
        <v>826</v>
      </c>
      <c r="P12" s="154" t="s">
        <v>827</v>
      </c>
      <c r="Q12" s="154" t="s">
        <v>828</v>
      </c>
      <c r="R12" s="154" t="s">
        <v>829</v>
      </c>
      <c r="S12" s="154" t="s">
        <v>830</v>
      </c>
      <c r="T12" s="304"/>
      <c r="U12" s="304"/>
      <c r="V12" s="304"/>
      <c r="W12" s="304"/>
      <c r="X12" s="304"/>
      <c r="Y12" s="304"/>
    </row>
    <row r="13" spans="1:43" s="135" customFormat="1" ht="55.2" customHeight="1" x14ac:dyDescent="0.3">
      <c r="A13" s="149" t="s">
        <v>849</v>
      </c>
      <c r="B13" s="149" t="s">
        <v>850</v>
      </c>
      <c r="C13" s="149" t="s">
        <v>851</v>
      </c>
      <c r="D13" s="149" t="s">
        <v>852</v>
      </c>
      <c r="E13" s="149" t="s">
        <v>853</v>
      </c>
      <c r="F13" s="150" t="s">
        <v>854</v>
      </c>
      <c r="G13" s="150" t="s">
        <v>855</v>
      </c>
      <c r="H13" s="151" t="s">
        <v>872</v>
      </c>
      <c r="I13" s="137" t="s">
        <v>864</v>
      </c>
      <c r="J13" s="149" t="s">
        <v>856</v>
      </c>
      <c r="K13" s="149" t="s">
        <v>857</v>
      </c>
      <c r="L13" s="149" t="s">
        <v>874</v>
      </c>
      <c r="M13" s="153" t="s">
        <v>865</v>
      </c>
      <c r="N13" s="153" t="s">
        <v>866</v>
      </c>
      <c r="O13" s="153" t="s">
        <v>867</v>
      </c>
      <c r="P13" s="153" t="s">
        <v>868</v>
      </c>
      <c r="Q13" s="153" t="s">
        <v>869</v>
      </c>
      <c r="R13" s="153" t="s">
        <v>870</v>
      </c>
      <c r="S13" s="153" t="s">
        <v>871</v>
      </c>
      <c r="T13" s="149" t="s">
        <v>858</v>
      </c>
      <c r="U13" s="149" t="s">
        <v>859</v>
      </c>
      <c r="V13" s="149" t="s">
        <v>860</v>
      </c>
      <c r="W13" s="142" t="s">
        <v>856</v>
      </c>
      <c r="X13" s="149" t="s">
        <v>861</v>
      </c>
      <c r="Y13" s="152" t="s">
        <v>862</v>
      </c>
    </row>
    <row r="14" spans="1:43" hidden="1" x14ac:dyDescent="0.3">
      <c r="C14" s="97"/>
      <c r="I14" s="137"/>
    </row>
    <row r="15" spans="1:43" x14ac:dyDescent="0.3">
      <c r="C15" s="97"/>
      <c r="I15" s="148"/>
    </row>
    <row r="16" spans="1:43" ht="54.75" customHeight="1" x14ac:dyDescent="0.3">
      <c r="A16" s="298" t="s">
        <v>767</v>
      </c>
      <c r="B16" s="298"/>
      <c r="C16" s="298"/>
      <c r="D16" s="298"/>
      <c r="E16" s="298"/>
      <c r="F16" s="298"/>
      <c r="G16" s="298"/>
      <c r="H16" s="298"/>
      <c r="I16" s="298"/>
      <c r="J16" s="298"/>
      <c r="K16" s="298"/>
      <c r="L16" s="298"/>
      <c r="M16" s="298"/>
      <c r="N16" s="298"/>
      <c r="O16" s="298"/>
      <c r="P16" s="298"/>
    </row>
    <row r="17" spans="1:16" ht="16.5" customHeight="1" x14ac:dyDescent="0.3">
      <c r="A17" s="19" t="s">
        <v>835</v>
      </c>
      <c r="B17" s="98"/>
      <c r="C17" s="98"/>
      <c r="D17" s="98"/>
      <c r="E17" s="98"/>
      <c r="F17" s="98"/>
      <c r="G17" s="98"/>
      <c r="H17" s="98"/>
      <c r="I17" s="98"/>
      <c r="J17" s="98"/>
      <c r="K17" s="98"/>
      <c r="L17" s="98"/>
      <c r="M17" s="98"/>
      <c r="N17" s="98"/>
      <c r="O17" s="98"/>
      <c r="P17" s="98"/>
    </row>
  </sheetData>
  <sheetProtection insertRows="0" deleteRows="0"/>
  <mergeCells count="27">
    <mergeCell ref="I11:I12"/>
    <mergeCell ref="V11:V12"/>
    <mergeCell ref="W11:W12"/>
    <mergeCell ref="X11:X12"/>
    <mergeCell ref="Y11:Y12"/>
    <mergeCell ref="J11:J12"/>
    <mergeCell ref="L11:L12"/>
    <mergeCell ref="M11:S11"/>
    <mergeCell ref="T11:T12"/>
    <mergeCell ref="U11:U12"/>
    <mergeCell ref="K11:K12"/>
    <mergeCell ref="I8:Q8"/>
    <mergeCell ref="A16:P16"/>
    <mergeCell ref="A1:P1"/>
    <mergeCell ref="A2:P2"/>
    <mergeCell ref="A3:P3"/>
    <mergeCell ref="A4:P4"/>
    <mergeCell ref="A5:P5"/>
    <mergeCell ref="D8:F8"/>
    <mergeCell ref="A11:A12"/>
    <mergeCell ref="B11:B12"/>
    <mergeCell ref="C11:C12"/>
    <mergeCell ref="D11:D12"/>
    <mergeCell ref="E11:E12"/>
    <mergeCell ref="F11:F12"/>
    <mergeCell ref="G11:G12"/>
    <mergeCell ref="H11:H12"/>
  </mergeCells>
  <dataValidations count="8">
    <dataValidation type="list" allowBlank="1" showInputMessage="1" showErrorMessage="1" sqref="WVU983044 JB8 SX8 ACT8 AMP8 AWL8 BGH8 BQD8 BZZ8 CJV8 CTR8 DDN8 DNJ8 DXF8 EHB8 EQX8 FAT8 FKP8 FUL8 GEH8 GOD8 GXZ8 HHV8 HRR8 IBN8 ILJ8 IVF8 JFB8 JOX8 JYT8 KIP8 KSL8 LCH8 LMD8 LVZ8 MFV8 MPR8 MZN8 NJJ8 NTF8 ODB8 OMX8 OWT8 PGP8 PQL8 QAH8 QKD8 QTZ8 RDV8 RNR8 RXN8 SHJ8 SRF8 TBB8 TKX8 TUT8 UEP8 UOL8 UYH8 VID8 VRZ8 WBV8 WLR8 WVN8 L65540 JI65540 TE65540 ADA65540 AMW65540 AWS65540 BGO65540 BQK65540 CAG65540 CKC65540 CTY65540 DDU65540 DNQ65540 DXM65540 EHI65540 ERE65540 FBA65540 FKW65540 FUS65540 GEO65540 GOK65540 GYG65540 HIC65540 HRY65540 IBU65540 ILQ65540 IVM65540 JFI65540 JPE65540 JZA65540 KIW65540 KSS65540 LCO65540 LMK65540 LWG65540 MGC65540 MPY65540 MZU65540 NJQ65540 NTM65540 ODI65540 ONE65540 OXA65540 PGW65540 PQS65540 QAO65540 QKK65540 QUG65540 REC65540 RNY65540 RXU65540 SHQ65540 SRM65540 TBI65540 TLE65540 TVA65540 UEW65540 UOS65540 UYO65540 VIK65540 VSG65540 WCC65540 WLY65540 WVU65540 L131076 JI131076 TE131076 ADA131076 AMW131076 AWS131076 BGO131076 BQK131076 CAG131076 CKC131076 CTY131076 DDU131076 DNQ131076 DXM131076 EHI131076 ERE131076 FBA131076 FKW131076 FUS131076 GEO131076 GOK131076 GYG131076 HIC131076 HRY131076 IBU131076 ILQ131076 IVM131076 JFI131076 JPE131076 JZA131076 KIW131076 KSS131076 LCO131076 LMK131076 LWG131076 MGC131076 MPY131076 MZU131076 NJQ131076 NTM131076 ODI131076 ONE131076 OXA131076 PGW131076 PQS131076 QAO131076 QKK131076 QUG131076 REC131076 RNY131076 RXU131076 SHQ131076 SRM131076 TBI131076 TLE131076 TVA131076 UEW131076 UOS131076 UYO131076 VIK131076 VSG131076 WCC131076 WLY131076 WVU131076 L196612 JI196612 TE196612 ADA196612 AMW196612 AWS196612 BGO196612 BQK196612 CAG196612 CKC196612 CTY196612 DDU196612 DNQ196612 DXM196612 EHI196612 ERE196612 FBA196612 FKW196612 FUS196612 GEO196612 GOK196612 GYG196612 HIC196612 HRY196612 IBU196612 ILQ196612 IVM196612 JFI196612 JPE196612 JZA196612 KIW196612 KSS196612 LCO196612 LMK196612 LWG196612 MGC196612 MPY196612 MZU196612 NJQ196612 NTM196612 ODI196612 ONE196612 OXA196612 PGW196612 PQS196612 QAO196612 QKK196612 QUG196612 REC196612 RNY196612 RXU196612 SHQ196612 SRM196612 TBI196612 TLE196612 TVA196612 UEW196612 UOS196612 UYO196612 VIK196612 VSG196612 WCC196612 WLY196612 WVU196612 L262148 JI262148 TE262148 ADA262148 AMW262148 AWS262148 BGO262148 BQK262148 CAG262148 CKC262148 CTY262148 DDU262148 DNQ262148 DXM262148 EHI262148 ERE262148 FBA262148 FKW262148 FUS262148 GEO262148 GOK262148 GYG262148 HIC262148 HRY262148 IBU262148 ILQ262148 IVM262148 JFI262148 JPE262148 JZA262148 KIW262148 KSS262148 LCO262148 LMK262148 LWG262148 MGC262148 MPY262148 MZU262148 NJQ262148 NTM262148 ODI262148 ONE262148 OXA262148 PGW262148 PQS262148 QAO262148 QKK262148 QUG262148 REC262148 RNY262148 RXU262148 SHQ262148 SRM262148 TBI262148 TLE262148 TVA262148 UEW262148 UOS262148 UYO262148 VIK262148 VSG262148 WCC262148 WLY262148 WVU262148 L327684 JI327684 TE327684 ADA327684 AMW327684 AWS327684 BGO327684 BQK327684 CAG327684 CKC327684 CTY327684 DDU327684 DNQ327684 DXM327684 EHI327684 ERE327684 FBA327684 FKW327684 FUS327684 GEO327684 GOK327684 GYG327684 HIC327684 HRY327684 IBU327684 ILQ327684 IVM327684 JFI327684 JPE327684 JZA327684 KIW327684 KSS327684 LCO327684 LMK327684 LWG327684 MGC327684 MPY327684 MZU327684 NJQ327684 NTM327684 ODI327684 ONE327684 OXA327684 PGW327684 PQS327684 QAO327684 QKK327684 QUG327684 REC327684 RNY327684 RXU327684 SHQ327684 SRM327684 TBI327684 TLE327684 TVA327684 UEW327684 UOS327684 UYO327684 VIK327684 VSG327684 WCC327684 WLY327684 WVU327684 L393220 JI393220 TE393220 ADA393220 AMW393220 AWS393220 BGO393220 BQK393220 CAG393220 CKC393220 CTY393220 DDU393220 DNQ393220 DXM393220 EHI393220 ERE393220 FBA393220 FKW393220 FUS393220 GEO393220 GOK393220 GYG393220 HIC393220 HRY393220 IBU393220 ILQ393220 IVM393220 JFI393220 JPE393220 JZA393220 KIW393220 KSS393220 LCO393220 LMK393220 LWG393220 MGC393220 MPY393220 MZU393220 NJQ393220 NTM393220 ODI393220 ONE393220 OXA393220 PGW393220 PQS393220 QAO393220 QKK393220 QUG393220 REC393220 RNY393220 RXU393220 SHQ393220 SRM393220 TBI393220 TLE393220 TVA393220 UEW393220 UOS393220 UYO393220 VIK393220 VSG393220 WCC393220 WLY393220 WVU393220 L458756 JI458756 TE458756 ADA458756 AMW458756 AWS458756 BGO458756 BQK458756 CAG458756 CKC458756 CTY458756 DDU458756 DNQ458756 DXM458756 EHI458756 ERE458756 FBA458756 FKW458756 FUS458756 GEO458756 GOK458756 GYG458756 HIC458756 HRY458756 IBU458756 ILQ458756 IVM458756 JFI458756 JPE458756 JZA458756 KIW458756 KSS458756 LCO458756 LMK458756 LWG458756 MGC458756 MPY458756 MZU458756 NJQ458756 NTM458756 ODI458756 ONE458756 OXA458756 PGW458756 PQS458756 QAO458756 QKK458756 QUG458756 REC458756 RNY458756 RXU458756 SHQ458756 SRM458756 TBI458756 TLE458756 TVA458756 UEW458756 UOS458756 UYO458756 VIK458756 VSG458756 WCC458756 WLY458756 WVU458756 L524292 JI524292 TE524292 ADA524292 AMW524292 AWS524292 BGO524292 BQK524292 CAG524292 CKC524292 CTY524292 DDU524292 DNQ524292 DXM524292 EHI524292 ERE524292 FBA524292 FKW524292 FUS524292 GEO524292 GOK524292 GYG524292 HIC524292 HRY524292 IBU524292 ILQ524292 IVM524292 JFI524292 JPE524292 JZA524292 KIW524292 KSS524292 LCO524292 LMK524292 LWG524292 MGC524292 MPY524292 MZU524292 NJQ524292 NTM524292 ODI524292 ONE524292 OXA524292 PGW524292 PQS524292 QAO524292 QKK524292 QUG524292 REC524292 RNY524292 RXU524292 SHQ524292 SRM524292 TBI524292 TLE524292 TVA524292 UEW524292 UOS524292 UYO524292 VIK524292 VSG524292 WCC524292 WLY524292 WVU524292 L589828 JI589828 TE589828 ADA589828 AMW589828 AWS589828 BGO589828 BQK589828 CAG589828 CKC589828 CTY589828 DDU589828 DNQ589828 DXM589828 EHI589828 ERE589828 FBA589828 FKW589828 FUS589828 GEO589828 GOK589828 GYG589828 HIC589828 HRY589828 IBU589828 ILQ589828 IVM589828 JFI589828 JPE589828 JZA589828 KIW589828 KSS589828 LCO589828 LMK589828 LWG589828 MGC589828 MPY589828 MZU589828 NJQ589828 NTM589828 ODI589828 ONE589828 OXA589828 PGW589828 PQS589828 QAO589828 QKK589828 QUG589828 REC589828 RNY589828 RXU589828 SHQ589828 SRM589828 TBI589828 TLE589828 TVA589828 UEW589828 UOS589828 UYO589828 VIK589828 VSG589828 WCC589828 WLY589828 WVU589828 L655364 JI655364 TE655364 ADA655364 AMW655364 AWS655364 BGO655364 BQK655364 CAG655364 CKC655364 CTY655364 DDU655364 DNQ655364 DXM655364 EHI655364 ERE655364 FBA655364 FKW655364 FUS655364 GEO655364 GOK655364 GYG655364 HIC655364 HRY655364 IBU655364 ILQ655364 IVM655364 JFI655364 JPE655364 JZA655364 KIW655364 KSS655364 LCO655364 LMK655364 LWG655364 MGC655364 MPY655364 MZU655364 NJQ655364 NTM655364 ODI655364 ONE655364 OXA655364 PGW655364 PQS655364 QAO655364 QKK655364 QUG655364 REC655364 RNY655364 RXU655364 SHQ655364 SRM655364 TBI655364 TLE655364 TVA655364 UEW655364 UOS655364 UYO655364 VIK655364 VSG655364 WCC655364 WLY655364 WVU655364 L720900 JI720900 TE720900 ADA720900 AMW720900 AWS720900 BGO720900 BQK720900 CAG720900 CKC720900 CTY720900 DDU720900 DNQ720900 DXM720900 EHI720900 ERE720900 FBA720900 FKW720900 FUS720900 GEO720900 GOK720900 GYG720900 HIC720900 HRY720900 IBU720900 ILQ720900 IVM720900 JFI720900 JPE720900 JZA720900 KIW720900 KSS720900 LCO720900 LMK720900 LWG720900 MGC720900 MPY720900 MZU720900 NJQ720900 NTM720900 ODI720900 ONE720900 OXA720900 PGW720900 PQS720900 QAO720900 QKK720900 QUG720900 REC720900 RNY720900 RXU720900 SHQ720900 SRM720900 TBI720900 TLE720900 TVA720900 UEW720900 UOS720900 UYO720900 VIK720900 VSG720900 WCC720900 WLY720900 WVU720900 L786436 JI786436 TE786436 ADA786436 AMW786436 AWS786436 BGO786436 BQK786436 CAG786436 CKC786436 CTY786436 DDU786436 DNQ786436 DXM786436 EHI786436 ERE786436 FBA786436 FKW786436 FUS786436 GEO786436 GOK786436 GYG786436 HIC786436 HRY786436 IBU786436 ILQ786436 IVM786436 JFI786436 JPE786436 JZA786436 KIW786436 KSS786436 LCO786436 LMK786436 LWG786436 MGC786436 MPY786436 MZU786436 NJQ786436 NTM786436 ODI786436 ONE786436 OXA786436 PGW786436 PQS786436 QAO786436 QKK786436 QUG786436 REC786436 RNY786436 RXU786436 SHQ786436 SRM786436 TBI786436 TLE786436 TVA786436 UEW786436 UOS786436 UYO786436 VIK786436 VSG786436 WCC786436 WLY786436 WVU786436 L851972 JI851972 TE851972 ADA851972 AMW851972 AWS851972 BGO851972 BQK851972 CAG851972 CKC851972 CTY851972 DDU851972 DNQ851972 DXM851972 EHI851972 ERE851972 FBA851972 FKW851972 FUS851972 GEO851972 GOK851972 GYG851972 HIC851972 HRY851972 IBU851972 ILQ851972 IVM851972 JFI851972 JPE851972 JZA851972 KIW851972 KSS851972 LCO851972 LMK851972 LWG851972 MGC851972 MPY851972 MZU851972 NJQ851972 NTM851972 ODI851972 ONE851972 OXA851972 PGW851972 PQS851972 QAO851972 QKK851972 QUG851972 REC851972 RNY851972 RXU851972 SHQ851972 SRM851972 TBI851972 TLE851972 TVA851972 UEW851972 UOS851972 UYO851972 VIK851972 VSG851972 WCC851972 WLY851972 WVU851972 L917508 JI917508 TE917508 ADA917508 AMW917508 AWS917508 BGO917508 BQK917508 CAG917508 CKC917508 CTY917508 DDU917508 DNQ917508 DXM917508 EHI917508 ERE917508 FBA917508 FKW917508 FUS917508 GEO917508 GOK917508 GYG917508 HIC917508 HRY917508 IBU917508 ILQ917508 IVM917508 JFI917508 JPE917508 JZA917508 KIW917508 KSS917508 LCO917508 LMK917508 LWG917508 MGC917508 MPY917508 MZU917508 NJQ917508 NTM917508 ODI917508 ONE917508 OXA917508 PGW917508 PQS917508 QAO917508 QKK917508 QUG917508 REC917508 RNY917508 RXU917508 SHQ917508 SRM917508 TBI917508 TLE917508 TVA917508 UEW917508 UOS917508 UYO917508 VIK917508 VSG917508 WCC917508 WLY917508 WVU917508 L983044 JI983044 TE983044 ADA983044 AMW983044 AWS983044 BGO983044 BQK983044 CAG983044 CKC983044 CTY983044 DDU983044 DNQ983044 DXM983044 EHI983044 ERE983044 FBA983044 FKW983044 FUS983044 GEO983044 GOK983044 GYG983044 HIC983044 HRY983044 IBU983044 ILQ983044 IVM983044 JFI983044 JPE983044 JZA983044 KIW983044 KSS983044 LCO983044 LMK983044 LWG983044 MGC983044 MPY983044 MZU983044 NJQ983044 NTM983044 ODI983044 ONE983044 OXA983044 PGW983044 PQS983044 QAO983044 QKK983044 QUG983044 REC983044 RNY983044 RXU983044 SHQ983044 SRM983044 TBI983044 TLE983044 TVA983044 UEW983044 UOS983044 UYO983044 VIK983044 VSG983044 WCC983044 WLY983044">
      <formula1>"1st Quarter, 2nd Quarter, 3rd Quarter, 4th Quarter, All Quarter"</formula1>
    </dataValidation>
    <dataValidation type="list" allowBlank="1" showInputMessage="1" showErrorMessage="1" sqref="WVS983044:WVT983044 IZ8:JA8 SV8:SW8 ACR8:ACS8 AMN8:AMO8 AWJ8:AWK8 BGF8:BGG8 BQB8:BQC8 BZX8:BZY8 CJT8:CJU8 CTP8:CTQ8 DDL8:DDM8 DNH8:DNI8 DXD8:DXE8 EGZ8:EHA8 EQV8:EQW8 FAR8:FAS8 FKN8:FKO8 FUJ8:FUK8 GEF8:GEG8 GOB8:GOC8 GXX8:GXY8 HHT8:HHU8 HRP8:HRQ8 IBL8:IBM8 ILH8:ILI8 IVD8:IVE8 JEZ8:JFA8 JOV8:JOW8 JYR8:JYS8 KIN8:KIO8 KSJ8:KSK8 LCF8:LCG8 LMB8:LMC8 LVX8:LVY8 MFT8:MFU8 MPP8:MPQ8 MZL8:MZM8 NJH8:NJI8 NTD8:NTE8 OCZ8:ODA8 OMV8:OMW8 OWR8:OWS8 PGN8:PGO8 PQJ8:PQK8 QAF8:QAG8 QKB8:QKC8 QTX8:QTY8 RDT8:RDU8 RNP8:RNQ8 RXL8:RXM8 SHH8:SHI8 SRD8:SRE8 TAZ8:TBA8 TKV8:TKW8 TUR8:TUS8 UEN8:UEO8 UOJ8:UOK8 UYF8:UYG8 VIB8:VIC8 VRX8:VRY8 WBT8:WBU8 WLP8:WLQ8 WVL8:WVM8 I65540:K65540 JG65540:JH65540 TC65540:TD65540 ACY65540:ACZ65540 AMU65540:AMV65540 AWQ65540:AWR65540 BGM65540:BGN65540 BQI65540:BQJ65540 CAE65540:CAF65540 CKA65540:CKB65540 CTW65540:CTX65540 DDS65540:DDT65540 DNO65540:DNP65540 DXK65540:DXL65540 EHG65540:EHH65540 ERC65540:ERD65540 FAY65540:FAZ65540 FKU65540:FKV65540 FUQ65540:FUR65540 GEM65540:GEN65540 GOI65540:GOJ65540 GYE65540:GYF65540 HIA65540:HIB65540 HRW65540:HRX65540 IBS65540:IBT65540 ILO65540:ILP65540 IVK65540:IVL65540 JFG65540:JFH65540 JPC65540:JPD65540 JYY65540:JYZ65540 KIU65540:KIV65540 KSQ65540:KSR65540 LCM65540:LCN65540 LMI65540:LMJ65540 LWE65540:LWF65540 MGA65540:MGB65540 MPW65540:MPX65540 MZS65540:MZT65540 NJO65540:NJP65540 NTK65540:NTL65540 ODG65540:ODH65540 ONC65540:OND65540 OWY65540:OWZ65540 PGU65540:PGV65540 PQQ65540:PQR65540 QAM65540:QAN65540 QKI65540:QKJ65540 QUE65540:QUF65540 REA65540:REB65540 RNW65540:RNX65540 RXS65540:RXT65540 SHO65540:SHP65540 SRK65540:SRL65540 TBG65540:TBH65540 TLC65540:TLD65540 TUY65540:TUZ65540 UEU65540:UEV65540 UOQ65540:UOR65540 UYM65540:UYN65540 VII65540:VIJ65540 VSE65540:VSF65540 WCA65540:WCB65540 WLW65540:WLX65540 WVS65540:WVT65540 I131076:K131076 JG131076:JH131076 TC131076:TD131076 ACY131076:ACZ131076 AMU131076:AMV131076 AWQ131076:AWR131076 BGM131076:BGN131076 BQI131076:BQJ131076 CAE131076:CAF131076 CKA131076:CKB131076 CTW131076:CTX131076 DDS131076:DDT131076 DNO131076:DNP131076 DXK131076:DXL131076 EHG131076:EHH131076 ERC131076:ERD131076 FAY131076:FAZ131076 FKU131076:FKV131076 FUQ131076:FUR131076 GEM131076:GEN131076 GOI131076:GOJ131076 GYE131076:GYF131076 HIA131076:HIB131076 HRW131076:HRX131076 IBS131076:IBT131076 ILO131076:ILP131076 IVK131076:IVL131076 JFG131076:JFH131076 JPC131076:JPD131076 JYY131076:JYZ131076 KIU131076:KIV131076 KSQ131076:KSR131076 LCM131076:LCN131076 LMI131076:LMJ131076 LWE131076:LWF131076 MGA131076:MGB131076 MPW131076:MPX131076 MZS131076:MZT131076 NJO131076:NJP131076 NTK131076:NTL131076 ODG131076:ODH131076 ONC131076:OND131076 OWY131076:OWZ131076 PGU131076:PGV131076 PQQ131076:PQR131076 QAM131076:QAN131076 QKI131076:QKJ131076 QUE131076:QUF131076 REA131076:REB131076 RNW131076:RNX131076 RXS131076:RXT131076 SHO131076:SHP131076 SRK131076:SRL131076 TBG131076:TBH131076 TLC131076:TLD131076 TUY131076:TUZ131076 UEU131076:UEV131076 UOQ131076:UOR131076 UYM131076:UYN131076 VII131076:VIJ131076 VSE131076:VSF131076 WCA131076:WCB131076 WLW131076:WLX131076 WVS131076:WVT131076 I196612:K196612 JG196612:JH196612 TC196612:TD196612 ACY196612:ACZ196612 AMU196612:AMV196612 AWQ196612:AWR196612 BGM196612:BGN196612 BQI196612:BQJ196612 CAE196612:CAF196612 CKA196612:CKB196612 CTW196612:CTX196612 DDS196612:DDT196612 DNO196612:DNP196612 DXK196612:DXL196612 EHG196612:EHH196612 ERC196612:ERD196612 FAY196612:FAZ196612 FKU196612:FKV196612 FUQ196612:FUR196612 GEM196612:GEN196612 GOI196612:GOJ196612 GYE196612:GYF196612 HIA196612:HIB196612 HRW196612:HRX196612 IBS196612:IBT196612 ILO196612:ILP196612 IVK196612:IVL196612 JFG196612:JFH196612 JPC196612:JPD196612 JYY196612:JYZ196612 KIU196612:KIV196612 KSQ196612:KSR196612 LCM196612:LCN196612 LMI196612:LMJ196612 LWE196612:LWF196612 MGA196612:MGB196612 MPW196612:MPX196612 MZS196612:MZT196612 NJO196612:NJP196612 NTK196612:NTL196612 ODG196612:ODH196612 ONC196612:OND196612 OWY196612:OWZ196612 PGU196612:PGV196612 PQQ196612:PQR196612 QAM196612:QAN196612 QKI196612:QKJ196612 QUE196612:QUF196612 REA196612:REB196612 RNW196612:RNX196612 RXS196612:RXT196612 SHO196612:SHP196612 SRK196612:SRL196612 TBG196612:TBH196612 TLC196612:TLD196612 TUY196612:TUZ196612 UEU196612:UEV196612 UOQ196612:UOR196612 UYM196612:UYN196612 VII196612:VIJ196612 VSE196612:VSF196612 WCA196612:WCB196612 WLW196612:WLX196612 WVS196612:WVT196612 I262148:K262148 JG262148:JH262148 TC262148:TD262148 ACY262148:ACZ262148 AMU262148:AMV262148 AWQ262148:AWR262148 BGM262148:BGN262148 BQI262148:BQJ262148 CAE262148:CAF262148 CKA262148:CKB262148 CTW262148:CTX262148 DDS262148:DDT262148 DNO262148:DNP262148 DXK262148:DXL262148 EHG262148:EHH262148 ERC262148:ERD262148 FAY262148:FAZ262148 FKU262148:FKV262148 FUQ262148:FUR262148 GEM262148:GEN262148 GOI262148:GOJ262148 GYE262148:GYF262148 HIA262148:HIB262148 HRW262148:HRX262148 IBS262148:IBT262148 ILO262148:ILP262148 IVK262148:IVL262148 JFG262148:JFH262148 JPC262148:JPD262148 JYY262148:JYZ262148 KIU262148:KIV262148 KSQ262148:KSR262148 LCM262148:LCN262148 LMI262148:LMJ262148 LWE262148:LWF262148 MGA262148:MGB262148 MPW262148:MPX262148 MZS262148:MZT262148 NJO262148:NJP262148 NTK262148:NTL262148 ODG262148:ODH262148 ONC262148:OND262148 OWY262148:OWZ262148 PGU262148:PGV262148 PQQ262148:PQR262148 QAM262148:QAN262148 QKI262148:QKJ262148 QUE262148:QUF262148 REA262148:REB262148 RNW262148:RNX262148 RXS262148:RXT262148 SHO262148:SHP262148 SRK262148:SRL262148 TBG262148:TBH262148 TLC262148:TLD262148 TUY262148:TUZ262148 UEU262148:UEV262148 UOQ262148:UOR262148 UYM262148:UYN262148 VII262148:VIJ262148 VSE262148:VSF262148 WCA262148:WCB262148 WLW262148:WLX262148 WVS262148:WVT262148 I327684:K327684 JG327684:JH327684 TC327684:TD327684 ACY327684:ACZ327684 AMU327684:AMV327684 AWQ327684:AWR327684 BGM327684:BGN327684 BQI327684:BQJ327684 CAE327684:CAF327684 CKA327684:CKB327684 CTW327684:CTX327684 DDS327684:DDT327684 DNO327684:DNP327684 DXK327684:DXL327684 EHG327684:EHH327684 ERC327684:ERD327684 FAY327684:FAZ327684 FKU327684:FKV327684 FUQ327684:FUR327684 GEM327684:GEN327684 GOI327684:GOJ327684 GYE327684:GYF327684 HIA327684:HIB327684 HRW327684:HRX327684 IBS327684:IBT327684 ILO327684:ILP327684 IVK327684:IVL327684 JFG327684:JFH327684 JPC327684:JPD327684 JYY327684:JYZ327684 KIU327684:KIV327684 KSQ327684:KSR327684 LCM327684:LCN327684 LMI327684:LMJ327684 LWE327684:LWF327684 MGA327684:MGB327684 MPW327684:MPX327684 MZS327684:MZT327684 NJO327684:NJP327684 NTK327684:NTL327684 ODG327684:ODH327684 ONC327684:OND327684 OWY327684:OWZ327684 PGU327684:PGV327684 PQQ327684:PQR327684 QAM327684:QAN327684 QKI327684:QKJ327684 QUE327684:QUF327684 REA327684:REB327684 RNW327684:RNX327684 RXS327684:RXT327684 SHO327684:SHP327684 SRK327684:SRL327684 TBG327684:TBH327684 TLC327684:TLD327684 TUY327684:TUZ327684 UEU327684:UEV327684 UOQ327684:UOR327684 UYM327684:UYN327684 VII327684:VIJ327684 VSE327684:VSF327684 WCA327684:WCB327684 WLW327684:WLX327684 WVS327684:WVT327684 I393220:K393220 JG393220:JH393220 TC393220:TD393220 ACY393220:ACZ393220 AMU393220:AMV393220 AWQ393220:AWR393220 BGM393220:BGN393220 BQI393220:BQJ393220 CAE393220:CAF393220 CKA393220:CKB393220 CTW393220:CTX393220 DDS393220:DDT393220 DNO393220:DNP393220 DXK393220:DXL393220 EHG393220:EHH393220 ERC393220:ERD393220 FAY393220:FAZ393220 FKU393220:FKV393220 FUQ393220:FUR393220 GEM393220:GEN393220 GOI393220:GOJ393220 GYE393220:GYF393220 HIA393220:HIB393220 HRW393220:HRX393220 IBS393220:IBT393220 ILO393220:ILP393220 IVK393220:IVL393220 JFG393220:JFH393220 JPC393220:JPD393220 JYY393220:JYZ393220 KIU393220:KIV393220 KSQ393220:KSR393220 LCM393220:LCN393220 LMI393220:LMJ393220 LWE393220:LWF393220 MGA393220:MGB393220 MPW393220:MPX393220 MZS393220:MZT393220 NJO393220:NJP393220 NTK393220:NTL393220 ODG393220:ODH393220 ONC393220:OND393220 OWY393220:OWZ393220 PGU393220:PGV393220 PQQ393220:PQR393220 QAM393220:QAN393220 QKI393220:QKJ393220 QUE393220:QUF393220 REA393220:REB393220 RNW393220:RNX393220 RXS393220:RXT393220 SHO393220:SHP393220 SRK393220:SRL393220 TBG393220:TBH393220 TLC393220:TLD393220 TUY393220:TUZ393220 UEU393220:UEV393220 UOQ393220:UOR393220 UYM393220:UYN393220 VII393220:VIJ393220 VSE393220:VSF393220 WCA393220:WCB393220 WLW393220:WLX393220 WVS393220:WVT393220 I458756:K458756 JG458756:JH458756 TC458756:TD458756 ACY458756:ACZ458756 AMU458756:AMV458756 AWQ458756:AWR458756 BGM458756:BGN458756 BQI458756:BQJ458756 CAE458756:CAF458756 CKA458756:CKB458756 CTW458756:CTX458756 DDS458756:DDT458756 DNO458756:DNP458756 DXK458756:DXL458756 EHG458756:EHH458756 ERC458756:ERD458756 FAY458756:FAZ458756 FKU458756:FKV458756 FUQ458756:FUR458756 GEM458756:GEN458756 GOI458756:GOJ458756 GYE458756:GYF458756 HIA458756:HIB458756 HRW458756:HRX458756 IBS458756:IBT458756 ILO458756:ILP458756 IVK458756:IVL458756 JFG458756:JFH458756 JPC458756:JPD458756 JYY458756:JYZ458756 KIU458756:KIV458756 KSQ458756:KSR458756 LCM458756:LCN458756 LMI458756:LMJ458756 LWE458756:LWF458756 MGA458756:MGB458756 MPW458756:MPX458756 MZS458756:MZT458756 NJO458756:NJP458756 NTK458756:NTL458756 ODG458756:ODH458756 ONC458756:OND458756 OWY458756:OWZ458756 PGU458756:PGV458756 PQQ458756:PQR458756 QAM458756:QAN458756 QKI458756:QKJ458756 QUE458756:QUF458756 REA458756:REB458756 RNW458756:RNX458756 RXS458756:RXT458756 SHO458756:SHP458756 SRK458756:SRL458756 TBG458756:TBH458756 TLC458756:TLD458756 TUY458756:TUZ458756 UEU458756:UEV458756 UOQ458756:UOR458756 UYM458756:UYN458756 VII458756:VIJ458756 VSE458756:VSF458756 WCA458756:WCB458756 WLW458756:WLX458756 WVS458756:WVT458756 I524292:K524292 JG524292:JH524292 TC524292:TD524292 ACY524292:ACZ524292 AMU524292:AMV524292 AWQ524292:AWR524292 BGM524292:BGN524292 BQI524292:BQJ524292 CAE524292:CAF524292 CKA524292:CKB524292 CTW524292:CTX524292 DDS524292:DDT524292 DNO524292:DNP524292 DXK524292:DXL524292 EHG524292:EHH524292 ERC524292:ERD524292 FAY524292:FAZ524292 FKU524292:FKV524292 FUQ524292:FUR524292 GEM524292:GEN524292 GOI524292:GOJ524292 GYE524292:GYF524292 HIA524292:HIB524292 HRW524292:HRX524292 IBS524292:IBT524292 ILO524292:ILP524292 IVK524292:IVL524292 JFG524292:JFH524292 JPC524292:JPD524292 JYY524292:JYZ524292 KIU524292:KIV524292 KSQ524292:KSR524292 LCM524292:LCN524292 LMI524292:LMJ524292 LWE524292:LWF524292 MGA524292:MGB524292 MPW524292:MPX524292 MZS524292:MZT524292 NJO524292:NJP524292 NTK524292:NTL524292 ODG524292:ODH524292 ONC524292:OND524292 OWY524292:OWZ524292 PGU524292:PGV524292 PQQ524292:PQR524292 QAM524292:QAN524292 QKI524292:QKJ524292 QUE524292:QUF524292 REA524292:REB524292 RNW524292:RNX524292 RXS524292:RXT524292 SHO524292:SHP524292 SRK524292:SRL524292 TBG524292:TBH524292 TLC524292:TLD524292 TUY524292:TUZ524292 UEU524292:UEV524292 UOQ524292:UOR524292 UYM524292:UYN524292 VII524292:VIJ524292 VSE524292:VSF524292 WCA524292:WCB524292 WLW524292:WLX524292 WVS524292:WVT524292 I589828:K589828 JG589828:JH589828 TC589828:TD589828 ACY589828:ACZ589828 AMU589828:AMV589828 AWQ589828:AWR589828 BGM589828:BGN589828 BQI589828:BQJ589828 CAE589828:CAF589828 CKA589828:CKB589828 CTW589828:CTX589828 DDS589828:DDT589828 DNO589828:DNP589828 DXK589828:DXL589828 EHG589828:EHH589828 ERC589828:ERD589828 FAY589828:FAZ589828 FKU589828:FKV589828 FUQ589828:FUR589828 GEM589828:GEN589828 GOI589828:GOJ589828 GYE589828:GYF589828 HIA589828:HIB589828 HRW589828:HRX589828 IBS589828:IBT589828 ILO589828:ILP589828 IVK589828:IVL589828 JFG589828:JFH589828 JPC589828:JPD589828 JYY589828:JYZ589828 KIU589828:KIV589828 KSQ589828:KSR589828 LCM589828:LCN589828 LMI589828:LMJ589828 LWE589828:LWF589828 MGA589828:MGB589828 MPW589828:MPX589828 MZS589828:MZT589828 NJO589828:NJP589828 NTK589828:NTL589828 ODG589828:ODH589828 ONC589828:OND589828 OWY589828:OWZ589828 PGU589828:PGV589828 PQQ589828:PQR589828 QAM589828:QAN589828 QKI589828:QKJ589828 QUE589828:QUF589828 REA589828:REB589828 RNW589828:RNX589828 RXS589828:RXT589828 SHO589828:SHP589828 SRK589828:SRL589828 TBG589828:TBH589828 TLC589828:TLD589828 TUY589828:TUZ589828 UEU589828:UEV589828 UOQ589828:UOR589828 UYM589828:UYN589828 VII589828:VIJ589828 VSE589828:VSF589828 WCA589828:WCB589828 WLW589828:WLX589828 WVS589828:WVT589828 I655364:K655364 JG655364:JH655364 TC655364:TD655364 ACY655364:ACZ655364 AMU655364:AMV655364 AWQ655364:AWR655364 BGM655364:BGN655364 BQI655364:BQJ655364 CAE655364:CAF655364 CKA655364:CKB655364 CTW655364:CTX655364 DDS655364:DDT655364 DNO655364:DNP655364 DXK655364:DXL655364 EHG655364:EHH655364 ERC655364:ERD655364 FAY655364:FAZ655364 FKU655364:FKV655364 FUQ655364:FUR655364 GEM655364:GEN655364 GOI655364:GOJ655364 GYE655364:GYF655364 HIA655364:HIB655364 HRW655364:HRX655364 IBS655364:IBT655364 ILO655364:ILP655364 IVK655364:IVL655364 JFG655364:JFH655364 JPC655364:JPD655364 JYY655364:JYZ655364 KIU655364:KIV655364 KSQ655364:KSR655364 LCM655364:LCN655364 LMI655364:LMJ655364 LWE655364:LWF655364 MGA655364:MGB655364 MPW655364:MPX655364 MZS655364:MZT655364 NJO655364:NJP655364 NTK655364:NTL655364 ODG655364:ODH655364 ONC655364:OND655364 OWY655364:OWZ655364 PGU655364:PGV655364 PQQ655364:PQR655364 QAM655364:QAN655364 QKI655364:QKJ655364 QUE655364:QUF655364 REA655364:REB655364 RNW655364:RNX655364 RXS655364:RXT655364 SHO655364:SHP655364 SRK655364:SRL655364 TBG655364:TBH655364 TLC655364:TLD655364 TUY655364:TUZ655364 UEU655364:UEV655364 UOQ655364:UOR655364 UYM655364:UYN655364 VII655364:VIJ655364 VSE655364:VSF655364 WCA655364:WCB655364 WLW655364:WLX655364 WVS655364:WVT655364 I720900:K720900 JG720900:JH720900 TC720900:TD720900 ACY720900:ACZ720900 AMU720900:AMV720900 AWQ720900:AWR720900 BGM720900:BGN720900 BQI720900:BQJ720900 CAE720900:CAF720900 CKA720900:CKB720900 CTW720900:CTX720900 DDS720900:DDT720900 DNO720900:DNP720900 DXK720900:DXL720900 EHG720900:EHH720900 ERC720900:ERD720900 FAY720900:FAZ720900 FKU720900:FKV720900 FUQ720900:FUR720900 GEM720900:GEN720900 GOI720900:GOJ720900 GYE720900:GYF720900 HIA720900:HIB720900 HRW720900:HRX720900 IBS720900:IBT720900 ILO720900:ILP720900 IVK720900:IVL720900 JFG720900:JFH720900 JPC720900:JPD720900 JYY720900:JYZ720900 KIU720900:KIV720900 KSQ720900:KSR720900 LCM720900:LCN720900 LMI720900:LMJ720900 LWE720900:LWF720900 MGA720900:MGB720900 MPW720900:MPX720900 MZS720900:MZT720900 NJO720900:NJP720900 NTK720900:NTL720900 ODG720900:ODH720900 ONC720900:OND720900 OWY720900:OWZ720900 PGU720900:PGV720900 PQQ720900:PQR720900 QAM720900:QAN720900 QKI720900:QKJ720900 QUE720900:QUF720900 REA720900:REB720900 RNW720900:RNX720900 RXS720900:RXT720900 SHO720900:SHP720900 SRK720900:SRL720900 TBG720900:TBH720900 TLC720900:TLD720900 TUY720900:TUZ720900 UEU720900:UEV720900 UOQ720900:UOR720900 UYM720900:UYN720900 VII720900:VIJ720900 VSE720900:VSF720900 WCA720900:WCB720900 WLW720900:WLX720900 WVS720900:WVT720900 I786436:K786436 JG786436:JH786436 TC786436:TD786436 ACY786436:ACZ786436 AMU786436:AMV786436 AWQ786436:AWR786436 BGM786436:BGN786436 BQI786436:BQJ786436 CAE786436:CAF786436 CKA786436:CKB786436 CTW786436:CTX786436 DDS786436:DDT786436 DNO786436:DNP786436 DXK786436:DXL786436 EHG786436:EHH786436 ERC786436:ERD786436 FAY786436:FAZ786436 FKU786436:FKV786436 FUQ786436:FUR786436 GEM786436:GEN786436 GOI786436:GOJ786436 GYE786436:GYF786436 HIA786436:HIB786436 HRW786436:HRX786436 IBS786436:IBT786436 ILO786436:ILP786436 IVK786436:IVL786436 JFG786436:JFH786436 JPC786436:JPD786436 JYY786436:JYZ786436 KIU786436:KIV786436 KSQ786436:KSR786436 LCM786436:LCN786436 LMI786436:LMJ786436 LWE786436:LWF786436 MGA786436:MGB786436 MPW786436:MPX786436 MZS786436:MZT786436 NJO786436:NJP786436 NTK786436:NTL786436 ODG786436:ODH786436 ONC786436:OND786436 OWY786436:OWZ786436 PGU786436:PGV786436 PQQ786436:PQR786436 QAM786436:QAN786436 QKI786436:QKJ786436 QUE786436:QUF786436 REA786436:REB786436 RNW786436:RNX786436 RXS786436:RXT786436 SHO786436:SHP786436 SRK786436:SRL786436 TBG786436:TBH786436 TLC786436:TLD786436 TUY786436:TUZ786436 UEU786436:UEV786436 UOQ786436:UOR786436 UYM786436:UYN786436 VII786436:VIJ786436 VSE786436:VSF786436 WCA786436:WCB786436 WLW786436:WLX786436 WVS786436:WVT786436 I851972:K851972 JG851972:JH851972 TC851972:TD851972 ACY851972:ACZ851972 AMU851972:AMV851972 AWQ851972:AWR851972 BGM851972:BGN851972 BQI851972:BQJ851972 CAE851972:CAF851972 CKA851972:CKB851972 CTW851972:CTX851972 DDS851972:DDT851972 DNO851972:DNP851972 DXK851972:DXL851972 EHG851972:EHH851972 ERC851972:ERD851972 FAY851972:FAZ851972 FKU851972:FKV851972 FUQ851972:FUR851972 GEM851972:GEN851972 GOI851972:GOJ851972 GYE851972:GYF851972 HIA851972:HIB851972 HRW851972:HRX851972 IBS851972:IBT851972 ILO851972:ILP851972 IVK851972:IVL851972 JFG851972:JFH851972 JPC851972:JPD851972 JYY851972:JYZ851972 KIU851972:KIV851972 KSQ851972:KSR851972 LCM851972:LCN851972 LMI851972:LMJ851972 LWE851972:LWF851972 MGA851972:MGB851972 MPW851972:MPX851972 MZS851972:MZT851972 NJO851972:NJP851972 NTK851972:NTL851972 ODG851972:ODH851972 ONC851972:OND851972 OWY851972:OWZ851972 PGU851972:PGV851972 PQQ851972:PQR851972 QAM851972:QAN851972 QKI851972:QKJ851972 QUE851972:QUF851972 REA851972:REB851972 RNW851972:RNX851972 RXS851972:RXT851972 SHO851972:SHP851972 SRK851972:SRL851972 TBG851972:TBH851972 TLC851972:TLD851972 TUY851972:TUZ851972 UEU851972:UEV851972 UOQ851972:UOR851972 UYM851972:UYN851972 VII851972:VIJ851972 VSE851972:VSF851972 WCA851972:WCB851972 WLW851972:WLX851972 WVS851972:WVT851972 I917508:K917508 JG917508:JH917508 TC917508:TD917508 ACY917508:ACZ917508 AMU917508:AMV917508 AWQ917508:AWR917508 BGM917508:BGN917508 BQI917508:BQJ917508 CAE917508:CAF917508 CKA917508:CKB917508 CTW917508:CTX917508 DDS917508:DDT917508 DNO917508:DNP917508 DXK917508:DXL917508 EHG917508:EHH917508 ERC917508:ERD917508 FAY917508:FAZ917508 FKU917508:FKV917508 FUQ917508:FUR917508 GEM917508:GEN917508 GOI917508:GOJ917508 GYE917508:GYF917508 HIA917508:HIB917508 HRW917508:HRX917508 IBS917508:IBT917508 ILO917508:ILP917508 IVK917508:IVL917508 JFG917508:JFH917508 JPC917508:JPD917508 JYY917508:JYZ917508 KIU917508:KIV917508 KSQ917508:KSR917508 LCM917508:LCN917508 LMI917508:LMJ917508 LWE917508:LWF917508 MGA917508:MGB917508 MPW917508:MPX917508 MZS917508:MZT917508 NJO917508:NJP917508 NTK917508:NTL917508 ODG917508:ODH917508 ONC917508:OND917508 OWY917508:OWZ917508 PGU917508:PGV917508 PQQ917508:PQR917508 QAM917508:QAN917508 QKI917508:QKJ917508 QUE917508:QUF917508 REA917508:REB917508 RNW917508:RNX917508 RXS917508:RXT917508 SHO917508:SHP917508 SRK917508:SRL917508 TBG917508:TBH917508 TLC917508:TLD917508 TUY917508:TUZ917508 UEU917508:UEV917508 UOQ917508:UOR917508 UYM917508:UYN917508 VII917508:VIJ917508 VSE917508:VSF917508 WCA917508:WCB917508 WLW917508:WLX917508 WVS917508:WVT917508 I983044:K983044 JG983044:JH983044 TC983044:TD983044 ACY983044:ACZ983044 AMU983044:AMV983044 AWQ983044:AWR983044 BGM983044:BGN983044 BQI983044:BQJ983044 CAE983044:CAF983044 CKA983044:CKB983044 CTW983044:CTX983044 DDS983044:DDT983044 DNO983044:DNP983044 DXK983044:DXL983044 EHG983044:EHH983044 ERC983044:ERD983044 FAY983044:FAZ983044 FKU983044:FKV983044 FUQ983044:FUR983044 GEM983044:GEN983044 GOI983044:GOJ983044 GYE983044:GYF983044 HIA983044:HIB983044 HRW983044:HRX983044 IBS983044:IBT983044 ILO983044:ILP983044 IVK983044:IVL983044 JFG983044:JFH983044 JPC983044:JPD983044 JYY983044:JYZ983044 KIU983044:KIV983044 KSQ983044:KSR983044 LCM983044:LCN983044 LMI983044:LMJ983044 LWE983044:LWF983044 MGA983044:MGB983044 MPW983044:MPX983044 MZS983044:MZT983044 NJO983044:NJP983044 NTK983044:NTL983044 ODG983044:ODH983044 ONC983044:OND983044 OWY983044:OWZ983044 PGU983044:PGV983044 PQQ983044:PQR983044 QAM983044:QAN983044 QKI983044:QKJ983044 QUE983044:QUF983044 REA983044:REB983044 RNW983044:RNX983044 RXS983044:RXT983044 SHO983044:SHP983044 SRK983044:SRL983044 TBG983044:TBH983044 TLC983044:TLD983044 TUY983044:TUZ983044 UEU983044:UEV983044 UOQ983044:UOR983044 UYM983044:UYN983044 VII983044:VIJ983044 VSE983044:VSF983044 WCA983044:WCB983044 WLW983044:WLX983044">
      <formula1>"January, February, March, Jan-Mar, April, May, June, Apr-June, July, August, September, Jul-Sep, October, November, December, Oct-Dec, Janu-Dec"</formula1>
    </dataValidation>
    <dataValidation type="list" allowBlank="1" showInputMessage="1" showErrorMessage="1" sqref="WVX983044 JE8 TA8 ACW8 AMS8 AWO8 BGK8 BQG8 CAC8 CJY8 CTU8 DDQ8 DNM8 DXI8 EHE8 ERA8 FAW8 FKS8 FUO8 GEK8 GOG8 GYC8 HHY8 HRU8 IBQ8 ILM8 IVI8 JFE8 JPA8 JYW8 KIS8 KSO8 LCK8 LMG8 LWC8 MFY8 MPU8 MZQ8 NJM8 NTI8 ODE8 ONA8 OWW8 PGS8 PQO8 QAK8 QKG8 QUC8 RDY8 RNU8 RXQ8 SHM8 SRI8 TBE8 TLA8 TUW8 UES8 UOO8 UYK8 VIG8 VSC8 WBY8 WLU8 WVQ8 P65540 JL65540 TH65540 ADD65540 AMZ65540 AWV65540 BGR65540 BQN65540 CAJ65540 CKF65540 CUB65540 DDX65540 DNT65540 DXP65540 EHL65540 ERH65540 FBD65540 FKZ65540 FUV65540 GER65540 GON65540 GYJ65540 HIF65540 HSB65540 IBX65540 ILT65540 IVP65540 JFL65540 JPH65540 JZD65540 KIZ65540 KSV65540 LCR65540 LMN65540 LWJ65540 MGF65540 MQB65540 MZX65540 NJT65540 NTP65540 ODL65540 ONH65540 OXD65540 PGZ65540 PQV65540 QAR65540 QKN65540 QUJ65540 REF65540 ROB65540 RXX65540 SHT65540 SRP65540 TBL65540 TLH65540 TVD65540 UEZ65540 UOV65540 UYR65540 VIN65540 VSJ65540 WCF65540 WMB65540 WVX65540 P131076 JL131076 TH131076 ADD131076 AMZ131076 AWV131076 BGR131076 BQN131076 CAJ131076 CKF131076 CUB131076 DDX131076 DNT131076 DXP131076 EHL131076 ERH131076 FBD131076 FKZ131076 FUV131076 GER131076 GON131076 GYJ131076 HIF131076 HSB131076 IBX131076 ILT131076 IVP131076 JFL131076 JPH131076 JZD131076 KIZ131076 KSV131076 LCR131076 LMN131076 LWJ131076 MGF131076 MQB131076 MZX131076 NJT131076 NTP131076 ODL131076 ONH131076 OXD131076 PGZ131076 PQV131076 QAR131076 QKN131076 QUJ131076 REF131076 ROB131076 RXX131076 SHT131076 SRP131076 TBL131076 TLH131076 TVD131076 UEZ131076 UOV131076 UYR131076 VIN131076 VSJ131076 WCF131076 WMB131076 WVX131076 P196612 JL196612 TH196612 ADD196612 AMZ196612 AWV196612 BGR196612 BQN196612 CAJ196612 CKF196612 CUB196612 DDX196612 DNT196612 DXP196612 EHL196612 ERH196612 FBD196612 FKZ196612 FUV196612 GER196612 GON196612 GYJ196612 HIF196612 HSB196612 IBX196612 ILT196612 IVP196612 JFL196612 JPH196612 JZD196612 KIZ196612 KSV196612 LCR196612 LMN196612 LWJ196612 MGF196612 MQB196612 MZX196612 NJT196612 NTP196612 ODL196612 ONH196612 OXD196612 PGZ196612 PQV196612 QAR196612 QKN196612 QUJ196612 REF196612 ROB196612 RXX196612 SHT196612 SRP196612 TBL196612 TLH196612 TVD196612 UEZ196612 UOV196612 UYR196612 VIN196612 VSJ196612 WCF196612 WMB196612 WVX196612 P262148 JL262148 TH262148 ADD262148 AMZ262148 AWV262148 BGR262148 BQN262148 CAJ262148 CKF262148 CUB262148 DDX262148 DNT262148 DXP262148 EHL262148 ERH262148 FBD262148 FKZ262148 FUV262148 GER262148 GON262148 GYJ262148 HIF262148 HSB262148 IBX262148 ILT262148 IVP262148 JFL262148 JPH262148 JZD262148 KIZ262148 KSV262148 LCR262148 LMN262148 LWJ262148 MGF262148 MQB262148 MZX262148 NJT262148 NTP262148 ODL262148 ONH262148 OXD262148 PGZ262148 PQV262148 QAR262148 QKN262148 QUJ262148 REF262148 ROB262148 RXX262148 SHT262148 SRP262148 TBL262148 TLH262148 TVD262148 UEZ262148 UOV262148 UYR262148 VIN262148 VSJ262148 WCF262148 WMB262148 WVX262148 P327684 JL327684 TH327684 ADD327684 AMZ327684 AWV327684 BGR327684 BQN327684 CAJ327684 CKF327684 CUB327684 DDX327684 DNT327684 DXP327684 EHL327684 ERH327684 FBD327684 FKZ327684 FUV327684 GER327684 GON327684 GYJ327684 HIF327684 HSB327684 IBX327684 ILT327684 IVP327684 JFL327684 JPH327684 JZD327684 KIZ327684 KSV327684 LCR327684 LMN327684 LWJ327684 MGF327684 MQB327684 MZX327684 NJT327684 NTP327684 ODL327684 ONH327684 OXD327684 PGZ327684 PQV327684 QAR327684 QKN327684 QUJ327684 REF327684 ROB327684 RXX327684 SHT327684 SRP327684 TBL327684 TLH327684 TVD327684 UEZ327684 UOV327684 UYR327684 VIN327684 VSJ327684 WCF327684 WMB327684 WVX327684 P393220 JL393220 TH393220 ADD393220 AMZ393220 AWV393220 BGR393220 BQN393220 CAJ393220 CKF393220 CUB393220 DDX393220 DNT393220 DXP393220 EHL393220 ERH393220 FBD393220 FKZ393220 FUV393220 GER393220 GON393220 GYJ393220 HIF393220 HSB393220 IBX393220 ILT393220 IVP393220 JFL393220 JPH393220 JZD393220 KIZ393220 KSV393220 LCR393220 LMN393220 LWJ393220 MGF393220 MQB393220 MZX393220 NJT393220 NTP393220 ODL393220 ONH393220 OXD393220 PGZ393220 PQV393220 QAR393220 QKN393220 QUJ393220 REF393220 ROB393220 RXX393220 SHT393220 SRP393220 TBL393220 TLH393220 TVD393220 UEZ393220 UOV393220 UYR393220 VIN393220 VSJ393220 WCF393220 WMB393220 WVX393220 P458756 JL458756 TH458756 ADD458756 AMZ458756 AWV458756 BGR458756 BQN458756 CAJ458756 CKF458756 CUB458756 DDX458756 DNT458756 DXP458756 EHL458756 ERH458756 FBD458756 FKZ458756 FUV458756 GER458756 GON458756 GYJ458756 HIF458756 HSB458756 IBX458756 ILT458756 IVP458756 JFL458756 JPH458756 JZD458756 KIZ458756 KSV458756 LCR458756 LMN458756 LWJ458756 MGF458756 MQB458756 MZX458756 NJT458756 NTP458756 ODL458756 ONH458756 OXD458756 PGZ458756 PQV458756 QAR458756 QKN458756 QUJ458756 REF458756 ROB458756 RXX458756 SHT458756 SRP458756 TBL458756 TLH458756 TVD458756 UEZ458756 UOV458756 UYR458756 VIN458756 VSJ458756 WCF458756 WMB458756 WVX458756 P524292 JL524292 TH524292 ADD524292 AMZ524292 AWV524292 BGR524292 BQN524292 CAJ524292 CKF524292 CUB524292 DDX524292 DNT524292 DXP524292 EHL524292 ERH524292 FBD524292 FKZ524292 FUV524292 GER524292 GON524292 GYJ524292 HIF524292 HSB524292 IBX524292 ILT524292 IVP524292 JFL524292 JPH524292 JZD524292 KIZ524292 KSV524292 LCR524292 LMN524292 LWJ524292 MGF524292 MQB524292 MZX524292 NJT524292 NTP524292 ODL524292 ONH524292 OXD524292 PGZ524292 PQV524292 QAR524292 QKN524292 QUJ524292 REF524292 ROB524292 RXX524292 SHT524292 SRP524292 TBL524292 TLH524292 TVD524292 UEZ524292 UOV524292 UYR524292 VIN524292 VSJ524292 WCF524292 WMB524292 WVX524292 P589828 JL589828 TH589828 ADD589828 AMZ589828 AWV589828 BGR589828 BQN589828 CAJ589828 CKF589828 CUB589828 DDX589828 DNT589828 DXP589828 EHL589828 ERH589828 FBD589828 FKZ589828 FUV589828 GER589828 GON589828 GYJ589828 HIF589828 HSB589828 IBX589828 ILT589828 IVP589828 JFL589828 JPH589828 JZD589828 KIZ589828 KSV589828 LCR589828 LMN589828 LWJ589828 MGF589828 MQB589828 MZX589828 NJT589828 NTP589828 ODL589828 ONH589828 OXD589828 PGZ589828 PQV589828 QAR589828 QKN589828 QUJ589828 REF589828 ROB589828 RXX589828 SHT589828 SRP589828 TBL589828 TLH589828 TVD589828 UEZ589828 UOV589828 UYR589828 VIN589828 VSJ589828 WCF589828 WMB589828 WVX589828 P655364 JL655364 TH655364 ADD655364 AMZ655364 AWV655364 BGR655364 BQN655364 CAJ655364 CKF655364 CUB655364 DDX655364 DNT655364 DXP655364 EHL655364 ERH655364 FBD655364 FKZ655364 FUV655364 GER655364 GON655364 GYJ655364 HIF655364 HSB655364 IBX655364 ILT655364 IVP655364 JFL655364 JPH655364 JZD655364 KIZ655364 KSV655364 LCR655364 LMN655364 LWJ655364 MGF655364 MQB655364 MZX655364 NJT655364 NTP655364 ODL655364 ONH655364 OXD655364 PGZ655364 PQV655364 QAR655364 QKN655364 QUJ655364 REF655364 ROB655364 RXX655364 SHT655364 SRP655364 TBL655364 TLH655364 TVD655364 UEZ655364 UOV655364 UYR655364 VIN655364 VSJ655364 WCF655364 WMB655364 WVX655364 P720900 JL720900 TH720900 ADD720900 AMZ720900 AWV720900 BGR720900 BQN720900 CAJ720900 CKF720900 CUB720900 DDX720900 DNT720900 DXP720900 EHL720900 ERH720900 FBD720900 FKZ720900 FUV720900 GER720900 GON720900 GYJ720900 HIF720900 HSB720900 IBX720900 ILT720900 IVP720900 JFL720900 JPH720900 JZD720900 KIZ720900 KSV720900 LCR720900 LMN720900 LWJ720900 MGF720900 MQB720900 MZX720900 NJT720900 NTP720900 ODL720900 ONH720900 OXD720900 PGZ720900 PQV720900 QAR720900 QKN720900 QUJ720900 REF720900 ROB720900 RXX720900 SHT720900 SRP720900 TBL720900 TLH720900 TVD720900 UEZ720900 UOV720900 UYR720900 VIN720900 VSJ720900 WCF720900 WMB720900 WVX720900 P786436 JL786436 TH786436 ADD786436 AMZ786436 AWV786436 BGR786436 BQN786436 CAJ786436 CKF786436 CUB786436 DDX786436 DNT786436 DXP786436 EHL786436 ERH786436 FBD786436 FKZ786436 FUV786436 GER786436 GON786436 GYJ786436 HIF786436 HSB786436 IBX786436 ILT786436 IVP786436 JFL786436 JPH786436 JZD786436 KIZ786436 KSV786436 LCR786436 LMN786436 LWJ786436 MGF786436 MQB786436 MZX786436 NJT786436 NTP786436 ODL786436 ONH786436 OXD786436 PGZ786436 PQV786436 QAR786436 QKN786436 QUJ786436 REF786436 ROB786436 RXX786436 SHT786436 SRP786436 TBL786436 TLH786436 TVD786436 UEZ786436 UOV786436 UYR786436 VIN786436 VSJ786436 WCF786436 WMB786436 WVX786436 P851972 JL851972 TH851972 ADD851972 AMZ851972 AWV851972 BGR851972 BQN851972 CAJ851972 CKF851972 CUB851972 DDX851972 DNT851972 DXP851972 EHL851972 ERH851972 FBD851972 FKZ851972 FUV851972 GER851972 GON851972 GYJ851972 HIF851972 HSB851972 IBX851972 ILT851972 IVP851972 JFL851972 JPH851972 JZD851972 KIZ851972 KSV851972 LCR851972 LMN851972 LWJ851972 MGF851972 MQB851972 MZX851972 NJT851972 NTP851972 ODL851972 ONH851972 OXD851972 PGZ851972 PQV851972 QAR851972 QKN851972 QUJ851972 REF851972 ROB851972 RXX851972 SHT851972 SRP851972 TBL851972 TLH851972 TVD851972 UEZ851972 UOV851972 UYR851972 VIN851972 VSJ851972 WCF851972 WMB851972 WVX851972 P917508 JL917508 TH917508 ADD917508 AMZ917508 AWV917508 BGR917508 BQN917508 CAJ917508 CKF917508 CUB917508 DDX917508 DNT917508 DXP917508 EHL917508 ERH917508 FBD917508 FKZ917508 FUV917508 GER917508 GON917508 GYJ917508 HIF917508 HSB917508 IBX917508 ILT917508 IVP917508 JFL917508 JPH917508 JZD917508 KIZ917508 KSV917508 LCR917508 LMN917508 LWJ917508 MGF917508 MQB917508 MZX917508 NJT917508 NTP917508 ODL917508 ONH917508 OXD917508 PGZ917508 PQV917508 QAR917508 QKN917508 QUJ917508 REF917508 ROB917508 RXX917508 SHT917508 SRP917508 TBL917508 TLH917508 TVD917508 UEZ917508 UOV917508 UYR917508 VIN917508 VSJ917508 WCF917508 WMB917508 WVX917508 P983044 JL983044 TH983044 ADD983044 AMZ983044 AWV983044 BGR983044 BQN983044 CAJ983044 CKF983044 CUB983044 DDX983044 DNT983044 DXP983044 EHL983044 ERH983044 FBD983044 FKZ983044 FUV983044 GER983044 GON983044 GYJ983044 HIF983044 HSB983044 IBX983044 ILT983044 IVP983044 JFL983044 JPH983044 JZD983044 KIZ983044 KSV983044 LCR983044 LMN983044 LWJ983044 MGF983044 MQB983044 MZX983044 NJT983044 NTP983044 ODL983044 ONH983044 OXD983044 PGZ983044 PQV983044 QAR983044 QKN983044 QUJ983044 REF983044 ROB983044 RXX983044 SHT983044 SRP983044 TBL983044 TLH983044 TVD983044 UEZ983044 UOV983044 UYR983044 VIN983044 VSJ983044 WCF983044 WMB983044">
      <formula1>"2015, 2016,2017,2018,2019, 2020"</formula1>
    </dataValidation>
    <dataValidation type="list" allowBlank="1" showInputMessage="1" showErrorMessage="1" sqref="S13">
      <formula1>"Not Detected, Resistance, Invalid, Error, No result"</formula1>
    </dataValidation>
    <dataValidation type="list" allowBlank="1" showInputMessage="1" showErrorMessage="1" sqref="P13:R13">
      <formula1>"Not Detected, Resistance, Indeterminate, Error, Invalid, No Result"</formula1>
    </dataValidation>
    <dataValidation type="list" allowBlank="1" showInputMessage="1" showErrorMessage="1" sqref="N13:O13">
      <formula1>"Not Detected, Resistance, Low Resistance, Indeterminate, Error, Invalid, No Result"</formula1>
    </dataValidation>
    <dataValidation type="list" allowBlank="1" showInputMessage="1" showErrorMessage="1" sqref="M13">
      <formula1>"Detected, Not Detected"</formula1>
    </dataValidation>
    <dataValidation type="list" allowBlank="1" showInputMessage="1" showErrorMessage="1" sqref="I13:I15">
      <formula1>"Sputam, Stool, Others"</formula1>
    </dataValidation>
  </dataValidations>
  <printOptions horizontalCentered="1"/>
  <pageMargins left="0.45" right="0.45" top="0.5" bottom="0.5" header="0.3" footer="0.3"/>
  <pageSetup paperSize="9" scale="49"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33"/>
  <sheetViews>
    <sheetView topLeftCell="A10" workbookViewId="0">
      <selection sqref="A1:O1"/>
    </sheetView>
  </sheetViews>
  <sheetFormatPr defaultColWidth="9.33203125" defaultRowHeight="14.4" x14ac:dyDescent="0.3"/>
  <cols>
    <col min="1" max="1" width="11" style="101" customWidth="1"/>
    <col min="2" max="2" width="9.33203125" style="101"/>
    <col min="3" max="3" width="11.6640625" style="101" customWidth="1"/>
    <col min="4" max="4" width="9.33203125" style="101"/>
    <col min="5" max="5" width="10.6640625" style="101" customWidth="1"/>
    <col min="6" max="16384" width="9.33203125" style="101"/>
  </cols>
  <sheetData>
    <row r="1" spans="1:21" s="100" customFormat="1" ht="18" x14ac:dyDescent="0.3">
      <c r="A1" s="309" t="s">
        <v>698</v>
      </c>
      <c r="B1" s="309"/>
      <c r="C1" s="309"/>
      <c r="D1" s="309"/>
      <c r="E1" s="309"/>
      <c r="F1" s="309"/>
      <c r="G1" s="309"/>
      <c r="H1" s="309"/>
      <c r="I1" s="309"/>
      <c r="J1" s="309"/>
      <c r="K1" s="309"/>
      <c r="L1" s="309"/>
      <c r="M1" s="309"/>
      <c r="N1" s="309"/>
      <c r="O1" s="309"/>
      <c r="P1" s="309" t="s">
        <v>697</v>
      </c>
      <c r="Q1" s="309"/>
      <c r="R1" s="309"/>
      <c r="S1" s="309"/>
      <c r="T1" s="99"/>
      <c r="U1" s="99"/>
    </row>
    <row r="2" spans="1:21" s="100" customFormat="1" ht="18" x14ac:dyDescent="0.3">
      <c r="A2" s="309" t="s">
        <v>63</v>
      </c>
      <c r="B2" s="309"/>
      <c r="C2" s="309"/>
      <c r="D2" s="309"/>
      <c r="E2" s="309"/>
      <c r="F2" s="309"/>
      <c r="G2" s="309"/>
      <c r="H2" s="309"/>
      <c r="I2" s="309"/>
      <c r="J2" s="309"/>
      <c r="K2" s="309"/>
      <c r="L2" s="309"/>
      <c r="M2" s="309"/>
      <c r="N2" s="309"/>
      <c r="O2" s="309"/>
      <c r="P2" s="309"/>
      <c r="Q2" s="309"/>
      <c r="R2" s="309"/>
      <c r="S2" s="309"/>
      <c r="T2" s="309"/>
      <c r="U2" s="309"/>
    </row>
    <row r="3" spans="1:21" s="100" customFormat="1" ht="18" x14ac:dyDescent="0.3">
      <c r="A3" s="309" t="s">
        <v>680</v>
      </c>
      <c r="B3" s="309"/>
      <c r="C3" s="309"/>
      <c r="D3" s="309"/>
      <c r="E3" s="309"/>
      <c r="F3" s="309"/>
      <c r="G3" s="309"/>
      <c r="H3" s="309"/>
      <c r="I3" s="309"/>
      <c r="J3" s="309"/>
      <c r="K3" s="309"/>
      <c r="L3" s="309"/>
      <c r="M3" s="309"/>
      <c r="N3" s="309"/>
      <c r="O3" s="309"/>
      <c r="P3" s="309"/>
      <c r="Q3" s="309"/>
      <c r="R3" s="309"/>
      <c r="S3" s="34"/>
      <c r="T3" s="34"/>
      <c r="U3" s="34"/>
    </row>
    <row r="4" spans="1:21" s="100" customFormat="1" ht="18" x14ac:dyDescent="0.3">
      <c r="A4" s="34"/>
      <c r="B4" s="34"/>
      <c r="C4" s="34"/>
      <c r="D4" s="34"/>
      <c r="E4" s="34"/>
      <c r="F4" s="34"/>
      <c r="G4" s="34"/>
      <c r="H4" s="34"/>
      <c r="I4" s="34"/>
      <c r="J4" s="34"/>
      <c r="K4" s="34"/>
      <c r="L4" s="34"/>
      <c r="M4" s="34"/>
      <c r="N4" s="34"/>
      <c r="O4" s="34"/>
      <c r="P4" s="34"/>
      <c r="Q4" s="34"/>
      <c r="R4" s="34"/>
      <c r="S4" s="34"/>
      <c r="T4" s="34"/>
      <c r="U4" s="34"/>
    </row>
    <row r="5" spans="1:21" s="100" customFormat="1" ht="18" x14ac:dyDescent="0.3">
      <c r="A5" s="309" t="s">
        <v>681</v>
      </c>
      <c r="B5" s="309"/>
      <c r="C5" s="309"/>
      <c r="D5" s="309"/>
      <c r="E5" s="309"/>
      <c r="F5" s="309"/>
      <c r="G5" s="309"/>
      <c r="H5" s="309"/>
      <c r="I5" s="309"/>
      <c r="J5" s="309"/>
      <c r="K5" s="309"/>
      <c r="L5" s="309"/>
      <c r="M5" s="309"/>
      <c r="N5" s="309"/>
      <c r="O5" s="309"/>
      <c r="P5" s="309"/>
      <c r="Q5" s="309"/>
      <c r="R5" s="309"/>
      <c r="S5" s="309"/>
      <c r="T5" s="309"/>
      <c r="U5" s="309"/>
    </row>
    <row r="6" spans="1:21" ht="15.6" x14ac:dyDescent="0.3">
      <c r="A6" s="2"/>
      <c r="B6" s="2"/>
      <c r="C6" s="2"/>
      <c r="D6" s="2"/>
      <c r="E6" s="2"/>
      <c r="F6" s="2"/>
      <c r="G6" s="2"/>
      <c r="H6" s="2"/>
      <c r="I6" s="2"/>
      <c r="J6" s="2"/>
      <c r="K6" s="2"/>
      <c r="L6" s="2"/>
      <c r="M6" s="2"/>
      <c r="N6" s="2"/>
      <c r="O6" s="2"/>
      <c r="P6" s="2"/>
      <c r="Q6" s="2"/>
      <c r="R6" s="2"/>
      <c r="S6" s="2"/>
      <c r="T6" s="2"/>
      <c r="U6" s="2"/>
    </row>
    <row r="7" spans="1:21" ht="15.6" x14ac:dyDescent="0.3">
      <c r="A7" s="2" t="s">
        <v>136</v>
      </c>
      <c r="B7" s="2"/>
      <c r="C7" s="318">
        <f>'DR-TB 10A (Sputum &amp; EP Sample)'!C6:G6</f>
        <v>0</v>
      </c>
      <c r="D7" s="318"/>
      <c r="E7" s="318"/>
      <c r="F7" s="318"/>
      <c r="G7" s="318"/>
      <c r="I7" s="2"/>
      <c r="J7" s="25" t="s">
        <v>14</v>
      </c>
      <c r="K7" s="100"/>
      <c r="L7" s="28" t="str">
        <f>'DR-TB 10A (Sputum &amp; EP Sample)'!L6</f>
        <v>&lt;Dates&gt;</v>
      </c>
    </row>
    <row r="8" spans="1:21" ht="16.8" x14ac:dyDescent="0.3">
      <c r="A8" s="2" t="s">
        <v>9</v>
      </c>
      <c r="B8" s="2"/>
      <c r="C8" s="326">
        <f>'DR-TB 10A (Sputum &amp; EP Sample)'!C7:G7</f>
        <v>0</v>
      </c>
      <c r="D8" s="326"/>
      <c r="E8" s="326"/>
      <c r="F8" s="326"/>
      <c r="G8" s="326"/>
      <c r="I8" s="102"/>
      <c r="J8" s="1" t="s">
        <v>682</v>
      </c>
      <c r="K8" s="24"/>
      <c r="L8" s="24"/>
      <c r="M8" s="24"/>
      <c r="N8" s="321">
        <f>'DR-TB 10A (Sputum &amp; EP Sample)'!N7:S7</f>
        <v>0</v>
      </c>
      <c r="O8" s="321"/>
      <c r="P8" s="321"/>
      <c r="Q8" s="321"/>
      <c r="R8" s="321"/>
      <c r="S8" s="321"/>
    </row>
    <row r="9" spans="1:21" ht="16.8" x14ac:dyDescent="0.3">
      <c r="A9" s="2" t="s">
        <v>10</v>
      </c>
      <c r="B9" s="2"/>
      <c r="C9" s="326">
        <f>'DR-TB 10A (Sputum &amp; EP Sample)'!C8:G8</f>
        <v>0</v>
      </c>
      <c r="D9" s="326"/>
      <c r="E9" s="326"/>
      <c r="F9" s="326"/>
      <c r="G9" s="326"/>
      <c r="I9" s="102"/>
      <c r="J9" s="102" t="s">
        <v>64</v>
      </c>
      <c r="K9" s="102"/>
      <c r="L9" s="102"/>
      <c r="M9" s="321">
        <f>'DR-TB 10A (Sputum &amp; EP Sample)'!M8:S8</f>
        <v>0</v>
      </c>
      <c r="N9" s="321"/>
      <c r="O9" s="321"/>
      <c r="P9" s="321"/>
      <c r="Q9" s="321"/>
      <c r="R9" s="321"/>
      <c r="S9" s="321"/>
    </row>
    <row r="10" spans="1:21" ht="16.8" x14ac:dyDescent="0.3">
      <c r="J10" s="102" t="s">
        <v>11</v>
      </c>
      <c r="K10" s="102"/>
      <c r="L10" s="102"/>
      <c r="M10" s="322">
        <f>'DR-TB 10A (Sputum &amp; EP Sample)'!M9:N9</f>
        <v>0</v>
      </c>
      <c r="N10" s="322"/>
      <c r="O10" s="103"/>
      <c r="P10" s="22"/>
    </row>
    <row r="11" spans="1:21" ht="16.8" x14ac:dyDescent="0.3">
      <c r="J11" s="104" t="s">
        <v>69</v>
      </c>
      <c r="K11" s="323">
        <f>'DR-TB 10A (Sputum &amp; EP Sample)'!K10:L10</f>
        <v>0</v>
      </c>
      <c r="L11" s="323"/>
      <c r="M11" s="104"/>
      <c r="N11" s="105"/>
      <c r="O11" s="102" t="s">
        <v>12</v>
      </c>
      <c r="Q11" s="324">
        <f>'DR-TB 10A (Sputum &amp; EP Sample)'!Q10:S10</f>
        <v>0</v>
      </c>
      <c r="R11" s="325"/>
      <c r="S11" s="325"/>
      <c r="T11" s="106"/>
    </row>
    <row r="12" spans="1:21" ht="16.2" thickBot="1" x14ac:dyDescent="0.35">
      <c r="J12" s="104"/>
      <c r="K12" s="107"/>
      <c r="L12" s="107"/>
      <c r="M12" s="104"/>
      <c r="N12" s="105"/>
      <c r="O12" s="102"/>
      <c r="Q12" s="27"/>
      <c r="R12" s="27"/>
      <c r="S12" s="27"/>
      <c r="T12" s="106"/>
    </row>
    <row r="13" spans="1:21" ht="17.399999999999999" thickBot="1" x14ac:dyDescent="0.35">
      <c r="A13" s="329" t="s">
        <v>683</v>
      </c>
      <c r="B13" s="328" t="s">
        <v>684</v>
      </c>
      <c r="C13" s="328"/>
      <c r="D13" s="328" t="s">
        <v>685</v>
      </c>
      <c r="E13" s="328"/>
      <c r="H13" s="331" t="s">
        <v>686</v>
      </c>
      <c r="I13" s="332"/>
      <c r="J13" s="332"/>
      <c r="K13" s="333"/>
      <c r="L13" s="337" t="s">
        <v>687</v>
      </c>
      <c r="M13" s="337"/>
      <c r="N13" s="337"/>
      <c r="O13" s="338" t="s">
        <v>3</v>
      </c>
      <c r="P13" s="339"/>
      <c r="Q13" s="106"/>
    </row>
    <row r="14" spans="1:21" ht="16.2" thickBot="1" x14ac:dyDescent="0.35">
      <c r="A14" s="330"/>
      <c r="B14" s="310"/>
      <c r="C14" s="311"/>
      <c r="D14" s="310"/>
      <c r="E14" s="311"/>
      <c r="H14" s="334"/>
      <c r="I14" s="335"/>
      <c r="J14" s="335"/>
      <c r="K14" s="336"/>
      <c r="L14" s="108"/>
      <c r="M14" s="109"/>
      <c r="N14" s="110"/>
      <c r="O14" s="340">
        <f>L14+M14+N14</f>
        <v>0</v>
      </c>
      <c r="P14" s="341"/>
      <c r="Q14" s="106"/>
    </row>
    <row r="15" spans="1:21" ht="15.6" x14ac:dyDescent="0.3">
      <c r="A15" s="2"/>
      <c r="B15" s="111"/>
      <c r="C15" s="111"/>
      <c r="D15" s="111"/>
      <c r="E15" s="111"/>
      <c r="F15" s="106"/>
      <c r="G15" s="105"/>
      <c r="H15" s="105"/>
      <c r="I15" s="105"/>
      <c r="J15" s="105"/>
      <c r="K15" s="105"/>
      <c r="L15" s="105"/>
      <c r="M15" s="105"/>
      <c r="N15" s="105"/>
      <c r="O15" s="105"/>
      <c r="P15" s="105"/>
      <c r="Q15" s="105"/>
      <c r="R15" s="105"/>
      <c r="S15" s="105"/>
      <c r="T15" s="105"/>
      <c r="U15" s="105"/>
    </row>
    <row r="16" spans="1:21" ht="15.6" x14ac:dyDescent="0.3">
      <c r="A16" s="112"/>
      <c r="B16" s="111"/>
      <c r="C16" s="111"/>
      <c r="D16" s="111"/>
      <c r="E16" s="111"/>
      <c r="F16" s="111"/>
      <c r="G16" s="111"/>
      <c r="H16" s="111"/>
      <c r="I16" s="106"/>
      <c r="J16" s="105"/>
      <c r="K16" s="105"/>
      <c r="L16" s="105"/>
      <c r="M16" s="105"/>
      <c r="N16" s="105"/>
      <c r="O16" s="105"/>
      <c r="P16" s="105"/>
      <c r="Q16" s="105"/>
      <c r="R16" s="105"/>
      <c r="S16" s="105"/>
      <c r="T16" s="105"/>
      <c r="U16" s="113"/>
    </row>
    <row r="17" spans="1:21" ht="15.6" x14ac:dyDescent="0.3">
      <c r="A17" s="315"/>
      <c r="B17" s="315"/>
      <c r="C17" s="315" t="s">
        <v>688</v>
      </c>
      <c r="D17" s="315"/>
      <c r="E17" s="315"/>
      <c r="F17" s="320" t="s">
        <v>689</v>
      </c>
      <c r="G17" s="320"/>
      <c r="H17" s="320"/>
      <c r="I17" s="320"/>
      <c r="J17" s="320"/>
      <c r="K17" s="320"/>
      <c r="L17" s="315" t="s">
        <v>690</v>
      </c>
      <c r="M17" s="315"/>
      <c r="N17" s="315"/>
      <c r="O17" s="315"/>
      <c r="P17" s="315"/>
      <c r="Q17" s="315"/>
      <c r="U17" s="319"/>
    </row>
    <row r="18" spans="1:21" x14ac:dyDescent="0.3">
      <c r="A18" s="315"/>
      <c r="B18" s="315"/>
      <c r="C18" s="314" t="s">
        <v>691</v>
      </c>
      <c r="D18" s="314" t="s">
        <v>692</v>
      </c>
      <c r="E18" s="314" t="s">
        <v>3</v>
      </c>
      <c r="F18" s="320" t="s">
        <v>691</v>
      </c>
      <c r="G18" s="320"/>
      <c r="H18" s="320" t="s">
        <v>692</v>
      </c>
      <c r="I18" s="320"/>
      <c r="J18" s="320" t="s">
        <v>3</v>
      </c>
      <c r="K18" s="320"/>
      <c r="L18" s="315" t="s">
        <v>691</v>
      </c>
      <c r="M18" s="315"/>
      <c r="N18" s="315" t="s">
        <v>692</v>
      </c>
      <c r="O18" s="315"/>
      <c r="P18" s="314" t="s">
        <v>3</v>
      </c>
      <c r="Q18" s="314"/>
      <c r="U18" s="319"/>
    </row>
    <row r="19" spans="1:21" x14ac:dyDescent="0.3">
      <c r="A19" s="315"/>
      <c r="B19" s="315"/>
      <c r="C19" s="314"/>
      <c r="D19" s="314"/>
      <c r="E19" s="314"/>
      <c r="F19" s="320"/>
      <c r="G19" s="320"/>
      <c r="H19" s="320"/>
      <c r="I19" s="320"/>
      <c r="J19" s="320"/>
      <c r="K19" s="320"/>
      <c r="L19" s="315"/>
      <c r="M19" s="315"/>
      <c r="N19" s="315"/>
      <c r="O19" s="315"/>
      <c r="P19" s="314"/>
      <c r="Q19" s="314"/>
      <c r="U19" s="319"/>
    </row>
    <row r="20" spans="1:21" ht="15" customHeight="1" x14ac:dyDescent="0.3">
      <c r="A20" s="315" t="s">
        <v>693</v>
      </c>
      <c r="B20" s="315"/>
      <c r="C20" s="316"/>
      <c r="D20" s="316"/>
      <c r="E20" s="314">
        <f>C20+D20</f>
        <v>0</v>
      </c>
      <c r="F20" s="317"/>
      <c r="G20" s="317"/>
      <c r="H20" s="307"/>
      <c r="I20" s="307"/>
      <c r="J20" s="308">
        <f>F20+H20</f>
        <v>0</v>
      </c>
      <c r="K20" s="308"/>
      <c r="L20" s="314">
        <f>C20+F20</f>
        <v>0</v>
      </c>
      <c r="M20" s="314"/>
      <c r="N20" s="314">
        <f>D20+H20</f>
        <v>0</v>
      </c>
      <c r="O20" s="314"/>
      <c r="P20" s="314">
        <f>L20+N20</f>
        <v>0</v>
      </c>
      <c r="Q20" s="314"/>
      <c r="U20" s="327"/>
    </row>
    <row r="21" spans="1:21" ht="15" customHeight="1" x14ac:dyDescent="0.3">
      <c r="A21" s="315"/>
      <c r="B21" s="315"/>
      <c r="C21" s="316"/>
      <c r="D21" s="316"/>
      <c r="E21" s="314"/>
      <c r="F21" s="317"/>
      <c r="G21" s="317"/>
      <c r="H21" s="307"/>
      <c r="I21" s="307"/>
      <c r="J21" s="308"/>
      <c r="K21" s="308"/>
      <c r="L21" s="314"/>
      <c r="M21" s="314"/>
      <c r="N21" s="314"/>
      <c r="O21" s="314"/>
      <c r="P21" s="314"/>
      <c r="Q21" s="314"/>
      <c r="U21" s="327"/>
    </row>
    <row r="22" spans="1:21" ht="15" customHeight="1" x14ac:dyDescent="0.3">
      <c r="A22" s="315"/>
      <c r="B22" s="315"/>
      <c r="C22" s="316"/>
      <c r="D22" s="316"/>
      <c r="E22" s="314"/>
      <c r="F22" s="317"/>
      <c r="G22" s="317"/>
      <c r="H22" s="307"/>
      <c r="I22" s="307"/>
      <c r="J22" s="308"/>
      <c r="K22" s="308"/>
      <c r="L22" s="314"/>
      <c r="M22" s="314"/>
      <c r="N22" s="314"/>
      <c r="O22" s="314"/>
      <c r="P22" s="314"/>
      <c r="Q22" s="314"/>
      <c r="U22" s="327"/>
    </row>
    <row r="23" spans="1:21" ht="15.6" x14ac:dyDescent="0.3">
      <c r="A23" s="315" t="s">
        <v>694</v>
      </c>
      <c r="B23" s="315"/>
      <c r="C23" s="316"/>
      <c r="D23" s="316"/>
      <c r="E23" s="314">
        <f t="shared" ref="E23" si="0">C23+D23</f>
        <v>0</v>
      </c>
      <c r="F23" s="317"/>
      <c r="G23" s="317"/>
      <c r="H23" s="307"/>
      <c r="I23" s="307"/>
      <c r="J23" s="308">
        <f t="shared" ref="J23" si="1">F23+H23</f>
        <v>0</v>
      </c>
      <c r="K23" s="308"/>
      <c r="L23" s="314">
        <f t="shared" ref="L23" si="2">C23+F23</f>
        <v>0</v>
      </c>
      <c r="M23" s="314"/>
      <c r="N23" s="314">
        <f t="shared" ref="N23" si="3">D23+H23</f>
        <v>0</v>
      </c>
      <c r="O23" s="314"/>
      <c r="P23" s="314">
        <f t="shared" ref="P23" si="4">L23+N23</f>
        <v>0</v>
      </c>
      <c r="Q23" s="314"/>
      <c r="U23" s="33"/>
    </row>
    <row r="24" spans="1:21" ht="15.6" x14ac:dyDescent="0.3">
      <c r="A24" s="315"/>
      <c r="B24" s="315"/>
      <c r="C24" s="316"/>
      <c r="D24" s="316"/>
      <c r="E24" s="314"/>
      <c r="F24" s="317"/>
      <c r="G24" s="317"/>
      <c r="H24" s="307"/>
      <c r="I24" s="307"/>
      <c r="J24" s="308"/>
      <c r="K24" s="308"/>
      <c r="L24" s="314"/>
      <c r="M24" s="314"/>
      <c r="N24" s="314"/>
      <c r="O24" s="314"/>
      <c r="P24" s="314"/>
      <c r="Q24" s="314"/>
      <c r="U24" s="33"/>
    </row>
    <row r="25" spans="1:21" ht="15.6" x14ac:dyDescent="0.3">
      <c r="A25" s="315"/>
      <c r="B25" s="315"/>
      <c r="C25" s="316"/>
      <c r="D25" s="316"/>
      <c r="E25" s="314"/>
      <c r="F25" s="317"/>
      <c r="G25" s="317"/>
      <c r="H25" s="307"/>
      <c r="I25" s="307"/>
      <c r="J25" s="308"/>
      <c r="K25" s="308"/>
      <c r="L25" s="314"/>
      <c r="M25" s="314"/>
      <c r="N25" s="314"/>
      <c r="O25" s="314"/>
      <c r="P25" s="314"/>
      <c r="Q25" s="314"/>
      <c r="U25" s="33"/>
    </row>
    <row r="26" spans="1:21" ht="15.6" x14ac:dyDescent="0.3">
      <c r="A26" s="315" t="s">
        <v>695</v>
      </c>
      <c r="B26" s="315"/>
      <c r="C26" s="316"/>
      <c r="D26" s="316"/>
      <c r="E26" s="314">
        <f t="shared" ref="E26" si="5">C26+D26</f>
        <v>0</v>
      </c>
      <c r="F26" s="317"/>
      <c r="G26" s="317"/>
      <c r="H26" s="307"/>
      <c r="I26" s="307"/>
      <c r="J26" s="308">
        <f t="shared" ref="J26" si="6">F26+H26</f>
        <v>0</v>
      </c>
      <c r="K26" s="308"/>
      <c r="L26" s="314">
        <f t="shared" ref="L26" si="7">C26+F26</f>
        <v>0</v>
      </c>
      <c r="M26" s="314"/>
      <c r="N26" s="314">
        <f t="shared" ref="N26" si="8">D26+H26</f>
        <v>0</v>
      </c>
      <c r="O26" s="314"/>
      <c r="P26" s="314">
        <f t="shared" ref="P26" si="9">L26+N26</f>
        <v>0</v>
      </c>
      <c r="Q26" s="314"/>
      <c r="R26" s="32"/>
      <c r="S26" s="33"/>
      <c r="T26" s="33"/>
      <c r="U26" s="33"/>
    </row>
    <row r="27" spans="1:21" ht="15.6" x14ac:dyDescent="0.3">
      <c r="A27" s="315"/>
      <c r="B27" s="315"/>
      <c r="C27" s="316"/>
      <c r="D27" s="316"/>
      <c r="E27" s="314"/>
      <c r="F27" s="317"/>
      <c r="G27" s="317"/>
      <c r="H27" s="307"/>
      <c r="I27" s="307"/>
      <c r="J27" s="308"/>
      <c r="K27" s="308"/>
      <c r="L27" s="314"/>
      <c r="M27" s="314"/>
      <c r="N27" s="314"/>
      <c r="O27" s="314"/>
      <c r="P27" s="314"/>
      <c r="Q27" s="314"/>
      <c r="R27" s="32"/>
      <c r="S27" s="33"/>
      <c r="T27" s="33"/>
      <c r="U27" s="33"/>
    </row>
    <row r="28" spans="1:21" ht="15.6" x14ac:dyDescent="0.3">
      <c r="A28" s="315"/>
      <c r="B28" s="315"/>
      <c r="C28" s="316"/>
      <c r="D28" s="316"/>
      <c r="E28" s="314"/>
      <c r="F28" s="317"/>
      <c r="G28" s="317"/>
      <c r="H28" s="307"/>
      <c r="I28" s="307"/>
      <c r="J28" s="308"/>
      <c r="K28" s="308"/>
      <c r="L28" s="314"/>
      <c r="M28" s="314"/>
      <c r="N28" s="314"/>
      <c r="O28" s="314"/>
      <c r="P28" s="314"/>
      <c r="Q28" s="314"/>
      <c r="R28" s="32"/>
      <c r="S28" s="33"/>
      <c r="T28" s="33"/>
      <c r="U28" s="33"/>
    </row>
    <row r="29" spans="1:21" ht="15.6" x14ac:dyDescent="0.3">
      <c r="A29" s="32"/>
      <c r="B29" s="32"/>
      <c r="C29" s="32"/>
      <c r="D29" s="32"/>
      <c r="E29" s="23"/>
      <c r="F29" s="33"/>
      <c r="G29" s="33"/>
      <c r="H29" s="23"/>
      <c r="I29" s="23"/>
      <c r="J29" s="33"/>
      <c r="K29" s="33"/>
      <c r="L29" s="23"/>
      <c r="M29" s="23"/>
      <c r="N29" s="23"/>
      <c r="O29" s="23"/>
      <c r="P29" s="23"/>
      <c r="Q29" s="23"/>
      <c r="R29" s="32"/>
      <c r="S29" s="33"/>
      <c r="T29" s="33"/>
      <c r="U29" s="33"/>
    </row>
    <row r="30" spans="1:21" ht="16.8" x14ac:dyDescent="0.3">
      <c r="A30" s="2"/>
      <c r="B30" s="2"/>
      <c r="C30" s="2"/>
      <c r="D30" s="2"/>
      <c r="H30" s="106" t="s">
        <v>696</v>
      </c>
      <c r="I30" s="106"/>
      <c r="J30" s="106"/>
      <c r="K30" s="106"/>
      <c r="L30" s="106"/>
      <c r="M30" s="312"/>
      <c r="N30" s="312"/>
      <c r="O30" s="312"/>
      <c r="P30" s="312"/>
      <c r="Q30" s="312"/>
      <c r="R30" s="312"/>
      <c r="S30" s="312"/>
    </row>
    <row r="31" spans="1:21" ht="16.8" x14ac:dyDescent="0.3">
      <c r="A31" s="114"/>
      <c r="B31" s="114"/>
      <c r="C31" s="114"/>
      <c r="D31" s="114"/>
      <c r="E31" s="26"/>
      <c r="F31" s="26"/>
      <c r="G31" s="25"/>
      <c r="H31" s="106" t="s">
        <v>56</v>
      </c>
      <c r="I31" s="306"/>
      <c r="J31" s="306"/>
      <c r="K31" s="306"/>
      <c r="L31" s="306"/>
      <c r="N31" s="115" t="s">
        <v>57</v>
      </c>
      <c r="O31" s="313"/>
      <c r="P31" s="313"/>
      <c r="Q31" s="313"/>
    </row>
    <row r="32" spans="1:21" ht="16.8" x14ac:dyDescent="0.3">
      <c r="A32" s="25"/>
      <c r="B32" s="23"/>
      <c r="C32" s="23"/>
      <c r="D32" s="23"/>
      <c r="E32" s="25"/>
      <c r="F32" s="25"/>
      <c r="G32" s="26"/>
      <c r="H32" s="106" t="s">
        <v>58</v>
      </c>
      <c r="I32" s="305"/>
      <c r="J32" s="305"/>
      <c r="K32" s="305"/>
      <c r="L32" s="305"/>
      <c r="M32" s="305"/>
    </row>
    <row r="33" spans="1:8" ht="15.6" x14ac:dyDescent="0.3">
      <c r="A33" s="25"/>
      <c r="B33" s="23"/>
      <c r="C33" s="23"/>
      <c r="D33" s="23"/>
      <c r="E33" s="25"/>
      <c r="F33" s="25"/>
      <c r="G33" s="26"/>
      <c r="H33" s="26"/>
    </row>
  </sheetData>
  <mergeCells count="71">
    <mergeCell ref="A13:A14"/>
    <mergeCell ref="L26:M28"/>
    <mergeCell ref="N26:O28"/>
    <mergeCell ref="P26:Q28"/>
    <mergeCell ref="H13:K14"/>
    <mergeCell ref="L13:N13"/>
    <mergeCell ref="O13:P13"/>
    <mergeCell ref="O14:P14"/>
    <mergeCell ref="N18:O19"/>
    <mergeCell ref="J20:K22"/>
    <mergeCell ref="F26:G28"/>
    <mergeCell ref="H26:I28"/>
    <mergeCell ref="A17:B19"/>
    <mergeCell ref="C20:C22"/>
    <mergeCell ref="D20:D22"/>
    <mergeCell ref="F20:G22"/>
    <mergeCell ref="E18:E19"/>
    <mergeCell ref="C9:G9"/>
    <mergeCell ref="B13:C13"/>
    <mergeCell ref="D13:E13"/>
    <mergeCell ref="B14:C14"/>
    <mergeCell ref="U20:U22"/>
    <mergeCell ref="J23:K25"/>
    <mergeCell ref="F18:G19"/>
    <mergeCell ref="H18:I19"/>
    <mergeCell ref="J18:K19"/>
    <mergeCell ref="L18:M19"/>
    <mergeCell ref="P18:Q19"/>
    <mergeCell ref="L20:M22"/>
    <mergeCell ref="L23:M25"/>
    <mergeCell ref="N20:O22"/>
    <mergeCell ref="N23:O25"/>
    <mergeCell ref="P20:Q22"/>
    <mergeCell ref="P23:Q25"/>
    <mergeCell ref="A5:U5"/>
    <mergeCell ref="A2:U2"/>
    <mergeCell ref="A3:R3"/>
    <mergeCell ref="C7:G7"/>
    <mergeCell ref="U17:U19"/>
    <mergeCell ref="F17:K17"/>
    <mergeCell ref="L17:Q17"/>
    <mergeCell ref="N8:S8"/>
    <mergeCell ref="M9:S9"/>
    <mergeCell ref="M10:N10"/>
    <mergeCell ref="K11:L11"/>
    <mergeCell ref="Q11:S11"/>
    <mergeCell ref="C8:G8"/>
    <mergeCell ref="C17:E17"/>
    <mergeCell ref="C18:C19"/>
    <mergeCell ref="D18:D19"/>
    <mergeCell ref="A1:O1"/>
    <mergeCell ref="P1:S1"/>
    <mergeCell ref="D14:E14"/>
    <mergeCell ref="M30:S30"/>
    <mergeCell ref="O31:Q31"/>
    <mergeCell ref="E20:E22"/>
    <mergeCell ref="A20:B22"/>
    <mergeCell ref="C23:C25"/>
    <mergeCell ref="D23:D25"/>
    <mergeCell ref="E23:E25"/>
    <mergeCell ref="F23:G25"/>
    <mergeCell ref="A26:B28"/>
    <mergeCell ref="C26:C28"/>
    <mergeCell ref="D26:D28"/>
    <mergeCell ref="E26:E28"/>
    <mergeCell ref="A23:B25"/>
    <mergeCell ref="I32:M32"/>
    <mergeCell ref="I31:L31"/>
    <mergeCell ref="H23:I25"/>
    <mergeCell ref="J26:K28"/>
    <mergeCell ref="H20:I22"/>
  </mergeCells>
  <pageMargins left="0.7" right="0.7" top="0.75" bottom="0.75" header="0.3" footer="0.3"/>
  <pageSetup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T13"/>
  <sheetViews>
    <sheetView tabSelected="1" topLeftCell="A7" zoomScaleNormal="100" workbookViewId="0">
      <selection activeCell="D12" sqref="D12"/>
    </sheetView>
  </sheetViews>
  <sheetFormatPr defaultColWidth="9.33203125" defaultRowHeight="14.4" x14ac:dyDescent="0.3"/>
  <cols>
    <col min="1" max="1" width="14.44140625" style="101" customWidth="1"/>
    <col min="2" max="2" width="9.6640625" style="101" customWidth="1"/>
    <col min="3" max="3" width="13.44140625" style="101" customWidth="1"/>
    <col min="4" max="7" width="9.33203125" style="101"/>
    <col min="8" max="8" width="11.33203125" style="138" bestFit="1" customWidth="1"/>
    <col min="9" max="9" width="14.33203125" style="101" customWidth="1"/>
    <col min="10" max="10" width="18" style="101" customWidth="1"/>
    <col min="11" max="16" width="9.33203125" style="101"/>
    <col min="17" max="17" width="12.6640625" style="101" bestFit="1" customWidth="1"/>
    <col min="18" max="18" width="11.6640625" style="101" bestFit="1" customWidth="1"/>
    <col min="19" max="23" width="9.33203125" style="101"/>
    <col min="24" max="24" width="11.33203125" style="138" bestFit="1" customWidth="1"/>
    <col min="25" max="30" width="9.33203125" style="101"/>
    <col min="31" max="31" width="10.33203125" style="101" bestFit="1" customWidth="1"/>
    <col min="32" max="32" width="9.33203125" style="101"/>
    <col min="33" max="33" width="10.33203125" style="101" bestFit="1" customWidth="1"/>
    <col min="34" max="64" width="9.33203125" style="101"/>
    <col min="65" max="65" width="19.5546875" style="101" customWidth="1"/>
    <col min="66" max="84" width="9.33203125" style="101"/>
    <col min="85" max="85" width="10.33203125" style="101" customWidth="1"/>
    <col min="86" max="88" width="9.33203125" style="101"/>
    <col min="89" max="89" width="10" style="101" customWidth="1"/>
    <col min="90" max="90" width="9.6640625" style="101" customWidth="1"/>
    <col min="91" max="149" width="9.33203125" style="101"/>
    <col min="150" max="150" width="24.77734375" style="101" customWidth="1"/>
    <col min="151" max="16384" width="9.33203125" style="101"/>
  </cols>
  <sheetData>
    <row r="1" spans="1:150" s="100" customFormat="1" ht="29.25" customHeight="1" x14ac:dyDescent="0.3">
      <c r="A1" s="399" t="s">
        <v>161</v>
      </c>
      <c r="B1" s="399" t="s">
        <v>280</v>
      </c>
      <c r="C1" s="399" t="s">
        <v>806</v>
      </c>
      <c r="D1" s="400"/>
      <c r="E1" s="381" t="s">
        <v>281</v>
      </c>
      <c r="F1" s="381"/>
      <c r="G1" s="381"/>
      <c r="H1" s="380" t="s">
        <v>282</v>
      </c>
      <c r="I1" s="380"/>
      <c r="J1" s="380"/>
      <c r="K1" s="380"/>
      <c r="L1" s="380"/>
      <c r="M1" s="380"/>
      <c r="N1" s="380"/>
      <c r="O1" s="380"/>
      <c r="P1" s="380"/>
      <c r="Q1" s="380"/>
      <c r="R1" s="380"/>
      <c r="S1" s="380"/>
      <c r="T1" s="380"/>
      <c r="U1" s="380"/>
      <c r="V1" s="380"/>
      <c r="W1" s="380"/>
      <c r="X1" s="380"/>
      <c r="Y1" s="380"/>
      <c r="Z1" s="380"/>
      <c r="AA1" s="380"/>
      <c r="AB1" s="380"/>
      <c r="AC1" s="380"/>
      <c r="AD1" s="380"/>
      <c r="AE1" s="380"/>
      <c r="AF1" s="380"/>
      <c r="AG1" s="380" t="s">
        <v>283</v>
      </c>
      <c r="AH1" s="380"/>
      <c r="AI1" s="380"/>
      <c r="AJ1" s="380"/>
      <c r="AK1" s="361" t="s">
        <v>284</v>
      </c>
      <c r="AL1" s="361" t="s">
        <v>285</v>
      </c>
      <c r="AM1" s="361" t="s">
        <v>286</v>
      </c>
      <c r="AN1" s="361" t="s">
        <v>287</v>
      </c>
      <c r="AO1" s="361"/>
      <c r="AP1" s="361"/>
      <c r="AQ1" s="361"/>
      <c r="AR1" s="361" t="s">
        <v>288</v>
      </c>
      <c r="AS1" s="382" t="s">
        <v>289</v>
      </c>
      <c r="AT1" s="383"/>
      <c r="AU1" s="383"/>
      <c r="AV1" s="384"/>
      <c r="AW1" s="369" t="s">
        <v>290</v>
      </c>
      <c r="AX1" s="361" t="s">
        <v>291</v>
      </c>
      <c r="AY1" s="361"/>
      <c r="AZ1" s="361"/>
      <c r="BA1" s="361"/>
      <c r="BB1" s="369" t="s">
        <v>292</v>
      </c>
      <c r="BC1" s="342" t="s">
        <v>820</v>
      </c>
      <c r="BD1" s="388" t="s">
        <v>75</v>
      </c>
      <c r="BE1" s="388"/>
      <c r="BF1" s="388"/>
      <c r="BG1" s="388" t="s">
        <v>67</v>
      </c>
      <c r="BH1" s="388"/>
      <c r="BI1" s="388"/>
      <c r="BJ1" s="388" t="s">
        <v>3</v>
      </c>
      <c r="BK1" s="393" t="str">
        <f>'DR-TB 10A (Sputum &amp; EP Sample)'!J7</f>
        <v>Name of the person completing the report :</v>
      </c>
      <c r="BL1" s="393" t="str">
        <f>'DR-TB 10A (Sputum &amp; EP Sample)'!J8</f>
        <v>Designation and organization :</v>
      </c>
      <c r="BM1" s="393" t="str">
        <f>'DR-TB 10A (Sputum &amp; EP Sample)'!O10</f>
        <v>Cell Number :</v>
      </c>
      <c r="BN1" s="394" t="str">
        <f>'COVID19 Reporting Form'!B13</f>
        <v>Cartridges Received</v>
      </c>
      <c r="BO1" s="394" t="str">
        <f>'COVID19 Reporting Form'!D13</f>
        <v>Cartridges in Hand</v>
      </c>
      <c r="BP1" s="394" t="str">
        <f>'COVID19 Reporting Form'!C17</f>
        <v>Type of test : New</v>
      </c>
      <c r="BQ1" s="394"/>
      <c r="BR1" s="394"/>
      <c r="BS1" s="394"/>
      <c r="BT1" s="394"/>
      <c r="BU1" s="394"/>
      <c r="BV1" s="394" t="str">
        <f>'COVID19 Reporting Form'!F17</f>
        <v xml:space="preserve">Type of Test : Follow up </v>
      </c>
      <c r="BW1" s="394"/>
      <c r="BX1" s="394"/>
      <c r="BY1" s="394"/>
      <c r="BZ1" s="394"/>
      <c r="CA1" s="394"/>
      <c r="CB1" s="394" t="s">
        <v>686</v>
      </c>
      <c r="CC1" s="394"/>
      <c r="CD1" s="394"/>
      <c r="CE1" s="344" t="str">
        <f>'DR-TB 10A (Sputum &amp; EP Sample)'!J12</f>
        <v>For Xpert</v>
      </c>
      <c r="CF1" s="391"/>
      <c r="CG1" s="392"/>
      <c r="CH1" s="344" t="str">
        <f>'DR-TB 10A (Sputum &amp; EP Sample)'!N12</f>
        <v>For Truenat</v>
      </c>
      <c r="CI1" s="391"/>
      <c r="CJ1" s="391"/>
      <c r="CK1" s="391"/>
      <c r="CL1" s="391"/>
      <c r="CM1" s="391"/>
      <c r="CN1" s="391"/>
      <c r="CO1" s="391"/>
      <c r="CP1" s="392"/>
      <c r="CQ1" s="344" t="str">
        <f>'DR-TB 10A (Sputum &amp; EP Sample)'!G38</f>
        <v>Number of Xpert XDR Assay</v>
      </c>
      <c r="CR1" s="345"/>
      <c r="CS1" s="381" t="s">
        <v>281</v>
      </c>
      <c r="CT1" s="381"/>
      <c r="CU1" s="381"/>
      <c r="CV1" s="380" t="s">
        <v>282</v>
      </c>
      <c r="CW1" s="380"/>
      <c r="CX1" s="380"/>
      <c r="CY1" s="380"/>
      <c r="CZ1" s="380"/>
      <c r="DA1" s="380"/>
      <c r="DB1" s="380"/>
      <c r="DC1" s="380"/>
      <c r="DD1" s="380"/>
      <c r="DE1" s="380"/>
      <c r="DF1" s="380"/>
      <c r="DG1" s="380"/>
      <c r="DH1" s="380"/>
      <c r="DI1" s="380"/>
      <c r="DJ1" s="380"/>
      <c r="DK1" s="380"/>
      <c r="DL1" s="380"/>
      <c r="DM1" s="380"/>
      <c r="DN1" s="380"/>
      <c r="DO1" s="380"/>
      <c r="DP1" s="380"/>
      <c r="DQ1" s="380"/>
      <c r="DR1" s="380"/>
      <c r="DS1" s="380"/>
      <c r="DT1" s="380"/>
      <c r="DU1" s="380" t="s">
        <v>283</v>
      </c>
      <c r="DV1" s="380"/>
      <c r="DW1" s="380"/>
      <c r="DX1" s="380"/>
      <c r="DY1" s="361" t="s">
        <v>284</v>
      </c>
      <c r="DZ1" s="361" t="s">
        <v>285</v>
      </c>
      <c r="EA1" s="361" t="s">
        <v>286</v>
      </c>
      <c r="EB1" s="361" t="s">
        <v>287</v>
      </c>
      <c r="EC1" s="361"/>
      <c r="ED1" s="361"/>
      <c r="EE1" s="361"/>
      <c r="EF1" s="361" t="s">
        <v>288</v>
      </c>
      <c r="EG1" s="382" t="s">
        <v>289</v>
      </c>
      <c r="EH1" s="383"/>
      <c r="EI1" s="383"/>
      <c r="EJ1" s="384"/>
      <c r="EK1" s="369" t="s">
        <v>290</v>
      </c>
      <c r="EL1" s="361" t="s">
        <v>291</v>
      </c>
      <c r="EM1" s="361"/>
      <c r="EN1" s="361"/>
      <c r="EO1" s="361"/>
      <c r="EP1" s="369" t="s">
        <v>292</v>
      </c>
      <c r="EQ1" s="351" t="s">
        <v>876</v>
      </c>
      <c r="ER1" s="352"/>
      <c r="ES1" s="353"/>
      <c r="ET1" s="157" t="s">
        <v>882</v>
      </c>
    </row>
    <row r="2" spans="1:150" s="100" customFormat="1" ht="33.75" customHeight="1" x14ac:dyDescent="0.3">
      <c r="A2" s="399"/>
      <c r="B2" s="399"/>
      <c r="C2" s="399"/>
      <c r="D2" s="401"/>
      <c r="E2" s="372" t="s">
        <v>43</v>
      </c>
      <c r="F2" s="374" t="s">
        <v>44</v>
      </c>
      <c r="G2" s="375" t="s">
        <v>304</v>
      </c>
      <c r="H2" s="376" t="s">
        <v>18</v>
      </c>
      <c r="I2" s="377" t="s">
        <v>19</v>
      </c>
      <c r="J2" s="377" t="s">
        <v>20</v>
      </c>
      <c r="K2" s="377" t="s">
        <v>22</v>
      </c>
      <c r="L2" s="377" t="s">
        <v>24</v>
      </c>
      <c r="M2" s="377" t="s">
        <v>26</v>
      </c>
      <c r="N2" s="377" t="s">
        <v>28</v>
      </c>
      <c r="O2" s="377" t="s">
        <v>30</v>
      </c>
      <c r="P2" s="377" t="s">
        <v>32</v>
      </c>
      <c r="Q2" s="377"/>
      <c r="R2" s="377"/>
      <c r="S2" s="377" t="s">
        <v>34</v>
      </c>
      <c r="T2" s="377"/>
      <c r="U2" s="377"/>
      <c r="V2" s="377" t="s">
        <v>293</v>
      </c>
      <c r="W2" s="377"/>
      <c r="X2" s="377"/>
      <c r="Y2" s="377" t="s">
        <v>294</v>
      </c>
      <c r="Z2" s="377"/>
      <c r="AA2" s="377"/>
      <c r="AB2" s="377" t="s">
        <v>295</v>
      </c>
      <c r="AC2" s="377"/>
      <c r="AD2" s="377"/>
      <c r="AE2" s="378" t="s">
        <v>296</v>
      </c>
      <c r="AF2" s="380" t="s">
        <v>3</v>
      </c>
      <c r="AG2" s="377" t="s">
        <v>43</v>
      </c>
      <c r="AH2" s="377" t="s">
        <v>44</v>
      </c>
      <c r="AI2" s="377" t="s">
        <v>297</v>
      </c>
      <c r="AJ2" s="380" t="s">
        <v>3</v>
      </c>
      <c r="AK2" s="361"/>
      <c r="AL2" s="361"/>
      <c r="AM2" s="361"/>
      <c r="AN2" s="361" t="s">
        <v>298</v>
      </c>
      <c r="AO2" s="361" t="s">
        <v>299</v>
      </c>
      <c r="AP2" s="361" t="s">
        <v>300</v>
      </c>
      <c r="AQ2" s="362" t="s">
        <v>838</v>
      </c>
      <c r="AR2" s="361"/>
      <c r="AS2" s="361" t="s">
        <v>298</v>
      </c>
      <c r="AT2" s="361" t="s">
        <v>299</v>
      </c>
      <c r="AU2" s="361" t="s">
        <v>300</v>
      </c>
      <c r="AV2" s="362" t="s">
        <v>838</v>
      </c>
      <c r="AW2" s="370"/>
      <c r="AX2" s="360" t="s">
        <v>298</v>
      </c>
      <c r="AY2" s="360" t="s">
        <v>299</v>
      </c>
      <c r="AZ2" s="360" t="s">
        <v>300</v>
      </c>
      <c r="BA2" s="362" t="s">
        <v>838</v>
      </c>
      <c r="BB2" s="370"/>
      <c r="BC2" s="389"/>
      <c r="BD2" s="388"/>
      <c r="BE2" s="388"/>
      <c r="BF2" s="388"/>
      <c r="BG2" s="388"/>
      <c r="BH2" s="388"/>
      <c r="BI2" s="388"/>
      <c r="BJ2" s="388"/>
      <c r="BK2" s="393"/>
      <c r="BL2" s="393"/>
      <c r="BM2" s="393"/>
      <c r="BN2" s="394"/>
      <c r="BO2" s="394"/>
      <c r="BP2" s="394" t="str">
        <f>'COVID19 Reporting Form'!A20</f>
        <v>Number Of COVID19 Test</v>
      </c>
      <c r="BQ2" s="394"/>
      <c r="BR2" s="394" t="str">
        <f>'COVID19 Reporting Form'!A23</f>
        <v>Number of COVID 19 Positive Detected</v>
      </c>
      <c r="BS2" s="394"/>
      <c r="BT2" s="394" t="str">
        <f>'COVID19 Reporting Form'!A26</f>
        <v>Number of COVID 19 Negative Detected</v>
      </c>
      <c r="BU2" s="394"/>
      <c r="BV2" s="394" t="str">
        <f>'COVID19 Reporting Form'!A20</f>
        <v>Number Of COVID19 Test</v>
      </c>
      <c r="BW2" s="394"/>
      <c r="BX2" s="394" t="str">
        <f>'COVID19 Reporting Form'!A23</f>
        <v>Number of COVID 19 Positive Detected</v>
      </c>
      <c r="BY2" s="394"/>
      <c r="BZ2" s="394" t="str">
        <f>'COVID19 Reporting Form'!A26</f>
        <v>Number of COVID 19 Negative Detected</v>
      </c>
      <c r="CA2" s="394"/>
      <c r="CB2" s="394"/>
      <c r="CC2" s="394"/>
      <c r="CD2" s="394"/>
      <c r="CE2" s="342" t="str">
        <f>'DR-TB 10A (Sputum &amp; EP Sample)'!J13</f>
        <v>Number of Gene Xpert Machine:</v>
      </c>
      <c r="CF2" s="342" t="str">
        <f>'DR-TB 10A (Sputum &amp; EP Sample)'!J14</f>
        <v>Total Number Of Module:</v>
      </c>
      <c r="CG2" s="342" t="str">
        <f>'DR-TB 10A (Sputum &amp; EP Sample)'!J15</f>
        <v>Number of Module Functional:</v>
      </c>
      <c r="CH2" s="342" t="str">
        <f>'DR-TB 10A (Sputum &amp; EP Sample)'!N13</f>
        <v>No. of TruePrep Device</v>
      </c>
      <c r="CI2" s="342" t="str">
        <f>'DR-TB 10A (Sputum &amp; EP Sample)'!N14</f>
        <v>No.of TrueLab Device</v>
      </c>
      <c r="CJ2" s="342" t="str">
        <f>'DR-TB 10A (Sputum &amp; EP Sample)'!N15</f>
        <v>Total No. of Chip Ports</v>
      </c>
      <c r="CK2" s="342" t="str">
        <f>'DR-TB 10A (Sputum &amp; EP Sample)'!R13</f>
        <v>Functional TruePrep Device</v>
      </c>
      <c r="CL2" s="342" t="str">
        <f>'DR-TB 10A (Sputum &amp; EP Sample)'!R14</f>
        <v>Functional TrueLab Device</v>
      </c>
      <c r="CM2" s="342" t="str">
        <f>'DR-TB 10A (Sputum &amp; EP Sample)'!R15</f>
        <v>Total functional Chip Ports</v>
      </c>
      <c r="CN2" s="342" t="str">
        <f>'DR-TB 10A (Sputum &amp; EP Sample)'!R17</f>
        <v>No. of Truenat Cartriage Used</v>
      </c>
      <c r="CO2" s="342" t="str">
        <f>'DR-TB 10A (Sputum &amp; EP Sample)'!R18</f>
        <v>No. of Truenat MTB Chip Used</v>
      </c>
      <c r="CP2" s="342" t="str">
        <f>'DR-TB 10A (Sputum &amp; EP Sample)'!R19</f>
        <v>No. of Truenat RIF Dx Chip Used</v>
      </c>
      <c r="CQ2" s="342" t="str">
        <f>'DR-TB 10A (Sputum &amp; EP Sample)'!G40</f>
        <v>Eligible for XDR Testing</v>
      </c>
      <c r="CR2" s="342" t="str">
        <f>'DR-TB 10A (Sputum &amp; EP Sample)'!G42</f>
        <v>Tested from Eligible</v>
      </c>
      <c r="CS2" s="372" t="s">
        <v>43</v>
      </c>
      <c r="CT2" s="374" t="s">
        <v>44</v>
      </c>
      <c r="CU2" s="375" t="s">
        <v>304</v>
      </c>
      <c r="CV2" s="376" t="s">
        <v>18</v>
      </c>
      <c r="CW2" s="377" t="s">
        <v>19</v>
      </c>
      <c r="CX2" s="377" t="s">
        <v>20</v>
      </c>
      <c r="CY2" s="377" t="s">
        <v>22</v>
      </c>
      <c r="CZ2" s="377" t="s">
        <v>24</v>
      </c>
      <c r="DA2" s="377" t="s">
        <v>26</v>
      </c>
      <c r="DB2" s="377" t="s">
        <v>28</v>
      </c>
      <c r="DC2" s="377" t="s">
        <v>30</v>
      </c>
      <c r="DD2" s="377" t="s">
        <v>32</v>
      </c>
      <c r="DE2" s="377"/>
      <c r="DF2" s="377"/>
      <c r="DG2" s="377" t="s">
        <v>34</v>
      </c>
      <c r="DH2" s="377"/>
      <c r="DI2" s="377"/>
      <c r="DJ2" s="377" t="s">
        <v>293</v>
      </c>
      <c r="DK2" s="377"/>
      <c r="DL2" s="377"/>
      <c r="DM2" s="377" t="s">
        <v>294</v>
      </c>
      <c r="DN2" s="377"/>
      <c r="DO2" s="377"/>
      <c r="DP2" s="377" t="s">
        <v>295</v>
      </c>
      <c r="DQ2" s="377"/>
      <c r="DR2" s="377"/>
      <c r="DS2" s="378" t="s">
        <v>296</v>
      </c>
      <c r="DT2" s="380" t="s">
        <v>3</v>
      </c>
      <c r="DU2" s="377" t="s">
        <v>43</v>
      </c>
      <c r="DV2" s="377" t="s">
        <v>44</v>
      </c>
      <c r="DW2" s="377" t="s">
        <v>297</v>
      </c>
      <c r="DX2" s="380" t="s">
        <v>3</v>
      </c>
      <c r="DY2" s="361"/>
      <c r="DZ2" s="361"/>
      <c r="EA2" s="361"/>
      <c r="EB2" s="361" t="s">
        <v>298</v>
      </c>
      <c r="EC2" s="361" t="s">
        <v>299</v>
      </c>
      <c r="ED2" s="361" t="s">
        <v>300</v>
      </c>
      <c r="EE2" s="362" t="s">
        <v>838</v>
      </c>
      <c r="EF2" s="361"/>
      <c r="EG2" s="361" t="s">
        <v>298</v>
      </c>
      <c r="EH2" s="361" t="s">
        <v>299</v>
      </c>
      <c r="EI2" s="361" t="s">
        <v>300</v>
      </c>
      <c r="EJ2" s="362" t="s">
        <v>838</v>
      </c>
      <c r="EK2" s="370"/>
      <c r="EL2" s="360" t="s">
        <v>298</v>
      </c>
      <c r="EM2" s="360" t="s">
        <v>299</v>
      </c>
      <c r="EN2" s="360" t="s">
        <v>300</v>
      </c>
      <c r="EO2" s="362" t="s">
        <v>838</v>
      </c>
      <c r="EP2" s="370"/>
      <c r="EQ2" s="354" t="s">
        <v>821</v>
      </c>
      <c r="ER2" s="354" t="s">
        <v>877</v>
      </c>
      <c r="ES2" s="354" t="s">
        <v>878</v>
      </c>
      <c r="ET2" s="348" t="s">
        <v>878</v>
      </c>
    </row>
    <row r="3" spans="1:150" s="100" customFormat="1" ht="75.75" customHeight="1" x14ac:dyDescent="0.3">
      <c r="A3" s="399"/>
      <c r="B3" s="399"/>
      <c r="C3" s="399"/>
      <c r="D3" s="402"/>
      <c r="E3" s="373"/>
      <c r="F3" s="374"/>
      <c r="G3" s="375"/>
      <c r="H3" s="376"/>
      <c r="I3" s="377"/>
      <c r="J3" s="377"/>
      <c r="K3" s="377"/>
      <c r="L3" s="377"/>
      <c r="M3" s="377"/>
      <c r="N3" s="377"/>
      <c r="O3" s="377"/>
      <c r="P3" s="116" t="s">
        <v>301</v>
      </c>
      <c r="Q3" s="116" t="s">
        <v>44</v>
      </c>
      <c r="R3" s="116" t="s">
        <v>302</v>
      </c>
      <c r="S3" s="116" t="s">
        <v>301</v>
      </c>
      <c r="T3" s="116" t="s">
        <v>44</v>
      </c>
      <c r="U3" s="116" t="s">
        <v>302</v>
      </c>
      <c r="V3" s="116" t="s">
        <v>301</v>
      </c>
      <c r="W3" s="116" t="s">
        <v>44</v>
      </c>
      <c r="X3" s="139" t="s">
        <v>302</v>
      </c>
      <c r="Y3" s="116" t="s">
        <v>301</v>
      </c>
      <c r="Z3" s="116" t="s">
        <v>44</v>
      </c>
      <c r="AA3" s="116" t="s">
        <v>302</v>
      </c>
      <c r="AB3" s="116" t="s">
        <v>301</v>
      </c>
      <c r="AC3" s="116" t="s">
        <v>44</v>
      </c>
      <c r="AD3" s="116" t="s">
        <v>302</v>
      </c>
      <c r="AE3" s="379"/>
      <c r="AF3" s="380"/>
      <c r="AG3" s="377"/>
      <c r="AH3" s="377"/>
      <c r="AI3" s="377"/>
      <c r="AJ3" s="380"/>
      <c r="AK3" s="361"/>
      <c r="AL3" s="361"/>
      <c r="AM3" s="361"/>
      <c r="AN3" s="361"/>
      <c r="AO3" s="361"/>
      <c r="AP3" s="361"/>
      <c r="AQ3" s="362"/>
      <c r="AR3" s="361"/>
      <c r="AS3" s="361"/>
      <c r="AT3" s="361"/>
      <c r="AU3" s="361"/>
      <c r="AV3" s="362"/>
      <c r="AW3" s="371"/>
      <c r="AX3" s="361"/>
      <c r="AY3" s="361"/>
      <c r="AZ3" s="361"/>
      <c r="BA3" s="362"/>
      <c r="BB3" s="371"/>
      <c r="BC3" s="390"/>
      <c r="BD3" s="133" t="s">
        <v>817</v>
      </c>
      <c r="BE3" s="133" t="s">
        <v>839</v>
      </c>
      <c r="BF3" s="133" t="s">
        <v>819</v>
      </c>
      <c r="BG3" s="133" t="s">
        <v>817</v>
      </c>
      <c r="BH3" s="133" t="s">
        <v>839</v>
      </c>
      <c r="BI3" s="133" t="s">
        <v>819</v>
      </c>
      <c r="BJ3" s="388"/>
      <c r="BK3" s="393"/>
      <c r="BL3" s="393"/>
      <c r="BM3" s="393"/>
      <c r="BN3" s="394"/>
      <c r="BO3" s="394"/>
      <c r="BP3" s="117" t="str">
        <f>'COVID19 Reporting Form'!C18</f>
        <v>Male</v>
      </c>
      <c r="BQ3" s="117" t="str">
        <f>'COVID19 Reporting Form'!D18</f>
        <v>Female</v>
      </c>
      <c r="BR3" s="117" t="str">
        <f>'COVID19 Reporting Form'!C18</f>
        <v>Male</v>
      </c>
      <c r="BS3" s="117" t="str">
        <f>'COVID19 Reporting Form'!D18</f>
        <v>Female</v>
      </c>
      <c r="BT3" s="117" t="str">
        <f>'COVID19 Reporting Form'!C18</f>
        <v>Male</v>
      </c>
      <c r="BU3" s="117" t="str">
        <f>'COVID19 Reporting Form'!D18</f>
        <v>Female</v>
      </c>
      <c r="BV3" s="117" t="s">
        <v>691</v>
      </c>
      <c r="BW3" s="117" t="s">
        <v>692</v>
      </c>
      <c r="BX3" s="117" t="s">
        <v>691</v>
      </c>
      <c r="BY3" s="117" t="s">
        <v>692</v>
      </c>
      <c r="BZ3" s="117" t="s">
        <v>691</v>
      </c>
      <c r="CA3" s="117" t="s">
        <v>692</v>
      </c>
      <c r="CB3" s="394"/>
      <c r="CC3" s="394"/>
      <c r="CD3" s="394"/>
      <c r="CE3" s="390"/>
      <c r="CF3" s="390"/>
      <c r="CG3" s="390"/>
      <c r="CH3" s="390"/>
      <c r="CI3" s="390"/>
      <c r="CJ3" s="390"/>
      <c r="CK3" s="390"/>
      <c r="CL3" s="390"/>
      <c r="CM3" s="390"/>
      <c r="CN3" s="390"/>
      <c r="CO3" s="390"/>
      <c r="CP3" s="390"/>
      <c r="CQ3" s="343"/>
      <c r="CR3" s="343"/>
      <c r="CS3" s="373"/>
      <c r="CT3" s="374"/>
      <c r="CU3" s="375"/>
      <c r="CV3" s="376"/>
      <c r="CW3" s="377"/>
      <c r="CX3" s="377"/>
      <c r="CY3" s="377"/>
      <c r="CZ3" s="377"/>
      <c r="DA3" s="377"/>
      <c r="DB3" s="377"/>
      <c r="DC3" s="377"/>
      <c r="DD3" s="116" t="s">
        <v>301</v>
      </c>
      <c r="DE3" s="116" t="s">
        <v>44</v>
      </c>
      <c r="DF3" s="116" t="s">
        <v>302</v>
      </c>
      <c r="DG3" s="116" t="s">
        <v>301</v>
      </c>
      <c r="DH3" s="116" t="s">
        <v>44</v>
      </c>
      <c r="DI3" s="116" t="s">
        <v>302</v>
      </c>
      <c r="DJ3" s="116" t="s">
        <v>301</v>
      </c>
      <c r="DK3" s="116" t="s">
        <v>44</v>
      </c>
      <c r="DL3" s="139" t="s">
        <v>302</v>
      </c>
      <c r="DM3" s="116" t="s">
        <v>301</v>
      </c>
      <c r="DN3" s="116" t="s">
        <v>44</v>
      </c>
      <c r="DO3" s="116" t="s">
        <v>302</v>
      </c>
      <c r="DP3" s="116" t="s">
        <v>301</v>
      </c>
      <c r="DQ3" s="116" t="s">
        <v>44</v>
      </c>
      <c r="DR3" s="116" t="s">
        <v>302</v>
      </c>
      <c r="DS3" s="379"/>
      <c r="DT3" s="380"/>
      <c r="DU3" s="377"/>
      <c r="DV3" s="377"/>
      <c r="DW3" s="377"/>
      <c r="DX3" s="380"/>
      <c r="DY3" s="361"/>
      <c r="DZ3" s="361"/>
      <c r="EA3" s="361"/>
      <c r="EB3" s="361"/>
      <c r="EC3" s="361"/>
      <c r="ED3" s="361"/>
      <c r="EE3" s="362"/>
      <c r="EF3" s="361"/>
      <c r="EG3" s="361"/>
      <c r="EH3" s="361"/>
      <c r="EI3" s="361"/>
      <c r="EJ3" s="362"/>
      <c r="EK3" s="371"/>
      <c r="EL3" s="361"/>
      <c r="EM3" s="361"/>
      <c r="EN3" s="361"/>
      <c r="EO3" s="362"/>
      <c r="EP3" s="371"/>
      <c r="EQ3" s="355"/>
      <c r="ER3" s="355"/>
      <c r="ES3" s="355"/>
      <c r="ET3" s="349"/>
    </row>
    <row r="4" spans="1:150" s="100" customFormat="1" ht="27.75" customHeight="1" x14ac:dyDescent="0.3">
      <c r="A4" s="395">
        <f>'DR-TB 10A (Sputum &amp; EP Sample)'!$C6</f>
        <v>0</v>
      </c>
      <c r="B4" s="395">
        <f>'DR-TB 10A (Sputum &amp; EP Sample)'!$C7</f>
        <v>0</v>
      </c>
      <c r="C4" s="395">
        <f>'DR-TB 10A (Sputum &amp; EP Sample)'!$C8</f>
        <v>0</v>
      </c>
      <c r="D4" s="118" t="s">
        <v>303</v>
      </c>
      <c r="E4" s="119">
        <f>'DR-TB 10A (Sputum &amp; EP Sample)'!$B27</f>
        <v>0</v>
      </c>
      <c r="F4" s="119">
        <f>'DR-TB 10A (Sputum &amp; EP Sample)'!$C27</f>
        <v>0</v>
      </c>
      <c r="G4" s="119">
        <f>'DR-TB 10A (Sputum &amp; EP Sample)'!$D27</f>
        <v>0</v>
      </c>
      <c r="H4" s="119">
        <f>'DR-TB 10A (Sputum &amp; EP Sample)'!$E27</f>
        <v>0</v>
      </c>
      <c r="I4" s="119">
        <f>'DR-TB 10A (Sputum &amp; EP Sample)'!$F27</f>
        <v>0</v>
      </c>
      <c r="J4" s="119">
        <f>'DR-TB 10A (Sputum &amp; EP Sample)'!$G27</f>
        <v>0</v>
      </c>
      <c r="K4" s="119">
        <f>'DR-TB 10A (Sputum &amp; EP Sample)'!$H27</f>
        <v>0</v>
      </c>
      <c r="L4" s="119">
        <f>'DR-TB 10A (Sputum &amp; EP Sample)'!$I27</f>
        <v>0</v>
      </c>
      <c r="M4" s="119">
        <f>'DR-TB 10A (Sputum &amp; EP Sample)'!$J27</f>
        <v>0</v>
      </c>
      <c r="N4" s="119">
        <f>'DR-TB 10A (Sputum &amp; EP Sample)'!$K27</f>
        <v>0</v>
      </c>
      <c r="O4" s="119">
        <f>'DR-TB 10A (Sputum &amp; EP Sample)'!$L27</f>
        <v>0</v>
      </c>
      <c r="P4" s="120">
        <f>'DR-TB 10A (Sputum &amp; EP Sample)'!$O27</f>
        <v>0</v>
      </c>
      <c r="Q4" s="120">
        <f>'DR-TB 10A (Sputum &amp; EP Sample)'!$O28</f>
        <v>0</v>
      </c>
      <c r="R4" s="120">
        <f>'DR-TB 10A (Sputum &amp; EP Sample)'!$O29</f>
        <v>0</v>
      </c>
      <c r="S4" s="120">
        <f>'DR-TB 10A (Sputum &amp; EP Sample)'!$R27</f>
        <v>0</v>
      </c>
      <c r="T4" s="120">
        <f>'DR-TB 10A (Sputum &amp; EP Sample)'!$R28</f>
        <v>0</v>
      </c>
      <c r="U4" s="120">
        <f>'DR-TB 10A (Sputum &amp; EP Sample)'!$R29</f>
        <v>0</v>
      </c>
      <c r="V4" s="120">
        <f>'DR-TB 10A (Sputum &amp; EP Sample)'!$M41</f>
        <v>0</v>
      </c>
      <c r="W4" s="120">
        <f>'DR-TB 10A (Sputum &amp; EP Sample)'!$N41</f>
        <v>0</v>
      </c>
      <c r="X4" s="120">
        <f>'DR-TB 10A (Sputum &amp; EP Sample)'!$O41</f>
        <v>0</v>
      </c>
      <c r="Y4" s="120">
        <f>'DR-TB 10A (Sputum &amp; EP Sample)'!$M42</f>
        <v>0</v>
      </c>
      <c r="Z4" s="120">
        <f>'DR-TB 10A (Sputum &amp; EP Sample)'!$N42</f>
        <v>0</v>
      </c>
      <c r="AA4" s="120">
        <f>'DR-TB 10A (Sputum &amp; EP Sample)'!$O42</f>
        <v>0</v>
      </c>
      <c r="AB4" s="120">
        <f>'DR-TB 10A (Sputum &amp; EP Sample)'!$M43</f>
        <v>0</v>
      </c>
      <c r="AC4" s="120">
        <f>'DR-TB 10A (Sputum &amp; EP Sample)'!$N43</f>
        <v>0</v>
      </c>
      <c r="AD4" s="121"/>
      <c r="AE4" s="122">
        <f>'DR-TB 10A (Sputum &amp; EP Sample)'!$S27</f>
        <v>0</v>
      </c>
      <c r="AF4" s="122">
        <f>'DR-TB 10A (Sputum &amp; EP Sample)'!$U27</f>
        <v>0</v>
      </c>
      <c r="AG4" s="122">
        <f>'DR-TB 10A (Sputum &amp; EP Sample)'!$B40</f>
        <v>0</v>
      </c>
      <c r="AH4" s="122">
        <f>'DR-TB 10A (Sputum &amp; EP Sample)'!$C40</f>
        <v>0</v>
      </c>
      <c r="AI4" s="122">
        <f>'DR-TB 10A (Sputum &amp; EP Sample)'!$D40</f>
        <v>0</v>
      </c>
      <c r="AJ4" s="122">
        <f>'DR-TB 10A (Sputum &amp; EP Sample)'!$E40</f>
        <v>0</v>
      </c>
      <c r="AK4" s="363">
        <f>'DR-TB 10A (Sputum &amp; EP Sample)'!$H12</f>
        <v>0</v>
      </c>
      <c r="AL4" s="363">
        <f>'DR-TB 10A (Sputum &amp; EP Sample)'!$H13</f>
        <v>0</v>
      </c>
      <c r="AM4" s="363">
        <f>'DR-TB 10A (Sputum &amp; EP Sample)'!$H14</f>
        <v>0</v>
      </c>
      <c r="AN4" s="356">
        <f>'DR-TB 10A (Sputum &amp; EP Sample)'!$D17</f>
        <v>0</v>
      </c>
      <c r="AO4" s="356">
        <f>'DR-TB 10A (Sputum &amp; EP Sample)'!$D18</f>
        <v>0</v>
      </c>
      <c r="AP4" s="366">
        <f>'DR-TB 10A (Sputum &amp; EP Sample)'!$D19</f>
        <v>0</v>
      </c>
      <c r="AQ4" s="366">
        <f>'DR-TB 10A (Sputum &amp; EP Sample)'!$D20</f>
        <v>0</v>
      </c>
      <c r="AR4" s="356">
        <f>'DR-TB 10A (Sputum &amp; EP Sample)'!$D21</f>
        <v>0</v>
      </c>
      <c r="AS4" s="356">
        <f>'DR-TB 10A (Sputum &amp; EP Sample)'!$E17</f>
        <v>0</v>
      </c>
      <c r="AT4" s="356">
        <f>'DR-TB 10A (Sputum &amp; EP Sample)'!$E18</f>
        <v>0</v>
      </c>
      <c r="AU4" s="366">
        <f>'DR-TB 10A (Sputum &amp; EP Sample)'!$E19</f>
        <v>0</v>
      </c>
      <c r="AV4" s="366">
        <f>'DR-TB 10A (Sputum &amp; EP Sample)'!$E20</f>
        <v>0</v>
      </c>
      <c r="AW4" s="356">
        <f>'DR-TB 10A (Sputum &amp; EP Sample)'!$E21</f>
        <v>0</v>
      </c>
      <c r="AX4" s="356">
        <f>'DR-TB 10A (Sputum &amp; EP Sample)'!$F17</f>
        <v>0</v>
      </c>
      <c r="AY4" s="356">
        <f>'DR-TB 10A (Sputum &amp; EP Sample)'!$F18</f>
        <v>0</v>
      </c>
      <c r="AZ4" s="366">
        <f>'DR-TB 10A (Sputum &amp; EP Sample)'!$F19</f>
        <v>0</v>
      </c>
      <c r="BA4" s="366">
        <f>'DR-TB 10A (Sputum &amp; EP Sample)'!$F20</f>
        <v>0</v>
      </c>
      <c r="BB4" s="356">
        <f>'DR-TB 10A (Sputum &amp; EP Sample)'!$F21</f>
        <v>0</v>
      </c>
      <c r="BC4" s="131" t="s">
        <v>815</v>
      </c>
      <c r="BD4" s="85">
        <f>'DR-TB 10A (Sputum &amp; EP Sample)'!J19</f>
        <v>0</v>
      </c>
      <c r="BE4" s="85">
        <f>'DR-TB 10A (Sputum &amp; EP Sample)'!K19</f>
        <v>0</v>
      </c>
      <c r="BF4" s="85">
        <f>'DR-TB 10A (Sputum &amp; EP Sample)'!L19</f>
        <v>0</v>
      </c>
      <c r="BG4" s="85">
        <f>'DR-TB 10A (Sputum &amp; EP Sample)'!M19</f>
        <v>0</v>
      </c>
      <c r="BH4" s="85">
        <f>'DR-TB 10A (Sputum &amp; EP Sample)'!N19</f>
        <v>0</v>
      </c>
      <c r="BI4" s="85">
        <f>'DR-TB 10A (Sputum &amp; EP Sample)'!O19</f>
        <v>0</v>
      </c>
      <c r="BJ4" s="85">
        <f>'DR-TB 10A (Sputum &amp; EP Sample)'!P19</f>
        <v>0</v>
      </c>
      <c r="BK4" s="385">
        <f>'DR-TB 10A (Sputum &amp; EP Sample)'!N7</f>
        <v>0</v>
      </c>
      <c r="BL4" s="385">
        <f>'DR-TB 10A (Sputum &amp; EP Sample)'!M8</f>
        <v>0</v>
      </c>
      <c r="BM4" s="398">
        <f>'DR-TB 10A (Sputum &amp; EP Sample)'!Q10</f>
        <v>0</v>
      </c>
      <c r="BN4" s="386">
        <f>'COVID19 Reporting Form'!B14</f>
        <v>0</v>
      </c>
      <c r="BO4" s="386">
        <f>'COVID19 Reporting Form'!D14</f>
        <v>0</v>
      </c>
      <c r="BP4" s="386">
        <f>'COVID19 Reporting Form'!C20</f>
        <v>0</v>
      </c>
      <c r="BQ4" s="386">
        <f>'COVID19 Reporting Form'!D20</f>
        <v>0</v>
      </c>
      <c r="BR4" s="386">
        <f>'COVID19 Reporting Form'!C23</f>
        <v>0</v>
      </c>
      <c r="BS4" s="386">
        <f>'COVID19 Reporting Form'!D23</f>
        <v>0</v>
      </c>
      <c r="BT4" s="386">
        <f>'COVID19 Reporting Form'!C26</f>
        <v>0</v>
      </c>
      <c r="BU4" s="386">
        <f>'COVID19 Reporting Form'!D26</f>
        <v>0</v>
      </c>
      <c r="BV4" s="386">
        <f>'COVID19 Reporting Form'!F20</f>
        <v>0</v>
      </c>
      <c r="BW4" s="386">
        <f>'COVID19 Reporting Form'!H20</f>
        <v>0</v>
      </c>
      <c r="BX4" s="386">
        <f>'COVID19 Reporting Form'!F23</f>
        <v>0</v>
      </c>
      <c r="BY4" s="386">
        <f>'COVID19 Reporting Form'!H23</f>
        <v>0</v>
      </c>
      <c r="BZ4" s="386">
        <f>'COVID19 Reporting Form'!F26</f>
        <v>0</v>
      </c>
      <c r="CA4" s="386">
        <f>'COVID19 Reporting Form'!H26</f>
        <v>0</v>
      </c>
      <c r="CB4" s="386">
        <f>'COVID19 Reporting Form'!L14</f>
        <v>0</v>
      </c>
      <c r="CC4" s="386">
        <f>'COVID19 Reporting Form'!M14</f>
        <v>0</v>
      </c>
      <c r="CD4" s="386">
        <f>'COVID19 Reporting Form'!N14</f>
        <v>0</v>
      </c>
      <c r="CE4" s="386">
        <f>'DR-TB 10A (Sputum &amp; EP Sample)'!M13</f>
        <v>0</v>
      </c>
      <c r="CF4" s="386">
        <f>'DR-TB 10A (Sputum &amp; EP Sample)'!M14</f>
        <v>0</v>
      </c>
      <c r="CG4" s="386">
        <f>'DR-TB 10A (Sputum &amp; EP Sample)'!M15</f>
        <v>0</v>
      </c>
      <c r="CH4" s="386">
        <f>'DR-TB 10A (Sputum &amp; EP Sample)'!Q13</f>
        <v>0</v>
      </c>
      <c r="CI4" s="386">
        <f>'DR-TB 10A (Sputum &amp; EP Sample)'!Q14</f>
        <v>0</v>
      </c>
      <c r="CJ4" s="386">
        <f>'DR-TB 10A (Sputum &amp; EP Sample)'!Q15</f>
        <v>0</v>
      </c>
      <c r="CK4" s="386">
        <f>'DR-TB 10A (Sputum &amp; EP Sample)'!U13</f>
        <v>0</v>
      </c>
      <c r="CL4" s="386">
        <f>'DR-TB 10A (Sputum &amp; EP Sample)'!U14</f>
        <v>0</v>
      </c>
      <c r="CM4" s="386">
        <f>'DR-TB 10A (Sputum &amp; EP Sample)'!U15</f>
        <v>0</v>
      </c>
      <c r="CN4" s="386">
        <f>'DR-TB 10A (Sputum &amp; EP Sample)'!U17</f>
        <v>0</v>
      </c>
      <c r="CO4" s="386">
        <f>'DR-TB 10A (Sputum &amp; EP Sample)'!U18</f>
        <v>0</v>
      </c>
      <c r="CP4" s="386">
        <f>'DR-TB 10A (Sputum &amp; EP Sample)'!U19</f>
        <v>0</v>
      </c>
      <c r="CQ4" s="385">
        <f>'DR-TB 10A (Sputum &amp; EP Sample)'!H40</f>
        <v>0</v>
      </c>
      <c r="CR4" s="385">
        <f>'DR-TB 10A (Sputum &amp; EP Sample)'!H42</f>
        <v>0</v>
      </c>
      <c r="CS4" s="119">
        <f>'DR-TB 10A (Stool)'!$B27</f>
        <v>0</v>
      </c>
      <c r="CT4" s="119">
        <f>'DR-TB 10A (Stool)'!$C27</f>
        <v>0</v>
      </c>
      <c r="CU4" s="119">
        <f>'DR-TB 10A (Stool)'!$D27</f>
        <v>0</v>
      </c>
      <c r="CV4" s="119">
        <f>'DR-TB 10A (Stool)'!$E27</f>
        <v>0</v>
      </c>
      <c r="CW4" s="119">
        <f>'DR-TB 10A (Stool)'!$F27</f>
        <v>0</v>
      </c>
      <c r="CX4" s="119">
        <f>'DR-TB 10A (Stool)'!$G27</f>
        <v>0</v>
      </c>
      <c r="CY4" s="119">
        <f>'DR-TB 10A (Stool)'!$H27</f>
        <v>0</v>
      </c>
      <c r="CZ4" s="119">
        <f>'DR-TB 10A (Stool)'!$I27</f>
        <v>0</v>
      </c>
      <c r="DA4" s="119">
        <f>'DR-TB 10A (Stool)'!$J27</f>
        <v>0</v>
      </c>
      <c r="DB4" s="119">
        <f>'DR-TB 10A (Stool)'!$K27</f>
        <v>0</v>
      </c>
      <c r="DC4" s="119">
        <f>'DR-TB 10A (Stool)'!$L27</f>
        <v>0</v>
      </c>
      <c r="DD4" s="120">
        <f>'DR-TB 10A (Stool)'!$O27</f>
        <v>0</v>
      </c>
      <c r="DE4" s="120">
        <f>'DR-TB 10A (Stool)'!$O28</f>
        <v>0</v>
      </c>
      <c r="DF4" s="120">
        <f>'DR-TB 10A (Stool)'!$O29</f>
        <v>0</v>
      </c>
      <c r="DG4" s="120">
        <f>'DR-TB 10A (Stool)'!$R27</f>
        <v>0</v>
      </c>
      <c r="DH4" s="120">
        <f>'DR-TB 10A (Stool)'!$R28</f>
        <v>0</v>
      </c>
      <c r="DI4" s="120">
        <f>'DR-TB 10A (Stool)'!$R29</f>
        <v>0</v>
      </c>
      <c r="DJ4" s="120">
        <f>'DR-TB 10A (Stool)'!$M41</f>
        <v>0</v>
      </c>
      <c r="DK4" s="120">
        <f>'DR-TB 10A (Stool)'!$N41</f>
        <v>0</v>
      </c>
      <c r="DL4" s="120">
        <f>'DR-TB 10A (Stool)'!$O41</f>
        <v>0</v>
      </c>
      <c r="DM4" s="120">
        <f>'DR-TB 10A (Stool)'!$M42</f>
        <v>0</v>
      </c>
      <c r="DN4" s="120">
        <f>'DR-TB 10A (Stool)'!$N42</f>
        <v>0</v>
      </c>
      <c r="DO4" s="120">
        <f>'DR-TB 10A (Stool)'!$O42</f>
        <v>0</v>
      </c>
      <c r="DP4" s="120">
        <f>'DR-TB 10A (Stool)'!$M43</f>
        <v>0</v>
      </c>
      <c r="DQ4" s="120">
        <f>'DR-TB 10A (Stool)'!$N43</f>
        <v>0</v>
      </c>
      <c r="DR4" s="121"/>
      <c r="DS4" s="122">
        <f>'DR-TB 10A (Stool)'!$S27</f>
        <v>0</v>
      </c>
      <c r="DT4" s="122">
        <f>'DR-TB 10A (Stool)'!$U27</f>
        <v>0</v>
      </c>
      <c r="DU4" s="122">
        <f>'DR-TB 10A (Stool)'!$B40</f>
        <v>0</v>
      </c>
      <c r="DV4" s="122">
        <f>'DR-TB 10A (Stool)'!$C40</f>
        <v>0</v>
      </c>
      <c r="DW4" s="122">
        <f>'DR-TB 10A (Stool)'!$D40</f>
        <v>0</v>
      </c>
      <c r="DX4" s="122">
        <f>'DR-TB 10A (Stool)'!$E40</f>
        <v>0</v>
      </c>
      <c r="DY4" s="363">
        <f>'DR-TB 10A (Stool)'!$H12</f>
        <v>0</v>
      </c>
      <c r="DZ4" s="363">
        <f>'DR-TB 10A (Stool)'!$H13</f>
        <v>0</v>
      </c>
      <c r="EA4" s="363">
        <f>'DR-TB 10A (Stool)'!$H14</f>
        <v>0</v>
      </c>
      <c r="EB4" s="356">
        <f>'DR-TB 10A (Stool)'!$D17</f>
        <v>0</v>
      </c>
      <c r="EC4" s="356">
        <f>'DR-TB 10A (Stool)'!$D18</f>
        <v>0</v>
      </c>
      <c r="ED4" s="366">
        <f>'DR-TB 10A (Stool)'!$D19</f>
        <v>0</v>
      </c>
      <c r="EE4" s="366">
        <f>'DR-TB 10A (Stool)'!$D20</f>
        <v>0</v>
      </c>
      <c r="EF4" s="356">
        <f>'DR-TB 10A (Stool)'!$D21</f>
        <v>0</v>
      </c>
      <c r="EG4" s="356">
        <f>'DR-TB 10A (Stool)'!$E17</f>
        <v>0</v>
      </c>
      <c r="EH4" s="356">
        <f>'DR-TB 10A (Stool)'!$E18</f>
        <v>0</v>
      </c>
      <c r="EI4" s="366">
        <f>'DR-TB 10A (Stool)'!$E19</f>
        <v>0</v>
      </c>
      <c r="EJ4" s="366">
        <f>'DR-TB 10A (Stool)'!$E20</f>
        <v>0</v>
      </c>
      <c r="EK4" s="356">
        <f>'DR-TB 10A (Stool)'!$E21</f>
        <v>0</v>
      </c>
      <c r="EL4" s="356">
        <f>'DR-TB 10A (Stool)'!$F17</f>
        <v>0</v>
      </c>
      <c r="EM4" s="356">
        <f>'DR-TB 10A (Stool)'!$F18</f>
        <v>0</v>
      </c>
      <c r="EN4" s="366">
        <f>'DR-TB 10A (Stool)'!$F19</f>
        <v>0</v>
      </c>
      <c r="EO4" s="366">
        <f>'DR-TB 10A (Stool)'!$F20</f>
        <v>0</v>
      </c>
      <c r="EP4" s="356">
        <f>'DR-TB 10A (Stool)'!$F21</f>
        <v>0</v>
      </c>
      <c r="EQ4" s="347">
        <f>'DR-TB 10A (Stool)'!$H40</f>
        <v>0</v>
      </c>
      <c r="ER4" s="347">
        <f>'DR-TB 10A (Stool)'!$H42</f>
        <v>0</v>
      </c>
      <c r="ES4" s="347">
        <f>'DR-TB 10A (Stool)'!$H44</f>
        <v>0</v>
      </c>
      <c r="ET4" s="350">
        <f>'DR-TB 10A (Sputum &amp; EP Sample)'!$H44</f>
        <v>0</v>
      </c>
    </row>
    <row r="5" spans="1:150" s="100" customFormat="1" ht="26.7" customHeight="1" x14ac:dyDescent="0.3">
      <c r="A5" s="396"/>
      <c r="B5" s="396"/>
      <c r="C5" s="396"/>
      <c r="D5" s="118" t="s">
        <v>4</v>
      </c>
      <c r="E5" s="118">
        <f>'DR-TB 10A (Sputum &amp; EP Sample)'!$B30</f>
        <v>0</v>
      </c>
      <c r="F5" s="118">
        <f>'DR-TB 10A (Sputum &amp; EP Sample)'!$C30</f>
        <v>0</v>
      </c>
      <c r="G5" s="118">
        <f>'DR-TB 10A (Sputum &amp; EP Sample)'!$D30</f>
        <v>0</v>
      </c>
      <c r="H5" s="118">
        <f>'DR-TB 10A (Sputum &amp; EP Sample)'!$E30</f>
        <v>0</v>
      </c>
      <c r="I5" s="118">
        <f>'DR-TB 10A (Sputum &amp; EP Sample)'!$F30</f>
        <v>0</v>
      </c>
      <c r="J5" s="118">
        <f>'DR-TB 10A (Sputum &amp; EP Sample)'!$G30</f>
        <v>0</v>
      </c>
      <c r="K5" s="118">
        <f>'DR-TB 10A (Sputum &amp; EP Sample)'!$H30</f>
        <v>0</v>
      </c>
      <c r="L5" s="118">
        <f>'DR-TB 10A (Sputum &amp; EP Sample)'!$I30</f>
        <v>0</v>
      </c>
      <c r="M5" s="118">
        <f>'DR-TB 10A (Sputum &amp; EP Sample)'!$J30</f>
        <v>0</v>
      </c>
      <c r="N5" s="118">
        <f>'DR-TB 10A (Sputum &amp; EP Sample)'!$K30</f>
        <v>0</v>
      </c>
      <c r="O5" s="118">
        <f>'DR-TB 10A (Sputum &amp; EP Sample)'!$L30</f>
        <v>0</v>
      </c>
      <c r="P5" s="120">
        <f>'DR-TB 10A (Sputum &amp; EP Sample)'!$O30</f>
        <v>0</v>
      </c>
      <c r="Q5" s="120">
        <f>'DR-TB 10A (Sputum &amp; EP Sample)'!$O31</f>
        <v>0</v>
      </c>
      <c r="R5" s="120">
        <f>'DR-TB 10A (Sputum &amp; EP Sample)'!$O32</f>
        <v>0</v>
      </c>
      <c r="S5" s="120">
        <f>'DR-TB 10A (Sputum &amp; EP Sample)'!$R30</f>
        <v>0</v>
      </c>
      <c r="T5" s="120">
        <f>'DR-TB 10A (Sputum &amp; EP Sample)'!$R31</f>
        <v>0</v>
      </c>
      <c r="U5" s="120">
        <f>'DR-TB 10A (Sputum &amp; EP Sample)'!$R32</f>
        <v>0</v>
      </c>
      <c r="V5" s="120">
        <f>'DR-TB 10A (Sputum &amp; EP Sample)'!$P41</f>
        <v>0</v>
      </c>
      <c r="W5" s="120">
        <f>'DR-TB 10A (Sputum &amp; EP Sample)'!$Q41</f>
        <v>0</v>
      </c>
      <c r="X5" s="120">
        <f>'DR-TB 10A (Sputum &amp; EP Sample)'!$R41</f>
        <v>0</v>
      </c>
      <c r="Y5" s="120">
        <f>'DR-TB 10A (Sputum &amp; EP Sample)'!$P42</f>
        <v>0</v>
      </c>
      <c r="Z5" s="120">
        <f>'DR-TB 10A (Sputum &amp; EP Sample)'!$Q42</f>
        <v>0</v>
      </c>
      <c r="AA5" s="120">
        <f>'DR-TB 10A (Sputum &amp; EP Sample)'!$R42</f>
        <v>0</v>
      </c>
      <c r="AB5" s="120">
        <f>'DR-TB 10A (Sputum &amp; EP Sample)'!$P43</f>
        <v>0</v>
      </c>
      <c r="AC5" s="120">
        <f>'DR-TB 10A (Sputum &amp; EP Sample)'!$Q43</f>
        <v>0</v>
      </c>
      <c r="AD5" s="121"/>
      <c r="AE5" s="122">
        <f>'DR-TB 10A (Sputum &amp; EP Sample)'!$S30</f>
        <v>0</v>
      </c>
      <c r="AF5" s="122">
        <f>'DR-TB 10A (Sputum &amp; EP Sample)'!$U30</f>
        <v>0</v>
      </c>
      <c r="AG5" s="122">
        <f>'DR-TB 10A (Sputum &amp; EP Sample)'!$B42</f>
        <v>0</v>
      </c>
      <c r="AH5" s="122">
        <f>'DR-TB 10A (Sputum &amp; EP Sample)'!$C42</f>
        <v>0</v>
      </c>
      <c r="AI5" s="122">
        <f>'DR-TB 10A (Sputum &amp; EP Sample)'!$D42</f>
        <v>0</v>
      </c>
      <c r="AJ5" s="122">
        <f>'DR-TB 10A (Sputum &amp; EP Sample)'!$E42</f>
        <v>0</v>
      </c>
      <c r="AK5" s="364"/>
      <c r="AL5" s="364"/>
      <c r="AM5" s="364"/>
      <c r="AN5" s="357"/>
      <c r="AO5" s="357"/>
      <c r="AP5" s="367"/>
      <c r="AQ5" s="367"/>
      <c r="AR5" s="357"/>
      <c r="AS5" s="357"/>
      <c r="AT5" s="357"/>
      <c r="AU5" s="367"/>
      <c r="AV5" s="367"/>
      <c r="AW5" s="357"/>
      <c r="AX5" s="357"/>
      <c r="AY5" s="357"/>
      <c r="AZ5" s="367"/>
      <c r="BA5" s="367"/>
      <c r="BB5" s="357"/>
      <c r="BC5" s="131" t="s">
        <v>816</v>
      </c>
      <c r="BD5" s="85">
        <f>'DR-TB 10A (Sputum &amp; EP Sample)'!J20</f>
        <v>0</v>
      </c>
      <c r="BE5" s="85">
        <f>'DR-TB 10A (Sputum &amp; EP Sample)'!K20</f>
        <v>0</v>
      </c>
      <c r="BF5" s="85">
        <f>'DR-TB 10A (Sputum &amp; EP Sample)'!L20</f>
        <v>0</v>
      </c>
      <c r="BG5" s="85">
        <f>'DR-TB 10A (Sputum &amp; EP Sample)'!M20</f>
        <v>0</v>
      </c>
      <c r="BH5" s="85">
        <f>'DR-TB 10A (Sputum &amp; EP Sample)'!N20</f>
        <v>0</v>
      </c>
      <c r="BI5" s="85">
        <f>'DR-TB 10A (Sputum &amp; EP Sample)'!O20</f>
        <v>0</v>
      </c>
      <c r="BJ5" s="85">
        <f>'DR-TB 10A (Sputum &amp; EP Sample)'!P20</f>
        <v>0</v>
      </c>
      <c r="BK5" s="385"/>
      <c r="BL5" s="385"/>
      <c r="BM5" s="398"/>
      <c r="BN5" s="386"/>
      <c r="BO5" s="386"/>
      <c r="BP5" s="386"/>
      <c r="BQ5" s="386"/>
      <c r="BR5" s="386"/>
      <c r="BS5" s="386"/>
      <c r="BT5" s="386"/>
      <c r="BU5" s="386"/>
      <c r="BV5" s="386"/>
      <c r="BW5" s="386"/>
      <c r="BX5" s="386"/>
      <c r="BY5" s="386"/>
      <c r="BZ5" s="386"/>
      <c r="CA5" s="386"/>
      <c r="CB5" s="386"/>
      <c r="CC5" s="386"/>
      <c r="CD5" s="386"/>
      <c r="CE5" s="386"/>
      <c r="CF5" s="386"/>
      <c r="CG5" s="386"/>
      <c r="CH5" s="386"/>
      <c r="CI5" s="386"/>
      <c r="CJ5" s="386"/>
      <c r="CK5" s="386"/>
      <c r="CL5" s="386"/>
      <c r="CM5" s="386"/>
      <c r="CN5" s="386"/>
      <c r="CO5" s="386"/>
      <c r="CP5" s="386"/>
      <c r="CQ5" s="385"/>
      <c r="CR5" s="385"/>
      <c r="CS5" s="118">
        <f>'DR-TB 10A (Stool)'!$B30</f>
        <v>0</v>
      </c>
      <c r="CT5" s="118">
        <f>'DR-TB 10A (Stool)'!$C30</f>
        <v>0</v>
      </c>
      <c r="CU5" s="118">
        <f>'DR-TB 10A (Stool)'!$D30</f>
        <v>0</v>
      </c>
      <c r="CV5" s="118">
        <f>'DR-TB 10A (Stool)'!$E30</f>
        <v>0</v>
      </c>
      <c r="CW5" s="118">
        <f>'DR-TB 10A (Stool)'!$F30</f>
        <v>0</v>
      </c>
      <c r="CX5" s="118">
        <f>'DR-TB 10A (Stool)'!$G30</f>
        <v>0</v>
      </c>
      <c r="CY5" s="118">
        <f>'DR-TB 10A (Stool)'!$H30</f>
        <v>0</v>
      </c>
      <c r="CZ5" s="118">
        <f>'DR-TB 10A (Stool)'!$I30</f>
        <v>0</v>
      </c>
      <c r="DA5" s="118">
        <f>'DR-TB 10A (Stool)'!$J30</f>
        <v>0</v>
      </c>
      <c r="DB5" s="118">
        <f>'DR-TB 10A (Stool)'!$K30</f>
        <v>0</v>
      </c>
      <c r="DC5" s="118">
        <f>'DR-TB 10A (Stool)'!$L30</f>
        <v>0</v>
      </c>
      <c r="DD5" s="120">
        <f>'DR-TB 10A (Stool)'!$O30</f>
        <v>0</v>
      </c>
      <c r="DE5" s="120">
        <f>'DR-TB 10A (Stool)'!$O31</f>
        <v>0</v>
      </c>
      <c r="DF5" s="120">
        <f>'DR-TB 10A (Stool)'!$O32</f>
        <v>0</v>
      </c>
      <c r="DG5" s="120">
        <f>'DR-TB 10A (Stool)'!$R30</f>
        <v>0</v>
      </c>
      <c r="DH5" s="120">
        <f>'DR-TB 10A (Stool)'!$R31</f>
        <v>0</v>
      </c>
      <c r="DI5" s="120">
        <f>'DR-TB 10A (Stool)'!$R32</f>
        <v>0</v>
      </c>
      <c r="DJ5" s="120">
        <f>'DR-TB 10A (Stool)'!$P41</f>
        <v>0</v>
      </c>
      <c r="DK5" s="120">
        <f>'DR-TB 10A (Stool)'!$Q41</f>
        <v>0</v>
      </c>
      <c r="DL5" s="120">
        <f>'DR-TB 10A (Stool)'!$R41</f>
        <v>0</v>
      </c>
      <c r="DM5" s="120">
        <f>'DR-TB 10A (Stool)'!$P42</f>
        <v>0</v>
      </c>
      <c r="DN5" s="120">
        <f>'DR-TB 10A (Stool)'!$Q42</f>
        <v>0</v>
      </c>
      <c r="DO5" s="120">
        <f>'DR-TB 10A (Stool)'!$R42</f>
        <v>0</v>
      </c>
      <c r="DP5" s="120">
        <f>'DR-TB 10A (Stool)'!$P43</f>
        <v>0</v>
      </c>
      <c r="DQ5" s="120">
        <f>'DR-TB 10A (Stool)'!$Q43</f>
        <v>0</v>
      </c>
      <c r="DR5" s="121"/>
      <c r="DS5" s="122">
        <f>'DR-TB 10A (Stool)'!$S30</f>
        <v>0</v>
      </c>
      <c r="DT5" s="122">
        <f>'DR-TB 10A (Stool)'!$U30</f>
        <v>0</v>
      </c>
      <c r="DU5" s="122">
        <f>'DR-TB 10A (Stool)'!$B42</f>
        <v>0</v>
      </c>
      <c r="DV5" s="122">
        <f>'DR-TB 10A (Stool)'!$C42</f>
        <v>0</v>
      </c>
      <c r="DW5" s="122">
        <f>'DR-TB 10A (Stool)'!$D42</f>
        <v>0</v>
      </c>
      <c r="DX5" s="122">
        <f>'DR-TB 10A (Stool)'!$E42</f>
        <v>0</v>
      </c>
      <c r="DY5" s="364"/>
      <c r="DZ5" s="364"/>
      <c r="EA5" s="364"/>
      <c r="EB5" s="357"/>
      <c r="EC5" s="357"/>
      <c r="ED5" s="367"/>
      <c r="EE5" s="367"/>
      <c r="EF5" s="357"/>
      <c r="EG5" s="357"/>
      <c r="EH5" s="357"/>
      <c r="EI5" s="367"/>
      <c r="EJ5" s="367"/>
      <c r="EK5" s="357"/>
      <c r="EL5" s="357"/>
      <c r="EM5" s="357"/>
      <c r="EN5" s="367"/>
      <c r="EO5" s="367"/>
      <c r="EP5" s="357"/>
      <c r="EQ5" s="347"/>
      <c r="ER5" s="347"/>
      <c r="ES5" s="347"/>
      <c r="ET5" s="350"/>
    </row>
    <row r="6" spans="1:150" s="100" customFormat="1" ht="28.5" customHeight="1" x14ac:dyDescent="0.3">
      <c r="A6" s="397"/>
      <c r="B6" s="397"/>
      <c r="C6" s="397"/>
      <c r="D6" s="118" t="s">
        <v>5</v>
      </c>
      <c r="E6" s="118">
        <f>'DR-TB 10A (Sputum &amp; EP Sample)'!$B33</f>
        <v>0</v>
      </c>
      <c r="F6" s="118">
        <f>'DR-TB 10A (Sputum &amp; EP Sample)'!$C33</f>
        <v>0</v>
      </c>
      <c r="G6" s="118">
        <f>'DR-TB 10A (Sputum &amp; EP Sample)'!$D33</f>
        <v>0</v>
      </c>
      <c r="H6" s="118">
        <f>'DR-TB 10A (Sputum &amp; EP Sample)'!$E33</f>
        <v>0</v>
      </c>
      <c r="I6" s="118">
        <f>'DR-TB 10A (Sputum &amp; EP Sample)'!$F33</f>
        <v>0</v>
      </c>
      <c r="J6" s="118">
        <f>'DR-TB 10A (Sputum &amp; EP Sample)'!$G33</f>
        <v>0</v>
      </c>
      <c r="K6" s="118">
        <f>'DR-TB 10A (Sputum &amp; EP Sample)'!$H33</f>
        <v>0</v>
      </c>
      <c r="L6" s="118">
        <f>'DR-TB 10A (Sputum &amp; EP Sample)'!$I33</f>
        <v>0</v>
      </c>
      <c r="M6" s="118">
        <f>'DR-TB 10A (Sputum &amp; EP Sample)'!$J33</f>
        <v>0</v>
      </c>
      <c r="N6" s="118">
        <f>'DR-TB 10A (Sputum &amp; EP Sample)'!$K33</f>
        <v>0</v>
      </c>
      <c r="O6" s="118">
        <f>'DR-TB 10A (Sputum &amp; EP Sample)'!$L33</f>
        <v>0</v>
      </c>
      <c r="P6" s="120">
        <f>'DR-TB 10A (Sputum &amp; EP Sample)'!$O33</f>
        <v>0</v>
      </c>
      <c r="Q6" s="120">
        <f>'DR-TB 10A (Sputum &amp; EP Sample)'!$O34</f>
        <v>0</v>
      </c>
      <c r="R6" s="120">
        <f>'DR-TB 10A (Sputum &amp; EP Sample)'!$O35</f>
        <v>0</v>
      </c>
      <c r="S6" s="120">
        <f>'DR-TB 10A (Sputum &amp; EP Sample)'!$R33</f>
        <v>0</v>
      </c>
      <c r="T6" s="120">
        <f>'DR-TB 10A (Sputum &amp; EP Sample)'!$R34</f>
        <v>0</v>
      </c>
      <c r="U6" s="120">
        <f>'DR-TB 10A (Sputum &amp; EP Sample)'!$R35</f>
        <v>0</v>
      </c>
      <c r="V6" s="120">
        <f>'DR-TB 10A (Sputum &amp; EP Sample)'!$S41</f>
        <v>0</v>
      </c>
      <c r="W6" s="120">
        <f>'DR-TB 10A (Sputum &amp; EP Sample)'!$T41</f>
        <v>0</v>
      </c>
      <c r="X6" s="120">
        <f>'DR-TB 10A (Sputum &amp; EP Sample)'!$U41</f>
        <v>0</v>
      </c>
      <c r="Y6" s="120">
        <f>'DR-TB 10A (Sputum &amp; EP Sample)'!$S42</f>
        <v>0</v>
      </c>
      <c r="Z6" s="120">
        <f>'DR-TB 10A (Sputum &amp; EP Sample)'!$T42</f>
        <v>0</v>
      </c>
      <c r="AA6" s="120">
        <f>'DR-TB 10A (Sputum &amp; EP Sample)'!$U42</f>
        <v>0</v>
      </c>
      <c r="AB6" s="120">
        <f>'DR-TB 10A (Sputum &amp; EP Sample)'!$S43</f>
        <v>0</v>
      </c>
      <c r="AC6" s="120">
        <f>'DR-TB 10A (Sputum &amp; EP Sample)'!$T43</f>
        <v>0</v>
      </c>
      <c r="AD6" s="121"/>
      <c r="AE6" s="122">
        <f>'DR-TB 10A (Sputum &amp; EP Sample)'!$S33</f>
        <v>0</v>
      </c>
      <c r="AF6" s="122">
        <f>'DR-TB 10A (Sputum &amp; EP Sample)'!$U33</f>
        <v>0</v>
      </c>
      <c r="AG6" s="122">
        <f>'DR-TB 10A (Sputum &amp; EP Sample)'!$B44</f>
        <v>0</v>
      </c>
      <c r="AH6" s="122">
        <f>'DR-TB 10A (Sputum &amp; EP Sample)'!$C44</f>
        <v>0</v>
      </c>
      <c r="AI6" s="122">
        <f>'DR-TB 10A (Sputum &amp; EP Sample)'!$D44</f>
        <v>0</v>
      </c>
      <c r="AJ6" s="122">
        <f>'DR-TB 10A (Sputum &amp; EP Sample)'!$E44</f>
        <v>0</v>
      </c>
      <c r="AK6" s="365"/>
      <c r="AL6" s="365"/>
      <c r="AM6" s="365"/>
      <c r="AN6" s="358"/>
      <c r="AO6" s="358"/>
      <c r="AP6" s="368"/>
      <c r="AQ6" s="368"/>
      <c r="AR6" s="358"/>
      <c r="AS6" s="358"/>
      <c r="AT6" s="358"/>
      <c r="AU6" s="368"/>
      <c r="AV6" s="368"/>
      <c r="AW6" s="358"/>
      <c r="AX6" s="358"/>
      <c r="AY6" s="358"/>
      <c r="AZ6" s="368"/>
      <c r="BA6" s="368"/>
      <c r="BB6" s="358"/>
      <c r="BC6" s="85"/>
      <c r="BD6" s="85"/>
      <c r="BE6" s="85"/>
      <c r="BF6" s="85"/>
      <c r="BG6" s="85"/>
      <c r="BH6" s="85"/>
      <c r="BI6" s="85"/>
      <c r="BJ6" s="85"/>
      <c r="BK6" s="385"/>
      <c r="BL6" s="385"/>
      <c r="BM6" s="398"/>
      <c r="BN6" s="386"/>
      <c r="BO6" s="386"/>
      <c r="BP6" s="386"/>
      <c r="BQ6" s="386"/>
      <c r="BR6" s="386"/>
      <c r="BS6" s="386"/>
      <c r="BT6" s="386"/>
      <c r="BU6" s="386"/>
      <c r="BV6" s="386"/>
      <c r="BW6" s="386"/>
      <c r="BX6" s="386"/>
      <c r="BY6" s="386"/>
      <c r="BZ6" s="386"/>
      <c r="CA6" s="386"/>
      <c r="CB6" s="386"/>
      <c r="CC6" s="386"/>
      <c r="CD6" s="386"/>
      <c r="CE6" s="386"/>
      <c r="CF6" s="386"/>
      <c r="CG6" s="386"/>
      <c r="CH6" s="386"/>
      <c r="CI6" s="386"/>
      <c r="CJ6" s="386"/>
      <c r="CK6" s="386"/>
      <c r="CL6" s="386"/>
      <c r="CM6" s="386"/>
      <c r="CN6" s="386"/>
      <c r="CO6" s="386"/>
      <c r="CP6" s="386"/>
      <c r="CQ6" s="385"/>
      <c r="CR6" s="385"/>
      <c r="CS6" s="118">
        <f>'DR-TB 10A (Stool)'!$B33</f>
        <v>0</v>
      </c>
      <c r="CT6" s="118">
        <f>'DR-TB 10A (Stool)'!$C33</f>
        <v>0</v>
      </c>
      <c r="CU6" s="118">
        <f>'DR-TB 10A (Stool)'!$D33</f>
        <v>0</v>
      </c>
      <c r="CV6" s="118">
        <f>'DR-TB 10A (Stool)'!$E33</f>
        <v>0</v>
      </c>
      <c r="CW6" s="118">
        <f>'DR-TB 10A (Stool)'!$F33</f>
        <v>0</v>
      </c>
      <c r="CX6" s="118">
        <f>'DR-TB 10A (Stool)'!$G33</f>
        <v>0</v>
      </c>
      <c r="CY6" s="118">
        <f>'DR-TB 10A (Stool)'!$H33</f>
        <v>0</v>
      </c>
      <c r="CZ6" s="118">
        <f>'DR-TB 10A (Stool)'!$I33</f>
        <v>0</v>
      </c>
      <c r="DA6" s="118">
        <f>'DR-TB 10A (Stool)'!$J33</f>
        <v>0</v>
      </c>
      <c r="DB6" s="118">
        <f>'DR-TB 10A (Stool)'!$K33</f>
        <v>0</v>
      </c>
      <c r="DC6" s="118">
        <f>'DR-TB 10A (Stool)'!$L33</f>
        <v>0</v>
      </c>
      <c r="DD6" s="120">
        <f>'DR-TB 10A (Stool)'!$O33</f>
        <v>0</v>
      </c>
      <c r="DE6" s="120">
        <f>'DR-TB 10A (Stool)'!$O34</f>
        <v>0</v>
      </c>
      <c r="DF6" s="120">
        <f>'DR-TB 10A (Stool)'!$O35</f>
        <v>0</v>
      </c>
      <c r="DG6" s="120">
        <f>'DR-TB 10A (Stool)'!$R33</f>
        <v>0</v>
      </c>
      <c r="DH6" s="120">
        <f>'DR-TB 10A (Stool)'!$R34</f>
        <v>0</v>
      </c>
      <c r="DI6" s="120">
        <f>'DR-TB 10A (Stool)'!$R35</f>
        <v>0</v>
      </c>
      <c r="DJ6" s="120">
        <f>'DR-TB 10A (Stool)'!$S41</f>
        <v>0</v>
      </c>
      <c r="DK6" s="120">
        <f>'DR-TB 10A (Stool)'!$T41</f>
        <v>0</v>
      </c>
      <c r="DL6" s="120">
        <f>'DR-TB 10A (Stool)'!$U41</f>
        <v>0</v>
      </c>
      <c r="DM6" s="120">
        <f>'DR-TB 10A (Stool)'!$S42</f>
        <v>0</v>
      </c>
      <c r="DN6" s="120">
        <f>'DR-TB 10A (Stool)'!$T42</f>
        <v>0</v>
      </c>
      <c r="DO6" s="120">
        <f>'DR-TB 10A (Stool)'!$U42</f>
        <v>0</v>
      </c>
      <c r="DP6" s="120">
        <f>'DR-TB 10A (Stool)'!$S43</f>
        <v>0</v>
      </c>
      <c r="DQ6" s="120">
        <f>'DR-TB 10A (Stool)'!$T43</f>
        <v>0</v>
      </c>
      <c r="DR6" s="121"/>
      <c r="DS6" s="122">
        <f>'DR-TB 10A (Stool)'!$S33</f>
        <v>0</v>
      </c>
      <c r="DT6" s="122">
        <f>'DR-TB 10A (Stool)'!$U33</f>
        <v>0</v>
      </c>
      <c r="DU6" s="122">
        <f>'DR-TB 10A (Stool)'!$B44</f>
        <v>0</v>
      </c>
      <c r="DV6" s="122">
        <f>'DR-TB 10A (Stool)'!$C44</f>
        <v>0</v>
      </c>
      <c r="DW6" s="122">
        <f>'DR-TB 10A (Stool)'!$D44</f>
        <v>0</v>
      </c>
      <c r="DX6" s="122">
        <f>'DR-TB 10A (Stool)'!$E44</f>
        <v>0</v>
      </c>
      <c r="DY6" s="365"/>
      <c r="DZ6" s="365"/>
      <c r="EA6" s="365"/>
      <c r="EB6" s="358"/>
      <c r="EC6" s="358"/>
      <c r="ED6" s="368"/>
      <c r="EE6" s="368"/>
      <c r="EF6" s="358"/>
      <c r="EG6" s="358"/>
      <c r="EH6" s="358"/>
      <c r="EI6" s="368"/>
      <c r="EJ6" s="368"/>
      <c r="EK6" s="358"/>
      <c r="EL6" s="358"/>
      <c r="EM6" s="358"/>
      <c r="EN6" s="368"/>
      <c r="EO6" s="368"/>
      <c r="EP6" s="358"/>
      <c r="EQ6" s="347"/>
      <c r="ER6" s="347"/>
      <c r="ES6" s="347"/>
      <c r="ET6" s="350"/>
    </row>
    <row r="9" spans="1:150" x14ac:dyDescent="0.3">
      <c r="A9" s="91" t="s">
        <v>863</v>
      </c>
      <c r="B9" s="91">
        <v>2</v>
      </c>
    </row>
    <row r="10" spans="1:150" ht="140.25" customHeight="1" x14ac:dyDescent="0.3">
      <c r="A10" s="359" t="s">
        <v>161</v>
      </c>
      <c r="B10" s="359" t="s">
        <v>280</v>
      </c>
      <c r="C10" s="359" t="s">
        <v>806</v>
      </c>
      <c r="D10" s="359" t="str">
        <f>'DR-TB 10B'!A11</f>
        <v>Sl.              No</v>
      </c>
      <c r="E10" s="359" t="str">
        <f>'DR-TB 10B'!B11</f>
        <v>Name of the RR                                                                                                                               patient</v>
      </c>
      <c r="F10" s="359" t="str">
        <f>'DR-TB 10B'!C11</f>
        <v>Age</v>
      </c>
      <c r="G10" s="359" t="str">
        <f>'DR-TB 10B'!D11</f>
        <v>Sex
(M/F)</v>
      </c>
      <c r="H10" s="359" t="str">
        <f>'DR-TB 10B'!F11</f>
        <v>Address and                                        cell number</v>
      </c>
      <c r="I10" s="359" t="str">
        <f>'DR-TB 10B'!G11</f>
        <v>Name &amp; address          of the referring unit                                                and cell number</v>
      </c>
      <c r="J10" s="359" t="str">
        <f>'DR-TB 10B'!H11</f>
        <v>* Type of patient</v>
      </c>
      <c r="K10" s="359" t="str">
        <f>'DR-TB 10B'!J11</f>
        <v>Current and previous (if any)  TB registration number</v>
      </c>
      <c r="L10" s="346" t="str">
        <f>'DR-TB 10B'!K11</f>
        <v>Result of Xpert/Truenat MTB/RIF/Ultra</v>
      </c>
      <c r="M10" s="359" t="str">
        <f>'DR-TB 10B'!L11</f>
        <v>Bacterial Load</v>
      </c>
      <c r="N10" s="359" t="str">
        <f>'DR-TB 10B'!T11</f>
        <v>Name and address of the hospital/ treatment                initiation center            for enrollment of DR TB treatment</v>
      </c>
      <c r="O10" s="359" t="str">
        <f>'DR-TB 10B'!U11</f>
        <v>Enrollment status                   (Y/N)</v>
      </c>
      <c r="P10" s="359" t="str">
        <f>'DR-TB 10B'!X11</f>
        <v>** Current status of the patient</v>
      </c>
      <c r="Q10" s="359" t="str">
        <f>'DR-TB 10B'!Y11</f>
        <v>Remarks</v>
      </c>
      <c r="R10" s="359" t="str">
        <f>'DR-TB 10B'!E11</f>
        <v>Date of Diagnosis</v>
      </c>
      <c r="S10" s="359" t="str">
        <f>'DR-TB 10B'!V11</f>
        <v>Date Of Enrollment</v>
      </c>
      <c r="T10" s="359" t="str">
        <f>'DR-TB 10B'!W11</f>
        <v>eTB/ DR TB Registration Number</v>
      </c>
      <c r="U10" s="359" t="str">
        <f>'DR-TB 10B'!I11</f>
        <v>Type Of Sample</v>
      </c>
      <c r="V10" s="387" t="str">
        <f>'DR-TB 10B'!M11</f>
        <v>Result Of MTB/XDR</v>
      </c>
      <c r="W10" s="387"/>
      <c r="X10" s="387"/>
      <c r="Y10" s="387"/>
      <c r="Z10" s="387"/>
      <c r="AA10" s="387"/>
      <c r="AB10" s="387"/>
      <c r="AC10" s="403" t="s">
        <v>881</v>
      </c>
    </row>
    <row r="11" spans="1:150" ht="140.25" customHeight="1" x14ac:dyDescent="0.3">
      <c r="A11" s="359"/>
      <c r="B11" s="359"/>
      <c r="C11" s="359"/>
      <c r="D11" s="359"/>
      <c r="E11" s="359"/>
      <c r="F11" s="359"/>
      <c r="G11" s="359"/>
      <c r="H11" s="359"/>
      <c r="I11" s="359"/>
      <c r="J11" s="359"/>
      <c r="K11" s="359"/>
      <c r="L11" s="346"/>
      <c r="M11" s="359"/>
      <c r="N11" s="359"/>
      <c r="O11" s="359"/>
      <c r="P11" s="359"/>
      <c r="Q11" s="359"/>
      <c r="R11" s="359"/>
      <c r="S11" s="359"/>
      <c r="T11" s="359"/>
      <c r="U11" s="359"/>
      <c r="V11" s="29" t="str">
        <f>'DR-TB 10B'!M12</f>
        <v>MTB</v>
      </c>
      <c r="W11" s="29" t="str">
        <f>'DR-TB 10B'!N12</f>
        <v>INH</v>
      </c>
      <c r="X11" s="29" t="str">
        <f>'DR-TB 10B'!O12</f>
        <v>FLQ</v>
      </c>
      <c r="Y11" s="29" t="str">
        <f>'DR-TB 10B'!P12</f>
        <v>AMK</v>
      </c>
      <c r="Z11" s="29" t="str">
        <f>'DR-TB 10B'!Q12</f>
        <v>KAN</v>
      </c>
      <c r="AA11" s="29" t="str">
        <f>'DR-TB 10B'!R12</f>
        <v>CAP</v>
      </c>
      <c r="AB11" s="29" t="str">
        <f>'DR-TB 10B'!S12</f>
        <v>ETH</v>
      </c>
      <c r="AC11" s="403"/>
    </row>
    <row r="12" spans="1:150" ht="15" customHeight="1" x14ac:dyDescent="0.3">
      <c r="A12" s="145">
        <f>'DR-TB 10A (Sputum &amp; EP Sample)'!$C$6</f>
        <v>0</v>
      </c>
      <c r="B12" s="145">
        <f>'DR-TB 10A (Sputum &amp; EP Sample)'!$C$7</f>
        <v>0</v>
      </c>
      <c r="C12" s="145">
        <f>'DR-TB 10A (Sputum &amp; EP Sample)'!$C$8</f>
        <v>0</v>
      </c>
      <c r="D12" s="87" t="str">
        <f>'DR-TB 10B'!A13</f>
        <v>&lt;#&gt;</v>
      </c>
      <c r="E12" s="87" t="str">
        <f>'DR-TB 10B'!B13</f>
        <v>&lt;patientName&gt;</v>
      </c>
      <c r="F12" s="87" t="str">
        <f>'DR-TB 10B'!C13</f>
        <v>&lt;patientAge&gt;</v>
      </c>
      <c r="G12" s="87" t="str">
        <f>'DR-TB 10B'!D13</f>
        <v>&lt;gender&gt;</v>
      </c>
      <c r="H12" s="87" t="str">
        <f>'DR-TB 10B'!F13</f>
        <v>&lt;patientAddressAndCell&gt;</v>
      </c>
      <c r="I12" s="87" t="str">
        <f>'DR-TB 10B'!G13</f>
        <v>&lt;referringAddressAndCell&gt;</v>
      </c>
      <c r="J12" s="87" t="str">
        <f>'DR-TB 10B'!H13</f>
        <v>&lt;patientType&gt;</v>
      </c>
      <c r="K12" s="87" t="str">
        <f>'DR-TB 10B'!J13</f>
        <v>&lt;tbRegistrationNumber&gt;</v>
      </c>
      <c r="L12" s="158" t="str">
        <f>'DR-TB 10B'!K13</f>
        <v>&lt;resultMtbRif&gt;</v>
      </c>
      <c r="M12" s="87" t="str">
        <f>'DR-TB 10B'!L13</f>
        <v>&lt;bacterialLoad&gt;</v>
      </c>
      <c r="N12" s="87" t="str">
        <f>'DR-TB 10B'!T13</f>
        <v>&lt;hospitalTreatmentDRTB&gt;</v>
      </c>
      <c r="O12" s="87" t="str">
        <f>'DR-TB 10B'!U13</f>
        <v>&lt;enrollmentStatus&gt;</v>
      </c>
      <c r="P12" s="87" t="str">
        <f>'DR-TB 10B'!X13</f>
        <v>&lt;patientStatus&gt;</v>
      </c>
      <c r="Q12" s="87" t="str">
        <f>'DR-TB 10B'!Y13</f>
        <v>&lt;remarks&gt;</v>
      </c>
      <c r="R12" s="143" t="str">
        <f>'DR-TB 10B'!E13</f>
        <v>&lt;dateOfDiagnosis&gt;</v>
      </c>
      <c r="S12" s="143" t="str">
        <f>'DR-TB 10B'!V13</f>
        <v>&lt;enrollmentDate&gt;</v>
      </c>
      <c r="T12" s="87" t="str">
        <f>'DR-TB 10B'!W13</f>
        <v>&lt;tbRegistrationNumber&gt;</v>
      </c>
      <c r="U12" s="87" t="str">
        <f>'DR-TB 10B'!I13</f>
        <v>&lt;sampleType&gt;</v>
      </c>
      <c r="V12" s="87" t="str">
        <f>'DR-TB 10B'!M13</f>
        <v>&lt;mtbDetected&gt;</v>
      </c>
      <c r="W12" s="87" t="str">
        <f>'DR-TB 10B'!N13</f>
        <v>&lt;inhDetected&gt;</v>
      </c>
      <c r="X12" s="87" t="str">
        <f>'DR-TB 10B'!O13</f>
        <v>&lt;flqDetected&gt;</v>
      </c>
      <c r="Y12" s="87" t="str">
        <f>'DR-TB 10B'!P13</f>
        <v>&lt;amkDetected&gt;</v>
      </c>
      <c r="Z12" s="87" t="str">
        <f>'DR-TB 10B'!Q13</f>
        <v>&lt;kanDetected&gt;</v>
      </c>
      <c r="AA12" s="87" t="str">
        <f>'DR-TB 10B'!R13</f>
        <v>&lt;capDetected&gt;</v>
      </c>
      <c r="AB12" s="87" t="str">
        <f>'DR-TB 10B'!S13</f>
        <v>&lt;ethDetected&gt;</v>
      </c>
      <c r="AC12" s="87" t="str">
        <f>'DR-TB 10B'!$M13</f>
        <v>&lt;mtbDetected&gt;</v>
      </c>
      <c r="AD12" s="156"/>
    </row>
    <row r="13" spans="1:150" x14ac:dyDescent="0.3">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sheetData>
  <sheetProtection sort="0" autoFilter="0" pivotTables="0"/>
  <mergeCells count="236">
    <mergeCell ref="AC10:AC11"/>
    <mergeCell ref="BX2:BY2"/>
    <mergeCell ref="BZ2:CA2"/>
    <mergeCell ref="BV4:BV6"/>
    <mergeCell ref="BW4:BW6"/>
    <mergeCell ref="BX4:BX6"/>
    <mergeCell ref="BY4:BY6"/>
    <mergeCell ref="BZ4:BZ6"/>
    <mergeCell ref="CA4:CA6"/>
    <mergeCell ref="BS4:BS6"/>
    <mergeCell ref="BT4:BT6"/>
    <mergeCell ref="BU4:BU6"/>
    <mergeCell ref="BP2:BQ2"/>
    <mergeCell ref="BN1:BN3"/>
    <mergeCell ref="BO1:BO3"/>
    <mergeCell ref="BR2:BS2"/>
    <mergeCell ref="BT2:BU2"/>
    <mergeCell ref="BP1:BU1"/>
    <mergeCell ref="BN4:BN6"/>
    <mergeCell ref="BO4:BO6"/>
    <mergeCell ref="BP4:BP6"/>
    <mergeCell ref="BQ4:BQ6"/>
    <mergeCell ref="BR4:BR6"/>
    <mergeCell ref="BK4:BK6"/>
    <mergeCell ref="CF4:CF6"/>
    <mergeCell ref="BV2:BW2"/>
    <mergeCell ref="CG4:CG6"/>
    <mergeCell ref="CB1:CD3"/>
    <mergeCell ref="CB4:CB6"/>
    <mergeCell ref="CC4:CC6"/>
    <mergeCell ref="CD4:CD6"/>
    <mergeCell ref="CE4:CE6"/>
    <mergeCell ref="CE2:CE3"/>
    <mergeCell ref="CF2:CF3"/>
    <mergeCell ref="CG2:CG3"/>
    <mergeCell ref="CE1:CG1"/>
    <mergeCell ref="BM1:BM3"/>
    <mergeCell ref="BM4:BM6"/>
    <mergeCell ref="A1:A3"/>
    <mergeCell ref="B1:B3"/>
    <mergeCell ref="C1:C3"/>
    <mergeCell ref="D1:D3"/>
    <mergeCell ref="E1:G1"/>
    <mergeCell ref="M2:M3"/>
    <mergeCell ref="N2:N3"/>
    <mergeCell ref="O2:O3"/>
    <mergeCell ref="P2:R2"/>
    <mergeCell ref="H1:AF1"/>
    <mergeCell ref="AG1:AJ1"/>
    <mergeCell ref="AK1:AK3"/>
    <mergeCell ref="AL1:AL3"/>
    <mergeCell ref="AM1:AM3"/>
    <mergeCell ref="AF2:AF3"/>
    <mergeCell ref="V2:X2"/>
    <mergeCell ref="Y2:AA2"/>
    <mergeCell ref="AZ2:AZ3"/>
    <mergeCell ref="AQ4:AQ6"/>
    <mergeCell ref="AV2:AV3"/>
    <mergeCell ref="AX1:BA1"/>
    <mergeCell ref="BA2:BA3"/>
    <mergeCell ref="BA4:BA6"/>
    <mergeCell ref="AZ4:AZ6"/>
    <mergeCell ref="AX2:AX3"/>
    <mergeCell ref="AS2:AS3"/>
    <mergeCell ref="AT2:AT3"/>
    <mergeCell ref="BL1:BL3"/>
    <mergeCell ref="BL4:BL6"/>
    <mergeCell ref="A4:A6"/>
    <mergeCell ref="B4:B6"/>
    <mergeCell ref="C4:C6"/>
    <mergeCell ref="AK4:AK6"/>
    <mergeCell ref="AL4:AL6"/>
    <mergeCell ref="AM4:AM6"/>
    <mergeCell ref="AN2:AN3"/>
    <mergeCell ref="AO2:AO3"/>
    <mergeCell ref="BJ1:BJ3"/>
    <mergeCell ref="E2:E3"/>
    <mergeCell ref="F2:F3"/>
    <mergeCell ref="G2:G3"/>
    <mergeCell ref="H2:H3"/>
    <mergeCell ref="I2:I3"/>
    <mergeCell ref="J2:J3"/>
    <mergeCell ref="K2:K3"/>
    <mergeCell ref="L2:L3"/>
    <mergeCell ref="AR1:AR3"/>
    <mergeCell ref="AW1:AW3"/>
    <mergeCell ref="BB1:BB3"/>
    <mergeCell ref="S2:U2"/>
    <mergeCell ref="AI2:AI3"/>
    <mergeCell ref="AJ2:AJ3"/>
    <mergeCell ref="BD1:BF2"/>
    <mergeCell ref="BG1:BI2"/>
    <mergeCell ref="BC1:BC3"/>
    <mergeCell ref="AB2:AD2"/>
    <mergeCell ref="AE2:AE3"/>
    <mergeCell ref="AH2:AH3"/>
    <mergeCell ref="AG2:AG3"/>
    <mergeCell ref="AY2:AY3"/>
    <mergeCell ref="AP2:AP3"/>
    <mergeCell ref="CH1:CP1"/>
    <mergeCell ref="CH2:CH3"/>
    <mergeCell ref="CI2:CI3"/>
    <mergeCell ref="CJ2:CJ3"/>
    <mergeCell ref="CK2:CK3"/>
    <mergeCell ref="CL2:CL3"/>
    <mergeCell ref="CM2:CM3"/>
    <mergeCell ref="CN2:CN3"/>
    <mergeCell ref="CO2:CO3"/>
    <mergeCell ref="CP2:CP3"/>
    <mergeCell ref="AU2:AU3"/>
    <mergeCell ref="AN1:AQ1"/>
    <mergeCell ref="AQ2:AQ3"/>
    <mergeCell ref="BK1:BK3"/>
    <mergeCell ref="BV1:CA1"/>
    <mergeCell ref="AS1:AV1"/>
    <mergeCell ref="J10:J11"/>
    <mergeCell ref="U10:U11"/>
    <mergeCell ref="N10:N11"/>
    <mergeCell ref="V10:AB10"/>
    <mergeCell ref="A10:A11"/>
    <mergeCell ref="B10:B11"/>
    <mergeCell ref="C10:C11"/>
    <mergeCell ref="D10:D11"/>
    <mergeCell ref="E10:E11"/>
    <mergeCell ref="F10:F11"/>
    <mergeCell ref="G10:G11"/>
    <mergeCell ref="H10:H11"/>
    <mergeCell ref="I10:I11"/>
    <mergeCell ref="T10:T11"/>
    <mergeCell ref="CQ4:CQ6"/>
    <mergeCell ref="CR4:CR6"/>
    <mergeCell ref="R10:R11"/>
    <mergeCell ref="AT4:AT6"/>
    <mergeCell ref="AU4:AU6"/>
    <mergeCell ref="AW4:AW6"/>
    <mergeCell ref="AX4:AX6"/>
    <mergeCell ref="AY4:AY6"/>
    <mergeCell ref="BB4:BB6"/>
    <mergeCell ref="AN4:AN6"/>
    <mergeCell ref="AO4:AO6"/>
    <mergeCell ref="AP4:AP6"/>
    <mergeCell ref="AR4:AR6"/>
    <mergeCell ref="AS4:AS6"/>
    <mergeCell ref="CH4:CH6"/>
    <mergeCell ref="CI4:CI6"/>
    <mergeCell ref="CJ4:CJ6"/>
    <mergeCell ref="CK4:CK6"/>
    <mergeCell ref="CL4:CL6"/>
    <mergeCell ref="CM4:CM6"/>
    <mergeCell ref="CN4:CN6"/>
    <mergeCell ref="CO4:CO6"/>
    <mergeCell ref="CP4:CP6"/>
    <mergeCell ref="AV4:AV6"/>
    <mergeCell ref="DY1:DY3"/>
    <mergeCell ref="DZ1:DZ3"/>
    <mergeCell ref="EA1:EA3"/>
    <mergeCell ref="EB1:EE1"/>
    <mergeCell ref="EF1:EF3"/>
    <mergeCell ref="EG1:EJ1"/>
    <mergeCell ref="DX2:DX3"/>
    <mergeCell ref="EB2:EB3"/>
    <mergeCell ref="EC2:EC3"/>
    <mergeCell ref="ED2:ED3"/>
    <mergeCell ref="EE2:EE3"/>
    <mergeCell ref="EG2:EG3"/>
    <mergeCell ref="EH2:EH3"/>
    <mergeCell ref="EI2:EI3"/>
    <mergeCell ref="EJ2:EJ3"/>
    <mergeCell ref="DJ2:DL2"/>
    <mergeCell ref="DM2:DO2"/>
    <mergeCell ref="DP2:DR2"/>
    <mergeCell ref="DS2:DS3"/>
    <mergeCell ref="DT2:DT3"/>
    <mergeCell ref="DU2:DU3"/>
    <mergeCell ref="DV2:DV3"/>
    <mergeCell ref="DW2:DW3"/>
    <mergeCell ref="CS1:CU1"/>
    <mergeCell ref="CV1:DT1"/>
    <mergeCell ref="DU1:DX1"/>
    <mergeCell ref="CW2:CW3"/>
    <mergeCell ref="CX2:CX3"/>
    <mergeCell ref="CY2:CY3"/>
    <mergeCell ref="CZ2:CZ3"/>
    <mergeCell ref="DA2:DA3"/>
    <mergeCell ref="DB2:DB3"/>
    <mergeCell ref="DC2:DC3"/>
    <mergeCell ref="DD2:DF2"/>
    <mergeCell ref="DG2:DI2"/>
    <mergeCell ref="K10:K11"/>
    <mergeCell ref="O10:O11"/>
    <mergeCell ref="P10:P11"/>
    <mergeCell ref="Q10:Q11"/>
    <mergeCell ref="EL2:EL3"/>
    <mergeCell ref="EM2:EM3"/>
    <mergeCell ref="EN2:EN3"/>
    <mergeCell ref="EO2:EO3"/>
    <mergeCell ref="DY4:DY6"/>
    <mergeCell ref="DZ4:DZ6"/>
    <mergeCell ref="EA4:EA6"/>
    <mergeCell ref="EB4:EB6"/>
    <mergeCell ref="EC4:EC6"/>
    <mergeCell ref="ED4:ED6"/>
    <mergeCell ref="EE4:EE6"/>
    <mergeCell ref="EF4:EF6"/>
    <mergeCell ref="EG4:EG6"/>
    <mergeCell ref="EH4:EH6"/>
    <mergeCell ref="EI4:EI6"/>
    <mergeCell ref="EJ4:EJ6"/>
    <mergeCell ref="EK4:EK6"/>
    <mergeCell ref="EL4:EL6"/>
    <mergeCell ref="EM4:EM6"/>
    <mergeCell ref="EN4:EN6"/>
    <mergeCell ref="CQ2:CQ3"/>
    <mergeCell ref="CR2:CR3"/>
    <mergeCell ref="CQ1:CR1"/>
    <mergeCell ref="L10:L11"/>
    <mergeCell ref="EQ4:EQ6"/>
    <mergeCell ref="ER4:ER6"/>
    <mergeCell ref="ES4:ES6"/>
    <mergeCell ref="ET2:ET3"/>
    <mergeCell ref="ET4:ET6"/>
    <mergeCell ref="EQ1:ES1"/>
    <mergeCell ref="EQ2:EQ3"/>
    <mergeCell ref="ER2:ER3"/>
    <mergeCell ref="ES2:ES3"/>
    <mergeCell ref="EP4:EP6"/>
    <mergeCell ref="S10:S11"/>
    <mergeCell ref="M10:M11"/>
    <mergeCell ref="EO4:EO6"/>
    <mergeCell ref="EK1:EK3"/>
    <mergeCell ref="EL1:EO1"/>
    <mergeCell ref="EP1:EP3"/>
    <mergeCell ref="CS2:CS3"/>
    <mergeCell ref="CT2:CT3"/>
    <mergeCell ref="CU2:CU3"/>
    <mergeCell ref="CV2:CV3"/>
  </mergeCells>
  <conditionalFormatting sqref="AE4:AF6">
    <cfRule type="cellIs" dxfId="3" priority="4" stopIfTrue="1" operator="notEqual">
      <formula>SUM(V4:AC4)</formula>
    </cfRule>
  </conditionalFormatting>
  <conditionalFormatting sqref="DS4:DT6">
    <cfRule type="cellIs" dxfId="2" priority="1" stopIfTrue="1" operator="notEqual">
      <formula>SUM(DJ4:DQ4)</formula>
    </cfRule>
  </conditionalFormatting>
  <dataValidations disablePrompts="1" count="1">
    <dataValidation type="whole" allowBlank="1" showInputMessage="1" showErrorMessage="1" sqref="KG4:KG6 WWW4:WWW6 WNA4:WNA6 WDE4:WDE6 VTI4:VTI6 VJM4:VJM6 UZQ4:UZQ6 UPU4:UPU6 UFY4:UFY6 TWC4:TWC6 TMG4:TMG6 TCK4:TCK6 SSO4:SSO6 SIS4:SIS6 RYW4:RYW6 RPA4:RPA6 RFE4:RFE6 QVI4:QVI6 QLM4:QLM6 QBQ4:QBQ6 PRU4:PRU6 PHY4:PHY6 OYC4:OYC6 OOG4:OOG6 OEK4:OEK6 NUO4:NUO6 NKS4:NKS6 NAW4:NAW6 MRA4:MRA6 MHE4:MHE6 LXI4:LXI6 LNM4:LNM6 LDQ4:LDQ6 KTU4:KTU6 KJY4:KJY6 KAC4:KAC6 JQG4:JQG6 JGK4:JGK6 IWO4:IWO6 IMS4:IMS6 ICW4:ICW6 HTA4:HTA6 HJE4:HJE6 GZI4:GZI6 GPM4:GPM6 GFQ4:GFQ6 FVU4:FVU6 FLY4:FLY6 FCC4:FCC6 ESG4:ESG6 EIK4:EIK6 DYO4:DYO6 DOS4:DOS6 DEW4:DEW6 CVA4:CVA6 CLE4:CLE6 CBI4:CBI6 BRM4:BRM6 BHQ4:BHQ6 AXU4:AXU6 ANY4:ANY6 AEC4:AEC6 UG4:UG6 KK4:KK6 WWS4:WWS6 WMW4:WMW6 WDA4:WDA6 VTE4:VTE6 VJI4:VJI6 UZM4:UZM6 UPQ4:UPQ6 UFU4:UFU6 TVY4:TVY6 TMC4:TMC6 TCG4:TCG6 SSK4:SSK6 SIO4:SIO6 RYS4:RYS6 ROW4:ROW6 RFA4:RFA6 QVE4:QVE6 QLI4:QLI6 QBM4:QBM6 PRQ4:PRQ6 PHU4:PHU6 OXY4:OXY6 OOC4:OOC6 OEG4:OEG6 NUK4:NUK6 NKO4:NKO6 NAS4:NAS6 MQW4:MQW6 MHA4:MHA6 LXE4:LXE6 LNI4:LNI6 LDM4:LDM6 KTQ4:KTQ6 KJU4:KJU6 JZY4:JZY6 JQC4:JQC6 JGG4:JGG6 IWK4:IWK6 IMO4:IMO6 ICS4:ICS6 HSW4:HSW6 HJA4:HJA6 GZE4:GZE6 GPI4:GPI6 GFM4:GFM6 FVQ4:FVQ6 FLU4:FLU6 FBY4:FBY6 ESC4:ESC6 EIG4:EIG6 DYK4:DYK6 DOO4:DOO6 DES4:DES6 CUW4:CUW6 CLA4:CLA6 CBE4:CBE6 BRI4:BRI6 BHM4:BHM6 AXQ4:AXQ6 ANU4:ANU6 ADY4:ADY6 UC4:UC6">
      <formula1>0</formula1>
      <formula2>999999</formula2>
    </dataValidation>
  </dataValidations>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cellIs" priority="6" stopIfTrue="1" operator="notEqual" id="{1172E0D0-3E3B-4299-AA3B-8DDF293BA9C0}">
            <xm:f>SUM('file:///C:\M&amp;E Activities\Junk\Gene Xpert Reporting national\[# Monthly GeneXpert data 2017 (National).xls]January'!#REF!)</xm:f>
            <x14:dxf>
              <font>
                <b/>
                <i val="0"/>
                <color rgb="FFFF0000"/>
              </font>
            </x14:dxf>
          </x14:cfRule>
          <xm:sqref>AF4:AF6</xm:sqref>
        </x14:conditionalFormatting>
        <x14:conditionalFormatting xmlns:xm="http://schemas.microsoft.com/office/excel/2006/main">
          <x14:cfRule type="cellIs" priority="3" stopIfTrue="1" operator="notEqual" id="{BA272F01-790D-425E-9639-4E382D66646A}">
            <xm:f>SUM('file:///C:\M&amp;E Activities\Junk\Gene Xpert Reporting national\[# Monthly GeneXpert data 2017 (National).xls]January'!#REF!)</xm:f>
            <x14:dxf>
              <font>
                <b/>
                <i val="0"/>
                <color rgb="FFFF0000"/>
              </font>
            </x14:dxf>
          </x14:cfRule>
          <xm:sqref>DT4:DT6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148</vt:i4>
      </vt:variant>
    </vt:vector>
  </HeadingPairs>
  <TitlesOfParts>
    <vt:vector size="153"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(Sputum &amp; EP Sample)'!Print_Area</vt:lpstr>
      <vt:lpstr>'DR-TB 10A (Stool)'!Print_Area</vt:lpstr>
      <vt:lpstr>'DR-TB 10B'!Print_Area</vt:lpstr>
      <vt:lpstr>'DR-TB 10B'!Print_Titles</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monem</dc:creator>
  <cp:lastModifiedBy>Ruslan</cp:lastModifiedBy>
  <cp:lastPrinted>2023-03-20T06:59:22Z</cp:lastPrinted>
  <dcterms:created xsi:type="dcterms:W3CDTF">2014-06-08T20:03:38Z</dcterms:created>
  <dcterms:modified xsi:type="dcterms:W3CDTF">2024-04-17T11:08:34Z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b964ba51-541b-4eaa-800e-19e202453531</vt:lpwstr>
  </property>
</Properties>
</file>