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931"/>
  <workbookPr updateLinks="never" defaultThemeVersion="124226"/>
  <mc:AlternateContent xmlns:mc="http://schemas.openxmlformats.org/markup-compatibility/2006">
    <mc:Choice Requires="x15">
      <x15ac:absPath xmlns:x15ac="http://schemas.microsoft.com/office/spreadsheetml/2010/11/ac" url="\\wsl.localhost\Ubuntu-18.04\home\nsabaj\Repositories\aspect\api\templates\results_10a_10b_covid\"/>
    </mc:Choice>
  </mc:AlternateContent>
  <xr:revisionPtr revIDLastSave="0" documentId="13_ncr:1_{290C6A3B-7B38-45B6-BC84-B3893EC58332}" xr6:coauthVersionLast="47" xr6:coauthVersionMax="47" xr10:uidLastSave="{00000000-0000-0000-0000-000000000000}"/>
  <bookViews>
    <workbookView xWindow="-120" yWindow="-120" windowWidth="29040" windowHeight="15720" xr2:uid="{00000000-000D-0000-FFFF-FFFF00000000}"/>
  </bookViews>
  <sheets>
    <sheet name="DR-TB 10A" sheetId="3" r:id="rId1"/>
    <sheet name="DR-TB 10B" sheetId="4" r:id="rId2"/>
    <sheet name="COVID19 Reporting Form" sheetId="6" r:id="rId3"/>
    <sheet name="For NTP Use" sheetId="5" r:id="rId4"/>
  </sheets>
  <externalReferences>
    <externalReference r:id="rId5"/>
  </externalReferences>
  <definedNames>
    <definedName name="_xlnm.Print_Area" localSheetId="0">'DR-TB 10A'!$A$1:$U$49</definedName>
    <definedName name="_xlnm.Print_Area" localSheetId="1">'DR-TB 10B'!$A$1:$O$16</definedName>
    <definedName name="Bagerhat">'DR-TB 10A'!$G$362:$G$367</definedName>
    <definedName name="Bandarban">'DR-TB 10A'!$G$142:$G$145</definedName>
    <definedName name="Barguna">'DR-TB 10A'!$G$101:$G$104</definedName>
    <definedName name="Barisal">'DR-TB 10A'!$G$105:$G$116</definedName>
    <definedName name="Barisal_Division">'DR-TB 10A'!$D$101:$D$106</definedName>
    <definedName name="Bhola">'DR-TB 10A'!$G$117:$G$121</definedName>
    <definedName name="Bogra">'DR-TB 10A'!$G$458:$G$466</definedName>
    <definedName name="Brahmanbaria">'DR-TB 10A'!$G$146:$G$154</definedName>
    <definedName name="Chandpur">'DR-TB 10A'!$G$155:$G$159</definedName>
    <definedName name="Chattogram">'DR-TB 10A'!$G$160:$G$184</definedName>
    <definedName name="Chattogram_Division">'DR-TB 10A'!$D$107:$D$117</definedName>
    <definedName name="Chuadanga">'DR-TB 10A'!$G$368:$G$372</definedName>
    <definedName name="Comilla">'DR-TB 10A'!$G$185:$G$198</definedName>
    <definedName name="Coxs_Bazar">'DR-TB 10A'!$G$200:$G$209</definedName>
    <definedName name="Dhaka">'DR-TB 10A'!$G$238:$G$284</definedName>
    <definedName name="Dhaka_Division">'DR-TB 10A'!$D$118:$D$130</definedName>
    <definedName name="Dinajpur">'DR-TB 10A'!$G$509:$G$517</definedName>
    <definedName name="Faridpur">'DR-TB 10A'!$G$285:$G$290</definedName>
    <definedName name="Feni">'DR-TB 10A'!$G$210:$G$214</definedName>
    <definedName name="Gaibandha">'DR-TB 10A'!$G$518:$G$524</definedName>
    <definedName name="Gazipur">'DR-TB 10A'!$G$292:$G$299</definedName>
    <definedName name="Gopalganj">'DR-TB 10A'!$G$300:$G$304</definedName>
    <definedName name="Habiganj">'DR-TB 10A'!$G$555:$G$564</definedName>
    <definedName name="Jamalpur">'DR-TB 10A'!$G$422:$G$427</definedName>
    <definedName name="Jessore">'DR-TB 10A'!$G$373:$G$380</definedName>
    <definedName name="Jhalakathi">'DR-TB 10A'!$G$126:$G$129</definedName>
    <definedName name="Jhenaidah">'DR-TB 10A'!$G$381:$G$386</definedName>
    <definedName name="Joypurhat">'DR-TB 10A'!$G$472:$G$476</definedName>
    <definedName name="Khagrachari">'DR-TB 10A'!$G$215:$G$218</definedName>
    <definedName name="Khulna">'DR-TB 10A'!$G$387:$G$395</definedName>
    <definedName name="Khulna_Division">'DR-TB 10A'!$D$131:$D$140</definedName>
    <definedName name="Kishoreganj">'DR-TB 10A'!$G$305:$G$311</definedName>
    <definedName name="Kurigram">'DR-TB 10A'!$G$525:$G$529</definedName>
    <definedName name="Kushtia">'DR-TB 10A'!$G$396:$G$400</definedName>
    <definedName name="Lalmonirhat">'DR-TB 10A'!$G$530:$G$534</definedName>
    <definedName name="Laxmipur">'DR-TB 10A'!$G$219:$G$224</definedName>
    <definedName name="Madaripur">'DR-TB 10A'!$G$312:$G$315</definedName>
    <definedName name="Magura">'DR-TB 10A'!$G$401:$G$405</definedName>
    <definedName name="Manikganj">'DR-TB 10A'!$G$316:$G$322</definedName>
    <definedName name="Meherpur">'DR-TB 10A'!$G$406:$G$409</definedName>
    <definedName name="Moulvibazar">'DR-TB 10A'!$G$565:$G$571</definedName>
    <definedName name="Munshiganj">'DR-TB 10A'!$G$323:$G$328</definedName>
    <definedName name="Mymensingh">'DR-TB 10A'!$G$428:$G$442</definedName>
    <definedName name="Mymensingh_Division">'DR-TB 10A'!$D$141:$D$144</definedName>
    <definedName name="Naogaon">'DR-TB 10A'!$G$477:$G$481</definedName>
    <definedName name="Narail">'DR-TB 10A'!$G$410:$G$413</definedName>
    <definedName name="Narayanganj">'DR-TB 10A'!$G$329:$G$335</definedName>
    <definedName name="Narsingdi">'DR-TB 10A'!$G$336:$G$342</definedName>
    <definedName name="Natore">'DR-TB 10A'!$G$482:$G$487</definedName>
    <definedName name="Nawabganj">'DR-TB 10A'!$G$467:$G$471</definedName>
    <definedName name="Netrakona">'DR-TB 10A'!$G$443:$G$451</definedName>
    <definedName name="Nilphamari">'DR-TB 10A'!$G$535:$G$539</definedName>
    <definedName name="Noakhali">'DR-TB 10A'!$G$225:$G$233</definedName>
    <definedName name="Pabna">'DR-TB 10A'!$G$488:$G$493</definedName>
    <definedName name="Panchagarh">'DR-TB 10A'!$G$540:$G$543</definedName>
    <definedName name="Patuakhali">'DR-TB 10A'!$G$130:$G$134</definedName>
    <definedName name="Pirojpur">'DR-TB 10A'!$G$135:$G$141</definedName>
    <definedName name="Rajbari">'DR-TB 10A'!$G$343:$G$347</definedName>
    <definedName name="Rajshahi">'DR-TB 10A'!$G$494:$G$501</definedName>
    <definedName name="Rajshahi_Division">'DR-TB 10A'!$D$145:$D$152</definedName>
    <definedName name="Rangamati">'DR-TB 10A'!$G$234:$G$237</definedName>
    <definedName name="Rangpur">'DR-TB 10A'!$G$544:$G$549</definedName>
    <definedName name="Rangpur_Division">'DR-TB 10A'!$D$153:$D$160</definedName>
    <definedName name="Satkhira">'DR-TB 10A'!$G$414:$G$421</definedName>
    <definedName name="Shariatpur">'DR-TB 10A'!$G$348:$G$351</definedName>
    <definedName name="Sherpur">'DR-TB 10A'!$G$452:$G$457</definedName>
    <definedName name="Sirajganj">'DR-TB 10A'!$G$502:$G$508</definedName>
    <definedName name="Sunamganj">'DR-TB 10A'!$G$572:$G$579</definedName>
    <definedName name="Sylhet">'DR-TB 10A'!$G$580:$G$590</definedName>
    <definedName name="Sylhet_Division">'DR-TB 10A'!$D$161:$D$164</definedName>
    <definedName name="Tangail">'DR-TB 10A'!$G$352:$G$361</definedName>
    <definedName name="Thakurgaon">'DR-TB 10A'!$G$550:$G$554</definedName>
    <definedName name="_xlnm.Print_Titles" localSheetId="1">'DR-TB 10B'!$1:$11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0" i="5" l="1"/>
  <c r="Q10" i="5"/>
  <c r="P10" i="5"/>
  <c r="O10" i="5"/>
  <c r="N10" i="5"/>
  <c r="M10" i="5"/>
  <c r="L10" i="5"/>
  <c r="K10" i="5"/>
  <c r="J10" i="5"/>
  <c r="I10" i="5"/>
  <c r="H10" i="5"/>
  <c r="G10" i="5"/>
  <c r="F10" i="5"/>
  <c r="E10" i="5"/>
  <c r="D10" i="5"/>
  <c r="D8" i="4" l="1"/>
  <c r="N23" i="6" l="1"/>
  <c r="N26" i="6"/>
  <c r="N20" i="6"/>
  <c r="CC1" i="5"/>
  <c r="CB1" i="5"/>
  <c r="CA1" i="5"/>
  <c r="CC4" i="5"/>
  <c r="CB4" i="5"/>
  <c r="CA4" i="5"/>
  <c r="BY4" i="5"/>
  <c r="BZ4" i="5"/>
  <c r="BX4" i="5"/>
  <c r="BW4" i="5"/>
  <c r="BV4" i="5"/>
  <c r="BU4" i="5"/>
  <c r="BT4" i="5"/>
  <c r="BS4" i="5"/>
  <c r="BR4" i="5"/>
  <c r="BQ4" i="5"/>
  <c r="BP4" i="5"/>
  <c r="BO4" i="5"/>
  <c r="BN4" i="5"/>
  <c r="BM4" i="5"/>
  <c r="BL4" i="5"/>
  <c r="BK4" i="5"/>
  <c r="BJ4" i="5"/>
  <c r="BP3" i="5"/>
  <c r="BV2" i="5"/>
  <c r="BT2" i="5"/>
  <c r="BR2" i="5"/>
  <c r="BR1" i="5"/>
  <c r="BL1" i="5"/>
  <c r="BP2" i="5"/>
  <c r="BN2" i="5"/>
  <c r="BL2" i="5"/>
  <c r="BQ3" i="5"/>
  <c r="BO3" i="5"/>
  <c r="BN3" i="5"/>
  <c r="BM3" i="5"/>
  <c r="BL3" i="5"/>
  <c r="BK1" i="5"/>
  <c r="BJ1" i="5"/>
  <c r="O14" i="6"/>
  <c r="L23" i="6"/>
  <c r="L26" i="6"/>
  <c r="L20" i="6"/>
  <c r="J23" i="6"/>
  <c r="J26" i="6"/>
  <c r="J20" i="6"/>
  <c r="E23" i="6"/>
  <c r="E26" i="6"/>
  <c r="E20" i="6"/>
  <c r="C9" i="6"/>
  <c r="C8" i="6"/>
  <c r="C7" i="6"/>
  <c r="BI4" i="5"/>
  <c r="BI1" i="5"/>
  <c r="BH4" i="5"/>
  <c r="BH1" i="5"/>
  <c r="BG4" i="5"/>
  <c r="BG1" i="5"/>
  <c r="P20" i="6" l="1"/>
  <c r="P26" i="6"/>
  <c r="P23" i="6"/>
  <c r="AI6" i="5" l="1"/>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BE4" i="5"/>
  <c r="BD4" i="5"/>
  <c r="BC4" i="5"/>
  <c r="BB4" i="5"/>
  <c r="BA4" i="5"/>
  <c r="AZ4" i="5"/>
  <c r="AT4" i="5"/>
  <c r="AP4" i="5"/>
  <c r="AI4" i="5"/>
  <c r="AH4" i="5"/>
  <c r="AG4" i="5"/>
  <c r="AC4" i="5"/>
  <c r="AB4" i="5"/>
  <c r="AA4" i="5"/>
  <c r="Z4" i="5"/>
  <c r="Y4" i="5"/>
  <c r="X4" i="5"/>
  <c r="W4" i="5"/>
  <c r="V4" i="5"/>
  <c r="U4" i="5"/>
  <c r="T4" i="5"/>
  <c r="S4" i="5"/>
  <c r="R4" i="5"/>
  <c r="Q4" i="5"/>
  <c r="P4" i="5"/>
  <c r="O4" i="5"/>
  <c r="N4" i="5"/>
  <c r="M4" i="5"/>
  <c r="L4" i="5"/>
  <c r="K4" i="5"/>
  <c r="J4" i="5"/>
  <c r="I4" i="5"/>
  <c r="H4" i="5"/>
  <c r="F4" i="5"/>
  <c r="E4" i="5"/>
  <c r="C4" i="5"/>
  <c r="C11" i="5" s="1"/>
  <c r="B4" i="5"/>
  <c r="B11" i="5" s="1"/>
  <c r="A4" i="5"/>
  <c r="A11" i="5" s="1"/>
  <c r="E43" i="3" l="1"/>
  <c r="AJ6" i="5" s="1"/>
  <c r="E41" i="3"/>
  <c r="AJ5" i="5" s="1"/>
  <c r="E39" i="3"/>
  <c r="AJ4" i="5" s="1"/>
  <c r="D32" i="3"/>
  <c r="D29" i="3"/>
  <c r="G5" i="5" s="1"/>
  <c r="D26" i="3"/>
  <c r="F19" i="3"/>
  <c r="AX4" i="5" s="1"/>
  <c r="R18" i="3"/>
  <c r="BF4" i="5" s="1"/>
  <c r="D18" i="3" l="1"/>
  <c r="AO4" i="5" s="1"/>
  <c r="G6" i="5"/>
  <c r="H12" i="3"/>
  <c r="AK4" i="5" s="1"/>
  <c r="G4" i="5"/>
  <c r="D17" i="3"/>
  <c r="AN4" i="5" s="1"/>
  <c r="S32" i="3"/>
  <c r="S29" i="3"/>
  <c r="S26" i="3"/>
  <c r="U29" i="3" l="1"/>
  <c r="AE5" i="5"/>
  <c r="U26" i="3"/>
  <c r="AE4" i="5"/>
  <c r="U32" i="3"/>
  <c r="AE6" i="5"/>
  <c r="D20" i="3"/>
  <c r="AQ4" i="5" s="1"/>
  <c r="E18" i="3" l="1"/>
  <c r="AF6" i="5"/>
  <c r="H13" i="3"/>
  <c r="AF4" i="5"/>
  <c r="E17" i="3"/>
  <c r="AF5" i="5"/>
  <c r="AR4" i="5" l="1"/>
  <c r="F17" i="3"/>
  <c r="AV4" i="5" s="1"/>
  <c r="AL4" i="5"/>
  <c r="E20" i="3"/>
  <c r="AS4" i="5"/>
  <c r="F18" i="3"/>
  <c r="F9" i="4" s="1"/>
  <c r="H14" i="3"/>
  <c r="AM4" i="5" s="1"/>
  <c r="AW4" i="5" l="1"/>
  <c r="AU4" i="5"/>
  <c r="F20" i="3"/>
  <c r="AY4" i="5" s="1"/>
</calcChain>
</file>

<file path=xl/sharedStrings.xml><?xml version="1.0" encoding="utf-8"?>
<sst xmlns="http://schemas.openxmlformats.org/spreadsheetml/2006/main" count="1762" uniqueCount="756">
  <si>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</si>
  <si>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</si>
  <si>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</si>
  <si>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</si>
  <si>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</si>
  <si>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</si>
  <si>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</si>
  <si>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</si>
  <si>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</si>
  <si>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</si>
  <si>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</si>
  <si>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</si>
  <si>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</si>
  <si>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</si>
  <si>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</si>
  <si>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</si>
  <si>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</si>
  <si>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</si>
  <si>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</si>
  <si>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</si>
  <si>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</si>
  <si>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</si>
  <si>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</si>
  <si>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</si>
  <si>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</si>
  <si>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</si>
  <si>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</si>
  <si>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</si>
  <si>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</si>
  <si>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</si>
  <si>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</si>
  <si>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</si>
  <si>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</si>
  <si>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</si>
  <si>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</si>
  <si>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</si>
  <si>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</si>
  <si>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</si>
  <si>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</si>
  <si>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</si>
  <si>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</si>
  <si>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</si>
  <si>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</si>
  <si>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</si>
  <si>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</si>
  <si>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</si>
  <si>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</si>
  <si>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</si>
  <si>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</si>
  <si>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</si>
  <si>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</si>
  <si>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</si>
  <si>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</si>
  <si>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</si>
  <si>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</si>
  <si>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</si>
  <si>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</si>
  <si>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</si>
  <si>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</si>
  <si>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</si>
  <si>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</si>
  <si>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</si>
  <si>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</si>
  <si>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</si>
  <si>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</si>
  <si>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</si>
  <si>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</si>
  <si>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</si>
  <si>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</si>
  <si>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</si>
  <si>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</si>
  <si>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</si>
  <si>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</si>
  <si>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</si>
  <si>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</si>
  <si>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</si>
  <si>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</si>
  <si>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</si>
  <si>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</si>
  <si>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</si>
  <si>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</si>
  <si>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</si>
  <si>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</si>
  <si>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</si>
  <si>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</si>
  <si>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</si>
  <si>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</si>
  <si>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</si>
  <si>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</si>
  <si>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</si>
  <si>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</si>
  <si>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</si>
  <si>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</si>
  <si>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</si>
  <si>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</si>
  <si>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</si>
  <si>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</si>
  <si>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</si>
  <si>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</si>
  <si>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</si>
  <si>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</si>
  <si>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</si>
  <si>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</si>
  <si>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</si>
  <si>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</si>
  <si>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</si>
  <si>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</si>
  <si>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</si>
  <si>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</si>
  <si>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</si>
  <si>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</si>
  <si>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</si>
  <si>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</si>
  <si>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</si>
  <si>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</si>
  <si>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</si>
  <si>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</si>
  <si>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</si>
  <si>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</si>
  <si>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</si>
  <si>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</si>
  <si>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</si>
  <si>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</si>
  <si>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</si>
  <si>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</si>
  <si>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</si>
  <si>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</si>
  <si>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</si>
  <si>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</si>
  <si>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</si>
  <si>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</si>
  <si>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</si>
  <si>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</si>
  <si>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</si>
  <si>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</si>
  <si>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</si>
  <si>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</si>
  <si>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</si>
  <si>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</si>
  <si>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</si>
  <si>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</si>
  <si>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</si>
  <si>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</si>
  <si>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</si>
  <si>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</si>
  <si>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</si>
  <si>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</si>
  <si>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</si>
  <si>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</si>
  <si>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</si>
  <si>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</si>
  <si>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</si>
  <si>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</si>
  <si>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</si>
  <si>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</si>
  <si>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</si>
  <si>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</si>
  <si>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</si>
  <si>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</si>
  <si>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</si>
  <si>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</si>
  <si>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</si>
  <si>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</si>
  <si>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</si>
  <si>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</si>
  <si>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</si>
  <si>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</si>
  <si>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</si>
  <si>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</si>
  <si>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</si>
  <si>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</si>
  <si>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</si>
  <si>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</si>
  <si>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</si>
  <si>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</si>
  <si>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</si>
  <si>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</si>
  <si>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</si>
  <si>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</si>
  <si>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</si>
  <si>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</si>
  <si>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</si>
  <si>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</si>
  <si>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</si>
  <si>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</si>
  <si>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</si>
  <si>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</si>
  <si>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</si>
  <si>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</si>
  <si>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</si>
  <si>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</si>
  <si>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</si>
  <si>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</si>
  <si>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</si>
  <si>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</si>
  <si>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</si>
  <si>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</si>
  <si>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</si>
  <si>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</si>
  <si>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</si>
  <si>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</si>
  <si>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</si>
  <si>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</si>
  <si>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</si>
  <si>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</si>
  <si>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</si>
  <si>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</si>
  <si>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</si>
  <si>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</si>
  <si>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</si>
  <si>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</si>
  <si>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</si>
  <si>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</si>
  <si>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</si>
  <si>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</si>
  <si>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</si>
  <si>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</si>
  <si>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</si>
  <si>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</si>
  <si>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</si>
  <si>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</si>
  <si>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</si>
  <si>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</si>
  <si>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</si>
  <si>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</si>
  <si>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</si>
  <si>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</si>
  <si>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</si>
  <si>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</si>
  <si>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</si>
  <si>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</si>
  <si>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</si>
  <si>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</si>
  <si>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</si>
  <si>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</si>
  <si>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</si>
  <si>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</si>
  <si>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</si>
  <si>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</si>
  <si>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</si>
  <si>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</si>
  <si>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</si>
  <si>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</si>
  <si>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</si>
  <si>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</si>
  <si>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</si>
  <si>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</si>
  <si>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</si>
  <si>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</si>
  <si>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</si>
  <si>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</si>
  <si>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</si>
  <si>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</si>
  <si>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</si>
  <si>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</si>
  <si>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</si>
  <si>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</si>
  <si>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</si>
  <si>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</si>
  <si>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</si>
  <si>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</si>
  <si>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</si>
  <si>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</si>
  <si>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</si>
  <si>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</si>
  <si>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</si>
  <si>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</si>
  <si>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</si>
  <si>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</si>
  <si>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Fill this format as per total RR TB detected cases during the reporting month reported in the form DR TB 10 A</t>
  </si>
  <si>
    <t>Name and address of the reporting Unit:</t>
  </si>
  <si>
    <t>Reporting period:</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</si>
  <si>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</si>
  <si>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</si>
  <si>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</si>
  <si>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</si>
  <si>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</si>
  <si>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</si>
  <si>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</si>
  <si>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</si>
  <si>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 Current status of the patient</t>
  </si>
  <si>
    <t>Remarks</t>
  </si>
  <si>
    <t>**Result of Xpert MTB/RIF: T = MTB detected, Rif resistance not detected, RR = MTB detected, Rif resistance detected, TI =  MTB detected, Rif resistance indeterminate, N  = MTB not detected, I = invalid/ no result/ error</t>
  </si>
  <si>
    <t>Sex
(M/F)</t>
  </si>
  <si>
    <t>Enrollment status                   (Y/N)</t>
  </si>
  <si>
    <t>D) Number of MTB not detected (N):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</si>
  <si>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</si>
  <si>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</si>
  <si>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</si>
  <si>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</si>
  <si>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</si>
  <si>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</si>
  <si>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</si>
  <si>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</si>
  <si>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</si>
  <si>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</si>
  <si>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</si>
  <si>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</si>
  <si>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</si>
  <si>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</si>
  <si>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for DS-TB</t>
  </si>
  <si>
    <t>Number of for DR-TB</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</si>
  <si>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</si>
  <si>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</si>
  <si>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</si>
  <si>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</si>
  <si>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</si>
  <si>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</si>
  <si>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</si>
  <si>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</si>
  <si>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Invalid (I)</t>
  </si>
  <si>
    <t>No result (I)</t>
  </si>
  <si>
    <t>Error (I)</t>
  </si>
  <si>
    <t>Unknown history</t>
  </si>
  <si>
    <t>Prev. treated</t>
  </si>
  <si>
    <t>Tested by Xpert MTB/RIF</t>
  </si>
  <si>
    <t>Name and address of the hospital/ treatment initiation center for enrollment of DR TB treatment</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</si>
  <si>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</si>
  <si>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</si>
  <si>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</si>
  <si>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</si>
  <si>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</si>
  <si>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</si>
  <si>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</si>
  <si>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</si>
  <si>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Shaheed Ziaur Rahman Medical College &amp; Hospital, Bogra</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</si>
  <si>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</si>
  <si>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</si>
  <si>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</si>
  <si>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</si>
  <si>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</si>
  <si>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</si>
  <si>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</si>
  <si>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</si>
  <si>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</si>
  <si>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</si>
  <si>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</si>
  <si>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</si>
  <si>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</si>
  <si>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</si>
  <si>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</si>
  <si>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</si>
  <si>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</si>
  <si>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</si>
  <si>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</si>
  <si>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</si>
  <si>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</si>
  <si>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</si>
  <si>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</si>
  <si>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</si>
  <si>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</si>
  <si>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</si>
  <si>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</si>
  <si>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</si>
  <si>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</si>
  <si>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</si>
  <si>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</si>
  <si>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</si>
  <si>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</si>
  <si>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</si>
  <si>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</si>
  <si>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</si>
  <si>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</si>
  <si>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</si>
  <si>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</si>
  <si>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</si>
  <si>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</si>
  <si>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</si>
  <si>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</si>
  <si>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</si>
  <si>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</si>
  <si>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</si>
  <si>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</si>
  <si>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</si>
  <si>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</si>
  <si>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</si>
  <si>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</si>
  <si>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</si>
  <si>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</si>
  <si>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</si>
  <si>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</si>
  <si>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</si>
  <si>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</si>
  <si>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</si>
  <si>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</si>
  <si>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</si>
  <si>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</si>
  <si>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</si>
  <si>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</si>
  <si>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</si>
  <si>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</si>
  <si>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</si>
  <si>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</si>
  <si>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</si>
  <si>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</si>
  <si>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</si>
  <si>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</si>
  <si>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</si>
  <si>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</si>
  <si>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</si>
  <si>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BGB Head Quarter, Pilkhana, Dhaka</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</si>
  <si>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</si>
  <si>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</si>
  <si>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</si>
  <si>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</si>
  <si>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</si>
  <si>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</si>
  <si>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</si>
  <si>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</si>
  <si>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</si>
  <si>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</si>
  <si>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</si>
  <si>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</si>
  <si>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</si>
  <si>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</si>
  <si>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</si>
  <si>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</si>
  <si>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</si>
  <si>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</si>
  <si>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</si>
  <si>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</si>
  <si>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</si>
  <si>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</si>
  <si>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</si>
  <si>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</si>
  <si>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</si>
  <si>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</si>
  <si>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</si>
  <si>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</si>
  <si>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</si>
  <si>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</si>
  <si>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</si>
  <si>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</si>
  <si>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</si>
  <si>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</si>
  <si>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</si>
  <si>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</si>
  <si>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</si>
  <si>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</si>
  <si>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</si>
  <si>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</si>
  <si>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</si>
  <si>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</si>
  <si>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</si>
  <si>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</si>
  <si>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</si>
  <si>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</si>
  <si>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</si>
  <si>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</si>
  <si>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</si>
  <si>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</si>
  <si>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</si>
  <si>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</si>
  <si>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</si>
  <si>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</si>
  <si>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</si>
  <si>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</si>
  <si>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</si>
  <si>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</si>
  <si>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</si>
  <si>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</si>
  <si>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</si>
  <si>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</si>
  <si>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</si>
  <si>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</si>
  <si>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</si>
  <si>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</si>
  <si>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</si>
  <si>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</si>
  <si>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</si>
  <si>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</si>
  <si>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</si>
  <si>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</si>
  <si>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</si>
  <si>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</si>
  <si>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</si>
  <si>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</si>
  <si>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</si>
  <si>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</si>
  <si>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</si>
  <si>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</si>
  <si>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</si>
  <si>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</si>
  <si>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</si>
  <si>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</si>
  <si>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</si>
  <si>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</si>
  <si>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</si>
  <si>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</si>
  <si>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</si>
  <si>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</si>
  <si>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</si>
  <si>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</si>
  <si>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</si>
  <si>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</si>
  <si>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</si>
  <si>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</si>
  <si>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</si>
  <si>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</si>
  <si>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</si>
  <si>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</si>
  <si>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</si>
  <si>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</si>
  <si>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</si>
  <si>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</si>
  <si>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</si>
  <si>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</si>
  <si>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</si>
  <si>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</si>
  <si>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</si>
  <si>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</si>
  <si>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</si>
  <si>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</si>
  <si>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</si>
  <si>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</si>
  <si>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</si>
  <si>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</si>
  <si>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</si>
  <si>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</si>
  <si>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</si>
  <si>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</si>
  <si>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</si>
  <si>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</si>
  <si>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</si>
  <si>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</si>
  <si>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</si>
  <si>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</si>
  <si>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</si>
  <si>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</si>
  <si>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</si>
  <si>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</si>
  <si>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</si>
  <si>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</si>
  <si>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</si>
  <si>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</si>
  <si>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</si>
  <si>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</si>
  <si>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</si>
  <si>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</si>
  <si>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</si>
  <si>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</si>
  <si>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</si>
  <si>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</si>
  <si>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</si>
  <si>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</si>
  <si>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</si>
  <si>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</si>
  <si>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</si>
  <si>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</si>
  <si>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</si>
  <si>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</si>
  <si>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</si>
  <si>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</si>
  <si>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</si>
  <si>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</si>
  <si>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</si>
  <si>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</si>
  <si>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</si>
  <si>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</si>
  <si>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</si>
  <si>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</si>
  <si>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</si>
  <si>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</si>
  <si>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</si>
  <si>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</si>
  <si>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</si>
  <si>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</si>
  <si>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</si>
  <si>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</si>
  <si>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</si>
  <si>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</si>
  <si>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</si>
  <si>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</si>
  <si>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</si>
  <si>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</si>
  <si>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</si>
  <si>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</si>
  <si>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</si>
  <si>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</si>
  <si>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</si>
  <si>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</si>
  <si>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</si>
  <si>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</si>
  <si>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</si>
  <si>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</si>
  <si>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</si>
  <si>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</si>
  <si>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</si>
  <si>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</si>
  <si>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</si>
  <si>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</si>
  <si>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</si>
  <si>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</si>
  <si>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</si>
  <si>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</si>
  <si>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</si>
  <si>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</si>
  <si>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</si>
  <si>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</si>
  <si>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</si>
  <si>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</si>
  <si>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</si>
  <si>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</si>
  <si>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</si>
  <si>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</si>
  <si>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</si>
  <si>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</si>
  <si>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</si>
  <si>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</si>
  <si>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</si>
  <si>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</si>
  <si>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</si>
  <si>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</si>
  <si>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</si>
  <si>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</si>
  <si>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</si>
  <si>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</si>
  <si>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</si>
  <si>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</si>
  <si>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</si>
  <si>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</si>
  <si>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</si>
  <si>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</si>
  <si>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</si>
  <si>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</si>
  <si>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</si>
  <si>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</si>
  <si>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</si>
  <si>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</si>
  <si>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</si>
  <si>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</si>
  <si>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</si>
  <si>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</si>
  <si>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</si>
  <si>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</si>
  <si>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</si>
  <si>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</si>
  <si>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</si>
  <si>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</si>
  <si>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</si>
  <si>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</si>
  <si>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</si>
  <si>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</si>
  <si>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</si>
  <si>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</si>
  <si>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</si>
  <si>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</si>
  <si>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</si>
  <si>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</si>
  <si>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</si>
  <si>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</si>
  <si>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</si>
  <si>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</si>
  <si>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</si>
  <si>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</si>
  <si>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</si>
  <si>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</si>
  <si>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</si>
  <si>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</si>
  <si>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</si>
  <si>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</si>
  <si>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</si>
  <si>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</si>
  <si>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</si>
  <si>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</si>
  <si>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</si>
  <si>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</si>
  <si>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</si>
  <si>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</si>
  <si>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</si>
  <si>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</si>
  <si>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</si>
  <si>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</si>
  <si>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</si>
  <si>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</si>
  <si>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</si>
  <si>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</si>
  <si>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</si>
  <si>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</si>
  <si>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</si>
  <si>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</si>
  <si>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</si>
  <si>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</si>
  <si>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</si>
  <si>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</si>
  <si>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</si>
  <si>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</si>
  <si>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</si>
  <si>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</si>
  <si>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</si>
  <si>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</si>
  <si>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</si>
  <si>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</si>
  <si>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</si>
  <si>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</si>
  <si>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***Example: died(With Date), absconded/Lost to follow up, under treatment etc.</t>
  </si>
  <si>
    <t xml:space="preserve">                                               Directorate General of Health Services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</si>
  <si>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</si>
  <si>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</si>
  <si>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</si>
  <si>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</si>
  <si>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</si>
  <si>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</si>
  <si>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</si>
  <si>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</si>
  <si>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</si>
  <si>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</si>
  <si>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</si>
  <si>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</si>
  <si>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</si>
  <si>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</si>
  <si>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</si>
  <si>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</si>
  <si>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</si>
  <si>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</si>
  <si>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</si>
  <si>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</si>
  <si>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</si>
  <si>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</si>
  <si>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</si>
  <si>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</si>
  <si>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</si>
  <si>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DNCCC,Mohakhali</t>
  </si>
  <si>
    <t>Sirajganj Sadar Hospital</t>
  </si>
  <si>
    <t>UHC sarishabari, Jamalpur</t>
  </si>
  <si>
    <t>ICDDRB: Lokkhipur</t>
  </si>
  <si>
    <t xml:space="preserve">                    Government of the People's Republic of Bangladesh</t>
  </si>
  <si>
    <t>Form DR TB 10B</t>
  </si>
  <si>
    <t xml:space="preserve">                    National TB Control Program</t>
  </si>
  <si>
    <t xml:space="preserve">                    Programmatic Management of Drug Resistant Tuberculosis (PMDT)</t>
  </si>
  <si>
    <t xml:space="preserve">                    Drug Resistant Cases by Xpert MTB/RIF</t>
  </si>
  <si>
    <t>&lt;Table&gt;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</si>
  <si>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</si>
  <si>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</si>
  <si>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</si>
  <si>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</si>
  <si>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</si>
  <si>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</si>
  <si>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</si>
  <si>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</si>
  <si>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</si>
  <si>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</si>
  <si>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</si>
  <si>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</si>
  <si>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</si>
  <si>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</si>
  <si>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</si>
  <si>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</si>
  <si>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Report on Xpert MTB/RIF Results</t>
  </si>
  <si>
    <t xml:space="preserve"> Programmatic Management of Drug Resistant Tuberculosis (PMDT)</t>
  </si>
  <si>
    <t>National TB Control Programme</t>
  </si>
  <si>
    <t>Government of the People's Republic of Bangladesh</t>
  </si>
  <si>
    <t>&lt;Dates&gt;</t>
  </si>
  <si>
    <t xml:space="preserve">                    Report of Enrolment status of Detected </t>
  </si>
  <si>
    <t xml:space="preserve">Number of total RR TB detected in the reporting period: </t>
  </si>
  <si>
    <t>Report on Xpert COVID19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</si>
</sst>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00_);_(&quot;$&quot;* \(#,##0.00\);_(&quot;$&quot;* &quot;-&quot;??_);_(@_)"/>
    <numFmt numFmtId="165" formatCode="dd\/mm\/yyyy"/>
    <numFmt numFmtId="166" formatCode="dd/mm/yyyy"/>
    <numFmt numFmtId="167" formatCode="[$-409]General"/>
    <numFmt numFmtId="168" formatCode="[$$-409]#,##0.00;[Red]&quot;-&quot;[$$-409]#,##0.00"/>
  </numFmts>
  <fonts count="68" x14ac:knownFonts="1">
    <font>
      <sz val="11"/>
      <color theme="1"/>
      <name val="Arial"/>
      <family val="2"/>
      <charset val="1"/>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Arial"/>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0"/>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sz val="11"/>
      <name val="Calibri"/>
      <family val="2"/>
    </font>
    <font>
      <sz val="9"/>
      <name val="Arial"/>
      <family val="2"/>
      <scheme val="minor"/>
    </font>
    <font>
      <b/>
      <sz val="11"/>
      <color theme="1"/>
      <name val="Arial"/>
      <family val="2"/>
      <scheme val="minor"/>
    </font>
    <font>
      <b/>
      <sz val="11"/>
      <color theme="1"/>
      <name val="Arial"/>
      <family val="2"/>
    </font>
    <font>
      <sz val="11"/>
      <color theme="1"/>
      <name val="Arial"/>
      <family val="2"/>
    </font>
    <font>
      <sz val="11"/>
      <color indexed="8"/>
      <name val="Times New Roman"/>
      <family val="1"/>
    </font>
    <font>
      <sz val="11"/>
      <color theme="1"/>
      <name val="Arial"/>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
      <b/>
      <sz val="11"/>
      <name val="Arial"/>
      <family val="2"/>
      <scheme val="minor"/>
    </font>
    <font>
      <sz val="11"/>
      <name val="Arial Narrow"/>
      <family val="2"/>
    </font>
    <font>
      <sz val="12"/>
      <color indexed="63"/>
      <name val="Arial"/>
      <family val="2"/>
    </font>
    <font>
      <b/>
      <sz val="12"/>
      <color indexed="63"/>
      <name val="Arial"/>
      <family val="2"/>
    </font>
    <font>
      <b/>
      <sz val="11"/>
      <color rgb="FF000000"/>
      <name val="Arial Narrow"/>
      <family val="2"/>
    </font>
  </fonts>
  <fills count="11">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79998168889431442"/>
        <bgColor indexed="64"/>
      </patternFill>
    </fill>
  </fills>
  <borders count="7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1">
    <xf numFmtId="0" fontId="0" fillId="0" borderId="0"/>
    <xf numFmtId="0" fontId="20" fillId="0" borderId="0"/>
    <xf numFmtId="0" fontId="35" fillId="0" borderId="0"/>
    <xf numFmtId="0" fontId="3" fillId="0" borderId="0"/>
    <xf numFmtId="0" fontId="49" fillId="0" borderId="0"/>
    <xf numFmtId="0" fontId="47" fillId="0" borderId="0"/>
    <xf numFmtId="167" fontId="35" fillId="0" borderId="0"/>
    <xf numFmtId="0" fontId="50" fillId="0" borderId="0">
      <alignment horizontal="center"/>
    </xf>
    <xf numFmtId="0" fontId="50" fillId="0" borderId="0">
      <alignment horizontal="center" textRotation="90"/>
    </xf>
    <xf numFmtId="0" fontId="3" fillId="0" borderId="0"/>
    <xf numFmtId="167" fontId="35" fillId="0" borderId="0"/>
    <xf numFmtId="167" fontId="35" fillId="0" borderId="0"/>
    <xf numFmtId="0" fontId="47" fillId="0" borderId="0"/>
    <xf numFmtId="0" fontId="51" fillId="0" borderId="0"/>
    <xf numFmtId="168" fontId="5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380">
    <xf numFmtId="0" fontId="0" fillId="0" borderId="0" xfId="0"/>
    <xf numFmtId="0" fontId="17" fillId="0" borderId="0" xfId="0" applyFont="1" applyAlignment="1" applyProtection="1">
      <alignment vertical="center"/>
      <protection hidden="1"/>
    </xf>
    <xf numFmtId="0" fontId="7" fillId="0" borderId="0" xfId="0" applyFont="1" applyAlignment="1" applyProtection="1">
      <alignment vertical="center"/>
      <protection hidden="1"/>
    </xf>
    <xf numFmtId="0" fontId="21" fillId="0" borderId="0" xfId="0" applyFont="1" applyProtection="1">
      <protection hidden="1"/>
    </xf>
    <xf numFmtId="0" fontId="14" fillId="0" borderId="0" xfId="0" applyFont="1" applyAlignment="1" applyProtection="1">
      <alignment vertical="center"/>
      <protection hidden="1"/>
    </xf>
    <xf numFmtId="0" fontId="16" fillId="0" borderId="0" xfId="0" applyFont="1" applyAlignment="1" applyProtection="1">
      <alignment vertical="center"/>
      <protection hidden="1"/>
    </xf>
    <xf numFmtId="0" fontId="17" fillId="0" borderId="0" xfId="0" applyFont="1" applyAlignment="1" applyProtection="1">
      <alignment horizontal="left" vertical="center"/>
      <protection hidden="1"/>
    </xf>
    <xf numFmtId="0" fontId="22" fillId="0" borderId="0" xfId="0" applyFont="1" applyAlignment="1" applyProtection="1">
      <alignment vertical="center"/>
      <protection hidden="1"/>
    </xf>
    <xf numFmtId="0" fontId="16" fillId="0" borderId="0" xfId="0" applyFont="1" applyAlignment="1" applyProtection="1">
      <alignment horizontal="left" vertical="center"/>
      <protection hidden="1"/>
    </xf>
    <xf numFmtId="0" fontId="16" fillId="0" borderId="0" xfId="0" applyFont="1" applyAlignment="1" applyProtection="1">
      <protection hidden="1"/>
    </xf>
    <xf numFmtId="0" fontId="10" fillId="0" borderId="0" xfId="0" applyFont="1" applyProtection="1">
      <protection hidden="1"/>
    </xf>
    <xf numFmtId="0" fontId="15" fillId="0" borderId="1" xfId="0" applyFont="1" applyBorder="1" applyAlignment="1" applyProtection="1">
      <alignment horizontal="left" vertical="center"/>
      <protection hidden="1"/>
    </xf>
    <xf numFmtId="0" fontId="15" fillId="0" borderId="4" xfId="0" applyFont="1" applyBorder="1" applyAlignment="1" applyProtection="1">
      <alignment horizontal="left" vertical="center"/>
      <protection hidden="1"/>
    </xf>
    <xf numFmtId="0" fontId="23" fillId="0" borderId="10" xfId="0" applyFont="1" applyBorder="1" applyAlignment="1" applyProtection="1">
      <alignment vertical="center"/>
      <protection hidden="1"/>
    </xf>
    <xf numFmtId="0" fontId="24" fillId="0" borderId="0" xfId="0" applyFont="1" applyProtection="1">
      <protection hidden="1"/>
    </xf>
    <xf numFmtId="0" fontId="23" fillId="0" borderId="0" xfId="0" applyFont="1" applyProtection="1">
      <protection hidden="1"/>
    </xf>
    <xf numFmtId="0" fontId="23" fillId="0" borderId="0" xfId="0" applyFont="1" applyAlignment="1" applyProtection="1">
      <alignment horizontal="right"/>
      <protection hidden="1"/>
    </xf>
    <xf numFmtId="0" fontId="21" fillId="0" borderId="0" xfId="0" applyFont="1" applyBorder="1" applyAlignment="1" applyProtection="1">
      <alignment vertical="center"/>
      <protection hidden="1"/>
    </xf>
    <xf numFmtId="0" fontId="21" fillId="0" borderId="0" xfId="0" applyFont="1" applyBorder="1" applyProtection="1">
      <protection hidden="1"/>
    </xf>
    <xf numFmtId="0" fontId="9" fillId="0" borderId="10" xfId="0" applyFont="1" applyFill="1" applyBorder="1" applyAlignment="1" applyProtection="1">
      <alignment horizontal="center" vertical="center" wrapText="1"/>
      <protection hidden="1"/>
    </xf>
    <xf numFmtId="0" fontId="29" fillId="0" borderId="41" xfId="0" applyFont="1" applyBorder="1" applyAlignment="1" applyProtection="1">
      <alignment horizontal="center" vertical="center" wrapText="1"/>
      <protection hidden="1"/>
    </xf>
    <xf numFmtId="0" fontId="26" fillId="0" borderId="21" xfId="0" applyFont="1" applyFill="1" applyBorder="1" applyAlignment="1" applyProtection="1">
      <alignment horizontal="center" vertical="center" wrapText="1"/>
      <protection hidden="1"/>
    </xf>
    <xf numFmtId="0" fontId="16" fillId="0" borderId="0" xfId="0" applyFont="1" applyAlignment="1" applyProtection="1">
      <alignment horizontal="left"/>
      <protection hidden="1"/>
    </xf>
    <xf numFmtId="0" fontId="10" fillId="0" borderId="0" xfId="0" applyFont="1" applyBorder="1" applyProtection="1">
      <protection hidden="1"/>
    </xf>
    <xf numFmtId="0" fontId="10" fillId="0" borderId="34" xfId="0" applyFont="1" applyBorder="1" applyProtection="1">
      <protection hidden="1"/>
    </xf>
    <xf numFmtId="0" fontId="18" fillId="0" borderId="0" xfId="0" applyFont="1" applyFill="1" applyBorder="1" applyAlignment="1" applyProtection="1">
      <alignment horizontal="center" vertical="center"/>
      <protection hidden="1"/>
    </xf>
    <xf numFmtId="0" fontId="16" fillId="0" borderId="0" xfId="0" applyFont="1" applyBorder="1" applyAlignment="1" applyProtection="1">
      <alignment horizontal="left"/>
      <protection hidden="1"/>
    </xf>
    <xf numFmtId="0" fontId="16" fillId="0" borderId="2" xfId="0" applyFont="1" applyBorder="1" applyAlignment="1" applyProtection="1">
      <alignment horizontal="left"/>
      <protection hidden="1"/>
    </xf>
    <xf numFmtId="0" fontId="10" fillId="0" borderId="2" xfId="0" applyFont="1" applyBorder="1" applyProtection="1">
      <protection hidden="1"/>
    </xf>
    <xf numFmtId="0" fontId="10" fillId="0" borderId="3" xfId="0" applyFont="1" applyBorder="1" applyProtection="1">
      <protection hidden="1"/>
    </xf>
    <xf numFmtId="0" fontId="10" fillId="0" borderId="5" xfId="0" applyFont="1" applyBorder="1" applyProtection="1">
      <protection hidden="1"/>
    </xf>
    <xf numFmtId="0" fontId="21" fillId="0" borderId="9" xfId="0" applyFont="1" applyBorder="1" applyProtection="1">
      <protection hidden="1"/>
    </xf>
    <xf numFmtId="0" fontId="10" fillId="0" borderId="7" xfId="0" applyFont="1" applyBorder="1" applyProtection="1">
      <protection hidden="1"/>
    </xf>
    <xf numFmtId="0" fontId="10" fillId="0" borderId="8" xfId="0" applyFont="1" applyBorder="1" applyProtection="1">
      <protection hidden="1"/>
    </xf>
    <xf numFmtId="0" fontId="16" fillId="0" borderId="6" xfId="0" applyFont="1" applyBorder="1" applyAlignment="1" applyProtection="1">
      <alignment horizontal="left"/>
      <protection hidden="1"/>
    </xf>
    <xf numFmtId="0" fontId="16" fillId="0" borderId="7" xfId="0" applyFont="1" applyBorder="1" applyAlignment="1" applyProtection="1">
      <alignment horizontal="left"/>
      <protection hidden="1"/>
    </xf>
    <xf numFmtId="0" fontId="21" fillId="0" borderId="7" xfId="0" applyFont="1" applyBorder="1" applyProtection="1">
      <protection hidden="1"/>
    </xf>
    <xf numFmtId="0" fontId="9" fillId="0" borderId="0" xfId="0" applyFont="1" applyProtection="1">
      <protection hidden="1"/>
    </xf>
    <xf numFmtId="0" fontId="22" fillId="0" borderId="9" xfId="0" applyFont="1" applyFill="1" applyBorder="1" applyAlignment="1" applyProtection="1">
      <alignment horizontal="center" vertical="center" shrinkToFit="1"/>
      <protection locked="0"/>
    </xf>
    <xf numFmtId="0" fontId="22" fillId="0" borderId="11" xfId="0" applyFont="1" applyFill="1" applyBorder="1" applyAlignment="1" applyProtection="1">
      <alignment horizontal="center" vertical="center" shrinkToFit="1"/>
      <protection locked="0"/>
    </xf>
    <xf numFmtId="0" fontId="22" fillId="0" borderId="12" xfId="0" applyFont="1" applyFill="1" applyBorder="1" applyAlignment="1" applyProtection="1">
      <alignment horizontal="center" vertical="center" shrinkToFit="1"/>
      <protection locked="0"/>
    </xf>
    <xf numFmtId="0" fontId="22" fillId="2" borderId="12" xfId="0" applyFont="1" applyFill="1" applyBorder="1" applyAlignment="1" applyProtection="1">
      <alignment horizontal="center" vertical="center" shrinkToFit="1"/>
      <protection hidden="1"/>
    </xf>
    <xf numFmtId="0" fontId="22" fillId="2" borderId="13" xfId="0" applyFont="1" applyFill="1" applyBorder="1" applyAlignment="1" applyProtection="1">
      <alignment horizontal="center" vertical="center" shrinkToFit="1"/>
      <protection hidden="1"/>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9" fillId="0" borderId="9" xfId="0" applyFont="1" applyFill="1" applyBorder="1" applyAlignment="1" applyProtection="1">
      <alignment horizontal="center" vertical="center" wrapText="1"/>
      <protection hidden="1"/>
    </xf>
    <xf numFmtId="0" fontId="25" fillId="0" borderId="0" xfId="0" applyFont="1" applyFill="1" applyBorder="1" applyAlignment="1" applyProtection="1">
      <alignment horizontal="center" vertical="center"/>
      <protection hidden="1"/>
    </xf>
    <xf numFmtId="0" fontId="23" fillId="0" borderId="0" xfId="0" applyFont="1" applyBorder="1" applyAlignment="1" applyProtection="1">
      <alignment horizontal="center" vertical="center" wrapText="1"/>
      <protection hidden="1"/>
    </xf>
    <xf numFmtId="0" fontId="16" fillId="0" borderId="14" xfId="0" applyFont="1" applyFill="1" applyBorder="1" applyAlignment="1" applyProtection="1">
      <alignment horizontal="center" vertical="center" wrapText="1"/>
      <protection locked="0"/>
    </xf>
    <xf numFmtId="0" fontId="16" fillId="0" borderId="15" xfId="0" applyFont="1" applyFill="1" applyBorder="1" applyAlignment="1" applyProtection="1">
      <alignment horizontal="center" vertical="center" wrapText="1"/>
      <protection locked="0"/>
    </xf>
    <xf numFmtId="0" fontId="15" fillId="0" borderId="9" xfId="0" applyFont="1" applyFill="1" applyBorder="1" applyAlignment="1" applyProtection="1">
      <alignment horizontal="center" vertical="center"/>
      <protection locked="0"/>
    </xf>
    <xf numFmtId="0" fontId="9" fillId="0" borderId="23" xfId="0" applyFont="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6" fillId="0" borderId="67" xfId="0" applyFont="1" applyFill="1" applyBorder="1" applyAlignment="1" applyProtection="1">
      <alignment horizontal="center" vertical="center" wrapText="1"/>
      <protection locked="0"/>
    </xf>
    <xf numFmtId="0" fontId="27" fillId="0" borderId="22" xfId="0" applyFont="1" applyFill="1" applyBorder="1" applyAlignment="1" applyProtection="1">
      <alignment horizontal="center" vertical="center" wrapText="1"/>
      <protection hidden="1"/>
    </xf>
    <xf numFmtId="0" fontId="10" fillId="0" borderId="23" xfId="0" applyFont="1" applyFill="1" applyBorder="1" applyAlignment="1" applyProtection="1">
      <alignment horizontal="center" vertical="center" shrinkToFit="1"/>
      <protection locked="0"/>
    </xf>
    <xf numFmtId="0" fontId="10" fillId="0" borderId="12" xfId="0" applyFont="1" applyFill="1" applyBorder="1" applyAlignment="1" applyProtection="1">
      <alignment horizontal="center" vertical="center" shrinkToFit="1"/>
      <protection locked="0"/>
    </xf>
    <xf numFmtId="0" fontId="30" fillId="0" borderId="22" xfId="0" applyFont="1" applyBorder="1" applyAlignment="1" applyProtection="1">
      <alignment horizontal="center" vertical="center"/>
      <protection hidden="1"/>
    </xf>
    <xf numFmtId="0" fontId="33" fillId="0" borderId="9"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0" fontId="10" fillId="0" borderId="55" xfId="0" applyFont="1" applyBorder="1" applyAlignment="1" applyProtection="1">
      <alignment horizontal="center" vertical="center"/>
      <protection locked="0"/>
    </xf>
    <xf numFmtId="165" fontId="7" fillId="0" borderId="57" xfId="0" applyNumberFormat="1" applyFont="1" applyFill="1" applyBorder="1" applyAlignment="1" applyProtection="1">
      <alignment horizontal="center" vertical="center"/>
      <protection hidden="1"/>
    </xf>
    <xf numFmtId="0" fontId="16" fillId="0" borderId="57" xfId="0" applyFont="1" applyBorder="1" applyAlignment="1" applyProtection="1">
      <alignment vertical="center"/>
      <protection hidden="1"/>
    </xf>
    <xf numFmtId="0" fontId="22" fillId="0" borderId="9" xfId="0" applyFont="1" applyBorder="1" applyProtection="1">
      <protection hidden="1"/>
    </xf>
    <xf numFmtId="0" fontId="34" fillId="0" borderId="9" xfId="0" applyFont="1" applyBorder="1" applyProtection="1">
      <protection hidden="1"/>
    </xf>
    <xf numFmtId="0" fontId="0" fillId="0" borderId="0" xfId="0" applyProtection="1">
      <protection hidden="1"/>
    </xf>
    <xf numFmtId="0" fontId="0" fillId="0" borderId="9" xfId="0" applyBorder="1" applyProtection="1">
      <protection hidden="1"/>
    </xf>
    <xf numFmtId="0" fontId="18" fillId="3" borderId="22" xfId="0" applyFont="1" applyFill="1" applyBorder="1" applyAlignment="1" applyProtection="1">
      <alignment horizontal="center" vertical="center"/>
    </xf>
    <xf numFmtId="0" fontId="18" fillId="3" borderId="11" xfId="0" applyFont="1" applyFill="1" applyBorder="1" applyAlignment="1" applyProtection="1">
      <alignment horizontal="center" vertical="center"/>
    </xf>
    <xf numFmtId="0" fontId="31" fillId="3" borderId="13" xfId="0" applyFont="1" applyFill="1" applyBorder="1" applyAlignment="1" applyProtection="1">
      <alignment horizontal="center" vertical="center"/>
    </xf>
    <xf numFmtId="0" fontId="32" fillId="3" borderId="9" xfId="0" applyFont="1" applyFill="1" applyBorder="1" applyAlignment="1" applyProtection="1">
      <alignment horizontal="center" vertical="center"/>
    </xf>
    <xf numFmtId="0" fontId="31" fillId="3" borderId="11" xfId="0" applyFont="1" applyFill="1" applyBorder="1" applyAlignment="1" applyProtection="1">
      <alignment horizontal="center" vertical="center"/>
    </xf>
    <xf numFmtId="0" fontId="15" fillId="3" borderId="9" xfId="0" applyFont="1" applyFill="1" applyBorder="1" applyAlignment="1" applyProtection="1">
      <alignment horizontal="center" vertical="center"/>
    </xf>
    <xf numFmtId="0" fontId="33" fillId="3" borderId="9" xfId="0" applyFont="1" applyFill="1" applyBorder="1" applyAlignment="1" applyProtection="1">
      <alignment horizontal="center" vertical="center"/>
    </xf>
    <xf numFmtId="0" fontId="15" fillId="3" borderId="12" xfId="0" applyFont="1" applyFill="1" applyBorder="1" applyAlignment="1" applyProtection="1">
      <alignment horizontal="center" vertical="center"/>
    </xf>
    <xf numFmtId="0" fontId="33" fillId="3" borderId="12" xfId="0" applyFont="1" applyFill="1" applyBorder="1" applyAlignment="1" applyProtection="1">
      <alignment horizontal="center" vertical="center"/>
    </xf>
    <xf numFmtId="0" fontId="36" fillId="0" borderId="0" xfId="2" applyFont="1" applyAlignment="1" applyProtection="1">
      <protection hidden="1"/>
    </xf>
    <xf numFmtId="0" fontId="35" fillId="0" borderId="0" xfId="2" applyProtection="1">
      <protection hidden="1"/>
    </xf>
    <xf numFmtId="0" fontId="37" fillId="0" borderId="0" xfId="2" applyFont="1" applyAlignment="1" applyProtection="1">
      <protection hidden="1"/>
    </xf>
    <xf numFmtId="0" fontId="35" fillId="0" borderId="0" xfId="2" applyAlignment="1" applyProtection="1">
      <alignment horizontal="right"/>
      <protection hidden="1"/>
    </xf>
    <xf numFmtId="0" fontId="38" fillId="0" borderId="0" xfId="2" applyFont="1" applyProtection="1">
      <protection hidden="1"/>
    </xf>
    <xf numFmtId="0" fontId="29" fillId="0" borderId="0" xfId="2" applyFont="1" applyAlignment="1" applyProtection="1">
      <alignment horizontal="left"/>
      <protection hidden="1"/>
    </xf>
    <xf numFmtId="0" fontId="16" fillId="0" borderId="0" xfId="2" applyFont="1" applyAlignment="1" applyProtection="1">
      <alignment horizontal="left" vertical="center"/>
      <protection hidden="1"/>
    </xf>
    <xf numFmtId="0" fontId="29" fillId="0" borderId="0" xfId="2" applyFont="1" applyAlignment="1" applyProtection="1">
      <protection hidden="1"/>
    </xf>
    <xf numFmtId="0" fontId="16" fillId="0" borderId="0" xfId="2" applyFont="1" applyAlignment="1" applyProtection="1">
      <alignment vertical="center"/>
      <protection hidden="1"/>
    </xf>
    <xf numFmtId="0" fontId="35" fillId="0" borderId="0" xfId="2" applyBorder="1" applyProtection="1">
      <protection hidden="1"/>
    </xf>
    <xf numFmtId="0" fontId="37" fillId="0" borderId="0" xfId="2" applyFont="1" applyAlignment="1" applyProtection="1">
      <alignment vertical="center"/>
      <protection hidden="1"/>
    </xf>
    <xf numFmtId="0" fontId="39" fillId="0" borderId="9" xfId="2" applyFont="1" applyBorder="1" applyAlignment="1" applyProtection="1">
      <alignment horizontal="center" vertical="center" wrapText="1"/>
      <protection hidden="1"/>
    </xf>
    <xf numFmtId="0" fontId="40" fillId="0" borderId="9" xfId="2" applyFont="1" applyBorder="1" applyAlignment="1" applyProtection="1">
      <alignment horizontal="center" vertical="center" wrapText="1"/>
      <protection hidden="1"/>
    </xf>
    <xf numFmtId="0" fontId="10" fillId="0" borderId="0" xfId="2" applyFont="1" applyAlignment="1" applyProtection="1">
      <protection hidden="1"/>
    </xf>
    <xf numFmtId="0" fontId="41" fillId="0" borderId="0" xfId="2" applyFont="1" applyAlignment="1" applyProtection="1">
      <alignment horizontal="left"/>
      <protection hidden="1"/>
    </xf>
    <xf numFmtId="0" fontId="43" fillId="0" borderId="9" xfId="2" applyFont="1" applyBorder="1" applyAlignment="1" applyProtection="1">
      <alignment horizontal="left" vertical="center" wrapText="1"/>
      <protection locked="0"/>
    </xf>
    <xf numFmtId="0" fontId="43" fillId="0" borderId="9" xfId="2" applyFont="1" applyBorder="1" applyAlignment="1" applyProtection="1">
      <alignment horizontal="center" vertical="center" wrapText="1"/>
      <protection locked="0"/>
    </xf>
    <xf numFmtId="0" fontId="44" fillId="0" borderId="9" xfId="2" applyFont="1" applyBorder="1" applyAlignment="1" applyProtection="1">
      <alignment horizontal="center" vertical="center" wrapText="1"/>
      <protection locked="0"/>
    </xf>
    <xf numFmtId="0" fontId="43" fillId="4" borderId="9" xfId="2" applyFont="1" applyFill="1" applyBorder="1" applyAlignment="1" applyProtection="1">
      <alignment horizontal="center" vertical="center" wrapText="1"/>
      <protection locked="0"/>
    </xf>
    <xf numFmtId="0" fontId="35" fillId="0" borderId="0" xfId="2" applyAlignment="1" applyProtection="1">
      <alignment vertical="top"/>
      <protection locked="0"/>
    </xf>
    <xf numFmtId="0" fontId="8" fillId="0" borderId="9" xfId="0" applyFont="1" applyBorder="1" applyAlignment="1" applyProtection="1">
      <alignment vertical="center" wrapText="1"/>
      <protection hidden="1"/>
    </xf>
    <xf numFmtId="0" fontId="12" fillId="0" borderId="9" xfId="0" applyNumberFormat="1" applyFont="1" applyFill="1" applyBorder="1" applyAlignment="1" applyProtection="1">
      <alignment horizontal="center" vertical="center" wrapText="1"/>
      <protection locked="0"/>
    </xf>
    <xf numFmtId="0" fontId="48" fillId="0" borderId="9" xfId="0" applyFont="1" applyFill="1" applyBorder="1" applyAlignment="1" applyProtection="1">
      <alignment horizontal="center" vertical="center" wrapText="1"/>
      <protection locked="0"/>
    </xf>
    <xf numFmtId="0" fontId="0" fillId="0" borderId="9" xfId="0" applyBorder="1"/>
    <xf numFmtId="0" fontId="0" fillId="6" borderId="9" xfId="0" applyFont="1" applyFill="1" applyBorder="1" applyAlignment="1">
      <alignment vertical="center"/>
    </xf>
    <xf numFmtId="0" fontId="0" fillId="0" borderId="9" xfId="0" applyFont="1" applyFill="1" applyBorder="1" applyAlignment="1">
      <alignment vertical="center"/>
    </xf>
    <xf numFmtId="0" fontId="28" fillId="0" borderId="10" xfId="0" applyFont="1" applyBorder="1" applyAlignment="1" applyProtection="1">
      <alignment horizontal="center" vertical="center" wrapText="1"/>
      <protection hidden="1"/>
    </xf>
    <xf numFmtId="0" fontId="0" fillId="6" borderId="9" xfId="0" applyFill="1" applyBorder="1" applyAlignment="1">
      <alignment vertical="center"/>
    </xf>
    <xf numFmtId="0" fontId="0" fillId="0" borderId="0" xfId="0"/>
    <xf numFmtId="165" fontId="14" fillId="0" borderId="57" xfId="0" applyNumberFormat="1" applyFont="1" applyFill="1" applyBorder="1" applyAlignment="1" applyProtection="1">
      <alignment horizontal="center" vertical="center"/>
      <protection hidden="1"/>
    </xf>
    <xf numFmtId="0" fontId="14" fillId="0" borderId="0" xfId="0" applyFont="1" applyFill="1" applyAlignment="1" applyProtection="1">
      <alignment vertical="center"/>
      <protection hidden="1"/>
    </xf>
    <xf numFmtId="0" fontId="52" fillId="0" borderId="0" xfId="0" applyFont="1" applyFill="1" applyAlignment="1" applyProtection="1">
      <alignment vertical="center"/>
      <protection hidden="1"/>
    </xf>
    <xf numFmtId="0" fontId="53" fillId="0" borderId="0" xfId="0" applyFont="1" applyFill="1" applyProtection="1">
      <protection hidden="1"/>
    </xf>
    <xf numFmtId="0" fontId="53" fillId="0" borderId="0" xfId="0" applyFont="1" applyFill="1" applyBorder="1" applyProtection="1">
      <protection hidden="1"/>
    </xf>
    <xf numFmtId="0" fontId="53" fillId="0" borderId="0" xfId="0" applyFont="1" applyFill="1" applyAlignment="1" applyProtection="1">
      <alignment vertical="center"/>
      <protection hidden="1"/>
    </xf>
    <xf numFmtId="0" fontId="52" fillId="0" borderId="0" xfId="0" applyFont="1" applyFill="1" applyAlignment="1" applyProtection="1">
      <alignment horizontal="left" vertical="center"/>
      <protection hidden="1"/>
    </xf>
    <xf numFmtId="0" fontId="52" fillId="0" borderId="57" xfId="0" applyFont="1" applyFill="1" applyBorder="1" applyAlignment="1" applyProtection="1">
      <alignment vertical="center"/>
      <protection hidden="1"/>
    </xf>
    <xf numFmtId="0" fontId="52" fillId="0" borderId="0" xfId="0" applyFont="1" applyFill="1" applyAlignment="1" applyProtection="1">
      <protection hidden="1"/>
    </xf>
    <xf numFmtId="0" fontId="55" fillId="0" borderId="0" xfId="0" applyFont="1" applyFill="1" applyProtection="1">
      <protection hidden="1"/>
    </xf>
    <xf numFmtId="0" fontId="52" fillId="0" borderId="0" xfId="0" applyFont="1" applyFill="1" applyAlignment="1" applyProtection="1">
      <alignment horizontal="left"/>
      <protection hidden="1"/>
    </xf>
    <xf numFmtId="0" fontId="55" fillId="0" borderId="0" xfId="0" applyFont="1" applyFill="1" applyBorder="1" applyProtection="1">
      <protection hidden="1"/>
    </xf>
    <xf numFmtId="0" fontId="52" fillId="0" borderId="4" xfId="0" applyFont="1" applyFill="1" applyBorder="1" applyAlignment="1" applyProtection="1">
      <alignment horizontal="left"/>
      <protection hidden="1"/>
    </xf>
    <xf numFmtId="0" fontId="52" fillId="0" borderId="0" xfId="0" applyFont="1" applyFill="1" applyBorder="1" applyAlignment="1" applyProtection="1">
      <alignment horizontal="left"/>
      <protection hidden="1"/>
    </xf>
    <xf numFmtId="0" fontId="53" fillId="0" borderId="0" xfId="0" applyFont="1" applyFill="1" applyAlignment="1" applyProtection="1">
      <alignment horizontal="right"/>
      <protection hidden="1"/>
    </xf>
    <xf numFmtId="0" fontId="53" fillId="0" borderId="0" xfId="0" applyFont="1" applyFill="1" applyBorder="1" applyAlignment="1" applyProtection="1">
      <alignment horizontal="center" vertical="center" wrapText="1"/>
      <protection hidden="1"/>
    </xf>
    <xf numFmtId="0" fontId="53" fillId="0" borderId="0" xfId="0" applyFont="1" applyFill="1" applyBorder="1" applyAlignment="1" applyProtection="1">
      <alignment horizontal="center" vertical="center"/>
      <protection hidden="1"/>
    </xf>
    <xf numFmtId="0" fontId="54" fillId="0" borderId="0" xfId="0" applyFont="1" applyFill="1" applyBorder="1" applyAlignment="1" applyProtection="1">
      <alignment horizontal="center" vertical="center"/>
      <protection hidden="1"/>
    </xf>
    <xf numFmtId="0" fontId="7" fillId="0" borderId="0" xfId="0" applyFont="1" applyFill="1" applyAlignment="1" applyProtection="1">
      <alignment vertical="center" wrapText="1"/>
      <protection hidden="1"/>
    </xf>
    <xf numFmtId="0" fontId="7" fillId="0" borderId="0" xfId="0" applyFont="1" applyFill="1" applyAlignment="1" applyProtection="1">
      <alignment vertical="center"/>
      <protection hidden="1"/>
    </xf>
    <xf numFmtId="0" fontId="52" fillId="0" borderId="0" xfId="0" applyFont="1" applyFill="1" applyBorder="1" applyAlignment="1" applyProtection="1">
      <alignment horizontal="center" vertical="center" wrapText="1"/>
      <protection hidden="1"/>
    </xf>
    <xf numFmtId="0" fontId="53" fillId="0" borderId="0" xfId="0" applyFont="1" applyFill="1" applyBorder="1" applyAlignment="1" applyProtection="1">
      <alignment vertical="center" wrapText="1"/>
      <protection hidden="1"/>
    </xf>
    <xf numFmtId="0" fontId="53" fillId="0" borderId="0" xfId="0" applyFont="1" applyFill="1" applyBorder="1" applyAlignment="1" applyProtection="1">
      <alignment vertical="center"/>
      <protection hidden="1"/>
    </xf>
    <xf numFmtId="0" fontId="54" fillId="0" borderId="0" xfId="0" applyFont="1" applyFill="1" applyBorder="1" applyAlignment="1" applyProtection="1">
      <alignment vertical="center"/>
      <protection hidden="1"/>
    </xf>
    <xf numFmtId="0" fontId="54" fillId="0" borderId="0" xfId="0" applyFont="1" applyFill="1" applyBorder="1" applyAlignment="1" applyProtection="1">
      <alignment vertical="center" wrapText="1"/>
      <protection hidden="1"/>
    </xf>
    <xf numFmtId="0" fontId="57" fillId="0" borderId="0" xfId="0" applyFont="1" applyFill="1" applyAlignment="1" applyProtection="1">
      <alignment vertical="center"/>
      <protection hidden="1"/>
    </xf>
    <xf numFmtId="0" fontId="57" fillId="0" borderId="0" xfId="0" applyFont="1" applyFill="1" applyAlignment="1" applyProtection="1">
      <alignment horizontal="center" vertical="center"/>
      <protection hidden="1"/>
    </xf>
    <xf numFmtId="0" fontId="52" fillId="0" borderId="0" xfId="0" applyFont="1" applyFill="1" applyBorder="1" applyAlignment="1" applyProtection="1">
      <alignment horizontal="left" shrinkToFit="1"/>
      <protection hidden="1"/>
    </xf>
    <xf numFmtId="49" fontId="31" fillId="0" borderId="0" xfId="0" applyNumberFormat="1" applyFont="1" applyFill="1" applyBorder="1" applyAlignment="1" applyProtection="1">
      <alignment horizontal="left" shrinkToFit="1"/>
      <protection hidden="1"/>
    </xf>
    <xf numFmtId="0" fontId="31" fillId="0" borderId="0" xfId="0" applyFont="1" applyFill="1" applyBorder="1" applyAlignment="1" applyProtection="1">
      <alignment horizontal="center" vertical="center" wrapText="1"/>
      <protection hidden="1"/>
    </xf>
    <xf numFmtId="0" fontId="55" fillId="0" borderId="0" xfId="0" applyFont="1" applyFill="1" applyBorder="1" applyAlignment="1" applyProtection="1">
      <alignment horizontal="center" vertical="center" wrapText="1"/>
      <protection hidden="1"/>
    </xf>
    <xf numFmtId="0" fontId="56" fillId="0" borderId="29" xfId="0" applyFont="1" applyFill="1" applyBorder="1" applyAlignment="1" applyProtection="1">
      <alignment horizontal="center" vertical="center" shrinkToFit="1"/>
      <protection locked="0" hidden="1"/>
    </xf>
    <xf numFmtId="0" fontId="56" fillId="0" borderId="12" xfId="0" applyFont="1" applyFill="1" applyBorder="1" applyAlignment="1" applyProtection="1">
      <alignment horizontal="center" vertical="center" shrinkToFit="1"/>
      <protection locked="0" hidden="1"/>
    </xf>
    <xf numFmtId="0" fontId="56" fillId="0" borderId="55" xfId="0" applyFont="1" applyFill="1" applyBorder="1" applyAlignment="1" applyProtection="1">
      <alignment horizontal="center" vertical="center" shrinkToFit="1"/>
      <protection locked="0" hidden="1"/>
    </xf>
    <xf numFmtId="0" fontId="12" fillId="0" borderId="9" xfId="0" applyFont="1" applyFill="1" applyBorder="1" applyAlignment="1" applyProtection="1">
      <alignment horizontal="center" vertical="center" wrapText="1"/>
      <protection hidden="1"/>
    </xf>
    <xf numFmtId="0" fontId="8" fillId="0" borderId="24" xfId="0" applyFont="1" applyFill="1" applyBorder="1" applyAlignment="1" applyProtection="1">
      <alignment vertical="center" wrapText="1"/>
      <protection hidden="1"/>
    </xf>
    <xf numFmtId="0" fontId="8" fillId="0" borderId="9" xfId="0" applyFont="1" applyFill="1" applyBorder="1" applyAlignment="1" applyProtection="1">
      <alignment vertical="center" wrapText="1"/>
      <protection hidden="1"/>
    </xf>
    <xf numFmtId="0" fontId="12" fillId="5" borderId="9" xfId="0" applyFont="1" applyFill="1" applyBorder="1" applyAlignment="1" applyProtection="1">
      <alignment horizontal="center" vertical="center" wrapText="1"/>
      <protection hidden="1"/>
    </xf>
    <xf numFmtId="0" fontId="0" fillId="8" borderId="9" xfId="0" applyFill="1" applyBorder="1" applyAlignment="1" applyProtection="1">
      <alignment vertical="center"/>
      <protection hidden="1"/>
    </xf>
    <xf numFmtId="0" fontId="46" fillId="5" borderId="9" xfId="0" applyFont="1" applyFill="1" applyBorder="1" applyAlignment="1" applyProtection="1">
      <alignment horizontal="center" vertical="center" wrapText="1"/>
      <protection hidden="1"/>
    </xf>
    <xf numFmtId="0" fontId="39" fillId="5" borderId="9" xfId="2" applyFont="1" applyFill="1" applyBorder="1" applyAlignment="1" applyProtection="1">
      <alignment horizontal="center" vertical="center" wrapText="1"/>
      <protection hidden="1"/>
    </xf>
    <xf numFmtId="0" fontId="10" fillId="0" borderId="9" xfId="0" applyFont="1" applyBorder="1" applyAlignment="1" applyProtection="1">
      <alignment horizontal="center" vertical="center"/>
      <protection locked="0" hidden="1"/>
    </xf>
    <xf numFmtId="0" fontId="63" fillId="0" borderId="9" xfId="18" applyFont="1" applyBorder="1"/>
    <xf numFmtId="0" fontId="22" fillId="0" borderId="9" xfId="0" applyFont="1" applyFill="1" applyBorder="1" applyProtection="1">
      <protection hidden="1"/>
    </xf>
    <xf numFmtId="0" fontId="64" fillId="0" borderId="9" xfId="0" applyFont="1" applyBorder="1" applyProtection="1">
      <protection hidden="1"/>
    </xf>
    <xf numFmtId="0" fontId="36" fillId="0" borderId="0" xfId="2" applyFont="1" applyAlignment="1" applyProtection="1">
      <alignment horizontal="center"/>
      <protection hidden="1"/>
    </xf>
    <xf numFmtId="0" fontId="14" fillId="0" borderId="0" xfId="0" applyFont="1" applyFill="1" applyBorder="1" applyAlignment="1" applyProtection="1">
      <alignment horizontal="center" vertical="center" wrapText="1"/>
      <protection hidden="1"/>
    </xf>
    <xf numFmtId="0" fontId="31" fillId="0" borderId="0" xfId="0" applyFont="1" applyFill="1" applyBorder="1" applyAlignment="1" applyProtection="1">
      <alignment horizontal="center" vertical="center" wrapText="1"/>
      <protection hidden="1"/>
    </xf>
    <xf numFmtId="0" fontId="0" fillId="0" borderId="9" xfId="0" applyBorder="1" applyAlignment="1">
      <alignment horizontal="center" vertical="center" wrapText="1"/>
    </xf>
    <xf numFmtId="0" fontId="65" fillId="0" borderId="0" xfId="0" applyFont="1" applyAlignment="1" applyProtection="1">
      <alignment horizontal="center" vertical="center"/>
      <protection hidden="1"/>
    </xf>
    <xf numFmtId="0" fontId="66" fillId="0" borderId="0" xfId="0" applyFont="1" applyAlignment="1" applyProtection="1">
      <alignment horizontal="center" vertical="center"/>
      <protection hidden="1"/>
    </xf>
    <xf numFmtId="0" fontId="23" fillId="0" borderId="72" xfId="0" applyFont="1" applyBorder="1" applyAlignment="1" applyProtection="1">
      <alignment horizontal="center" vertical="center" wrapText="1"/>
      <protection locked="0" hidden="1"/>
    </xf>
    <xf numFmtId="0" fontId="23" fillId="0" borderId="34" xfId="0" applyFont="1" applyBorder="1" applyAlignment="1" applyProtection="1">
      <alignment horizontal="center" vertical="center" wrapText="1"/>
      <protection locked="0" hidden="1"/>
    </xf>
    <xf numFmtId="0" fontId="23" fillId="0" borderId="35" xfId="0" applyFont="1" applyBorder="1" applyAlignment="1" applyProtection="1">
      <alignment horizontal="center" vertical="center" wrapText="1"/>
      <protection locked="0" hidden="1"/>
    </xf>
    <xf numFmtId="0" fontId="23" fillId="0" borderId="74" xfId="0" applyFont="1" applyBorder="1" applyAlignment="1" applyProtection="1">
      <alignment horizontal="center" vertical="center" wrapText="1"/>
      <protection locked="0" hidden="1"/>
    </xf>
    <xf numFmtId="0" fontId="23" fillId="0" borderId="0" xfId="0" applyFont="1" applyBorder="1" applyAlignment="1" applyProtection="1">
      <alignment horizontal="center" vertical="center" wrapText="1"/>
      <protection locked="0" hidden="1"/>
    </xf>
    <xf numFmtId="0" fontId="23" fillId="0" borderId="48" xfId="0" applyFont="1" applyBorder="1" applyAlignment="1" applyProtection="1">
      <alignment horizontal="center" vertical="center" wrapText="1"/>
      <protection locked="0" hidden="1"/>
    </xf>
    <xf numFmtId="0" fontId="23" fillId="0" borderId="73" xfId="0" applyFont="1" applyBorder="1" applyAlignment="1" applyProtection="1">
      <alignment horizontal="center" vertical="center" wrapText="1"/>
      <protection locked="0" hidden="1"/>
    </xf>
    <xf numFmtId="0" fontId="23" fillId="0" borderId="37" xfId="0" applyFont="1" applyBorder="1" applyAlignment="1" applyProtection="1">
      <alignment horizontal="center" vertical="center" wrapText="1"/>
      <protection locked="0" hidden="1"/>
    </xf>
    <xf numFmtId="0" fontId="23" fillId="0" borderId="38" xfId="0" applyFont="1" applyBorder="1" applyAlignment="1" applyProtection="1">
      <alignment horizontal="center" vertical="center" wrapText="1"/>
      <protection locked="0" hidden="1"/>
    </xf>
    <xf numFmtId="0" fontId="25" fillId="0" borderId="0" xfId="0" applyFont="1" applyBorder="1" applyAlignment="1" applyProtection="1">
      <alignment horizontal="center"/>
      <protection hidden="1"/>
    </xf>
    <xf numFmtId="0" fontId="6" fillId="0" borderId="4" xfId="0" applyFont="1" applyBorder="1" applyAlignment="1" applyProtection="1">
      <alignment horizontal="left" vertical="center"/>
      <protection hidden="1"/>
    </xf>
    <xf numFmtId="0" fontId="6" fillId="0" borderId="0" xfId="0" applyFont="1" applyBorder="1" applyAlignment="1" applyProtection="1">
      <alignment horizontal="left" vertical="center"/>
      <protection hidden="1"/>
    </xf>
    <xf numFmtId="0" fontId="16" fillId="0" borderId="60" xfId="0" applyFont="1" applyBorder="1" applyAlignment="1" applyProtection="1">
      <alignment horizontal="center" vertical="center" wrapText="1"/>
      <protection locked="0"/>
    </xf>
    <xf numFmtId="0" fontId="16" fillId="0" borderId="50" xfId="0" applyFont="1" applyBorder="1" applyAlignment="1" applyProtection="1">
      <alignment horizontal="center" vertical="center" wrapText="1"/>
      <protection locked="0"/>
    </xf>
    <xf numFmtId="0" fontId="16" fillId="0" borderId="52" xfId="0" applyFont="1" applyBorder="1" applyAlignment="1" applyProtection="1">
      <alignment horizontal="center" vertical="center" wrapText="1"/>
      <protection locked="0"/>
    </xf>
    <xf numFmtId="0" fontId="16" fillId="0" borderId="49" xfId="0" applyFont="1" applyBorder="1" applyAlignment="1" applyProtection="1">
      <alignment horizontal="center" vertical="center" wrapText="1"/>
      <protection locked="0"/>
    </xf>
    <xf numFmtId="0" fontId="16" fillId="0" borderId="53" xfId="0" applyFont="1" applyBorder="1" applyAlignment="1" applyProtection="1">
      <alignment horizontal="center" vertical="center" wrapText="1"/>
      <protection locked="0"/>
    </xf>
    <xf numFmtId="0" fontId="9" fillId="0" borderId="44" xfId="0" applyFont="1" applyBorder="1" applyAlignment="1" applyProtection="1">
      <alignment horizontal="center" vertical="center" wrapText="1"/>
      <protection hidden="1"/>
    </xf>
    <xf numFmtId="0" fontId="9" fillId="0" borderId="59" xfId="0" applyFont="1" applyBorder="1" applyAlignment="1" applyProtection="1">
      <alignment horizontal="center" vertical="center" wrapText="1"/>
      <protection hidden="1"/>
    </xf>
    <xf numFmtId="0" fontId="15" fillId="0" borderId="30" xfId="0" applyFont="1" applyBorder="1" applyAlignment="1" applyProtection="1">
      <alignment horizontal="center" vertical="center" wrapText="1"/>
      <protection hidden="1"/>
    </xf>
    <xf numFmtId="0" fontId="15" fillId="0" borderId="31" xfId="0" applyFont="1" applyBorder="1" applyAlignment="1" applyProtection="1">
      <alignment horizontal="center" vertical="center" wrapText="1"/>
      <protection hidden="1"/>
    </xf>
    <xf numFmtId="0" fontId="15" fillId="0" borderId="32" xfId="0" applyFont="1" applyBorder="1" applyAlignment="1" applyProtection="1">
      <alignment horizontal="center" vertical="center" wrapText="1"/>
      <protection hidden="1"/>
    </xf>
    <xf numFmtId="0" fontId="23" fillId="0" borderId="0" xfId="0" applyFont="1" applyBorder="1" applyAlignment="1" applyProtection="1">
      <alignment horizontal="center" vertical="center" wrapText="1"/>
      <protection hidden="1"/>
    </xf>
    <xf numFmtId="0" fontId="6" fillId="0" borderId="62" xfId="0" applyFont="1" applyBorder="1" applyAlignment="1" applyProtection="1">
      <alignment horizontal="center" vertical="center" wrapText="1"/>
      <protection hidden="1"/>
    </xf>
    <xf numFmtId="0" fontId="6" fillId="0" borderId="63" xfId="0" applyFont="1" applyBorder="1" applyAlignment="1" applyProtection="1">
      <alignment horizontal="center" vertical="center" wrapText="1"/>
      <protection hidden="1"/>
    </xf>
    <xf numFmtId="0" fontId="6" fillId="0" borderId="64" xfId="0" applyFont="1" applyBorder="1" applyAlignment="1" applyProtection="1">
      <alignment horizontal="center" vertical="center" wrapText="1"/>
      <protection hidden="1"/>
    </xf>
    <xf numFmtId="0" fontId="25" fillId="0" borderId="0" xfId="0" applyFont="1" applyFill="1" applyBorder="1" applyAlignment="1" applyProtection="1">
      <alignment horizontal="center" vertical="center"/>
      <protection hidden="1"/>
    </xf>
    <xf numFmtId="0" fontId="21" fillId="0" borderId="0" xfId="0" applyFont="1" applyFill="1" applyBorder="1" applyAlignment="1" applyProtection="1">
      <alignment horizontal="center" vertical="center"/>
      <protection hidden="1"/>
    </xf>
    <xf numFmtId="0" fontId="23" fillId="0" borderId="10" xfId="0" applyFont="1" applyBorder="1" applyAlignment="1" applyProtection="1">
      <alignment horizontal="left" vertical="center" wrapText="1"/>
      <protection hidden="1"/>
    </xf>
    <xf numFmtId="0" fontId="23" fillId="0" borderId="23" xfId="0" applyFont="1" applyBorder="1" applyAlignment="1" applyProtection="1">
      <alignment horizontal="left" vertical="center" wrapText="1"/>
      <protection hidden="1"/>
    </xf>
    <xf numFmtId="0" fontId="25" fillId="3" borderId="11" xfId="0" applyFont="1" applyFill="1" applyBorder="1" applyAlignment="1" applyProtection="1">
      <alignment horizontal="center" vertical="center"/>
    </xf>
    <xf numFmtId="0" fontId="22" fillId="0" borderId="18" xfId="0" applyFont="1" applyBorder="1" applyAlignment="1" applyProtection="1">
      <alignment horizontal="center" vertical="center" wrapText="1"/>
      <protection locked="0"/>
    </xf>
    <xf numFmtId="0" fontId="22" fillId="0" borderId="19" xfId="0" applyFont="1" applyBorder="1" applyAlignment="1" applyProtection="1">
      <alignment horizontal="center" vertical="center" wrapText="1"/>
      <protection locked="0"/>
    </xf>
    <xf numFmtId="0" fontId="22" fillId="0" borderId="24" xfId="0" applyFont="1" applyBorder="1" applyAlignment="1" applyProtection="1">
      <alignment horizontal="center" vertical="center" wrapText="1"/>
      <protection locked="0"/>
    </xf>
    <xf numFmtId="0" fontId="16" fillId="0" borderId="21" xfId="0" applyFont="1" applyBorder="1" applyAlignment="1" applyProtection="1">
      <alignment horizontal="center" vertical="center"/>
      <protection hidden="1"/>
    </xf>
    <xf numFmtId="0" fontId="16" fillId="0" borderId="9" xfId="0" applyFont="1" applyBorder="1" applyAlignment="1" applyProtection="1">
      <alignment horizontal="center" vertical="center"/>
      <protection hidden="1"/>
    </xf>
    <xf numFmtId="0" fontId="15" fillId="0" borderId="12" xfId="0" applyFont="1" applyBorder="1" applyAlignment="1" applyProtection="1">
      <alignment horizontal="center" vertical="center" wrapText="1"/>
      <protection hidden="1"/>
    </xf>
    <xf numFmtId="0" fontId="21" fillId="0" borderId="20" xfId="0" applyFont="1" applyBorder="1" applyAlignment="1" applyProtection="1">
      <alignment horizontal="center" vertical="center"/>
      <protection hidden="1"/>
    </xf>
    <xf numFmtId="0" fontId="21" fillId="0" borderId="21" xfId="0" applyFont="1" applyBorder="1" applyAlignment="1" applyProtection="1">
      <alignment horizontal="center" vertical="center"/>
      <protection hidden="1"/>
    </xf>
    <xf numFmtId="0" fontId="21" fillId="0" borderId="22" xfId="0" applyFont="1" applyBorder="1" applyAlignment="1" applyProtection="1">
      <alignment horizontal="center" vertical="center"/>
      <protection hidden="1"/>
    </xf>
    <xf numFmtId="0" fontId="10" fillId="0" borderId="0" xfId="0" applyFont="1" applyBorder="1" applyAlignment="1" applyProtection="1">
      <alignment horizontal="center" vertical="center"/>
      <protection hidden="1"/>
    </xf>
    <xf numFmtId="0" fontId="19" fillId="0" borderId="30" xfId="0" applyFont="1" applyFill="1" applyBorder="1" applyAlignment="1" applyProtection="1">
      <alignment horizontal="center" vertical="center"/>
      <protection hidden="1"/>
    </xf>
    <xf numFmtId="0" fontId="19" fillId="0" borderId="31" xfId="0" applyFont="1" applyFill="1" applyBorder="1" applyAlignment="1" applyProtection="1">
      <alignment horizontal="center" vertical="center"/>
      <protection hidden="1"/>
    </xf>
    <xf numFmtId="0" fontId="19" fillId="0" borderId="68" xfId="0" applyFont="1" applyFill="1" applyBorder="1" applyAlignment="1" applyProtection="1">
      <alignment horizontal="center" vertical="center"/>
      <protection hidden="1"/>
    </xf>
    <xf numFmtId="0" fontId="27" fillId="0" borderId="69" xfId="0" applyFont="1" applyFill="1" applyBorder="1" applyAlignment="1" applyProtection="1">
      <alignment horizontal="center" vertical="center" wrapText="1"/>
      <protection hidden="1"/>
    </xf>
    <xf numFmtId="0" fontId="27" fillId="0" borderId="31" xfId="0" applyFont="1" applyFill="1" applyBorder="1" applyAlignment="1" applyProtection="1">
      <alignment horizontal="center" vertical="center" wrapText="1"/>
      <protection hidden="1"/>
    </xf>
    <xf numFmtId="0" fontId="27" fillId="0" borderId="68" xfId="0" applyFont="1" applyFill="1" applyBorder="1" applyAlignment="1" applyProtection="1">
      <alignment horizontal="center" vertical="center" wrapText="1"/>
      <protection hidden="1"/>
    </xf>
    <xf numFmtId="0" fontId="15" fillId="0" borderId="1" xfId="0" applyFont="1" applyBorder="1" applyAlignment="1" applyProtection="1">
      <alignment horizontal="center" vertical="center" wrapText="1"/>
      <protection hidden="1"/>
    </xf>
    <xf numFmtId="0" fontId="15" fillId="0" borderId="2" xfId="0" applyFont="1" applyBorder="1" applyAlignment="1" applyProtection="1">
      <alignment horizontal="center" vertical="center" wrapText="1"/>
      <protection hidden="1"/>
    </xf>
    <xf numFmtId="0" fontId="15" fillId="0" borderId="54" xfId="0" applyFont="1" applyBorder="1" applyAlignment="1" applyProtection="1">
      <alignment horizontal="center" vertical="center" wrapText="1"/>
      <protection hidden="1"/>
    </xf>
    <xf numFmtId="0" fontId="15" fillId="0" borderId="4" xfId="0" applyFont="1" applyBorder="1" applyAlignment="1" applyProtection="1">
      <alignment horizontal="center" vertical="center" wrapText="1"/>
      <protection hidden="1"/>
    </xf>
    <xf numFmtId="0" fontId="15" fillId="0" borderId="0" xfId="0" applyFont="1" applyBorder="1" applyAlignment="1" applyProtection="1">
      <alignment horizontal="center" vertical="center" wrapText="1"/>
      <protection hidden="1"/>
    </xf>
    <xf numFmtId="0" fontId="15" fillId="0" borderId="48" xfId="0" applyFont="1" applyBorder="1" applyAlignment="1" applyProtection="1">
      <alignment horizontal="center" vertical="center" wrapText="1"/>
      <protection hidden="1"/>
    </xf>
    <xf numFmtId="0" fontId="15" fillId="0" borderId="6" xfId="0" applyFont="1" applyBorder="1" applyAlignment="1" applyProtection="1">
      <alignment horizontal="center" vertical="center" wrapText="1"/>
      <protection hidden="1"/>
    </xf>
    <xf numFmtId="0" fontId="15" fillId="0" borderId="7" xfId="0" applyFont="1" applyBorder="1" applyAlignment="1" applyProtection="1">
      <alignment horizontal="center" vertical="center" wrapText="1"/>
      <protection hidden="1"/>
    </xf>
    <xf numFmtId="0" fontId="15" fillId="0" borderId="46" xfId="0" applyFont="1" applyBorder="1" applyAlignment="1" applyProtection="1">
      <alignment horizontal="center" vertical="center" wrapText="1"/>
      <protection hidden="1"/>
    </xf>
    <xf numFmtId="0" fontId="16" fillId="0" borderId="6" xfId="0" applyFont="1" applyBorder="1" applyAlignment="1" applyProtection="1">
      <alignment horizontal="left" vertical="center"/>
      <protection hidden="1"/>
    </xf>
    <xf numFmtId="0" fontId="16" fillId="0" borderId="7" xfId="0" applyFont="1" applyBorder="1" applyAlignment="1" applyProtection="1">
      <alignment horizontal="left" vertical="center"/>
      <protection hidden="1"/>
    </xf>
    <xf numFmtId="0" fontId="12" fillId="0" borderId="25" xfId="0" applyFont="1" applyFill="1" applyBorder="1" applyAlignment="1" applyProtection="1">
      <alignment horizontal="left" vertical="center" wrapText="1"/>
      <protection hidden="1"/>
    </xf>
    <xf numFmtId="0" fontId="12" fillId="0" borderId="26" xfId="0" applyFont="1" applyFill="1" applyBorder="1" applyAlignment="1" applyProtection="1">
      <alignment horizontal="left" vertical="center" wrapText="1"/>
      <protection hidden="1"/>
    </xf>
    <xf numFmtId="0" fontId="9" fillId="0" borderId="9" xfId="0" applyFont="1" applyFill="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0" fillId="0" borderId="9" xfId="0" applyFont="1" applyFill="1" applyBorder="1" applyAlignment="1" applyProtection="1">
      <alignment horizontal="center" vertical="center" wrapText="1"/>
      <protection locked="0"/>
    </xf>
    <xf numFmtId="0" fontId="10" fillId="0" borderId="12" xfId="0" applyFont="1" applyFill="1" applyBorder="1" applyAlignment="1" applyProtection="1">
      <alignment horizontal="center" vertical="center" wrapText="1"/>
      <protection locked="0"/>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21" fillId="0" borderId="30" xfId="0" applyFont="1" applyBorder="1" applyAlignment="1" applyProtection="1">
      <alignment horizontal="center" vertical="center"/>
      <protection hidden="1"/>
    </xf>
    <xf numFmtId="0" fontId="21" fillId="0" borderId="31" xfId="0" applyFont="1" applyBorder="1" applyAlignment="1" applyProtection="1">
      <alignment horizontal="center" vertical="center"/>
      <protection hidden="1"/>
    </xf>
    <xf numFmtId="0" fontId="21" fillId="0" borderId="32" xfId="0" applyFont="1" applyBorder="1" applyAlignment="1" applyProtection="1">
      <alignment horizontal="center" vertical="center"/>
      <protection hidden="1"/>
    </xf>
    <xf numFmtId="0" fontId="23" fillId="0" borderId="33" xfId="0" applyFont="1" applyBorder="1" applyAlignment="1" applyProtection="1">
      <alignment horizontal="center" vertical="center"/>
      <protection hidden="1"/>
    </xf>
    <xf numFmtId="0" fontId="23" fillId="0" borderId="34" xfId="0" applyFont="1" applyBorder="1" applyAlignment="1" applyProtection="1">
      <alignment horizontal="center" vertical="center"/>
      <protection hidden="1"/>
    </xf>
    <xf numFmtId="0" fontId="23" fillId="0" borderId="35" xfId="0" applyFont="1" applyBorder="1" applyAlignment="1" applyProtection="1">
      <alignment horizontal="center" vertical="center"/>
      <protection hidden="1"/>
    </xf>
    <xf numFmtId="0" fontId="23" fillId="0" borderId="36" xfId="0" applyFont="1" applyBorder="1" applyAlignment="1" applyProtection="1">
      <alignment horizontal="center" vertical="center"/>
      <protection hidden="1"/>
    </xf>
    <xf numFmtId="0" fontId="23" fillId="0" borderId="37" xfId="0" applyFont="1" applyBorder="1" applyAlignment="1" applyProtection="1">
      <alignment horizontal="center" vertical="center"/>
      <protection hidden="1"/>
    </xf>
    <xf numFmtId="0" fontId="23" fillId="0" borderId="38" xfId="0" applyFont="1" applyBorder="1" applyAlignment="1" applyProtection="1">
      <alignment horizontal="center" vertical="center"/>
      <protection hidden="1"/>
    </xf>
    <xf numFmtId="0" fontId="23" fillId="0" borderId="39" xfId="0" applyFont="1" applyBorder="1" applyAlignment="1" applyProtection="1">
      <alignment horizontal="left"/>
      <protection hidden="1"/>
    </xf>
    <xf numFmtId="0" fontId="23" fillId="0" borderId="40" xfId="0" applyFont="1" applyBorder="1" applyAlignment="1" applyProtection="1">
      <alignment horizontal="left"/>
      <protection hidden="1"/>
    </xf>
    <xf numFmtId="0" fontId="23" fillId="0" borderId="41" xfId="0" applyFont="1" applyBorder="1" applyAlignment="1" applyProtection="1">
      <alignment horizontal="left"/>
      <protection hidden="1"/>
    </xf>
    <xf numFmtId="0" fontId="10" fillId="0" borderId="21" xfId="0" applyFont="1" applyFill="1" applyBorder="1" applyAlignment="1" applyProtection="1">
      <alignment horizontal="center" vertical="center" wrapText="1"/>
      <protection locked="0"/>
    </xf>
    <xf numFmtId="0" fontId="23" fillId="0" borderId="27" xfId="0" applyFont="1" applyBorder="1" applyAlignment="1" applyProtection="1">
      <alignment horizontal="left"/>
      <protection hidden="1"/>
    </xf>
    <xf numFmtId="0" fontId="23" fillId="0" borderId="28" xfId="0" applyFont="1" applyBorder="1" applyAlignment="1" applyProtection="1">
      <alignment horizontal="left"/>
      <protection hidden="1"/>
    </xf>
    <xf numFmtId="0" fontId="23" fillId="0" borderId="29" xfId="0" applyFont="1" applyBorder="1" applyAlignment="1" applyProtection="1">
      <alignment horizontal="left"/>
      <protection hidden="1"/>
    </xf>
    <xf numFmtId="0" fontId="10" fillId="3" borderId="9" xfId="0" applyFont="1" applyFill="1" applyBorder="1" applyAlignment="1" applyProtection="1">
      <alignment horizontal="center" vertical="center" wrapText="1"/>
    </xf>
    <xf numFmtId="0" fontId="10" fillId="3" borderId="12" xfId="0" applyFont="1" applyFill="1" applyBorder="1" applyAlignment="1" applyProtection="1">
      <alignment horizontal="center" vertical="center" wrapText="1"/>
    </xf>
    <xf numFmtId="0" fontId="25" fillId="3" borderId="13" xfId="0" applyFont="1" applyFill="1" applyBorder="1" applyAlignment="1" applyProtection="1">
      <alignment horizontal="center" vertical="center"/>
    </xf>
    <xf numFmtId="0" fontId="12" fillId="0" borderId="65" xfId="0" applyFont="1" applyFill="1" applyBorder="1" applyAlignment="1" applyProtection="1">
      <alignment horizontal="left" vertical="center" wrapText="1"/>
      <protection hidden="1"/>
    </xf>
    <xf numFmtId="0" fontId="12" fillId="0" borderId="66" xfId="0" applyFont="1" applyFill="1" applyBorder="1" applyAlignment="1" applyProtection="1">
      <alignment horizontal="left" vertical="center" wrapText="1"/>
      <protection hidden="1"/>
    </xf>
    <xf numFmtId="0" fontId="12" fillId="0" borderId="42" xfId="0" applyFont="1" applyFill="1" applyBorder="1" applyAlignment="1" applyProtection="1">
      <alignment horizontal="left" vertical="center" wrapText="1"/>
      <protection hidden="1"/>
    </xf>
    <xf numFmtId="0" fontId="12" fillId="0" borderId="43" xfId="0" applyFont="1" applyFill="1" applyBorder="1" applyAlignment="1" applyProtection="1">
      <alignment horizontal="left" vertical="center" wrapText="1"/>
      <protection hidden="1"/>
    </xf>
    <xf numFmtId="0" fontId="9" fillId="0" borderId="9" xfId="0" applyFont="1" applyFill="1" applyBorder="1" applyAlignment="1" applyProtection="1">
      <alignment horizontal="left" vertical="top" wrapText="1"/>
      <protection hidden="1"/>
    </xf>
    <xf numFmtId="0" fontId="10" fillId="3" borderId="21" xfId="0" applyFont="1" applyFill="1" applyBorder="1" applyAlignment="1" applyProtection="1">
      <alignment horizontal="center" vertical="center" wrapText="1"/>
    </xf>
    <xf numFmtId="0" fontId="65" fillId="0" borderId="0" xfId="0" applyFont="1" applyAlignment="1" applyProtection="1">
      <alignment horizontal="center" vertical="center"/>
      <protection hidden="1"/>
    </xf>
    <xf numFmtId="49" fontId="21" fillId="0" borderId="16" xfId="0" applyNumberFormat="1" applyFont="1" applyFill="1" applyBorder="1" applyAlignment="1" applyProtection="1">
      <alignment horizontal="left" vertical="center" shrinkToFit="1"/>
      <protection locked="0"/>
    </xf>
    <xf numFmtId="0" fontId="14" fillId="3" borderId="61" xfId="0" applyFont="1" applyFill="1" applyBorder="1" applyAlignment="1" applyProtection="1">
      <alignment horizontal="center" vertical="center" wrapText="1"/>
    </xf>
    <xf numFmtId="0" fontId="14" fillId="3" borderId="51" xfId="0" applyFont="1" applyFill="1" applyBorder="1" applyAlignment="1" applyProtection="1">
      <alignment horizontal="center" vertical="center" wrapText="1"/>
    </xf>
    <xf numFmtId="0" fontId="14" fillId="3" borderId="45" xfId="0" applyFont="1" applyFill="1" applyBorder="1" applyAlignment="1" applyProtection="1">
      <alignment horizontal="center" vertical="center" wrapText="1"/>
    </xf>
    <xf numFmtId="0" fontId="14" fillId="3" borderId="44" xfId="0" applyFont="1" applyFill="1" applyBorder="1" applyAlignment="1" applyProtection="1">
      <alignment horizontal="center" vertical="center" wrapText="1"/>
    </xf>
    <xf numFmtId="0" fontId="14" fillId="3" borderId="59" xfId="0" applyFont="1" applyFill="1" applyBorder="1" applyAlignment="1" applyProtection="1">
      <alignment horizontal="center" vertical="center" wrapText="1"/>
    </xf>
    <xf numFmtId="0" fontId="16" fillId="0" borderId="71" xfId="0" applyFont="1" applyBorder="1" applyAlignment="1" applyProtection="1">
      <alignment horizontal="center" vertical="center" wrapText="1"/>
      <protection locked="0"/>
    </xf>
    <xf numFmtId="0" fontId="16" fillId="0" borderId="47" xfId="0" applyFont="1" applyBorder="1" applyAlignment="1" applyProtection="1">
      <alignment horizontal="center" vertical="center" wrapText="1"/>
      <protection locked="0"/>
    </xf>
    <xf numFmtId="0" fontId="16" fillId="0" borderId="24" xfId="0" applyFont="1" applyBorder="1" applyAlignment="1" applyProtection="1">
      <alignment horizontal="center" vertical="center" wrapText="1"/>
      <protection locked="0"/>
    </xf>
    <xf numFmtId="0" fontId="16" fillId="0" borderId="18" xfId="0" applyFont="1" applyBorder="1" applyAlignment="1" applyProtection="1">
      <alignment horizontal="center" vertical="center" wrapText="1"/>
      <protection locked="0"/>
    </xf>
    <xf numFmtId="0" fontId="16" fillId="0" borderId="19" xfId="0" applyFont="1" applyBorder="1" applyAlignment="1" applyProtection="1">
      <alignment horizontal="center" vertical="center" wrapText="1"/>
      <protection locked="0"/>
    </xf>
    <xf numFmtId="0" fontId="8" fillId="0" borderId="62" xfId="0" applyFont="1" applyBorder="1" applyAlignment="1" applyProtection="1">
      <alignment horizontal="left" vertical="center" wrapText="1"/>
      <protection hidden="1"/>
    </xf>
    <xf numFmtId="0" fontId="8" fillId="0" borderId="63" xfId="0" applyFont="1" applyBorder="1" applyAlignment="1" applyProtection="1">
      <alignment horizontal="left" vertical="center" wrapText="1"/>
      <protection hidden="1"/>
    </xf>
    <xf numFmtId="0" fontId="8" fillId="0" borderId="64" xfId="0" applyFont="1" applyBorder="1" applyAlignment="1" applyProtection="1">
      <alignment horizontal="left" vertical="center" wrapText="1"/>
      <protection hidden="1"/>
    </xf>
    <xf numFmtId="0" fontId="10" fillId="0" borderId="20" xfId="0" applyFont="1" applyFill="1" applyBorder="1" applyAlignment="1" applyProtection="1">
      <alignment horizontal="center" vertical="center" wrapText="1"/>
      <protection locked="0"/>
    </xf>
    <xf numFmtId="0" fontId="10" fillId="0" borderId="10" xfId="0" applyFont="1" applyFill="1" applyBorder="1" applyAlignment="1" applyProtection="1">
      <alignment horizontal="center" vertical="center" wrapText="1"/>
      <protection locked="0"/>
    </xf>
    <xf numFmtId="0" fontId="10" fillId="0" borderId="23" xfId="0" applyFont="1" applyFill="1" applyBorder="1" applyAlignment="1" applyProtection="1">
      <alignment horizontal="center" vertical="center" wrapText="1"/>
      <protection locked="0"/>
    </xf>
    <xf numFmtId="0" fontId="10" fillId="10" borderId="9" xfId="0" applyFont="1" applyFill="1" applyBorder="1" applyAlignment="1" applyProtection="1">
      <alignment horizontal="left"/>
      <protection hidden="1"/>
    </xf>
    <xf numFmtId="0" fontId="56" fillId="10" borderId="70" xfId="0" applyFont="1" applyFill="1" applyBorder="1" applyAlignment="1" applyProtection="1">
      <alignment horizontal="left" vertical="center"/>
      <protection hidden="1"/>
    </xf>
    <xf numFmtId="0" fontId="56" fillId="10" borderId="40" xfId="0" applyFont="1" applyFill="1" applyBorder="1" applyAlignment="1" applyProtection="1">
      <alignment horizontal="left" vertical="center"/>
      <protection hidden="1"/>
    </xf>
    <xf numFmtId="0" fontId="56" fillId="10" borderId="41" xfId="0" applyFont="1" applyFill="1" applyBorder="1" applyAlignment="1" applyProtection="1">
      <alignment horizontal="left" vertical="center"/>
      <protection hidden="1"/>
    </xf>
    <xf numFmtId="0" fontId="15" fillId="0" borderId="20" xfId="0" applyFont="1" applyBorder="1" applyAlignment="1" applyProtection="1">
      <alignment horizontal="center" vertical="center" wrapText="1"/>
      <protection hidden="1"/>
    </xf>
    <xf numFmtId="0" fontId="15" fillId="0" borderId="21" xfId="0" applyFont="1" applyBorder="1" applyAlignment="1" applyProtection="1">
      <alignment horizontal="center" vertical="center" wrapText="1"/>
      <protection hidden="1"/>
    </xf>
    <xf numFmtId="0" fontId="7" fillId="0" borderId="0" xfId="0" applyFont="1" applyAlignment="1" applyProtection="1">
      <alignment horizontal="right" vertical="center"/>
      <protection hidden="1"/>
    </xf>
    <xf numFmtId="0" fontId="0" fillId="0" borderId="0" xfId="0" applyAlignment="1">
      <alignment horizontal="right" vertical="center"/>
    </xf>
    <xf numFmtId="0" fontId="0" fillId="0" borderId="0" xfId="0" applyAlignment="1">
      <alignment horizontal="center" vertical="center"/>
    </xf>
    <xf numFmtId="0" fontId="66" fillId="0" borderId="0" xfId="0" applyFont="1" applyAlignment="1" applyProtection="1">
      <alignment horizontal="center" vertical="center"/>
      <protection hidden="1"/>
    </xf>
    <xf numFmtId="0" fontId="16" fillId="0" borderId="56" xfId="0" applyFont="1" applyBorder="1" applyAlignment="1" applyProtection="1">
      <alignment horizontal="left" vertical="center" shrinkToFit="1"/>
      <protection locked="0"/>
    </xf>
    <xf numFmtId="0" fontId="16" fillId="0" borderId="58" xfId="0" applyFont="1" applyFill="1" applyBorder="1" applyAlignment="1" applyProtection="1">
      <alignment horizontal="left" vertical="center" shrinkToFit="1"/>
      <protection locked="0"/>
    </xf>
    <xf numFmtId="0" fontId="15" fillId="0" borderId="58" xfId="0" applyFont="1" applyFill="1" applyBorder="1" applyAlignment="1" applyProtection="1">
      <alignment horizontal="left" vertical="center" shrinkToFit="1"/>
      <protection locked="0"/>
    </xf>
    <xf numFmtId="165" fontId="21" fillId="0" borderId="17" xfId="0" applyNumberFormat="1" applyFont="1" applyFill="1" applyBorder="1" applyAlignment="1" applyProtection="1">
      <alignment horizontal="left" vertical="center" shrinkToFit="1"/>
      <protection locked="0"/>
    </xf>
    <xf numFmtId="0" fontId="21" fillId="0" borderId="16" xfId="0" applyFont="1" applyFill="1" applyBorder="1" applyAlignment="1" applyProtection="1">
      <alignment horizontal="left" vertical="center" shrinkToFit="1"/>
      <protection locked="0"/>
    </xf>
    <xf numFmtId="0" fontId="21" fillId="0" borderId="17" xfId="0" applyFont="1" applyFill="1" applyBorder="1" applyAlignment="1" applyProtection="1">
      <alignment horizontal="left" vertical="center" shrinkToFit="1"/>
      <protection locked="0"/>
    </xf>
    <xf numFmtId="0" fontId="17" fillId="0" borderId="56" xfId="0" applyFont="1" applyBorder="1" applyAlignment="1" applyProtection="1">
      <alignment horizontal="center" vertical="center" shrinkToFit="1"/>
      <protection locked="0"/>
    </xf>
    <xf numFmtId="166" fontId="17" fillId="0" borderId="58" xfId="0" applyNumberFormat="1" applyFont="1" applyBorder="1" applyAlignment="1" applyProtection="1">
      <alignment horizontal="center" vertical="center" shrinkToFit="1"/>
      <protection locked="0"/>
    </xf>
    <xf numFmtId="0" fontId="17" fillId="0" borderId="56" xfId="0" applyFont="1" applyBorder="1" applyAlignment="1" applyProtection="1">
      <alignment horizontal="left" shrinkToFit="1"/>
      <protection locked="0"/>
    </xf>
    <xf numFmtId="49" fontId="18" fillId="0" borderId="56" xfId="0" applyNumberFormat="1" applyFont="1" applyFill="1" applyBorder="1" applyAlignment="1" applyProtection="1">
      <alignment horizontal="center" shrinkToFit="1"/>
      <protection locked="0"/>
    </xf>
    <xf numFmtId="0" fontId="13" fillId="0" borderId="22" xfId="0" applyFont="1" applyBorder="1" applyAlignment="1" applyProtection="1">
      <alignment horizontal="center" vertical="center" wrapText="1"/>
      <protection hidden="1"/>
    </xf>
    <xf numFmtId="0" fontId="13" fillId="0" borderId="11" xfId="0" applyFont="1" applyBorder="1" applyAlignment="1" applyProtection="1">
      <alignment horizontal="center" vertical="center" wrapText="1"/>
      <protection hidden="1"/>
    </xf>
    <xf numFmtId="0" fontId="13" fillId="0" borderId="13" xfId="0" applyFont="1" applyBorder="1" applyAlignment="1" applyProtection="1">
      <alignment horizontal="center" vertical="center" wrapText="1"/>
      <protection hidden="1"/>
    </xf>
    <xf numFmtId="0" fontId="31" fillId="3" borderId="22" xfId="0" applyFont="1" applyFill="1" applyBorder="1" applyAlignment="1" applyProtection="1">
      <alignment horizontal="center" vertical="center" wrapText="1"/>
    </xf>
    <xf numFmtId="0" fontId="31" fillId="3" borderId="11" xfId="0" applyFont="1" applyFill="1" applyBorder="1" applyAlignment="1" applyProtection="1">
      <alignment horizontal="center" vertical="center" wrapText="1"/>
    </xf>
    <xf numFmtId="0" fontId="31" fillId="3" borderId="13" xfId="0" applyFont="1" applyFill="1" applyBorder="1" applyAlignment="1" applyProtection="1">
      <alignment horizontal="center" vertical="center" wrapText="1"/>
    </xf>
    <xf numFmtId="0" fontId="6" fillId="0" borderId="0" xfId="2" applyFont="1" applyAlignment="1" applyProtection="1">
      <alignment horizontal="left" vertical="center" wrapText="1"/>
      <protection hidden="1"/>
    </xf>
    <xf numFmtId="0" fontId="42" fillId="0" borderId="56" xfId="2" applyFont="1" applyBorder="1" applyAlignment="1" applyProtection="1">
      <alignment horizontal="center" vertical="center" shrinkToFit="1"/>
      <protection hidden="1"/>
    </xf>
    <xf numFmtId="0" fontId="36" fillId="0" borderId="0" xfId="2" applyFont="1" applyAlignment="1" applyProtection="1">
      <alignment horizontal="center"/>
      <protection hidden="1"/>
    </xf>
    <xf numFmtId="0" fontId="0" fillId="0" borderId="0" xfId="0" applyAlignment="1">
      <alignment horizontal="center"/>
    </xf>
    <xf numFmtId="0" fontId="67" fillId="0" borderId="0" xfId="0" applyFont="1" applyAlignment="1">
      <alignment horizontal="right" vertical="center" readingOrder="1"/>
    </xf>
    <xf numFmtId="0" fontId="0" fillId="0" borderId="0" xfId="0" applyAlignment="1">
      <alignment horizontal="right"/>
    </xf>
    <xf numFmtId="49" fontId="60" fillId="0" borderId="37" xfId="0" applyNumberFormat="1" applyFont="1" applyFill="1" applyBorder="1" applyAlignment="1" applyProtection="1">
      <alignment horizontal="center" vertical="center" shrinkToFit="1"/>
      <protection locked="0" hidden="1"/>
    </xf>
    <xf numFmtId="0" fontId="53" fillId="0" borderId="37" xfId="0" applyFont="1" applyFill="1" applyBorder="1" applyAlignment="1" applyProtection="1">
      <alignment horizontal="center"/>
      <protection locked="0" hidden="1"/>
    </xf>
    <xf numFmtId="0" fontId="53" fillId="7" borderId="9" xfId="0" applyFont="1" applyFill="1" applyBorder="1" applyAlignment="1" applyProtection="1">
      <alignment horizontal="center" vertical="center"/>
      <protection locked="0" hidden="1"/>
    </xf>
    <xf numFmtId="0" fontId="55" fillId="7" borderId="9" xfId="0" applyFont="1" applyFill="1" applyBorder="1" applyAlignment="1" applyProtection="1">
      <alignment horizontal="center" vertical="center" wrapText="1"/>
      <protection hidden="1"/>
    </xf>
    <xf numFmtId="0" fontId="57" fillId="0" borderId="0" xfId="0" applyFont="1" applyFill="1" applyAlignment="1" applyProtection="1">
      <alignment horizontal="center" vertical="center"/>
      <protection hidden="1"/>
    </xf>
    <xf numFmtId="0" fontId="58" fillId="0" borderId="0" xfId="0" applyFont="1" applyFill="1" applyAlignment="1" applyProtection="1">
      <alignment horizontal="center" vertical="center"/>
      <protection hidden="1"/>
    </xf>
    <xf numFmtId="0" fontId="54" fillId="0" borderId="70" xfId="0" applyFont="1" applyFill="1" applyBorder="1" applyAlignment="1" applyProtection="1">
      <alignment horizontal="center"/>
      <protection locked="0" hidden="1"/>
    </xf>
    <xf numFmtId="0" fontId="54" fillId="0" borderId="41" xfId="0" applyFont="1" applyFill="1" applyBorder="1" applyAlignment="1" applyProtection="1">
      <alignment horizontal="center"/>
      <protection locked="0" hidden="1"/>
    </xf>
    <xf numFmtId="0" fontId="60" fillId="0" borderId="37" xfId="0" applyFont="1" applyFill="1" applyBorder="1" applyAlignment="1" applyProtection="1">
      <alignment horizontal="center" vertical="center" shrinkToFit="1"/>
      <protection locked="0" hidden="1"/>
    </xf>
    <xf numFmtId="165" fontId="60" fillId="0" borderId="40" xfId="0" applyNumberFormat="1" applyFont="1" applyFill="1" applyBorder="1" applyAlignment="1" applyProtection="1">
      <alignment horizontal="center" vertical="center" shrinkToFit="1"/>
      <protection locked="0" hidden="1"/>
    </xf>
    <xf numFmtId="0" fontId="53" fillId="0" borderId="9" xfId="0" applyFont="1" applyFill="1" applyBorder="1" applyAlignment="1" applyProtection="1">
      <alignment horizontal="center" vertical="center"/>
      <protection hidden="1"/>
    </xf>
    <xf numFmtId="0" fontId="14" fillId="0" borderId="9" xfId="0" applyFont="1" applyFill="1" applyBorder="1" applyAlignment="1" applyProtection="1">
      <alignment horizontal="center" vertical="center" wrapText="1"/>
      <protection hidden="1"/>
    </xf>
    <xf numFmtId="0" fontId="52" fillId="0" borderId="9" xfId="0" applyFont="1" applyFill="1" applyBorder="1" applyAlignment="1" applyProtection="1">
      <alignment horizontal="center" vertical="center" wrapText="1"/>
      <protection locked="0" hidden="1"/>
    </xf>
    <xf numFmtId="0" fontId="55" fillId="7" borderId="9" xfId="0" applyFont="1" applyFill="1" applyBorder="1" applyAlignment="1" applyProtection="1">
      <alignment horizontal="center" vertical="center" wrapText="1"/>
      <protection locked="0" hidden="1"/>
    </xf>
    <xf numFmtId="0" fontId="52" fillId="0" borderId="56" xfId="0" applyFont="1" applyFill="1" applyBorder="1" applyAlignment="1" applyProtection="1">
      <alignment horizontal="left" vertical="center" shrinkToFit="1"/>
      <protection hidden="1"/>
    </xf>
    <xf numFmtId="0" fontId="52" fillId="0" borderId="58" xfId="0" applyFont="1" applyFill="1" applyBorder="1" applyAlignment="1" applyProtection="1">
      <alignment horizontal="left" vertical="center" shrinkToFit="1"/>
      <protection hidden="1"/>
    </xf>
    <xf numFmtId="0" fontId="54" fillId="0" borderId="9" xfId="0" applyFont="1" applyFill="1" applyBorder="1" applyAlignment="1" applyProtection="1">
      <alignment horizontal="center" vertical="center"/>
      <protection hidden="1"/>
    </xf>
    <xf numFmtId="0" fontId="14" fillId="0" borderId="58" xfId="0" applyFont="1" applyFill="1" applyBorder="1" applyAlignment="1" applyProtection="1">
      <alignment horizontal="left" vertical="center" shrinkToFit="1"/>
      <protection hidden="1"/>
    </xf>
    <xf numFmtId="0" fontId="59" fillId="0" borderId="9" xfId="0" applyFont="1" applyFill="1" applyBorder="1" applyAlignment="1" applyProtection="1">
      <alignment horizontal="center"/>
      <protection hidden="1"/>
    </xf>
    <xf numFmtId="0" fontId="61" fillId="0" borderId="56" xfId="0" applyFont="1" applyFill="1" applyBorder="1" applyAlignment="1" applyProtection="1">
      <alignment horizontal="left" vertical="center" shrinkToFit="1"/>
      <protection locked="0" hidden="1"/>
    </xf>
    <xf numFmtId="166" fontId="61" fillId="0" borderId="58" xfId="0" applyNumberFormat="1" applyFont="1" applyFill="1" applyBorder="1" applyAlignment="1" applyProtection="1">
      <alignment horizontal="center" vertical="center" shrinkToFit="1"/>
      <protection locked="0" hidden="1"/>
    </xf>
    <xf numFmtId="0" fontId="61" fillId="0" borderId="56" xfId="0" applyFont="1" applyFill="1" applyBorder="1" applyAlignment="1" applyProtection="1">
      <alignment horizontal="left" shrinkToFit="1"/>
      <protection locked="0" hidden="1"/>
    </xf>
    <xf numFmtId="49" fontId="62" fillId="0" borderId="56" xfId="0" applyNumberFormat="1" applyFont="1" applyFill="1" applyBorder="1" applyAlignment="1" applyProtection="1">
      <alignment horizontal="left" shrinkToFit="1"/>
      <protection locked="0" hidden="1"/>
    </xf>
    <xf numFmtId="0" fontId="54" fillId="0" borderId="18" xfId="0" applyFont="1" applyFill="1" applyBorder="1" applyAlignment="1" applyProtection="1">
      <alignment horizontal="center" vertical="center" wrapText="1"/>
      <protection hidden="1"/>
    </xf>
    <xf numFmtId="0" fontId="54" fillId="0" borderId="24" xfId="0" applyFont="1" applyFill="1" applyBorder="1" applyAlignment="1" applyProtection="1">
      <alignment horizontal="center" vertical="center" wrapText="1"/>
      <protection hidden="1"/>
    </xf>
    <xf numFmtId="0" fontId="52" fillId="0" borderId="9" xfId="0" applyFont="1" applyFill="1" applyBorder="1" applyAlignment="1" applyProtection="1">
      <alignment horizontal="center" vertical="center" wrapText="1"/>
      <protection hidden="1"/>
    </xf>
    <xf numFmtId="0" fontId="14" fillId="7" borderId="9" xfId="0" applyFont="1" applyFill="1" applyBorder="1" applyAlignment="1" applyProtection="1">
      <alignment horizontal="center" vertical="center" wrapText="1"/>
      <protection hidden="1"/>
    </xf>
    <xf numFmtId="0" fontId="10" fillId="0" borderId="20" xfId="0" applyFont="1" applyBorder="1" applyAlignment="1" applyProtection="1">
      <alignment horizontal="center" vertical="center"/>
      <protection hidden="1"/>
    </xf>
    <xf numFmtId="0" fontId="10" fillId="0" borderId="21" xfId="0" applyFont="1" applyBorder="1" applyAlignment="1" applyProtection="1">
      <alignment horizontal="center" vertical="center"/>
      <protection hidden="1"/>
    </xf>
    <xf numFmtId="0" fontId="10" fillId="0" borderId="22" xfId="0" applyFont="1" applyBorder="1" applyAlignment="1" applyProtection="1">
      <alignment horizontal="center" vertical="center"/>
      <protection hidden="1"/>
    </xf>
    <xf numFmtId="0" fontId="10" fillId="0" borderId="23" xfId="0" applyFont="1" applyBorder="1" applyAlignment="1" applyProtection="1">
      <alignment horizontal="center" vertical="center"/>
      <protection hidden="1"/>
    </xf>
    <xf numFmtId="0" fontId="10" fillId="0" borderId="12" xfId="0" applyFont="1" applyBorder="1" applyAlignment="1" applyProtection="1">
      <alignment horizontal="center" vertical="center"/>
      <protection hidden="1"/>
    </xf>
    <xf numFmtId="0" fontId="10" fillId="0" borderId="13" xfId="0" applyFont="1" applyBorder="1" applyAlignment="1" applyProtection="1">
      <alignment horizontal="center" vertical="center"/>
      <protection hidden="1"/>
    </xf>
    <xf numFmtId="0" fontId="18" fillId="0" borderId="31" xfId="0" applyFont="1" applyFill="1" applyBorder="1" applyAlignment="1" applyProtection="1">
      <alignment horizontal="center" vertical="center"/>
      <protection hidden="1"/>
    </xf>
    <xf numFmtId="0" fontId="7" fillId="0" borderId="75" xfId="0" applyFont="1" applyFill="1" applyBorder="1" applyAlignment="1" applyProtection="1">
      <alignment horizontal="center" vertical="center" wrapText="1"/>
      <protection hidden="1"/>
    </xf>
    <xf numFmtId="0" fontId="7" fillId="0" borderId="76" xfId="0" applyFont="1" applyFill="1" applyBorder="1" applyAlignment="1" applyProtection="1">
      <alignment horizontal="center" vertical="center" wrapText="1"/>
      <protection hidden="1"/>
    </xf>
    <xf numFmtId="0" fontId="18" fillId="3" borderId="6" xfId="0" applyFont="1" applyFill="1" applyBorder="1" applyAlignment="1" applyProtection="1">
      <alignment horizontal="center" vertical="center"/>
      <protection hidden="1"/>
    </xf>
    <xf numFmtId="0" fontId="18" fillId="3" borderId="8" xfId="0" applyFont="1" applyFill="1" applyBorder="1" applyAlignment="1" applyProtection="1">
      <alignment horizontal="center" vertical="center"/>
      <protection hidden="1"/>
    </xf>
    <xf numFmtId="0" fontId="0" fillId="0" borderId="18" xfId="0" applyFill="1" applyBorder="1" applyAlignment="1" applyProtection="1">
      <alignment horizontal="center" vertical="center"/>
      <protection hidden="1"/>
    </xf>
    <xf numFmtId="0" fontId="0" fillId="0" borderId="47" xfId="0" applyFill="1" applyBorder="1" applyAlignment="1" applyProtection="1">
      <alignment horizontal="center" vertical="center"/>
      <protection hidden="1"/>
    </xf>
    <xf numFmtId="0" fontId="0" fillId="0" borderId="24" xfId="0" applyFill="1" applyBorder="1" applyAlignment="1" applyProtection="1">
      <alignment horizontal="center" vertical="center"/>
      <protection hidden="1"/>
    </xf>
    <xf numFmtId="0" fontId="0" fillId="0" borderId="18" xfId="0" applyFill="1" applyBorder="1" applyAlignment="1" applyProtection="1">
      <alignment horizontal="center" vertical="center"/>
      <protection locked="0"/>
    </xf>
    <xf numFmtId="0" fontId="0" fillId="0" borderId="47" xfId="0" applyFill="1" applyBorder="1" applyAlignment="1" applyProtection="1">
      <alignment horizontal="center" vertical="center"/>
      <protection locked="0"/>
    </xf>
    <xf numFmtId="0" fontId="0" fillId="0" borderId="24" xfId="0" applyFill="1" applyBorder="1" applyAlignment="1" applyProtection="1">
      <alignment horizontal="center" vertical="center"/>
      <protection locked="0"/>
    </xf>
    <xf numFmtId="0" fontId="47" fillId="0" borderId="18" xfId="0" applyFont="1" applyBorder="1" applyAlignment="1" applyProtection="1">
      <alignment horizontal="center" vertical="center" wrapText="1"/>
      <protection locked="0"/>
    </xf>
    <xf numFmtId="0" fontId="47" fillId="0" borderId="47" xfId="0" applyFont="1" applyBorder="1" applyAlignment="1" applyProtection="1">
      <alignment horizontal="center" vertical="center" wrapText="1"/>
      <protection locked="0"/>
    </xf>
    <xf numFmtId="0" fontId="47" fillId="0" borderId="24" xfId="0" applyFont="1" applyBorder="1" applyAlignment="1" applyProtection="1">
      <alignment horizontal="center" vertical="center" wrapText="1"/>
      <protection locked="0"/>
    </xf>
    <xf numFmtId="0" fontId="45" fillId="0" borderId="18" xfId="0" applyFont="1" applyFill="1" applyBorder="1" applyAlignment="1" applyProtection="1">
      <alignment horizontal="center" vertical="center"/>
      <protection hidden="1"/>
    </xf>
    <xf numFmtId="0" fontId="45" fillId="0" borderId="47" xfId="0" applyFont="1" applyFill="1" applyBorder="1" applyAlignment="1" applyProtection="1">
      <alignment horizontal="center" vertical="center"/>
      <protection hidden="1"/>
    </xf>
    <xf numFmtId="0" fontId="45" fillId="0" borderId="24" xfId="0" applyFont="1" applyFill="1" applyBorder="1" applyAlignment="1" applyProtection="1">
      <alignment horizontal="center" vertical="center"/>
      <protection hidden="1"/>
    </xf>
    <xf numFmtId="0" fontId="45" fillId="5" borderId="35" xfId="0" applyFont="1" applyFill="1" applyBorder="1" applyAlignment="1" applyProtection="1">
      <alignment horizontal="center" vertical="center"/>
      <protection hidden="1"/>
    </xf>
    <xf numFmtId="0" fontId="45" fillId="5" borderId="48" xfId="0" applyFont="1" applyFill="1" applyBorder="1" applyAlignment="1" applyProtection="1">
      <alignment horizontal="center" vertical="center"/>
      <protection hidden="1"/>
    </xf>
    <xf numFmtId="0" fontId="45" fillId="5" borderId="38" xfId="0" applyFont="1" applyFill="1" applyBorder="1" applyAlignment="1" applyProtection="1">
      <alignment horizontal="center" vertical="center"/>
      <protection hidden="1"/>
    </xf>
    <xf numFmtId="0" fontId="28" fillId="5" borderId="18" xfId="2" applyFont="1" applyFill="1" applyBorder="1" applyAlignment="1" applyProtection="1">
      <alignment horizontal="center" vertical="center" wrapText="1"/>
      <protection hidden="1"/>
    </xf>
    <xf numFmtId="0" fontId="28" fillId="5" borderId="24" xfId="2" applyFont="1" applyFill="1" applyBorder="1" applyAlignment="1" applyProtection="1">
      <alignment horizontal="center" vertical="center" wrapText="1"/>
      <protection hidden="1"/>
    </xf>
    <xf numFmtId="0" fontId="29" fillId="5" borderId="9" xfId="2" applyFont="1" applyFill="1" applyBorder="1" applyAlignment="1" applyProtection="1">
      <alignment horizontal="center" vertical="center" wrapText="1"/>
      <protection hidden="1"/>
    </xf>
    <xf numFmtId="0" fontId="27" fillId="5" borderId="9" xfId="2" applyFont="1" applyFill="1" applyBorder="1" applyAlignment="1" applyProtection="1">
      <alignment horizontal="center" vertical="center" wrapText="1"/>
      <protection hidden="1"/>
    </xf>
    <xf numFmtId="0" fontId="9" fillId="5" borderId="9" xfId="2" applyFont="1" applyFill="1" applyBorder="1" applyAlignment="1" applyProtection="1">
      <alignment horizontal="center" vertical="center" wrapText="1"/>
      <protection hidden="1"/>
    </xf>
    <xf numFmtId="0" fontId="9" fillId="5" borderId="9" xfId="0" applyFont="1" applyFill="1" applyBorder="1" applyAlignment="1" applyProtection="1">
      <alignment horizontal="center" vertical="center" wrapText="1"/>
      <protection hidden="1"/>
    </xf>
    <xf numFmtId="0" fontId="45" fillId="5" borderId="35" xfId="0" applyFont="1" applyFill="1" applyBorder="1" applyAlignment="1" applyProtection="1">
      <alignment horizontal="center" vertical="center" wrapText="1"/>
      <protection hidden="1"/>
    </xf>
    <xf numFmtId="0" fontId="45" fillId="5" borderId="48" xfId="0" applyFont="1" applyFill="1" applyBorder="1" applyAlignment="1" applyProtection="1">
      <alignment horizontal="center" vertical="center" wrapText="1"/>
      <protection hidden="1"/>
    </xf>
    <xf numFmtId="0" fontId="45" fillId="5" borderId="38" xfId="0" applyFont="1" applyFill="1" applyBorder="1" applyAlignment="1" applyProtection="1">
      <alignment horizontal="center" vertical="center" wrapText="1"/>
      <protection hidden="1"/>
    </xf>
    <xf numFmtId="0" fontId="45" fillId="5" borderId="70" xfId="0" applyFont="1" applyFill="1" applyBorder="1" applyAlignment="1" applyProtection="1">
      <alignment horizontal="center" vertical="center" wrapText="1"/>
      <protection hidden="1"/>
    </xf>
    <xf numFmtId="0" fontId="45" fillId="5" borderId="40" xfId="0" applyFont="1" applyFill="1" applyBorder="1" applyAlignment="1" applyProtection="1">
      <alignment horizontal="center" vertical="center" wrapText="1"/>
      <protection hidden="1"/>
    </xf>
    <xf numFmtId="0" fontId="14" fillId="5" borderId="9" xfId="0" applyFont="1" applyFill="1" applyBorder="1" applyAlignment="1" applyProtection="1">
      <alignment horizontal="center" vertical="center" wrapText="1"/>
      <protection hidden="1"/>
    </xf>
    <xf numFmtId="0" fontId="4" fillId="5" borderId="9" xfId="0" applyFont="1" applyFill="1" applyBorder="1" applyAlignment="1" applyProtection="1">
      <alignment horizontal="center" vertical="center" wrapText="1"/>
      <protection hidden="1"/>
    </xf>
    <xf numFmtId="0" fontId="45" fillId="5" borderId="18" xfId="0" applyFont="1" applyFill="1" applyBorder="1" applyAlignment="1" applyProtection="1">
      <alignment horizontal="center" vertical="center" wrapText="1"/>
      <protection hidden="1"/>
    </xf>
    <xf numFmtId="0" fontId="45" fillId="5" borderId="24" xfId="0" applyFont="1" applyFill="1" applyBorder="1" applyAlignment="1" applyProtection="1">
      <alignment horizontal="center" vertical="center" wrapText="1"/>
      <protection hidden="1"/>
    </xf>
    <xf numFmtId="0" fontId="9" fillId="5" borderId="18" xfId="0" applyFont="1" applyFill="1" applyBorder="1" applyAlignment="1" applyProtection="1">
      <alignment horizontal="center" vertical="center" wrapText="1"/>
      <protection hidden="1"/>
    </xf>
    <xf numFmtId="0" fontId="9" fillId="5" borderId="24" xfId="0" applyFont="1" applyFill="1" applyBorder="1" applyAlignment="1" applyProtection="1">
      <alignment horizontal="center" vertical="center" wrapText="1"/>
      <protection hidden="1"/>
    </xf>
    <xf numFmtId="0" fontId="45" fillId="5" borderId="41" xfId="0" applyFont="1" applyFill="1" applyBorder="1" applyAlignment="1" applyProtection="1">
      <alignment horizontal="center" vertical="center" wrapText="1"/>
      <protection hidden="1"/>
    </xf>
    <xf numFmtId="0" fontId="0" fillId="5" borderId="9" xfId="0" applyFill="1" applyBorder="1" applyAlignment="1" applyProtection="1">
      <alignment horizontal="center" wrapText="1"/>
      <protection hidden="1"/>
    </xf>
    <xf numFmtId="0" fontId="0" fillId="0" borderId="9" xfId="0" applyFill="1" applyBorder="1" applyAlignment="1" applyProtection="1">
      <alignment horizontal="center" vertical="center" wrapText="1"/>
      <protection hidden="1"/>
    </xf>
    <xf numFmtId="0" fontId="0" fillId="5" borderId="9" xfId="0" applyFill="1" applyBorder="1" applyAlignment="1" applyProtection="1">
      <alignment horizontal="center" vertical="center" wrapText="1"/>
      <protection hidden="1"/>
    </xf>
    <xf numFmtId="49" fontId="0" fillId="0" borderId="9" xfId="0" applyNumberFormat="1" applyFill="1" applyBorder="1" applyAlignment="1" applyProtection="1">
      <alignment horizontal="center" vertical="center" wrapText="1"/>
      <protection hidden="1"/>
    </xf>
    <xf numFmtId="0" fontId="46" fillId="9" borderId="9" xfId="0" applyFont="1" applyFill="1" applyBorder="1" applyAlignment="1" applyProtection="1">
      <alignment horizontal="center" vertical="center" wrapText="1"/>
      <protection hidden="1"/>
    </xf>
    <xf numFmtId="0" fontId="6" fillId="9" borderId="18" xfId="0" applyFont="1" applyFill="1" applyBorder="1" applyAlignment="1" applyProtection="1">
      <alignment horizontal="center" vertical="center" wrapText="1"/>
      <protection hidden="1"/>
    </xf>
    <xf numFmtId="0" fontId="6" fillId="9" borderId="47" xfId="0" applyFont="1" applyFill="1" applyBorder="1" applyAlignment="1" applyProtection="1">
      <alignment horizontal="center" vertical="center" wrapText="1"/>
      <protection hidden="1"/>
    </xf>
    <xf numFmtId="0" fontId="6" fillId="9" borderId="24" xfId="0" applyFont="1" applyFill="1" applyBorder="1" applyAlignment="1" applyProtection="1">
      <alignment horizontal="center" vertical="center" wrapText="1"/>
      <protection hidden="1"/>
    </xf>
    <xf numFmtId="0" fontId="0" fillId="5" borderId="9" xfId="0" applyFill="1" applyBorder="1" applyAlignment="1" applyProtection="1">
      <alignment horizontal="center"/>
      <protection hidden="1"/>
    </xf>
    <xf numFmtId="0" fontId="45" fillId="5" borderId="9" xfId="0" applyFont="1" applyFill="1" applyBorder="1" applyAlignment="1" applyProtection="1">
      <alignment horizontal="center" vertical="center" wrapText="1"/>
      <protection hidden="1"/>
    </xf>
    <xf numFmtId="0" fontId="0" fillId="0" borderId="9" xfId="0" applyBorder="1" applyAlignment="1" applyProtection="1">
      <alignment horizontal="center" vertical="center"/>
      <protection hidden="1"/>
    </xf>
    <xf numFmtId="0" fontId="0" fillId="8" borderId="9" xfId="0" applyFill="1" applyBorder="1" applyAlignment="1" applyProtection="1">
      <alignment horizontal="center" vertical="center" wrapText="1"/>
      <protection hidden="1"/>
    </xf>
  </cellXfs>
  <cellStyles count="21">
    <cellStyle name="ConditionalStyle_1" xfId="5" xr:uid="{00000000-0005-0000-0000-000000000000}"/>
    <cellStyle name="Currency 2" xfId="19" xr:uid="{00000000-0005-0000-0000-000001000000}"/>
    <cellStyle name="Excel Built-in Normal" xfId="6" xr:uid="{00000000-0005-0000-0000-000002000000}"/>
    <cellStyle name="Heading" xfId="7" xr:uid="{00000000-0005-0000-0000-000003000000}"/>
    <cellStyle name="Heading1" xfId="8" xr:uid="{00000000-0005-0000-0000-000004000000}"/>
    <cellStyle name="Normal" xfId="0" builtinId="0"/>
    <cellStyle name="Normal 2" xfId="1" xr:uid="{00000000-0005-0000-0000-000006000000}"/>
    <cellStyle name="Normal 2 2" xfId="10" xr:uid="{00000000-0005-0000-0000-000007000000}"/>
    <cellStyle name="Normal 2 2 2" xfId="16" xr:uid="{00000000-0005-0000-0000-000008000000}"/>
    <cellStyle name="Normal 2 3" xfId="9" xr:uid="{00000000-0005-0000-0000-000009000000}"/>
    <cellStyle name="Normal 2 4" xfId="15" xr:uid="{00000000-0005-0000-0000-00000A000000}"/>
    <cellStyle name="Normal 3" xfId="2" xr:uid="{00000000-0005-0000-0000-00000B000000}"/>
    <cellStyle name="Normal 3 2" xfId="11" xr:uid="{00000000-0005-0000-0000-00000C000000}"/>
    <cellStyle name="Normal 4" xfId="4" xr:uid="{00000000-0005-0000-0000-00000D000000}"/>
    <cellStyle name="Normal 4 2" xfId="17" xr:uid="{00000000-0005-0000-0000-00000E000000}"/>
    <cellStyle name="Normal 5" xfId="12" xr:uid="{00000000-0005-0000-0000-00000F000000}"/>
    <cellStyle name="Normal 6" xfId="3" xr:uid="{00000000-0005-0000-0000-000010000000}"/>
    <cellStyle name="Normal 7" xfId="18" xr:uid="{00000000-0005-0000-0000-000011000000}"/>
    <cellStyle name="Percent 2" xfId="20" xr:uid="{00000000-0005-0000-0000-000012000000}"/>
    <cellStyle name="Result" xfId="13" xr:uid="{00000000-0005-0000-0000-000013000000}"/>
    <cellStyle name="Result2" xfId="14" xr:uid="{00000000-0005-0000-0000-000014000000}"/>
  </cellStyles>
  <dxfs count="5">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4"/>
      <tableStyleElement type="headerRow" dxfId="3"/>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23%20Monthly%20GeneXpert%20data%202017%20(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WE1030"/>
  <sheetViews>
    <sheetView showGridLines="0" tabSelected="1" zoomScaleNormal="100" zoomScaleSheetLayoutView="100" workbookViewId="0">
      <selection activeCell="L7" sqref="L7"/>
    </sheetView>
  </sheetViews>
  <sheetFormatPr baseColWidth="10" defaultColWidth="9.125" defaultRowHeight="16.5" x14ac:dyDescent="0.3"/>
  <cols>
    <col min="1" max="1" width="18.875" style="3" customWidth="1"/>
    <col min="2" max="2" width="11.625" style="3" customWidth="1"/>
    <col min="3" max="3" width="9.5" style="3" customWidth="1"/>
    <col min="4" max="4" width="13" style="3" customWidth="1"/>
    <col min="5" max="5" width="11.625" style="3" customWidth="1"/>
    <col min="6" max="6" width="9.875" style="3" customWidth="1"/>
    <col min="7" max="7" width="11.875" style="3" customWidth="1"/>
    <col min="8" max="8" width="9.125" style="3"/>
    <col min="9" max="9" width="7.5" style="3" customWidth="1"/>
    <col min="10" max="10" width="7.875" style="3" customWidth="1"/>
    <col min="11" max="11" width="9" style="3" customWidth="1"/>
    <col min="12" max="13" width="8.5" style="3" customWidth="1"/>
    <col min="14" max="14" width="6.125" style="3" customWidth="1"/>
    <col min="15" max="15" width="6.625" style="3" customWidth="1"/>
    <col min="16" max="16" width="7" style="3" customWidth="1"/>
    <col min="17" max="17" width="6.5" style="3" customWidth="1"/>
    <col min="18" max="18" width="7.125" style="3" customWidth="1"/>
    <col min="19" max="20" width="6.625" style="3" customWidth="1"/>
    <col min="21" max="21" width="12.5" style="3" customWidth="1"/>
    <col min="22" max="22" width="8.375" style="3" customWidth="1"/>
    <col min="23" max="23" width="16.875" style="3" customWidth="1"/>
    <col min="24" max="24" width="10.5" style="3" customWidth="1"/>
    <col min="25" max="28" width="9.125" style="3"/>
    <col min="29" max="29" width="13.375" style="3" customWidth="1"/>
    <col min="30" max="32" width="9.125" style="3"/>
    <col min="33" max="603" width="9.125" style="18"/>
    <col min="604" max="16384" width="9.125" style="3"/>
  </cols>
  <sheetData>
    <row r="1" spans="1:603" ht="13.7" customHeight="1" x14ac:dyDescent="0.3">
      <c r="A1" s="247" t="s">
        <v>751</v>
      </c>
      <c r="B1" s="247"/>
      <c r="C1" s="247"/>
      <c r="D1" s="247"/>
      <c r="E1" s="247"/>
      <c r="F1" s="247"/>
      <c r="G1" s="247"/>
      <c r="H1" s="247"/>
      <c r="I1" s="247"/>
      <c r="J1" s="247"/>
      <c r="K1" s="247"/>
      <c r="L1" s="247"/>
      <c r="M1" s="247"/>
      <c r="N1" s="247"/>
      <c r="O1" s="247"/>
      <c r="P1" s="247"/>
      <c r="Q1" s="247"/>
      <c r="R1" s="247"/>
      <c r="S1" s="271" t="s">
        <v>68</v>
      </c>
      <c r="T1" s="272"/>
      <c r="U1" s="272"/>
      <c r="W1" s="1"/>
      <c r="X1" s="1"/>
    </row>
    <row r="2" spans="1:603" ht="13.7" customHeight="1" x14ac:dyDescent="0.3">
      <c r="A2" s="247" t="s">
        <v>750</v>
      </c>
      <c r="B2" s="273"/>
      <c r="C2" s="273"/>
      <c r="D2" s="273"/>
      <c r="E2" s="273"/>
      <c r="F2" s="273"/>
      <c r="G2" s="273"/>
      <c r="H2" s="273"/>
      <c r="I2" s="273"/>
      <c r="J2" s="273"/>
      <c r="K2" s="273"/>
      <c r="L2" s="273"/>
      <c r="M2" s="273"/>
      <c r="N2" s="273"/>
      <c r="O2" s="273"/>
      <c r="P2" s="273"/>
      <c r="Q2" s="273"/>
      <c r="R2" s="273"/>
      <c r="S2" s="154"/>
      <c r="T2" s="154"/>
      <c r="U2" s="154"/>
      <c r="V2" s="1"/>
      <c r="W2" s="1"/>
      <c r="X2" s="1"/>
    </row>
    <row r="3" spans="1:603" ht="13.7" customHeight="1" x14ac:dyDescent="0.3">
      <c r="A3" s="247" t="s">
        <v>749</v>
      </c>
      <c r="B3" s="247"/>
      <c r="C3" s="247"/>
      <c r="D3" s="247"/>
      <c r="E3" s="247"/>
      <c r="F3" s="247"/>
      <c r="G3" s="247"/>
      <c r="H3" s="247"/>
      <c r="I3" s="247"/>
      <c r="J3" s="247"/>
      <c r="K3" s="247"/>
      <c r="L3" s="247"/>
      <c r="M3" s="247"/>
      <c r="N3" s="247"/>
      <c r="O3" s="247"/>
      <c r="P3" s="247"/>
      <c r="Q3" s="247"/>
      <c r="R3" s="247"/>
      <c r="S3" s="154"/>
      <c r="T3" s="154"/>
      <c r="U3" s="154"/>
      <c r="V3" s="1"/>
      <c r="W3" s="1"/>
      <c r="X3" s="1"/>
    </row>
    <row r="4" spans="1:603" ht="13.7" customHeight="1" x14ac:dyDescent="0.3">
      <c r="A4" s="274" t="s">
        <v>748</v>
      </c>
      <c r="B4" s="274"/>
      <c r="C4" s="274"/>
      <c r="D4" s="274"/>
      <c r="E4" s="274"/>
      <c r="F4" s="274"/>
      <c r="G4" s="274"/>
      <c r="H4" s="274"/>
      <c r="I4" s="274"/>
      <c r="J4" s="274"/>
      <c r="K4" s="274"/>
      <c r="L4" s="274"/>
      <c r="M4" s="274"/>
      <c r="N4" s="274"/>
      <c r="O4" s="274"/>
      <c r="P4" s="274"/>
      <c r="Q4" s="274"/>
      <c r="R4" s="274"/>
      <c r="S4" s="155"/>
      <c r="T4" s="155"/>
      <c r="U4" s="155"/>
      <c r="V4" s="4"/>
      <c r="W4" s="4"/>
      <c r="X4" s="4"/>
    </row>
    <row r="5" spans="1:603" ht="36.75" customHeight="1" x14ac:dyDescent="0.3">
      <c r="A5" s="4"/>
      <c r="B5" s="4"/>
      <c r="C5" s="4"/>
      <c r="D5" s="4"/>
      <c r="E5" s="4"/>
      <c r="F5" s="4"/>
      <c r="G5" s="4"/>
      <c r="H5" s="4"/>
      <c r="I5" s="4"/>
      <c r="J5" s="4"/>
      <c r="K5" s="4"/>
      <c r="L5" s="4"/>
      <c r="M5" s="4"/>
      <c r="N5" s="4"/>
      <c r="O5" s="4"/>
      <c r="P5" s="4"/>
      <c r="Q5" s="4"/>
      <c r="R5" s="4"/>
      <c r="S5" s="4"/>
      <c r="T5" s="4"/>
      <c r="U5" s="4"/>
      <c r="V5" s="4"/>
      <c r="W5" s="4"/>
      <c r="X5" s="4"/>
    </row>
    <row r="6" spans="1:603" ht="15.75" customHeight="1" x14ac:dyDescent="0.3">
      <c r="A6" s="5" t="s">
        <v>139</v>
      </c>
      <c r="B6" s="5"/>
      <c r="C6" s="275"/>
      <c r="D6" s="275"/>
      <c r="E6" s="275"/>
      <c r="F6" s="275"/>
      <c r="G6" s="275"/>
      <c r="I6" s="1"/>
      <c r="J6" s="7" t="s">
        <v>14</v>
      </c>
      <c r="L6" s="3" t="s">
        <v>752</v>
      </c>
      <c r="Y6" s="18"/>
      <c r="Z6" s="18"/>
      <c r="AA6" s="18"/>
      <c r="AB6" s="18"/>
      <c r="AC6" s="18"/>
      <c r="AD6" s="18"/>
      <c r="AE6" s="18"/>
      <c r="AF6" s="18"/>
      <c r="VX6" s="3"/>
      <c r="VY6" s="3"/>
      <c r="VZ6" s="3"/>
      <c r="WA6" s="3"/>
      <c r="WB6" s="3"/>
      <c r="WC6" s="3"/>
      <c r="WD6" s="3"/>
      <c r="WE6" s="3"/>
    </row>
    <row r="7" spans="1:603" ht="15.75" customHeight="1" x14ac:dyDescent="0.3">
      <c r="A7" s="5" t="s">
        <v>9</v>
      </c>
      <c r="B7" s="5"/>
      <c r="C7" s="276"/>
      <c r="D7" s="276"/>
      <c r="E7" s="276"/>
      <c r="F7" s="276"/>
      <c r="G7" s="276"/>
      <c r="I7" s="6"/>
      <c r="J7" s="8" t="s">
        <v>67</v>
      </c>
      <c r="K7" s="8"/>
      <c r="L7" s="8"/>
      <c r="M7" s="281"/>
      <c r="N7" s="281"/>
      <c r="O7" s="281"/>
      <c r="P7" s="281"/>
      <c r="Q7" s="281"/>
      <c r="R7" s="281"/>
      <c r="AF7" s="18"/>
      <c r="WE7" s="3"/>
    </row>
    <row r="8" spans="1:603" ht="15.75" customHeight="1" x14ac:dyDescent="0.3">
      <c r="A8" s="5" t="s">
        <v>10</v>
      </c>
      <c r="B8" s="5"/>
      <c r="C8" s="277"/>
      <c r="D8" s="277"/>
      <c r="E8" s="277"/>
      <c r="F8" s="277"/>
      <c r="G8" s="277"/>
      <c r="I8" s="6"/>
      <c r="J8" s="8" t="s">
        <v>66</v>
      </c>
      <c r="K8" s="8"/>
      <c r="L8" s="8"/>
      <c r="M8" s="281"/>
      <c r="N8" s="281"/>
      <c r="O8" s="281"/>
      <c r="P8" s="281"/>
      <c r="Q8" s="281"/>
      <c r="R8" s="281"/>
      <c r="S8" s="281"/>
    </row>
    <row r="9" spans="1:603" ht="15.75" customHeight="1" x14ac:dyDescent="0.3">
      <c r="J9" s="8" t="s">
        <v>11</v>
      </c>
      <c r="K9" s="8"/>
      <c r="L9" s="8"/>
      <c r="M9" s="282"/>
      <c r="N9" s="282"/>
      <c r="O9" s="62"/>
      <c r="P9" s="61"/>
    </row>
    <row r="10" spans="1:603" ht="15.75" customHeight="1" x14ac:dyDescent="0.3">
      <c r="J10" s="9" t="s">
        <v>71</v>
      </c>
      <c r="K10" s="283"/>
      <c r="L10" s="283"/>
      <c r="M10" s="9"/>
      <c r="N10" s="10"/>
      <c r="O10" s="8" t="s">
        <v>12</v>
      </c>
      <c r="Q10" s="284"/>
      <c r="R10" s="284"/>
      <c r="S10" s="284"/>
      <c r="T10" s="18"/>
    </row>
    <row r="11" spans="1:603" s="10" customFormat="1" ht="14.25" customHeight="1" thickBot="1" x14ac:dyDescent="0.35">
      <c r="A11" s="2" t="s">
        <v>0</v>
      </c>
      <c r="B11" s="22"/>
      <c r="C11" s="22"/>
      <c r="D11" s="22"/>
      <c r="E11" s="22"/>
      <c r="F11" s="3"/>
      <c r="G11" s="23"/>
      <c r="H11" s="23"/>
      <c r="I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c r="BM11" s="23"/>
      <c r="BN11" s="23"/>
      <c r="BO11" s="23"/>
      <c r="BP11" s="23"/>
      <c r="BQ11" s="23"/>
      <c r="BR11" s="23"/>
      <c r="BS11" s="23"/>
      <c r="BT11" s="23"/>
      <c r="BU11" s="23"/>
      <c r="BV11" s="23"/>
      <c r="BW11" s="23"/>
      <c r="BX11" s="23"/>
      <c r="BY11" s="23"/>
      <c r="BZ11" s="23"/>
      <c r="CA11" s="23"/>
      <c r="CB11" s="23"/>
      <c r="CC11" s="23"/>
      <c r="CD11" s="23"/>
      <c r="CE11" s="23"/>
      <c r="CF11" s="23"/>
      <c r="CG11" s="23"/>
      <c r="CH11" s="23"/>
      <c r="CI11" s="23"/>
      <c r="CJ11" s="23"/>
      <c r="CK11" s="23"/>
      <c r="CL11" s="23"/>
      <c r="CM11" s="23"/>
      <c r="CN11" s="23"/>
      <c r="CO11" s="23"/>
      <c r="CP11" s="23"/>
      <c r="CQ11" s="23"/>
      <c r="CR11" s="23"/>
      <c r="CS11" s="23"/>
      <c r="CT11" s="23"/>
      <c r="CU11" s="23"/>
      <c r="CV11" s="23"/>
      <c r="CW11" s="23"/>
      <c r="CX11" s="23"/>
      <c r="CY11" s="23"/>
      <c r="CZ11" s="23"/>
      <c r="DA11" s="23"/>
      <c r="DB11" s="23"/>
      <c r="DC11" s="23"/>
      <c r="DD11" s="23"/>
      <c r="DE11" s="23"/>
      <c r="DF11" s="23"/>
      <c r="DG11" s="23"/>
      <c r="DH11" s="23"/>
      <c r="DI11" s="23"/>
      <c r="DJ11" s="23"/>
      <c r="DK11" s="23"/>
      <c r="DL11" s="23"/>
      <c r="DM11" s="23"/>
      <c r="DN11" s="23"/>
      <c r="DO11" s="23"/>
      <c r="DP11" s="23"/>
      <c r="DQ11" s="23"/>
      <c r="DR11" s="23"/>
      <c r="DS11" s="23"/>
      <c r="DT11" s="23"/>
      <c r="DU11" s="23"/>
      <c r="DV11" s="23"/>
      <c r="DW11" s="23"/>
      <c r="DX11" s="23"/>
      <c r="DY11" s="23"/>
      <c r="DZ11" s="23"/>
      <c r="EA11" s="23"/>
      <c r="EB11" s="23"/>
      <c r="EC11" s="23"/>
      <c r="ED11" s="23"/>
      <c r="EE11" s="23"/>
      <c r="EF11" s="23"/>
      <c r="EG11" s="23"/>
      <c r="EH11" s="23"/>
      <c r="EI11" s="23"/>
      <c r="EJ11" s="23"/>
      <c r="EK11" s="23"/>
      <c r="EL11" s="23"/>
      <c r="EM11" s="23"/>
      <c r="EN11" s="23"/>
      <c r="EO11" s="23"/>
      <c r="EP11" s="23"/>
      <c r="EQ11" s="23"/>
      <c r="ER11" s="23"/>
      <c r="ES11" s="23"/>
      <c r="ET11" s="23"/>
      <c r="EU11" s="23"/>
      <c r="EV11" s="23"/>
      <c r="EW11" s="23"/>
      <c r="EX11" s="23"/>
      <c r="EY11" s="23"/>
      <c r="EZ11" s="23"/>
      <c r="FA11" s="23"/>
      <c r="FB11" s="23"/>
      <c r="FC11" s="23"/>
      <c r="FD11" s="23"/>
      <c r="FE11" s="23"/>
      <c r="FF11" s="23"/>
      <c r="FG11" s="23"/>
      <c r="FH11" s="23"/>
      <c r="FI11" s="23"/>
      <c r="FJ11" s="23"/>
      <c r="FK11" s="23"/>
      <c r="FL11" s="23"/>
      <c r="FM11" s="23"/>
      <c r="FN11" s="23"/>
      <c r="FO11" s="23"/>
      <c r="FP11" s="23"/>
      <c r="FQ11" s="23"/>
      <c r="FR11" s="23"/>
      <c r="FS11" s="23"/>
      <c r="FT11" s="23"/>
      <c r="FU11" s="23"/>
      <c r="FV11" s="23"/>
      <c r="FW11" s="23"/>
      <c r="FX11" s="23"/>
      <c r="FY11" s="23"/>
      <c r="FZ11" s="23"/>
      <c r="GA11" s="23"/>
      <c r="GB11" s="23"/>
      <c r="GC11" s="23"/>
      <c r="GD11" s="23"/>
      <c r="GE11" s="23"/>
      <c r="GF11" s="23"/>
      <c r="GG11" s="23"/>
      <c r="GH11" s="23"/>
      <c r="GI11" s="23"/>
      <c r="GJ11" s="23"/>
      <c r="GK11" s="23"/>
      <c r="GL11" s="23"/>
      <c r="GM11" s="23"/>
      <c r="GN11" s="23"/>
      <c r="GO11" s="23"/>
      <c r="GP11" s="23"/>
      <c r="GQ11" s="23"/>
      <c r="GR11" s="23"/>
      <c r="GS11" s="23"/>
      <c r="GT11" s="23"/>
      <c r="GU11" s="23"/>
      <c r="GV11" s="23"/>
      <c r="GW11" s="23"/>
      <c r="GX11" s="23"/>
      <c r="GY11" s="23"/>
      <c r="GZ11" s="23"/>
      <c r="HA11" s="23"/>
      <c r="HB11" s="23"/>
      <c r="HC11" s="23"/>
      <c r="HD11" s="23"/>
      <c r="HE11" s="23"/>
      <c r="HF11" s="23"/>
      <c r="HG11" s="23"/>
      <c r="HH11" s="23"/>
      <c r="HI11" s="23"/>
      <c r="HJ11" s="23"/>
      <c r="HK11" s="23"/>
      <c r="HL11" s="23"/>
      <c r="HM11" s="23"/>
      <c r="HN11" s="23"/>
      <c r="HO11" s="23"/>
      <c r="HP11" s="23"/>
      <c r="HQ11" s="23"/>
      <c r="HR11" s="23"/>
      <c r="HS11" s="23"/>
      <c r="HT11" s="23"/>
      <c r="HU11" s="23"/>
      <c r="HV11" s="23"/>
      <c r="HW11" s="23"/>
      <c r="HX11" s="23"/>
      <c r="HY11" s="23"/>
      <c r="HZ11" s="23"/>
      <c r="IA11" s="23"/>
      <c r="IB11" s="23"/>
      <c r="IC11" s="23"/>
      <c r="ID11" s="23"/>
      <c r="IE11" s="23"/>
      <c r="IF11" s="23"/>
      <c r="IG11" s="23"/>
      <c r="IH11" s="23"/>
      <c r="II11" s="23"/>
      <c r="IJ11" s="23"/>
      <c r="IK11" s="23"/>
      <c r="IL11" s="23"/>
      <c r="IM11" s="23"/>
      <c r="IN11" s="23"/>
      <c r="IO11" s="23"/>
      <c r="IP11" s="23"/>
      <c r="IQ11" s="23"/>
      <c r="IR11" s="23"/>
      <c r="IS11" s="23"/>
      <c r="IT11" s="23"/>
      <c r="IU11" s="23"/>
      <c r="IV11" s="23"/>
      <c r="IW11" s="23"/>
      <c r="IX11" s="23"/>
      <c r="IY11" s="23"/>
      <c r="IZ11" s="23"/>
      <c r="JA11" s="23"/>
      <c r="JB11" s="23"/>
      <c r="JC11" s="23"/>
      <c r="JD11" s="23"/>
      <c r="JE11" s="23"/>
      <c r="JF11" s="23"/>
      <c r="JG11" s="23"/>
      <c r="JH11" s="23"/>
      <c r="JI11" s="23"/>
      <c r="JJ11" s="23"/>
      <c r="JK11" s="23"/>
      <c r="JL11" s="23"/>
      <c r="JM11" s="23"/>
      <c r="JN11" s="23"/>
      <c r="JO11" s="23"/>
      <c r="JP11" s="23"/>
      <c r="JQ11" s="23"/>
      <c r="JR11" s="23"/>
      <c r="JS11" s="23"/>
      <c r="JT11" s="23"/>
      <c r="JU11" s="23"/>
      <c r="JV11" s="23"/>
      <c r="JW11" s="23"/>
      <c r="JX11" s="23"/>
      <c r="JY11" s="23"/>
      <c r="JZ11" s="23"/>
      <c r="KA11" s="23"/>
      <c r="KB11" s="23"/>
      <c r="KC11" s="23"/>
      <c r="KD11" s="23"/>
      <c r="KE11" s="23"/>
      <c r="KF11" s="23"/>
      <c r="KG11" s="23"/>
      <c r="KH11" s="23"/>
      <c r="KI11" s="23"/>
      <c r="KJ11" s="23"/>
      <c r="KK11" s="23"/>
      <c r="KL11" s="23"/>
      <c r="KM11" s="23"/>
      <c r="KN11" s="23"/>
      <c r="KO11" s="23"/>
      <c r="KP11" s="23"/>
      <c r="KQ11" s="23"/>
      <c r="KR11" s="23"/>
      <c r="KS11" s="23"/>
      <c r="KT11" s="23"/>
      <c r="KU11" s="23"/>
      <c r="KV11" s="23"/>
      <c r="KW11" s="23"/>
      <c r="KX11" s="23"/>
      <c r="KY11" s="23"/>
      <c r="KZ11" s="23"/>
      <c r="LA11" s="23"/>
      <c r="LB11" s="23"/>
      <c r="LC11" s="23"/>
      <c r="LD11" s="23"/>
      <c r="LE11" s="23"/>
      <c r="LF11" s="23"/>
      <c r="LG11" s="23"/>
      <c r="LH11" s="23"/>
      <c r="LI11" s="23"/>
      <c r="LJ11" s="23"/>
      <c r="LK11" s="23"/>
      <c r="LL11" s="23"/>
      <c r="LM11" s="23"/>
      <c r="LN11" s="23"/>
      <c r="LO11" s="23"/>
      <c r="LP11" s="23"/>
      <c r="LQ11" s="23"/>
      <c r="LR11" s="23"/>
      <c r="LS11" s="23"/>
      <c r="LT11" s="23"/>
      <c r="LU11" s="23"/>
      <c r="LV11" s="23"/>
      <c r="LW11" s="23"/>
      <c r="LX11" s="23"/>
      <c r="LY11" s="23"/>
      <c r="LZ11" s="23"/>
      <c r="MA11" s="23"/>
      <c r="MB11" s="23"/>
      <c r="MC11" s="23"/>
      <c r="MD11" s="23"/>
      <c r="ME11" s="23"/>
      <c r="MF11" s="23"/>
      <c r="MG11" s="23"/>
      <c r="MH11" s="23"/>
      <c r="MI11" s="23"/>
      <c r="MJ11" s="23"/>
      <c r="MK11" s="23"/>
      <c r="ML11" s="23"/>
      <c r="MM11" s="23"/>
      <c r="MN11" s="23"/>
      <c r="MO11" s="23"/>
      <c r="MP11" s="23"/>
      <c r="MQ11" s="23"/>
      <c r="MR11" s="23"/>
      <c r="MS11" s="23"/>
      <c r="MT11" s="23"/>
      <c r="MU11" s="23"/>
      <c r="MV11" s="23"/>
      <c r="MW11" s="23"/>
      <c r="MX11" s="23"/>
      <c r="MY11" s="23"/>
      <c r="MZ11" s="23"/>
      <c r="NA11" s="23"/>
      <c r="NB11" s="23"/>
      <c r="NC11" s="23"/>
      <c r="ND11" s="23"/>
      <c r="NE11" s="23"/>
      <c r="NF11" s="23"/>
      <c r="NG11" s="23"/>
      <c r="NH11" s="23"/>
      <c r="NI11" s="23"/>
      <c r="NJ11" s="23"/>
      <c r="NK11" s="23"/>
      <c r="NL11" s="23"/>
      <c r="NM11" s="23"/>
      <c r="NN11" s="23"/>
      <c r="NO11" s="23"/>
      <c r="NP11" s="23"/>
      <c r="NQ11" s="23"/>
      <c r="NR11" s="23"/>
      <c r="NS11" s="23"/>
      <c r="NT11" s="23"/>
      <c r="NU11" s="23"/>
      <c r="NV11" s="23"/>
      <c r="NW11" s="23"/>
      <c r="NX11" s="23"/>
      <c r="NY11" s="23"/>
      <c r="NZ11" s="23"/>
      <c r="OA11" s="23"/>
      <c r="OB11" s="23"/>
      <c r="OC11" s="23"/>
      <c r="OD11" s="23"/>
      <c r="OE11" s="23"/>
      <c r="OF11" s="23"/>
      <c r="OG11" s="23"/>
      <c r="OH11" s="23"/>
      <c r="OI11" s="23"/>
      <c r="OJ11" s="23"/>
      <c r="OK11" s="23"/>
      <c r="OL11" s="23"/>
      <c r="OM11" s="23"/>
      <c r="ON11" s="23"/>
      <c r="OO11" s="23"/>
      <c r="OP11" s="23"/>
      <c r="OQ11" s="23"/>
      <c r="OR11" s="23"/>
      <c r="OS11" s="23"/>
      <c r="OT11" s="23"/>
      <c r="OU11" s="23"/>
      <c r="OV11" s="23"/>
      <c r="OW11" s="23"/>
      <c r="OX11" s="23"/>
      <c r="OY11" s="23"/>
      <c r="OZ11" s="23"/>
      <c r="PA11" s="23"/>
      <c r="PB11" s="23"/>
      <c r="PC11" s="23"/>
      <c r="PD11" s="23"/>
      <c r="PE11" s="23"/>
      <c r="PF11" s="23"/>
      <c r="PG11" s="23"/>
      <c r="PH11" s="23"/>
      <c r="PI11" s="23"/>
      <c r="PJ11" s="23"/>
      <c r="PK11" s="23"/>
      <c r="PL11" s="23"/>
      <c r="PM11" s="23"/>
      <c r="PN11" s="23"/>
      <c r="PO11" s="23"/>
      <c r="PP11" s="23"/>
      <c r="PQ11" s="23"/>
      <c r="PR11" s="23"/>
      <c r="PS11" s="23"/>
      <c r="PT11" s="23"/>
      <c r="PU11" s="23"/>
      <c r="PV11" s="23"/>
      <c r="PW11" s="23"/>
      <c r="PX11" s="23"/>
      <c r="PY11" s="23"/>
      <c r="PZ11" s="23"/>
      <c r="QA11" s="23"/>
      <c r="QB11" s="23"/>
      <c r="QC11" s="23"/>
      <c r="QD11" s="23"/>
      <c r="QE11" s="23"/>
      <c r="QF11" s="23"/>
      <c r="QG11" s="23"/>
      <c r="QH11" s="23"/>
      <c r="QI11" s="23"/>
      <c r="QJ11" s="23"/>
      <c r="QK11" s="23"/>
      <c r="QL11" s="23"/>
      <c r="QM11" s="23"/>
      <c r="QN11" s="23"/>
      <c r="QO11" s="23"/>
      <c r="QP11" s="23"/>
      <c r="QQ11" s="23"/>
      <c r="QR11" s="23"/>
      <c r="QS11" s="23"/>
      <c r="QT11" s="23"/>
      <c r="QU11" s="23"/>
      <c r="QV11" s="23"/>
      <c r="QW11" s="23"/>
      <c r="QX11" s="23"/>
      <c r="QY11" s="23"/>
      <c r="QZ11" s="23"/>
      <c r="RA11" s="23"/>
      <c r="RB11" s="23"/>
      <c r="RC11" s="23"/>
      <c r="RD11" s="23"/>
      <c r="RE11" s="23"/>
      <c r="RF11" s="23"/>
      <c r="RG11" s="23"/>
      <c r="RH11" s="23"/>
      <c r="RI11" s="23"/>
      <c r="RJ11" s="23"/>
      <c r="RK11" s="23"/>
      <c r="RL11" s="23"/>
      <c r="RM11" s="23"/>
      <c r="RN11" s="23"/>
      <c r="RO11" s="23"/>
      <c r="RP11" s="23"/>
      <c r="RQ11" s="23"/>
      <c r="RR11" s="23"/>
      <c r="RS11" s="23"/>
      <c r="RT11" s="23"/>
      <c r="RU11" s="23"/>
      <c r="RV11" s="23"/>
      <c r="RW11" s="23"/>
      <c r="RX11" s="23"/>
      <c r="RY11" s="23"/>
      <c r="RZ11" s="23"/>
      <c r="SA11" s="23"/>
      <c r="SB11" s="23"/>
      <c r="SC11" s="23"/>
      <c r="SD11" s="23"/>
      <c r="SE11" s="23"/>
      <c r="SF11" s="23"/>
      <c r="SG11" s="23"/>
      <c r="SH11" s="23"/>
      <c r="SI11" s="23"/>
      <c r="SJ11" s="23"/>
      <c r="SK11" s="23"/>
      <c r="SL11" s="23"/>
      <c r="SM11" s="23"/>
      <c r="SN11" s="23"/>
      <c r="SO11" s="23"/>
      <c r="SP11" s="23"/>
      <c r="SQ11" s="23"/>
      <c r="SR11" s="23"/>
      <c r="SS11" s="23"/>
      <c r="ST11" s="23"/>
      <c r="SU11" s="23"/>
      <c r="SV11" s="23"/>
      <c r="SW11" s="23"/>
      <c r="SX11" s="23"/>
      <c r="SY11" s="23"/>
      <c r="SZ11" s="23"/>
      <c r="TA11" s="23"/>
      <c r="TB11" s="23"/>
      <c r="TC11" s="23"/>
      <c r="TD11" s="23"/>
      <c r="TE11" s="23"/>
      <c r="TF11" s="23"/>
      <c r="TG11" s="23"/>
      <c r="TH11" s="23"/>
      <c r="TI11" s="23"/>
      <c r="TJ11" s="23"/>
      <c r="TK11" s="23"/>
      <c r="TL11" s="23"/>
      <c r="TM11" s="23"/>
      <c r="TN11" s="23"/>
      <c r="TO11" s="23"/>
      <c r="TP11" s="23"/>
      <c r="TQ11" s="23"/>
      <c r="TR11" s="23"/>
      <c r="TS11" s="23"/>
      <c r="TT11" s="23"/>
      <c r="TU11" s="23"/>
      <c r="TV11" s="23"/>
      <c r="TW11" s="23"/>
      <c r="TX11" s="23"/>
      <c r="TY11" s="23"/>
      <c r="TZ11" s="23"/>
      <c r="UA11" s="23"/>
      <c r="UB11" s="23"/>
      <c r="UC11" s="23"/>
      <c r="UD11" s="23"/>
      <c r="UE11" s="23"/>
      <c r="UF11" s="23"/>
      <c r="UG11" s="23"/>
      <c r="UH11" s="23"/>
      <c r="UI11" s="23"/>
      <c r="UJ11" s="23"/>
      <c r="UK11" s="23"/>
      <c r="UL11" s="23"/>
      <c r="UM11" s="23"/>
      <c r="UN11" s="23"/>
      <c r="UO11" s="23"/>
      <c r="UP11" s="23"/>
      <c r="UQ11" s="23"/>
      <c r="UR11" s="23"/>
      <c r="US11" s="23"/>
      <c r="UT11" s="23"/>
      <c r="UU11" s="23"/>
      <c r="UV11" s="23"/>
      <c r="UW11" s="23"/>
      <c r="UX11" s="23"/>
      <c r="UY11" s="23"/>
      <c r="UZ11" s="23"/>
      <c r="VA11" s="23"/>
      <c r="VB11" s="23"/>
      <c r="VC11" s="23"/>
      <c r="VD11" s="23"/>
      <c r="VE11" s="23"/>
      <c r="VF11" s="23"/>
      <c r="VG11" s="23"/>
      <c r="VH11" s="23"/>
      <c r="VI11" s="23"/>
      <c r="VJ11" s="23"/>
      <c r="VK11" s="23"/>
      <c r="VL11" s="23"/>
      <c r="VM11" s="23"/>
      <c r="VN11" s="23"/>
      <c r="VO11" s="23"/>
      <c r="VP11" s="23"/>
      <c r="VQ11" s="23"/>
      <c r="VR11" s="23"/>
      <c r="VS11" s="23"/>
      <c r="VT11" s="23"/>
      <c r="VU11" s="23"/>
      <c r="VV11" s="23"/>
      <c r="VW11" s="23"/>
      <c r="VX11" s="23"/>
      <c r="VY11" s="23"/>
      <c r="VZ11" s="23"/>
      <c r="WA11" s="23"/>
      <c r="WB11" s="23"/>
      <c r="WC11" s="23"/>
      <c r="WD11" s="23"/>
      <c r="WE11" s="23"/>
    </row>
    <row r="12" spans="1:603" s="24" customFormat="1" ht="13.7" customHeight="1" x14ac:dyDescent="0.2">
      <c r="A12" s="203" t="s">
        <v>70</v>
      </c>
      <c r="B12" s="204"/>
      <c r="C12" s="205"/>
      <c r="D12" s="190" t="s">
        <v>80</v>
      </c>
      <c r="E12" s="190"/>
      <c r="F12" s="190"/>
      <c r="G12" s="190"/>
      <c r="H12" s="67">
        <f>D26+E39</f>
        <v>0</v>
      </c>
      <c r="I12" s="23"/>
      <c r="J12" s="265" t="s">
        <v>714</v>
      </c>
      <c r="K12" s="265"/>
      <c r="L12" s="265"/>
      <c r="M12" s="146"/>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c r="BM12" s="23"/>
      <c r="BN12" s="23"/>
      <c r="BO12" s="23"/>
      <c r="BP12" s="23"/>
      <c r="BQ12" s="23"/>
      <c r="BR12" s="23"/>
      <c r="BS12" s="23"/>
      <c r="BT12" s="23"/>
      <c r="BU12" s="23"/>
      <c r="BV12" s="23"/>
      <c r="BW12" s="23"/>
      <c r="BX12" s="23"/>
      <c r="BY12" s="23"/>
      <c r="BZ12" s="23"/>
      <c r="CA12" s="23"/>
      <c r="CB12" s="23"/>
      <c r="CC12" s="23"/>
      <c r="CD12" s="23"/>
      <c r="CE12" s="23"/>
      <c r="CF12" s="23"/>
      <c r="CG12" s="23"/>
      <c r="CH12" s="23"/>
      <c r="CI12" s="23"/>
      <c r="CJ12" s="23"/>
      <c r="CK12" s="23"/>
      <c r="CL12" s="23"/>
      <c r="CM12" s="23"/>
      <c r="CN12" s="23"/>
      <c r="CO12" s="23"/>
      <c r="CP12" s="23"/>
      <c r="CQ12" s="23"/>
      <c r="CR12" s="23"/>
      <c r="CS12" s="23"/>
      <c r="CT12" s="23"/>
      <c r="CU12" s="23"/>
      <c r="CV12" s="23"/>
      <c r="CW12" s="23"/>
      <c r="CX12" s="23"/>
      <c r="CY12" s="23"/>
      <c r="CZ12" s="23"/>
      <c r="DA12" s="23"/>
      <c r="DB12" s="23"/>
      <c r="DC12" s="23"/>
      <c r="DD12" s="23"/>
      <c r="DE12" s="23"/>
      <c r="DF12" s="23"/>
      <c r="DG12" s="23"/>
      <c r="DH12" s="23"/>
      <c r="DI12" s="23"/>
      <c r="DJ12" s="23"/>
      <c r="DK12" s="23"/>
      <c r="DL12" s="23"/>
      <c r="DM12" s="23"/>
      <c r="DN12" s="23"/>
      <c r="DO12" s="23"/>
      <c r="DP12" s="23"/>
      <c r="DQ12" s="23"/>
      <c r="DR12" s="23"/>
      <c r="DS12" s="23"/>
      <c r="DT12" s="23"/>
      <c r="DU12" s="23"/>
      <c r="DV12" s="23"/>
      <c r="DW12" s="23"/>
      <c r="DX12" s="23"/>
      <c r="DY12" s="23"/>
      <c r="DZ12" s="23"/>
      <c r="EA12" s="23"/>
      <c r="EB12" s="23"/>
      <c r="EC12" s="23"/>
      <c r="ED12" s="23"/>
      <c r="EE12" s="23"/>
      <c r="EF12" s="23"/>
      <c r="EG12" s="23"/>
      <c r="EH12" s="23"/>
      <c r="EI12" s="23"/>
      <c r="EJ12" s="23"/>
      <c r="EK12" s="23"/>
      <c r="EL12" s="23"/>
      <c r="EM12" s="23"/>
      <c r="EN12" s="23"/>
      <c r="EO12" s="23"/>
      <c r="EP12" s="23"/>
      <c r="EQ12" s="23"/>
      <c r="ER12" s="23"/>
      <c r="ES12" s="23"/>
      <c r="ET12" s="23"/>
      <c r="EU12" s="23"/>
      <c r="EV12" s="23"/>
      <c r="EW12" s="23"/>
      <c r="EX12" s="23"/>
      <c r="EY12" s="23"/>
      <c r="EZ12" s="23"/>
      <c r="FA12" s="23"/>
      <c r="FB12" s="23"/>
      <c r="FC12" s="23"/>
      <c r="FD12" s="23"/>
      <c r="FE12" s="23"/>
      <c r="FF12" s="23"/>
      <c r="FG12" s="23"/>
      <c r="FH12" s="23"/>
      <c r="FI12" s="23"/>
      <c r="FJ12" s="23"/>
      <c r="FK12" s="23"/>
      <c r="FL12" s="23"/>
      <c r="FM12" s="23"/>
      <c r="FN12" s="23"/>
      <c r="FO12" s="23"/>
      <c r="FP12" s="23"/>
      <c r="FQ12" s="23"/>
      <c r="FR12" s="23"/>
      <c r="FS12" s="23"/>
      <c r="FT12" s="23"/>
      <c r="FU12" s="23"/>
      <c r="FV12" s="23"/>
      <c r="FW12" s="23"/>
      <c r="FX12" s="23"/>
      <c r="FY12" s="23"/>
      <c r="FZ12" s="23"/>
      <c r="GA12" s="23"/>
      <c r="GB12" s="23"/>
      <c r="GC12" s="23"/>
      <c r="GD12" s="23"/>
      <c r="GE12" s="23"/>
      <c r="GF12" s="23"/>
      <c r="GG12" s="23"/>
      <c r="GH12" s="23"/>
      <c r="GI12" s="23"/>
      <c r="GJ12" s="23"/>
      <c r="GK12" s="23"/>
      <c r="GL12" s="23"/>
      <c r="GM12" s="23"/>
      <c r="GN12" s="23"/>
      <c r="GO12" s="23"/>
      <c r="GP12" s="23"/>
      <c r="GQ12" s="23"/>
      <c r="GR12" s="23"/>
      <c r="GS12" s="23"/>
      <c r="GT12" s="23"/>
      <c r="GU12" s="23"/>
      <c r="GV12" s="23"/>
      <c r="GW12" s="23"/>
      <c r="GX12" s="23"/>
      <c r="GY12" s="23"/>
      <c r="GZ12" s="23"/>
      <c r="HA12" s="23"/>
      <c r="HB12" s="23"/>
      <c r="HC12" s="23"/>
      <c r="HD12" s="23"/>
      <c r="HE12" s="23"/>
      <c r="HF12" s="23"/>
      <c r="HG12" s="23"/>
      <c r="HH12" s="23"/>
      <c r="HI12" s="23"/>
      <c r="HJ12" s="23"/>
      <c r="HK12" s="23"/>
      <c r="HL12" s="23"/>
      <c r="HM12" s="23"/>
      <c r="HN12" s="23"/>
      <c r="HO12" s="23"/>
      <c r="HP12" s="23"/>
      <c r="HQ12" s="23"/>
      <c r="HR12" s="23"/>
      <c r="HS12" s="23"/>
      <c r="HT12" s="23"/>
      <c r="HU12" s="23"/>
      <c r="HV12" s="23"/>
      <c r="HW12" s="23"/>
      <c r="HX12" s="23"/>
      <c r="HY12" s="23"/>
      <c r="HZ12" s="23"/>
      <c r="IA12" s="23"/>
      <c r="IB12" s="23"/>
      <c r="IC12" s="23"/>
      <c r="ID12" s="23"/>
      <c r="IE12" s="23"/>
      <c r="IF12" s="23"/>
      <c r="IG12" s="23"/>
      <c r="IH12" s="23"/>
      <c r="II12" s="23"/>
      <c r="IJ12" s="23"/>
      <c r="IK12" s="23"/>
      <c r="IL12" s="23"/>
      <c r="IM12" s="23"/>
      <c r="IN12" s="23"/>
      <c r="IO12" s="23"/>
      <c r="IP12" s="23"/>
      <c r="IQ12" s="23"/>
      <c r="IR12" s="23"/>
      <c r="IS12" s="23"/>
      <c r="IT12" s="23"/>
      <c r="IU12" s="23"/>
      <c r="IV12" s="23"/>
      <c r="IW12" s="23"/>
      <c r="IX12" s="23"/>
      <c r="IY12" s="23"/>
      <c r="IZ12" s="23"/>
      <c r="JA12" s="23"/>
      <c r="JB12" s="23"/>
      <c r="JC12" s="23"/>
      <c r="JD12" s="23"/>
      <c r="JE12" s="23"/>
      <c r="JF12" s="23"/>
      <c r="JG12" s="23"/>
      <c r="JH12" s="23"/>
      <c r="JI12" s="23"/>
      <c r="JJ12" s="23"/>
      <c r="JK12" s="23"/>
      <c r="JL12" s="23"/>
      <c r="JM12" s="23"/>
      <c r="JN12" s="23"/>
      <c r="JO12" s="23"/>
      <c r="JP12" s="23"/>
      <c r="JQ12" s="23"/>
      <c r="JR12" s="23"/>
      <c r="JS12" s="23"/>
      <c r="JT12" s="23"/>
      <c r="JU12" s="23"/>
      <c r="JV12" s="23"/>
      <c r="JW12" s="23"/>
      <c r="JX12" s="23"/>
      <c r="JY12" s="23"/>
      <c r="JZ12" s="23"/>
      <c r="KA12" s="23"/>
      <c r="KB12" s="23"/>
      <c r="KC12" s="23"/>
      <c r="KD12" s="23"/>
      <c r="KE12" s="23"/>
      <c r="KF12" s="23"/>
      <c r="KG12" s="23"/>
      <c r="KH12" s="23"/>
      <c r="KI12" s="23"/>
      <c r="KJ12" s="23"/>
      <c r="KK12" s="23"/>
      <c r="KL12" s="23"/>
      <c r="KM12" s="23"/>
      <c r="KN12" s="23"/>
      <c r="KO12" s="23"/>
      <c r="KP12" s="23"/>
      <c r="KQ12" s="23"/>
      <c r="KR12" s="23"/>
      <c r="KS12" s="23"/>
      <c r="KT12" s="23"/>
      <c r="KU12" s="23"/>
      <c r="KV12" s="23"/>
      <c r="KW12" s="23"/>
      <c r="KX12" s="23"/>
      <c r="KY12" s="23"/>
      <c r="KZ12" s="23"/>
      <c r="LA12" s="23"/>
      <c r="LB12" s="23"/>
      <c r="LC12" s="23"/>
      <c r="LD12" s="23"/>
      <c r="LE12" s="23"/>
      <c r="LF12" s="23"/>
      <c r="LG12" s="23"/>
      <c r="LH12" s="23"/>
      <c r="LI12" s="23"/>
      <c r="LJ12" s="23"/>
      <c r="LK12" s="23"/>
      <c r="LL12" s="23"/>
      <c r="LM12" s="23"/>
      <c r="LN12" s="23"/>
      <c r="LO12" s="23"/>
      <c r="LP12" s="23"/>
      <c r="LQ12" s="23"/>
      <c r="LR12" s="23"/>
      <c r="LS12" s="23"/>
      <c r="LT12" s="23"/>
      <c r="LU12" s="23"/>
      <c r="LV12" s="23"/>
      <c r="LW12" s="23"/>
      <c r="LX12" s="23"/>
      <c r="LY12" s="23"/>
      <c r="LZ12" s="23"/>
      <c r="MA12" s="23"/>
      <c r="MB12" s="23"/>
      <c r="MC12" s="23"/>
      <c r="MD12" s="23"/>
      <c r="ME12" s="23"/>
      <c r="MF12" s="23"/>
      <c r="MG12" s="23"/>
      <c r="MH12" s="23"/>
      <c r="MI12" s="23"/>
      <c r="MJ12" s="23"/>
      <c r="MK12" s="23"/>
      <c r="ML12" s="23"/>
      <c r="MM12" s="23"/>
      <c r="MN12" s="23"/>
      <c r="MO12" s="23"/>
      <c r="MP12" s="23"/>
      <c r="MQ12" s="23"/>
      <c r="MR12" s="23"/>
      <c r="MS12" s="23"/>
      <c r="MT12" s="23"/>
      <c r="MU12" s="23"/>
      <c r="MV12" s="23"/>
      <c r="MW12" s="23"/>
      <c r="MX12" s="23"/>
      <c r="MY12" s="23"/>
      <c r="MZ12" s="23"/>
      <c r="NA12" s="23"/>
      <c r="NB12" s="23"/>
      <c r="NC12" s="23"/>
      <c r="ND12" s="23"/>
      <c r="NE12" s="23"/>
      <c r="NF12" s="23"/>
      <c r="NG12" s="23"/>
      <c r="NH12" s="23"/>
      <c r="NI12" s="23"/>
      <c r="NJ12" s="23"/>
      <c r="NK12" s="23"/>
      <c r="NL12" s="23"/>
      <c r="NM12" s="23"/>
      <c r="NN12" s="23"/>
      <c r="NO12" s="23"/>
      <c r="NP12" s="23"/>
      <c r="NQ12" s="23"/>
      <c r="NR12" s="23"/>
      <c r="NS12" s="23"/>
      <c r="NT12" s="23"/>
      <c r="NU12" s="23"/>
      <c r="NV12" s="23"/>
      <c r="NW12" s="23"/>
      <c r="NX12" s="23"/>
      <c r="NY12" s="23"/>
      <c r="NZ12" s="23"/>
      <c r="OA12" s="23"/>
      <c r="OB12" s="23"/>
      <c r="OC12" s="23"/>
      <c r="OD12" s="23"/>
      <c r="OE12" s="23"/>
      <c r="OF12" s="23"/>
      <c r="OG12" s="23"/>
      <c r="OH12" s="23"/>
      <c r="OI12" s="23"/>
      <c r="OJ12" s="23"/>
      <c r="OK12" s="23"/>
      <c r="OL12" s="23"/>
      <c r="OM12" s="23"/>
      <c r="ON12" s="23"/>
      <c r="OO12" s="23"/>
      <c r="OP12" s="23"/>
      <c r="OQ12" s="23"/>
      <c r="OR12" s="23"/>
      <c r="OS12" s="23"/>
      <c r="OT12" s="23"/>
      <c r="OU12" s="23"/>
      <c r="OV12" s="23"/>
      <c r="OW12" s="23"/>
      <c r="OX12" s="23"/>
      <c r="OY12" s="23"/>
      <c r="OZ12" s="23"/>
      <c r="PA12" s="23"/>
      <c r="PB12" s="23"/>
      <c r="PC12" s="23"/>
      <c r="PD12" s="23"/>
      <c r="PE12" s="23"/>
      <c r="PF12" s="23"/>
      <c r="PG12" s="23"/>
      <c r="PH12" s="23"/>
      <c r="PI12" s="23"/>
      <c r="PJ12" s="23"/>
      <c r="PK12" s="23"/>
      <c r="PL12" s="23"/>
      <c r="PM12" s="23"/>
      <c r="PN12" s="23"/>
      <c r="PO12" s="23"/>
      <c r="PP12" s="23"/>
      <c r="PQ12" s="23"/>
      <c r="PR12" s="23"/>
      <c r="PS12" s="23"/>
      <c r="PT12" s="23"/>
      <c r="PU12" s="23"/>
      <c r="PV12" s="23"/>
      <c r="PW12" s="23"/>
      <c r="PX12" s="23"/>
      <c r="PY12" s="23"/>
      <c r="PZ12" s="23"/>
      <c r="QA12" s="23"/>
      <c r="QB12" s="23"/>
      <c r="QC12" s="23"/>
      <c r="QD12" s="23"/>
      <c r="QE12" s="23"/>
      <c r="QF12" s="23"/>
      <c r="QG12" s="23"/>
      <c r="QH12" s="23"/>
      <c r="QI12" s="23"/>
      <c r="QJ12" s="23"/>
      <c r="QK12" s="23"/>
      <c r="QL12" s="23"/>
      <c r="QM12" s="23"/>
      <c r="QN12" s="23"/>
      <c r="QO12" s="23"/>
      <c r="QP12" s="23"/>
      <c r="QQ12" s="23"/>
      <c r="QR12" s="23"/>
      <c r="QS12" s="23"/>
      <c r="QT12" s="23"/>
      <c r="QU12" s="23"/>
      <c r="QV12" s="23"/>
      <c r="QW12" s="23"/>
      <c r="QX12" s="23"/>
      <c r="QY12" s="23"/>
      <c r="QZ12" s="23"/>
      <c r="RA12" s="23"/>
      <c r="RB12" s="23"/>
      <c r="RC12" s="23"/>
      <c r="RD12" s="23"/>
      <c r="RE12" s="23"/>
      <c r="RF12" s="23"/>
      <c r="RG12" s="23"/>
      <c r="RH12" s="23"/>
      <c r="RI12" s="23"/>
      <c r="RJ12" s="23"/>
      <c r="RK12" s="23"/>
      <c r="RL12" s="23"/>
      <c r="RM12" s="23"/>
      <c r="RN12" s="23"/>
      <c r="RO12" s="23"/>
      <c r="RP12" s="23"/>
      <c r="RQ12" s="23"/>
      <c r="RR12" s="23"/>
      <c r="RS12" s="23"/>
      <c r="RT12" s="23"/>
      <c r="RU12" s="23"/>
      <c r="RV12" s="23"/>
      <c r="RW12" s="23"/>
      <c r="RX12" s="23"/>
      <c r="RY12" s="23"/>
      <c r="RZ12" s="23"/>
      <c r="SA12" s="23"/>
      <c r="SB12" s="23"/>
      <c r="SC12" s="23"/>
      <c r="SD12" s="23"/>
      <c r="SE12" s="23"/>
      <c r="SF12" s="23"/>
      <c r="SG12" s="23"/>
      <c r="SH12" s="23"/>
      <c r="SI12" s="23"/>
      <c r="SJ12" s="23"/>
      <c r="SK12" s="23"/>
      <c r="SL12" s="23"/>
      <c r="SM12" s="23"/>
      <c r="SN12" s="23"/>
      <c r="SO12" s="23"/>
      <c r="SP12" s="23"/>
      <c r="SQ12" s="23"/>
      <c r="SR12" s="23"/>
      <c r="SS12" s="23"/>
      <c r="ST12" s="23"/>
      <c r="SU12" s="23"/>
      <c r="SV12" s="23"/>
      <c r="SW12" s="23"/>
      <c r="SX12" s="23"/>
      <c r="SY12" s="23"/>
      <c r="SZ12" s="23"/>
      <c r="TA12" s="23"/>
      <c r="TB12" s="23"/>
      <c r="TC12" s="23"/>
      <c r="TD12" s="23"/>
      <c r="TE12" s="23"/>
      <c r="TF12" s="23"/>
      <c r="TG12" s="23"/>
      <c r="TH12" s="23"/>
      <c r="TI12" s="23"/>
      <c r="TJ12" s="23"/>
      <c r="TK12" s="23"/>
      <c r="TL12" s="23"/>
      <c r="TM12" s="23"/>
      <c r="TN12" s="23"/>
      <c r="TO12" s="23"/>
      <c r="TP12" s="23"/>
      <c r="TQ12" s="23"/>
      <c r="TR12" s="23"/>
      <c r="TS12" s="23"/>
      <c r="TT12" s="23"/>
      <c r="TU12" s="23"/>
      <c r="TV12" s="23"/>
      <c r="TW12" s="23"/>
      <c r="TX12" s="23"/>
      <c r="TY12" s="23"/>
      <c r="TZ12" s="23"/>
      <c r="UA12" s="23"/>
      <c r="UB12" s="23"/>
      <c r="UC12" s="23"/>
      <c r="UD12" s="23"/>
      <c r="UE12" s="23"/>
      <c r="UF12" s="23"/>
      <c r="UG12" s="23"/>
      <c r="UH12" s="23"/>
      <c r="UI12" s="23"/>
      <c r="UJ12" s="23"/>
      <c r="UK12" s="23"/>
      <c r="UL12" s="23"/>
      <c r="UM12" s="23"/>
      <c r="UN12" s="23"/>
      <c r="UO12" s="23"/>
      <c r="UP12" s="23"/>
      <c r="UQ12" s="23"/>
      <c r="UR12" s="23"/>
      <c r="US12" s="23"/>
      <c r="UT12" s="23"/>
      <c r="UU12" s="23"/>
      <c r="UV12" s="23"/>
      <c r="UW12" s="23"/>
      <c r="UX12" s="23"/>
      <c r="UY12" s="23"/>
      <c r="UZ12" s="23"/>
      <c r="VA12" s="23"/>
      <c r="VB12" s="23"/>
      <c r="VC12" s="23"/>
      <c r="VD12" s="23"/>
      <c r="VE12" s="23"/>
      <c r="VF12" s="23"/>
      <c r="VG12" s="23"/>
      <c r="VH12" s="23"/>
      <c r="VI12" s="23"/>
      <c r="VJ12" s="23"/>
      <c r="VK12" s="23"/>
      <c r="VL12" s="23"/>
      <c r="VM12" s="23"/>
      <c r="VN12" s="23"/>
      <c r="VO12" s="23"/>
      <c r="VP12" s="23"/>
      <c r="VQ12" s="23"/>
      <c r="VR12" s="23"/>
      <c r="VS12" s="23"/>
      <c r="VT12" s="23"/>
      <c r="VU12" s="23"/>
      <c r="VV12" s="23"/>
      <c r="VW12" s="23"/>
      <c r="VX12" s="23"/>
      <c r="VY12" s="23"/>
      <c r="VZ12" s="23"/>
      <c r="WA12" s="23"/>
      <c r="WB12" s="23"/>
      <c r="WC12" s="23"/>
      <c r="WD12" s="23"/>
      <c r="WE12" s="23"/>
    </row>
    <row r="13" spans="1:603" s="23" customFormat="1" ht="16.5" customHeight="1" x14ac:dyDescent="0.2">
      <c r="A13" s="206"/>
      <c r="B13" s="207"/>
      <c r="C13" s="208"/>
      <c r="D13" s="191" t="s">
        <v>73</v>
      </c>
      <c r="E13" s="191"/>
      <c r="F13" s="191"/>
      <c r="G13" s="191"/>
      <c r="H13" s="68">
        <f>U26</f>
        <v>0</v>
      </c>
      <c r="J13" s="265" t="s">
        <v>716</v>
      </c>
      <c r="K13" s="265"/>
      <c r="L13" s="265"/>
      <c r="M13" s="146"/>
    </row>
    <row r="14" spans="1:603" s="23" customFormat="1" ht="12.75" customHeight="1" thickBot="1" x14ac:dyDescent="0.25">
      <c r="A14" s="209"/>
      <c r="B14" s="210"/>
      <c r="C14" s="211"/>
      <c r="D14" s="192" t="s">
        <v>3</v>
      </c>
      <c r="E14" s="192"/>
      <c r="F14" s="192"/>
      <c r="G14" s="192"/>
      <c r="H14" s="69">
        <f>H12+H13</f>
        <v>0</v>
      </c>
      <c r="J14" s="266" t="s">
        <v>715</v>
      </c>
      <c r="K14" s="267"/>
      <c r="L14" s="268"/>
      <c r="M14" s="146"/>
    </row>
    <row r="15" spans="1:603" s="24" customFormat="1" ht="3.75" customHeight="1" thickBot="1" x14ac:dyDescent="0.35">
      <c r="A15" s="12"/>
      <c r="B15" s="26"/>
      <c r="C15" s="26"/>
      <c r="D15" s="26"/>
      <c r="E15" s="26"/>
      <c r="F15" s="18"/>
      <c r="G15" s="23"/>
      <c r="H15" s="23"/>
      <c r="I15" s="23"/>
      <c r="J15" s="25"/>
      <c r="K15" s="25"/>
      <c r="L15" s="23"/>
      <c r="M15" s="23"/>
      <c r="N15" s="23"/>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c r="BM15" s="23"/>
      <c r="BN15" s="23"/>
      <c r="BO15" s="23"/>
      <c r="BP15" s="23"/>
      <c r="BQ15" s="23"/>
      <c r="BR15" s="23"/>
      <c r="BS15" s="23"/>
      <c r="BT15" s="23"/>
      <c r="BU15" s="23"/>
      <c r="BV15" s="23"/>
      <c r="BW15" s="23"/>
      <c r="BX15" s="23"/>
      <c r="BY15" s="23"/>
      <c r="BZ15" s="23"/>
      <c r="CA15" s="23"/>
      <c r="CB15" s="23"/>
      <c r="CC15" s="23"/>
      <c r="CD15" s="23"/>
      <c r="CE15" s="23"/>
      <c r="CF15" s="23"/>
      <c r="CG15" s="23"/>
      <c r="CH15" s="23"/>
      <c r="CI15" s="23"/>
      <c r="CJ15" s="23"/>
      <c r="CK15" s="23"/>
      <c r="CL15" s="23"/>
      <c r="CM15" s="23"/>
      <c r="CN15" s="23"/>
      <c r="CO15" s="23"/>
      <c r="CP15" s="23"/>
      <c r="CQ15" s="23"/>
      <c r="CR15" s="23"/>
      <c r="CS15" s="23"/>
      <c r="CT15" s="23"/>
      <c r="CU15" s="23"/>
      <c r="CV15" s="23"/>
      <c r="CW15" s="23"/>
      <c r="CX15" s="23"/>
      <c r="CY15" s="23"/>
      <c r="CZ15" s="23"/>
      <c r="DA15" s="23"/>
      <c r="DB15" s="23"/>
      <c r="DC15" s="23"/>
      <c r="DD15" s="23"/>
      <c r="DE15" s="23"/>
      <c r="DF15" s="23"/>
      <c r="DG15" s="23"/>
      <c r="DH15" s="23"/>
      <c r="DI15" s="23"/>
      <c r="DJ15" s="23"/>
      <c r="DK15" s="23"/>
      <c r="DL15" s="23"/>
      <c r="DM15" s="23"/>
      <c r="DN15" s="23"/>
      <c r="DO15" s="23"/>
      <c r="DP15" s="23"/>
      <c r="DQ15" s="23"/>
      <c r="DR15" s="23"/>
      <c r="DS15" s="23"/>
      <c r="DT15" s="23"/>
      <c r="DU15" s="23"/>
      <c r="DV15" s="23"/>
      <c r="DW15" s="23"/>
      <c r="DX15" s="23"/>
      <c r="DY15" s="23"/>
      <c r="DZ15" s="23"/>
      <c r="EA15" s="23"/>
      <c r="EB15" s="23"/>
      <c r="EC15" s="23"/>
      <c r="ED15" s="23"/>
      <c r="EE15" s="23"/>
      <c r="EF15" s="23"/>
      <c r="EG15" s="23"/>
      <c r="EH15" s="23"/>
      <c r="EI15" s="23"/>
      <c r="EJ15" s="23"/>
      <c r="EK15" s="23"/>
      <c r="EL15" s="23"/>
      <c r="EM15" s="23"/>
      <c r="EN15" s="23"/>
      <c r="EO15" s="23"/>
      <c r="EP15" s="23"/>
      <c r="EQ15" s="23"/>
      <c r="ER15" s="23"/>
      <c r="ES15" s="23"/>
      <c r="ET15" s="23"/>
      <c r="EU15" s="23"/>
      <c r="EV15" s="23"/>
      <c r="EW15" s="23"/>
      <c r="EX15" s="23"/>
      <c r="EY15" s="23"/>
      <c r="EZ15" s="23"/>
      <c r="FA15" s="23"/>
      <c r="FB15" s="23"/>
      <c r="FC15" s="23"/>
      <c r="FD15" s="23"/>
      <c r="FE15" s="23"/>
      <c r="FF15" s="23"/>
      <c r="FG15" s="23"/>
      <c r="FH15" s="23"/>
      <c r="FI15" s="23"/>
      <c r="FJ15" s="23"/>
      <c r="FK15" s="23"/>
      <c r="FL15" s="23"/>
      <c r="FM15" s="23"/>
      <c r="FN15" s="23"/>
      <c r="FO15" s="23"/>
      <c r="FP15" s="23"/>
      <c r="FQ15" s="23"/>
      <c r="FR15" s="23"/>
      <c r="FS15" s="23"/>
      <c r="FT15" s="23"/>
      <c r="FU15" s="23"/>
      <c r="FV15" s="23"/>
      <c r="FW15" s="23"/>
      <c r="FX15" s="23"/>
      <c r="FY15" s="23"/>
      <c r="FZ15" s="23"/>
      <c r="GA15" s="23"/>
      <c r="GB15" s="23"/>
      <c r="GC15" s="23"/>
      <c r="GD15" s="23"/>
      <c r="GE15" s="23"/>
      <c r="GF15" s="23"/>
      <c r="GG15" s="23"/>
      <c r="GH15" s="23"/>
      <c r="GI15" s="23"/>
      <c r="GJ15" s="23"/>
      <c r="GK15" s="23"/>
      <c r="GL15" s="23"/>
      <c r="GM15" s="23"/>
      <c r="GN15" s="23"/>
      <c r="GO15" s="23"/>
      <c r="GP15" s="23"/>
      <c r="GQ15" s="23"/>
      <c r="GR15" s="23"/>
      <c r="GS15" s="23"/>
      <c r="GT15" s="23"/>
      <c r="GU15" s="23"/>
      <c r="GV15" s="23"/>
      <c r="GW15" s="23"/>
      <c r="GX15" s="23"/>
      <c r="GY15" s="23"/>
      <c r="GZ15" s="23"/>
      <c r="HA15" s="23"/>
      <c r="HB15" s="23"/>
      <c r="HC15" s="23"/>
      <c r="HD15" s="23"/>
      <c r="HE15" s="23"/>
      <c r="HF15" s="23"/>
      <c r="HG15" s="23"/>
      <c r="HH15" s="23"/>
      <c r="HI15" s="23"/>
      <c r="HJ15" s="23"/>
      <c r="HK15" s="23"/>
      <c r="HL15" s="23"/>
      <c r="HM15" s="23"/>
      <c r="HN15" s="23"/>
      <c r="HO15" s="23"/>
      <c r="HP15" s="23"/>
      <c r="HQ15" s="23"/>
      <c r="HR15" s="23"/>
      <c r="HS15" s="23"/>
      <c r="HT15" s="23"/>
      <c r="HU15" s="23"/>
      <c r="HV15" s="23"/>
      <c r="HW15" s="23"/>
      <c r="HX15" s="23"/>
      <c r="HY15" s="23"/>
      <c r="HZ15" s="23"/>
      <c r="IA15" s="23"/>
      <c r="IB15" s="23"/>
      <c r="IC15" s="23"/>
      <c r="ID15" s="23"/>
      <c r="IE15" s="23"/>
      <c r="IF15" s="23"/>
      <c r="IG15" s="23"/>
      <c r="IH15" s="23"/>
      <c r="II15" s="23"/>
      <c r="IJ15" s="23"/>
      <c r="IK15" s="23"/>
      <c r="IL15" s="23"/>
      <c r="IM15" s="23"/>
      <c r="IN15" s="23"/>
      <c r="IO15" s="23"/>
      <c r="IP15" s="23"/>
      <c r="IQ15" s="23"/>
      <c r="IR15" s="23"/>
      <c r="IS15" s="23"/>
      <c r="IT15" s="23"/>
      <c r="IU15" s="23"/>
      <c r="IV15" s="23"/>
      <c r="IW15" s="23"/>
      <c r="IX15" s="23"/>
      <c r="IY15" s="23"/>
      <c r="IZ15" s="23"/>
      <c r="JA15" s="23"/>
      <c r="JB15" s="23"/>
      <c r="JC15" s="23"/>
      <c r="JD15" s="23"/>
      <c r="JE15" s="23"/>
      <c r="JF15" s="23"/>
      <c r="JG15" s="23"/>
      <c r="JH15" s="23"/>
      <c r="JI15" s="23"/>
      <c r="JJ15" s="23"/>
      <c r="JK15" s="23"/>
      <c r="JL15" s="23"/>
      <c r="JM15" s="23"/>
      <c r="JN15" s="23"/>
      <c r="JO15" s="23"/>
      <c r="JP15" s="23"/>
      <c r="JQ15" s="23"/>
      <c r="JR15" s="23"/>
      <c r="JS15" s="23"/>
      <c r="JT15" s="23"/>
      <c r="JU15" s="23"/>
      <c r="JV15" s="23"/>
      <c r="JW15" s="23"/>
      <c r="JX15" s="23"/>
      <c r="JY15" s="23"/>
      <c r="JZ15" s="23"/>
      <c r="KA15" s="23"/>
      <c r="KB15" s="23"/>
      <c r="KC15" s="23"/>
      <c r="KD15" s="23"/>
      <c r="KE15" s="23"/>
      <c r="KF15" s="23"/>
      <c r="KG15" s="23"/>
      <c r="KH15" s="23"/>
      <c r="KI15" s="23"/>
      <c r="KJ15" s="23"/>
      <c r="KK15" s="23"/>
      <c r="KL15" s="23"/>
      <c r="KM15" s="23"/>
      <c r="KN15" s="23"/>
      <c r="KO15" s="23"/>
      <c r="KP15" s="23"/>
      <c r="KQ15" s="23"/>
      <c r="KR15" s="23"/>
      <c r="KS15" s="23"/>
      <c r="KT15" s="23"/>
      <c r="KU15" s="23"/>
      <c r="KV15" s="23"/>
      <c r="KW15" s="23"/>
      <c r="KX15" s="23"/>
      <c r="KY15" s="23"/>
      <c r="KZ15" s="23"/>
      <c r="LA15" s="23"/>
      <c r="LB15" s="23"/>
      <c r="LC15" s="23"/>
      <c r="LD15" s="23"/>
      <c r="LE15" s="23"/>
      <c r="LF15" s="23"/>
      <c r="LG15" s="23"/>
      <c r="LH15" s="23"/>
      <c r="LI15" s="23"/>
      <c r="LJ15" s="23"/>
      <c r="LK15" s="23"/>
      <c r="LL15" s="23"/>
      <c r="LM15" s="23"/>
      <c r="LN15" s="23"/>
      <c r="LO15" s="23"/>
      <c r="LP15" s="23"/>
      <c r="LQ15" s="23"/>
      <c r="LR15" s="23"/>
      <c r="LS15" s="23"/>
      <c r="LT15" s="23"/>
      <c r="LU15" s="23"/>
      <c r="LV15" s="23"/>
      <c r="LW15" s="23"/>
      <c r="LX15" s="23"/>
      <c r="LY15" s="23"/>
      <c r="LZ15" s="23"/>
      <c r="MA15" s="23"/>
      <c r="MB15" s="23"/>
      <c r="MC15" s="23"/>
      <c r="MD15" s="23"/>
      <c r="ME15" s="23"/>
      <c r="MF15" s="23"/>
      <c r="MG15" s="23"/>
      <c r="MH15" s="23"/>
      <c r="MI15" s="23"/>
      <c r="MJ15" s="23"/>
      <c r="MK15" s="23"/>
      <c r="ML15" s="23"/>
      <c r="MM15" s="23"/>
      <c r="MN15" s="23"/>
      <c r="MO15" s="23"/>
      <c r="MP15" s="23"/>
      <c r="MQ15" s="23"/>
      <c r="MR15" s="23"/>
      <c r="MS15" s="23"/>
      <c r="MT15" s="23"/>
      <c r="MU15" s="23"/>
      <c r="MV15" s="23"/>
      <c r="MW15" s="23"/>
      <c r="MX15" s="23"/>
      <c r="MY15" s="23"/>
      <c r="MZ15" s="23"/>
      <c r="NA15" s="23"/>
      <c r="NB15" s="23"/>
      <c r="NC15" s="23"/>
      <c r="ND15" s="23"/>
      <c r="NE15" s="23"/>
      <c r="NF15" s="23"/>
      <c r="NG15" s="23"/>
      <c r="NH15" s="23"/>
      <c r="NI15" s="23"/>
      <c r="NJ15" s="23"/>
      <c r="NK15" s="23"/>
      <c r="NL15" s="23"/>
      <c r="NM15" s="23"/>
      <c r="NN15" s="23"/>
      <c r="NO15" s="23"/>
      <c r="NP15" s="23"/>
      <c r="NQ15" s="23"/>
      <c r="NR15" s="23"/>
      <c r="NS15" s="23"/>
      <c r="NT15" s="23"/>
      <c r="NU15" s="23"/>
      <c r="NV15" s="23"/>
      <c r="NW15" s="23"/>
      <c r="NX15" s="23"/>
      <c r="NY15" s="23"/>
      <c r="NZ15" s="23"/>
      <c r="OA15" s="23"/>
      <c r="OB15" s="23"/>
      <c r="OC15" s="23"/>
      <c r="OD15" s="23"/>
      <c r="OE15" s="23"/>
      <c r="OF15" s="23"/>
      <c r="OG15" s="23"/>
      <c r="OH15" s="23"/>
      <c r="OI15" s="23"/>
      <c r="OJ15" s="23"/>
      <c r="OK15" s="23"/>
      <c r="OL15" s="23"/>
      <c r="OM15" s="23"/>
      <c r="ON15" s="23"/>
      <c r="OO15" s="23"/>
      <c r="OP15" s="23"/>
      <c r="OQ15" s="23"/>
      <c r="OR15" s="23"/>
      <c r="OS15" s="23"/>
      <c r="OT15" s="23"/>
      <c r="OU15" s="23"/>
      <c r="OV15" s="23"/>
      <c r="OW15" s="23"/>
      <c r="OX15" s="23"/>
      <c r="OY15" s="23"/>
      <c r="OZ15" s="23"/>
      <c r="PA15" s="23"/>
      <c r="PB15" s="23"/>
      <c r="PC15" s="23"/>
      <c r="PD15" s="23"/>
      <c r="PE15" s="23"/>
      <c r="PF15" s="23"/>
      <c r="PG15" s="23"/>
      <c r="PH15" s="23"/>
      <c r="PI15" s="23"/>
      <c r="PJ15" s="23"/>
      <c r="PK15" s="23"/>
      <c r="PL15" s="23"/>
      <c r="PM15" s="23"/>
      <c r="PN15" s="23"/>
      <c r="PO15" s="23"/>
      <c r="PP15" s="23"/>
      <c r="PQ15" s="23"/>
      <c r="PR15" s="23"/>
      <c r="PS15" s="23"/>
      <c r="PT15" s="23"/>
      <c r="PU15" s="23"/>
      <c r="PV15" s="23"/>
      <c r="PW15" s="23"/>
      <c r="PX15" s="23"/>
      <c r="PY15" s="23"/>
      <c r="PZ15" s="23"/>
      <c r="QA15" s="23"/>
      <c r="QB15" s="23"/>
      <c r="QC15" s="23"/>
      <c r="QD15" s="23"/>
      <c r="QE15" s="23"/>
      <c r="QF15" s="23"/>
      <c r="QG15" s="23"/>
      <c r="QH15" s="23"/>
      <c r="QI15" s="23"/>
      <c r="QJ15" s="23"/>
      <c r="QK15" s="23"/>
      <c r="QL15" s="23"/>
      <c r="QM15" s="23"/>
      <c r="QN15" s="23"/>
      <c r="QO15" s="23"/>
      <c r="QP15" s="23"/>
      <c r="QQ15" s="23"/>
      <c r="QR15" s="23"/>
      <c r="QS15" s="23"/>
      <c r="QT15" s="23"/>
      <c r="QU15" s="23"/>
      <c r="QV15" s="23"/>
      <c r="QW15" s="23"/>
      <c r="QX15" s="23"/>
      <c r="QY15" s="23"/>
      <c r="QZ15" s="23"/>
      <c r="RA15" s="23"/>
      <c r="RB15" s="23"/>
      <c r="RC15" s="23"/>
      <c r="RD15" s="23"/>
      <c r="RE15" s="23"/>
      <c r="RF15" s="23"/>
      <c r="RG15" s="23"/>
      <c r="RH15" s="23"/>
      <c r="RI15" s="23"/>
      <c r="RJ15" s="23"/>
      <c r="RK15" s="23"/>
      <c r="RL15" s="23"/>
      <c r="RM15" s="23"/>
      <c r="RN15" s="23"/>
      <c r="RO15" s="23"/>
      <c r="RP15" s="23"/>
      <c r="RQ15" s="23"/>
      <c r="RR15" s="23"/>
      <c r="RS15" s="23"/>
      <c r="RT15" s="23"/>
      <c r="RU15" s="23"/>
      <c r="RV15" s="23"/>
      <c r="RW15" s="23"/>
      <c r="RX15" s="23"/>
      <c r="RY15" s="23"/>
      <c r="RZ15" s="23"/>
      <c r="SA15" s="23"/>
      <c r="SB15" s="23"/>
      <c r="SC15" s="23"/>
      <c r="SD15" s="23"/>
      <c r="SE15" s="23"/>
      <c r="SF15" s="23"/>
      <c r="SG15" s="23"/>
      <c r="SH15" s="23"/>
      <c r="SI15" s="23"/>
      <c r="SJ15" s="23"/>
      <c r="SK15" s="23"/>
      <c r="SL15" s="23"/>
      <c r="SM15" s="23"/>
      <c r="SN15" s="23"/>
      <c r="SO15" s="23"/>
      <c r="SP15" s="23"/>
      <c r="SQ15" s="23"/>
      <c r="SR15" s="23"/>
      <c r="SS15" s="23"/>
      <c r="ST15" s="23"/>
      <c r="SU15" s="23"/>
      <c r="SV15" s="23"/>
      <c r="SW15" s="23"/>
      <c r="SX15" s="23"/>
      <c r="SY15" s="23"/>
      <c r="SZ15" s="23"/>
      <c r="TA15" s="23"/>
      <c r="TB15" s="23"/>
      <c r="TC15" s="23"/>
      <c r="TD15" s="23"/>
      <c r="TE15" s="23"/>
      <c r="TF15" s="23"/>
      <c r="TG15" s="23"/>
      <c r="TH15" s="23"/>
      <c r="TI15" s="23"/>
      <c r="TJ15" s="23"/>
      <c r="TK15" s="23"/>
      <c r="TL15" s="23"/>
      <c r="TM15" s="23"/>
      <c r="TN15" s="23"/>
      <c r="TO15" s="23"/>
      <c r="TP15" s="23"/>
      <c r="TQ15" s="23"/>
      <c r="TR15" s="23"/>
      <c r="TS15" s="23"/>
      <c r="TT15" s="23"/>
      <c r="TU15" s="23"/>
      <c r="TV15" s="23"/>
      <c r="TW15" s="23"/>
      <c r="TX15" s="23"/>
      <c r="TY15" s="23"/>
      <c r="TZ15" s="23"/>
      <c r="UA15" s="23"/>
      <c r="UB15" s="23"/>
      <c r="UC15" s="23"/>
      <c r="UD15" s="23"/>
      <c r="UE15" s="23"/>
      <c r="UF15" s="23"/>
      <c r="UG15" s="23"/>
      <c r="UH15" s="23"/>
      <c r="UI15" s="23"/>
      <c r="UJ15" s="23"/>
      <c r="UK15" s="23"/>
      <c r="UL15" s="23"/>
      <c r="UM15" s="23"/>
      <c r="UN15" s="23"/>
      <c r="UO15" s="23"/>
      <c r="UP15" s="23"/>
      <c r="UQ15" s="23"/>
      <c r="UR15" s="23"/>
      <c r="US15" s="23"/>
      <c r="UT15" s="23"/>
      <c r="UU15" s="23"/>
      <c r="UV15" s="23"/>
      <c r="UW15" s="23"/>
      <c r="UX15" s="23"/>
      <c r="UY15" s="23"/>
      <c r="UZ15" s="23"/>
      <c r="VA15" s="23"/>
      <c r="VB15" s="23"/>
      <c r="VC15" s="23"/>
      <c r="VD15" s="23"/>
      <c r="VE15" s="23"/>
      <c r="VF15" s="23"/>
      <c r="VG15" s="23"/>
      <c r="VH15" s="23"/>
      <c r="VI15" s="23"/>
      <c r="VJ15" s="23"/>
      <c r="VK15" s="23"/>
      <c r="VL15" s="23"/>
      <c r="VM15" s="23"/>
      <c r="VN15" s="23"/>
      <c r="VO15" s="23"/>
      <c r="VP15" s="23"/>
      <c r="VQ15" s="23"/>
      <c r="VR15" s="23"/>
      <c r="VS15" s="23"/>
      <c r="VT15" s="23"/>
      <c r="VU15" s="23"/>
      <c r="VV15" s="23"/>
      <c r="VW15" s="23"/>
      <c r="VX15" s="23"/>
      <c r="VY15" s="23"/>
      <c r="VZ15" s="23"/>
      <c r="WA15" s="23"/>
      <c r="WB15" s="23"/>
      <c r="WC15" s="23"/>
      <c r="WD15" s="23"/>
      <c r="WE15" s="23"/>
    </row>
    <row r="16" spans="1:603" s="10" customFormat="1" ht="17.45" customHeight="1" thickBot="1" x14ac:dyDescent="0.25">
      <c r="A16" s="11" t="s">
        <v>60</v>
      </c>
      <c r="B16" s="27"/>
      <c r="C16" s="27"/>
      <c r="D16" s="21" t="s">
        <v>79</v>
      </c>
      <c r="E16" s="21" t="s">
        <v>69</v>
      </c>
      <c r="F16" s="57" t="s">
        <v>3</v>
      </c>
      <c r="G16" s="28"/>
      <c r="H16" s="28"/>
      <c r="I16" s="28"/>
      <c r="J16" s="28"/>
      <c r="K16" s="28"/>
      <c r="L16" s="28"/>
      <c r="M16" s="28"/>
      <c r="N16" s="28"/>
      <c r="O16" s="28"/>
      <c r="P16" s="28"/>
      <c r="Q16" s="28"/>
      <c r="R16" s="28"/>
      <c r="S16" s="28"/>
      <c r="T16" s="28"/>
      <c r="U16" s="29"/>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c r="BV16" s="23"/>
      <c r="BW16" s="23"/>
      <c r="BX16" s="23"/>
      <c r="BY16" s="23"/>
      <c r="BZ16" s="23"/>
      <c r="CA16" s="23"/>
      <c r="CB16" s="23"/>
      <c r="CC16" s="23"/>
      <c r="CD16" s="23"/>
      <c r="CE16" s="23"/>
      <c r="CF16" s="23"/>
      <c r="CG16" s="23"/>
      <c r="CH16" s="23"/>
      <c r="CI16" s="23"/>
      <c r="CJ16" s="23"/>
      <c r="CK16" s="23"/>
      <c r="CL16" s="23"/>
      <c r="CM16" s="23"/>
      <c r="CN16" s="23"/>
      <c r="CO16" s="23"/>
      <c r="CP16" s="23"/>
      <c r="CQ16" s="23"/>
      <c r="CR16" s="23"/>
      <c r="CS16" s="23"/>
      <c r="CT16" s="23"/>
      <c r="CU16" s="23"/>
      <c r="CV16" s="23"/>
      <c r="CW16" s="23"/>
      <c r="CX16" s="23"/>
      <c r="CY16" s="23"/>
      <c r="CZ16" s="23"/>
      <c r="DA16" s="23"/>
      <c r="DB16" s="23"/>
      <c r="DC16" s="23"/>
      <c r="DD16" s="23"/>
      <c r="DE16" s="23"/>
      <c r="DF16" s="23"/>
      <c r="DG16" s="23"/>
      <c r="DH16" s="23"/>
      <c r="DI16" s="23"/>
      <c r="DJ16" s="23"/>
      <c r="DK16" s="23"/>
      <c r="DL16" s="23"/>
      <c r="DM16" s="23"/>
      <c r="DN16" s="23"/>
      <c r="DO16" s="23"/>
      <c r="DP16" s="23"/>
      <c r="DQ16" s="23"/>
      <c r="DR16" s="23"/>
      <c r="DS16" s="23"/>
      <c r="DT16" s="23"/>
      <c r="DU16" s="23"/>
      <c r="DV16" s="23"/>
      <c r="DW16" s="23"/>
      <c r="DX16" s="23"/>
      <c r="DY16" s="23"/>
      <c r="DZ16" s="23"/>
      <c r="EA16" s="23"/>
      <c r="EB16" s="23"/>
      <c r="EC16" s="23"/>
      <c r="ED16" s="23"/>
      <c r="EE16" s="23"/>
      <c r="EF16" s="23"/>
      <c r="EG16" s="23"/>
      <c r="EH16" s="23"/>
      <c r="EI16" s="23"/>
      <c r="EJ16" s="23"/>
      <c r="EK16" s="23"/>
      <c r="EL16" s="23"/>
      <c r="EM16" s="23"/>
      <c r="EN16" s="23"/>
      <c r="EO16" s="23"/>
      <c r="EP16" s="23"/>
      <c r="EQ16" s="23"/>
      <c r="ER16" s="23"/>
      <c r="ES16" s="23"/>
      <c r="ET16" s="23"/>
      <c r="EU16" s="23"/>
      <c r="EV16" s="23"/>
      <c r="EW16" s="23"/>
      <c r="EX16" s="23"/>
      <c r="EY16" s="23"/>
      <c r="EZ16" s="23"/>
      <c r="FA16" s="23"/>
      <c r="FB16" s="23"/>
      <c r="FC16" s="23"/>
      <c r="FD16" s="23"/>
      <c r="FE16" s="23"/>
      <c r="FF16" s="23"/>
      <c r="FG16" s="23"/>
      <c r="FH16" s="23"/>
      <c r="FI16" s="23"/>
      <c r="FJ16" s="23"/>
      <c r="FK16" s="23"/>
      <c r="FL16" s="23"/>
      <c r="FM16" s="23"/>
      <c r="FN16" s="23"/>
      <c r="FO16" s="23"/>
      <c r="FP16" s="23"/>
      <c r="FQ16" s="23"/>
      <c r="FR16" s="23"/>
      <c r="FS16" s="23"/>
      <c r="FT16" s="23"/>
      <c r="FU16" s="23"/>
      <c r="FV16" s="23"/>
      <c r="FW16" s="23"/>
      <c r="FX16" s="23"/>
      <c r="FY16" s="23"/>
      <c r="FZ16" s="23"/>
      <c r="GA16" s="23"/>
      <c r="GB16" s="23"/>
      <c r="GC16" s="23"/>
      <c r="GD16" s="23"/>
      <c r="GE16" s="23"/>
      <c r="GF16" s="23"/>
      <c r="GG16" s="23"/>
      <c r="GH16" s="23"/>
      <c r="GI16" s="23"/>
      <c r="GJ16" s="23"/>
      <c r="GK16" s="23"/>
      <c r="GL16" s="23"/>
      <c r="GM16" s="23"/>
      <c r="GN16" s="23"/>
      <c r="GO16" s="23"/>
      <c r="GP16" s="23"/>
      <c r="GQ16" s="23"/>
      <c r="GR16" s="23"/>
      <c r="GS16" s="23"/>
      <c r="GT16" s="23"/>
      <c r="GU16" s="23"/>
      <c r="GV16" s="23"/>
      <c r="GW16" s="23"/>
      <c r="GX16" s="23"/>
      <c r="GY16" s="23"/>
      <c r="GZ16" s="23"/>
      <c r="HA16" s="23"/>
      <c r="HB16" s="23"/>
      <c r="HC16" s="23"/>
      <c r="HD16" s="23"/>
      <c r="HE16" s="23"/>
      <c r="HF16" s="23"/>
      <c r="HG16" s="23"/>
      <c r="HH16" s="23"/>
      <c r="HI16" s="23"/>
      <c r="HJ16" s="23"/>
      <c r="HK16" s="23"/>
      <c r="HL16" s="23"/>
      <c r="HM16" s="23"/>
      <c r="HN16" s="23"/>
      <c r="HO16" s="23"/>
      <c r="HP16" s="23"/>
      <c r="HQ16" s="23"/>
      <c r="HR16" s="23"/>
      <c r="HS16" s="23"/>
      <c r="HT16" s="23"/>
      <c r="HU16" s="23"/>
      <c r="HV16" s="23"/>
      <c r="HW16" s="23"/>
      <c r="HX16" s="23"/>
      <c r="HY16" s="23"/>
      <c r="HZ16" s="23"/>
      <c r="IA16" s="23"/>
      <c r="IB16" s="23"/>
      <c r="IC16" s="23"/>
      <c r="ID16" s="23"/>
      <c r="IE16" s="23"/>
      <c r="IF16" s="23"/>
      <c r="IG16" s="23"/>
      <c r="IH16" s="23"/>
      <c r="II16" s="23"/>
      <c r="IJ16" s="23"/>
      <c r="IK16" s="23"/>
      <c r="IL16" s="23"/>
      <c r="IM16" s="23"/>
      <c r="IN16" s="23"/>
      <c r="IO16" s="23"/>
      <c r="IP16" s="23"/>
      <c r="IQ16" s="23"/>
      <c r="IR16" s="23"/>
      <c r="IS16" s="23"/>
      <c r="IT16" s="23"/>
      <c r="IU16" s="23"/>
      <c r="IV16" s="23"/>
      <c r="IW16" s="23"/>
      <c r="IX16" s="23"/>
      <c r="IY16" s="23"/>
      <c r="IZ16" s="23"/>
      <c r="JA16" s="23"/>
      <c r="JB16" s="23"/>
      <c r="JC16" s="23"/>
      <c r="JD16" s="23"/>
      <c r="JE16" s="23"/>
      <c r="JF16" s="23"/>
      <c r="JG16" s="23"/>
      <c r="JH16" s="23"/>
      <c r="JI16" s="23"/>
      <c r="JJ16" s="23"/>
      <c r="JK16" s="23"/>
      <c r="JL16" s="23"/>
      <c r="JM16" s="23"/>
      <c r="JN16" s="23"/>
      <c r="JO16" s="23"/>
      <c r="JP16" s="23"/>
      <c r="JQ16" s="23"/>
      <c r="JR16" s="23"/>
      <c r="JS16" s="23"/>
      <c r="JT16" s="23"/>
      <c r="JU16" s="23"/>
      <c r="JV16" s="23"/>
      <c r="JW16" s="23"/>
      <c r="JX16" s="23"/>
      <c r="JY16" s="23"/>
      <c r="JZ16" s="23"/>
      <c r="KA16" s="23"/>
      <c r="KB16" s="23"/>
      <c r="KC16" s="23"/>
      <c r="KD16" s="23"/>
      <c r="KE16" s="23"/>
      <c r="KF16" s="23"/>
      <c r="KG16" s="23"/>
      <c r="KH16" s="23"/>
      <c r="KI16" s="23"/>
      <c r="KJ16" s="23"/>
      <c r="KK16" s="23"/>
      <c r="KL16" s="23"/>
      <c r="KM16" s="23"/>
      <c r="KN16" s="23"/>
      <c r="KO16" s="23"/>
      <c r="KP16" s="23"/>
      <c r="KQ16" s="23"/>
      <c r="KR16" s="23"/>
      <c r="KS16" s="23"/>
      <c r="KT16" s="23"/>
      <c r="KU16" s="23"/>
      <c r="KV16" s="23"/>
      <c r="KW16" s="23"/>
      <c r="KX16" s="23"/>
      <c r="KY16" s="23"/>
      <c r="KZ16" s="23"/>
      <c r="LA16" s="23"/>
      <c r="LB16" s="23"/>
      <c r="LC16" s="23"/>
      <c r="LD16" s="23"/>
      <c r="LE16" s="23"/>
      <c r="LF16" s="23"/>
      <c r="LG16" s="23"/>
      <c r="LH16" s="23"/>
      <c r="LI16" s="23"/>
      <c r="LJ16" s="23"/>
      <c r="LK16" s="23"/>
      <c r="LL16" s="23"/>
      <c r="LM16" s="23"/>
      <c r="LN16" s="23"/>
      <c r="LO16" s="23"/>
      <c r="LP16" s="23"/>
      <c r="LQ16" s="23"/>
      <c r="LR16" s="23"/>
      <c r="LS16" s="23"/>
      <c r="LT16" s="23"/>
      <c r="LU16" s="23"/>
      <c r="LV16" s="23"/>
      <c r="LW16" s="23"/>
      <c r="LX16" s="23"/>
      <c r="LY16" s="23"/>
      <c r="LZ16" s="23"/>
      <c r="MA16" s="23"/>
      <c r="MB16" s="23"/>
      <c r="MC16" s="23"/>
      <c r="MD16" s="23"/>
      <c r="ME16" s="23"/>
      <c r="MF16" s="23"/>
      <c r="MG16" s="23"/>
      <c r="MH16" s="23"/>
      <c r="MI16" s="23"/>
      <c r="MJ16" s="23"/>
      <c r="MK16" s="23"/>
      <c r="ML16" s="23"/>
      <c r="MM16" s="23"/>
      <c r="MN16" s="23"/>
      <c r="MO16" s="23"/>
      <c r="MP16" s="23"/>
      <c r="MQ16" s="23"/>
      <c r="MR16" s="23"/>
      <c r="MS16" s="23"/>
      <c r="MT16" s="23"/>
      <c r="MU16" s="23"/>
      <c r="MV16" s="23"/>
      <c r="MW16" s="23"/>
      <c r="MX16" s="23"/>
      <c r="MY16" s="23"/>
      <c r="MZ16" s="23"/>
      <c r="NA16" s="23"/>
      <c r="NB16" s="23"/>
      <c r="NC16" s="23"/>
      <c r="ND16" s="23"/>
      <c r="NE16" s="23"/>
      <c r="NF16" s="23"/>
      <c r="NG16" s="23"/>
      <c r="NH16" s="23"/>
      <c r="NI16" s="23"/>
      <c r="NJ16" s="23"/>
      <c r="NK16" s="23"/>
      <c r="NL16" s="23"/>
      <c r="NM16" s="23"/>
      <c r="NN16" s="23"/>
      <c r="NO16" s="23"/>
      <c r="NP16" s="23"/>
      <c r="NQ16" s="23"/>
      <c r="NR16" s="23"/>
      <c r="NS16" s="23"/>
      <c r="NT16" s="23"/>
      <c r="NU16" s="23"/>
      <c r="NV16" s="23"/>
      <c r="NW16" s="23"/>
      <c r="NX16" s="23"/>
      <c r="NY16" s="23"/>
      <c r="NZ16" s="23"/>
      <c r="OA16" s="23"/>
      <c r="OB16" s="23"/>
      <c r="OC16" s="23"/>
      <c r="OD16" s="23"/>
      <c r="OE16" s="23"/>
      <c r="OF16" s="23"/>
      <c r="OG16" s="23"/>
      <c r="OH16" s="23"/>
      <c r="OI16" s="23"/>
      <c r="OJ16" s="23"/>
      <c r="OK16" s="23"/>
      <c r="OL16" s="23"/>
      <c r="OM16" s="23"/>
      <c r="ON16" s="23"/>
      <c r="OO16" s="23"/>
      <c r="OP16" s="23"/>
      <c r="OQ16" s="23"/>
      <c r="OR16" s="23"/>
      <c r="OS16" s="23"/>
      <c r="OT16" s="23"/>
      <c r="OU16" s="23"/>
      <c r="OV16" s="23"/>
      <c r="OW16" s="23"/>
      <c r="OX16" s="23"/>
      <c r="OY16" s="23"/>
      <c r="OZ16" s="23"/>
      <c r="PA16" s="23"/>
      <c r="PB16" s="23"/>
      <c r="PC16" s="23"/>
      <c r="PD16" s="23"/>
      <c r="PE16" s="23"/>
      <c r="PF16" s="23"/>
      <c r="PG16" s="23"/>
      <c r="PH16" s="23"/>
      <c r="PI16" s="23"/>
      <c r="PJ16" s="23"/>
      <c r="PK16" s="23"/>
      <c r="PL16" s="23"/>
      <c r="PM16" s="23"/>
      <c r="PN16" s="23"/>
      <c r="PO16" s="23"/>
      <c r="PP16" s="23"/>
      <c r="PQ16" s="23"/>
      <c r="PR16" s="23"/>
      <c r="PS16" s="23"/>
      <c r="PT16" s="23"/>
      <c r="PU16" s="23"/>
      <c r="PV16" s="23"/>
      <c r="PW16" s="23"/>
      <c r="PX16" s="23"/>
      <c r="PY16" s="23"/>
      <c r="PZ16" s="23"/>
      <c r="QA16" s="23"/>
      <c r="QB16" s="23"/>
      <c r="QC16" s="23"/>
      <c r="QD16" s="23"/>
      <c r="QE16" s="23"/>
      <c r="QF16" s="23"/>
      <c r="QG16" s="23"/>
      <c r="QH16" s="23"/>
      <c r="QI16" s="23"/>
      <c r="QJ16" s="23"/>
      <c r="QK16" s="23"/>
      <c r="QL16" s="23"/>
      <c r="QM16" s="23"/>
      <c r="QN16" s="23"/>
      <c r="QO16" s="23"/>
      <c r="QP16" s="23"/>
      <c r="QQ16" s="23"/>
      <c r="QR16" s="23"/>
      <c r="QS16" s="23"/>
      <c r="QT16" s="23"/>
      <c r="QU16" s="23"/>
      <c r="QV16" s="23"/>
      <c r="QW16" s="23"/>
      <c r="QX16" s="23"/>
      <c r="QY16" s="23"/>
      <c r="QZ16" s="23"/>
      <c r="RA16" s="23"/>
      <c r="RB16" s="23"/>
      <c r="RC16" s="23"/>
      <c r="RD16" s="23"/>
      <c r="RE16" s="23"/>
      <c r="RF16" s="23"/>
      <c r="RG16" s="23"/>
      <c r="RH16" s="23"/>
      <c r="RI16" s="23"/>
      <c r="RJ16" s="23"/>
      <c r="RK16" s="23"/>
      <c r="RL16" s="23"/>
      <c r="RM16" s="23"/>
      <c r="RN16" s="23"/>
      <c r="RO16" s="23"/>
      <c r="RP16" s="23"/>
      <c r="RQ16" s="23"/>
      <c r="RR16" s="23"/>
      <c r="RS16" s="23"/>
      <c r="RT16" s="23"/>
      <c r="RU16" s="23"/>
      <c r="RV16" s="23"/>
      <c r="RW16" s="23"/>
      <c r="RX16" s="23"/>
      <c r="RY16" s="23"/>
      <c r="RZ16" s="23"/>
      <c r="SA16" s="23"/>
      <c r="SB16" s="23"/>
      <c r="SC16" s="23"/>
      <c r="SD16" s="23"/>
      <c r="SE16" s="23"/>
      <c r="SF16" s="23"/>
      <c r="SG16" s="23"/>
      <c r="SH16" s="23"/>
      <c r="SI16" s="23"/>
      <c r="SJ16" s="23"/>
      <c r="SK16" s="23"/>
      <c r="SL16" s="23"/>
      <c r="SM16" s="23"/>
      <c r="SN16" s="23"/>
      <c r="SO16" s="23"/>
      <c r="SP16" s="23"/>
      <c r="SQ16" s="23"/>
      <c r="SR16" s="23"/>
      <c r="SS16" s="23"/>
      <c r="ST16" s="23"/>
      <c r="SU16" s="23"/>
      <c r="SV16" s="23"/>
      <c r="SW16" s="23"/>
      <c r="SX16" s="23"/>
      <c r="SY16" s="23"/>
      <c r="SZ16" s="23"/>
      <c r="TA16" s="23"/>
      <c r="TB16" s="23"/>
      <c r="TC16" s="23"/>
      <c r="TD16" s="23"/>
      <c r="TE16" s="23"/>
      <c r="TF16" s="23"/>
      <c r="TG16" s="23"/>
      <c r="TH16" s="23"/>
      <c r="TI16" s="23"/>
      <c r="TJ16" s="23"/>
      <c r="TK16" s="23"/>
      <c r="TL16" s="23"/>
      <c r="TM16" s="23"/>
      <c r="TN16" s="23"/>
      <c r="TO16" s="23"/>
      <c r="TP16" s="23"/>
      <c r="TQ16" s="23"/>
      <c r="TR16" s="23"/>
      <c r="TS16" s="23"/>
      <c r="TT16" s="23"/>
      <c r="TU16" s="23"/>
      <c r="TV16" s="23"/>
      <c r="TW16" s="23"/>
      <c r="TX16" s="23"/>
      <c r="TY16" s="23"/>
      <c r="TZ16" s="23"/>
      <c r="UA16" s="23"/>
      <c r="UB16" s="23"/>
      <c r="UC16" s="23"/>
      <c r="UD16" s="23"/>
      <c r="UE16" s="23"/>
      <c r="UF16" s="23"/>
      <c r="UG16" s="23"/>
      <c r="UH16" s="23"/>
      <c r="UI16" s="23"/>
      <c r="UJ16" s="23"/>
      <c r="UK16" s="23"/>
      <c r="UL16" s="23"/>
      <c r="UM16" s="23"/>
      <c r="UN16" s="23"/>
      <c r="UO16" s="23"/>
      <c r="UP16" s="23"/>
      <c r="UQ16" s="23"/>
      <c r="UR16" s="23"/>
      <c r="US16" s="23"/>
      <c r="UT16" s="23"/>
      <c r="UU16" s="23"/>
      <c r="UV16" s="23"/>
      <c r="UW16" s="23"/>
      <c r="UX16" s="23"/>
      <c r="UY16" s="23"/>
      <c r="UZ16" s="23"/>
      <c r="VA16" s="23"/>
      <c r="VB16" s="23"/>
      <c r="VC16" s="23"/>
      <c r="VD16" s="23"/>
      <c r="VE16" s="23"/>
      <c r="VF16" s="23"/>
      <c r="VG16" s="23"/>
      <c r="VH16" s="23"/>
      <c r="VI16" s="23"/>
      <c r="VJ16" s="23"/>
      <c r="VK16" s="23"/>
      <c r="VL16" s="23"/>
      <c r="VM16" s="23"/>
      <c r="VN16" s="23"/>
      <c r="VO16" s="23"/>
      <c r="VP16" s="23"/>
      <c r="VQ16" s="23"/>
      <c r="VR16" s="23"/>
      <c r="VS16" s="23"/>
      <c r="VT16" s="23"/>
      <c r="VU16" s="23"/>
      <c r="VV16" s="23"/>
      <c r="VW16" s="23"/>
      <c r="VX16" s="23"/>
      <c r="VY16" s="23"/>
      <c r="VZ16" s="23"/>
      <c r="WA16" s="23"/>
      <c r="WB16" s="23"/>
      <c r="WC16" s="23"/>
      <c r="WD16" s="23"/>
      <c r="WE16" s="23"/>
    </row>
    <row r="17" spans="1:603" s="10" customFormat="1" ht="15.75" customHeight="1" x14ac:dyDescent="0.2">
      <c r="A17" s="166" t="s">
        <v>61</v>
      </c>
      <c r="B17" s="167"/>
      <c r="C17" s="167"/>
      <c r="D17" s="70">
        <f>D29+E41-D32-E43</f>
        <v>0</v>
      </c>
      <c r="E17" s="70">
        <f>+U29-U32</f>
        <v>0</v>
      </c>
      <c r="F17" s="71">
        <f>+E17+D17</f>
        <v>0</v>
      </c>
      <c r="G17" s="23"/>
      <c r="H17" s="196" t="s">
        <v>64</v>
      </c>
      <c r="I17" s="196"/>
      <c r="J17" s="196"/>
      <c r="K17" s="196"/>
      <c r="L17" s="197" t="s">
        <v>78</v>
      </c>
      <c r="M17" s="198"/>
      <c r="N17" s="199"/>
      <c r="O17" s="200" t="s">
        <v>69</v>
      </c>
      <c r="P17" s="201"/>
      <c r="Q17" s="202"/>
      <c r="R17" s="54" t="s">
        <v>3</v>
      </c>
      <c r="S17" s="23"/>
      <c r="T17" s="23"/>
      <c r="U17" s="30"/>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c r="BM17" s="23"/>
      <c r="BN17" s="23"/>
      <c r="BO17" s="23"/>
      <c r="BP17" s="23"/>
      <c r="BQ17" s="23"/>
      <c r="BR17" s="23"/>
      <c r="BS17" s="23"/>
      <c r="BT17" s="23"/>
      <c r="BU17" s="23"/>
      <c r="BV17" s="23"/>
      <c r="BW17" s="23"/>
      <c r="BX17" s="23"/>
      <c r="BY17" s="23"/>
      <c r="BZ17" s="23"/>
      <c r="CA17" s="23"/>
      <c r="CB17" s="23"/>
      <c r="CC17" s="23"/>
      <c r="CD17" s="23"/>
      <c r="CE17" s="23"/>
      <c r="CF17" s="23"/>
      <c r="CG17" s="23"/>
      <c r="CH17" s="23"/>
      <c r="CI17" s="23"/>
      <c r="CJ17" s="23"/>
      <c r="CK17" s="23"/>
      <c r="CL17" s="23"/>
      <c r="CM17" s="23"/>
      <c r="CN17" s="23"/>
      <c r="CO17" s="23"/>
      <c r="CP17" s="23"/>
      <c r="CQ17" s="23"/>
      <c r="CR17" s="23"/>
      <c r="CS17" s="23"/>
      <c r="CT17" s="23"/>
      <c r="CU17" s="23"/>
      <c r="CV17" s="23"/>
      <c r="CW17" s="23"/>
      <c r="CX17" s="23"/>
      <c r="CY17" s="23"/>
      <c r="CZ17" s="23"/>
      <c r="DA17" s="23"/>
      <c r="DB17" s="23"/>
      <c r="DC17" s="23"/>
      <c r="DD17" s="23"/>
      <c r="DE17" s="23"/>
      <c r="DF17" s="23"/>
      <c r="DG17" s="23"/>
      <c r="DH17" s="23"/>
      <c r="DI17" s="23"/>
      <c r="DJ17" s="23"/>
      <c r="DK17" s="23"/>
      <c r="DL17" s="23"/>
      <c r="DM17" s="23"/>
      <c r="DN17" s="23"/>
      <c r="DO17" s="23"/>
      <c r="DP17" s="23"/>
      <c r="DQ17" s="23"/>
      <c r="DR17" s="23"/>
      <c r="DS17" s="23"/>
      <c r="DT17" s="23"/>
      <c r="DU17" s="23"/>
      <c r="DV17" s="23"/>
      <c r="DW17" s="23"/>
      <c r="DX17" s="23"/>
      <c r="DY17" s="23"/>
      <c r="DZ17" s="23"/>
      <c r="EA17" s="23"/>
      <c r="EB17" s="23"/>
      <c r="EC17" s="23"/>
      <c r="ED17" s="23"/>
      <c r="EE17" s="23"/>
      <c r="EF17" s="23"/>
      <c r="EG17" s="23"/>
      <c r="EH17" s="23"/>
      <c r="EI17" s="23"/>
      <c r="EJ17" s="23"/>
      <c r="EK17" s="23"/>
      <c r="EL17" s="23"/>
      <c r="EM17" s="23"/>
      <c r="EN17" s="23"/>
      <c r="EO17" s="23"/>
      <c r="EP17" s="23"/>
      <c r="EQ17" s="23"/>
      <c r="ER17" s="23"/>
      <c r="ES17" s="23"/>
      <c r="ET17" s="23"/>
      <c r="EU17" s="23"/>
      <c r="EV17" s="23"/>
      <c r="EW17" s="23"/>
      <c r="EX17" s="23"/>
      <c r="EY17" s="23"/>
      <c r="EZ17" s="23"/>
      <c r="FA17" s="23"/>
      <c r="FB17" s="23"/>
      <c r="FC17" s="23"/>
      <c r="FD17" s="23"/>
      <c r="FE17" s="23"/>
      <c r="FF17" s="23"/>
      <c r="FG17" s="23"/>
      <c r="FH17" s="23"/>
      <c r="FI17" s="23"/>
      <c r="FJ17" s="23"/>
      <c r="FK17" s="23"/>
      <c r="FL17" s="23"/>
      <c r="FM17" s="23"/>
      <c r="FN17" s="23"/>
      <c r="FO17" s="23"/>
      <c r="FP17" s="23"/>
      <c r="FQ17" s="23"/>
      <c r="FR17" s="23"/>
      <c r="FS17" s="23"/>
      <c r="FT17" s="23"/>
      <c r="FU17" s="23"/>
      <c r="FV17" s="23"/>
      <c r="FW17" s="23"/>
      <c r="FX17" s="23"/>
      <c r="FY17" s="23"/>
      <c r="FZ17" s="23"/>
      <c r="GA17" s="23"/>
      <c r="GB17" s="23"/>
      <c r="GC17" s="23"/>
      <c r="GD17" s="23"/>
      <c r="GE17" s="23"/>
      <c r="GF17" s="23"/>
      <c r="GG17" s="23"/>
      <c r="GH17" s="23"/>
      <c r="GI17" s="23"/>
      <c r="GJ17" s="23"/>
      <c r="GK17" s="23"/>
      <c r="GL17" s="23"/>
      <c r="GM17" s="23"/>
      <c r="GN17" s="23"/>
      <c r="GO17" s="23"/>
      <c r="GP17" s="23"/>
      <c r="GQ17" s="23"/>
      <c r="GR17" s="23"/>
      <c r="GS17" s="23"/>
      <c r="GT17" s="23"/>
      <c r="GU17" s="23"/>
      <c r="GV17" s="23"/>
      <c r="GW17" s="23"/>
      <c r="GX17" s="23"/>
      <c r="GY17" s="23"/>
      <c r="GZ17" s="23"/>
      <c r="HA17" s="23"/>
      <c r="HB17" s="23"/>
      <c r="HC17" s="23"/>
      <c r="HD17" s="23"/>
      <c r="HE17" s="23"/>
      <c r="HF17" s="23"/>
      <c r="HG17" s="23"/>
      <c r="HH17" s="23"/>
      <c r="HI17" s="23"/>
      <c r="HJ17" s="23"/>
      <c r="HK17" s="23"/>
      <c r="HL17" s="23"/>
      <c r="HM17" s="23"/>
      <c r="HN17" s="23"/>
      <c r="HO17" s="23"/>
      <c r="HP17" s="23"/>
      <c r="HQ17" s="23"/>
      <c r="HR17" s="23"/>
      <c r="HS17" s="23"/>
      <c r="HT17" s="23"/>
      <c r="HU17" s="23"/>
      <c r="HV17" s="23"/>
      <c r="HW17" s="23"/>
      <c r="HX17" s="23"/>
      <c r="HY17" s="23"/>
      <c r="HZ17" s="23"/>
      <c r="IA17" s="23"/>
      <c r="IB17" s="23"/>
      <c r="IC17" s="23"/>
      <c r="ID17" s="23"/>
      <c r="IE17" s="23"/>
      <c r="IF17" s="23"/>
      <c r="IG17" s="23"/>
      <c r="IH17" s="23"/>
      <c r="II17" s="23"/>
      <c r="IJ17" s="23"/>
      <c r="IK17" s="23"/>
      <c r="IL17" s="23"/>
      <c r="IM17" s="23"/>
      <c r="IN17" s="23"/>
      <c r="IO17" s="23"/>
      <c r="IP17" s="23"/>
      <c r="IQ17" s="23"/>
      <c r="IR17" s="23"/>
      <c r="IS17" s="23"/>
      <c r="IT17" s="23"/>
      <c r="IU17" s="23"/>
      <c r="IV17" s="23"/>
      <c r="IW17" s="23"/>
      <c r="IX17" s="23"/>
      <c r="IY17" s="23"/>
      <c r="IZ17" s="23"/>
      <c r="JA17" s="23"/>
      <c r="JB17" s="23"/>
      <c r="JC17" s="23"/>
      <c r="JD17" s="23"/>
      <c r="JE17" s="23"/>
      <c r="JF17" s="23"/>
      <c r="JG17" s="23"/>
      <c r="JH17" s="23"/>
      <c r="JI17" s="23"/>
      <c r="JJ17" s="23"/>
      <c r="JK17" s="23"/>
      <c r="JL17" s="23"/>
      <c r="JM17" s="23"/>
      <c r="JN17" s="23"/>
      <c r="JO17" s="23"/>
      <c r="JP17" s="23"/>
      <c r="JQ17" s="23"/>
      <c r="JR17" s="23"/>
      <c r="JS17" s="23"/>
      <c r="JT17" s="23"/>
      <c r="JU17" s="23"/>
      <c r="JV17" s="23"/>
      <c r="JW17" s="23"/>
      <c r="JX17" s="23"/>
      <c r="JY17" s="23"/>
      <c r="JZ17" s="23"/>
      <c r="KA17" s="23"/>
      <c r="KB17" s="23"/>
      <c r="KC17" s="23"/>
      <c r="KD17" s="23"/>
      <c r="KE17" s="23"/>
      <c r="KF17" s="23"/>
      <c r="KG17" s="23"/>
      <c r="KH17" s="23"/>
      <c r="KI17" s="23"/>
      <c r="KJ17" s="23"/>
      <c r="KK17" s="23"/>
      <c r="KL17" s="23"/>
      <c r="KM17" s="23"/>
      <c r="KN17" s="23"/>
      <c r="KO17" s="23"/>
      <c r="KP17" s="23"/>
      <c r="KQ17" s="23"/>
      <c r="KR17" s="23"/>
      <c r="KS17" s="23"/>
      <c r="KT17" s="23"/>
      <c r="KU17" s="23"/>
      <c r="KV17" s="23"/>
      <c r="KW17" s="23"/>
      <c r="KX17" s="23"/>
      <c r="KY17" s="23"/>
      <c r="KZ17" s="23"/>
      <c r="LA17" s="23"/>
      <c r="LB17" s="23"/>
      <c r="LC17" s="23"/>
      <c r="LD17" s="23"/>
      <c r="LE17" s="23"/>
      <c r="LF17" s="23"/>
      <c r="LG17" s="23"/>
      <c r="LH17" s="23"/>
      <c r="LI17" s="23"/>
      <c r="LJ17" s="23"/>
      <c r="LK17" s="23"/>
      <c r="LL17" s="23"/>
      <c r="LM17" s="23"/>
      <c r="LN17" s="23"/>
      <c r="LO17" s="23"/>
      <c r="LP17" s="23"/>
      <c r="LQ17" s="23"/>
      <c r="LR17" s="23"/>
      <c r="LS17" s="23"/>
      <c r="LT17" s="23"/>
      <c r="LU17" s="23"/>
      <c r="LV17" s="23"/>
      <c r="LW17" s="23"/>
      <c r="LX17" s="23"/>
      <c r="LY17" s="23"/>
      <c r="LZ17" s="23"/>
      <c r="MA17" s="23"/>
      <c r="MB17" s="23"/>
      <c r="MC17" s="23"/>
      <c r="MD17" s="23"/>
      <c r="ME17" s="23"/>
      <c r="MF17" s="23"/>
      <c r="MG17" s="23"/>
      <c r="MH17" s="23"/>
      <c r="MI17" s="23"/>
      <c r="MJ17" s="23"/>
      <c r="MK17" s="23"/>
      <c r="ML17" s="23"/>
      <c r="MM17" s="23"/>
      <c r="MN17" s="23"/>
      <c r="MO17" s="23"/>
      <c r="MP17" s="23"/>
      <c r="MQ17" s="23"/>
      <c r="MR17" s="23"/>
      <c r="MS17" s="23"/>
      <c r="MT17" s="23"/>
      <c r="MU17" s="23"/>
      <c r="MV17" s="23"/>
      <c r="MW17" s="23"/>
      <c r="MX17" s="23"/>
      <c r="MY17" s="23"/>
      <c r="MZ17" s="23"/>
      <c r="NA17" s="23"/>
      <c r="NB17" s="23"/>
      <c r="NC17" s="23"/>
      <c r="ND17" s="23"/>
      <c r="NE17" s="23"/>
      <c r="NF17" s="23"/>
      <c r="NG17" s="23"/>
      <c r="NH17" s="23"/>
      <c r="NI17" s="23"/>
      <c r="NJ17" s="23"/>
      <c r="NK17" s="23"/>
      <c r="NL17" s="23"/>
      <c r="NM17" s="23"/>
      <c r="NN17" s="23"/>
      <c r="NO17" s="23"/>
      <c r="NP17" s="23"/>
      <c r="NQ17" s="23"/>
      <c r="NR17" s="23"/>
      <c r="NS17" s="23"/>
      <c r="NT17" s="23"/>
      <c r="NU17" s="23"/>
      <c r="NV17" s="23"/>
      <c r="NW17" s="23"/>
      <c r="NX17" s="23"/>
      <c r="NY17" s="23"/>
      <c r="NZ17" s="23"/>
      <c r="OA17" s="23"/>
      <c r="OB17" s="23"/>
      <c r="OC17" s="23"/>
      <c r="OD17" s="23"/>
      <c r="OE17" s="23"/>
      <c r="OF17" s="23"/>
      <c r="OG17" s="23"/>
      <c r="OH17" s="23"/>
      <c r="OI17" s="23"/>
      <c r="OJ17" s="23"/>
      <c r="OK17" s="23"/>
      <c r="OL17" s="23"/>
      <c r="OM17" s="23"/>
      <c r="ON17" s="23"/>
      <c r="OO17" s="23"/>
      <c r="OP17" s="23"/>
      <c r="OQ17" s="23"/>
      <c r="OR17" s="23"/>
      <c r="OS17" s="23"/>
      <c r="OT17" s="23"/>
      <c r="OU17" s="23"/>
      <c r="OV17" s="23"/>
      <c r="OW17" s="23"/>
      <c r="OX17" s="23"/>
      <c r="OY17" s="23"/>
      <c r="OZ17" s="23"/>
      <c r="PA17" s="23"/>
      <c r="PB17" s="23"/>
      <c r="PC17" s="23"/>
      <c r="PD17" s="23"/>
      <c r="PE17" s="23"/>
      <c r="PF17" s="23"/>
      <c r="PG17" s="23"/>
      <c r="PH17" s="23"/>
      <c r="PI17" s="23"/>
      <c r="PJ17" s="23"/>
      <c r="PK17" s="23"/>
      <c r="PL17" s="23"/>
      <c r="PM17" s="23"/>
      <c r="PN17" s="23"/>
      <c r="PO17" s="23"/>
      <c r="PP17" s="23"/>
      <c r="PQ17" s="23"/>
      <c r="PR17" s="23"/>
      <c r="PS17" s="23"/>
      <c r="PT17" s="23"/>
      <c r="PU17" s="23"/>
      <c r="PV17" s="23"/>
      <c r="PW17" s="23"/>
      <c r="PX17" s="23"/>
      <c r="PY17" s="23"/>
      <c r="PZ17" s="23"/>
      <c r="QA17" s="23"/>
      <c r="QB17" s="23"/>
      <c r="QC17" s="23"/>
      <c r="QD17" s="23"/>
      <c r="QE17" s="23"/>
      <c r="QF17" s="23"/>
      <c r="QG17" s="23"/>
      <c r="QH17" s="23"/>
      <c r="QI17" s="23"/>
      <c r="QJ17" s="23"/>
      <c r="QK17" s="23"/>
      <c r="QL17" s="23"/>
      <c r="QM17" s="23"/>
      <c r="QN17" s="23"/>
      <c r="QO17" s="23"/>
      <c r="QP17" s="23"/>
      <c r="QQ17" s="23"/>
      <c r="QR17" s="23"/>
      <c r="QS17" s="23"/>
      <c r="QT17" s="23"/>
      <c r="QU17" s="23"/>
      <c r="QV17" s="23"/>
      <c r="QW17" s="23"/>
      <c r="QX17" s="23"/>
      <c r="QY17" s="23"/>
      <c r="QZ17" s="23"/>
      <c r="RA17" s="23"/>
      <c r="RB17" s="23"/>
      <c r="RC17" s="23"/>
      <c r="RD17" s="23"/>
      <c r="RE17" s="23"/>
      <c r="RF17" s="23"/>
      <c r="RG17" s="23"/>
      <c r="RH17" s="23"/>
      <c r="RI17" s="23"/>
      <c r="RJ17" s="23"/>
      <c r="RK17" s="23"/>
      <c r="RL17" s="23"/>
      <c r="RM17" s="23"/>
      <c r="RN17" s="23"/>
      <c r="RO17" s="23"/>
      <c r="RP17" s="23"/>
      <c r="RQ17" s="23"/>
      <c r="RR17" s="23"/>
      <c r="RS17" s="23"/>
      <c r="RT17" s="23"/>
      <c r="RU17" s="23"/>
      <c r="RV17" s="23"/>
      <c r="RW17" s="23"/>
      <c r="RX17" s="23"/>
      <c r="RY17" s="23"/>
      <c r="RZ17" s="23"/>
      <c r="SA17" s="23"/>
      <c r="SB17" s="23"/>
      <c r="SC17" s="23"/>
      <c r="SD17" s="23"/>
      <c r="SE17" s="23"/>
      <c r="SF17" s="23"/>
      <c r="SG17" s="23"/>
      <c r="SH17" s="23"/>
      <c r="SI17" s="23"/>
      <c r="SJ17" s="23"/>
      <c r="SK17" s="23"/>
      <c r="SL17" s="23"/>
      <c r="SM17" s="23"/>
      <c r="SN17" s="23"/>
      <c r="SO17" s="23"/>
      <c r="SP17" s="23"/>
      <c r="SQ17" s="23"/>
      <c r="SR17" s="23"/>
      <c r="SS17" s="23"/>
      <c r="ST17" s="23"/>
      <c r="SU17" s="23"/>
      <c r="SV17" s="23"/>
      <c r="SW17" s="23"/>
      <c r="SX17" s="23"/>
      <c r="SY17" s="23"/>
      <c r="SZ17" s="23"/>
      <c r="TA17" s="23"/>
      <c r="TB17" s="23"/>
      <c r="TC17" s="23"/>
      <c r="TD17" s="23"/>
      <c r="TE17" s="23"/>
      <c r="TF17" s="23"/>
      <c r="TG17" s="23"/>
      <c r="TH17" s="23"/>
      <c r="TI17" s="23"/>
      <c r="TJ17" s="23"/>
      <c r="TK17" s="23"/>
      <c r="TL17" s="23"/>
      <c r="TM17" s="23"/>
      <c r="TN17" s="23"/>
      <c r="TO17" s="23"/>
      <c r="TP17" s="23"/>
      <c r="TQ17" s="23"/>
      <c r="TR17" s="23"/>
      <c r="TS17" s="23"/>
      <c r="TT17" s="23"/>
      <c r="TU17" s="23"/>
      <c r="TV17" s="23"/>
      <c r="TW17" s="23"/>
      <c r="TX17" s="23"/>
      <c r="TY17" s="23"/>
      <c r="TZ17" s="23"/>
      <c r="UA17" s="23"/>
      <c r="UB17" s="23"/>
      <c r="UC17" s="23"/>
      <c r="UD17" s="23"/>
      <c r="UE17" s="23"/>
      <c r="UF17" s="23"/>
      <c r="UG17" s="23"/>
      <c r="UH17" s="23"/>
      <c r="UI17" s="23"/>
      <c r="UJ17" s="23"/>
      <c r="UK17" s="23"/>
      <c r="UL17" s="23"/>
      <c r="UM17" s="23"/>
      <c r="UN17" s="23"/>
      <c r="UO17" s="23"/>
      <c r="UP17" s="23"/>
      <c r="UQ17" s="23"/>
      <c r="UR17" s="23"/>
      <c r="US17" s="23"/>
      <c r="UT17" s="23"/>
      <c r="UU17" s="23"/>
      <c r="UV17" s="23"/>
      <c r="UW17" s="23"/>
      <c r="UX17" s="23"/>
      <c r="UY17" s="23"/>
      <c r="UZ17" s="23"/>
      <c r="VA17" s="23"/>
      <c r="VB17" s="23"/>
      <c r="VC17" s="23"/>
      <c r="VD17" s="23"/>
      <c r="VE17" s="23"/>
      <c r="VF17" s="23"/>
      <c r="VG17" s="23"/>
      <c r="VH17" s="23"/>
      <c r="VI17" s="23"/>
      <c r="VJ17" s="23"/>
      <c r="VK17" s="23"/>
      <c r="VL17" s="23"/>
      <c r="VM17" s="23"/>
      <c r="VN17" s="23"/>
      <c r="VO17" s="23"/>
      <c r="VP17" s="23"/>
      <c r="VQ17" s="23"/>
      <c r="VR17" s="23"/>
      <c r="VS17" s="23"/>
      <c r="VT17" s="23"/>
      <c r="VU17" s="23"/>
      <c r="VV17" s="23"/>
      <c r="VW17" s="23"/>
      <c r="VX17" s="23"/>
      <c r="VY17" s="23"/>
      <c r="VZ17" s="23"/>
      <c r="WA17" s="23"/>
      <c r="WB17" s="23"/>
      <c r="WC17" s="23"/>
      <c r="WD17" s="23"/>
      <c r="WE17" s="23"/>
    </row>
    <row r="18" spans="1:603" s="10" customFormat="1" ht="17.45" customHeight="1" thickBot="1" x14ac:dyDescent="0.25">
      <c r="A18" s="166" t="s">
        <v>62</v>
      </c>
      <c r="B18" s="167"/>
      <c r="C18" s="167"/>
      <c r="D18" s="72">
        <f>D32+E43</f>
        <v>0</v>
      </c>
      <c r="E18" s="73">
        <f>U32</f>
        <v>0</v>
      </c>
      <c r="F18" s="71">
        <f t="shared" ref="F18:F20" si="0">+E18+D18</f>
        <v>0</v>
      </c>
      <c r="G18" s="23"/>
      <c r="H18" s="196"/>
      <c r="I18" s="196"/>
      <c r="J18" s="196"/>
      <c r="K18" s="196"/>
      <c r="L18" s="55"/>
      <c r="M18" s="56"/>
      <c r="N18" s="56"/>
      <c r="O18" s="56"/>
      <c r="P18" s="59"/>
      <c r="Q18" s="60"/>
      <c r="R18" s="69">
        <f>L18+M18+N18+O18+P18+Q18</f>
        <v>0</v>
      </c>
      <c r="S18" s="23"/>
      <c r="T18" s="23"/>
      <c r="U18" s="30"/>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c r="CI18" s="23"/>
      <c r="CJ18" s="23"/>
      <c r="CK18" s="23"/>
      <c r="CL18" s="23"/>
      <c r="CM18" s="23"/>
      <c r="CN18" s="23"/>
      <c r="CO18" s="23"/>
      <c r="CP18" s="23"/>
      <c r="CQ18" s="23"/>
      <c r="CR18" s="23"/>
      <c r="CS18" s="23"/>
      <c r="CT18" s="23"/>
      <c r="CU18" s="23"/>
      <c r="CV18" s="23"/>
      <c r="CW18" s="23"/>
      <c r="CX18" s="23"/>
      <c r="CY18" s="23"/>
      <c r="CZ18" s="23"/>
      <c r="DA18" s="23"/>
      <c r="DB18" s="23"/>
      <c r="DC18" s="23"/>
      <c r="DD18" s="23"/>
      <c r="DE18" s="23"/>
      <c r="DF18" s="23"/>
      <c r="DG18" s="23"/>
      <c r="DH18" s="23"/>
      <c r="DI18" s="23"/>
      <c r="DJ18" s="23"/>
      <c r="DK18" s="23"/>
      <c r="DL18" s="23"/>
      <c r="DM18" s="23"/>
      <c r="DN18" s="23"/>
      <c r="DO18" s="23"/>
      <c r="DP18" s="23"/>
      <c r="DQ18" s="23"/>
      <c r="DR18" s="23"/>
      <c r="DS18" s="23"/>
      <c r="DT18" s="23"/>
      <c r="DU18" s="23"/>
      <c r="DV18" s="23"/>
      <c r="DW18" s="23"/>
      <c r="DX18" s="23"/>
      <c r="DY18" s="23"/>
      <c r="DZ18" s="23"/>
      <c r="EA18" s="23"/>
      <c r="EB18" s="23"/>
      <c r="EC18" s="23"/>
      <c r="ED18" s="23"/>
      <c r="EE18" s="23"/>
      <c r="EF18" s="23"/>
      <c r="EG18" s="23"/>
      <c r="EH18" s="23"/>
      <c r="EI18" s="23"/>
      <c r="EJ18" s="23"/>
      <c r="EK18" s="23"/>
      <c r="EL18" s="23"/>
      <c r="EM18" s="23"/>
      <c r="EN18" s="23"/>
      <c r="EO18" s="23"/>
      <c r="EP18" s="23"/>
      <c r="EQ18" s="23"/>
      <c r="ER18" s="23"/>
      <c r="ES18" s="23"/>
      <c r="ET18" s="23"/>
      <c r="EU18" s="23"/>
      <c r="EV18" s="23"/>
      <c r="EW18" s="23"/>
      <c r="EX18" s="23"/>
      <c r="EY18" s="23"/>
      <c r="EZ18" s="23"/>
      <c r="FA18" s="23"/>
      <c r="FB18" s="23"/>
      <c r="FC18" s="23"/>
      <c r="FD18" s="23"/>
      <c r="FE18" s="23"/>
      <c r="FF18" s="23"/>
      <c r="FG18" s="23"/>
      <c r="FH18" s="23"/>
      <c r="FI18" s="23"/>
      <c r="FJ18" s="23"/>
      <c r="FK18" s="23"/>
      <c r="FL18" s="23"/>
      <c r="FM18" s="23"/>
      <c r="FN18" s="23"/>
      <c r="FO18" s="23"/>
      <c r="FP18" s="23"/>
      <c r="FQ18" s="23"/>
      <c r="FR18" s="23"/>
      <c r="FS18" s="23"/>
      <c r="FT18" s="23"/>
      <c r="FU18" s="23"/>
      <c r="FV18" s="23"/>
      <c r="FW18" s="23"/>
      <c r="FX18" s="23"/>
      <c r="FY18" s="23"/>
      <c r="FZ18" s="23"/>
      <c r="GA18" s="23"/>
      <c r="GB18" s="23"/>
      <c r="GC18" s="23"/>
      <c r="GD18" s="23"/>
      <c r="GE18" s="23"/>
      <c r="GF18" s="23"/>
      <c r="GG18" s="23"/>
      <c r="GH18" s="23"/>
      <c r="GI18" s="23"/>
      <c r="GJ18" s="23"/>
      <c r="GK18" s="23"/>
      <c r="GL18" s="23"/>
      <c r="GM18" s="23"/>
      <c r="GN18" s="23"/>
      <c r="GO18" s="23"/>
      <c r="GP18" s="23"/>
      <c r="GQ18" s="23"/>
      <c r="GR18" s="23"/>
      <c r="GS18" s="23"/>
      <c r="GT18" s="23"/>
      <c r="GU18" s="23"/>
      <c r="GV18" s="23"/>
      <c r="GW18" s="23"/>
      <c r="GX18" s="23"/>
      <c r="GY18" s="23"/>
      <c r="GZ18" s="23"/>
      <c r="HA18" s="23"/>
      <c r="HB18" s="23"/>
      <c r="HC18" s="23"/>
      <c r="HD18" s="23"/>
      <c r="HE18" s="23"/>
      <c r="HF18" s="23"/>
      <c r="HG18" s="23"/>
      <c r="HH18" s="23"/>
      <c r="HI18" s="23"/>
      <c r="HJ18" s="23"/>
      <c r="HK18" s="23"/>
      <c r="HL18" s="23"/>
      <c r="HM18" s="23"/>
      <c r="HN18" s="23"/>
      <c r="HO18" s="23"/>
      <c r="HP18" s="23"/>
      <c r="HQ18" s="23"/>
      <c r="HR18" s="23"/>
      <c r="HS18" s="23"/>
      <c r="HT18" s="23"/>
      <c r="HU18" s="23"/>
      <c r="HV18" s="23"/>
      <c r="HW18" s="23"/>
      <c r="HX18" s="23"/>
      <c r="HY18" s="23"/>
      <c r="HZ18" s="23"/>
      <c r="IA18" s="23"/>
      <c r="IB18" s="23"/>
      <c r="IC18" s="23"/>
      <c r="ID18" s="23"/>
      <c r="IE18" s="23"/>
      <c r="IF18" s="23"/>
      <c r="IG18" s="23"/>
      <c r="IH18" s="23"/>
      <c r="II18" s="23"/>
      <c r="IJ18" s="23"/>
      <c r="IK18" s="23"/>
      <c r="IL18" s="23"/>
      <c r="IM18" s="23"/>
      <c r="IN18" s="23"/>
      <c r="IO18" s="23"/>
      <c r="IP18" s="23"/>
      <c r="IQ18" s="23"/>
      <c r="IR18" s="23"/>
      <c r="IS18" s="23"/>
      <c r="IT18" s="23"/>
      <c r="IU18" s="23"/>
      <c r="IV18" s="23"/>
      <c r="IW18" s="23"/>
      <c r="IX18" s="23"/>
      <c r="IY18" s="23"/>
      <c r="IZ18" s="23"/>
      <c r="JA18" s="23"/>
      <c r="JB18" s="23"/>
      <c r="JC18" s="23"/>
      <c r="JD18" s="23"/>
      <c r="JE18" s="23"/>
      <c r="JF18" s="23"/>
      <c r="JG18" s="23"/>
      <c r="JH18" s="23"/>
      <c r="JI18" s="23"/>
      <c r="JJ18" s="23"/>
      <c r="JK18" s="23"/>
      <c r="JL18" s="23"/>
      <c r="JM18" s="23"/>
      <c r="JN18" s="23"/>
      <c r="JO18" s="23"/>
      <c r="JP18" s="23"/>
      <c r="JQ18" s="23"/>
      <c r="JR18" s="23"/>
      <c r="JS18" s="23"/>
      <c r="JT18" s="23"/>
      <c r="JU18" s="23"/>
      <c r="JV18" s="23"/>
      <c r="JW18" s="23"/>
      <c r="JX18" s="23"/>
      <c r="JY18" s="23"/>
      <c r="JZ18" s="23"/>
      <c r="KA18" s="23"/>
      <c r="KB18" s="23"/>
      <c r="KC18" s="23"/>
      <c r="KD18" s="23"/>
      <c r="KE18" s="23"/>
      <c r="KF18" s="23"/>
      <c r="KG18" s="23"/>
      <c r="KH18" s="23"/>
      <c r="KI18" s="23"/>
      <c r="KJ18" s="23"/>
      <c r="KK18" s="23"/>
      <c r="KL18" s="23"/>
      <c r="KM18" s="23"/>
      <c r="KN18" s="23"/>
      <c r="KO18" s="23"/>
      <c r="KP18" s="23"/>
      <c r="KQ18" s="23"/>
      <c r="KR18" s="23"/>
      <c r="KS18" s="23"/>
      <c r="KT18" s="23"/>
      <c r="KU18" s="23"/>
      <c r="KV18" s="23"/>
      <c r="KW18" s="23"/>
      <c r="KX18" s="23"/>
      <c r="KY18" s="23"/>
      <c r="KZ18" s="23"/>
      <c r="LA18" s="23"/>
      <c r="LB18" s="23"/>
      <c r="LC18" s="23"/>
      <c r="LD18" s="23"/>
      <c r="LE18" s="23"/>
      <c r="LF18" s="23"/>
      <c r="LG18" s="23"/>
      <c r="LH18" s="23"/>
      <c r="LI18" s="23"/>
      <c r="LJ18" s="23"/>
      <c r="LK18" s="23"/>
      <c r="LL18" s="23"/>
      <c r="LM18" s="23"/>
      <c r="LN18" s="23"/>
      <c r="LO18" s="23"/>
      <c r="LP18" s="23"/>
      <c r="LQ18" s="23"/>
      <c r="LR18" s="23"/>
      <c r="LS18" s="23"/>
      <c r="LT18" s="23"/>
      <c r="LU18" s="23"/>
      <c r="LV18" s="23"/>
      <c r="LW18" s="23"/>
      <c r="LX18" s="23"/>
      <c r="LY18" s="23"/>
      <c r="LZ18" s="23"/>
      <c r="MA18" s="23"/>
      <c r="MB18" s="23"/>
      <c r="MC18" s="23"/>
      <c r="MD18" s="23"/>
      <c r="ME18" s="23"/>
      <c r="MF18" s="23"/>
      <c r="MG18" s="23"/>
      <c r="MH18" s="23"/>
      <c r="MI18" s="23"/>
      <c r="MJ18" s="23"/>
      <c r="MK18" s="23"/>
      <c r="ML18" s="23"/>
      <c r="MM18" s="23"/>
      <c r="MN18" s="23"/>
      <c r="MO18" s="23"/>
      <c r="MP18" s="23"/>
      <c r="MQ18" s="23"/>
      <c r="MR18" s="23"/>
      <c r="MS18" s="23"/>
      <c r="MT18" s="23"/>
      <c r="MU18" s="23"/>
      <c r="MV18" s="23"/>
      <c r="MW18" s="23"/>
      <c r="MX18" s="23"/>
      <c r="MY18" s="23"/>
      <c r="MZ18" s="23"/>
      <c r="NA18" s="23"/>
      <c r="NB18" s="23"/>
      <c r="NC18" s="23"/>
      <c r="ND18" s="23"/>
      <c r="NE18" s="23"/>
      <c r="NF18" s="23"/>
      <c r="NG18" s="23"/>
      <c r="NH18" s="23"/>
      <c r="NI18" s="23"/>
      <c r="NJ18" s="23"/>
      <c r="NK18" s="23"/>
      <c r="NL18" s="23"/>
      <c r="NM18" s="23"/>
      <c r="NN18" s="23"/>
      <c r="NO18" s="23"/>
      <c r="NP18" s="23"/>
      <c r="NQ18" s="23"/>
      <c r="NR18" s="23"/>
      <c r="NS18" s="23"/>
      <c r="NT18" s="23"/>
      <c r="NU18" s="23"/>
      <c r="NV18" s="23"/>
      <c r="NW18" s="23"/>
      <c r="NX18" s="23"/>
      <c r="NY18" s="23"/>
      <c r="NZ18" s="23"/>
      <c r="OA18" s="23"/>
      <c r="OB18" s="23"/>
      <c r="OC18" s="23"/>
      <c r="OD18" s="23"/>
      <c r="OE18" s="23"/>
      <c r="OF18" s="23"/>
      <c r="OG18" s="23"/>
      <c r="OH18" s="23"/>
      <c r="OI18" s="23"/>
      <c r="OJ18" s="23"/>
      <c r="OK18" s="23"/>
      <c r="OL18" s="23"/>
      <c r="OM18" s="23"/>
      <c r="ON18" s="23"/>
      <c r="OO18" s="23"/>
      <c r="OP18" s="23"/>
      <c r="OQ18" s="23"/>
      <c r="OR18" s="23"/>
      <c r="OS18" s="23"/>
      <c r="OT18" s="23"/>
      <c r="OU18" s="23"/>
      <c r="OV18" s="23"/>
      <c r="OW18" s="23"/>
      <c r="OX18" s="23"/>
      <c r="OY18" s="23"/>
      <c r="OZ18" s="23"/>
      <c r="PA18" s="23"/>
      <c r="PB18" s="23"/>
      <c r="PC18" s="23"/>
      <c r="PD18" s="23"/>
      <c r="PE18" s="23"/>
      <c r="PF18" s="23"/>
      <c r="PG18" s="23"/>
      <c r="PH18" s="23"/>
      <c r="PI18" s="23"/>
      <c r="PJ18" s="23"/>
      <c r="PK18" s="23"/>
      <c r="PL18" s="23"/>
      <c r="PM18" s="23"/>
      <c r="PN18" s="23"/>
      <c r="PO18" s="23"/>
      <c r="PP18" s="23"/>
      <c r="PQ18" s="23"/>
      <c r="PR18" s="23"/>
      <c r="PS18" s="23"/>
      <c r="PT18" s="23"/>
      <c r="PU18" s="23"/>
      <c r="PV18" s="23"/>
      <c r="PW18" s="23"/>
      <c r="PX18" s="23"/>
      <c r="PY18" s="23"/>
      <c r="PZ18" s="23"/>
      <c r="QA18" s="23"/>
      <c r="QB18" s="23"/>
      <c r="QC18" s="23"/>
      <c r="QD18" s="23"/>
      <c r="QE18" s="23"/>
      <c r="QF18" s="23"/>
      <c r="QG18" s="23"/>
      <c r="QH18" s="23"/>
      <c r="QI18" s="23"/>
      <c r="QJ18" s="23"/>
      <c r="QK18" s="23"/>
      <c r="QL18" s="23"/>
      <c r="QM18" s="23"/>
      <c r="QN18" s="23"/>
      <c r="QO18" s="23"/>
      <c r="QP18" s="23"/>
      <c r="QQ18" s="23"/>
      <c r="QR18" s="23"/>
      <c r="QS18" s="23"/>
      <c r="QT18" s="23"/>
      <c r="QU18" s="23"/>
      <c r="QV18" s="23"/>
      <c r="QW18" s="23"/>
      <c r="QX18" s="23"/>
      <c r="QY18" s="23"/>
      <c r="QZ18" s="23"/>
      <c r="RA18" s="23"/>
      <c r="RB18" s="23"/>
      <c r="RC18" s="23"/>
      <c r="RD18" s="23"/>
      <c r="RE18" s="23"/>
      <c r="RF18" s="23"/>
      <c r="RG18" s="23"/>
      <c r="RH18" s="23"/>
      <c r="RI18" s="23"/>
      <c r="RJ18" s="23"/>
      <c r="RK18" s="23"/>
      <c r="RL18" s="23"/>
      <c r="RM18" s="23"/>
      <c r="RN18" s="23"/>
      <c r="RO18" s="23"/>
      <c r="RP18" s="23"/>
      <c r="RQ18" s="23"/>
      <c r="RR18" s="23"/>
      <c r="RS18" s="23"/>
      <c r="RT18" s="23"/>
      <c r="RU18" s="23"/>
      <c r="RV18" s="23"/>
      <c r="RW18" s="23"/>
      <c r="RX18" s="23"/>
      <c r="RY18" s="23"/>
      <c r="RZ18" s="23"/>
      <c r="SA18" s="23"/>
      <c r="SB18" s="23"/>
      <c r="SC18" s="23"/>
      <c r="SD18" s="23"/>
      <c r="SE18" s="23"/>
      <c r="SF18" s="23"/>
      <c r="SG18" s="23"/>
      <c r="SH18" s="23"/>
      <c r="SI18" s="23"/>
      <c r="SJ18" s="23"/>
      <c r="SK18" s="23"/>
      <c r="SL18" s="23"/>
      <c r="SM18" s="23"/>
      <c r="SN18" s="23"/>
      <c r="SO18" s="23"/>
      <c r="SP18" s="23"/>
      <c r="SQ18" s="23"/>
      <c r="SR18" s="23"/>
      <c r="SS18" s="23"/>
      <c r="ST18" s="23"/>
      <c r="SU18" s="23"/>
      <c r="SV18" s="23"/>
      <c r="SW18" s="23"/>
      <c r="SX18" s="23"/>
      <c r="SY18" s="23"/>
      <c r="SZ18" s="23"/>
      <c r="TA18" s="23"/>
      <c r="TB18" s="23"/>
      <c r="TC18" s="23"/>
      <c r="TD18" s="23"/>
      <c r="TE18" s="23"/>
      <c r="TF18" s="23"/>
      <c r="TG18" s="23"/>
      <c r="TH18" s="23"/>
      <c r="TI18" s="23"/>
      <c r="TJ18" s="23"/>
      <c r="TK18" s="23"/>
      <c r="TL18" s="23"/>
      <c r="TM18" s="23"/>
      <c r="TN18" s="23"/>
      <c r="TO18" s="23"/>
      <c r="TP18" s="23"/>
      <c r="TQ18" s="23"/>
      <c r="TR18" s="23"/>
      <c r="TS18" s="23"/>
      <c r="TT18" s="23"/>
      <c r="TU18" s="23"/>
      <c r="TV18" s="23"/>
      <c r="TW18" s="23"/>
      <c r="TX18" s="23"/>
      <c r="TY18" s="23"/>
      <c r="TZ18" s="23"/>
      <c r="UA18" s="23"/>
      <c r="UB18" s="23"/>
      <c r="UC18" s="23"/>
      <c r="UD18" s="23"/>
      <c r="UE18" s="23"/>
      <c r="UF18" s="23"/>
      <c r="UG18" s="23"/>
      <c r="UH18" s="23"/>
      <c r="UI18" s="23"/>
      <c r="UJ18" s="23"/>
      <c r="UK18" s="23"/>
      <c r="UL18" s="23"/>
      <c r="UM18" s="23"/>
      <c r="UN18" s="23"/>
      <c r="UO18" s="23"/>
      <c r="UP18" s="23"/>
      <c r="UQ18" s="23"/>
      <c r="UR18" s="23"/>
      <c r="US18" s="23"/>
      <c r="UT18" s="23"/>
      <c r="UU18" s="23"/>
      <c r="UV18" s="23"/>
      <c r="UW18" s="23"/>
      <c r="UX18" s="23"/>
      <c r="UY18" s="23"/>
      <c r="UZ18" s="23"/>
      <c r="VA18" s="23"/>
      <c r="VB18" s="23"/>
      <c r="VC18" s="23"/>
      <c r="VD18" s="23"/>
      <c r="VE18" s="23"/>
      <c r="VF18" s="23"/>
      <c r="VG18" s="23"/>
      <c r="VH18" s="23"/>
      <c r="VI18" s="23"/>
      <c r="VJ18" s="23"/>
      <c r="VK18" s="23"/>
      <c r="VL18" s="23"/>
      <c r="VM18" s="23"/>
      <c r="VN18" s="23"/>
      <c r="VO18" s="23"/>
      <c r="VP18" s="23"/>
      <c r="VQ18" s="23"/>
      <c r="VR18" s="23"/>
      <c r="VS18" s="23"/>
      <c r="VT18" s="23"/>
      <c r="VU18" s="23"/>
      <c r="VV18" s="23"/>
      <c r="VW18" s="23"/>
      <c r="VX18" s="23"/>
      <c r="VY18" s="23"/>
      <c r="VZ18" s="23"/>
      <c r="WA18" s="23"/>
      <c r="WB18" s="23"/>
      <c r="WC18" s="23"/>
      <c r="WD18" s="23"/>
      <c r="WE18" s="23"/>
    </row>
    <row r="19" spans="1:603" s="10" customFormat="1" ht="13.7" customHeight="1" x14ac:dyDescent="0.2">
      <c r="A19" s="166" t="s">
        <v>63</v>
      </c>
      <c r="B19" s="167"/>
      <c r="C19" s="167"/>
      <c r="D19" s="50"/>
      <c r="E19" s="58"/>
      <c r="F19" s="71">
        <f t="shared" si="0"/>
        <v>0</v>
      </c>
      <c r="G19" s="23"/>
      <c r="H19" s="23"/>
      <c r="I19" s="23"/>
      <c r="J19" s="23"/>
      <c r="K19" s="23"/>
      <c r="L19" s="23"/>
      <c r="M19" s="23"/>
      <c r="N19" s="23"/>
      <c r="O19" s="23"/>
      <c r="P19" s="23"/>
      <c r="Q19" s="23"/>
      <c r="R19" s="23"/>
      <c r="S19" s="23"/>
      <c r="T19" s="23"/>
      <c r="U19" s="30"/>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c r="CL19" s="23"/>
      <c r="CM19" s="23"/>
      <c r="CN19" s="23"/>
      <c r="CO19" s="23"/>
      <c r="CP19" s="23"/>
      <c r="CQ19" s="23"/>
      <c r="CR19" s="23"/>
      <c r="CS19" s="23"/>
      <c r="CT19" s="23"/>
      <c r="CU19" s="23"/>
      <c r="CV19" s="23"/>
      <c r="CW19" s="23"/>
      <c r="CX19" s="23"/>
      <c r="CY19" s="23"/>
      <c r="CZ19" s="23"/>
      <c r="DA19" s="23"/>
      <c r="DB19" s="23"/>
      <c r="DC19" s="23"/>
      <c r="DD19" s="23"/>
      <c r="DE19" s="23"/>
      <c r="DF19" s="23"/>
      <c r="DG19" s="23"/>
      <c r="DH19" s="23"/>
      <c r="DI19" s="23"/>
      <c r="DJ19" s="23"/>
      <c r="DK19" s="23"/>
      <c r="DL19" s="23"/>
      <c r="DM19" s="23"/>
      <c r="DN19" s="23"/>
      <c r="DO19" s="23"/>
      <c r="DP19" s="23"/>
      <c r="DQ19" s="23"/>
      <c r="DR19" s="23"/>
      <c r="DS19" s="23"/>
      <c r="DT19" s="23"/>
      <c r="DU19" s="23"/>
      <c r="DV19" s="23"/>
      <c r="DW19" s="23"/>
      <c r="DX19" s="23"/>
      <c r="DY19" s="23"/>
      <c r="DZ19" s="23"/>
      <c r="EA19" s="23"/>
      <c r="EB19" s="23"/>
      <c r="EC19" s="23"/>
      <c r="ED19" s="23"/>
      <c r="EE19" s="23"/>
      <c r="EF19" s="23"/>
      <c r="EG19" s="23"/>
      <c r="EH19" s="23"/>
      <c r="EI19" s="23"/>
      <c r="EJ19" s="23"/>
      <c r="EK19" s="23"/>
      <c r="EL19" s="23"/>
      <c r="EM19" s="23"/>
      <c r="EN19" s="23"/>
      <c r="EO19" s="23"/>
      <c r="EP19" s="23"/>
      <c r="EQ19" s="23"/>
      <c r="ER19" s="23"/>
      <c r="ES19" s="23"/>
      <c r="ET19" s="23"/>
      <c r="EU19" s="23"/>
      <c r="EV19" s="23"/>
      <c r="EW19" s="23"/>
      <c r="EX19" s="23"/>
      <c r="EY19" s="23"/>
      <c r="EZ19" s="23"/>
      <c r="FA19" s="23"/>
      <c r="FB19" s="23"/>
      <c r="FC19" s="23"/>
      <c r="FD19" s="23"/>
      <c r="FE19" s="23"/>
      <c r="FF19" s="23"/>
      <c r="FG19" s="23"/>
      <c r="FH19" s="23"/>
      <c r="FI19" s="23"/>
      <c r="FJ19" s="23"/>
      <c r="FK19" s="23"/>
      <c r="FL19" s="23"/>
      <c r="FM19" s="23"/>
      <c r="FN19" s="23"/>
      <c r="FO19" s="23"/>
      <c r="FP19" s="23"/>
      <c r="FQ19" s="23"/>
      <c r="FR19" s="23"/>
      <c r="FS19" s="23"/>
      <c r="FT19" s="23"/>
      <c r="FU19" s="23"/>
      <c r="FV19" s="23"/>
      <c r="FW19" s="23"/>
      <c r="FX19" s="23"/>
      <c r="FY19" s="23"/>
      <c r="FZ19" s="23"/>
      <c r="GA19" s="23"/>
      <c r="GB19" s="23"/>
      <c r="GC19" s="23"/>
      <c r="GD19" s="23"/>
      <c r="GE19" s="23"/>
      <c r="GF19" s="23"/>
      <c r="GG19" s="23"/>
      <c r="GH19" s="23"/>
      <c r="GI19" s="23"/>
      <c r="GJ19" s="23"/>
      <c r="GK19" s="23"/>
      <c r="GL19" s="23"/>
      <c r="GM19" s="23"/>
      <c r="GN19" s="23"/>
      <c r="GO19" s="23"/>
      <c r="GP19" s="23"/>
      <c r="GQ19" s="23"/>
      <c r="GR19" s="23"/>
      <c r="GS19" s="23"/>
      <c r="GT19" s="23"/>
      <c r="GU19" s="23"/>
      <c r="GV19" s="23"/>
      <c r="GW19" s="23"/>
      <c r="GX19" s="23"/>
      <c r="GY19" s="23"/>
      <c r="GZ19" s="23"/>
      <c r="HA19" s="23"/>
      <c r="HB19" s="23"/>
      <c r="HC19" s="23"/>
      <c r="HD19" s="23"/>
      <c r="HE19" s="23"/>
      <c r="HF19" s="23"/>
      <c r="HG19" s="23"/>
      <c r="HH19" s="23"/>
      <c r="HI19" s="23"/>
      <c r="HJ19" s="23"/>
      <c r="HK19" s="23"/>
      <c r="HL19" s="23"/>
      <c r="HM19" s="23"/>
      <c r="HN19" s="23"/>
      <c r="HO19" s="23"/>
      <c r="HP19" s="23"/>
      <c r="HQ19" s="23"/>
      <c r="HR19" s="23"/>
      <c r="HS19" s="23"/>
      <c r="HT19" s="23"/>
      <c r="HU19" s="23"/>
      <c r="HV19" s="23"/>
      <c r="HW19" s="23"/>
      <c r="HX19" s="23"/>
      <c r="HY19" s="23"/>
      <c r="HZ19" s="23"/>
      <c r="IA19" s="23"/>
      <c r="IB19" s="23"/>
      <c r="IC19" s="23"/>
      <c r="ID19" s="23"/>
      <c r="IE19" s="23"/>
      <c r="IF19" s="23"/>
      <c r="IG19" s="23"/>
      <c r="IH19" s="23"/>
      <c r="II19" s="23"/>
      <c r="IJ19" s="23"/>
      <c r="IK19" s="23"/>
      <c r="IL19" s="23"/>
      <c r="IM19" s="23"/>
      <c r="IN19" s="23"/>
      <c r="IO19" s="23"/>
      <c r="IP19" s="23"/>
      <c r="IQ19" s="23"/>
      <c r="IR19" s="23"/>
      <c r="IS19" s="23"/>
      <c r="IT19" s="23"/>
      <c r="IU19" s="23"/>
      <c r="IV19" s="23"/>
      <c r="IW19" s="23"/>
      <c r="IX19" s="23"/>
      <c r="IY19" s="23"/>
      <c r="IZ19" s="23"/>
      <c r="JA19" s="23"/>
      <c r="JB19" s="23"/>
      <c r="JC19" s="23"/>
      <c r="JD19" s="23"/>
      <c r="JE19" s="23"/>
      <c r="JF19" s="23"/>
      <c r="JG19" s="23"/>
      <c r="JH19" s="23"/>
      <c r="JI19" s="23"/>
      <c r="JJ19" s="23"/>
      <c r="JK19" s="23"/>
      <c r="JL19" s="23"/>
      <c r="JM19" s="23"/>
      <c r="JN19" s="23"/>
      <c r="JO19" s="23"/>
      <c r="JP19" s="23"/>
      <c r="JQ19" s="23"/>
      <c r="JR19" s="23"/>
      <c r="JS19" s="23"/>
      <c r="JT19" s="23"/>
      <c r="JU19" s="23"/>
      <c r="JV19" s="23"/>
      <c r="JW19" s="23"/>
      <c r="JX19" s="23"/>
      <c r="JY19" s="23"/>
      <c r="JZ19" s="23"/>
      <c r="KA19" s="23"/>
      <c r="KB19" s="23"/>
      <c r="KC19" s="23"/>
      <c r="KD19" s="23"/>
      <c r="KE19" s="23"/>
      <c r="KF19" s="23"/>
      <c r="KG19" s="23"/>
      <c r="KH19" s="23"/>
      <c r="KI19" s="23"/>
      <c r="KJ19" s="23"/>
      <c r="KK19" s="23"/>
      <c r="KL19" s="23"/>
      <c r="KM19" s="23"/>
      <c r="KN19" s="23"/>
      <c r="KO19" s="23"/>
      <c r="KP19" s="23"/>
      <c r="KQ19" s="23"/>
      <c r="KR19" s="23"/>
      <c r="KS19" s="23"/>
      <c r="KT19" s="23"/>
      <c r="KU19" s="23"/>
      <c r="KV19" s="23"/>
      <c r="KW19" s="23"/>
      <c r="KX19" s="23"/>
      <c r="KY19" s="23"/>
      <c r="KZ19" s="23"/>
      <c r="LA19" s="23"/>
      <c r="LB19" s="23"/>
      <c r="LC19" s="23"/>
      <c r="LD19" s="23"/>
      <c r="LE19" s="23"/>
      <c r="LF19" s="23"/>
      <c r="LG19" s="23"/>
      <c r="LH19" s="23"/>
      <c r="LI19" s="23"/>
      <c r="LJ19" s="23"/>
      <c r="LK19" s="23"/>
      <c r="LL19" s="23"/>
      <c r="LM19" s="23"/>
      <c r="LN19" s="23"/>
      <c r="LO19" s="23"/>
      <c r="LP19" s="23"/>
      <c r="LQ19" s="23"/>
      <c r="LR19" s="23"/>
      <c r="LS19" s="23"/>
      <c r="LT19" s="23"/>
      <c r="LU19" s="23"/>
      <c r="LV19" s="23"/>
      <c r="LW19" s="23"/>
      <c r="LX19" s="23"/>
      <c r="LY19" s="23"/>
      <c r="LZ19" s="23"/>
      <c r="MA19" s="23"/>
      <c r="MB19" s="23"/>
      <c r="MC19" s="23"/>
      <c r="MD19" s="23"/>
      <c r="ME19" s="23"/>
      <c r="MF19" s="23"/>
      <c r="MG19" s="23"/>
      <c r="MH19" s="23"/>
      <c r="MI19" s="23"/>
      <c r="MJ19" s="23"/>
      <c r="MK19" s="23"/>
      <c r="ML19" s="23"/>
      <c r="MM19" s="23"/>
      <c r="MN19" s="23"/>
      <c r="MO19" s="23"/>
      <c r="MP19" s="23"/>
      <c r="MQ19" s="23"/>
      <c r="MR19" s="23"/>
      <c r="MS19" s="23"/>
      <c r="MT19" s="23"/>
      <c r="MU19" s="23"/>
      <c r="MV19" s="23"/>
      <c r="MW19" s="23"/>
      <c r="MX19" s="23"/>
      <c r="MY19" s="23"/>
      <c r="MZ19" s="23"/>
      <c r="NA19" s="23"/>
      <c r="NB19" s="23"/>
      <c r="NC19" s="23"/>
      <c r="ND19" s="23"/>
      <c r="NE19" s="23"/>
      <c r="NF19" s="23"/>
      <c r="NG19" s="23"/>
      <c r="NH19" s="23"/>
      <c r="NI19" s="23"/>
      <c r="NJ19" s="23"/>
      <c r="NK19" s="23"/>
      <c r="NL19" s="23"/>
      <c r="NM19" s="23"/>
      <c r="NN19" s="23"/>
      <c r="NO19" s="23"/>
      <c r="NP19" s="23"/>
      <c r="NQ19" s="23"/>
      <c r="NR19" s="23"/>
      <c r="NS19" s="23"/>
      <c r="NT19" s="23"/>
      <c r="NU19" s="23"/>
      <c r="NV19" s="23"/>
      <c r="NW19" s="23"/>
      <c r="NX19" s="23"/>
      <c r="NY19" s="23"/>
      <c r="NZ19" s="23"/>
      <c r="OA19" s="23"/>
      <c r="OB19" s="23"/>
      <c r="OC19" s="23"/>
      <c r="OD19" s="23"/>
      <c r="OE19" s="23"/>
      <c r="OF19" s="23"/>
      <c r="OG19" s="23"/>
      <c r="OH19" s="23"/>
      <c r="OI19" s="23"/>
      <c r="OJ19" s="23"/>
      <c r="OK19" s="23"/>
      <c r="OL19" s="23"/>
      <c r="OM19" s="23"/>
      <c r="ON19" s="23"/>
      <c r="OO19" s="23"/>
      <c r="OP19" s="23"/>
      <c r="OQ19" s="23"/>
      <c r="OR19" s="23"/>
      <c r="OS19" s="23"/>
      <c r="OT19" s="23"/>
      <c r="OU19" s="23"/>
      <c r="OV19" s="23"/>
      <c r="OW19" s="23"/>
      <c r="OX19" s="23"/>
      <c r="OY19" s="23"/>
      <c r="OZ19" s="23"/>
      <c r="PA19" s="23"/>
      <c r="PB19" s="23"/>
      <c r="PC19" s="23"/>
      <c r="PD19" s="23"/>
      <c r="PE19" s="23"/>
      <c r="PF19" s="23"/>
      <c r="PG19" s="23"/>
      <c r="PH19" s="23"/>
      <c r="PI19" s="23"/>
      <c r="PJ19" s="23"/>
      <c r="PK19" s="23"/>
      <c r="PL19" s="23"/>
      <c r="PM19" s="23"/>
      <c r="PN19" s="23"/>
      <c r="PO19" s="23"/>
      <c r="PP19" s="23"/>
      <c r="PQ19" s="23"/>
      <c r="PR19" s="23"/>
      <c r="PS19" s="23"/>
      <c r="PT19" s="23"/>
      <c r="PU19" s="23"/>
      <c r="PV19" s="23"/>
      <c r="PW19" s="23"/>
      <c r="PX19" s="23"/>
      <c r="PY19" s="23"/>
      <c r="PZ19" s="23"/>
      <c r="QA19" s="23"/>
      <c r="QB19" s="23"/>
      <c r="QC19" s="23"/>
      <c r="QD19" s="23"/>
      <c r="QE19" s="23"/>
      <c r="QF19" s="23"/>
      <c r="QG19" s="23"/>
      <c r="QH19" s="23"/>
      <c r="QI19" s="23"/>
      <c r="QJ19" s="23"/>
      <c r="QK19" s="23"/>
      <c r="QL19" s="23"/>
      <c r="QM19" s="23"/>
      <c r="QN19" s="23"/>
      <c r="QO19" s="23"/>
      <c r="QP19" s="23"/>
      <c r="QQ19" s="23"/>
      <c r="QR19" s="23"/>
      <c r="QS19" s="23"/>
      <c r="QT19" s="23"/>
      <c r="QU19" s="23"/>
      <c r="QV19" s="23"/>
      <c r="QW19" s="23"/>
      <c r="QX19" s="23"/>
      <c r="QY19" s="23"/>
      <c r="QZ19" s="23"/>
      <c r="RA19" s="23"/>
      <c r="RB19" s="23"/>
      <c r="RC19" s="23"/>
      <c r="RD19" s="23"/>
      <c r="RE19" s="23"/>
      <c r="RF19" s="23"/>
      <c r="RG19" s="23"/>
      <c r="RH19" s="23"/>
      <c r="RI19" s="23"/>
      <c r="RJ19" s="23"/>
      <c r="RK19" s="23"/>
      <c r="RL19" s="23"/>
      <c r="RM19" s="23"/>
      <c r="RN19" s="23"/>
      <c r="RO19" s="23"/>
      <c r="RP19" s="23"/>
      <c r="RQ19" s="23"/>
      <c r="RR19" s="23"/>
      <c r="RS19" s="23"/>
      <c r="RT19" s="23"/>
      <c r="RU19" s="23"/>
      <c r="RV19" s="23"/>
      <c r="RW19" s="23"/>
      <c r="RX19" s="23"/>
      <c r="RY19" s="23"/>
      <c r="RZ19" s="23"/>
      <c r="SA19" s="23"/>
      <c r="SB19" s="23"/>
      <c r="SC19" s="23"/>
      <c r="SD19" s="23"/>
      <c r="SE19" s="23"/>
      <c r="SF19" s="23"/>
      <c r="SG19" s="23"/>
      <c r="SH19" s="23"/>
      <c r="SI19" s="23"/>
      <c r="SJ19" s="23"/>
      <c r="SK19" s="23"/>
      <c r="SL19" s="23"/>
      <c r="SM19" s="23"/>
      <c r="SN19" s="23"/>
      <c r="SO19" s="23"/>
      <c r="SP19" s="23"/>
      <c r="SQ19" s="23"/>
      <c r="SR19" s="23"/>
      <c r="SS19" s="23"/>
      <c r="ST19" s="23"/>
      <c r="SU19" s="23"/>
      <c r="SV19" s="23"/>
      <c r="SW19" s="23"/>
      <c r="SX19" s="23"/>
      <c r="SY19" s="23"/>
      <c r="SZ19" s="23"/>
      <c r="TA19" s="23"/>
      <c r="TB19" s="23"/>
      <c r="TC19" s="23"/>
      <c r="TD19" s="23"/>
      <c r="TE19" s="23"/>
      <c r="TF19" s="23"/>
      <c r="TG19" s="23"/>
      <c r="TH19" s="23"/>
      <c r="TI19" s="23"/>
      <c r="TJ19" s="23"/>
      <c r="TK19" s="23"/>
      <c r="TL19" s="23"/>
      <c r="TM19" s="23"/>
      <c r="TN19" s="23"/>
      <c r="TO19" s="23"/>
      <c r="TP19" s="23"/>
      <c r="TQ19" s="23"/>
      <c r="TR19" s="23"/>
      <c r="TS19" s="23"/>
      <c r="TT19" s="23"/>
      <c r="TU19" s="23"/>
      <c r="TV19" s="23"/>
      <c r="TW19" s="23"/>
      <c r="TX19" s="23"/>
      <c r="TY19" s="23"/>
      <c r="TZ19" s="23"/>
      <c r="UA19" s="23"/>
      <c r="UB19" s="23"/>
      <c r="UC19" s="23"/>
      <c r="UD19" s="23"/>
      <c r="UE19" s="23"/>
      <c r="UF19" s="23"/>
      <c r="UG19" s="23"/>
      <c r="UH19" s="23"/>
      <c r="UI19" s="23"/>
      <c r="UJ19" s="23"/>
      <c r="UK19" s="23"/>
      <c r="UL19" s="23"/>
      <c r="UM19" s="23"/>
      <c r="UN19" s="23"/>
      <c r="UO19" s="23"/>
      <c r="UP19" s="23"/>
      <c r="UQ19" s="23"/>
      <c r="UR19" s="23"/>
      <c r="US19" s="23"/>
      <c r="UT19" s="23"/>
      <c r="UU19" s="23"/>
      <c r="UV19" s="23"/>
      <c r="UW19" s="23"/>
      <c r="UX19" s="23"/>
      <c r="UY19" s="23"/>
      <c r="UZ19" s="23"/>
      <c r="VA19" s="23"/>
      <c r="VB19" s="23"/>
      <c r="VC19" s="23"/>
      <c r="VD19" s="23"/>
      <c r="VE19" s="23"/>
      <c r="VF19" s="23"/>
      <c r="VG19" s="23"/>
      <c r="VH19" s="23"/>
      <c r="VI19" s="23"/>
      <c r="VJ19" s="23"/>
      <c r="VK19" s="23"/>
      <c r="VL19" s="23"/>
      <c r="VM19" s="23"/>
      <c r="VN19" s="23"/>
      <c r="VO19" s="23"/>
      <c r="VP19" s="23"/>
      <c r="VQ19" s="23"/>
      <c r="VR19" s="23"/>
      <c r="VS19" s="23"/>
      <c r="VT19" s="23"/>
      <c r="VU19" s="23"/>
      <c r="VV19" s="23"/>
      <c r="VW19" s="23"/>
      <c r="VX19" s="23"/>
      <c r="VY19" s="23"/>
      <c r="VZ19" s="23"/>
      <c r="WA19" s="23"/>
      <c r="WB19" s="23"/>
      <c r="WC19" s="23"/>
      <c r="WD19" s="23"/>
      <c r="WE19" s="23"/>
    </row>
    <row r="20" spans="1:603" s="10" customFormat="1" ht="13.7" customHeight="1" thickBot="1" x14ac:dyDescent="0.25">
      <c r="A20" s="212" t="s">
        <v>285</v>
      </c>
      <c r="B20" s="213"/>
      <c r="C20" s="213"/>
      <c r="D20" s="74">
        <f>H12-D29-E41</f>
        <v>0</v>
      </c>
      <c r="E20" s="75">
        <f>H13-U29</f>
        <v>0</v>
      </c>
      <c r="F20" s="71">
        <f t="shared" si="0"/>
        <v>0</v>
      </c>
      <c r="G20" s="32"/>
      <c r="H20" s="32"/>
      <c r="I20" s="32"/>
      <c r="J20" s="32"/>
      <c r="K20" s="32"/>
      <c r="L20" s="32"/>
      <c r="M20" s="32"/>
      <c r="N20" s="32"/>
      <c r="O20" s="32"/>
      <c r="P20" s="32"/>
      <c r="Q20" s="32"/>
      <c r="R20" s="32"/>
      <c r="S20" s="32"/>
      <c r="T20" s="32"/>
      <c r="U20" s="3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c r="BM20" s="23"/>
      <c r="BN20" s="23"/>
      <c r="BO20" s="23"/>
      <c r="BP20" s="23"/>
      <c r="BQ20" s="23"/>
      <c r="BR20" s="23"/>
      <c r="BS20" s="23"/>
      <c r="BT20" s="23"/>
      <c r="BU20" s="23"/>
      <c r="BV20" s="23"/>
      <c r="BW20" s="23"/>
      <c r="BX20" s="23"/>
      <c r="BY20" s="23"/>
      <c r="BZ20" s="23"/>
      <c r="CA20" s="23"/>
      <c r="CB20" s="23"/>
      <c r="CC20" s="23"/>
      <c r="CD20" s="23"/>
      <c r="CE20" s="23"/>
      <c r="CF20" s="23"/>
      <c r="CG20" s="23"/>
      <c r="CH20" s="23"/>
      <c r="CI20" s="23"/>
      <c r="CJ20" s="23"/>
      <c r="CK20" s="23"/>
      <c r="CL20" s="23"/>
      <c r="CM20" s="23"/>
      <c r="CN20" s="23"/>
      <c r="CO20" s="23"/>
      <c r="CP20" s="23"/>
      <c r="CQ20" s="23"/>
      <c r="CR20" s="23"/>
      <c r="CS20" s="23"/>
      <c r="CT20" s="23"/>
      <c r="CU20" s="23"/>
      <c r="CV20" s="23"/>
      <c r="CW20" s="23"/>
      <c r="CX20" s="23"/>
      <c r="CY20" s="23"/>
      <c r="CZ20" s="23"/>
      <c r="DA20" s="23"/>
      <c r="DB20" s="23"/>
      <c r="DC20" s="23"/>
      <c r="DD20" s="23"/>
      <c r="DE20" s="23"/>
      <c r="DF20" s="23"/>
      <c r="DG20" s="23"/>
      <c r="DH20" s="23"/>
      <c r="DI20" s="23"/>
      <c r="DJ20" s="23"/>
      <c r="DK20" s="23"/>
      <c r="DL20" s="23"/>
      <c r="DM20" s="23"/>
      <c r="DN20" s="23"/>
      <c r="DO20" s="23"/>
      <c r="DP20" s="23"/>
      <c r="DQ20" s="23"/>
      <c r="DR20" s="23"/>
      <c r="DS20" s="23"/>
      <c r="DT20" s="23"/>
      <c r="DU20" s="23"/>
      <c r="DV20" s="23"/>
      <c r="DW20" s="23"/>
      <c r="DX20" s="23"/>
      <c r="DY20" s="23"/>
      <c r="DZ20" s="23"/>
      <c r="EA20" s="23"/>
      <c r="EB20" s="23"/>
      <c r="EC20" s="23"/>
      <c r="ED20" s="23"/>
      <c r="EE20" s="23"/>
      <c r="EF20" s="23"/>
      <c r="EG20" s="23"/>
      <c r="EH20" s="23"/>
      <c r="EI20" s="23"/>
      <c r="EJ20" s="23"/>
      <c r="EK20" s="23"/>
      <c r="EL20" s="23"/>
      <c r="EM20" s="23"/>
      <c r="EN20" s="23"/>
      <c r="EO20" s="23"/>
      <c r="EP20" s="23"/>
      <c r="EQ20" s="23"/>
      <c r="ER20" s="23"/>
      <c r="ES20" s="23"/>
      <c r="ET20" s="23"/>
      <c r="EU20" s="23"/>
      <c r="EV20" s="23"/>
      <c r="EW20" s="23"/>
      <c r="EX20" s="23"/>
      <c r="EY20" s="23"/>
      <c r="EZ20" s="23"/>
      <c r="FA20" s="23"/>
      <c r="FB20" s="23"/>
      <c r="FC20" s="23"/>
      <c r="FD20" s="23"/>
      <c r="FE20" s="23"/>
      <c r="FF20" s="23"/>
      <c r="FG20" s="23"/>
      <c r="FH20" s="23"/>
      <c r="FI20" s="23"/>
      <c r="FJ20" s="23"/>
      <c r="FK20" s="23"/>
      <c r="FL20" s="23"/>
      <c r="FM20" s="23"/>
      <c r="FN20" s="23"/>
      <c r="FO20" s="23"/>
      <c r="FP20" s="23"/>
      <c r="FQ20" s="23"/>
      <c r="FR20" s="23"/>
      <c r="FS20" s="23"/>
      <c r="FT20" s="23"/>
      <c r="FU20" s="23"/>
      <c r="FV20" s="23"/>
      <c r="FW20" s="23"/>
      <c r="FX20" s="23"/>
      <c r="FY20" s="23"/>
      <c r="FZ20" s="23"/>
      <c r="GA20" s="23"/>
      <c r="GB20" s="23"/>
      <c r="GC20" s="23"/>
      <c r="GD20" s="23"/>
      <c r="GE20" s="23"/>
      <c r="GF20" s="23"/>
      <c r="GG20" s="23"/>
      <c r="GH20" s="23"/>
      <c r="GI20" s="23"/>
      <c r="GJ20" s="23"/>
      <c r="GK20" s="23"/>
      <c r="GL20" s="23"/>
      <c r="GM20" s="23"/>
      <c r="GN20" s="23"/>
      <c r="GO20" s="23"/>
      <c r="GP20" s="23"/>
      <c r="GQ20" s="23"/>
      <c r="GR20" s="23"/>
      <c r="GS20" s="23"/>
      <c r="GT20" s="23"/>
      <c r="GU20" s="23"/>
      <c r="GV20" s="23"/>
      <c r="GW20" s="23"/>
      <c r="GX20" s="23"/>
      <c r="GY20" s="23"/>
      <c r="GZ20" s="23"/>
      <c r="HA20" s="23"/>
      <c r="HB20" s="23"/>
      <c r="HC20" s="23"/>
      <c r="HD20" s="23"/>
      <c r="HE20" s="23"/>
      <c r="HF20" s="23"/>
      <c r="HG20" s="23"/>
      <c r="HH20" s="23"/>
      <c r="HI20" s="23"/>
      <c r="HJ20" s="23"/>
      <c r="HK20" s="23"/>
      <c r="HL20" s="23"/>
      <c r="HM20" s="23"/>
      <c r="HN20" s="23"/>
      <c r="HO20" s="23"/>
      <c r="HP20" s="23"/>
      <c r="HQ20" s="23"/>
      <c r="HR20" s="23"/>
      <c r="HS20" s="23"/>
      <c r="HT20" s="23"/>
      <c r="HU20" s="23"/>
      <c r="HV20" s="23"/>
      <c r="HW20" s="23"/>
      <c r="HX20" s="23"/>
      <c r="HY20" s="23"/>
      <c r="HZ20" s="23"/>
      <c r="IA20" s="23"/>
      <c r="IB20" s="23"/>
      <c r="IC20" s="23"/>
      <c r="ID20" s="23"/>
      <c r="IE20" s="23"/>
      <c r="IF20" s="23"/>
      <c r="IG20" s="23"/>
      <c r="IH20" s="23"/>
      <c r="II20" s="23"/>
      <c r="IJ20" s="23"/>
      <c r="IK20" s="23"/>
      <c r="IL20" s="23"/>
      <c r="IM20" s="23"/>
      <c r="IN20" s="23"/>
      <c r="IO20" s="23"/>
      <c r="IP20" s="23"/>
      <c r="IQ20" s="23"/>
      <c r="IR20" s="23"/>
      <c r="IS20" s="23"/>
      <c r="IT20" s="23"/>
      <c r="IU20" s="23"/>
      <c r="IV20" s="23"/>
      <c r="IW20" s="23"/>
      <c r="IX20" s="23"/>
      <c r="IY20" s="23"/>
      <c r="IZ20" s="23"/>
      <c r="JA20" s="23"/>
      <c r="JB20" s="23"/>
      <c r="JC20" s="23"/>
      <c r="JD20" s="23"/>
      <c r="JE20" s="23"/>
      <c r="JF20" s="23"/>
      <c r="JG20" s="23"/>
      <c r="JH20" s="23"/>
      <c r="JI20" s="23"/>
      <c r="JJ20" s="23"/>
      <c r="JK20" s="23"/>
      <c r="JL20" s="23"/>
      <c r="JM20" s="23"/>
      <c r="JN20" s="23"/>
      <c r="JO20" s="23"/>
      <c r="JP20" s="23"/>
      <c r="JQ20" s="23"/>
      <c r="JR20" s="23"/>
      <c r="JS20" s="23"/>
      <c r="JT20" s="23"/>
      <c r="JU20" s="23"/>
      <c r="JV20" s="23"/>
      <c r="JW20" s="23"/>
      <c r="JX20" s="23"/>
      <c r="JY20" s="23"/>
      <c r="JZ20" s="23"/>
      <c r="KA20" s="23"/>
      <c r="KB20" s="23"/>
      <c r="KC20" s="23"/>
      <c r="KD20" s="23"/>
      <c r="KE20" s="23"/>
      <c r="KF20" s="23"/>
      <c r="KG20" s="23"/>
      <c r="KH20" s="23"/>
      <c r="KI20" s="23"/>
      <c r="KJ20" s="23"/>
      <c r="KK20" s="23"/>
      <c r="KL20" s="23"/>
      <c r="KM20" s="23"/>
      <c r="KN20" s="23"/>
      <c r="KO20" s="23"/>
      <c r="KP20" s="23"/>
      <c r="KQ20" s="23"/>
      <c r="KR20" s="23"/>
      <c r="KS20" s="23"/>
      <c r="KT20" s="23"/>
      <c r="KU20" s="23"/>
      <c r="KV20" s="23"/>
      <c r="KW20" s="23"/>
      <c r="KX20" s="23"/>
      <c r="KY20" s="23"/>
      <c r="KZ20" s="23"/>
      <c r="LA20" s="23"/>
      <c r="LB20" s="23"/>
      <c r="LC20" s="23"/>
      <c r="LD20" s="23"/>
      <c r="LE20" s="23"/>
      <c r="LF20" s="23"/>
      <c r="LG20" s="23"/>
      <c r="LH20" s="23"/>
      <c r="LI20" s="23"/>
      <c r="LJ20" s="23"/>
      <c r="LK20" s="23"/>
      <c r="LL20" s="23"/>
      <c r="LM20" s="23"/>
      <c r="LN20" s="23"/>
      <c r="LO20" s="23"/>
      <c r="LP20" s="23"/>
      <c r="LQ20" s="23"/>
      <c r="LR20" s="23"/>
      <c r="LS20" s="23"/>
      <c r="LT20" s="23"/>
      <c r="LU20" s="23"/>
      <c r="LV20" s="23"/>
      <c r="LW20" s="23"/>
      <c r="LX20" s="23"/>
      <c r="LY20" s="23"/>
      <c r="LZ20" s="23"/>
      <c r="MA20" s="23"/>
      <c r="MB20" s="23"/>
      <c r="MC20" s="23"/>
      <c r="MD20" s="23"/>
      <c r="ME20" s="23"/>
      <c r="MF20" s="23"/>
      <c r="MG20" s="23"/>
      <c r="MH20" s="23"/>
      <c r="MI20" s="23"/>
      <c r="MJ20" s="23"/>
      <c r="MK20" s="23"/>
      <c r="ML20" s="23"/>
      <c r="MM20" s="23"/>
      <c r="MN20" s="23"/>
      <c r="MO20" s="23"/>
      <c r="MP20" s="23"/>
      <c r="MQ20" s="23"/>
      <c r="MR20" s="23"/>
      <c r="MS20" s="23"/>
      <c r="MT20" s="23"/>
      <c r="MU20" s="23"/>
      <c r="MV20" s="23"/>
      <c r="MW20" s="23"/>
      <c r="MX20" s="23"/>
      <c r="MY20" s="23"/>
      <c r="MZ20" s="23"/>
      <c r="NA20" s="23"/>
      <c r="NB20" s="23"/>
      <c r="NC20" s="23"/>
      <c r="ND20" s="23"/>
      <c r="NE20" s="23"/>
      <c r="NF20" s="23"/>
      <c r="NG20" s="23"/>
      <c r="NH20" s="23"/>
      <c r="NI20" s="23"/>
      <c r="NJ20" s="23"/>
      <c r="NK20" s="23"/>
      <c r="NL20" s="23"/>
      <c r="NM20" s="23"/>
      <c r="NN20" s="23"/>
      <c r="NO20" s="23"/>
      <c r="NP20" s="23"/>
      <c r="NQ20" s="23"/>
      <c r="NR20" s="23"/>
      <c r="NS20" s="23"/>
      <c r="NT20" s="23"/>
      <c r="NU20" s="23"/>
      <c r="NV20" s="23"/>
      <c r="NW20" s="23"/>
      <c r="NX20" s="23"/>
      <c r="NY20" s="23"/>
      <c r="NZ20" s="23"/>
      <c r="OA20" s="23"/>
      <c r="OB20" s="23"/>
      <c r="OC20" s="23"/>
      <c r="OD20" s="23"/>
      <c r="OE20" s="23"/>
      <c r="OF20" s="23"/>
      <c r="OG20" s="23"/>
      <c r="OH20" s="23"/>
      <c r="OI20" s="23"/>
      <c r="OJ20" s="23"/>
      <c r="OK20" s="23"/>
      <c r="OL20" s="23"/>
      <c r="OM20" s="23"/>
      <c r="ON20" s="23"/>
      <c r="OO20" s="23"/>
      <c r="OP20" s="23"/>
      <c r="OQ20" s="23"/>
      <c r="OR20" s="23"/>
      <c r="OS20" s="23"/>
      <c r="OT20" s="23"/>
      <c r="OU20" s="23"/>
      <c r="OV20" s="23"/>
      <c r="OW20" s="23"/>
      <c r="OX20" s="23"/>
      <c r="OY20" s="23"/>
      <c r="OZ20" s="23"/>
      <c r="PA20" s="23"/>
      <c r="PB20" s="23"/>
      <c r="PC20" s="23"/>
      <c r="PD20" s="23"/>
      <c r="PE20" s="23"/>
      <c r="PF20" s="23"/>
      <c r="PG20" s="23"/>
      <c r="PH20" s="23"/>
      <c r="PI20" s="23"/>
      <c r="PJ20" s="23"/>
      <c r="PK20" s="23"/>
      <c r="PL20" s="23"/>
      <c r="PM20" s="23"/>
      <c r="PN20" s="23"/>
      <c r="PO20" s="23"/>
      <c r="PP20" s="23"/>
      <c r="PQ20" s="23"/>
      <c r="PR20" s="23"/>
      <c r="PS20" s="23"/>
      <c r="PT20" s="23"/>
      <c r="PU20" s="23"/>
      <c r="PV20" s="23"/>
      <c r="PW20" s="23"/>
      <c r="PX20" s="23"/>
      <c r="PY20" s="23"/>
      <c r="PZ20" s="23"/>
      <c r="QA20" s="23"/>
      <c r="QB20" s="23"/>
      <c r="QC20" s="23"/>
      <c r="QD20" s="23"/>
      <c r="QE20" s="23"/>
      <c r="QF20" s="23"/>
      <c r="QG20" s="23"/>
      <c r="QH20" s="23"/>
      <c r="QI20" s="23"/>
      <c r="QJ20" s="23"/>
      <c r="QK20" s="23"/>
      <c r="QL20" s="23"/>
      <c r="QM20" s="23"/>
      <c r="QN20" s="23"/>
      <c r="QO20" s="23"/>
      <c r="QP20" s="23"/>
      <c r="QQ20" s="23"/>
      <c r="QR20" s="23"/>
      <c r="QS20" s="23"/>
      <c r="QT20" s="23"/>
      <c r="QU20" s="23"/>
      <c r="QV20" s="23"/>
      <c r="QW20" s="23"/>
      <c r="QX20" s="23"/>
      <c r="QY20" s="23"/>
      <c r="QZ20" s="23"/>
      <c r="RA20" s="23"/>
      <c r="RB20" s="23"/>
      <c r="RC20" s="23"/>
      <c r="RD20" s="23"/>
      <c r="RE20" s="23"/>
      <c r="RF20" s="23"/>
      <c r="RG20" s="23"/>
      <c r="RH20" s="23"/>
      <c r="RI20" s="23"/>
      <c r="RJ20" s="23"/>
      <c r="RK20" s="23"/>
      <c r="RL20" s="23"/>
      <c r="RM20" s="23"/>
      <c r="RN20" s="23"/>
      <c r="RO20" s="23"/>
      <c r="RP20" s="23"/>
      <c r="RQ20" s="23"/>
      <c r="RR20" s="23"/>
      <c r="RS20" s="23"/>
      <c r="RT20" s="23"/>
      <c r="RU20" s="23"/>
      <c r="RV20" s="23"/>
      <c r="RW20" s="23"/>
      <c r="RX20" s="23"/>
      <c r="RY20" s="23"/>
      <c r="RZ20" s="23"/>
      <c r="SA20" s="23"/>
      <c r="SB20" s="23"/>
      <c r="SC20" s="23"/>
      <c r="SD20" s="23"/>
      <c r="SE20" s="23"/>
      <c r="SF20" s="23"/>
      <c r="SG20" s="23"/>
      <c r="SH20" s="23"/>
      <c r="SI20" s="23"/>
      <c r="SJ20" s="23"/>
      <c r="SK20" s="23"/>
      <c r="SL20" s="23"/>
      <c r="SM20" s="23"/>
      <c r="SN20" s="23"/>
      <c r="SO20" s="23"/>
      <c r="SP20" s="23"/>
      <c r="SQ20" s="23"/>
      <c r="SR20" s="23"/>
      <c r="SS20" s="23"/>
      <c r="ST20" s="23"/>
      <c r="SU20" s="23"/>
      <c r="SV20" s="23"/>
      <c r="SW20" s="23"/>
      <c r="SX20" s="23"/>
      <c r="SY20" s="23"/>
      <c r="SZ20" s="23"/>
      <c r="TA20" s="23"/>
      <c r="TB20" s="23"/>
      <c r="TC20" s="23"/>
      <c r="TD20" s="23"/>
      <c r="TE20" s="23"/>
      <c r="TF20" s="23"/>
      <c r="TG20" s="23"/>
      <c r="TH20" s="23"/>
      <c r="TI20" s="23"/>
      <c r="TJ20" s="23"/>
      <c r="TK20" s="23"/>
      <c r="TL20" s="23"/>
      <c r="TM20" s="23"/>
      <c r="TN20" s="23"/>
      <c r="TO20" s="23"/>
      <c r="TP20" s="23"/>
      <c r="TQ20" s="23"/>
      <c r="TR20" s="23"/>
      <c r="TS20" s="23"/>
      <c r="TT20" s="23"/>
      <c r="TU20" s="23"/>
      <c r="TV20" s="23"/>
      <c r="TW20" s="23"/>
      <c r="TX20" s="23"/>
      <c r="TY20" s="23"/>
      <c r="TZ20" s="23"/>
      <c r="UA20" s="23"/>
      <c r="UB20" s="23"/>
      <c r="UC20" s="23"/>
      <c r="UD20" s="23"/>
      <c r="UE20" s="23"/>
      <c r="UF20" s="23"/>
      <c r="UG20" s="23"/>
      <c r="UH20" s="23"/>
      <c r="UI20" s="23"/>
      <c r="UJ20" s="23"/>
      <c r="UK20" s="23"/>
      <c r="UL20" s="23"/>
      <c r="UM20" s="23"/>
      <c r="UN20" s="23"/>
      <c r="UO20" s="23"/>
      <c r="UP20" s="23"/>
      <c r="UQ20" s="23"/>
      <c r="UR20" s="23"/>
      <c r="US20" s="23"/>
      <c r="UT20" s="23"/>
      <c r="UU20" s="23"/>
      <c r="UV20" s="23"/>
      <c r="UW20" s="23"/>
      <c r="UX20" s="23"/>
      <c r="UY20" s="23"/>
      <c r="UZ20" s="23"/>
      <c r="VA20" s="23"/>
      <c r="VB20" s="23"/>
      <c r="VC20" s="23"/>
      <c r="VD20" s="23"/>
      <c r="VE20" s="23"/>
      <c r="VF20" s="23"/>
      <c r="VG20" s="23"/>
      <c r="VH20" s="23"/>
      <c r="VI20" s="23"/>
      <c r="VJ20" s="23"/>
      <c r="VK20" s="23"/>
      <c r="VL20" s="23"/>
      <c r="VM20" s="23"/>
      <c r="VN20" s="23"/>
      <c r="VO20" s="23"/>
      <c r="VP20" s="23"/>
      <c r="VQ20" s="23"/>
      <c r="VR20" s="23"/>
      <c r="VS20" s="23"/>
      <c r="VT20" s="23"/>
      <c r="VU20" s="23"/>
      <c r="VV20" s="23"/>
      <c r="VW20" s="23"/>
      <c r="VX20" s="23"/>
      <c r="VY20" s="23"/>
      <c r="VZ20" s="23"/>
      <c r="WA20" s="23"/>
      <c r="WB20" s="23"/>
      <c r="WC20" s="23"/>
      <c r="WD20" s="23"/>
      <c r="WE20" s="23"/>
    </row>
    <row r="21" spans="1:603" s="10" customFormat="1" ht="3.75" customHeight="1" thickBot="1" x14ac:dyDescent="0.35">
      <c r="A21" s="34"/>
      <c r="B21" s="35"/>
      <c r="C21" s="35"/>
      <c r="D21" s="35"/>
      <c r="E21" s="35"/>
      <c r="F21" s="35"/>
      <c r="G21" s="35"/>
      <c r="H21" s="35"/>
      <c r="I21" s="36"/>
      <c r="J21" s="32"/>
      <c r="K21" s="32"/>
      <c r="L21" s="32"/>
      <c r="M21" s="32"/>
      <c r="N21" s="32"/>
      <c r="O21" s="32"/>
      <c r="P21" s="32"/>
      <c r="Q21" s="32"/>
      <c r="R21" s="32"/>
      <c r="S21" s="32"/>
      <c r="T21" s="32"/>
      <c r="U21" s="3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c r="BM21" s="23"/>
      <c r="BN21" s="23"/>
      <c r="BO21" s="23"/>
      <c r="BP21" s="23"/>
      <c r="BQ21" s="23"/>
      <c r="BR21" s="23"/>
      <c r="BS21" s="23"/>
      <c r="BT21" s="23"/>
      <c r="BU21" s="23"/>
      <c r="BV21" s="23"/>
      <c r="BW21" s="23"/>
      <c r="BX21" s="23"/>
      <c r="BY21" s="23"/>
      <c r="BZ21" s="23"/>
      <c r="CA21" s="23"/>
      <c r="CB21" s="23"/>
      <c r="CC21" s="23"/>
      <c r="CD21" s="23"/>
      <c r="CE21" s="23"/>
      <c r="CF21" s="23"/>
      <c r="CG21" s="23"/>
      <c r="CH21" s="23"/>
      <c r="CI21" s="23"/>
      <c r="CJ21" s="23"/>
      <c r="CK21" s="23"/>
      <c r="CL21" s="23"/>
      <c r="CM21" s="23"/>
      <c r="CN21" s="23"/>
      <c r="CO21" s="23"/>
      <c r="CP21" s="23"/>
      <c r="CQ21" s="23"/>
      <c r="CR21" s="23"/>
      <c r="CS21" s="23"/>
      <c r="CT21" s="23"/>
      <c r="CU21" s="23"/>
      <c r="CV21" s="23"/>
      <c r="CW21" s="23"/>
      <c r="CX21" s="23"/>
      <c r="CY21" s="23"/>
      <c r="CZ21" s="23"/>
      <c r="DA21" s="23"/>
      <c r="DB21" s="23"/>
      <c r="DC21" s="23"/>
      <c r="DD21" s="23"/>
      <c r="DE21" s="23"/>
      <c r="DF21" s="23"/>
      <c r="DG21" s="23"/>
      <c r="DH21" s="23"/>
      <c r="DI21" s="23"/>
      <c r="DJ21" s="23"/>
      <c r="DK21" s="23"/>
      <c r="DL21" s="23"/>
      <c r="DM21" s="23"/>
      <c r="DN21" s="23"/>
      <c r="DO21" s="23"/>
      <c r="DP21" s="23"/>
      <c r="DQ21" s="23"/>
      <c r="DR21" s="23"/>
      <c r="DS21" s="23"/>
      <c r="DT21" s="23"/>
      <c r="DU21" s="23"/>
      <c r="DV21" s="23"/>
      <c r="DW21" s="23"/>
      <c r="DX21" s="23"/>
      <c r="DY21" s="23"/>
      <c r="DZ21" s="23"/>
      <c r="EA21" s="23"/>
      <c r="EB21" s="23"/>
      <c r="EC21" s="23"/>
      <c r="ED21" s="23"/>
      <c r="EE21" s="23"/>
      <c r="EF21" s="23"/>
      <c r="EG21" s="23"/>
      <c r="EH21" s="23"/>
      <c r="EI21" s="23"/>
      <c r="EJ21" s="23"/>
      <c r="EK21" s="23"/>
      <c r="EL21" s="23"/>
      <c r="EM21" s="23"/>
      <c r="EN21" s="23"/>
      <c r="EO21" s="23"/>
      <c r="EP21" s="23"/>
      <c r="EQ21" s="23"/>
      <c r="ER21" s="23"/>
      <c r="ES21" s="23"/>
      <c r="ET21" s="23"/>
      <c r="EU21" s="23"/>
      <c r="EV21" s="23"/>
      <c r="EW21" s="23"/>
      <c r="EX21" s="23"/>
      <c r="EY21" s="23"/>
      <c r="EZ21" s="23"/>
      <c r="FA21" s="23"/>
      <c r="FB21" s="23"/>
      <c r="FC21" s="23"/>
      <c r="FD21" s="23"/>
      <c r="FE21" s="23"/>
      <c r="FF21" s="23"/>
      <c r="FG21" s="23"/>
      <c r="FH21" s="23"/>
      <c r="FI21" s="23"/>
      <c r="FJ21" s="23"/>
      <c r="FK21" s="23"/>
      <c r="FL21" s="23"/>
      <c r="FM21" s="23"/>
      <c r="FN21" s="23"/>
      <c r="FO21" s="23"/>
      <c r="FP21" s="23"/>
      <c r="FQ21" s="23"/>
      <c r="FR21" s="23"/>
      <c r="FS21" s="23"/>
      <c r="FT21" s="23"/>
      <c r="FU21" s="23"/>
      <c r="FV21" s="23"/>
      <c r="FW21" s="23"/>
      <c r="FX21" s="23"/>
      <c r="FY21" s="23"/>
      <c r="FZ21" s="23"/>
      <c r="GA21" s="23"/>
      <c r="GB21" s="23"/>
      <c r="GC21" s="23"/>
      <c r="GD21" s="23"/>
      <c r="GE21" s="23"/>
      <c r="GF21" s="23"/>
      <c r="GG21" s="23"/>
      <c r="GH21" s="23"/>
      <c r="GI21" s="23"/>
      <c r="GJ21" s="23"/>
      <c r="GK21" s="23"/>
      <c r="GL21" s="23"/>
      <c r="GM21" s="23"/>
      <c r="GN21" s="23"/>
      <c r="GO21" s="23"/>
      <c r="GP21" s="23"/>
      <c r="GQ21" s="23"/>
      <c r="GR21" s="23"/>
      <c r="GS21" s="23"/>
      <c r="GT21" s="23"/>
      <c r="GU21" s="23"/>
      <c r="GV21" s="23"/>
      <c r="GW21" s="23"/>
      <c r="GX21" s="23"/>
      <c r="GY21" s="23"/>
      <c r="GZ21" s="23"/>
      <c r="HA21" s="23"/>
      <c r="HB21" s="23"/>
      <c r="HC21" s="23"/>
      <c r="HD21" s="23"/>
      <c r="HE21" s="23"/>
      <c r="HF21" s="23"/>
      <c r="HG21" s="23"/>
      <c r="HH21" s="23"/>
      <c r="HI21" s="23"/>
      <c r="HJ21" s="23"/>
      <c r="HK21" s="23"/>
      <c r="HL21" s="23"/>
      <c r="HM21" s="23"/>
      <c r="HN21" s="23"/>
      <c r="HO21" s="23"/>
      <c r="HP21" s="23"/>
      <c r="HQ21" s="23"/>
      <c r="HR21" s="23"/>
      <c r="HS21" s="23"/>
      <c r="HT21" s="23"/>
      <c r="HU21" s="23"/>
      <c r="HV21" s="23"/>
      <c r="HW21" s="23"/>
      <c r="HX21" s="23"/>
      <c r="HY21" s="23"/>
      <c r="HZ21" s="23"/>
      <c r="IA21" s="23"/>
      <c r="IB21" s="23"/>
      <c r="IC21" s="23"/>
      <c r="ID21" s="23"/>
      <c r="IE21" s="23"/>
      <c r="IF21" s="23"/>
      <c r="IG21" s="23"/>
      <c r="IH21" s="23"/>
      <c r="II21" s="23"/>
      <c r="IJ21" s="23"/>
      <c r="IK21" s="23"/>
      <c r="IL21" s="23"/>
      <c r="IM21" s="23"/>
      <c r="IN21" s="23"/>
      <c r="IO21" s="23"/>
      <c r="IP21" s="23"/>
      <c r="IQ21" s="23"/>
      <c r="IR21" s="23"/>
      <c r="IS21" s="23"/>
      <c r="IT21" s="23"/>
      <c r="IU21" s="23"/>
      <c r="IV21" s="23"/>
      <c r="IW21" s="23"/>
      <c r="IX21" s="23"/>
      <c r="IY21" s="23"/>
      <c r="IZ21" s="23"/>
      <c r="JA21" s="23"/>
      <c r="JB21" s="23"/>
      <c r="JC21" s="23"/>
      <c r="JD21" s="23"/>
      <c r="JE21" s="23"/>
      <c r="JF21" s="23"/>
      <c r="JG21" s="23"/>
      <c r="JH21" s="23"/>
      <c r="JI21" s="23"/>
      <c r="JJ21" s="23"/>
      <c r="JK21" s="23"/>
      <c r="JL21" s="23"/>
      <c r="JM21" s="23"/>
      <c r="JN21" s="23"/>
      <c r="JO21" s="23"/>
      <c r="JP21" s="23"/>
      <c r="JQ21" s="23"/>
      <c r="JR21" s="23"/>
      <c r="JS21" s="23"/>
      <c r="JT21" s="23"/>
      <c r="JU21" s="23"/>
      <c r="JV21" s="23"/>
      <c r="JW21" s="23"/>
      <c r="JX21" s="23"/>
      <c r="JY21" s="23"/>
      <c r="JZ21" s="23"/>
      <c r="KA21" s="23"/>
      <c r="KB21" s="23"/>
      <c r="KC21" s="23"/>
      <c r="KD21" s="23"/>
      <c r="KE21" s="23"/>
      <c r="KF21" s="23"/>
      <c r="KG21" s="23"/>
      <c r="KH21" s="23"/>
      <c r="KI21" s="23"/>
      <c r="KJ21" s="23"/>
      <c r="KK21" s="23"/>
      <c r="KL21" s="23"/>
      <c r="KM21" s="23"/>
      <c r="KN21" s="23"/>
      <c r="KO21" s="23"/>
      <c r="KP21" s="23"/>
      <c r="KQ21" s="23"/>
      <c r="KR21" s="23"/>
      <c r="KS21" s="23"/>
      <c r="KT21" s="23"/>
      <c r="KU21" s="23"/>
      <c r="KV21" s="23"/>
      <c r="KW21" s="23"/>
      <c r="KX21" s="23"/>
      <c r="KY21" s="23"/>
      <c r="KZ21" s="23"/>
      <c r="LA21" s="23"/>
      <c r="LB21" s="23"/>
      <c r="LC21" s="23"/>
      <c r="LD21" s="23"/>
      <c r="LE21" s="23"/>
      <c r="LF21" s="23"/>
      <c r="LG21" s="23"/>
      <c r="LH21" s="23"/>
      <c r="LI21" s="23"/>
      <c r="LJ21" s="23"/>
      <c r="LK21" s="23"/>
      <c r="LL21" s="23"/>
      <c r="LM21" s="23"/>
      <c r="LN21" s="23"/>
      <c r="LO21" s="23"/>
      <c r="LP21" s="23"/>
      <c r="LQ21" s="23"/>
      <c r="LR21" s="23"/>
      <c r="LS21" s="23"/>
      <c r="LT21" s="23"/>
      <c r="LU21" s="23"/>
      <c r="LV21" s="23"/>
      <c r="LW21" s="23"/>
      <c r="LX21" s="23"/>
      <c r="LY21" s="23"/>
      <c r="LZ21" s="23"/>
      <c r="MA21" s="23"/>
      <c r="MB21" s="23"/>
      <c r="MC21" s="23"/>
      <c r="MD21" s="23"/>
      <c r="ME21" s="23"/>
      <c r="MF21" s="23"/>
      <c r="MG21" s="23"/>
      <c r="MH21" s="23"/>
      <c r="MI21" s="23"/>
      <c r="MJ21" s="23"/>
      <c r="MK21" s="23"/>
      <c r="ML21" s="23"/>
      <c r="MM21" s="23"/>
      <c r="MN21" s="23"/>
      <c r="MO21" s="23"/>
      <c r="MP21" s="23"/>
      <c r="MQ21" s="23"/>
      <c r="MR21" s="23"/>
      <c r="MS21" s="23"/>
      <c r="MT21" s="23"/>
      <c r="MU21" s="23"/>
      <c r="MV21" s="23"/>
      <c r="MW21" s="23"/>
      <c r="MX21" s="23"/>
      <c r="MY21" s="23"/>
      <c r="MZ21" s="23"/>
      <c r="NA21" s="23"/>
      <c r="NB21" s="23"/>
      <c r="NC21" s="23"/>
      <c r="ND21" s="23"/>
      <c r="NE21" s="23"/>
      <c r="NF21" s="23"/>
      <c r="NG21" s="23"/>
      <c r="NH21" s="23"/>
      <c r="NI21" s="23"/>
      <c r="NJ21" s="23"/>
      <c r="NK21" s="23"/>
      <c r="NL21" s="23"/>
      <c r="NM21" s="23"/>
      <c r="NN21" s="23"/>
      <c r="NO21" s="23"/>
      <c r="NP21" s="23"/>
      <c r="NQ21" s="23"/>
      <c r="NR21" s="23"/>
      <c r="NS21" s="23"/>
      <c r="NT21" s="23"/>
      <c r="NU21" s="23"/>
      <c r="NV21" s="23"/>
      <c r="NW21" s="23"/>
      <c r="NX21" s="23"/>
      <c r="NY21" s="23"/>
      <c r="NZ21" s="23"/>
      <c r="OA21" s="23"/>
      <c r="OB21" s="23"/>
      <c r="OC21" s="23"/>
      <c r="OD21" s="23"/>
      <c r="OE21" s="23"/>
      <c r="OF21" s="23"/>
      <c r="OG21" s="23"/>
      <c r="OH21" s="23"/>
      <c r="OI21" s="23"/>
      <c r="OJ21" s="23"/>
      <c r="OK21" s="23"/>
      <c r="OL21" s="23"/>
      <c r="OM21" s="23"/>
      <c r="ON21" s="23"/>
      <c r="OO21" s="23"/>
      <c r="OP21" s="23"/>
      <c r="OQ21" s="23"/>
      <c r="OR21" s="23"/>
      <c r="OS21" s="23"/>
      <c r="OT21" s="23"/>
      <c r="OU21" s="23"/>
      <c r="OV21" s="23"/>
      <c r="OW21" s="23"/>
      <c r="OX21" s="23"/>
      <c r="OY21" s="23"/>
      <c r="OZ21" s="23"/>
      <c r="PA21" s="23"/>
      <c r="PB21" s="23"/>
      <c r="PC21" s="23"/>
      <c r="PD21" s="23"/>
      <c r="PE21" s="23"/>
      <c r="PF21" s="23"/>
      <c r="PG21" s="23"/>
      <c r="PH21" s="23"/>
      <c r="PI21" s="23"/>
      <c r="PJ21" s="23"/>
      <c r="PK21" s="23"/>
      <c r="PL21" s="23"/>
      <c r="PM21" s="23"/>
      <c r="PN21" s="23"/>
      <c r="PO21" s="23"/>
      <c r="PP21" s="23"/>
      <c r="PQ21" s="23"/>
      <c r="PR21" s="23"/>
      <c r="PS21" s="23"/>
      <c r="PT21" s="23"/>
      <c r="PU21" s="23"/>
      <c r="PV21" s="23"/>
      <c r="PW21" s="23"/>
      <c r="PX21" s="23"/>
      <c r="PY21" s="23"/>
      <c r="PZ21" s="23"/>
      <c r="QA21" s="23"/>
      <c r="QB21" s="23"/>
      <c r="QC21" s="23"/>
      <c r="QD21" s="23"/>
      <c r="QE21" s="23"/>
      <c r="QF21" s="23"/>
      <c r="QG21" s="23"/>
      <c r="QH21" s="23"/>
      <c r="QI21" s="23"/>
      <c r="QJ21" s="23"/>
      <c r="QK21" s="23"/>
      <c r="QL21" s="23"/>
      <c r="QM21" s="23"/>
      <c r="QN21" s="23"/>
      <c r="QO21" s="23"/>
      <c r="QP21" s="23"/>
      <c r="QQ21" s="23"/>
      <c r="QR21" s="23"/>
      <c r="QS21" s="23"/>
      <c r="QT21" s="23"/>
      <c r="QU21" s="23"/>
      <c r="QV21" s="23"/>
      <c r="QW21" s="23"/>
      <c r="QX21" s="23"/>
      <c r="QY21" s="23"/>
      <c r="QZ21" s="23"/>
      <c r="RA21" s="23"/>
      <c r="RB21" s="23"/>
      <c r="RC21" s="23"/>
      <c r="RD21" s="23"/>
      <c r="RE21" s="23"/>
      <c r="RF21" s="23"/>
      <c r="RG21" s="23"/>
      <c r="RH21" s="23"/>
      <c r="RI21" s="23"/>
      <c r="RJ21" s="23"/>
      <c r="RK21" s="23"/>
      <c r="RL21" s="23"/>
      <c r="RM21" s="23"/>
      <c r="RN21" s="23"/>
      <c r="RO21" s="23"/>
      <c r="RP21" s="23"/>
      <c r="RQ21" s="23"/>
      <c r="RR21" s="23"/>
      <c r="RS21" s="23"/>
      <c r="RT21" s="23"/>
      <c r="RU21" s="23"/>
      <c r="RV21" s="23"/>
      <c r="RW21" s="23"/>
      <c r="RX21" s="23"/>
      <c r="RY21" s="23"/>
      <c r="RZ21" s="23"/>
      <c r="SA21" s="23"/>
      <c r="SB21" s="23"/>
      <c r="SC21" s="23"/>
      <c r="SD21" s="23"/>
      <c r="SE21" s="23"/>
      <c r="SF21" s="23"/>
      <c r="SG21" s="23"/>
      <c r="SH21" s="23"/>
      <c r="SI21" s="23"/>
      <c r="SJ21" s="23"/>
      <c r="SK21" s="23"/>
      <c r="SL21" s="23"/>
      <c r="SM21" s="23"/>
      <c r="SN21" s="23"/>
      <c r="SO21" s="23"/>
      <c r="SP21" s="23"/>
      <c r="SQ21" s="23"/>
      <c r="SR21" s="23"/>
      <c r="SS21" s="23"/>
      <c r="ST21" s="23"/>
      <c r="SU21" s="23"/>
      <c r="SV21" s="23"/>
      <c r="SW21" s="23"/>
      <c r="SX21" s="23"/>
      <c r="SY21" s="23"/>
      <c r="SZ21" s="23"/>
      <c r="TA21" s="23"/>
      <c r="TB21" s="23"/>
      <c r="TC21" s="23"/>
      <c r="TD21" s="23"/>
      <c r="TE21" s="23"/>
      <c r="TF21" s="23"/>
      <c r="TG21" s="23"/>
      <c r="TH21" s="23"/>
      <c r="TI21" s="23"/>
      <c r="TJ21" s="23"/>
      <c r="TK21" s="23"/>
      <c r="TL21" s="23"/>
      <c r="TM21" s="23"/>
      <c r="TN21" s="23"/>
      <c r="TO21" s="23"/>
      <c r="TP21" s="23"/>
      <c r="TQ21" s="23"/>
      <c r="TR21" s="23"/>
      <c r="TS21" s="23"/>
      <c r="TT21" s="23"/>
      <c r="TU21" s="23"/>
      <c r="TV21" s="23"/>
      <c r="TW21" s="23"/>
      <c r="TX21" s="23"/>
      <c r="TY21" s="23"/>
      <c r="TZ21" s="23"/>
      <c r="UA21" s="23"/>
      <c r="UB21" s="23"/>
      <c r="UC21" s="23"/>
      <c r="UD21" s="23"/>
      <c r="UE21" s="23"/>
      <c r="UF21" s="23"/>
      <c r="UG21" s="23"/>
      <c r="UH21" s="23"/>
      <c r="UI21" s="23"/>
      <c r="UJ21" s="23"/>
      <c r="UK21" s="23"/>
      <c r="UL21" s="23"/>
      <c r="UM21" s="23"/>
      <c r="UN21" s="23"/>
      <c r="UO21" s="23"/>
      <c r="UP21" s="23"/>
      <c r="UQ21" s="23"/>
      <c r="UR21" s="23"/>
      <c r="US21" s="23"/>
      <c r="UT21" s="23"/>
      <c r="UU21" s="23"/>
      <c r="UV21" s="23"/>
      <c r="UW21" s="23"/>
      <c r="UX21" s="23"/>
      <c r="UY21" s="23"/>
      <c r="UZ21" s="23"/>
      <c r="VA21" s="23"/>
      <c r="VB21" s="23"/>
      <c r="VC21" s="23"/>
      <c r="VD21" s="23"/>
      <c r="VE21" s="23"/>
      <c r="VF21" s="23"/>
      <c r="VG21" s="23"/>
      <c r="VH21" s="23"/>
      <c r="VI21" s="23"/>
      <c r="VJ21" s="23"/>
      <c r="VK21" s="23"/>
      <c r="VL21" s="23"/>
      <c r="VM21" s="23"/>
      <c r="VN21" s="23"/>
      <c r="VO21" s="23"/>
      <c r="VP21" s="23"/>
      <c r="VQ21" s="23"/>
      <c r="VR21" s="23"/>
      <c r="VS21" s="23"/>
      <c r="VT21" s="23"/>
      <c r="VU21" s="23"/>
      <c r="VV21" s="23"/>
      <c r="VW21" s="23"/>
      <c r="VX21" s="23"/>
      <c r="VY21" s="23"/>
      <c r="VZ21" s="23"/>
      <c r="WA21" s="23"/>
      <c r="WB21" s="23"/>
      <c r="WC21" s="23"/>
      <c r="WD21" s="23"/>
      <c r="WE21" s="23"/>
    </row>
    <row r="22" spans="1:603" ht="12.2" customHeight="1" thickBot="1" x14ac:dyDescent="0.35">
      <c r="A22" s="2" t="s">
        <v>8</v>
      </c>
      <c r="B22" s="2"/>
      <c r="C22" s="2"/>
      <c r="D22" s="2"/>
      <c r="E22" s="37"/>
    </row>
    <row r="23" spans="1:603" ht="13.7" customHeight="1" x14ac:dyDescent="0.3">
      <c r="A23" s="179" t="s">
        <v>1</v>
      </c>
      <c r="B23" s="175" t="s">
        <v>81</v>
      </c>
      <c r="C23" s="176"/>
      <c r="D23" s="177"/>
      <c r="E23" s="269" t="s">
        <v>15</v>
      </c>
      <c r="F23" s="270"/>
      <c r="G23" s="270"/>
      <c r="H23" s="270"/>
      <c r="I23" s="270"/>
      <c r="J23" s="270"/>
      <c r="K23" s="270"/>
      <c r="L23" s="270"/>
      <c r="M23" s="270"/>
      <c r="N23" s="270"/>
      <c r="O23" s="270"/>
      <c r="P23" s="270"/>
      <c r="Q23" s="270"/>
      <c r="R23" s="270"/>
      <c r="S23" s="270"/>
      <c r="T23" s="270"/>
      <c r="U23" s="285" t="s">
        <v>77</v>
      </c>
    </row>
    <row r="24" spans="1:603" ht="66.2" customHeight="1" x14ac:dyDescent="0.3">
      <c r="A24" s="180"/>
      <c r="B24" s="102" t="s">
        <v>44</v>
      </c>
      <c r="C24" s="20" t="s">
        <v>45</v>
      </c>
      <c r="D24" s="173" t="s">
        <v>76</v>
      </c>
      <c r="E24" s="19" t="s">
        <v>18</v>
      </c>
      <c r="F24" s="45" t="s">
        <v>19</v>
      </c>
      <c r="G24" s="45" t="s">
        <v>20</v>
      </c>
      <c r="H24" s="45" t="s">
        <v>22</v>
      </c>
      <c r="I24" s="45" t="s">
        <v>24</v>
      </c>
      <c r="J24" s="45" t="s">
        <v>26</v>
      </c>
      <c r="K24" s="45" t="s">
        <v>28</v>
      </c>
      <c r="L24" s="45" t="s">
        <v>30</v>
      </c>
      <c r="M24" s="216" t="s">
        <v>32</v>
      </c>
      <c r="N24" s="216"/>
      <c r="O24" s="216"/>
      <c r="P24" s="216" t="s">
        <v>34</v>
      </c>
      <c r="Q24" s="216"/>
      <c r="R24" s="216"/>
      <c r="S24" s="245" t="s">
        <v>36</v>
      </c>
      <c r="T24" s="245"/>
      <c r="U24" s="286"/>
    </row>
    <row r="25" spans="1:603" ht="9.75" customHeight="1" thickBot="1" x14ac:dyDescent="0.35">
      <c r="A25" s="181"/>
      <c r="B25" s="51" t="s">
        <v>16</v>
      </c>
      <c r="C25" s="52" t="s">
        <v>17</v>
      </c>
      <c r="D25" s="174"/>
      <c r="E25" s="51" t="s">
        <v>21</v>
      </c>
      <c r="F25" s="52" t="s">
        <v>23</v>
      </c>
      <c r="G25" s="52" t="s">
        <v>25</v>
      </c>
      <c r="H25" s="52" t="s">
        <v>27</v>
      </c>
      <c r="I25" s="52" t="s">
        <v>29</v>
      </c>
      <c r="J25" s="52" t="s">
        <v>31</v>
      </c>
      <c r="K25" s="52" t="s">
        <v>33</v>
      </c>
      <c r="L25" s="52" t="s">
        <v>35</v>
      </c>
      <c r="M25" s="217" t="s">
        <v>37</v>
      </c>
      <c r="N25" s="217"/>
      <c r="O25" s="217"/>
      <c r="P25" s="217" t="s">
        <v>74</v>
      </c>
      <c r="Q25" s="217"/>
      <c r="R25" s="217"/>
      <c r="S25" s="217" t="s">
        <v>75</v>
      </c>
      <c r="T25" s="217"/>
      <c r="U25" s="287"/>
    </row>
    <row r="26" spans="1:603" ht="13.7" customHeight="1" x14ac:dyDescent="0.3">
      <c r="A26" s="259" t="s">
        <v>72</v>
      </c>
      <c r="B26" s="168"/>
      <c r="C26" s="254"/>
      <c r="D26" s="249">
        <f>B26+C26</f>
        <v>0</v>
      </c>
      <c r="E26" s="262"/>
      <c r="F26" s="234"/>
      <c r="G26" s="234"/>
      <c r="H26" s="234"/>
      <c r="I26" s="234"/>
      <c r="J26" s="234"/>
      <c r="K26" s="234"/>
      <c r="L26" s="234"/>
      <c r="M26" s="241" t="s">
        <v>38</v>
      </c>
      <c r="N26" s="242"/>
      <c r="O26" s="53"/>
      <c r="P26" s="241" t="s">
        <v>38</v>
      </c>
      <c r="Q26" s="242"/>
      <c r="R26" s="53"/>
      <c r="S26" s="246">
        <f>M40+M41+M42+N40+N41+N42+O40+O41</f>
        <v>0</v>
      </c>
      <c r="T26" s="246"/>
      <c r="U26" s="288">
        <f>E26+F26+G26+H26+I26+J26+K26+L26+O26+O27+O28+R26+R27+R28+S26</f>
        <v>0</v>
      </c>
    </row>
    <row r="27" spans="1:603" ht="13.7" customHeight="1" x14ac:dyDescent="0.3">
      <c r="A27" s="260"/>
      <c r="B27" s="169"/>
      <c r="C27" s="255"/>
      <c r="D27" s="250"/>
      <c r="E27" s="263"/>
      <c r="F27" s="218"/>
      <c r="G27" s="218"/>
      <c r="H27" s="218"/>
      <c r="I27" s="218"/>
      <c r="J27" s="218"/>
      <c r="K27" s="218"/>
      <c r="L27" s="218"/>
      <c r="M27" s="214" t="s">
        <v>13</v>
      </c>
      <c r="N27" s="215"/>
      <c r="O27" s="48"/>
      <c r="P27" s="214" t="s">
        <v>13</v>
      </c>
      <c r="Q27" s="215"/>
      <c r="R27" s="48"/>
      <c r="S27" s="238"/>
      <c r="T27" s="238"/>
      <c r="U27" s="289"/>
    </row>
    <row r="28" spans="1:603" ht="13.7" customHeight="1" x14ac:dyDescent="0.3">
      <c r="A28" s="260"/>
      <c r="B28" s="170"/>
      <c r="C28" s="256"/>
      <c r="D28" s="251"/>
      <c r="E28" s="263"/>
      <c r="F28" s="218"/>
      <c r="G28" s="218"/>
      <c r="H28" s="218"/>
      <c r="I28" s="218"/>
      <c r="J28" s="218"/>
      <c r="K28" s="218"/>
      <c r="L28" s="218"/>
      <c r="M28" s="214" t="s">
        <v>47</v>
      </c>
      <c r="N28" s="215"/>
      <c r="O28" s="48"/>
      <c r="P28" s="214" t="s">
        <v>47</v>
      </c>
      <c r="Q28" s="215"/>
      <c r="R28" s="48"/>
      <c r="S28" s="238"/>
      <c r="T28" s="238"/>
      <c r="U28" s="289"/>
    </row>
    <row r="29" spans="1:603" ht="13.7" customHeight="1" x14ac:dyDescent="0.3">
      <c r="A29" s="260" t="s">
        <v>4</v>
      </c>
      <c r="B29" s="171"/>
      <c r="C29" s="257"/>
      <c r="D29" s="252">
        <f>B29+C29</f>
        <v>0</v>
      </c>
      <c r="E29" s="263"/>
      <c r="F29" s="218"/>
      <c r="G29" s="218"/>
      <c r="H29" s="218"/>
      <c r="I29" s="218"/>
      <c r="J29" s="218"/>
      <c r="K29" s="218"/>
      <c r="L29" s="218"/>
      <c r="M29" s="214" t="s">
        <v>38</v>
      </c>
      <c r="N29" s="215"/>
      <c r="O29" s="48"/>
      <c r="P29" s="214" t="s">
        <v>38</v>
      </c>
      <c r="Q29" s="215"/>
      <c r="R29" s="48"/>
      <c r="S29" s="238">
        <f>P40+P41+P42+Q40+Q41+Q42+R40+R41</f>
        <v>0</v>
      </c>
      <c r="T29" s="238"/>
      <c r="U29" s="289">
        <f>E29+F29+G29+H29+I29+J29+K29+L29+O29+O30+O31+R29+R30+R31+S29</f>
        <v>0</v>
      </c>
    </row>
    <row r="30" spans="1:603" ht="13.7" customHeight="1" x14ac:dyDescent="0.3">
      <c r="A30" s="260"/>
      <c r="B30" s="169"/>
      <c r="C30" s="255"/>
      <c r="D30" s="250"/>
      <c r="E30" s="263"/>
      <c r="F30" s="218"/>
      <c r="G30" s="218"/>
      <c r="H30" s="218"/>
      <c r="I30" s="218"/>
      <c r="J30" s="218"/>
      <c r="K30" s="218"/>
      <c r="L30" s="218"/>
      <c r="M30" s="214" t="s">
        <v>13</v>
      </c>
      <c r="N30" s="215"/>
      <c r="O30" s="48"/>
      <c r="P30" s="214" t="s">
        <v>13</v>
      </c>
      <c r="Q30" s="215"/>
      <c r="R30" s="48"/>
      <c r="S30" s="238"/>
      <c r="T30" s="238"/>
      <c r="U30" s="289"/>
    </row>
    <row r="31" spans="1:603" ht="13.7" customHeight="1" x14ac:dyDescent="0.3">
      <c r="A31" s="260"/>
      <c r="B31" s="170"/>
      <c r="C31" s="256"/>
      <c r="D31" s="251"/>
      <c r="E31" s="263"/>
      <c r="F31" s="218"/>
      <c r="G31" s="218"/>
      <c r="H31" s="218"/>
      <c r="I31" s="218"/>
      <c r="J31" s="218"/>
      <c r="K31" s="218"/>
      <c r="L31" s="218"/>
      <c r="M31" s="214" t="s">
        <v>47</v>
      </c>
      <c r="N31" s="215"/>
      <c r="O31" s="48"/>
      <c r="P31" s="214" t="s">
        <v>47</v>
      </c>
      <c r="Q31" s="215"/>
      <c r="R31" s="48"/>
      <c r="S31" s="238"/>
      <c r="T31" s="238"/>
      <c r="U31" s="289"/>
    </row>
    <row r="32" spans="1:603" ht="13.7" customHeight="1" x14ac:dyDescent="0.3">
      <c r="A32" s="260" t="s">
        <v>5</v>
      </c>
      <c r="B32" s="171"/>
      <c r="C32" s="257"/>
      <c r="D32" s="252">
        <f>B32+C32</f>
        <v>0</v>
      </c>
      <c r="E32" s="263"/>
      <c r="F32" s="218"/>
      <c r="G32" s="218"/>
      <c r="H32" s="218"/>
      <c r="I32" s="218"/>
      <c r="J32" s="218"/>
      <c r="K32" s="218"/>
      <c r="L32" s="218"/>
      <c r="M32" s="214" t="s">
        <v>38</v>
      </c>
      <c r="N32" s="215"/>
      <c r="O32" s="48"/>
      <c r="P32" s="214" t="s">
        <v>38</v>
      </c>
      <c r="Q32" s="215"/>
      <c r="R32" s="48"/>
      <c r="S32" s="238">
        <f>S40+S41+S42+T40+T41+T42+U40+U41</f>
        <v>0</v>
      </c>
      <c r="T32" s="238"/>
      <c r="U32" s="289">
        <f>E32+F32+G32+H32+I32+J32+K32+L32+O32+O33+O34+R32+R33+R34+S32</f>
        <v>0</v>
      </c>
    </row>
    <row r="33" spans="1:24" ht="13.7" customHeight="1" x14ac:dyDescent="0.3">
      <c r="A33" s="260"/>
      <c r="B33" s="169"/>
      <c r="C33" s="255"/>
      <c r="D33" s="250"/>
      <c r="E33" s="263"/>
      <c r="F33" s="218"/>
      <c r="G33" s="218"/>
      <c r="H33" s="218"/>
      <c r="I33" s="218"/>
      <c r="J33" s="218"/>
      <c r="K33" s="218"/>
      <c r="L33" s="218"/>
      <c r="M33" s="214" t="s">
        <v>13</v>
      </c>
      <c r="N33" s="215"/>
      <c r="O33" s="48"/>
      <c r="P33" s="214" t="s">
        <v>13</v>
      </c>
      <c r="Q33" s="215"/>
      <c r="R33" s="48"/>
      <c r="S33" s="238"/>
      <c r="T33" s="238"/>
      <c r="U33" s="289"/>
    </row>
    <row r="34" spans="1:24" ht="13.7" customHeight="1" thickBot="1" x14ac:dyDescent="0.35">
      <c r="A34" s="261"/>
      <c r="B34" s="172"/>
      <c r="C34" s="258"/>
      <c r="D34" s="253"/>
      <c r="E34" s="264"/>
      <c r="F34" s="219"/>
      <c r="G34" s="219"/>
      <c r="H34" s="219"/>
      <c r="I34" s="219"/>
      <c r="J34" s="219"/>
      <c r="K34" s="219"/>
      <c r="L34" s="219"/>
      <c r="M34" s="243" t="s">
        <v>47</v>
      </c>
      <c r="N34" s="244"/>
      <c r="O34" s="49"/>
      <c r="P34" s="243" t="s">
        <v>47</v>
      </c>
      <c r="Q34" s="244"/>
      <c r="R34" s="49"/>
      <c r="S34" s="239"/>
      <c r="T34" s="239"/>
      <c r="U34" s="290"/>
    </row>
    <row r="35" spans="1:24" ht="4.7" customHeight="1" x14ac:dyDescent="0.3"/>
    <row r="36" spans="1:24" ht="13.7" customHeight="1" thickBot="1" x14ac:dyDescent="0.35">
      <c r="A36" s="2" t="s">
        <v>39</v>
      </c>
      <c r="B36" s="2"/>
      <c r="C36" s="2"/>
      <c r="D36" s="2"/>
    </row>
    <row r="37" spans="1:24" ht="11.25" customHeight="1" x14ac:dyDescent="0.3">
      <c r="A37" s="193" t="s">
        <v>43</v>
      </c>
      <c r="B37" s="194"/>
      <c r="C37" s="194"/>
      <c r="D37" s="194"/>
      <c r="E37" s="195"/>
      <c r="F37" s="17"/>
      <c r="G37" s="17"/>
      <c r="H37" s="17"/>
      <c r="J37" s="222" t="s">
        <v>48</v>
      </c>
      <c r="K37" s="223"/>
      <c r="L37" s="223"/>
      <c r="M37" s="223"/>
      <c r="N37" s="223"/>
      <c r="O37" s="223"/>
      <c r="P37" s="223"/>
      <c r="Q37" s="223"/>
      <c r="R37" s="223"/>
      <c r="S37" s="223"/>
      <c r="T37" s="223"/>
      <c r="U37" s="224"/>
    </row>
    <row r="38" spans="1:24" ht="12.75" customHeight="1" x14ac:dyDescent="0.3">
      <c r="A38" s="13"/>
      <c r="B38" s="43" t="s">
        <v>44</v>
      </c>
      <c r="C38" s="43" t="s">
        <v>45</v>
      </c>
      <c r="D38" s="43" t="s">
        <v>46</v>
      </c>
      <c r="E38" s="44" t="s">
        <v>3</v>
      </c>
      <c r="J38" s="225" t="s">
        <v>2</v>
      </c>
      <c r="K38" s="226"/>
      <c r="L38" s="227"/>
      <c r="M38" s="220" t="s">
        <v>6</v>
      </c>
      <c r="N38" s="220"/>
      <c r="O38" s="220"/>
      <c r="P38" s="220" t="s">
        <v>4</v>
      </c>
      <c r="Q38" s="220"/>
      <c r="R38" s="220"/>
      <c r="S38" s="220" t="s">
        <v>5</v>
      </c>
      <c r="T38" s="220"/>
      <c r="U38" s="221"/>
    </row>
    <row r="39" spans="1:24" ht="13.7" customHeight="1" x14ac:dyDescent="0.3">
      <c r="A39" s="184" t="s">
        <v>40</v>
      </c>
      <c r="B39" s="187"/>
      <c r="C39" s="187"/>
      <c r="D39" s="187"/>
      <c r="E39" s="186">
        <f>B39+C39+D39</f>
        <v>0</v>
      </c>
      <c r="F39" s="183"/>
      <c r="G39" s="183"/>
      <c r="H39" s="182"/>
      <c r="J39" s="228"/>
      <c r="K39" s="229"/>
      <c r="L39" s="230"/>
      <c r="M39" s="43" t="s">
        <v>49</v>
      </c>
      <c r="N39" s="43" t="s">
        <v>7</v>
      </c>
      <c r="O39" s="43" t="s">
        <v>50</v>
      </c>
      <c r="P39" s="43" t="s">
        <v>49</v>
      </c>
      <c r="Q39" s="43" t="s">
        <v>7</v>
      </c>
      <c r="R39" s="43" t="s">
        <v>50</v>
      </c>
      <c r="S39" s="43" t="s">
        <v>49</v>
      </c>
      <c r="T39" s="43" t="s">
        <v>7</v>
      </c>
      <c r="U39" s="44" t="s">
        <v>50</v>
      </c>
    </row>
    <row r="40" spans="1:24" ht="13.7" customHeight="1" x14ac:dyDescent="0.3">
      <c r="A40" s="184"/>
      <c r="B40" s="189"/>
      <c r="C40" s="189"/>
      <c r="D40" s="189"/>
      <c r="E40" s="186"/>
      <c r="F40" s="183"/>
      <c r="G40" s="183"/>
      <c r="H40" s="182"/>
      <c r="J40" s="231" t="s">
        <v>51</v>
      </c>
      <c r="K40" s="232"/>
      <c r="L40" s="233"/>
      <c r="M40" s="38"/>
      <c r="N40" s="38"/>
      <c r="O40" s="38"/>
      <c r="P40" s="38"/>
      <c r="Q40" s="38"/>
      <c r="R40" s="38"/>
      <c r="S40" s="38"/>
      <c r="T40" s="38"/>
      <c r="U40" s="39"/>
    </row>
    <row r="41" spans="1:24" ht="13.7" customHeight="1" x14ac:dyDescent="0.3">
      <c r="A41" s="184" t="s">
        <v>41</v>
      </c>
      <c r="B41" s="187"/>
      <c r="C41" s="187"/>
      <c r="D41" s="187"/>
      <c r="E41" s="186">
        <f>B41+C41+D41</f>
        <v>0</v>
      </c>
      <c r="F41" s="183"/>
      <c r="G41" s="183"/>
      <c r="H41" s="182"/>
      <c r="J41" s="231" t="s">
        <v>52</v>
      </c>
      <c r="K41" s="232"/>
      <c r="L41" s="233"/>
      <c r="M41" s="38"/>
      <c r="N41" s="38"/>
      <c r="O41" s="38"/>
      <c r="P41" s="38"/>
      <c r="Q41" s="38"/>
      <c r="R41" s="38"/>
      <c r="S41" s="38"/>
      <c r="T41" s="38"/>
      <c r="U41" s="39"/>
    </row>
    <row r="42" spans="1:24" ht="13.7" customHeight="1" thickBot="1" x14ac:dyDescent="0.35">
      <c r="A42" s="184"/>
      <c r="B42" s="189"/>
      <c r="C42" s="189"/>
      <c r="D42" s="189"/>
      <c r="E42" s="186"/>
      <c r="F42" s="183"/>
      <c r="G42" s="183"/>
      <c r="H42" s="182"/>
      <c r="J42" s="235" t="s">
        <v>53</v>
      </c>
      <c r="K42" s="236"/>
      <c r="L42" s="237"/>
      <c r="M42" s="40"/>
      <c r="N42" s="40"/>
      <c r="O42" s="41"/>
      <c r="P42" s="40"/>
      <c r="Q42" s="40"/>
      <c r="R42" s="41"/>
      <c r="S42" s="40"/>
      <c r="T42" s="40"/>
      <c r="U42" s="42"/>
    </row>
    <row r="43" spans="1:24" ht="10.5" customHeight="1" x14ac:dyDescent="0.3">
      <c r="A43" s="184" t="s">
        <v>42</v>
      </c>
      <c r="B43" s="187"/>
      <c r="C43" s="187"/>
      <c r="D43" s="187"/>
      <c r="E43" s="186">
        <f>B43+C43+D43</f>
        <v>0</v>
      </c>
      <c r="F43" s="183"/>
      <c r="G43" s="183"/>
      <c r="H43" s="182"/>
      <c r="J43" s="14" t="s">
        <v>54</v>
      </c>
      <c r="K43" s="15"/>
      <c r="L43" s="15"/>
      <c r="M43" s="15"/>
      <c r="N43" s="15"/>
      <c r="O43" s="15"/>
      <c r="P43" s="15"/>
      <c r="Q43" s="15"/>
      <c r="R43" s="15"/>
      <c r="S43" s="15"/>
      <c r="T43" s="15"/>
      <c r="U43" s="15"/>
      <c r="V43" s="15"/>
      <c r="W43" s="15"/>
      <c r="X43" s="15"/>
    </row>
    <row r="44" spans="1:24" ht="13.7" customHeight="1" thickBot="1" x14ac:dyDescent="0.35">
      <c r="A44" s="185"/>
      <c r="B44" s="188"/>
      <c r="C44" s="188"/>
      <c r="D44" s="188"/>
      <c r="E44" s="240"/>
      <c r="F44" s="183"/>
      <c r="G44" s="183"/>
      <c r="H44" s="182"/>
    </row>
    <row r="45" spans="1:24" ht="11.25" customHeight="1" x14ac:dyDescent="0.3">
      <c r="A45" s="2"/>
      <c r="B45" s="2"/>
      <c r="C45" s="2"/>
      <c r="D45" s="2"/>
      <c r="F45" s="165" t="s">
        <v>687</v>
      </c>
      <c r="G45" s="165"/>
      <c r="H45" s="165"/>
      <c r="L45" s="15" t="s">
        <v>55</v>
      </c>
      <c r="M45" s="15"/>
      <c r="N45" s="15"/>
      <c r="O45" s="15"/>
      <c r="P45" s="15"/>
      <c r="Q45" s="280"/>
      <c r="R45" s="280"/>
      <c r="S45" s="280"/>
      <c r="T45" s="280"/>
      <c r="U45" s="280"/>
    </row>
    <row r="46" spans="1:24" ht="13.7" customHeight="1" x14ac:dyDescent="0.3">
      <c r="A46" s="178"/>
      <c r="B46" s="47"/>
      <c r="C46" s="47"/>
      <c r="D46" s="47"/>
      <c r="E46" s="156"/>
      <c r="F46" s="157"/>
      <c r="G46" s="157"/>
      <c r="H46" s="157"/>
      <c r="I46" s="157"/>
      <c r="J46" s="158"/>
      <c r="K46" s="15"/>
      <c r="L46" s="15" t="s">
        <v>56</v>
      </c>
      <c r="M46" s="280"/>
      <c r="N46" s="280"/>
      <c r="O46" s="280"/>
      <c r="P46" s="280"/>
      <c r="Q46" s="15"/>
      <c r="R46" s="15"/>
    </row>
    <row r="47" spans="1:24" ht="13.7" customHeight="1" x14ac:dyDescent="0.3">
      <c r="A47" s="178"/>
      <c r="B47" s="47"/>
      <c r="C47" s="47"/>
      <c r="D47" s="47"/>
      <c r="E47" s="159"/>
      <c r="F47" s="160"/>
      <c r="G47" s="160"/>
      <c r="H47" s="160"/>
      <c r="I47" s="160"/>
      <c r="J47" s="161"/>
      <c r="K47" s="15"/>
      <c r="L47" s="15" t="s">
        <v>57</v>
      </c>
      <c r="M47" s="279"/>
      <c r="N47" s="279"/>
      <c r="O47" s="279"/>
      <c r="P47" s="279"/>
      <c r="Q47" s="15"/>
      <c r="R47" s="16" t="s">
        <v>58</v>
      </c>
      <c r="S47" s="278"/>
      <c r="T47" s="278"/>
    </row>
    <row r="48" spans="1:24" ht="13.7" customHeight="1" x14ac:dyDescent="0.3">
      <c r="A48" s="182"/>
      <c r="B48" s="46"/>
      <c r="C48" s="46"/>
      <c r="D48" s="46"/>
      <c r="E48" s="159"/>
      <c r="F48" s="160"/>
      <c r="G48" s="160"/>
      <c r="H48" s="160"/>
      <c r="I48" s="160"/>
      <c r="J48" s="161"/>
      <c r="K48" s="15"/>
      <c r="L48" s="15" t="s">
        <v>59</v>
      </c>
      <c r="M48" s="248"/>
      <c r="N48" s="248"/>
      <c r="O48" s="248"/>
      <c r="P48" s="248"/>
      <c r="Q48" s="15"/>
      <c r="R48" s="15"/>
    </row>
    <row r="49" spans="1:11" ht="13.7" customHeight="1" x14ac:dyDescent="0.3">
      <c r="A49" s="182"/>
      <c r="B49" s="46"/>
      <c r="C49" s="46"/>
      <c r="D49" s="46"/>
      <c r="E49" s="162"/>
      <c r="F49" s="163"/>
      <c r="G49" s="163"/>
      <c r="H49" s="163"/>
      <c r="I49" s="163"/>
      <c r="J49" s="164"/>
      <c r="K49" s="15"/>
    </row>
    <row r="100" spans="1:8" s="31" customFormat="1" ht="25.5" hidden="1" customHeight="1" x14ac:dyDescent="0.3">
      <c r="E100" s="31" t="s">
        <v>164</v>
      </c>
      <c r="F100" s="31" t="s">
        <v>165</v>
      </c>
      <c r="G100" s="31" t="s">
        <v>166</v>
      </c>
    </row>
    <row r="101" spans="1:8" s="31" customFormat="1" ht="25.5" hidden="1" customHeight="1" x14ac:dyDescent="0.3">
      <c r="A101" s="31" t="s">
        <v>83</v>
      </c>
      <c r="B101" s="31" t="s">
        <v>84</v>
      </c>
      <c r="C101" s="31" t="s">
        <v>85</v>
      </c>
      <c r="D101" s="31" t="s">
        <v>140</v>
      </c>
      <c r="E101" s="63" t="s">
        <v>85</v>
      </c>
      <c r="F101" s="63" t="s">
        <v>140</v>
      </c>
      <c r="G101" s="63" t="s">
        <v>167</v>
      </c>
      <c r="H101" s="99"/>
    </row>
    <row r="102" spans="1:8" s="31" customFormat="1" ht="25.5" hidden="1" customHeight="1" x14ac:dyDescent="0.3">
      <c r="A102" s="31" t="s">
        <v>82</v>
      </c>
      <c r="B102" s="31" t="s">
        <v>84</v>
      </c>
      <c r="C102" s="31" t="s">
        <v>85</v>
      </c>
      <c r="D102" s="31" t="s">
        <v>85</v>
      </c>
      <c r="E102" s="63" t="s">
        <v>85</v>
      </c>
      <c r="F102" s="63" t="s">
        <v>140</v>
      </c>
      <c r="G102" s="63" t="s">
        <v>368</v>
      </c>
      <c r="H102" s="99"/>
    </row>
    <row r="103" spans="1:8" s="31" customFormat="1" ht="25.5" hidden="1" customHeight="1" x14ac:dyDescent="0.3">
      <c r="A103" s="31" t="s">
        <v>87</v>
      </c>
      <c r="B103" s="31" t="s">
        <v>84</v>
      </c>
      <c r="C103" s="31" t="s">
        <v>85</v>
      </c>
      <c r="D103" s="31" t="s">
        <v>86</v>
      </c>
      <c r="E103" s="63" t="s">
        <v>85</v>
      </c>
      <c r="F103" s="63" t="s">
        <v>140</v>
      </c>
      <c r="G103" s="63" t="s">
        <v>600</v>
      </c>
      <c r="H103" s="99"/>
    </row>
    <row r="104" spans="1:8" s="31" customFormat="1" ht="25.5" hidden="1" customHeight="1" x14ac:dyDescent="0.3">
      <c r="A104" s="31" t="s">
        <v>89</v>
      </c>
      <c r="B104" s="31" t="s">
        <v>90</v>
      </c>
      <c r="C104" s="31" t="s">
        <v>85</v>
      </c>
      <c r="D104" s="31" t="s">
        <v>169</v>
      </c>
      <c r="E104" s="63" t="s">
        <v>85</v>
      </c>
      <c r="F104" s="63" t="s">
        <v>140</v>
      </c>
      <c r="G104" s="63" t="s">
        <v>415</v>
      </c>
      <c r="H104" s="99"/>
    </row>
    <row r="105" spans="1:8" s="31" customFormat="1" ht="25.5" hidden="1" customHeight="1" x14ac:dyDescent="0.3">
      <c r="A105" s="31" t="s">
        <v>93</v>
      </c>
      <c r="B105" s="31" t="s">
        <v>90</v>
      </c>
      <c r="C105" s="31" t="s">
        <v>85</v>
      </c>
      <c r="D105" s="31" t="s">
        <v>88</v>
      </c>
      <c r="E105" s="63" t="s">
        <v>85</v>
      </c>
      <c r="F105" s="63" t="s">
        <v>85</v>
      </c>
      <c r="G105" s="63" t="s">
        <v>631</v>
      </c>
      <c r="H105" s="99"/>
    </row>
    <row r="106" spans="1:8" s="31" customFormat="1" ht="25.5" hidden="1" customHeight="1" x14ac:dyDescent="0.3">
      <c r="A106" s="31" t="s">
        <v>95</v>
      </c>
      <c r="B106" s="31" t="s">
        <v>90</v>
      </c>
      <c r="C106" s="31" t="s">
        <v>85</v>
      </c>
      <c r="D106" s="31" t="s">
        <v>141</v>
      </c>
      <c r="E106" s="63" t="s">
        <v>85</v>
      </c>
      <c r="F106" s="63" t="s">
        <v>85</v>
      </c>
      <c r="G106" s="63" t="s">
        <v>664</v>
      </c>
      <c r="H106" s="99"/>
    </row>
    <row r="107" spans="1:8" s="31" customFormat="1" ht="25.5" hidden="1" customHeight="1" x14ac:dyDescent="0.3">
      <c r="A107" s="31" t="s">
        <v>97</v>
      </c>
      <c r="B107" s="31" t="s">
        <v>98</v>
      </c>
      <c r="C107" s="63" t="s">
        <v>380</v>
      </c>
      <c r="D107" s="31" t="s">
        <v>92</v>
      </c>
      <c r="E107" s="63" t="s">
        <v>85</v>
      </c>
      <c r="F107" s="63" t="s">
        <v>85</v>
      </c>
      <c r="G107" s="63" t="s">
        <v>549</v>
      </c>
      <c r="H107" s="99"/>
    </row>
    <row r="108" spans="1:8" s="31" customFormat="1" ht="25.5" hidden="1" customHeight="1" x14ac:dyDescent="0.3">
      <c r="A108" s="31" t="s">
        <v>99</v>
      </c>
      <c r="B108" s="31" t="s">
        <v>98</v>
      </c>
      <c r="C108" s="63" t="s">
        <v>380</v>
      </c>
      <c r="D108" s="31" t="s">
        <v>94</v>
      </c>
      <c r="E108" s="63" t="s">
        <v>85</v>
      </c>
      <c r="F108" s="63" t="s">
        <v>85</v>
      </c>
      <c r="G108" s="63" t="s">
        <v>321</v>
      </c>
      <c r="H108" s="99"/>
    </row>
    <row r="109" spans="1:8" s="31" customFormat="1" ht="25.5" hidden="1" customHeight="1" x14ac:dyDescent="0.3">
      <c r="A109" s="31" t="s">
        <v>100</v>
      </c>
      <c r="B109" s="31" t="s">
        <v>98</v>
      </c>
      <c r="C109" s="63" t="s">
        <v>380</v>
      </c>
      <c r="D109" s="31" t="s">
        <v>96</v>
      </c>
      <c r="E109" s="63" t="s">
        <v>85</v>
      </c>
      <c r="F109" s="63" t="s">
        <v>85</v>
      </c>
      <c r="G109" s="63" t="s">
        <v>358</v>
      </c>
      <c r="H109" s="99"/>
    </row>
    <row r="110" spans="1:8" s="31" customFormat="1" ht="25.5" hidden="1" customHeight="1" x14ac:dyDescent="0.3">
      <c r="A110" s="31" t="s">
        <v>102</v>
      </c>
      <c r="B110" s="31" t="s">
        <v>103</v>
      </c>
      <c r="C110" s="63" t="s">
        <v>380</v>
      </c>
      <c r="D110" s="63" t="s">
        <v>380</v>
      </c>
      <c r="E110" s="63" t="s">
        <v>85</v>
      </c>
      <c r="F110" s="63" t="s">
        <v>85</v>
      </c>
      <c r="G110" s="63" t="s">
        <v>416</v>
      </c>
      <c r="H110" s="99"/>
    </row>
    <row r="111" spans="1:8" s="31" customFormat="1" ht="25.5" hidden="1" customHeight="1" x14ac:dyDescent="0.3">
      <c r="A111" s="31" t="s">
        <v>104</v>
      </c>
      <c r="B111" s="31" t="s">
        <v>103</v>
      </c>
      <c r="C111" s="63" t="s">
        <v>380</v>
      </c>
      <c r="D111" s="31" t="s">
        <v>101</v>
      </c>
      <c r="E111" s="63" t="s">
        <v>85</v>
      </c>
      <c r="F111" s="63" t="s">
        <v>85</v>
      </c>
      <c r="G111" s="63" t="s">
        <v>455</v>
      </c>
      <c r="H111" s="99"/>
    </row>
    <row r="112" spans="1:8" s="31" customFormat="1" ht="25.5" hidden="1" customHeight="1" x14ac:dyDescent="0.3">
      <c r="A112" s="31" t="s">
        <v>106</v>
      </c>
      <c r="B112" s="31" t="s">
        <v>103</v>
      </c>
      <c r="C112" s="63" t="s">
        <v>380</v>
      </c>
      <c r="D112" s="66" t="s">
        <v>693</v>
      </c>
      <c r="E112" s="63" t="s">
        <v>85</v>
      </c>
      <c r="F112" s="63" t="s">
        <v>85</v>
      </c>
      <c r="G112" s="63" t="s">
        <v>456</v>
      </c>
      <c r="H112" s="99"/>
    </row>
    <row r="113" spans="1:8" s="31" customFormat="1" ht="25.5" hidden="1" customHeight="1" x14ac:dyDescent="0.3">
      <c r="A113" s="66"/>
      <c r="B113" s="66"/>
      <c r="C113" s="63" t="s">
        <v>380</v>
      </c>
      <c r="D113" s="66" t="s">
        <v>142</v>
      </c>
      <c r="E113" s="63" t="s">
        <v>85</v>
      </c>
      <c r="F113" s="63" t="s">
        <v>85</v>
      </c>
      <c r="G113" s="63" t="s">
        <v>457</v>
      </c>
      <c r="H113" s="99"/>
    </row>
    <row r="114" spans="1:8" s="31" customFormat="1" ht="25.5" hidden="1" customHeight="1" x14ac:dyDescent="0.3">
      <c r="A114" s="66"/>
      <c r="B114" s="66"/>
      <c r="C114" s="63" t="s">
        <v>380</v>
      </c>
      <c r="D114" s="66" t="s">
        <v>143</v>
      </c>
      <c r="E114" s="63" t="s">
        <v>85</v>
      </c>
      <c r="F114" s="63" t="s">
        <v>85</v>
      </c>
      <c r="G114" s="63" t="s">
        <v>458</v>
      </c>
      <c r="H114" s="99"/>
    </row>
    <row r="115" spans="1:8" s="31" customFormat="1" ht="25.5" hidden="1" customHeight="1" x14ac:dyDescent="0.3">
      <c r="A115" s="66"/>
      <c r="B115" s="66"/>
      <c r="C115" s="63" t="s">
        <v>380</v>
      </c>
      <c r="D115" s="66" t="s">
        <v>182</v>
      </c>
      <c r="E115" s="63" t="s">
        <v>85</v>
      </c>
      <c r="F115" s="63" t="s">
        <v>85</v>
      </c>
      <c r="G115" s="63" t="s">
        <v>459</v>
      </c>
      <c r="H115" s="99"/>
    </row>
    <row r="116" spans="1:8" s="31" customFormat="1" ht="25.5" hidden="1" customHeight="1" x14ac:dyDescent="0.3">
      <c r="A116" s="66"/>
      <c r="B116" s="66"/>
      <c r="C116" s="63" t="s">
        <v>380</v>
      </c>
      <c r="D116" s="66" t="s">
        <v>105</v>
      </c>
      <c r="E116" s="63"/>
      <c r="F116" s="63"/>
      <c r="G116" s="63"/>
      <c r="H116" s="99"/>
    </row>
    <row r="117" spans="1:8" s="31" customFormat="1" ht="25.5" hidden="1" customHeight="1" x14ac:dyDescent="0.3">
      <c r="A117" s="66"/>
      <c r="B117" s="66"/>
      <c r="C117" s="63" t="s">
        <v>380</v>
      </c>
      <c r="D117" s="66" t="s">
        <v>107</v>
      </c>
      <c r="E117" s="148" t="s">
        <v>85</v>
      </c>
      <c r="F117" s="63" t="s">
        <v>86</v>
      </c>
      <c r="G117" s="63" t="s">
        <v>550</v>
      </c>
      <c r="H117" s="99"/>
    </row>
    <row r="118" spans="1:8" s="31" customFormat="1" ht="25.5" hidden="1" customHeight="1" x14ac:dyDescent="0.3">
      <c r="A118" s="66"/>
      <c r="B118" s="66"/>
      <c r="C118" s="66" t="s">
        <v>109</v>
      </c>
      <c r="D118" s="66" t="s">
        <v>109</v>
      </c>
      <c r="E118" s="63" t="s">
        <v>85</v>
      </c>
      <c r="F118" s="63" t="s">
        <v>168</v>
      </c>
      <c r="G118" s="63" t="s">
        <v>632</v>
      </c>
      <c r="H118" s="99"/>
    </row>
    <row r="119" spans="1:8" s="31" customFormat="1" ht="25.5" hidden="1" customHeight="1" x14ac:dyDescent="0.3">
      <c r="A119" s="66"/>
      <c r="B119" s="66"/>
      <c r="C119" s="66" t="s">
        <v>109</v>
      </c>
      <c r="D119" s="66" t="s">
        <v>111</v>
      </c>
      <c r="E119" s="63" t="s">
        <v>85</v>
      </c>
      <c r="F119" s="63" t="s">
        <v>86</v>
      </c>
      <c r="G119" s="63" t="s">
        <v>333</v>
      </c>
      <c r="H119" s="99"/>
    </row>
    <row r="120" spans="1:8" s="31" customFormat="1" ht="25.5" hidden="1" customHeight="1" x14ac:dyDescent="0.3">
      <c r="A120" s="66"/>
      <c r="B120" s="66"/>
      <c r="C120" s="66" t="s">
        <v>109</v>
      </c>
      <c r="D120" s="66" t="s">
        <v>112</v>
      </c>
      <c r="E120" s="63" t="s">
        <v>85</v>
      </c>
      <c r="F120" s="63" t="s">
        <v>86</v>
      </c>
      <c r="G120" s="63" t="s">
        <v>347</v>
      </c>
      <c r="H120" s="99"/>
    </row>
    <row r="121" spans="1:8" s="31" customFormat="1" ht="25.5" hidden="1" customHeight="1" x14ac:dyDescent="0.3">
      <c r="A121" s="66"/>
      <c r="B121" s="66"/>
      <c r="C121" s="66" t="s">
        <v>109</v>
      </c>
      <c r="D121" s="66" t="s">
        <v>113</v>
      </c>
      <c r="E121" s="63" t="s">
        <v>85</v>
      </c>
      <c r="F121" s="63" t="s">
        <v>86</v>
      </c>
      <c r="G121" s="63" t="s">
        <v>601</v>
      </c>
      <c r="H121" s="99"/>
    </row>
    <row r="122" spans="1:8" s="31" customFormat="1" ht="25.5" hidden="1" customHeight="1" x14ac:dyDescent="0.3">
      <c r="A122" s="66"/>
      <c r="B122" s="66"/>
      <c r="C122" s="66" t="s">
        <v>109</v>
      </c>
      <c r="D122" s="66" t="s">
        <v>114</v>
      </c>
      <c r="E122" s="63" t="s">
        <v>85</v>
      </c>
      <c r="F122" s="63" t="s">
        <v>86</v>
      </c>
      <c r="G122" s="63" t="s">
        <v>460</v>
      </c>
      <c r="H122" s="99"/>
    </row>
    <row r="123" spans="1:8" s="31" customFormat="1" ht="25.5" hidden="1" customHeight="1" x14ac:dyDescent="0.3">
      <c r="A123" s="66"/>
      <c r="B123" s="66"/>
      <c r="C123" s="66" t="s">
        <v>109</v>
      </c>
      <c r="D123" s="66" t="s">
        <v>145</v>
      </c>
      <c r="E123" s="63"/>
      <c r="F123" s="63"/>
      <c r="G123" s="63"/>
      <c r="H123" s="99"/>
    </row>
    <row r="124" spans="1:8" s="31" customFormat="1" ht="25.5" hidden="1" customHeight="1" x14ac:dyDescent="0.3">
      <c r="A124" s="66"/>
      <c r="B124" s="66"/>
      <c r="C124" s="66" t="s">
        <v>109</v>
      </c>
      <c r="D124" s="66" t="s">
        <v>115</v>
      </c>
      <c r="E124" s="63"/>
      <c r="F124" s="63"/>
      <c r="G124" s="63"/>
      <c r="H124" s="99"/>
    </row>
    <row r="125" spans="1:8" s="31" customFormat="1" ht="25.5" hidden="1" customHeight="1" x14ac:dyDescent="0.3">
      <c r="A125" s="66"/>
      <c r="B125" s="66"/>
      <c r="C125" s="66" t="s">
        <v>109</v>
      </c>
      <c r="D125" s="66" t="s">
        <v>146</v>
      </c>
      <c r="E125" s="63"/>
      <c r="F125" s="63"/>
      <c r="G125" s="63"/>
      <c r="H125" s="99"/>
    </row>
    <row r="126" spans="1:8" s="31" customFormat="1" ht="25.5" hidden="1" customHeight="1" x14ac:dyDescent="0.3">
      <c r="A126" s="66"/>
      <c r="B126" s="66"/>
      <c r="C126" s="66" t="s">
        <v>109</v>
      </c>
      <c r="D126" s="66" t="s">
        <v>116</v>
      </c>
      <c r="E126" s="63" t="s">
        <v>85</v>
      </c>
      <c r="F126" s="63" t="s">
        <v>169</v>
      </c>
      <c r="G126" s="63" t="s">
        <v>170</v>
      </c>
      <c r="H126" s="99"/>
    </row>
    <row r="127" spans="1:8" s="31" customFormat="1" ht="25.5" hidden="1" customHeight="1" x14ac:dyDescent="0.3">
      <c r="A127" s="66"/>
      <c r="B127" s="66"/>
      <c r="C127" s="66" t="s">
        <v>109</v>
      </c>
      <c r="D127" s="66" t="s">
        <v>218</v>
      </c>
      <c r="E127" s="63" t="s">
        <v>85</v>
      </c>
      <c r="F127" s="63" t="s">
        <v>169</v>
      </c>
      <c r="G127" s="63" t="s">
        <v>417</v>
      </c>
      <c r="H127" s="99"/>
    </row>
    <row r="128" spans="1:8" s="31" customFormat="1" ht="25.5" hidden="1" customHeight="1" x14ac:dyDescent="0.3">
      <c r="A128" s="66"/>
      <c r="B128" s="66"/>
      <c r="C128" s="66" t="s">
        <v>109</v>
      </c>
      <c r="D128" s="66" t="s">
        <v>148</v>
      </c>
      <c r="E128" s="63" t="s">
        <v>85</v>
      </c>
      <c r="F128" s="63" t="s">
        <v>169</v>
      </c>
      <c r="G128" s="63" t="s">
        <v>461</v>
      </c>
      <c r="H128" s="99"/>
    </row>
    <row r="129" spans="1:8" s="31" customFormat="1" ht="25.5" hidden="1" customHeight="1" x14ac:dyDescent="0.3">
      <c r="A129" s="66"/>
      <c r="B129" s="66"/>
      <c r="C129" s="66" t="s">
        <v>109</v>
      </c>
      <c r="D129" s="66" t="s">
        <v>149</v>
      </c>
      <c r="E129" s="63" t="s">
        <v>85</v>
      </c>
      <c r="F129" s="63" t="s">
        <v>169</v>
      </c>
      <c r="G129" s="63" t="s">
        <v>462</v>
      </c>
      <c r="H129" s="99"/>
    </row>
    <row r="130" spans="1:8" s="31" customFormat="1" ht="25.5" hidden="1" customHeight="1" x14ac:dyDescent="0.3">
      <c r="A130" s="66"/>
      <c r="B130" s="66"/>
      <c r="C130" s="66" t="s">
        <v>109</v>
      </c>
      <c r="D130" s="66" t="s">
        <v>117</v>
      </c>
      <c r="E130" s="63" t="s">
        <v>85</v>
      </c>
      <c r="F130" s="63" t="s">
        <v>88</v>
      </c>
      <c r="G130" s="63" t="s">
        <v>551</v>
      </c>
      <c r="H130" s="99"/>
    </row>
    <row r="131" spans="1:8" s="31" customFormat="1" ht="25.5" hidden="1" customHeight="1" x14ac:dyDescent="0.3">
      <c r="A131" s="66"/>
      <c r="B131" s="66"/>
      <c r="C131" s="66" t="s">
        <v>121</v>
      </c>
      <c r="D131" s="66" t="s">
        <v>151</v>
      </c>
      <c r="E131" s="63" t="s">
        <v>85</v>
      </c>
      <c r="F131" s="63" t="s">
        <v>171</v>
      </c>
      <c r="G131" s="63" t="s">
        <v>633</v>
      </c>
      <c r="H131" s="99"/>
    </row>
    <row r="132" spans="1:8" s="31" customFormat="1" ht="25.5" hidden="1" customHeight="1" x14ac:dyDescent="0.3">
      <c r="A132" s="66"/>
      <c r="B132" s="66"/>
      <c r="C132" s="66" t="s">
        <v>121</v>
      </c>
      <c r="D132" s="66" t="s">
        <v>122</v>
      </c>
      <c r="E132" s="63" t="s">
        <v>85</v>
      </c>
      <c r="F132" s="63" t="s">
        <v>171</v>
      </c>
      <c r="G132" s="63" t="s">
        <v>366</v>
      </c>
      <c r="H132" s="99"/>
    </row>
    <row r="133" spans="1:8" s="31" customFormat="1" ht="25.5" hidden="1" customHeight="1" x14ac:dyDescent="0.3">
      <c r="A133" s="66"/>
      <c r="B133" s="66"/>
      <c r="C133" s="66" t="s">
        <v>121</v>
      </c>
      <c r="D133" s="66" t="s">
        <v>123</v>
      </c>
      <c r="E133" s="63" t="s">
        <v>85</v>
      </c>
      <c r="F133" s="63" t="s">
        <v>171</v>
      </c>
      <c r="G133" s="63" t="s">
        <v>367</v>
      </c>
      <c r="H133" s="99"/>
    </row>
    <row r="134" spans="1:8" s="31" customFormat="1" ht="25.5" hidden="1" customHeight="1" x14ac:dyDescent="0.3">
      <c r="A134" s="66"/>
      <c r="B134" s="66"/>
      <c r="C134" s="66" t="s">
        <v>121</v>
      </c>
      <c r="D134" s="66" t="s">
        <v>152</v>
      </c>
      <c r="E134" s="63" t="s">
        <v>85</v>
      </c>
      <c r="F134" s="63" t="s">
        <v>171</v>
      </c>
      <c r="G134" s="63" t="s">
        <v>463</v>
      </c>
      <c r="H134" s="99"/>
    </row>
    <row r="135" spans="1:8" s="31" customFormat="1" ht="25.5" hidden="1" customHeight="1" x14ac:dyDescent="0.3">
      <c r="A135" s="66"/>
      <c r="B135" s="66"/>
      <c r="C135" s="66" t="s">
        <v>121</v>
      </c>
      <c r="D135" s="66" t="s">
        <v>121</v>
      </c>
      <c r="E135" s="63" t="s">
        <v>85</v>
      </c>
      <c r="F135" s="63" t="s">
        <v>141</v>
      </c>
      <c r="G135" s="63" t="s">
        <v>634</v>
      </c>
      <c r="H135" s="99"/>
    </row>
    <row r="136" spans="1:8" s="31" customFormat="1" ht="25.5" hidden="1" customHeight="1" x14ac:dyDescent="0.3">
      <c r="A136" s="66"/>
      <c r="B136" s="66"/>
      <c r="C136" s="66" t="s">
        <v>121</v>
      </c>
      <c r="D136" s="66" t="s">
        <v>124</v>
      </c>
      <c r="E136" s="63" t="s">
        <v>85</v>
      </c>
      <c r="F136" s="63" t="s">
        <v>141</v>
      </c>
      <c r="G136" s="63" t="s">
        <v>369</v>
      </c>
      <c r="H136" s="99"/>
    </row>
    <row r="137" spans="1:8" s="31" customFormat="1" ht="25.5" hidden="1" customHeight="1" x14ac:dyDescent="0.3">
      <c r="A137" s="66"/>
      <c r="B137" s="66"/>
      <c r="C137" s="66" t="s">
        <v>121</v>
      </c>
      <c r="D137" s="66" t="s">
        <v>153</v>
      </c>
      <c r="E137" s="63" t="s">
        <v>85</v>
      </c>
      <c r="F137" s="63" t="s">
        <v>141</v>
      </c>
      <c r="G137" s="63" t="s">
        <v>602</v>
      </c>
      <c r="H137" s="99"/>
    </row>
    <row r="138" spans="1:8" s="31" customFormat="1" ht="25.5" hidden="1" customHeight="1" x14ac:dyDescent="0.3">
      <c r="A138" s="66"/>
      <c r="B138" s="66"/>
      <c r="C138" s="66" t="s">
        <v>121</v>
      </c>
      <c r="D138" s="66" t="s">
        <v>154</v>
      </c>
      <c r="E138" s="63" t="s">
        <v>85</v>
      </c>
      <c r="F138" s="63" t="s">
        <v>141</v>
      </c>
      <c r="G138" s="63" t="s">
        <v>406</v>
      </c>
      <c r="H138" s="99"/>
    </row>
    <row r="139" spans="1:8" s="31" customFormat="1" ht="25.5" hidden="1" customHeight="1" x14ac:dyDescent="0.3">
      <c r="A139" s="66"/>
      <c r="B139" s="66"/>
      <c r="C139" s="66" t="s">
        <v>121</v>
      </c>
      <c r="D139" s="66" t="s">
        <v>155</v>
      </c>
      <c r="E139" s="63" t="s">
        <v>85</v>
      </c>
      <c r="F139" s="63" t="s">
        <v>141</v>
      </c>
      <c r="G139" s="63" t="s">
        <v>418</v>
      </c>
      <c r="H139" s="99"/>
    </row>
    <row r="140" spans="1:8" s="31" customFormat="1" ht="25.5" hidden="1" customHeight="1" x14ac:dyDescent="0.3">
      <c r="A140" s="66"/>
      <c r="B140" s="66"/>
      <c r="C140" s="66" t="s">
        <v>121</v>
      </c>
      <c r="D140" s="66" t="s">
        <v>125</v>
      </c>
      <c r="E140" s="63" t="s">
        <v>85</v>
      </c>
      <c r="F140" s="63" t="s">
        <v>141</v>
      </c>
      <c r="G140" s="63" t="s">
        <v>464</v>
      </c>
      <c r="H140" s="99"/>
    </row>
    <row r="141" spans="1:8" s="31" customFormat="1" ht="25.5" hidden="1" customHeight="1" x14ac:dyDescent="0.3">
      <c r="A141" s="66"/>
      <c r="B141" s="66"/>
      <c r="C141" s="66" t="s">
        <v>120</v>
      </c>
      <c r="D141" s="66" t="s">
        <v>144</v>
      </c>
      <c r="E141" s="63"/>
      <c r="F141" s="63"/>
      <c r="G141" s="63"/>
      <c r="H141" s="99"/>
    </row>
    <row r="142" spans="1:8" s="31" customFormat="1" ht="25.5" hidden="1" customHeight="1" x14ac:dyDescent="0.3">
      <c r="A142" s="66"/>
      <c r="B142" s="66"/>
      <c r="C142" s="66" t="s">
        <v>120</v>
      </c>
      <c r="D142" s="66" t="s">
        <v>120</v>
      </c>
      <c r="E142" s="63" t="s">
        <v>380</v>
      </c>
      <c r="F142" s="64" t="s">
        <v>172</v>
      </c>
      <c r="G142" s="64" t="s">
        <v>91</v>
      </c>
      <c r="H142" s="99"/>
    </row>
    <row r="143" spans="1:8" s="31" customFormat="1" ht="25.5" hidden="1" customHeight="1" x14ac:dyDescent="0.3">
      <c r="A143" s="66"/>
      <c r="B143" s="66"/>
      <c r="C143" s="66" t="s">
        <v>120</v>
      </c>
      <c r="D143" s="66" t="s">
        <v>147</v>
      </c>
      <c r="E143" s="63" t="s">
        <v>380</v>
      </c>
      <c r="F143" s="64" t="s">
        <v>172</v>
      </c>
      <c r="G143" s="64" t="s">
        <v>465</v>
      </c>
      <c r="H143" s="99"/>
    </row>
    <row r="144" spans="1:8" s="31" customFormat="1" ht="25.5" hidden="1" customHeight="1" x14ac:dyDescent="0.3">
      <c r="A144" s="66"/>
      <c r="B144" s="66"/>
      <c r="C144" s="66" t="s">
        <v>120</v>
      </c>
      <c r="D144" s="66" t="s">
        <v>150</v>
      </c>
      <c r="E144" s="64"/>
      <c r="F144" s="64"/>
      <c r="G144" s="64"/>
      <c r="H144" s="99"/>
    </row>
    <row r="145" spans="1:8" s="31" customFormat="1" ht="25.5" hidden="1" customHeight="1" x14ac:dyDescent="0.3">
      <c r="A145" s="66"/>
      <c r="B145" s="66"/>
      <c r="C145" s="31" t="s">
        <v>126</v>
      </c>
      <c r="D145" s="66" t="s">
        <v>127</v>
      </c>
      <c r="E145" s="64"/>
      <c r="F145" s="64"/>
      <c r="G145" s="64"/>
      <c r="H145" s="99"/>
    </row>
    <row r="146" spans="1:8" s="31" customFormat="1" ht="25.5" hidden="1" customHeight="1" x14ac:dyDescent="0.3">
      <c r="A146" s="66"/>
      <c r="B146" s="66"/>
      <c r="C146" s="31" t="s">
        <v>126</v>
      </c>
      <c r="D146" s="66" t="s">
        <v>244</v>
      </c>
      <c r="E146" s="63" t="s">
        <v>380</v>
      </c>
      <c r="F146" s="63" t="s">
        <v>173</v>
      </c>
      <c r="G146" s="63" t="s">
        <v>552</v>
      </c>
      <c r="H146" s="99"/>
    </row>
    <row r="147" spans="1:8" s="31" customFormat="1" ht="25.5" hidden="1" customHeight="1" x14ac:dyDescent="0.3">
      <c r="A147" s="66"/>
      <c r="B147" s="66"/>
      <c r="C147" s="31" t="s">
        <v>126</v>
      </c>
      <c r="D147" s="66" t="s">
        <v>156</v>
      </c>
      <c r="E147" s="63" t="s">
        <v>380</v>
      </c>
      <c r="F147" s="63" t="s">
        <v>174</v>
      </c>
      <c r="G147" s="63" t="s">
        <v>175</v>
      </c>
      <c r="H147" s="99"/>
    </row>
    <row r="148" spans="1:8" s="31" customFormat="1" ht="25.5" hidden="1" customHeight="1" x14ac:dyDescent="0.3">
      <c r="A148" s="66"/>
      <c r="B148" s="66"/>
      <c r="C148" s="31" t="s">
        <v>126</v>
      </c>
      <c r="D148" s="31" t="s">
        <v>128</v>
      </c>
      <c r="E148" s="63" t="s">
        <v>380</v>
      </c>
      <c r="F148" s="63" t="s">
        <v>174</v>
      </c>
      <c r="G148" s="63" t="s">
        <v>346</v>
      </c>
      <c r="H148" s="99"/>
    </row>
    <row r="149" spans="1:8" s="31" customFormat="1" ht="25.5" hidden="1" customHeight="1" x14ac:dyDescent="0.3">
      <c r="A149" s="66"/>
      <c r="B149" s="66"/>
      <c r="C149" s="31" t="s">
        <v>126</v>
      </c>
      <c r="D149" s="31" t="s">
        <v>157</v>
      </c>
      <c r="E149" s="63" t="s">
        <v>380</v>
      </c>
      <c r="F149" s="63" t="s">
        <v>174</v>
      </c>
      <c r="G149" s="63" t="s">
        <v>603</v>
      </c>
      <c r="H149" s="99"/>
    </row>
    <row r="150" spans="1:8" s="31" customFormat="1" ht="25.5" hidden="1" customHeight="1" x14ac:dyDescent="0.3">
      <c r="A150" s="66"/>
      <c r="B150" s="66"/>
      <c r="C150" s="31" t="s">
        <v>126</v>
      </c>
      <c r="D150" s="31" t="s">
        <v>130</v>
      </c>
      <c r="E150" s="63" t="s">
        <v>380</v>
      </c>
      <c r="F150" s="63" t="s">
        <v>174</v>
      </c>
      <c r="G150" s="63" t="s">
        <v>419</v>
      </c>
      <c r="H150" s="99"/>
    </row>
    <row r="151" spans="1:8" s="31" customFormat="1" ht="25.5" hidden="1" customHeight="1" x14ac:dyDescent="0.3">
      <c r="A151" s="66"/>
      <c r="B151" s="66"/>
      <c r="C151" s="31" t="s">
        <v>126</v>
      </c>
      <c r="D151" s="31" t="s">
        <v>126</v>
      </c>
      <c r="E151" s="63" t="s">
        <v>380</v>
      </c>
      <c r="F151" s="63" t="s">
        <v>174</v>
      </c>
      <c r="G151" s="63" t="s">
        <v>466</v>
      </c>
      <c r="H151" s="99"/>
    </row>
    <row r="152" spans="1:8" s="31" customFormat="1" ht="25.5" hidden="1" customHeight="1" x14ac:dyDescent="0.3">
      <c r="A152" s="66"/>
      <c r="B152" s="66"/>
      <c r="C152" s="31" t="s">
        <v>126</v>
      </c>
      <c r="D152" s="31" t="s">
        <v>131</v>
      </c>
      <c r="E152" s="63" t="s">
        <v>380</v>
      </c>
      <c r="F152" s="63" t="s">
        <v>174</v>
      </c>
      <c r="G152" s="63" t="s">
        <v>467</v>
      </c>
      <c r="H152" s="99"/>
    </row>
    <row r="153" spans="1:8" s="31" customFormat="1" ht="25.5" hidden="1" customHeight="1" x14ac:dyDescent="0.3">
      <c r="A153" s="66"/>
      <c r="B153" s="66"/>
      <c r="C153" s="31" t="s">
        <v>132</v>
      </c>
      <c r="D153" s="31" t="s">
        <v>158</v>
      </c>
      <c r="E153" s="63" t="s">
        <v>380</v>
      </c>
      <c r="F153" s="63" t="s">
        <v>174</v>
      </c>
      <c r="G153" s="63" t="s">
        <v>468</v>
      </c>
      <c r="H153" s="99"/>
    </row>
    <row r="154" spans="1:8" s="31" customFormat="1" ht="25.5" hidden="1" customHeight="1" x14ac:dyDescent="0.3">
      <c r="A154" s="66"/>
      <c r="B154" s="66"/>
      <c r="C154" s="31" t="s">
        <v>132</v>
      </c>
      <c r="D154" s="31" t="s">
        <v>133</v>
      </c>
      <c r="E154" s="63"/>
      <c r="F154" s="63"/>
      <c r="G154" s="63"/>
      <c r="H154" s="99"/>
    </row>
    <row r="155" spans="1:8" s="31" customFormat="1" ht="25.5" hidden="1" customHeight="1" x14ac:dyDescent="0.3">
      <c r="C155" s="31" t="s">
        <v>132</v>
      </c>
      <c r="D155" s="31" t="s">
        <v>134</v>
      </c>
      <c r="E155" s="63" t="s">
        <v>380</v>
      </c>
      <c r="F155" s="63" t="s">
        <v>96</v>
      </c>
      <c r="G155" s="63" t="s">
        <v>553</v>
      </c>
    </row>
    <row r="156" spans="1:8" s="31" customFormat="1" ht="25.5" hidden="1" customHeight="1" x14ac:dyDescent="0.3">
      <c r="C156" s="31" t="s">
        <v>132</v>
      </c>
      <c r="D156" s="31" t="s">
        <v>159</v>
      </c>
      <c r="E156" s="63" t="s">
        <v>380</v>
      </c>
      <c r="F156" s="63" t="s">
        <v>176</v>
      </c>
      <c r="G156" s="63" t="s">
        <v>635</v>
      </c>
    </row>
    <row r="157" spans="1:8" s="31" customFormat="1" ht="25.5" hidden="1" customHeight="1" x14ac:dyDescent="0.3">
      <c r="C157" s="31" t="s">
        <v>132</v>
      </c>
      <c r="D157" s="31" t="s">
        <v>160</v>
      </c>
      <c r="E157" s="63" t="s">
        <v>380</v>
      </c>
      <c r="F157" s="63" t="s">
        <v>176</v>
      </c>
      <c r="G157" s="63" t="s">
        <v>407</v>
      </c>
    </row>
    <row r="158" spans="1:8" s="31" customFormat="1" ht="25.5" hidden="1" customHeight="1" x14ac:dyDescent="0.3">
      <c r="C158" s="31" t="s">
        <v>132</v>
      </c>
      <c r="D158" s="31" t="s">
        <v>161</v>
      </c>
      <c r="E158" s="63" t="s">
        <v>380</v>
      </c>
      <c r="F158" s="63" t="s">
        <v>176</v>
      </c>
      <c r="G158" s="63" t="s">
        <v>421</v>
      </c>
    </row>
    <row r="159" spans="1:8" s="31" customFormat="1" ht="25.5" hidden="1" customHeight="1" x14ac:dyDescent="0.3">
      <c r="C159" s="31" t="s">
        <v>132</v>
      </c>
      <c r="D159" s="31" t="s">
        <v>132</v>
      </c>
      <c r="E159" s="63" t="s">
        <v>380</v>
      </c>
      <c r="F159" s="63" t="s">
        <v>176</v>
      </c>
      <c r="G159" s="63" t="s">
        <v>469</v>
      </c>
    </row>
    <row r="160" spans="1:8" s="31" customFormat="1" ht="25.5" hidden="1" customHeight="1" x14ac:dyDescent="0.3">
      <c r="C160" s="31" t="s">
        <v>132</v>
      </c>
      <c r="D160" s="31" t="s">
        <v>162</v>
      </c>
      <c r="E160" s="63" t="s">
        <v>380</v>
      </c>
      <c r="F160" s="63" t="s">
        <v>380</v>
      </c>
      <c r="G160" s="63" t="s">
        <v>381</v>
      </c>
    </row>
    <row r="161" spans="3:7" s="31" customFormat="1" ht="25.5" hidden="1" customHeight="1" x14ac:dyDescent="0.3">
      <c r="C161" s="31" t="s">
        <v>135</v>
      </c>
      <c r="D161" s="31" t="s">
        <v>136</v>
      </c>
      <c r="E161" s="63" t="s">
        <v>380</v>
      </c>
      <c r="F161" s="63" t="s">
        <v>380</v>
      </c>
      <c r="G161" s="63" t="s">
        <v>382</v>
      </c>
    </row>
    <row r="162" spans="3:7" s="31" customFormat="1" ht="25.5" hidden="1" customHeight="1" x14ac:dyDescent="0.3">
      <c r="C162" s="31" t="s">
        <v>135</v>
      </c>
      <c r="D162" s="31" t="s">
        <v>163</v>
      </c>
      <c r="E162" s="63" t="s">
        <v>380</v>
      </c>
      <c r="F162" s="63" t="s">
        <v>380</v>
      </c>
      <c r="G162" s="63" t="s">
        <v>383</v>
      </c>
    </row>
    <row r="163" spans="3:7" s="31" customFormat="1" ht="25.5" hidden="1" customHeight="1" x14ac:dyDescent="0.3">
      <c r="C163" s="31" t="s">
        <v>135</v>
      </c>
      <c r="D163" s="31" t="s">
        <v>137</v>
      </c>
      <c r="E163" s="63" t="s">
        <v>380</v>
      </c>
      <c r="F163" s="63" t="s">
        <v>380</v>
      </c>
      <c r="G163" s="63" t="s">
        <v>186</v>
      </c>
    </row>
    <row r="164" spans="3:7" s="31" customFormat="1" ht="25.5" hidden="1" customHeight="1" x14ac:dyDescent="0.3">
      <c r="C164" s="31" t="s">
        <v>135</v>
      </c>
      <c r="D164" s="31" t="s">
        <v>135</v>
      </c>
      <c r="E164" s="63" t="s">
        <v>380</v>
      </c>
      <c r="F164" s="63" t="s">
        <v>380</v>
      </c>
      <c r="G164" s="63" t="s">
        <v>187</v>
      </c>
    </row>
    <row r="165" spans="3:7" s="31" customFormat="1" ht="25.5" hidden="1" customHeight="1" x14ac:dyDescent="0.3">
      <c r="E165" s="63" t="s">
        <v>380</v>
      </c>
      <c r="F165" s="63" t="s">
        <v>380</v>
      </c>
      <c r="G165" s="63" t="s">
        <v>665</v>
      </c>
    </row>
    <row r="166" spans="3:7" s="31" customFormat="1" ht="25.5" hidden="1" customHeight="1" x14ac:dyDescent="0.3">
      <c r="E166" s="63" t="s">
        <v>380</v>
      </c>
      <c r="F166" s="63" t="s">
        <v>380</v>
      </c>
      <c r="G166" s="63" t="s">
        <v>604</v>
      </c>
    </row>
    <row r="167" spans="3:7" s="31" customFormat="1" ht="25.5" hidden="1" customHeight="1" x14ac:dyDescent="0.3">
      <c r="E167" s="63" t="s">
        <v>380</v>
      </c>
      <c r="F167" s="63" t="s">
        <v>380</v>
      </c>
      <c r="G167" s="63" t="s">
        <v>605</v>
      </c>
    </row>
    <row r="168" spans="3:7" s="31" customFormat="1" ht="25.5" hidden="1" customHeight="1" x14ac:dyDescent="0.3">
      <c r="E168" s="63" t="s">
        <v>380</v>
      </c>
      <c r="F168" s="63" t="s">
        <v>380</v>
      </c>
      <c r="G168" s="63" t="s">
        <v>384</v>
      </c>
    </row>
    <row r="169" spans="3:7" s="31" customFormat="1" ht="25.5" hidden="1" customHeight="1" x14ac:dyDescent="0.3">
      <c r="E169" s="63" t="s">
        <v>380</v>
      </c>
      <c r="F169" s="63" t="s">
        <v>380</v>
      </c>
      <c r="G169" s="63" t="s">
        <v>385</v>
      </c>
    </row>
    <row r="170" spans="3:7" s="31" customFormat="1" ht="25.5" hidden="1" customHeight="1" x14ac:dyDescent="0.3">
      <c r="E170" s="63" t="s">
        <v>380</v>
      </c>
      <c r="F170" s="63" t="s">
        <v>380</v>
      </c>
      <c r="G170" s="63" t="s">
        <v>386</v>
      </c>
    </row>
    <row r="171" spans="3:7" s="31" customFormat="1" ht="25.5" hidden="1" customHeight="1" x14ac:dyDescent="0.3">
      <c r="E171" s="63" t="s">
        <v>380</v>
      </c>
      <c r="F171" s="63" t="s">
        <v>380</v>
      </c>
      <c r="G171" s="63" t="s">
        <v>387</v>
      </c>
    </row>
    <row r="172" spans="3:7" s="31" customFormat="1" ht="25.5" hidden="1" customHeight="1" x14ac:dyDescent="0.3">
      <c r="E172" s="63" t="s">
        <v>380</v>
      </c>
      <c r="F172" s="63" t="s">
        <v>380</v>
      </c>
      <c r="G172" s="63" t="s">
        <v>396</v>
      </c>
    </row>
    <row r="173" spans="3:7" s="31" customFormat="1" ht="25.5" hidden="1" customHeight="1" x14ac:dyDescent="0.3">
      <c r="E173" s="63" t="s">
        <v>380</v>
      </c>
      <c r="F173" s="63" t="s">
        <v>380</v>
      </c>
      <c r="G173" s="63" t="s">
        <v>397</v>
      </c>
    </row>
    <row r="174" spans="3:7" s="31" customFormat="1" ht="25.5" hidden="1" customHeight="1" x14ac:dyDescent="0.3">
      <c r="E174" s="63" t="s">
        <v>380</v>
      </c>
      <c r="F174" s="63" t="s">
        <v>380</v>
      </c>
      <c r="G174" s="63" t="s">
        <v>398</v>
      </c>
    </row>
    <row r="175" spans="3:7" s="31" customFormat="1" ht="25.5" hidden="1" customHeight="1" x14ac:dyDescent="0.3">
      <c r="E175" s="63" t="s">
        <v>380</v>
      </c>
      <c r="F175" s="63" t="s">
        <v>380</v>
      </c>
      <c r="G175" s="63" t="s">
        <v>405</v>
      </c>
    </row>
    <row r="176" spans="3:7" s="31" customFormat="1" ht="25.5" hidden="1" customHeight="1" x14ac:dyDescent="0.3">
      <c r="E176" s="63" t="s">
        <v>380</v>
      </c>
      <c r="F176" s="63" t="s">
        <v>380</v>
      </c>
      <c r="G176" s="63" t="s">
        <v>420</v>
      </c>
    </row>
    <row r="177" spans="5:7" s="31" customFormat="1" ht="25.5" hidden="1" customHeight="1" x14ac:dyDescent="0.3">
      <c r="E177" s="63" t="s">
        <v>380</v>
      </c>
      <c r="F177" s="63" t="s">
        <v>380</v>
      </c>
      <c r="G177" s="63" t="s">
        <v>470</v>
      </c>
    </row>
    <row r="178" spans="5:7" s="31" customFormat="1" ht="25.5" hidden="1" customHeight="1" x14ac:dyDescent="0.3">
      <c r="E178" s="63" t="s">
        <v>380</v>
      </c>
      <c r="F178" s="63" t="s">
        <v>380</v>
      </c>
      <c r="G178" s="63" t="s">
        <v>471</v>
      </c>
    </row>
    <row r="179" spans="5:7" s="31" customFormat="1" ht="25.5" hidden="1" customHeight="1" x14ac:dyDescent="0.3">
      <c r="E179" s="63"/>
      <c r="F179" s="63"/>
      <c r="G179" s="63"/>
    </row>
    <row r="180" spans="5:7" s="31" customFormat="1" ht="25.5" hidden="1" customHeight="1" x14ac:dyDescent="0.3">
      <c r="E180" s="63"/>
      <c r="F180" s="63"/>
      <c r="G180" s="63"/>
    </row>
    <row r="181" spans="5:7" s="31" customFormat="1" ht="25.5" hidden="1" customHeight="1" x14ac:dyDescent="0.3">
      <c r="E181" s="63"/>
      <c r="F181" s="63"/>
      <c r="G181" s="63"/>
    </row>
    <row r="182" spans="5:7" s="31" customFormat="1" ht="25.5" hidden="1" customHeight="1" x14ac:dyDescent="0.3">
      <c r="E182" s="63"/>
      <c r="F182" s="63"/>
      <c r="G182" s="63"/>
    </row>
    <row r="183" spans="5:7" s="31" customFormat="1" ht="25.5" hidden="1" customHeight="1" x14ac:dyDescent="0.3">
      <c r="E183" s="63"/>
      <c r="F183" s="63"/>
      <c r="G183" s="63"/>
    </row>
    <row r="184" spans="5:7" s="31" customFormat="1" ht="25.5" hidden="1" customHeight="1" x14ac:dyDescent="0.3">
      <c r="E184" s="63"/>
      <c r="F184" s="63"/>
      <c r="G184" s="63"/>
    </row>
    <row r="185" spans="5:7" s="31" customFormat="1" ht="25.5" hidden="1" customHeight="1" x14ac:dyDescent="0.3">
      <c r="E185" s="63" t="s">
        <v>380</v>
      </c>
      <c r="F185" s="63" t="s">
        <v>101</v>
      </c>
      <c r="G185" s="63" t="s">
        <v>177</v>
      </c>
    </row>
    <row r="186" spans="5:7" s="31" customFormat="1" ht="25.5" hidden="1" customHeight="1" x14ac:dyDescent="0.3">
      <c r="E186" s="63" t="s">
        <v>380</v>
      </c>
      <c r="F186" s="63" t="s">
        <v>101</v>
      </c>
      <c r="G186" s="63" t="s">
        <v>666</v>
      </c>
    </row>
    <row r="187" spans="5:7" s="31" customFormat="1" ht="25.5" hidden="1" customHeight="1" x14ac:dyDescent="0.3">
      <c r="E187" s="63" t="s">
        <v>380</v>
      </c>
      <c r="F187" s="63" t="s">
        <v>101</v>
      </c>
      <c r="G187" s="63" t="s">
        <v>554</v>
      </c>
    </row>
    <row r="188" spans="5:7" s="31" customFormat="1" ht="25.5" hidden="1" customHeight="1" x14ac:dyDescent="0.3">
      <c r="E188" s="63" t="s">
        <v>380</v>
      </c>
      <c r="F188" s="63" t="s">
        <v>178</v>
      </c>
      <c r="G188" s="63" t="s">
        <v>636</v>
      </c>
    </row>
    <row r="189" spans="5:7" s="31" customFormat="1" ht="25.5" hidden="1" customHeight="1" x14ac:dyDescent="0.3">
      <c r="E189" s="63" t="s">
        <v>380</v>
      </c>
      <c r="F189" s="63" t="s">
        <v>178</v>
      </c>
      <c r="G189" s="101" t="s">
        <v>335</v>
      </c>
    </row>
    <row r="190" spans="5:7" s="31" customFormat="1" ht="25.5" hidden="1" customHeight="1" x14ac:dyDescent="0.3">
      <c r="E190" s="63" t="s">
        <v>380</v>
      </c>
      <c r="F190" s="63" t="s">
        <v>101</v>
      </c>
      <c r="G190" s="63" t="s">
        <v>345</v>
      </c>
    </row>
    <row r="191" spans="5:7" s="31" customFormat="1" ht="25.5" hidden="1" customHeight="1" x14ac:dyDescent="0.3">
      <c r="E191" s="63" t="s">
        <v>380</v>
      </c>
      <c r="F191" s="63" t="s">
        <v>101</v>
      </c>
      <c r="G191" s="63" t="s">
        <v>422</v>
      </c>
    </row>
    <row r="192" spans="5:7" s="31" customFormat="1" ht="25.5" hidden="1" customHeight="1" x14ac:dyDescent="0.3">
      <c r="E192" s="63" t="s">
        <v>380</v>
      </c>
      <c r="F192" s="63" t="s">
        <v>101</v>
      </c>
      <c r="G192" s="63" t="s">
        <v>472</v>
      </c>
    </row>
    <row r="193" spans="5:7" s="31" customFormat="1" ht="25.5" hidden="1" customHeight="1" x14ac:dyDescent="0.3">
      <c r="E193" s="63" t="s">
        <v>380</v>
      </c>
      <c r="F193" s="63" t="s">
        <v>101</v>
      </c>
      <c r="G193" s="63" t="s">
        <v>473</v>
      </c>
    </row>
    <row r="194" spans="5:7" s="31" customFormat="1" ht="25.5" hidden="1" customHeight="1" x14ac:dyDescent="0.3">
      <c r="E194" s="63" t="s">
        <v>380</v>
      </c>
      <c r="F194" s="63" t="s">
        <v>101</v>
      </c>
      <c r="G194" s="63" t="s">
        <v>474</v>
      </c>
    </row>
    <row r="195" spans="5:7" s="31" customFormat="1" ht="25.5" hidden="1" customHeight="1" x14ac:dyDescent="0.3">
      <c r="E195" s="63" t="s">
        <v>380</v>
      </c>
      <c r="F195" s="63" t="s">
        <v>101</v>
      </c>
      <c r="G195" s="63" t="s">
        <v>475</v>
      </c>
    </row>
    <row r="196" spans="5:7" s="31" customFormat="1" ht="25.5" hidden="1" customHeight="1" x14ac:dyDescent="0.3">
      <c r="E196" s="63" t="s">
        <v>380</v>
      </c>
      <c r="F196" s="63" t="s">
        <v>101</v>
      </c>
      <c r="G196" s="63" t="s">
        <v>476</v>
      </c>
    </row>
    <row r="197" spans="5:7" s="31" customFormat="1" ht="25.5" hidden="1" customHeight="1" x14ac:dyDescent="0.3">
      <c r="E197" s="63" t="s">
        <v>380</v>
      </c>
      <c r="F197" s="63" t="s">
        <v>101</v>
      </c>
      <c r="G197" s="63" t="s">
        <v>477</v>
      </c>
    </row>
    <row r="198" spans="5:7" s="31" customFormat="1" ht="25.5" hidden="1" customHeight="1" x14ac:dyDescent="0.3">
      <c r="E198" s="63" t="s">
        <v>380</v>
      </c>
      <c r="F198" s="63" t="s">
        <v>101</v>
      </c>
      <c r="G198" s="63" t="s">
        <v>478</v>
      </c>
    </row>
    <row r="199" spans="5:7" s="31" customFormat="1" ht="25.5" hidden="1" customHeight="1" x14ac:dyDescent="0.3">
      <c r="E199" s="63"/>
      <c r="F199" s="63"/>
      <c r="G199" s="63"/>
    </row>
    <row r="200" spans="5:7" s="31" customFormat="1" ht="25.5" hidden="1" customHeight="1" x14ac:dyDescent="0.3">
      <c r="E200" s="63" t="s">
        <v>380</v>
      </c>
      <c r="F200" s="63" t="s">
        <v>179</v>
      </c>
      <c r="G200" s="63" t="s">
        <v>555</v>
      </c>
    </row>
    <row r="201" spans="5:7" s="31" customFormat="1" ht="25.5" hidden="1" customHeight="1" x14ac:dyDescent="0.3">
      <c r="E201" s="63" t="s">
        <v>380</v>
      </c>
      <c r="F201" s="63" t="s">
        <v>179</v>
      </c>
      <c r="G201" s="63" t="s">
        <v>556</v>
      </c>
    </row>
    <row r="202" spans="5:7" s="31" customFormat="1" ht="25.5" hidden="1" customHeight="1" x14ac:dyDescent="0.3">
      <c r="E202" s="63" t="s">
        <v>380</v>
      </c>
      <c r="F202" s="63" t="s">
        <v>180</v>
      </c>
      <c r="G202" s="63" t="s">
        <v>637</v>
      </c>
    </row>
    <row r="203" spans="5:7" s="31" customFormat="1" ht="25.5" hidden="1" customHeight="1" x14ac:dyDescent="0.3">
      <c r="E203" s="63" t="s">
        <v>380</v>
      </c>
      <c r="F203" s="63" t="s">
        <v>188</v>
      </c>
      <c r="G203" s="63" t="s">
        <v>667</v>
      </c>
    </row>
    <row r="204" spans="5:7" s="31" customFormat="1" ht="25.5" hidden="1" customHeight="1" x14ac:dyDescent="0.3">
      <c r="E204" s="63" t="s">
        <v>380</v>
      </c>
      <c r="F204" s="63" t="s">
        <v>188</v>
      </c>
      <c r="G204" s="103" t="s">
        <v>689</v>
      </c>
    </row>
    <row r="205" spans="5:7" s="31" customFormat="1" ht="25.5" hidden="1" customHeight="1" x14ac:dyDescent="0.3">
      <c r="E205" s="63" t="s">
        <v>380</v>
      </c>
      <c r="F205" s="63" t="s">
        <v>188</v>
      </c>
      <c r="G205" s="103" t="s">
        <v>690</v>
      </c>
    </row>
    <row r="206" spans="5:7" s="31" customFormat="1" ht="25.5" hidden="1" customHeight="1" x14ac:dyDescent="0.3">
      <c r="E206" s="63" t="s">
        <v>380</v>
      </c>
      <c r="F206" s="63" t="s">
        <v>179</v>
      </c>
      <c r="G206" s="101" t="s">
        <v>343</v>
      </c>
    </row>
    <row r="207" spans="5:7" s="31" customFormat="1" ht="25.5" hidden="1" customHeight="1" x14ac:dyDescent="0.3">
      <c r="E207" s="63"/>
      <c r="F207" s="63"/>
      <c r="G207" s="101"/>
    </row>
    <row r="208" spans="5:7" s="31" customFormat="1" ht="25.5" hidden="1" customHeight="1" x14ac:dyDescent="0.3">
      <c r="E208" s="63"/>
      <c r="F208" s="63"/>
      <c r="G208" s="100"/>
    </row>
    <row r="209" spans="5:7" s="31" customFormat="1" ht="25.5" hidden="1" customHeight="1" x14ac:dyDescent="0.3">
      <c r="E209" s="63"/>
      <c r="F209" s="63"/>
      <c r="G209" s="63"/>
    </row>
    <row r="210" spans="5:7" s="31" customFormat="1" ht="25.5" hidden="1" customHeight="1" x14ac:dyDescent="0.3">
      <c r="E210" s="63" t="s">
        <v>380</v>
      </c>
      <c r="F210" s="63" t="s">
        <v>142</v>
      </c>
      <c r="G210" s="63" t="s">
        <v>638</v>
      </c>
    </row>
    <row r="211" spans="5:7" s="31" customFormat="1" ht="25.5" hidden="1" customHeight="1" x14ac:dyDescent="0.3">
      <c r="E211" s="63" t="s">
        <v>380</v>
      </c>
      <c r="F211" s="63" t="s">
        <v>142</v>
      </c>
      <c r="G211" s="63" t="s">
        <v>557</v>
      </c>
    </row>
    <row r="212" spans="5:7" s="31" customFormat="1" ht="25.5" hidden="1" customHeight="1" x14ac:dyDescent="0.3">
      <c r="E212" s="63" t="s">
        <v>380</v>
      </c>
      <c r="F212" s="63" t="s">
        <v>142</v>
      </c>
      <c r="G212" s="63" t="s">
        <v>389</v>
      </c>
    </row>
    <row r="213" spans="5:7" s="31" customFormat="1" ht="25.5" hidden="1" customHeight="1" x14ac:dyDescent="0.3">
      <c r="E213" s="63" t="s">
        <v>380</v>
      </c>
      <c r="F213" s="63" t="s">
        <v>142</v>
      </c>
      <c r="G213" s="63" t="s">
        <v>606</v>
      </c>
    </row>
    <row r="214" spans="5:7" s="31" customFormat="1" ht="25.5" hidden="1" customHeight="1" x14ac:dyDescent="0.3">
      <c r="E214" s="63"/>
      <c r="F214" s="63"/>
      <c r="G214" s="63"/>
    </row>
    <row r="215" spans="5:7" s="31" customFormat="1" ht="25.5" hidden="1" customHeight="1" x14ac:dyDescent="0.3">
      <c r="E215" s="63" t="s">
        <v>380</v>
      </c>
      <c r="F215" s="63" t="s">
        <v>143</v>
      </c>
      <c r="G215" s="63" t="s">
        <v>181</v>
      </c>
    </row>
    <row r="216" spans="5:7" s="31" customFormat="1" ht="25.5" hidden="1" customHeight="1" x14ac:dyDescent="0.3">
      <c r="E216" s="63" t="s">
        <v>380</v>
      </c>
      <c r="F216" s="63" t="s">
        <v>143</v>
      </c>
      <c r="G216" s="63" t="s">
        <v>390</v>
      </c>
    </row>
    <row r="217" spans="5:7" s="31" customFormat="1" ht="25.5" hidden="1" customHeight="1" x14ac:dyDescent="0.3">
      <c r="E217" s="63" t="s">
        <v>380</v>
      </c>
      <c r="F217" s="63" t="s">
        <v>143</v>
      </c>
      <c r="G217" s="63" t="s">
        <v>607</v>
      </c>
    </row>
    <row r="218" spans="5:7" s="31" customFormat="1" ht="25.5" hidden="1" customHeight="1" x14ac:dyDescent="0.3">
      <c r="E218" s="63"/>
      <c r="F218" s="63"/>
      <c r="G218" s="63"/>
    </row>
    <row r="219" spans="5:7" s="31" customFormat="1" ht="25.5" hidden="1" customHeight="1" x14ac:dyDescent="0.3">
      <c r="E219" s="63" t="s">
        <v>380</v>
      </c>
      <c r="F219" s="63" t="s">
        <v>182</v>
      </c>
      <c r="G219" s="63" t="s">
        <v>183</v>
      </c>
    </row>
    <row r="220" spans="5:7" s="31" customFormat="1" ht="25.5" hidden="1" customHeight="1" x14ac:dyDescent="0.3">
      <c r="E220" s="63" t="s">
        <v>380</v>
      </c>
      <c r="F220" s="63" t="s">
        <v>182</v>
      </c>
      <c r="G220" s="63" t="s">
        <v>344</v>
      </c>
    </row>
    <row r="221" spans="5:7" s="31" customFormat="1" ht="25.5" hidden="1" customHeight="1" x14ac:dyDescent="0.3">
      <c r="E221" s="63" t="s">
        <v>380</v>
      </c>
      <c r="F221" s="63" t="s">
        <v>182</v>
      </c>
      <c r="G221" s="63" t="s">
        <v>558</v>
      </c>
    </row>
    <row r="222" spans="5:7" s="31" customFormat="1" ht="25.5" hidden="1" customHeight="1" x14ac:dyDescent="0.3">
      <c r="E222" s="63" t="s">
        <v>380</v>
      </c>
      <c r="F222" s="63" t="s">
        <v>182</v>
      </c>
      <c r="G222" s="63" t="s">
        <v>391</v>
      </c>
    </row>
    <row r="223" spans="5:7" s="31" customFormat="1" ht="25.5" hidden="1" customHeight="1" x14ac:dyDescent="0.3">
      <c r="E223" s="63" t="s">
        <v>380</v>
      </c>
      <c r="F223" s="63" t="s">
        <v>182</v>
      </c>
      <c r="G223" s="63" t="s">
        <v>608</v>
      </c>
    </row>
    <row r="224" spans="5:7" s="31" customFormat="1" ht="25.5" hidden="1" customHeight="1" x14ac:dyDescent="0.3">
      <c r="E224" s="63" t="s">
        <v>380</v>
      </c>
      <c r="F224" s="63" t="s">
        <v>182</v>
      </c>
      <c r="G224" s="63" t="s">
        <v>423</v>
      </c>
    </row>
    <row r="225" spans="5:7" s="31" customFormat="1" ht="25.5" hidden="1" customHeight="1" x14ac:dyDescent="0.3">
      <c r="E225" s="63" t="s">
        <v>380</v>
      </c>
      <c r="F225" s="63" t="s">
        <v>184</v>
      </c>
      <c r="G225" s="63" t="s">
        <v>639</v>
      </c>
    </row>
    <row r="226" spans="5:7" s="31" customFormat="1" ht="25.5" hidden="1" customHeight="1" x14ac:dyDescent="0.3">
      <c r="E226" s="63" t="s">
        <v>380</v>
      </c>
      <c r="F226" s="63" t="s">
        <v>189</v>
      </c>
      <c r="G226" s="63" t="s">
        <v>668</v>
      </c>
    </row>
    <row r="227" spans="5:7" s="31" customFormat="1" ht="25.5" hidden="1" customHeight="1" x14ac:dyDescent="0.3">
      <c r="E227" s="63" t="s">
        <v>380</v>
      </c>
      <c r="F227" s="63" t="s">
        <v>189</v>
      </c>
      <c r="G227" s="63" t="s">
        <v>392</v>
      </c>
    </row>
    <row r="228" spans="5:7" s="31" customFormat="1" ht="25.5" hidden="1" customHeight="1" x14ac:dyDescent="0.3">
      <c r="E228" s="63" t="s">
        <v>380</v>
      </c>
      <c r="F228" s="63" t="s">
        <v>189</v>
      </c>
      <c r="G228" s="63" t="s">
        <v>393</v>
      </c>
    </row>
    <row r="229" spans="5:7" s="31" customFormat="1" ht="25.5" hidden="1" customHeight="1" x14ac:dyDescent="0.3">
      <c r="E229" s="63" t="s">
        <v>380</v>
      </c>
      <c r="F229" s="63" t="s">
        <v>189</v>
      </c>
      <c r="G229" s="63" t="s">
        <v>394</v>
      </c>
    </row>
    <row r="230" spans="5:7" s="31" customFormat="1" ht="25.5" hidden="1" customHeight="1" x14ac:dyDescent="0.3">
      <c r="E230" s="63" t="s">
        <v>380</v>
      </c>
      <c r="F230" s="63" t="s">
        <v>189</v>
      </c>
      <c r="G230" s="63" t="s">
        <v>424</v>
      </c>
    </row>
    <row r="231" spans="5:7" s="31" customFormat="1" ht="25.5" hidden="1" customHeight="1" x14ac:dyDescent="0.3">
      <c r="E231" s="63" t="s">
        <v>380</v>
      </c>
      <c r="F231" s="63" t="s">
        <v>189</v>
      </c>
      <c r="G231" s="63" t="s">
        <v>526</v>
      </c>
    </row>
    <row r="232" spans="5:7" s="31" customFormat="1" ht="25.5" hidden="1" customHeight="1" x14ac:dyDescent="0.3">
      <c r="E232" s="63" t="s">
        <v>380</v>
      </c>
      <c r="F232" s="63" t="s">
        <v>189</v>
      </c>
      <c r="G232" s="63" t="s">
        <v>688</v>
      </c>
    </row>
    <row r="233" spans="5:7" s="31" customFormat="1" ht="25.5" hidden="1" customHeight="1" x14ac:dyDescent="0.3">
      <c r="E233" s="63"/>
      <c r="F233" s="63"/>
      <c r="G233" s="63"/>
    </row>
    <row r="234" spans="5:7" s="31" customFormat="1" ht="25.5" hidden="1" customHeight="1" x14ac:dyDescent="0.3">
      <c r="E234" s="63" t="s">
        <v>380</v>
      </c>
      <c r="F234" s="63" t="s">
        <v>185</v>
      </c>
      <c r="G234" s="63" t="s">
        <v>640</v>
      </c>
    </row>
    <row r="235" spans="5:7" s="31" customFormat="1" ht="25.5" hidden="1" customHeight="1" x14ac:dyDescent="0.3">
      <c r="E235" s="63" t="s">
        <v>380</v>
      </c>
      <c r="F235" s="63" t="s">
        <v>185</v>
      </c>
      <c r="G235" s="63" t="s">
        <v>395</v>
      </c>
    </row>
    <row r="236" spans="5:7" s="31" customFormat="1" ht="25.5" hidden="1" customHeight="1" x14ac:dyDescent="0.3">
      <c r="E236" s="63"/>
      <c r="F236" s="63"/>
      <c r="G236" s="63"/>
    </row>
    <row r="237" spans="5:7" s="31" customFormat="1" ht="25.5" hidden="1" customHeight="1" x14ac:dyDescent="0.3">
      <c r="E237" s="63"/>
      <c r="F237" s="63"/>
      <c r="G237" s="63"/>
    </row>
    <row r="238" spans="5:7" s="31" customFormat="1" ht="25.5" hidden="1" customHeight="1" x14ac:dyDescent="0.3">
      <c r="E238" s="63" t="s">
        <v>109</v>
      </c>
      <c r="F238" s="63" t="s">
        <v>190</v>
      </c>
      <c r="G238" s="63" t="s">
        <v>286</v>
      </c>
    </row>
    <row r="239" spans="5:7" s="31" customFormat="1" ht="25.5" hidden="1" customHeight="1" x14ac:dyDescent="0.3">
      <c r="E239" s="63" t="s">
        <v>109</v>
      </c>
      <c r="F239" s="63" t="s">
        <v>190</v>
      </c>
      <c r="G239" s="63" t="s">
        <v>118</v>
      </c>
    </row>
    <row r="240" spans="5:7" s="31" customFormat="1" ht="25.5" hidden="1" customHeight="1" x14ac:dyDescent="0.3">
      <c r="E240" s="63" t="s">
        <v>109</v>
      </c>
      <c r="F240" s="63" t="s">
        <v>190</v>
      </c>
      <c r="G240" s="63" t="s">
        <v>119</v>
      </c>
    </row>
    <row r="241" spans="5:7" s="31" customFormat="1" ht="25.5" hidden="1" customHeight="1" x14ac:dyDescent="0.3">
      <c r="E241" s="63" t="s">
        <v>109</v>
      </c>
      <c r="F241" s="63" t="s">
        <v>109</v>
      </c>
      <c r="G241" s="63" t="s">
        <v>191</v>
      </c>
    </row>
    <row r="242" spans="5:7" s="31" customFormat="1" ht="25.5" hidden="1" customHeight="1" x14ac:dyDescent="0.3">
      <c r="E242" s="63" t="s">
        <v>109</v>
      </c>
      <c r="F242" s="63" t="s">
        <v>109</v>
      </c>
      <c r="G242" s="63" t="s">
        <v>192</v>
      </c>
    </row>
    <row r="243" spans="5:7" s="31" customFormat="1" ht="25.5" hidden="1" customHeight="1" x14ac:dyDescent="0.3">
      <c r="E243" s="63" t="s">
        <v>109</v>
      </c>
      <c r="F243" s="63" t="s">
        <v>109</v>
      </c>
      <c r="G243" s="63" t="s">
        <v>193</v>
      </c>
    </row>
    <row r="244" spans="5:7" s="31" customFormat="1" ht="25.5" hidden="1" customHeight="1" x14ac:dyDescent="0.3">
      <c r="E244" s="63" t="s">
        <v>109</v>
      </c>
      <c r="F244" s="63" t="s">
        <v>109</v>
      </c>
      <c r="G244" s="63" t="s">
        <v>194</v>
      </c>
    </row>
    <row r="245" spans="5:7" s="31" customFormat="1" ht="25.5" hidden="1" customHeight="1" x14ac:dyDescent="0.3">
      <c r="E245" s="63" t="s">
        <v>109</v>
      </c>
      <c r="F245" s="63" t="s">
        <v>109</v>
      </c>
      <c r="G245" s="63" t="s">
        <v>195</v>
      </c>
    </row>
    <row r="246" spans="5:7" s="31" customFormat="1" ht="25.5" hidden="1" customHeight="1" x14ac:dyDescent="0.3">
      <c r="E246" s="63" t="s">
        <v>109</v>
      </c>
      <c r="F246" s="63" t="s">
        <v>109</v>
      </c>
      <c r="G246" s="63" t="s">
        <v>669</v>
      </c>
    </row>
    <row r="247" spans="5:7" s="31" customFormat="1" ht="25.5" hidden="1" customHeight="1" x14ac:dyDescent="0.3">
      <c r="E247" s="63" t="s">
        <v>109</v>
      </c>
      <c r="F247" s="63" t="s">
        <v>109</v>
      </c>
      <c r="G247" s="63" t="s">
        <v>670</v>
      </c>
    </row>
    <row r="248" spans="5:7" s="31" customFormat="1" ht="25.5" hidden="1" customHeight="1" x14ac:dyDescent="0.3">
      <c r="E248" s="63" t="s">
        <v>109</v>
      </c>
      <c r="F248" s="63" t="s">
        <v>190</v>
      </c>
      <c r="G248" s="63" t="s">
        <v>671</v>
      </c>
    </row>
    <row r="249" spans="5:7" s="31" customFormat="1" ht="25.5" hidden="1" customHeight="1" x14ac:dyDescent="0.3">
      <c r="E249" s="63" t="s">
        <v>109</v>
      </c>
      <c r="F249" s="63" t="s">
        <v>190</v>
      </c>
      <c r="G249" s="63" t="s">
        <v>672</v>
      </c>
    </row>
    <row r="250" spans="5:7" s="31" customFormat="1" ht="25.5" hidden="1" customHeight="1" x14ac:dyDescent="0.3">
      <c r="E250" s="63" t="s">
        <v>109</v>
      </c>
      <c r="F250" s="63" t="s">
        <v>190</v>
      </c>
      <c r="G250" s="63" t="s">
        <v>673</v>
      </c>
    </row>
    <row r="251" spans="5:7" s="31" customFormat="1" ht="25.5" hidden="1" customHeight="1" x14ac:dyDescent="0.3">
      <c r="E251" s="63" t="s">
        <v>109</v>
      </c>
      <c r="F251" s="63" t="s">
        <v>196</v>
      </c>
      <c r="G251" s="63" t="s">
        <v>197</v>
      </c>
    </row>
    <row r="252" spans="5:7" s="31" customFormat="1" ht="25.5" hidden="1" customHeight="1" x14ac:dyDescent="0.3">
      <c r="E252" s="31" t="s">
        <v>109</v>
      </c>
      <c r="F252" s="31" t="s">
        <v>196</v>
      </c>
      <c r="G252" s="31" t="s">
        <v>108</v>
      </c>
    </row>
    <row r="253" spans="5:7" s="31" customFormat="1" ht="25.5" hidden="1" customHeight="1" x14ac:dyDescent="0.3">
      <c r="E253" s="31" t="s">
        <v>109</v>
      </c>
      <c r="F253" s="31" t="s">
        <v>196</v>
      </c>
      <c r="G253" s="31" t="s">
        <v>198</v>
      </c>
    </row>
    <row r="254" spans="5:7" s="31" customFormat="1" ht="25.5" hidden="1" customHeight="1" x14ac:dyDescent="0.3">
      <c r="E254" s="31" t="s">
        <v>109</v>
      </c>
      <c r="F254" s="31" t="s">
        <v>196</v>
      </c>
      <c r="G254" s="31" t="s">
        <v>199</v>
      </c>
    </row>
    <row r="255" spans="5:7" s="31" customFormat="1" ht="25.5" hidden="1" customHeight="1" x14ac:dyDescent="0.3">
      <c r="E255" s="31" t="s">
        <v>109</v>
      </c>
      <c r="F255" s="31" t="s">
        <v>196</v>
      </c>
      <c r="G255" s="31" t="s">
        <v>200</v>
      </c>
    </row>
    <row r="256" spans="5:7" s="31" customFormat="1" ht="25.5" hidden="1" customHeight="1" x14ac:dyDescent="0.3">
      <c r="E256" s="31" t="s">
        <v>109</v>
      </c>
      <c r="F256" s="31" t="s">
        <v>196</v>
      </c>
      <c r="G256" s="31" t="s">
        <v>641</v>
      </c>
    </row>
    <row r="257" spans="5:7" s="31" customFormat="1" ht="25.5" hidden="1" customHeight="1" x14ac:dyDescent="0.3">
      <c r="E257" s="31" t="s">
        <v>109</v>
      </c>
      <c r="F257" s="31" t="s">
        <v>196</v>
      </c>
      <c r="G257" s="31" t="s">
        <v>201</v>
      </c>
    </row>
    <row r="258" spans="5:7" s="31" customFormat="1" ht="25.5" hidden="1" customHeight="1" x14ac:dyDescent="0.3">
      <c r="E258" s="31" t="s">
        <v>109</v>
      </c>
      <c r="F258" s="31" t="s">
        <v>196</v>
      </c>
      <c r="G258" s="31" t="s">
        <v>110</v>
      </c>
    </row>
    <row r="259" spans="5:7" s="31" customFormat="1" ht="25.5" hidden="1" customHeight="1" x14ac:dyDescent="0.3">
      <c r="E259" s="31" t="s">
        <v>109</v>
      </c>
      <c r="F259" s="31" t="s">
        <v>196</v>
      </c>
      <c r="G259" s="63" t="s">
        <v>319</v>
      </c>
    </row>
    <row r="260" spans="5:7" s="31" customFormat="1" ht="25.5" hidden="1" customHeight="1" x14ac:dyDescent="0.3">
      <c r="E260" s="31" t="s">
        <v>109</v>
      </c>
      <c r="F260" s="31" t="s">
        <v>109</v>
      </c>
      <c r="G260" s="31" t="s">
        <v>320</v>
      </c>
    </row>
    <row r="261" spans="5:7" s="31" customFormat="1" ht="25.5" hidden="1" customHeight="1" x14ac:dyDescent="0.3">
      <c r="E261" s="31" t="s">
        <v>109</v>
      </c>
      <c r="F261" s="31" t="s">
        <v>109</v>
      </c>
      <c r="G261" s="31" t="s">
        <v>322</v>
      </c>
    </row>
    <row r="262" spans="5:7" s="31" customFormat="1" ht="25.5" hidden="1" customHeight="1" x14ac:dyDescent="0.3">
      <c r="E262" s="31" t="s">
        <v>109</v>
      </c>
      <c r="F262" s="31" t="s">
        <v>109</v>
      </c>
      <c r="G262" s="31" t="s">
        <v>323</v>
      </c>
    </row>
    <row r="263" spans="5:7" s="31" customFormat="1" ht="25.5" hidden="1" customHeight="1" x14ac:dyDescent="0.3">
      <c r="E263" s="31" t="s">
        <v>109</v>
      </c>
      <c r="F263" s="31" t="s">
        <v>109</v>
      </c>
      <c r="G263" s="31" t="s">
        <v>609</v>
      </c>
    </row>
    <row r="264" spans="5:7" s="31" customFormat="1" ht="25.5" hidden="1" customHeight="1" x14ac:dyDescent="0.3">
      <c r="E264" s="31" t="s">
        <v>109</v>
      </c>
      <c r="F264" s="31" t="s">
        <v>109</v>
      </c>
      <c r="G264" s="31" t="s">
        <v>610</v>
      </c>
    </row>
    <row r="265" spans="5:7" s="31" customFormat="1" ht="25.5" hidden="1" customHeight="1" x14ac:dyDescent="0.3">
      <c r="E265" s="31" t="s">
        <v>109</v>
      </c>
      <c r="F265" s="31" t="s">
        <v>109</v>
      </c>
      <c r="G265" s="31" t="s">
        <v>327</v>
      </c>
    </row>
    <row r="266" spans="5:7" s="31" customFormat="1" ht="25.5" hidden="1" customHeight="1" x14ac:dyDescent="0.3">
      <c r="E266" s="31" t="s">
        <v>109</v>
      </c>
      <c r="F266" s="31" t="s">
        <v>109</v>
      </c>
      <c r="G266" s="31" t="s">
        <v>611</v>
      </c>
    </row>
    <row r="267" spans="5:7" s="31" customFormat="1" ht="25.5" hidden="1" customHeight="1" x14ac:dyDescent="0.3">
      <c r="E267" s="31" t="s">
        <v>109</v>
      </c>
      <c r="F267" s="31" t="s">
        <v>109</v>
      </c>
      <c r="G267" s="31" t="s">
        <v>329</v>
      </c>
    </row>
    <row r="268" spans="5:7" s="31" customFormat="1" ht="25.5" hidden="1" customHeight="1" x14ac:dyDescent="0.3">
      <c r="E268" s="31" t="s">
        <v>109</v>
      </c>
      <c r="F268" s="31" t="s">
        <v>109</v>
      </c>
      <c r="G268" s="31" t="s">
        <v>330</v>
      </c>
    </row>
    <row r="269" spans="5:7" s="31" customFormat="1" ht="25.5" hidden="1" customHeight="1" x14ac:dyDescent="0.3">
      <c r="E269" s="31" t="s">
        <v>109</v>
      </c>
      <c r="F269" s="31" t="s">
        <v>109</v>
      </c>
      <c r="G269" s="31" t="s">
        <v>328</v>
      </c>
    </row>
    <row r="270" spans="5:7" s="31" customFormat="1" ht="25.5" hidden="1" customHeight="1" x14ac:dyDescent="0.3">
      <c r="E270" s="31" t="s">
        <v>109</v>
      </c>
      <c r="F270" s="31" t="s">
        <v>109</v>
      </c>
      <c r="G270" s="103" t="s">
        <v>691</v>
      </c>
    </row>
    <row r="271" spans="5:7" s="31" customFormat="1" ht="25.5" hidden="1" customHeight="1" x14ac:dyDescent="0.3">
      <c r="E271" s="31" t="s">
        <v>109</v>
      </c>
      <c r="F271" s="31" t="s">
        <v>109</v>
      </c>
      <c r="G271" s="103" t="s">
        <v>692</v>
      </c>
    </row>
    <row r="272" spans="5:7" s="31" customFormat="1" ht="25.5" hidden="1" customHeight="1" x14ac:dyDescent="0.3">
      <c r="E272" s="31" t="s">
        <v>109</v>
      </c>
      <c r="F272" s="31" t="s">
        <v>109</v>
      </c>
      <c r="G272" s="101" t="s">
        <v>336</v>
      </c>
    </row>
    <row r="273" spans="5:7" s="31" customFormat="1" ht="25.5" hidden="1" customHeight="1" x14ac:dyDescent="0.3">
      <c r="E273" s="31" t="s">
        <v>109</v>
      </c>
      <c r="F273" s="31" t="s">
        <v>109</v>
      </c>
      <c r="G273" s="101" t="s">
        <v>348</v>
      </c>
    </row>
    <row r="274" spans="5:7" s="31" customFormat="1" ht="25.5" hidden="1" customHeight="1" x14ac:dyDescent="0.3">
      <c r="E274" s="31" t="s">
        <v>109</v>
      </c>
      <c r="F274" s="31" t="s">
        <v>109</v>
      </c>
      <c r="G274" s="31" t="s">
        <v>332</v>
      </c>
    </row>
    <row r="275" spans="5:7" s="31" customFormat="1" ht="25.5" hidden="1" customHeight="1" x14ac:dyDescent="0.3">
      <c r="E275" s="31" t="s">
        <v>109</v>
      </c>
      <c r="F275" s="31" t="s">
        <v>109</v>
      </c>
      <c r="G275" s="31" t="s">
        <v>400</v>
      </c>
    </row>
    <row r="276" spans="5:7" s="31" customFormat="1" ht="25.5" hidden="1" customHeight="1" x14ac:dyDescent="0.3">
      <c r="E276" s="31" t="s">
        <v>109</v>
      </c>
      <c r="F276" s="31" t="s">
        <v>109</v>
      </c>
      <c r="G276" s="147" t="s">
        <v>719</v>
      </c>
    </row>
    <row r="277" spans="5:7" s="31" customFormat="1" ht="25.5" hidden="1" customHeight="1" x14ac:dyDescent="0.3">
      <c r="E277" s="31" t="s">
        <v>109</v>
      </c>
      <c r="F277" s="31" t="s">
        <v>109</v>
      </c>
      <c r="G277" s="31" t="s">
        <v>721</v>
      </c>
    </row>
    <row r="278" spans="5:7" s="31" customFormat="1" ht="25.5" hidden="1" customHeight="1" x14ac:dyDescent="0.3">
      <c r="E278" s="31" t="s">
        <v>109</v>
      </c>
      <c r="F278" s="31" t="s">
        <v>109</v>
      </c>
      <c r="G278" s="147" t="s">
        <v>722</v>
      </c>
    </row>
    <row r="279" spans="5:7" s="31" customFormat="1" ht="25.5" hidden="1" customHeight="1" x14ac:dyDescent="0.3">
      <c r="E279" s="31" t="s">
        <v>109</v>
      </c>
      <c r="F279" s="31" t="s">
        <v>109</v>
      </c>
      <c r="G279" s="147"/>
    </row>
    <row r="280" spans="5:7" s="31" customFormat="1" ht="25.5" hidden="1" customHeight="1" x14ac:dyDescent="0.3">
      <c r="E280" s="31" t="s">
        <v>109</v>
      </c>
      <c r="F280" s="31" t="s">
        <v>109</v>
      </c>
      <c r="G280" s="149"/>
    </row>
    <row r="281" spans="5:7" s="31" customFormat="1" ht="25.5" hidden="1" customHeight="1" x14ac:dyDescent="0.3">
      <c r="E281" s="31" t="s">
        <v>109</v>
      </c>
      <c r="F281" s="31" t="s">
        <v>109</v>
      </c>
    </row>
    <row r="282" spans="5:7" s="31" customFormat="1" ht="25.5" hidden="1" customHeight="1" x14ac:dyDescent="0.3">
      <c r="E282" s="31" t="s">
        <v>109</v>
      </c>
      <c r="F282" s="31" t="s">
        <v>109</v>
      </c>
    </row>
    <row r="283" spans="5:7" s="31" customFormat="1" ht="25.5" hidden="1" customHeight="1" x14ac:dyDescent="0.3">
      <c r="E283" s="31" t="s">
        <v>109</v>
      </c>
      <c r="F283" s="31" t="s">
        <v>109</v>
      </c>
    </row>
    <row r="284" spans="5:7" s="31" customFormat="1" ht="25.5" hidden="1" customHeight="1" x14ac:dyDescent="0.3">
      <c r="E284" s="31" t="s">
        <v>109</v>
      </c>
      <c r="F284" s="31" t="s">
        <v>109</v>
      </c>
      <c r="G284" s="31" t="s">
        <v>485</v>
      </c>
    </row>
    <row r="285" spans="5:7" s="31" customFormat="1" ht="25.5" hidden="1" customHeight="1" x14ac:dyDescent="0.3">
      <c r="E285" s="31" t="s">
        <v>109</v>
      </c>
      <c r="F285" s="31" t="s">
        <v>111</v>
      </c>
      <c r="G285" s="31" t="s">
        <v>202</v>
      </c>
    </row>
    <row r="286" spans="5:7" s="31" customFormat="1" ht="25.5" hidden="1" customHeight="1" x14ac:dyDescent="0.3">
      <c r="E286" s="31" t="s">
        <v>109</v>
      </c>
      <c r="F286" s="31" t="s">
        <v>203</v>
      </c>
      <c r="G286" s="31" t="s">
        <v>642</v>
      </c>
    </row>
    <row r="287" spans="5:7" s="31" customFormat="1" ht="25.5" hidden="1" customHeight="1" x14ac:dyDescent="0.3">
      <c r="E287" s="31" t="s">
        <v>109</v>
      </c>
      <c r="F287" s="31" t="s">
        <v>203</v>
      </c>
      <c r="G287" s="31" t="s">
        <v>612</v>
      </c>
    </row>
    <row r="288" spans="5:7" s="31" customFormat="1" ht="25.5" hidden="1" customHeight="1" x14ac:dyDescent="0.3">
      <c r="E288" s="31" t="s">
        <v>109</v>
      </c>
      <c r="F288" s="31" t="s">
        <v>203</v>
      </c>
      <c r="G288" s="31" t="s">
        <v>487</v>
      </c>
    </row>
    <row r="289" spans="5:7" s="31" customFormat="1" ht="25.5" hidden="1" customHeight="1" x14ac:dyDescent="0.3">
      <c r="E289" s="31" t="s">
        <v>109</v>
      </c>
      <c r="F289" s="31" t="s">
        <v>203</v>
      </c>
      <c r="G289" s="31" t="s">
        <v>488</v>
      </c>
    </row>
    <row r="290" spans="5:7" s="31" customFormat="1" ht="25.5" hidden="1" customHeight="1" x14ac:dyDescent="0.3">
      <c r="E290" s="31" t="s">
        <v>109</v>
      </c>
      <c r="F290" s="31" t="s">
        <v>203</v>
      </c>
      <c r="G290" s="31" t="s">
        <v>489</v>
      </c>
    </row>
    <row r="291" spans="5:7" s="31" customFormat="1" ht="25.5" hidden="1" customHeight="1" x14ac:dyDescent="0.3"/>
    <row r="292" spans="5:7" s="31" customFormat="1" ht="25.5" hidden="1" customHeight="1" x14ac:dyDescent="0.3">
      <c r="E292" s="31" t="s">
        <v>109</v>
      </c>
      <c r="F292" s="31" t="s">
        <v>112</v>
      </c>
      <c r="G292" s="31" t="s">
        <v>559</v>
      </c>
    </row>
    <row r="293" spans="5:7" s="31" customFormat="1" ht="25.5" hidden="1" customHeight="1" x14ac:dyDescent="0.3">
      <c r="E293" s="31" t="s">
        <v>109</v>
      </c>
      <c r="F293" s="31" t="s">
        <v>204</v>
      </c>
      <c r="G293" s="31" t="s">
        <v>674</v>
      </c>
    </row>
    <row r="294" spans="5:7" s="31" customFormat="1" ht="25.5" hidden="1" customHeight="1" x14ac:dyDescent="0.3">
      <c r="E294" s="31" t="s">
        <v>109</v>
      </c>
      <c r="F294" s="31" t="s">
        <v>204</v>
      </c>
      <c r="G294" s="31" t="s">
        <v>675</v>
      </c>
    </row>
    <row r="295" spans="5:7" s="31" customFormat="1" ht="25.5" hidden="1" customHeight="1" x14ac:dyDescent="0.3">
      <c r="E295" s="31" t="s">
        <v>109</v>
      </c>
      <c r="F295" s="31" t="s">
        <v>205</v>
      </c>
      <c r="G295" s="31" t="s">
        <v>206</v>
      </c>
    </row>
    <row r="296" spans="5:7" s="31" customFormat="1" ht="25.5" hidden="1" customHeight="1" x14ac:dyDescent="0.3">
      <c r="E296" s="31" t="s">
        <v>109</v>
      </c>
      <c r="F296" s="31" t="s">
        <v>112</v>
      </c>
      <c r="G296" s="31" t="s">
        <v>560</v>
      </c>
    </row>
    <row r="297" spans="5:7" s="31" customFormat="1" ht="25.5" hidden="1" customHeight="1" x14ac:dyDescent="0.3">
      <c r="E297" s="31" t="s">
        <v>109</v>
      </c>
      <c r="F297" s="31" t="s">
        <v>112</v>
      </c>
      <c r="G297" s="101" t="s">
        <v>337</v>
      </c>
    </row>
    <row r="298" spans="5:7" s="31" customFormat="1" ht="25.5" hidden="1" customHeight="1" x14ac:dyDescent="0.3">
      <c r="E298" s="31" t="s">
        <v>109</v>
      </c>
      <c r="F298" s="31" t="s">
        <v>112</v>
      </c>
      <c r="G298" s="31" t="s">
        <v>492</v>
      </c>
    </row>
    <row r="299" spans="5:7" s="31" customFormat="1" ht="25.5" hidden="1" customHeight="1" x14ac:dyDescent="0.3"/>
    <row r="300" spans="5:7" s="31" customFormat="1" ht="25.5" hidden="1" customHeight="1" x14ac:dyDescent="0.3">
      <c r="E300" s="31" t="s">
        <v>109</v>
      </c>
      <c r="F300" s="31" t="s">
        <v>113</v>
      </c>
      <c r="G300" s="31" t="s">
        <v>561</v>
      </c>
    </row>
    <row r="301" spans="5:7" s="31" customFormat="1" ht="25.5" hidden="1" customHeight="1" x14ac:dyDescent="0.3">
      <c r="E301" s="31" t="s">
        <v>109</v>
      </c>
      <c r="F301" s="31" t="s">
        <v>207</v>
      </c>
      <c r="G301" s="31" t="s">
        <v>643</v>
      </c>
    </row>
    <row r="302" spans="5:7" s="31" customFormat="1" ht="25.5" hidden="1" customHeight="1" x14ac:dyDescent="0.3">
      <c r="E302" s="31" t="s">
        <v>109</v>
      </c>
      <c r="F302" s="31" t="s">
        <v>113</v>
      </c>
      <c r="G302" s="31" t="s">
        <v>562</v>
      </c>
    </row>
    <row r="303" spans="5:7" s="31" customFormat="1" ht="25.5" hidden="1" customHeight="1" x14ac:dyDescent="0.3">
      <c r="E303" s="31" t="s">
        <v>109</v>
      </c>
      <c r="F303" s="31" t="s">
        <v>113</v>
      </c>
      <c r="G303" s="31" t="s">
        <v>613</v>
      </c>
    </row>
    <row r="304" spans="5:7" s="31" customFormat="1" ht="25.5" hidden="1" customHeight="1" x14ac:dyDescent="0.3">
      <c r="E304" s="31" t="s">
        <v>109</v>
      </c>
      <c r="F304" s="31" t="s">
        <v>113</v>
      </c>
      <c r="G304" s="31" t="s">
        <v>493</v>
      </c>
    </row>
    <row r="305" spans="5:7" s="31" customFormat="1" ht="25.5" hidden="1" customHeight="1" x14ac:dyDescent="0.3">
      <c r="E305" s="31" t="s">
        <v>109</v>
      </c>
      <c r="F305" s="31" t="s">
        <v>114</v>
      </c>
      <c r="G305" s="31" t="s">
        <v>324</v>
      </c>
    </row>
    <row r="306" spans="5:7" s="31" customFormat="1" ht="25.5" hidden="1" customHeight="1" x14ac:dyDescent="0.3">
      <c r="E306" s="31" t="s">
        <v>109</v>
      </c>
      <c r="F306" s="31" t="s">
        <v>114</v>
      </c>
      <c r="G306" s="31" t="s">
        <v>563</v>
      </c>
    </row>
    <row r="307" spans="5:7" s="31" customFormat="1" ht="25.5" hidden="1" customHeight="1" x14ac:dyDescent="0.3">
      <c r="E307" s="31" t="s">
        <v>109</v>
      </c>
      <c r="F307" s="31" t="s">
        <v>208</v>
      </c>
      <c r="G307" s="31" t="s">
        <v>209</v>
      </c>
    </row>
    <row r="308" spans="5:7" s="31" customFormat="1" ht="25.5" hidden="1" customHeight="1" x14ac:dyDescent="0.3">
      <c r="E308" s="31" t="s">
        <v>109</v>
      </c>
      <c r="F308" s="31" t="s">
        <v>208</v>
      </c>
      <c r="G308" s="31" t="s">
        <v>414</v>
      </c>
    </row>
    <row r="309" spans="5:7" s="31" customFormat="1" ht="25.5" hidden="1" customHeight="1" x14ac:dyDescent="0.3">
      <c r="E309" s="31" t="s">
        <v>109</v>
      </c>
      <c r="F309" s="31" t="s">
        <v>208</v>
      </c>
      <c r="G309" s="31" t="s">
        <v>429</v>
      </c>
    </row>
    <row r="310" spans="5:7" s="31" customFormat="1" ht="25.5" hidden="1" customHeight="1" x14ac:dyDescent="0.3">
      <c r="E310" s="31" t="s">
        <v>109</v>
      </c>
      <c r="F310" s="31" t="s">
        <v>208</v>
      </c>
      <c r="G310" s="31" t="s">
        <v>501</v>
      </c>
    </row>
    <row r="311" spans="5:7" s="31" customFormat="1" ht="25.5" hidden="1" customHeight="1" x14ac:dyDescent="0.3">
      <c r="E311" s="31" t="s">
        <v>109</v>
      </c>
      <c r="F311" s="31" t="s">
        <v>208</v>
      </c>
      <c r="G311" s="31" t="s">
        <v>430</v>
      </c>
    </row>
    <row r="312" spans="5:7" s="31" customFormat="1" ht="25.5" hidden="1" customHeight="1" x14ac:dyDescent="0.3">
      <c r="E312" s="31" t="s">
        <v>109</v>
      </c>
      <c r="F312" s="31" t="s">
        <v>145</v>
      </c>
      <c r="G312" s="31" t="s">
        <v>210</v>
      </c>
    </row>
    <row r="313" spans="5:7" s="31" customFormat="1" ht="25.5" hidden="1" customHeight="1" x14ac:dyDescent="0.3">
      <c r="E313" s="31" t="s">
        <v>109</v>
      </c>
      <c r="F313" s="31" t="s">
        <v>145</v>
      </c>
      <c r="G313" s="31" t="s">
        <v>614</v>
      </c>
    </row>
    <row r="314" spans="5:7" s="31" customFormat="1" ht="25.5" hidden="1" customHeight="1" x14ac:dyDescent="0.3">
      <c r="E314" s="31" t="s">
        <v>109</v>
      </c>
      <c r="F314" s="31" t="s">
        <v>145</v>
      </c>
      <c r="G314" s="31" t="s">
        <v>427</v>
      </c>
    </row>
    <row r="315" spans="5:7" s="31" customFormat="1" ht="25.5" hidden="1" customHeight="1" x14ac:dyDescent="0.3">
      <c r="E315" s="31" t="s">
        <v>109</v>
      </c>
      <c r="F315" s="31" t="s">
        <v>145</v>
      </c>
      <c r="G315" s="31" t="s">
        <v>428</v>
      </c>
    </row>
    <row r="316" spans="5:7" s="31" customFormat="1" ht="25.5" hidden="1" customHeight="1" x14ac:dyDescent="0.3">
      <c r="E316" s="31" t="s">
        <v>109</v>
      </c>
      <c r="F316" s="31" t="s">
        <v>115</v>
      </c>
      <c r="G316" s="31" t="s">
        <v>564</v>
      </c>
    </row>
    <row r="317" spans="5:7" s="31" customFormat="1" ht="25.5" hidden="1" customHeight="1" x14ac:dyDescent="0.3">
      <c r="E317" s="31" t="s">
        <v>109</v>
      </c>
      <c r="F317" s="31" t="s">
        <v>211</v>
      </c>
      <c r="G317" s="31" t="s">
        <v>676</v>
      </c>
    </row>
    <row r="318" spans="5:7" s="31" customFormat="1" ht="25.5" hidden="1" customHeight="1" x14ac:dyDescent="0.3">
      <c r="E318" s="31" t="s">
        <v>109</v>
      </c>
      <c r="F318" s="31" t="s">
        <v>115</v>
      </c>
      <c r="G318" s="31" t="s">
        <v>349</v>
      </c>
    </row>
    <row r="319" spans="5:7" s="31" customFormat="1" ht="25.5" hidden="1" customHeight="1" x14ac:dyDescent="0.3">
      <c r="E319" s="31" t="s">
        <v>109</v>
      </c>
      <c r="F319" s="31" t="s">
        <v>212</v>
      </c>
      <c r="G319" s="31" t="s">
        <v>213</v>
      </c>
    </row>
    <row r="320" spans="5:7" s="31" customFormat="1" ht="25.5" hidden="1" customHeight="1" x14ac:dyDescent="0.3">
      <c r="E320" s="31" t="s">
        <v>109</v>
      </c>
      <c r="F320" s="31" t="s">
        <v>212</v>
      </c>
      <c r="G320" s="31" t="s">
        <v>402</v>
      </c>
    </row>
    <row r="321" spans="5:7" s="31" customFormat="1" ht="25.5" hidden="1" customHeight="1" x14ac:dyDescent="0.3">
      <c r="E321" s="31" t="s">
        <v>109</v>
      </c>
      <c r="F321" s="31" t="s">
        <v>212</v>
      </c>
      <c r="G321" s="31" t="s">
        <v>403</v>
      </c>
    </row>
    <row r="322" spans="5:7" s="31" customFormat="1" ht="25.5" hidden="1" customHeight="1" x14ac:dyDescent="0.3">
      <c r="E322" s="31" t="s">
        <v>109</v>
      </c>
      <c r="F322" s="31" t="s">
        <v>212</v>
      </c>
      <c r="G322" s="31" t="s">
        <v>505</v>
      </c>
    </row>
    <row r="323" spans="5:7" s="31" customFormat="1" ht="25.5" hidden="1" customHeight="1" x14ac:dyDescent="0.3">
      <c r="E323" s="31" t="s">
        <v>109</v>
      </c>
      <c r="F323" s="31" t="s">
        <v>146</v>
      </c>
      <c r="G323" s="31" t="s">
        <v>214</v>
      </c>
    </row>
    <row r="324" spans="5:7" s="31" customFormat="1" ht="25.5" hidden="1" customHeight="1" x14ac:dyDescent="0.3">
      <c r="E324" s="31" t="s">
        <v>109</v>
      </c>
      <c r="F324" s="31" t="s">
        <v>146</v>
      </c>
      <c r="G324" s="31" t="s">
        <v>565</v>
      </c>
    </row>
    <row r="325" spans="5:7" s="31" customFormat="1" ht="25.5" hidden="1" customHeight="1" x14ac:dyDescent="0.3">
      <c r="E325" s="31" t="s">
        <v>109</v>
      </c>
      <c r="F325" s="31" t="s">
        <v>146</v>
      </c>
      <c r="G325" s="101" t="s">
        <v>338</v>
      </c>
    </row>
    <row r="326" spans="5:7" s="31" customFormat="1" ht="25.5" hidden="1" customHeight="1" x14ac:dyDescent="0.3">
      <c r="E326" s="31" t="s">
        <v>109</v>
      </c>
      <c r="F326" s="31" t="s">
        <v>146</v>
      </c>
      <c r="G326" s="31" t="s">
        <v>615</v>
      </c>
    </row>
    <row r="327" spans="5:7" s="31" customFormat="1" ht="25.5" hidden="1" customHeight="1" x14ac:dyDescent="0.3">
      <c r="E327" s="31" t="s">
        <v>109</v>
      </c>
      <c r="F327" s="31" t="s">
        <v>146</v>
      </c>
      <c r="G327" s="31" t="s">
        <v>509</v>
      </c>
    </row>
    <row r="328" spans="5:7" s="31" customFormat="1" ht="25.5" hidden="1" customHeight="1" x14ac:dyDescent="0.3">
      <c r="E328" s="31" t="s">
        <v>109</v>
      </c>
      <c r="F328" s="31" t="s">
        <v>146</v>
      </c>
      <c r="G328" s="31" t="s">
        <v>510</v>
      </c>
    </row>
    <row r="329" spans="5:7" s="31" customFormat="1" ht="25.5" hidden="1" customHeight="1" x14ac:dyDescent="0.3">
      <c r="E329" s="31" t="s">
        <v>109</v>
      </c>
      <c r="F329" s="31" t="s">
        <v>215</v>
      </c>
      <c r="G329" s="31" t="s">
        <v>677</v>
      </c>
    </row>
    <row r="330" spans="5:7" s="31" customFormat="1" ht="25.5" hidden="1" customHeight="1" x14ac:dyDescent="0.3">
      <c r="E330" s="31" t="s">
        <v>109</v>
      </c>
      <c r="F330" s="31" t="s">
        <v>216</v>
      </c>
      <c r="G330" s="31" t="s">
        <v>217</v>
      </c>
    </row>
    <row r="331" spans="5:7" s="31" customFormat="1" ht="25.5" hidden="1" customHeight="1" x14ac:dyDescent="0.3">
      <c r="E331" s="31" t="s">
        <v>109</v>
      </c>
      <c r="F331" s="31" t="s">
        <v>216</v>
      </c>
      <c r="G331" s="31" t="s">
        <v>566</v>
      </c>
    </row>
    <row r="332" spans="5:7" s="31" customFormat="1" ht="25.5" hidden="1" customHeight="1" x14ac:dyDescent="0.3"/>
    <row r="333" spans="5:7" s="31" customFormat="1" ht="25.5" hidden="1" customHeight="1" x14ac:dyDescent="0.3">
      <c r="E333" s="31" t="s">
        <v>109</v>
      </c>
      <c r="F333" s="31" t="s">
        <v>216</v>
      </c>
      <c r="G333" s="101" t="s">
        <v>339</v>
      </c>
    </row>
    <row r="334" spans="5:7" s="31" customFormat="1" ht="25.5" hidden="1" customHeight="1" x14ac:dyDescent="0.3">
      <c r="E334" s="31" t="s">
        <v>109</v>
      </c>
      <c r="F334" s="31" t="s">
        <v>216</v>
      </c>
      <c r="G334" s="31" t="s">
        <v>518</v>
      </c>
    </row>
    <row r="335" spans="5:7" s="31" customFormat="1" ht="25.5" hidden="1" customHeight="1" x14ac:dyDescent="0.3"/>
    <row r="336" spans="5:7" s="31" customFormat="1" ht="25.5" hidden="1" customHeight="1" x14ac:dyDescent="0.3">
      <c r="E336" s="31" t="s">
        <v>109</v>
      </c>
      <c r="F336" s="31" t="s">
        <v>218</v>
      </c>
      <c r="G336" s="31" t="s">
        <v>219</v>
      </c>
    </row>
    <row r="337" spans="5:7" s="31" customFormat="1" ht="25.5" hidden="1" customHeight="1" x14ac:dyDescent="0.3">
      <c r="E337" s="31" t="s">
        <v>109</v>
      </c>
      <c r="F337" s="31" t="s">
        <v>218</v>
      </c>
      <c r="G337" s="31" t="s">
        <v>567</v>
      </c>
    </row>
    <row r="338" spans="5:7" s="31" customFormat="1" ht="25.5" hidden="1" customHeight="1" x14ac:dyDescent="0.3">
      <c r="E338" s="31" t="s">
        <v>109</v>
      </c>
      <c r="F338" s="31" t="s">
        <v>218</v>
      </c>
      <c r="G338" s="31" t="s">
        <v>350</v>
      </c>
    </row>
    <row r="339" spans="5:7" s="31" customFormat="1" ht="25.5" hidden="1" customHeight="1" x14ac:dyDescent="0.3">
      <c r="E339" s="31" t="s">
        <v>109</v>
      </c>
      <c r="F339" s="31" t="s">
        <v>220</v>
      </c>
      <c r="G339" s="31" t="s">
        <v>678</v>
      </c>
    </row>
    <row r="340" spans="5:7" s="31" customFormat="1" ht="25.5" hidden="1" customHeight="1" x14ac:dyDescent="0.3">
      <c r="E340" s="31" t="s">
        <v>109</v>
      </c>
      <c r="F340" s="31" t="s">
        <v>220</v>
      </c>
      <c r="G340" s="31" t="s">
        <v>519</v>
      </c>
    </row>
    <row r="341" spans="5:7" s="31" customFormat="1" ht="25.5" hidden="1" customHeight="1" x14ac:dyDescent="0.3">
      <c r="E341" s="31" t="s">
        <v>109</v>
      </c>
      <c r="F341" s="31" t="s">
        <v>220</v>
      </c>
      <c r="G341" s="31" t="s">
        <v>520</v>
      </c>
    </row>
    <row r="342" spans="5:7" s="31" customFormat="1" ht="25.5" hidden="1" customHeight="1" x14ac:dyDescent="0.3"/>
    <row r="343" spans="5:7" s="31" customFormat="1" ht="25.5" hidden="1" customHeight="1" x14ac:dyDescent="0.3">
      <c r="E343" s="31" t="s">
        <v>109</v>
      </c>
      <c r="F343" s="31" t="s">
        <v>148</v>
      </c>
      <c r="G343" s="31" t="s">
        <v>221</v>
      </c>
    </row>
    <row r="344" spans="5:7" s="31" customFormat="1" ht="25.5" hidden="1" customHeight="1" x14ac:dyDescent="0.3">
      <c r="E344" s="31" t="s">
        <v>109</v>
      </c>
      <c r="F344" s="31" t="s">
        <v>148</v>
      </c>
      <c r="G344" s="31" t="s">
        <v>568</v>
      </c>
    </row>
    <row r="345" spans="5:7" s="31" customFormat="1" ht="25.5" hidden="1" customHeight="1" x14ac:dyDescent="0.3">
      <c r="E345" s="31" t="s">
        <v>109</v>
      </c>
      <c r="F345" s="31" t="s">
        <v>148</v>
      </c>
      <c r="G345" s="31" t="s">
        <v>529</v>
      </c>
    </row>
    <row r="346" spans="5:7" s="31" customFormat="1" ht="25.5" hidden="1" customHeight="1" x14ac:dyDescent="0.3"/>
    <row r="347" spans="5:7" s="31" customFormat="1" ht="25.5" hidden="1" customHeight="1" x14ac:dyDescent="0.3"/>
    <row r="348" spans="5:7" s="31" customFormat="1" ht="25.5" hidden="1" customHeight="1" x14ac:dyDescent="0.3">
      <c r="E348" s="31" t="s">
        <v>109</v>
      </c>
      <c r="F348" s="31" t="s">
        <v>149</v>
      </c>
      <c r="G348" s="31" t="s">
        <v>222</v>
      </c>
    </row>
    <row r="349" spans="5:7" s="31" customFormat="1" ht="25.5" hidden="1" customHeight="1" x14ac:dyDescent="0.3">
      <c r="E349" s="31" t="s">
        <v>109</v>
      </c>
      <c r="F349" s="31" t="s">
        <v>149</v>
      </c>
      <c r="G349" s="31" t="s">
        <v>425</v>
      </c>
    </row>
    <row r="350" spans="5:7" s="31" customFormat="1" ht="25.5" hidden="1" customHeight="1" x14ac:dyDescent="0.3">
      <c r="E350" s="31" t="s">
        <v>109</v>
      </c>
      <c r="F350" s="31" t="s">
        <v>149</v>
      </c>
      <c r="G350" s="31" t="s">
        <v>426</v>
      </c>
    </row>
    <row r="351" spans="5:7" s="31" customFormat="1" ht="25.5" hidden="1" customHeight="1" x14ac:dyDescent="0.3"/>
    <row r="352" spans="5:7" s="31" customFormat="1" ht="25.5" hidden="1" customHeight="1" x14ac:dyDescent="0.3">
      <c r="E352" s="31" t="s">
        <v>109</v>
      </c>
      <c r="F352" s="31" t="s">
        <v>117</v>
      </c>
      <c r="G352" s="31" t="s">
        <v>644</v>
      </c>
    </row>
    <row r="353" spans="5:7" s="31" customFormat="1" ht="25.5" hidden="1" customHeight="1" x14ac:dyDescent="0.3">
      <c r="E353" s="31" t="s">
        <v>109</v>
      </c>
      <c r="F353" s="31" t="s">
        <v>117</v>
      </c>
      <c r="G353" s="31" t="s">
        <v>569</v>
      </c>
    </row>
    <row r="354" spans="5:7" s="31" customFormat="1" ht="25.5" hidden="1" customHeight="1" x14ac:dyDescent="0.3">
      <c r="E354" s="31" t="s">
        <v>109</v>
      </c>
      <c r="F354" s="31" t="s">
        <v>223</v>
      </c>
      <c r="G354" s="31" t="s">
        <v>224</v>
      </c>
    </row>
    <row r="355" spans="5:7" s="31" customFormat="1" ht="25.5" hidden="1" customHeight="1" x14ac:dyDescent="0.3">
      <c r="E355" s="31" t="s">
        <v>109</v>
      </c>
      <c r="F355" s="31" t="s">
        <v>117</v>
      </c>
      <c r="G355" s="31" t="s">
        <v>570</v>
      </c>
    </row>
    <row r="356" spans="5:7" s="31" customFormat="1" ht="25.5" hidden="1" customHeight="1" x14ac:dyDescent="0.3">
      <c r="E356" s="31" t="s">
        <v>109</v>
      </c>
      <c r="F356" s="31" t="s">
        <v>117</v>
      </c>
      <c r="G356" s="63" t="s">
        <v>399</v>
      </c>
    </row>
    <row r="357" spans="5:7" s="31" customFormat="1" ht="25.5" hidden="1" customHeight="1" x14ac:dyDescent="0.3">
      <c r="E357" s="31" t="s">
        <v>109</v>
      </c>
      <c r="F357" s="31" t="s">
        <v>117</v>
      </c>
      <c r="G357" s="63" t="s">
        <v>545</v>
      </c>
    </row>
    <row r="358" spans="5:7" s="31" customFormat="1" ht="25.5" hidden="1" customHeight="1" x14ac:dyDescent="0.3">
      <c r="E358" s="31" t="s">
        <v>109</v>
      </c>
      <c r="F358" s="31" t="s">
        <v>117</v>
      </c>
      <c r="G358" s="63" t="s">
        <v>546</v>
      </c>
    </row>
    <row r="359" spans="5:7" s="31" customFormat="1" ht="25.5" hidden="1" customHeight="1" x14ac:dyDescent="0.3">
      <c r="E359" s="31" t="s">
        <v>109</v>
      </c>
      <c r="F359" s="31" t="s">
        <v>117</v>
      </c>
      <c r="G359" s="63" t="s">
        <v>547</v>
      </c>
    </row>
    <row r="360" spans="5:7" s="31" customFormat="1" ht="25.5" hidden="1" customHeight="1" x14ac:dyDescent="0.3">
      <c r="E360" s="31" t="s">
        <v>109</v>
      </c>
      <c r="F360" s="31" t="s">
        <v>117</v>
      </c>
      <c r="G360" s="63" t="s">
        <v>548</v>
      </c>
    </row>
    <row r="361" spans="5:7" s="31" customFormat="1" ht="25.5" hidden="1" customHeight="1" x14ac:dyDescent="0.3">
      <c r="E361" s="31" t="s">
        <v>109</v>
      </c>
      <c r="F361" s="31" t="s">
        <v>117</v>
      </c>
      <c r="G361" s="31" t="s">
        <v>616</v>
      </c>
    </row>
    <row r="362" spans="5:7" s="31" customFormat="1" ht="25.5" hidden="1" customHeight="1" x14ac:dyDescent="0.3">
      <c r="E362" s="31" t="s">
        <v>121</v>
      </c>
      <c r="F362" s="31" t="s">
        <v>151</v>
      </c>
      <c r="G362" s="31" t="s">
        <v>645</v>
      </c>
    </row>
    <row r="363" spans="5:7" s="31" customFormat="1" ht="25.5" hidden="1" customHeight="1" x14ac:dyDescent="0.3">
      <c r="E363" s="31" t="s">
        <v>121</v>
      </c>
      <c r="F363" s="31" t="s">
        <v>151</v>
      </c>
      <c r="G363" s="31" t="s">
        <v>717</v>
      </c>
    </row>
    <row r="364" spans="5:7" s="31" customFormat="1" ht="25.5" hidden="1" customHeight="1" x14ac:dyDescent="0.3">
      <c r="E364" s="31" t="s">
        <v>121</v>
      </c>
      <c r="F364" s="31" t="s">
        <v>151</v>
      </c>
      <c r="G364" s="31" t="s">
        <v>617</v>
      </c>
    </row>
    <row r="365" spans="5:7" s="31" customFormat="1" ht="25.5" hidden="1" customHeight="1" x14ac:dyDescent="0.3">
      <c r="E365" s="31" t="s">
        <v>121</v>
      </c>
      <c r="F365" s="31" t="s">
        <v>151</v>
      </c>
      <c r="G365" s="31" t="s">
        <v>431</v>
      </c>
    </row>
    <row r="366" spans="5:7" s="31" customFormat="1" ht="25.5" hidden="1" customHeight="1" x14ac:dyDescent="0.3">
      <c r="E366" s="31" t="s">
        <v>121</v>
      </c>
      <c r="F366" s="31" t="s">
        <v>151</v>
      </c>
      <c r="G366" s="31" t="s">
        <v>479</v>
      </c>
    </row>
    <row r="367" spans="5:7" s="31" customFormat="1" ht="25.5" hidden="1" customHeight="1" x14ac:dyDescent="0.3">
      <c r="E367" s="31" t="s">
        <v>121</v>
      </c>
      <c r="F367" s="31" t="s">
        <v>151</v>
      </c>
      <c r="G367" s="31" t="s">
        <v>480</v>
      </c>
    </row>
    <row r="368" spans="5:7" s="31" customFormat="1" ht="25.5" hidden="1" customHeight="1" x14ac:dyDescent="0.3">
      <c r="E368" s="31" t="s">
        <v>121</v>
      </c>
      <c r="F368" s="31" t="s">
        <v>122</v>
      </c>
      <c r="G368" s="31" t="s">
        <v>571</v>
      </c>
    </row>
    <row r="369" spans="5:7" s="31" customFormat="1" ht="25.5" hidden="1" customHeight="1" x14ac:dyDescent="0.3">
      <c r="E369" s="31" t="s">
        <v>121</v>
      </c>
      <c r="F369" s="31" t="s">
        <v>225</v>
      </c>
      <c r="G369" s="31" t="s">
        <v>646</v>
      </c>
    </row>
    <row r="370" spans="5:7" s="31" customFormat="1" ht="25.5" hidden="1" customHeight="1" x14ac:dyDescent="0.3">
      <c r="E370" s="31" t="s">
        <v>121</v>
      </c>
      <c r="F370" s="31" t="s">
        <v>225</v>
      </c>
      <c r="G370" s="31" t="s">
        <v>372</v>
      </c>
    </row>
    <row r="371" spans="5:7" s="31" customFormat="1" ht="25.5" hidden="1" customHeight="1" x14ac:dyDescent="0.3">
      <c r="E371" s="31" t="s">
        <v>121</v>
      </c>
      <c r="F371" s="31" t="s">
        <v>225</v>
      </c>
      <c r="G371" s="31" t="s">
        <v>618</v>
      </c>
    </row>
    <row r="372" spans="5:7" s="31" customFormat="1" ht="25.5" hidden="1" customHeight="1" x14ac:dyDescent="0.3">
      <c r="E372" s="31" t="s">
        <v>121</v>
      </c>
      <c r="F372" s="31" t="s">
        <v>225</v>
      </c>
      <c r="G372" s="31" t="s">
        <v>432</v>
      </c>
    </row>
    <row r="373" spans="5:7" s="31" customFormat="1" ht="25.5" hidden="1" customHeight="1" x14ac:dyDescent="0.3">
      <c r="E373" s="31" t="s">
        <v>121</v>
      </c>
      <c r="F373" s="31" t="s">
        <v>123</v>
      </c>
      <c r="G373" s="31" t="s">
        <v>572</v>
      </c>
    </row>
    <row r="374" spans="5:7" s="31" customFormat="1" ht="25.5" hidden="1" customHeight="1" x14ac:dyDescent="0.3">
      <c r="E374" s="31" t="s">
        <v>121</v>
      </c>
      <c r="F374" s="31" t="s">
        <v>226</v>
      </c>
      <c r="G374" s="31" t="s">
        <v>679</v>
      </c>
    </row>
    <row r="375" spans="5:7" s="31" customFormat="1" ht="25.5" hidden="1" customHeight="1" x14ac:dyDescent="0.3">
      <c r="E375" s="31" t="s">
        <v>121</v>
      </c>
      <c r="F375" s="31" t="s">
        <v>227</v>
      </c>
      <c r="G375" s="31" t="s">
        <v>647</v>
      </c>
    </row>
    <row r="376" spans="5:7" s="31" customFormat="1" ht="25.5" hidden="1" customHeight="1" x14ac:dyDescent="0.3">
      <c r="E376" s="31" t="s">
        <v>121</v>
      </c>
      <c r="F376" s="31" t="s">
        <v>227</v>
      </c>
      <c r="G376" s="31" t="s">
        <v>371</v>
      </c>
    </row>
    <row r="377" spans="5:7" s="31" customFormat="1" ht="25.5" hidden="1" customHeight="1" x14ac:dyDescent="0.3">
      <c r="E377" s="31" t="s">
        <v>121</v>
      </c>
      <c r="F377" s="31" t="s">
        <v>227</v>
      </c>
      <c r="G377" s="31" t="s">
        <v>433</v>
      </c>
    </row>
    <row r="378" spans="5:7" s="31" customFormat="1" ht="25.5" hidden="1" customHeight="1" x14ac:dyDescent="0.3">
      <c r="E378" s="31" t="s">
        <v>121</v>
      </c>
      <c r="F378" s="31" t="s">
        <v>227</v>
      </c>
      <c r="G378" s="31" t="s">
        <v>496</v>
      </c>
    </row>
    <row r="379" spans="5:7" s="31" customFormat="1" ht="25.5" hidden="1" customHeight="1" x14ac:dyDescent="0.3">
      <c r="E379" s="31" t="s">
        <v>121</v>
      </c>
      <c r="F379" s="31" t="s">
        <v>227</v>
      </c>
      <c r="G379" s="31" t="s">
        <v>497</v>
      </c>
    </row>
    <row r="380" spans="5:7" s="31" customFormat="1" ht="25.5" hidden="1" customHeight="1" x14ac:dyDescent="0.3">
      <c r="E380" s="31" t="s">
        <v>121</v>
      </c>
      <c r="F380" s="31" t="s">
        <v>227</v>
      </c>
      <c r="G380" s="31" t="s">
        <v>498</v>
      </c>
    </row>
    <row r="381" spans="5:7" s="31" customFormat="1" ht="25.5" hidden="1" customHeight="1" x14ac:dyDescent="0.3">
      <c r="E381" s="31" t="s">
        <v>121</v>
      </c>
      <c r="F381" s="31" t="s">
        <v>152</v>
      </c>
      <c r="G381" s="31" t="s">
        <v>228</v>
      </c>
    </row>
    <row r="382" spans="5:7" s="31" customFormat="1" ht="25.5" hidden="1" customHeight="1" x14ac:dyDescent="0.3">
      <c r="E382" s="31" t="s">
        <v>121</v>
      </c>
      <c r="F382" s="31" t="s">
        <v>152</v>
      </c>
      <c r="G382" s="31" t="s">
        <v>351</v>
      </c>
    </row>
    <row r="383" spans="5:7" s="31" customFormat="1" ht="25.5" hidden="1" customHeight="1" x14ac:dyDescent="0.3">
      <c r="E383" s="31" t="s">
        <v>121</v>
      </c>
      <c r="F383" s="31" t="s">
        <v>152</v>
      </c>
      <c r="G383" s="31" t="s">
        <v>573</v>
      </c>
    </row>
    <row r="384" spans="5:7" s="31" customFormat="1" ht="25.5" hidden="1" customHeight="1" x14ac:dyDescent="0.3">
      <c r="E384" s="31" t="s">
        <v>121</v>
      </c>
      <c r="F384" s="31" t="s">
        <v>152</v>
      </c>
      <c r="G384" s="31" t="s">
        <v>619</v>
      </c>
    </row>
    <row r="385" spans="5:7" s="31" customFormat="1" ht="25.5" hidden="1" customHeight="1" x14ac:dyDescent="0.3">
      <c r="E385" s="31" t="s">
        <v>121</v>
      </c>
      <c r="F385" s="31" t="s">
        <v>152</v>
      </c>
      <c r="G385" s="31" t="s">
        <v>434</v>
      </c>
    </row>
    <row r="386" spans="5:7" s="31" customFormat="1" ht="25.5" hidden="1" customHeight="1" x14ac:dyDescent="0.3">
      <c r="E386" s="31" t="s">
        <v>121</v>
      </c>
      <c r="F386" s="31" t="s">
        <v>152</v>
      </c>
      <c r="G386" s="31" t="s">
        <v>495</v>
      </c>
    </row>
    <row r="387" spans="5:7" s="31" customFormat="1" ht="25.5" hidden="1" customHeight="1" x14ac:dyDescent="0.3">
      <c r="E387" s="31" t="s">
        <v>121</v>
      </c>
      <c r="F387" s="31" t="s">
        <v>121</v>
      </c>
      <c r="G387" s="31" t="s">
        <v>229</v>
      </c>
    </row>
    <row r="388" spans="5:7" s="31" customFormat="1" ht="25.5" hidden="1" customHeight="1" x14ac:dyDescent="0.3">
      <c r="E388" s="31" t="s">
        <v>121</v>
      </c>
      <c r="F388" s="31" t="s">
        <v>121</v>
      </c>
      <c r="G388" s="31" t="s">
        <v>680</v>
      </c>
    </row>
    <row r="389" spans="5:7" s="31" customFormat="1" ht="25.5" hidden="1" customHeight="1" x14ac:dyDescent="0.3">
      <c r="E389" s="31" t="s">
        <v>121</v>
      </c>
      <c r="F389" s="31" t="s">
        <v>121</v>
      </c>
      <c r="G389" s="31" t="s">
        <v>574</v>
      </c>
    </row>
    <row r="390" spans="5:7" s="31" customFormat="1" ht="25.5" hidden="1" customHeight="1" x14ac:dyDescent="0.3">
      <c r="E390" s="31" t="s">
        <v>121</v>
      </c>
      <c r="F390" s="31" t="s">
        <v>230</v>
      </c>
      <c r="G390" s="31" t="s">
        <v>648</v>
      </c>
    </row>
    <row r="391" spans="5:7" s="31" customFormat="1" ht="25.5" hidden="1" customHeight="1" x14ac:dyDescent="0.3">
      <c r="E391" s="31" t="s">
        <v>121</v>
      </c>
      <c r="F391" s="31" t="s">
        <v>121</v>
      </c>
      <c r="G391" s="31" t="s">
        <v>352</v>
      </c>
    </row>
    <row r="392" spans="5:7" s="31" customFormat="1" ht="25.5" hidden="1" customHeight="1" x14ac:dyDescent="0.3">
      <c r="E392" s="31" t="s">
        <v>121</v>
      </c>
      <c r="F392" s="31" t="s">
        <v>230</v>
      </c>
      <c r="G392" s="31" t="s">
        <v>331</v>
      </c>
    </row>
    <row r="393" spans="5:7" s="31" customFormat="1" ht="25.5" hidden="1" customHeight="1" x14ac:dyDescent="0.3">
      <c r="E393" s="31" t="s">
        <v>121</v>
      </c>
      <c r="F393" s="31" t="s">
        <v>230</v>
      </c>
      <c r="G393" s="31" t="s">
        <v>435</v>
      </c>
    </row>
    <row r="394" spans="5:7" s="31" customFormat="1" ht="25.5" hidden="1" customHeight="1" x14ac:dyDescent="0.3">
      <c r="E394" s="31" t="s">
        <v>121</v>
      </c>
      <c r="F394" s="31" t="s">
        <v>230</v>
      </c>
      <c r="G394" s="31" t="s">
        <v>499</v>
      </c>
    </row>
    <row r="395" spans="5:7" s="31" customFormat="1" ht="25.5" hidden="1" customHeight="1" x14ac:dyDescent="0.3">
      <c r="E395" s="31" t="s">
        <v>121</v>
      </c>
      <c r="F395" s="31" t="s">
        <v>230</v>
      </c>
      <c r="G395" s="31" t="s">
        <v>500</v>
      </c>
    </row>
    <row r="396" spans="5:7" s="31" customFormat="1" ht="25.5" hidden="1" customHeight="1" x14ac:dyDescent="0.3">
      <c r="E396" s="31" t="s">
        <v>121</v>
      </c>
      <c r="F396" s="31" t="s">
        <v>124</v>
      </c>
      <c r="G396" s="31" t="s">
        <v>575</v>
      </c>
    </row>
    <row r="397" spans="5:7" s="31" customFormat="1" ht="25.5" hidden="1" customHeight="1" x14ac:dyDescent="0.3">
      <c r="E397" s="31" t="s">
        <v>121</v>
      </c>
      <c r="F397" s="31" t="s">
        <v>231</v>
      </c>
      <c r="G397" s="31" t="s">
        <v>649</v>
      </c>
    </row>
    <row r="398" spans="5:7" s="31" customFormat="1" ht="25.5" hidden="1" customHeight="1" x14ac:dyDescent="0.3">
      <c r="E398" s="31" t="s">
        <v>121</v>
      </c>
      <c r="F398" s="31" t="s">
        <v>124</v>
      </c>
      <c r="G398" s="31" t="s">
        <v>576</v>
      </c>
    </row>
    <row r="399" spans="5:7" s="31" customFormat="1" ht="25.5" hidden="1" customHeight="1" x14ac:dyDescent="0.3">
      <c r="E399" s="31" t="s">
        <v>121</v>
      </c>
      <c r="F399" s="31" t="s">
        <v>124</v>
      </c>
      <c r="G399" s="31" t="s">
        <v>373</v>
      </c>
    </row>
    <row r="400" spans="5:7" s="31" customFormat="1" ht="25.5" hidden="1" customHeight="1" x14ac:dyDescent="0.3">
      <c r="E400" s="31" t="s">
        <v>121</v>
      </c>
      <c r="F400" s="31" t="s">
        <v>124</v>
      </c>
      <c r="G400" s="31" t="s">
        <v>436</v>
      </c>
    </row>
    <row r="401" spans="5:7" s="31" customFormat="1" ht="25.5" hidden="1" customHeight="1" x14ac:dyDescent="0.3">
      <c r="E401" s="31" t="s">
        <v>121</v>
      </c>
      <c r="F401" s="31" t="s">
        <v>153</v>
      </c>
      <c r="G401" s="31" t="s">
        <v>650</v>
      </c>
    </row>
    <row r="402" spans="5:7" s="31" customFormat="1" ht="25.5" hidden="1" customHeight="1" x14ac:dyDescent="0.3">
      <c r="E402" s="31" t="s">
        <v>121</v>
      </c>
      <c r="F402" s="31" t="s">
        <v>153</v>
      </c>
      <c r="G402" s="31" t="s">
        <v>577</v>
      </c>
    </row>
    <row r="403" spans="5:7" s="31" customFormat="1" ht="25.5" hidden="1" customHeight="1" x14ac:dyDescent="0.3">
      <c r="E403" s="31" t="s">
        <v>121</v>
      </c>
      <c r="F403" s="31" t="s">
        <v>153</v>
      </c>
      <c r="G403" s="31" t="s">
        <v>504</v>
      </c>
    </row>
    <row r="404" spans="5:7" s="31" customFormat="1" ht="25.5" hidden="1" customHeight="1" x14ac:dyDescent="0.3"/>
    <row r="405" spans="5:7" s="31" customFormat="1" ht="25.5" hidden="1" customHeight="1" x14ac:dyDescent="0.3"/>
    <row r="406" spans="5:7" s="31" customFormat="1" ht="25.5" hidden="1" customHeight="1" x14ac:dyDescent="0.3">
      <c r="E406" s="31" t="s">
        <v>121</v>
      </c>
      <c r="F406" s="31" t="s">
        <v>154</v>
      </c>
      <c r="G406" s="31" t="s">
        <v>651</v>
      </c>
    </row>
    <row r="407" spans="5:7" s="31" customFormat="1" ht="25.5" hidden="1" customHeight="1" x14ac:dyDescent="0.3">
      <c r="E407" s="31" t="s">
        <v>121</v>
      </c>
      <c r="F407" s="31" t="s">
        <v>154</v>
      </c>
      <c r="G407" s="31" t="s">
        <v>353</v>
      </c>
    </row>
    <row r="408" spans="5:7" s="31" customFormat="1" ht="25.5" hidden="1" customHeight="1" x14ac:dyDescent="0.3">
      <c r="E408" s="31" t="s">
        <v>121</v>
      </c>
      <c r="F408" s="31" t="s">
        <v>154</v>
      </c>
      <c r="G408" s="31" t="s">
        <v>506</v>
      </c>
    </row>
    <row r="409" spans="5:7" s="31" customFormat="1" ht="25.5" hidden="1" customHeight="1" x14ac:dyDescent="0.3"/>
    <row r="410" spans="5:7" s="31" customFormat="1" ht="25.5" hidden="1" customHeight="1" x14ac:dyDescent="0.3">
      <c r="E410" s="31" t="s">
        <v>121</v>
      </c>
      <c r="F410" s="31" t="s">
        <v>232</v>
      </c>
      <c r="G410" s="31" t="s">
        <v>233</v>
      </c>
    </row>
    <row r="411" spans="5:7" s="31" customFormat="1" ht="25.5" hidden="1" customHeight="1" x14ac:dyDescent="0.3">
      <c r="E411" s="31" t="s">
        <v>121</v>
      </c>
      <c r="F411" s="31" t="s">
        <v>155</v>
      </c>
      <c r="G411" s="63" t="s">
        <v>379</v>
      </c>
    </row>
    <row r="412" spans="5:7" s="31" customFormat="1" ht="25.5" hidden="1" customHeight="1" x14ac:dyDescent="0.3">
      <c r="E412" s="31" t="s">
        <v>121</v>
      </c>
      <c r="F412" s="31" t="s">
        <v>155</v>
      </c>
      <c r="G412" s="31" t="s">
        <v>517</v>
      </c>
    </row>
    <row r="413" spans="5:7" s="31" customFormat="1" ht="25.5" hidden="1" customHeight="1" x14ac:dyDescent="0.3"/>
    <row r="414" spans="5:7" s="31" customFormat="1" ht="25.5" hidden="1" customHeight="1" x14ac:dyDescent="0.3">
      <c r="E414" s="31" t="s">
        <v>121</v>
      </c>
      <c r="F414" s="31" t="s">
        <v>125</v>
      </c>
      <c r="G414" s="31" t="s">
        <v>578</v>
      </c>
    </row>
    <row r="415" spans="5:7" s="31" customFormat="1" ht="25.5" hidden="1" customHeight="1" x14ac:dyDescent="0.3">
      <c r="E415" s="31" t="s">
        <v>121</v>
      </c>
      <c r="F415" s="31" t="s">
        <v>234</v>
      </c>
      <c r="G415" s="31" t="s">
        <v>652</v>
      </c>
    </row>
    <row r="416" spans="5:7" s="31" customFormat="1" ht="25.5" hidden="1" customHeight="1" x14ac:dyDescent="0.3">
      <c r="E416" s="31" t="s">
        <v>121</v>
      </c>
      <c r="F416" s="31" t="s">
        <v>125</v>
      </c>
      <c r="G416" s="31" t="s">
        <v>370</v>
      </c>
    </row>
    <row r="417" spans="5:7" s="31" customFormat="1" ht="25.5" hidden="1" customHeight="1" x14ac:dyDescent="0.3">
      <c r="E417" s="31" t="s">
        <v>121</v>
      </c>
      <c r="F417" s="31" t="s">
        <v>125</v>
      </c>
      <c r="G417" s="31" t="s">
        <v>620</v>
      </c>
    </row>
    <row r="418" spans="5:7" s="31" customFormat="1" ht="25.5" hidden="1" customHeight="1" x14ac:dyDescent="0.3">
      <c r="E418" s="31" t="s">
        <v>121</v>
      </c>
      <c r="F418" s="31" t="s">
        <v>125</v>
      </c>
      <c r="G418" s="31" t="s">
        <v>534</v>
      </c>
    </row>
    <row r="419" spans="5:7" s="31" customFormat="1" ht="25.5" hidden="1" customHeight="1" x14ac:dyDescent="0.3">
      <c r="E419" s="31" t="s">
        <v>121</v>
      </c>
      <c r="F419" s="31" t="s">
        <v>125</v>
      </c>
      <c r="G419" s="31" t="s">
        <v>535</v>
      </c>
    </row>
    <row r="420" spans="5:7" s="31" customFormat="1" ht="25.5" hidden="1" customHeight="1" x14ac:dyDescent="0.3">
      <c r="E420" s="31" t="s">
        <v>121</v>
      </c>
      <c r="F420" s="31" t="s">
        <v>125</v>
      </c>
      <c r="G420" s="31" t="s">
        <v>536</v>
      </c>
    </row>
    <row r="421" spans="5:7" s="31" customFormat="1" ht="25.5" hidden="1" customHeight="1" x14ac:dyDescent="0.3">
      <c r="E421" s="31" t="s">
        <v>121</v>
      </c>
      <c r="F421" s="31" t="s">
        <v>125</v>
      </c>
      <c r="G421" s="31" t="s">
        <v>437</v>
      </c>
    </row>
    <row r="422" spans="5:7" s="31" customFormat="1" ht="25.5" hidden="1" customHeight="1" x14ac:dyDescent="0.3">
      <c r="E422" s="31" t="s">
        <v>120</v>
      </c>
      <c r="F422" s="31" t="s">
        <v>144</v>
      </c>
      <c r="G422" s="31" t="s">
        <v>653</v>
      </c>
    </row>
    <row r="423" spans="5:7" s="31" customFormat="1" ht="25.5" hidden="1" customHeight="1" x14ac:dyDescent="0.3">
      <c r="E423" s="31" t="s">
        <v>120</v>
      </c>
      <c r="F423" s="31" t="s">
        <v>144</v>
      </c>
      <c r="G423" s="31" t="s">
        <v>579</v>
      </c>
    </row>
    <row r="424" spans="5:7" s="31" customFormat="1" ht="25.5" hidden="1" customHeight="1" x14ac:dyDescent="0.3">
      <c r="E424" s="31" t="s">
        <v>120</v>
      </c>
      <c r="F424" s="31" t="s">
        <v>144</v>
      </c>
      <c r="G424" s="31" t="s">
        <v>438</v>
      </c>
    </row>
    <row r="425" spans="5:7" s="31" customFormat="1" ht="25.5" hidden="1" customHeight="1" x14ac:dyDescent="0.3">
      <c r="E425" s="31" t="s">
        <v>120</v>
      </c>
      <c r="F425" s="31" t="s">
        <v>144</v>
      </c>
      <c r="G425" s="31" t="s">
        <v>724</v>
      </c>
    </row>
    <row r="426" spans="5:7" s="31" customFormat="1" ht="25.5" hidden="1" customHeight="1" x14ac:dyDescent="0.3">
      <c r="E426" s="31" t="s">
        <v>120</v>
      </c>
      <c r="F426" s="31" t="s">
        <v>144</v>
      </c>
      <c r="G426" s="31" t="s">
        <v>494</v>
      </c>
    </row>
    <row r="427" spans="5:7" s="31" customFormat="1" ht="25.5" hidden="1" customHeight="1" x14ac:dyDescent="0.3"/>
    <row r="428" spans="5:7" s="31" customFormat="1" ht="25.5" hidden="1" customHeight="1" x14ac:dyDescent="0.3">
      <c r="E428" s="31" t="s">
        <v>268</v>
      </c>
      <c r="F428" s="31" t="s">
        <v>268</v>
      </c>
      <c r="G428" s="31" t="s">
        <v>681</v>
      </c>
    </row>
    <row r="429" spans="5:7" s="31" customFormat="1" ht="25.5" hidden="1" customHeight="1" x14ac:dyDescent="0.3">
      <c r="E429" s="31" t="s">
        <v>120</v>
      </c>
      <c r="F429" s="31" t="s">
        <v>120</v>
      </c>
      <c r="G429" s="31" t="s">
        <v>580</v>
      </c>
    </row>
    <row r="430" spans="5:7" s="31" customFormat="1" ht="25.5" hidden="1" customHeight="1" x14ac:dyDescent="0.3">
      <c r="E430" s="31" t="s">
        <v>120</v>
      </c>
      <c r="F430" s="31" t="s">
        <v>235</v>
      </c>
      <c r="G430" s="31" t="s">
        <v>236</v>
      </c>
    </row>
    <row r="431" spans="5:7" s="31" customFormat="1" ht="25.5" hidden="1" customHeight="1" x14ac:dyDescent="0.3">
      <c r="E431" s="31" t="s">
        <v>120</v>
      </c>
      <c r="F431" s="31" t="s">
        <v>120</v>
      </c>
      <c r="G431" s="31" t="s">
        <v>357</v>
      </c>
    </row>
    <row r="432" spans="5:7" s="31" customFormat="1" ht="25.5" hidden="1" customHeight="1" x14ac:dyDescent="0.3">
      <c r="E432" s="31" t="s">
        <v>120</v>
      </c>
      <c r="F432" s="31" t="s">
        <v>235</v>
      </c>
      <c r="G432" s="31" t="s">
        <v>237</v>
      </c>
    </row>
    <row r="433" spans="5:7" s="31" customFormat="1" ht="25.5" hidden="1" customHeight="1" x14ac:dyDescent="0.3">
      <c r="E433" s="31" t="s">
        <v>120</v>
      </c>
      <c r="F433" s="31" t="s">
        <v>120</v>
      </c>
      <c r="G433" s="31" t="s">
        <v>363</v>
      </c>
    </row>
    <row r="434" spans="5:7" s="31" customFormat="1" ht="25.5" hidden="1" customHeight="1" x14ac:dyDescent="0.3">
      <c r="E434" s="31" t="s">
        <v>120</v>
      </c>
      <c r="F434" s="31" t="s">
        <v>120</v>
      </c>
      <c r="G434" s="31" t="s">
        <v>439</v>
      </c>
    </row>
    <row r="435" spans="5:7" s="31" customFormat="1" ht="25.5" hidden="1" customHeight="1" x14ac:dyDescent="0.3">
      <c r="E435" s="31" t="s">
        <v>120</v>
      </c>
      <c r="F435" s="31" t="s">
        <v>120</v>
      </c>
      <c r="G435" s="31" t="s">
        <v>511</v>
      </c>
    </row>
    <row r="436" spans="5:7" s="31" customFormat="1" ht="25.5" hidden="1" customHeight="1" x14ac:dyDescent="0.3">
      <c r="E436" s="31" t="s">
        <v>120</v>
      </c>
      <c r="F436" s="31" t="s">
        <v>120</v>
      </c>
      <c r="G436" s="31" t="s">
        <v>512</v>
      </c>
    </row>
    <row r="437" spans="5:7" s="31" customFormat="1" ht="25.5" hidden="1" customHeight="1" x14ac:dyDescent="0.3">
      <c r="E437" s="31" t="s">
        <v>120</v>
      </c>
      <c r="F437" s="31" t="s">
        <v>120</v>
      </c>
      <c r="G437" s="31" t="s">
        <v>513</v>
      </c>
    </row>
    <row r="438" spans="5:7" s="31" customFormat="1" ht="25.5" hidden="1" customHeight="1" x14ac:dyDescent="0.3">
      <c r="E438" s="31" t="s">
        <v>120</v>
      </c>
      <c r="F438" s="31" t="s">
        <v>120</v>
      </c>
      <c r="G438" s="31" t="s">
        <v>514</v>
      </c>
    </row>
    <row r="439" spans="5:7" s="31" customFormat="1" ht="25.5" hidden="1" customHeight="1" x14ac:dyDescent="0.3">
      <c r="E439" s="31" t="s">
        <v>120</v>
      </c>
      <c r="F439" s="31" t="s">
        <v>120</v>
      </c>
      <c r="G439" s="31" t="s">
        <v>515</v>
      </c>
    </row>
    <row r="440" spans="5:7" s="31" customFormat="1" ht="25.5" hidden="1" customHeight="1" x14ac:dyDescent="0.3"/>
    <row r="441" spans="5:7" s="31" customFormat="1" ht="25.5" hidden="1" customHeight="1" x14ac:dyDescent="0.3"/>
    <row r="442" spans="5:7" s="31" customFormat="1" ht="25.5" hidden="1" customHeight="1" x14ac:dyDescent="0.3"/>
    <row r="443" spans="5:7" s="31" customFormat="1" ht="25.5" hidden="1" customHeight="1" x14ac:dyDescent="0.3">
      <c r="E443" s="31" t="s">
        <v>120</v>
      </c>
      <c r="F443" s="31" t="s">
        <v>238</v>
      </c>
      <c r="G443" s="31" t="s">
        <v>239</v>
      </c>
    </row>
    <row r="444" spans="5:7" s="31" customFormat="1" ht="25.5" hidden="1" customHeight="1" x14ac:dyDescent="0.3">
      <c r="E444" s="31" t="s">
        <v>120</v>
      </c>
      <c r="F444" s="31" t="s">
        <v>240</v>
      </c>
      <c r="G444" s="31" t="s">
        <v>581</v>
      </c>
    </row>
    <row r="445" spans="5:7" s="31" customFormat="1" ht="25.5" hidden="1" customHeight="1" x14ac:dyDescent="0.3">
      <c r="E445" s="31" t="s">
        <v>120</v>
      </c>
      <c r="F445" s="31" t="s">
        <v>240</v>
      </c>
      <c r="G445" s="31" t="s">
        <v>365</v>
      </c>
    </row>
    <row r="446" spans="5:7" s="31" customFormat="1" ht="25.5" hidden="1" customHeight="1" x14ac:dyDescent="0.3">
      <c r="E446" s="31" t="s">
        <v>120</v>
      </c>
      <c r="F446" s="31" t="s">
        <v>240</v>
      </c>
      <c r="G446" s="31" t="s">
        <v>621</v>
      </c>
    </row>
    <row r="447" spans="5:7" s="31" customFormat="1" ht="25.5" hidden="1" customHeight="1" x14ac:dyDescent="0.3">
      <c r="E447" s="31" t="s">
        <v>120</v>
      </c>
      <c r="F447" s="31" t="s">
        <v>240</v>
      </c>
      <c r="G447" s="31" t="s">
        <v>523</v>
      </c>
    </row>
    <row r="448" spans="5:7" s="31" customFormat="1" ht="25.5" hidden="1" customHeight="1" x14ac:dyDescent="0.3">
      <c r="E448" s="31" t="s">
        <v>120</v>
      </c>
      <c r="F448" s="31" t="s">
        <v>240</v>
      </c>
      <c r="G448" s="31" t="s">
        <v>524</v>
      </c>
    </row>
    <row r="449" spans="5:7" s="31" customFormat="1" ht="25.5" hidden="1" customHeight="1" x14ac:dyDescent="0.3">
      <c r="E449" s="31" t="s">
        <v>120</v>
      </c>
      <c r="F449" s="31" t="s">
        <v>240</v>
      </c>
      <c r="G449" s="31" t="s">
        <v>525</v>
      </c>
    </row>
    <row r="450" spans="5:7" s="31" customFormat="1" ht="25.5" hidden="1" customHeight="1" x14ac:dyDescent="0.3"/>
    <row r="451" spans="5:7" s="31" customFormat="1" ht="25.5" hidden="1" customHeight="1" x14ac:dyDescent="0.3">
      <c r="E451" s="31" t="s">
        <v>120</v>
      </c>
      <c r="F451" s="31" t="s">
        <v>240</v>
      </c>
      <c r="G451" s="31" t="s">
        <v>440</v>
      </c>
    </row>
    <row r="452" spans="5:7" s="31" customFormat="1" ht="25.5" hidden="1" customHeight="1" x14ac:dyDescent="0.3">
      <c r="E452" s="31" t="s">
        <v>120</v>
      </c>
      <c r="F452" s="31" t="s">
        <v>150</v>
      </c>
      <c r="G452" s="31" t="s">
        <v>241</v>
      </c>
    </row>
    <row r="453" spans="5:7" s="31" customFormat="1" ht="25.5" hidden="1" customHeight="1" x14ac:dyDescent="0.3">
      <c r="E453" s="31" t="s">
        <v>120</v>
      </c>
      <c r="F453" s="31" t="s">
        <v>150</v>
      </c>
      <c r="G453" s="31" t="s">
        <v>582</v>
      </c>
    </row>
    <row r="454" spans="5:7" s="31" customFormat="1" ht="25.5" hidden="1" customHeight="1" x14ac:dyDescent="0.3">
      <c r="E454" s="31" t="s">
        <v>120</v>
      </c>
      <c r="F454" s="31" t="s">
        <v>150</v>
      </c>
      <c r="G454" s="31" t="s">
        <v>364</v>
      </c>
    </row>
    <row r="455" spans="5:7" s="31" customFormat="1" ht="25.5" hidden="1" customHeight="1" x14ac:dyDescent="0.3">
      <c r="E455" s="31" t="s">
        <v>120</v>
      </c>
      <c r="F455" s="31" t="s">
        <v>150</v>
      </c>
      <c r="G455" s="31" t="s">
        <v>622</v>
      </c>
    </row>
    <row r="456" spans="5:7" s="31" customFormat="1" ht="25.5" hidden="1" customHeight="1" x14ac:dyDescent="0.3">
      <c r="E456" s="31" t="s">
        <v>120</v>
      </c>
      <c r="F456" s="31" t="s">
        <v>150</v>
      </c>
      <c r="G456" s="31" t="s">
        <v>537</v>
      </c>
    </row>
    <row r="457" spans="5:7" s="31" customFormat="1" ht="25.5" hidden="1" customHeight="1" x14ac:dyDescent="0.3">
      <c r="E457" s="31" t="s">
        <v>120</v>
      </c>
      <c r="F457" s="31" t="s">
        <v>150</v>
      </c>
      <c r="G457" s="31" t="s">
        <v>538</v>
      </c>
    </row>
    <row r="458" spans="5:7" s="31" customFormat="1" ht="25.5" hidden="1" customHeight="1" x14ac:dyDescent="0.3">
      <c r="E458" s="31" t="s">
        <v>126</v>
      </c>
      <c r="F458" s="31" t="s">
        <v>127</v>
      </c>
      <c r="G458" s="31" t="s">
        <v>583</v>
      </c>
    </row>
    <row r="459" spans="5:7" s="31" customFormat="1" ht="25.5" hidden="1" customHeight="1" x14ac:dyDescent="0.3">
      <c r="E459" s="31" t="s">
        <v>126</v>
      </c>
      <c r="F459" s="31" t="s">
        <v>242</v>
      </c>
      <c r="G459" s="31" t="s">
        <v>682</v>
      </c>
    </row>
    <row r="460" spans="5:7" s="31" customFormat="1" ht="25.5" hidden="1" customHeight="1" x14ac:dyDescent="0.3">
      <c r="E460" s="31" t="s">
        <v>126</v>
      </c>
      <c r="F460" s="31" t="s">
        <v>243</v>
      </c>
      <c r="G460" s="31" t="s">
        <v>654</v>
      </c>
    </row>
    <row r="461" spans="5:7" s="31" customFormat="1" ht="25.5" hidden="1" customHeight="1" x14ac:dyDescent="0.3">
      <c r="E461" s="31" t="s">
        <v>126</v>
      </c>
      <c r="F461" s="31" t="s">
        <v>127</v>
      </c>
      <c r="G461" s="31" t="s">
        <v>341</v>
      </c>
    </row>
    <row r="462" spans="5:7" s="31" customFormat="1" ht="25.5" hidden="1" customHeight="1" x14ac:dyDescent="0.3">
      <c r="E462" s="31" t="s">
        <v>126</v>
      </c>
      <c r="F462" s="31" t="s">
        <v>127</v>
      </c>
      <c r="G462" s="31" t="s">
        <v>325</v>
      </c>
    </row>
    <row r="463" spans="5:7" s="31" customFormat="1" ht="25.5" hidden="1" customHeight="1" x14ac:dyDescent="0.3">
      <c r="E463" s="31" t="s">
        <v>126</v>
      </c>
      <c r="F463" s="31" t="s">
        <v>127</v>
      </c>
      <c r="G463" s="31" t="s">
        <v>481</v>
      </c>
    </row>
    <row r="464" spans="5:7" s="31" customFormat="1" ht="25.5" hidden="1" customHeight="1" x14ac:dyDescent="0.3">
      <c r="E464" s="31" t="s">
        <v>126</v>
      </c>
      <c r="F464" s="31" t="s">
        <v>127</v>
      </c>
      <c r="G464" s="31" t="s">
        <v>482</v>
      </c>
    </row>
    <row r="465" spans="5:7" s="31" customFormat="1" ht="25.5" hidden="1" customHeight="1" x14ac:dyDescent="0.3">
      <c r="E465" s="31" t="s">
        <v>126</v>
      </c>
      <c r="F465" s="31" t="s">
        <v>127</v>
      </c>
      <c r="G465" s="31" t="s">
        <v>483</v>
      </c>
    </row>
    <row r="466" spans="5:7" s="31" customFormat="1" ht="25.5" hidden="1" customHeight="1" x14ac:dyDescent="0.3">
      <c r="E466" s="31" t="s">
        <v>126</v>
      </c>
      <c r="F466" s="31" t="s">
        <v>127</v>
      </c>
      <c r="G466" s="31" t="s">
        <v>484</v>
      </c>
    </row>
    <row r="467" spans="5:7" s="31" customFormat="1" ht="25.5" hidden="1" customHeight="1" x14ac:dyDescent="0.3">
      <c r="E467" s="31" t="s">
        <v>126</v>
      </c>
      <c r="F467" s="31" t="s">
        <v>157</v>
      </c>
      <c r="G467" s="31" t="s">
        <v>655</v>
      </c>
    </row>
    <row r="468" spans="5:7" s="31" customFormat="1" ht="25.5" hidden="1" customHeight="1" x14ac:dyDescent="0.3">
      <c r="E468" s="31" t="s">
        <v>126</v>
      </c>
      <c r="F468" s="31" t="s">
        <v>157</v>
      </c>
      <c r="G468" s="31" t="s">
        <v>584</v>
      </c>
    </row>
    <row r="469" spans="5:7" s="31" customFormat="1" ht="25.5" hidden="1" customHeight="1" x14ac:dyDescent="0.3">
      <c r="E469" s="31" t="s">
        <v>126</v>
      </c>
      <c r="F469" s="31" t="s">
        <v>157</v>
      </c>
      <c r="G469" s="101" t="s">
        <v>340</v>
      </c>
    </row>
    <row r="470" spans="5:7" s="31" customFormat="1" ht="25.5" hidden="1" customHeight="1" x14ac:dyDescent="0.3">
      <c r="E470" s="31" t="s">
        <v>126</v>
      </c>
      <c r="F470" s="31" t="s">
        <v>157</v>
      </c>
      <c r="G470" s="31" t="s">
        <v>623</v>
      </c>
    </row>
    <row r="471" spans="5:7" s="31" customFormat="1" ht="25.5" hidden="1" customHeight="1" x14ac:dyDescent="0.3"/>
    <row r="472" spans="5:7" s="31" customFormat="1" ht="25.5" hidden="1" customHeight="1" x14ac:dyDescent="0.3">
      <c r="E472" s="31" t="s">
        <v>126</v>
      </c>
      <c r="F472" s="31" t="s">
        <v>244</v>
      </c>
      <c r="G472" s="31" t="s">
        <v>245</v>
      </c>
    </row>
    <row r="473" spans="5:7" s="31" customFormat="1" ht="25.5" hidden="1" customHeight="1" x14ac:dyDescent="0.3">
      <c r="E473" s="31" t="s">
        <v>126</v>
      </c>
      <c r="F473" s="31" t="s">
        <v>244</v>
      </c>
      <c r="G473" s="31" t="s">
        <v>585</v>
      </c>
    </row>
    <row r="474" spans="5:7" s="31" customFormat="1" ht="25.5" hidden="1" customHeight="1" x14ac:dyDescent="0.3">
      <c r="E474" s="31" t="s">
        <v>126</v>
      </c>
      <c r="F474" s="31" t="s">
        <v>244</v>
      </c>
      <c r="G474" s="31" t="s">
        <v>442</v>
      </c>
    </row>
    <row r="475" spans="5:7" s="31" customFormat="1" ht="25.5" hidden="1" customHeight="1" x14ac:dyDescent="0.3"/>
    <row r="476" spans="5:7" s="31" customFormat="1" ht="25.5" hidden="1" customHeight="1" x14ac:dyDescent="0.3"/>
    <row r="477" spans="5:7" s="31" customFormat="1" ht="25.5" hidden="1" customHeight="1" x14ac:dyDescent="0.3">
      <c r="E477" s="31" t="s">
        <v>126</v>
      </c>
      <c r="F477" s="31" t="s">
        <v>156</v>
      </c>
      <c r="G477" s="31" t="s">
        <v>246</v>
      </c>
    </row>
    <row r="478" spans="5:7" s="31" customFormat="1" ht="25.5" hidden="1" customHeight="1" x14ac:dyDescent="0.3">
      <c r="E478" s="31" t="s">
        <v>126</v>
      </c>
      <c r="F478" s="31" t="s">
        <v>156</v>
      </c>
      <c r="G478" s="31" t="s">
        <v>586</v>
      </c>
    </row>
    <row r="479" spans="5:7" s="31" customFormat="1" ht="25.5" hidden="1" customHeight="1" x14ac:dyDescent="0.3">
      <c r="E479" s="31" t="s">
        <v>126</v>
      </c>
      <c r="F479" s="31" t="s">
        <v>156</v>
      </c>
      <c r="G479" s="31" t="s">
        <v>408</v>
      </c>
    </row>
    <row r="480" spans="5:7" s="31" customFormat="1" ht="25.5" hidden="1" customHeight="1" x14ac:dyDescent="0.3">
      <c r="E480" s="31" t="s">
        <v>126</v>
      </c>
      <c r="F480" s="31" t="s">
        <v>156</v>
      </c>
      <c r="G480" s="31" t="s">
        <v>443</v>
      </c>
    </row>
    <row r="481" spans="5:7" s="31" customFormat="1" ht="25.5" hidden="1" customHeight="1" x14ac:dyDescent="0.3">
      <c r="E481" s="31" t="s">
        <v>126</v>
      </c>
      <c r="F481" s="31" t="s">
        <v>156</v>
      </c>
      <c r="G481" s="31" t="s">
        <v>516</v>
      </c>
    </row>
    <row r="482" spans="5:7" s="31" customFormat="1" ht="25.5" hidden="1" customHeight="1" x14ac:dyDescent="0.3">
      <c r="E482" s="31" t="s">
        <v>126</v>
      </c>
      <c r="F482" s="31" t="s">
        <v>128</v>
      </c>
      <c r="G482" s="31" t="s">
        <v>587</v>
      </c>
    </row>
    <row r="483" spans="5:7" s="31" customFormat="1" ht="25.5" hidden="1" customHeight="1" x14ac:dyDescent="0.3">
      <c r="E483" s="31" t="s">
        <v>126</v>
      </c>
      <c r="F483" s="31" t="s">
        <v>247</v>
      </c>
      <c r="G483" s="31" t="s">
        <v>656</v>
      </c>
    </row>
    <row r="484" spans="5:7" s="31" customFormat="1" ht="25.5" hidden="1" customHeight="1" x14ac:dyDescent="0.3">
      <c r="E484" s="31" t="s">
        <v>126</v>
      </c>
      <c r="F484" s="31" t="s">
        <v>128</v>
      </c>
      <c r="G484" s="31" t="s">
        <v>334</v>
      </c>
    </row>
    <row r="485" spans="5:7" s="31" customFormat="1" ht="25.5" hidden="1" customHeight="1" x14ac:dyDescent="0.3">
      <c r="E485" s="31" t="s">
        <v>126</v>
      </c>
      <c r="F485" s="31" t="s">
        <v>128</v>
      </c>
      <c r="G485" s="31" t="s">
        <v>521</v>
      </c>
    </row>
    <row r="486" spans="5:7" s="31" customFormat="1" ht="25.5" hidden="1" customHeight="1" x14ac:dyDescent="0.3">
      <c r="E486" s="31" t="s">
        <v>126</v>
      </c>
      <c r="F486" s="31" t="s">
        <v>128</v>
      </c>
      <c r="G486" s="31" t="s">
        <v>720</v>
      </c>
    </row>
    <row r="487" spans="5:7" s="31" customFormat="1" ht="25.5" hidden="1" customHeight="1" x14ac:dyDescent="0.3">
      <c r="E487" s="31" t="s">
        <v>126</v>
      </c>
      <c r="F487" s="31" t="s">
        <v>128</v>
      </c>
      <c r="G487" s="31" t="s">
        <v>522</v>
      </c>
    </row>
    <row r="488" spans="5:7" s="31" customFormat="1" ht="25.5" hidden="1" customHeight="1" x14ac:dyDescent="0.3">
      <c r="E488" s="31" t="s">
        <v>126</v>
      </c>
      <c r="F488" s="31" t="s">
        <v>130</v>
      </c>
      <c r="G488" s="31" t="s">
        <v>588</v>
      </c>
    </row>
    <row r="489" spans="5:7" s="31" customFormat="1" ht="25.5" hidden="1" customHeight="1" x14ac:dyDescent="0.3">
      <c r="E489" s="31" t="s">
        <v>126</v>
      </c>
      <c r="F489" s="31" t="s">
        <v>130</v>
      </c>
      <c r="G489" s="31" t="s">
        <v>359</v>
      </c>
    </row>
    <row r="490" spans="5:7" s="31" customFormat="1" ht="25.5" hidden="1" customHeight="1" x14ac:dyDescent="0.3">
      <c r="E490" s="31" t="s">
        <v>126</v>
      </c>
      <c r="F490" s="31" t="s">
        <v>248</v>
      </c>
      <c r="G490" s="31" t="s">
        <v>129</v>
      </c>
    </row>
    <row r="491" spans="5:7" s="31" customFormat="1" ht="25.5" hidden="1" customHeight="1" x14ac:dyDescent="0.3">
      <c r="E491" s="31" t="s">
        <v>126</v>
      </c>
      <c r="F491" s="31" t="s">
        <v>248</v>
      </c>
      <c r="G491" s="31" t="s">
        <v>444</v>
      </c>
    </row>
    <row r="492" spans="5:7" s="31" customFormat="1" ht="25.5" hidden="1" customHeight="1" x14ac:dyDescent="0.3">
      <c r="E492" s="31" t="s">
        <v>126</v>
      </c>
      <c r="F492" s="31" t="s">
        <v>248</v>
      </c>
      <c r="G492" s="31" t="s">
        <v>527</v>
      </c>
    </row>
    <row r="493" spans="5:7" s="31" customFormat="1" ht="25.5" hidden="1" customHeight="1" x14ac:dyDescent="0.3">
      <c r="E493" s="31" t="s">
        <v>126</v>
      </c>
      <c r="F493" s="31" t="s">
        <v>248</v>
      </c>
      <c r="G493" s="31" t="s">
        <v>528</v>
      </c>
    </row>
    <row r="494" spans="5:7" s="31" customFormat="1" ht="25.5" hidden="1" customHeight="1" x14ac:dyDescent="0.3">
      <c r="E494" s="31" t="s">
        <v>126</v>
      </c>
      <c r="F494" s="31" t="s">
        <v>126</v>
      </c>
      <c r="G494" s="31" t="s">
        <v>249</v>
      </c>
    </row>
    <row r="495" spans="5:7" s="31" customFormat="1" ht="25.5" hidden="1" customHeight="1" x14ac:dyDescent="0.3">
      <c r="E495" s="31" t="s">
        <v>126</v>
      </c>
      <c r="F495" s="31" t="s">
        <v>126</v>
      </c>
      <c r="G495" s="31" t="s">
        <v>683</v>
      </c>
    </row>
    <row r="496" spans="5:7" s="31" customFormat="1" ht="25.5" hidden="1" customHeight="1" x14ac:dyDescent="0.3">
      <c r="E496" s="31" t="s">
        <v>126</v>
      </c>
      <c r="F496" s="31" t="s">
        <v>250</v>
      </c>
      <c r="G496" s="31" t="s">
        <v>251</v>
      </c>
    </row>
    <row r="497" spans="5:7" s="31" customFormat="1" ht="25.5" hidden="1" customHeight="1" x14ac:dyDescent="0.3">
      <c r="E497" s="31" t="s">
        <v>126</v>
      </c>
      <c r="F497" s="31" t="s">
        <v>250</v>
      </c>
      <c r="G497" s="31" t="s">
        <v>725</v>
      </c>
    </row>
    <row r="498" spans="5:7" s="31" customFormat="1" ht="25.5" hidden="1" customHeight="1" x14ac:dyDescent="0.3">
      <c r="E498" s="31" t="s">
        <v>126</v>
      </c>
      <c r="F498" s="31" t="s">
        <v>250</v>
      </c>
      <c r="G498" s="31" t="s">
        <v>441</v>
      </c>
    </row>
    <row r="499" spans="5:7" s="31" customFormat="1" ht="25.5" hidden="1" customHeight="1" x14ac:dyDescent="0.3">
      <c r="E499" s="31" t="s">
        <v>126</v>
      </c>
      <c r="F499" s="31" t="s">
        <v>250</v>
      </c>
      <c r="G499" s="31" t="s">
        <v>530</v>
      </c>
    </row>
    <row r="500" spans="5:7" s="31" customFormat="1" ht="25.5" hidden="1" customHeight="1" x14ac:dyDescent="0.3">
      <c r="E500" s="31" t="s">
        <v>126</v>
      </c>
      <c r="F500" s="31" t="s">
        <v>250</v>
      </c>
      <c r="G500" s="31" t="s">
        <v>531</v>
      </c>
    </row>
    <row r="501" spans="5:7" s="31" customFormat="1" ht="25.5" hidden="1" customHeight="1" x14ac:dyDescent="0.3">
      <c r="E501" s="31" t="s">
        <v>126</v>
      </c>
      <c r="F501" s="31" t="s">
        <v>250</v>
      </c>
      <c r="G501" s="31" t="s">
        <v>532</v>
      </c>
    </row>
    <row r="502" spans="5:7" s="31" customFormat="1" ht="25.5" hidden="1" customHeight="1" x14ac:dyDescent="0.3">
      <c r="E502" s="31" t="s">
        <v>126</v>
      </c>
      <c r="F502" s="31" t="s">
        <v>131</v>
      </c>
      <c r="G502" s="31" t="s">
        <v>657</v>
      </c>
    </row>
    <row r="503" spans="5:7" s="31" customFormat="1" ht="25.5" hidden="1" customHeight="1" x14ac:dyDescent="0.3">
      <c r="E503" s="31" t="s">
        <v>126</v>
      </c>
      <c r="F503" s="31" t="s">
        <v>131</v>
      </c>
      <c r="G503" s="31" t="s">
        <v>589</v>
      </c>
    </row>
    <row r="504" spans="5:7" s="31" customFormat="1" ht="25.5" hidden="1" customHeight="1" x14ac:dyDescent="0.3">
      <c r="E504" s="31" t="s">
        <v>126</v>
      </c>
      <c r="F504" s="31" t="s">
        <v>252</v>
      </c>
      <c r="G504" s="31" t="s">
        <v>342</v>
      </c>
    </row>
    <row r="505" spans="5:7" s="31" customFormat="1" ht="25.5" hidden="1" customHeight="1" x14ac:dyDescent="0.3">
      <c r="E505" s="31" t="s">
        <v>126</v>
      </c>
      <c r="F505" s="31" t="s">
        <v>252</v>
      </c>
      <c r="G505" s="31" t="s">
        <v>539</v>
      </c>
    </row>
    <row r="506" spans="5:7" s="31" customFormat="1" ht="25.5" hidden="1" customHeight="1" x14ac:dyDescent="0.3">
      <c r="E506" s="31" t="s">
        <v>126</v>
      </c>
      <c r="F506" s="31" t="s">
        <v>252</v>
      </c>
      <c r="G506" s="31" t="s">
        <v>723</v>
      </c>
    </row>
    <row r="507" spans="5:7" s="31" customFormat="1" ht="25.5" hidden="1" customHeight="1" x14ac:dyDescent="0.3">
      <c r="E507" s="31" t="s">
        <v>126</v>
      </c>
      <c r="F507" s="31" t="s">
        <v>252</v>
      </c>
      <c r="G507" s="31" t="s">
        <v>540</v>
      </c>
    </row>
    <row r="508" spans="5:7" s="31" customFormat="1" ht="25.5" hidden="1" customHeight="1" x14ac:dyDescent="0.3"/>
    <row r="509" spans="5:7" s="31" customFormat="1" ht="25.5" hidden="1" customHeight="1" x14ac:dyDescent="0.3">
      <c r="E509" s="31" t="s">
        <v>132</v>
      </c>
      <c r="F509" s="31" t="s">
        <v>158</v>
      </c>
      <c r="G509" s="31" t="s">
        <v>658</v>
      </c>
    </row>
    <row r="510" spans="5:7" s="31" customFormat="1" ht="25.5" hidden="1" customHeight="1" x14ac:dyDescent="0.3">
      <c r="E510" s="31" t="s">
        <v>132</v>
      </c>
      <c r="F510" s="31" t="s">
        <v>158</v>
      </c>
      <c r="G510" s="31" t="s">
        <v>684</v>
      </c>
    </row>
    <row r="511" spans="5:7" s="31" customFormat="1" ht="25.5" hidden="1" customHeight="1" x14ac:dyDescent="0.3">
      <c r="E511" s="31" t="s">
        <v>132</v>
      </c>
      <c r="F511" s="31" t="s">
        <v>158</v>
      </c>
      <c r="G511" s="31" t="s">
        <v>590</v>
      </c>
    </row>
    <row r="512" spans="5:7" s="31" customFormat="1" ht="25.5" hidden="1" customHeight="1" x14ac:dyDescent="0.3">
      <c r="E512" s="31" t="s">
        <v>132</v>
      </c>
      <c r="F512" s="31" t="s">
        <v>158</v>
      </c>
      <c r="G512" s="31" t="s">
        <v>326</v>
      </c>
    </row>
    <row r="513" spans="5:7" s="31" customFormat="1" ht="25.5" hidden="1" customHeight="1" x14ac:dyDescent="0.3">
      <c r="E513" s="31" t="s">
        <v>132</v>
      </c>
      <c r="F513" s="31" t="s">
        <v>158</v>
      </c>
      <c r="G513" s="31" t="s">
        <v>375</v>
      </c>
    </row>
    <row r="514" spans="5:7" s="31" customFormat="1" ht="25.5" hidden="1" customHeight="1" x14ac:dyDescent="0.3">
      <c r="E514" s="31" t="s">
        <v>132</v>
      </c>
      <c r="F514" s="31" t="s">
        <v>158</v>
      </c>
      <c r="G514" s="31" t="s">
        <v>412</v>
      </c>
    </row>
    <row r="515" spans="5:7" s="31" customFormat="1" ht="25.5" hidden="1" customHeight="1" x14ac:dyDescent="0.3">
      <c r="E515" s="31" t="s">
        <v>132</v>
      </c>
      <c r="F515" s="31" t="s">
        <v>158</v>
      </c>
      <c r="G515" s="31" t="s">
        <v>413</v>
      </c>
    </row>
    <row r="516" spans="5:7" s="31" customFormat="1" ht="25.5" hidden="1" customHeight="1" x14ac:dyDescent="0.3">
      <c r="E516" s="31" t="s">
        <v>132</v>
      </c>
      <c r="F516" s="31" t="s">
        <v>158</v>
      </c>
      <c r="G516" s="31" t="s">
        <v>445</v>
      </c>
    </row>
    <row r="517" spans="5:7" s="31" customFormat="1" ht="25.5" hidden="1" customHeight="1" x14ac:dyDescent="0.3">
      <c r="E517" s="31" t="s">
        <v>132</v>
      </c>
      <c r="F517" s="31" t="s">
        <v>158</v>
      </c>
      <c r="G517" s="31" t="s">
        <v>486</v>
      </c>
    </row>
    <row r="518" spans="5:7" s="31" customFormat="1" ht="25.5" hidden="1" customHeight="1" x14ac:dyDescent="0.3">
      <c r="E518" s="31" t="s">
        <v>132</v>
      </c>
      <c r="F518" s="31" t="s">
        <v>133</v>
      </c>
      <c r="G518" s="31" t="s">
        <v>591</v>
      </c>
    </row>
    <row r="519" spans="5:7" s="31" customFormat="1" ht="25.5" hidden="1" customHeight="1" x14ac:dyDescent="0.3">
      <c r="E519" s="31" t="s">
        <v>132</v>
      </c>
      <c r="F519" s="31" t="s">
        <v>355</v>
      </c>
      <c r="G519" s="31" t="s">
        <v>356</v>
      </c>
    </row>
    <row r="520" spans="5:7" s="31" customFormat="1" ht="25.5" hidden="1" customHeight="1" x14ac:dyDescent="0.3">
      <c r="E520" s="31" t="s">
        <v>132</v>
      </c>
      <c r="F520" s="31" t="s">
        <v>253</v>
      </c>
      <c r="G520" s="31" t="s">
        <v>659</v>
      </c>
    </row>
    <row r="521" spans="5:7" s="31" customFormat="1" ht="25.5" hidden="1" customHeight="1" x14ac:dyDescent="0.3">
      <c r="E521" s="31" t="s">
        <v>132</v>
      </c>
      <c r="F521" s="31" t="s">
        <v>253</v>
      </c>
      <c r="G521" s="31" t="s">
        <v>374</v>
      </c>
    </row>
    <row r="522" spans="5:7" s="31" customFormat="1" ht="25.5" hidden="1" customHeight="1" x14ac:dyDescent="0.3">
      <c r="E522" s="31" t="s">
        <v>132</v>
      </c>
      <c r="F522" s="31" t="s">
        <v>253</v>
      </c>
      <c r="G522" s="31" t="s">
        <v>624</v>
      </c>
    </row>
    <row r="523" spans="5:7" s="31" customFormat="1" ht="25.5" hidden="1" customHeight="1" x14ac:dyDescent="0.3">
      <c r="E523" s="31" t="s">
        <v>132</v>
      </c>
      <c r="F523" s="31" t="s">
        <v>253</v>
      </c>
      <c r="G523" s="31" t="s">
        <v>490</v>
      </c>
    </row>
    <row r="524" spans="5:7" s="31" customFormat="1" ht="25.5" hidden="1" customHeight="1" x14ac:dyDescent="0.3">
      <c r="E524" s="31" t="s">
        <v>132</v>
      </c>
      <c r="F524" s="31" t="s">
        <v>253</v>
      </c>
      <c r="G524" s="31" t="s">
        <v>491</v>
      </c>
    </row>
    <row r="525" spans="5:7" s="31" customFormat="1" ht="25.5" hidden="1" customHeight="1" x14ac:dyDescent="0.3">
      <c r="E525" s="31" t="s">
        <v>132</v>
      </c>
      <c r="F525" s="31" t="s">
        <v>134</v>
      </c>
      <c r="G525" s="31" t="s">
        <v>592</v>
      </c>
    </row>
    <row r="526" spans="5:7" s="31" customFormat="1" ht="25.5" hidden="1" customHeight="1" x14ac:dyDescent="0.3">
      <c r="E526" s="31" t="s">
        <v>132</v>
      </c>
      <c r="F526" s="31" t="s">
        <v>254</v>
      </c>
      <c r="G526" s="31" t="s">
        <v>660</v>
      </c>
    </row>
    <row r="527" spans="5:7" s="31" customFormat="1" ht="25.5" hidden="1" customHeight="1" x14ac:dyDescent="0.3">
      <c r="E527" s="31" t="s">
        <v>132</v>
      </c>
      <c r="F527" s="31" t="s">
        <v>254</v>
      </c>
      <c r="G527" s="31" t="s">
        <v>409</v>
      </c>
    </row>
    <row r="528" spans="5:7" s="31" customFormat="1" ht="25.5" hidden="1" customHeight="1" x14ac:dyDescent="0.3">
      <c r="E528" s="31" t="s">
        <v>132</v>
      </c>
      <c r="F528" s="31" t="s">
        <v>254</v>
      </c>
      <c r="G528" s="31" t="s">
        <v>446</v>
      </c>
    </row>
    <row r="529" spans="5:7" s="31" customFormat="1" ht="25.5" hidden="1" customHeight="1" x14ac:dyDescent="0.3">
      <c r="E529" s="31" t="s">
        <v>132</v>
      </c>
      <c r="F529" s="31" t="s">
        <v>254</v>
      </c>
      <c r="G529" s="31" t="s">
        <v>502</v>
      </c>
    </row>
    <row r="530" spans="5:7" s="31" customFormat="1" ht="25.5" hidden="1" customHeight="1" x14ac:dyDescent="0.3">
      <c r="E530" s="31" t="s">
        <v>132</v>
      </c>
      <c r="F530" s="31" t="s">
        <v>159</v>
      </c>
      <c r="G530" s="31" t="s">
        <v>255</v>
      </c>
    </row>
    <row r="531" spans="5:7" s="31" customFormat="1" ht="25.5" hidden="1" customHeight="1" x14ac:dyDescent="0.3">
      <c r="E531" s="31" t="s">
        <v>132</v>
      </c>
      <c r="F531" s="31" t="s">
        <v>159</v>
      </c>
      <c r="G531" s="31" t="s">
        <v>593</v>
      </c>
    </row>
    <row r="532" spans="5:7" s="31" customFormat="1" ht="25.5" hidden="1" customHeight="1" x14ac:dyDescent="0.3">
      <c r="E532" s="31" t="s">
        <v>132</v>
      </c>
      <c r="F532" s="31" t="s">
        <v>159</v>
      </c>
      <c r="G532" s="31" t="s">
        <v>447</v>
      </c>
    </row>
    <row r="533" spans="5:7" s="31" customFormat="1" ht="25.5" hidden="1" customHeight="1" x14ac:dyDescent="0.3">
      <c r="E533" s="31" t="s">
        <v>132</v>
      </c>
      <c r="F533" s="31" t="s">
        <v>159</v>
      </c>
      <c r="G533" s="31" t="s">
        <v>503</v>
      </c>
    </row>
    <row r="534" spans="5:7" s="31" customFormat="1" ht="25.5" hidden="1" customHeight="1" x14ac:dyDescent="0.3"/>
    <row r="535" spans="5:7" s="31" customFormat="1" ht="25.5" hidden="1" customHeight="1" x14ac:dyDescent="0.3">
      <c r="E535" s="31" t="s">
        <v>132</v>
      </c>
      <c r="F535" s="31" t="s">
        <v>160</v>
      </c>
      <c r="G535" s="31" t="s">
        <v>256</v>
      </c>
    </row>
    <row r="536" spans="5:7" s="31" customFormat="1" ht="25.5" hidden="1" customHeight="1" x14ac:dyDescent="0.3">
      <c r="E536" s="31" t="s">
        <v>132</v>
      </c>
      <c r="F536" s="31" t="s">
        <v>160</v>
      </c>
      <c r="G536" s="31" t="s">
        <v>594</v>
      </c>
    </row>
    <row r="537" spans="5:7" s="31" customFormat="1" ht="25.5" hidden="1" customHeight="1" x14ac:dyDescent="0.3">
      <c r="E537" s="31" t="s">
        <v>132</v>
      </c>
      <c r="F537" s="31" t="s">
        <v>160</v>
      </c>
      <c r="G537" s="31" t="s">
        <v>625</v>
      </c>
    </row>
    <row r="538" spans="5:7" s="31" customFormat="1" ht="25.5" hidden="1" customHeight="1" x14ac:dyDescent="0.3">
      <c r="E538" s="31" t="s">
        <v>132</v>
      </c>
      <c r="F538" s="31" t="s">
        <v>160</v>
      </c>
      <c r="G538" s="31" t="s">
        <v>410</v>
      </c>
    </row>
    <row r="539" spans="5:7" s="31" customFormat="1" ht="25.5" hidden="1" customHeight="1" x14ac:dyDescent="0.3">
      <c r="E539" s="31" t="s">
        <v>132</v>
      </c>
      <c r="F539" s="31" t="s">
        <v>160</v>
      </c>
      <c r="G539" s="31" t="s">
        <v>448</v>
      </c>
    </row>
    <row r="540" spans="5:7" s="31" customFormat="1" ht="25.5" hidden="1" customHeight="1" x14ac:dyDescent="0.3">
      <c r="E540" s="31" t="s">
        <v>132</v>
      </c>
      <c r="F540" s="31" t="s">
        <v>161</v>
      </c>
      <c r="G540" s="31" t="s">
        <v>257</v>
      </c>
    </row>
    <row r="541" spans="5:7" s="31" customFormat="1" ht="25.5" hidden="1" customHeight="1" x14ac:dyDescent="0.3">
      <c r="E541" s="31" t="s">
        <v>132</v>
      </c>
      <c r="F541" s="31" t="s">
        <v>161</v>
      </c>
      <c r="G541" s="31" t="s">
        <v>595</v>
      </c>
    </row>
    <row r="542" spans="5:7" s="31" customFormat="1" ht="25.5" hidden="1" customHeight="1" x14ac:dyDescent="0.3">
      <c r="E542" s="31" t="s">
        <v>132</v>
      </c>
      <c r="F542" s="31" t="s">
        <v>161</v>
      </c>
      <c r="G542" s="31" t="s">
        <v>411</v>
      </c>
    </row>
    <row r="543" spans="5:7" s="31" customFormat="1" ht="25.5" hidden="1" customHeight="1" x14ac:dyDescent="0.3"/>
    <row r="544" spans="5:7" s="31" customFormat="1" ht="25.5" hidden="1" customHeight="1" x14ac:dyDescent="0.3">
      <c r="E544" s="31" t="s">
        <v>132</v>
      </c>
      <c r="F544" s="31" t="s">
        <v>258</v>
      </c>
      <c r="G544" s="31" t="s">
        <v>661</v>
      </c>
    </row>
    <row r="545" spans="5:7" s="31" customFormat="1" ht="25.5" hidden="1" customHeight="1" x14ac:dyDescent="0.3">
      <c r="E545" s="31" t="s">
        <v>132</v>
      </c>
      <c r="F545" s="31" t="s">
        <v>132</v>
      </c>
      <c r="G545" s="31" t="s">
        <v>259</v>
      </c>
    </row>
    <row r="546" spans="5:7" s="31" customFormat="1" ht="25.5" hidden="1" customHeight="1" x14ac:dyDescent="0.3">
      <c r="E546" s="31" t="s">
        <v>132</v>
      </c>
      <c r="F546" s="31" t="s">
        <v>132</v>
      </c>
      <c r="G546" s="31" t="s">
        <v>354</v>
      </c>
    </row>
    <row r="547" spans="5:7" s="31" customFormat="1" ht="25.5" hidden="1" customHeight="1" x14ac:dyDescent="0.3">
      <c r="E547" s="31" t="s">
        <v>132</v>
      </c>
      <c r="F547" s="31" t="s">
        <v>132</v>
      </c>
      <c r="G547" s="31" t="s">
        <v>626</v>
      </c>
    </row>
    <row r="548" spans="5:7" s="31" customFormat="1" ht="25.5" hidden="1" customHeight="1" x14ac:dyDescent="0.3">
      <c r="E548" s="31" t="s">
        <v>132</v>
      </c>
      <c r="F548" s="31" t="s">
        <v>132</v>
      </c>
      <c r="G548" s="31" t="s">
        <v>449</v>
      </c>
    </row>
    <row r="549" spans="5:7" s="31" customFormat="1" ht="25.5" hidden="1" customHeight="1" x14ac:dyDescent="0.3">
      <c r="E549" s="31" t="s">
        <v>132</v>
      </c>
      <c r="F549" s="31" t="s">
        <v>132</v>
      </c>
      <c r="G549" s="31" t="s">
        <v>533</v>
      </c>
    </row>
    <row r="550" spans="5:7" s="31" customFormat="1" ht="25.5" hidden="1" customHeight="1" x14ac:dyDescent="0.3">
      <c r="E550" s="31" t="s">
        <v>132</v>
      </c>
      <c r="F550" s="31" t="s">
        <v>162</v>
      </c>
      <c r="G550" s="31" t="s">
        <v>596</v>
      </c>
    </row>
    <row r="551" spans="5:7" s="31" customFormat="1" ht="25.5" hidden="1" customHeight="1" x14ac:dyDescent="0.3">
      <c r="E551" s="31" t="s">
        <v>132</v>
      </c>
      <c r="F551" s="31" t="s">
        <v>162</v>
      </c>
      <c r="G551" s="31" t="s">
        <v>662</v>
      </c>
    </row>
    <row r="552" spans="5:7" s="31" customFormat="1" ht="25.5" hidden="1" customHeight="1" x14ac:dyDescent="0.3">
      <c r="E552" s="31" t="s">
        <v>132</v>
      </c>
      <c r="F552" s="31" t="s">
        <v>162</v>
      </c>
      <c r="G552" s="31" t="s">
        <v>627</v>
      </c>
    </row>
    <row r="553" spans="5:7" s="31" customFormat="1" ht="25.5" hidden="1" customHeight="1" x14ac:dyDescent="0.3">
      <c r="E553" s="31" t="s">
        <v>132</v>
      </c>
      <c r="F553" s="31" t="s">
        <v>162</v>
      </c>
      <c r="G553" s="31" t="s">
        <v>450</v>
      </c>
    </row>
    <row r="554" spans="5:7" s="31" customFormat="1" ht="25.5" hidden="1" customHeight="1" x14ac:dyDescent="0.3">
      <c r="E554" s="31" t="s">
        <v>132</v>
      </c>
      <c r="F554" s="31" t="s">
        <v>162</v>
      </c>
      <c r="G554" s="31" t="s">
        <v>686</v>
      </c>
    </row>
    <row r="555" spans="5:7" s="31" customFormat="1" ht="25.5" hidden="1" customHeight="1" x14ac:dyDescent="0.3">
      <c r="E555" s="31" t="s">
        <v>135</v>
      </c>
      <c r="F555" s="31" t="s">
        <v>136</v>
      </c>
      <c r="G555" s="31" t="s">
        <v>597</v>
      </c>
    </row>
    <row r="556" spans="5:7" s="31" customFormat="1" ht="25.5" hidden="1" customHeight="1" x14ac:dyDescent="0.3">
      <c r="E556" s="31" t="s">
        <v>135</v>
      </c>
      <c r="F556" s="31" t="s">
        <v>136</v>
      </c>
      <c r="G556" s="31" t="s">
        <v>360</v>
      </c>
    </row>
    <row r="557" spans="5:7" s="31" customFormat="1" ht="25.5" hidden="1" customHeight="1" x14ac:dyDescent="0.3">
      <c r="E557" s="31" t="s">
        <v>135</v>
      </c>
      <c r="F557" s="31" t="s">
        <v>260</v>
      </c>
      <c r="G557" s="31" t="s">
        <v>261</v>
      </c>
    </row>
    <row r="558" spans="5:7" s="31" customFormat="1" ht="25.5" hidden="1" customHeight="1" x14ac:dyDescent="0.3">
      <c r="E558" s="31" t="s">
        <v>135</v>
      </c>
      <c r="F558" s="31" t="s">
        <v>260</v>
      </c>
      <c r="G558" s="31" t="s">
        <v>388</v>
      </c>
    </row>
    <row r="559" spans="5:7" s="31" customFormat="1" ht="25.5" hidden="1" customHeight="1" x14ac:dyDescent="0.3">
      <c r="E559" s="31" t="s">
        <v>135</v>
      </c>
      <c r="F559" s="31" t="s">
        <v>260</v>
      </c>
      <c r="G559" s="31" t="s">
        <v>401</v>
      </c>
    </row>
    <row r="560" spans="5:7" s="31" customFormat="1" ht="25.5" hidden="1" customHeight="1" x14ac:dyDescent="0.3">
      <c r="E560" s="31" t="s">
        <v>135</v>
      </c>
      <c r="F560" s="31" t="s">
        <v>260</v>
      </c>
      <c r="G560" s="31" t="s">
        <v>628</v>
      </c>
    </row>
    <row r="561" spans="5:7" s="31" customFormat="1" ht="25.5" hidden="1" customHeight="1" x14ac:dyDescent="0.3">
      <c r="E561" s="31" t="s">
        <v>135</v>
      </c>
      <c r="F561" s="31" t="s">
        <v>260</v>
      </c>
      <c r="G561" s="31" t="s">
        <v>451</v>
      </c>
    </row>
    <row r="562" spans="5:7" s="31" customFormat="1" ht="25.5" hidden="1" customHeight="1" x14ac:dyDescent="0.3">
      <c r="E562" s="31" t="s">
        <v>135</v>
      </c>
      <c r="F562" s="31" t="s">
        <v>260</v>
      </c>
      <c r="G562" s="31" t="s">
        <v>452</v>
      </c>
    </row>
    <row r="563" spans="5:7" s="31" customFormat="1" ht="25.5" hidden="1" customHeight="1" x14ac:dyDescent="0.3"/>
    <row r="564" spans="5:7" s="31" customFormat="1" ht="25.5" hidden="1" customHeight="1" x14ac:dyDescent="0.3"/>
    <row r="565" spans="5:7" s="31" customFormat="1" ht="25.5" hidden="1" customHeight="1" x14ac:dyDescent="0.3">
      <c r="E565" s="31" t="s">
        <v>135</v>
      </c>
      <c r="F565" s="31" t="s">
        <v>163</v>
      </c>
      <c r="G565" s="31" t="s">
        <v>262</v>
      </c>
    </row>
    <row r="566" spans="5:7" s="31" customFormat="1" ht="25.5" hidden="1" customHeight="1" x14ac:dyDescent="0.3">
      <c r="E566" s="31" t="s">
        <v>135</v>
      </c>
      <c r="F566" s="31" t="s">
        <v>163</v>
      </c>
      <c r="G566" s="31" t="s">
        <v>361</v>
      </c>
    </row>
    <row r="567" spans="5:7" s="31" customFormat="1" ht="25.5" hidden="1" customHeight="1" x14ac:dyDescent="0.3">
      <c r="E567" s="31" t="s">
        <v>135</v>
      </c>
      <c r="F567" s="31" t="s">
        <v>263</v>
      </c>
      <c r="G567" s="31" t="s">
        <v>264</v>
      </c>
    </row>
    <row r="568" spans="5:7" s="31" customFormat="1" ht="25.5" hidden="1" customHeight="1" x14ac:dyDescent="0.3">
      <c r="E568" s="31" t="s">
        <v>135</v>
      </c>
      <c r="F568" s="31" t="s">
        <v>263</v>
      </c>
      <c r="G568" s="31" t="s">
        <v>378</v>
      </c>
    </row>
    <row r="569" spans="5:7" s="31" customFormat="1" ht="25.5" hidden="1" customHeight="1" x14ac:dyDescent="0.3">
      <c r="E569" s="31" t="s">
        <v>135</v>
      </c>
      <c r="F569" s="31" t="s">
        <v>263</v>
      </c>
      <c r="G569" s="31" t="s">
        <v>629</v>
      </c>
    </row>
    <row r="570" spans="5:7" s="31" customFormat="1" ht="25.5" hidden="1" customHeight="1" x14ac:dyDescent="0.3">
      <c r="E570" s="31" t="s">
        <v>135</v>
      </c>
      <c r="F570" s="31" t="s">
        <v>263</v>
      </c>
      <c r="G570" s="31" t="s">
        <v>507</v>
      </c>
    </row>
    <row r="571" spans="5:7" s="31" customFormat="1" ht="25.5" hidden="1" customHeight="1" x14ac:dyDescent="0.3">
      <c r="E571" s="31" t="s">
        <v>135</v>
      </c>
      <c r="F571" s="31" t="s">
        <v>263</v>
      </c>
      <c r="G571" s="31" t="s">
        <v>508</v>
      </c>
    </row>
    <row r="572" spans="5:7" s="31" customFormat="1" ht="25.5" hidden="1" customHeight="1" x14ac:dyDescent="0.3">
      <c r="E572" s="31" t="s">
        <v>135</v>
      </c>
      <c r="F572" s="31" t="s">
        <v>137</v>
      </c>
      <c r="G572" s="31" t="s">
        <v>598</v>
      </c>
    </row>
    <row r="573" spans="5:7" s="31" customFormat="1" ht="25.5" hidden="1" customHeight="1" x14ac:dyDescent="0.3">
      <c r="E573" s="31" t="s">
        <v>135</v>
      </c>
      <c r="F573" s="31" t="s">
        <v>137</v>
      </c>
      <c r="G573" s="31" t="s">
        <v>362</v>
      </c>
    </row>
    <row r="574" spans="5:7" s="31" customFormat="1" ht="25.5" hidden="1" customHeight="1" x14ac:dyDescent="0.3">
      <c r="E574" s="31" t="s">
        <v>135</v>
      </c>
      <c r="F574" s="31" t="s">
        <v>265</v>
      </c>
      <c r="G574" s="31" t="s">
        <v>663</v>
      </c>
    </row>
    <row r="575" spans="5:7" s="31" customFormat="1" ht="25.5" hidden="1" customHeight="1" x14ac:dyDescent="0.3">
      <c r="E575" s="31" t="s">
        <v>135</v>
      </c>
      <c r="F575" s="31" t="s">
        <v>265</v>
      </c>
      <c r="G575" s="31" t="s">
        <v>377</v>
      </c>
    </row>
    <row r="576" spans="5:7" s="31" customFormat="1" ht="25.5" hidden="1" customHeight="1" x14ac:dyDescent="0.3">
      <c r="E576" s="31" t="s">
        <v>135</v>
      </c>
      <c r="F576" s="31" t="s">
        <v>265</v>
      </c>
      <c r="G576" s="31" t="s">
        <v>630</v>
      </c>
    </row>
    <row r="577" spans="5:7" s="31" customFormat="1" ht="25.5" hidden="1" customHeight="1" x14ac:dyDescent="0.3">
      <c r="E577" s="31" t="s">
        <v>135</v>
      </c>
      <c r="F577" s="31" t="s">
        <v>265</v>
      </c>
      <c r="G577" s="31" t="s">
        <v>541</v>
      </c>
    </row>
    <row r="578" spans="5:7" s="31" customFormat="1" ht="25.5" hidden="1" customHeight="1" x14ac:dyDescent="0.3">
      <c r="E578" s="31" t="s">
        <v>135</v>
      </c>
      <c r="F578" s="31" t="s">
        <v>265</v>
      </c>
      <c r="G578" s="31" t="s">
        <v>542</v>
      </c>
    </row>
    <row r="579" spans="5:7" s="31" customFormat="1" ht="25.5" hidden="1" customHeight="1" x14ac:dyDescent="0.3">
      <c r="E579" s="31" t="s">
        <v>135</v>
      </c>
      <c r="F579" s="31" t="s">
        <v>265</v>
      </c>
      <c r="G579" s="31" t="s">
        <v>453</v>
      </c>
    </row>
    <row r="580" spans="5:7" s="31" customFormat="1" ht="25.5" hidden="1" customHeight="1" x14ac:dyDescent="0.3">
      <c r="E580" s="31" t="s">
        <v>135</v>
      </c>
      <c r="F580" s="31" t="s">
        <v>135</v>
      </c>
      <c r="G580" s="31" t="s">
        <v>266</v>
      </c>
    </row>
    <row r="581" spans="5:7" s="31" customFormat="1" ht="25.5" hidden="1" customHeight="1" x14ac:dyDescent="0.3">
      <c r="E581" s="31" t="s">
        <v>135</v>
      </c>
      <c r="F581" s="31" t="s">
        <v>135</v>
      </c>
      <c r="G581" s="31" t="s">
        <v>685</v>
      </c>
    </row>
    <row r="582" spans="5:7" s="31" customFormat="1" ht="25.5" hidden="1" customHeight="1" x14ac:dyDescent="0.3">
      <c r="E582" s="31" t="s">
        <v>135</v>
      </c>
      <c r="F582" s="31" t="s">
        <v>135</v>
      </c>
      <c r="G582" s="31" t="s">
        <v>599</v>
      </c>
    </row>
    <row r="583" spans="5:7" s="31" customFormat="1" ht="25.5" hidden="1" customHeight="1" x14ac:dyDescent="0.3">
      <c r="E583" s="31" t="s">
        <v>135</v>
      </c>
      <c r="F583" s="31" t="s">
        <v>267</v>
      </c>
      <c r="G583" s="31" t="s">
        <v>138</v>
      </c>
    </row>
    <row r="584" spans="5:7" s="31" customFormat="1" ht="25.5" hidden="1" customHeight="1" x14ac:dyDescent="0.3">
      <c r="E584" s="31" t="s">
        <v>135</v>
      </c>
      <c r="F584" s="31" t="s">
        <v>135</v>
      </c>
      <c r="G584" s="31" t="s">
        <v>376</v>
      </c>
    </row>
    <row r="585" spans="5:7" s="31" customFormat="1" ht="25.5" hidden="1" customHeight="1" x14ac:dyDescent="0.3">
      <c r="E585" s="31" t="s">
        <v>135</v>
      </c>
      <c r="F585" s="31" t="s">
        <v>267</v>
      </c>
      <c r="G585" s="63" t="s">
        <v>318</v>
      </c>
    </row>
    <row r="586" spans="5:7" s="31" customFormat="1" ht="25.5" hidden="1" customHeight="1" x14ac:dyDescent="0.3">
      <c r="E586" s="31" t="s">
        <v>135</v>
      </c>
      <c r="F586" s="31" t="s">
        <v>267</v>
      </c>
      <c r="G586" s="31" t="s">
        <v>404</v>
      </c>
    </row>
    <row r="587" spans="5:7" s="31" customFormat="1" ht="25.5" hidden="1" customHeight="1" x14ac:dyDescent="0.3">
      <c r="E587" s="31" t="s">
        <v>135</v>
      </c>
      <c r="F587" s="31" t="s">
        <v>267</v>
      </c>
      <c r="G587" s="31" t="s">
        <v>454</v>
      </c>
    </row>
    <row r="588" spans="5:7" s="31" customFormat="1" ht="25.5" hidden="1" customHeight="1" x14ac:dyDescent="0.3">
      <c r="E588" s="31" t="s">
        <v>135</v>
      </c>
      <c r="F588" s="31" t="s">
        <v>267</v>
      </c>
      <c r="G588" s="31" t="s">
        <v>543</v>
      </c>
    </row>
    <row r="589" spans="5:7" s="31" customFormat="1" ht="25.5" hidden="1" customHeight="1" x14ac:dyDescent="0.3">
      <c r="E589" s="31" t="s">
        <v>135</v>
      </c>
      <c r="F589" s="31" t="s">
        <v>267</v>
      </c>
      <c r="G589" s="31" t="s">
        <v>544</v>
      </c>
    </row>
    <row r="590" spans="5:7" s="31" customFormat="1" ht="25.5" hidden="1" customHeight="1" x14ac:dyDescent="0.3"/>
    <row r="591" spans="5:7" s="31" customFormat="1" ht="25.5" hidden="1" customHeight="1" x14ac:dyDescent="0.3"/>
    <row r="592" spans="5:7" s="31" customFormat="1" ht="25.5" hidden="1" customHeight="1" x14ac:dyDescent="0.3"/>
    <row r="593" s="31" customFormat="1" ht="25.5" hidden="1" customHeight="1" x14ac:dyDescent="0.3"/>
    <row r="594" s="31" customFormat="1" ht="25.5" hidden="1" customHeight="1" x14ac:dyDescent="0.3"/>
    <row r="595" s="31" customFormat="1" ht="25.5" hidden="1" customHeight="1" x14ac:dyDescent="0.3"/>
    <row r="596" s="31" customFormat="1" ht="25.5" hidden="1" customHeight="1" x14ac:dyDescent="0.3"/>
    <row r="597" s="31" customFormat="1" ht="25.5" hidden="1" customHeight="1" x14ac:dyDescent="0.3"/>
    <row r="598" s="31" customFormat="1" ht="25.5" hidden="1" customHeight="1" x14ac:dyDescent="0.3"/>
    <row r="599" s="31" customFormat="1" ht="25.5" hidden="1" customHeight="1" x14ac:dyDescent="0.3"/>
    <row r="600" s="31" customFormat="1" ht="25.5" hidden="1" customHeight="1" x14ac:dyDescent="0.3"/>
    <row r="601" s="31" customFormat="1" ht="25.5" hidden="1" customHeight="1" x14ac:dyDescent="0.3"/>
    <row r="602" s="31" customFormat="1" ht="25.5" hidden="1" customHeight="1" x14ac:dyDescent="0.3"/>
    <row r="603" s="31" customFormat="1" ht="25.5" hidden="1" customHeight="1" x14ac:dyDescent="0.3"/>
    <row r="604" s="31" customFormat="1" ht="25.5" hidden="1" customHeight="1" x14ac:dyDescent="0.3"/>
    <row r="605" s="31" customFormat="1" ht="25.5" hidden="1" customHeight="1" x14ac:dyDescent="0.3"/>
    <row r="606" s="31" customFormat="1" ht="25.5" hidden="1" customHeight="1" x14ac:dyDescent="0.3"/>
    <row r="607" s="31" customFormat="1" ht="25.5" hidden="1" customHeight="1" x14ac:dyDescent="0.3"/>
    <row r="608" s="31" customFormat="1" ht="25.5" hidden="1" customHeight="1" x14ac:dyDescent="0.3"/>
    <row r="609" s="31" customFormat="1" ht="25.5" hidden="1" customHeight="1" x14ac:dyDescent="0.3"/>
    <row r="610" s="31" customFormat="1" ht="25.5" hidden="1" customHeight="1" x14ac:dyDescent="0.3"/>
    <row r="611" s="31" customFormat="1" ht="25.5" hidden="1" customHeight="1" x14ac:dyDescent="0.3"/>
    <row r="612" s="31" customFormat="1" ht="25.5" hidden="1" customHeight="1" x14ac:dyDescent="0.3"/>
    <row r="613" s="31" customFormat="1" ht="25.5" hidden="1" customHeight="1" x14ac:dyDescent="0.3"/>
    <row r="614" s="31" customFormat="1" ht="25.5" hidden="1" customHeight="1" x14ac:dyDescent="0.3"/>
    <row r="615" s="31" customFormat="1" ht="25.5" hidden="1" customHeight="1" x14ac:dyDescent="0.3"/>
    <row r="616" s="31" customFormat="1" ht="25.5" hidden="1" customHeight="1" x14ac:dyDescent="0.3"/>
    <row r="617" s="31" customFormat="1" ht="25.5" hidden="1" customHeight="1" x14ac:dyDescent="0.3"/>
    <row r="618" s="31" customFormat="1" ht="25.5" hidden="1" customHeight="1" x14ac:dyDescent="0.3"/>
    <row r="619" s="31" customFormat="1" ht="25.5" hidden="1" customHeight="1" x14ac:dyDescent="0.3"/>
    <row r="620" s="31" customFormat="1" ht="25.5" hidden="1" customHeight="1" x14ac:dyDescent="0.3"/>
    <row r="621" s="31" customFormat="1" ht="25.5" hidden="1" customHeight="1" x14ac:dyDescent="0.3"/>
    <row r="622" s="31" customFormat="1" ht="25.5" hidden="1" customHeight="1" x14ac:dyDescent="0.3"/>
    <row r="623" s="31" customFormat="1" ht="25.5" hidden="1" customHeight="1" x14ac:dyDescent="0.3"/>
    <row r="624" s="31" customFormat="1" ht="25.5" hidden="1" customHeight="1" x14ac:dyDescent="0.3"/>
    <row r="625" s="31" customFormat="1" ht="25.5" hidden="1" customHeight="1" x14ac:dyDescent="0.3"/>
    <row r="626" s="31" customFormat="1" ht="25.5" hidden="1" customHeight="1" x14ac:dyDescent="0.3"/>
    <row r="627" s="31" customFormat="1" ht="25.5" hidden="1" customHeight="1" x14ac:dyDescent="0.3"/>
    <row r="628" s="31" customFormat="1" ht="25.5" hidden="1" customHeight="1" x14ac:dyDescent="0.3"/>
    <row r="629" s="31" customFormat="1" ht="25.5" hidden="1" customHeight="1" x14ac:dyDescent="0.3"/>
    <row r="630" s="31" customFormat="1" ht="25.5" hidden="1" customHeight="1" x14ac:dyDescent="0.3"/>
    <row r="631" s="31" customFormat="1" ht="25.5" hidden="1" customHeight="1" x14ac:dyDescent="0.3"/>
    <row r="632" s="31" customFormat="1" ht="25.5" hidden="1" customHeight="1" x14ac:dyDescent="0.3"/>
    <row r="633" s="31" customFormat="1" ht="25.5" hidden="1" customHeight="1" x14ac:dyDescent="0.3"/>
    <row r="634" s="31" customFormat="1" ht="25.5" hidden="1" customHeight="1" x14ac:dyDescent="0.3"/>
    <row r="635" s="31" customFormat="1" ht="25.5" hidden="1" customHeight="1" x14ac:dyDescent="0.3"/>
    <row r="636" s="31" customFormat="1" ht="25.5" hidden="1" customHeight="1" x14ac:dyDescent="0.3"/>
    <row r="637" s="31" customFormat="1" ht="25.5" hidden="1" customHeight="1" x14ac:dyDescent="0.3"/>
    <row r="638" s="31" customFormat="1" ht="25.5" hidden="1" customHeight="1" x14ac:dyDescent="0.3"/>
    <row r="639" s="31" customFormat="1" ht="25.5" hidden="1" customHeight="1" x14ac:dyDescent="0.3"/>
    <row r="640" s="31" customFormat="1" ht="25.5" hidden="1" customHeight="1" x14ac:dyDescent="0.3"/>
    <row r="641" s="31" customFormat="1" ht="25.5" hidden="1" customHeight="1" x14ac:dyDescent="0.3"/>
    <row r="642" s="31" customFormat="1" ht="25.5" hidden="1" customHeight="1" x14ac:dyDescent="0.3"/>
    <row r="643" s="31" customFormat="1" ht="25.5" hidden="1" customHeight="1" x14ac:dyDescent="0.3"/>
    <row r="644" s="31" customFormat="1" ht="25.5" hidden="1" customHeight="1" x14ac:dyDescent="0.3"/>
    <row r="645" s="31" customFormat="1" ht="25.5" hidden="1" customHeight="1" x14ac:dyDescent="0.3"/>
    <row r="646" s="31" customFormat="1" ht="25.5" hidden="1" customHeight="1" x14ac:dyDescent="0.3"/>
    <row r="647" s="31" customFormat="1" ht="25.5" hidden="1" customHeight="1" x14ac:dyDescent="0.3"/>
    <row r="648" s="31" customFormat="1" ht="25.5" hidden="1" customHeight="1" x14ac:dyDescent="0.3"/>
    <row r="649" s="31" customFormat="1" ht="25.5" hidden="1" customHeight="1" x14ac:dyDescent="0.3"/>
    <row r="650" s="31" customFormat="1" ht="25.5" hidden="1" customHeight="1" x14ac:dyDescent="0.3"/>
    <row r="651" s="31" customFormat="1" ht="25.5" hidden="1" customHeight="1" x14ac:dyDescent="0.3"/>
    <row r="652" s="31" customFormat="1" ht="25.5" hidden="1" customHeight="1" x14ac:dyDescent="0.3"/>
    <row r="653" s="31" customFormat="1" ht="25.5" hidden="1" customHeight="1" x14ac:dyDescent="0.3"/>
    <row r="654" s="31" customFormat="1" ht="25.5" hidden="1" customHeight="1" x14ac:dyDescent="0.3"/>
    <row r="655" s="31" customFormat="1" ht="25.5" hidden="1" customHeight="1" x14ac:dyDescent="0.3"/>
    <row r="656" s="31" customFormat="1" ht="25.5" hidden="1" customHeight="1" x14ac:dyDescent="0.3"/>
    <row r="657" s="31" customFormat="1" ht="25.5" hidden="1" customHeight="1" x14ac:dyDescent="0.3"/>
    <row r="658" s="31" customFormat="1" ht="25.5" hidden="1" customHeight="1" x14ac:dyDescent="0.3"/>
    <row r="659" s="31" customFormat="1" ht="25.5" hidden="1" customHeight="1" x14ac:dyDescent="0.3"/>
    <row r="660" s="31" customFormat="1" ht="25.5" hidden="1" customHeight="1" x14ac:dyDescent="0.3"/>
    <row r="661" s="31" customFormat="1" ht="25.5" hidden="1" customHeight="1" x14ac:dyDescent="0.3"/>
    <row r="662" s="31" customFormat="1" ht="25.5" hidden="1" customHeight="1" x14ac:dyDescent="0.3"/>
    <row r="663" s="31" customFormat="1" ht="25.5" hidden="1" customHeight="1" x14ac:dyDescent="0.3"/>
    <row r="664" s="31" customFormat="1" ht="25.5" hidden="1" customHeight="1" x14ac:dyDescent="0.3"/>
    <row r="665" s="31" customFormat="1" ht="25.5" hidden="1" customHeight="1" x14ac:dyDescent="0.3"/>
    <row r="666" s="31" customFormat="1" ht="25.5" hidden="1" customHeight="1" x14ac:dyDescent="0.3"/>
    <row r="667" s="31" customFormat="1" ht="25.5" hidden="1" customHeight="1" x14ac:dyDescent="0.3"/>
    <row r="668" s="31" customFormat="1" ht="25.5" hidden="1" customHeight="1" x14ac:dyDescent="0.3"/>
    <row r="669" s="31" customFormat="1" ht="25.5" hidden="1" customHeight="1" x14ac:dyDescent="0.3"/>
    <row r="670" s="31" customFormat="1" ht="25.5" hidden="1" customHeight="1" x14ac:dyDescent="0.3"/>
    <row r="671" s="31" customFormat="1" ht="25.5" hidden="1" customHeight="1" x14ac:dyDescent="0.3"/>
    <row r="672" s="31" customFormat="1" ht="25.5" hidden="1" customHeight="1" x14ac:dyDescent="0.3"/>
    <row r="673" s="31" customFormat="1" ht="25.5" hidden="1" customHeight="1" x14ac:dyDescent="0.3"/>
    <row r="674" s="31" customFormat="1" ht="25.5" hidden="1" customHeight="1" x14ac:dyDescent="0.3"/>
    <row r="675" s="31" customFormat="1" ht="25.5" hidden="1" customHeight="1" x14ac:dyDescent="0.3"/>
    <row r="676" s="31" customFormat="1" ht="25.5" hidden="1" customHeight="1" x14ac:dyDescent="0.3"/>
    <row r="677" s="31" customFormat="1" ht="25.5" hidden="1" customHeight="1" x14ac:dyDescent="0.3"/>
    <row r="678" s="31" customFormat="1" ht="25.5" hidden="1" customHeight="1" x14ac:dyDescent="0.3"/>
    <row r="679" s="31" customFormat="1" ht="25.5" hidden="1" customHeight="1" x14ac:dyDescent="0.3"/>
    <row r="680" s="31" customFormat="1" ht="25.5" hidden="1" customHeight="1" x14ac:dyDescent="0.3"/>
    <row r="681" s="31" customFormat="1" ht="25.5" hidden="1" customHeight="1" x14ac:dyDescent="0.3"/>
    <row r="682" s="31" customFormat="1" ht="25.5" hidden="1" customHeight="1" x14ac:dyDescent="0.3"/>
    <row r="683" s="31" customFormat="1" ht="25.5" hidden="1" customHeight="1" x14ac:dyDescent="0.3"/>
    <row r="684" s="31" customFormat="1" ht="25.5" hidden="1" customHeight="1" x14ac:dyDescent="0.3"/>
    <row r="685" s="31" customFormat="1" ht="25.5" hidden="1" customHeight="1" x14ac:dyDescent="0.3"/>
    <row r="686" s="31" customFormat="1" ht="25.5" hidden="1" customHeight="1" x14ac:dyDescent="0.3"/>
    <row r="687" s="31" customFormat="1" ht="25.5" hidden="1" customHeight="1" x14ac:dyDescent="0.3"/>
    <row r="688" s="31" customFormat="1" ht="25.5" hidden="1" customHeight="1" x14ac:dyDescent="0.3"/>
    <row r="689" s="31" customFormat="1" ht="25.5" hidden="1" customHeight="1" x14ac:dyDescent="0.3"/>
    <row r="690" ht="25.5" customHeight="1" x14ac:dyDescent="0.3"/>
    <row r="691" ht="25.5" customHeight="1" x14ac:dyDescent="0.3"/>
    <row r="692" ht="25.5" customHeight="1" x14ac:dyDescent="0.3"/>
    <row r="693" ht="25.5" customHeight="1" x14ac:dyDescent="0.3"/>
    <row r="694" ht="25.5" customHeight="1" x14ac:dyDescent="0.3"/>
    <row r="695" ht="25.5" customHeight="1" x14ac:dyDescent="0.3"/>
    <row r="696" ht="25.5" customHeight="1" x14ac:dyDescent="0.3"/>
    <row r="697" ht="25.5" customHeight="1" x14ac:dyDescent="0.3"/>
    <row r="698" ht="25.5" customHeight="1" x14ac:dyDescent="0.3"/>
    <row r="699" ht="25.5" customHeight="1" x14ac:dyDescent="0.3"/>
    <row r="700" ht="25.5" customHeight="1" x14ac:dyDescent="0.3"/>
    <row r="701" ht="25.5" customHeight="1" x14ac:dyDescent="0.3"/>
    <row r="702" ht="25.5" customHeight="1" x14ac:dyDescent="0.3"/>
    <row r="703" ht="25.5" customHeight="1" x14ac:dyDescent="0.3"/>
    <row r="704" ht="25.5" customHeight="1" x14ac:dyDescent="0.3"/>
    <row r="705" ht="25.5" customHeight="1" x14ac:dyDescent="0.3"/>
    <row r="706" ht="25.5" customHeight="1" x14ac:dyDescent="0.3"/>
    <row r="707" ht="25.5" customHeight="1" x14ac:dyDescent="0.3"/>
    <row r="708" ht="25.5" hidden="1" customHeight="1" x14ac:dyDescent="0.3"/>
    <row r="709" ht="25.5" customHeight="1" x14ac:dyDescent="0.3"/>
    <row r="710" ht="25.5" customHeight="1" x14ac:dyDescent="0.3"/>
    <row r="711" ht="25.5" customHeight="1" x14ac:dyDescent="0.3"/>
    <row r="712" ht="25.5" customHeight="1" x14ac:dyDescent="0.3"/>
    <row r="713" ht="25.5" customHeight="1" x14ac:dyDescent="0.3"/>
    <row r="714" ht="25.5" customHeight="1" x14ac:dyDescent="0.3"/>
    <row r="715" ht="25.5" customHeight="1" x14ac:dyDescent="0.3"/>
    <row r="716" ht="25.5" customHeight="1" x14ac:dyDescent="0.3"/>
    <row r="717" ht="25.5" customHeight="1" x14ac:dyDescent="0.3"/>
    <row r="718" ht="25.5" customHeight="1" x14ac:dyDescent="0.3"/>
    <row r="719" ht="25.5" customHeight="1" x14ac:dyDescent="0.3"/>
    <row r="720" ht="25.5" customHeight="1" x14ac:dyDescent="0.3"/>
    <row r="721" ht="25.5" customHeight="1" x14ac:dyDescent="0.3"/>
    <row r="722" ht="25.5" customHeight="1" x14ac:dyDescent="0.3"/>
    <row r="723" ht="25.5" customHeight="1" x14ac:dyDescent="0.3"/>
    <row r="724" ht="25.5" customHeight="1" x14ac:dyDescent="0.3"/>
    <row r="725" ht="25.5" customHeight="1" x14ac:dyDescent="0.3"/>
    <row r="726" ht="25.5" customHeight="1" x14ac:dyDescent="0.3"/>
    <row r="727" ht="25.5" customHeight="1" x14ac:dyDescent="0.3"/>
    <row r="728" ht="25.5" customHeight="1" x14ac:dyDescent="0.3"/>
    <row r="729" ht="25.5" customHeight="1" x14ac:dyDescent="0.3"/>
    <row r="730" ht="25.5" customHeight="1" x14ac:dyDescent="0.3"/>
    <row r="731" ht="25.5" customHeight="1" x14ac:dyDescent="0.3"/>
    <row r="732" ht="25.5" customHeight="1" x14ac:dyDescent="0.3"/>
    <row r="733" ht="25.5" customHeight="1" x14ac:dyDescent="0.3"/>
    <row r="734" ht="25.5" customHeight="1" x14ac:dyDescent="0.3"/>
    <row r="735" ht="25.5" customHeight="1" x14ac:dyDescent="0.3"/>
    <row r="736" ht="25.5" customHeight="1" x14ac:dyDescent="0.3"/>
    <row r="737" ht="25.5" customHeight="1" x14ac:dyDescent="0.3"/>
    <row r="738" ht="25.5" customHeight="1" x14ac:dyDescent="0.3"/>
    <row r="739" ht="25.5" customHeight="1" x14ac:dyDescent="0.3"/>
    <row r="740" ht="25.5" customHeight="1" x14ac:dyDescent="0.3"/>
    <row r="741" ht="25.5" customHeight="1" x14ac:dyDescent="0.3"/>
    <row r="742" ht="25.5" customHeight="1" x14ac:dyDescent="0.3"/>
    <row r="743" ht="25.5" customHeight="1" x14ac:dyDescent="0.3"/>
    <row r="744" ht="25.5" customHeight="1" x14ac:dyDescent="0.3"/>
    <row r="745" ht="25.5" customHeight="1" x14ac:dyDescent="0.3"/>
    <row r="746" ht="25.5" customHeight="1" x14ac:dyDescent="0.3"/>
    <row r="747" ht="25.5" customHeight="1" x14ac:dyDescent="0.3"/>
    <row r="748" ht="25.5" customHeight="1" x14ac:dyDescent="0.3"/>
    <row r="749" ht="25.5" customHeight="1" x14ac:dyDescent="0.3"/>
    <row r="750" ht="25.5" customHeight="1" x14ac:dyDescent="0.3"/>
    <row r="751" ht="25.5" customHeight="1" x14ac:dyDescent="0.3"/>
    <row r="752" ht="25.5" customHeight="1" x14ac:dyDescent="0.3"/>
    <row r="753" ht="25.5" customHeight="1" x14ac:dyDescent="0.3"/>
    <row r="754" ht="25.5" customHeight="1" x14ac:dyDescent="0.3"/>
    <row r="755" ht="25.5" customHeight="1" x14ac:dyDescent="0.3"/>
    <row r="756" ht="25.5" customHeight="1" x14ac:dyDescent="0.3"/>
    <row r="757" ht="25.5" customHeight="1" x14ac:dyDescent="0.3"/>
    <row r="758" ht="25.5" customHeight="1" x14ac:dyDescent="0.3"/>
    <row r="759" ht="25.5" customHeight="1" x14ac:dyDescent="0.3"/>
    <row r="760" ht="25.5" customHeight="1" x14ac:dyDescent="0.3"/>
    <row r="761" ht="25.5" customHeight="1" x14ac:dyDescent="0.3"/>
    <row r="762" ht="25.5" customHeight="1" x14ac:dyDescent="0.3"/>
    <row r="763" ht="25.5" customHeight="1" x14ac:dyDescent="0.3"/>
    <row r="764" ht="25.5" customHeight="1" x14ac:dyDescent="0.3"/>
    <row r="765" ht="25.5" customHeight="1" x14ac:dyDescent="0.3"/>
    <row r="766" ht="25.5" customHeight="1" x14ac:dyDescent="0.3"/>
    <row r="767" ht="25.5" customHeight="1" x14ac:dyDescent="0.3"/>
    <row r="768" ht="25.5" customHeight="1" x14ac:dyDescent="0.3"/>
    <row r="769" ht="25.5" customHeight="1" x14ac:dyDescent="0.3"/>
    <row r="770" ht="25.5" customHeight="1" x14ac:dyDescent="0.3"/>
    <row r="771" ht="25.5" customHeight="1" x14ac:dyDescent="0.3"/>
    <row r="772" ht="25.5" customHeight="1" x14ac:dyDescent="0.3"/>
    <row r="773" ht="25.5" customHeight="1" x14ac:dyDescent="0.3"/>
    <row r="774" ht="25.5" customHeight="1" x14ac:dyDescent="0.3"/>
    <row r="775" ht="25.5" customHeight="1" x14ac:dyDescent="0.3"/>
    <row r="776" ht="25.5" customHeight="1" x14ac:dyDescent="0.3"/>
    <row r="777" ht="25.5" customHeight="1" x14ac:dyDescent="0.3"/>
    <row r="778" ht="25.5" customHeight="1" x14ac:dyDescent="0.3"/>
    <row r="779" ht="25.5" customHeight="1" x14ac:dyDescent="0.3"/>
    <row r="780" ht="25.5" customHeight="1" x14ac:dyDescent="0.3"/>
    <row r="781" ht="25.5" customHeight="1" x14ac:dyDescent="0.3"/>
    <row r="782" ht="25.5" customHeight="1" x14ac:dyDescent="0.3"/>
    <row r="783" ht="25.5" customHeight="1" x14ac:dyDescent="0.3"/>
    <row r="784" ht="25.5" customHeight="1" x14ac:dyDescent="0.3"/>
    <row r="785" ht="25.5" customHeight="1" x14ac:dyDescent="0.3"/>
    <row r="786" ht="25.5" customHeight="1" x14ac:dyDescent="0.3"/>
    <row r="787" ht="25.5" customHeight="1" x14ac:dyDescent="0.3"/>
    <row r="788" ht="25.5" customHeight="1" x14ac:dyDescent="0.3"/>
    <row r="789" ht="25.5" customHeight="1" x14ac:dyDescent="0.3"/>
    <row r="790" ht="25.5" customHeight="1" x14ac:dyDescent="0.3"/>
    <row r="791" ht="25.5" customHeight="1" x14ac:dyDescent="0.3"/>
    <row r="792" ht="25.5" customHeight="1" x14ac:dyDescent="0.3"/>
    <row r="793" ht="25.5" customHeight="1" x14ac:dyDescent="0.3"/>
    <row r="794" ht="25.5" customHeight="1" x14ac:dyDescent="0.3"/>
    <row r="795" ht="25.5" customHeight="1" x14ac:dyDescent="0.3"/>
    <row r="796" ht="25.5" customHeight="1" x14ac:dyDescent="0.3"/>
    <row r="797" ht="25.5" customHeight="1" x14ac:dyDescent="0.3"/>
    <row r="798" ht="25.5" customHeight="1" x14ac:dyDescent="0.3"/>
    <row r="799" ht="25.5" customHeight="1" x14ac:dyDescent="0.3"/>
    <row r="800" ht="25.5" customHeight="1" x14ac:dyDescent="0.3"/>
    <row r="801" ht="25.5" customHeight="1" x14ac:dyDescent="0.3"/>
    <row r="802" ht="25.5" customHeight="1" x14ac:dyDescent="0.3"/>
    <row r="803" ht="25.5" customHeight="1" x14ac:dyDescent="0.3"/>
    <row r="804" ht="25.5" customHeight="1" x14ac:dyDescent="0.3"/>
    <row r="805" ht="25.5" customHeight="1" x14ac:dyDescent="0.3"/>
    <row r="806" ht="25.5" customHeight="1" x14ac:dyDescent="0.3"/>
    <row r="807" ht="25.5" customHeight="1" x14ac:dyDescent="0.3"/>
    <row r="808" ht="25.5" customHeight="1" x14ac:dyDescent="0.3"/>
    <row r="809" ht="25.5" customHeight="1" x14ac:dyDescent="0.3"/>
    <row r="810" ht="25.5" customHeight="1" x14ac:dyDescent="0.3"/>
    <row r="811" ht="25.5" customHeight="1" x14ac:dyDescent="0.3"/>
    <row r="812" ht="25.5" customHeight="1" x14ac:dyDescent="0.3"/>
    <row r="813" ht="25.5" customHeight="1" x14ac:dyDescent="0.3"/>
    <row r="814" ht="25.5" customHeight="1" x14ac:dyDescent="0.3"/>
    <row r="815" ht="25.5" customHeight="1" x14ac:dyDescent="0.3"/>
    <row r="816" ht="25.5" customHeight="1" x14ac:dyDescent="0.3"/>
    <row r="817" ht="25.5" customHeight="1" x14ac:dyDescent="0.3"/>
    <row r="818" ht="25.5" customHeight="1" x14ac:dyDescent="0.3"/>
    <row r="819" ht="25.5" customHeight="1" x14ac:dyDescent="0.3"/>
    <row r="820" ht="25.5" customHeight="1" x14ac:dyDescent="0.3"/>
    <row r="821" ht="25.5" customHeight="1" x14ac:dyDescent="0.3"/>
    <row r="822" ht="25.5" customHeight="1" x14ac:dyDescent="0.3"/>
    <row r="823" ht="25.5" customHeight="1" x14ac:dyDescent="0.3"/>
    <row r="824" ht="25.5" customHeight="1" x14ac:dyDescent="0.3"/>
    <row r="825" ht="25.5" customHeight="1" x14ac:dyDescent="0.3"/>
    <row r="826" ht="25.5" customHeight="1" x14ac:dyDescent="0.3"/>
    <row r="827" ht="25.5" customHeight="1" x14ac:dyDescent="0.3"/>
    <row r="828" ht="25.5" customHeight="1" x14ac:dyDescent="0.3"/>
    <row r="829" ht="25.5" customHeight="1" x14ac:dyDescent="0.3"/>
    <row r="830" ht="25.5" customHeight="1" x14ac:dyDescent="0.3"/>
    <row r="831" ht="25.5" customHeight="1" x14ac:dyDescent="0.3"/>
    <row r="832" ht="25.5" customHeight="1" x14ac:dyDescent="0.3"/>
    <row r="833" ht="25.5" customHeight="1" x14ac:dyDescent="0.3"/>
    <row r="834" ht="25.5" customHeight="1" x14ac:dyDescent="0.3"/>
    <row r="835" ht="25.5" customHeight="1" x14ac:dyDescent="0.3"/>
    <row r="836" ht="25.5" customHeight="1" x14ac:dyDescent="0.3"/>
    <row r="837" ht="25.5" customHeight="1" x14ac:dyDescent="0.3"/>
    <row r="838" ht="25.5" customHeight="1" x14ac:dyDescent="0.3"/>
    <row r="839" ht="25.5" customHeight="1" x14ac:dyDescent="0.3"/>
    <row r="840" ht="25.5" customHeight="1" x14ac:dyDescent="0.3"/>
    <row r="841" ht="25.5" customHeight="1" x14ac:dyDescent="0.3"/>
    <row r="842" ht="25.5" customHeight="1" x14ac:dyDescent="0.3"/>
    <row r="843" ht="25.5" customHeight="1" x14ac:dyDescent="0.3"/>
    <row r="844" ht="25.5" customHeight="1" x14ac:dyDescent="0.3"/>
    <row r="845" ht="25.5" customHeight="1" x14ac:dyDescent="0.3"/>
    <row r="846" ht="25.5" customHeight="1" x14ac:dyDescent="0.3"/>
    <row r="847" ht="25.5" customHeight="1" x14ac:dyDescent="0.3"/>
    <row r="848" ht="25.5" customHeight="1" x14ac:dyDescent="0.3"/>
    <row r="849" ht="25.5" customHeight="1" x14ac:dyDescent="0.3"/>
    <row r="850" ht="25.5" customHeight="1" x14ac:dyDescent="0.3"/>
    <row r="851" ht="25.5" customHeight="1" x14ac:dyDescent="0.3"/>
    <row r="852" ht="25.5" customHeight="1" x14ac:dyDescent="0.3"/>
    <row r="853" ht="25.5" customHeight="1" x14ac:dyDescent="0.3"/>
    <row r="854" ht="25.5" customHeight="1" x14ac:dyDescent="0.3"/>
    <row r="855" ht="25.5" customHeight="1" x14ac:dyDescent="0.3"/>
    <row r="856" ht="25.5" customHeight="1" x14ac:dyDescent="0.3"/>
    <row r="857" ht="25.5" customHeight="1" x14ac:dyDescent="0.3"/>
    <row r="858" ht="25.5" customHeight="1" x14ac:dyDescent="0.3"/>
    <row r="859" ht="25.5" customHeight="1" x14ac:dyDescent="0.3"/>
    <row r="860" ht="25.5" customHeight="1" x14ac:dyDescent="0.3"/>
    <row r="861" ht="25.5" customHeight="1" x14ac:dyDescent="0.3"/>
    <row r="862" ht="25.5" customHeight="1" x14ac:dyDescent="0.3"/>
    <row r="863" ht="25.5" customHeight="1" x14ac:dyDescent="0.3"/>
    <row r="864" ht="25.5" customHeight="1" x14ac:dyDescent="0.3"/>
    <row r="865" ht="25.5" customHeight="1" x14ac:dyDescent="0.3"/>
    <row r="866" ht="25.5" customHeight="1" x14ac:dyDescent="0.3"/>
    <row r="867" ht="25.5" customHeight="1" x14ac:dyDescent="0.3"/>
    <row r="868" ht="25.5" customHeight="1" x14ac:dyDescent="0.3"/>
    <row r="869" ht="25.5" customHeight="1" x14ac:dyDescent="0.3"/>
    <row r="870" ht="25.5" customHeight="1" x14ac:dyDescent="0.3"/>
    <row r="871" ht="25.5" customHeight="1" x14ac:dyDescent="0.3"/>
    <row r="872" ht="25.5" customHeight="1" x14ac:dyDescent="0.3"/>
    <row r="873" ht="25.5" customHeight="1" x14ac:dyDescent="0.3"/>
    <row r="874" ht="25.5" customHeight="1" x14ac:dyDescent="0.3"/>
    <row r="875" ht="25.5" customHeight="1" x14ac:dyDescent="0.3"/>
    <row r="876" ht="25.5" customHeight="1" x14ac:dyDescent="0.3"/>
    <row r="877" ht="25.5" customHeight="1" x14ac:dyDescent="0.3"/>
    <row r="878" ht="25.5" customHeight="1" x14ac:dyDescent="0.3"/>
    <row r="879" ht="25.5" customHeight="1" x14ac:dyDescent="0.3"/>
    <row r="880" ht="25.5" customHeight="1" x14ac:dyDescent="0.3"/>
    <row r="881" ht="25.5" customHeight="1" x14ac:dyDescent="0.3"/>
    <row r="882" ht="25.5" customHeight="1" x14ac:dyDescent="0.3"/>
    <row r="883" ht="25.5" customHeight="1" x14ac:dyDescent="0.3"/>
    <row r="884" ht="25.5" customHeight="1" x14ac:dyDescent="0.3"/>
    <row r="885" ht="25.5" customHeight="1" x14ac:dyDescent="0.3"/>
    <row r="886" ht="25.5" customHeight="1" x14ac:dyDescent="0.3"/>
    <row r="887" ht="25.5" customHeight="1" x14ac:dyDescent="0.3"/>
    <row r="888" ht="25.5" customHeight="1" x14ac:dyDescent="0.3"/>
    <row r="889" ht="25.5" customHeight="1" x14ac:dyDescent="0.3"/>
    <row r="890" ht="25.5" customHeight="1" x14ac:dyDescent="0.3"/>
    <row r="891" ht="25.5" customHeight="1" x14ac:dyDescent="0.3"/>
    <row r="892" ht="25.5" customHeight="1" x14ac:dyDescent="0.3"/>
    <row r="893" ht="25.5" customHeight="1" x14ac:dyDescent="0.3"/>
    <row r="894" ht="25.5" customHeight="1" x14ac:dyDescent="0.3"/>
    <row r="895" ht="25.5" customHeight="1" x14ac:dyDescent="0.3"/>
    <row r="896" ht="25.5" customHeight="1" x14ac:dyDescent="0.3"/>
    <row r="897" ht="25.5" customHeight="1" x14ac:dyDescent="0.3"/>
    <row r="898" ht="25.5" customHeight="1" x14ac:dyDescent="0.3"/>
    <row r="899" ht="25.5" customHeight="1" x14ac:dyDescent="0.3"/>
    <row r="900" ht="25.5" customHeight="1" x14ac:dyDescent="0.3"/>
    <row r="901" ht="25.5" customHeight="1" x14ac:dyDescent="0.3"/>
    <row r="902" ht="25.5" customHeight="1" x14ac:dyDescent="0.3"/>
    <row r="903" ht="25.5" customHeight="1" x14ac:dyDescent="0.3"/>
    <row r="904" ht="25.5" customHeight="1" x14ac:dyDescent="0.3"/>
    <row r="905" ht="25.5" customHeight="1" x14ac:dyDescent="0.3"/>
    <row r="906" ht="25.5" customHeight="1" x14ac:dyDescent="0.3"/>
    <row r="907" ht="25.5" customHeight="1" x14ac:dyDescent="0.3"/>
    <row r="908" ht="25.5" customHeight="1" x14ac:dyDescent="0.3"/>
    <row r="909" ht="25.5" customHeight="1" x14ac:dyDescent="0.3"/>
    <row r="910" ht="25.5" customHeight="1" x14ac:dyDescent="0.3"/>
    <row r="911" ht="25.5" customHeight="1" x14ac:dyDescent="0.3"/>
    <row r="912" ht="25.5" customHeight="1" x14ac:dyDescent="0.3"/>
    <row r="913" ht="25.5" customHeight="1" x14ac:dyDescent="0.3"/>
    <row r="914" ht="25.5" customHeight="1" x14ac:dyDescent="0.3"/>
    <row r="915" ht="25.5" customHeight="1" x14ac:dyDescent="0.3"/>
    <row r="916" ht="25.5" customHeight="1" x14ac:dyDescent="0.3"/>
    <row r="917" ht="25.5" customHeight="1" x14ac:dyDescent="0.3"/>
    <row r="918" ht="25.5" customHeight="1" x14ac:dyDescent="0.3"/>
    <row r="919" ht="25.5" customHeight="1" x14ac:dyDescent="0.3"/>
    <row r="920" ht="25.5" customHeight="1" x14ac:dyDescent="0.3"/>
    <row r="921" ht="25.5" customHeight="1" x14ac:dyDescent="0.3"/>
    <row r="922" ht="25.5" customHeight="1" x14ac:dyDescent="0.3"/>
    <row r="923" ht="25.5" customHeight="1" x14ac:dyDescent="0.3"/>
    <row r="924" ht="25.5" customHeight="1" x14ac:dyDescent="0.3"/>
    <row r="925" ht="25.5" customHeight="1" x14ac:dyDescent="0.3"/>
    <row r="926" ht="25.5" customHeight="1" x14ac:dyDescent="0.3"/>
    <row r="927" ht="25.5" customHeight="1" x14ac:dyDescent="0.3"/>
    <row r="928" ht="25.5" customHeight="1" x14ac:dyDescent="0.3"/>
    <row r="929" ht="25.5" customHeight="1" x14ac:dyDescent="0.3"/>
    <row r="930" ht="25.5" customHeight="1" x14ac:dyDescent="0.3"/>
    <row r="931" ht="25.5" customHeight="1" x14ac:dyDescent="0.3"/>
    <row r="932" ht="25.5" customHeight="1" x14ac:dyDescent="0.3"/>
    <row r="933" ht="25.5" customHeight="1" x14ac:dyDescent="0.3"/>
    <row r="934" ht="25.5" customHeight="1" x14ac:dyDescent="0.3"/>
    <row r="935" ht="25.5" customHeight="1" x14ac:dyDescent="0.3"/>
    <row r="936" ht="25.5" customHeight="1" x14ac:dyDescent="0.3"/>
    <row r="937" ht="25.5" customHeight="1" x14ac:dyDescent="0.3"/>
    <row r="938" ht="25.5" customHeight="1" x14ac:dyDescent="0.3"/>
    <row r="939" ht="25.5" customHeight="1" x14ac:dyDescent="0.3"/>
    <row r="940" ht="25.5" customHeight="1" x14ac:dyDescent="0.3"/>
    <row r="941" ht="25.5" customHeight="1" x14ac:dyDescent="0.3"/>
    <row r="942" ht="25.5" customHeight="1" x14ac:dyDescent="0.3"/>
    <row r="943" ht="25.5" customHeight="1" x14ac:dyDescent="0.3"/>
    <row r="944" ht="25.5" customHeight="1" x14ac:dyDescent="0.3"/>
    <row r="945" ht="25.5" customHeight="1" x14ac:dyDescent="0.3"/>
    <row r="946" ht="25.5" customHeight="1" x14ac:dyDescent="0.3"/>
    <row r="947" ht="25.5" customHeight="1" x14ac:dyDescent="0.3"/>
    <row r="948" ht="25.5" customHeight="1" x14ac:dyDescent="0.3"/>
    <row r="949" ht="25.5" customHeight="1" x14ac:dyDescent="0.3"/>
    <row r="950" ht="25.5" customHeight="1" x14ac:dyDescent="0.3"/>
    <row r="951" ht="25.5" customHeight="1" x14ac:dyDescent="0.3"/>
    <row r="952" ht="25.5" customHeight="1" x14ac:dyDescent="0.3"/>
    <row r="953" ht="25.5" customHeight="1" x14ac:dyDescent="0.3"/>
    <row r="954" ht="25.5" customHeight="1" x14ac:dyDescent="0.3"/>
    <row r="955" ht="25.5" customHeight="1" x14ac:dyDescent="0.3"/>
    <row r="956" ht="25.5" customHeight="1" x14ac:dyDescent="0.3"/>
    <row r="957" ht="25.5" customHeight="1" x14ac:dyDescent="0.3"/>
    <row r="958" ht="25.5" customHeight="1" x14ac:dyDescent="0.3"/>
    <row r="959" ht="25.5" customHeight="1" x14ac:dyDescent="0.3"/>
    <row r="960" ht="25.5" customHeight="1" x14ac:dyDescent="0.3"/>
    <row r="961" ht="25.5" customHeight="1" x14ac:dyDescent="0.3"/>
    <row r="962" ht="25.5" customHeight="1" x14ac:dyDescent="0.3"/>
    <row r="963" ht="25.5" customHeight="1" x14ac:dyDescent="0.3"/>
    <row r="964" ht="25.5" customHeight="1" x14ac:dyDescent="0.3"/>
    <row r="965" ht="25.5" customHeight="1" x14ac:dyDescent="0.3"/>
    <row r="966" ht="25.5" customHeight="1" x14ac:dyDescent="0.3"/>
    <row r="967" ht="25.5" customHeight="1" x14ac:dyDescent="0.3"/>
    <row r="968" ht="25.5" customHeight="1" x14ac:dyDescent="0.3"/>
    <row r="969" ht="25.5" customHeight="1" x14ac:dyDescent="0.3"/>
    <row r="970" ht="25.5" customHeight="1" x14ac:dyDescent="0.3"/>
    <row r="971" ht="25.5" customHeight="1" x14ac:dyDescent="0.3"/>
    <row r="972" ht="25.5" customHeight="1" x14ac:dyDescent="0.3"/>
    <row r="973" ht="25.5" customHeight="1" x14ac:dyDescent="0.3"/>
    <row r="974" ht="25.5" customHeight="1" x14ac:dyDescent="0.3"/>
    <row r="975" ht="25.5" customHeight="1" x14ac:dyDescent="0.3"/>
    <row r="976" ht="25.5" customHeight="1" x14ac:dyDescent="0.3"/>
    <row r="977" ht="25.5" customHeight="1" x14ac:dyDescent="0.3"/>
    <row r="978" ht="25.5" customHeight="1" x14ac:dyDescent="0.3"/>
    <row r="979" ht="25.5" customHeight="1" x14ac:dyDescent="0.3"/>
    <row r="980" ht="25.5" customHeight="1" x14ac:dyDescent="0.3"/>
    <row r="981" ht="25.5" customHeight="1" x14ac:dyDescent="0.3"/>
    <row r="982" ht="25.5" customHeight="1" x14ac:dyDescent="0.3"/>
    <row r="983" ht="25.5" customHeight="1" x14ac:dyDescent="0.3"/>
    <row r="984" ht="25.5" customHeight="1" x14ac:dyDescent="0.3"/>
    <row r="985" ht="25.5" customHeight="1" x14ac:dyDescent="0.3"/>
    <row r="986" ht="25.5" customHeight="1" x14ac:dyDescent="0.3"/>
    <row r="987" ht="25.5" customHeight="1" x14ac:dyDescent="0.3"/>
    <row r="988" ht="25.5" customHeight="1" x14ac:dyDescent="0.3"/>
    <row r="989" ht="25.5" customHeight="1" x14ac:dyDescent="0.3"/>
    <row r="990" ht="25.5" customHeight="1" x14ac:dyDescent="0.3"/>
    <row r="991" ht="25.5" customHeight="1" x14ac:dyDescent="0.3"/>
    <row r="992" ht="25.5" customHeight="1" x14ac:dyDescent="0.3"/>
    <row r="993" ht="25.5" customHeight="1" x14ac:dyDescent="0.3"/>
    <row r="994" ht="25.5" customHeight="1" x14ac:dyDescent="0.3"/>
    <row r="995" ht="25.5" customHeight="1" x14ac:dyDescent="0.3"/>
    <row r="996" ht="25.5" customHeight="1" x14ac:dyDescent="0.3"/>
    <row r="997" ht="25.5" customHeight="1" x14ac:dyDescent="0.3"/>
    <row r="998" ht="25.5" customHeight="1" x14ac:dyDescent="0.3"/>
    <row r="999" ht="25.5" customHeight="1" x14ac:dyDescent="0.3"/>
    <row r="1000" ht="25.5" customHeight="1" x14ac:dyDescent="0.3"/>
    <row r="1001" ht="25.5" customHeight="1" x14ac:dyDescent="0.3"/>
    <row r="1002" ht="25.5" customHeight="1" x14ac:dyDescent="0.3"/>
    <row r="1003" ht="25.5" customHeight="1" x14ac:dyDescent="0.3"/>
    <row r="1004" ht="25.5" customHeight="1" x14ac:dyDescent="0.3"/>
    <row r="1005" ht="25.5" customHeight="1" x14ac:dyDescent="0.3"/>
    <row r="1006" ht="25.5" customHeight="1" x14ac:dyDescent="0.3"/>
    <row r="1007" ht="25.5" customHeight="1" x14ac:dyDescent="0.3"/>
    <row r="1008" ht="25.5" customHeight="1" x14ac:dyDescent="0.3"/>
    <row r="1009" ht="25.5" customHeight="1" x14ac:dyDescent="0.3"/>
    <row r="1010" ht="25.5" customHeight="1" x14ac:dyDescent="0.3"/>
    <row r="1011" ht="25.5" customHeight="1" x14ac:dyDescent="0.3"/>
    <row r="1012" ht="25.5" customHeight="1" x14ac:dyDescent="0.3"/>
    <row r="1013" ht="25.5" customHeight="1" x14ac:dyDescent="0.3"/>
    <row r="1014" ht="25.5" customHeight="1" x14ac:dyDescent="0.3"/>
    <row r="1015" ht="25.5" customHeight="1" x14ac:dyDescent="0.3"/>
    <row r="1016" ht="25.5" customHeight="1" x14ac:dyDescent="0.3"/>
    <row r="1017" ht="25.5" customHeight="1" x14ac:dyDescent="0.3"/>
    <row r="1018" ht="25.5" customHeight="1" x14ac:dyDescent="0.3"/>
    <row r="1019" ht="25.5" customHeight="1" x14ac:dyDescent="0.3"/>
    <row r="1020" ht="25.5" customHeight="1" x14ac:dyDescent="0.3"/>
    <row r="1021" ht="25.5" customHeight="1" x14ac:dyDescent="0.3"/>
    <row r="1022" ht="25.5" customHeight="1" x14ac:dyDescent="0.3"/>
    <row r="1023" ht="25.5" customHeight="1" x14ac:dyDescent="0.3"/>
    <row r="1024" ht="25.5" customHeight="1" x14ac:dyDescent="0.3"/>
    <row r="1025" ht="25.5" customHeight="1" x14ac:dyDescent="0.3"/>
    <row r="1026" ht="25.5" customHeight="1" x14ac:dyDescent="0.3"/>
    <row r="1027" ht="25.5" customHeight="1" x14ac:dyDescent="0.3"/>
    <row r="1028" ht="25.5" customHeight="1" x14ac:dyDescent="0.3"/>
    <row r="1029" ht="25.5" customHeight="1" x14ac:dyDescent="0.3"/>
    <row r="1030" ht="25.5" customHeight="1" x14ac:dyDescent="0.3"/>
  </sheetData>
  <mergeCells count="140">
    <mergeCell ref="S1:U1"/>
    <mergeCell ref="A2:R2"/>
    <mergeCell ref="A4:R4"/>
    <mergeCell ref="C6:G6"/>
    <mergeCell ref="C7:G7"/>
    <mergeCell ref="C8:G8"/>
    <mergeCell ref="S47:T47"/>
    <mergeCell ref="M47:P47"/>
    <mergeCell ref="M46:P46"/>
    <mergeCell ref="Q45:U45"/>
    <mergeCell ref="M7:R7"/>
    <mergeCell ref="M8:S8"/>
    <mergeCell ref="M9:N9"/>
    <mergeCell ref="K10:L10"/>
    <mergeCell ref="Q10:S10"/>
    <mergeCell ref="U23:U25"/>
    <mergeCell ref="I26:I28"/>
    <mergeCell ref="U26:U28"/>
    <mergeCell ref="U29:U31"/>
    <mergeCell ref="U32:U34"/>
    <mergeCell ref="L26:L28"/>
    <mergeCell ref="L29:L31"/>
    <mergeCell ref="M33:N33"/>
    <mergeCell ref="M34:N34"/>
    <mergeCell ref="A1:R1"/>
    <mergeCell ref="M48:P48"/>
    <mergeCell ref="D26:D28"/>
    <mergeCell ref="D29:D31"/>
    <mergeCell ref="D32:D34"/>
    <mergeCell ref="C26:C28"/>
    <mergeCell ref="C29:C31"/>
    <mergeCell ref="C32:C34"/>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P24:R24"/>
    <mergeCell ref="E23:T23"/>
    <mergeCell ref="S25:T25"/>
    <mergeCell ref="P34:Q34"/>
    <mergeCell ref="P30:Q30"/>
    <mergeCell ref="P31:Q31"/>
    <mergeCell ref="M29:N29"/>
    <mergeCell ref="M30:N30"/>
    <mergeCell ref="M31:N31"/>
    <mergeCell ref="S24:T24"/>
    <mergeCell ref="S26:T28"/>
    <mergeCell ref="M26:N26"/>
    <mergeCell ref="P28:Q28"/>
    <mergeCell ref="P29:Q29"/>
    <mergeCell ref="C43:C44"/>
    <mergeCell ref="D43:D44"/>
    <mergeCell ref="E43:E44"/>
    <mergeCell ref="F43:F44"/>
    <mergeCell ref="H32:H34"/>
    <mergeCell ref="F29:F31"/>
    <mergeCell ref="P26:Q26"/>
    <mergeCell ref="P33:Q33"/>
    <mergeCell ref="K32:K34"/>
    <mergeCell ref="F32:F34"/>
    <mergeCell ref="G29:G31"/>
    <mergeCell ref="I29:I31"/>
    <mergeCell ref="I32:I34"/>
    <mergeCell ref="M27:N27"/>
    <mergeCell ref="P32:Q32"/>
    <mergeCell ref="H26:H28"/>
    <mergeCell ref="H29:H31"/>
    <mergeCell ref="S29:T31"/>
    <mergeCell ref="S32:T34"/>
    <mergeCell ref="K26:K28"/>
    <mergeCell ref="M32:N32"/>
    <mergeCell ref="L32:L34"/>
    <mergeCell ref="H39:H40"/>
    <mergeCell ref="A39:A40"/>
    <mergeCell ref="A41:A42"/>
    <mergeCell ref="S38:U38"/>
    <mergeCell ref="J37:U37"/>
    <mergeCell ref="J38:L39"/>
    <mergeCell ref="J40:L40"/>
    <mergeCell ref="J41:L41"/>
    <mergeCell ref="J32:J34"/>
    <mergeCell ref="J42:L42"/>
    <mergeCell ref="M38:O38"/>
    <mergeCell ref="P38:R38"/>
    <mergeCell ref="H17:K18"/>
    <mergeCell ref="L17:N17"/>
    <mergeCell ref="O17:Q17"/>
    <mergeCell ref="A12:C14"/>
    <mergeCell ref="A20:C20"/>
    <mergeCell ref="P27:Q27"/>
    <mergeCell ref="M24:O24"/>
    <mergeCell ref="M25:O25"/>
    <mergeCell ref="P25:R25"/>
    <mergeCell ref="G26:G28"/>
    <mergeCell ref="J26:J28"/>
    <mergeCell ref="M28:N28"/>
    <mergeCell ref="B39:B40"/>
    <mergeCell ref="C39:C40"/>
    <mergeCell ref="D39:D40"/>
    <mergeCell ref="B41:B42"/>
    <mergeCell ref="C41:C42"/>
    <mergeCell ref="D41:D42"/>
    <mergeCell ref="D12:G12"/>
    <mergeCell ref="D13:G13"/>
    <mergeCell ref="D14:G14"/>
    <mergeCell ref="A37:E37"/>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 ref="F39:F40"/>
    <mergeCell ref="G39:G40"/>
    <mergeCell ref="E41:E42"/>
    <mergeCell ref="F41:F42"/>
    <mergeCell ref="G41:G42"/>
    <mergeCell ref="H41:H42"/>
    <mergeCell ref="B43:B44"/>
  </mergeCells>
  <phoneticPr fontId="5" type="noConversion"/>
  <dataValidations count="6">
    <dataValidation allowBlank="1" showInputMessage="1" showErrorMessage="1" prompt="Date Format:_x000a_DD/MM/YYYY" sqref="S47 P9" xr:uid="{00000000-0002-0000-0000-000000000000}"/>
    <dataValidation type="whole" allowBlank="1" showInputMessage="1" showErrorMessage="1" sqref="E26:L34 M40:U42 O26:O34 R26:R34 L18:N18 B39:D44 B26:C34" xr:uid="{00000000-0002-0000-0000-000003000000}">
      <formula1>0</formula1>
      <formula2>999999</formula2>
    </dataValidation>
    <dataValidation type="whole" allowBlank="1" showInputMessage="1" showErrorMessage="1" prompt="Fill the following Others (Specify) table to get the number automatically " sqref="S26:T34" xr:uid="{00000000-0002-0000-0000-000004000000}">
      <formula1>0</formula1>
      <formula2>999999</formula2>
    </dataValidation>
    <dataValidation type="list" allowBlank="1" showInputMessage="1" showErrorMessage="1" prompt="Select from drop down list" sqref="C6:G6" xr:uid="{00000000-0002-0000-0000-000005000000}">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xr:uid="{00000000-0002-0000-0000-000006000000}">
      <formula1>INDIRECT($C$6)</formula1>
    </dataValidation>
    <dataValidation type="list" allowBlank="1" showInputMessage="1" showErrorMessage="1" prompt="Select from drop down list" sqref="C8:G8" xr:uid="{00000000-0002-0000-0000-000007000000}">
      <formula1>INDIRECT($C$7)</formula1>
    </dataValidation>
  </dataValidations>
  <pageMargins left="0.21" right="0.17" top="0.47" bottom="0.22" header="0.23" footer="0.16"/>
  <pageSetup paperSize="9" scale="73"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P16"/>
  <sheetViews>
    <sheetView showGridLines="0" zoomScaleNormal="100" zoomScaleSheetLayoutView="100" workbookViewId="0">
      <selection activeCell="I8" sqref="I8"/>
    </sheetView>
  </sheetViews>
  <sheetFormatPr baseColWidth="10" defaultColWidth="9" defaultRowHeight="15" x14ac:dyDescent="0.25"/>
  <cols>
    <col min="1" max="1" width="6" style="77" customWidth="1"/>
    <col min="2" max="2" width="22.125" style="77" customWidth="1"/>
    <col min="3" max="3" width="5.5" style="77" customWidth="1"/>
    <col min="4" max="4" width="6.875" style="77" customWidth="1"/>
    <col min="5" max="5" width="10.125" style="77" customWidth="1"/>
    <col min="6" max="6" width="27.625" style="77" customWidth="1"/>
    <col min="7" max="7" width="17.125" style="77" customWidth="1"/>
    <col min="8" max="8" width="10.125" style="77" customWidth="1"/>
    <col min="9" max="9" width="15" style="77" customWidth="1"/>
    <col min="10" max="10" width="10.5" style="77" customWidth="1"/>
    <col min="11" max="11" width="15.875" style="77" customWidth="1"/>
    <col min="12" max="13" width="9.5" style="77" customWidth="1"/>
    <col min="14" max="14" width="11.5" style="77" customWidth="1"/>
    <col min="15" max="15" width="12" style="77" customWidth="1"/>
    <col min="16" max="258" width="9.125" style="77"/>
    <col min="259" max="259" width="6" style="77" customWidth="1"/>
    <col min="260" max="260" width="22.125" style="77" customWidth="1"/>
    <col min="261" max="261" width="5.5" style="77" customWidth="1"/>
    <col min="262" max="262" width="5.125" style="77" customWidth="1"/>
    <col min="263" max="263" width="21.375" style="77" customWidth="1"/>
    <col min="264" max="264" width="17.125" style="77" customWidth="1"/>
    <col min="265" max="265" width="10.125" style="77" customWidth="1"/>
    <col min="266" max="266" width="15" style="77" customWidth="1"/>
    <col min="267" max="267" width="10.5" style="77" customWidth="1"/>
    <col min="268" max="268" width="15.875" style="77" customWidth="1"/>
    <col min="269" max="269" width="9.5" style="77" customWidth="1"/>
    <col min="270" max="270" width="11.5" style="77" customWidth="1"/>
    <col min="271" max="271" width="12" style="77" customWidth="1"/>
    <col min="272" max="514" width="9.125" style="77"/>
    <col min="515" max="515" width="6" style="77" customWidth="1"/>
    <col min="516" max="516" width="22.125" style="77" customWidth="1"/>
    <col min="517" max="517" width="5.5" style="77" customWidth="1"/>
    <col min="518" max="518" width="5.125" style="77" customWidth="1"/>
    <col min="519" max="519" width="21.375" style="77" customWidth="1"/>
    <col min="520" max="520" width="17.125" style="77" customWidth="1"/>
    <col min="521" max="521" width="10.125" style="77" customWidth="1"/>
    <col min="522" max="522" width="15" style="77" customWidth="1"/>
    <col min="523" max="523" width="10.5" style="77" customWidth="1"/>
    <col min="524" max="524" width="15.875" style="77" customWidth="1"/>
    <col min="525" max="525" width="9.5" style="77" customWidth="1"/>
    <col min="526" max="526" width="11.5" style="77" customWidth="1"/>
    <col min="527" max="527" width="12" style="77" customWidth="1"/>
    <col min="528" max="770" width="9.125" style="77"/>
    <col min="771" max="771" width="6" style="77" customWidth="1"/>
    <col min="772" max="772" width="22.125" style="77" customWidth="1"/>
    <col min="773" max="773" width="5.5" style="77" customWidth="1"/>
    <col min="774" max="774" width="5.125" style="77" customWidth="1"/>
    <col min="775" max="775" width="21.375" style="77" customWidth="1"/>
    <col min="776" max="776" width="17.125" style="77" customWidth="1"/>
    <col min="777" max="777" width="10.125" style="77" customWidth="1"/>
    <col min="778" max="778" width="15" style="77" customWidth="1"/>
    <col min="779" max="779" width="10.5" style="77" customWidth="1"/>
    <col min="780" max="780" width="15.875" style="77" customWidth="1"/>
    <col min="781" max="781" width="9.5" style="77" customWidth="1"/>
    <col min="782" max="782" width="11.5" style="77" customWidth="1"/>
    <col min="783" max="783" width="12" style="77" customWidth="1"/>
    <col min="784" max="1026" width="9.125" style="77"/>
    <col min="1027" max="1027" width="6" style="77" customWidth="1"/>
    <col min="1028" max="1028" width="22.125" style="77" customWidth="1"/>
    <col min="1029" max="1029" width="5.5" style="77" customWidth="1"/>
    <col min="1030" max="1030" width="5.125" style="77" customWidth="1"/>
    <col min="1031" max="1031" width="21.375" style="77" customWidth="1"/>
    <col min="1032" max="1032" width="17.125" style="77" customWidth="1"/>
    <col min="1033" max="1033" width="10.125" style="77" customWidth="1"/>
    <col min="1034" max="1034" width="15" style="77" customWidth="1"/>
    <col min="1035" max="1035" width="10.5" style="77" customWidth="1"/>
    <col min="1036" max="1036" width="15.875" style="77" customWidth="1"/>
    <col min="1037" max="1037" width="9.5" style="77" customWidth="1"/>
    <col min="1038" max="1038" width="11.5" style="77" customWidth="1"/>
    <col min="1039" max="1039" width="12" style="77" customWidth="1"/>
    <col min="1040" max="1282" width="9.125" style="77"/>
    <col min="1283" max="1283" width="6" style="77" customWidth="1"/>
    <col min="1284" max="1284" width="22.125" style="77" customWidth="1"/>
    <col min="1285" max="1285" width="5.5" style="77" customWidth="1"/>
    <col min="1286" max="1286" width="5.125" style="77" customWidth="1"/>
    <col min="1287" max="1287" width="21.375" style="77" customWidth="1"/>
    <col min="1288" max="1288" width="17.125" style="77" customWidth="1"/>
    <col min="1289" max="1289" width="10.125" style="77" customWidth="1"/>
    <col min="1290" max="1290" width="15" style="77" customWidth="1"/>
    <col min="1291" max="1291" width="10.5" style="77" customWidth="1"/>
    <col min="1292" max="1292" width="15.875" style="77" customWidth="1"/>
    <col min="1293" max="1293" width="9.5" style="77" customWidth="1"/>
    <col min="1294" max="1294" width="11.5" style="77" customWidth="1"/>
    <col min="1295" max="1295" width="12" style="77" customWidth="1"/>
    <col min="1296" max="1538" width="9.125" style="77"/>
    <col min="1539" max="1539" width="6" style="77" customWidth="1"/>
    <col min="1540" max="1540" width="22.125" style="77" customWidth="1"/>
    <col min="1541" max="1541" width="5.5" style="77" customWidth="1"/>
    <col min="1542" max="1542" width="5.125" style="77" customWidth="1"/>
    <col min="1543" max="1543" width="21.375" style="77" customWidth="1"/>
    <col min="1544" max="1544" width="17.125" style="77" customWidth="1"/>
    <col min="1545" max="1545" width="10.125" style="77" customWidth="1"/>
    <col min="1546" max="1546" width="15" style="77" customWidth="1"/>
    <col min="1547" max="1547" width="10.5" style="77" customWidth="1"/>
    <col min="1548" max="1548" width="15.875" style="77" customWidth="1"/>
    <col min="1549" max="1549" width="9.5" style="77" customWidth="1"/>
    <col min="1550" max="1550" width="11.5" style="77" customWidth="1"/>
    <col min="1551" max="1551" width="12" style="77" customWidth="1"/>
    <col min="1552" max="1794" width="9.125" style="77"/>
    <col min="1795" max="1795" width="6" style="77" customWidth="1"/>
    <col min="1796" max="1796" width="22.125" style="77" customWidth="1"/>
    <col min="1797" max="1797" width="5.5" style="77" customWidth="1"/>
    <col min="1798" max="1798" width="5.125" style="77" customWidth="1"/>
    <col min="1799" max="1799" width="21.375" style="77" customWidth="1"/>
    <col min="1800" max="1800" width="17.125" style="77" customWidth="1"/>
    <col min="1801" max="1801" width="10.125" style="77" customWidth="1"/>
    <col min="1802" max="1802" width="15" style="77" customWidth="1"/>
    <col min="1803" max="1803" width="10.5" style="77" customWidth="1"/>
    <col min="1804" max="1804" width="15.875" style="77" customWidth="1"/>
    <col min="1805" max="1805" width="9.5" style="77" customWidth="1"/>
    <col min="1806" max="1806" width="11.5" style="77" customWidth="1"/>
    <col min="1807" max="1807" width="12" style="77" customWidth="1"/>
    <col min="1808" max="2050" width="9.125" style="77"/>
    <col min="2051" max="2051" width="6" style="77" customWidth="1"/>
    <col min="2052" max="2052" width="22.125" style="77" customWidth="1"/>
    <col min="2053" max="2053" width="5.5" style="77" customWidth="1"/>
    <col min="2054" max="2054" width="5.125" style="77" customWidth="1"/>
    <col min="2055" max="2055" width="21.375" style="77" customWidth="1"/>
    <col min="2056" max="2056" width="17.125" style="77" customWidth="1"/>
    <col min="2057" max="2057" width="10.125" style="77" customWidth="1"/>
    <col min="2058" max="2058" width="15" style="77" customWidth="1"/>
    <col min="2059" max="2059" width="10.5" style="77" customWidth="1"/>
    <col min="2060" max="2060" width="15.875" style="77" customWidth="1"/>
    <col min="2061" max="2061" width="9.5" style="77" customWidth="1"/>
    <col min="2062" max="2062" width="11.5" style="77" customWidth="1"/>
    <col min="2063" max="2063" width="12" style="77" customWidth="1"/>
    <col min="2064" max="2306" width="9.125" style="77"/>
    <col min="2307" max="2307" width="6" style="77" customWidth="1"/>
    <col min="2308" max="2308" width="22.125" style="77" customWidth="1"/>
    <col min="2309" max="2309" width="5.5" style="77" customWidth="1"/>
    <col min="2310" max="2310" width="5.125" style="77" customWidth="1"/>
    <col min="2311" max="2311" width="21.375" style="77" customWidth="1"/>
    <col min="2312" max="2312" width="17.125" style="77" customWidth="1"/>
    <col min="2313" max="2313" width="10.125" style="77" customWidth="1"/>
    <col min="2314" max="2314" width="15" style="77" customWidth="1"/>
    <col min="2315" max="2315" width="10.5" style="77" customWidth="1"/>
    <col min="2316" max="2316" width="15.875" style="77" customWidth="1"/>
    <col min="2317" max="2317" width="9.5" style="77" customWidth="1"/>
    <col min="2318" max="2318" width="11.5" style="77" customWidth="1"/>
    <col min="2319" max="2319" width="12" style="77" customWidth="1"/>
    <col min="2320" max="2562" width="9.125" style="77"/>
    <col min="2563" max="2563" width="6" style="77" customWidth="1"/>
    <col min="2564" max="2564" width="22.125" style="77" customWidth="1"/>
    <col min="2565" max="2565" width="5.5" style="77" customWidth="1"/>
    <col min="2566" max="2566" width="5.125" style="77" customWidth="1"/>
    <col min="2567" max="2567" width="21.375" style="77" customWidth="1"/>
    <col min="2568" max="2568" width="17.125" style="77" customWidth="1"/>
    <col min="2569" max="2569" width="10.125" style="77" customWidth="1"/>
    <col min="2570" max="2570" width="15" style="77" customWidth="1"/>
    <col min="2571" max="2571" width="10.5" style="77" customWidth="1"/>
    <col min="2572" max="2572" width="15.875" style="77" customWidth="1"/>
    <col min="2573" max="2573" width="9.5" style="77" customWidth="1"/>
    <col min="2574" max="2574" width="11.5" style="77" customWidth="1"/>
    <col min="2575" max="2575" width="12" style="77" customWidth="1"/>
    <col min="2576" max="2818" width="9.125" style="77"/>
    <col min="2819" max="2819" width="6" style="77" customWidth="1"/>
    <col min="2820" max="2820" width="22.125" style="77" customWidth="1"/>
    <col min="2821" max="2821" width="5.5" style="77" customWidth="1"/>
    <col min="2822" max="2822" width="5.125" style="77" customWidth="1"/>
    <col min="2823" max="2823" width="21.375" style="77" customWidth="1"/>
    <col min="2824" max="2824" width="17.125" style="77" customWidth="1"/>
    <col min="2825" max="2825" width="10.125" style="77" customWidth="1"/>
    <col min="2826" max="2826" width="15" style="77" customWidth="1"/>
    <col min="2827" max="2827" width="10.5" style="77" customWidth="1"/>
    <col min="2828" max="2828" width="15.875" style="77" customWidth="1"/>
    <col min="2829" max="2829" width="9.5" style="77" customWidth="1"/>
    <col min="2830" max="2830" width="11.5" style="77" customWidth="1"/>
    <col min="2831" max="2831" width="12" style="77" customWidth="1"/>
    <col min="2832" max="3074" width="9.125" style="77"/>
    <col min="3075" max="3075" width="6" style="77" customWidth="1"/>
    <col min="3076" max="3076" width="22.125" style="77" customWidth="1"/>
    <col min="3077" max="3077" width="5.5" style="77" customWidth="1"/>
    <col min="3078" max="3078" width="5.125" style="77" customWidth="1"/>
    <col min="3079" max="3079" width="21.375" style="77" customWidth="1"/>
    <col min="3080" max="3080" width="17.125" style="77" customWidth="1"/>
    <col min="3081" max="3081" width="10.125" style="77" customWidth="1"/>
    <col min="3082" max="3082" width="15" style="77" customWidth="1"/>
    <col min="3083" max="3083" width="10.5" style="77" customWidth="1"/>
    <col min="3084" max="3084" width="15.875" style="77" customWidth="1"/>
    <col min="3085" max="3085" width="9.5" style="77" customWidth="1"/>
    <col min="3086" max="3086" width="11.5" style="77" customWidth="1"/>
    <col min="3087" max="3087" width="12" style="77" customWidth="1"/>
    <col min="3088" max="3330" width="9.125" style="77"/>
    <col min="3331" max="3331" width="6" style="77" customWidth="1"/>
    <col min="3332" max="3332" width="22.125" style="77" customWidth="1"/>
    <col min="3333" max="3333" width="5.5" style="77" customWidth="1"/>
    <col min="3334" max="3334" width="5.125" style="77" customWidth="1"/>
    <col min="3335" max="3335" width="21.375" style="77" customWidth="1"/>
    <col min="3336" max="3336" width="17.125" style="77" customWidth="1"/>
    <col min="3337" max="3337" width="10.125" style="77" customWidth="1"/>
    <col min="3338" max="3338" width="15" style="77" customWidth="1"/>
    <col min="3339" max="3339" width="10.5" style="77" customWidth="1"/>
    <col min="3340" max="3340" width="15.875" style="77" customWidth="1"/>
    <col min="3341" max="3341" width="9.5" style="77" customWidth="1"/>
    <col min="3342" max="3342" width="11.5" style="77" customWidth="1"/>
    <col min="3343" max="3343" width="12" style="77" customWidth="1"/>
    <col min="3344" max="3586" width="9.125" style="77"/>
    <col min="3587" max="3587" width="6" style="77" customWidth="1"/>
    <col min="3588" max="3588" width="22.125" style="77" customWidth="1"/>
    <col min="3589" max="3589" width="5.5" style="77" customWidth="1"/>
    <col min="3590" max="3590" width="5.125" style="77" customWidth="1"/>
    <col min="3591" max="3591" width="21.375" style="77" customWidth="1"/>
    <col min="3592" max="3592" width="17.125" style="77" customWidth="1"/>
    <col min="3593" max="3593" width="10.125" style="77" customWidth="1"/>
    <col min="3594" max="3594" width="15" style="77" customWidth="1"/>
    <col min="3595" max="3595" width="10.5" style="77" customWidth="1"/>
    <col min="3596" max="3596" width="15.875" style="77" customWidth="1"/>
    <col min="3597" max="3597" width="9.5" style="77" customWidth="1"/>
    <col min="3598" max="3598" width="11.5" style="77" customWidth="1"/>
    <col min="3599" max="3599" width="12" style="77" customWidth="1"/>
    <col min="3600" max="3842" width="9.125" style="77"/>
    <col min="3843" max="3843" width="6" style="77" customWidth="1"/>
    <col min="3844" max="3844" width="22.125" style="77" customWidth="1"/>
    <col min="3845" max="3845" width="5.5" style="77" customWidth="1"/>
    <col min="3846" max="3846" width="5.125" style="77" customWidth="1"/>
    <col min="3847" max="3847" width="21.375" style="77" customWidth="1"/>
    <col min="3848" max="3848" width="17.125" style="77" customWidth="1"/>
    <col min="3849" max="3849" width="10.125" style="77" customWidth="1"/>
    <col min="3850" max="3850" width="15" style="77" customWidth="1"/>
    <col min="3851" max="3851" width="10.5" style="77" customWidth="1"/>
    <col min="3852" max="3852" width="15.875" style="77" customWidth="1"/>
    <col min="3853" max="3853" width="9.5" style="77" customWidth="1"/>
    <col min="3854" max="3854" width="11.5" style="77" customWidth="1"/>
    <col min="3855" max="3855" width="12" style="77" customWidth="1"/>
    <col min="3856" max="4098" width="9.125" style="77"/>
    <col min="4099" max="4099" width="6" style="77" customWidth="1"/>
    <col min="4100" max="4100" width="22.125" style="77" customWidth="1"/>
    <col min="4101" max="4101" width="5.5" style="77" customWidth="1"/>
    <col min="4102" max="4102" width="5.125" style="77" customWidth="1"/>
    <col min="4103" max="4103" width="21.375" style="77" customWidth="1"/>
    <col min="4104" max="4104" width="17.125" style="77" customWidth="1"/>
    <col min="4105" max="4105" width="10.125" style="77" customWidth="1"/>
    <col min="4106" max="4106" width="15" style="77" customWidth="1"/>
    <col min="4107" max="4107" width="10.5" style="77" customWidth="1"/>
    <col min="4108" max="4108" width="15.875" style="77" customWidth="1"/>
    <col min="4109" max="4109" width="9.5" style="77" customWidth="1"/>
    <col min="4110" max="4110" width="11.5" style="77" customWidth="1"/>
    <col min="4111" max="4111" width="12" style="77" customWidth="1"/>
    <col min="4112" max="4354" width="9.125" style="77"/>
    <col min="4355" max="4355" width="6" style="77" customWidth="1"/>
    <col min="4356" max="4356" width="22.125" style="77" customWidth="1"/>
    <col min="4357" max="4357" width="5.5" style="77" customWidth="1"/>
    <col min="4358" max="4358" width="5.125" style="77" customWidth="1"/>
    <col min="4359" max="4359" width="21.375" style="77" customWidth="1"/>
    <col min="4360" max="4360" width="17.125" style="77" customWidth="1"/>
    <col min="4361" max="4361" width="10.125" style="77" customWidth="1"/>
    <col min="4362" max="4362" width="15" style="77" customWidth="1"/>
    <col min="4363" max="4363" width="10.5" style="77" customWidth="1"/>
    <col min="4364" max="4364" width="15.875" style="77" customWidth="1"/>
    <col min="4365" max="4365" width="9.5" style="77" customWidth="1"/>
    <col min="4366" max="4366" width="11.5" style="77" customWidth="1"/>
    <col min="4367" max="4367" width="12" style="77" customWidth="1"/>
    <col min="4368" max="4610" width="9.125" style="77"/>
    <col min="4611" max="4611" width="6" style="77" customWidth="1"/>
    <col min="4612" max="4612" width="22.125" style="77" customWidth="1"/>
    <col min="4613" max="4613" width="5.5" style="77" customWidth="1"/>
    <col min="4614" max="4614" width="5.125" style="77" customWidth="1"/>
    <col min="4615" max="4615" width="21.375" style="77" customWidth="1"/>
    <col min="4616" max="4616" width="17.125" style="77" customWidth="1"/>
    <col min="4617" max="4617" width="10.125" style="77" customWidth="1"/>
    <col min="4618" max="4618" width="15" style="77" customWidth="1"/>
    <col min="4619" max="4619" width="10.5" style="77" customWidth="1"/>
    <col min="4620" max="4620" width="15.875" style="77" customWidth="1"/>
    <col min="4621" max="4621" width="9.5" style="77" customWidth="1"/>
    <col min="4622" max="4622" width="11.5" style="77" customWidth="1"/>
    <col min="4623" max="4623" width="12" style="77" customWidth="1"/>
    <col min="4624" max="4866" width="9.125" style="77"/>
    <col min="4867" max="4867" width="6" style="77" customWidth="1"/>
    <col min="4868" max="4868" width="22.125" style="77" customWidth="1"/>
    <col min="4869" max="4869" width="5.5" style="77" customWidth="1"/>
    <col min="4870" max="4870" width="5.125" style="77" customWidth="1"/>
    <col min="4871" max="4871" width="21.375" style="77" customWidth="1"/>
    <col min="4872" max="4872" width="17.125" style="77" customWidth="1"/>
    <col min="4873" max="4873" width="10.125" style="77" customWidth="1"/>
    <col min="4874" max="4874" width="15" style="77" customWidth="1"/>
    <col min="4875" max="4875" width="10.5" style="77" customWidth="1"/>
    <col min="4876" max="4876" width="15.875" style="77" customWidth="1"/>
    <col min="4877" max="4877" width="9.5" style="77" customWidth="1"/>
    <col min="4878" max="4878" width="11.5" style="77" customWidth="1"/>
    <col min="4879" max="4879" width="12" style="77" customWidth="1"/>
    <col min="4880" max="5122" width="9.125" style="77"/>
    <col min="5123" max="5123" width="6" style="77" customWidth="1"/>
    <col min="5124" max="5124" width="22.125" style="77" customWidth="1"/>
    <col min="5125" max="5125" width="5.5" style="77" customWidth="1"/>
    <col min="5126" max="5126" width="5.125" style="77" customWidth="1"/>
    <col min="5127" max="5127" width="21.375" style="77" customWidth="1"/>
    <col min="5128" max="5128" width="17.125" style="77" customWidth="1"/>
    <col min="5129" max="5129" width="10.125" style="77" customWidth="1"/>
    <col min="5130" max="5130" width="15" style="77" customWidth="1"/>
    <col min="5131" max="5131" width="10.5" style="77" customWidth="1"/>
    <col min="5132" max="5132" width="15.875" style="77" customWidth="1"/>
    <col min="5133" max="5133" width="9.5" style="77" customWidth="1"/>
    <col min="5134" max="5134" width="11.5" style="77" customWidth="1"/>
    <col min="5135" max="5135" width="12" style="77" customWidth="1"/>
    <col min="5136" max="5378" width="9.125" style="77"/>
    <col min="5379" max="5379" width="6" style="77" customWidth="1"/>
    <col min="5380" max="5380" width="22.125" style="77" customWidth="1"/>
    <col min="5381" max="5381" width="5.5" style="77" customWidth="1"/>
    <col min="5382" max="5382" width="5.125" style="77" customWidth="1"/>
    <col min="5383" max="5383" width="21.375" style="77" customWidth="1"/>
    <col min="5384" max="5384" width="17.125" style="77" customWidth="1"/>
    <col min="5385" max="5385" width="10.125" style="77" customWidth="1"/>
    <col min="5386" max="5386" width="15" style="77" customWidth="1"/>
    <col min="5387" max="5387" width="10.5" style="77" customWidth="1"/>
    <col min="5388" max="5388" width="15.875" style="77" customWidth="1"/>
    <col min="5389" max="5389" width="9.5" style="77" customWidth="1"/>
    <col min="5390" max="5390" width="11.5" style="77" customWidth="1"/>
    <col min="5391" max="5391" width="12" style="77" customWidth="1"/>
    <col min="5392" max="5634" width="9.125" style="77"/>
    <col min="5635" max="5635" width="6" style="77" customWidth="1"/>
    <col min="5636" max="5636" width="22.125" style="77" customWidth="1"/>
    <col min="5637" max="5637" width="5.5" style="77" customWidth="1"/>
    <col min="5638" max="5638" width="5.125" style="77" customWidth="1"/>
    <col min="5639" max="5639" width="21.375" style="77" customWidth="1"/>
    <col min="5640" max="5640" width="17.125" style="77" customWidth="1"/>
    <col min="5641" max="5641" width="10.125" style="77" customWidth="1"/>
    <col min="5642" max="5642" width="15" style="77" customWidth="1"/>
    <col min="5643" max="5643" width="10.5" style="77" customWidth="1"/>
    <col min="5644" max="5644" width="15.875" style="77" customWidth="1"/>
    <col min="5645" max="5645" width="9.5" style="77" customWidth="1"/>
    <col min="5646" max="5646" width="11.5" style="77" customWidth="1"/>
    <col min="5647" max="5647" width="12" style="77" customWidth="1"/>
    <col min="5648" max="5890" width="9.125" style="77"/>
    <col min="5891" max="5891" width="6" style="77" customWidth="1"/>
    <col min="5892" max="5892" width="22.125" style="77" customWidth="1"/>
    <col min="5893" max="5893" width="5.5" style="77" customWidth="1"/>
    <col min="5894" max="5894" width="5.125" style="77" customWidth="1"/>
    <col min="5895" max="5895" width="21.375" style="77" customWidth="1"/>
    <col min="5896" max="5896" width="17.125" style="77" customWidth="1"/>
    <col min="5897" max="5897" width="10.125" style="77" customWidth="1"/>
    <col min="5898" max="5898" width="15" style="77" customWidth="1"/>
    <col min="5899" max="5899" width="10.5" style="77" customWidth="1"/>
    <col min="5900" max="5900" width="15.875" style="77" customWidth="1"/>
    <col min="5901" max="5901" width="9.5" style="77" customWidth="1"/>
    <col min="5902" max="5902" width="11.5" style="77" customWidth="1"/>
    <col min="5903" max="5903" width="12" style="77" customWidth="1"/>
    <col min="5904" max="6146" width="9.125" style="77"/>
    <col min="6147" max="6147" width="6" style="77" customWidth="1"/>
    <col min="6148" max="6148" width="22.125" style="77" customWidth="1"/>
    <col min="6149" max="6149" width="5.5" style="77" customWidth="1"/>
    <col min="6150" max="6150" width="5.125" style="77" customWidth="1"/>
    <col min="6151" max="6151" width="21.375" style="77" customWidth="1"/>
    <col min="6152" max="6152" width="17.125" style="77" customWidth="1"/>
    <col min="6153" max="6153" width="10.125" style="77" customWidth="1"/>
    <col min="6154" max="6154" width="15" style="77" customWidth="1"/>
    <col min="6155" max="6155" width="10.5" style="77" customWidth="1"/>
    <col min="6156" max="6156" width="15.875" style="77" customWidth="1"/>
    <col min="6157" max="6157" width="9.5" style="77" customWidth="1"/>
    <col min="6158" max="6158" width="11.5" style="77" customWidth="1"/>
    <col min="6159" max="6159" width="12" style="77" customWidth="1"/>
    <col min="6160" max="6402" width="9.125" style="77"/>
    <col min="6403" max="6403" width="6" style="77" customWidth="1"/>
    <col min="6404" max="6404" width="22.125" style="77" customWidth="1"/>
    <col min="6405" max="6405" width="5.5" style="77" customWidth="1"/>
    <col min="6406" max="6406" width="5.125" style="77" customWidth="1"/>
    <col min="6407" max="6407" width="21.375" style="77" customWidth="1"/>
    <col min="6408" max="6408" width="17.125" style="77" customWidth="1"/>
    <col min="6409" max="6409" width="10.125" style="77" customWidth="1"/>
    <col min="6410" max="6410" width="15" style="77" customWidth="1"/>
    <col min="6411" max="6411" width="10.5" style="77" customWidth="1"/>
    <col min="6412" max="6412" width="15.875" style="77" customWidth="1"/>
    <col min="6413" max="6413" width="9.5" style="77" customWidth="1"/>
    <col min="6414" max="6414" width="11.5" style="77" customWidth="1"/>
    <col min="6415" max="6415" width="12" style="77" customWidth="1"/>
    <col min="6416" max="6658" width="9.125" style="77"/>
    <col min="6659" max="6659" width="6" style="77" customWidth="1"/>
    <col min="6660" max="6660" width="22.125" style="77" customWidth="1"/>
    <col min="6661" max="6661" width="5.5" style="77" customWidth="1"/>
    <col min="6662" max="6662" width="5.125" style="77" customWidth="1"/>
    <col min="6663" max="6663" width="21.375" style="77" customWidth="1"/>
    <col min="6664" max="6664" width="17.125" style="77" customWidth="1"/>
    <col min="6665" max="6665" width="10.125" style="77" customWidth="1"/>
    <col min="6666" max="6666" width="15" style="77" customWidth="1"/>
    <col min="6667" max="6667" width="10.5" style="77" customWidth="1"/>
    <col min="6668" max="6668" width="15.875" style="77" customWidth="1"/>
    <col min="6669" max="6669" width="9.5" style="77" customWidth="1"/>
    <col min="6670" max="6670" width="11.5" style="77" customWidth="1"/>
    <col min="6671" max="6671" width="12" style="77" customWidth="1"/>
    <col min="6672" max="6914" width="9.125" style="77"/>
    <col min="6915" max="6915" width="6" style="77" customWidth="1"/>
    <col min="6916" max="6916" width="22.125" style="77" customWidth="1"/>
    <col min="6917" max="6917" width="5.5" style="77" customWidth="1"/>
    <col min="6918" max="6918" width="5.125" style="77" customWidth="1"/>
    <col min="6919" max="6919" width="21.375" style="77" customWidth="1"/>
    <col min="6920" max="6920" width="17.125" style="77" customWidth="1"/>
    <col min="6921" max="6921" width="10.125" style="77" customWidth="1"/>
    <col min="6922" max="6922" width="15" style="77" customWidth="1"/>
    <col min="6923" max="6923" width="10.5" style="77" customWidth="1"/>
    <col min="6924" max="6924" width="15.875" style="77" customWidth="1"/>
    <col min="6925" max="6925" width="9.5" style="77" customWidth="1"/>
    <col min="6926" max="6926" width="11.5" style="77" customWidth="1"/>
    <col min="6927" max="6927" width="12" style="77" customWidth="1"/>
    <col min="6928" max="7170" width="9.125" style="77"/>
    <col min="7171" max="7171" width="6" style="77" customWidth="1"/>
    <col min="7172" max="7172" width="22.125" style="77" customWidth="1"/>
    <col min="7173" max="7173" width="5.5" style="77" customWidth="1"/>
    <col min="7174" max="7174" width="5.125" style="77" customWidth="1"/>
    <col min="7175" max="7175" width="21.375" style="77" customWidth="1"/>
    <col min="7176" max="7176" width="17.125" style="77" customWidth="1"/>
    <col min="7177" max="7177" width="10.125" style="77" customWidth="1"/>
    <col min="7178" max="7178" width="15" style="77" customWidth="1"/>
    <col min="7179" max="7179" width="10.5" style="77" customWidth="1"/>
    <col min="7180" max="7180" width="15.875" style="77" customWidth="1"/>
    <col min="7181" max="7181" width="9.5" style="77" customWidth="1"/>
    <col min="7182" max="7182" width="11.5" style="77" customWidth="1"/>
    <col min="7183" max="7183" width="12" style="77" customWidth="1"/>
    <col min="7184" max="7426" width="9.125" style="77"/>
    <col min="7427" max="7427" width="6" style="77" customWidth="1"/>
    <col min="7428" max="7428" width="22.125" style="77" customWidth="1"/>
    <col min="7429" max="7429" width="5.5" style="77" customWidth="1"/>
    <col min="7430" max="7430" width="5.125" style="77" customWidth="1"/>
    <col min="7431" max="7431" width="21.375" style="77" customWidth="1"/>
    <col min="7432" max="7432" width="17.125" style="77" customWidth="1"/>
    <col min="7433" max="7433" width="10.125" style="77" customWidth="1"/>
    <col min="7434" max="7434" width="15" style="77" customWidth="1"/>
    <col min="7435" max="7435" width="10.5" style="77" customWidth="1"/>
    <col min="7436" max="7436" width="15.875" style="77" customWidth="1"/>
    <col min="7437" max="7437" width="9.5" style="77" customWidth="1"/>
    <col min="7438" max="7438" width="11.5" style="77" customWidth="1"/>
    <col min="7439" max="7439" width="12" style="77" customWidth="1"/>
    <col min="7440" max="7682" width="9.125" style="77"/>
    <col min="7683" max="7683" width="6" style="77" customWidth="1"/>
    <col min="7684" max="7684" width="22.125" style="77" customWidth="1"/>
    <col min="7685" max="7685" width="5.5" style="77" customWidth="1"/>
    <col min="7686" max="7686" width="5.125" style="77" customWidth="1"/>
    <col min="7687" max="7687" width="21.375" style="77" customWidth="1"/>
    <col min="7688" max="7688" width="17.125" style="77" customWidth="1"/>
    <col min="7689" max="7689" width="10.125" style="77" customWidth="1"/>
    <col min="7690" max="7690" width="15" style="77" customWidth="1"/>
    <col min="7691" max="7691" width="10.5" style="77" customWidth="1"/>
    <col min="7692" max="7692" width="15.875" style="77" customWidth="1"/>
    <col min="7693" max="7693" width="9.5" style="77" customWidth="1"/>
    <col min="7694" max="7694" width="11.5" style="77" customWidth="1"/>
    <col min="7695" max="7695" width="12" style="77" customWidth="1"/>
    <col min="7696" max="7938" width="9.125" style="77"/>
    <col min="7939" max="7939" width="6" style="77" customWidth="1"/>
    <col min="7940" max="7940" width="22.125" style="77" customWidth="1"/>
    <col min="7941" max="7941" width="5.5" style="77" customWidth="1"/>
    <col min="7942" max="7942" width="5.125" style="77" customWidth="1"/>
    <col min="7943" max="7943" width="21.375" style="77" customWidth="1"/>
    <col min="7944" max="7944" width="17.125" style="77" customWidth="1"/>
    <col min="7945" max="7945" width="10.125" style="77" customWidth="1"/>
    <col min="7946" max="7946" width="15" style="77" customWidth="1"/>
    <col min="7947" max="7947" width="10.5" style="77" customWidth="1"/>
    <col min="7948" max="7948" width="15.875" style="77" customWidth="1"/>
    <col min="7949" max="7949" width="9.5" style="77" customWidth="1"/>
    <col min="7950" max="7950" width="11.5" style="77" customWidth="1"/>
    <col min="7951" max="7951" width="12" style="77" customWidth="1"/>
    <col min="7952" max="8194" width="9.125" style="77"/>
    <col min="8195" max="8195" width="6" style="77" customWidth="1"/>
    <col min="8196" max="8196" width="22.125" style="77" customWidth="1"/>
    <col min="8197" max="8197" width="5.5" style="77" customWidth="1"/>
    <col min="8198" max="8198" width="5.125" style="77" customWidth="1"/>
    <col min="8199" max="8199" width="21.375" style="77" customWidth="1"/>
    <col min="8200" max="8200" width="17.125" style="77" customWidth="1"/>
    <col min="8201" max="8201" width="10.125" style="77" customWidth="1"/>
    <col min="8202" max="8202" width="15" style="77" customWidth="1"/>
    <col min="8203" max="8203" width="10.5" style="77" customWidth="1"/>
    <col min="8204" max="8204" width="15.875" style="77" customWidth="1"/>
    <col min="8205" max="8205" width="9.5" style="77" customWidth="1"/>
    <col min="8206" max="8206" width="11.5" style="77" customWidth="1"/>
    <col min="8207" max="8207" width="12" style="77" customWidth="1"/>
    <col min="8208" max="8450" width="9.125" style="77"/>
    <col min="8451" max="8451" width="6" style="77" customWidth="1"/>
    <col min="8452" max="8452" width="22.125" style="77" customWidth="1"/>
    <col min="8453" max="8453" width="5.5" style="77" customWidth="1"/>
    <col min="8454" max="8454" width="5.125" style="77" customWidth="1"/>
    <col min="8455" max="8455" width="21.375" style="77" customWidth="1"/>
    <col min="8456" max="8456" width="17.125" style="77" customWidth="1"/>
    <col min="8457" max="8457" width="10.125" style="77" customWidth="1"/>
    <col min="8458" max="8458" width="15" style="77" customWidth="1"/>
    <col min="8459" max="8459" width="10.5" style="77" customWidth="1"/>
    <col min="8460" max="8460" width="15.875" style="77" customWidth="1"/>
    <col min="8461" max="8461" width="9.5" style="77" customWidth="1"/>
    <col min="8462" max="8462" width="11.5" style="77" customWidth="1"/>
    <col min="8463" max="8463" width="12" style="77" customWidth="1"/>
    <col min="8464" max="8706" width="9.125" style="77"/>
    <col min="8707" max="8707" width="6" style="77" customWidth="1"/>
    <col min="8708" max="8708" width="22.125" style="77" customWidth="1"/>
    <col min="8709" max="8709" width="5.5" style="77" customWidth="1"/>
    <col min="8710" max="8710" width="5.125" style="77" customWidth="1"/>
    <col min="8711" max="8711" width="21.375" style="77" customWidth="1"/>
    <col min="8712" max="8712" width="17.125" style="77" customWidth="1"/>
    <col min="8713" max="8713" width="10.125" style="77" customWidth="1"/>
    <col min="8714" max="8714" width="15" style="77" customWidth="1"/>
    <col min="8715" max="8715" width="10.5" style="77" customWidth="1"/>
    <col min="8716" max="8716" width="15.875" style="77" customWidth="1"/>
    <col min="8717" max="8717" width="9.5" style="77" customWidth="1"/>
    <col min="8718" max="8718" width="11.5" style="77" customWidth="1"/>
    <col min="8719" max="8719" width="12" style="77" customWidth="1"/>
    <col min="8720" max="8962" width="9.125" style="77"/>
    <col min="8963" max="8963" width="6" style="77" customWidth="1"/>
    <col min="8964" max="8964" width="22.125" style="77" customWidth="1"/>
    <col min="8965" max="8965" width="5.5" style="77" customWidth="1"/>
    <col min="8966" max="8966" width="5.125" style="77" customWidth="1"/>
    <col min="8967" max="8967" width="21.375" style="77" customWidth="1"/>
    <col min="8968" max="8968" width="17.125" style="77" customWidth="1"/>
    <col min="8969" max="8969" width="10.125" style="77" customWidth="1"/>
    <col min="8970" max="8970" width="15" style="77" customWidth="1"/>
    <col min="8971" max="8971" width="10.5" style="77" customWidth="1"/>
    <col min="8972" max="8972" width="15.875" style="77" customWidth="1"/>
    <col min="8973" max="8973" width="9.5" style="77" customWidth="1"/>
    <col min="8974" max="8974" width="11.5" style="77" customWidth="1"/>
    <col min="8975" max="8975" width="12" style="77" customWidth="1"/>
    <col min="8976" max="9218" width="9.125" style="77"/>
    <col min="9219" max="9219" width="6" style="77" customWidth="1"/>
    <col min="9220" max="9220" width="22.125" style="77" customWidth="1"/>
    <col min="9221" max="9221" width="5.5" style="77" customWidth="1"/>
    <col min="9222" max="9222" width="5.125" style="77" customWidth="1"/>
    <col min="9223" max="9223" width="21.375" style="77" customWidth="1"/>
    <col min="9224" max="9224" width="17.125" style="77" customWidth="1"/>
    <col min="9225" max="9225" width="10.125" style="77" customWidth="1"/>
    <col min="9226" max="9226" width="15" style="77" customWidth="1"/>
    <col min="9227" max="9227" width="10.5" style="77" customWidth="1"/>
    <col min="9228" max="9228" width="15.875" style="77" customWidth="1"/>
    <col min="9229" max="9229" width="9.5" style="77" customWidth="1"/>
    <col min="9230" max="9230" width="11.5" style="77" customWidth="1"/>
    <col min="9231" max="9231" width="12" style="77" customWidth="1"/>
    <col min="9232" max="9474" width="9.125" style="77"/>
    <col min="9475" max="9475" width="6" style="77" customWidth="1"/>
    <col min="9476" max="9476" width="22.125" style="77" customWidth="1"/>
    <col min="9477" max="9477" width="5.5" style="77" customWidth="1"/>
    <col min="9478" max="9478" width="5.125" style="77" customWidth="1"/>
    <col min="9479" max="9479" width="21.375" style="77" customWidth="1"/>
    <col min="9480" max="9480" width="17.125" style="77" customWidth="1"/>
    <col min="9481" max="9481" width="10.125" style="77" customWidth="1"/>
    <col min="9482" max="9482" width="15" style="77" customWidth="1"/>
    <col min="9483" max="9483" width="10.5" style="77" customWidth="1"/>
    <col min="9484" max="9484" width="15.875" style="77" customWidth="1"/>
    <col min="9485" max="9485" width="9.5" style="77" customWidth="1"/>
    <col min="9486" max="9486" width="11.5" style="77" customWidth="1"/>
    <col min="9487" max="9487" width="12" style="77" customWidth="1"/>
    <col min="9488" max="9730" width="9.125" style="77"/>
    <col min="9731" max="9731" width="6" style="77" customWidth="1"/>
    <col min="9732" max="9732" width="22.125" style="77" customWidth="1"/>
    <col min="9733" max="9733" width="5.5" style="77" customWidth="1"/>
    <col min="9734" max="9734" width="5.125" style="77" customWidth="1"/>
    <col min="9735" max="9735" width="21.375" style="77" customWidth="1"/>
    <col min="9736" max="9736" width="17.125" style="77" customWidth="1"/>
    <col min="9737" max="9737" width="10.125" style="77" customWidth="1"/>
    <col min="9738" max="9738" width="15" style="77" customWidth="1"/>
    <col min="9739" max="9739" width="10.5" style="77" customWidth="1"/>
    <col min="9740" max="9740" width="15.875" style="77" customWidth="1"/>
    <col min="9741" max="9741" width="9.5" style="77" customWidth="1"/>
    <col min="9742" max="9742" width="11.5" style="77" customWidth="1"/>
    <col min="9743" max="9743" width="12" style="77" customWidth="1"/>
    <col min="9744" max="9986" width="9.125" style="77"/>
    <col min="9987" max="9987" width="6" style="77" customWidth="1"/>
    <col min="9988" max="9988" width="22.125" style="77" customWidth="1"/>
    <col min="9989" max="9989" width="5.5" style="77" customWidth="1"/>
    <col min="9990" max="9990" width="5.125" style="77" customWidth="1"/>
    <col min="9991" max="9991" width="21.375" style="77" customWidth="1"/>
    <col min="9992" max="9992" width="17.125" style="77" customWidth="1"/>
    <col min="9993" max="9993" width="10.125" style="77" customWidth="1"/>
    <col min="9994" max="9994" width="15" style="77" customWidth="1"/>
    <col min="9995" max="9995" width="10.5" style="77" customWidth="1"/>
    <col min="9996" max="9996" width="15.875" style="77" customWidth="1"/>
    <col min="9997" max="9997" width="9.5" style="77" customWidth="1"/>
    <col min="9998" max="9998" width="11.5" style="77" customWidth="1"/>
    <col min="9999" max="9999" width="12" style="77" customWidth="1"/>
    <col min="10000" max="10242" width="9.125" style="77"/>
    <col min="10243" max="10243" width="6" style="77" customWidth="1"/>
    <col min="10244" max="10244" width="22.125" style="77" customWidth="1"/>
    <col min="10245" max="10245" width="5.5" style="77" customWidth="1"/>
    <col min="10246" max="10246" width="5.125" style="77" customWidth="1"/>
    <col min="10247" max="10247" width="21.375" style="77" customWidth="1"/>
    <col min="10248" max="10248" width="17.125" style="77" customWidth="1"/>
    <col min="10249" max="10249" width="10.125" style="77" customWidth="1"/>
    <col min="10250" max="10250" width="15" style="77" customWidth="1"/>
    <col min="10251" max="10251" width="10.5" style="77" customWidth="1"/>
    <col min="10252" max="10252" width="15.875" style="77" customWidth="1"/>
    <col min="10253" max="10253" width="9.5" style="77" customWidth="1"/>
    <col min="10254" max="10254" width="11.5" style="77" customWidth="1"/>
    <col min="10255" max="10255" width="12" style="77" customWidth="1"/>
    <col min="10256" max="10498" width="9.125" style="77"/>
    <col min="10499" max="10499" width="6" style="77" customWidth="1"/>
    <col min="10500" max="10500" width="22.125" style="77" customWidth="1"/>
    <col min="10501" max="10501" width="5.5" style="77" customWidth="1"/>
    <col min="10502" max="10502" width="5.125" style="77" customWidth="1"/>
    <col min="10503" max="10503" width="21.375" style="77" customWidth="1"/>
    <col min="10504" max="10504" width="17.125" style="77" customWidth="1"/>
    <col min="10505" max="10505" width="10.125" style="77" customWidth="1"/>
    <col min="10506" max="10506" width="15" style="77" customWidth="1"/>
    <col min="10507" max="10507" width="10.5" style="77" customWidth="1"/>
    <col min="10508" max="10508" width="15.875" style="77" customWidth="1"/>
    <col min="10509" max="10509" width="9.5" style="77" customWidth="1"/>
    <col min="10510" max="10510" width="11.5" style="77" customWidth="1"/>
    <col min="10511" max="10511" width="12" style="77" customWidth="1"/>
    <col min="10512" max="10754" width="9.125" style="77"/>
    <col min="10755" max="10755" width="6" style="77" customWidth="1"/>
    <col min="10756" max="10756" width="22.125" style="77" customWidth="1"/>
    <col min="10757" max="10757" width="5.5" style="77" customWidth="1"/>
    <col min="10758" max="10758" width="5.125" style="77" customWidth="1"/>
    <col min="10759" max="10759" width="21.375" style="77" customWidth="1"/>
    <col min="10760" max="10760" width="17.125" style="77" customWidth="1"/>
    <col min="10761" max="10761" width="10.125" style="77" customWidth="1"/>
    <col min="10762" max="10762" width="15" style="77" customWidth="1"/>
    <col min="10763" max="10763" width="10.5" style="77" customWidth="1"/>
    <col min="10764" max="10764" width="15.875" style="77" customWidth="1"/>
    <col min="10765" max="10765" width="9.5" style="77" customWidth="1"/>
    <col min="10766" max="10766" width="11.5" style="77" customWidth="1"/>
    <col min="10767" max="10767" width="12" style="77" customWidth="1"/>
    <col min="10768" max="11010" width="9.125" style="77"/>
    <col min="11011" max="11011" width="6" style="77" customWidth="1"/>
    <col min="11012" max="11012" width="22.125" style="77" customWidth="1"/>
    <col min="11013" max="11013" width="5.5" style="77" customWidth="1"/>
    <col min="11014" max="11014" width="5.125" style="77" customWidth="1"/>
    <col min="11015" max="11015" width="21.375" style="77" customWidth="1"/>
    <col min="11016" max="11016" width="17.125" style="77" customWidth="1"/>
    <col min="11017" max="11017" width="10.125" style="77" customWidth="1"/>
    <col min="11018" max="11018" width="15" style="77" customWidth="1"/>
    <col min="11019" max="11019" width="10.5" style="77" customWidth="1"/>
    <col min="11020" max="11020" width="15.875" style="77" customWidth="1"/>
    <col min="11021" max="11021" width="9.5" style="77" customWidth="1"/>
    <col min="11022" max="11022" width="11.5" style="77" customWidth="1"/>
    <col min="11023" max="11023" width="12" style="77" customWidth="1"/>
    <col min="11024" max="11266" width="9.125" style="77"/>
    <col min="11267" max="11267" width="6" style="77" customWidth="1"/>
    <col min="11268" max="11268" width="22.125" style="77" customWidth="1"/>
    <col min="11269" max="11269" width="5.5" style="77" customWidth="1"/>
    <col min="11270" max="11270" width="5.125" style="77" customWidth="1"/>
    <col min="11271" max="11271" width="21.375" style="77" customWidth="1"/>
    <col min="11272" max="11272" width="17.125" style="77" customWidth="1"/>
    <col min="11273" max="11273" width="10.125" style="77" customWidth="1"/>
    <col min="11274" max="11274" width="15" style="77" customWidth="1"/>
    <col min="11275" max="11275" width="10.5" style="77" customWidth="1"/>
    <col min="11276" max="11276" width="15.875" style="77" customWidth="1"/>
    <col min="11277" max="11277" width="9.5" style="77" customWidth="1"/>
    <col min="11278" max="11278" width="11.5" style="77" customWidth="1"/>
    <col min="11279" max="11279" width="12" style="77" customWidth="1"/>
    <col min="11280" max="11522" width="9.125" style="77"/>
    <col min="11523" max="11523" width="6" style="77" customWidth="1"/>
    <col min="11524" max="11524" width="22.125" style="77" customWidth="1"/>
    <col min="11525" max="11525" width="5.5" style="77" customWidth="1"/>
    <col min="11526" max="11526" width="5.125" style="77" customWidth="1"/>
    <col min="11527" max="11527" width="21.375" style="77" customWidth="1"/>
    <col min="11528" max="11528" width="17.125" style="77" customWidth="1"/>
    <col min="11529" max="11529" width="10.125" style="77" customWidth="1"/>
    <col min="11530" max="11530" width="15" style="77" customWidth="1"/>
    <col min="11531" max="11531" width="10.5" style="77" customWidth="1"/>
    <col min="11532" max="11532" width="15.875" style="77" customWidth="1"/>
    <col min="11533" max="11533" width="9.5" style="77" customWidth="1"/>
    <col min="11534" max="11534" width="11.5" style="77" customWidth="1"/>
    <col min="11535" max="11535" width="12" style="77" customWidth="1"/>
    <col min="11536" max="11778" width="9.125" style="77"/>
    <col min="11779" max="11779" width="6" style="77" customWidth="1"/>
    <col min="11780" max="11780" width="22.125" style="77" customWidth="1"/>
    <col min="11781" max="11781" width="5.5" style="77" customWidth="1"/>
    <col min="11782" max="11782" width="5.125" style="77" customWidth="1"/>
    <col min="11783" max="11783" width="21.375" style="77" customWidth="1"/>
    <col min="11784" max="11784" width="17.125" style="77" customWidth="1"/>
    <col min="11785" max="11785" width="10.125" style="77" customWidth="1"/>
    <col min="11786" max="11786" width="15" style="77" customWidth="1"/>
    <col min="11787" max="11787" width="10.5" style="77" customWidth="1"/>
    <col min="11788" max="11788" width="15.875" style="77" customWidth="1"/>
    <col min="11789" max="11789" width="9.5" style="77" customWidth="1"/>
    <col min="11790" max="11790" width="11.5" style="77" customWidth="1"/>
    <col min="11791" max="11791" width="12" style="77" customWidth="1"/>
    <col min="11792" max="12034" width="9.125" style="77"/>
    <col min="12035" max="12035" width="6" style="77" customWidth="1"/>
    <col min="12036" max="12036" width="22.125" style="77" customWidth="1"/>
    <col min="12037" max="12037" width="5.5" style="77" customWidth="1"/>
    <col min="12038" max="12038" width="5.125" style="77" customWidth="1"/>
    <col min="12039" max="12039" width="21.375" style="77" customWidth="1"/>
    <col min="12040" max="12040" width="17.125" style="77" customWidth="1"/>
    <col min="12041" max="12041" width="10.125" style="77" customWidth="1"/>
    <col min="12042" max="12042" width="15" style="77" customWidth="1"/>
    <col min="12043" max="12043" width="10.5" style="77" customWidth="1"/>
    <col min="12044" max="12044" width="15.875" style="77" customWidth="1"/>
    <col min="12045" max="12045" width="9.5" style="77" customWidth="1"/>
    <col min="12046" max="12046" width="11.5" style="77" customWidth="1"/>
    <col min="12047" max="12047" width="12" style="77" customWidth="1"/>
    <col min="12048" max="12290" width="9.125" style="77"/>
    <col min="12291" max="12291" width="6" style="77" customWidth="1"/>
    <col min="12292" max="12292" width="22.125" style="77" customWidth="1"/>
    <col min="12293" max="12293" width="5.5" style="77" customWidth="1"/>
    <col min="12294" max="12294" width="5.125" style="77" customWidth="1"/>
    <col min="12295" max="12295" width="21.375" style="77" customWidth="1"/>
    <col min="12296" max="12296" width="17.125" style="77" customWidth="1"/>
    <col min="12297" max="12297" width="10.125" style="77" customWidth="1"/>
    <col min="12298" max="12298" width="15" style="77" customWidth="1"/>
    <col min="12299" max="12299" width="10.5" style="77" customWidth="1"/>
    <col min="12300" max="12300" width="15.875" style="77" customWidth="1"/>
    <col min="12301" max="12301" width="9.5" style="77" customWidth="1"/>
    <col min="12302" max="12302" width="11.5" style="77" customWidth="1"/>
    <col min="12303" max="12303" width="12" style="77" customWidth="1"/>
    <col min="12304" max="12546" width="9.125" style="77"/>
    <col min="12547" max="12547" width="6" style="77" customWidth="1"/>
    <col min="12548" max="12548" width="22.125" style="77" customWidth="1"/>
    <col min="12549" max="12549" width="5.5" style="77" customWidth="1"/>
    <col min="12550" max="12550" width="5.125" style="77" customWidth="1"/>
    <col min="12551" max="12551" width="21.375" style="77" customWidth="1"/>
    <col min="12552" max="12552" width="17.125" style="77" customWidth="1"/>
    <col min="12553" max="12553" width="10.125" style="77" customWidth="1"/>
    <col min="12554" max="12554" width="15" style="77" customWidth="1"/>
    <col min="12555" max="12555" width="10.5" style="77" customWidth="1"/>
    <col min="12556" max="12556" width="15.875" style="77" customWidth="1"/>
    <col min="12557" max="12557" width="9.5" style="77" customWidth="1"/>
    <col min="12558" max="12558" width="11.5" style="77" customWidth="1"/>
    <col min="12559" max="12559" width="12" style="77" customWidth="1"/>
    <col min="12560" max="12802" width="9.125" style="77"/>
    <col min="12803" max="12803" width="6" style="77" customWidth="1"/>
    <col min="12804" max="12804" width="22.125" style="77" customWidth="1"/>
    <col min="12805" max="12805" width="5.5" style="77" customWidth="1"/>
    <col min="12806" max="12806" width="5.125" style="77" customWidth="1"/>
    <col min="12807" max="12807" width="21.375" style="77" customWidth="1"/>
    <col min="12808" max="12808" width="17.125" style="77" customWidth="1"/>
    <col min="12809" max="12809" width="10.125" style="77" customWidth="1"/>
    <col min="12810" max="12810" width="15" style="77" customWidth="1"/>
    <col min="12811" max="12811" width="10.5" style="77" customWidth="1"/>
    <col min="12812" max="12812" width="15.875" style="77" customWidth="1"/>
    <col min="12813" max="12813" width="9.5" style="77" customWidth="1"/>
    <col min="12814" max="12814" width="11.5" style="77" customWidth="1"/>
    <col min="12815" max="12815" width="12" style="77" customWidth="1"/>
    <col min="12816" max="13058" width="9.125" style="77"/>
    <col min="13059" max="13059" width="6" style="77" customWidth="1"/>
    <col min="13060" max="13060" width="22.125" style="77" customWidth="1"/>
    <col min="13061" max="13061" width="5.5" style="77" customWidth="1"/>
    <col min="13062" max="13062" width="5.125" style="77" customWidth="1"/>
    <col min="13063" max="13063" width="21.375" style="77" customWidth="1"/>
    <col min="13064" max="13064" width="17.125" style="77" customWidth="1"/>
    <col min="13065" max="13065" width="10.125" style="77" customWidth="1"/>
    <col min="13066" max="13066" width="15" style="77" customWidth="1"/>
    <col min="13067" max="13067" width="10.5" style="77" customWidth="1"/>
    <col min="13068" max="13068" width="15.875" style="77" customWidth="1"/>
    <col min="13069" max="13069" width="9.5" style="77" customWidth="1"/>
    <col min="13070" max="13070" width="11.5" style="77" customWidth="1"/>
    <col min="13071" max="13071" width="12" style="77" customWidth="1"/>
    <col min="13072" max="13314" width="9.125" style="77"/>
    <col min="13315" max="13315" width="6" style="77" customWidth="1"/>
    <col min="13316" max="13316" width="22.125" style="77" customWidth="1"/>
    <col min="13317" max="13317" width="5.5" style="77" customWidth="1"/>
    <col min="13318" max="13318" width="5.125" style="77" customWidth="1"/>
    <col min="13319" max="13319" width="21.375" style="77" customWidth="1"/>
    <col min="13320" max="13320" width="17.125" style="77" customWidth="1"/>
    <col min="13321" max="13321" width="10.125" style="77" customWidth="1"/>
    <col min="13322" max="13322" width="15" style="77" customWidth="1"/>
    <col min="13323" max="13323" width="10.5" style="77" customWidth="1"/>
    <col min="13324" max="13324" width="15.875" style="77" customWidth="1"/>
    <col min="13325" max="13325" width="9.5" style="77" customWidth="1"/>
    <col min="13326" max="13326" width="11.5" style="77" customWidth="1"/>
    <col min="13327" max="13327" width="12" style="77" customWidth="1"/>
    <col min="13328" max="13570" width="9.125" style="77"/>
    <col min="13571" max="13571" width="6" style="77" customWidth="1"/>
    <col min="13572" max="13572" width="22.125" style="77" customWidth="1"/>
    <col min="13573" max="13573" width="5.5" style="77" customWidth="1"/>
    <col min="13574" max="13574" width="5.125" style="77" customWidth="1"/>
    <col min="13575" max="13575" width="21.375" style="77" customWidth="1"/>
    <col min="13576" max="13576" width="17.125" style="77" customWidth="1"/>
    <col min="13577" max="13577" width="10.125" style="77" customWidth="1"/>
    <col min="13578" max="13578" width="15" style="77" customWidth="1"/>
    <col min="13579" max="13579" width="10.5" style="77" customWidth="1"/>
    <col min="13580" max="13580" width="15.875" style="77" customWidth="1"/>
    <col min="13581" max="13581" width="9.5" style="77" customWidth="1"/>
    <col min="13582" max="13582" width="11.5" style="77" customWidth="1"/>
    <col min="13583" max="13583" width="12" style="77" customWidth="1"/>
    <col min="13584" max="13826" width="9.125" style="77"/>
    <col min="13827" max="13827" width="6" style="77" customWidth="1"/>
    <col min="13828" max="13828" width="22.125" style="77" customWidth="1"/>
    <col min="13829" max="13829" width="5.5" style="77" customWidth="1"/>
    <col min="13830" max="13830" width="5.125" style="77" customWidth="1"/>
    <col min="13831" max="13831" width="21.375" style="77" customWidth="1"/>
    <col min="13832" max="13832" width="17.125" style="77" customWidth="1"/>
    <col min="13833" max="13833" width="10.125" style="77" customWidth="1"/>
    <col min="13834" max="13834" width="15" style="77" customWidth="1"/>
    <col min="13835" max="13835" width="10.5" style="77" customWidth="1"/>
    <col min="13836" max="13836" width="15.875" style="77" customWidth="1"/>
    <col min="13837" max="13837" width="9.5" style="77" customWidth="1"/>
    <col min="13838" max="13838" width="11.5" style="77" customWidth="1"/>
    <col min="13839" max="13839" width="12" style="77" customWidth="1"/>
    <col min="13840" max="14082" width="9.125" style="77"/>
    <col min="14083" max="14083" width="6" style="77" customWidth="1"/>
    <col min="14084" max="14084" width="22.125" style="77" customWidth="1"/>
    <col min="14085" max="14085" width="5.5" style="77" customWidth="1"/>
    <col min="14086" max="14086" width="5.125" style="77" customWidth="1"/>
    <col min="14087" max="14087" width="21.375" style="77" customWidth="1"/>
    <col min="14088" max="14088" width="17.125" style="77" customWidth="1"/>
    <col min="14089" max="14089" width="10.125" style="77" customWidth="1"/>
    <col min="14090" max="14090" width="15" style="77" customWidth="1"/>
    <col min="14091" max="14091" width="10.5" style="77" customWidth="1"/>
    <col min="14092" max="14092" width="15.875" style="77" customWidth="1"/>
    <col min="14093" max="14093" width="9.5" style="77" customWidth="1"/>
    <col min="14094" max="14094" width="11.5" style="77" customWidth="1"/>
    <col min="14095" max="14095" width="12" style="77" customWidth="1"/>
    <col min="14096" max="14338" width="9.125" style="77"/>
    <col min="14339" max="14339" width="6" style="77" customWidth="1"/>
    <col min="14340" max="14340" width="22.125" style="77" customWidth="1"/>
    <col min="14341" max="14341" width="5.5" style="77" customWidth="1"/>
    <col min="14342" max="14342" width="5.125" style="77" customWidth="1"/>
    <col min="14343" max="14343" width="21.375" style="77" customWidth="1"/>
    <col min="14344" max="14344" width="17.125" style="77" customWidth="1"/>
    <col min="14345" max="14345" width="10.125" style="77" customWidth="1"/>
    <col min="14346" max="14346" width="15" style="77" customWidth="1"/>
    <col min="14347" max="14347" width="10.5" style="77" customWidth="1"/>
    <col min="14348" max="14348" width="15.875" style="77" customWidth="1"/>
    <col min="14349" max="14349" width="9.5" style="77" customWidth="1"/>
    <col min="14350" max="14350" width="11.5" style="77" customWidth="1"/>
    <col min="14351" max="14351" width="12" style="77" customWidth="1"/>
    <col min="14352" max="14594" width="9.125" style="77"/>
    <col min="14595" max="14595" width="6" style="77" customWidth="1"/>
    <col min="14596" max="14596" width="22.125" style="77" customWidth="1"/>
    <col min="14597" max="14597" width="5.5" style="77" customWidth="1"/>
    <col min="14598" max="14598" width="5.125" style="77" customWidth="1"/>
    <col min="14599" max="14599" width="21.375" style="77" customWidth="1"/>
    <col min="14600" max="14600" width="17.125" style="77" customWidth="1"/>
    <col min="14601" max="14601" width="10.125" style="77" customWidth="1"/>
    <col min="14602" max="14602" width="15" style="77" customWidth="1"/>
    <col min="14603" max="14603" width="10.5" style="77" customWidth="1"/>
    <col min="14604" max="14604" width="15.875" style="77" customWidth="1"/>
    <col min="14605" max="14605" width="9.5" style="77" customWidth="1"/>
    <col min="14606" max="14606" width="11.5" style="77" customWidth="1"/>
    <col min="14607" max="14607" width="12" style="77" customWidth="1"/>
    <col min="14608" max="14850" width="9.125" style="77"/>
    <col min="14851" max="14851" width="6" style="77" customWidth="1"/>
    <col min="14852" max="14852" width="22.125" style="77" customWidth="1"/>
    <col min="14853" max="14853" width="5.5" style="77" customWidth="1"/>
    <col min="14854" max="14854" width="5.125" style="77" customWidth="1"/>
    <col min="14855" max="14855" width="21.375" style="77" customWidth="1"/>
    <col min="14856" max="14856" width="17.125" style="77" customWidth="1"/>
    <col min="14857" max="14857" width="10.125" style="77" customWidth="1"/>
    <col min="14858" max="14858" width="15" style="77" customWidth="1"/>
    <col min="14859" max="14859" width="10.5" style="77" customWidth="1"/>
    <col min="14860" max="14860" width="15.875" style="77" customWidth="1"/>
    <col min="14861" max="14861" width="9.5" style="77" customWidth="1"/>
    <col min="14862" max="14862" width="11.5" style="77" customWidth="1"/>
    <col min="14863" max="14863" width="12" style="77" customWidth="1"/>
    <col min="14864" max="15106" width="9.125" style="77"/>
    <col min="15107" max="15107" width="6" style="77" customWidth="1"/>
    <col min="15108" max="15108" width="22.125" style="77" customWidth="1"/>
    <col min="15109" max="15109" width="5.5" style="77" customWidth="1"/>
    <col min="15110" max="15110" width="5.125" style="77" customWidth="1"/>
    <col min="15111" max="15111" width="21.375" style="77" customWidth="1"/>
    <col min="15112" max="15112" width="17.125" style="77" customWidth="1"/>
    <col min="15113" max="15113" width="10.125" style="77" customWidth="1"/>
    <col min="15114" max="15114" width="15" style="77" customWidth="1"/>
    <col min="15115" max="15115" width="10.5" style="77" customWidth="1"/>
    <col min="15116" max="15116" width="15.875" style="77" customWidth="1"/>
    <col min="15117" max="15117" width="9.5" style="77" customWidth="1"/>
    <col min="15118" max="15118" width="11.5" style="77" customWidth="1"/>
    <col min="15119" max="15119" width="12" style="77" customWidth="1"/>
    <col min="15120" max="15362" width="9.125" style="77"/>
    <col min="15363" max="15363" width="6" style="77" customWidth="1"/>
    <col min="15364" max="15364" width="22.125" style="77" customWidth="1"/>
    <col min="15365" max="15365" width="5.5" style="77" customWidth="1"/>
    <col min="15366" max="15366" width="5.125" style="77" customWidth="1"/>
    <col min="15367" max="15367" width="21.375" style="77" customWidth="1"/>
    <col min="15368" max="15368" width="17.125" style="77" customWidth="1"/>
    <col min="15369" max="15369" width="10.125" style="77" customWidth="1"/>
    <col min="15370" max="15370" width="15" style="77" customWidth="1"/>
    <col min="15371" max="15371" width="10.5" style="77" customWidth="1"/>
    <col min="15372" max="15372" width="15.875" style="77" customWidth="1"/>
    <col min="15373" max="15373" width="9.5" style="77" customWidth="1"/>
    <col min="15374" max="15374" width="11.5" style="77" customWidth="1"/>
    <col min="15375" max="15375" width="12" style="77" customWidth="1"/>
    <col min="15376" max="15618" width="9.125" style="77"/>
    <col min="15619" max="15619" width="6" style="77" customWidth="1"/>
    <col min="15620" max="15620" width="22.125" style="77" customWidth="1"/>
    <col min="15621" max="15621" width="5.5" style="77" customWidth="1"/>
    <col min="15622" max="15622" width="5.125" style="77" customWidth="1"/>
    <col min="15623" max="15623" width="21.375" style="77" customWidth="1"/>
    <col min="15624" max="15624" width="17.125" style="77" customWidth="1"/>
    <col min="15625" max="15625" width="10.125" style="77" customWidth="1"/>
    <col min="15626" max="15626" width="15" style="77" customWidth="1"/>
    <col min="15627" max="15627" width="10.5" style="77" customWidth="1"/>
    <col min="15628" max="15628" width="15.875" style="77" customWidth="1"/>
    <col min="15629" max="15629" width="9.5" style="77" customWidth="1"/>
    <col min="15630" max="15630" width="11.5" style="77" customWidth="1"/>
    <col min="15631" max="15631" width="12" style="77" customWidth="1"/>
    <col min="15632" max="15874" width="9.125" style="77"/>
    <col min="15875" max="15875" width="6" style="77" customWidth="1"/>
    <col min="15876" max="15876" width="22.125" style="77" customWidth="1"/>
    <col min="15877" max="15877" width="5.5" style="77" customWidth="1"/>
    <col min="15878" max="15878" width="5.125" style="77" customWidth="1"/>
    <col min="15879" max="15879" width="21.375" style="77" customWidth="1"/>
    <col min="15880" max="15880" width="17.125" style="77" customWidth="1"/>
    <col min="15881" max="15881" width="10.125" style="77" customWidth="1"/>
    <col min="15882" max="15882" width="15" style="77" customWidth="1"/>
    <col min="15883" max="15883" width="10.5" style="77" customWidth="1"/>
    <col min="15884" max="15884" width="15.875" style="77" customWidth="1"/>
    <col min="15885" max="15885" width="9.5" style="77" customWidth="1"/>
    <col min="15886" max="15886" width="11.5" style="77" customWidth="1"/>
    <col min="15887" max="15887" width="12" style="77" customWidth="1"/>
    <col min="15888" max="16130" width="9.125" style="77"/>
    <col min="16131" max="16131" width="6" style="77" customWidth="1"/>
    <col min="16132" max="16132" width="22.125" style="77" customWidth="1"/>
    <col min="16133" max="16133" width="5.5" style="77" customWidth="1"/>
    <col min="16134" max="16134" width="5.125" style="77" customWidth="1"/>
    <col min="16135" max="16135" width="21.375" style="77" customWidth="1"/>
    <col min="16136" max="16136" width="17.125" style="77" customWidth="1"/>
    <col min="16137" max="16137" width="10.125" style="77" customWidth="1"/>
    <col min="16138" max="16138" width="15" style="77" customWidth="1"/>
    <col min="16139" max="16139" width="10.5" style="77" customWidth="1"/>
    <col min="16140" max="16140" width="15.875" style="77" customWidth="1"/>
    <col min="16141" max="16141" width="9.5" style="77" customWidth="1"/>
    <col min="16142" max="16142" width="11.5" style="77" customWidth="1"/>
    <col min="16143" max="16143" width="12" style="77" customWidth="1"/>
    <col min="16144" max="16384" width="9.125" style="77"/>
  </cols>
  <sheetData>
    <row r="1" spans="1:42" ht="16.5" x14ac:dyDescent="0.25">
      <c r="A1" s="293" t="s">
        <v>726</v>
      </c>
      <c r="B1" s="294"/>
      <c r="C1" s="294"/>
      <c r="D1" s="294"/>
      <c r="E1" s="294"/>
      <c r="F1" s="294"/>
      <c r="G1" s="294"/>
      <c r="H1" s="294"/>
      <c r="I1" s="294"/>
      <c r="J1" s="294"/>
      <c r="K1" s="294"/>
      <c r="L1" s="294"/>
      <c r="M1" s="294"/>
      <c r="N1" s="295" t="s">
        <v>727</v>
      </c>
      <c r="O1" s="296"/>
      <c r="P1" s="76"/>
      <c r="Q1" s="76"/>
      <c r="R1" s="76"/>
      <c r="S1" s="76"/>
      <c r="T1" s="76"/>
      <c r="U1" s="76"/>
      <c r="V1" s="76"/>
      <c r="W1" s="76"/>
      <c r="X1" s="76"/>
      <c r="Y1" s="76"/>
      <c r="Z1" s="76"/>
      <c r="AA1" s="76"/>
      <c r="AB1" s="76"/>
      <c r="AC1" s="76"/>
      <c r="AD1" s="76"/>
      <c r="AE1" s="76"/>
      <c r="AF1" s="76"/>
      <c r="AG1" s="76"/>
      <c r="AH1" s="76"/>
      <c r="AI1" s="76"/>
      <c r="AJ1" s="76"/>
      <c r="AK1" s="76"/>
      <c r="AL1" s="76"/>
      <c r="AM1" s="76"/>
      <c r="AN1" s="76"/>
      <c r="AO1" s="76"/>
      <c r="AP1" s="76"/>
    </row>
    <row r="2" spans="1:42" ht="15.75" x14ac:dyDescent="0.25">
      <c r="A2" s="293" t="s">
        <v>728</v>
      </c>
      <c r="B2" s="294"/>
      <c r="C2" s="294"/>
      <c r="D2" s="294"/>
      <c r="E2" s="294"/>
      <c r="F2" s="294"/>
      <c r="G2" s="294"/>
      <c r="H2" s="294"/>
      <c r="I2" s="294"/>
      <c r="J2" s="294"/>
      <c r="K2" s="294"/>
      <c r="L2" s="294"/>
      <c r="M2" s="294"/>
      <c r="N2" s="150"/>
      <c r="O2" s="150"/>
      <c r="P2" s="76"/>
      <c r="Q2" s="76"/>
      <c r="R2" s="76"/>
      <c r="S2" s="76"/>
      <c r="T2" s="76"/>
      <c r="U2" s="76"/>
      <c r="V2" s="76"/>
      <c r="W2" s="76"/>
      <c r="X2" s="76"/>
      <c r="Y2" s="76"/>
      <c r="Z2" s="76"/>
      <c r="AA2" s="76"/>
      <c r="AB2" s="76"/>
      <c r="AC2" s="76"/>
      <c r="AD2" s="76"/>
      <c r="AE2" s="76"/>
      <c r="AF2" s="76"/>
      <c r="AG2" s="76"/>
      <c r="AH2" s="76"/>
      <c r="AI2" s="76"/>
      <c r="AJ2" s="76"/>
      <c r="AK2" s="76"/>
      <c r="AL2" s="76"/>
      <c r="AM2" s="76"/>
      <c r="AN2" s="76"/>
      <c r="AO2" s="76"/>
      <c r="AP2" s="76"/>
    </row>
    <row r="3" spans="1:42" ht="15.75" x14ac:dyDescent="0.25">
      <c r="A3" s="293" t="s">
        <v>729</v>
      </c>
      <c r="B3" s="294"/>
      <c r="C3" s="294"/>
      <c r="D3" s="294"/>
      <c r="E3" s="294"/>
      <c r="F3" s="294"/>
      <c r="G3" s="294"/>
      <c r="H3" s="294"/>
      <c r="I3" s="294"/>
      <c r="J3" s="294"/>
      <c r="K3" s="294"/>
      <c r="L3" s="294"/>
      <c r="M3" s="294"/>
      <c r="N3" s="150"/>
      <c r="O3" s="150"/>
      <c r="P3" s="76"/>
      <c r="Q3" s="76"/>
      <c r="R3" s="76"/>
      <c r="S3" s="76"/>
      <c r="T3" s="76"/>
      <c r="U3" s="76"/>
      <c r="V3" s="76"/>
      <c r="W3" s="76"/>
      <c r="X3" s="76"/>
      <c r="Y3" s="76"/>
      <c r="Z3" s="76"/>
      <c r="AA3" s="76"/>
      <c r="AB3" s="76"/>
      <c r="AC3" s="76"/>
      <c r="AD3" s="76"/>
      <c r="AE3" s="76"/>
      <c r="AF3" s="76"/>
      <c r="AG3" s="76"/>
      <c r="AH3" s="76"/>
      <c r="AI3" s="76"/>
      <c r="AJ3" s="76"/>
      <c r="AK3" s="76"/>
      <c r="AL3" s="76"/>
      <c r="AM3" s="76"/>
      <c r="AN3" s="76"/>
      <c r="AO3" s="76"/>
      <c r="AP3" s="76"/>
    </row>
    <row r="4" spans="1:42" ht="15.75" x14ac:dyDescent="0.25">
      <c r="A4" s="293" t="s">
        <v>753</v>
      </c>
      <c r="B4" s="294"/>
      <c r="C4" s="294"/>
      <c r="D4" s="294"/>
      <c r="E4" s="294"/>
      <c r="F4" s="294"/>
      <c r="G4" s="294"/>
      <c r="H4" s="294"/>
      <c r="I4" s="294"/>
      <c r="J4" s="294"/>
      <c r="K4" s="294"/>
      <c r="L4" s="294"/>
      <c r="M4" s="294"/>
      <c r="N4" s="150"/>
      <c r="O4" s="150"/>
      <c r="P4" s="76"/>
      <c r="Q4" s="76"/>
      <c r="R4" s="76"/>
      <c r="S4" s="76"/>
      <c r="T4" s="76"/>
      <c r="U4" s="76"/>
      <c r="V4" s="76"/>
      <c r="W4" s="76"/>
      <c r="X4" s="76"/>
      <c r="Y4" s="76"/>
      <c r="Z4" s="76"/>
      <c r="AA4" s="76"/>
      <c r="AB4" s="76"/>
      <c r="AC4" s="76"/>
      <c r="AD4" s="76"/>
      <c r="AE4" s="76"/>
      <c r="AF4" s="76"/>
      <c r="AG4" s="76"/>
      <c r="AH4" s="76"/>
      <c r="AI4" s="76"/>
      <c r="AJ4" s="76"/>
      <c r="AK4" s="76"/>
      <c r="AL4" s="76"/>
      <c r="AM4" s="76"/>
      <c r="AN4" s="76"/>
      <c r="AO4" s="76"/>
      <c r="AP4" s="76"/>
    </row>
    <row r="5" spans="1:42" ht="15.75" x14ac:dyDescent="0.25">
      <c r="A5" s="293" t="s">
        <v>730</v>
      </c>
      <c r="B5" s="294"/>
      <c r="C5" s="294"/>
      <c r="D5" s="294"/>
      <c r="E5" s="294"/>
      <c r="F5" s="294"/>
      <c r="G5" s="294"/>
      <c r="H5" s="294"/>
      <c r="I5" s="294"/>
      <c r="J5" s="294"/>
      <c r="K5" s="294"/>
      <c r="L5" s="294"/>
      <c r="M5" s="294"/>
      <c r="N5" s="150"/>
      <c r="O5" s="150"/>
    </row>
    <row r="6" spans="1:42" ht="9.75" customHeight="1" x14ac:dyDescent="0.25"/>
    <row r="7" spans="1:42" x14ac:dyDescent="0.25">
      <c r="A7" s="78" t="s">
        <v>269</v>
      </c>
    </row>
    <row r="8" spans="1:42" ht="17.45" customHeight="1" x14ac:dyDescent="0.25">
      <c r="A8" s="86" t="s">
        <v>270</v>
      </c>
      <c r="D8" s="292" t="str">
        <f>IF('DR-TB 10A'!C8="","",'DR-TB 10A'!C8)</f>
        <v/>
      </c>
      <c r="E8" s="292"/>
      <c r="F8" s="292"/>
      <c r="G8" s="85"/>
      <c r="H8" s="79" t="s">
        <v>271</v>
      </c>
      <c r="I8" s="77" t="s">
        <v>752</v>
      </c>
    </row>
    <row r="9" spans="1:42" ht="17.45" customHeight="1" x14ac:dyDescent="0.25">
      <c r="A9" s="89" t="s">
        <v>754</v>
      </c>
      <c r="F9" s="90">
        <f>'DR-TB 10A'!F18</f>
        <v>0</v>
      </c>
    </row>
    <row r="10" spans="1:42" ht="14.45" customHeight="1" x14ac:dyDescent="0.25">
      <c r="A10" s="77" t="s">
        <v>731</v>
      </c>
    </row>
    <row r="11" spans="1:42" ht="76.7" customHeight="1" x14ac:dyDescent="0.25">
      <c r="A11" s="87" t="s">
        <v>272</v>
      </c>
      <c r="B11" s="88" t="s">
        <v>273</v>
      </c>
      <c r="C11" s="88" t="s">
        <v>274</v>
      </c>
      <c r="D11" s="88" t="s">
        <v>283</v>
      </c>
      <c r="E11" s="88" t="s">
        <v>694</v>
      </c>
      <c r="F11" s="88" t="s">
        <v>275</v>
      </c>
      <c r="G11" s="88" t="s">
        <v>276</v>
      </c>
      <c r="H11" s="88" t="s">
        <v>277</v>
      </c>
      <c r="I11" s="88" t="s">
        <v>278</v>
      </c>
      <c r="J11" s="88" t="s">
        <v>279</v>
      </c>
      <c r="K11" s="88" t="s">
        <v>316</v>
      </c>
      <c r="L11" s="88" t="s">
        <v>284</v>
      </c>
      <c r="M11" s="88" t="s">
        <v>718</v>
      </c>
      <c r="N11" s="88" t="s">
        <v>280</v>
      </c>
      <c r="O11" s="88" t="s">
        <v>281</v>
      </c>
    </row>
    <row r="12" spans="1:42" s="95" customFormat="1" ht="21.6" customHeight="1" x14ac:dyDescent="0.2">
      <c r="A12" s="92" t="s">
        <v>732</v>
      </c>
      <c r="B12" s="92" t="s">
        <v>733</v>
      </c>
      <c r="C12" s="92" t="s">
        <v>734</v>
      </c>
      <c r="D12" s="92" t="s">
        <v>735</v>
      </c>
      <c r="E12" s="92" t="s">
        <v>736</v>
      </c>
      <c r="F12" s="91" t="s">
        <v>737</v>
      </c>
      <c r="G12" s="91" t="s">
        <v>738</v>
      </c>
      <c r="H12" s="94" t="s">
        <v>739</v>
      </c>
      <c r="I12" s="92" t="s">
        <v>740</v>
      </c>
      <c r="J12" s="92" t="s">
        <v>741</v>
      </c>
      <c r="K12" s="92" t="s">
        <v>742</v>
      </c>
      <c r="L12" s="92" t="s">
        <v>743</v>
      </c>
      <c r="M12" s="92" t="s">
        <v>744</v>
      </c>
      <c r="N12" s="92" t="s">
        <v>745</v>
      </c>
      <c r="O12" s="93" t="s">
        <v>746</v>
      </c>
    </row>
    <row r="13" spans="1:42" x14ac:dyDescent="0.25">
      <c r="C13" s="80"/>
    </row>
    <row r="14" spans="1:42" ht="54.75" customHeight="1" x14ac:dyDescent="0.25">
      <c r="A14" s="291" t="s">
        <v>747</v>
      </c>
      <c r="B14" s="291"/>
      <c r="C14" s="291"/>
      <c r="D14" s="291"/>
      <c r="E14" s="291"/>
      <c r="F14" s="291"/>
      <c r="G14" s="291"/>
      <c r="H14" s="291"/>
      <c r="I14" s="291"/>
      <c r="J14" s="291"/>
      <c r="K14" s="291"/>
      <c r="L14" s="291"/>
      <c r="M14" s="291"/>
      <c r="N14" s="291"/>
      <c r="O14" s="291"/>
    </row>
    <row r="15" spans="1:42" ht="19.5" customHeight="1" x14ac:dyDescent="0.25">
      <c r="A15" s="81" t="s">
        <v>282</v>
      </c>
      <c r="B15" s="82"/>
      <c r="C15" s="82"/>
      <c r="D15" s="82"/>
      <c r="E15" s="82"/>
      <c r="F15" s="82"/>
      <c r="G15" s="82"/>
      <c r="H15" s="82"/>
      <c r="I15" s="82"/>
      <c r="J15" s="82"/>
      <c r="K15" s="82"/>
      <c r="L15" s="82"/>
      <c r="M15" s="82"/>
      <c r="N15" s="82"/>
      <c r="O15" s="82"/>
    </row>
    <row r="16" spans="1:42" ht="16.5" customHeight="1" x14ac:dyDescent="0.25">
      <c r="A16" s="83" t="s">
        <v>695</v>
      </c>
      <c r="B16" s="84"/>
      <c r="C16" s="84"/>
      <c r="D16" s="84"/>
      <c r="E16" s="84"/>
      <c r="F16" s="84"/>
      <c r="G16" s="84"/>
      <c r="H16" s="84"/>
      <c r="I16" s="84"/>
      <c r="J16" s="84"/>
      <c r="K16" s="84"/>
      <c r="L16" s="84"/>
      <c r="M16" s="84"/>
      <c r="N16" s="84"/>
      <c r="O16" s="84"/>
    </row>
  </sheetData>
  <sheetProtection insertRows="0" deleteRows="0"/>
  <mergeCells count="8">
    <mergeCell ref="A14:O14"/>
    <mergeCell ref="D8:F8"/>
    <mergeCell ref="A1:M1"/>
    <mergeCell ref="N1:O1"/>
    <mergeCell ref="A2:M2"/>
    <mergeCell ref="A3:M3"/>
    <mergeCell ref="A4:M4"/>
    <mergeCell ref="A5:M5"/>
  </mergeCells>
  <dataValidations count="3">
    <dataValidation type="list" allowBlank="1" showInputMessage="1" showErrorMessage="1" sqref="WVT983043 K983043 JH983043 TD983043 ACZ983043 AMV983043 AWR983043 BGN983043 BQJ983043 CAF983043 CKB983043 CTX983043 DDT983043 DNP983043 DXL983043 EHH983043 ERD983043 FAZ983043 FKV983043 FUR983043 GEN983043 GOJ983043 GYF983043 HIB983043 HRX983043 IBT983043 ILP983043 IVL983043 JFH983043 JPD983043 JYZ983043 KIV983043 KSR983043 LCN983043 LMJ983043 LWF983043 MGB983043 MPX983043 MZT983043 NJP983043 NTL983043 ODH983043 OND983043 OWZ983043 PGV983043 PQR983043 QAN983043 QKJ983043 QUF983043 REB983043 RNX983043 RXT983043 SHP983043 SRL983043 TBH983043 TLD983043 TUZ983043 UEV983043 UOR983043 UYN983043 VIJ983043 VSF983043 WCB983043 WLX983043 K65539 JH65539 TD65539 ACZ65539 AMV65539 AWR65539 BGN65539 BQJ65539 CAF65539 CKB65539 CTX65539 DDT65539 DNP65539 DXL65539 EHH65539 ERD65539 FAZ65539 FKV65539 FUR65539 GEN65539 GOJ65539 GYF65539 HIB65539 HRX65539 IBT65539 ILP65539 IVL65539 JFH65539 JPD65539 JYZ65539 KIV65539 KSR65539 LCN65539 LMJ65539 LWF65539 MGB65539 MPX65539 MZT65539 NJP65539 NTL65539 ODH65539 OND65539 OWZ65539 PGV65539 PQR65539 QAN65539 QKJ65539 QUF65539 REB65539 RNX65539 RXT65539 SHP65539 SRL65539 TBH65539 TLD65539 TUZ65539 UEV65539 UOR65539 UYN65539 VIJ65539 VSF65539 WCB65539 WLX65539 WVT65539 K131075 JH131075 TD131075 ACZ131075 AMV131075 AWR131075 BGN131075 BQJ131075 CAF131075 CKB131075 CTX131075 DDT131075 DNP131075 DXL131075 EHH131075 ERD131075 FAZ131075 FKV131075 FUR131075 GEN131075 GOJ131075 GYF131075 HIB131075 HRX131075 IBT131075 ILP131075 IVL131075 JFH131075 JPD131075 JYZ131075 KIV131075 KSR131075 LCN131075 LMJ131075 LWF131075 MGB131075 MPX131075 MZT131075 NJP131075 NTL131075 ODH131075 OND131075 OWZ131075 PGV131075 PQR131075 QAN131075 QKJ131075 QUF131075 REB131075 RNX131075 RXT131075 SHP131075 SRL131075 TBH131075 TLD131075 TUZ131075 UEV131075 UOR131075 UYN131075 VIJ131075 VSF131075 WCB131075 WLX131075 WVT131075 K196611 JH196611 TD196611 ACZ196611 AMV196611 AWR196611 BGN196611 BQJ196611 CAF196611 CKB196611 CTX196611 DDT196611 DNP196611 DXL196611 EHH196611 ERD196611 FAZ196611 FKV196611 FUR196611 GEN196611 GOJ196611 GYF196611 HIB196611 HRX196611 IBT196611 ILP196611 IVL196611 JFH196611 JPD196611 JYZ196611 KIV196611 KSR196611 LCN196611 LMJ196611 LWF196611 MGB196611 MPX196611 MZT196611 NJP196611 NTL196611 ODH196611 OND196611 OWZ196611 PGV196611 PQR196611 QAN196611 QKJ196611 QUF196611 REB196611 RNX196611 RXT196611 SHP196611 SRL196611 TBH196611 TLD196611 TUZ196611 UEV196611 UOR196611 UYN196611 VIJ196611 VSF196611 WCB196611 WLX196611 WVT196611 K262147 JH262147 TD262147 ACZ262147 AMV262147 AWR262147 BGN262147 BQJ262147 CAF262147 CKB262147 CTX262147 DDT262147 DNP262147 DXL262147 EHH262147 ERD262147 FAZ262147 FKV262147 FUR262147 GEN262147 GOJ262147 GYF262147 HIB262147 HRX262147 IBT262147 ILP262147 IVL262147 JFH262147 JPD262147 JYZ262147 KIV262147 KSR262147 LCN262147 LMJ262147 LWF262147 MGB262147 MPX262147 MZT262147 NJP262147 NTL262147 ODH262147 OND262147 OWZ262147 PGV262147 PQR262147 QAN262147 QKJ262147 QUF262147 REB262147 RNX262147 RXT262147 SHP262147 SRL262147 TBH262147 TLD262147 TUZ262147 UEV262147 UOR262147 UYN262147 VIJ262147 VSF262147 WCB262147 WLX262147 WVT262147 K327683 JH327683 TD327683 ACZ327683 AMV327683 AWR327683 BGN327683 BQJ327683 CAF327683 CKB327683 CTX327683 DDT327683 DNP327683 DXL327683 EHH327683 ERD327683 FAZ327683 FKV327683 FUR327683 GEN327683 GOJ327683 GYF327683 HIB327683 HRX327683 IBT327683 ILP327683 IVL327683 JFH327683 JPD327683 JYZ327683 KIV327683 KSR327683 LCN327683 LMJ327683 LWF327683 MGB327683 MPX327683 MZT327683 NJP327683 NTL327683 ODH327683 OND327683 OWZ327683 PGV327683 PQR327683 QAN327683 QKJ327683 QUF327683 REB327683 RNX327683 RXT327683 SHP327683 SRL327683 TBH327683 TLD327683 TUZ327683 UEV327683 UOR327683 UYN327683 VIJ327683 VSF327683 WCB327683 WLX327683 WVT327683 K393219 JH393219 TD393219 ACZ393219 AMV393219 AWR393219 BGN393219 BQJ393219 CAF393219 CKB393219 CTX393219 DDT393219 DNP393219 DXL393219 EHH393219 ERD393219 FAZ393219 FKV393219 FUR393219 GEN393219 GOJ393219 GYF393219 HIB393219 HRX393219 IBT393219 ILP393219 IVL393219 JFH393219 JPD393219 JYZ393219 KIV393219 KSR393219 LCN393219 LMJ393219 LWF393219 MGB393219 MPX393219 MZT393219 NJP393219 NTL393219 ODH393219 OND393219 OWZ393219 PGV393219 PQR393219 QAN393219 QKJ393219 QUF393219 REB393219 RNX393219 RXT393219 SHP393219 SRL393219 TBH393219 TLD393219 TUZ393219 UEV393219 UOR393219 UYN393219 VIJ393219 VSF393219 WCB393219 WLX393219 WVT393219 K458755 JH458755 TD458755 ACZ458755 AMV458755 AWR458755 BGN458755 BQJ458755 CAF458755 CKB458755 CTX458755 DDT458755 DNP458755 DXL458755 EHH458755 ERD458755 FAZ458755 FKV458755 FUR458755 GEN458755 GOJ458755 GYF458755 HIB458755 HRX458755 IBT458755 ILP458755 IVL458755 JFH458755 JPD458755 JYZ458755 KIV458755 KSR458755 LCN458755 LMJ458755 LWF458755 MGB458755 MPX458755 MZT458755 NJP458755 NTL458755 ODH458755 OND458755 OWZ458755 PGV458755 PQR458755 QAN458755 QKJ458755 QUF458755 REB458755 RNX458755 RXT458755 SHP458755 SRL458755 TBH458755 TLD458755 TUZ458755 UEV458755 UOR458755 UYN458755 VIJ458755 VSF458755 WCB458755 WLX458755 WVT458755 K524291 JH524291 TD524291 ACZ524291 AMV524291 AWR524291 BGN524291 BQJ524291 CAF524291 CKB524291 CTX524291 DDT524291 DNP524291 DXL524291 EHH524291 ERD524291 FAZ524291 FKV524291 FUR524291 GEN524291 GOJ524291 GYF524291 HIB524291 HRX524291 IBT524291 ILP524291 IVL524291 JFH524291 JPD524291 JYZ524291 KIV524291 KSR524291 LCN524291 LMJ524291 LWF524291 MGB524291 MPX524291 MZT524291 NJP524291 NTL524291 ODH524291 OND524291 OWZ524291 PGV524291 PQR524291 QAN524291 QKJ524291 QUF524291 REB524291 RNX524291 RXT524291 SHP524291 SRL524291 TBH524291 TLD524291 TUZ524291 UEV524291 UOR524291 UYN524291 VIJ524291 VSF524291 WCB524291 WLX524291 WVT524291 K589827 JH589827 TD589827 ACZ589827 AMV589827 AWR589827 BGN589827 BQJ589827 CAF589827 CKB589827 CTX589827 DDT589827 DNP589827 DXL589827 EHH589827 ERD589827 FAZ589827 FKV589827 FUR589827 GEN589827 GOJ589827 GYF589827 HIB589827 HRX589827 IBT589827 ILP589827 IVL589827 JFH589827 JPD589827 JYZ589827 KIV589827 KSR589827 LCN589827 LMJ589827 LWF589827 MGB589827 MPX589827 MZT589827 NJP589827 NTL589827 ODH589827 OND589827 OWZ589827 PGV589827 PQR589827 QAN589827 QKJ589827 QUF589827 REB589827 RNX589827 RXT589827 SHP589827 SRL589827 TBH589827 TLD589827 TUZ589827 UEV589827 UOR589827 UYN589827 VIJ589827 VSF589827 WCB589827 WLX589827 WVT589827 K655363 JH655363 TD655363 ACZ655363 AMV655363 AWR655363 BGN655363 BQJ655363 CAF655363 CKB655363 CTX655363 DDT655363 DNP655363 DXL655363 EHH655363 ERD655363 FAZ655363 FKV655363 FUR655363 GEN655363 GOJ655363 GYF655363 HIB655363 HRX655363 IBT655363 ILP655363 IVL655363 JFH655363 JPD655363 JYZ655363 KIV655363 KSR655363 LCN655363 LMJ655363 LWF655363 MGB655363 MPX655363 MZT655363 NJP655363 NTL655363 ODH655363 OND655363 OWZ655363 PGV655363 PQR655363 QAN655363 QKJ655363 QUF655363 REB655363 RNX655363 RXT655363 SHP655363 SRL655363 TBH655363 TLD655363 TUZ655363 UEV655363 UOR655363 UYN655363 VIJ655363 VSF655363 WCB655363 WLX655363 WVT655363 K720899 JH720899 TD720899 ACZ720899 AMV720899 AWR720899 BGN720899 BQJ720899 CAF720899 CKB720899 CTX720899 DDT720899 DNP720899 DXL720899 EHH720899 ERD720899 FAZ720899 FKV720899 FUR720899 GEN720899 GOJ720899 GYF720899 HIB720899 HRX720899 IBT720899 ILP720899 IVL720899 JFH720899 JPD720899 JYZ720899 KIV720899 KSR720899 LCN720899 LMJ720899 LWF720899 MGB720899 MPX720899 MZT720899 NJP720899 NTL720899 ODH720899 OND720899 OWZ720899 PGV720899 PQR720899 QAN720899 QKJ720899 QUF720899 REB720899 RNX720899 RXT720899 SHP720899 SRL720899 TBH720899 TLD720899 TUZ720899 UEV720899 UOR720899 UYN720899 VIJ720899 VSF720899 WCB720899 WLX720899 WVT720899 K786435 JH786435 TD786435 ACZ786435 AMV786435 AWR786435 BGN786435 BQJ786435 CAF786435 CKB786435 CTX786435 DDT786435 DNP786435 DXL786435 EHH786435 ERD786435 FAZ786435 FKV786435 FUR786435 GEN786435 GOJ786435 GYF786435 HIB786435 HRX786435 IBT786435 ILP786435 IVL786435 JFH786435 JPD786435 JYZ786435 KIV786435 KSR786435 LCN786435 LMJ786435 LWF786435 MGB786435 MPX786435 MZT786435 NJP786435 NTL786435 ODH786435 OND786435 OWZ786435 PGV786435 PQR786435 QAN786435 QKJ786435 QUF786435 REB786435 RNX786435 RXT786435 SHP786435 SRL786435 TBH786435 TLD786435 TUZ786435 UEV786435 UOR786435 UYN786435 VIJ786435 VSF786435 WCB786435 WLX786435 WVT786435 K851971 JH851971 TD851971 ACZ851971 AMV851971 AWR851971 BGN851971 BQJ851971 CAF851971 CKB851971 CTX851971 DDT851971 DNP851971 DXL851971 EHH851971 ERD851971 FAZ851971 FKV851971 FUR851971 GEN851971 GOJ851971 GYF851971 HIB851971 HRX851971 IBT851971 ILP851971 IVL851971 JFH851971 JPD851971 JYZ851971 KIV851971 KSR851971 LCN851971 LMJ851971 LWF851971 MGB851971 MPX851971 MZT851971 NJP851971 NTL851971 ODH851971 OND851971 OWZ851971 PGV851971 PQR851971 QAN851971 QKJ851971 QUF851971 REB851971 RNX851971 RXT851971 SHP851971 SRL851971 TBH851971 TLD851971 TUZ851971 UEV851971 UOR851971 UYN851971 VIJ851971 VSF851971 WCB851971 WLX851971 WVT851971 K917507 JH917507 TD917507 ACZ917507 AMV917507 AWR917507 BGN917507 BQJ917507 CAF917507 CKB917507 CTX917507 DDT917507 DNP917507 DXL917507 EHH917507 ERD917507 FAZ917507 FKV917507 FUR917507 GEN917507 GOJ917507 GYF917507 HIB917507 HRX917507 IBT917507 ILP917507 IVL917507 JFH917507 JPD917507 JYZ917507 KIV917507 KSR917507 LCN917507 LMJ917507 LWF917507 MGB917507 MPX917507 MZT917507 NJP917507 NTL917507 ODH917507 OND917507 OWZ917507 PGV917507 PQR917507 QAN917507 QKJ917507 QUF917507 REB917507 RNX917507 RXT917507 SHP917507 SRL917507 TBH917507 TLD917507 TUZ917507 UEV917507 UOR917507 UYN917507 VIJ917507 VSF917507 WCB917507 WLX917507 WVT917507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xr:uid="{00000000-0002-0000-0100-000000000000}">
      <formula1>"1st Quarter, 2nd Quarter, 3rd Quarter, 4th Quarter, All Quarter"</formula1>
    </dataValidation>
    <dataValidation type="list" allowBlank="1" showInputMessage="1" showErrorMessage="1" sqref="WVR983043:WVS983043 I983043:J983043 JF983043:JG983043 TB983043:TC983043 ACX983043:ACY983043 AMT983043:AMU983043 AWP983043:AWQ983043 BGL983043:BGM983043 BQH983043:BQI983043 CAD983043:CAE983043 CJZ983043:CKA983043 CTV983043:CTW983043 DDR983043:DDS983043 DNN983043:DNO983043 DXJ983043:DXK983043 EHF983043:EHG983043 ERB983043:ERC983043 FAX983043:FAY983043 FKT983043:FKU983043 FUP983043:FUQ983043 GEL983043:GEM983043 GOH983043:GOI983043 GYD983043:GYE983043 HHZ983043:HIA983043 HRV983043:HRW983043 IBR983043:IBS983043 ILN983043:ILO983043 IVJ983043:IVK983043 JFF983043:JFG983043 JPB983043:JPC983043 JYX983043:JYY983043 KIT983043:KIU983043 KSP983043:KSQ983043 LCL983043:LCM983043 LMH983043:LMI983043 LWD983043:LWE983043 MFZ983043:MGA983043 MPV983043:MPW983043 MZR983043:MZS983043 NJN983043:NJO983043 NTJ983043:NTK983043 ODF983043:ODG983043 ONB983043:ONC983043 OWX983043:OWY983043 PGT983043:PGU983043 PQP983043:PQQ983043 QAL983043:QAM983043 QKH983043:QKI983043 QUD983043:QUE983043 RDZ983043:REA983043 RNV983043:RNW983043 RXR983043:RXS983043 SHN983043:SHO983043 SRJ983043:SRK983043 TBF983043:TBG983043 TLB983043:TLC983043 TUX983043:TUY983043 UET983043:UEU983043 UOP983043:UOQ983043 UYL983043:UYM983043 VIH983043:VII983043 VSD983043:VSE983043 WBZ983043:WCA983043 WLV983043:WLW983043 I65539:J65539 JF65539:JG65539 TB65539:TC65539 ACX65539:ACY65539 AMT65539:AMU65539 AWP65539:AWQ65539 BGL65539:BGM65539 BQH65539:BQI65539 CAD65539:CAE65539 CJZ65539:CKA65539 CTV65539:CTW65539 DDR65539:DDS65539 DNN65539:DNO65539 DXJ65539:DXK65539 EHF65539:EHG65539 ERB65539:ERC65539 FAX65539:FAY65539 FKT65539:FKU65539 FUP65539:FUQ65539 GEL65539:GEM65539 GOH65539:GOI65539 GYD65539:GYE65539 HHZ65539:HIA65539 HRV65539:HRW65539 IBR65539:IBS65539 ILN65539:ILO65539 IVJ65539:IVK65539 JFF65539:JFG65539 JPB65539:JPC65539 JYX65539:JYY65539 KIT65539:KIU65539 KSP65539:KSQ65539 LCL65539:LCM65539 LMH65539:LMI65539 LWD65539:LWE65539 MFZ65539:MGA65539 MPV65539:MPW65539 MZR65539:MZS65539 NJN65539:NJO65539 NTJ65539:NTK65539 ODF65539:ODG65539 ONB65539:ONC65539 OWX65539:OWY65539 PGT65539:PGU65539 PQP65539:PQQ65539 QAL65539:QAM65539 QKH65539:QKI65539 QUD65539:QUE65539 RDZ65539:REA65539 RNV65539:RNW65539 RXR65539:RXS65539 SHN65539:SHO65539 SRJ65539:SRK65539 TBF65539:TBG65539 TLB65539:TLC65539 TUX65539:TUY65539 UET65539:UEU65539 UOP65539:UOQ65539 UYL65539:UYM65539 VIH65539:VII65539 VSD65539:VSE65539 WBZ65539:WCA65539 WLV65539:WLW65539 WVR65539:WVS65539 I131075:J131075 JF131075:JG131075 TB131075:TC131075 ACX131075:ACY131075 AMT131075:AMU131075 AWP131075:AWQ131075 BGL131075:BGM131075 BQH131075:BQI131075 CAD131075:CAE131075 CJZ131075:CKA131075 CTV131075:CTW131075 DDR131075:DDS131075 DNN131075:DNO131075 DXJ131075:DXK131075 EHF131075:EHG131075 ERB131075:ERC131075 FAX131075:FAY131075 FKT131075:FKU131075 FUP131075:FUQ131075 GEL131075:GEM131075 GOH131075:GOI131075 GYD131075:GYE131075 HHZ131075:HIA131075 HRV131075:HRW131075 IBR131075:IBS131075 ILN131075:ILO131075 IVJ131075:IVK131075 JFF131075:JFG131075 JPB131075:JPC131075 JYX131075:JYY131075 KIT131075:KIU131075 KSP131075:KSQ131075 LCL131075:LCM131075 LMH131075:LMI131075 LWD131075:LWE131075 MFZ131075:MGA131075 MPV131075:MPW131075 MZR131075:MZS131075 NJN131075:NJO131075 NTJ131075:NTK131075 ODF131075:ODG131075 ONB131075:ONC131075 OWX131075:OWY131075 PGT131075:PGU131075 PQP131075:PQQ131075 QAL131075:QAM131075 QKH131075:QKI131075 QUD131075:QUE131075 RDZ131075:REA131075 RNV131075:RNW131075 RXR131075:RXS131075 SHN131075:SHO131075 SRJ131075:SRK131075 TBF131075:TBG131075 TLB131075:TLC131075 TUX131075:TUY131075 UET131075:UEU131075 UOP131075:UOQ131075 UYL131075:UYM131075 VIH131075:VII131075 VSD131075:VSE131075 WBZ131075:WCA131075 WLV131075:WLW131075 WVR131075:WVS131075 I196611:J196611 JF196611:JG196611 TB196611:TC196611 ACX196611:ACY196611 AMT196611:AMU196611 AWP196611:AWQ196611 BGL196611:BGM196611 BQH196611:BQI196611 CAD196611:CAE196611 CJZ196611:CKA196611 CTV196611:CTW196611 DDR196611:DDS196611 DNN196611:DNO196611 DXJ196611:DXK196611 EHF196611:EHG196611 ERB196611:ERC196611 FAX196611:FAY196611 FKT196611:FKU196611 FUP196611:FUQ196611 GEL196611:GEM196611 GOH196611:GOI196611 GYD196611:GYE196611 HHZ196611:HIA196611 HRV196611:HRW196611 IBR196611:IBS196611 ILN196611:ILO196611 IVJ196611:IVK196611 JFF196611:JFG196611 JPB196611:JPC196611 JYX196611:JYY196611 KIT196611:KIU196611 KSP196611:KSQ196611 LCL196611:LCM196611 LMH196611:LMI196611 LWD196611:LWE196611 MFZ196611:MGA196611 MPV196611:MPW196611 MZR196611:MZS196611 NJN196611:NJO196611 NTJ196611:NTK196611 ODF196611:ODG196611 ONB196611:ONC196611 OWX196611:OWY196611 PGT196611:PGU196611 PQP196611:PQQ196611 QAL196611:QAM196611 QKH196611:QKI196611 QUD196611:QUE196611 RDZ196611:REA196611 RNV196611:RNW196611 RXR196611:RXS196611 SHN196611:SHO196611 SRJ196611:SRK196611 TBF196611:TBG196611 TLB196611:TLC196611 TUX196611:TUY196611 UET196611:UEU196611 UOP196611:UOQ196611 UYL196611:UYM196611 VIH196611:VII196611 VSD196611:VSE196611 WBZ196611:WCA196611 WLV196611:WLW196611 WVR196611:WVS196611 I262147:J262147 JF262147:JG262147 TB262147:TC262147 ACX262147:ACY262147 AMT262147:AMU262147 AWP262147:AWQ262147 BGL262147:BGM262147 BQH262147:BQI262147 CAD262147:CAE262147 CJZ262147:CKA262147 CTV262147:CTW262147 DDR262147:DDS262147 DNN262147:DNO262147 DXJ262147:DXK262147 EHF262147:EHG262147 ERB262147:ERC262147 FAX262147:FAY262147 FKT262147:FKU262147 FUP262147:FUQ262147 GEL262147:GEM262147 GOH262147:GOI262147 GYD262147:GYE262147 HHZ262147:HIA262147 HRV262147:HRW262147 IBR262147:IBS262147 ILN262147:ILO262147 IVJ262147:IVK262147 JFF262147:JFG262147 JPB262147:JPC262147 JYX262147:JYY262147 KIT262147:KIU262147 KSP262147:KSQ262147 LCL262147:LCM262147 LMH262147:LMI262147 LWD262147:LWE262147 MFZ262147:MGA262147 MPV262147:MPW262147 MZR262147:MZS262147 NJN262147:NJO262147 NTJ262147:NTK262147 ODF262147:ODG262147 ONB262147:ONC262147 OWX262147:OWY262147 PGT262147:PGU262147 PQP262147:PQQ262147 QAL262147:QAM262147 QKH262147:QKI262147 QUD262147:QUE262147 RDZ262147:REA262147 RNV262147:RNW262147 RXR262147:RXS262147 SHN262147:SHO262147 SRJ262147:SRK262147 TBF262147:TBG262147 TLB262147:TLC262147 TUX262147:TUY262147 UET262147:UEU262147 UOP262147:UOQ262147 UYL262147:UYM262147 VIH262147:VII262147 VSD262147:VSE262147 WBZ262147:WCA262147 WLV262147:WLW262147 WVR262147:WVS262147 I327683:J327683 JF327683:JG327683 TB327683:TC327683 ACX327683:ACY327683 AMT327683:AMU327683 AWP327683:AWQ327683 BGL327683:BGM327683 BQH327683:BQI327683 CAD327683:CAE327683 CJZ327683:CKA327683 CTV327683:CTW327683 DDR327683:DDS327683 DNN327683:DNO327683 DXJ327683:DXK327683 EHF327683:EHG327683 ERB327683:ERC327683 FAX327683:FAY327683 FKT327683:FKU327683 FUP327683:FUQ327683 GEL327683:GEM327683 GOH327683:GOI327683 GYD327683:GYE327683 HHZ327683:HIA327683 HRV327683:HRW327683 IBR327683:IBS327683 ILN327683:ILO327683 IVJ327683:IVK327683 JFF327683:JFG327683 JPB327683:JPC327683 JYX327683:JYY327683 KIT327683:KIU327683 KSP327683:KSQ327683 LCL327683:LCM327683 LMH327683:LMI327683 LWD327683:LWE327683 MFZ327683:MGA327683 MPV327683:MPW327683 MZR327683:MZS327683 NJN327683:NJO327683 NTJ327683:NTK327683 ODF327683:ODG327683 ONB327683:ONC327683 OWX327683:OWY327683 PGT327683:PGU327683 PQP327683:PQQ327683 QAL327683:QAM327683 QKH327683:QKI327683 QUD327683:QUE327683 RDZ327683:REA327683 RNV327683:RNW327683 RXR327683:RXS327683 SHN327683:SHO327683 SRJ327683:SRK327683 TBF327683:TBG327683 TLB327683:TLC327683 TUX327683:TUY327683 UET327683:UEU327683 UOP327683:UOQ327683 UYL327683:UYM327683 VIH327683:VII327683 VSD327683:VSE327683 WBZ327683:WCA327683 WLV327683:WLW327683 WVR327683:WVS327683 I393219:J393219 JF393219:JG393219 TB393219:TC393219 ACX393219:ACY393219 AMT393219:AMU393219 AWP393219:AWQ393219 BGL393219:BGM393219 BQH393219:BQI393219 CAD393219:CAE393219 CJZ393219:CKA393219 CTV393219:CTW393219 DDR393219:DDS393219 DNN393219:DNO393219 DXJ393219:DXK393219 EHF393219:EHG393219 ERB393219:ERC393219 FAX393219:FAY393219 FKT393219:FKU393219 FUP393219:FUQ393219 GEL393219:GEM393219 GOH393219:GOI393219 GYD393219:GYE393219 HHZ393219:HIA393219 HRV393219:HRW393219 IBR393219:IBS393219 ILN393219:ILO393219 IVJ393219:IVK393219 JFF393219:JFG393219 JPB393219:JPC393219 JYX393219:JYY393219 KIT393219:KIU393219 KSP393219:KSQ393219 LCL393219:LCM393219 LMH393219:LMI393219 LWD393219:LWE393219 MFZ393219:MGA393219 MPV393219:MPW393219 MZR393219:MZS393219 NJN393219:NJO393219 NTJ393219:NTK393219 ODF393219:ODG393219 ONB393219:ONC393219 OWX393219:OWY393219 PGT393219:PGU393219 PQP393219:PQQ393219 QAL393219:QAM393219 QKH393219:QKI393219 QUD393219:QUE393219 RDZ393219:REA393219 RNV393219:RNW393219 RXR393219:RXS393219 SHN393219:SHO393219 SRJ393219:SRK393219 TBF393219:TBG393219 TLB393219:TLC393219 TUX393219:TUY393219 UET393219:UEU393219 UOP393219:UOQ393219 UYL393219:UYM393219 VIH393219:VII393219 VSD393219:VSE393219 WBZ393219:WCA393219 WLV393219:WLW393219 WVR393219:WVS393219 I458755:J458755 JF458755:JG458755 TB458755:TC458755 ACX458755:ACY458755 AMT458755:AMU458755 AWP458755:AWQ458755 BGL458755:BGM458755 BQH458755:BQI458755 CAD458755:CAE458755 CJZ458755:CKA458755 CTV458755:CTW458755 DDR458755:DDS458755 DNN458755:DNO458755 DXJ458755:DXK458755 EHF458755:EHG458755 ERB458755:ERC458755 FAX458755:FAY458755 FKT458755:FKU458755 FUP458755:FUQ458755 GEL458755:GEM458755 GOH458755:GOI458755 GYD458755:GYE458755 HHZ458755:HIA458755 HRV458755:HRW458755 IBR458755:IBS458755 ILN458755:ILO458755 IVJ458755:IVK458755 JFF458755:JFG458755 JPB458755:JPC458755 JYX458755:JYY458755 KIT458755:KIU458755 KSP458755:KSQ458755 LCL458755:LCM458755 LMH458755:LMI458755 LWD458755:LWE458755 MFZ458755:MGA458755 MPV458755:MPW458755 MZR458755:MZS458755 NJN458755:NJO458755 NTJ458755:NTK458755 ODF458755:ODG458755 ONB458755:ONC458755 OWX458755:OWY458755 PGT458755:PGU458755 PQP458755:PQQ458755 QAL458755:QAM458755 QKH458755:QKI458755 QUD458755:QUE458755 RDZ458755:REA458755 RNV458755:RNW458755 RXR458755:RXS458755 SHN458755:SHO458755 SRJ458755:SRK458755 TBF458755:TBG458755 TLB458755:TLC458755 TUX458755:TUY458755 UET458755:UEU458755 UOP458755:UOQ458755 UYL458755:UYM458755 VIH458755:VII458755 VSD458755:VSE458755 WBZ458755:WCA458755 WLV458755:WLW458755 WVR458755:WVS458755 I524291:J524291 JF524291:JG524291 TB524291:TC524291 ACX524291:ACY524291 AMT524291:AMU524291 AWP524291:AWQ524291 BGL524291:BGM524291 BQH524291:BQI524291 CAD524291:CAE524291 CJZ524291:CKA524291 CTV524291:CTW524291 DDR524291:DDS524291 DNN524291:DNO524291 DXJ524291:DXK524291 EHF524291:EHG524291 ERB524291:ERC524291 FAX524291:FAY524291 FKT524291:FKU524291 FUP524291:FUQ524291 GEL524291:GEM524291 GOH524291:GOI524291 GYD524291:GYE524291 HHZ524291:HIA524291 HRV524291:HRW524291 IBR524291:IBS524291 ILN524291:ILO524291 IVJ524291:IVK524291 JFF524291:JFG524291 JPB524291:JPC524291 JYX524291:JYY524291 KIT524291:KIU524291 KSP524291:KSQ524291 LCL524291:LCM524291 LMH524291:LMI524291 LWD524291:LWE524291 MFZ524291:MGA524291 MPV524291:MPW524291 MZR524291:MZS524291 NJN524291:NJO524291 NTJ524291:NTK524291 ODF524291:ODG524291 ONB524291:ONC524291 OWX524291:OWY524291 PGT524291:PGU524291 PQP524291:PQQ524291 QAL524291:QAM524291 QKH524291:QKI524291 QUD524291:QUE524291 RDZ524291:REA524291 RNV524291:RNW524291 RXR524291:RXS524291 SHN524291:SHO524291 SRJ524291:SRK524291 TBF524291:TBG524291 TLB524291:TLC524291 TUX524291:TUY524291 UET524291:UEU524291 UOP524291:UOQ524291 UYL524291:UYM524291 VIH524291:VII524291 VSD524291:VSE524291 WBZ524291:WCA524291 WLV524291:WLW524291 WVR524291:WVS524291 I589827:J589827 JF589827:JG589827 TB589827:TC589827 ACX589827:ACY589827 AMT589827:AMU589827 AWP589827:AWQ589827 BGL589827:BGM589827 BQH589827:BQI589827 CAD589827:CAE589827 CJZ589827:CKA589827 CTV589827:CTW589827 DDR589827:DDS589827 DNN589827:DNO589827 DXJ589827:DXK589827 EHF589827:EHG589827 ERB589827:ERC589827 FAX589827:FAY589827 FKT589827:FKU589827 FUP589827:FUQ589827 GEL589827:GEM589827 GOH589827:GOI589827 GYD589827:GYE589827 HHZ589827:HIA589827 HRV589827:HRW589827 IBR589827:IBS589827 ILN589827:ILO589827 IVJ589827:IVK589827 JFF589827:JFG589827 JPB589827:JPC589827 JYX589827:JYY589827 KIT589827:KIU589827 KSP589827:KSQ589827 LCL589827:LCM589827 LMH589827:LMI589827 LWD589827:LWE589827 MFZ589827:MGA589827 MPV589827:MPW589827 MZR589827:MZS589827 NJN589827:NJO589827 NTJ589827:NTK589827 ODF589827:ODG589827 ONB589827:ONC589827 OWX589827:OWY589827 PGT589827:PGU589827 PQP589827:PQQ589827 QAL589827:QAM589827 QKH589827:QKI589827 QUD589827:QUE589827 RDZ589827:REA589827 RNV589827:RNW589827 RXR589827:RXS589827 SHN589827:SHO589827 SRJ589827:SRK589827 TBF589827:TBG589827 TLB589827:TLC589827 TUX589827:TUY589827 UET589827:UEU589827 UOP589827:UOQ589827 UYL589827:UYM589827 VIH589827:VII589827 VSD589827:VSE589827 WBZ589827:WCA589827 WLV589827:WLW589827 WVR589827:WVS589827 I655363:J655363 JF655363:JG655363 TB655363:TC655363 ACX655363:ACY655363 AMT655363:AMU655363 AWP655363:AWQ655363 BGL655363:BGM655363 BQH655363:BQI655363 CAD655363:CAE655363 CJZ655363:CKA655363 CTV655363:CTW655363 DDR655363:DDS655363 DNN655363:DNO655363 DXJ655363:DXK655363 EHF655363:EHG655363 ERB655363:ERC655363 FAX655363:FAY655363 FKT655363:FKU655363 FUP655363:FUQ655363 GEL655363:GEM655363 GOH655363:GOI655363 GYD655363:GYE655363 HHZ655363:HIA655363 HRV655363:HRW655363 IBR655363:IBS655363 ILN655363:ILO655363 IVJ655363:IVK655363 JFF655363:JFG655363 JPB655363:JPC655363 JYX655363:JYY655363 KIT655363:KIU655363 KSP655363:KSQ655363 LCL655363:LCM655363 LMH655363:LMI655363 LWD655363:LWE655363 MFZ655363:MGA655363 MPV655363:MPW655363 MZR655363:MZS655363 NJN655363:NJO655363 NTJ655363:NTK655363 ODF655363:ODG655363 ONB655363:ONC655363 OWX655363:OWY655363 PGT655363:PGU655363 PQP655363:PQQ655363 QAL655363:QAM655363 QKH655363:QKI655363 QUD655363:QUE655363 RDZ655363:REA655363 RNV655363:RNW655363 RXR655363:RXS655363 SHN655363:SHO655363 SRJ655363:SRK655363 TBF655363:TBG655363 TLB655363:TLC655363 TUX655363:TUY655363 UET655363:UEU655363 UOP655363:UOQ655363 UYL655363:UYM655363 VIH655363:VII655363 VSD655363:VSE655363 WBZ655363:WCA655363 WLV655363:WLW655363 WVR655363:WVS655363 I720899:J720899 JF720899:JG720899 TB720899:TC720899 ACX720899:ACY720899 AMT720899:AMU720899 AWP720899:AWQ720899 BGL720899:BGM720899 BQH720899:BQI720899 CAD720899:CAE720899 CJZ720899:CKA720899 CTV720899:CTW720899 DDR720899:DDS720899 DNN720899:DNO720899 DXJ720899:DXK720899 EHF720899:EHG720899 ERB720899:ERC720899 FAX720899:FAY720899 FKT720899:FKU720899 FUP720899:FUQ720899 GEL720899:GEM720899 GOH720899:GOI720899 GYD720899:GYE720899 HHZ720899:HIA720899 HRV720899:HRW720899 IBR720899:IBS720899 ILN720899:ILO720899 IVJ720899:IVK720899 JFF720899:JFG720899 JPB720899:JPC720899 JYX720899:JYY720899 KIT720899:KIU720899 KSP720899:KSQ720899 LCL720899:LCM720899 LMH720899:LMI720899 LWD720899:LWE720899 MFZ720899:MGA720899 MPV720899:MPW720899 MZR720899:MZS720899 NJN720899:NJO720899 NTJ720899:NTK720899 ODF720899:ODG720899 ONB720899:ONC720899 OWX720899:OWY720899 PGT720899:PGU720899 PQP720899:PQQ720899 QAL720899:QAM720899 QKH720899:QKI720899 QUD720899:QUE720899 RDZ720899:REA720899 RNV720899:RNW720899 RXR720899:RXS720899 SHN720899:SHO720899 SRJ720899:SRK720899 TBF720899:TBG720899 TLB720899:TLC720899 TUX720899:TUY720899 UET720899:UEU720899 UOP720899:UOQ720899 UYL720899:UYM720899 VIH720899:VII720899 VSD720899:VSE720899 WBZ720899:WCA720899 WLV720899:WLW720899 WVR720899:WVS720899 I786435:J786435 JF786435:JG786435 TB786435:TC786435 ACX786435:ACY786435 AMT786435:AMU786435 AWP786435:AWQ786435 BGL786435:BGM786435 BQH786435:BQI786435 CAD786435:CAE786435 CJZ786435:CKA786435 CTV786435:CTW786435 DDR786435:DDS786435 DNN786435:DNO786435 DXJ786435:DXK786435 EHF786435:EHG786435 ERB786435:ERC786435 FAX786435:FAY786435 FKT786435:FKU786435 FUP786435:FUQ786435 GEL786435:GEM786435 GOH786435:GOI786435 GYD786435:GYE786435 HHZ786435:HIA786435 HRV786435:HRW786435 IBR786435:IBS786435 ILN786435:ILO786435 IVJ786435:IVK786435 JFF786435:JFG786435 JPB786435:JPC786435 JYX786435:JYY786435 KIT786435:KIU786435 KSP786435:KSQ786435 LCL786435:LCM786435 LMH786435:LMI786435 LWD786435:LWE786435 MFZ786435:MGA786435 MPV786435:MPW786435 MZR786435:MZS786435 NJN786435:NJO786435 NTJ786435:NTK786435 ODF786435:ODG786435 ONB786435:ONC786435 OWX786435:OWY786435 PGT786435:PGU786435 PQP786435:PQQ786435 QAL786435:QAM786435 QKH786435:QKI786435 QUD786435:QUE786435 RDZ786435:REA786435 RNV786435:RNW786435 RXR786435:RXS786435 SHN786435:SHO786435 SRJ786435:SRK786435 TBF786435:TBG786435 TLB786435:TLC786435 TUX786435:TUY786435 UET786435:UEU786435 UOP786435:UOQ786435 UYL786435:UYM786435 VIH786435:VII786435 VSD786435:VSE786435 WBZ786435:WCA786435 WLV786435:WLW786435 WVR786435:WVS786435 I851971:J851971 JF851971:JG851971 TB851971:TC851971 ACX851971:ACY851971 AMT851971:AMU851971 AWP851971:AWQ851971 BGL851971:BGM851971 BQH851971:BQI851971 CAD851971:CAE851971 CJZ851971:CKA851971 CTV851971:CTW851971 DDR851971:DDS851971 DNN851971:DNO851971 DXJ851971:DXK851971 EHF851971:EHG851971 ERB851971:ERC851971 FAX851971:FAY851971 FKT851971:FKU851971 FUP851971:FUQ851971 GEL851971:GEM851971 GOH851971:GOI851971 GYD851971:GYE851971 HHZ851971:HIA851971 HRV851971:HRW851971 IBR851971:IBS851971 ILN851971:ILO851971 IVJ851971:IVK851971 JFF851971:JFG851971 JPB851971:JPC851971 JYX851971:JYY851971 KIT851971:KIU851971 KSP851971:KSQ851971 LCL851971:LCM851971 LMH851971:LMI851971 LWD851971:LWE851971 MFZ851971:MGA851971 MPV851971:MPW851971 MZR851971:MZS851971 NJN851971:NJO851971 NTJ851971:NTK851971 ODF851971:ODG851971 ONB851971:ONC851971 OWX851971:OWY851971 PGT851971:PGU851971 PQP851971:PQQ851971 QAL851971:QAM851971 QKH851971:QKI851971 QUD851971:QUE851971 RDZ851971:REA851971 RNV851971:RNW851971 RXR851971:RXS851971 SHN851971:SHO851971 SRJ851971:SRK851971 TBF851971:TBG851971 TLB851971:TLC851971 TUX851971:TUY851971 UET851971:UEU851971 UOP851971:UOQ851971 UYL851971:UYM851971 VIH851971:VII851971 VSD851971:VSE851971 WBZ851971:WCA851971 WLV851971:WLW851971 WVR851971:WVS851971 I917507:J917507 JF917507:JG917507 TB917507:TC917507 ACX917507:ACY917507 AMT917507:AMU917507 AWP917507:AWQ917507 BGL917507:BGM917507 BQH917507:BQI917507 CAD917507:CAE917507 CJZ917507:CKA917507 CTV917507:CTW917507 DDR917507:DDS917507 DNN917507:DNO917507 DXJ917507:DXK917507 EHF917507:EHG917507 ERB917507:ERC917507 FAX917507:FAY917507 FKT917507:FKU917507 FUP917507:FUQ917507 GEL917507:GEM917507 GOH917507:GOI917507 GYD917507:GYE917507 HHZ917507:HIA917507 HRV917507:HRW917507 IBR917507:IBS917507 ILN917507:ILO917507 IVJ917507:IVK917507 JFF917507:JFG917507 JPB917507:JPC917507 JYX917507:JYY917507 KIT917507:KIU917507 KSP917507:KSQ917507 LCL917507:LCM917507 LMH917507:LMI917507 LWD917507:LWE917507 MFZ917507:MGA917507 MPV917507:MPW917507 MZR917507:MZS917507 NJN917507:NJO917507 NTJ917507:NTK917507 ODF917507:ODG917507 ONB917507:ONC917507 OWX917507:OWY917507 PGT917507:PGU917507 PQP917507:PQQ917507 QAL917507:QAM917507 QKH917507:QKI917507 QUD917507:QUE917507 RDZ917507:REA917507 RNV917507:RNW917507 RXR917507:RXS917507 SHN917507:SHO917507 SRJ917507:SRK917507 TBF917507:TBG917507 TLB917507:TLC917507 TUX917507:TUY917507 UET917507:UEU917507 UOP917507:UOQ917507 UYL917507:UYM917507 VIH917507:VII917507 VSD917507:VSE917507 WBZ917507:WCA917507 WLV917507:WLW917507 WVR917507:WVS917507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xr:uid="{00000000-0002-0000-0100-000001000000}">
      <formula1>"January, February, March, Jan-Mar, April, May, June, Apr-June, July, August, September, Jul-Sep, October, November, December, Oct-Dec, Janu-Dec"</formula1>
    </dataValidation>
    <dataValidation type="list" allowBlank="1" showInputMessage="1" showErrorMessage="1" sqref="WVW983043 O983043 JK983043 TG983043 ADC983043 AMY983043 AWU983043 BGQ983043 BQM983043 CAI983043 CKE983043 CUA983043 DDW983043 DNS983043 DXO983043 EHK983043 ERG983043 FBC983043 FKY983043 FUU983043 GEQ983043 GOM983043 GYI983043 HIE983043 HSA983043 IBW983043 ILS983043 IVO983043 JFK983043 JPG983043 JZC983043 KIY983043 KSU983043 LCQ983043 LMM983043 LWI983043 MGE983043 MQA983043 MZW983043 NJS983043 NTO983043 ODK983043 ONG983043 OXC983043 PGY983043 PQU983043 QAQ983043 QKM983043 QUI983043 REE983043 ROA983043 RXW983043 SHS983043 SRO983043 TBK983043 TLG983043 TVC983043 UEY983043 UOU983043 UYQ983043 VIM983043 VSI983043 WCE983043 WMA983043 O65539 JK65539 TG65539 ADC65539 AMY65539 AWU65539 BGQ65539 BQM65539 CAI65539 CKE65539 CUA65539 DDW65539 DNS65539 DXO65539 EHK65539 ERG65539 FBC65539 FKY65539 FUU65539 GEQ65539 GOM65539 GYI65539 HIE65539 HSA65539 IBW65539 ILS65539 IVO65539 JFK65539 JPG65539 JZC65539 KIY65539 KSU65539 LCQ65539 LMM65539 LWI65539 MGE65539 MQA65539 MZW65539 NJS65539 NTO65539 ODK65539 ONG65539 OXC65539 PGY65539 PQU65539 QAQ65539 QKM65539 QUI65539 REE65539 ROA65539 RXW65539 SHS65539 SRO65539 TBK65539 TLG65539 TVC65539 UEY65539 UOU65539 UYQ65539 VIM65539 VSI65539 WCE65539 WMA65539 WVW65539 O131075 JK131075 TG131075 ADC131075 AMY131075 AWU131075 BGQ131075 BQM131075 CAI131075 CKE131075 CUA131075 DDW131075 DNS131075 DXO131075 EHK131075 ERG131075 FBC131075 FKY131075 FUU131075 GEQ131075 GOM131075 GYI131075 HIE131075 HSA131075 IBW131075 ILS131075 IVO131075 JFK131075 JPG131075 JZC131075 KIY131075 KSU131075 LCQ131075 LMM131075 LWI131075 MGE131075 MQA131075 MZW131075 NJS131075 NTO131075 ODK131075 ONG131075 OXC131075 PGY131075 PQU131075 QAQ131075 QKM131075 QUI131075 REE131075 ROA131075 RXW131075 SHS131075 SRO131075 TBK131075 TLG131075 TVC131075 UEY131075 UOU131075 UYQ131075 VIM131075 VSI131075 WCE131075 WMA131075 WVW131075 O196611 JK196611 TG196611 ADC196611 AMY196611 AWU196611 BGQ196611 BQM196611 CAI196611 CKE196611 CUA196611 DDW196611 DNS196611 DXO196611 EHK196611 ERG196611 FBC196611 FKY196611 FUU196611 GEQ196611 GOM196611 GYI196611 HIE196611 HSA196611 IBW196611 ILS196611 IVO196611 JFK196611 JPG196611 JZC196611 KIY196611 KSU196611 LCQ196611 LMM196611 LWI196611 MGE196611 MQA196611 MZW196611 NJS196611 NTO196611 ODK196611 ONG196611 OXC196611 PGY196611 PQU196611 QAQ196611 QKM196611 QUI196611 REE196611 ROA196611 RXW196611 SHS196611 SRO196611 TBK196611 TLG196611 TVC196611 UEY196611 UOU196611 UYQ196611 VIM196611 VSI196611 WCE196611 WMA196611 WVW196611 O262147 JK262147 TG262147 ADC262147 AMY262147 AWU262147 BGQ262147 BQM262147 CAI262147 CKE262147 CUA262147 DDW262147 DNS262147 DXO262147 EHK262147 ERG262147 FBC262147 FKY262147 FUU262147 GEQ262147 GOM262147 GYI262147 HIE262147 HSA262147 IBW262147 ILS262147 IVO262147 JFK262147 JPG262147 JZC262147 KIY262147 KSU262147 LCQ262147 LMM262147 LWI262147 MGE262147 MQA262147 MZW262147 NJS262147 NTO262147 ODK262147 ONG262147 OXC262147 PGY262147 PQU262147 QAQ262147 QKM262147 QUI262147 REE262147 ROA262147 RXW262147 SHS262147 SRO262147 TBK262147 TLG262147 TVC262147 UEY262147 UOU262147 UYQ262147 VIM262147 VSI262147 WCE262147 WMA262147 WVW262147 O327683 JK327683 TG327683 ADC327683 AMY327683 AWU327683 BGQ327683 BQM327683 CAI327683 CKE327683 CUA327683 DDW327683 DNS327683 DXO327683 EHK327683 ERG327683 FBC327683 FKY327683 FUU327683 GEQ327683 GOM327683 GYI327683 HIE327683 HSA327683 IBW327683 ILS327683 IVO327683 JFK327683 JPG327683 JZC327683 KIY327683 KSU327683 LCQ327683 LMM327683 LWI327683 MGE327683 MQA327683 MZW327683 NJS327683 NTO327683 ODK327683 ONG327683 OXC327683 PGY327683 PQU327683 QAQ327683 QKM327683 QUI327683 REE327683 ROA327683 RXW327683 SHS327683 SRO327683 TBK327683 TLG327683 TVC327683 UEY327683 UOU327683 UYQ327683 VIM327683 VSI327683 WCE327683 WMA327683 WVW327683 O393219 JK393219 TG393219 ADC393219 AMY393219 AWU393219 BGQ393219 BQM393219 CAI393219 CKE393219 CUA393219 DDW393219 DNS393219 DXO393219 EHK393219 ERG393219 FBC393219 FKY393219 FUU393219 GEQ393219 GOM393219 GYI393219 HIE393219 HSA393219 IBW393219 ILS393219 IVO393219 JFK393219 JPG393219 JZC393219 KIY393219 KSU393219 LCQ393219 LMM393219 LWI393219 MGE393219 MQA393219 MZW393219 NJS393219 NTO393219 ODK393219 ONG393219 OXC393219 PGY393219 PQU393219 QAQ393219 QKM393219 QUI393219 REE393219 ROA393219 RXW393219 SHS393219 SRO393219 TBK393219 TLG393219 TVC393219 UEY393219 UOU393219 UYQ393219 VIM393219 VSI393219 WCE393219 WMA393219 WVW393219 O458755 JK458755 TG458755 ADC458755 AMY458755 AWU458755 BGQ458755 BQM458755 CAI458755 CKE458755 CUA458755 DDW458755 DNS458755 DXO458755 EHK458755 ERG458755 FBC458755 FKY458755 FUU458755 GEQ458755 GOM458755 GYI458755 HIE458755 HSA458755 IBW458755 ILS458755 IVO458755 JFK458755 JPG458755 JZC458755 KIY458755 KSU458755 LCQ458755 LMM458755 LWI458755 MGE458755 MQA458755 MZW458755 NJS458755 NTO458755 ODK458755 ONG458755 OXC458755 PGY458755 PQU458755 QAQ458755 QKM458755 QUI458755 REE458755 ROA458755 RXW458755 SHS458755 SRO458755 TBK458755 TLG458755 TVC458755 UEY458755 UOU458755 UYQ458755 VIM458755 VSI458755 WCE458755 WMA458755 WVW458755 O524291 JK524291 TG524291 ADC524291 AMY524291 AWU524291 BGQ524291 BQM524291 CAI524291 CKE524291 CUA524291 DDW524291 DNS524291 DXO524291 EHK524291 ERG524291 FBC524291 FKY524291 FUU524291 GEQ524291 GOM524291 GYI524291 HIE524291 HSA524291 IBW524291 ILS524291 IVO524291 JFK524291 JPG524291 JZC524291 KIY524291 KSU524291 LCQ524291 LMM524291 LWI524291 MGE524291 MQA524291 MZW524291 NJS524291 NTO524291 ODK524291 ONG524291 OXC524291 PGY524291 PQU524291 QAQ524291 QKM524291 QUI524291 REE524291 ROA524291 RXW524291 SHS524291 SRO524291 TBK524291 TLG524291 TVC524291 UEY524291 UOU524291 UYQ524291 VIM524291 VSI524291 WCE524291 WMA524291 WVW524291 O589827 JK589827 TG589827 ADC589827 AMY589827 AWU589827 BGQ589827 BQM589827 CAI589827 CKE589827 CUA589827 DDW589827 DNS589827 DXO589827 EHK589827 ERG589827 FBC589827 FKY589827 FUU589827 GEQ589827 GOM589827 GYI589827 HIE589827 HSA589827 IBW589827 ILS589827 IVO589827 JFK589827 JPG589827 JZC589827 KIY589827 KSU589827 LCQ589827 LMM589827 LWI589827 MGE589827 MQA589827 MZW589827 NJS589827 NTO589827 ODK589827 ONG589827 OXC589827 PGY589827 PQU589827 QAQ589827 QKM589827 QUI589827 REE589827 ROA589827 RXW589827 SHS589827 SRO589827 TBK589827 TLG589827 TVC589827 UEY589827 UOU589827 UYQ589827 VIM589827 VSI589827 WCE589827 WMA589827 WVW589827 O655363 JK655363 TG655363 ADC655363 AMY655363 AWU655363 BGQ655363 BQM655363 CAI655363 CKE655363 CUA655363 DDW655363 DNS655363 DXO655363 EHK655363 ERG655363 FBC655363 FKY655363 FUU655363 GEQ655363 GOM655363 GYI655363 HIE655363 HSA655363 IBW655363 ILS655363 IVO655363 JFK655363 JPG655363 JZC655363 KIY655363 KSU655363 LCQ655363 LMM655363 LWI655363 MGE655363 MQA655363 MZW655363 NJS655363 NTO655363 ODK655363 ONG655363 OXC655363 PGY655363 PQU655363 QAQ655363 QKM655363 QUI655363 REE655363 ROA655363 RXW655363 SHS655363 SRO655363 TBK655363 TLG655363 TVC655363 UEY655363 UOU655363 UYQ655363 VIM655363 VSI655363 WCE655363 WMA655363 WVW655363 O720899 JK720899 TG720899 ADC720899 AMY720899 AWU720899 BGQ720899 BQM720899 CAI720899 CKE720899 CUA720899 DDW720899 DNS720899 DXO720899 EHK720899 ERG720899 FBC720899 FKY720899 FUU720899 GEQ720899 GOM720899 GYI720899 HIE720899 HSA720899 IBW720899 ILS720899 IVO720899 JFK720899 JPG720899 JZC720899 KIY720899 KSU720899 LCQ720899 LMM720899 LWI720899 MGE720899 MQA720899 MZW720899 NJS720899 NTO720899 ODK720899 ONG720899 OXC720899 PGY720899 PQU720899 QAQ720899 QKM720899 QUI720899 REE720899 ROA720899 RXW720899 SHS720899 SRO720899 TBK720899 TLG720899 TVC720899 UEY720899 UOU720899 UYQ720899 VIM720899 VSI720899 WCE720899 WMA720899 WVW720899 O786435 JK786435 TG786435 ADC786435 AMY786435 AWU786435 BGQ786435 BQM786435 CAI786435 CKE786435 CUA786435 DDW786435 DNS786435 DXO786435 EHK786435 ERG786435 FBC786435 FKY786435 FUU786435 GEQ786435 GOM786435 GYI786435 HIE786435 HSA786435 IBW786435 ILS786435 IVO786435 JFK786435 JPG786435 JZC786435 KIY786435 KSU786435 LCQ786435 LMM786435 LWI786435 MGE786435 MQA786435 MZW786435 NJS786435 NTO786435 ODK786435 ONG786435 OXC786435 PGY786435 PQU786435 QAQ786435 QKM786435 QUI786435 REE786435 ROA786435 RXW786435 SHS786435 SRO786435 TBK786435 TLG786435 TVC786435 UEY786435 UOU786435 UYQ786435 VIM786435 VSI786435 WCE786435 WMA786435 WVW786435 O851971 JK851971 TG851971 ADC851971 AMY851971 AWU851971 BGQ851971 BQM851971 CAI851971 CKE851971 CUA851971 DDW851971 DNS851971 DXO851971 EHK851971 ERG851971 FBC851971 FKY851971 FUU851971 GEQ851971 GOM851971 GYI851971 HIE851971 HSA851971 IBW851971 ILS851971 IVO851971 JFK851971 JPG851971 JZC851971 KIY851971 KSU851971 LCQ851971 LMM851971 LWI851971 MGE851971 MQA851971 MZW851971 NJS851971 NTO851971 ODK851971 ONG851971 OXC851971 PGY851971 PQU851971 QAQ851971 QKM851971 QUI851971 REE851971 ROA851971 RXW851971 SHS851971 SRO851971 TBK851971 TLG851971 TVC851971 UEY851971 UOU851971 UYQ851971 VIM851971 VSI851971 WCE851971 WMA851971 WVW851971 O917507 JK917507 TG917507 ADC917507 AMY917507 AWU917507 BGQ917507 BQM917507 CAI917507 CKE917507 CUA917507 DDW917507 DNS917507 DXO917507 EHK917507 ERG917507 FBC917507 FKY917507 FUU917507 GEQ917507 GOM917507 GYI917507 HIE917507 HSA917507 IBW917507 ILS917507 IVO917507 JFK917507 JPG917507 JZC917507 KIY917507 KSU917507 LCQ917507 LMM917507 LWI917507 MGE917507 MQA917507 MZW917507 NJS917507 NTO917507 ODK917507 ONG917507 OXC917507 PGY917507 PQU917507 QAQ917507 QKM917507 QUI917507 REE917507 ROA917507 RXW917507 SHS917507 SRO917507 TBK917507 TLG917507 TVC917507 UEY917507 UOU917507 UYQ917507 VIM917507 VSI917507 WCE917507 WMA917507 WVW917507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xr:uid="{00000000-0002-0000-0100-000002000000}">
      <formula1>"2015, 2016,2017,2018,2019, 2020"</formula1>
    </dataValidation>
  </dataValidations>
  <printOptions horizontalCentered="1"/>
  <pageMargins left="0.45" right="0.45" top="0.5" bottom="0.5" header="0.3" footer="0.3"/>
  <pageSetup paperSize="9" scale="6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3"/>
  <sheetViews>
    <sheetView workbookViewId="0">
      <selection activeCell="G13" sqref="G13"/>
    </sheetView>
  </sheetViews>
  <sheetFormatPr baseColWidth="10" defaultColWidth="9" defaultRowHeight="14.25" x14ac:dyDescent="0.2"/>
  <cols>
    <col min="1" max="1" width="11" customWidth="1"/>
    <col min="3" max="3" width="11.875" customWidth="1"/>
    <col min="5" max="5" width="10.625" customWidth="1"/>
  </cols>
  <sheetData>
    <row r="1" spans="1:21" s="65" customFormat="1" ht="18" x14ac:dyDescent="0.2">
      <c r="A1" s="301" t="s">
        <v>713</v>
      </c>
      <c r="B1" s="301"/>
      <c r="C1" s="301"/>
      <c r="D1" s="301"/>
      <c r="E1" s="301"/>
      <c r="F1" s="301"/>
      <c r="G1" s="301"/>
      <c r="H1" s="301"/>
      <c r="I1" s="301"/>
      <c r="J1" s="301"/>
      <c r="K1" s="301"/>
      <c r="L1" s="301"/>
      <c r="M1" s="301"/>
      <c r="N1" s="301"/>
      <c r="O1" s="301"/>
      <c r="P1" s="302" t="s">
        <v>712</v>
      </c>
      <c r="Q1" s="302"/>
      <c r="R1" s="302"/>
      <c r="S1" s="302"/>
      <c r="T1" s="130"/>
      <c r="U1" s="130"/>
    </row>
    <row r="2" spans="1:21" s="65" customFormat="1" ht="18" x14ac:dyDescent="0.2">
      <c r="A2" s="301" t="s">
        <v>65</v>
      </c>
      <c r="B2" s="301"/>
      <c r="C2" s="301"/>
      <c r="D2" s="301"/>
      <c r="E2" s="301"/>
      <c r="F2" s="301"/>
      <c r="G2" s="301"/>
      <c r="H2" s="301"/>
      <c r="I2" s="301"/>
      <c r="J2" s="301"/>
      <c r="K2" s="301"/>
      <c r="L2" s="301"/>
      <c r="M2" s="301"/>
      <c r="N2" s="301"/>
      <c r="O2" s="301"/>
      <c r="P2" s="301"/>
      <c r="Q2" s="301"/>
      <c r="R2" s="301"/>
      <c r="S2" s="301"/>
      <c r="T2" s="301"/>
      <c r="U2" s="301"/>
    </row>
    <row r="3" spans="1:21" s="65" customFormat="1" ht="18" x14ac:dyDescent="0.2">
      <c r="A3" s="301" t="s">
        <v>696</v>
      </c>
      <c r="B3" s="301"/>
      <c r="C3" s="301"/>
      <c r="D3" s="301"/>
      <c r="E3" s="301"/>
      <c r="F3" s="301"/>
      <c r="G3" s="301"/>
      <c r="H3" s="301"/>
      <c r="I3" s="301"/>
      <c r="J3" s="301"/>
      <c r="K3" s="301"/>
      <c r="L3" s="301"/>
      <c r="M3" s="301"/>
      <c r="N3" s="301"/>
      <c r="O3" s="301"/>
      <c r="P3" s="301"/>
      <c r="Q3" s="301"/>
      <c r="R3" s="301"/>
      <c r="S3" s="131"/>
      <c r="T3" s="131"/>
      <c r="U3" s="131"/>
    </row>
    <row r="4" spans="1:21" s="65" customFormat="1" ht="18" x14ac:dyDescent="0.2">
      <c r="A4" s="131"/>
      <c r="B4" s="131"/>
      <c r="C4" s="131"/>
      <c r="D4" s="131"/>
      <c r="E4" s="131"/>
      <c r="F4" s="131"/>
      <c r="G4" s="131"/>
      <c r="H4" s="131"/>
      <c r="I4" s="131"/>
      <c r="J4" s="131"/>
      <c r="K4" s="131"/>
      <c r="L4" s="131"/>
      <c r="M4" s="131"/>
      <c r="N4" s="131"/>
      <c r="O4" s="131"/>
      <c r="P4" s="131"/>
      <c r="Q4" s="131"/>
      <c r="R4" s="131"/>
      <c r="S4" s="131"/>
      <c r="T4" s="131"/>
      <c r="U4" s="131"/>
    </row>
    <row r="5" spans="1:21" s="65" customFormat="1" ht="18" x14ac:dyDescent="0.2">
      <c r="A5" s="302" t="s">
        <v>755</v>
      </c>
      <c r="B5" s="302"/>
      <c r="C5" s="302"/>
      <c r="D5" s="302"/>
      <c r="E5" s="302"/>
      <c r="F5" s="302"/>
      <c r="G5" s="302"/>
      <c r="H5" s="302"/>
      <c r="I5" s="302"/>
      <c r="J5" s="302"/>
      <c r="K5" s="302"/>
      <c r="L5" s="302"/>
      <c r="M5" s="302"/>
      <c r="N5" s="302"/>
      <c r="O5" s="302"/>
      <c r="P5" s="302"/>
      <c r="Q5" s="302"/>
      <c r="R5" s="302"/>
      <c r="S5" s="302"/>
      <c r="T5" s="302"/>
      <c r="U5" s="302"/>
    </row>
    <row r="6" spans="1:21" ht="15.75" x14ac:dyDescent="0.2">
      <c r="A6" s="106"/>
      <c r="B6" s="106"/>
      <c r="C6" s="106"/>
      <c r="D6" s="106"/>
      <c r="E6" s="106"/>
      <c r="F6" s="106"/>
      <c r="G6" s="106"/>
      <c r="H6" s="106"/>
      <c r="I6" s="106"/>
      <c r="J6" s="106"/>
      <c r="K6" s="106"/>
      <c r="L6" s="106"/>
      <c r="M6" s="106"/>
      <c r="N6" s="106"/>
      <c r="O6" s="106"/>
      <c r="P6" s="106"/>
      <c r="Q6" s="106"/>
      <c r="R6" s="106"/>
      <c r="S6" s="106"/>
      <c r="T6" s="106"/>
      <c r="U6" s="106"/>
    </row>
    <row r="7" spans="1:21" ht="15.75" x14ac:dyDescent="0.2">
      <c r="A7" s="107" t="s">
        <v>139</v>
      </c>
      <c r="B7" s="107"/>
      <c r="C7" s="311">
        <f>'DR-TB 10A'!C6:G6</f>
        <v>0</v>
      </c>
      <c r="D7" s="311"/>
      <c r="E7" s="311"/>
      <c r="F7" s="311"/>
      <c r="G7" s="311"/>
      <c r="H7" s="104"/>
      <c r="I7" s="107"/>
      <c r="J7" s="110" t="s">
        <v>14</v>
      </c>
      <c r="K7" s="65"/>
      <c r="L7" s="104" t="s">
        <v>752</v>
      </c>
      <c r="M7" s="104"/>
      <c r="N7" s="104"/>
    </row>
    <row r="8" spans="1:21" ht="17.25" x14ac:dyDescent="0.2">
      <c r="A8" s="107" t="s">
        <v>9</v>
      </c>
      <c r="B8" s="107"/>
      <c r="C8" s="312">
        <f>'DR-TB 10A'!C7:G7</f>
        <v>0</v>
      </c>
      <c r="D8" s="312"/>
      <c r="E8" s="312"/>
      <c r="F8" s="312"/>
      <c r="G8" s="312"/>
      <c r="H8" s="104"/>
      <c r="I8" s="111"/>
      <c r="J8" s="124" t="s">
        <v>697</v>
      </c>
      <c r="K8" s="123"/>
      <c r="L8" s="123"/>
      <c r="M8" s="123"/>
      <c r="N8" s="316"/>
      <c r="O8" s="316"/>
      <c r="P8" s="316"/>
      <c r="Q8" s="316"/>
      <c r="R8" s="316"/>
      <c r="S8" s="316"/>
      <c r="T8" s="104"/>
      <c r="U8" s="104"/>
    </row>
    <row r="9" spans="1:21" ht="17.25" x14ac:dyDescent="0.2">
      <c r="A9" s="107" t="s">
        <v>10</v>
      </c>
      <c r="B9" s="107"/>
      <c r="C9" s="314">
        <f>'DR-TB 10A'!C8:G8</f>
        <v>0</v>
      </c>
      <c r="D9" s="314"/>
      <c r="E9" s="314"/>
      <c r="F9" s="314"/>
      <c r="G9" s="314"/>
      <c r="H9" s="104"/>
      <c r="I9" s="111"/>
      <c r="J9" s="111" t="s">
        <v>66</v>
      </c>
      <c r="K9" s="111"/>
      <c r="L9" s="111"/>
      <c r="M9" s="316"/>
      <c r="N9" s="316"/>
      <c r="O9" s="316"/>
      <c r="P9" s="316"/>
      <c r="Q9" s="316"/>
      <c r="R9" s="316"/>
      <c r="S9" s="316"/>
      <c r="T9" s="104"/>
      <c r="U9" s="104"/>
    </row>
    <row r="10" spans="1:21" ht="17.25" x14ac:dyDescent="0.2">
      <c r="A10" s="104"/>
      <c r="B10" s="104"/>
      <c r="C10" s="104"/>
      <c r="D10" s="104"/>
      <c r="E10" s="104"/>
      <c r="F10" s="104"/>
      <c r="G10" s="104"/>
      <c r="H10" s="104"/>
      <c r="I10" s="104"/>
      <c r="J10" s="111" t="s">
        <v>11</v>
      </c>
      <c r="K10" s="111"/>
      <c r="L10" s="111"/>
      <c r="M10" s="317"/>
      <c r="N10" s="317"/>
      <c r="O10" s="112"/>
      <c r="P10" s="105"/>
      <c r="Q10" s="104"/>
      <c r="R10" s="104"/>
      <c r="S10" s="104"/>
      <c r="T10" s="104"/>
      <c r="U10" s="104"/>
    </row>
    <row r="11" spans="1:21" ht="17.25" x14ac:dyDescent="0.3">
      <c r="A11" s="104"/>
      <c r="B11" s="104"/>
      <c r="C11" s="104"/>
      <c r="D11" s="104"/>
      <c r="E11" s="104"/>
      <c r="F11" s="104"/>
      <c r="G11" s="104"/>
      <c r="H11" s="104"/>
      <c r="I11" s="104"/>
      <c r="J11" s="113" t="s">
        <v>71</v>
      </c>
      <c r="K11" s="318"/>
      <c r="L11" s="318"/>
      <c r="M11" s="113"/>
      <c r="N11" s="114"/>
      <c r="O11" s="111" t="s">
        <v>12</v>
      </c>
      <c r="P11" s="104"/>
      <c r="Q11" s="319"/>
      <c r="R11" s="319"/>
      <c r="S11" s="319"/>
      <c r="T11" s="109"/>
      <c r="U11" s="104"/>
    </row>
    <row r="12" spans="1:21" ht="16.5" thickBot="1" x14ac:dyDescent="0.3">
      <c r="A12" s="104"/>
      <c r="B12" s="104"/>
      <c r="C12" s="104"/>
      <c r="D12" s="104"/>
      <c r="E12" s="104"/>
      <c r="F12" s="104"/>
      <c r="G12" s="104"/>
      <c r="H12" s="104"/>
      <c r="I12" s="104"/>
      <c r="J12" s="113"/>
      <c r="K12" s="132"/>
      <c r="L12" s="132"/>
      <c r="M12" s="113"/>
      <c r="N12" s="114"/>
      <c r="O12" s="111"/>
      <c r="P12" s="104"/>
      <c r="Q12" s="133"/>
      <c r="R12" s="133"/>
      <c r="S12" s="133"/>
      <c r="T12" s="109"/>
      <c r="U12" s="104"/>
    </row>
    <row r="13" spans="1:21" ht="18" thickBot="1" x14ac:dyDescent="0.35">
      <c r="A13" s="320" t="s">
        <v>698</v>
      </c>
      <c r="B13" s="315" t="s">
        <v>699</v>
      </c>
      <c r="C13" s="315"/>
      <c r="D13" s="315" t="s">
        <v>700</v>
      </c>
      <c r="E13" s="315"/>
      <c r="F13" s="104"/>
      <c r="G13" s="104"/>
      <c r="H13" s="324" t="s">
        <v>701</v>
      </c>
      <c r="I13" s="325"/>
      <c r="J13" s="325"/>
      <c r="K13" s="326"/>
      <c r="L13" s="330" t="s">
        <v>702</v>
      </c>
      <c r="M13" s="330"/>
      <c r="N13" s="330"/>
      <c r="O13" s="331" t="s">
        <v>3</v>
      </c>
      <c r="P13" s="332"/>
      <c r="Q13" s="109"/>
      <c r="R13" s="104"/>
      <c r="S13" s="104"/>
      <c r="T13" s="104"/>
      <c r="U13" s="104"/>
    </row>
    <row r="14" spans="1:21" ht="17.25" thickBot="1" x14ac:dyDescent="0.3">
      <c r="A14" s="321"/>
      <c r="B14" s="303"/>
      <c r="C14" s="304"/>
      <c r="D14" s="303"/>
      <c r="E14" s="304"/>
      <c r="F14" s="104"/>
      <c r="G14" s="104"/>
      <c r="H14" s="327"/>
      <c r="I14" s="328"/>
      <c r="J14" s="328"/>
      <c r="K14" s="329"/>
      <c r="L14" s="136"/>
      <c r="M14" s="137"/>
      <c r="N14" s="138"/>
      <c r="O14" s="333">
        <f>L14+M14+N14</f>
        <v>0</v>
      </c>
      <c r="P14" s="334"/>
      <c r="Q14" s="109"/>
      <c r="R14" s="104"/>
      <c r="S14" s="104"/>
      <c r="T14" s="104"/>
      <c r="U14" s="104"/>
    </row>
    <row r="15" spans="1:21" ht="15.75" x14ac:dyDescent="0.25">
      <c r="A15" s="106"/>
      <c r="B15" s="115"/>
      <c r="C15" s="115"/>
      <c r="D15" s="115"/>
      <c r="E15" s="115"/>
      <c r="F15" s="108"/>
      <c r="G15" s="116"/>
      <c r="H15" s="116"/>
      <c r="I15" s="116"/>
      <c r="J15" s="114"/>
      <c r="K15" s="114"/>
      <c r="L15" s="114"/>
      <c r="M15" s="114"/>
      <c r="N15" s="114"/>
      <c r="O15" s="114"/>
      <c r="P15" s="114"/>
      <c r="Q15" s="116"/>
      <c r="R15" s="116"/>
      <c r="S15" s="116"/>
      <c r="T15" s="116"/>
      <c r="U15" s="116"/>
    </row>
    <row r="16" spans="1:21" ht="15.75" x14ac:dyDescent="0.25">
      <c r="A16" s="117"/>
      <c r="B16" s="118"/>
      <c r="C16" s="118"/>
      <c r="D16" s="118"/>
      <c r="E16" s="118"/>
      <c r="F16" s="118"/>
      <c r="G16" s="118"/>
      <c r="H16" s="118"/>
      <c r="I16" s="109"/>
      <c r="J16" s="116"/>
      <c r="K16" s="116"/>
      <c r="L16" s="116"/>
      <c r="M16" s="116"/>
      <c r="N16" s="116"/>
      <c r="O16" s="116"/>
      <c r="P16" s="116"/>
      <c r="Q16" s="116"/>
      <c r="R16" s="116"/>
      <c r="S16" s="116"/>
      <c r="T16" s="116"/>
      <c r="U16" s="116"/>
    </row>
    <row r="17" spans="1:21" ht="15.75" x14ac:dyDescent="0.2">
      <c r="A17" s="322"/>
      <c r="B17" s="322"/>
      <c r="C17" s="308" t="s">
        <v>703</v>
      </c>
      <c r="D17" s="308"/>
      <c r="E17" s="308"/>
      <c r="F17" s="323" t="s">
        <v>704</v>
      </c>
      <c r="G17" s="323"/>
      <c r="H17" s="323"/>
      <c r="I17" s="323"/>
      <c r="J17" s="323"/>
      <c r="K17" s="323"/>
      <c r="L17" s="308" t="s">
        <v>705</v>
      </c>
      <c r="M17" s="308"/>
      <c r="N17" s="308"/>
      <c r="O17" s="308"/>
      <c r="P17" s="308"/>
      <c r="Q17" s="308"/>
      <c r="R17" s="104"/>
      <c r="S17" s="104"/>
      <c r="T17" s="104"/>
      <c r="U17" s="151"/>
    </row>
    <row r="18" spans="1:21" ht="15.75" x14ac:dyDescent="0.2">
      <c r="A18" s="322"/>
      <c r="B18" s="322"/>
      <c r="C18" s="313" t="s">
        <v>706</v>
      </c>
      <c r="D18" s="313" t="s">
        <v>707</v>
      </c>
      <c r="E18" s="313" t="s">
        <v>3</v>
      </c>
      <c r="F18" s="323" t="s">
        <v>706</v>
      </c>
      <c r="G18" s="323"/>
      <c r="H18" s="323" t="s">
        <v>707</v>
      </c>
      <c r="I18" s="323"/>
      <c r="J18" s="323" t="s">
        <v>3</v>
      </c>
      <c r="K18" s="323"/>
      <c r="L18" s="308" t="s">
        <v>706</v>
      </c>
      <c r="M18" s="308"/>
      <c r="N18" s="308" t="s">
        <v>707</v>
      </c>
      <c r="O18" s="308"/>
      <c r="P18" s="313" t="s">
        <v>3</v>
      </c>
      <c r="Q18" s="313"/>
      <c r="R18" s="104"/>
      <c r="S18" s="104"/>
      <c r="T18" s="104"/>
      <c r="U18" s="151"/>
    </row>
    <row r="19" spans="1:21" ht="15.75" x14ac:dyDescent="0.2">
      <c r="A19" s="322"/>
      <c r="B19" s="322"/>
      <c r="C19" s="313"/>
      <c r="D19" s="313"/>
      <c r="E19" s="313"/>
      <c r="F19" s="323"/>
      <c r="G19" s="323"/>
      <c r="H19" s="323"/>
      <c r="I19" s="323"/>
      <c r="J19" s="323"/>
      <c r="K19" s="323"/>
      <c r="L19" s="308"/>
      <c r="M19" s="308"/>
      <c r="N19" s="308"/>
      <c r="O19" s="308"/>
      <c r="P19" s="313"/>
      <c r="Q19" s="313"/>
      <c r="R19" s="104"/>
      <c r="S19" s="104"/>
      <c r="T19" s="104"/>
      <c r="U19" s="151"/>
    </row>
    <row r="20" spans="1:21" ht="15" customHeight="1" x14ac:dyDescent="0.2">
      <c r="A20" s="308" t="s">
        <v>708</v>
      </c>
      <c r="B20" s="308"/>
      <c r="C20" s="309"/>
      <c r="D20" s="309"/>
      <c r="E20" s="307">
        <f>C20+D20</f>
        <v>0</v>
      </c>
      <c r="F20" s="310"/>
      <c r="G20" s="310"/>
      <c r="H20" s="299"/>
      <c r="I20" s="299"/>
      <c r="J20" s="300">
        <f>F20+H20</f>
        <v>0</v>
      </c>
      <c r="K20" s="300"/>
      <c r="L20" s="307">
        <f>C20+F20</f>
        <v>0</v>
      </c>
      <c r="M20" s="307"/>
      <c r="N20" s="307">
        <f>D20+H20</f>
        <v>0</v>
      </c>
      <c r="O20" s="307"/>
      <c r="P20" s="307">
        <f>L20+N20</f>
        <v>0</v>
      </c>
      <c r="Q20" s="307"/>
      <c r="R20" s="104"/>
      <c r="S20" s="104"/>
      <c r="T20" s="104"/>
      <c r="U20" s="152"/>
    </row>
    <row r="21" spans="1:21" ht="15" customHeight="1" x14ac:dyDescent="0.2">
      <c r="A21" s="308"/>
      <c r="B21" s="308"/>
      <c r="C21" s="309"/>
      <c r="D21" s="309"/>
      <c r="E21" s="307"/>
      <c r="F21" s="310"/>
      <c r="G21" s="310"/>
      <c r="H21" s="299"/>
      <c r="I21" s="299"/>
      <c r="J21" s="300"/>
      <c r="K21" s="300"/>
      <c r="L21" s="307"/>
      <c r="M21" s="307"/>
      <c r="N21" s="307"/>
      <c r="O21" s="307"/>
      <c r="P21" s="307"/>
      <c r="Q21" s="307"/>
      <c r="R21" s="104"/>
      <c r="S21" s="104"/>
      <c r="T21" s="104"/>
      <c r="U21" s="152"/>
    </row>
    <row r="22" spans="1:21" ht="15" customHeight="1" x14ac:dyDescent="0.2">
      <c r="A22" s="308"/>
      <c r="B22" s="308"/>
      <c r="C22" s="309"/>
      <c r="D22" s="309"/>
      <c r="E22" s="307"/>
      <c r="F22" s="310"/>
      <c r="G22" s="310"/>
      <c r="H22" s="299"/>
      <c r="I22" s="299"/>
      <c r="J22" s="300"/>
      <c r="K22" s="300"/>
      <c r="L22" s="307"/>
      <c r="M22" s="307"/>
      <c r="N22" s="307"/>
      <c r="O22" s="307"/>
      <c r="P22" s="307"/>
      <c r="Q22" s="307"/>
      <c r="R22" s="104"/>
      <c r="S22" s="104"/>
      <c r="T22" s="104"/>
      <c r="U22" s="152"/>
    </row>
    <row r="23" spans="1:21" ht="15.75" x14ac:dyDescent="0.2">
      <c r="A23" s="308" t="s">
        <v>709</v>
      </c>
      <c r="B23" s="308"/>
      <c r="C23" s="309"/>
      <c r="D23" s="309"/>
      <c r="E23" s="307">
        <f t="shared" ref="E23" si="0">C23+D23</f>
        <v>0</v>
      </c>
      <c r="F23" s="310"/>
      <c r="G23" s="310"/>
      <c r="H23" s="299"/>
      <c r="I23" s="299"/>
      <c r="J23" s="300">
        <f t="shared" ref="J23" si="1">F23+H23</f>
        <v>0</v>
      </c>
      <c r="K23" s="300"/>
      <c r="L23" s="307">
        <f t="shared" ref="L23" si="2">C23+F23</f>
        <v>0</v>
      </c>
      <c r="M23" s="307"/>
      <c r="N23" s="307">
        <f t="shared" ref="N23" si="3">D23+H23</f>
        <v>0</v>
      </c>
      <c r="O23" s="307"/>
      <c r="P23" s="307">
        <f t="shared" ref="P23" si="4">L23+N23</f>
        <v>0</v>
      </c>
      <c r="Q23" s="307"/>
      <c r="R23" s="104"/>
      <c r="S23" s="104"/>
      <c r="T23" s="104"/>
      <c r="U23" s="134"/>
    </row>
    <row r="24" spans="1:21" ht="15.75" x14ac:dyDescent="0.2">
      <c r="A24" s="308"/>
      <c r="B24" s="308"/>
      <c r="C24" s="309"/>
      <c r="D24" s="309"/>
      <c r="E24" s="307"/>
      <c r="F24" s="310"/>
      <c r="G24" s="310"/>
      <c r="H24" s="299"/>
      <c r="I24" s="299"/>
      <c r="J24" s="300"/>
      <c r="K24" s="300"/>
      <c r="L24" s="307"/>
      <c r="M24" s="307"/>
      <c r="N24" s="307"/>
      <c r="O24" s="307"/>
      <c r="P24" s="307"/>
      <c r="Q24" s="307"/>
      <c r="R24" s="104"/>
      <c r="S24" s="104"/>
      <c r="T24" s="104"/>
      <c r="U24" s="134"/>
    </row>
    <row r="25" spans="1:21" ht="15.75" x14ac:dyDescent="0.2">
      <c r="A25" s="308"/>
      <c r="B25" s="308"/>
      <c r="C25" s="309"/>
      <c r="D25" s="309"/>
      <c r="E25" s="307"/>
      <c r="F25" s="310"/>
      <c r="G25" s="310"/>
      <c r="H25" s="299"/>
      <c r="I25" s="299"/>
      <c r="J25" s="300"/>
      <c r="K25" s="300"/>
      <c r="L25" s="307"/>
      <c r="M25" s="307"/>
      <c r="N25" s="307"/>
      <c r="O25" s="307"/>
      <c r="P25" s="307"/>
      <c r="Q25" s="307"/>
      <c r="R25" s="104"/>
      <c r="S25" s="104"/>
      <c r="T25" s="104"/>
      <c r="U25" s="134"/>
    </row>
    <row r="26" spans="1:21" ht="15.75" x14ac:dyDescent="0.2">
      <c r="A26" s="308" t="s">
        <v>710</v>
      </c>
      <c r="B26" s="308"/>
      <c r="C26" s="309"/>
      <c r="D26" s="309"/>
      <c r="E26" s="307">
        <f t="shared" ref="E26" si="5">C26+D26</f>
        <v>0</v>
      </c>
      <c r="F26" s="310"/>
      <c r="G26" s="310"/>
      <c r="H26" s="299"/>
      <c r="I26" s="299"/>
      <c r="J26" s="300">
        <f t="shared" ref="J26" si="6">F26+H26</f>
        <v>0</v>
      </c>
      <c r="K26" s="300"/>
      <c r="L26" s="307">
        <f t="shared" ref="L26" si="7">C26+F26</f>
        <v>0</v>
      </c>
      <c r="M26" s="307"/>
      <c r="N26" s="307">
        <f t="shared" ref="N26" si="8">D26+H26</f>
        <v>0</v>
      </c>
      <c r="O26" s="307"/>
      <c r="P26" s="307">
        <f t="shared" ref="P26" si="9">L26+N26</f>
        <v>0</v>
      </c>
      <c r="Q26" s="307"/>
      <c r="R26" s="125"/>
      <c r="S26" s="135"/>
      <c r="T26" s="135"/>
      <c r="U26" s="134"/>
    </row>
    <row r="27" spans="1:21" ht="15.75" x14ac:dyDescent="0.2">
      <c r="A27" s="308"/>
      <c r="B27" s="308"/>
      <c r="C27" s="309"/>
      <c r="D27" s="309"/>
      <c r="E27" s="307"/>
      <c r="F27" s="310"/>
      <c r="G27" s="310"/>
      <c r="H27" s="299"/>
      <c r="I27" s="299"/>
      <c r="J27" s="300"/>
      <c r="K27" s="300"/>
      <c r="L27" s="307"/>
      <c r="M27" s="307"/>
      <c r="N27" s="307"/>
      <c r="O27" s="307"/>
      <c r="P27" s="307"/>
      <c r="Q27" s="307"/>
      <c r="R27" s="125"/>
      <c r="S27" s="135"/>
      <c r="T27" s="135"/>
      <c r="U27" s="134"/>
    </row>
    <row r="28" spans="1:21" ht="15.75" x14ac:dyDescent="0.2">
      <c r="A28" s="308"/>
      <c r="B28" s="308"/>
      <c r="C28" s="309"/>
      <c r="D28" s="309"/>
      <c r="E28" s="307"/>
      <c r="F28" s="310"/>
      <c r="G28" s="310"/>
      <c r="H28" s="299"/>
      <c r="I28" s="299"/>
      <c r="J28" s="300"/>
      <c r="K28" s="300"/>
      <c r="L28" s="307"/>
      <c r="M28" s="307"/>
      <c r="N28" s="307"/>
      <c r="O28" s="307"/>
      <c r="P28" s="307"/>
      <c r="Q28" s="307"/>
      <c r="R28" s="125"/>
      <c r="S28" s="135"/>
      <c r="T28" s="135"/>
      <c r="U28" s="134"/>
    </row>
    <row r="29" spans="1:21" ht="15.75" x14ac:dyDescent="0.2">
      <c r="A29" s="125"/>
      <c r="B29" s="125"/>
      <c r="C29" s="125"/>
      <c r="D29" s="125"/>
      <c r="E29" s="121"/>
      <c r="F29" s="135"/>
      <c r="G29" s="135"/>
      <c r="H29" s="121"/>
      <c r="I29" s="121"/>
      <c r="J29" s="135"/>
      <c r="K29" s="135"/>
      <c r="L29" s="121"/>
      <c r="M29" s="121"/>
      <c r="N29" s="121"/>
      <c r="O29" s="121"/>
      <c r="P29" s="121"/>
      <c r="Q29" s="121"/>
      <c r="R29" s="125"/>
      <c r="S29" s="135"/>
      <c r="T29" s="135"/>
      <c r="U29" s="134"/>
    </row>
    <row r="30" spans="1:21" ht="17.25" x14ac:dyDescent="0.25">
      <c r="A30" s="106"/>
      <c r="B30" s="106"/>
      <c r="C30" s="106"/>
      <c r="D30" s="106"/>
      <c r="E30" s="104"/>
      <c r="F30" s="104"/>
      <c r="G30" s="104"/>
      <c r="H30" s="108" t="s">
        <v>711</v>
      </c>
      <c r="I30" s="109"/>
      <c r="J30" s="109"/>
      <c r="K30" s="109"/>
      <c r="L30" s="109"/>
      <c r="M30" s="305"/>
      <c r="N30" s="305"/>
      <c r="O30" s="305"/>
      <c r="P30" s="305"/>
      <c r="Q30" s="305"/>
      <c r="R30" s="305"/>
      <c r="S30" s="305"/>
      <c r="T30" s="104"/>
      <c r="U30" s="104"/>
    </row>
    <row r="31" spans="1:21" ht="17.25" x14ac:dyDescent="0.25">
      <c r="A31" s="120"/>
      <c r="B31" s="120"/>
      <c r="C31" s="120"/>
      <c r="D31" s="120"/>
      <c r="E31" s="126"/>
      <c r="F31" s="126"/>
      <c r="G31" s="127"/>
      <c r="H31" s="108" t="s">
        <v>57</v>
      </c>
      <c r="I31" s="298"/>
      <c r="J31" s="298"/>
      <c r="K31" s="298"/>
      <c r="L31" s="298"/>
      <c r="M31" s="104"/>
      <c r="N31" s="119" t="s">
        <v>58</v>
      </c>
      <c r="O31" s="306"/>
      <c r="P31" s="306"/>
      <c r="Q31" s="306"/>
    </row>
    <row r="32" spans="1:21" ht="17.25" x14ac:dyDescent="0.25">
      <c r="A32" s="128"/>
      <c r="B32" s="122"/>
      <c r="C32" s="122"/>
      <c r="D32" s="122"/>
      <c r="E32" s="127"/>
      <c r="F32" s="127"/>
      <c r="G32" s="129"/>
      <c r="H32" s="108" t="s">
        <v>59</v>
      </c>
      <c r="I32" s="297"/>
      <c r="J32" s="297"/>
      <c r="K32" s="297"/>
      <c r="L32" s="297"/>
      <c r="M32" s="297"/>
      <c r="N32" s="104"/>
      <c r="O32" s="104"/>
      <c r="P32" s="104"/>
      <c r="Q32" s="104"/>
    </row>
    <row r="33" spans="1:17" ht="15.75" x14ac:dyDescent="0.2">
      <c r="A33" s="128"/>
      <c r="B33" s="122"/>
      <c r="C33" s="122"/>
      <c r="D33" s="122"/>
      <c r="E33" s="127"/>
      <c r="F33" s="127"/>
      <c r="G33" s="129"/>
      <c r="H33" s="129"/>
      <c r="I33" s="104"/>
      <c r="J33" s="104"/>
      <c r="K33" s="104"/>
      <c r="L33" s="104"/>
      <c r="M33" s="104"/>
      <c r="N33" s="104"/>
      <c r="O33" s="104"/>
      <c r="P33" s="104"/>
      <c r="Q33" s="104"/>
    </row>
  </sheetData>
  <mergeCells count="69">
    <mergeCell ref="O14:P14"/>
    <mergeCell ref="N18:O19"/>
    <mergeCell ref="J20:K22"/>
    <mergeCell ref="H26:I28"/>
    <mergeCell ref="P18:Q19"/>
    <mergeCell ref="L20:M22"/>
    <mergeCell ref="L23:M25"/>
    <mergeCell ref="N20:O22"/>
    <mergeCell ref="N23:O25"/>
    <mergeCell ref="P20:Q22"/>
    <mergeCell ref="P23:Q25"/>
    <mergeCell ref="A13:A14"/>
    <mergeCell ref="L26:M28"/>
    <mergeCell ref="N26:O28"/>
    <mergeCell ref="F26:G28"/>
    <mergeCell ref="A17:B19"/>
    <mergeCell ref="C20:C22"/>
    <mergeCell ref="D20:D22"/>
    <mergeCell ref="F20:G22"/>
    <mergeCell ref="F18:G19"/>
    <mergeCell ref="H18:I19"/>
    <mergeCell ref="J18:K19"/>
    <mergeCell ref="F17:K17"/>
    <mergeCell ref="L18:M19"/>
    <mergeCell ref="L17:Q17"/>
    <mergeCell ref="P26:Q28"/>
    <mergeCell ref="H13:K14"/>
    <mergeCell ref="M9:S9"/>
    <mergeCell ref="M10:N10"/>
    <mergeCell ref="K11:L11"/>
    <mergeCell ref="Q11:S11"/>
    <mergeCell ref="D13:E13"/>
    <mergeCell ref="L13:N13"/>
    <mergeCell ref="O13:P13"/>
    <mergeCell ref="C17:E17"/>
    <mergeCell ref="C18:C19"/>
    <mergeCell ref="D18:D19"/>
    <mergeCell ref="E18:E19"/>
    <mergeCell ref="C9:G9"/>
    <mergeCell ref="B13:C13"/>
    <mergeCell ref="B14:C14"/>
    <mergeCell ref="A5:U5"/>
    <mergeCell ref="A2:U2"/>
    <mergeCell ref="A3:R3"/>
    <mergeCell ref="C7:G7"/>
    <mergeCell ref="C8:G8"/>
    <mergeCell ref="N8:S8"/>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 ref="J23:K25"/>
  </mergeCell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C11"/>
  <sheetViews>
    <sheetView zoomScale="90" zoomScaleNormal="90" workbookViewId="0">
      <selection activeCell="A4" sqref="A4:A6"/>
    </sheetView>
  </sheetViews>
  <sheetFormatPr baseColWidth="10" defaultColWidth="9" defaultRowHeight="14.25" x14ac:dyDescent="0.2"/>
  <cols>
    <col min="8" max="8" width="10.125" bestFit="1" customWidth="1"/>
    <col min="14" max="14" width="12" customWidth="1"/>
    <col min="31" max="31" width="10.125" bestFit="1" customWidth="1"/>
    <col min="33" max="33" width="10.125" bestFit="1" customWidth="1"/>
    <col min="61" max="61" width="19.5" customWidth="1"/>
  </cols>
  <sheetData>
    <row r="1" spans="1:81" s="65" customFormat="1" ht="19.5" customHeight="1" x14ac:dyDescent="0.2">
      <c r="A1" s="372" t="s">
        <v>164</v>
      </c>
      <c r="B1" s="372" t="s">
        <v>287</v>
      </c>
      <c r="C1" s="372" t="s">
        <v>166</v>
      </c>
      <c r="D1" s="373"/>
      <c r="E1" s="376" t="s">
        <v>288</v>
      </c>
      <c r="F1" s="376"/>
      <c r="G1" s="376"/>
      <c r="H1" s="361" t="s">
        <v>289</v>
      </c>
      <c r="I1" s="361"/>
      <c r="J1" s="361"/>
      <c r="K1" s="361"/>
      <c r="L1" s="361"/>
      <c r="M1" s="361"/>
      <c r="N1" s="361"/>
      <c r="O1" s="361"/>
      <c r="P1" s="361"/>
      <c r="Q1" s="361"/>
      <c r="R1" s="361"/>
      <c r="S1" s="361"/>
      <c r="T1" s="361"/>
      <c r="U1" s="361"/>
      <c r="V1" s="361"/>
      <c r="W1" s="361"/>
      <c r="X1" s="361"/>
      <c r="Y1" s="361"/>
      <c r="Z1" s="361"/>
      <c r="AA1" s="361"/>
      <c r="AB1" s="361"/>
      <c r="AC1" s="361"/>
      <c r="AD1" s="361"/>
      <c r="AE1" s="361"/>
      <c r="AF1" s="361"/>
      <c r="AG1" s="361" t="s">
        <v>290</v>
      </c>
      <c r="AH1" s="361"/>
      <c r="AI1" s="361"/>
      <c r="AJ1" s="361"/>
      <c r="AK1" s="377" t="s">
        <v>291</v>
      </c>
      <c r="AL1" s="377" t="s">
        <v>292</v>
      </c>
      <c r="AM1" s="377" t="s">
        <v>293</v>
      </c>
      <c r="AN1" s="359" t="s">
        <v>294</v>
      </c>
      <c r="AO1" s="360"/>
      <c r="AP1" s="360"/>
      <c r="AQ1" s="356" t="s">
        <v>295</v>
      </c>
      <c r="AR1" s="359" t="s">
        <v>296</v>
      </c>
      <c r="AS1" s="360"/>
      <c r="AT1" s="360"/>
      <c r="AU1" s="356" t="s">
        <v>297</v>
      </c>
      <c r="AV1" s="359" t="s">
        <v>298</v>
      </c>
      <c r="AW1" s="360"/>
      <c r="AX1" s="360"/>
      <c r="AY1" s="356" t="s">
        <v>299</v>
      </c>
      <c r="AZ1" s="359" t="s">
        <v>300</v>
      </c>
      <c r="BA1" s="360"/>
      <c r="BB1" s="367"/>
      <c r="BC1" s="359" t="s">
        <v>301</v>
      </c>
      <c r="BD1" s="360"/>
      <c r="BE1" s="360"/>
      <c r="BF1" s="347" t="s">
        <v>3</v>
      </c>
      <c r="BG1" s="368" t="str">
        <f>'DR-TB 10A'!J7</f>
        <v>Name of the person completing the report :</v>
      </c>
      <c r="BH1" s="370" t="str">
        <f>'DR-TB 10A'!J8</f>
        <v>Designation and organization :</v>
      </c>
      <c r="BI1" s="370" t="str">
        <f>'DR-TB 10A'!O10</f>
        <v>Cell Number :</v>
      </c>
      <c r="BJ1" s="379" t="str">
        <f>'COVID19 Reporting Form'!B13</f>
        <v>Cartridges Received</v>
      </c>
      <c r="BK1" s="379" t="str">
        <f>'COVID19 Reporting Form'!D13</f>
        <v>Cartridges in Hand</v>
      </c>
      <c r="BL1" s="379" t="str">
        <f>'COVID19 Reporting Form'!C17</f>
        <v>Type of test : New</v>
      </c>
      <c r="BM1" s="379"/>
      <c r="BN1" s="379"/>
      <c r="BO1" s="379"/>
      <c r="BP1" s="379"/>
      <c r="BQ1" s="379"/>
      <c r="BR1" s="379" t="str">
        <f>'COVID19 Reporting Form'!F17</f>
        <v xml:space="preserve">Type of Test : Follow up </v>
      </c>
      <c r="BS1" s="379"/>
      <c r="BT1" s="379"/>
      <c r="BU1" s="379"/>
      <c r="BV1" s="379"/>
      <c r="BW1" s="379"/>
      <c r="BX1" s="379" t="s">
        <v>701</v>
      </c>
      <c r="BY1" s="379"/>
      <c r="BZ1" s="379"/>
      <c r="CA1" s="379" t="str">
        <f>'DR-TB 10A'!J12</f>
        <v>Number of Gene Xpert Machine:</v>
      </c>
      <c r="CB1" s="379" t="str">
        <f>'DR-TB 10A'!J13</f>
        <v>Total Number Of Module:</v>
      </c>
      <c r="CC1" s="379" t="str">
        <f>'DR-TB 10A'!J14</f>
        <v>Number of Module Functional:</v>
      </c>
    </row>
    <row r="2" spans="1:81" s="65" customFormat="1" ht="33.75" customHeight="1" x14ac:dyDescent="0.2">
      <c r="A2" s="372"/>
      <c r="B2" s="372"/>
      <c r="C2" s="372"/>
      <c r="D2" s="374"/>
      <c r="E2" s="350" t="s">
        <v>44</v>
      </c>
      <c r="F2" s="352" t="s">
        <v>45</v>
      </c>
      <c r="G2" s="353" t="s">
        <v>317</v>
      </c>
      <c r="H2" s="355" t="s">
        <v>18</v>
      </c>
      <c r="I2" s="355" t="s">
        <v>19</v>
      </c>
      <c r="J2" s="355" t="s">
        <v>20</v>
      </c>
      <c r="K2" s="355" t="s">
        <v>22</v>
      </c>
      <c r="L2" s="355" t="s">
        <v>24</v>
      </c>
      <c r="M2" s="355" t="s">
        <v>26</v>
      </c>
      <c r="N2" s="355" t="s">
        <v>28</v>
      </c>
      <c r="O2" s="355" t="s">
        <v>30</v>
      </c>
      <c r="P2" s="355" t="s">
        <v>32</v>
      </c>
      <c r="Q2" s="355"/>
      <c r="R2" s="355"/>
      <c r="S2" s="355" t="s">
        <v>34</v>
      </c>
      <c r="T2" s="355"/>
      <c r="U2" s="355"/>
      <c r="V2" s="355" t="s">
        <v>302</v>
      </c>
      <c r="W2" s="355"/>
      <c r="X2" s="355"/>
      <c r="Y2" s="355" t="s">
        <v>303</v>
      </c>
      <c r="Z2" s="355"/>
      <c r="AA2" s="355"/>
      <c r="AB2" s="355" t="s">
        <v>304</v>
      </c>
      <c r="AC2" s="355"/>
      <c r="AD2" s="355"/>
      <c r="AE2" s="365" t="s">
        <v>305</v>
      </c>
      <c r="AF2" s="361" t="s">
        <v>3</v>
      </c>
      <c r="AG2" s="355" t="s">
        <v>44</v>
      </c>
      <c r="AH2" s="355" t="s">
        <v>45</v>
      </c>
      <c r="AI2" s="355" t="s">
        <v>306</v>
      </c>
      <c r="AJ2" s="361" t="s">
        <v>3</v>
      </c>
      <c r="AK2" s="377"/>
      <c r="AL2" s="377"/>
      <c r="AM2" s="377"/>
      <c r="AN2" s="362" t="s">
        <v>307</v>
      </c>
      <c r="AO2" s="362" t="s">
        <v>308</v>
      </c>
      <c r="AP2" s="362" t="s">
        <v>309</v>
      </c>
      <c r="AQ2" s="357"/>
      <c r="AR2" s="362" t="s">
        <v>307</v>
      </c>
      <c r="AS2" s="362" t="s">
        <v>308</v>
      </c>
      <c r="AT2" s="362" t="s">
        <v>309</v>
      </c>
      <c r="AU2" s="357"/>
      <c r="AV2" s="362" t="s">
        <v>307</v>
      </c>
      <c r="AW2" s="362" t="s">
        <v>308</v>
      </c>
      <c r="AX2" s="362" t="s">
        <v>309</v>
      </c>
      <c r="AY2" s="357"/>
      <c r="AZ2" s="363" t="s">
        <v>310</v>
      </c>
      <c r="BA2" s="363" t="s">
        <v>311</v>
      </c>
      <c r="BB2" s="363" t="s">
        <v>312</v>
      </c>
      <c r="BC2" s="363" t="s">
        <v>310</v>
      </c>
      <c r="BD2" s="363" t="s">
        <v>311</v>
      </c>
      <c r="BE2" s="363" t="s">
        <v>312</v>
      </c>
      <c r="BF2" s="348"/>
      <c r="BG2" s="368"/>
      <c r="BH2" s="370"/>
      <c r="BI2" s="370"/>
      <c r="BJ2" s="379"/>
      <c r="BK2" s="379"/>
      <c r="BL2" s="379" t="str">
        <f>'COVID19 Reporting Form'!A20</f>
        <v>Number Of COVID19 Test</v>
      </c>
      <c r="BM2" s="379"/>
      <c r="BN2" s="379" t="str">
        <f>'COVID19 Reporting Form'!A23</f>
        <v>Number of COVID 19 Positive Detected</v>
      </c>
      <c r="BO2" s="379"/>
      <c r="BP2" s="379" t="str">
        <f>'COVID19 Reporting Form'!A26</f>
        <v>Number of COVID 19 Negative Detected</v>
      </c>
      <c r="BQ2" s="379"/>
      <c r="BR2" s="379" t="str">
        <f>'COVID19 Reporting Form'!A20</f>
        <v>Number Of COVID19 Test</v>
      </c>
      <c r="BS2" s="379"/>
      <c r="BT2" s="379" t="str">
        <f>'COVID19 Reporting Form'!A23</f>
        <v>Number of COVID 19 Positive Detected</v>
      </c>
      <c r="BU2" s="379"/>
      <c r="BV2" s="379" t="str">
        <f>'COVID19 Reporting Form'!A26</f>
        <v>Number of COVID 19 Negative Detected</v>
      </c>
      <c r="BW2" s="379"/>
      <c r="BX2" s="379"/>
      <c r="BY2" s="379"/>
      <c r="BZ2" s="379"/>
      <c r="CA2" s="379"/>
      <c r="CB2" s="379"/>
      <c r="CC2" s="379"/>
    </row>
    <row r="3" spans="1:81" s="65" customFormat="1" ht="44.45" customHeight="1" x14ac:dyDescent="0.2">
      <c r="A3" s="372"/>
      <c r="B3" s="372"/>
      <c r="C3" s="372"/>
      <c r="D3" s="375"/>
      <c r="E3" s="351"/>
      <c r="F3" s="352"/>
      <c r="G3" s="354"/>
      <c r="H3" s="355"/>
      <c r="I3" s="355"/>
      <c r="J3" s="355"/>
      <c r="K3" s="355"/>
      <c r="L3" s="355"/>
      <c r="M3" s="355"/>
      <c r="N3" s="355"/>
      <c r="O3" s="355"/>
      <c r="P3" s="142" t="s">
        <v>313</v>
      </c>
      <c r="Q3" s="142" t="s">
        <v>45</v>
      </c>
      <c r="R3" s="142" t="s">
        <v>314</v>
      </c>
      <c r="S3" s="142" t="s">
        <v>313</v>
      </c>
      <c r="T3" s="142" t="s">
        <v>45</v>
      </c>
      <c r="U3" s="142" t="s">
        <v>314</v>
      </c>
      <c r="V3" s="142" t="s">
        <v>313</v>
      </c>
      <c r="W3" s="142" t="s">
        <v>45</v>
      </c>
      <c r="X3" s="142" t="s">
        <v>314</v>
      </c>
      <c r="Y3" s="142" t="s">
        <v>313</v>
      </c>
      <c r="Z3" s="142" t="s">
        <v>45</v>
      </c>
      <c r="AA3" s="142" t="s">
        <v>314</v>
      </c>
      <c r="AB3" s="142" t="s">
        <v>313</v>
      </c>
      <c r="AC3" s="142" t="s">
        <v>45</v>
      </c>
      <c r="AD3" s="142" t="s">
        <v>314</v>
      </c>
      <c r="AE3" s="366"/>
      <c r="AF3" s="361"/>
      <c r="AG3" s="355"/>
      <c r="AH3" s="355"/>
      <c r="AI3" s="355"/>
      <c r="AJ3" s="361"/>
      <c r="AK3" s="377"/>
      <c r="AL3" s="377"/>
      <c r="AM3" s="377"/>
      <c r="AN3" s="362"/>
      <c r="AO3" s="362"/>
      <c r="AP3" s="362"/>
      <c r="AQ3" s="358"/>
      <c r="AR3" s="362"/>
      <c r="AS3" s="362"/>
      <c r="AT3" s="362"/>
      <c r="AU3" s="358"/>
      <c r="AV3" s="362"/>
      <c r="AW3" s="362"/>
      <c r="AX3" s="362"/>
      <c r="AY3" s="358"/>
      <c r="AZ3" s="364"/>
      <c r="BA3" s="364"/>
      <c r="BB3" s="364"/>
      <c r="BC3" s="364"/>
      <c r="BD3" s="364"/>
      <c r="BE3" s="364"/>
      <c r="BF3" s="349"/>
      <c r="BG3" s="368"/>
      <c r="BH3" s="370"/>
      <c r="BI3" s="370"/>
      <c r="BJ3" s="379"/>
      <c r="BK3" s="379"/>
      <c r="BL3" s="143" t="str">
        <f>'COVID19 Reporting Form'!C18</f>
        <v>Male</v>
      </c>
      <c r="BM3" s="143" t="str">
        <f>'COVID19 Reporting Form'!D18</f>
        <v>Female</v>
      </c>
      <c r="BN3" s="143" t="str">
        <f>'COVID19 Reporting Form'!C18</f>
        <v>Male</v>
      </c>
      <c r="BO3" s="143" t="str">
        <f>'COVID19 Reporting Form'!D18</f>
        <v>Female</v>
      </c>
      <c r="BP3" s="143" t="str">
        <f>'COVID19 Reporting Form'!C18</f>
        <v>Male</v>
      </c>
      <c r="BQ3" s="143" t="str">
        <f>'COVID19 Reporting Form'!D18</f>
        <v>Female</v>
      </c>
      <c r="BR3" s="143" t="s">
        <v>706</v>
      </c>
      <c r="BS3" s="143" t="s">
        <v>707</v>
      </c>
      <c r="BT3" s="143" t="s">
        <v>706</v>
      </c>
      <c r="BU3" s="143" t="s">
        <v>707</v>
      </c>
      <c r="BV3" s="143" t="s">
        <v>706</v>
      </c>
      <c r="BW3" s="143" t="s">
        <v>707</v>
      </c>
      <c r="BX3" s="379"/>
      <c r="BY3" s="379"/>
      <c r="BZ3" s="379"/>
      <c r="CA3" s="379"/>
      <c r="CB3" s="379"/>
      <c r="CC3" s="379"/>
    </row>
    <row r="4" spans="1:81" s="65" customFormat="1" ht="27.75" customHeight="1" x14ac:dyDescent="0.2">
      <c r="A4" s="341">
        <f>'DR-TB 10A'!$C6</f>
        <v>0</v>
      </c>
      <c r="B4" s="341">
        <f>'DR-TB 10A'!$C7</f>
        <v>0</v>
      </c>
      <c r="C4" s="341">
        <f>'DR-TB 10A'!$C8</f>
        <v>0</v>
      </c>
      <c r="D4" s="96" t="s">
        <v>315</v>
      </c>
      <c r="E4" s="140">
        <f>'DR-TB 10A'!$B26</f>
        <v>0</v>
      </c>
      <c r="F4" s="140">
        <f>'DR-TB 10A'!$C26</f>
        <v>0</v>
      </c>
      <c r="G4" s="140">
        <f>'DR-TB 10A'!$D26</f>
        <v>0</v>
      </c>
      <c r="H4" s="140">
        <f>'DR-TB 10A'!$E26</f>
        <v>0</v>
      </c>
      <c r="I4" s="140">
        <f>'DR-TB 10A'!$F26</f>
        <v>0</v>
      </c>
      <c r="J4" s="140">
        <f>'DR-TB 10A'!$G26</f>
        <v>0</v>
      </c>
      <c r="K4" s="140">
        <f>'DR-TB 10A'!$H26</f>
        <v>0</v>
      </c>
      <c r="L4" s="140">
        <f>'DR-TB 10A'!$I26</f>
        <v>0</v>
      </c>
      <c r="M4" s="140">
        <f>'DR-TB 10A'!$J26</f>
        <v>0</v>
      </c>
      <c r="N4" s="140">
        <f>'DR-TB 10A'!$K26</f>
        <v>0</v>
      </c>
      <c r="O4" s="140">
        <f>'DR-TB 10A'!$L26</f>
        <v>0</v>
      </c>
      <c r="P4" s="97">
        <f>'DR-TB 10A'!$O26</f>
        <v>0</v>
      </c>
      <c r="Q4" s="97">
        <f>'DR-TB 10A'!$O27</f>
        <v>0</v>
      </c>
      <c r="R4" s="97">
        <f>'DR-TB 10A'!$O28</f>
        <v>0</v>
      </c>
      <c r="S4" s="97">
        <f>'DR-TB 10A'!$R26</f>
        <v>0</v>
      </c>
      <c r="T4" s="97">
        <f>'DR-TB 10A'!$R27</f>
        <v>0</v>
      </c>
      <c r="U4" s="97">
        <f>'DR-TB 10A'!$R28</f>
        <v>0</v>
      </c>
      <c r="V4" s="97">
        <f>'DR-TB 10A'!$M40</f>
        <v>0</v>
      </c>
      <c r="W4" s="97">
        <f>'DR-TB 10A'!$N40</f>
        <v>0</v>
      </c>
      <c r="X4" s="97">
        <f>'DR-TB 10A'!$O40</f>
        <v>0</v>
      </c>
      <c r="Y4" s="97">
        <f>'DR-TB 10A'!$M41</f>
        <v>0</v>
      </c>
      <c r="Z4" s="97">
        <f>'DR-TB 10A'!$N41</f>
        <v>0</v>
      </c>
      <c r="AA4" s="97">
        <f>'DR-TB 10A'!$O41</f>
        <v>0</v>
      </c>
      <c r="AB4" s="97">
        <f>'DR-TB 10A'!$M42</f>
        <v>0</v>
      </c>
      <c r="AC4" s="97">
        <f>'DR-TB 10A'!$N42</f>
        <v>0</v>
      </c>
      <c r="AD4" s="139"/>
      <c r="AE4" s="98">
        <f>'DR-TB 10A'!$S26</f>
        <v>0</v>
      </c>
      <c r="AF4" s="98">
        <f>'DR-TB 10A'!$U26</f>
        <v>0</v>
      </c>
      <c r="AG4" s="98">
        <f>'DR-TB 10A'!$B39</f>
        <v>0</v>
      </c>
      <c r="AH4" s="98">
        <f>'DR-TB 10A'!$C39</f>
        <v>0</v>
      </c>
      <c r="AI4" s="98">
        <f>'DR-TB 10A'!$D39</f>
        <v>0</v>
      </c>
      <c r="AJ4" s="98">
        <f>'DR-TB 10A'!$E39</f>
        <v>0</v>
      </c>
      <c r="AK4" s="344">
        <f>'DR-TB 10A'!$H12</f>
        <v>0</v>
      </c>
      <c r="AL4" s="344">
        <f>'DR-TB 10A'!$H13</f>
        <v>0</v>
      </c>
      <c r="AM4" s="344">
        <f>'DR-TB 10A'!$H14</f>
        <v>0</v>
      </c>
      <c r="AN4" s="335">
        <f>'DR-TB 10A'!$D17</f>
        <v>0</v>
      </c>
      <c r="AO4" s="335">
        <f>'DR-TB 10A'!$D18</f>
        <v>0</v>
      </c>
      <c r="AP4" s="338">
        <f>'DR-TB 10A'!$D19</f>
        <v>0</v>
      </c>
      <c r="AQ4" s="335">
        <f>'DR-TB 10A'!$D20</f>
        <v>0</v>
      </c>
      <c r="AR4" s="335">
        <f>'DR-TB 10A'!$E17</f>
        <v>0</v>
      </c>
      <c r="AS4" s="335">
        <f>'DR-TB 10A'!$E18</f>
        <v>0</v>
      </c>
      <c r="AT4" s="338">
        <f>'DR-TB 10A'!$E19</f>
        <v>0</v>
      </c>
      <c r="AU4" s="335">
        <f>'DR-TB 10A'!$E20</f>
        <v>0</v>
      </c>
      <c r="AV4" s="335">
        <f>'DR-TB 10A'!$F17</f>
        <v>0</v>
      </c>
      <c r="AW4" s="335">
        <f>'DR-TB 10A'!$F18</f>
        <v>0</v>
      </c>
      <c r="AX4" s="338">
        <f>'DR-TB 10A'!$F19</f>
        <v>0</v>
      </c>
      <c r="AY4" s="335">
        <f>'DR-TB 10A'!$F20</f>
        <v>0</v>
      </c>
      <c r="AZ4" s="338">
        <f>'DR-TB 10A'!$L18</f>
        <v>0</v>
      </c>
      <c r="BA4" s="338">
        <f>'DR-TB 10A'!$M18</f>
        <v>0</v>
      </c>
      <c r="BB4" s="338">
        <f>'DR-TB 10A'!$N18</f>
        <v>0</v>
      </c>
      <c r="BC4" s="338">
        <f>'DR-TB 10A'!$O18</f>
        <v>0</v>
      </c>
      <c r="BD4" s="338">
        <f>'DR-TB 10A'!$P18</f>
        <v>0</v>
      </c>
      <c r="BE4" s="338">
        <f>'DR-TB 10A'!$Q18</f>
        <v>0</v>
      </c>
      <c r="BF4" s="335">
        <f>'DR-TB 10A'!$R18</f>
        <v>0</v>
      </c>
      <c r="BG4" s="369">
        <f>'DR-TB 10A'!M7</f>
        <v>0</v>
      </c>
      <c r="BH4" s="369">
        <f>'DR-TB 10A'!M8</f>
        <v>0</v>
      </c>
      <c r="BI4" s="371">
        <f>'DR-TB 10A'!Q10</f>
        <v>0</v>
      </c>
      <c r="BJ4" s="378">
        <f>'COVID19 Reporting Form'!B14</f>
        <v>0</v>
      </c>
      <c r="BK4" s="378">
        <f>'COVID19 Reporting Form'!D14</f>
        <v>0</v>
      </c>
      <c r="BL4" s="378">
        <f>'COVID19 Reporting Form'!C20</f>
        <v>0</v>
      </c>
      <c r="BM4" s="378">
        <f>'COVID19 Reporting Form'!D20</f>
        <v>0</v>
      </c>
      <c r="BN4" s="378">
        <f>'COVID19 Reporting Form'!C23</f>
        <v>0</v>
      </c>
      <c r="BO4" s="378">
        <f>'COVID19 Reporting Form'!D23</f>
        <v>0</v>
      </c>
      <c r="BP4" s="378">
        <f>'COVID19 Reporting Form'!C26</f>
        <v>0</v>
      </c>
      <c r="BQ4" s="378">
        <f>'COVID19 Reporting Form'!D26</f>
        <v>0</v>
      </c>
      <c r="BR4" s="378">
        <f>'COVID19 Reporting Form'!F20</f>
        <v>0</v>
      </c>
      <c r="BS4" s="378">
        <f>'COVID19 Reporting Form'!H20</f>
        <v>0</v>
      </c>
      <c r="BT4" s="378">
        <f>'COVID19 Reporting Form'!F23</f>
        <v>0</v>
      </c>
      <c r="BU4" s="378">
        <f>'COVID19 Reporting Form'!H23</f>
        <v>0</v>
      </c>
      <c r="BV4" s="378">
        <f>'COVID19 Reporting Form'!F26</f>
        <v>0</v>
      </c>
      <c r="BW4" s="378">
        <f>'COVID19 Reporting Form'!H26</f>
        <v>0</v>
      </c>
      <c r="BX4" s="378">
        <f>'COVID19 Reporting Form'!L14</f>
        <v>0</v>
      </c>
      <c r="BY4" s="378">
        <f>'COVID19 Reporting Form'!M14</f>
        <v>0</v>
      </c>
      <c r="BZ4" s="378">
        <f>'COVID19 Reporting Form'!N14</f>
        <v>0</v>
      </c>
      <c r="CA4" s="378">
        <f>'DR-TB 10A'!M12</f>
        <v>0</v>
      </c>
      <c r="CB4" s="378">
        <f>'DR-TB 10A'!M13</f>
        <v>0</v>
      </c>
      <c r="CC4" s="378">
        <f>'DR-TB 10A'!M14</f>
        <v>0</v>
      </c>
    </row>
    <row r="5" spans="1:81" s="65" customFormat="1" ht="26.45" customHeight="1" x14ac:dyDescent="0.2">
      <c r="A5" s="342"/>
      <c r="B5" s="342"/>
      <c r="C5" s="342"/>
      <c r="D5" s="96" t="s">
        <v>4</v>
      </c>
      <c r="E5" s="141">
        <f>'DR-TB 10A'!$B29</f>
        <v>0</v>
      </c>
      <c r="F5" s="141">
        <f>'DR-TB 10A'!$C29</f>
        <v>0</v>
      </c>
      <c r="G5" s="141">
        <f>'DR-TB 10A'!$D29</f>
        <v>0</v>
      </c>
      <c r="H5" s="141">
        <f>'DR-TB 10A'!$E29</f>
        <v>0</v>
      </c>
      <c r="I5" s="141">
        <f>'DR-TB 10A'!$F29</f>
        <v>0</v>
      </c>
      <c r="J5" s="141">
        <f>'DR-TB 10A'!$G29</f>
        <v>0</v>
      </c>
      <c r="K5" s="141">
        <f>'DR-TB 10A'!$H29</f>
        <v>0</v>
      </c>
      <c r="L5" s="141">
        <f>'DR-TB 10A'!$I29</f>
        <v>0</v>
      </c>
      <c r="M5" s="141">
        <f>'DR-TB 10A'!$J29</f>
        <v>0</v>
      </c>
      <c r="N5" s="141">
        <f>'DR-TB 10A'!$K29</f>
        <v>0</v>
      </c>
      <c r="O5" s="141">
        <f>'DR-TB 10A'!$L29</f>
        <v>0</v>
      </c>
      <c r="P5" s="97">
        <f>'DR-TB 10A'!$O29</f>
        <v>0</v>
      </c>
      <c r="Q5" s="97">
        <f>'DR-TB 10A'!$O30</f>
        <v>0</v>
      </c>
      <c r="R5" s="97">
        <f>'DR-TB 10A'!$O31</f>
        <v>0</v>
      </c>
      <c r="S5" s="97">
        <f>'DR-TB 10A'!$R29</f>
        <v>0</v>
      </c>
      <c r="T5" s="97">
        <f>'DR-TB 10A'!$R30</f>
        <v>0</v>
      </c>
      <c r="U5" s="97">
        <f>'DR-TB 10A'!$R31</f>
        <v>0</v>
      </c>
      <c r="V5" s="97">
        <f>'DR-TB 10A'!$P40</f>
        <v>0</v>
      </c>
      <c r="W5" s="97">
        <f>'DR-TB 10A'!$Q40</f>
        <v>0</v>
      </c>
      <c r="X5" s="97">
        <f>'DR-TB 10A'!$R40</f>
        <v>0</v>
      </c>
      <c r="Y5" s="97">
        <f>'DR-TB 10A'!$P41</f>
        <v>0</v>
      </c>
      <c r="Z5" s="97">
        <f>'DR-TB 10A'!$Q41</f>
        <v>0</v>
      </c>
      <c r="AA5" s="97">
        <f>'DR-TB 10A'!$R41</f>
        <v>0</v>
      </c>
      <c r="AB5" s="97">
        <f>'DR-TB 10A'!$P42</f>
        <v>0</v>
      </c>
      <c r="AC5" s="97">
        <f>'DR-TB 10A'!$Q42</f>
        <v>0</v>
      </c>
      <c r="AD5" s="139"/>
      <c r="AE5" s="98">
        <f>'DR-TB 10A'!$S29</f>
        <v>0</v>
      </c>
      <c r="AF5" s="98">
        <f>'DR-TB 10A'!$U29</f>
        <v>0</v>
      </c>
      <c r="AG5" s="98">
        <f>'DR-TB 10A'!$B41</f>
        <v>0</v>
      </c>
      <c r="AH5" s="98">
        <f>'DR-TB 10A'!$C41</f>
        <v>0</v>
      </c>
      <c r="AI5" s="98">
        <f>'DR-TB 10A'!$D41</f>
        <v>0</v>
      </c>
      <c r="AJ5" s="98">
        <f>'DR-TB 10A'!$E41</f>
        <v>0</v>
      </c>
      <c r="AK5" s="345"/>
      <c r="AL5" s="345"/>
      <c r="AM5" s="345"/>
      <c r="AN5" s="336"/>
      <c r="AO5" s="336"/>
      <c r="AP5" s="339"/>
      <c r="AQ5" s="336"/>
      <c r="AR5" s="336"/>
      <c r="AS5" s="336"/>
      <c r="AT5" s="339"/>
      <c r="AU5" s="336"/>
      <c r="AV5" s="336"/>
      <c r="AW5" s="336"/>
      <c r="AX5" s="339"/>
      <c r="AY5" s="336"/>
      <c r="AZ5" s="339"/>
      <c r="BA5" s="339"/>
      <c r="BB5" s="339"/>
      <c r="BC5" s="339"/>
      <c r="BD5" s="339"/>
      <c r="BE5" s="339"/>
      <c r="BF5" s="336"/>
      <c r="BG5" s="369"/>
      <c r="BH5" s="369"/>
      <c r="BI5" s="371"/>
      <c r="BJ5" s="378"/>
      <c r="BK5" s="378"/>
      <c r="BL5" s="378"/>
      <c r="BM5" s="378"/>
      <c r="BN5" s="378"/>
      <c r="BO5" s="378"/>
      <c r="BP5" s="378"/>
      <c r="BQ5" s="378"/>
      <c r="BR5" s="378"/>
      <c r="BS5" s="378"/>
      <c r="BT5" s="378"/>
      <c r="BU5" s="378"/>
      <c r="BV5" s="378"/>
      <c r="BW5" s="378"/>
      <c r="BX5" s="378"/>
      <c r="BY5" s="378"/>
      <c r="BZ5" s="378"/>
      <c r="CA5" s="378"/>
      <c r="CB5" s="378"/>
      <c r="CC5" s="378"/>
    </row>
    <row r="6" spans="1:81" s="65" customFormat="1" ht="28.5" customHeight="1" x14ac:dyDescent="0.2">
      <c r="A6" s="343"/>
      <c r="B6" s="343"/>
      <c r="C6" s="343"/>
      <c r="D6" s="96" t="s">
        <v>5</v>
      </c>
      <c r="E6" s="141">
        <f>'DR-TB 10A'!$B32</f>
        <v>0</v>
      </c>
      <c r="F6" s="141">
        <f>'DR-TB 10A'!$C32</f>
        <v>0</v>
      </c>
      <c r="G6" s="141">
        <f>'DR-TB 10A'!$D32</f>
        <v>0</v>
      </c>
      <c r="H6" s="141">
        <f>'DR-TB 10A'!$E32</f>
        <v>0</v>
      </c>
      <c r="I6" s="141">
        <f>'DR-TB 10A'!$F32</f>
        <v>0</v>
      </c>
      <c r="J6" s="141">
        <f>'DR-TB 10A'!$G32</f>
        <v>0</v>
      </c>
      <c r="K6" s="141">
        <f>'DR-TB 10A'!$H32</f>
        <v>0</v>
      </c>
      <c r="L6" s="141">
        <f>'DR-TB 10A'!$I32</f>
        <v>0</v>
      </c>
      <c r="M6" s="141">
        <f>'DR-TB 10A'!$J32</f>
        <v>0</v>
      </c>
      <c r="N6" s="141">
        <f>'DR-TB 10A'!$K32</f>
        <v>0</v>
      </c>
      <c r="O6" s="141">
        <f>'DR-TB 10A'!$L32</f>
        <v>0</v>
      </c>
      <c r="P6" s="97">
        <f>'DR-TB 10A'!$O32</f>
        <v>0</v>
      </c>
      <c r="Q6" s="97">
        <f>'DR-TB 10A'!$O33</f>
        <v>0</v>
      </c>
      <c r="R6" s="97">
        <f>'DR-TB 10A'!$O34</f>
        <v>0</v>
      </c>
      <c r="S6" s="97">
        <f>'DR-TB 10A'!$R32</f>
        <v>0</v>
      </c>
      <c r="T6" s="97">
        <f>'DR-TB 10A'!$R33</f>
        <v>0</v>
      </c>
      <c r="U6" s="97">
        <f>'DR-TB 10A'!$R34</f>
        <v>0</v>
      </c>
      <c r="V6" s="97">
        <f>'DR-TB 10A'!$S40</f>
        <v>0</v>
      </c>
      <c r="W6" s="97">
        <f>'DR-TB 10A'!$T40</f>
        <v>0</v>
      </c>
      <c r="X6" s="97">
        <f>'DR-TB 10A'!$U40</f>
        <v>0</v>
      </c>
      <c r="Y6" s="97">
        <f>'DR-TB 10A'!$S41</f>
        <v>0</v>
      </c>
      <c r="Z6" s="97">
        <f>'DR-TB 10A'!$T41</f>
        <v>0</v>
      </c>
      <c r="AA6" s="97">
        <f>'DR-TB 10A'!$U41</f>
        <v>0</v>
      </c>
      <c r="AB6" s="97">
        <f>'DR-TB 10A'!$S42</f>
        <v>0</v>
      </c>
      <c r="AC6" s="97">
        <f>'DR-TB 10A'!$T42</f>
        <v>0</v>
      </c>
      <c r="AD6" s="139"/>
      <c r="AE6" s="98">
        <f>'DR-TB 10A'!$S32</f>
        <v>0</v>
      </c>
      <c r="AF6" s="98">
        <f>'DR-TB 10A'!$U32</f>
        <v>0</v>
      </c>
      <c r="AG6" s="98">
        <f>'DR-TB 10A'!$B43</f>
        <v>0</v>
      </c>
      <c r="AH6" s="98">
        <f>'DR-TB 10A'!$C43</f>
        <v>0</v>
      </c>
      <c r="AI6" s="98">
        <f>'DR-TB 10A'!$D43</f>
        <v>0</v>
      </c>
      <c r="AJ6" s="98">
        <f>'DR-TB 10A'!$E43</f>
        <v>0</v>
      </c>
      <c r="AK6" s="346"/>
      <c r="AL6" s="346"/>
      <c r="AM6" s="346"/>
      <c r="AN6" s="337"/>
      <c r="AO6" s="337"/>
      <c r="AP6" s="340"/>
      <c r="AQ6" s="337"/>
      <c r="AR6" s="337"/>
      <c r="AS6" s="337"/>
      <c r="AT6" s="340"/>
      <c r="AU6" s="337"/>
      <c r="AV6" s="337"/>
      <c r="AW6" s="337"/>
      <c r="AX6" s="340"/>
      <c r="AY6" s="337"/>
      <c r="AZ6" s="340"/>
      <c r="BA6" s="340"/>
      <c r="BB6" s="340"/>
      <c r="BC6" s="340"/>
      <c r="BD6" s="340"/>
      <c r="BE6" s="340"/>
      <c r="BF6" s="337"/>
      <c r="BG6" s="369"/>
      <c r="BH6" s="369"/>
      <c r="BI6" s="371"/>
      <c r="BJ6" s="378"/>
      <c r="BK6" s="378"/>
      <c r="BL6" s="378"/>
      <c r="BM6" s="378"/>
      <c r="BN6" s="378"/>
      <c r="BO6" s="378"/>
      <c r="BP6" s="378"/>
      <c r="BQ6" s="378"/>
      <c r="BR6" s="378"/>
      <c r="BS6" s="378"/>
      <c r="BT6" s="378"/>
      <c r="BU6" s="378"/>
      <c r="BV6" s="378"/>
      <c r="BW6" s="378"/>
      <c r="BX6" s="378"/>
      <c r="BY6" s="378"/>
      <c r="BZ6" s="378"/>
      <c r="CA6" s="378"/>
      <c r="CB6" s="378"/>
      <c r="CC6" s="378"/>
    </row>
    <row r="10" spans="1:81" ht="138.6" customHeight="1" x14ac:dyDescent="0.2">
      <c r="A10" s="144" t="s">
        <v>164</v>
      </c>
      <c r="B10" s="144" t="s">
        <v>287</v>
      </c>
      <c r="C10" s="144" t="s">
        <v>166</v>
      </c>
      <c r="D10" s="145" t="str">
        <f>'DR-TB 10B'!A11</f>
        <v>Sl.              No</v>
      </c>
      <c r="E10" s="145" t="str">
        <f>'DR-TB 10B'!B11</f>
        <v>Name of the                                                                                                                              RR TB patient</v>
      </c>
      <c r="F10" s="145" t="str">
        <f>'DR-TB 10B'!C11</f>
        <v>Age</v>
      </c>
      <c r="G10" s="145" t="str">
        <f>'DR-TB 10B'!D11</f>
        <v>Sex
(M/F)</v>
      </c>
      <c r="H10" s="145" t="str">
        <f>'DR-TB 10B'!E11</f>
        <v>Date of Diagnosis</v>
      </c>
      <c r="I10" s="145" t="str">
        <f>'DR-TB 10B'!F11</f>
        <v>Address and                                        cell number</v>
      </c>
      <c r="J10" s="145" t="str">
        <f>'DR-TB 10B'!G11</f>
        <v>Name and address          of the referring unit                                                and cell number</v>
      </c>
      <c r="K10" s="145" t="str">
        <f>'DR-TB 10B'!H11</f>
        <v>* Type of patient</v>
      </c>
      <c r="L10" s="145" t="str">
        <f>'DR-TB 10B'!I11</f>
        <v>Current and previous (if any)  TB registration number</v>
      </c>
      <c r="M10" s="145" t="str">
        <f>'DR-TB 10B'!J11</f>
        <v>** Result of                         Xpert                     MTB/RIF</v>
      </c>
      <c r="N10" s="145" t="str">
        <f>'DR-TB 10B'!K11</f>
        <v>Name and address of the hospital/ treatment initiation center for enrollment of DR TB treatment</v>
      </c>
      <c r="O10" s="145" t="str">
        <f>'DR-TB 10B'!L11</f>
        <v>Enrollment status                   (Y/N)</v>
      </c>
      <c r="P10" s="145" t="str">
        <f>'DR-TB 10B'!M11</f>
        <v>Date Of Enrollment</v>
      </c>
      <c r="Q10" s="145" t="str">
        <f>'DR-TB 10B'!N11</f>
        <v>*** Current status of the patient</v>
      </c>
      <c r="R10" s="145" t="str">
        <f>'DR-TB 10B'!O11</f>
        <v>Remarks</v>
      </c>
    </row>
    <row r="11" spans="1:81" x14ac:dyDescent="0.2">
      <c r="A11" s="153">
        <f>A4</f>
        <v>0</v>
      </c>
      <c r="B11" s="153">
        <f>B4</f>
        <v>0</v>
      </c>
      <c r="C11" s="153">
        <f>C4</f>
        <v>0</v>
      </c>
      <c r="D11" s="99"/>
      <c r="E11" s="99"/>
      <c r="F11" s="99"/>
      <c r="G11" s="99"/>
      <c r="H11" s="99"/>
      <c r="I11" s="99"/>
      <c r="J11" s="99"/>
      <c r="K11" s="99"/>
      <c r="L11" s="99"/>
      <c r="M11" s="99"/>
      <c r="N11" s="99"/>
      <c r="O11" s="99"/>
      <c r="P11" s="99"/>
      <c r="Q11" s="99"/>
      <c r="R11" s="99"/>
    </row>
  </sheetData>
  <sheetProtection sort="0" autoFilter="0" pivotTables="0"/>
  <mergeCells count="121">
    <mergeCell ref="CB4:CB6"/>
    <mergeCell ref="CC4:CC6"/>
    <mergeCell ref="CA1:CA3"/>
    <mergeCell ref="CB1:CB3"/>
    <mergeCell ref="CC1:CC3"/>
    <mergeCell ref="BX1:BZ3"/>
    <mergeCell ref="BX4:BX6"/>
    <mergeCell ref="BY4:BY6"/>
    <mergeCell ref="BZ4:BZ6"/>
    <mergeCell ref="CA4:CA6"/>
    <mergeCell ref="BR1:BW1"/>
    <mergeCell ref="BR2:BS2"/>
    <mergeCell ref="BT2:BU2"/>
    <mergeCell ref="BV2:BW2"/>
    <mergeCell ref="BR4:BR6"/>
    <mergeCell ref="BS4:BS6"/>
    <mergeCell ref="BT4:BT6"/>
    <mergeCell ref="BU4:BU6"/>
    <mergeCell ref="BV4:BV6"/>
    <mergeCell ref="BW4:BW6"/>
    <mergeCell ref="BO4:BO6"/>
    <mergeCell ref="BP4:BP6"/>
    <mergeCell ref="BQ4:BQ6"/>
    <mergeCell ref="BL2:BM2"/>
    <mergeCell ref="BJ1:BJ3"/>
    <mergeCell ref="BK1:BK3"/>
    <mergeCell ref="BN2:BO2"/>
    <mergeCell ref="BP2:BQ2"/>
    <mergeCell ref="BL1:BQ1"/>
    <mergeCell ref="BJ4:BJ6"/>
    <mergeCell ref="BK4:BK6"/>
    <mergeCell ref="BL4:BL6"/>
    <mergeCell ref="BM4:BM6"/>
    <mergeCell ref="BN4:BN6"/>
    <mergeCell ref="BG1:BG3"/>
    <mergeCell ref="BG4:BG6"/>
    <mergeCell ref="BH1:BH3"/>
    <mergeCell ref="BH4:BH6"/>
    <mergeCell ref="BI1:BI3"/>
    <mergeCell ref="BI4:BI6"/>
    <mergeCell ref="A1:A3"/>
    <mergeCell ref="B1:B3"/>
    <mergeCell ref="C1:C3"/>
    <mergeCell ref="D1:D3"/>
    <mergeCell ref="E1:G1"/>
    <mergeCell ref="AN1:AP1"/>
    <mergeCell ref="M2:M3"/>
    <mergeCell ref="N2:N3"/>
    <mergeCell ref="O2:O3"/>
    <mergeCell ref="P2:R2"/>
    <mergeCell ref="H1:AF1"/>
    <mergeCell ref="AG1:AJ1"/>
    <mergeCell ref="AK1:AK3"/>
    <mergeCell ref="AL1:AL3"/>
    <mergeCell ref="AM1:AM3"/>
    <mergeCell ref="AF2:AF3"/>
    <mergeCell ref="V2:X2"/>
    <mergeCell ref="Y2:AA2"/>
    <mergeCell ref="AB2:AD2"/>
    <mergeCell ref="AE2:AE3"/>
    <mergeCell ref="AH2:AH3"/>
    <mergeCell ref="AZ1:BB1"/>
    <mergeCell ref="AX2:AX3"/>
    <mergeCell ref="AZ2:AZ3"/>
    <mergeCell ref="BA2:BA3"/>
    <mergeCell ref="BB2:BB3"/>
    <mergeCell ref="BC1:BE1"/>
    <mergeCell ref="AW2:AW3"/>
    <mergeCell ref="AP2:AP3"/>
    <mergeCell ref="AR2:AR3"/>
    <mergeCell ref="AS2:AS3"/>
    <mergeCell ref="AG2:AG3"/>
    <mergeCell ref="BF1:BF3"/>
    <mergeCell ref="E2:E3"/>
    <mergeCell ref="F2:F3"/>
    <mergeCell ref="G2:G3"/>
    <mergeCell ref="H2:H3"/>
    <mergeCell ref="I2:I3"/>
    <mergeCell ref="J2:J3"/>
    <mergeCell ref="K2:K3"/>
    <mergeCell ref="L2:L3"/>
    <mergeCell ref="AQ1:AQ3"/>
    <mergeCell ref="AR1:AT1"/>
    <mergeCell ref="AU1:AU3"/>
    <mergeCell ref="AV1:AX1"/>
    <mergeCell ref="AY1:AY3"/>
    <mergeCell ref="S2:U2"/>
    <mergeCell ref="AI2:AI3"/>
    <mergeCell ref="AJ2:AJ3"/>
    <mergeCell ref="AN2:AN3"/>
    <mergeCell ref="AO2:AO3"/>
    <mergeCell ref="BC2:BC3"/>
    <mergeCell ref="BD2:BD3"/>
    <mergeCell ref="BE2:BE3"/>
    <mergeCell ref="AT2:AT3"/>
    <mergeCell ref="AV2:AV3"/>
    <mergeCell ref="AN4:AN6"/>
    <mergeCell ref="AO4:AO6"/>
    <mergeCell ref="AP4:AP6"/>
    <mergeCell ref="AQ4:AQ6"/>
    <mergeCell ref="AR4:AR6"/>
    <mergeCell ref="AX4:AX6"/>
    <mergeCell ref="A4:A6"/>
    <mergeCell ref="B4:B6"/>
    <mergeCell ref="C4:C6"/>
    <mergeCell ref="AK4:AK6"/>
    <mergeCell ref="AL4:AL6"/>
    <mergeCell ref="AM4:AM6"/>
    <mergeCell ref="BF4:BF6"/>
    <mergeCell ref="AZ4:AZ6"/>
    <mergeCell ref="BA4:BA6"/>
    <mergeCell ref="BB4:BB6"/>
    <mergeCell ref="BC4:BC6"/>
    <mergeCell ref="BD4:BD6"/>
    <mergeCell ref="BE4:BE6"/>
    <mergeCell ref="AS4:AS6"/>
    <mergeCell ref="AT4:AT6"/>
    <mergeCell ref="AU4:AU6"/>
    <mergeCell ref="AV4:AV6"/>
    <mergeCell ref="AW4:AW6"/>
    <mergeCell ref="AY4:AY6"/>
  </mergeCells>
  <conditionalFormatting sqref="AE4:AF4">
    <cfRule type="cellIs" dxfId="2" priority="2" stopIfTrue="1" operator="notEqual">
      <formula>SUM(V4:AC4)</formula>
    </cfRule>
  </conditionalFormatting>
  <conditionalFormatting sqref="AE5:AF6">
    <cfRule type="cellIs" dxfId="1" priority="1" stopIfTrue="1" operator="notEqual">
      <formula>SUM(V5:AC5)</formula>
    </cfRule>
  </conditionalFormatting>
  <dataValidations disablePrompts="1" count="1">
    <dataValidation type="whole" allowBlank="1" showInputMessage="1" showErrorMessage="1" sqref="KK4:KK6 WXA4:WXA6 WNE4:WNE6 WDI4:WDI6 VTM4:VTM6 VJQ4:VJQ6 UZU4:UZU6 UPY4:UPY6 UGC4:UGC6 TWG4:TWG6 TMK4:TMK6 TCO4:TCO6 SSS4:SSS6 SIW4:SIW6 RZA4:RZA6 RPE4:RPE6 RFI4:RFI6 QVM4:QVM6 QLQ4:QLQ6 QBU4:QBU6 PRY4:PRY6 PIC4:PIC6 OYG4:OYG6 OOK4:OOK6 OEO4:OEO6 NUS4:NUS6 NKW4:NKW6 NBA4:NBA6 MRE4:MRE6 MHI4:MHI6 LXM4:LXM6 LNQ4:LNQ6 LDU4:LDU6 KTY4:KTY6 KKC4:KKC6 KAG4:KAG6 JQK4:JQK6 JGO4:JGO6 IWS4:IWS6 IMW4:IMW6 IDA4:IDA6 HTE4:HTE6 HJI4:HJI6 GZM4:GZM6 GPQ4:GPQ6 GFU4:GFU6 FVY4:FVY6 FMC4:FMC6 FCG4:FCG6 ESK4:ESK6 EIO4:EIO6 DYS4:DYS6 DOW4:DOW6 DFA4:DFA6 CVE4:CVE6 CLI4:CLI6 CBM4:CBM6 BRQ4:BRQ6 BHU4:BHU6 AXY4:AXY6 AOC4:AOC6 AEG4:AEG6 UK4:UK6 KO4:KO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xr:uid="{00000000-0002-0000-0300-000000000000}">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3" stopIfTrue="1" operator="notEqual" id="{1172E0D0-3E3B-4299-AA3B-8DDF293BA9C0}">
            <xm:f>SUM('C:\M&amp;E Activities\Junk\Gene Xpert Reporting national\[# Monthly GeneXpert data 2017 (National).xls]January'!#REF!)</xm:f>
            <x14:dxf>
              <font>
                <b/>
                <i val="0"/>
                <color rgb="FFFF0000"/>
              </font>
            </x14:dxf>
          </x14:cfRule>
          <xm:sqref>AF4:AF6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75</vt:i4>
      </vt:variant>
    </vt:vector>
  </HeadingPairs>
  <TitlesOfParts>
    <vt:vector size="79" baseType="lpstr">
      <vt:lpstr>DR-TB 10A</vt:lpstr>
      <vt:lpstr>DR-TB 10B</vt:lpstr>
      <vt:lpstr>COVID19 Reporting Form</vt:lpstr>
      <vt:lpstr>For NTP Use</vt:lpstr>
      <vt:lpstr>'DR-TB 10A'!Área_de_impresión</vt:lpstr>
      <vt:lpstr>'DR-TB 10B'!Área_de_impresión</vt:lpstr>
      <vt:lpstr>Bagerhat</vt:lpstr>
      <vt:lpstr>Bandarban</vt:lpstr>
      <vt:lpstr>Barguna</vt:lpstr>
      <vt:lpstr>Barisal</vt:lpstr>
      <vt:lpstr>Barisal_Division</vt:lpstr>
      <vt:lpstr>Bhola</vt:lpstr>
      <vt:lpstr>Bogra</vt:lpstr>
      <vt:lpstr>Brahmanbaria</vt:lpstr>
      <vt:lpstr>Chandpur</vt:lpstr>
      <vt:lpstr>Chattogram</vt:lpstr>
      <vt:lpstr>Chattogram_Division</vt:lpstr>
      <vt:lpstr>Chuadanga</vt:lpstr>
      <vt:lpstr>Comilla</vt:lpstr>
      <vt:lpstr>Coxs_Bazar</vt:lpstr>
      <vt:lpstr>Dhaka</vt:lpstr>
      <vt:lpstr>Dhaka_Division</vt:lpstr>
      <vt:lpstr>Dinajpur</vt:lpstr>
      <vt:lpstr>Faridpur</vt:lpstr>
      <vt:lpstr>Feni</vt:lpstr>
      <vt:lpstr>Gaibandha</vt:lpstr>
      <vt:lpstr>Gazipur</vt:lpstr>
      <vt:lpstr>Gopalganj</vt:lpstr>
      <vt:lpstr>Habiganj</vt:lpstr>
      <vt:lpstr>Jamalpur</vt:lpstr>
      <vt:lpstr>Jessore</vt:lpstr>
      <vt:lpstr>Jhalakathi</vt:lpstr>
      <vt:lpstr>Jhenaidah</vt:lpstr>
      <vt:lpstr>Joypurhat</vt:lpstr>
      <vt:lpstr>Khagrachari</vt:lpstr>
      <vt:lpstr>Khulna</vt:lpstr>
      <vt:lpstr>Khulna_Division</vt:lpstr>
      <vt:lpstr>Kishoreganj</vt:lpstr>
      <vt:lpstr>Kurigram</vt:lpstr>
      <vt:lpstr>Kushtia</vt:lpstr>
      <vt:lpstr>Lalmonirhat</vt:lpstr>
      <vt:lpstr>Laxmipur</vt:lpstr>
      <vt:lpstr>Madaripur</vt:lpstr>
      <vt:lpstr>Magura</vt:lpstr>
      <vt:lpstr>Manikganj</vt:lpstr>
      <vt:lpstr>Meherpur</vt:lpstr>
      <vt:lpstr>Moulvibazar</vt:lpstr>
      <vt:lpstr>Munshiganj</vt:lpstr>
      <vt:lpstr>Mymensingh</vt:lpstr>
      <vt:lpstr>Mymensingh_Division</vt:lpstr>
      <vt:lpstr>Naogaon</vt:lpstr>
      <vt:lpstr>Narail</vt:lpstr>
      <vt:lpstr>Narayanganj</vt:lpstr>
      <vt:lpstr>Narsingdi</vt:lpstr>
      <vt:lpstr>Natore</vt:lpstr>
      <vt:lpstr>Nawabganj</vt:lpstr>
      <vt:lpstr>Netrakona</vt:lpstr>
      <vt:lpstr>Nilphamari</vt:lpstr>
      <vt:lpstr>Noakhali</vt:lpstr>
      <vt:lpstr>Pabna</vt:lpstr>
      <vt:lpstr>Panchagarh</vt:lpstr>
      <vt:lpstr>Patuakhali</vt:lpstr>
      <vt:lpstr>Pirojpur</vt:lpstr>
      <vt:lpstr>Rajbari</vt:lpstr>
      <vt:lpstr>Rajshahi</vt:lpstr>
      <vt:lpstr>Rajshahi_Division</vt:lpstr>
      <vt:lpstr>Rangamati</vt:lpstr>
      <vt:lpstr>Rangpur</vt:lpstr>
      <vt:lpstr>Rangpur_Division</vt:lpstr>
      <vt:lpstr>Satkhira</vt:lpstr>
      <vt:lpstr>Shariatpur</vt:lpstr>
      <vt:lpstr>Sherpur</vt:lpstr>
      <vt:lpstr>Sirajganj</vt:lpstr>
      <vt:lpstr>Sunamganj</vt:lpstr>
      <vt:lpstr>Sylhet</vt:lpstr>
      <vt:lpstr>Sylhet_Division</vt:lpstr>
      <vt:lpstr>Tangail</vt:lpstr>
      <vt:lpstr>Thakurgaon</vt:lpstr>
      <vt:lpstr>'DR-TB 10B'!Títulos_a_imprimir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Nicolas Sabaj</cp:lastModifiedBy>
  <cp:lastPrinted>2020-01-20T04:26:59Z</cp:lastPrinted>
  <dcterms:created xsi:type="dcterms:W3CDTF">2014-06-08T20:03:38Z</dcterms:created>
  <dcterms:modified xsi:type="dcterms:W3CDTF">2022-03-30T16:25:40Z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5475d970-0be9-44ff-ae49-8fc0451b6590</vt:lpwstr>
  </property>
</Properties>
</file>