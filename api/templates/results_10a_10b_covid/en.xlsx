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390" yWindow="555" windowWidth="19815" windowHeight="9405" activeTab="1"/>
  </bookViews>
  <sheets>
    <sheet name="DR-TB 10A (Sputum &amp; EP Sample)" sheetId="1" r:id="rId1"/>
    <sheet name="DR-TB 10A (Stool)" sheetId="2" r:id="rId2"/>
    <sheet name="DR-TB 10B" sheetId="3" r:id="rId3"/>
    <sheet name="COVID19 Reporting Form" sheetId="4" r:id="rId4"/>
    <sheet name="For NTP Use" sheetId="5" r:id="rId5"/>
  </sheet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4562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 i="2" l="1"/>
  <c r="H12" i="1"/>
  <c r="H13" i="2" l="1"/>
  <c r="H13" i="1"/>
  <c r="L13" i="5" l="1"/>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P23" i="4" s="1"/>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CU4" i="5" s="1"/>
  <c r="P20" i="2"/>
  <c r="F20" i="2"/>
  <c r="EO4" i="5" s="1"/>
  <c r="U19" i="2"/>
  <c r="P19" i="2"/>
  <c r="F19" i="2"/>
  <c r="EN4" i="5" s="1"/>
  <c r="U18" i="2"/>
  <c r="D18" i="2"/>
  <c r="EC4" i="5" s="1"/>
  <c r="U17" i="2"/>
  <c r="D17" i="2"/>
  <c r="EB4" i="5" s="1"/>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G4" i="5" s="1"/>
  <c r="P20" i="1"/>
  <c r="BJ5" i="5" s="1"/>
  <c r="E20" i="1"/>
  <c r="D20" i="1"/>
  <c r="AQ4" i="5" s="1"/>
  <c r="P19" i="1"/>
  <c r="BJ4" i="5" s="1"/>
  <c r="F19" i="1"/>
  <c r="AZ4" i="5" s="1"/>
  <c r="D18" i="1"/>
  <c r="AO4" i="5" s="1"/>
  <c r="D17" i="1"/>
  <c r="AN4" i="5" s="1"/>
  <c r="AK4" i="5" l="1"/>
  <c r="D21" i="1"/>
  <c r="AR4" i="5" s="1"/>
  <c r="AV4" i="5"/>
  <c r="F20" i="1"/>
  <c r="BA4" i="5" s="1"/>
  <c r="AE4" i="5"/>
  <c r="U27" i="1"/>
  <c r="AE5" i="5"/>
  <c r="U30" i="1"/>
  <c r="AE6" i="5"/>
  <c r="U33" i="1"/>
  <c r="DY4" i="5"/>
  <c r="D21" i="2"/>
  <c r="EF4" i="5" s="1"/>
  <c r="DS4" i="5"/>
  <c r="U27" i="2"/>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<sst xmlns="http://schemas.openxmlformats.org/spreadsheetml/2006/main" count="4037" uniqueCount="889">
  <si>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</si>
  <si>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</si>
  <si>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</si>
  <si>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</si>
  <si>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</si>
  <si>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</si>
  <si>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</si>
  <si>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</si>
  <si>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</si>
  <si>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</si>
  <si>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</si>
  <si>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</si>
  <si>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</si>
  <si>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</si>
  <si>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</si>
  <si>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</si>
  <si>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</si>
  <si>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</si>
  <si>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</si>
  <si>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</si>
  <si>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</si>
  <si>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</si>
  <si>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</si>
  <si>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</si>
  <si>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</si>
  <si>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</si>
  <si>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</si>
  <si>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</si>
  <si>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</si>
  <si>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</si>
  <si>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</si>
  <si>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</si>
  <si>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</si>
  <si>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</si>
  <si>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</si>
  <si>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</si>
  <si>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</si>
  <si>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</si>
  <si>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</si>
  <si>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</si>
  <si>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</si>
  <si>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</si>
  <si>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</si>
  <si>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</si>
  <si>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</si>
  <si>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</si>
  <si>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</si>
  <si>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</si>
  <si>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</si>
  <si>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</si>
  <si>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</si>
  <si>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</si>
  <si>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</si>
  <si>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</si>
  <si>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</si>
  <si>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rPr>
      <t xml:space="preserve">Total
</t>
    </r>
    <r>
      <rPr>
        <b/>
        <sz val="6"/>
        <color rgb="FF333333"/>
        <rFont val="Arial Narrow"/>
      </rPr>
      <t>(Column 3- Column 13)</t>
    </r>
  </si>
  <si>
    <t>Unknown History</t>
  </si>
  <si>
    <t>New</t>
  </si>
  <si>
    <r>
      <rPr>
        <b/>
        <sz val="7"/>
        <color rgb="FF333333"/>
        <rFont val="Arial Narrow"/>
      </rPr>
      <t xml:space="preserve">Total
</t>
    </r>
    <r>
      <rPr>
        <b/>
        <sz val="6"/>
        <color rgb="FF333333"/>
        <rFont val="Arial Narrow"/>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</si>
  <si>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</si>
  <si>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</si>
  <si>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</si>
  <si>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</si>
  <si>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</si>
  <si>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</si>
  <si>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</si>
  <si>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</si>
  <si>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</si>
  <si>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</si>
  <si>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rPr>
      <t xml:space="preserve">Others (Specify)*                               </t>
    </r>
    <r>
      <rPr>
        <b/>
        <sz val="6"/>
        <color rgb="FF333333"/>
        <rFont val="Arial Narrow"/>
      </rPr>
      <t>i) Pulmonary clinically diagnosed
ii) Extra Pulmonary
iii) Pulmonary bacteriologically confirmed</t>
    </r>
    <r>
      <rPr>
        <b/>
        <sz val="6"/>
        <color rgb="FF333333"/>
        <rFont val="Arial Narrow"/>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</si>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</sst>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d\/mm\/yyyy"/>
  </numFmts>
  <fonts count="37">
    <font>
      <sz val="11"/>
      <color theme="1"/>
      <name val="Calibri"/>
      <scheme val="minor"/>
    </font>
    <font>
      <b/>
      <sz val="11"/>
      <color rgb="FF333333"/>
      <name val="Arial Narrow"/>
    </font>
    <font>
      <b/>
      <sz val="11"/>
      <color theme="1"/>
      <name val="Arial Narrow"/>
    </font>
    <font>
      <b/>
      <sz val="12"/>
      <color rgb="FF333333"/>
      <name val="Arial Narrow"/>
    </font>
    <font>
      <sz val="10"/>
      <color theme="1"/>
      <name val="Arial Narrow"/>
    </font>
    <font>
      <sz val="11"/>
      <color theme="1"/>
      <name val="Arial Narrow"/>
    </font>
    <font>
      <b/>
      <sz val="10"/>
      <color rgb="FF333333"/>
      <name val="Arial Narrow"/>
    </font>
    <font>
      <sz val="11"/>
      <name val="Calibri"/>
    </font>
    <font>
      <b/>
      <sz val="10"/>
      <color theme="1"/>
      <name val="Arial Narrow"/>
    </font>
    <font>
      <b/>
      <sz val="10"/>
      <color rgb="FF000000"/>
      <name val="Arial Narrow"/>
    </font>
    <font>
      <b/>
      <sz val="11"/>
      <color rgb="FF000000"/>
      <name val="Arial Narrow"/>
    </font>
    <font>
      <b/>
      <sz val="12"/>
      <color rgb="FF000000"/>
      <name val="Arial Narrow"/>
    </font>
    <font>
      <b/>
      <sz val="6"/>
      <color rgb="FF333333"/>
      <name val="Arial Narrow"/>
    </font>
    <font>
      <b/>
      <sz val="6"/>
      <color rgb="FF000000"/>
      <name val="Arial Narrow"/>
    </font>
    <font>
      <b/>
      <sz val="9"/>
      <color rgb="FF333333"/>
      <name val="Arial Narrow"/>
    </font>
    <font>
      <b/>
      <sz val="9"/>
      <color rgb="FF000000"/>
      <name val="Arial Narrow"/>
    </font>
    <font>
      <b/>
      <sz val="7"/>
      <color rgb="FF333333"/>
      <name val="Arial Narrow"/>
    </font>
    <font>
      <b/>
      <sz val="8"/>
      <color rgb="FF333333"/>
      <name val="Arial Narrow"/>
    </font>
    <font>
      <b/>
      <sz val="8"/>
      <color theme="1"/>
      <name val="Arial Narrow"/>
    </font>
    <font>
      <b/>
      <sz val="9"/>
      <color theme="1"/>
      <name val="Arial Narrow"/>
    </font>
    <font>
      <b/>
      <sz val="7"/>
      <color theme="1"/>
      <name val="Arial Narrow"/>
    </font>
    <font>
      <b/>
      <sz val="11"/>
      <color theme="1"/>
      <name val="Calibri"/>
    </font>
    <font>
      <b/>
      <sz val="12"/>
      <color rgb="FF000000"/>
      <name val="Arial"/>
    </font>
    <font>
      <b/>
      <sz val="11"/>
      <color rgb="FF000000"/>
      <name val="Calibri"/>
    </font>
    <font>
      <b/>
      <sz val="10"/>
      <color rgb="FF000000"/>
      <name val="Arial"/>
    </font>
    <font>
      <b/>
      <sz val="10"/>
      <color rgb="FF000000"/>
      <name val="Calibri"/>
    </font>
    <font>
      <sz val="11"/>
      <color theme="1"/>
      <name val="Calibri"/>
    </font>
    <font>
      <sz val="9"/>
      <color theme="1"/>
      <name val="Calibri"/>
    </font>
    <font>
      <b/>
      <sz val="11"/>
      <color rgb="FF000000"/>
      <name val="Noto Sans Symbols"/>
    </font>
    <font>
      <b/>
      <sz val="14"/>
      <color rgb="FF333333"/>
      <name val="Arial Narrow"/>
    </font>
    <font>
      <b/>
      <sz val="12"/>
      <color theme="1"/>
      <name val="Arial Narrow"/>
    </font>
    <font>
      <b/>
      <sz val="13"/>
      <color rgb="FF333333"/>
      <name val="Arial Narrow"/>
    </font>
    <font>
      <b/>
      <sz val="13"/>
      <color rgb="FF000000"/>
      <name val="Arial Narrow"/>
    </font>
    <font>
      <b/>
      <sz val="13"/>
      <color theme="1"/>
      <name val="Arial Narrow"/>
    </font>
    <font>
      <b/>
      <sz val="11"/>
      <color theme="1"/>
      <name val="Arial"/>
    </font>
    <font>
      <b/>
      <sz val="11"/>
      <color rgb="FF000000"/>
      <name val="Times New Roman"/>
    </font>
    <font>
      <b/>
      <sz val="10"/>
      <color theme="1"/>
      <name val="Arial"/>
    </font>
  </fonts>
  <fills count="12">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0">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12" fillId="0" borderId="46" xfId="0" applyFont="1" applyBorder="1" applyAlignment="1">
      <alignment horizontal="left" vertical="center" wrapText="1"/>
    </xf>
    <xf numFmtId="0" fontId="7" fillId="0" borderId="47" xfId="0" applyFont="1" applyBorder="1" applyAlignment="1"/>
    <xf numFmtId="0" fontId="9" fillId="0" borderId="40" xfId="0" applyFont="1" applyBorder="1" applyAlignment="1">
      <alignment horizontal="center" vertical="center" wrapText="1"/>
    </xf>
    <xf numFmtId="0" fontId="7" fillId="0" borderId="78" xfId="0" applyFont="1" applyBorder="1" applyAlignment="1"/>
    <xf numFmtId="0" fontId="7" fillId="0" borderId="26" xfId="0" applyFont="1" applyBorder="1" applyAlignment="1"/>
    <xf numFmtId="0" fontId="12" fillId="0" borderId="41" xfId="0" applyFont="1" applyBorder="1" applyAlignment="1">
      <alignment horizontal="left" vertical="center" wrapText="1"/>
    </xf>
    <xf numFmtId="0" fontId="7" fillId="0" borderId="42" xfId="0" applyFont="1" applyBorder="1" applyAlignment="1"/>
    <xf numFmtId="0" fontId="17" fillId="0" borderId="28" xfId="0" applyFont="1" applyBorder="1" applyAlignment="1">
      <alignment horizontal="left" vertical="center" wrapText="1"/>
    </xf>
    <xf numFmtId="0" fontId="7" fillId="0" borderId="32" xfId="0" applyFont="1" applyBorder="1" applyAlignment="1"/>
    <xf numFmtId="0" fontId="7" fillId="0" borderId="50" xfId="0" applyFont="1" applyBorder="1" applyAlignment="1"/>
    <xf numFmtId="0" fontId="6" fillId="0" borderId="39" xfId="0" applyFont="1" applyBorder="1" applyAlignment="1">
      <alignment horizontal="center" vertical="center" wrapText="1"/>
    </xf>
    <xf numFmtId="0" fontId="7" fillId="0" borderId="45" xfId="0" applyFont="1" applyBorder="1" applyAlignment="1"/>
    <xf numFmtId="0" fontId="7" fillId="0" borderId="51" xfId="0" applyFont="1" applyBorder="1" applyAlignment="1"/>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7" fillId="0" borderId="35" xfId="0" applyFont="1" applyBorder="1" applyAlignment="1"/>
    <xf numFmtId="0" fontId="7" fillId="0" borderId="52" xfId="0" applyFont="1" applyBorder="1" applyAlignment="1"/>
    <xf numFmtId="0" fontId="9" fillId="0" borderId="39" xfId="0" applyFont="1" applyBorder="1" applyAlignment="1">
      <alignment horizontal="center" vertical="center" wrapText="1"/>
    </xf>
    <xf numFmtId="0" fontId="9" fillId="3" borderId="56" xfId="0" applyFont="1" applyFill="1" applyBorder="1" applyAlignment="1">
      <alignment horizontal="center" vertical="center" wrapText="1"/>
    </xf>
    <xf numFmtId="0" fontId="7" fillId="0" borderId="75" xfId="0" applyFont="1" applyBorder="1" applyAlignment="1"/>
    <xf numFmtId="0" fontId="7" fillId="0" borderId="49" xfId="0" applyFont="1" applyBorder="1" applyAlignment="1"/>
    <xf numFmtId="0" fontId="7" fillId="0" borderId="77" xfId="0" applyFont="1" applyBorder="1" applyAlignment="1"/>
    <xf numFmtId="0" fontId="7" fillId="0" borderId="53" xfId="0" applyFont="1" applyBorder="1" applyAlignment="1"/>
    <xf numFmtId="0" fontId="7" fillId="0" borderId="79" xfId="0" applyFont="1" applyBorder="1" applyAlignment="1"/>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12" xfId="0" applyFont="1" applyBorder="1" applyAlignment="1"/>
    <xf numFmtId="0" fontId="7" fillId="0" borderId="13" xfId="0" applyFont="1" applyBorder="1" applyAlignment="1"/>
    <xf numFmtId="0" fontId="7" fillId="0" borderId="65" xfId="0" applyFont="1" applyBorder="1" applyAlignment="1"/>
    <xf numFmtId="0" fontId="7" fillId="0" borderId="62" xfId="0" applyFont="1" applyBorder="1" applyAlignment="1"/>
    <xf numFmtId="0" fontId="7" fillId="0" borderId="18" xfId="0" applyFont="1" applyBorder="1" applyAlignment="1"/>
    <xf numFmtId="0" fontId="7" fillId="0" borderId="38" xfId="0" applyFont="1" applyBorder="1" applyAlignment="1"/>
    <xf numFmtId="0" fontId="12" fillId="0" borderId="59" xfId="0" applyFont="1" applyBorder="1" applyAlignment="1">
      <alignment horizontal="left" vertical="center" wrapText="1"/>
    </xf>
    <xf numFmtId="0" fontId="7" fillId="0" borderId="60" xfId="0" applyFont="1" applyBorder="1" applyAlignment="1"/>
    <xf numFmtId="0" fontId="2" fillId="0" borderId="29" xfId="0" applyFont="1" applyBorder="1" applyAlignment="1">
      <alignment horizontal="center" vertical="center"/>
    </xf>
    <xf numFmtId="0" fontId="7" fillId="0" borderId="9" xfId="0" applyFont="1" applyBorder="1" applyAlignment="1"/>
    <xf numFmtId="0" fontId="7" fillId="0" borderId="30" xfId="0" applyFont="1" applyBorder="1" applyAlignment="1"/>
    <xf numFmtId="0" fontId="9" fillId="0" borderId="25" xfId="0" applyFont="1" applyBorder="1" applyAlignment="1">
      <alignment horizontal="center" vertical="center" wrapText="1"/>
    </xf>
    <xf numFmtId="0" fontId="7" fillId="0" borderId="58" xfId="0" applyFont="1" applyBorder="1" applyAlignment="1"/>
    <xf numFmtId="0" fontId="1" fillId="0" borderId="0" xfId="0" applyFont="1" applyAlignment="1">
      <alignment horizontal="center" vertical="center"/>
    </xf>
    <xf numFmtId="0" fontId="0" fillId="0" borderId="0" xfId="0" applyAlignment="1"/>
    <xf numFmtId="0" fontId="3" fillId="0" borderId="0" xfId="0" applyFont="1" applyAlignment="1">
      <alignment horizontal="center" vertical="center"/>
    </xf>
    <xf numFmtId="0" fontId="6" fillId="0" borderId="2" xfId="0" applyFont="1" applyBorder="1" applyAlignment="1">
      <alignment horizontal="left" vertical="center" shrinkToFit="1"/>
    </xf>
    <xf numFmtId="0" fontId="7" fillId="0" borderId="2" xfId="0" applyFont="1" applyBorder="1" applyAlignment="1"/>
    <xf numFmtId="0" fontId="1" fillId="0" borderId="2" xfId="0" applyFont="1" applyBorder="1" applyAlignment="1">
      <alignment horizontal="center" vertical="center" shrinkToFit="1"/>
    </xf>
    <xf numFmtId="0" fontId="9" fillId="5" borderId="76" xfId="0" applyFont="1" applyFill="1" applyBorder="1" applyAlignment="1">
      <alignment horizontal="left"/>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7" fillId="0" borderId="3" xfId="0" applyFont="1" applyBorder="1" applyAlignment="1"/>
    <xf numFmtId="0" fontId="6" fillId="0" borderId="5" xfId="0" applyFont="1" applyBorder="1" applyAlignment="1">
      <alignment horizontal="center" vertical="center" wrapText="1"/>
    </xf>
    <xf numFmtId="0" fontId="7" fillId="0" borderId="6" xfId="0" applyFont="1" applyBorder="1" applyAlignment="1"/>
    <xf numFmtId="0" fontId="7" fillId="0" borderId="7" xfId="0" applyFont="1" applyBorder="1" applyAlignment="1"/>
    <xf numFmtId="0" fontId="7" fillId="0" borderId="14" xfId="0" applyFont="1" applyBorder="1" applyAlignment="1"/>
    <xf numFmtId="0" fontId="7" fillId="0" borderId="72" xfId="0" applyFont="1" applyBorder="1" applyAlignment="1"/>
    <xf numFmtId="0" fontId="7" fillId="0" borderId="17" xfId="0" applyFont="1" applyBorder="1" applyAlignment="1"/>
    <xf numFmtId="0" fontId="6" fillId="0" borderId="8" xfId="0" applyFont="1" applyBorder="1" applyAlignment="1">
      <alignment horizontal="center" vertical="center"/>
    </xf>
    <xf numFmtId="0" fontId="7" fillId="0" borderId="10" xfId="0" applyFont="1" applyBorder="1" applyAlignment="1"/>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0" fontId="7" fillId="0" borderId="20" xfId="0" applyFont="1" applyBorder="1" applyAlignment="1"/>
    <xf numFmtId="0" fontId="7" fillId="0" borderId="21" xfId="0" applyFont="1" applyBorder="1" applyAlignment="1"/>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16" fillId="0" borderId="76" xfId="0" applyFont="1" applyBorder="1" applyAlignment="1">
      <alignment horizontal="center" vertical="center" wrapText="1"/>
    </xf>
    <xf numFmtId="0" fontId="16" fillId="0" borderId="19"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14" fillId="0" borderId="76" xfId="0" applyFont="1" applyBorder="1" applyAlignment="1">
      <alignment horizontal="center" vertical="center" wrapText="1"/>
    </xf>
    <xf numFmtId="0" fontId="6" fillId="0" borderId="29" xfId="0" applyFont="1" applyBorder="1" applyAlignment="1">
      <alignment horizontal="center" vertical="center" wrapText="1"/>
    </xf>
    <xf numFmtId="0" fontId="8" fillId="0" borderId="25" xfId="0" applyFont="1" applyBorder="1" applyAlignment="1">
      <alignment horizontal="center" vertical="center" wrapTex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11" fillId="3" borderId="31" xfId="0" applyFont="1" applyFill="1" applyBorder="1" applyAlignment="1">
      <alignment horizontal="center" vertical="center" wrapText="1"/>
    </xf>
    <xf numFmtId="0" fontId="19" fillId="0" borderId="78" xfId="0" applyFont="1" applyBorder="1" applyAlignment="1">
      <alignment horizontal="left"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4" xfId="0" applyFont="1" applyBorder="1" applyAlignment="1"/>
    <xf numFmtId="0" fontId="7" fillId="0" borderId="66" xfId="0" applyFont="1" applyBorder="1" applyAlignment="1"/>
    <xf numFmtId="0" fontId="7" fillId="0" borderId="67" xfId="0" applyFont="1" applyBorder="1" applyAlignment="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2" fillId="0" borderId="3" xfId="0" applyFont="1" applyBorder="1" applyAlignment="1">
      <alignment horizontal="left" vertical="center" shrinkToFit="1"/>
    </xf>
    <xf numFmtId="164" fontId="2" fillId="0" borderId="2" xfId="0" applyNumberFormat="1" applyFont="1" applyBorder="1" applyAlignment="1">
      <alignment horizontal="left" vertical="center" shrinkToFit="1"/>
    </xf>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2" fillId="0" borderId="0" xfId="0" applyFont="1" applyAlignment="1">
      <alignment horizontal="center" vertical="center"/>
    </xf>
    <xf numFmtId="0" fontId="18" fillId="0" borderId="55" xfId="0" applyFont="1" applyBorder="1" applyAlignment="1">
      <alignment horizontal="left" vertical="center" wrapText="1"/>
    </xf>
    <xf numFmtId="0" fontId="7" fillId="0" borderId="57" xfId="0" applyFont="1" applyBorder="1" applyAlignment="1"/>
    <xf numFmtId="0" fontId="2" fillId="3" borderId="34" xfId="0" applyFont="1" applyFill="1" applyBorder="1" applyAlignment="1">
      <alignment horizontal="center" vertical="center"/>
    </xf>
    <xf numFmtId="0" fontId="2" fillId="0" borderId="0" xfId="0" applyFont="1" applyAlignment="1">
      <alignment horizontal="center"/>
    </xf>
    <xf numFmtId="0" fontId="2" fillId="0" borderId="2" xfId="0" applyFont="1" applyBorder="1" applyAlignment="1">
      <alignment horizontal="left" vertical="center" shrinkToFit="1"/>
    </xf>
    <xf numFmtId="0" fontId="3" fillId="0" borderId="76" xfId="0" applyFont="1" applyBorder="1" applyAlignment="1">
      <alignment horizontal="center" vertical="center"/>
    </xf>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7" fillId="0" borderId="36" xfId="0" applyFont="1" applyBorder="1" applyAlignment="1"/>
    <xf numFmtId="0" fontId="17" fillId="0" borderId="54" xfId="0" applyFont="1" applyBorder="1" applyAlignment="1">
      <alignment horizontal="left" vertical="center" wrapText="1"/>
    </xf>
    <xf numFmtId="0" fontId="6" fillId="0" borderId="55" xfId="0" applyFont="1" applyBorder="1" applyAlignment="1">
      <alignment horizontal="center" vertical="center" wrapText="1"/>
    </xf>
    <xf numFmtId="0" fontId="6" fillId="0" borderId="25" xfId="0" applyFont="1" applyBorder="1" applyAlignment="1">
      <alignment horizontal="center" vertical="center" wrapText="1"/>
    </xf>
    <xf numFmtId="0" fontId="3" fillId="3" borderId="34" xfId="0" applyFont="1" applyFill="1" applyBorder="1" applyAlignment="1">
      <alignment horizontal="center" vertical="center" wrapText="1"/>
    </xf>
    <xf numFmtId="0" fontId="9" fillId="0" borderId="55" xfId="0" applyFont="1" applyBorder="1" applyAlignment="1">
      <alignment horizontal="center" vertical="center" wrapText="1"/>
    </xf>
    <xf numFmtId="0" fontId="16" fillId="0" borderId="34" xfId="0" applyFont="1" applyBorder="1" applyAlignment="1">
      <alignment horizontal="center" vertical="center" wrapText="1"/>
    </xf>
    <xf numFmtId="49" fontId="10" fillId="0" borderId="0" xfId="0" applyNumberFormat="1" applyFont="1" applyAlignment="1">
      <alignment horizontal="center" shrinkToFit="1"/>
    </xf>
    <xf numFmtId="0" fontId="22" fillId="0" borderId="0" xfId="0" applyFont="1" applyAlignment="1">
      <alignment horizontal="center"/>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5" fillId="0" borderId="25" xfId="0" applyFont="1" applyBorder="1" applyAlignment="1">
      <alignment horizontal="center" vertical="center" wrapText="1"/>
    </xf>
    <xf numFmtId="0" fontId="14" fillId="0" borderId="0" xfId="0" applyFont="1" applyAlignment="1">
      <alignment horizontal="left" vertical="center" wrapText="1"/>
    </xf>
    <xf numFmtId="0" fontId="25" fillId="0" borderId="76" xfId="0" applyFont="1" applyBorder="1" applyAlignment="1">
      <alignment horizontal="center" vertical="center" wrapText="1"/>
    </xf>
    <xf numFmtId="0" fontId="30" fillId="0" borderId="56" xfId="0" applyFont="1" applyBorder="1" applyAlignment="1">
      <alignment horizontal="center" vertical="center"/>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49" fontId="33" fillId="0" borderId="67" xfId="0" applyNumberFormat="1" applyFont="1" applyBorder="1" applyAlignment="1">
      <alignment horizontal="center" vertical="center" shrinkToFit="1"/>
    </xf>
    <xf numFmtId="0" fontId="29" fillId="0" borderId="0" xfId="0" applyFont="1" applyAlignment="1">
      <alignment horizontal="center" vertical="center"/>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applyAlignment="1"/>
    <xf numFmtId="0" fontId="7" fillId="0" borderId="73" xfId="0" applyFont="1" applyBorder="1" applyAlignment="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applyAlignment="1"/>
    <xf numFmtId="0" fontId="10" fillId="3" borderId="72" xfId="0" applyFont="1" applyFill="1" applyBorder="1" applyAlignment="1">
      <alignment horizontal="center" vertical="center"/>
    </xf>
    <xf numFmtId="0" fontId="3" fillId="8" borderId="76" xfId="0" applyFont="1" applyFill="1" applyBorder="1" applyAlignment="1">
      <alignment horizontal="center" vertical="center" wrapText="1"/>
    </xf>
    <xf numFmtId="0" fontId="3" fillId="0" borderId="76" xfId="0" applyFont="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0" fillId="0" borderId="25" xfId="0" applyFont="1" applyBorder="1" applyAlignment="1">
      <alignment horizontal="center" vertical="center" wrapText="1"/>
    </xf>
    <xf numFmtId="0" fontId="11" fillId="0" borderId="0" xfId="0" applyFont="1" applyAlignment="1">
      <alignment horizontal="center" vertical="center" wrapText="1"/>
    </xf>
    <xf numFmtId="0" fontId="3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6" fillId="10" borderId="25"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 fillId="10"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16" fillId="10" borderId="76"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25" xfId="0" applyFont="1" applyFill="1" applyBorder="1" applyAlignment="1">
      <alignment horizontal="center" vertical="center" wrapText="1"/>
    </xf>
    <xf numFmtId="0" fontId="21" fillId="10"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34" fillId="0" borderId="25" xfId="0" applyFont="1" applyBorder="1" applyAlignment="1">
      <alignment horizontal="center" vertical="center" wrapText="1"/>
    </xf>
    <xf numFmtId="0" fontId="34" fillId="10" borderId="25" xfId="0" applyFont="1" applyFill="1" applyBorder="1" applyAlignment="1">
      <alignment horizontal="left" vertical="center" wrapText="1"/>
    </xf>
    <xf numFmtId="0" fontId="34" fillId="9" borderId="25" xfId="0" applyFont="1" applyFill="1" applyBorder="1" applyAlignment="1">
      <alignment horizontal="center" vertical="center" wrapText="1"/>
    </xf>
    <xf numFmtId="0" fontId="24" fillId="10" borderId="76" xfId="0" applyFont="1" applyFill="1" applyBorder="1" applyAlignment="1">
      <alignment horizontal="center" vertical="center" wrapText="1"/>
    </xf>
    <xf numFmtId="0" fontId="21" fillId="0" borderId="25" xfId="0" applyFont="1" applyBorder="1" applyAlignment="1">
      <alignment horizontal="center" vertical="center"/>
    </xf>
    <xf numFmtId="0" fontId="36" fillId="10"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21" fillId="11" borderId="56" xfId="0" applyFont="1" applyFill="1" applyBorder="1" applyAlignment="1">
      <alignment horizontal="center" vertical="center" wrapText="1"/>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6"/>
  <sheetViews>
    <sheetView showGridLines="0" workbookViewId="0">
      <selection activeCell="H12" sqref="H12"/>
    </sheetView>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182" t="s">
        <v>0</v>
      </c>
      <c r="B1" s="183"/>
      <c r="C1" s="183"/>
      <c r="D1" s="183"/>
      <c r="E1" s="183"/>
      <c r="F1" s="183"/>
      <c r="G1" s="183"/>
      <c r="H1" s="183"/>
      <c r="I1" s="183"/>
      <c r="J1" s="183"/>
      <c r="K1" s="183"/>
      <c r="L1" s="183"/>
      <c r="M1" s="183"/>
      <c r="N1" s="183"/>
      <c r="O1" s="183"/>
      <c r="P1" s="183"/>
      <c r="Q1" s="183"/>
      <c r="R1" s="183"/>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82" t="s">
        <v>2</v>
      </c>
      <c r="B2" s="183"/>
      <c r="C2" s="183"/>
      <c r="D2" s="183"/>
      <c r="E2" s="183"/>
      <c r="F2" s="183"/>
      <c r="G2" s="183"/>
      <c r="H2" s="183"/>
      <c r="I2" s="183"/>
      <c r="J2" s="183"/>
      <c r="K2" s="183"/>
      <c r="L2" s="183"/>
      <c r="M2" s="183"/>
      <c r="N2" s="183"/>
      <c r="O2" s="183"/>
      <c r="P2" s="183"/>
      <c r="Q2" s="183"/>
      <c r="R2" s="183"/>
      <c r="S2" s="183"/>
      <c r="T2" s="183"/>
      <c r="U2" s="183"/>
      <c r="V2" s="5"/>
      <c r="W2" s="2"/>
      <c r="X2" s="2"/>
      <c r="Y2" s="4"/>
      <c r="Z2" s="4"/>
      <c r="AA2" s="4"/>
      <c r="AB2" s="4"/>
      <c r="AC2" s="4"/>
      <c r="AD2" s="4"/>
      <c r="AE2" s="4"/>
      <c r="AF2" s="4"/>
      <c r="AG2" s="4"/>
      <c r="AH2" s="4"/>
      <c r="AI2" s="4"/>
      <c r="AJ2" s="4"/>
      <c r="AK2" s="4"/>
      <c r="AL2" s="4"/>
      <c r="AM2" s="4"/>
      <c r="AN2" s="4"/>
      <c r="AO2" s="4"/>
    </row>
    <row r="3" spans="1:41" ht="13.5" customHeight="1">
      <c r="A3" s="182" t="s">
        <v>3</v>
      </c>
      <c r="B3" s="183"/>
      <c r="C3" s="183"/>
      <c r="D3" s="183"/>
      <c r="E3" s="183"/>
      <c r="F3" s="183"/>
      <c r="G3" s="183"/>
      <c r="H3" s="183"/>
      <c r="I3" s="183"/>
      <c r="J3" s="183"/>
      <c r="K3" s="183"/>
      <c r="L3" s="183"/>
      <c r="M3" s="183"/>
      <c r="N3" s="183"/>
      <c r="O3" s="183"/>
      <c r="P3" s="183"/>
      <c r="Q3" s="183"/>
      <c r="R3" s="183"/>
      <c r="S3" s="1"/>
      <c r="T3" s="1"/>
      <c r="U3" s="1"/>
      <c r="V3" s="5"/>
      <c r="W3" s="2"/>
      <c r="X3" s="2"/>
      <c r="Y3" s="4"/>
      <c r="Z3" s="4"/>
      <c r="AA3" s="4"/>
      <c r="AB3" s="4"/>
      <c r="AC3" s="4"/>
      <c r="AD3" s="4"/>
      <c r="AE3" s="4"/>
      <c r="AF3" s="4"/>
      <c r="AG3" s="4"/>
      <c r="AH3" s="4"/>
      <c r="AI3" s="4"/>
      <c r="AJ3" s="4"/>
      <c r="AK3" s="4"/>
      <c r="AL3" s="4"/>
      <c r="AM3" s="4"/>
      <c r="AN3" s="4"/>
      <c r="AO3" s="4"/>
    </row>
    <row r="4" spans="1:41" ht="13.5" customHeight="1">
      <c r="A4" s="184" t="s">
        <v>4</v>
      </c>
      <c r="B4" s="183"/>
      <c r="C4" s="183"/>
      <c r="D4" s="183"/>
      <c r="E4" s="183"/>
      <c r="F4" s="183"/>
      <c r="G4" s="183"/>
      <c r="H4" s="183"/>
      <c r="I4" s="183"/>
      <c r="J4" s="183"/>
      <c r="K4" s="183"/>
      <c r="L4" s="183"/>
      <c r="M4" s="183"/>
      <c r="N4" s="183"/>
      <c r="O4" s="183"/>
      <c r="P4" s="183"/>
      <c r="Q4" s="183"/>
      <c r="R4" s="183"/>
      <c r="S4" s="183"/>
      <c r="T4" s="183"/>
      <c r="U4" s="183"/>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85"/>
      <c r="D6" s="186"/>
      <c r="E6" s="186"/>
      <c r="F6" s="186"/>
      <c r="G6" s="186"/>
      <c r="H6" s="4"/>
      <c r="I6" s="2"/>
      <c r="J6" s="11" t="s">
        <v>6</v>
      </c>
      <c r="K6" s="4"/>
      <c r="L6" s="187" t="s">
        <v>7</v>
      </c>
      <c r="M6" s="186"/>
      <c r="N6" s="186"/>
      <c r="O6" s="186"/>
      <c r="P6" s="186"/>
      <c r="Q6" s="186"/>
      <c r="R6" s="186"/>
      <c r="S6" s="186"/>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90"/>
      <c r="D7" s="191"/>
      <c r="E7" s="191"/>
      <c r="F7" s="191"/>
      <c r="G7" s="191"/>
      <c r="H7" s="4"/>
      <c r="I7" s="12"/>
      <c r="J7" s="13" t="s">
        <v>9</v>
      </c>
      <c r="K7" s="13"/>
      <c r="L7" s="13"/>
      <c r="M7" s="13"/>
      <c r="N7" s="187"/>
      <c r="O7" s="186"/>
      <c r="P7" s="186"/>
      <c r="Q7" s="186"/>
      <c r="R7" s="186"/>
      <c r="S7" s="186"/>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90"/>
      <c r="D8" s="191"/>
      <c r="E8" s="191"/>
      <c r="F8" s="191"/>
      <c r="G8" s="191"/>
      <c r="H8" s="4"/>
      <c r="I8" s="12"/>
      <c r="J8" s="13" t="s">
        <v>11</v>
      </c>
      <c r="K8" s="13"/>
      <c r="L8" s="13"/>
      <c r="M8" s="187"/>
      <c r="N8" s="186"/>
      <c r="O8" s="186"/>
      <c r="P8" s="186"/>
      <c r="Q8" s="186"/>
      <c r="R8" s="186"/>
      <c r="S8" s="186"/>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90" t="s">
        <v>13</v>
      </c>
      <c r="D9" s="191"/>
      <c r="E9" s="191"/>
      <c r="F9" s="191"/>
      <c r="G9" s="191"/>
      <c r="H9" s="4"/>
      <c r="I9" s="4"/>
      <c r="J9" s="13" t="s">
        <v>14</v>
      </c>
      <c r="K9" s="13"/>
      <c r="L9" s="13"/>
      <c r="M9" s="204"/>
      <c r="N9" s="191"/>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05"/>
      <c r="L10" s="186"/>
      <c r="M10" s="16"/>
      <c r="N10" s="17"/>
      <c r="O10" s="13" t="s">
        <v>16</v>
      </c>
      <c r="P10" s="4"/>
      <c r="Q10" s="206"/>
      <c r="R10" s="186"/>
      <c r="S10" s="186"/>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92" t="s">
        <v>18</v>
      </c>
      <c r="B12" s="193"/>
      <c r="C12" s="194"/>
      <c r="D12" s="198" t="s">
        <v>19</v>
      </c>
      <c r="E12" s="178"/>
      <c r="F12" s="178"/>
      <c r="G12" s="199"/>
      <c r="H12" s="20">
        <f>D27+E40</f>
        <v>0</v>
      </c>
      <c r="I12" s="17"/>
      <c r="J12" s="207" t="s">
        <v>20</v>
      </c>
      <c r="K12" s="169"/>
      <c r="L12" s="169"/>
      <c r="M12" s="170"/>
      <c r="N12" s="207" t="s">
        <v>21</v>
      </c>
      <c r="O12" s="169"/>
      <c r="P12" s="169"/>
      <c r="Q12" s="169"/>
      <c r="R12" s="169"/>
      <c r="S12" s="169"/>
      <c r="T12" s="169"/>
      <c r="U12" s="170"/>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195"/>
      <c r="B13" s="183"/>
      <c r="C13" s="164"/>
      <c r="D13" s="200" t="s">
        <v>22</v>
      </c>
      <c r="E13" s="169"/>
      <c r="F13" s="169"/>
      <c r="G13" s="170"/>
      <c r="H13" s="21">
        <f>U27-(M19+N19+O19)</f>
        <v>0</v>
      </c>
      <c r="I13" s="17"/>
      <c r="J13" s="210" t="s">
        <v>23</v>
      </c>
      <c r="K13" s="169"/>
      <c r="L13" s="170"/>
      <c r="M13" s="22"/>
      <c r="N13" s="23" t="s">
        <v>24</v>
      </c>
      <c r="O13" s="23"/>
      <c r="P13" s="23"/>
      <c r="Q13" s="22"/>
      <c r="R13" s="188" t="s">
        <v>25</v>
      </c>
      <c r="S13" s="169"/>
      <c r="T13" s="170"/>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196"/>
      <c r="B14" s="197"/>
      <c r="C14" s="173"/>
      <c r="D14" s="201" t="s">
        <v>26</v>
      </c>
      <c r="E14" s="202"/>
      <c r="F14" s="202"/>
      <c r="G14" s="203"/>
      <c r="H14" s="24">
        <f>H12+H13</f>
        <v>0</v>
      </c>
      <c r="I14" s="17"/>
      <c r="J14" s="210" t="s">
        <v>27</v>
      </c>
      <c r="K14" s="169"/>
      <c r="L14" s="170"/>
      <c r="M14" s="22"/>
      <c r="N14" s="23" t="s">
        <v>28</v>
      </c>
      <c r="O14" s="23"/>
      <c r="P14" s="23"/>
      <c r="Q14" s="22"/>
      <c r="R14" s="188" t="s">
        <v>29</v>
      </c>
      <c r="S14" s="169"/>
      <c r="T14" s="170"/>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1" t="s">
        <v>30</v>
      </c>
      <c r="K15" s="169"/>
      <c r="L15" s="170"/>
      <c r="M15" s="22"/>
      <c r="N15" s="26" t="s">
        <v>31</v>
      </c>
      <c r="O15" s="26"/>
      <c r="P15" s="26"/>
      <c r="Q15" s="22"/>
      <c r="R15" s="189" t="s">
        <v>32</v>
      </c>
      <c r="S15" s="169"/>
      <c r="T15" s="170"/>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3" t="s">
        <v>33</v>
      </c>
      <c r="B16" s="169"/>
      <c r="C16" s="170"/>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4" t="s">
        <v>36</v>
      </c>
      <c r="B17" s="169"/>
      <c r="C17" s="170"/>
      <c r="D17" s="31">
        <f>D30+E42-D33-E44</f>
        <v>0</v>
      </c>
      <c r="E17" s="31">
        <f>+U30-U33</f>
        <v>0</v>
      </c>
      <c r="F17" s="32">
        <f t="shared" ref="F17:F21" si="0">+E17+D17</f>
        <v>0</v>
      </c>
      <c r="G17" s="33"/>
      <c r="H17" s="34"/>
      <c r="I17" s="212" t="s">
        <v>37</v>
      </c>
      <c r="J17" s="213" t="s">
        <v>38</v>
      </c>
      <c r="K17" s="169"/>
      <c r="L17" s="170"/>
      <c r="M17" s="214" t="s">
        <v>35</v>
      </c>
      <c r="N17" s="169"/>
      <c r="O17" s="170"/>
      <c r="P17" s="219" t="s">
        <v>26</v>
      </c>
      <c r="Q17" s="220"/>
      <c r="R17" s="229" t="s">
        <v>39</v>
      </c>
      <c r="S17" s="169"/>
      <c r="T17" s="170"/>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4" t="s">
        <v>40</v>
      </c>
      <c r="B18" s="169"/>
      <c r="C18" s="170"/>
      <c r="D18" s="36">
        <f>D33+E44</f>
        <v>0</v>
      </c>
      <c r="E18" s="37">
        <f>U33</f>
        <v>0</v>
      </c>
      <c r="F18" s="32">
        <f t="shared" si="0"/>
        <v>0</v>
      </c>
      <c r="G18" s="33"/>
      <c r="H18" s="34"/>
      <c r="I18" s="147"/>
      <c r="J18" s="38" t="s">
        <v>41</v>
      </c>
      <c r="K18" s="38" t="s">
        <v>42</v>
      </c>
      <c r="L18" s="38" t="s">
        <v>43</v>
      </c>
      <c r="M18" s="38" t="s">
        <v>41</v>
      </c>
      <c r="N18" s="38" t="s">
        <v>42</v>
      </c>
      <c r="O18" s="38" t="s">
        <v>43</v>
      </c>
      <c r="P18" s="147"/>
      <c r="Q18" s="183"/>
      <c r="R18" s="229" t="s">
        <v>44</v>
      </c>
      <c r="S18" s="169"/>
      <c r="T18" s="170"/>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4" t="s">
        <v>45</v>
      </c>
      <c r="B19" s="169"/>
      <c r="C19" s="170"/>
      <c r="D19" s="39"/>
      <c r="E19" s="40"/>
      <c r="F19" s="32">
        <f t="shared" si="0"/>
        <v>0</v>
      </c>
      <c r="G19" s="33"/>
      <c r="H19" s="34"/>
      <c r="I19" s="41" t="s">
        <v>46</v>
      </c>
      <c r="J19" s="41"/>
      <c r="K19" s="41"/>
      <c r="L19" s="41"/>
      <c r="M19" s="41"/>
      <c r="N19" s="41"/>
      <c r="O19" s="41"/>
      <c r="P19" s="42">
        <f t="shared" ref="P19:P20" si="1">J19+K19+L19+M19+N19+O19</f>
        <v>0</v>
      </c>
      <c r="Q19" s="43"/>
      <c r="R19" s="229" t="s">
        <v>47</v>
      </c>
      <c r="S19" s="169"/>
      <c r="T19" s="170"/>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4" t="s">
        <v>48</v>
      </c>
      <c r="B20" s="169"/>
      <c r="C20" s="170"/>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44" t="s">
        <v>50</v>
      </c>
      <c r="B21" s="169"/>
      <c r="C21" s="170"/>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45" t="s">
        <v>52</v>
      </c>
      <c r="B24" s="215" t="s">
        <v>53</v>
      </c>
      <c r="C24" s="178"/>
      <c r="D24" s="179"/>
      <c r="E24" s="215" t="s">
        <v>54</v>
      </c>
      <c r="F24" s="178"/>
      <c r="G24" s="178"/>
      <c r="H24" s="178"/>
      <c r="I24" s="178"/>
      <c r="J24" s="178"/>
      <c r="K24" s="178"/>
      <c r="L24" s="178"/>
      <c r="M24" s="178"/>
      <c r="N24" s="178"/>
      <c r="O24" s="178"/>
      <c r="P24" s="178"/>
      <c r="Q24" s="178"/>
      <c r="R24" s="178"/>
      <c r="S24" s="178"/>
      <c r="T24" s="199"/>
      <c r="U24" s="230" t="s">
        <v>55</v>
      </c>
      <c r="V24" s="3"/>
      <c r="W24" s="4"/>
      <c r="X24" s="4"/>
      <c r="Y24" s="4"/>
      <c r="Z24" s="4"/>
      <c r="AA24" s="4"/>
      <c r="AB24" s="4"/>
      <c r="AC24" s="4"/>
      <c r="AD24" s="4"/>
      <c r="AE24" s="4"/>
      <c r="AF24" s="4"/>
      <c r="AG24" s="4"/>
      <c r="AH24" s="4"/>
      <c r="AI24" s="4"/>
      <c r="AJ24" s="4"/>
      <c r="AK24" s="4"/>
      <c r="AL24" s="4"/>
      <c r="AM24" s="4"/>
      <c r="AN24" s="4"/>
      <c r="AO24" s="4"/>
    </row>
    <row r="25" spans="1:41" ht="76.5" customHeight="1">
      <c r="A25" s="151"/>
      <c r="B25" s="52" t="s">
        <v>56</v>
      </c>
      <c r="C25" s="53" t="s">
        <v>57</v>
      </c>
      <c r="D25" s="252" t="s">
        <v>58</v>
      </c>
      <c r="E25" s="54" t="s">
        <v>59</v>
      </c>
      <c r="F25" s="55" t="s">
        <v>60</v>
      </c>
      <c r="G25" s="55" t="s">
        <v>61</v>
      </c>
      <c r="H25" s="55" t="s">
        <v>62</v>
      </c>
      <c r="I25" s="55" t="s">
        <v>63</v>
      </c>
      <c r="J25" s="55" t="s">
        <v>64</v>
      </c>
      <c r="K25" s="55" t="s">
        <v>65</v>
      </c>
      <c r="L25" s="55" t="s">
        <v>66</v>
      </c>
      <c r="M25" s="208" t="s">
        <v>67</v>
      </c>
      <c r="N25" s="169"/>
      <c r="O25" s="170"/>
      <c r="P25" s="208" t="s">
        <v>68</v>
      </c>
      <c r="Q25" s="169"/>
      <c r="R25" s="170"/>
      <c r="S25" s="231" t="s">
        <v>69</v>
      </c>
      <c r="T25" s="170"/>
      <c r="U25" s="158"/>
      <c r="V25" s="3"/>
      <c r="W25" s="4"/>
      <c r="X25" s="4"/>
      <c r="Y25" s="4"/>
      <c r="Z25" s="4"/>
      <c r="AA25" s="4"/>
      <c r="AB25" s="4"/>
      <c r="AC25" s="4"/>
      <c r="AD25" s="4"/>
      <c r="AE25" s="4"/>
      <c r="AF25" s="4"/>
      <c r="AG25" s="4"/>
      <c r="AH25" s="4"/>
      <c r="AI25" s="4"/>
      <c r="AJ25" s="4"/>
      <c r="AK25" s="4"/>
      <c r="AL25" s="4"/>
      <c r="AM25" s="4"/>
      <c r="AN25" s="4"/>
      <c r="AO25" s="4"/>
    </row>
    <row r="26" spans="1:41" ht="22.5" customHeight="1">
      <c r="A26" s="246"/>
      <c r="B26" s="56" t="s">
        <v>70</v>
      </c>
      <c r="C26" s="57" t="s">
        <v>71</v>
      </c>
      <c r="D26" s="174"/>
      <c r="E26" s="56" t="s">
        <v>72</v>
      </c>
      <c r="F26" s="57" t="s">
        <v>73</v>
      </c>
      <c r="G26" s="57" t="s">
        <v>74</v>
      </c>
      <c r="H26" s="57" t="s">
        <v>75</v>
      </c>
      <c r="I26" s="57" t="s">
        <v>76</v>
      </c>
      <c r="J26" s="57" t="s">
        <v>77</v>
      </c>
      <c r="K26" s="57" t="s">
        <v>78</v>
      </c>
      <c r="L26" s="57" t="s">
        <v>79</v>
      </c>
      <c r="M26" s="209" t="s">
        <v>80</v>
      </c>
      <c r="N26" s="202"/>
      <c r="O26" s="203"/>
      <c r="P26" s="209" t="s">
        <v>81</v>
      </c>
      <c r="Q26" s="202"/>
      <c r="R26" s="203"/>
      <c r="S26" s="209" t="s">
        <v>82</v>
      </c>
      <c r="T26" s="203"/>
      <c r="U26" s="174"/>
      <c r="V26" s="3"/>
      <c r="W26" s="4"/>
      <c r="X26" s="4"/>
      <c r="Y26" s="4"/>
      <c r="Z26" s="4"/>
      <c r="AA26" s="4"/>
      <c r="AB26" s="4"/>
      <c r="AC26" s="4"/>
      <c r="AD26" s="4"/>
      <c r="AE26" s="4"/>
      <c r="AF26" s="4"/>
      <c r="AG26" s="4"/>
      <c r="AH26" s="4"/>
      <c r="AI26" s="4"/>
      <c r="AJ26" s="4"/>
      <c r="AK26" s="4"/>
      <c r="AL26" s="4"/>
      <c r="AM26" s="4"/>
      <c r="AN26" s="4"/>
      <c r="AO26" s="4"/>
    </row>
    <row r="27" spans="1:41" ht="13.5" customHeight="1">
      <c r="A27" s="150" t="s">
        <v>83</v>
      </c>
      <c r="B27" s="153"/>
      <c r="C27" s="156"/>
      <c r="D27" s="157">
        <f>B27+C27</f>
        <v>0</v>
      </c>
      <c r="E27" s="160"/>
      <c r="F27" s="145"/>
      <c r="G27" s="145"/>
      <c r="H27" s="145"/>
      <c r="I27" s="145"/>
      <c r="J27" s="145"/>
      <c r="K27" s="145"/>
      <c r="L27" s="145"/>
      <c r="M27" s="148" t="s">
        <v>84</v>
      </c>
      <c r="N27" s="149"/>
      <c r="O27" s="58"/>
      <c r="P27" s="148" t="s">
        <v>84</v>
      </c>
      <c r="Q27" s="149"/>
      <c r="R27" s="58"/>
      <c r="S27" s="221">
        <f>M41+M42+M43+N41+N42+N43+O41+O42</f>
        <v>0</v>
      </c>
      <c r="T27" s="194"/>
      <c r="U27" s="22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51"/>
      <c r="B28" s="154"/>
      <c r="C28" s="146"/>
      <c r="D28" s="158"/>
      <c r="E28" s="154"/>
      <c r="F28" s="146"/>
      <c r="G28" s="146"/>
      <c r="H28" s="146"/>
      <c r="I28" s="146"/>
      <c r="J28" s="146"/>
      <c r="K28" s="146"/>
      <c r="L28" s="146"/>
      <c r="M28" s="143" t="s">
        <v>85</v>
      </c>
      <c r="N28" s="144"/>
      <c r="O28" s="59"/>
      <c r="P28" s="143" t="s">
        <v>85</v>
      </c>
      <c r="Q28" s="144"/>
      <c r="R28" s="59"/>
      <c r="S28" s="163"/>
      <c r="T28" s="164"/>
      <c r="U28" s="158"/>
      <c r="V28" s="3"/>
      <c r="W28" s="4"/>
      <c r="X28" s="4"/>
      <c r="Y28" s="4"/>
      <c r="Z28" s="4"/>
      <c r="AA28" s="4"/>
      <c r="AB28" s="4"/>
      <c r="AC28" s="4"/>
      <c r="AD28" s="4"/>
      <c r="AE28" s="4"/>
      <c r="AF28" s="4"/>
      <c r="AG28" s="4"/>
      <c r="AH28" s="4"/>
      <c r="AI28" s="4"/>
      <c r="AJ28" s="4"/>
      <c r="AK28" s="4"/>
      <c r="AL28" s="4"/>
      <c r="AM28" s="4"/>
      <c r="AN28" s="4"/>
      <c r="AO28" s="4"/>
    </row>
    <row r="29" spans="1:41" ht="13.5" customHeight="1">
      <c r="A29" s="152"/>
      <c r="B29" s="155"/>
      <c r="C29" s="147"/>
      <c r="D29" s="159"/>
      <c r="E29" s="155"/>
      <c r="F29" s="147"/>
      <c r="G29" s="147"/>
      <c r="H29" s="147"/>
      <c r="I29" s="147"/>
      <c r="J29" s="147"/>
      <c r="K29" s="147"/>
      <c r="L29" s="147"/>
      <c r="M29" s="143" t="s">
        <v>86</v>
      </c>
      <c r="N29" s="144"/>
      <c r="O29" s="59"/>
      <c r="P29" s="143" t="s">
        <v>86</v>
      </c>
      <c r="Q29" s="144"/>
      <c r="R29" s="59"/>
      <c r="S29" s="165"/>
      <c r="T29" s="166"/>
      <c r="U29" s="159"/>
      <c r="V29" s="3"/>
      <c r="W29" s="4"/>
      <c r="X29" s="4"/>
      <c r="Y29" s="4"/>
      <c r="Z29" s="4"/>
      <c r="AA29" s="4"/>
      <c r="AB29" s="4"/>
      <c r="AC29" s="4"/>
      <c r="AD29" s="4"/>
      <c r="AE29" s="4"/>
      <c r="AF29" s="4"/>
      <c r="AG29" s="4"/>
      <c r="AH29" s="4"/>
      <c r="AI29" s="4"/>
      <c r="AJ29" s="4"/>
      <c r="AK29" s="4"/>
      <c r="AL29" s="4"/>
      <c r="AM29" s="4"/>
      <c r="AN29" s="4"/>
      <c r="AO29" s="4"/>
    </row>
    <row r="30" spans="1:41" ht="13.5" customHeight="1">
      <c r="A30" s="247" t="s">
        <v>87</v>
      </c>
      <c r="B30" s="248"/>
      <c r="C30" s="249"/>
      <c r="D30" s="250">
        <f>B30+C30</f>
        <v>0</v>
      </c>
      <c r="E30" s="251"/>
      <c r="F30" s="180"/>
      <c r="G30" s="180"/>
      <c r="H30" s="180"/>
      <c r="I30" s="180"/>
      <c r="J30" s="180"/>
      <c r="K30" s="180"/>
      <c r="L30" s="180"/>
      <c r="M30" s="143" t="s">
        <v>84</v>
      </c>
      <c r="N30" s="144"/>
      <c r="O30" s="59"/>
      <c r="P30" s="143" t="s">
        <v>84</v>
      </c>
      <c r="Q30" s="144"/>
      <c r="R30" s="59"/>
      <c r="S30" s="161">
        <f>P41+P42+P43+Q41+Q42+Q43+R41+R42</f>
        <v>0</v>
      </c>
      <c r="T30" s="162"/>
      <c r="U30" s="167">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51"/>
      <c r="B31" s="154"/>
      <c r="C31" s="146"/>
      <c r="D31" s="158"/>
      <c r="E31" s="154"/>
      <c r="F31" s="146"/>
      <c r="G31" s="146"/>
      <c r="H31" s="146"/>
      <c r="I31" s="146"/>
      <c r="J31" s="146"/>
      <c r="K31" s="146"/>
      <c r="L31" s="146"/>
      <c r="M31" s="143" t="s">
        <v>85</v>
      </c>
      <c r="N31" s="144"/>
      <c r="O31" s="59"/>
      <c r="P31" s="143" t="s">
        <v>85</v>
      </c>
      <c r="Q31" s="144"/>
      <c r="R31" s="59"/>
      <c r="S31" s="163"/>
      <c r="T31" s="164"/>
      <c r="U31" s="158"/>
      <c r="V31" s="3"/>
      <c r="W31" s="4"/>
      <c r="X31" s="4"/>
      <c r="Y31" s="4"/>
      <c r="Z31" s="4"/>
      <c r="AA31" s="4"/>
      <c r="AB31" s="4"/>
      <c r="AC31" s="4"/>
      <c r="AD31" s="4"/>
      <c r="AE31" s="4"/>
      <c r="AF31" s="4"/>
      <c r="AG31" s="4"/>
      <c r="AH31" s="4"/>
      <c r="AI31" s="4"/>
      <c r="AJ31" s="4"/>
      <c r="AK31" s="4"/>
      <c r="AL31" s="4"/>
      <c r="AM31" s="4"/>
      <c r="AN31" s="4"/>
      <c r="AO31" s="4"/>
    </row>
    <row r="32" spans="1:41" ht="13.5" customHeight="1">
      <c r="A32" s="152"/>
      <c r="B32" s="155"/>
      <c r="C32" s="147"/>
      <c r="D32" s="159"/>
      <c r="E32" s="155"/>
      <c r="F32" s="147"/>
      <c r="G32" s="147"/>
      <c r="H32" s="147"/>
      <c r="I32" s="147"/>
      <c r="J32" s="147"/>
      <c r="K32" s="147"/>
      <c r="L32" s="147"/>
      <c r="M32" s="143" t="s">
        <v>86</v>
      </c>
      <c r="N32" s="144"/>
      <c r="O32" s="59"/>
      <c r="P32" s="143" t="s">
        <v>86</v>
      </c>
      <c r="Q32" s="144"/>
      <c r="R32" s="59"/>
      <c r="S32" s="165"/>
      <c r="T32" s="166"/>
      <c r="U32" s="159"/>
      <c r="V32" s="3"/>
      <c r="W32" s="4"/>
      <c r="X32" s="4"/>
      <c r="Y32" s="4"/>
      <c r="Z32" s="4"/>
      <c r="AA32" s="4"/>
      <c r="AB32" s="4"/>
      <c r="AC32" s="4"/>
      <c r="AD32" s="4"/>
      <c r="AE32" s="4"/>
      <c r="AF32" s="4"/>
      <c r="AG32" s="4"/>
      <c r="AH32" s="4"/>
      <c r="AI32" s="4"/>
      <c r="AJ32" s="4"/>
      <c r="AK32" s="4"/>
      <c r="AL32" s="4"/>
      <c r="AM32" s="4"/>
      <c r="AN32" s="4"/>
      <c r="AO32" s="4"/>
    </row>
    <row r="33" spans="1:41" ht="13.5" customHeight="1">
      <c r="A33" s="247" t="s">
        <v>88</v>
      </c>
      <c r="B33" s="248"/>
      <c r="C33" s="249"/>
      <c r="D33" s="250">
        <f>B33+C33</f>
        <v>0</v>
      </c>
      <c r="E33" s="251"/>
      <c r="F33" s="180"/>
      <c r="G33" s="180"/>
      <c r="H33" s="180"/>
      <c r="I33" s="180"/>
      <c r="J33" s="180"/>
      <c r="K33" s="180"/>
      <c r="L33" s="180"/>
      <c r="M33" s="143" t="s">
        <v>84</v>
      </c>
      <c r="N33" s="144"/>
      <c r="O33" s="59"/>
      <c r="P33" s="143" t="s">
        <v>84</v>
      </c>
      <c r="Q33" s="144"/>
      <c r="R33" s="59"/>
      <c r="S33" s="161">
        <f>S41+S42+S43+T41+T42+T43+U41+U42</f>
        <v>0</v>
      </c>
      <c r="T33" s="162"/>
      <c r="U33" s="167">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51"/>
      <c r="B34" s="154"/>
      <c r="C34" s="146"/>
      <c r="D34" s="158"/>
      <c r="E34" s="154"/>
      <c r="F34" s="146"/>
      <c r="G34" s="146"/>
      <c r="H34" s="146"/>
      <c r="I34" s="146"/>
      <c r="J34" s="146"/>
      <c r="K34" s="146"/>
      <c r="L34" s="146"/>
      <c r="M34" s="143" t="s">
        <v>85</v>
      </c>
      <c r="N34" s="144"/>
      <c r="O34" s="59"/>
      <c r="P34" s="143" t="s">
        <v>85</v>
      </c>
      <c r="Q34" s="144"/>
      <c r="R34" s="59"/>
      <c r="S34" s="163"/>
      <c r="T34" s="164"/>
      <c r="U34" s="158"/>
      <c r="V34" s="3"/>
      <c r="W34" s="4"/>
      <c r="X34" s="4"/>
      <c r="Y34" s="4"/>
      <c r="Z34" s="4"/>
      <c r="AA34" s="4"/>
      <c r="AB34" s="4"/>
      <c r="AC34" s="4"/>
      <c r="AD34" s="4"/>
      <c r="AE34" s="4"/>
      <c r="AF34" s="4"/>
      <c r="AG34" s="4"/>
      <c r="AH34" s="4"/>
      <c r="AI34" s="4"/>
      <c r="AJ34" s="4"/>
      <c r="AK34" s="4"/>
      <c r="AL34" s="4"/>
      <c r="AM34" s="4"/>
      <c r="AN34" s="4"/>
      <c r="AO34" s="4"/>
    </row>
    <row r="35" spans="1:41" ht="13.5" customHeight="1">
      <c r="A35" s="246"/>
      <c r="B35" s="239"/>
      <c r="C35" s="181"/>
      <c r="D35" s="174"/>
      <c r="E35" s="239"/>
      <c r="F35" s="181"/>
      <c r="G35" s="181"/>
      <c r="H35" s="181"/>
      <c r="I35" s="181"/>
      <c r="J35" s="181"/>
      <c r="K35" s="181"/>
      <c r="L35" s="181"/>
      <c r="M35" s="175" t="s">
        <v>86</v>
      </c>
      <c r="N35" s="176"/>
      <c r="O35" s="60"/>
      <c r="P35" s="175" t="s">
        <v>86</v>
      </c>
      <c r="Q35" s="176"/>
      <c r="R35" s="60"/>
      <c r="S35" s="172"/>
      <c r="T35" s="173"/>
      <c r="U35" s="17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77" t="s">
        <v>90</v>
      </c>
      <c r="B38" s="178"/>
      <c r="C38" s="178"/>
      <c r="D38" s="178"/>
      <c r="E38" s="179"/>
      <c r="F38" s="61"/>
      <c r="G38" s="224" t="s">
        <v>91</v>
      </c>
      <c r="H38" s="162"/>
      <c r="I38" s="4"/>
      <c r="J38" s="177" t="s">
        <v>92</v>
      </c>
      <c r="K38" s="178"/>
      <c r="L38" s="178"/>
      <c r="M38" s="178"/>
      <c r="N38" s="178"/>
      <c r="O38" s="178"/>
      <c r="P38" s="178"/>
      <c r="Q38" s="178"/>
      <c r="R38" s="178"/>
      <c r="S38" s="178"/>
      <c r="T38" s="178"/>
      <c r="U38" s="179"/>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65"/>
      <c r="H39" s="166"/>
      <c r="I39" s="4"/>
      <c r="J39" s="225" t="s">
        <v>94</v>
      </c>
      <c r="K39" s="226"/>
      <c r="L39" s="162"/>
      <c r="M39" s="168" t="s">
        <v>95</v>
      </c>
      <c r="N39" s="169"/>
      <c r="O39" s="170"/>
      <c r="P39" s="168" t="s">
        <v>87</v>
      </c>
      <c r="Q39" s="169"/>
      <c r="R39" s="170"/>
      <c r="S39" s="168" t="s">
        <v>88</v>
      </c>
      <c r="T39" s="169"/>
      <c r="U39" s="171"/>
      <c r="V39" s="3"/>
      <c r="W39" s="4"/>
      <c r="X39" s="4"/>
      <c r="Y39" s="4"/>
      <c r="Z39" s="4"/>
      <c r="AA39" s="4"/>
      <c r="AB39" s="4"/>
      <c r="AC39" s="4"/>
      <c r="AD39" s="4"/>
      <c r="AE39" s="4"/>
      <c r="AF39" s="4"/>
      <c r="AG39" s="4"/>
      <c r="AH39" s="4"/>
      <c r="AI39" s="4"/>
      <c r="AJ39" s="4"/>
      <c r="AK39" s="4"/>
      <c r="AL39" s="4"/>
      <c r="AM39" s="4"/>
      <c r="AN39" s="4"/>
      <c r="AO39" s="4"/>
    </row>
    <row r="40" spans="1:41" ht="15" customHeight="1">
      <c r="A40" s="238" t="s">
        <v>96</v>
      </c>
      <c r="B40" s="216"/>
      <c r="C40" s="216"/>
      <c r="D40" s="216"/>
      <c r="E40" s="240">
        <f>B40+C40+D40</f>
        <v>0</v>
      </c>
      <c r="F40" s="237"/>
      <c r="G40" s="223" t="s">
        <v>97</v>
      </c>
      <c r="H40" s="216">
        <f>$E$17+$F$18</f>
        <v>0</v>
      </c>
      <c r="I40" s="4"/>
      <c r="J40" s="227"/>
      <c r="K40" s="228"/>
      <c r="L40" s="166"/>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55"/>
      <c r="B41" s="147"/>
      <c r="C41" s="147"/>
      <c r="D41" s="147"/>
      <c r="E41" s="159"/>
      <c r="F41" s="183"/>
      <c r="G41" s="147"/>
      <c r="H41" s="147"/>
      <c r="I41" s="4"/>
      <c r="J41" s="217" t="s">
        <v>101</v>
      </c>
      <c r="K41" s="169"/>
      <c r="L41" s="170"/>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238" t="s">
        <v>102</v>
      </c>
      <c r="B42" s="216"/>
      <c r="C42" s="216"/>
      <c r="D42" s="216"/>
      <c r="E42" s="240">
        <f>B42+C42+D42</f>
        <v>0</v>
      </c>
      <c r="F42" s="237"/>
      <c r="G42" s="223" t="s">
        <v>103</v>
      </c>
      <c r="H42" s="216"/>
      <c r="I42" s="4"/>
      <c r="J42" s="217" t="s">
        <v>104</v>
      </c>
      <c r="K42" s="169"/>
      <c r="L42" s="170"/>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55"/>
      <c r="B43" s="147"/>
      <c r="C43" s="147"/>
      <c r="D43" s="147"/>
      <c r="E43" s="159"/>
      <c r="F43" s="183"/>
      <c r="G43" s="147"/>
      <c r="H43" s="147"/>
      <c r="I43" s="4"/>
      <c r="J43" s="218" t="s">
        <v>105</v>
      </c>
      <c r="K43" s="202"/>
      <c r="L43" s="203"/>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238" t="s">
        <v>106</v>
      </c>
      <c r="B44" s="216"/>
      <c r="C44" s="216"/>
      <c r="D44" s="216"/>
      <c r="E44" s="240">
        <f>B44+C44+D44</f>
        <v>0</v>
      </c>
      <c r="F44" s="237"/>
      <c r="G44" s="223" t="s">
        <v>107</v>
      </c>
      <c r="H44" s="216"/>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239"/>
      <c r="B45" s="181"/>
      <c r="C45" s="181"/>
      <c r="D45" s="181"/>
      <c r="E45" s="174"/>
      <c r="F45" s="183"/>
      <c r="G45" s="147"/>
      <c r="H45" s="14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1" t="s">
        <v>109</v>
      </c>
      <c r="G46" s="183"/>
      <c r="H46" s="183"/>
      <c r="I46" s="4"/>
      <c r="J46" s="4"/>
      <c r="K46" s="4"/>
      <c r="L46" s="72" t="s">
        <v>110</v>
      </c>
      <c r="M46" s="72"/>
      <c r="N46" s="72"/>
      <c r="O46" s="72"/>
      <c r="P46" s="72"/>
      <c r="Q46" s="242"/>
      <c r="R46" s="186"/>
      <c r="S46" s="186"/>
      <c r="T46" s="186"/>
      <c r="U46" s="186"/>
      <c r="V46" s="3"/>
      <c r="W46" s="4"/>
      <c r="X46" s="4"/>
      <c r="Y46" s="4"/>
      <c r="Z46" s="4"/>
      <c r="AA46" s="4"/>
      <c r="AB46" s="4"/>
      <c r="AC46" s="4"/>
      <c r="AD46" s="4"/>
      <c r="AE46" s="4"/>
      <c r="AF46" s="4"/>
      <c r="AG46" s="4"/>
      <c r="AH46" s="4"/>
      <c r="AI46" s="4"/>
      <c r="AJ46" s="4"/>
      <c r="AK46" s="4"/>
      <c r="AL46" s="4"/>
      <c r="AM46" s="4"/>
      <c r="AN46" s="4"/>
      <c r="AO46" s="4"/>
    </row>
    <row r="47" spans="1:41" ht="13.5" customHeight="1">
      <c r="A47" s="235"/>
      <c r="B47" s="74"/>
      <c r="C47" s="74"/>
      <c r="D47" s="74"/>
      <c r="E47" s="236"/>
      <c r="F47" s="226"/>
      <c r="G47" s="226"/>
      <c r="H47" s="226"/>
      <c r="I47" s="226"/>
      <c r="J47" s="162"/>
      <c r="K47" s="72"/>
      <c r="L47" s="72" t="s">
        <v>111</v>
      </c>
      <c r="M47" s="242"/>
      <c r="N47" s="186"/>
      <c r="O47" s="186"/>
      <c r="P47" s="186"/>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83"/>
      <c r="B48" s="74"/>
      <c r="C48" s="74"/>
      <c r="D48" s="74"/>
      <c r="E48" s="163"/>
      <c r="F48" s="183"/>
      <c r="G48" s="183"/>
      <c r="H48" s="183"/>
      <c r="I48" s="183"/>
      <c r="J48" s="164"/>
      <c r="K48" s="72"/>
      <c r="L48" s="72" t="s">
        <v>112</v>
      </c>
      <c r="M48" s="232"/>
      <c r="N48" s="191"/>
      <c r="O48" s="191"/>
      <c r="P48" s="191"/>
      <c r="Q48" s="72"/>
      <c r="R48" s="75" t="s">
        <v>113</v>
      </c>
      <c r="S48" s="233"/>
      <c r="T48" s="186"/>
      <c r="U48" s="4"/>
      <c r="V48" s="3"/>
      <c r="W48" s="4"/>
      <c r="X48" s="4"/>
      <c r="Y48" s="4"/>
      <c r="Z48" s="4"/>
      <c r="AA48" s="4"/>
      <c r="AB48" s="4"/>
      <c r="AC48" s="4"/>
      <c r="AD48" s="4"/>
      <c r="AE48" s="4"/>
      <c r="AF48" s="4"/>
      <c r="AG48" s="4"/>
      <c r="AH48" s="4"/>
      <c r="AI48" s="4"/>
      <c r="AJ48" s="4"/>
      <c r="AK48" s="4"/>
      <c r="AL48" s="4"/>
      <c r="AM48" s="4"/>
      <c r="AN48" s="4"/>
      <c r="AO48" s="4"/>
    </row>
    <row r="49" spans="1:41" ht="13.5" customHeight="1">
      <c r="A49" s="237"/>
      <c r="B49" s="65"/>
      <c r="C49" s="65"/>
      <c r="D49" s="65"/>
      <c r="E49" s="163"/>
      <c r="F49" s="183"/>
      <c r="G49" s="183"/>
      <c r="H49" s="183"/>
      <c r="I49" s="183"/>
      <c r="J49" s="164"/>
      <c r="K49" s="72"/>
      <c r="L49" s="72" t="s">
        <v>114</v>
      </c>
      <c r="M49" s="234"/>
      <c r="N49" s="191"/>
      <c r="O49" s="191"/>
      <c r="P49" s="191"/>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83"/>
      <c r="B50" s="65"/>
      <c r="C50" s="65"/>
      <c r="D50" s="65"/>
      <c r="E50" s="165"/>
      <c r="F50" s="228"/>
      <c r="G50" s="228"/>
      <c r="H50" s="228"/>
      <c r="I50" s="228"/>
      <c r="J50" s="166"/>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6">
    <dataValidation type="decimal" allowBlank="1" showInputMessage="1" showErrorMessage="1" prompt="Fill the following Others (Specify) table to get the number automatically " sqref="S27 S30 S33">
      <formula1>0</formula1>
      <formula2>999999</formula2>
    </dataValidation>
    <dataValidation type="list" allowBlank="1" showInputMessage="1" showErrorMessage="1" prompt="Select from drop down list" sqref="C7">
      <formula1>INDIRECT($C$6)</formula1>
    </dataValidation>
    <dataValidation type="list" allowBlank="1" showInputMessage="1" showErrorMessage="1" prompt="Select from drop down list" sqref="C8">
      <formula1>INDIRECT($C$7)</formula1>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formula1>
      <formula2>999999</formula2>
    </dataValidation>
    <dataValidation type="list" allowBlank="1" showInputMessage="1" showErrorMessage="1" prompt="Select from drop down list" sqref="C6">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3"/>
  <sheetViews>
    <sheetView showGridLines="0" tabSelected="1" topLeftCell="A7" workbookViewId="0">
      <selection activeCell="H12" sqref="H12"/>
    </sheetView>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182" t="s">
        <v>0</v>
      </c>
      <c r="B1" s="183"/>
      <c r="C1" s="183"/>
      <c r="D1" s="183"/>
      <c r="E1" s="183"/>
      <c r="F1" s="183"/>
      <c r="G1" s="183"/>
      <c r="H1" s="183"/>
      <c r="I1" s="183"/>
      <c r="J1" s="183"/>
      <c r="K1" s="183"/>
      <c r="L1" s="183"/>
      <c r="M1" s="183"/>
      <c r="N1" s="183"/>
      <c r="O1" s="183"/>
      <c r="P1" s="183"/>
      <c r="Q1" s="183"/>
      <c r="R1" s="183"/>
      <c r="S1" s="2" t="s">
        <v>1</v>
      </c>
      <c r="T1" s="2"/>
      <c r="U1" s="2"/>
      <c r="V1" s="3"/>
      <c r="W1" s="2"/>
      <c r="X1" s="2"/>
      <c r="Y1" s="4"/>
      <c r="Z1" s="4"/>
      <c r="AA1" s="4"/>
      <c r="AB1" s="4"/>
      <c r="AC1" s="4"/>
      <c r="AD1" s="4"/>
      <c r="AE1" s="4"/>
      <c r="AF1" s="4"/>
      <c r="AG1" s="4"/>
      <c r="AH1" s="4"/>
      <c r="AI1" s="4"/>
      <c r="AJ1" s="4"/>
      <c r="AK1" s="4"/>
      <c r="AL1" s="4"/>
      <c r="AM1" s="4"/>
      <c r="AN1" s="4"/>
      <c r="AO1" s="4"/>
    </row>
    <row r="2" spans="1:41" ht="13.5" customHeight="1">
      <c r="A2" s="182" t="s">
        <v>2</v>
      </c>
      <c r="B2" s="183"/>
      <c r="C2" s="183"/>
      <c r="D2" s="183"/>
      <c r="E2" s="183"/>
      <c r="F2" s="183"/>
      <c r="G2" s="183"/>
      <c r="H2" s="183"/>
      <c r="I2" s="183"/>
      <c r="J2" s="183"/>
      <c r="K2" s="183"/>
      <c r="L2" s="183"/>
      <c r="M2" s="183"/>
      <c r="N2" s="183"/>
      <c r="O2" s="183"/>
      <c r="P2" s="183"/>
      <c r="Q2" s="183"/>
      <c r="R2" s="183"/>
      <c r="S2" s="183"/>
      <c r="T2" s="183"/>
      <c r="U2" s="183"/>
      <c r="V2" s="5"/>
      <c r="W2" s="2"/>
      <c r="X2" s="2"/>
      <c r="Y2" s="4"/>
      <c r="Z2" s="4"/>
      <c r="AA2" s="4"/>
      <c r="AB2" s="4"/>
      <c r="AC2" s="4"/>
      <c r="AD2" s="4"/>
      <c r="AE2" s="4"/>
      <c r="AF2" s="4"/>
      <c r="AG2" s="4"/>
      <c r="AH2" s="4"/>
      <c r="AI2" s="4"/>
      <c r="AJ2" s="4"/>
      <c r="AK2" s="4"/>
      <c r="AL2" s="4"/>
      <c r="AM2" s="4"/>
      <c r="AN2" s="4"/>
      <c r="AO2" s="4"/>
    </row>
    <row r="3" spans="1:41" ht="13.5" customHeight="1">
      <c r="A3" s="182" t="s">
        <v>3</v>
      </c>
      <c r="B3" s="183"/>
      <c r="C3" s="183"/>
      <c r="D3" s="183"/>
      <c r="E3" s="183"/>
      <c r="F3" s="183"/>
      <c r="G3" s="183"/>
      <c r="H3" s="183"/>
      <c r="I3" s="183"/>
      <c r="J3" s="183"/>
      <c r="K3" s="183"/>
      <c r="L3" s="183"/>
      <c r="M3" s="183"/>
      <c r="N3" s="183"/>
      <c r="O3" s="183"/>
      <c r="P3" s="183"/>
      <c r="Q3" s="183"/>
      <c r="R3" s="183"/>
      <c r="S3" s="1"/>
      <c r="T3" s="1"/>
      <c r="U3" s="1"/>
      <c r="V3" s="5"/>
      <c r="W3" s="2"/>
      <c r="X3" s="2"/>
      <c r="Y3" s="4"/>
      <c r="Z3" s="4"/>
      <c r="AA3" s="4"/>
      <c r="AB3" s="4"/>
      <c r="AC3" s="4"/>
      <c r="AD3" s="4"/>
      <c r="AE3" s="4"/>
      <c r="AF3" s="4"/>
      <c r="AG3" s="4"/>
      <c r="AH3" s="4"/>
      <c r="AI3" s="4"/>
      <c r="AJ3" s="4"/>
      <c r="AK3" s="4"/>
      <c r="AL3" s="4"/>
      <c r="AM3" s="4"/>
      <c r="AN3" s="4"/>
      <c r="AO3" s="4"/>
    </row>
    <row r="4" spans="1:41" ht="13.5" customHeight="1">
      <c r="A4" s="184" t="s">
        <v>4</v>
      </c>
      <c r="B4" s="183"/>
      <c r="C4" s="183"/>
      <c r="D4" s="183"/>
      <c r="E4" s="183"/>
      <c r="F4" s="183"/>
      <c r="G4" s="183"/>
      <c r="H4" s="183"/>
      <c r="I4" s="183"/>
      <c r="J4" s="183"/>
      <c r="K4" s="183"/>
      <c r="L4" s="183"/>
      <c r="M4" s="183"/>
      <c r="N4" s="183"/>
      <c r="O4" s="183"/>
      <c r="P4" s="183"/>
      <c r="Q4" s="183"/>
      <c r="R4" s="183"/>
      <c r="S4" s="183"/>
      <c r="T4" s="183"/>
      <c r="U4" s="183"/>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185">
        <f>'DR-TB 10A (Sputum &amp; EP Sample)'!C6:G6</f>
        <v>0</v>
      </c>
      <c r="D6" s="186"/>
      <c r="E6" s="186"/>
      <c r="F6" s="186"/>
      <c r="G6" s="186"/>
      <c r="H6" s="4"/>
      <c r="I6" s="2"/>
      <c r="J6" s="11" t="s">
        <v>6</v>
      </c>
      <c r="K6" s="4"/>
      <c r="L6" s="187" t="str">
        <f>'DR-TB 10A (Sputum &amp; EP Sample)'!L6</f>
        <v>&lt;Dates&gt;</v>
      </c>
      <c r="M6" s="186"/>
      <c r="N6" s="186"/>
      <c r="O6" s="186"/>
      <c r="P6" s="186"/>
      <c r="Q6" s="186"/>
      <c r="R6" s="186"/>
      <c r="S6" s="186"/>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190">
        <f>'DR-TB 10A (Sputum &amp; EP Sample)'!C7:G7</f>
        <v>0</v>
      </c>
      <c r="D7" s="191"/>
      <c r="E7" s="191"/>
      <c r="F7" s="191"/>
      <c r="G7" s="191"/>
      <c r="H7" s="4"/>
      <c r="I7" s="12"/>
      <c r="J7" s="13" t="s">
        <v>9</v>
      </c>
      <c r="K7" s="13"/>
      <c r="L7" s="13"/>
      <c r="M7" s="13"/>
      <c r="N7" s="187">
        <f>'DR-TB 10A (Sputum &amp; EP Sample)'!N7</f>
        <v>0</v>
      </c>
      <c r="O7" s="186"/>
      <c r="P7" s="186"/>
      <c r="Q7" s="186"/>
      <c r="R7" s="186"/>
      <c r="S7" s="186"/>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190">
        <f>'DR-TB 10A (Sputum &amp; EP Sample)'!C8:G8</f>
        <v>0</v>
      </c>
      <c r="D8" s="191"/>
      <c r="E8" s="191"/>
      <c r="F8" s="191"/>
      <c r="G8" s="191"/>
      <c r="H8" s="4"/>
      <c r="I8" s="12"/>
      <c r="J8" s="13" t="s">
        <v>11</v>
      </c>
      <c r="K8" s="13"/>
      <c r="L8" s="13"/>
      <c r="M8" s="187">
        <f>'DR-TB 10A (Sputum &amp; EP Sample)'!M8</f>
        <v>0</v>
      </c>
      <c r="N8" s="186"/>
      <c r="O8" s="186"/>
      <c r="P8" s="186"/>
      <c r="Q8" s="186"/>
      <c r="R8" s="186"/>
      <c r="S8" s="186"/>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190" t="s">
        <v>771</v>
      </c>
      <c r="D9" s="191"/>
      <c r="E9" s="191"/>
      <c r="F9" s="191"/>
      <c r="G9" s="191"/>
      <c r="H9" s="4"/>
      <c r="I9" s="4"/>
      <c r="J9" s="13" t="s">
        <v>14</v>
      </c>
      <c r="K9" s="13"/>
      <c r="L9" s="13"/>
      <c r="M9" s="204">
        <f>'DR-TB 10A (Sputum &amp; EP Sample)'!M9</f>
        <v>0</v>
      </c>
      <c r="N9" s="191"/>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05">
        <f>'DR-TB 10A (Sputum &amp; EP Sample)'!K10:L10</f>
        <v>0</v>
      </c>
      <c r="L10" s="186"/>
      <c r="M10" s="16"/>
      <c r="N10" s="17"/>
      <c r="O10" s="13"/>
      <c r="P10" s="4" t="s">
        <v>772</v>
      </c>
      <c r="Q10" s="253">
        <f>'DR-TB 10A (Sputum &amp; EP Sample)'!Q10:S10</f>
        <v>0</v>
      </c>
      <c r="R10" s="183"/>
      <c r="S10" s="183"/>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192" t="s">
        <v>18</v>
      </c>
      <c r="B12" s="193"/>
      <c r="C12" s="194"/>
      <c r="D12" s="198" t="s">
        <v>19</v>
      </c>
      <c r="E12" s="178"/>
      <c r="F12" s="178"/>
      <c r="G12" s="199"/>
      <c r="H12" s="20">
        <f>D27+E40</f>
        <v>0</v>
      </c>
      <c r="I12" s="17"/>
      <c r="J12" s="207" t="s">
        <v>20</v>
      </c>
      <c r="K12" s="169"/>
      <c r="L12" s="169"/>
      <c r="M12" s="170"/>
      <c r="N12" s="207" t="s">
        <v>21</v>
      </c>
      <c r="O12" s="169"/>
      <c r="P12" s="169"/>
      <c r="Q12" s="169"/>
      <c r="R12" s="169"/>
      <c r="S12" s="169"/>
      <c r="T12" s="169"/>
      <c r="U12" s="170"/>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195"/>
      <c r="B13" s="183"/>
      <c r="C13" s="164"/>
      <c r="D13" s="200" t="s">
        <v>22</v>
      </c>
      <c r="E13" s="169"/>
      <c r="F13" s="169"/>
      <c r="G13" s="170"/>
      <c r="H13" s="21">
        <f>U27-(M19+N19+O19)</f>
        <v>0</v>
      </c>
      <c r="I13" s="17"/>
      <c r="J13" s="210" t="s">
        <v>23</v>
      </c>
      <c r="K13" s="169"/>
      <c r="L13" s="170"/>
      <c r="M13" s="22">
        <f>'DR-TB 10A (Sputum &amp; EP Sample)'!M13</f>
        <v>0</v>
      </c>
      <c r="N13" s="23" t="s">
        <v>24</v>
      </c>
      <c r="O13" s="23"/>
      <c r="P13" s="23"/>
      <c r="Q13" s="22">
        <f>'DR-TB 10A (Sputum &amp; EP Sample)'!Q13</f>
        <v>0</v>
      </c>
      <c r="R13" s="188" t="s">
        <v>25</v>
      </c>
      <c r="S13" s="169"/>
      <c r="T13" s="170"/>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196"/>
      <c r="B14" s="197"/>
      <c r="C14" s="173"/>
      <c r="D14" s="201" t="s">
        <v>26</v>
      </c>
      <c r="E14" s="202"/>
      <c r="F14" s="202"/>
      <c r="G14" s="203"/>
      <c r="H14" s="24">
        <f>H12+H13</f>
        <v>0</v>
      </c>
      <c r="I14" s="17"/>
      <c r="J14" s="210" t="s">
        <v>27</v>
      </c>
      <c r="K14" s="169"/>
      <c r="L14" s="170"/>
      <c r="M14" s="22">
        <f>'DR-TB 10A (Sputum &amp; EP Sample)'!M14</f>
        <v>0</v>
      </c>
      <c r="N14" s="23" t="s">
        <v>28</v>
      </c>
      <c r="O14" s="23"/>
      <c r="P14" s="23"/>
      <c r="Q14" s="22">
        <f>'DR-TB 10A (Sputum &amp; EP Sample)'!Q14</f>
        <v>0</v>
      </c>
      <c r="R14" s="188" t="s">
        <v>29</v>
      </c>
      <c r="S14" s="169"/>
      <c r="T14" s="170"/>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1" t="s">
        <v>30</v>
      </c>
      <c r="K15" s="169"/>
      <c r="L15" s="170"/>
      <c r="M15" s="22">
        <f>'DR-TB 10A (Sputum &amp; EP Sample)'!M15</f>
        <v>0</v>
      </c>
      <c r="N15" s="26" t="s">
        <v>31</v>
      </c>
      <c r="O15" s="26"/>
      <c r="P15" s="26"/>
      <c r="Q15" s="22">
        <f>'DR-TB 10A (Sputum &amp; EP Sample)'!Q15</f>
        <v>0</v>
      </c>
      <c r="R15" s="189" t="s">
        <v>32</v>
      </c>
      <c r="S15" s="169"/>
      <c r="T15" s="170"/>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43" t="s">
        <v>33</v>
      </c>
      <c r="B16" s="169"/>
      <c r="C16" s="170"/>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44" t="s">
        <v>36</v>
      </c>
      <c r="B17" s="169"/>
      <c r="C17" s="170"/>
      <c r="D17" s="31">
        <f>D30+E42-D33-E44</f>
        <v>0</v>
      </c>
      <c r="E17" s="31">
        <f>+U30-U33</f>
        <v>0</v>
      </c>
      <c r="F17" s="32">
        <f t="shared" ref="F17:F21" si="0">+E17+D17</f>
        <v>0</v>
      </c>
      <c r="G17" s="33"/>
      <c r="H17" s="34"/>
      <c r="I17" s="212" t="s">
        <v>37</v>
      </c>
      <c r="J17" s="213" t="s">
        <v>38</v>
      </c>
      <c r="K17" s="169"/>
      <c r="L17" s="170"/>
      <c r="M17" s="214" t="s">
        <v>35</v>
      </c>
      <c r="N17" s="169"/>
      <c r="O17" s="170"/>
      <c r="P17" s="219" t="s">
        <v>26</v>
      </c>
      <c r="Q17" s="220"/>
      <c r="R17" s="229" t="s">
        <v>39</v>
      </c>
      <c r="S17" s="169"/>
      <c r="T17" s="170"/>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44" t="s">
        <v>40</v>
      </c>
      <c r="B18" s="169"/>
      <c r="C18" s="170"/>
      <c r="D18" s="36">
        <f>D33+E44</f>
        <v>0</v>
      </c>
      <c r="E18" s="37">
        <f>U33</f>
        <v>0</v>
      </c>
      <c r="F18" s="32">
        <f t="shared" si="0"/>
        <v>0</v>
      </c>
      <c r="G18" s="33"/>
      <c r="H18" s="34"/>
      <c r="I18" s="147"/>
      <c r="J18" s="38" t="s">
        <v>41</v>
      </c>
      <c r="K18" s="38" t="s">
        <v>42</v>
      </c>
      <c r="L18" s="38" t="s">
        <v>43</v>
      </c>
      <c r="M18" s="38" t="s">
        <v>41</v>
      </c>
      <c r="N18" s="38" t="s">
        <v>42</v>
      </c>
      <c r="O18" s="38" t="s">
        <v>43</v>
      </c>
      <c r="P18" s="147"/>
      <c r="Q18" s="183"/>
      <c r="R18" s="229" t="s">
        <v>44</v>
      </c>
      <c r="S18" s="169"/>
      <c r="T18" s="170"/>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44" t="s">
        <v>45</v>
      </c>
      <c r="B19" s="169"/>
      <c r="C19" s="170"/>
      <c r="D19" s="39"/>
      <c r="E19" s="40"/>
      <c r="F19" s="32">
        <f t="shared" si="0"/>
        <v>0</v>
      </c>
      <c r="G19" s="33"/>
      <c r="H19" s="34"/>
      <c r="I19" s="41" t="s">
        <v>46</v>
      </c>
      <c r="J19" s="41"/>
      <c r="K19" s="41"/>
      <c r="L19" s="41"/>
      <c r="M19" s="41"/>
      <c r="N19" s="41"/>
      <c r="O19" s="41"/>
      <c r="P19" s="81">
        <f t="shared" ref="P19:P20" si="1">J19+K19+L19+M19+N19+O19</f>
        <v>0</v>
      </c>
      <c r="Q19" s="43"/>
      <c r="R19" s="229" t="s">
        <v>47</v>
      </c>
      <c r="S19" s="169"/>
      <c r="T19" s="170"/>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44" t="s">
        <v>48</v>
      </c>
      <c r="B20" s="169"/>
      <c r="C20" s="170"/>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44" t="s">
        <v>50</v>
      </c>
      <c r="B21" s="169"/>
      <c r="C21" s="170"/>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45" t="s">
        <v>52</v>
      </c>
      <c r="B24" s="215" t="s">
        <v>53</v>
      </c>
      <c r="C24" s="178"/>
      <c r="D24" s="179"/>
      <c r="E24" s="215" t="s">
        <v>54</v>
      </c>
      <c r="F24" s="178"/>
      <c r="G24" s="178"/>
      <c r="H24" s="178"/>
      <c r="I24" s="178"/>
      <c r="J24" s="178"/>
      <c r="K24" s="178"/>
      <c r="L24" s="178"/>
      <c r="M24" s="178"/>
      <c r="N24" s="178"/>
      <c r="O24" s="178"/>
      <c r="P24" s="178"/>
      <c r="Q24" s="178"/>
      <c r="R24" s="178"/>
      <c r="S24" s="178"/>
      <c r="T24" s="199"/>
      <c r="U24" s="230" t="s">
        <v>55</v>
      </c>
      <c r="V24" s="3"/>
      <c r="W24" s="4"/>
      <c r="X24" s="4"/>
      <c r="Y24" s="4"/>
      <c r="Z24" s="4"/>
      <c r="AA24" s="4"/>
      <c r="AB24" s="4"/>
      <c r="AC24" s="4"/>
      <c r="AD24" s="4"/>
      <c r="AE24" s="4"/>
      <c r="AF24" s="4"/>
      <c r="AG24" s="4"/>
      <c r="AH24" s="4"/>
      <c r="AI24" s="4"/>
      <c r="AJ24" s="4"/>
      <c r="AK24" s="4"/>
      <c r="AL24" s="4"/>
      <c r="AM24" s="4"/>
      <c r="AN24" s="4"/>
      <c r="AO24" s="4"/>
    </row>
    <row r="25" spans="1:41" ht="76.5" customHeight="1">
      <c r="A25" s="151"/>
      <c r="B25" s="52" t="s">
        <v>56</v>
      </c>
      <c r="C25" s="53" t="s">
        <v>57</v>
      </c>
      <c r="D25" s="252" t="s">
        <v>58</v>
      </c>
      <c r="E25" s="54" t="s">
        <v>59</v>
      </c>
      <c r="F25" s="55" t="s">
        <v>60</v>
      </c>
      <c r="G25" s="55" t="s">
        <v>61</v>
      </c>
      <c r="H25" s="55" t="s">
        <v>62</v>
      </c>
      <c r="I25" s="55" t="s">
        <v>63</v>
      </c>
      <c r="J25" s="55" t="s">
        <v>64</v>
      </c>
      <c r="K25" s="55" t="s">
        <v>65</v>
      </c>
      <c r="L25" s="55" t="s">
        <v>66</v>
      </c>
      <c r="M25" s="208" t="s">
        <v>67</v>
      </c>
      <c r="N25" s="169"/>
      <c r="O25" s="170"/>
      <c r="P25" s="208" t="s">
        <v>68</v>
      </c>
      <c r="Q25" s="169"/>
      <c r="R25" s="170"/>
      <c r="S25" s="231" t="s">
        <v>69</v>
      </c>
      <c r="T25" s="170"/>
      <c r="U25" s="158"/>
      <c r="V25" s="3"/>
      <c r="W25" s="4"/>
      <c r="X25" s="4"/>
      <c r="Y25" s="4"/>
      <c r="Z25" s="4"/>
      <c r="AA25" s="4"/>
      <c r="AB25" s="4"/>
      <c r="AC25" s="4"/>
      <c r="AD25" s="4"/>
      <c r="AE25" s="4"/>
      <c r="AF25" s="4"/>
      <c r="AG25" s="4"/>
      <c r="AH25" s="4"/>
      <c r="AI25" s="4"/>
      <c r="AJ25" s="4"/>
      <c r="AK25" s="4"/>
      <c r="AL25" s="4"/>
      <c r="AM25" s="4"/>
      <c r="AN25" s="4"/>
      <c r="AO25" s="4"/>
    </row>
    <row r="26" spans="1:41" ht="22.5" customHeight="1">
      <c r="A26" s="246"/>
      <c r="B26" s="56" t="s">
        <v>70</v>
      </c>
      <c r="C26" s="57" t="s">
        <v>71</v>
      </c>
      <c r="D26" s="174"/>
      <c r="E26" s="56" t="s">
        <v>72</v>
      </c>
      <c r="F26" s="57" t="s">
        <v>73</v>
      </c>
      <c r="G26" s="57" t="s">
        <v>74</v>
      </c>
      <c r="H26" s="57" t="s">
        <v>75</v>
      </c>
      <c r="I26" s="57" t="s">
        <v>76</v>
      </c>
      <c r="J26" s="57" t="s">
        <v>77</v>
      </c>
      <c r="K26" s="57" t="s">
        <v>78</v>
      </c>
      <c r="L26" s="57" t="s">
        <v>79</v>
      </c>
      <c r="M26" s="209" t="s">
        <v>80</v>
      </c>
      <c r="N26" s="202"/>
      <c r="O26" s="203"/>
      <c r="P26" s="209" t="s">
        <v>81</v>
      </c>
      <c r="Q26" s="202"/>
      <c r="R26" s="203"/>
      <c r="S26" s="209" t="s">
        <v>82</v>
      </c>
      <c r="T26" s="203"/>
      <c r="U26" s="174"/>
      <c r="V26" s="3"/>
      <c r="W26" s="4"/>
      <c r="X26" s="4"/>
      <c r="Y26" s="4"/>
      <c r="Z26" s="4"/>
      <c r="AA26" s="4"/>
      <c r="AB26" s="4"/>
      <c r="AC26" s="4"/>
      <c r="AD26" s="4"/>
      <c r="AE26" s="4"/>
      <c r="AF26" s="4"/>
      <c r="AG26" s="4"/>
      <c r="AH26" s="4"/>
      <c r="AI26" s="4"/>
      <c r="AJ26" s="4"/>
      <c r="AK26" s="4"/>
      <c r="AL26" s="4"/>
      <c r="AM26" s="4"/>
      <c r="AN26" s="4"/>
      <c r="AO26" s="4"/>
    </row>
    <row r="27" spans="1:41" ht="13.5" customHeight="1">
      <c r="A27" s="150" t="s">
        <v>83</v>
      </c>
      <c r="B27" s="153"/>
      <c r="C27" s="156"/>
      <c r="D27" s="157">
        <f>B27+C27</f>
        <v>0</v>
      </c>
      <c r="E27" s="160"/>
      <c r="F27" s="145"/>
      <c r="G27" s="145"/>
      <c r="H27" s="145"/>
      <c r="I27" s="145"/>
      <c r="J27" s="145"/>
      <c r="K27" s="145"/>
      <c r="L27" s="145"/>
      <c r="M27" s="148" t="s">
        <v>84</v>
      </c>
      <c r="N27" s="149"/>
      <c r="O27" s="58"/>
      <c r="P27" s="148" t="s">
        <v>84</v>
      </c>
      <c r="Q27" s="149"/>
      <c r="R27" s="58"/>
      <c r="S27" s="221">
        <f>M41+M42+M43+N41+N42+N43+O41+O42</f>
        <v>0</v>
      </c>
      <c r="T27" s="194"/>
      <c r="U27" s="22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51"/>
      <c r="B28" s="154"/>
      <c r="C28" s="146"/>
      <c r="D28" s="158"/>
      <c r="E28" s="154"/>
      <c r="F28" s="146"/>
      <c r="G28" s="146"/>
      <c r="H28" s="146"/>
      <c r="I28" s="146"/>
      <c r="J28" s="146"/>
      <c r="K28" s="146"/>
      <c r="L28" s="146"/>
      <c r="M28" s="143" t="s">
        <v>85</v>
      </c>
      <c r="N28" s="144"/>
      <c r="O28" s="59"/>
      <c r="P28" s="143" t="s">
        <v>85</v>
      </c>
      <c r="Q28" s="144"/>
      <c r="R28" s="59"/>
      <c r="S28" s="163"/>
      <c r="T28" s="164"/>
      <c r="U28" s="158"/>
      <c r="V28" s="3"/>
      <c r="W28" s="4"/>
      <c r="X28" s="4"/>
      <c r="Y28" s="4"/>
      <c r="Z28" s="4"/>
      <c r="AA28" s="4"/>
      <c r="AB28" s="4"/>
      <c r="AC28" s="4"/>
      <c r="AD28" s="4"/>
      <c r="AE28" s="4"/>
      <c r="AF28" s="4"/>
      <c r="AG28" s="4"/>
      <c r="AH28" s="4"/>
      <c r="AI28" s="4"/>
      <c r="AJ28" s="4"/>
      <c r="AK28" s="4"/>
      <c r="AL28" s="4"/>
      <c r="AM28" s="4"/>
      <c r="AN28" s="4"/>
      <c r="AO28" s="4"/>
    </row>
    <row r="29" spans="1:41" ht="13.5" customHeight="1">
      <c r="A29" s="152"/>
      <c r="B29" s="155"/>
      <c r="C29" s="147"/>
      <c r="D29" s="159"/>
      <c r="E29" s="155"/>
      <c r="F29" s="147"/>
      <c r="G29" s="147"/>
      <c r="H29" s="147"/>
      <c r="I29" s="147"/>
      <c r="J29" s="147"/>
      <c r="K29" s="147"/>
      <c r="L29" s="147"/>
      <c r="M29" s="143" t="s">
        <v>86</v>
      </c>
      <c r="N29" s="144"/>
      <c r="O29" s="59"/>
      <c r="P29" s="143" t="s">
        <v>86</v>
      </c>
      <c r="Q29" s="144"/>
      <c r="R29" s="59"/>
      <c r="S29" s="165"/>
      <c r="T29" s="166"/>
      <c r="U29" s="159"/>
      <c r="V29" s="3"/>
      <c r="W29" s="4"/>
      <c r="X29" s="4"/>
      <c r="Y29" s="4"/>
      <c r="Z29" s="4"/>
      <c r="AA29" s="4"/>
      <c r="AB29" s="4"/>
      <c r="AC29" s="4"/>
      <c r="AD29" s="4"/>
      <c r="AE29" s="4"/>
      <c r="AF29" s="4"/>
      <c r="AG29" s="4"/>
      <c r="AH29" s="4"/>
      <c r="AI29" s="4"/>
      <c r="AJ29" s="4"/>
      <c r="AK29" s="4"/>
      <c r="AL29" s="4"/>
      <c r="AM29" s="4"/>
      <c r="AN29" s="4"/>
      <c r="AO29" s="4"/>
    </row>
    <row r="30" spans="1:41" ht="13.5" customHeight="1">
      <c r="A30" s="247" t="s">
        <v>87</v>
      </c>
      <c r="B30" s="248"/>
      <c r="C30" s="249"/>
      <c r="D30" s="250">
        <f>B30+C30</f>
        <v>0</v>
      </c>
      <c r="E30" s="251"/>
      <c r="F30" s="180"/>
      <c r="G30" s="180"/>
      <c r="H30" s="180"/>
      <c r="I30" s="180"/>
      <c r="J30" s="180"/>
      <c r="K30" s="180"/>
      <c r="L30" s="180"/>
      <c r="M30" s="143" t="s">
        <v>84</v>
      </c>
      <c r="N30" s="144"/>
      <c r="O30" s="59"/>
      <c r="P30" s="143" t="s">
        <v>84</v>
      </c>
      <c r="Q30" s="144"/>
      <c r="R30" s="59"/>
      <c r="S30" s="161">
        <f>P41+P42+P43+Q41+Q42+Q43+R41+R42</f>
        <v>0</v>
      </c>
      <c r="T30" s="162"/>
      <c r="U30" s="167">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51"/>
      <c r="B31" s="154"/>
      <c r="C31" s="146"/>
      <c r="D31" s="158"/>
      <c r="E31" s="154"/>
      <c r="F31" s="146"/>
      <c r="G31" s="146"/>
      <c r="H31" s="146"/>
      <c r="I31" s="146"/>
      <c r="J31" s="146"/>
      <c r="K31" s="146"/>
      <c r="L31" s="146"/>
      <c r="M31" s="143" t="s">
        <v>85</v>
      </c>
      <c r="N31" s="144"/>
      <c r="O31" s="59"/>
      <c r="P31" s="143" t="s">
        <v>85</v>
      </c>
      <c r="Q31" s="144"/>
      <c r="R31" s="59"/>
      <c r="S31" s="163"/>
      <c r="T31" s="164"/>
      <c r="U31" s="158"/>
      <c r="V31" s="3"/>
      <c r="W31" s="4"/>
      <c r="X31" s="4"/>
      <c r="Y31" s="4"/>
      <c r="Z31" s="4"/>
      <c r="AA31" s="4"/>
      <c r="AB31" s="4"/>
      <c r="AC31" s="4"/>
      <c r="AD31" s="4"/>
      <c r="AE31" s="4"/>
      <c r="AF31" s="4"/>
      <c r="AG31" s="4"/>
      <c r="AH31" s="4"/>
      <c r="AI31" s="4"/>
      <c r="AJ31" s="4"/>
      <c r="AK31" s="4"/>
      <c r="AL31" s="4"/>
      <c r="AM31" s="4"/>
      <c r="AN31" s="4"/>
      <c r="AO31" s="4"/>
    </row>
    <row r="32" spans="1:41" ht="13.5" customHeight="1">
      <c r="A32" s="152"/>
      <c r="B32" s="155"/>
      <c r="C32" s="147"/>
      <c r="D32" s="159"/>
      <c r="E32" s="155"/>
      <c r="F32" s="147"/>
      <c r="G32" s="147"/>
      <c r="H32" s="147"/>
      <c r="I32" s="147"/>
      <c r="J32" s="147"/>
      <c r="K32" s="147"/>
      <c r="L32" s="147"/>
      <c r="M32" s="143" t="s">
        <v>86</v>
      </c>
      <c r="N32" s="144"/>
      <c r="O32" s="59"/>
      <c r="P32" s="143" t="s">
        <v>86</v>
      </c>
      <c r="Q32" s="144"/>
      <c r="R32" s="59"/>
      <c r="S32" s="165"/>
      <c r="T32" s="166"/>
      <c r="U32" s="159"/>
      <c r="V32" s="3"/>
      <c r="W32" s="4"/>
      <c r="X32" s="4"/>
      <c r="Y32" s="4"/>
      <c r="Z32" s="4"/>
      <c r="AA32" s="4"/>
      <c r="AB32" s="4"/>
      <c r="AC32" s="4"/>
      <c r="AD32" s="4"/>
      <c r="AE32" s="4"/>
      <c r="AF32" s="4"/>
      <c r="AG32" s="4"/>
      <c r="AH32" s="4"/>
      <c r="AI32" s="4"/>
      <c r="AJ32" s="4"/>
      <c r="AK32" s="4"/>
      <c r="AL32" s="4"/>
      <c r="AM32" s="4"/>
      <c r="AN32" s="4"/>
      <c r="AO32" s="4"/>
    </row>
    <row r="33" spans="1:41" ht="13.5" customHeight="1">
      <c r="A33" s="247" t="s">
        <v>88</v>
      </c>
      <c r="B33" s="248"/>
      <c r="C33" s="249"/>
      <c r="D33" s="250">
        <f>B33+C33</f>
        <v>0</v>
      </c>
      <c r="E33" s="251"/>
      <c r="F33" s="180"/>
      <c r="G33" s="180"/>
      <c r="H33" s="180"/>
      <c r="I33" s="180"/>
      <c r="J33" s="180"/>
      <c r="K33" s="180"/>
      <c r="L33" s="180"/>
      <c r="M33" s="143" t="s">
        <v>84</v>
      </c>
      <c r="N33" s="144"/>
      <c r="O33" s="59"/>
      <c r="P33" s="143" t="s">
        <v>84</v>
      </c>
      <c r="Q33" s="144"/>
      <c r="R33" s="59"/>
      <c r="S33" s="161">
        <f>S41+S42+S43+T41+T42+T43+U41+U42</f>
        <v>0</v>
      </c>
      <c r="T33" s="162"/>
      <c r="U33" s="167">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51"/>
      <c r="B34" s="154"/>
      <c r="C34" s="146"/>
      <c r="D34" s="158"/>
      <c r="E34" s="154"/>
      <c r="F34" s="146"/>
      <c r="G34" s="146"/>
      <c r="H34" s="146"/>
      <c r="I34" s="146"/>
      <c r="J34" s="146"/>
      <c r="K34" s="146"/>
      <c r="L34" s="146"/>
      <c r="M34" s="143" t="s">
        <v>85</v>
      </c>
      <c r="N34" s="144"/>
      <c r="O34" s="59"/>
      <c r="P34" s="143" t="s">
        <v>85</v>
      </c>
      <c r="Q34" s="144"/>
      <c r="R34" s="59"/>
      <c r="S34" s="163"/>
      <c r="T34" s="164"/>
      <c r="U34" s="158"/>
      <c r="V34" s="3"/>
      <c r="W34" s="4"/>
      <c r="X34" s="4"/>
      <c r="Y34" s="4"/>
      <c r="Z34" s="4"/>
      <c r="AA34" s="4"/>
      <c r="AB34" s="4"/>
      <c r="AC34" s="4"/>
      <c r="AD34" s="4"/>
      <c r="AE34" s="4"/>
      <c r="AF34" s="4"/>
      <c r="AG34" s="4"/>
      <c r="AH34" s="4"/>
      <c r="AI34" s="4"/>
      <c r="AJ34" s="4"/>
      <c r="AK34" s="4"/>
      <c r="AL34" s="4"/>
      <c r="AM34" s="4"/>
      <c r="AN34" s="4"/>
      <c r="AO34" s="4"/>
    </row>
    <row r="35" spans="1:41" ht="13.5" customHeight="1">
      <c r="A35" s="246"/>
      <c r="B35" s="239"/>
      <c r="C35" s="181"/>
      <c r="D35" s="174"/>
      <c r="E35" s="239"/>
      <c r="F35" s="181"/>
      <c r="G35" s="181"/>
      <c r="H35" s="181"/>
      <c r="I35" s="181"/>
      <c r="J35" s="181"/>
      <c r="K35" s="181"/>
      <c r="L35" s="181"/>
      <c r="M35" s="175" t="s">
        <v>86</v>
      </c>
      <c r="N35" s="176"/>
      <c r="O35" s="60"/>
      <c r="P35" s="175" t="s">
        <v>86</v>
      </c>
      <c r="Q35" s="176"/>
      <c r="R35" s="60"/>
      <c r="S35" s="172"/>
      <c r="T35" s="173"/>
      <c r="U35" s="17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77" t="s">
        <v>90</v>
      </c>
      <c r="B38" s="178"/>
      <c r="C38" s="178"/>
      <c r="D38" s="178"/>
      <c r="E38" s="179"/>
      <c r="F38" s="61"/>
      <c r="G38" s="224" t="s">
        <v>91</v>
      </c>
      <c r="H38" s="162"/>
      <c r="I38" s="4"/>
      <c r="J38" s="177" t="s">
        <v>92</v>
      </c>
      <c r="K38" s="178"/>
      <c r="L38" s="178"/>
      <c r="M38" s="178"/>
      <c r="N38" s="178"/>
      <c r="O38" s="178"/>
      <c r="P38" s="178"/>
      <c r="Q38" s="178"/>
      <c r="R38" s="178"/>
      <c r="S38" s="178"/>
      <c r="T38" s="178"/>
      <c r="U38" s="179"/>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65"/>
      <c r="H39" s="166"/>
      <c r="I39" s="4"/>
      <c r="J39" s="225" t="s">
        <v>94</v>
      </c>
      <c r="K39" s="226"/>
      <c r="L39" s="162"/>
      <c r="M39" s="168" t="s">
        <v>95</v>
      </c>
      <c r="N39" s="169"/>
      <c r="O39" s="170"/>
      <c r="P39" s="168" t="s">
        <v>87</v>
      </c>
      <c r="Q39" s="169"/>
      <c r="R39" s="170"/>
      <c r="S39" s="168" t="s">
        <v>88</v>
      </c>
      <c r="T39" s="169"/>
      <c r="U39" s="171"/>
      <c r="V39" s="3"/>
      <c r="W39" s="4"/>
      <c r="X39" s="4"/>
      <c r="Y39" s="4"/>
      <c r="Z39" s="4"/>
      <c r="AA39" s="4"/>
      <c r="AB39" s="4"/>
      <c r="AC39" s="4"/>
      <c r="AD39" s="4"/>
      <c r="AE39" s="4"/>
      <c r="AF39" s="4"/>
      <c r="AG39" s="4"/>
      <c r="AH39" s="4"/>
      <c r="AI39" s="4"/>
      <c r="AJ39" s="4"/>
      <c r="AK39" s="4"/>
      <c r="AL39" s="4"/>
      <c r="AM39" s="4"/>
      <c r="AN39" s="4"/>
      <c r="AO39" s="4"/>
    </row>
    <row r="40" spans="1:41" ht="15" customHeight="1">
      <c r="A40" s="238" t="s">
        <v>96</v>
      </c>
      <c r="B40" s="216"/>
      <c r="C40" s="216"/>
      <c r="D40" s="216"/>
      <c r="E40" s="240">
        <f>B40+C40+D40</f>
        <v>0</v>
      </c>
      <c r="F40" s="237"/>
      <c r="G40" s="223" t="s">
        <v>97</v>
      </c>
      <c r="H40" s="216">
        <f>$E$17+$F$18</f>
        <v>0</v>
      </c>
      <c r="I40" s="4"/>
      <c r="J40" s="227"/>
      <c r="K40" s="228"/>
      <c r="L40" s="166"/>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55"/>
      <c r="B41" s="147"/>
      <c r="C41" s="147"/>
      <c r="D41" s="147"/>
      <c r="E41" s="159"/>
      <c r="F41" s="183"/>
      <c r="G41" s="147"/>
      <c r="H41" s="147"/>
      <c r="I41" s="4"/>
      <c r="J41" s="217" t="s">
        <v>101</v>
      </c>
      <c r="K41" s="169"/>
      <c r="L41" s="170"/>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238" t="s">
        <v>102</v>
      </c>
      <c r="B42" s="216"/>
      <c r="C42" s="216"/>
      <c r="D42" s="216"/>
      <c r="E42" s="240">
        <f>B42+C42+D42</f>
        <v>0</v>
      </c>
      <c r="F42" s="237"/>
      <c r="G42" s="223" t="s">
        <v>103</v>
      </c>
      <c r="H42" s="216"/>
      <c r="I42" s="4"/>
      <c r="J42" s="217" t="s">
        <v>104</v>
      </c>
      <c r="K42" s="169"/>
      <c r="L42" s="170"/>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55"/>
      <c r="B43" s="147"/>
      <c r="C43" s="147"/>
      <c r="D43" s="147"/>
      <c r="E43" s="159"/>
      <c r="F43" s="183"/>
      <c r="G43" s="147"/>
      <c r="H43" s="147"/>
      <c r="I43" s="4"/>
      <c r="J43" s="218" t="s">
        <v>105</v>
      </c>
      <c r="K43" s="202"/>
      <c r="L43" s="203"/>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238" t="s">
        <v>106</v>
      </c>
      <c r="B44" s="216"/>
      <c r="C44" s="216"/>
      <c r="D44" s="216"/>
      <c r="E44" s="240">
        <f>B44+C44+D44</f>
        <v>0</v>
      </c>
      <c r="F44" s="237"/>
      <c r="G44" s="223" t="s">
        <v>107</v>
      </c>
      <c r="H44" s="216"/>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239"/>
      <c r="B45" s="181"/>
      <c r="C45" s="181"/>
      <c r="D45" s="181"/>
      <c r="E45" s="174"/>
      <c r="F45" s="183"/>
      <c r="G45" s="147"/>
      <c r="H45" s="147"/>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41" t="s">
        <v>109</v>
      </c>
      <c r="G46" s="183"/>
      <c r="H46" s="183"/>
      <c r="I46" s="4"/>
      <c r="J46" s="4"/>
      <c r="K46" s="4"/>
      <c r="L46" s="72" t="s">
        <v>110</v>
      </c>
      <c r="M46" s="72"/>
      <c r="N46" s="72"/>
      <c r="O46" s="72"/>
      <c r="P46" s="72"/>
      <c r="Q46" s="242"/>
      <c r="R46" s="186"/>
      <c r="S46" s="186"/>
      <c r="T46" s="186"/>
      <c r="U46" s="186"/>
      <c r="V46" s="3"/>
      <c r="W46" s="4"/>
      <c r="X46" s="4"/>
      <c r="Y46" s="4"/>
      <c r="Z46" s="4"/>
      <c r="AA46" s="4"/>
      <c r="AB46" s="4"/>
      <c r="AC46" s="4"/>
      <c r="AD46" s="4"/>
      <c r="AE46" s="4"/>
      <c r="AF46" s="4"/>
      <c r="AG46" s="4"/>
      <c r="AH46" s="4"/>
      <c r="AI46" s="4"/>
      <c r="AJ46" s="4"/>
      <c r="AK46" s="4"/>
      <c r="AL46" s="4"/>
      <c r="AM46" s="4"/>
      <c r="AN46" s="4"/>
      <c r="AO46" s="4"/>
    </row>
    <row r="47" spans="1:41" ht="13.5" customHeight="1">
      <c r="A47" s="235"/>
      <c r="B47" s="74"/>
      <c r="C47" s="74"/>
      <c r="D47" s="74"/>
      <c r="E47" s="236"/>
      <c r="F47" s="226"/>
      <c r="G47" s="226"/>
      <c r="H47" s="226"/>
      <c r="I47" s="226"/>
      <c r="J47" s="162"/>
      <c r="K47" s="72"/>
      <c r="L47" s="72" t="s">
        <v>111</v>
      </c>
      <c r="M47" s="242"/>
      <c r="N47" s="186"/>
      <c r="O47" s="186"/>
      <c r="P47" s="186"/>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83"/>
      <c r="B48" s="74"/>
      <c r="C48" s="74"/>
      <c r="D48" s="74"/>
      <c r="E48" s="163"/>
      <c r="F48" s="183"/>
      <c r="G48" s="183"/>
      <c r="H48" s="183"/>
      <c r="I48" s="183"/>
      <c r="J48" s="164"/>
      <c r="K48" s="72"/>
      <c r="L48" s="72" t="s">
        <v>112</v>
      </c>
      <c r="M48" s="232"/>
      <c r="N48" s="191"/>
      <c r="O48" s="191"/>
      <c r="P48" s="191"/>
      <c r="Q48" s="72"/>
      <c r="R48" s="75" t="s">
        <v>113</v>
      </c>
      <c r="S48" s="233"/>
      <c r="T48" s="186"/>
      <c r="U48" s="4"/>
      <c r="V48" s="3"/>
      <c r="W48" s="4"/>
      <c r="X48" s="4"/>
      <c r="Y48" s="4"/>
      <c r="Z48" s="4"/>
      <c r="AA48" s="4"/>
      <c r="AB48" s="4"/>
      <c r="AC48" s="4"/>
      <c r="AD48" s="4"/>
      <c r="AE48" s="4"/>
      <c r="AF48" s="4"/>
      <c r="AG48" s="4"/>
      <c r="AH48" s="4"/>
      <c r="AI48" s="4"/>
      <c r="AJ48" s="4"/>
      <c r="AK48" s="4"/>
      <c r="AL48" s="4"/>
      <c r="AM48" s="4"/>
      <c r="AN48" s="4"/>
      <c r="AO48" s="4"/>
    </row>
    <row r="49" spans="1:41" ht="13.5" customHeight="1">
      <c r="A49" s="237"/>
      <c r="B49" s="65"/>
      <c r="C49" s="65"/>
      <c r="D49" s="65"/>
      <c r="E49" s="163"/>
      <c r="F49" s="183"/>
      <c r="G49" s="183"/>
      <c r="H49" s="183"/>
      <c r="I49" s="183"/>
      <c r="J49" s="164"/>
      <c r="K49" s="72"/>
      <c r="L49" s="72" t="s">
        <v>114</v>
      </c>
      <c r="M49" s="234"/>
      <c r="N49" s="191"/>
      <c r="O49" s="191"/>
      <c r="P49" s="191"/>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83"/>
      <c r="B50" s="65"/>
      <c r="C50" s="65"/>
      <c r="D50" s="65"/>
      <c r="E50" s="165"/>
      <c r="F50" s="228"/>
      <c r="G50" s="228"/>
      <c r="H50" s="228"/>
      <c r="I50" s="228"/>
      <c r="J50" s="166"/>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3">
    <dataValidation type="decimal" allowBlank="1" showInputMessage="1" showErrorMessage="1" prompt="Fill the following Others (Specify) table to get the number automatically " sqref="S27 S30 S33">
      <formula1>0</formula1>
      <formula2>999999</formula2>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R1000"/>
  <sheetViews>
    <sheetView showGridLines="0" topLeftCell="A10" workbookViewId="0"/>
  </sheetViews>
  <sheetFormatPr defaultColWidth="14.42578125" defaultRowHeight="15" customHeight="1"/>
  <cols>
    <col min="1" max="1" width="6" customWidth="1"/>
    <col min="2" max="2" width="17.42578125" customWidth="1"/>
    <col min="3" max="3" width="5.28515625" customWidth="1"/>
    <col min="4" max="4" width="5" customWidth="1"/>
    <col min="5" max="5" width="11.42578125" customWidth="1"/>
    <col min="6" max="6" width="19.42578125" customWidth="1"/>
    <col min="7" max="7" width="14.42578125" customWidth="1"/>
    <col min="8" max="8" width="8.42578125" customWidth="1"/>
    <col min="9" max="10" width="8.28515625" customWidth="1"/>
    <col min="11" max="12" width="10.7109375" customWidth="1"/>
    <col min="13" max="13" width="12.28515625" customWidth="1"/>
    <col min="14" max="14" width="12" customWidth="1"/>
    <col min="15" max="15" width="8.42578125" customWidth="1"/>
    <col min="16" max="16" width="7.7109375" customWidth="1"/>
    <col min="17" max="17" width="9.42578125" customWidth="1"/>
    <col min="18" max="18" width="7.7109375" customWidth="1"/>
    <col min="19" max="20" width="8.28515625" customWidth="1"/>
    <col min="21" max="21" width="14.28515625" customWidth="1"/>
    <col min="22" max="22" width="9.28515625" customWidth="1"/>
    <col min="23" max="23" width="10.7109375" customWidth="1"/>
    <col min="24" max="24" width="10.28515625" customWidth="1"/>
    <col min="25" max="25" width="9.28515625" customWidth="1"/>
    <col min="26" max="26" width="13.7109375" customWidth="1"/>
    <col min="27" max="44" width="9.28515625" customWidth="1"/>
  </cols>
  <sheetData>
    <row r="1" spans="1:44" ht="15.75">
      <c r="A1" s="254" t="s">
        <v>773</v>
      </c>
      <c r="B1" s="183"/>
      <c r="C1" s="183"/>
      <c r="D1" s="183"/>
      <c r="E1" s="183"/>
      <c r="F1" s="183"/>
      <c r="G1" s="183"/>
      <c r="H1" s="183"/>
      <c r="I1" s="183"/>
      <c r="J1" s="183"/>
      <c r="K1" s="183"/>
      <c r="L1" s="183"/>
      <c r="M1" s="183"/>
      <c r="N1" s="183"/>
      <c r="O1" s="183"/>
      <c r="P1" s="183"/>
      <c r="Q1" s="183"/>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ht="15.75">
      <c r="A2" s="254" t="s">
        <v>774</v>
      </c>
      <c r="B2" s="183"/>
      <c r="C2" s="183"/>
      <c r="D2" s="183"/>
      <c r="E2" s="183"/>
      <c r="F2" s="183"/>
      <c r="G2" s="183"/>
      <c r="H2" s="183"/>
      <c r="I2" s="183"/>
      <c r="J2" s="183"/>
      <c r="K2" s="183"/>
      <c r="L2" s="183"/>
      <c r="M2" s="183"/>
      <c r="N2" s="183"/>
      <c r="O2" s="183"/>
      <c r="P2" s="183"/>
      <c r="Q2" s="183"/>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ht="15.75">
      <c r="A3" s="254" t="s">
        <v>775</v>
      </c>
      <c r="B3" s="183"/>
      <c r="C3" s="183"/>
      <c r="D3" s="183"/>
      <c r="E3" s="183"/>
      <c r="F3" s="183"/>
      <c r="G3" s="183"/>
      <c r="H3" s="183"/>
      <c r="I3" s="183"/>
      <c r="J3" s="183"/>
      <c r="K3" s="183"/>
      <c r="L3" s="183"/>
      <c r="M3" s="183"/>
      <c r="N3" s="183"/>
      <c r="O3" s="183"/>
      <c r="P3" s="183"/>
      <c r="Q3" s="183"/>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ht="15.75">
      <c r="A4" s="254" t="s">
        <v>776</v>
      </c>
      <c r="B4" s="183"/>
      <c r="C4" s="183"/>
      <c r="D4" s="183"/>
      <c r="E4" s="183"/>
      <c r="F4" s="183"/>
      <c r="G4" s="183"/>
      <c r="H4" s="183"/>
      <c r="I4" s="183"/>
      <c r="J4" s="183"/>
      <c r="K4" s="183"/>
      <c r="L4" s="183"/>
      <c r="M4" s="183"/>
      <c r="N4" s="183"/>
      <c r="O4" s="183"/>
      <c r="P4" s="183"/>
      <c r="Q4" s="183"/>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ht="15.75">
      <c r="A5" s="254" t="s">
        <v>777</v>
      </c>
      <c r="B5" s="183"/>
      <c r="C5" s="183"/>
      <c r="D5" s="183"/>
      <c r="E5" s="183"/>
      <c r="F5" s="183"/>
      <c r="G5" s="183"/>
      <c r="H5" s="183"/>
      <c r="I5" s="183"/>
      <c r="J5" s="183"/>
      <c r="K5" s="183"/>
      <c r="L5" s="183"/>
      <c r="M5" s="183"/>
      <c r="N5" s="183"/>
      <c r="O5" s="183"/>
      <c r="P5" s="183"/>
      <c r="Q5" s="183"/>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255" t="str">
        <f>IF('DR-TB 10A (Sputum &amp; EP Sample)'!C8="","",'DR-TB 10A (Sputum &amp; EP Sample)'!C8)</f>
        <v/>
      </c>
      <c r="E8" s="186"/>
      <c r="F8" s="186"/>
      <c r="G8" s="85"/>
      <c r="H8" s="88" t="s">
        <v>780</v>
      </c>
      <c r="I8" s="187" t="str">
        <f>'DR-TB 10A (Sputum &amp; EP Sample)'!L6</f>
        <v>&lt;Dates&gt;</v>
      </c>
      <c r="J8" s="186"/>
      <c r="K8" s="186"/>
      <c r="L8" s="186"/>
      <c r="M8" s="186"/>
      <c r="N8" s="186"/>
      <c r="O8" s="186"/>
      <c r="P8" s="186"/>
      <c r="Q8" s="186"/>
      <c r="R8" s="186"/>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256" t="s">
        <v>783</v>
      </c>
      <c r="B11" s="257" t="s">
        <v>784</v>
      </c>
      <c r="C11" s="257" t="s">
        <v>785</v>
      </c>
      <c r="D11" s="257" t="s">
        <v>786</v>
      </c>
      <c r="E11" s="257" t="s">
        <v>787</v>
      </c>
      <c r="F11" s="257" t="s">
        <v>788</v>
      </c>
      <c r="G11" s="257" t="s">
        <v>789</v>
      </c>
      <c r="H11" s="257" t="s">
        <v>790</v>
      </c>
      <c r="I11" s="257" t="s">
        <v>791</v>
      </c>
      <c r="J11" s="90"/>
      <c r="K11" s="257" t="s">
        <v>792</v>
      </c>
      <c r="L11" s="257" t="s">
        <v>793</v>
      </c>
      <c r="M11" s="257" t="s">
        <v>794</v>
      </c>
      <c r="N11" s="257" t="s">
        <v>795</v>
      </c>
      <c r="O11" s="259" t="s">
        <v>796</v>
      </c>
      <c r="P11" s="169"/>
      <c r="Q11" s="169"/>
      <c r="R11" s="169"/>
      <c r="S11" s="169"/>
      <c r="T11" s="169"/>
      <c r="U11" s="170"/>
      <c r="V11" s="257" t="s">
        <v>797</v>
      </c>
      <c r="W11" s="257" t="s">
        <v>798</v>
      </c>
      <c r="X11" s="257" t="s">
        <v>799</v>
      </c>
      <c r="Y11" s="257" t="s">
        <v>800</v>
      </c>
      <c r="Z11" s="257" t="s">
        <v>801</v>
      </c>
      <c r="AA11" s="257" t="s">
        <v>802</v>
      </c>
      <c r="AB11" s="91"/>
      <c r="AC11" s="91"/>
      <c r="AD11" s="91"/>
      <c r="AE11" s="91"/>
      <c r="AF11" s="91"/>
      <c r="AG11" s="91"/>
      <c r="AH11" s="91"/>
      <c r="AI11" s="91"/>
      <c r="AJ11" s="91"/>
      <c r="AK11" s="91"/>
      <c r="AL11" s="91"/>
      <c r="AM11" s="91"/>
      <c r="AN11" s="91"/>
      <c r="AO11" s="91"/>
      <c r="AP11" s="91"/>
      <c r="AQ11" s="91"/>
      <c r="AR11" s="91"/>
    </row>
    <row r="12" spans="1:44" ht="54.75" customHeight="1">
      <c r="A12" s="147"/>
      <c r="B12" s="147"/>
      <c r="C12" s="147"/>
      <c r="D12" s="147"/>
      <c r="E12" s="147"/>
      <c r="F12" s="147"/>
      <c r="G12" s="147"/>
      <c r="H12" s="147"/>
      <c r="I12" s="147"/>
      <c r="J12" s="92" t="s">
        <v>803</v>
      </c>
      <c r="K12" s="147"/>
      <c r="L12" s="147"/>
      <c r="M12" s="147"/>
      <c r="N12" s="147"/>
      <c r="O12" s="93" t="s">
        <v>46</v>
      </c>
      <c r="P12" s="93" t="s">
        <v>804</v>
      </c>
      <c r="Q12" s="93" t="s">
        <v>805</v>
      </c>
      <c r="R12" s="93" t="s">
        <v>806</v>
      </c>
      <c r="S12" s="93" t="s">
        <v>807</v>
      </c>
      <c r="T12" s="93" t="s">
        <v>808</v>
      </c>
      <c r="U12" s="93" t="s">
        <v>809</v>
      </c>
      <c r="V12" s="147"/>
      <c r="W12" s="147"/>
      <c r="X12" s="147"/>
      <c r="Y12" s="147"/>
      <c r="Z12" s="147"/>
      <c r="AA12" s="147"/>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258" t="s">
        <v>836</v>
      </c>
      <c r="B16" s="183"/>
      <c r="C16" s="183"/>
      <c r="D16" s="183"/>
      <c r="E16" s="183"/>
      <c r="F16" s="183"/>
      <c r="G16" s="183"/>
      <c r="H16" s="183"/>
      <c r="I16" s="183"/>
      <c r="J16" s="183"/>
      <c r="K16" s="183"/>
      <c r="L16" s="183"/>
      <c r="M16" s="183"/>
      <c r="N16" s="183"/>
      <c r="O16" s="183"/>
      <c r="P16" s="183"/>
      <c r="Q16" s="183"/>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Z11:Z12"/>
    <mergeCell ref="AA11:AA12"/>
    <mergeCell ref="H11:H12"/>
    <mergeCell ref="I11:I12"/>
    <mergeCell ref="K11:K12"/>
    <mergeCell ref="L11:L12"/>
    <mergeCell ref="M11:M12"/>
    <mergeCell ref="N11:N12"/>
    <mergeCell ref="O11:U11"/>
    <mergeCell ref="A16:Q16"/>
    <mergeCell ref="V11:V12"/>
    <mergeCell ref="W11:W12"/>
    <mergeCell ref="X11:X12"/>
    <mergeCell ref="Y11:Y12"/>
    <mergeCell ref="D8:F8"/>
    <mergeCell ref="I8:R8"/>
    <mergeCell ref="A11:A12"/>
    <mergeCell ref="B11:B12"/>
    <mergeCell ref="C11:C12"/>
    <mergeCell ref="D11:D12"/>
    <mergeCell ref="E11:E12"/>
    <mergeCell ref="F11:F12"/>
    <mergeCell ref="G11:G12"/>
    <mergeCell ref="A1:Q1"/>
    <mergeCell ref="A2:Q2"/>
    <mergeCell ref="A3:Q3"/>
    <mergeCell ref="A4:Q4"/>
    <mergeCell ref="A5:Q5"/>
  </mergeCells>
  <dataValidations count="5">
    <dataValidation type="list" allowBlank="1" showErrorMessage="1" sqref="I13 I14:J15">
      <formula1>"Sputam,Stool,Others"</formula1>
    </dataValidation>
    <dataValidation type="list" allowBlank="1" showErrorMessage="1" sqref="R13:T13">
      <formula1>"Not Detected,Resistance,Indeterminate,Error,Invalid,No Result"</formula1>
    </dataValidation>
    <dataValidation type="list" allowBlank="1" showErrorMessage="1" sqref="U13">
      <formula1>"Not Detected,Resistance,Invalid,Error,No result"</formula1>
    </dataValidation>
    <dataValidation type="list" allowBlank="1" showErrorMessage="1" sqref="P13:Q13">
      <formula1>"Not Detected,Resistance,Low Resistance,Indeterminate,Error,Invalid,No Result"</formula1>
    </dataValidation>
    <dataValidation type="list" allowBlank="1" showErrorMessage="1" sqref="O13">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2578125" defaultRowHeight="15" customHeight="1"/>
  <cols>
    <col min="1" max="1" width="11" customWidth="1"/>
    <col min="2" max="2" width="9.28515625" customWidth="1"/>
    <col min="3" max="3" width="11.7109375" customWidth="1"/>
    <col min="4" max="4" width="9.28515625" customWidth="1"/>
    <col min="5" max="5" width="10.7109375" customWidth="1"/>
    <col min="6" max="26" width="9.28515625" customWidth="1"/>
  </cols>
  <sheetData>
    <row r="1" spans="1:26" ht="18">
      <c r="A1" s="270" t="s">
        <v>838</v>
      </c>
      <c r="B1" s="183"/>
      <c r="C1" s="183"/>
      <c r="D1" s="183"/>
      <c r="E1" s="183"/>
      <c r="F1" s="183"/>
      <c r="G1" s="183"/>
      <c r="H1" s="183"/>
      <c r="I1" s="183"/>
      <c r="J1" s="183"/>
      <c r="K1" s="183"/>
      <c r="L1" s="183"/>
      <c r="M1" s="183"/>
      <c r="N1" s="183"/>
      <c r="O1" s="183"/>
      <c r="P1" s="270" t="s">
        <v>839</v>
      </c>
      <c r="Q1" s="183"/>
      <c r="R1" s="183"/>
      <c r="S1" s="183"/>
      <c r="T1" s="104"/>
      <c r="U1" s="104"/>
      <c r="V1" s="105"/>
      <c r="W1" s="105"/>
      <c r="X1" s="105"/>
      <c r="Y1" s="105"/>
      <c r="Z1" s="105"/>
    </row>
    <row r="2" spans="1:26" ht="18">
      <c r="A2" s="270" t="s">
        <v>2</v>
      </c>
      <c r="B2" s="183"/>
      <c r="C2" s="183"/>
      <c r="D2" s="183"/>
      <c r="E2" s="183"/>
      <c r="F2" s="183"/>
      <c r="G2" s="183"/>
      <c r="H2" s="183"/>
      <c r="I2" s="183"/>
      <c r="J2" s="183"/>
      <c r="K2" s="183"/>
      <c r="L2" s="183"/>
      <c r="M2" s="183"/>
      <c r="N2" s="183"/>
      <c r="O2" s="183"/>
      <c r="P2" s="183"/>
      <c r="Q2" s="183"/>
      <c r="R2" s="183"/>
      <c r="S2" s="183"/>
      <c r="T2" s="183"/>
      <c r="U2" s="183"/>
      <c r="V2" s="105"/>
      <c r="W2" s="105"/>
      <c r="X2" s="105"/>
      <c r="Y2" s="105"/>
      <c r="Z2" s="105"/>
    </row>
    <row r="3" spans="1:26" ht="18">
      <c r="A3" s="270" t="s">
        <v>840</v>
      </c>
      <c r="B3" s="183"/>
      <c r="C3" s="183"/>
      <c r="D3" s="183"/>
      <c r="E3" s="183"/>
      <c r="F3" s="183"/>
      <c r="G3" s="183"/>
      <c r="H3" s="183"/>
      <c r="I3" s="183"/>
      <c r="J3" s="183"/>
      <c r="K3" s="183"/>
      <c r="L3" s="183"/>
      <c r="M3" s="183"/>
      <c r="N3" s="183"/>
      <c r="O3" s="183"/>
      <c r="P3" s="183"/>
      <c r="Q3" s="183"/>
      <c r="R3" s="183"/>
      <c r="S3" s="103"/>
      <c r="T3" s="103"/>
      <c r="U3" s="103"/>
      <c r="V3" s="105"/>
      <c r="W3" s="105"/>
      <c r="X3" s="105"/>
      <c r="Y3" s="105"/>
      <c r="Z3" s="105"/>
    </row>
    <row r="4" spans="1:26" ht="18">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ht="18">
      <c r="A5" s="270" t="s">
        <v>841</v>
      </c>
      <c r="B5" s="183"/>
      <c r="C5" s="183"/>
      <c r="D5" s="183"/>
      <c r="E5" s="183"/>
      <c r="F5" s="183"/>
      <c r="G5" s="183"/>
      <c r="H5" s="183"/>
      <c r="I5" s="183"/>
      <c r="J5" s="183"/>
      <c r="K5" s="183"/>
      <c r="L5" s="183"/>
      <c r="M5" s="183"/>
      <c r="N5" s="183"/>
      <c r="O5" s="183"/>
      <c r="P5" s="183"/>
      <c r="Q5" s="183"/>
      <c r="R5" s="183"/>
      <c r="S5" s="183"/>
      <c r="T5" s="183"/>
      <c r="U5" s="183"/>
      <c r="V5" s="105"/>
      <c r="W5" s="105"/>
      <c r="X5" s="105"/>
      <c r="Y5" s="105"/>
      <c r="Z5" s="105"/>
    </row>
    <row r="6" spans="1:26" ht="15.75">
      <c r="A6" s="7"/>
      <c r="B6" s="7"/>
      <c r="C6" s="7"/>
      <c r="D6" s="7"/>
      <c r="E6" s="7"/>
      <c r="F6" s="7"/>
      <c r="G6" s="7"/>
      <c r="H6" s="7"/>
      <c r="I6" s="7"/>
      <c r="J6" s="7"/>
      <c r="K6" s="7"/>
      <c r="L6" s="7"/>
      <c r="M6" s="7"/>
      <c r="N6" s="7"/>
      <c r="O6" s="7"/>
      <c r="P6" s="7"/>
      <c r="Q6" s="7"/>
      <c r="R6" s="7"/>
      <c r="S6" s="7"/>
      <c r="T6" s="7"/>
      <c r="U6" s="7"/>
      <c r="V6" s="105"/>
      <c r="W6" s="105"/>
      <c r="X6" s="105"/>
      <c r="Y6" s="105"/>
      <c r="Z6" s="105"/>
    </row>
    <row r="7" spans="1:26" ht="15.75">
      <c r="A7" s="7" t="s">
        <v>5</v>
      </c>
      <c r="B7" s="7"/>
      <c r="C7" s="271">
        <f>'DR-TB 10A (Sputum &amp; EP Sample)'!C6:G6</f>
        <v>0</v>
      </c>
      <c r="D7" s="186"/>
      <c r="E7" s="186"/>
      <c r="F7" s="186"/>
      <c r="G7" s="186"/>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ht="17.25">
      <c r="A8" s="7" t="s">
        <v>8</v>
      </c>
      <c r="B8" s="7"/>
      <c r="C8" s="273">
        <f>'DR-TB 10A (Sputum &amp; EP Sample)'!C7:G7</f>
        <v>0</v>
      </c>
      <c r="D8" s="191"/>
      <c r="E8" s="191"/>
      <c r="F8" s="191"/>
      <c r="G8" s="191"/>
      <c r="H8" s="105"/>
      <c r="I8" s="108"/>
      <c r="J8" s="2" t="s">
        <v>842</v>
      </c>
      <c r="K8" s="109"/>
      <c r="L8" s="109"/>
      <c r="M8" s="109"/>
      <c r="N8" s="272">
        <f>'DR-TB 10A (Sputum &amp; EP Sample)'!N7:S7</f>
        <v>0</v>
      </c>
      <c r="O8" s="186"/>
      <c r="P8" s="186"/>
      <c r="Q8" s="186"/>
      <c r="R8" s="186"/>
      <c r="S8" s="186"/>
      <c r="T8" s="105"/>
      <c r="U8" s="105"/>
      <c r="V8" s="105"/>
      <c r="W8" s="105"/>
      <c r="X8" s="105"/>
      <c r="Y8" s="105"/>
      <c r="Z8" s="105"/>
    </row>
    <row r="9" spans="1:26" ht="17.25">
      <c r="A9" s="7" t="s">
        <v>10</v>
      </c>
      <c r="B9" s="7"/>
      <c r="C9" s="273">
        <f>'DR-TB 10A (Sputum &amp; EP Sample)'!C8:G8</f>
        <v>0</v>
      </c>
      <c r="D9" s="191"/>
      <c r="E9" s="191"/>
      <c r="F9" s="191"/>
      <c r="G9" s="191"/>
      <c r="H9" s="105"/>
      <c r="I9" s="108"/>
      <c r="J9" s="108" t="s">
        <v>11</v>
      </c>
      <c r="K9" s="108"/>
      <c r="L9" s="108"/>
      <c r="M9" s="272">
        <f>'DR-TB 10A (Sputum &amp; EP Sample)'!M8:S8</f>
        <v>0</v>
      </c>
      <c r="N9" s="186"/>
      <c r="O9" s="186"/>
      <c r="P9" s="186"/>
      <c r="Q9" s="186"/>
      <c r="R9" s="186"/>
      <c r="S9" s="186"/>
      <c r="T9" s="105"/>
      <c r="U9" s="105"/>
      <c r="V9" s="105"/>
      <c r="W9" s="105"/>
      <c r="X9" s="105"/>
      <c r="Y9" s="105"/>
      <c r="Z9" s="105"/>
    </row>
    <row r="10" spans="1:26" ht="17.25">
      <c r="A10" s="105"/>
      <c r="B10" s="105"/>
      <c r="C10" s="105"/>
      <c r="D10" s="105"/>
      <c r="E10" s="105"/>
      <c r="F10" s="105"/>
      <c r="G10" s="105"/>
      <c r="H10" s="105"/>
      <c r="I10" s="105"/>
      <c r="J10" s="108" t="s">
        <v>14</v>
      </c>
      <c r="K10" s="108"/>
      <c r="L10" s="108"/>
      <c r="M10" s="279">
        <f>'DR-TB 10A (Sputum &amp; EP Sample)'!M9:N9</f>
        <v>0</v>
      </c>
      <c r="N10" s="191"/>
      <c r="O10" s="110"/>
      <c r="P10" s="111"/>
      <c r="Q10" s="105"/>
      <c r="R10" s="105"/>
      <c r="S10" s="105"/>
      <c r="T10" s="105"/>
      <c r="U10" s="105"/>
      <c r="V10" s="105"/>
      <c r="W10" s="105"/>
      <c r="X10" s="105"/>
      <c r="Y10" s="105"/>
      <c r="Z10" s="105"/>
    </row>
    <row r="11" spans="1:26" ht="17.25">
      <c r="A11" s="105"/>
      <c r="B11" s="105"/>
      <c r="C11" s="105"/>
      <c r="D11" s="105"/>
      <c r="E11" s="105"/>
      <c r="F11" s="105"/>
      <c r="G11" s="105"/>
      <c r="H11" s="105"/>
      <c r="I11" s="105"/>
      <c r="J11" s="112" t="s">
        <v>15</v>
      </c>
      <c r="K11" s="280">
        <f>'DR-TB 10A (Sputum &amp; EP Sample)'!K10:L10</f>
        <v>0</v>
      </c>
      <c r="L11" s="186"/>
      <c r="M11" s="112"/>
      <c r="N11" s="113"/>
      <c r="O11" s="108" t="s">
        <v>16</v>
      </c>
      <c r="P11" s="105"/>
      <c r="Q11" s="281">
        <f>'DR-TB 10A (Sputum &amp; EP Sample)'!Q10:S10</f>
        <v>0</v>
      </c>
      <c r="R11" s="186"/>
      <c r="S11" s="186"/>
      <c r="T11" s="114"/>
      <c r="U11" s="105"/>
      <c r="V11" s="105"/>
      <c r="W11" s="105"/>
      <c r="X11" s="105"/>
      <c r="Y11" s="105"/>
      <c r="Z11" s="105"/>
    </row>
    <row r="12" spans="1:26" ht="15.75">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ht="17.25">
      <c r="A13" s="290" t="s">
        <v>843</v>
      </c>
      <c r="B13" s="274" t="s">
        <v>844</v>
      </c>
      <c r="C13" s="170"/>
      <c r="D13" s="274" t="s">
        <v>845</v>
      </c>
      <c r="E13" s="170"/>
      <c r="F13" s="105"/>
      <c r="G13" s="105"/>
      <c r="H13" s="275" t="s">
        <v>846</v>
      </c>
      <c r="I13" s="193"/>
      <c r="J13" s="193"/>
      <c r="K13" s="276"/>
      <c r="L13" s="282" t="s">
        <v>847</v>
      </c>
      <c r="M13" s="178"/>
      <c r="N13" s="178"/>
      <c r="O13" s="283" t="s">
        <v>26</v>
      </c>
      <c r="P13" s="284"/>
      <c r="Q13" s="114"/>
      <c r="R13" s="105"/>
      <c r="S13" s="105"/>
      <c r="T13" s="105"/>
      <c r="U13" s="105"/>
      <c r="V13" s="105"/>
      <c r="W13" s="105"/>
      <c r="X13" s="105"/>
      <c r="Y13" s="105"/>
      <c r="Z13" s="105"/>
    </row>
    <row r="14" spans="1:26" ht="16.5">
      <c r="A14" s="147"/>
      <c r="B14" s="278"/>
      <c r="C14" s="170"/>
      <c r="D14" s="278"/>
      <c r="E14" s="170"/>
      <c r="F14" s="105"/>
      <c r="G14" s="105"/>
      <c r="H14" s="196"/>
      <c r="I14" s="197"/>
      <c r="J14" s="197"/>
      <c r="K14" s="277"/>
      <c r="L14" s="117"/>
      <c r="M14" s="118"/>
      <c r="N14" s="119"/>
      <c r="O14" s="285">
        <f>L14+M14+N14</f>
        <v>0</v>
      </c>
      <c r="P14" s="277"/>
      <c r="Q14" s="114"/>
      <c r="R14" s="105"/>
      <c r="S14" s="105"/>
      <c r="T14" s="105"/>
      <c r="U14" s="105"/>
      <c r="V14" s="105"/>
      <c r="W14" s="105"/>
      <c r="X14" s="105"/>
      <c r="Y14" s="105"/>
      <c r="Z14" s="105"/>
    </row>
    <row r="15" spans="1:26" ht="15.75">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ht="15.75">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261"/>
      <c r="B17" s="162"/>
      <c r="C17" s="287" t="s">
        <v>848</v>
      </c>
      <c r="D17" s="169"/>
      <c r="E17" s="170"/>
      <c r="F17" s="286" t="s">
        <v>849</v>
      </c>
      <c r="G17" s="169"/>
      <c r="H17" s="169"/>
      <c r="I17" s="169"/>
      <c r="J17" s="169"/>
      <c r="K17" s="170"/>
      <c r="L17" s="287" t="s">
        <v>850</v>
      </c>
      <c r="M17" s="169"/>
      <c r="N17" s="169"/>
      <c r="O17" s="169"/>
      <c r="P17" s="169"/>
      <c r="Q17" s="170"/>
      <c r="R17" s="105"/>
      <c r="S17" s="105"/>
      <c r="T17" s="105"/>
      <c r="U17" s="288"/>
      <c r="V17" s="105"/>
      <c r="W17" s="105"/>
      <c r="X17" s="105"/>
      <c r="Y17" s="105"/>
      <c r="Z17" s="105"/>
    </row>
    <row r="18" spans="1:26">
      <c r="A18" s="163"/>
      <c r="B18" s="164"/>
      <c r="C18" s="263" t="s">
        <v>851</v>
      </c>
      <c r="D18" s="263" t="s">
        <v>852</v>
      </c>
      <c r="E18" s="263" t="s">
        <v>26</v>
      </c>
      <c r="F18" s="289" t="s">
        <v>851</v>
      </c>
      <c r="G18" s="162"/>
      <c r="H18" s="289" t="s">
        <v>852</v>
      </c>
      <c r="I18" s="162"/>
      <c r="J18" s="289" t="s">
        <v>26</v>
      </c>
      <c r="K18" s="162"/>
      <c r="L18" s="261" t="s">
        <v>851</v>
      </c>
      <c r="M18" s="162"/>
      <c r="N18" s="261" t="s">
        <v>852</v>
      </c>
      <c r="O18" s="162"/>
      <c r="P18" s="260" t="s">
        <v>26</v>
      </c>
      <c r="Q18" s="162"/>
      <c r="R18" s="105"/>
      <c r="S18" s="105"/>
      <c r="T18" s="105"/>
      <c r="U18" s="183"/>
      <c r="V18" s="105"/>
      <c r="W18" s="105"/>
      <c r="X18" s="105"/>
      <c r="Y18" s="105"/>
      <c r="Z18" s="105"/>
    </row>
    <row r="19" spans="1:26">
      <c r="A19" s="165"/>
      <c r="B19" s="166"/>
      <c r="C19" s="147"/>
      <c r="D19" s="147"/>
      <c r="E19" s="147"/>
      <c r="F19" s="165"/>
      <c r="G19" s="166"/>
      <c r="H19" s="165"/>
      <c r="I19" s="166"/>
      <c r="J19" s="165"/>
      <c r="K19" s="166"/>
      <c r="L19" s="165"/>
      <c r="M19" s="166"/>
      <c r="N19" s="165"/>
      <c r="O19" s="166"/>
      <c r="P19" s="165"/>
      <c r="Q19" s="166"/>
      <c r="R19" s="105"/>
      <c r="S19" s="105"/>
      <c r="T19" s="105"/>
      <c r="U19" s="183"/>
      <c r="V19" s="105"/>
      <c r="W19" s="105"/>
      <c r="X19" s="105"/>
      <c r="Y19" s="105"/>
      <c r="Z19" s="105"/>
    </row>
    <row r="20" spans="1:26" ht="15" customHeight="1">
      <c r="A20" s="261" t="s">
        <v>853</v>
      </c>
      <c r="B20" s="162"/>
      <c r="C20" s="262"/>
      <c r="D20" s="262"/>
      <c r="E20" s="263">
        <f>C20+D20</f>
        <v>0</v>
      </c>
      <c r="F20" s="264"/>
      <c r="G20" s="162"/>
      <c r="H20" s="265"/>
      <c r="I20" s="162"/>
      <c r="J20" s="264">
        <f>F20+H20</f>
        <v>0</v>
      </c>
      <c r="K20" s="162"/>
      <c r="L20" s="260">
        <f>C20+F20</f>
        <v>0</v>
      </c>
      <c r="M20" s="162"/>
      <c r="N20" s="260">
        <f>D20+H20</f>
        <v>0</v>
      </c>
      <c r="O20" s="162"/>
      <c r="P20" s="260">
        <f>L20+N20</f>
        <v>0</v>
      </c>
      <c r="Q20" s="162"/>
      <c r="R20" s="105"/>
      <c r="S20" s="105"/>
      <c r="T20" s="105"/>
      <c r="U20" s="291"/>
      <c r="V20" s="105"/>
      <c r="W20" s="105"/>
      <c r="X20" s="105"/>
      <c r="Y20" s="105"/>
      <c r="Z20" s="105"/>
    </row>
    <row r="21" spans="1:26" ht="15" customHeight="1">
      <c r="A21" s="163"/>
      <c r="B21" s="164"/>
      <c r="C21" s="146"/>
      <c r="D21" s="146"/>
      <c r="E21" s="146"/>
      <c r="F21" s="163"/>
      <c r="G21" s="164"/>
      <c r="H21" s="163"/>
      <c r="I21" s="164"/>
      <c r="J21" s="163"/>
      <c r="K21" s="164"/>
      <c r="L21" s="163"/>
      <c r="M21" s="164"/>
      <c r="N21" s="163"/>
      <c r="O21" s="164"/>
      <c r="P21" s="163"/>
      <c r="Q21" s="164"/>
      <c r="R21" s="105"/>
      <c r="S21" s="105"/>
      <c r="T21" s="105"/>
      <c r="U21" s="183"/>
      <c r="V21" s="105"/>
      <c r="W21" s="105"/>
      <c r="X21" s="105"/>
      <c r="Y21" s="105"/>
      <c r="Z21" s="105"/>
    </row>
    <row r="22" spans="1:26" ht="15" customHeight="1">
      <c r="A22" s="165"/>
      <c r="B22" s="166"/>
      <c r="C22" s="147"/>
      <c r="D22" s="147"/>
      <c r="E22" s="147"/>
      <c r="F22" s="165"/>
      <c r="G22" s="166"/>
      <c r="H22" s="165"/>
      <c r="I22" s="166"/>
      <c r="J22" s="165"/>
      <c r="K22" s="166"/>
      <c r="L22" s="165"/>
      <c r="M22" s="166"/>
      <c r="N22" s="165"/>
      <c r="O22" s="166"/>
      <c r="P22" s="165"/>
      <c r="Q22" s="166"/>
      <c r="R22" s="105"/>
      <c r="S22" s="105"/>
      <c r="T22" s="105"/>
      <c r="U22" s="183"/>
      <c r="V22" s="105"/>
      <c r="W22" s="105"/>
      <c r="X22" s="105"/>
      <c r="Y22" s="105"/>
      <c r="Z22" s="105"/>
    </row>
    <row r="23" spans="1:26" ht="15.75" customHeight="1">
      <c r="A23" s="261" t="s">
        <v>854</v>
      </c>
      <c r="B23" s="162"/>
      <c r="C23" s="262"/>
      <c r="D23" s="262"/>
      <c r="E23" s="263">
        <f>C23+D23</f>
        <v>0</v>
      </c>
      <c r="F23" s="264"/>
      <c r="G23" s="162"/>
      <c r="H23" s="265"/>
      <c r="I23" s="162"/>
      <c r="J23" s="264">
        <f>F23+H23</f>
        <v>0</v>
      </c>
      <c r="K23" s="162"/>
      <c r="L23" s="260">
        <f>C23+F23</f>
        <v>0</v>
      </c>
      <c r="M23" s="162"/>
      <c r="N23" s="260">
        <f>D23+H23</f>
        <v>0</v>
      </c>
      <c r="O23" s="162"/>
      <c r="P23" s="260">
        <f>L23+N23</f>
        <v>0</v>
      </c>
      <c r="Q23" s="162"/>
      <c r="R23" s="105"/>
      <c r="S23" s="105"/>
      <c r="T23" s="105"/>
      <c r="U23" s="124"/>
      <c r="V23" s="105"/>
      <c r="W23" s="105"/>
      <c r="X23" s="105"/>
      <c r="Y23" s="105"/>
      <c r="Z23" s="105"/>
    </row>
    <row r="24" spans="1:26" ht="15.75" customHeight="1">
      <c r="A24" s="163"/>
      <c r="B24" s="164"/>
      <c r="C24" s="146"/>
      <c r="D24" s="146"/>
      <c r="E24" s="146"/>
      <c r="F24" s="163"/>
      <c r="G24" s="164"/>
      <c r="H24" s="163"/>
      <c r="I24" s="164"/>
      <c r="J24" s="163"/>
      <c r="K24" s="164"/>
      <c r="L24" s="163"/>
      <c r="M24" s="164"/>
      <c r="N24" s="163"/>
      <c r="O24" s="164"/>
      <c r="P24" s="163"/>
      <c r="Q24" s="164"/>
      <c r="R24" s="105"/>
      <c r="S24" s="105"/>
      <c r="T24" s="105"/>
      <c r="U24" s="124"/>
      <c r="V24" s="105"/>
      <c r="W24" s="105"/>
      <c r="X24" s="105"/>
      <c r="Y24" s="105"/>
      <c r="Z24" s="105"/>
    </row>
    <row r="25" spans="1:26" ht="15.75" customHeight="1">
      <c r="A25" s="165"/>
      <c r="B25" s="166"/>
      <c r="C25" s="147"/>
      <c r="D25" s="147"/>
      <c r="E25" s="147"/>
      <c r="F25" s="165"/>
      <c r="G25" s="166"/>
      <c r="H25" s="165"/>
      <c r="I25" s="166"/>
      <c r="J25" s="165"/>
      <c r="K25" s="166"/>
      <c r="L25" s="165"/>
      <c r="M25" s="166"/>
      <c r="N25" s="165"/>
      <c r="O25" s="166"/>
      <c r="P25" s="165"/>
      <c r="Q25" s="166"/>
      <c r="R25" s="105"/>
      <c r="S25" s="105"/>
      <c r="T25" s="105"/>
      <c r="U25" s="124"/>
      <c r="V25" s="105"/>
      <c r="W25" s="105"/>
      <c r="X25" s="105"/>
      <c r="Y25" s="105"/>
      <c r="Z25" s="105"/>
    </row>
    <row r="26" spans="1:26" ht="15.75" customHeight="1">
      <c r="A26" s="261" t="s">
        <v>855</v>
      </c>
      <c r="B26" s="162"/>
      <c r="C26" s="262"/>
      <c r="D26" s="262"/>
      <c r="E26" s="263">
        <f>C26+D26</f>
        <v>0</v>
      </c>
      <c r="F26" s="264"/>
      <c r="G26" s="162"/>
      <c r="H26" s="265"/>
      <c r="I26" s="162"/>
      <c r="J26" s="264">
        <f>F26+H26</f>
        <v>0</v>
      </c>
      <c r="K26" s="162"/>
      <c r="L26" s="260">
        <f>C26+F26</f>
        <v>0</v>
      </c>
      <c r="M26" s="162"/>
      <c r="N26" s="260">
        <f>D26+H26</f>
        <v>0</v>
      </c>
      <c r="O26" s="162"/>
      <c r="P26" s="260">
        <f>L26+N26</f>
        <v>0</v>
      </c>
      <c r="Q26" s="162"/>
      <c r="R26" s="123"/>
      <c r="S26" s="124"/>
      <c r="T26" s="124"/>
      <c r="U26" s="124"/>
      <c r="V26" s="105"/>
      <c r="W26" s="105"/>
      <c r="X26" s="105"/>
      <c r="Y26" s="105"/>
      <c r="Z26" s="105"/>
    </row>
    <row r="27" spans="1:26" ht="15.75" customHeight="1">
      <c r="A27" s="163"/>
      <c r="B27" s="164"/>
      <c r="C27" s="146"/>
      <c r="D27" s="146"/>
      <c r="E27" s="146"/>
      <c r="F27" s="163"/>
      <c r="G27" s="164"/>
      <c r="H27" s="163"/>
      <c r="I27" s="164"/>
      <c r="J27" s="163"/>
      <c r="K27" s="164"/>
      <c r="L27" s="163"/>
      <c r="M27" s="164"/>
      <c r="N27" s="163"/>
      <c r="O27" s="164"/>
      <c r="P27" s="163"/>
      <c r="Q27" s="164"/>
      <c r="R27" s="123"/>
      <c r="S27" s="124"/>
      <c r="T27" s="124"/>
      <c r="U27" s="124"/>
      <c r="V27" s="105"/>
      <c r="W27" s="105"/>
      <c r="X27" s="105"/>
      <c r="Y27" s="105"/>
      <c r="Z27" s="105"/>
    </row>
    <row r="28" spans="1:26" ht="15.75" customHeight="1">
      <c r="A28" s="165"/>
      <c r="B28" s="166"/>
      <c r="C28" s="147"/>
      <c r="D28" s="147"/>
      <c r="E28" s="147"/>
      <c r="F28" s="165"/>
      <c r="G28" s="166"/>
      <c r="H28" s="165"/>
      <c r="I28" s="166"/>
      <c r="J28" s="165"/>
      <c r="K28" s="166"/>
      <c r="L28" s="165"/>
      <c r="M28" s="166"/>
      <c r="N28" s="165"/>
      <c r="O28" s="166"/>
      <c r="P28" s="165"/>
      <c r="Q28" s="166"/>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266"/>
      <c r="N30" s="228"/>
      <c r="O30" s="228"/>
      <c r="P30" s="228"/>
      <c r="Q30" s="228"/>
      <c r="R30" s="228"/>
      <c r="S30" s="228"/>
      <c r="T30" s="105"/>
      <c r="U30" s="105"/>
      <c r="V30" s="105"/>
      <c r="W30" s="105"/>
      <c r="X30" s="105"/>
      <c r="Y30" s="105"/>
      <c r="Z30" s="105"/>
    </row>
    <row r="31" spans="1:26" ht="15.75" customHeight="1">
      <c r="A31" s="126"/>
      <c r="B31" s="126"/>
      <c r="C31" s="126"/>
      <c r="D31" s="126"/>
      <c r="E31" s="127"/>
      <c r="F31" s="127"/>
      <c r="G31" s="106"/>
      <c r="H31" s="114" t="s">
        <v>112</v>
      </c>
      <c r="I31" s="267"/>
      <c r="J31" s="228"/>
      <c r="K31" s="228"/>
      <c r="L31" s="228"/>
      <c r="M31" s="105"/>
      <c r="N31" s="128" t="s">
        <v>113</v>
      </c>
      <c r="O31" s="268"/>
      <c r="P31" s="169"/>
      <c r="Q31" s="169"/>
      <c r="R31" s="105"/>
      <c r="S31" s="105"/>
      <c r="T31" s="105"/>
      <c r="U31" s="105"/>
      <c r="V31" s="105"/>
      <c r="W31" s="105"/>
      <c r="X31" s="105"/>
      <c r="Y31" s="105"/>
      <c r="Z31" s="105"/>
    </row>
    <row r="32" spans="1:26" ht="15.75" customHeight="1">
      <c r="A32" s="106"/>
      <c r="B32" s="125"/>
      <c r="C32" s="125"/>
      <c r="D32" s="125"/>
      <c r="E32" s="106"/>
      <c r="F32" s="106"/>
      <c r="G32" s="127"/>
      <c r="H32" s="114" t="s">
        <v>114</v>
      </c>
      <c r="I32" s="269"/>
      <c r="J32" s="228"/>
      <c r="K32" s="228"/>
      <c r="L32" s="228"/>
      <c r="M32" s="228"/>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0:M22"/>
    <mergeCell ref="N20:O22"/>
    <mergeCell ref="P20:Q22"/>
    <mergeCell ref="U20:U22"/>
    <mergeCell ref="A20:B22"/>
    <mergeCell ref="C20:C22"/>
    <mergeCell ref="D20:D22"/>
    <mergeCell ref="E20:E22"/>
    <mergeCell ref="F20:G22"/>
    <mergeCell ref="H20:I22"/>
    <mergeCell ref="J20:K22"/>
    <mergeCell ref="A13:A14"/>
    <mergeCell ref="A17:B19"/>
    <mergeCell ref="C17:E17"/>
    <mergeCell ref="C18:C19"/>
    <mergeCell ref="D18:D19"/>
    <mergeCell ref="E18:E19"/>
    <mergeCell ref="F17:K17"/>
    <mergeCell ref="L17:Q17"/>
    <mergeCell ref="U17:U19"/>
    <mergeCell ref="H18:I19"/>
    <mergeCell ref="J18:K19"/>
    <mergeCell ref="L18:M19"/>
    <mergeCell ref="N18:O19"/>
    <mergeCell ref="P18:Q19"/>
    <mergeCell ref="F18:G19"/>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A1:O1"/>
    <mergeCell ref="P1:S1"/>
    <mergeCell ref="A2:U2"/>
    <mergeCell ref="A3:R3"/>
    <mergeCell ref="A5:U5"/>
    <mergeCell ref="I32:M32"/>
    <mergeCell ref="A26:B28"/>
    <mergeCell ref="C26:C28"/>
    <mergeCell ref="D26:D28"/>
    <mergeCell ref="E26:E28"/>
    <mergeCell ref="F26:G28"/>
    <mergeCell ref="H26:I28"/>
    <mergeCell ref="J26:K28"/>
    <mergeCell ref="L26:M28"/>
    <mergeCell ref="N26:O28"/>
    <mergeCell ref="P26:Q28"/>
    <mergeCell ref="M30:S30"/>
    <mergeCell ref="I31:L31"/>
    <mergeCell ref="O31:Q31"/>
    <mergeCell ref="L23:M25"/>
    <mergeCell ref="N23:O25"/>
    <mergeCell ref="P23:Q25"/>
    <mergeCell ref="A23:B25"/>
    <mergeCell ref="C23:C25"/>
    <mergeCell ref="D23:D25"/>
    <mergeCell ref="E23:E25"/>
    <mergeCell ref="F23:G25"/>
    <mergeCell ref="H23:I25"/>
    <mergeCell ref="J23:K25"/>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1000"/>
  <sheetViews>
    <sheetView topLeftCell="B9" workbookViewId="0">
      <selection activeCell="K15" sqref="K15"/>
    </sheetView>
  </sheetViews>
  <sheetFormatPr defaultColWidth="14.42578125" defaultRowHeight="15" customHeight="1"/>
  <cols>
    <col min="1" max="2" width="14.42578125" customWidth="1"/>
    <col min="3" max="3" width="20.7109375" customWidth="1"/>
    <col min="4" max="7" width="9.28515625" customWidth="1"/>
    <col min="8" max="8" width="11.28515625" customWidth="1"/>
    <col min="9" max="9" width="14.28515625" customWidth="1"/>
    <col min="10" max="10" width="18" customWidth="1"/>
    <col min="11" max="11" width="17.28515625" customWidth="1"/>
    <col min="12" max="16" width="9.28515625" customWidth="1"/>
    <col min="17" max="17" width="12.7109375" customWidth="1"/>
    <col min="18" max="18" width="11.7109375" customWidth="1"/>
    <col min="19" max="23" width="9.28515625" customWidth="1"/>
    <col min="24" max="24" width="11.28515625" customWidth="1"/>
    <col min="25" max="30" width="9.28515625" customWidth="1"/>
    <col min="31" max="31" width="10.28515625" customWidth="1"/>
    <col min="32" max="32" width="9.28515625" customWidth="1"/>
    <col min="33" max="33" width="10.28515625" customWidth="1"/>
    <col min="34" max="64" width="9.28515625" customWidth="1"/>
    <col min="65" max="65" width="19.42578125" customWidth="1"/>
    <col min="66" max="84" width="9.28515625" customWidth="1"/>
    <col min="85" max="85" width="10.28515625" customWidth="1"/>
    <col min="86" max="88" width="9.28515625" customWidth="1"/>
    <col min="89" max="89" width="10" customWidth="1"/>
    <col min="90" max="90" width="9.7109375" customWidth="1"/>
    <col min="91" max="149" width="9.28515625" customWidth="1"/>
    <col min="150" max="150" width="24.85546875" customWidth="1"/>
  </cols>
  <sheetData>
    <row r="1" spans="1:151" ht="29.25" customHeight="1">
      <c r="A1" s="311" t="s">
        <v>115</v>
      </c>
      <c r="B1" s="311" t="s">
        <v>857</v>
      </c>
      <c r="C1" s="311" t="s">
        <v>858</v>
      </c>
      <c r="D1" s="315"/>
      <c r="E1" s="298" t="s">
        <v>859</v>
      </c>
      <c r="F1" s="169"/>
      <c r="G1" s="170"/>
      <c r="H1" s="299" t="s">
        <v>860</v>
      </c>
      <c r="I1" s="169"/>
      <c r="J1" s="169"/>
      <c r="K1" s="169"/>
      <c r="L1" s="169"/>
      <c r="M1" s="169"/>
      <c r="N1" s="169"/>
      <c r="O1" s="169"/>
      <c r="P1" s="169"/>
      <c r="Q1" s="169"/>
      <c r="R1" s="169"/>
      <c r="S1" s="169"/>
      <c r="T1" s="169"/>
      <c r="U1" s="169"/>
      <c r="V1" s="169"/>
      <c r="W1" s="169"/>
      <c r="X1" s="169"/>
      <c r="Y1" s="169"/>
      <c r="Z1" s="169"/>
      <c r="AA1" s="169"/>
      <c r="AB1" s="169"/>
      <c r="AC1" s="169"/>
      <c r="AD1" s="169"/>
      <c r="AE1" s="169"/>
      <c r="AF1" s="170"/>
      <c r="AG1" s="299" t="s">
        <v>861</v>
      </c>
      <c r="AH1" s="169"/>
      <c r="AI1" s="169"/>
      <c r="AJ1" s="170"/>
      <c r="AK1" s="306" t="s">
        <v>862</v>
      </c>
      <c r="AL1" s="306" t="s">
        <v>863</v>
      </c>
      <c r="AM1" s="306" t="s">
        <v>864</v>
      </c>
      <c r="AN1" s="307" t="s">
        <v>865</v>
      </c>
      <c r="AO1" s="169"/>
      <c r="AP1" s="169"/>
      <c r="AQ1" s="170"/>
      <c r="AR1" s="306" t="s">
        <v>866</v>
      </c>
      <c r="AS1" s="307" t="s">
        <v>867</v>
      </c>
      <c r="AT1" s="169"/>
      <c r="AU1" s="169"/>
      <c r="AV1" s="170"/>
      <c r="AW1" s="308" t="s">
        <v>868</v>
      </c>
      <c r="AX1" s="307" t="s">
        <v>869</v>
      </c>
      <c r="AY1" s="169"/>
      <c r="AZ1" s="169"/>
      <c r="BA1" s="170"/>
      <c r="BB1" s="308" t="s">
        <v>870</v>
      </c>
      <c r="BC1" s="300" t="s">
        <v>37</v>
      </c>
      <c r="BD1" s="316" t="s">
        <v>38</v>
      </c>
      <c r="BE1" s="226"/>
      <c r="BF1" s="162"/>
      <c r="BG1" s="316" t="s">
        <v>35</v>
      </c>
      <c r="BH1" s="226"/>
      <c r="BI1" s="162"/>
      <c r="BJ1" s="317" t="s">
        <v>26</v>
      </c>
      <c r="BK1" s="306" t="str">
        <f>'DR-TB 10A (Sputum &amp; EP Sample)'!J7</f>
        <v>Name of the person completing the report :</v>
      </c>
      <c r="BL1" s="306" t="str">
        <f>'DR-TB 10A (Sputum &amp; EP Sample)'!J8</f>
        <v>Designation and organization :</v>
      </c>
      <c r="BM1" s="306" t="str">
        <f>'DR-TB 10A (Sputum &amp; EP Sample)'!O10</f>
        <v>Cell Number :</v>
      </c>
      <c r="BN1" s="300" t="str">
        <f>'COVID19 Reporting Form'!B13</f>
        <v>Cartridges Received</v>
      </c>
      <c r="BO1" s="300" t="str">
        <f>'COVID19 Reporting Form'!D13</f>
        <v>Cartridges in Hand</v>
      </c>
      <c r="BP1" s="297" t="str">
        <f>'COVID19 Reporting Form'!C17</f>
        <v>Type of test : New</v>
      </c>
      <c r="BQ1" s="169"/>
      <c r="BR1" s="169"/>
      <c r="BS1" s="169"/>
      <c r="BT1" s="169"/>
      <c r="BU1" s="170"/>
      <c r="BV1" s="297" t="str">
        <f>'COVID19 Reporting Form'!F17</f>
        <v xml:space="preserve">Type of Test : Follow up </v>
      </c>
      <c r="BW1" s="169"/>
      <c r="BX1" s="169"/>
      <c r="BY1" s="169"/>
      <c r="BZ1" s="169"/>
      <c r="CA1" s="170"/>
      <c r="CB1" s="318" t="s">
        <v>846</v>
      </c>
      <c r="CC1" s="226"/>
      <c r="CD1" s="162"/>
      <c r="CE1" s="297" t="str">
        <f>'DR-TB 10A (Sputum &amp; EP Sample)'!J12</f>
        <v>For Xpert</v>
      </c>
      <c r="CF1" s="169"/>
      <c r="CG1" s="170"/>
      <c r="CH1" s="297" t="str">
        <f>'DR-TB 10A (Sputum &amp; EP Sample)'!N12</f>
        <v>For Truenat</v>
      </c>
      <c r="CI1" s="169"/>
      <c r="CJ1" s="169"/>
      <c r="CK1" s="169"/>
      <c r="CL1" s="169"/>
      <c r="CM1" s="169"/>
      <c r="CN1" s="169"/>
      <c r="CO1" s="169"/>
      <c r="CP1" s="170"/>
      <c r="CQ1" s="297" t="str">
        <f>'DR-TB 10A (Sputum &amp; EP Sample)'!G38</f>
        <v>Number of Xpert XDR Assay</v>
      </c>
      <c r="CR1" s="170"/>
      <c r="CS1" s="298" t="s">
        <v>859</v>
      </c>
      <c r="CT1" s="169"/>
      <c r="CU1" s="170"/>
      <c r="CV1" s="299" t="s">
        <v>860</v>
      </c>
      <c r="CW1" s="169"/>
      <c r="CX1" s="169"/>
      <c r="CY1" s="169"/>
      <c r="CZ1" s="169"/>
      <c r="DA1" s="169"/>
      <c r="DB1" s="169"/>
      <c r="DC1" s="169"/>
      <c r="DD1" s="169"/>
      <c r="DE1" s="169"/>
      <c r="DF1" s="169"/>
      <c r="DG1" s="169"/>
      <c r="DH1" s="169"/>
      <c r="DI1" s="169"/>
      <c r="DJ1" s="169"/>
      <c r="DK1" s="169"/>
      <c r="DL1" s="169"/>
      <c r="DM1" s="169"/>
      <c r="DN1" s="169"/>
      <c r="DO1" s="169"/>
      <c r="DP1" s="169"/>
      <c r="DQ1" s="169"/>
      <c r="DR1" s="169"/>
      <c r="DS1" s="169"/>
      <c r="DT1" s="170"/>
      <c r="DU1" s="299" t="s">
        <v>861</v>
      </c>
      <c r="DV1" s="169"/>
      <c r="DW1" s="169"/>
      <c r="DX1" s="170"/>
      <c r="DY1" s="306" t="s">
        <v>862</v>
      </c>
      <c r="DZ1" s="306" t="s">
        <v>863</v>
      </c>
      <c r="EA1" s="306" t="s">
        <v>864</v>
      </c>
      <c r="EB1" s="307" t="s">
        <v>865</v>
      </c>
      <c r="EC1" s="169"/>
      <c r="ED1" s="169"/>
      <c r="EE1" s="170"/>
      <c r="EF1" s="306" t="s">
        <v>866</v>
      </c>
      <c r="EG1" s="307" t="s">
        <v>867</v>
      </c>
      <c r="EH1" s="169"/>
      <c r="EI1" s="169"/>
      <c r="EJ1" s="170"/>
      <c r="EK1" s="308" t="s">
        <v>868</v>
      </c>
      <c r="EL1" s="307" t="s">
        <v>869</v>
      </c>
      <c r="EM1" s="169"/>
      <c r="EN1" s="169"/>
      <c r="EO1" s="170"/>
      <c r="EP1" s="308" t="s">
        <v>870</v>
      </c>
      <c r="EQ1" s="307" t="s">
        <v>91</v>
      </c>
      <c r="ER1" s="169"/>
      <c r="ES1" s="170"/>
      <c r="ET1" s="129" t="s">
        <v>871</v>
      </c>
    </row>
    <row r="2" spans="1:151" ht="33.75" customHeight="1">
      <c r="A2" s="146"/>
      <c r="B2" s="146"/>
      <c r="C2" s="146"/>
      <c r="D2" s="146"/>
      <c r="E2" s="301" t="s">
        <v>56</v>
      </c>
      <c r="F2" s="302" t="s">
        <v>57</v>
      </c>
      <c r="G2" s="294" t="s">
        <v>872</v>
      </c>
      <c r="H2" s="295" t="s">
        <v>59</v>
      </c>
      <c r="I2" s="294" t="s">
        <v>60</v>
      </c>
      <c r="J2" s="294" t="s">
        <v>61</v>
      </c>
      <c r="K2" s="294" t="s">
        <v>62</v>
      </c>
      <c r="L2" s="294" t="s">
        <v>63</v>
      </c>
      <c r="M2" s="294" t="s">
        <v>64</v>
      </c>
      <c r="N2" s="294" t="s">
        <v>65</v>
      </c>
      <c r="O2" s="294" t="s">
        <v>66</v>
      </c>
      <c r="P2" s="303" t="s">
        <v>67</v>
      </c>
      <c r="Q2" s="169"/>
      <c r="R2" s="170"/>
      <c r="S2" s="303" t="s">
        <v>68</v>
      </c>
      <c r="T2" s="169"/>
      <c r="U2" s="170"/>
      <c r="V2" s="303" t="s">
        <v>873</v>
      </c>
      <c r="W2" s="169"/>
      <c r="X2" s="170"/>
      <c r="Y2" s="303" t="s">
        <v>874</v>
      </c>
      <c r="Z2" s="169"/>
      <c r="AA2" s="170"/>
      <c r="AB2" s="303" t="s">
        <v>875</v>
      </c>
      <c r="AC2" s="169"/>
      <c r="AD2" s="170"/>
      <c r="AE2" s="294" t="s">
        <v>876</v>
      </c>
      <c r="AF2" s="296" t="s">
        <v>26</v>
      </c>
      <c r="AG2" s="294" t="s">
        <v>56</v>
      </c>
      <c r="AH2" s="294" t="s">
        <v>57</v>
      </c>
      <c r="AI2" s="294" t="s">
        <v>877</v>
      </c>
      <c r="AJ2" s="296" t="s">
        <v>26</v>
      </c>
      <c r="AK2" s="146"/>
      <c r="AL2" s="146"/>
      <c r="AM2" s="146"/>
      <c r="AN2" s="306" t="s">
        <v>878</v>
      </c>
      <c r="AO2" s="306" t="s">
        <v>879</v>
      </c>
      <c r="AP2" s="306" t="s">
        <v>880</v>
      </c>
      <c r="AQ2" s="305" t="s">
        <v>881</v>
      </c>
      <c r="AR2" s="146"/>
      <c r="AS2" s="306" t="s">
        <v>878</v>
      </c>
      <c r="AT2" s="306" t="s">
        <v>879</v>
      </c>
      <c r="AU2" s="306" t="s">
        <v>880</v>
      </c>
      <c r="AV2" s="305" t="s">
        <v>881</v>
      </c>
      <c r="AW2" s="164"/>
      <c r="AX2" s="304" t="s">
        <v>878</v>
      </c>
      <c r="AY2" s="304" t="s">
        <v>879</v>
      </c>
      <c r="AZ2" s="304" t="s">
        <v>880</v>
      </c>
      <c r="BA2" s="305" t="s">
        <v>881</v>
      </c>
      <c r="BB2" s="164"/>
      <c r="BC2" s="146"/>
      <c r="BD2" s="165"/>
      <c r="BE2" s="228"/>
      <c r="BF2" s="166"/>
      <c r="BG2" s="165"/>
      <c r="BH2" s="228"/>
      <c r="BI2" s="166"/>
      <c r="BJ2" s="146"/>
      <c r="BK2" s="146"/>
      <c r="BL2" s="146"/>
      <c r="BM2" s="146"/>
      <c r="BN2" s="146"/>
      <c r="BO2" s="146"/>
      <c r="BP2" s="297" t="str">
        <f>'COVID19 Reporting Form'!A20</f>
        <v>Number Of COVID19 Test</v>
      </c>
      <c r="BQ2" s="170"/>
      <c r="BR2" s="297" t="str">
        <f>'COVID19 Reporting Form'!A23</f>
        <v>Number of COVID 19 Positive Detected</v>
      </c>
      <c r="BS2" s="170"/>
      <c r="BT2" s="297" t="str">
        <f>'COVID19 Reporting Form'!A26</f>
        <v>Number of COVID 19 Negative Detected</v>
      </c>
      <c r="BU2" s="170"/>
      <c r="BV2" s="297" t="str">
        <f>'COVID19 Reporting Form'!A20</f>
        <v>Number Of COVID19 Test</v>
      </c>
      <c r="BW2" s="170"/>
      <c r="BX2" s="297" t="str">
        <f>'COVID19 Reporting Form'!A23</f>
        <v>Number of COVID 19 Positive Detected</v>
      </c>
      <c r="BY2" s="170"/>
      <c r="BZ2" s="297" t="str">
        <f>'COVID19 Reporting Form'!A26</f>
        <v>Number of COVID 19 Negative Detected</v>
      </c>
      <c r="CA2" s="170"/>
      <c r="CB2" s="163"/>
      <c r="CC2" s="183"/>
      <c r="CD2" s="164"/>
      <c r="CE2" s="300" t="str">
        <f>'DR-TB 10A (Sputum &amp; EP Sample)'!J13</f>
        <v>Number of Gene Xpert Machine:</v>
      </c>
      <c r="CF2" s="300" t="str">
        <f>'DR-TB 10A (Sputum &amp; EP Sample)'!J14</f>
        <v>Total Number Of Module:</v>
      </c>
      <c r="CG2" s="300" t="str">
        <f>'DR-TB 10A (Sputum &amp; EP Sample)'!J15</f>
        <v>Number of Module Functional:</v>
      </c>
      <c r="CH2" s="300" t="str">
        <f>'DR-TB 10A (Sputum &amp; EP Sample)'!N13</f>
        <v>No. of TruePrep Device</v>
      </c>
      <c r="CI2" s="300" t="str">
        <f>'DR-TB 10A (Sputum &amp; EP Sample)'!N14</f>
        <v>No.of TrueLab Device</v>
      </c>
      <c r="CJ2" s="300" t="str">
        <f>'DR-TB 10A (Sputum &amp; EP Sample)'!N15</f>
        <v>Total No. of Chip Ports</v>
      </c>
      <c r="CK2" s="300" t="str">
        <f>'DR-TB 10A (Sputum &amp; EP Sample)'!R13</f>
        <v>Functional TruePrep Device</v>
      </c>
      <c r="CL2" s="300" t="str">
        <f>'DR-TB 10A (Sputum &amp; EP Sample)'!R14</f>
        <v>Functional TrueLab Device</v>
      </c>
      <c r="CM2" s="300" t="str">
        <f>'DR-TB 10A (Sputum &amp; EP Sample)'!R15</f>
        <v>Total functional Chip Ports</v>
      </c>
      <c r="CN2" s="300" t="str">
        <f>'DR-TB 10A (Sputum &amp; EP Sample)'!R17</f>
        <v>No. of Truenat Cartriage Used</v>
      </c>
      <c r="CO2" s="300" t="str">
        <f>'DR-TB 10A (Sputum &amp; EP Sample)'!R18</f>
        <v>No. of Truenat MTB Chip Used</v>
      </c>
      <c r="CP2" s="300" t="str">
        <f>'DR-TB 10A (Sputum &amp; EP Sample)'!R19</f>
        <v>No. of Truenat RIF Dx Chip Used</v>
      </c>
      <c r="CQ2" s="300" t="str">
        <f>'DR-TB 10A (Sputum &amp; EP Sample)'!G40</f>
        <v>Eligible for XDR Testing</v>
      </c>
      <c r="CR2" s="300" t="str">
        <f>'DR-TB 10A (Sputum &amp; EP Sample)'!G42</f>
        <v>Tested from Eligible</v>
      </c>
      <c r="CS2" s="301" t="s">
        <v>56</v>
      </c>
      <c r="CT2" s="302" t="s">
        <v>57</v>
      </c>
      <c r="CU2" s="294" t="s">
        <v>872</v>
      </c>
      <c r="CV2" s="295" t="s">
        <v>59</v>
      </c>
      <c r="CW2" s="294" t="s">
        <v>60</v>
      </c>
      <c r="CX2" s="294" t="s">
        <v>61</v>
      </c>
      <c r="CY2" s="294" t="s">
        <v>62</v>
      </c>
      <c r="CZ2" s="294" t="s">
        <v>63</v>
      </c>
      <c r="DA2" s="294" t="s">
        <v>64</v>
      </c>
      <c r="DB2" s="294" t="s">
        <v>65</v>
      </c>
      <c r="DC2" s="294" t="s">
        <v>66</v>
      </c>
      <c r="DD2" s="303" t="s">
        <v>67</v>
      </c>
      <c r="DE2" s="169"/>
      <c r="DF2" s="170"/>
      <c r="DG2" s="303" t="s">
        <v>68</v>
      </c>
      <c r="DH2" s="169"/>
      <c r="DI2" s="170"/>
      <c r="DJ2" s="303" t="s">
        <v>873</v>
      </c>
      <c r="DK2" s="169"/>
      <c r="DL2" s="170"/>
      <c r="DM2" s="303" t="s">
        <v>874</v>
      </c>
      <c r="DN2" s="169"/>
      <c r="DO2" s="170"/>
      <c r="DP2" s="303" t="s">
        <v>875</v>
      </c>
      <c r="DQ2" s="169"/>
      <c r="DR2" s="170"/>
      <c r="DS2" s="294" t="s">
        <v>876</v>
      </c>
      <c r="DT2" s="296" t="s">
        <v>26</v>
      </c>
      <c r="DU2" s="294" t="s">
        <v>56</v>
      </c>
      <c r="DV2" s="294" t="s">
        <v>57</v>
      </c>
      <c r="DW2" s="294" t="s">
        <v>877</v>
      </c>
      <c r="DX2" s="296" t="s">
        <v>26</v>
      </c>
      <c r="DY2" s="146"/>
      <c r="DZ2" s="146"/>
      <c r="EA2" s="146"/>
      <c r="EB2" s="306" t="s">
        <v>878</v>
      </c>
      <c r="EC2" s="306" t="s">
        <v>879</v>
      </c>
      <c r="ED2" s="306" t="s">
        <v>880</v>
      </c>
      <c r="EE2" s="305" t="s">
        <v>881</v>
      </c>
      <c r="EF2" s="146"/>
      <c r="EG2" s="306" t="s">
        <v>878</v>
      </c>
      <c r="EH2" s="306" t="s">
        <v>879</v>
      </c>
      <c r="EI2" s="306" t="s">
        <v>880</v>
      </c>
      <c r="EJ2" s="305" t="s">
        <v>881</v>
      </c>
      <c r="EK2" s="164"/>
      <c r="EL2" s="304" t="s">
        <v>878</v>
      </c>
      <c r="EM2" s="304" t="s">
        <v>879</v>
      </c>
      <c r="EN2" s="304" t="s">
        <v>880</v>
      </c>
      <c r="EO2" s="305" t="s">
        <v>881</v>
      </c>
      <c r="EP2" s="164"/>
      <c r="EQ2" s="306" t="s">
        <v>97</v>
      </c>
      <c r="ER2" s="306" t="s">
        <v>103</v>
      </c>
      <c r="ES2" s="306" t="s">
        <v>107</v>
      </c>
      <c r="ET2" s="300" t="s">
        <v>107</v>
      </c>
    </row>
    <row r="3" spans="1:151" ht="75.75" customHeight="1">
      <c r="A3" s="147"/>
      <c r="B3" s="147"/>
      <c r="C3" s="147"/>
      <c r="D3" s="147"/>
      <c r="E3" s="147"/>
      <c r="F3" s="147"/>
      <c r="G3" s="147"/>
      <c r="H3" s="147"/>
      <c r="I3" s="147"/>
      <c r="J3" s="147"/>
      <c r="K3" s="147"/>
      <c r="L3" s="147"/>
      <c r="M3" s="147"/>
      <c r="N3" s="147"/>
      <c r="O3" s="147"/>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147"/>
      <c r="AF3" s="147"/>
      <c r="AG3" s="147"/>
      <c r="AH3" s="147"/>
      <c r="AI3" s="147"/>
      <c r="AJ3" s="147"/>
      <c r="AK3" s="147"/>
      <c r="AL3" s="147"/>
      <c r="AM3" s="147"/>
      <c r="AN3" s="147"/>
      <c r="AO3" s="147"/>
      <c r="AP3" s="147"/>
      <c r="AQ3" s="147"/>
      <c r="AR3" s="147"/>
      <c r="AS3" s="147"/>
      <c r="AT3" s="147"/>
      <c r="AU3" s="147"/>
      <c r="AV3" s="147"/>
      <c r="AW3" s="166"/>
      <c r="AX3" s="147"/>
      <c r="AY3" s="147"/>
      <c r="AZ3" s="147"/>
      <c r="BA3" s="147"/>
      <c r="BB3" s="166"/>
      <c r="BC3" s="147"/>
      <c r="BD3" s="132" t="s">
        <v>41</v>
      </c>
      <c r="BE3" s="132" t="s">
        <v>884</v>
      </c>
      <c r="BF3" s="132" t="s">
        <v>43</v>
      </c>
      <c r="BG3" s="132" t="s">
        <v>41</v>
      </c>
      <c r="BH3" s="132" t="s">
        <v>884</v>
      </c>
      <c r="BI3" s="132" t="s">
        <v>43</v>
      </c>
      <c r="BJ3" s="147"/>
      <c r="BK3" s="147"/>
      <c r="BL3" s="147"/>
      <c r="BM3" s="147"/>
      <c r="BN3" s="147"/>
      <c r="BO3" s="147"/>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165"/>
      <c r="CC3" s="228"/>
      <c r="CD3" s="166"/>
      <c r="CE3" s="147"/>
      <c r="CF3" s="147"/>
      <c r="CG3" s="147"/>
      <c r="CH3" s="147"/>
      <c r="CI3" s="147"/>
      <c r="CJ3" s="147"/>
      <c r="CK3" s="147"/>
      <c r="CL3" s="147"/>
      <c r="CM3" s="147"/>
      <c r="CN3" s="147"/>
      <c r="CO3" s="147"/>
      <c r="CP3" s="147"/>
      <c r="CQ3" s="147"/>
      <c r="CR3" s="147"/>
      <c r="CS3" s="147"/>
      <c r="CT3" s="147"/>
      <c r="CU3" s="147"/>
      <c r="CV3" s="147"/>
      <c r="CW3" s="147"/>
      <c r="CX3" s="147"/>
      <c r="CY3" s="147"/>
      <c r="CZ3" s="147"/>
      <c r="DA3" s="147"/>
      <c r="DB3" s="147"/>
      <c r="DC3" s="147"/>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147"/>
      <c r="DT3" s="147"/>
      <c r="DU3" s="147"/>
      <c r="DV3" s="147"/>
      <c r="DW3" s="147"/>
      <c r="DX3" s="147"/>
      <c r="DY3" s="147"/>
      <c r="DZ3" s="147"/>
      <c r="EA3" s="147"/>
      <c r="EB3" s="147"/>
      <c r="EC3" s="147"/>
      <c r="ED3" s="147"/>
      <c r="EE3" s="147"/>
      <c r="EF3" s="147"/>
      <c r="EG3" s="147"/>
      <c r="EH3" s="147"/>
      <c r="EI3" s="147"/>
      <c r="EJ3" s="147"/>
      <c r="EK3" s="166"/>
      <c r="EL3" s="147"/>
      <c r="EM3" s="147"/>
      <c r="EN3" s="147"/>
      <c r="EO3" s="147"/>
      <c r="EP3" s="166"/>
      <c r="EQ3" s="147"/>
      <c r="ER3" s="147"/>
      <c r="ES3" s="147"/>
      <c r="ET3" s="147"/>
    </row>
    <row r="4" spans="1:151" ht="27.75" customHeight="1">
      <c r="A4" s="309">
        <f>'DR-TB 10A (Sputum &amp; EP Sample)'!$C6</f>
        <v>0</v>
      </c>
      <c r="B4" s="309">
        <f>'DR-TB 10A (Sputum &amp; EP Sample)'!$C7</f>
        <v>0</v>
      </c>
      <c r="C4" s="309">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313">
        <f>'DR-TB 10A (Sputum &amp; EP Sample)'!$H12</f>
        <v>0</v>
      </c>
      <c r="AL4" s="313">
        <f>'DR-TB 10A (Sputum &amp; EP Sample)'!$H13</f>
        <v>0</v>
      </c>
      <c r="AM4" s="313">
        <f>'DR-TB 10A (Sputum &amp; EP Sample)'!$H14</f>
        <v>0</v>
      </c>
      <c r="AN4" s="313">
        <f>'DR-TB 10A (Sputum &amp; EP Sample)'!$D17</f>
        <v>0</v>
      </c>
      <c r="AO4" s="313">
        <f>'DR-TB 10A (Sputum &amp; EP Sample)'!$D18</f>
        <v>0</v>
      </c>
      <c r="AP4" s="313">
        <f>'DR-TB 10A (Sputum &amp; EP Sample)'!$D19</f>
        <v>0</v>
      </c>
      <c r="AQ4" s="313">
        <f>'DR-TB 10A (Sputum &amp; EP Sample)'!$D20</f>
        <v>0</v>
      </c>
      <c r="AR4" s="313">
        <f>'DR-TB 10A (Sputum &amp; EP Sample)'!$D21</f>
        <v>0</v>
      </c>
      <c r="AS4" s="313">
        <f>'DR-TB 10A (Sputum &amp; EP Sample)'!$E17</f>
        <v>0</v>
      </c>
      <c r="AT4" s="313">
        <f>'DR-TB 10A (Sputum &amp; EP Sample)'!$E18</f>
        <v>0</v>
      </c>
      <c r="AU4" s="313">
        <f>'DR-TB 10A (Sputum &amp; EP Sample)'!$E19</f>
        <v>0</v>
      </c>
      <c r="AV4" s="313">
        <f>'DR-TB 10A (Sputum &amp; EP Sample)'!$E20</f>
        <v>0</v>
      </c>
      <c r="AW4" s="313">
        <f>'DR-TB 10A (Sputum &amp; EP Sample)'!$E21</f>
        <v>0</v>
      </c>
      <c r="AX4" s="313">
        <f>'DR-TB 10A (Sputum &amp; EP Sample)'!$F17</f>
        <v>0</v>
      </c>
      <c r="AY4" s="313">
        <f>'DR-TB 10A (Sputum &amp; EP Sample)'!$F18</f>
        <v>0</v>
      </c>
      <c r="AZ4" s="313">
        <f>'DR-TB 10A (Sputum &amp; EP Sample)'!$F19</f>
        <v>0</v>
      </c>
      <c r="BA4" s="313">
        <f>'DR-TB 10A (Sputum &amp; EP Sample)'!$F20</f>
        <v>0</v>
      </c>
      <c r="BB4" s="313">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319">
        <f>'DR-TB 10A (Sputum &amp; EP Sample)'!N7</f>
        <v>0</v>
      </c>
      <c r="BL4" s="319">
        <f>'DR-TB 10A (Sputum &amp; EP Sample)'!M8</f>
        <v>0</v>
      </c>
      <c r="BM4" s="320">
        <f>'DR-TB 10A (Sputum &amp; EP Sample)'!Q10</f>
        <v>0</v>
      </c>
      <c r="BN4" s="313">
        <f>'COVID19 Reporting Form'!B14</f>
        <v>0</v>
      </c>
      <c r="BO4" s="313">
        <f>'COVID19 Reporting Form'!D14</f>
        <v>0</v>
      </c>
      <c r="BP4" s="313">
        <f>'COVID19 Reporting Form'!C20</f>
        <v>0</v>
      </c>
      <c r="BQ4" s="313">
        <f>'COVID19 Reporting Form'!D20</f>
        <v>0</v>
      </c>
      <c r="BR4" s="313">
        <f>'COVID19 Reporting Form'!C23</f>
        <v>0</v>
      </c>
      <c r="BS4" s="313">
        <f>'COVID19 Reporting Form'!D23</f>
        <v>0</v>
      </c>
      <c r="BT4" s="313">
        <f>'COVID19 Reporting Form'!C26</f>
        <v>0</v>
      </c>
      <c r="BU4" s="313">
        <f>'COVID19 Reporting Form'!D26</f>
        <v>0</v>
      </c>
      <c r="BV4" s="313">
        <f>'COVID19 Reporting Form'!F20</f>
        <v>0</v>
      </c>
      <c r="BW4" s="313">
        <f>'COVID19 Reporting Form'!H20</f>
        <v>0</v>
      </c>
      <c r="BX4" s="313">
        <f>'COVID19 Reporting Form'!F23</f>
        <v>0</v>
      </c>
      <c r="BY4" s="313">
        <f>'COVID19 Reporting Form'!H23</f>
        <v>0</v>
      </c>
      <c r="BZ4" s="313">
        <f>'COVID19 Reporting Form'!F26</f>
        <v>0</v>
      </c>
      <c r="CA4" s="313">
        <f>'COVID19 Reporting Form'!H26</f>
        <v>0</v>
      </c>
      <c r="CB4" s="313">
        <f>'COVID19 Reporting Form'!L14</f>
        <v>0</v>
      </c>
      <c r="CC4" s="313">
        <f>'COVID19 Reporting Form'!M14</f>
        <v>0</v>
      </c>
      <c r="CD4" s="313">
        <f>'COVID19 Reporting Form'!N14</f>
        <v>0</v>
      </c>
      <c r="CE4" s="313">
        <f>'DR-TB 10A (Sputum &amp; EP Sample)'!M13</f>
        <v>0</v>
      </c>
      <c r="CF4" s="313">
        <f>'DR-TB 10A (Sputum &amp; EP Sample)'!M14</f>
        <v>0</v>
      </c>
      <c r="CG4" s="313">
        <f>'DR-TB 10A (Sputum &amp; EP Sample)'!M15</f>
        <v>0</v>
      </c>
      <c r="CH4" s="313">
        <f>'DR-TB 10A (Sputum &amp; EP Sample)'!Q13</f>
        <v>0</v>
      </c>
      <c r="CI4" s="313">
        <f>'DR-TB 10A (Sputum &amp; EP Sample)'!Q14</f>
        <v>0</v>
      </c>
      <c r="CJ4" s="313">
        <f>'DR-TB 10A (Sputum &amp; EP Sample)'!Q15</f>
        <v>0</v>
      </c>
      <c r="CK4" s="313">
        <f>'DR-TB 10A (Sputum &amp; EP Sample)'!U13</f>
        <v>0</v>
      </c>
      <c r="CL4" s="313">
        <f>'DR-TB 10A (Sputum &amp; EP Sample)'!U14</f>
        <v>0</v>
      </c>
      <c r="CM4" s="313">
        <f>'DR-TB 10A (Sputum &amp; EP Sample)'!U15</f>
        <v>0</v>
      </c>
      <c r="CN4" s="313">
        <f>'DR-TB 10A (Sputum &amp; EP Sample)'!U17</f>
        <v>0</v>
      </c>
      <c r="CO4" s="313">
        <f>'DR-TB 10A (Sputum &amp; EP Sample)'!U18</f>
        <v>0</v>
      </c>
      <c r="CP4" s="313">
        <f>'DR-TB 10A (Sputum &amp; EP Sample)'!U19</f>
        <v>0</v>
      </c>
      <c r="CQ4" s="319">
        <f>'DR-TB 10A (Sputum &amp; EP Sample)'!H40</f>
        <v>0</v>
      </c>
      <c r="CR4" s="319">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313">
        <f>'DR-TB 10A (Stool)'!$H12</f>
        <v>0</v>
      </c>
      <c r="DZ4" s="313">
        <f>'DR-TB 10A (Stool)'!$H13</f>
        <v>0</v>
      </c>
      <c r="EA4" s="313">
        <f>'DR-TB 10A (Stool)'!$H14</f>
        <v>0</v>
      </c>
      <c r="EB4" s="313">
        <f>'DR-TB 10A (Stool)'!$D17</f>
        <v>0</v>
      </c>
      <c r="EC4" s="313">
        <f>'DR-TB 10A (Stool)'!$D18</f>
        <v>0</v>
      </c>
      <c r="ED4" s="313">
        <f>'DR-TB 10A (Stool)'!$D19</f>
        <v>0</v>
      </c>
      <c r="EE4" s="313">
        <f>'DR-TB 10A (Stool)'!$D20</f>
        <v>0</v>
      </c>
      <c r="EF4" s="313">
        <f>'DR-TB 10A (Stool)'!$D21</f>
        <v>0</v>
      </c>
      <c r="EG4" s="313">
        <f>'DR-TB 10A (Stool)'!$E17</f>
        <v>0</v>
      </c>
      <c r="EH4" s="313">
        <f>'DR-TB 10A (Stool)'!$E18</f>
        <v>0</v>
      </c>
      <c r="EI4" s="313">
        <f>'DR-TB 10A (Stool)'!$E19</f>
        <v>0</v>
      </c>
      <c r="EJ4" s="313">
        <f>'DR-TB 10A (Stool)'!$E20</f>
        <v>0</v>
      </c>
      <c r="EK4" s="313">
        <f>'DR-TB 10A (Stool)'!$E21</f>
        <v>0</v>
      </c>
      <c r="EL4" s="313">
        <f>'DR-TB 10A (Stool)'!$F17</f>
        <v>0</v>
      </c>
      <c r="EM4" s="313">
        <f>'DR-TB 10A (Stool)'!$F18</f>
        <v>0</v>
      </c>
      <c r="EN4" s="313">
        <f>'DR-TB 10A (Stool)'!$F19</f>
        <v>0</v>
      </c>
      <c r="EO4" s="313">
        <f>'DR-TB 10A (Stool)'!$F20</f>
        <v>0</v>
      </c>
      <c r="EP4" s="313">
        <f>'DR-TB 10A (Stool)'!$F21</f>
        <v>0</v>
      </c>
      <c r="EQ4" s="319">
        <f>'DR-TB 10A (Stool)'!$H40</f>
        <v>0</v>
      </c>
      <c r="ER4" s="319">
        <f>'DR-TB 10A (Stool)'!$H42</f>
        <v>0</v>
      </c>
      <c r="ES4" s="319">
        <f>'DR-TB 10A (Stool)'!$H44</f>
        <v>0</v>
      </c>
      <c r="ET4" s="313">
        <f>'DR-TB 10A (Sputum &amp; EP Sample)'!$H44</f>
        <v>0</v>
      </c>
    </row>
    <row r="5" spans="1:151" ht="26.25" customHeight="1">
      <c r="A5" s="146"/>
      <c r="B5" s="146"/>
      <c r="C5" s="146"/>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146"/>
      <c r="AL5" s="146"/>
      <c r="AM5" s="146"/>
      <c r="AN5" s="146"/>
      <c r="AO5" s="146"/>
      <c r="AP5" s="146"/>
      <c r="AQ5" s="146"/>
      <c r="AR5" s="146"/>
      <c r="AS5" s="146"/>
      <c r="AT5" s="146"/>
      <c r="AU5" s="146"/>
      <c r="AV5" s="146"/>
      <c r="AW5" s="146"/>
      <c r="AX5" s="146"/>
      <c r="AY5" s="146"/>
      <c r="AZ5" s="146"/>
      <c r="BA5" s="146"/>
      <c r="BB5" s="146"/>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146"/>
      <c r="BL5" s="146"/>
      <c r="BM5" s="146"/>
      <c r="BN5" s="146"/>
      <c r="BO5" s="146"/>
      <c r="BP5" s="146"/>
      <c r="BQ5" s="146"/>
      <c r="BR5" s="146"/>
      <c r="BS5" s="146"/>
      <c r="BT5" s="146"/>
      <c r="BU5" s="146"/>
      <c r="BV5" s="146"/>
      <c r="BW5" s="146"/>
      <c r="BX5" s="146"/>
      <c r="BY5" s="146"/>
      <c r="BZ5" s="146"/>
      <c r="CA5" s="146"/>
      <c r="CB5" s="146"/>
      <c r="CC5" s="146"/>
      <c r="CD5" s="146"/>
      <c r="CE5" s="146"/>
      <c r="CF5" s="146"/>
      <c r="CG5" s="146"/>
      <c r="CH5" s="146"/>
      <c r="CI5" s="146"/>
      <c r="CJ5" s="146"/>
      <c r="CK5" s="146"/>
      <c r="CL5" s="146"/>
      <c r="CM5" s="146"/>
      <c r="CN5" s="146"/>
      <c r="CO5" s="146"/>
      <c r="CP5" s="146"/>
      <c r="CQ5" s="146"/>
      <c r="CR5" s="146"/>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146"/>
      <c r="DZ5" s="146"/>
      <c r="EA5" s="146"/>
      <c r="EB5" s="146"/>
      <c r="EC5" s="146"/>
      <c r="ED5" s="146"/>
      <c r="EE5" s="146"/>
      <c r="EF5" s="146"/>
      <c r="EG5" s="146"/>
      <c r="EH5" s="146"/>
      <c r="EI5" s="146"/>
      <c r="EJ5" s="146"/>
      <c r="EK5" s="146"/>
      <c r="EL5" s="146"/>
      <c r="EM5" s="146"/>
      <c r="EN5" s="146"/>
      <c r="EO5" s="146"/>
      <c r="EP5" s="146"/>
      <c r="EQ5" s="146"/>
      <c r="ER5" s="146"/>
      <c r="ES5" s="146"/>
      <c r="ET5" s="146"/>
    </row>
    <row r="6" spans="1:151" ht="28.5" customHeight="1">
      <c r="A6" s="147"/>
      <c r="B6" s="147"/>
      <c r="C6" s="147"/>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147"/>
      <c r="AL6" s="147"/>
      <c r="AM6" s="147"/>
      <c r="AN6" s="147"/>
      <c r="AO6" s="147"/>
      <c r="AP6" s="147"/>
      <c r="AQ6" s="147"/>
      <c r="AR6" s="147"/>
      <c r="AS6" s="147"/>
      <c r="AT6" s="147"/>
      <c r="AU6" s="147"/>
      <c r="AV6" s="147"/>
      <c r="AW6" s="147"/>
      <c r="AX6" s="147"/>
      <c r="AY6" s="147"/>
      <c r="AZ6" s="147"/>
      <c r="BA6" s="147"/>
      <c r="BB6" s="147"/>
      <c r="BC6" s="78"/>
      <c r="BD6" s="78"/>
      <c r="BE6" s="78"/>
      <c r="BF6" s="78"/>
      <c r="BG6" s="78"/>
      <c r="BH6" s="78"/>
      <c r="BI6" s="78"/>
      <c r="BJ6" s="78"/>
      <c r="BK6" s="147"/>
      <c r="BL6" s="147"/>
      <c r="BM6" s="147"/>
      <c r="BN6" s="147"/>
      <c r="BO6" s="147"/>
      <c r="BP6" s="147"/>
      <c r="BQ6" s="147"/>
      <c r="BR6" s="147"/>
      <c r="BS6" s="147"/>
      <c r="BT6" s="147"/>
      <c r="BU6" s="147"/>
      <c r="BV6" s="147"/>
      <c r="BW6" s="147"/>
      <c r="BX6" s="147"/>
      <c r="BY6" s="147"/>
      <c r="BZ6" s="147"/>
      <c r="CA6" s="147"/>
      <c r="CB6" s="147"/>
      <c r="CC6" s="147"/>
      <c r="CD6" s="147"/>
      <c r="CE6" s="147"/>
      <c r="CF6" s="147"/>
      <c r="CG6" s="147"/>
      <c r="CH6" s="147"/>
      <c r="CI6" s="147"/>
      <c r="CJ6" s="147"/>
      <c r="CK6" s="147"/>
      <c r="CL6" s="147"/>
      <c r="CM6" s="147"/>
      <c r="CN6" s="147"/>
      <c r="CO6" s="147"/>
      <c r="CP6" s="147"/>
      <c r="CQ6" s="147"/>
      <c r="CR6" s="147"/>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147"/>
      <c r="DZ6" s="147"/>
      <c r="EA6" s="147"/>
      <c r="EB6" s="147"/>
      <c r="EC6" s="147"/>
      <c r="ED6" s="147"/>
      <c r="EE6" s="147"/>
      <c r="EF6" s="147"/>
      <c r="EG6" s="147"/>
      <c r="EH6" s="147"/>
      <c r="EI6" s="147"/>
      <c r="EJ6" s="147"/>
      <c r="EK6" s="147"/>
      <c r="EL6" s="147"/>
      <c r="EM6" s="147"/>
      <c r="EN6" s="147"/>
      <c r="EO6" s="147"/>
      <c r="EP6" s="147"/>
      <c r="EQ6" s="147"/>
      <c r="ER6" s="147"/>
      <c r="ES6" s="147"/>
      <c r="ET6" s="147"/>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310" t="s">
        <v>115</v>
      </c>
      <c r="B13" s="310" t="s">
        <v>857</v>
      </c>
      <c r="C13" s="310" t="s">
        <v>858</v>
      </c>
      <c r="D13" s="310" t="str">
        <f>'DR-TB 10B'!A11</f>
        <v>Sl. No</v>
      </c>
      <c r="E13" s="292" t="str">
        <f>'DR-TB 10B'!B11</f>
        <v>Name of the RR                                                                                                                               patient</v>
      </c>
      <c r="F13" s="292" t="str">
        <f>'DR-TB 10B'!C11</f>
        <v>Age</v>
      </c>
      <c r="G13" s="292" t="str">
        <f>'DR-TB 10B'!D11</f>
        <v>Sex
(M/F)</v>
      </c>
      <c r="H13" s="292" t="str">
        <f>'DR-TB 10B'!F11</f>
        <v>Address and                                        cell number</v>
      </c>
      <c r="I13" s="292" t="str">
        <f>'DR-TB 10B'!G11</f>
        <v>Name &amp; address          of the referring unit                                                and cell number</v>
      </c>
      <c r="J13" s="292" t="str">
        <f>'DR-TB 10B'!H11</f>
        <v>* Type of patient</v>
      </c>
      <c r="K13" s="292" t="s">
        <v>803</v>
      </c>
      <c r="L13" s="292" t="str">
        <f>'DR-TB 10B'!K11</f>
        <v>Current and previous (if any)  TB registration number</v>
      </c>
      <c r="M13" s="292" t="str">
        <f>'DR-TB 10B'!L11</f>
        <v>Result of Xpert/Truenat MTB/RIF/Ultra</v>
      </c>
      <c r="N13" s="292" t="str">
        <f>'DR-TB 10B'!M11</f>
        <v>Bacterial Load</v>
      </c>
      <c r="O13" s="292" t="str">
        <f>'DR-TB 10B'!V11</f>
        <v>Name and address of the hospital/ treatment                initiation center            for enrollment of DR TB treatment</v>
      </c>
      <c r="P13" s="292" t="str">
        <f>'DR-TB 10B'!W11</f>
        <v>Enrollment status                   (Y/N)</v>
      </c>
      <c r="Q13" s="292" t="str">
        <f>'DR-TB 10B'!Z11</f>
        <v>** Current status of the patient</v>
      </c>
      <c r="R13" s="292" t="str">
        <f>'DR-TB 10B'!AA11</f>
        <v>Remarks</v>
      </c>
      <c r="S13" s="292" t="str">
        <f>'DR-TB 10B'!E11</f>
        <v>Date of Diagnosis</v>
      </c>
      <c r="T13" s="292" t="str">
        <f>'DR-TB 10B'!X11</f>
        <v>Date Of Enrollment</v>
      </c>
      <c r="U13" s="292" t="str">
        <f>'DR-TB 10B'!Y11</f>
        <v>eTB/ DR TB Registration Number</v>
      </c>
      <c r="V13" s="292" t="str">
        <f>'DR-TB 10B'!I11</f>
        <v>Type Of Specimen</v>
      </c>
      <c r="W13" s="312" t="str">
        <f>'DR-TB 10B'!O11</f>
        <v>Result Of MTB/XDR</v>
      </c>
      <c r="X13" s="169"/>
      <c r="Y13" s="169"/>
      <c r="Z13" s="169"/>
      <c r="AA13" s="169"/>
      <c r="AB13" s="169"/>
      <c r="AC13" s="170"/>
      <c r="AD13" s="314"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147"/>
      <c r="B14" s="147"/>
      <c r="C14" s="147"/>
      <c r="D14" s="147"/>
      <c r="E14" s="147"/>
      <c r="F14" s="147"/>
      <c r="G14" s="147"/>
      <c r="H14" s="147"/>
      <c r="I14" s="147"/>
      <c r="J14" s="147"/>
      <c r="K14" s="293"/>
      <c r="L14" s="147"/>
      <c r="M14" s="147"/>
      <c r="N14" s="147"/>
      <c r="O14" s="147"/>
      <c r="P14" s="147"/>
      <c r="Q14" s="147"/>
      <c r="R14" s="147"/>
      <c r="S14" s="147"/>
      <c r="T14" s="147"/>
      <c r="U14" s="147"/>
      <c r="V14" s="147"/>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147"/>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CO4:CO6"/>
    <mergeCell ref="CP4:CP6"/>
    <mergeCell ref="CQ4:CQ6"/>
    <mergeCell ref="CR4:CR6"/>
    <mergeCell ref="CG4:CG6"/>
    <mergeCell ref="CH4:CH6"/>
    <mergeCell ref="CI4:CI6"/>
    <mergeCell ref="CJ4:CJ6"/>
    <mergeCell ref="CK4:CK6"/>
    <mergeCell ref="CL4:CL6"/>
    <mergeCell ref="CM4:CM6"/>
    <mergeCell ref="BY4:BY6"/>
    <mergeCell ref="BZ4:BZ6"/>
    <mergeCell ref="CA4:CA6"/>
    <mergeCell ref="CB4:CB6"/>
    <mergeCell ref="CC4:CC6"/>
    <mergeCell ref="CD4:CD6"/>
    <mergeCell ref="CE4:CE6"/>
    <mergeCell ref="CF4:CF6"/>
    <mergeCell ref="CN4:CN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AP4:AP6"/>
    <mergeCell ref="AQ4:AQ6"/>
    <mergeCell ref="AR4:AR6"/>
    <mergeCell ref="AS4:AS6"/>
    <mergeCell ref="AT4:AT6"/>
    <mergeCell ref="AU4:AU6"/>
    <mergeCell ref="AV4:AV6"/>
    <mergeCell ref="AW4:AW6"/>
    <mergeCell ref="AX4:AX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DY4:DY6"/>
    <mergeCell ref="DZ4:DZ6"/>
    <mergeCell ref="EA4:EA6"/>
    <mergeCell ref="EB4:EB6"/>
    <mergeCell ref="EC4:EC6"/>
    <mergeCell ref="ED4:ED6"/>
    <mergeCell ref="DY1:DY3"/>
    <mergeCell ref="EE4:EE6"/>
    <mergeCell ref="EF4:EF6"/>
    <mergeCell ref="CB1:CD3"/>
    <mergeCell ref="CG2:CG3"/>
    <mergeCell ref="CH2:CH3"/>
    <mergeCell ref="CI2:CI3"/>
    <mergeCell ref="CJ2:CJ3"/>
    <mergeCell ref="CK2:CK3"/>
    <mergeCell ref="CL2:CL3"/>
    <mergeCell ref="CM2:CM3"/>
    <mergeCell ref="CN2:CN3"/>
    <mergeCell ref="BK1:BK3"/>
    <mergeCell ref="BT2:BU2"/>
    <mergeCell ref="BV2:BW2"/>
    <mergeCell ref="BX2:BY2"/>
    <mergeCell ref="BZ2:CA2"/>
    <mergeCell ref="BL1:BL3"/>
    <mergeCell ref="BM1:BM3"/>
    <mergeCell ref="BN1:BN3"/>
    <mergeCell ref="BO1:BO3"/>
    <mergeCell ref="BP1:BU1"/>
    <mergeCell ref="BV1:CA1"/>
    <mergeCell ref="AW1:AW3"/>
    <mergeCell ref="AZ2:AZ3"/>
    <mergeCell ref="BA2:BA3"/>
    <mergeCell ref="AX1:BA1"/>
    <mergeCell ref="BB1:BB3"/>
    <mergeCell ref="BC1:BC3"/>
    <mergeCell ref="BD1:BF2"/>
    <mergeCell ref="BG1:BI2"/>
    <mergeCell ref="BJ1:BJ3"/>
    <mergeCell ref="AO2:AO3"/>
    <mergeCell ref="AP2:AP3"/>
    <mergeCell ref="AQ2:AQ3"/>
    <mergeCell ref="AS2:AS3"/>
    <mergeCell ref="AT2:AT3"/>
    <mergeCell ref="AU2:AU3"/>
    <mergeCell ref="AV2:AV3"/>
    <mergeCell ref="AK1:AK3"/>
    <mergeCell ref="AL1:AL3"/>
    <mergeCell ref="AM1:AM3"/>
    <mergeCell ref="AN1:AQ1"/>
    <mergeCell ref="AR1:AR3"/>
    <mergeCell ref="AS1:AV1"/>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I2:I3"/>
    <mergeCell ref="J2:J3"/>
    <mergeCell ref="K2:K3"/>
    <mergeCell ref="L2:L3"/>
    <mergeCell ref="M2:M3"/>
    <mergeCell ref="N2:N3"/>
    <mergeCell ref="S2:U2"/>
    <mergeCell ref="V2:X2"/>
    <mergeCell ref="Y2:AA2"/>
    <mergeCell ref="V13:V14"/>
    <mergeCell ref="W13:AC13"/>
    <mergeCell ref="O13:O14"/>
    <mergeCell ref="P13:P14"/>
    <mergeCell ref="Q13:Q14"/>
    <mergeCell ref="R13:R14"/>
    <mergeCell ref="S13:S14"/>
    <mergeCell ref="T13:T14"/>
    <mergeCell ref="U13:U14"/>
    <mergeCell ref="E13:E14"/>
    <mergeCell ref="F13:F14"/>
    <mergeCell ref="G13:G14"/>
    <mergeCell ref="H13:H14"/>
    <mergeCell ref="G2:G3"/>
    <mergeCell ref="H2:H3"/>
    <mergeCell ref="A4:A6"/>
    <mergeCell ref="B4:B6"/>
    <mergeCell ref="C4:C6"/>
    <mergeCell ref="A13:A14"/>
    <mergeCell ref="B13:B14"/>
    <mergeCell ref="A1:A3"/>
    <mergeCell ref="B1:B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P1:EP3"/>
    <mergeCell ref="EL1:EO1"/>
    <mergeCell ref="ED2:ED3"/>
    <mergeCell ref="EE2:EE3"/>
    <mergeCell ref="EG2:EG3"/>
    <mergeCell ref="EH2:EH3"/>
    <mergeCell ref="EI2:EI3"/>
    <mergeCell ref="EJ2:EJ3"/>
    <mergeCell ref="EL2:EL3"/>
    <mergeCell ref="EM2:EM3"/>
    <mergeCell ref="DM2:DO2"/>
    <mergeCell ref="EN2:EN3"/>
    <mergeCell ref="EO2:EO3"/>
    <mergeCell ref="DZ1:DZ3"/>
    <mergeCell ref="EA1:EA3"/>
    <mergeCell ref="EB1:EE1"/>
    <mergeCell ref="EF1:EF3"/>
    <mergeCell ref="EG1:EJ1"/>
    <mergeCell ref="EK1:EK3"/>
    <mergeCell ref="DP2:DR2"/>
    <mergeCell ref="DS2:DS3"/>
    <mergeCell ref="DT2:DT3"/>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144</vt:i4>
      </vt:variant>
    </vt:vector>
  </HeadingPairs>
  <TitlesOfParts>
    <vt:vector size="149"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USMAN</cp:lastModifiedBy>
  <cp:revision/>
  <dcterms:created xsi:type="dcterms:W3CDTF">2024-08-28T10:18:40Z</dcterms:created>
  <dcterms:modified xsi:type="dcterms:W3CDTF">2024-10-24T08:55:32Z</dcterms:modified>
  <cp:category/>
  <cp:contentStatus/>
</cp:coreProperties>
</file>