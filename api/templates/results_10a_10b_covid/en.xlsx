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4FB2C860-C703-8A43-908C-3C35C9768D2D}" xr6:coauthVersionLast="47" xr6:coauthVersionMax="47" xr10:uidLastSave="{00000000-0000-0000-0000-000000000000}"/>
  <bookViews>
    <workbookView xWindow="4340" yWindow="760" windowWidth="30220" windowHeight="21580" activeTab="5"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s>
  <definedNames>
    <definedName name="Bagerhat" localSheetId="1">'DR-TB 10A (Stool)'!$G$393:$G$399</definedName>
    <definedName name="Bagerhat" localSheetId="5">'XDR Cartridges Test Report'!$G$380:$G$386</definedName>
    <definedName name="Bagerhat">'DR-TB 10A (Sputum &amp; EP Sample)'!$G$394:$G$400</definedName>
    <definedName name="Bandarban" localSheetId="1">'DR-TB 10A (Stool)'!$G$150:$G$153</definedName>
    <definedName name="Bandarban" localSheetId="5">'XDR Cartridges Test Report'!$G$137:$G$140</definedName>
    <definedName name="Bandarban">'DR-TB 10A (Sputum &amp; EP Sample)'!$G$150:$G$153</definedName>
    <definedName name="Barguna" localSheetId="1">'DR-TB 10A (Stool)'!$G$102:$G$106</definedName>
    <definedName name="Barguna" localSheetId="5">'XDR Cartridges Test Report'!$G$89:$G$93</definedName>
    <definedName name="Barguna">'DR-TB 10A (Sputum &amp; EP Sample)'!$G$102:$G$106</definedName>
    <definedName name="Barisal" localSheetId="1">'DR-TB 10A (Stool)'!$G$107:$G$119</definedName>
    <definedName name="Barisal" localSheetId="5">'XDR Cartridges Test Report'!$G$94:$G$106</definedName>
    <definedName name="Barisal">'DR-TB 10A (Sputum &amp; EP Sample)'!$G$107:$G$119</definedName>
    <definedName name="Barisal_Division" localSheetId="1">'DR-TB 10A (Stool)'!$D$102:$D$107</definedName>
    <definedName name="Barisal_Division" localSheetId="5">'XDR Cartridges Test Report'!$D$89:$D$94</definedName>
    <definedName name="Barisal_Division">'DR-TB 10A (Sputum &amp; EP Sample)'!$D$102:$D$107</definedName>
    <definedName name="Bhola" localSheetId="1">'DR-TB 10A (Stool)'!$G$120:$G$126</definedName>
    <definedName name="Bhola" localSheetId="5">'XDR Cartridges Test Report'!$G$107:$G$113</definedName>
    <definedName name="Bhola">'DR-TB 10A (Sputum &amp; EP Sample)'!$G$120:$G$126</definedName>
    <definedName name="Bogra" localSheetId="1">'DR-TB 10A (Stool)'!$G$499:$G$513</definedName>
    <definedName name="Bogra" localSheetId="5">'XDR Cartridges Test Report'!$G$486:$G$500</definedName>
    <definedName name="Bogra">'DR-TB 10A (Sputum &amp; EP Sample)'!$G$502:$G$516</definedName>
    <definedName name="Brahmanbaria" localSheetId="1">'DR-TB 10A (Stool)'!$G$154:$G$162</definedName>
    <definedName name="Brahmanbaria" localSheetId="5">'XDR Cartridges Test Report'!$G$141:$G$149</definedName>
    <definedName name="Brahmanbaria">'DR-TB 10A (Sputum &amp; EP Sample)'!$G$154:$G$162</definedName>
    <definedName name="Chandpur" localSheetId="1">'DR-TB 10A (Stool)'!$G$163:$G$168</definedName>
    <definedName name="Chandpur" localSheetId="5">'XDR Cartridges Test Report'!$G$150:$G$155</definedName>
    <definedName name="Chandpur">'DR-TB 10A (Sputum &amp; EP Sample)'!$G$163:$G$168</definedName>
    <definedName name="Chattogram" localSheetId="1">'DR-TB 10A (Stool)'!$G$169:$G$196</definedName>
    <definedName name="Chattogram" localSheetId="5">'XDR Cartridges Test Report'!$G$156:$G$183</definedName>
    <definedName name="Chattogram">'DR-TB 10A (Sputum &amp; EP Sample)'!$G$169:$G$196</definedName>
    <definedName name="Chattogram_Division" localSheetId="1">'DR-TB 10A (Stool)'!$D$108:$D$118</definedName>
    <definedName name="Chattogram_Division" localSheetId="5">'XDR Cartridges Test Report'!$D$95:$D$105</definedName>
    <definedName name="Chattogram_Division">'DR-TB 10A (Sputum &amp; EP Sample)'!$D$108:$D$118</definedName>
    <definedName name="Chuadanga" localSheetId="1">'DR-TB 10A (Stool)'!$G$400:$G$404</definedName>
    <definedName name="Chuadanga" localSheetId="5">'XDR Cartridges Test Report'!$G$387:$G$391</definedName>
    <definedName name="Chuadanga">'DR-TB 10A (Sputum &amp; EP Sample)'!$G$401:$G$406</definedName>
    <definedName name="Comilla" localSheetId="1">'DR-TB 10A (Stool)'!$G$197:$G$211</definedName>
    <definedName name="Comilla" localSheetId="5">'XDR Cartridges Test Report'!$G$184:$G$198</definedName>
    <definedName name="Comilla">'DR-TB 10A (Sputum &amp; EP Sample)'!$G$197:$G$211</definedName>
    <definedName name="Coxs_Bazar" localSheetId="1">'DR-TB 10A (Stool)'!$G$213:$G$224</definedName>
    <definedName name="Coxs_Bazar" localSheetId="5">'XDR Cartridges Test Report'!$G$200:$G$211</definedName>
    <definedName name="Coxs_Bazar">'DR-TB 10A (Sputum &amp; EP Sample)'!$G$213:$G$224</definedName>
    <definedName name="Dhaka" localSheetId="1">'DR-TB 10A (Stool)'!$G$254:$G$300</definedName>
    <definedName name="Dhaka" localSheetId="5">'XDR Cartridges Test Report'!$G$241:$G$287</definedName>
    <definedName name="Dhaka">'DR-TB 10A (Sputum &amp; EP Sample)'!$G$254:$G$300</definedName>
    <definedName name="Dhaka_Division" localSheetId="1">'DR-TB 10A (Stool)'!$D$119:$D$131</definedName>
    <definedName name="Dhaka_Division" localSheetId="5">'XDR Cartridges Test Report'!$D$106:$D$118</definedName>
    <definedName name="Dhaka_Division">'DR-TB 10A (Sputum &amp; EP Sample)'!$D$119:$D$131</definedName>
    <definedName name="Dinajpur" localSheetId="1">'DR-TB 10A (Stool)'!$G$574:$G$585</definedName>
    <definedName name="Dinajpur" localSheetId="5">'XDR Cartridges Test Report'!$G$561:$G$572</definedName>
    <definedName name="Dinajpur">'DR-TB 10A (Sputum &amp; EP Sample)'!$G$577:$G$588</definedName>
    <definedName name="Faridpur" localSheetId="1">'DR-TB 10A (Stool)'!$G$301:$G$306</definedName>
    <definedName name="Faridpur" localSheetId="5">'XDR Cartridges Test Report'!$G$288:$G$293</definedName>
    <definedName name="Faridpur">'DR-TB 10A (Sputum &amp; EP Sample)'!$G$301:$G$306</definedName>
    <definedName name="Feni" localSheetId="1">'DR-TB 10A (Stool)'!$G$225:$G$230</definedName>
    <definedName name="Feni" localSheetId="5">'XDR Cartridges Test Report'!$G$212:$G$217</definedName>
    <definedName name="Feni">'DR-TB 10A (Sputum &amp; EP Sample)'!$G$225:$G$230</definedName>
    <definedName name="Gaibandha" localSheetId="1">'DR-TB 10A (Stool)'!$G$586:$G$594</definedName>
    <definedName name="Gaibandha" localSheetId="5">'XDR Cartridges Test Report'!$G$573:$G$581</definedName>
    <definedName name="Gaibandha">'DR-TB 10A (Sputum &amp; EP Sample)'!$G$589:$G$597</definedName>
    <definedName name="Gazipur" localSheetId="1">'DR-TB 10A (Stool)'!$G$308:$G$315</definedName>
    <definedName name="Gazipur" localSheetId="5">'XDR Cartridges Test Report'!$G$295:$G$302</definedName>
    <definedName name="Gazipur">'DR-TB 10A (Sputum &amp; EP Sample)'!$G$308:$G$316</definedName>
    <definedName name="Gopalganj" localSheetId="1">'DR-TB 10A (Stool)'!$G$316:$G$320</definedName>
    <definedName name="Gopalganj" localSheetId="5">'XDR Cartridges Test Report'!$G$303:$G$307</definedName>
    <definedName name="Gopalganj">'DR-TB 10A (Sputum &amp; EP Sample)'!$G$317:$G$321</definedName>
    <definedName name="Habiganj" localSheetId="1">'DR-TB 10A (Stool)'!$G$635:$G$645</definedName>
    <definedName name="Habiganj" localSheetId="5">'XDR Cartridges Test Report'!$G$622:$G$632</definedName>
    <definedName name="Habiganj">'DR-TB 10A (Sputum &amp; EP Sample)'!$G$638:$G$648</definedName>
    <definedName name="Jamalpur" localSheetId="1">'DR-TB 10A (Stool)'!$G$456:$G$464</definedName>
    <definedName name="Jamalpur" localSheetId="5">'XDR Cartridges Test Report'!$G$443:$G$451</definedName>
    <definedName name="Jamalpur">'DR-TB 10A (Sputum &amp; EP Sample)'!$G$459:$G$467</definedName>
    <definedName name="Jessore" localSheetId="1">'DR-TB 10A (Stool)'!$G$405:$G$412</definedName>
    <definedName name="Jessore" localSheetId="5">'XDR Cartridges Test Report'!$G$392:$G$399</definedName>
    <definedName name="Jessore">'DR-TB 10A (Sputum &amp; EP Sample)'!$G$407:$G$414</definedName>
    <definedName name="Jhalakathi" localSheetId="1">'DR-TB 10A (Stool)'!$G$132:$G$135</definedName>
    <definedName name="Jhalakathi" localSheetId="5">'XDR Cartridges Test Report'!$G$119:$G$122</definedName>
    <definedName name="Jhalakathi">'DR-TB 10A (Sputum &amp; EP Sample)'!$G$132:$G$135</definedName>
    <definedName name="Jhenaidah" localSheetId="1">'DR-TB 10A (Stool)'!$G$413:$G$419</definedName>
    <definedName name="Jhenaidah" localSheetId="5">'XDR Cartridges Test Report'!$G$400:$G$406</definedName>
    <definedName name="Jhenaidah">'DR-TB 10A (Sputum &amp; EP Sample)'!$G$415:$G$421</definedName>
    <definedName name="Joypurhat" localSheetId="1">'DR-TB 10A (Stool)'!$G$521:$G$526</definedName>
    <definedName name="Joypurhat" localSheetId="5">'XDR Cartridges Test Report'!$G$508:$G$513</definedName>
    <definedName name="Joypurhat">'DR-TB 10A (Sputum &amp; EP Sample)'!$G$524:$G$529</definedName>
    <definedName name="Khagrachari" localSheetId="1">'DR-TB 10A (Stool)'!$G$231:$G$234</definedName>
    <definedName name="Khagrachari" localSheetId="5">'XDR Cartridges Test Report'!$G$218:$G$221</definedName>
    <definedName name="Khagrachari">'DR-TB 10A (Sputum &amp; EP Sample)'!$G$231:$G$234</definedName>
    <definedName name="Khulna" localSheetId="1">'DR-TB 10A (Stool)'!$G$420:$G$428</definedName>
    <definedName name="Khulna" localSheetId="5">'XDR Cartridges Test Report'!$G$407:$G$415</definedName>
    <definedName name="Khulna">'DR-TB 10A (Sputum &amp; EP Sample)'!$G$422:$G$430</definedName>
    <definedName name="Khulna_Division" localSheetId="1">'DR-TB 10A (Stool)'!$D$132:$D$141</definedName>
    <definedName name="Khulna_Division" localSheetId="5">'XDR Cartridges Test Report'!$D$119:$D$128</definedName>
    <definedName name="Khulna_Division">'DR-TB 10A (Sputum &amp; EP Sample)'!$D$132:$D$141</definedName>
    <definedName name="Kishoreganj" localSheetId="1">'DR-TB 10A (Stool)'!$G$321:$G$333</definedName>
    <definedName name="Kishoreganj" localSheetId="5">'XDR Cartridges Test Report'!$G$308:$G$320</definedName>
    <definedName name="Kishoreganj">'DR-TB 10A (Sputum &amp; EP Sample)'!$G$322:$G$334</definedName>
    <definedName name="Kurigram" localSheetId="1">'DR-TB 10A (Stool)'!$G$595:$G$600</definedName>
    <definedName name="Kurigram" localSheetId="5">'XDR Cartridges Test Report'!$G$582:$G$587</definedName>
    <definedName name="Kurigram">'DR-TB 10A (Sputum &amp; EP Sample)'!$G$598:$G$603</definedName>
    <definedName name="Kushtia" localSheetId="1">'DR-TB 10A (Stool)'!$G$429:$G$434</definedName>
    <definedName name="Kushtia" localSheetId="5">'XDR Cartridges Test Report'!$G$416:$G$421</definedName>
    <definedName name="Kushtia">'DR-TB 10A (Sputum &amp; EP Sample)'!$G$431:$G$436</definedName>
    <definedName name="Lalmonirhat" localSheetId="1">'DR-TB 10A (Stool)'!$G$601:$G$605</definedName>
    <definedName name="Lalmonirhat" localSheetId="5">'XDR Cartridges Test Report'!$G$588:$G$592</definedName>
    <definedName name="Lalmonirhat">'DR-TB 10A (Sputum &amp; EP Sample)'!$G$604:$G$608</definedName>
    <definedName name="Laxmipur" localSheetId="1">'DR-TB 10A (Stool)'!$G$235:$G$240</definedName>
    <definedName name="Laxmipur" localSheetId="5">'XDR Cartridges Test Report'!$G$222:$G$227</definedName>
    <definedName name="Laxmipur">'DR-TB 10A (Sputum &amp; EP Sample)'!$G$235:$G$240</definedName>
    <definedName name="Madaripur" localSheetId="1">'DR-TB 10A (Stool)'!$G$334:$G$337</definedName>
    <definedName name="Madaripur" localSheetId="5">'XDR Cartridges Test Report'!$G$321:$G$324</definedName>
    <definedName name="Madaripur">'DR-TB 10A (Sputum &amp; EP Sample)'!$G$335:$G$338</definedName>
    <definedName name="Magura" localSheetId="1">'DR-TB 10A (Stool)'!$G$435:$G$439</definedName>
    <definedName name="Magura" localSheetId="5">'XDR Cartridges Test Report'!$G$422:$G$426</definedName>
    <definedName name="Magura">'DR-TB 10A (Sputum &amp; EP Sample)'!$G$437:$G$441</definedName>
    <definedName name="Manikganj" localSheetId="1">'DR-TB 10A (Stool)'!$G$338:$G$345</definedName>
    <definedName name="Manikganj" localSheetId="5">'XDR Cartridges Test Report'!$G$325:$G$332</definedName>
    <definedName name="Manikganj">'DR-TB 10A (Sputum &amp; EP Sample)'!$G$339:$G$346</definedName>
    <definedName name="Meherpur" localSheetId="1">'DR-TB 10A (Stool)'!$G$440:$G$443</definedName>
    <definedName name="Meherpur" localSheetId="5">'XDR Cartridges Test Report'!$G$427:$G$430</definedName>
    <definedName name="Meherpur">'DR-TB 10A (Sputum &amp; EP Sample)'!$G$442:$G$446</definedName>
    <definedName name="Moulvibazar" localSheetId="1">'DR-TB 10A (Stool)'!$G$646:$G$652</definedName>
    <definedName name="Moulvibazar" localSheetId="5">'XDR Cartridges Test Report'!$G$633:$G$639</definedName>
    <definedName name="Moulvibazar">'DR-TB 10A (Sputum &amp; EP Sample)'!$G$649:$G$655</definedName>
    <definedName name="Munshiganj" localSheetId="1">'DR-TB 10A (Stool)'!$G$346:$G$352</definedName>
    <definedName name="Munshiganj" localSheetId="5">'XDR Cartridges Test Report'!$G$333:$G$339</definedName>
    <definedName name="Munshiganj">'DR-TB 10A (Sputum &amp; EP Sample)'!$G$347:$G$353</definedName>
    <definedName name="Mymensingh" localSheetId="1">'DR-TB 10A (Stool)'!$G$465:$G$481</definedName>
    <definedName name="Mymensingh" localSheetId="5">'XDR Cartridges Test Report'!$G$452:$G$468</definedName>
    <definedName name="Mymensingh">'DR-TB 10A (Sputum &amp; EP Sample)'!$G$468:$G$484</definedName>
    <definedName name="Mymensingh_Division" localSheetId="1">'DR-TB 10A (Stool)'!$D$142:$D$145</definedName>
    <definedName name="Mymensingh_Division" localSheetId="5">'XDR Cartridges Test Report'!$D$129:$D$132</definedName>
    <definedName name="Mymensingh_Division">'DR-TB 10A (Sputum &amp; EP Sample)'!$D$142:$D$145</definedName>
    <definedName name="Naogaon" localSheetId="1">'DR-TB 10A (Stool)'!$G$527:$G$533</definedName>
    <definedName name="Naogaon" localSheetId="5">'XDR Cartridges Test Report'!$G$514:$G$520</definedName>
    <definedName name="Naogaon">'DR-TB 10A (Sputum &amp; EP Sample)'!$G$530:$G$536</definedName>
    <definedName name="Narail" localSheetId="1">'DR-TB 10A (Stool)'!$G$444:$G$447</definedName>
    <definedName name="Narail" localSheetId="5">'XDR Cartridges Test Report'!$G$431:$G$434</definedName>
    <definedName name="Narail">'DR-TB 10A (Sputum &amp; EP Sample)'!$G$447:$G$450</definedName>
    <definedName name="Narayanganj" localSheetId="1">'DR-TB 10A (Stool)'!$G$353:$G$360</definedName>
    <definedName name="Narayanganj" localSheetId="5">'XDR Cartridges Test Report'!$G$340:$G$347</definedName>
    <definedName name="Narayanganj">'DR-TB 10A (Sputum &amp; EP Sample)'!$G$354:$G$361</definedName>
    <definedName name="Narsingdi" localSheetId="1">'DR-TB 10A (Stool)'!$G$361:$G$368</definedName>
    <definedName name="Narsingdi" localSheetId="5">'XDR Cartridges Test Report'!$G$348:$G$355</definedName>
    <definedName name="Narsingdi">'DR-TB 10A (Sputum &amp; EP Sample)'!$G$362:$G$369</definedName>
    <definedName name="Natore" localSheetId="1">'DR-TB 10A (Stool)'!$G$534:$G$542</definedName>
    <definedName name="Natore" localSheetId="5">'XDR Cartridges Test Report'!$G$521:$G$529</definedName>
    <definedName name="Natore">'DR-TB 10A (Sputum &amp; EP Sample)'!$G$537:$G$545</definedName>
    <definedName name="Nawabganj" localSheetId="1">'DR-TB 10A (Stool)'!$G$514:$G$520</definedName>
    <definedName name="Nawabganj" localSheetId="5">'XDR Cartridges Test Report'!$G$501:$G$507</definedName>
    <definedName name="Nawabganj">'DR-TB 10A (Sputum &amp; EP Sample)'!$G$517:$G$523</definedName>
    <definedName name="Netrakona" localSheetId="1">'DR-TB 10A (Stool)'!$G$482:$G$492</definedName>
    <definedName name="Netrakona" localSheetId="5">'XDR Cartridges Test Report'!$G$469:$G$479</definedName>
    <definedName name="Netrakona">'DR-TB 10A (Sputum &amp; EP Sample)'!$G$485:$G$495</definedName>
    <definedName name="Nilphamari" localSheetId="1">'DR-TB 10A (Stool)'!$G$606:$G$613</definedName>
    <definedName name="Nilphamari" localSheetId="5">'XDR Cartridges Test Report'!$G$593:$G$600</definedName>
    <definedName name="Nilphamari">'DR-TB 10A (Sputum &amp; EP Sample)'!$G$609:$G$616</definedName>
    <definedName name="Noakhali" localSheetId="1">'DR-TB 10A (Stool)'!$G$241:$G$249</definedName>
    <definedName name="Noakhali" localSheetId="5">'XDR Cartridges Test Report'!$G$228:$G$236</definedName>
    <definedName name="Noakhali">'DR-TB 10A (Sputum &amp; EP Sample)'!$G$241:$G$249</definedName>
    <definedName name="Pabna" localSheetId="1">'DR-TB 10A (Stool)'!$G$543:$G$552</definedName>
    <definedName name="Pabna" localSheetId="5">'XDR Cartridges Test Report'!$G$530:$G$539</definedName>
    <definedName name="Pabna">'DR-TB 10A (Sputum &amp; EP Sample)'!$G$546:$G$555</definedName>
    <definedName name="Panchagarh" localSheetId="1">'DR-TB 10A (Stool)'!$G$614:$G$619</definedName>
    <definedName name="Panchagarh" localSheetId="5">'XDR Cartridges Test Report'!$G$601:$G$606</definedName>
    <definedName name="Panchagarh">'DR-TB 10A (Sputum &amp; EP Sample)'!$G$617:$G$622</definedName>
    <definedName name="Patuakhali" localSheetId="1">'DR-TB 10A (Stool)'!$G$136:$G$142</definedName>
    <definedName name="Patuakhali" localSheetId="5">'XDR Cartridges Test Report'!$G$123:$G$129</definedName>
    <definedName name="Patuakhali">'DR-TB 10A (Sputum &amp; EP Sample)'!$G$136:$G$142</definedName>
    <definedName name="Pirojpur" localSheetId="1">'DR-TB 10A (Stool)'!$G$143:$G$149</definedName>
    <definedName name="Pirojpur" localSheetId="5">'XDR Cartridges Test Report'!$G$130:$G$136</definedName>
    <definedName name="Pirojpur">'DR-TB 10A (Sputum &amp; EP Sample)'!$G$143:$G$149</definedName>
    <definedName name="_xlnm.Print_Area" localSheetId="5">'XDR Cartridges Test Report'!$A$1:$Z$37</definedName>
    <definedName name="Rajbari" localSheetId="1">'DR-TB 10A (Stool)'!$G$369:$G$373</definedName>
    <definedName name="Rajbari" localSheetId="5">'XDR Cartridges Test Report'!$G$356:$G$360</definedName>
    <definedName name="Rajbari">'DR-TB 10A (Sputum &amp; EP Sample)'!$G$370:$G$374</definedName>
    <definedName name="Rajshahi" localSheetId="1">'DR-TB 10A (Stool)'!$G$553:$G$563</definedName>
    <definedName name="Rajshahi" localSheetId="5">'XDR Cartridges Test Report'!$G$540:$G$550</definedName>
    <definedName name="Rajshahi">'DR-TB 10A (Sputum &amp; EP Sample)'!$G$556:$G$566</definedName>
    <definedName name="Rajshahi_Division" localSheetId="1">'DR-TB 10A (Stool)'!$D$146:$D$153</definedName>
    <definedName name="Rajshahi_Division" localSheetId="5">'XDR Cartridges Test Report'!$D$133:$D$140</definedName>
    <definedName name="Rajshahi_Division">'DR-TB 10A (Sputum &amp; EP Sample)'!$D$146:$D$153</definedName>
    <definedName name="Rangamati" localSheetId="1">'DR-TB 10A (Stool)'!$G$250:$G$253</definedName>
    <definedName name="Rangamati" localSheetId="5">'XDR Cartridges Test Report'!$G$237:$G$240</definedName>
    <definedName name="Rangamati">'DR-TB 10A (Sputum &amp; EP Sample)'!$G$250:$G$253</definedName>
    <definedName name="Rangpur" localSheetId="1">'DR-TB 10A (Stool)'!$G$620:$G$628</definedName>
    <definedName name="Rangpur" localSheetId="5">'XDR Cartridges Test Report'!$G$607:$G$615</definedName>
    <definedName name="Rangpur">'DR-TB 10A (Sputum &amp; EP Sample)'!$G$623:$G$631</definedName>
    <definedName name="Rangpur_Division" localSheetId="1">'DR-TB 10A (Stool)'!$D$154:$D$161</definedName>
    <definedName name="Rangpur_Division" localSheetId="5">'XDR Cartridges Test Report'!$D$141:$D$148</definedName>
    <definedName name="Rangpur_Division">'DR-TB 10A (Sputum &amp; EP Sample)'!$D$154:$D$161</definedName>
    <definedName name="Satkhira" localSheetId="1">'DR-TB 10A (Stool)'!$G$448:$G$455</definedName>
    <definedName name="Satkhira" localSheetId="5">'XDR Cartridges Test Report'!$G$435:$G$442</definedName>
    <definedName name="Satkhira">'DR-TB 10A (Sputum &amp; EP Sample)'!$G$451:$G$458</definedName>
    <definedName name="Shariatpur" localSheetId="1">'DR-TB 10A (Stool)'!$G$374:$G$377</definedName>
    <definedName name="Shariatpur" localSheetId="5">'XDR Cartridges Test Report'!$G$361:$G$364</definedName>
    <definedName name="Shariatpur">'DR-TB 10A (Sputum &amp; EP Sample)'!$G$375:$G$378</definedName>
    <definedName name="Sherpur" localSheetId="1">'DR-TB 10A (Stool)'!$G$493:$G$498</definedName>
    <definedName name="Sherpur" localSheetId="5">'XDR Cartridges Test Report'!$G$480:$G$485</definedName>
    <definedName name="Sherpur">'DR-TB 10A (Sputum &amp; EP Sample)'!$G$496:$G$501</definedName>
    <definedName name="Sirajganj" localSheetId="1">'DR-TB 10A (Stool)'!$G$564:$G$573</definedName>
    <definedName name="Sirajganj" localSheetId="5">'XDR Cartridges Test Report'!$G$551:$G$560</definedName>
    <definedName name="Sirajganj">'DR-TB 10A (Sputum &amp; EP Sample)'!$G$567:$G$576</definedName>
    <definedName name="Sunamganj" localSheetId="1">'DR-TB 10A (Stool)'!$G$653:$G$661</definedName>
    <definedName name="Sunamganj" localSheetId="5">'XDR Cartridges Test Report'!$G$640:$G$648</definedName>
    <definedName name="Sunamganj">'DR-TB 10A (Sputum &amp; EP Sample)'!$G$656:$G$664</definedName>
    <definedName name="Sylhet" localSheetId="1">'DR-TB 10A (Stool)'!$G$662:$G$674</definedName>
    <definedName name="Sylhet" localSheetId="5">'XDR Cartridges Test Report'!$G$649:$G$661</definedName>
    <definedName name="Sylhet">'DR-TB 10A (Sputum &amp; EP Sample)'!$G$665:$G$677</definedName>
    <definedName name="Sylhet_Division" localSheetId="1">'DR-TB 10A (Stool)'!$D$162:$D$165</definedName>
    <definedName name="Sylhet_Division" localSheetId="5">'XDR Cartridges Test Report'!$D$149:$D$152</definedName>
    <definedName name="Sylhet_Division">'DR-TB 10A (Sputum &amp; EP Sample)'!$D$162:$D$165</definedName>
    <definedName name="Tangail" localSheetId="1">'DR-TB 10A (Stool)'!$G$378:$G$392</definedName>
    <definedName name="Tangail" localSheetId="5">'XDR Cartridges Test Report'!$G$365:$G$379</definedName>
    <definedName name="Tangail">'DR-TB 10A (Sputum &amp; EP Sample)'!$G$379:$G$393</definedName>
    <definedName name="Thakurgaon" localSheetId="1">'DR-TB 10A (Stool)'!$G$629:$G$634</definedName>
    <definedName name="Thakurgaon" localSheetId="5">'XDR Cartridges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6" l="1"/>
  <c r="Y31" i="6"/>
  <c r="X31" i="6"/>
  <c r="W31" i="6"/>
  <c r="V31" i="6"/>
  <c r="U31" i="6"/>
  <c r="T31" i="6"/>
  <c r="S31" i="6"/>
  <c r="R31" i="6"/>
  <c r="Q31" i="6"/>
  <c r="P31" i="6"/>
  <c r="O31" i="6"/>
  <c r="N31" i="6"/>
  <c r="M31" i="6"/>
  <c r="L31" i="6"/>
  <c r="K31" i="6"/>
  <c r="J31" i="6"/>
  <c r="I31" i="6"/>
  <c r="H31" i="6"/>
  <c r="G31" i="6"/>
  <c r="F31" i="6"/>
  <c r="E31" i="6"/>
  <c r="D31" i="6"/>
  <c r="C31" i="6"/>
  <c r="Z30" i="6"/>
  <c r="Z29" i="6"/>
  <c r="Z28" i="6"/>
  <c r="Z27" i="6"/>
  <c r="Z26" i="6"/>
  <c r="Z25" i="6"/>
  <c r="Z24" i="6"/>
  <c r="Z23" i="6"/>
  <c r="Z22" i="6"/>
  <c r="Z21" i="6"/>
  <c r="Z20" i="6"/>
  <c r="Z19" i="6"/>
  <c r="U6" i="6"/>
  <c r="Z31" i="6" l="1"/>
  <c r="L13" i="5"/>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<sst xmlns="http://schemas.openxmlformats.org/spreadsheetml/2006/main" count="5853" uniqueCount="923">
  <si>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</si>
  <si>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</si>
  <si>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</si>
  <si>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</si>
  <si>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</si>
  <si>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</si>
  <si>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</si>
  <si>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</si>
  <si>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</si>
  <si>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</si>
  <si>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</si>
  <si>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</si>
  <si>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</si>
  <si>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</si>
  <si>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</si>
  <si>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</si>
  <si>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</si>
  <si>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</si>
  <si>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</si>
  <si>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</si>
  <si>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</si>
  <si>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</si>
  <si>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</si>
  <si>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</si>
  <si>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</si>
  <si>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</si>
  <si>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</si>
  <si>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</si>
  <si>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</si>
  <si>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</si>
  <si>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</si>
  <si>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</si>
  <si>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</si>
  <si>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</si>
  <si>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</si>
  <si>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</si>
  <si>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</si>
  <si>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</si>
  <si>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</si>
  <si>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</si>
  <si>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</si>
  <si>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</si>
  <si>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</si>
  <si>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</si>
  <si>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</si>
  <si>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</si>
  <si>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</si>
  <si>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</si>
  <si>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</si>
  <si>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</si>
  <si>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</si>
  <si>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</si>
  <si>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</si>
  <si>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</si>
  <si>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</si>
  <si>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</si>
  <si>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</si>
  <si>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</si>
  <si>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</si>
  <si>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</si>
  <si>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</si>
  <si>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</si>
  <si>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</si>
  <si>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</si>
  <si>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</si>
  <si>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</si>
  <si>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</si>
  <si>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</si>
  <si>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</si>
  <si>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</si>
  <si>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</si>
  <si>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</si>
  <si>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</si>
  <si>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</si>
  <si>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</si>
  <si>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</si>
  <si>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</si>
  <si>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</si>
  <si>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</si>
  <si>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</si>
  <si>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</si>
  <si>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</si>
  <si>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</si>
  <si>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</si>
  <si>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</si>
  <si>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</si>
  <si>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</si>
  <si>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</si>
  <si>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</si>
  <si>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</si>
  <si>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</si>
  <si>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</si>
  <si>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</si>
  <si>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</si>
  <si>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</si>
  <si>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</si>
  <si>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</si>
  <si>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</si>
  <si>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</si>
  <si>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</si>
  <si>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</si>
  <si>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</si>
  <si>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</si>
  <si>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</si>
  <si>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</si>
  <si>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</si>
  <si>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</si>
  <si>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</si>
  <si>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</si>
  <si>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</si>
  <si>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</si>
  <si>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</si>
  <si>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</si>
  <si>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</si>
  <si>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</si>
  <si>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</si>
  <si>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</si>
  <si>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</si>
  <si>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</si>
  <si>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</si>
  <si>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</si>
  <si>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</si>
  <si>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</si>
  <si>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</si>
  <si>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</si>
  <si>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</si>
  <si>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</si>
  <si>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</si>
  <si>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</si>
  <si>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</si>
  <si>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</si>
  <si>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</si>
  <si>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</si>
  <si>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</si>
  <si>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</si>
  <si>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</si>
  <si>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</si>
  <si>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</si>
  <si>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</si>
  <si>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</si>
  <si>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</si>
  <si>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</si>
  <si>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</si>
  <si>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</si>
  <si>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</si>
  <si>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</si>
  <si>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</si>
  <si>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</si>
  <si>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</si>
  <si>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</si>
  <si>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</si>
  <si>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</si>
  <si>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</si>
  <si>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</si>
  <si>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</si>
  <si>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</si>
  <si>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</si>
  <si>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</si>
  <si>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</si>
  <si>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</si>
  <si>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</si>
  <si>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</si>
  <si>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</si>
  <si>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</si>
  <si>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</si>
  <si>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</si>
  <si>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</si>
  <si>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</si>
  <si>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</si>
  <si>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</si>
  <si>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</si>
  <si>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</si>
  <si>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</si>
  <si>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</si>
  <si>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</si>
  <si>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</si>
  <si>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</si>
  <si>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</si>
  <si>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</si>
  <si>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</si>
  <si>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</si>
  <si>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</si>
  <si>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</si>
  <si>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</si>
  <si>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</si>
  <si>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</si>
  <si>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</si>
  <si>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</si>
  <si>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</si>
  <si>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</si>
  <si>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</si>
  <si>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</si>
  <si>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</si>
  <si>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</si>
  <si>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</si>
  <si>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</si>
  <si>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</si>
  <si>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</si>
  <si>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</si>
  <si>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</si>
  <si>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</si>
  <si>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</si>
  <si>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</si>
  <si>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</si>
  <si>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</si>
  <si>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</si>
  <si>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</si>
  <si>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</si>
  <si>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</si>
  <si>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</si>
  <si>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</si>
  <si>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</si>
  <si>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</si>
  <si>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</si>
  <si>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</si>
  <si>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</si>
  <si>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</si>
  <si>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</si>
  <si>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</si>
  <si>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</si>
  <si>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</si>
  <si>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</si>
  <si>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</si>
  <si>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</si>
  <si>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</si>
  <si>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</si>
  <si>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</si>
  <si>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</si>
  <si>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</si>
  <si>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</si>
  <si>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</si>
  <si>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</si>
  <si>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</si>
  <si>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</si>
  <si>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</si>
  <si>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</si>
  <si>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</si>
  <si>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</si>
  <si>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</si>
  <si>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</si>
  <si>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</si>
  <si>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</si>
  <si>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</si>
  <si>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</si>
  <si>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</si>
  <si>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</si>
  <si>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</si>
  <si>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</si>
  <si>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</si>
  <si>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</si>
  <si>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</si>
  <si>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</si>
  <si>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</si>
  <si>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</si>
  <si>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</si>
  <si>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</si>
  <si>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</si>
  <si>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</si>
  <si>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</si>
  <si>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</si>
  <si>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</si>
  <si>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</si>
  <si>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</si>
  <si>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</si>
  <si>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</si>
  <si>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</si>
  <si>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</si>
  <si>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</si>
  <si>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</si>
  <si>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</si>
  <si>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</si>
  <si>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</si>
  <si>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</si>
  <si>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</si>
  <si>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</si>
  <si>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</si>
  <si>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</si>
  <si>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</si>
  <si>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</si>
  <si>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</si>
  <si>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</si>
  <si>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</si>
  <si>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</si>
  <si>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</si>
  <si>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</si>
  <si>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</si>
  <si>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</si>
  <si>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</si>
  <si>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</si>
  <si>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</si>
  <si>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</si>
  <si>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</si>
  <si>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</si>
  <si>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</si>
  <si>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</si>
  <si>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</si>
  <si>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</si>
  <si>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</si>
  <si>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</si>
  <si>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</si>
  <si>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</si>
  <si>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</si>
  <si>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</si>
  <si>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</si>
  <si>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</si>
  <si>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</si>
  <si>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</si>
  <si>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</si>
  <si>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</si>
  <si>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</si>
  <si>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</si>
  <si>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</si>
  <si>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</si>
  <si>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</si>
  <si>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</si>
  <si>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</si>
  <si>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</si>
  <si>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</si>
  <si>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</si>
  <si>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</si>
  <si>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</si>
  <si>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</si>
  <si>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</si>
  <si>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</si>
  <si>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</si>
  <si>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</si>
  <si>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</si>
  <si>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</si>
  <si>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</si>
  <si>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</si>
  <si>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</si>
  <si>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</si>
  <si>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</si>
  <si>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</si>
  <si>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</si>
  <si>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</si>
  <si>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</si>
  <si>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</si>
  <si>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</si>
  <si>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</si>
  <si>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</si>
  <si>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</si>
  <si>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</si>
  <si>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</si>
  <si>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</si>
  <si>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</si>
  <si>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</si>
  <si>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</si>
  <si>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</si>
  <si>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</si>
  <si>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</si>
  <si>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</si>
  <si>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</si>
  <si>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</si>
  <si>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</si>
  <si>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</si>
  <si>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</si>
  <si>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</si>
  <si>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</si>
  <si>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</si>
  <si>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</si>
  <si>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</si>
  <si>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</si>
  <si>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</si>
  <si>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</si>
  <si>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</si>
  <si>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</si>
  <si>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</si>
  <si>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</si>
  <si>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</si>
  <si>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</si>
  <si>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</si>
  <si>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</si>
  <si>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</si>
  <si>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</si>
  <si>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</si>
  <si>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</si>
  <si>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</si>
  <si>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</si>
  <si>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</si>
  <si>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</si>
  <si>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</si>
  <si>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</si>
  <si>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</si>
  <si>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</si>
  <si>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</si>
  <si>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</si>
  <si>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</si>
  <si>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</si>
  <si>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</si>
  <si>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</si>
  <si>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</si>
  <si>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</si>
  <si>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</si>
  <si>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</si>
  <si>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</si>
  <si>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</si>
  <si>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</si>
  <si>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</si>
  <si>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</si>
  <si>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</si>
  <si>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</si>
  <si>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</si>
  <si>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</si>
  <si>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</si>
  <si>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</si>
  <si>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</si>
  <si>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</si>
  <si>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</si>
  <si>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</si>
  <si>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</si>
  <si>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</si>
  <si>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</si>
  <si>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</si>
  <si>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</si>
  <si>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</si>
  <si>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</si>
  <si>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</si>
  <si>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</si>
  <si>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</si>
  <si>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</si>
  <si>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</si>
  <si>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</si>
  <si>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</si>
  <si>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</si>
  <si>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</si>
  <si>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</si>
  <si>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</si>
  <si>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</si>
  <si>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</si>
  <si>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</si>
  <si>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</si>
  <si>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</si>
  <si>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</si>
  <si>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</si>
  <si>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</si>
  <si>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</si>
  <si>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</si>
  <si>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</si>
  <si>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</si>
  <si>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</si>
  <si>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</si>
  <si>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</si>
  <si>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</si>
  <si>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</si>
  <si>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</si>
  <si>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</si>
  <si>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</si>
  <si>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</si>
  <si>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</si>
  <si>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</si>
  <si>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</si>
  <si>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</si>
  <si>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</si>
  <si>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</si>
  <si>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</si>
  <si>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</si>
  <si>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</si>
  <si>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</si>
  <si>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</si>
  <si>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</si>
  <si>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</si>
  <si>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</si>
  <si>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</si>
  <si>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</si>
  <si>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</si>
  <si>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</si>
  <si>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</si>
  <si>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</si>
  <si>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</si>
  <si>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</si>
  <si>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</si>
  <si>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</si>
  <si>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</si>
  <si>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</si>
  <si>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</si>
  <si>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</si>
  <si>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</si>
  <si>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</si>
  <si>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</si>
  <si>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</si>
  <si>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</si>
  <si>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</si>
  <si>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</si>
  <si>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</si>
  <si>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</si>
  <si>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</si>
  <si>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</si>
  <si>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</si>
  <si>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</si>
  <si>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</si>
  <si>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</si>
  <si>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</si>
  <si>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</si>
  <si>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</si>
  <si>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</si>
  <si>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</si>
  <si>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</si>
  <si>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</si>
  <si>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</si>
  <si>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</si>
  <si>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</si>
  <si>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</si>
  <si>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</si>
  <si>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</si>
  <si>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</si>
  <si>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</si>
  <si>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</si>
  <si>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</si>
  <si>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</si>
  <si>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</si>
  <si>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</si>
  <si>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</si>
  <si>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</si>
  <si>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</si>
  <si>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</si>
  <si>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</si>
  <si>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</si>
  <si>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</si>
  <si>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</si>
  <si>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</si>
  <si>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</si>
  <si>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</si>
  <si>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</si>
  <si>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</si>
  <si>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</si>
  <si>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</si>
  <si>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</si>
  <si>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</si>
  <si>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</si>
  <si>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</si>
  <si>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</si>
  <si>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</si>
  <si>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</si>
  <si>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</si>
  <si>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</si>
  <si>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</si>
  <si>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</si>
  <si>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</si>
  <si>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</si>
  <si>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</si>
  <si>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</si>
  <si>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</si>
  <si>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</si>
  <si>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</si>
  <si>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</si>
  <si>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</si>
  <si>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</si>
  <si>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</si>
  <si>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</si>
  <si>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</si>
  <si>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</si>
  <si>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</si>
  <si>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</si>
  <si>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</si>
  <si>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</si>
  <si>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</si>
  <si>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</si>
  <si>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</si>
  <si>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</si>
  <si>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</si>
  <si>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</si>
  <si>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</si>
  <si>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</si>
  <si>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</si>
  <si>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</si>
  <si>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</si>
  <si>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</si>
  <si>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</si>
  <si>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</si>
  <si>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</si>
  <si>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</si>
  <si>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</si>
  <si>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</si>
  <si>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</si>
  <si>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</si>
  <si>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</si>
  <si>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</si>
  <si>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</si>
  <si>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</si>
  <si>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</si>
  <si>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</si>
  <si>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</si>
  <si>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</si>
  <si>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</si>
  <si>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</si>
  <si>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</si>
  <si>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</si>
  <si>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</si>
  <si>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</si>
  <si>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</si>
  <si>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</si>
  <si>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</si>
  <si>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</si>
  <si>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</si>
  <si>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</si>
  <si>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</si>
  <si>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</si>
  <si>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</si>
  <si>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</si>
  <si>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</si>
  <si>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</si>
  <si>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</si>
  <si>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</si>
  <si>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</si>
  <si>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</si>
  <si>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</si>
  <si>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</si>
  <si>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</si>
  <si>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</si>
  <si>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</si>
  <si>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</si>
  <si>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</si>
  <si>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</si>
  <si>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</si>
  <si>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</si>
  <si>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</si>
  <si>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</si>
  <si>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</si>
  <si>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</si>
  <si>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</si>
  <si>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</si>
  <si>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</si>
  <si>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</si>
  <si>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</si>
  <si>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</si>
  <si>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</si>
  <si>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</si>
  <si>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</si>
  <si>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</si>
  <si>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</si>
  <si>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</si>
  <si>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</si>
  <si>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</si>
  <si>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</si>
  <si>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</si>
  <si>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</si>
  <si>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</si>
  <si>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</si>
  <si>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</si>
  <si>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</si>
  <si>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</si>
  <si>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</si>
  <si>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</si>
  <si>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</si>
  <si>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</si>
  <si>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</si>
  <si>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</si>
  <si>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</si>
  <si>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</si>
  <si>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</si>
  <si>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</si>
  <si>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</si>
  <si>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</si>
  <si>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</si>
  <si>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</si>
  <si>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</si>
  <si>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</si>
  <si>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</si>
  <si>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</si>
  <si>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</si>
  <si>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</si>
  <si>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</si>
  <si>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</si>
  <si>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</si>
  <si>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</si>
  <si>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</si>
  <si>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</si>
  <si>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</si>
  <si>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</si>
  <si>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</si>
  <si>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</si>
  <si>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</si>
  <si>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</si>
  <si>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</si>
  <si>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</si>
  <si>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</si>
  <si>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</si>
  <si>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</si>
  <si>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</si>
  <si>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</si>
  <si>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</si>
  <si>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</si>
  <si>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</si>
  <si>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</si>
  <si>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</si>
  <si>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</si>
  <si>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</si>
  <si>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</si>
  <si>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</si>
  <si>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</si>
  <si>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</si>
  <si>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</si>
  <si>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</si>
  <si>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</si>
  <si>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</si>
  <si>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</si>
  <si>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</si>
  <si>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</si>
  <si>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</si>
  <si>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</si>
  <si>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</si>
  <si>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</si>
  <si>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</si>
  <si>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</si>
  <si>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</si>
  <si>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</si>
  <si>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</si>
  <si>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</si>
  <si>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</si>
  <si>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</si>
  <si>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</si>
  <si>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</si>
  <si>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</si>
  <si>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</si>
  <si>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</si>
  <si>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</si>
  <si>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</si>
  <si>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</si>
  <si>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</si>
  <si>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</si>
  <si>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</si>
  <si>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</si>
  <si>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</si>
  <si>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</si>
  <si>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</si>
  <si>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</si>
  <si>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</si>
  <si>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</si>
  <si>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</si>
  <si>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</si>
  <si>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</si>
  <si>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</si>
  <si>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</si>
  <si>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</si>
  <si>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</si>
  <si>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</si>
  <si>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</si>
  <si>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</si>
  <si>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</si>
  <si>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</si>
  <si>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</si>
  <si>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</si>
  <si>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</si>
  <si>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</si>
  <si>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</si>
  <si>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</si>
  <si>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</si>
  <si>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</si>
  <si>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</si>
  <si>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</si>
  <si>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</si>
  <si>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</si>
  <si>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</si>
  <si>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</si>
  <si>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</si>
  <si>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</si>
  <si>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</si>
  <si>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</si>
  <si>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</si>
  <si>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</si>
  <si>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</si>
  <si>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</si>
  <si>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</si>
  <si>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</si>
  <si>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</si>
  <si>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</si>
  <si>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</si>
  <si>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</si>
  <si>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</si>
  <si>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</si>
  <si>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</si>
  <si>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</si>
  <si>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</si>
  <si>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</si>
  <si>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</si>
  <si>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</si>
  <si>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</si>
  <si>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</si>
  <si>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</si>
  <si>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</si>
  <si>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</si>
  <si>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</si>
  <si>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</si>
  <si>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</si>
  <si>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</si>
  <si>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</si>
  <si>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</si>
  <si>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</si>
  <si>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</si>
  <si>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</si>
  <si>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</si>
  <si>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</si>
  <si>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</si>
  <si>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</si>
  <si>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</si>
  <si>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</si>
  <si>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</si>
  <si>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</si>
  <si>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</si>
  <si>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</si>
  <si>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</si>
  <si>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</si>
  <si>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</si>
  <si>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</si>
  <si>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</si>
  <si>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</si>
  <si>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</si>
  <si>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</si>
  <si>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</si>
  <si>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</si>
  <si>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</si>
  <si>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</si>
  <si>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</si>
  <si>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</si>
  <si>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</si>
  <si>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</si>
  <si>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</si>
  <si>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</si>
  <si>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</si>
  <si>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</si>
  <si>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</si>
  <si>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</si>
  <si>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</si>
  <si>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</si>
  <si>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</si>
  <si>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</si>
  <si>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</si>
  <si>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</si>
  <si>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</si>
  <si>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</si>
  <si>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</si>
  <si>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</si>
  <si>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</si>
  <si>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</si>
  <si>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</si>
  <si>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</si>
  <si>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</si>
  <si>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</si>
  <si>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</si>
  <si>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</si>
  <si>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</si>
  <si>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</si>
  <si>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</si>
  <si>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</si>
  <si>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</si>
  <si>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</si>
  <si>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</si>
  <si>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</si>
  <si>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</si>
  <si>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</si>
  <si>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</si>
  <si>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</si>
  <si>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</si>
  <si>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</si>
  <si>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</si>
  <si>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</si>
  <si>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</si>
  <si>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</si>
  <si>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</si>
  <si>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</si>
  <si>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</si>
  <si>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</si>
  <si>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</si>
  <si>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</si>
  <si>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</si>
  <si>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</si>
  <si>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</si>
  <si>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</si>
  <si>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</si>
  <si>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</si>
  <si>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</si>
  <si>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</si>
  <si>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</si>
  <si>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</si>
  <si>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</si>
  <si>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</si>
  <si>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</si>
  <si>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</si>
  <si>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</si>
  <si>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</si>
  <si>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</si>
  <si>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</si>
  <si>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</si>
  <si>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</si>
  <si>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</si>
  <si>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</si>
  <si>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</si>
  <si>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</si>
  <si>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</si>
  <si>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Month</t>
  </si>
  <si>
    <t>Quarter of year:</t>
  </si>
  <si>
    <t>Type of Cartridge</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</si>
  <si>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</si>
  <si>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</si>
  <si>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</si>
  <si>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</si>
  <si>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</si>
  <si>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</si>
  <si>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</si>
  <si>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</si>
  <si>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</si>
  <si>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</si>
  <si>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</si>
  <si>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</si>
  <si>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</si>
  <si>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</si>
  <si>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</si>
  <si>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</si>
  <si>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</si>
  <si>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</si>
  <si>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</si>
  <si>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</si>
  <si>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</si>
  <si>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</si>
  <si>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</si>
  <si>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</si>
  <si>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</si>
  <si>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</si>
  <si>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 xml:space="preserve">Treatment His. Unknown / New </t>
  </si>
  <si>
    <t>Treatment His. Unknown / New</t>
  </si>
  <si>
    <t>&lt;userName&gt;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</si>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</sst>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0">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6">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rgb="FFFFFFCC"/>
        <bgColor indexed="64"/>
      </patternFill>
    </fill>
    <fill>
      <patternFill patternType="solid">
        <fgColor theme="8" tint="0.39997558519241921"/>
        <bgColor indexed="64"/>
      </patternFill>
    </fill>
    <fill>
      <patternFill patternType="solid">
        <fgColor theme="8" tint="0.59999389629810485"/>
        <bgColor indexed="64"/>
      </patternFill>
    </fill>
  </fills>
  <borders count="92">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s>
  <cellStyleXfs count="4">
    <xf numFmtId="0" fontId="0" fillId="0" borderId="0"/>
    <xf numFmtId="0" fontId="38" fillId="0" borderId="1"/>
    <xf numFmtId="0" fontId="37" fillId="0" borderId="1"/>
    <xf numFmtId="0" fontId="37" fillId="0" borderId="1"/>
  </cellStyleXfs>
  <cellXfs count="399">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1" fillId="0" borderId="1" xfId="1" applyFont="1" applyAlignment="1" applyProtection="1">
      <alignment vertical="center"/>
      <protection hidden="1"/>
    </xf>
    <xf numFmtId="0" fontId="8" fillId="0" borderId="1" xfId="1" applyFont="1" applyAlignment="1" applyProtection="1">
      <alignment vertical="center"/>
      <protection hidden="1"/>
    </xf>
    <xf numFmtId="0" fontId="2" fillId="0" borderId="80" xfId="1" applyFont="1" applyBorder="1" applyAlignment="1" applyProtection="1">
      <alignment horizontal="center" vertical="center" shrinkToFit="1"/>
      <protection locked="0"/>
    </xf>
    <xf numFmtId="0" fontId="8" fillId="0" borderId="1" xfId="1" applyFont="1" applyAlignment="1" applyProtection="1">
      <alignment horizontal="center" vertical="center"/>
      <protection hidden="1"/>
    </xf>
    <xf numFmtId="0" fontId="8" fillId="0" borderId="1" xfId="1" applyFont="1" applyAlignment="1" applyProtection="1">
      <alignment horizontal="lef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3" fillId="14" borderId="88" xfId="1" applyFont="1" applyFill="1" applyBorder="1" applyAlignment="1" applyProtection="1">
      <alignment horizontal="center" vertical="center" shrinkToFit="1"/>
      <protection hidden="1"/>
    </xf>
    <xf numFmtId="0" fontId="42" fillId="14" borderId="88" xfId="1" applyFont="1" applyFill="1" applyBorder="1" applyAlignment="1" applyProtection="1">
      <alignment horizontal="center" vertical="center" wrapText="1"/>
      <protection hidden="1"/>
    </xf>
    <xf numFmtId="0" fontId="43" fillId="14" borderId="88" xfId="1" applyFont="1" applyFill="1" applyBorder="1" applyAlignment="1" applyProtection="1">
      <alignment vertical="center"/>
      <protection locked="0"/>
    </xf>
    <xf numFmtId="0" fontId="43" fillId="14" borderId="88" xfId="1" applyFont="1" applyFill="1" applyBorder="1" applyAlignment="1">
      <alignment horizontal="center" vertical="center"/>
    </xf>
    <xf numFmtId="0" fontId="45" fillId="14" borderId="88" xfId="2" applyFont="1" applyFill="1" applyBorder="1" applyAlignment="1">
      <alignment horizontal="center" vertical="center"/>
    </xf>
    <xf numFmtId="0" fontId="45" fillId="14" borderId="88" xfId="2" applyFont="1" applyFill="1" applyBorder="1" applyAlignment="1">
      <alignment horizontal="center" vertical="top" wrapText="1"/>
    </xf>
    <xf numFmtId="0" fontId="45" fillId="14"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41" fillId="14" borderId="88" xfId="1" applyNumberFormat="1" applyFont="1" applyFill="1" applyBorder="1" applyAlignment="1" applyProtection="1">
      <alignment horizontal="center" vertical="center"/>
      <protection hidden="1"/>
    </xf>
    <xf numFmtId="0" fontId="45" fillId="14"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vertical="center"/>
      <protection hidden="1"/>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1" xfId="1" applyFont="1" applyAlignment="1" applyProtection="1">
      <alignment horizontal="center" vertical="center"/>
      <protection hidden="1"/>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5"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xf numFmtId="0" fontId="17" fillId="0" borderId="54" xfId="0" applyFont="1" applyBorder="1" applyAlignment="1">
      <alignment horizontal="left" vertical="center" wrapText="1"/>
    </xf>
    <xf numFmtId="0" fontId="7" fillId="0" borderId="32" xfId="0" applyFont="1" applyBorder="1"/>
    <xf numFmtId="0" fontId="7" fillId="0" borderId="36" xfId="0" applyFont="1" applyBorder="1"/>
    <xf numFmtId="0" fontId="6" fillId="0" borderId="55" xfId="0" applyFont="1" applyBorder="1" applyAlignment="1">
      <alignment horizontal="center" vertical="center" wrapText="1"/>
    </xf>
    <xf numFmtId="0" fontId="7" fillId="0" borderId="45" xfId="0" applyFont="1" applyBorder="1"/>
    <xf numFmtId="0" fontId="7" fillId="0" borderId="57" xfId="0" applyFont="1" applyBorder="1"/>
    <xf numFmtId="0" fontId="6" fillId="0" borderId="25" xfId="0" applyFont="1" applyBorder="1" applyAlignment="1">
      <alignment horizontal="center" vertical="center" wrapText="1"/>
    </xf>
    <xf numFmtId="0" fontId="7" fillId="0" borderId="78" xfId="0" applyFont="1" applyBorder="1"/>
    <xf numFmtId="0" fontId="7" fillId="0" borderId="58" xfId="0" applyFont="1" applyBorder="1"/>
    <xf numFmtId="0" fontId="3" fillId="3" borderId="34" xfId="0" applyFont="1" applyFill="1" applyBorder="1" applyAlignment="1">
      <alignment horizontal="center" vertical="center" wrapText="1"/>
    </xf>
    <xf numFmtId="0" fontId="7" fillId="0" borderId="35" xfId="0" applyFont="1" applyBorder="1"/>
    <xf numFmtId="0" fontId="7" fillId="0" borderId="38" xfId="0" applyFont="1" applyBorder="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xf numFmtId="0" fontId="19" fillId="0" borderId="78" xfId="0" applyFont="1" applyBorder="1" applyAlignment="1">
      <alignment horizontal="left" vertical="center" wrapText="1"/>
    </xf>
    <xf numFmtId="0" fontId="7" fillId="0" borderId="26" xfId="0" applyFont="1" applyBorder="1"/>
    <xf numFmtId="0" fontId="18" fillId="0" borderId="55" xfId="0" applyFont="1" applyBorder="1" applyAlignment="1">
      <alignment horizontal="left" vertical="center" wrapText="1"/>
    </xf>
    <xf numFmtId="0" fontId="7" fillId="0" borderId="51" xfId="0" applyFont="1" applyBorder="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3" fillId="0" borderId="76" xfId="0" applyFont="1" applyBorder="1" applyAlignment="1">
      <alignment horizontal="center" vertical="center"/>
    </xf>
    <xf numFmtId="0" fontId="7" fillId="0" borderId="12" xfId="0" applyFont="1" applyBorder="1"/>
    <xf numFmtId="0" fontId="7" fillId="0" borderId="13" xfId="0" applyFont="1" applyBorder="1"/>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7" fillId="0" borderId="50" xfId="0" applyFont="1" applyBorder="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xf numFmtId="164" fontId="2" fillId="0" borderId="2" xfId="0" applyNumberFormat="1" applyFont="1" applyBorder="1" applyAlignment="1">
      <alignment horizontal="left" vertical="center" shrinkToFit="1"/>
    </xf>
    <xf numFmtId="0" fontId="7" fillId="0" borderId="2" xfId="0" applyFont="1" applyBorder="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67" xfId="0" applyFont="1" applyBorder="1"/>
    <xf numFmtId="0" fontId="7" fillId="0" borderId="79" xfId="0" applyFont="1" applyBorder="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7" fillId="0" borderId="20" xfId="0" applyFont="1" applyBorder="1"/>
    <xf numFmtId="0" fontId="7" fillId="0" borderId="21" xfId="0" applyFont="1" applyBorder="1"/>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7" fillId="0" borderId="10" xfId="0" applyFont="1" applyBorder="1"/>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xf numFmtId="0" fontId="7" fillId="0" borderId="14" xfId="0" applyFont="1" applyBorder="1"/>
    <xf numFmtId="0" fontId="7" fillId="0" borderId="72" xfId="0" applyFont="1" applyBorder="1"/>
    <xf numFmtId="0" fontId="7" fillId="0" borderId="17" xfId="0" applyFont="1" applyBorder="1"/>
    <xf numFmtId="0" fontId="7" fillId="0" borderId="18" xfId="0" applyFont="1" applyBorder="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xf numFmtId="0" fontId="12" fillId="0" borderId="46" xfId="0" applyFont="1" applyBorder="1" applyAlignment="1">
      <alignment horizontal="left" vertical="center" wrapText="1"/>
    </xf>
    <xf numFmtId="0" fontId="7" fillId="0" borderId="47" xfId="0" applyFont="1" applyBorder="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xf numFmtId="0" fontId="7" fillId="0" borderId="62" xfId="0" applyFont="1" applyBorder="1"/>
    <xf numFmtId="0" fontId="12" fillId="0" borderId="59" xfId="0" applyFont="1" applyBorder="1" applyAlignment="1">
      <alignment horizontal="left" vertical="center" wrapText="1"/>
    </xf>
    <xf numFmtId="0" fontId="7" fillId="0" borderId="60" xfId="0" applyFont="1" applyBorder="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49" fontId="10" fillId="0" borderId="0" xfId="0" applyNumberFormat="1" applyFont="1" applyAlignment="1">
      <alignment horizontal="center" shrinkToFi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30" fillId="0" borderId="56" xfId="0" applyFont="1" applyBorder="1" applyAlignment="1">
      <alignment horizontal="center" vertical="center"/>
    </xf>
    <xf numFmtId="0" fontId="11" fillId="0" borderId="0" xfId="0" applyFont="1" applyAlignment="1">
      <alignment horizontal="center" vertical="center" wrapText="1"/>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 fillId="0" borderId="76" xfId="0" applyFont="1" applyBorder="1" applyAlignment="1">
      <alignment horizontal="center" vertical="center" wrapText="1"/>
    </xf>
    <xf numFmtId="0" fontId="3" fillId="8" borderId="76" xfId="0" applyFont="1" applyFill="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2" fillId="0" borderId="89" xfId="1" applyFont="1" applyBorder="1" applyAlignment="1" applyProtection="1">
      <alignment horizontal="left" vertical="center" shrinkToFit="1"/>
      <protection locked="0"/>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2" fillId="14" borderId="88" xfId="1" applyFont="1" applyFill="1" applyBorder="1" applyAlignment="1" applyProtection="1">
      <alignment horizontal="center" vertical="center"/>
      <protection hidden="1"/>
    </xf>
    <xf numFmtId="0" fontId="45" fillId="14" borderId="84" xfId="2" applyFont="1" applyFill="1" applyBorder="1" applyAlignment="1">
      <alignment horizontal="center" vertical="top" wrapText="1"/>
    </xf>
    <xf numFmtId="0" fontId="45" fillId="14" borderId="85" xfId="2" applyFont="1" applyFill="1" applyBorder="1" applyAlignment="1">
      <alignment horizontal="center" vertical="top" wrapText="1"/>
    </xf>
    <xf numFmtId="0" fontId="45" fillId="14" borderId="86" xfId="2" applyFont="1" applyFill="1" applyBorder="1" applyAlignment="1">
      <alignment horizontal="center" vertical="top" wrapText="1"/>
    </xf>
    <xf numFmtId="0" fontId="45" fillId="14" borderId="84" xfId="2" applyFont="1" applyFill="1" applyBorder="1" applyAlignment="1">
      <alignment horizontal="center" vertical="center" wrapText="1"/>
    </xf>
    <xf numFmtId="0" fontId="45" fillId="14" borderId="85" xfId="2" applyFont="1" applyFill="1" applyBorder="1" applyAlignment="1">
      <alignment horizontal="center" vertical="center" wrapText="1"/>
    </xf>
    <xf numFmtId="0" fontId="45" fillId="14" borderId="86" xfId="2" applyFont="1" applyFill="1" applyBorder="1" applyAlignment="1">
      <alignment horizontal="center" vertical="center" wrapText="1"/>
    </xf>
    <xf numFmtId="0" fontId="42" fillId="14" borderId="83" xfId="1" applyFont="1" applyFill="1" applyBorder="1" applyAlignment="1" applyProtection="1">
      <alignment horizontal="center" vertical="center" wrapText="1"/>
      <protection hidden="1"/>
    </xf>
    <xf numFmtId="0" fontId="42" fillId="14" borderId="87" xfId="1" applyFont="1" applyFill="1" applyBorder="1" applyAlignment="1" applyProtection="1">
      <alignment horizontal="center" vertical="center" wrapText="1"/>
      <protection hidden="1"/>
    </xf>
    <xf numFmtId="0" fontId="43" fillId="14" borderId="84" xfId="1" applyFont="1" applyFill="1" applyBorder="1" applyAlignment="1" applyProtection="1">
      <alignment horizontal="center" vertical="center" wrapText="1"/>
      <protection hidden="1"/>
    </xf>
    <xf numFmtId="0" fontId="43" fillId="14" borderId="85" xfId="1" applyFont="1" applyFill="1" applyBorder="1" applyAlignment="1" applyProtection="1">
      <alignment horizontal="center" vertical="center" wrapText="1"/>
      <protection hidden="1"/>
    </xf>
    <xf numFmtId="0" fontId="43" fillId="14" borderId="86" xfId="1" applyFont="1" applyFill="1" applyBorder="1" applyAlignment="1" applyProtection="1">
      <alignment horizontal="center" vertical="center" wrapText="1"/>
      <protection hidden="1"/>
    </xf>
    <xf numFmtId="0" fontId="44" fillId="14" borderId="84" xfId="1" applyFont="1" applyFill="1" applyBorder="1" applyAlignment="1" applyProtection="1">
      <alignment horizontal="center" vertical="center" wrapText="1"/>
      <protection hidden="1"/>
    </xf>
    <xf numFmtId="0" fontId="44" fillId="14" borderId="85" xfId="1" applyFont="1" applyFill="1" applyBorder="1" applyAlignment="1" applyProtection="1">
      <alignment horizontal="center" vertical="center" wrapText="1"/>
      <protection hidden="1"/>
    </xf>
    <xf numFmtId="0" fontId="44" fillId="14" borderId="86" xfId="1" applyFont="1" applyFill="1" applyBorder="1" applyAlignment="1" applyProtection="1">
      <alignment horizontal="center" vertical="center" wrapText="1"/>
      <protection hidden="1"/>
    </xf>
    <xf numFmtId="0" fontId="44" fillId="14" borderId="83" xfId="1" applyFont="1" applyFill="1" applyBorder="1" applyAlignment="1" applyProtection="1">
      <alignment horizontal="center" vertical="center" wrapText="1"/>
      <protection hidden="1"/>
    </xf>
    <xf numFmtId="0" fontId="44" fillId="14" borderId="87" xfId="1" applyFont="1" applyFill="1" applyBorder="1" applyAlignment="1" applyProtection="1">
      <alignment horizontal="center" vertical="center" wrapText="1"/>
      <protection hidden="1"/>
    </xf>
    <xf numFmtId="0" fontId="45" fillId="14" borderId="88" xfId="2" applyFont="1" applyFill="1" applyBorder="1" applyAlignment="1">
      <alignment horizontal="center" vertical="center"/>
    </xf>
    <xf numFmtId="0" fontId="40" fillId="0" borderId="80" xfId="1" applyFont="1" applyBorder="1" applyAlignment="1" applyProtection="1">
      <alignment horizontal="left" vertical="top"/>
      <protection hidden="1"/>
    </xf>
    <xf numFmtId="0" fontId="39" fillId="0" borderId="80" xfId="1" applyFont="1" applyBorder="1" applyAlignment="1" applyProtection="1">
      <alignment horizontal="center" vertical="center" shrinkToFit="1"/>
      <protection locked="0"/>
    </xf>
    <xf numFmtId="0" fontId="41" fillId="0" borderId="81" xfId="1" applyFont="1" applyBorder="1" applyAlignment="1" applyProtection="1">
      <alignment horizontal="left" vertical="center" shrinkToFit="1"/>
      <protection locked="0"/>
    </xf>
    <xf numFmtId="0" fontId="39" fillId="0" borderId="81" xfId="1" applyFont="1" applyBorder="1" applyAlignment="1" applyProtection="1">
      <alignment horizontal="center" vertical="center" shrinkToFit="1"/>
      <protection locked="0"/>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40" fillId="0" borderId="80" xfId="1" applyFont="1" applyBorder="1" applyAlignment="1" applyProtection="1">
      <alignment horizontal="center" vertical="center"/>
      <protection hidden="1"/>
    </xf>
    <xf numFmtId="0" fontId="2" fillId="13" borderId="80" xfId="1" applyFont="1" applyFill="1" applyBorder="1" applyAlignment="1" applyProtection="1">
      <alignment horizontal="center" vertical="center"/>
      <protection hidden="1"/>
    </xf>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workbookViewId="0">
      <selection activeCell="G10" sqref="G10"/>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4" t="s">
        <v>0</v>
      </c>
      <c r="B1" s="204"/>
      <c r="C1" s="204"/>
      <c r="D1" s="204"/>
      <c r="E1" s="204"/>
      <c r="F1" s="204"/>
      <c r="G1" s="204"/>
      <c r="H1" s="204"/>
      <c r="I1" s="204"/>
      <c r="J1" s="204"/>
      <c r="K1" s="204"/>
      <c r="L1" s="204"/>
      <c r="M1" s="204"/>
      <c r="N1" s="204"/>
      <c r="O1" s="204"/>
      <c r="P1" s="204"/>
      <c r="Q1" s="204"/>
      <c r="R1" s="204"/>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4" t="s">
        <v>2</v>
      </c>
      <c r="B2" s="204"/>
      <c r="C2" s="204"/>
      <c r="D2" s="204"/>
      <c r="E2" s="204"/>
      <c r="F2" s="204"/>
      <c r="G2" s="204"/>
      <c r="H2" s="204"/>
      <c r="I2" s="204"/>
      <c r="J2" s="204"/>
      <c r="K2" s="204"/>
      <c r="L2" s="204"/>
      <c r="M2" s="204"/>
      <c r="N2" s="204"/>
      <c r="O2" s="204"/>
      <c r="P2" s="204"/>
      <c r="Q2" s="204"/>
      <c r="R2" s="204"/>
      <c r="S2" s="204"/>
      <c r="T2" s="204"/>
      <c r="U2" s="204"/>
      <c r="V2" s="5"/>
      <c r="W2" s="2"/>
      <c r="X2" s="2"/>
      <c r="Y2" s="4"/>
      <c r="Z2" s="4"/>
      <c r="AA2" s="4"/>
      <c r="AB2" s="4"/>
      <c r="AC2" s="4"/>
      <c r="AD2" s="4"/>
      <c r="AE2" s="4"/>
      <c r="AF2" s="4"/>
      <c r="AG2" s="4"/>
      <c r="AH2" s="4"/>
      <c r="AI2" s="4"/>
      <c r="AJ2" s="4"/>
      <c r="AK2" s="4"/>
      <c r="AL2" s="4"/>
      <c r="AM2" s="4"/>
      <c r="AN2" s="4"/>
      <c r="AO2" s="4"/>
    </row>
    <row r="3" spans="1:41" ht="13.5" customHeight="1">
      <c r="A3" s="264" t="s">
        <v>3</v>
      </c>
      <c r="B3" s="204"/>
      <c r="C3" s="204"/>
      <c r="D3" s="204"/>
      <c r="E3" s="204"/>
      <c r="F3" s="204"/>
      <c r="G3" s="204"/>
      <c r="H3" s="204"/>
      <c r="I3" s="204"/>
      <c r="J3" s="204"/>
      <c r="K3" s="204"/>
      <c r="L3" s="204"/>
      <c r="M3" s="204"/>
      <c r="N3" s="204"/>
      <c r="O3" s="204"/>
      <c r="P3" s="204"/>
      <c r="Q3" s="204"/>
      <c r="R3" s="204"/>
      <c r="S3" s="1"/>
      <c r="T3" s="1"/>
      <c r="U3" s="1"/>
      <c r="V3" s="5"/>
      <c r="W3" s="2"/>
      <c r="X3" s="2"/>
      <c r="Y3" s="4"/>
      <c r="Z3" s="4"/>
      <c r="AA3" s="4"/>
      <c r="AB3" s="4"/>
      <c r="AC3" s="4"/>
      <c r="AD3" s="4"/>
      <c r="AE3" s="4"/>
      <c r="AF3" s="4"/>
      <c r="AG3" s="4"/>
      <c r="AH3" s="4"/>
      <c r="AI3" s="4"/>
      <c r="AJ3" s="4"/>
      <c r="AK3" s="4"/>
      <c r="AL3" s="4"/>
      <c r="AM3" s="4"/>
      <c r="AN3" s="4"/>
      <c r="AO3" s="4"/>
    </row>
    <row r="4" spans="1:41" ht="13.5" customHeight="1">
      <c r="A4" s="265" t="s">
        <v>4</v>
      </c>
      <c r="B4" s="204"/>
      <c r="C4" s="204"/>
      <c r="D4" s="204"/>
      <c r="E4" s="204"/>
      <c r="F4" s="204"/>
      <c r="G4" s="204"/>
      <c r="H4" s="204"/>
      <c r="I4" s="204"/>
      <c r="J4" s="204"/>
      <c r="K4" s="204"/>
      <c r="L4" s="204"/>
      <c r="M4" s="204"/>
      <c r="N4" s="204"/>
      <c r="O4" s="204"/>
      <c r="P4" s="204"/>
      <c r="Q4" s="204"/>
      <c r="R4" s="204"/>
      <c r="S4" s="204"/>
      <c r="T4" s="204"/>
      <c r="U4" s="204"/>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6"/>
      <c r="D6" s="227"/>
      <c r="E6" s="227"/>
      <c r="F6" s="227"/>
      <c r="G6" s="227"/>
      <c r="H6" s="4"/>
      <c r="I6" s="2"/>
      <c r="J6" s="11" t="s">
        <v>6</v>
      </c>
      <c r="K6" s="4"/>
      <c r="L6" s="267" t="s">
        <v>7</v>
      </c>
      <c r="M6" s="227"/>
      <c r="N6" s="227"/>
      <c r="O6" s="227"/>
      <c r="P6" s="227"/>
      <c r="Q6" s="227"/>
      <c r="R6" s="227"/>
      <c r="S6" s="227"/>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69"/>
      <c r="D7" s="225"/>
      <c r="E7" s="225"/>
      <c r="F7" s="225"/>
      <c r="G7" s="225"/>
      <c r="H7" s="4"/>
      <c r="I7" s="12"/>
      <c r="J7" s="13" t="s">
        <v>9</v>
      </c>
      <c r="K7" s="13"/>
      <c r="L7" s="13"/>
      <c r="M7" s="13"/>
      <c r="N7" s="267"/>
      <c r="O7" s="227"/>
      <c r="P7" s="227"/>
      <c r="Q7" s="227"/>
      <c r="R7" s="227"/>
      <c r="S7" s="227"/>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69"/>
      <c r="D8" s="225"/>
      <c r="E8" s="225"/>
      <c r="F8" s="225"/>
      <c r="G8" s="225"/>
      <c r="H8" s="4"/>
      <c r="I8" s="12"/>
      <c r="J8" s="13" t="s">
        <v>11</v>
      </c>
      <c r="K8" s="13"/>
      <c r="L8" s="13"/>
      <c r="M8" s="267"/>
      <c r="N8" s="227"/>
      <c r="O8" s="227"/>
      <c r="P8" s="227"/>
      <c r="Q8" s="227"/>
      <c r="R8" s="227"/>
      <c r="S8" s="227"/>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69" t="s">
        <v>13</v>
      </c>
      <c r="D9" s="225"/>
      <c r="E9" s="225"/>
      <c r="F9" s="225"/>
      <c r="G9" s="225"/>
      <c r="H9" s="4"/>
      <c r="I9" s="4"/>
      <c r="J9" s="13" t="s">
        <v>14</v>
      </c>
      <c r="K9" s="13"/>
      <c r="L9" s="13"/>
      <c r="M9" s="279"/>
      <c r="N9" s="225"/>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0"/>
      <c r="L10" s="227"/>
      <c r="M10" s="16"/>
      <c r="N10" s="17"/>
      <c r="O10" s="13" t="s">
        <v>16</v>
      </c>
      <c r="P10" s="4"/>
      <c r="Q10" s="281"/>
      <c r="R10" s="227"/>
      <c r="S10" s="227"/>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70" t="s">
        <v>18</v>
      </c>
      <c r="B12" s="271"/>
      <c r="C12" s="247"/>
      <c r="D12" s="276" t="s">
        <v>19</v>
      </c>
      <c r="E12" s="213"/>
      <c r="F12" s="213"/>
      <c r="G12" s="263"/>
      <c r="H12" s="20">
        <f>D27+E40</f>
        <v>0</v>
      </c>
      <c r="I12" s="17"/>
      <c r="J12" s="282" t="s">
        <v>20</v>
      </c>
      <c r="K12" s="216"/>
      <c r="L12" s="216"/>
      <c r="M12" s="217"/>
      <c r="N12" s="282" t="s">
        <v>21</v>
      </c>
      <c r="O12" s="216"/>
      <c r="P12" s="216"/>
      <c r="Q12" s="216"/>
      <c r="R12" s="216"/>
      <c r="S12" s="216"/>
      <c r="T12" s="216"/>
      <c r="U12" s="217"/>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72"/>
      <c r="B13" s="204"/>
      <c r="C13" s="234"/>
      <c r="D13" s="277" t="s">
        <v>22</v>
      </c>
      <c r="E13" s="216"/>
      <c r="F13" s="216"/>
      <c r="G13" s="217"/>
      <c r="H13" s="21">
        <f>U27</f>
        <v>0</v>
      </c>
      <c r="I13" s="17"/>
      <c r="J13" s="257" t="s">
        <v>23</v>
      </c>
      <c r="K13" s="216"/>
      <c r="L13" s="217"/>
      <c r="M13" s="22"/>
      <c r="N13" s="23" t="s">
        <v>24</v>
      </c>
      <c r="O13" s="23"/>
      <c r="P13" s="23"/>
      <c r="Q13" s="22"/>
      <c r="R13" s="261" t="s">
        <v>25</v>
      </c>
      <c r="S13" s="216"/>
      <c r="T13" s="217"/>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73"/>
      <c r="B14" s="274"/>
      <c r="C14" s="275"/>
      <c r="D14" s="278" t="s">
        <v>26</v>
      </c>
      <c r="E14" s="242"/>
      <c r="F14" s="242"/>
      <c r="G14" s="243"/>
      <c r="H14" s="24">
        <f>H12+H13</f>
        <v>0</v>
      </c>
      <c r="I14" s="17"/>
      <c r="J14" s="257" t="s">
        <v>27</v>
      </c>
      <c r="K14" s="216"/>
      <c r="L14" s="217"/>
      <c r="M14" s="22"/>
      <c r="N14" s="23" t="s">
        <v>28</v>
      </c>
      <c r="O14" s="23"/>
      <c r="P14" s="23"/>
      <c r="Q14" s="22"/>
      <c r="R14" s="261" t="s">
        <v>29</v>
      </c>
      <c r="S14" s="216"/>
      <c r="T14" s="217"/>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58" t="s">
        <v>30</v>
      </c>
      <c r="K15" s="216"/>
      <c r="L15" s="217"/>
      <c r="M15" s="22"/>
      <c r="N15" s="26" t="s">
        <v>31</v>
      </c>
      <c r="O15" s="26"/>
      <c r="P15" s="26"/>
      <c r="Q15" s="22"/>
      <c r="R15" s="268" t="s">
        <v>32</v>
      </c>
      <c r="S15" s="216"/>
      <c r="T15" s="217"/>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5" t="s">
        <v>33</v>
      </c>
      <c r="B16" s="216"/>
      <c r="C16" s="217"/>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8" t="s">
        <v>36</v>
      </c>
      <c r="B17" s="216"/>
      <c r="C17" s="217"/>
      <c r="D17" s="31">
        <f>D30+E42-D33-E44</f>
        <v>0</v>
      </c>
      <c r="E17" s="31">
        <f>+U30-U33</f>
        <v>0</v>
      </c>
      <c r="F17" s="32">
        <f t="shared" ref="F17:F21" si="0">+E17+D17</f>
        <v>0</v>
      </c>
      <c r="G17" s="33"/>
      <c r="H17" s="34"/>
      <c r="I17" s="259" t="s">
        <v>37</v>
      </c>
      <c r="J17" s="260" t="s">
        <v>38</v>
      </c>
      <c r="K17" s="216"/>
      <c r="L17" s="217"/>
      <c r="M17" s="262" t="s">
        <v>35</v>
      </c>
      <c r="N17" s="216"/>
      <c r="O17" s="217"/>
      <c r="P17" s="244" t="s">
        <v>26</v>
      </c>
      <c r="Q17" s="245"/>
      <c r="R17" s="252" t="s">
        <v>39</v>
      </c>
      <c r="S17" s="216"/>
      <c r="T17" s="217"/>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8" t="s">
        <v>40</v>
      </c>
      <c r="B18" s="216"/>
      <c r="C18" s="217"/>
      <c r="D18" s="36">
        <f>D33+E44</f>
        <v>0</v>
      </c>
      <c r="E18" s="37">
        <f>U33</f>
        <v>0</v>
      </c>
      <c r="F18" s="32">
        <f t="shared" si="0"/>
        <v>0</v>
      </c>
      <c r="G18" s="33"/>
      <c r="H18" s="34"/>
      <c r="I18" s="206"/>
      <c r="J18" s="38" t="s">
        <v>41</v>
      </c>
      <c r="K18" s="38" t="s">
        <v>42</v>
      </c>
      <c r="L18" s="38" t="s">
        <v>43</v>
      </c>
      <c r="M18" s="38" t="s">
        <v>41</v>
      </c>
      <c r="N18" s="38" t="s">
        <v>42</v>
      </c>
      <c r="O18" s="38" t="s">
        <v>43</v>
      </c>
      <c r="P18" s="206"/>
      <c r="Q18" s="204"/>
      <c r="R18" s="252" t="s">
        <v>44</v>
      </c>
      <c r="S18" s="216"/>
      <c r="T18" s="217"/>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8" t="s">
        <v>45</v>
      </c>
      <c r="B19" s="216"/>
      <c r="C19" s="217"/>
      <c r="D19" s="39"/>
      <c r="E19" s="40"/>
      <c r="F19" s="32">
        <f t="shared" si="0"/>
        <v>0</v>
      </c>
      <c r="G19" s="33"/>
      <c r="H19" s="34"/>
      <c r="I19" s="41" t="s">
        <v>46</v>
      </c>
      <c r="J19" s="41"/>
      <c r="K19" s="41"/>
      <c r="L19" s="41"/>
      <c r="M19" s="41"/>
      <c r="N19" s="41"/>
      <c r="O19" s="41"/>
      <c r="P19" s="42">
        <f t="shared" ref="P19:P20" si="1">J19+K19+L19+M19+N19+O19</f>
        <v>0</v>
      </c>
      <c r="Q19" s="43"/>
      <c r="R19" s="252" t="s">
        <v>47</v>
      </c>
      <c r="S19" s="216"/>
      <c r="T19" s="217"/>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8" t="s">
        <v>48</v>
      </c>
      <c r="B20" s="216"/>
      <c r="C20" s="217"/>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18" t="s">
        <v>50</v>
      </c>
      <c r="B21" s="216"/>
      <c r="C21" s="217"/>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19" t="s">
        <v>52</v>
      </c>
      <c r="B24" s="221" t="s">
        <v>53</v>
      </c>
      <c r="C24" s="213"/>
      <c r="D24" s="214"/>
      <c r="E24" s="221" t="s">
        <v>54</v>
      </c>
      <c r="F24" s="213"/>
      <c r="G24" s="213"/>
      <c r="H24" s="213"/>
      <c r="I24" s="213"/>
      <c r="J24" s="213"/>
      <c r="K24" s="213"/>
      <c r="L24" s="213"/>
      <c r="M24" s="213"/>
      <c r="N24" s="213"/>
      <c r="O24" s="213"/>
      <c r="P24" s="213"/>
      <c r="Q24" s="213"/>
      <c r="R24" s="213"/>
      <c r="S24" s="213"/>
      <c r="T24" s="263"/>
      <c r="U24" s="253" t="s">
        <v>55</v>
      </c>
      <c r="V24" s="3"/>
      <c r="W24" s="4"/>
      <c r="X24" s="4"/>
      <c r="Y24" s="4"/>
      <c r="Z24" s="4"/>
      <c r="AA24" s="4"/>
      <c r="AB24" s="4"/>
      <c r="AC24" s="4"/>
      <c r="AD24" s="4"/>
      <c r="AE24" s="4"/>
      <c r="AF24" s="4"/>
      <c r="AG24" s="4"/>
      <c r="AH24" s="4"/>
      <c r="AI24" s="4"/>
      <c r="AJ24" s="4"/>
      <c r="AK24" s="4"/>
      <c r="AL24" s="4"/>
      <c r="AM24" s="4"/>
      <c r="AN24" s="4"/>
      <c r="AO24" s="4"/>
    </row>
    <row r="25" spans="1:41" ht="76.5" customHeight="1">
      <c r="A25" s="190"/>
      <c r="B25" s="52" t="s">
        <v>56</v>
      </c>
      <c r="C25" s="53" t="s">
        <v>57</v>
      </c>
      <c r="D25" s="222" t="s">
        <v>58</v>
      </c>
      <c r="E25" s="54" t="s">
        <v>59</v>
      </c>
      <c r="F25" s="55" t="s">
        <v>60</v>
      </c>
      <c r="G25" s="55" t="s">
        <v>61</v>
      </c>
      <c r="H25" s="55" t="s">
        <v>62</v>
      </c>
      <c r="I25" s="55" t="s">
        <v>63</v>
      </c>
      <c r="J25" s="55" t="s">
        <v>64</v>
      </c>
      <c r="K25" s="55" t="s">
        <v>65</v>
      </c>
      <c r="L25" s="55" t="s">
        <v>66</v>
      </c>
      <c r="M25" s="256" t="s">
        <v>67</v>
      </c>
      <c r="N25" s="216"/>
      <c r="O25" s="217"/>
      <c r="P25" s="256" t="s">
        <v>68</v>
      </c>
      <c r="Q25" s="216"/>
      <c r="R25" s="217"/>
      <c r="S25" s="254" t="s">
        <v>69</v>
      </c>
      <c r="T25" s="217"/>
      <c r="U25" s="199"/>
      <c r="V25" s="3"/>
      <c r="W25" s="4"/>
      <c r="X25" s="4"/>
      <c r="Y25" s="4"/>
      <c r="Z25" s="4"/>
      <c r="AA25" s="4"/>
      <c r="AB25" s="4"/>
      <c r="AC25" s="4"/>
      <c r="AD25" s="4"/>
      <c r="AE25" s="4"/>
      <c r="AF25" s="4"/>
      <c r="AG25" s="4"/>
      <c r="AH25" s="4"/>
      <c r="AI25" s="4"/>
      <c r="AJ25" s="4"/>
      <c r="AK25" s="4"/>
      <c r="AL25" s="4"/>
      <c r="AM25" s="4"/>
      <c r="AN25" s="4"/>
      <c r="AO25" s="4"/>
    </row>
    <row r="26" spans="1:41" ht="22.5" customHeight="1">
      <c r="A26" s="191"/>
      <c r="B26" s="56" t="s">
        <v>70</v>
      </c>
      <c r="C26" s="57" t="s">
        <v>71</v>
      </c>
      <c r="D26" s="200"/>
      <c r="E26" s="56" t="s">
        <v>72</v>
      </c>
      <c r="F26" s="57" t="s">
        <v>73</v>
      </c>
      <c r="G26" s="57" t="s">
        <v>74</v>
      </c>
      <c r="H26" s="57" t="s">
        <v>75</v>
      </c>
      <c r="I26" s="57" t="s">
        <v>76</v>
      </c>
      <c r="J26" s="57" t="s">
        <v>77</v>
      </c>
      <c r="K26" s="57" t="s">
        <v>78</v>
      </c>
      <c r="L26" s="57" t="s">
        <v>79</v>
      </c>
      <c r="M26" s="255" t="s">
        <v>80</v>
      </c>
      <c r="N26" s="242"/>
      <c r="O26" s="243"/>
      <c r="P26" s="255" t="s">
        <v>81</v>
      </c>
      <c r="Q26" s="242"/>
      <c r="R26" s="243"/>
      <c r="S26" s="255" t="s">
        <v>82</v>
      </c>
      <c r="T26" s="243"/>
      <c r="U26" s="200"/>
      <c r="V26" s="3"/>
      <c r="W26" s="4"/>
      <c r="X26" s="4"/>
      <c r="Y26" s="4"/>
      <c r="Z26" s="4"/>
      <c r="AA26" s="4"/>
      <c r="AB26" s="4"/>
      <c r="AC26" s="4"/>
      <c r="AD26" s="4"/>
      <c r="AE26" s="4"/>
      <c r="AF26" s="4"/>
      <c r="AG26" s="4"/>
      <c r="AH26" s="4"/>
      <c r="AI26" s="4"/>
      <c r="AJ26" s="4"/>
      <c r="AK26" s="4"/>
      <c r="AL26" s="4"/>
      <c r="AM26" s="4"/>
      <c r="AN26" s="4"/>
      <c r="AO26" s="4"/>
    </row>
    <row r="27" spans="1:41" ht="13.5" customHeight="1">
      <c r="A27" s="294" t="s">
        <v>83</v>
      </c>
      <c r="B27" s="295"/>
      <c r="C27" s="296"/>
      <c r="D27" s="297">
        <f>B27+C27</f>
        <v>0</v>
      </c>
      <c r="E27" s="298"/>
      <c r="F27" s="223"/>
      <c r="G27" s="223"/>
      <c r="H27" s="223"/>
      <c r="I27" s="223"/>
      <c r="J27" s="223"/>
      <c r="K27" s="223"/>
      <c r="L27" s="223"/>
      <c r="M27" s="283" t="s">
        <v>84</v>
      </c>
      <c r="N27" s="284"/>
      <c r="O27" s="58"/>
      <c r="P27" s="283" t="s">
        <v>84</v>
      </c>
      <c r="Q27" s="284"/>
      <c r="R27" s="58"/>
      <c r="S27" s="246">
        <f>M41+M42+M43+N41+N42+N43+O41+O42</f>
        <v>0</v>
      </c>
      <c r="T27" s="247"/>
      <c r="U27" s="248">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0"/>
      <c r="B28" s="193"/>
      <c r="C28" s="196"/>
      <c r="D28" s="199"/>
      <c r="E28" s="193"/>
      <c r="F28" s="196"/>
      <c r="G28" s="196"/>
      <c r="H28" s="196"/>
      <c r="I28" s="196"/>
      <c r="J28" s="196"/>
      <c r="K28" s="196"/>
      <c r="L28" s="196"/>
      <c r="M28" s="285" t="s">
        <v>85</v>
      </c>
      <c r="N28" s="286"/>
      <c r="O28" s="59"/>
      <c r="P28" s="285" t="s">
        <v>85</v>
      </c>
      <c r="Q28" s="286"/>
      <c r="R28" s="59"/>
      <c r="S28" s="233"/>
      <c r="T28" s="234"/>
      <c r="U28" s="199"/>
      <c r="V28" s="3"/>
      <c r="W28" s="4"/>
      <c r="X28" s="4"/>
      <c r="Y28" s="4"/>
      <c r="Z28" s="4"/>
      <c r="AA28" s="4"/>
      <c r="AB28" s="4"/>
      <c r="AC28" s="4"/>
      <c r="AD28" s="4"/>
      <c r="AE28" s="4"/>
      <c r="AF28" s="4"/>
      <c r="AG28" s="4"/>
      <c r="AH28" s="4"/>
      <c r="AI28" s="4"/>
      <c r="AJ28" s="4"/>
      <c r="AK28" s="4"/>
      <c r="AL28" s="4"/>
      <c r="AM28" s="4"/>
      <c r="AN28" s="4"/>
      <c r="AO28" s="4"/>
    </row>
    <row r="29" spans="1:41" ht="13.5" customHeight="1">
      <c r="A29" s="220"/>
      <c r="B29" s="208"/>
      <c r="C29" s="206"/>
      <c r="D29" s="211"/>
      <c r="E29" s="208"/>
      <c r="F29" s="206"/>
      <c r="G29" s="206"/>
      <c r="H29" s="206"/>
      <c r="I29" s="206"/>
      <c r="J29" s="206"/>
      <c r="K29" s="206"/>
      <c r="L29" s="206"/>
      <c r="M29" s="285" t="s">
        <v>86</v>
      </c>
      <c r="N29" s="286"/>
      <c r="O29" s="59"/>
      <c r="P29" s="285" t="s">
        <v>86</v>
      </c>
      <c r="Q29" s="286"/>
      <c r="R29" s="59"/>
      <c r="S29" s="235"/>
      <c r="T29" s="237"/>
      <c r="U29" s="211"/>
      <c r="V29" s="3"/>
      <c r="W29" s="4"/>
      <c r="X29" s="4"/>
      <c r="Y29" s="4"/>
      <c r="Z29" s="4"/>
      <c r="AA29" s="4"/>
      <c r="AB29" s="4"/>
      <c r="AC29" s="4"/>
      <c r="AD29" s="4"/>
      <c r="AE29" s="4"/>
      <c r="AF29" s="4"/>
      <c r="AG29" s="4"/>
      <c r="AH29" s="4"/>
      <c r="AI29" s="4"/>
      <c r="AJ29" s="4"/>
      <c r="AK29" s="4"/>
      <c r="AL29" s="4"/>
      <c r="AM29" s="4"/>
      <c r="AN29" s="4"/>
      <c r="AO29" s="4"/>
    </row>
    <row r="30" spans="1:41" ht="13.5" customHeight="1">
      <c r="A30" s="189" t="s">
        <v>87</v>
      </c>
      <c r="B30" s="192"/>
      <c r="C30" s="195"/>
      <c r="D30" s="198">
        <f>B30+C30</f>
        <v>0</v>
      </c>
      <c r="E30" s="201"/>
      <c r="F30" s="202"/>
      <c r="G30" s="202"/>
      <c r="H30" s="202"/>
      <c r="I30" s="202"/>
      <c r="J30" s="202"/>
      <c r="K30" s="202"/>
      <c r="L30" s="202"/>
      <c r="M30" s="285" t="s">
        <v>84</v>
      </c>
      <c r="N30" s="286"/>
      <c r="O30" s="59"/>
      <c r="P30" s="285" t="s">
        <v>84</v>
      </c>
      <c r="Q30" s="286"/>
      <c r="R30" s="59"/>
      <c r="S30" s="287">
        <f>P41+P42+P43+Q41+Q42+Q43+R41+R42</f>
        <v>0</v>
      </c>
      <c r="T30" s="232"/>
      <c r="U30" s="288">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0"/>
      <c r="B31" s="193"/>
      <c r="C31" s="196"/>
      <c r="D31" s="199"/>
      <c r="E31" s="193"/>
      <c r="F31" s="196"/>
      <c r="G31" s="196"/>
      <c r="H31" s="196"/>
      <c r="I31" s="196"/>
      <c r="J31" s="196"/>
      <c r="K31" s="196"/>
      <c r="L31" s="196"/>
      <c r="M31" s="285" t="s">
        <v>85</v>
      </c>
      <c r="N31" s="286"/>
      <c r="O31" s="59"/>
      <c r="P31" s="285" t="s">
        <v>85</v>
      </c>
      <c r="Q31" s="286"/>
      <c r="R31" s="59"/>
      <c r="S31" s="233"/>
      <c r="T31" s="234"/>
      <c r="U31" s="199"/>
      <c r="V31" s="3"/>
      <c r="W31" s="4"/>
      <c r="X31" s="4"/>
      <c r="Y31" s="4"/>
      <c r="Z31" s="4"/>
      <c r="AA31" s="4"/>
      <c r="AB31" s="4"/>
      <c r="AC31" s="4"/>
      <c r="AD31" s="4"/>
      <c r="AE31" s="4"/>
      <c r="AF31" s="4"/>
      <c r="AG31" s="4"/>
      <c r="AH31" s="4"/>
      <c r="AI31" s="4"/>
      <c r="AJ31" s="4"/>
      <c r="AK31" s="4"/>
      <c r="AL31" s="4"/>
      <c r="AM31" s="4"/>
      <c r="AN31" s="4"/>
      <c r="AO31" s="4"/>
    </row>
    <row r="32" spans="1:41" ht="13.5" customHeight="1">
      <c r="A32" s="220"/>
      <c r="B32" s="208"/>
      <c r="C32" s="206"/>
      <c r="D32" s="211"/>
      <c r="E32" s="208"/>
      <c r="F32" s="206"/>
      <c r="G32" s="206"/>
      <c r="H32" s="206"/>
      <c r="I32" s="206"/>
      <c r="J32" s="206"/>
      <c r="K32" s="206"/>
      <c r="L32" s="206"/>
      <c r="M32" s="285" t="s">
        <v>86</v>
      </c>
      <c r="N32" s="286"/>
      <c r="O32" s="59"/>
      <c r="P32" s="285" t="s">
        <v>86</v>
      </c>
      <c r="Q32" s="286"/>
      <c r="R32" s="59"/>
      <c r="S32" s="235"/>
      <c r="T32" s="237"/>
      <c r="U32" s="211"/>
      <c r="V32" s="3"/>
      <c r="W32" s="4"/>
      <c r="X32" s="4"/>
      <c r="Y32" s="4"/>
      <c r="Z32" s="4"/>
      <c r="AA32" s="4"/>
      <c r="AB32" s="4"/>
      <c r="AC32" s="4"/>
      <c r="AD32" s="4"/>
      <c r="AE32" s="4"/>
      <c r="AF32" s="4"/>
      <c r="AG32" s="4"/>
      <c r="AH32" s="4"/>
      <c r="AI32" s="4"/>
      <c r="AJ32" s="4"/>
      <c r="AK32" s="4"/>
      <c r="AL32" s="4"/>
      <c r="AM32" s="4"/>
      <c r="AN32" s="4"/>
      <c r="AO32" s="4"/>
    </row>
    <row r="33" spans="1:41" ht="13.5" customHeight="1">
      <c r="A33" s="189" t="s">
        <v>88</v>
      </c>
      <c r="B33" s="192"/>
      <c r="C33" s="195"/>
      <c r="D33" s="198">
        <f>B33+C33</f>
        <v>0</v>
      </c>
      <c r="E33" s="201"/>
      <c r="F33" s="202"/>
      <c r="G33" s="202"/>
      <c r="H33" s="202"/>
      <c r="I33" s="202"/>
      <c r="J33" s="202"/>
      <c r="K33" s="202"/>
      <c r="L33" s="202"/>
      <c r="M33" s="285" t="s">
        <v>84</v>
      </c>
      <c r="N33" s="286"/>
      <c r="O33" s="59"/>
      <c r="P33" s="285" t="s">
        <v>84</v>
      </c>
      <c r="Q33" s="286"/>
      <c r="R33" s="59"/>
      <c r="S33" s="287">
        <f>S41+S42+S43+T41+T42+T43+U41+U42</f>
        <v>0</v>
      </c>
      <c r="T33" s="232"/>
      <c r="U33" s="288">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0"/>
      <c r="B34" s="193"/>
      <c r="C34" s="196"/>
      <c r="D34" s="199"/>
      <c r="E34" s="193"/>
      <c r="F34" s="196"/>
      <c r="G34" s="196"/>
      <c r="H34" s="196"/>
      <c r="I34" s="196"/>
      <c r="J34" s="196"/>
      <c r="K34" s="196"/>
      <c r="L34" s="196"/>
      <c r="M34" s="285" t="s">
        <v>85</v>
      </c>
      <c r="N34" s="286"/>
      <c r="O34" s="59"/>
      <c r="P34" s="285" t="s">
        <v>85</v>
      </c>
      <c r="Q34" s="286"/>
      <c r="R34" s="59"/>
      <c r="S34" s="233"/>
      <c r="T34" s="234"/>
      <c r="U34" s="199"/>
      <c r="V34" s="3"/>
      <c r="W34" s="4"/>
      <c r="X34" s="4"/>
      <c r="Y34" s="4"/>
      <c r="Z34" s="4"/>
      <c r="AA34" s="4"/>
      <c r="AB34" s="4"/>
      <c r="AC34" s="4"/>
      <c r="AD34" s="4"/>
      <c r="AE34" s="4"/>
      <c r="AF34" s="4"/>
      <c r="AG34" s="4"/>
      <c r="AH34" s="4"/>
      <c r="AI34" s="4"/>
      <c r="AJ34" s="4"/>
      <c r="AK34" s="4"/>
      <c r="AL34" s="4"/>
      <c r="AM34" s="4"/>
      <c r="AN34" s="4"/>
      <c r="AO34" s="4"/>
    </row>
    <row r="35" spans="1:41" ht="13.5" customHeight="1">
      <c r="A35" s="191"/>
      <c r="B35" s="194"/>
      <c r="C35" s="197"/>
      <c r="D35" s="200"/>
      <c r="E35" s="194"/>
      <c r="F35" s="197"/>
      <c r="G35" s="197"/>
      <c r="H35" s="197"/>
      <c r="I35" s="197"/>
      <c r="J35" s="197"/>
      <c r="K35" s="197"/>
      <c r="L35" s="197"/>
      <c r="M35" s="292" t="s">
        <v>86</v>
      </c>
      <c r="N35" s="293"/>
      <c r="O35" s="60"/>
      <c r="P35" s="292" t="s">
        <v>86</v>
      </c>
      <c r="Q35" s="293"/>
      <c r="R35" s="60"/>
      <c r="S35" s="291"/>
      <c r="T35" s="275"/>
      <c r="U35" s="20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2" t="s">
        <v>90</v>
      </c>
      <c r="B38" s="213"/>
      <c r="C38" s="213"/>
      <c r="D38" s="213"/>
      <c r="E38" s="214"/>
      <c r="F38" s="61"/>
      <c r="G38" s="249" t="s">
        <v>91</v>
      </c>
      <c r="H38" s="232"/>
      <c r="I38" s="4"/>
      <c r="J38" s="212" t="s">
        <v>92</v>
      </c>
      <c r="K38" s="213"/>
      <c r="L38" s="213"/>
      <c r="M38" s="213"/>
      <c r="N38" s="213"/>
      <c r="O38" s="213"/>
      <c r="P38" s="213"/>
      <c r="Q38" s="213"/>
      <c r="R38" s="213"/>
      <c r="S38" s="213"/>
      <c r="T38" s="213"/>
      <c r="U38" s="21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235"/>
      <c r="H39" s="237"/>
      <c r="I39" s="4"/>
      <c r="J39" s="250" t="s">
        <v>94</v>
      </c>
      <c r="K39" s="231"/>
      <c r="L39" s="232"/>
      <c r="M39" s="289" t="s">
        <v>95</v>
      </c>
      <c r="N39" s="216"/>
      <c r="O39" s="217"/>
      <c r="P39" s="289" t="s">
        <v>87</v>
      </c>
      <c r="Q39" s="216"/>
      <c r="R39" s="217"/>
      <c r="S39" s="289" t="s">
        <v>88</v>
      </c>
      <c r="T39" s="216"/>
      <c r="U39" s="290"/>
      <c r="V39" s="3"/>
      <c r="W39" s="4"/>
      <c r="X39" s="4"/>
      <c r="Y39" s="4"/>
      <c r="Z39" s="4"/>
      <c r="AA39" s="4"/>
      <c r="AB39" s="4"/>
      <c r="AC39" s="4"/>
      <c r="AD39" s="4"/>
      <c r="AE39" s="4"/>
      <c r="AF39" s="4"/>
      <c r="AG39" s="4"/>
      <c r="AH39" s="4"/>
      <c r="AI39" s="4"/>
      <c r="AJ39" s="4"/>
      <c r="AK39" s="4"/>
      <c r="AL39" s="4"/>
      <c r="AM39" s="4"/>
      <c r="AN39" s="4"/>
      <c r="AO39" s="4"/>
    </row>
    <row r="40" spans="1:41" ht="15" customHeight="1">
      <c r="A40" s="207" t="s">
        <v>96</v>
      </c>
      <c r="B40" s="209"/>
      <c r="C40" s="209"/>
      <c r="D40" s="209"/>
      <c r="E40" s="210">
        <f>B40+C40+D40</f>
        <v>0</v>
      </c>
      <c r="F40" s="203"/>
      <c r="G40" s="205" t="s">
        <v>97</v>
      </c>
      <c r="H40" s="209">
        <f>$E$17+$F$18</f>
        <v>0</v>
      </c>
      <c r="I40" s="4"/>
      <c r="J40" s="251"/>
      <c r="K40" s="236"/>
      <c r="L40" s="237"/>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208"/>
      <c r="B41" s="206"/>
      <c r="C41" s="206"/>
      <c r="D41" s="206"/>
      <c r="E41" s="211"/>
      <c r="F41" s="204"/>
      <c r="G41" s="206"/>
      <c r="H41" s="206"/>
      <c r="I41" s="4"/>
      <c r="J41" s="240" t="s">
        <v>101</v>
      </c>
      <c r="K41" s="216"/>
      <c r="L41" s="217"/>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07" t="s">
        <v>102</v>
      </c>
      <c r="B42" s="209"/>
      <c r="C42" s="209"/>
      <c r="D42" s="209"/>
      <c r="E42" s="210">
        <f>B42+C42+D42</f>
        <v>0</v>
      </c>
      <c r="F42" s="203"/>
      <c r="G42" s="205" t="s">
        <v>103</v>
      </c>
      <c r="H42" s="209"/>
      <c r="I42" s="4"/>
      <c r="J42" s="240" t="s">
        <v>104</v>
      </c>
      <c r="K42" s="216"/>
      <c r="L42" s="217"/>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208"/>
      <c r="B43" s="206"/>
      <c r="C43" s="206"/>
      <c r="D43" s="206"/>
      <c r="E43" s="211"/>
      <c r="F43" s="204"/>
      <c r="G43" s="206"/>
      <c r="H43" s="206"/>
      <c r="I43" s="4"/>
      <c r="J43" s="241" t="s">
        <v>105</v>
      </c>
      <c r="K43" s="242"/>
      <c r="L43" s="24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07" t="s">
        <v>106</v>
      </c>
      <c r="B44" s="209"/>
      <c r="C44" s="209"/>
      <c r="D44" s="209"/>
      <c r="E44" s="210">
        <f>B44+C44+D44</f>
        <v>0</v>
      </c>
      <c r="F44" s="203"/>
      <c r="G44" s="205" t="s">
        <v>107</v>
      </c>
      <c r="H44" s="209"/>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94"/>
      <c r="B45" s="197"/>
      <c r="C45" s="197"/>
      <c r="D45" s="197"/>
      <c r="E45" s="200"/>
      <c r="F45" s="204"/>
      <c r="G45" s="206"/>
      <c r="H45" s="206"/>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38" t="s">
        <v>109</v>
      </c>
      <c r="G46" s="204"/>
      <c r="H46" s="204"/>
      <c r="I46" s="4"/>
      <c r="J46" s="4"/>
      <c r="K46" s="4"/>
      <c r="L46" s="72" t="s">
        <v>110</v>
      </c>
      <c r="M46" s="72"/>
      <c r="N46" s="72"/>
      <c r="O46" s="72"/>
      <c r="P46" s="72"/>
      <c r="Q46" s="239"/>
      <c r="R46" s="227"/>
      <c r="S46" s="227"/>
      <c r="T46" s="227"/>
      <c r="U46" s="227"/>
      <c r="V46" s="3"/>
      <c r="W46" s="4"/>
      <c r="X46" s="4"/>
      <c r="Y46" s="4"/>
      <c r="Z46" s="4"/>
      <c r="AA46" s="4"/>
      <c r="AB46" s="4"/>
      <c r="AC46" s="4"/>
      <c r="AD46" s="4"/>
      <c r="AE46" s="4"/>
      <c r="AF46" s="4"/>
      <c r="AG46" s="4"/>
      <c r="AH46" s="4"/>
      <c r="AI46" s="4"/>
      <c r="AJ46" s="4"/>
      <c r="AK46" s="4"/>
      <c r="AL46" s="4"/>
      <c r="AM46" s="4"/>
      <c r="AN46" s="4"/>
      <c r="AO46" s="4"/>
    </row>
    <row r="47" spans="1:41" ht="13.5" customHeight="1">
      <c r="A47" s="229"/>
      <c r="B47" s="74"/>
      <c r="C47" s="74"/>
      <c r="D47" s="74"/>
      <c r="E47" s="230"/>
      <c r="F47" s="231"/>
      <c r="G47" s="231"/>
      <c r="H47" s="231"/>
      <c r="I47" s="231"/>
      <c r="J47" s="232"/>
      <c r="K47" s="72"/>
      <c r="L47" s="72" t="s">
        <v>111</v>
      </c>
      <c r="M47" s="239"/>
      <c r="N47" s="227"/>
      <c r="O47" s="227"/>
      <c r="P47" s="227"/>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4"/>
      <c r="B48" s="74"/>
      <c r="C48" s="74"/>
      <c r="D48" s="74"/>
      <c r="E48" s="233"/>
      <c r="F48" s="204"/>
      <c r="G48" s="204"/>
      <c r="H48" s="204"/>
      <c r="I48" s="204"/>
      <c r="J48" s="234"/>
      <c r="K48" s="72"/>
      <c r="L48" s="72" t="s">
        <v>112</v>
      </c>
      <c r="M48" s="224"/>
      <c r="N48" s="225"/>
      <c r="O48" s="225"/>
      <c r="P48" s="225"/>
      <c r="Q48" s="72"/>
      <c r="R48" s="75" t="s">
        <v>113</v>
      </c>
      <c r="S48" s="226"/>
      <c r="T48" s="227"/>
      <c r="U48" s="4"/>
      <c r="V48" s="3"/>
      <c r="W48" s="4"/>
      <c r="X48" s="4"/>
      <c r="Y48" s="4"/>
      <c r="Z48" s="4"/>
      <c r="AA48" s="4"/>
      <c r="AB48" s="4"/>
      <c r="AC48" s="4"/>
      <c r="AD48" s="4"/>
      <c r="AE48" s="4"/>
      <c r="AF48" s="4"/>
      <c r="AG48" s="4"/>
      <c r="AH48" s="4"/>
      <c r="AI48" s="4"/>
      <c r="AJ48" s="4"/>
      <c r="AK48" s="4"/>
      <c r="AL48" s="4"/>
      <c r="AM48" s="4"/>
      <c r="AN48" s="4"/>
      <c r="AO48" s="4"/>
    </row>
    <row r="49" spans="1:41" ht="13.5" customHeight="1">
      <c r="A49" s="203"/>
      <c r="B49" s="65"/>
      <c r="C49" s="65"/>
      <c r="D49" s="65"/>
      <c r="E49" s="233"/>
      <c r="F49" s="204"/>
      <c r="G49" s="204"/>
      <c r="H49" s="204"/>
      <c r="I49" s="204"/>
      <c r="J49" s="234"/>
      <c r="K49" s="72"/>
      <c r="L49" s="72" t="s">
        <v>114</v>
      </c>
      <c r="M49" s="228"/>
      <c r="N49" s="225"/>
      <c r="O49" s="225"/>
      <c r="P49" s="225"/>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4"/>
      <c r="B50" s="65"/>
      <c r="C50" s="65"/>
      <c r="D50" s="65"/>
      <c r="E50" s="235"/>
      <c r="F50" s="236"/>
      <c r="G50" s="236"/>
      <c r="H50" s="236"/>
      <c r="I50" s="236"/>
      <c r="J50" s="237"/>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election activeCell="A19" sqref="A19:C1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4" t="s">
        <v>0</v>
      </c>
      <c r="B1" s="204"/>
      <c r="C1" s="204"/>
      <c r="D1" s="204"/>
      <c r="E1" s="204"/>
      <c r="F1" s="204"/>
      <c r="G1" s="204"/>
      <c r="H1" s="204"/>
      <c r="I1" s="204"/>
      <c r="J1" s="204"/>
      <c r="K1" s="204"/>
      <c r="L1" s="204"/>
      <c r="M1" s="204"/>
      <c r="N1" s="204"/>
      <c r="O1" s="204"/>
      <c r="P1" s="204"/>
      <c r="Q1" s="204"/>
      <c r="R1" s="204"/>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4" t="s">
        <v>2</v>
      </c>
      <c r="B2" s="204"/>
      <c r="C2" s="204"/>
      <c r="D2" s="204"/>
      <c r="E2" s="204"/>
      <c r="F2" s="204"/>
      <c r="G2" s="204"/>
      <c r="H2" s="204"/>
      <c r="I2" s="204"/>
      <c r="J2" s="204"/>
      <c r="K2" s="204"/>
      <c r="L2" s="204"/>
      <c r="M2" s="204"/>
      <c r="N2" s="204"/>
      <c r="O2" s="204"/>
      <c r="P2" s="204"/>
      <c r="Q2" s="204"/>
      <c r="R2" s="204"/>
      <c r="S2" s="204"/>
      <c r="T2" s="204"/>
      <c r="U2" s="204"/>
      <c r="V2" s="5"/>
      <c r="W2" s="2"/>
      <c r="X2" s="2"/>
      <c r="Y2" s="4"/>
      <c r="Z2" s="4"/>
      <c r="AA2" s="4"/>
      <c r="AB2" s="4"/>
      <c r="AC2" s="4"/>
      <c r="AD2" s="4"/>
      <c r="AE2" s="4"/>
      <c r="AF2" s="4"/>
      <c r="AG2" s="4"/>
      <c r="AH2" s="4"/>
      <c r="AI2" s="4"/>
      <c r="AJ2" s="4"/>
      <c r="AK2" s="4"/>
      <c r="AL2" s="4"/>
      <c r="AM2" s="4"/>
      <c r="AN2" s="4"/>
      <c r="AO2" s="4"/>
    </row>
    <row r="3" spans="1:41" ht="13.5" customHeight="1">
      <c r="A3" s="264" t="s">
        <v>3</v>
      </c>
      <c r="B3" s="204"/>
      <c r="C3" s="204"/>
      <c r="D3" s="204"/>
      <c r="E3" s="204"/>
      <c r="F3" s="204"/>
      <c r="G3" s="204"/>
      <c r="H3" s="204"/>
      <c r="I3" s="204"/>
      <c r="J3" s="204"/>
      <c r="K3" s="204"/>
      <c r="L3" s="204"/>
      <c r="M3" s="204"/>
      <c r="N3" s="204"/>
      <c r="O3" s="204"/>
      <c r="P3" s="204"/>
      <c r="Q3" s="204"/>
      <c r="R3" s="204"/>
      <c r="S3" s="1"/>
      <c r="T3" s="1"/>
      <c r="U3" s="1"/>
      <c r="V3" s="5"/>
      <c r="W3" s="2"/>
      <c r="X3" s="2"/>
      <c r="Y3" s="4"/>
      <c r="Z3" s="4"/>
      <c r="AA3" s="4"/>
      <c r="AB3" s="4"/>
      <c r="AC3" s="4"/>
      <c r="AD3" s="4"/>
      <c r="AE3" s="4"/>
      <c r="AF3" s="4"/>
      <c r="AG3" s="4"/>
      <c r="AH3" s="4"/>
      <c r="AI3" s="4"/>
      <c r="AJ3" s="4"/>
      <c r="AK3" s="4"/>
      <c r="AL3" s="4"/>
      <c r="AM3" s="4"/>
      <c r="AN3" s="4"/>
      <c r="AO3" s="4"/>
    </row>
    <row r="4" spans="1:41" ht="13.5" customHeight="1">
      <c r="A4" s="265" t="s">
        <v>4</v>
      </c>
      <c r="B4" s="204"/>
      <c r="C4" s="204"/>
      <c r="D4" s="204"/>
      <c r="E4" s="204"/>
      <c r="F4" s="204"/>
      <c r="G4" s="204"/>
      <c r="H4" s="204"/>
      <c r="I4" s="204"/>
      <c r="J4" s="204"/>
      <c r="K4" s="204"/>
      <c r="L4" s="204"/>
      <c r="M4" s="204"/>
      <c r="N4" s="204"/>
      <c r="O4" s="204"/>
      <c r="P4" s="204"/>
      <c r="Q4" s="204"/>
      <c r="R4" s="204"/>
      <c r="S4" s="204"/>
      <c r="T4" s="204"/>
      <c r="U4" s="204"/>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6">
        <f>'DR-TB 10A (Sputum &amp; EP Sample)'!C6:G6</f>
        <v>0</v>
      </c>
      <c r="D6" s="227"/>
      <c r="E6" s="227"/>
      <c r="F6" s="227"/>
      <c r="G6" s="227"/>
      <c r="H6" s="4"/>
      <c r="I6" s="2"/>
      <c r="J6" s="11" t="s">
        <v>6</v>
      </c>
      <c r="K6" s="4"/>
      <c r="L6" s="267" t="str">
        <f>'DR-TB 10A (Sputum &amp; EP Sample)'!L6</f>
        <v>&lt;Dates&gt;</v>
      </c>
      <c r="M6" s="227"/>
      <c r="N6" s="227"/>
      <c r="O6" s="227"/>
      <c r="P6" s="227"/>
      <c r="Q6" s="227"/>
      <c r="R6" s="227"/>
      <c r="S6" s="227"/>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69">
        <f>'DR-TB 10A (Sputum &amp; EP Sample)'!C7:G7</f>
        <v>0</v>
      </c>
      <c r="D7" s="225"/>
      <c r="E7" s="225"/>
      <c r="F7" s="225"/>
      <c r="G7" s="225"/>
      <c r="H7" s="4"/>
      <c r="I7" s="12"/>
      <c r="J7" s="13" t="s">
        <v>9</v>
      </c>
      <c r="K7" s="13"/>
      <c r="L7" s="13"/>
      <c r="M7" s="13"/>
      <c r="N7" s="267">
        <f>'DR-TB 10A (Sputum &amp; EP Sample)'!N7</f>
        <v>0</v>
      </c>
      <c r="O7" s="227"/>
      <c r="P7" s="227"/>
      <c r="Q7" s="227"/>
      <c r="R7" s="227"/>
      <c r="S7" s="227"/>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69">
        <f>'DR-TB 10A (Sputum &amp; EP Sample)'!C8:G8</f>
        <v>0</v>
      </c>
      <c r="D8" s="225"/>
      <c r="E8" s="225"/>
      <c r="F8" s="225"/>
      <c r="G8" s="225"/>
      <c r="H8" s="4"/>
      <c r="I8" s="12"/>
      <c r="J8" s="13" t="s">
        <v>11</v>
      </c>
      <c r="K8" s="13"/>
      <c r="L8" s="13"/>
      <c r="M8" s="267">
        <f>'DR-TB 10A (Sputum &amp; EP Sample)'!M8</f>
        <v>0</v>
      </c>
      <c r="N8" s="227"/>
      <c r="O8" s="227"/>
      <c r="P8" s="227"/>
      <c r="Q8" s="227"/>
      <c r="R8" s="227"/>
      <c r="S8" s="227"/>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69" t="s">
        <v>771</v>
      </c>
      <c r="D9" s="225"/>
      <c r="E9" s="225"/>
      <c r="F9" s="225"/>
      <c r="G9" s="225"/>
      <c r="H9" s="4"/>
      <c r="I9" s="4"/>
      <c r="J9" s="13" t="s">
        <v>14</v>
      </c>
      <c r="K9" s="13"/>
      <c r="L9" s="13"/>
      <c r="M9" s="279">
        <f>'DR-TB 10A (Sputum &amp; EP Sample)'!M9</f>
        <v>0</v>
      </c>
      <c r="N9" s="225"/>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80">
        <f>'DR-TB 10A (Sputum &amp; EP Sample)'!K10:L10</f>
        <v>0</v>
      </c>
      <c r="L10" s="227"/>
      <c r="M10" s="16"/>
      <c r="N10" s="17"/>
      <c r="O10" s="13"/>
      <c r="P10" s="4" t="s">
        <v>772</v>
      </c>
      <c r="Q10" s="299">
        <f>'DR-TB 10A (Sputum &amp; EP Sample)'!Q10:S10</f>
        <v>0</v>
      </c>
      <c r="R10" s="204"/>
      <c r="S10" s="204"/>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70" t="s">
        <v>18</v>
      </c>
      <c r="B12" s="271"/>
      <c r="C12" s="247"/>
      <c r="D12" s="276" t="s">
        <v>19</v>
      </c>
      <c r="E12" s="213"/>
      <c r="F12" s="213"/>
      <c r="G12" s="263"/>
      <c r="H12" s="20">
        <f>D27+E40</f>
        <v>0</v>
      </c>
      <c r="I12" s="17"/>
      <c r="J12" s="282" t="s">
        <v>20</v>
      </c>
      <c r="K12" s="216"/>
      <c r="L12" s="216"/>
      <c r="M12" s="217"/>
      <c r="N12" s="282" t="s">
        <v>21</v>
      </c>
      <c r="O12" s="216"/>
      <c r="P12" s="216"/>
      <c r="Q12" s="216"/>
      <c r="R12" s="216"/>
      <c r="S12" s="216"/>
      <c r="T12" s="216"/>
      <c r="U12" s="217"/>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72"/>
      <c r="B13" s="204"/>
      <c r="C13" s="234"/>
      <c r="D13" s="277" t="s">
        <v>22</v>
      </c>
      <c r="E13" s="216"/>
      <c r="F13" s="216"/>
      <c r="G13" s="217"/>
      <c r="H13" s="21">
        <f>U27</f>
        <v>0</v>
      </c>
      <c r="I13" s="17"/>
      <c r="J13" s="257" t="s">
        <v>23</v>
      </c>
      <c r="K13" s="216"/>
      <c r="L13" s="217"/>
      <c r="M13" s="22">
        <f>'DR-TB 10A (Sputum &amp; EP Sample)'!M13</f>
        <v>0</v>
      </c>
      <c r="N13" s="23" t="s">
        <v>24</v>
      </c>
      <c r="O13" s="23"/>
      <c r="P13" s="23"/>
      <c r="Q13" s="22">
        <f>'DR-TB 10A (Sputum &amp; EP Sample)'!Q13</f>
        <v>0</v>
      </c>
      <c r="R13" s="261" t="s">
        <v>25</v>
      </c>
      <c r="S13" s="216"/>
      <c r="T13" s="217"/>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73"/>
      <c r="B14" s="274"/>
      <c r="C14" s="275"/>
      <c r="D14" s="278" t="s">
        <v>26</v>
      </c>
      <c r="E14" s="242"/>
      <c r="F14" s="242"/>
      <c r="G14" s="243"/>
      <c r="H14" s="24">
        <f>H12+H13</f>
        <v>0</v>
      </c>
      <c r="I14" s="17"/>
      <c r="J14" s="257" t="s">
        <v>27</v>
      </c>
      <c r="K14" s="216"/>
      <c r="L14" s="217"/>
      <c r="M14" s="22">
        <f>'DR-TB 10A (Sputum &amp; EP Sample)'!M14</f>
        <v>0</v>
      </c>
      <c r="N14" s="23" t="s">
        <v>28</v>
      </c>
      <c r="O14" s="23"/>
      <c r="P14" s="23"/>
      <c r="Q14" s="22">
        <f>'DR-TB 10A (Sputum &amp; EP Sample)'!Q14</f>
        <v>0</v>
      </c>
      <c r="R14" s="261" t="s">
        <v>29</v>
      </c>
      <c r="S14" s="216"/>
      <c r="T14" s="217"/>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58" t="s">
        <v>30</v>
      </c>
      <c r="K15" s="216"/>
      <c r="L15" s="217"/>
      <c r="M15" s="22">
        <f>'DR-TB 10A (Sputum &amp; EP Sample)'!M15</f>
        <v>0</v>
      </c>
      <c r="N15" s="26" t="s">
        <v>31</v>
      </c>
      <c r="O15" s="26"/>
      <c r="P15" s="26"/>
      <c r="Q15" s="22">
        <f>'DR-TB 10A (Sputum &amp; EP Sample)'!Q15</f>
        <v>0</v>
      </c>
      <c r="R15" s="268" t="s">
        <v>32</v>
      </c>
      <c r="S15" s="216"/>
      <c r="T15" s="217"/>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5" t="s">
        <v>33</v>
      </c>
      <c r="B16" s="216"/>
      <c r="C16" s="217"/>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8" t="s">
        <v>36</v>
      </c>
      <c r="B17" s="216"/>
      <c r="C17" s="217"/>
      <c r="D17" s="31">
        <f>D30+E42-D33-E44</f>
        <v>0</v>
      </c>
      <c r="E17" s="31">
        <f>+U30-U33</f>
        <v>0</v>
      </c>
      <c r="F17" s="32">
        <f t="shared" ref="F17:F21" si="0">+E17+D17</f>
        <v>0</v>
      </c>
      <c r="G17" s="33"/>
      <c r="H17" s="34"/>
      <c r="I17" s="259" t="s">
        <v>37</v>
      </c>
      <c r="J17" s="260" t="s">
        <v>38</v>
      </c>
      <c r="K17" s="216"/>
      <c r="L17" s="217"/>
      <c r="M17" s="262" t="s">
        <v>35</v>
      </c>
      <c r="N17" s="216"/>
      <c r="O17" s="217"/>
      <c r="P17" s="244" t="s">
        <v>26</v>
      </c>
      <c r="Q17" s="245"/>
      <c r="R17" s="252" t="s">
        <v>39</v>
      </c>
      <c r="S17" s="216"/>
      <c r="T17" s="217"/>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8" t="s">
        <v>40</v>
      </c>
      <c r="B18" s="216"/>
      <c r="C18" s="217"/>
      <c r="D18" s="36">
        <f>D33+E44</f>
        <v>0</v>
      </c>
      <c r="E18" s="37">
        <f>U33</f>
        <v>0</v>
      </c>
      <c r="F18" s="32">
        <f t="shared" si="0"/>
        <v>0</v>
      </c>
      <c r="G18" s="33"/>
      <c r="H18" s="34"/>
      <c r="I18" s="206"/>
      <c r="J18" s="38" t="s">
        <v>41</v>
      </c>
      <c r="K18" s="38" t="s">
        <v>42</v>
      </c>
      <c r="L18" s="38" t="s">
        <v>43</v>
      </c>
      <c r="M18" s="38" t="s">
        <v>41</v>
      </c>
      <c r="N18" s="38" t="s">
        <v>42</v>
      </c>
      <c r="O18" s="38" t="s">
        <v>43</v>
      </c>
      <c r="P18" s="206"/>
      <c r="Q18" s="204"/>
      <c r="R18" s="252" t="s">
        <v>44</v>
      </c>
      <c r="S18" s="216"/>
      <c r="T18" s="217"/>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8" t="s">
        <v>45</v>
      </c>
      <c r="B19" s="216"/>
      <c r="C19" s="217"/>
      <c r="D19" s="39"/>
      <c r="E19" s="40"/>
      <c r="F19" s="32">
        <f t="shared" si="0"/>
        <v>0</v>
      </c>
      <c r="G19" s="33"/>
      <c r="H19" s="34"/>
      <c r="I19" s="41" t="s">
        <v>46</v>
      </c>
      <c r="J19" s="41"/>
      <c r="K19" s="41"/>
      <c r="L19" s="41"/>
      <c r="M19" s="41"/>
      <c r="N19" s="41"/>
      <c r="O19" s="41"/>
      <c r="P19" s="81">
        <f t="shared" ref="P19:P20" si="1">J19+K19+L19+M19+N19+O19</f>
        <v>0</v>
      </c>
      <c r="Q19" s="43"/>
      <c r="R19" s="252" t="s">
        <v>47</v>
      </c>
      <c r="S19" s="216"/>
      <c r="T19" s="217"/>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8" t="s">
        <v>48</v>
      </c>
      <c r="B20" s="216"/>
      <c r="C20" s="217"/>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18" t="s">
        <v>50</v>
      </c>
      <c r="B21" s="216"/>
      <c r="C21" s="217"/>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19" t="s">
        <v>52</v>
      </c>
      <c r="B24" s="221" t="s">
        <v>53</v>
      </c>
      <c r="C24" s="213"/>
      <c r="D24" s="214"/>
      <c r="E24" s="221" t="s">
        <v>54</v>
      </c>
      <c r="F24" s="213"/>
      <c r="G24" s="213"/>
      <c r="H24" s="213"/>
      <c r="I24" s="213"/>
      <c r="J24" s="213"/>
      <c r="K24" s="213"/>
      <c r="L24" s="213"/>
      <c r="M24" s="213"/>
      <c r="N24" s="213"/>
      <c r="O24" s="213"/>
      <c r="P24" s="213"/>
      <c r="Q24" s="213"/>
      <c r="R24" s="213"/>
      <c r="S24" s="213"/>
      <c r="T24" s="263"/>
      <c r="U24" s="253" t="s">
        <v>55</v>
      </c>
      <c r="V24" s="3"/>
      <c r="W24" s="4"/>
      <c r="X24" s="4"/>
      <c r="Y24" s="4"/>
      <c r="Z24" s="4"/>
      <c r="AA24" s="4"/>
      <c r="AB24" s="4"/>
      <c r="AC24" s="4"/>
      <c r="AD24" s="4"/>
      <c r="AE24" s="4"/>
      <c r="AF24" s="4"/>
      <c r="AG24" s="4"/>
      <c r="AH24" s="4"/>
      <c r="AI24" s="4"/>
      <c r="AJ24" s="4"/>
      <c r="AK24" s="4"/>
      <c r="AL24" s="4"/>
      <c r="AM24" s="4"/>
      <c r="AN24" s="4"/>
      <c r="AO24" s="4"/>
    </row>
    <row r="25" spans="1:41" ht="76.5" customHeight="1">
      <c r="A25" s="190"/>
      <c r="B25" s="52" t="s">
        <v>56</v>
      </c>
      <c r="C25" s="53" t="s">
        <v>57</v>
      </c>
      <c r="D25" s="222" t="s">
        <v>58</v>
      </c>
      <c r="E25" s="54" t="s">
        <v>59</v>
      </c>
      <c r="F25" s="55" t="s">
        <v>60</v>
      </c>
      <c r="G25" s="55" t="s">
        <v>61</v>
      </c>
      <c r="H25" s="55" t="s">
        <v>62</v>
      </c>
      <c r="I25" s="55" t="s">
        <v>63</v>
      </c>
      <c r="J25" s="55" t="s">
        <v>64</v>
      </c>
      <c r="K25" s="55" t="s">
        <v>65</v>
      </c>
      <c r="L25" s="55" t="s">
        <v>66</v>
      </c>
      <c r="M25" s="256" t="s">
        <v>67</v>
      </c>
      <c r="N25" s="216"/>
      <c r="O25" s="217"/>
      <c r="P25" s="256" t="s">
        <v>68</v>
      </c>
      <c r="Q25" s="216"/>
      <c r="R25" s="217"/>
      <c r="S25" s="254" t="s">
        <v>69</v>
      </c>
      <c r="T25" s="217"/>
      <c r="U25" s="199"/>
      <c r="V25" s="3"/>
      <c r="W25" s="4"/>
      <c r="X25" s="4"/>
      <c r="Y25" s="4"/>
      <c r="Z25" s="4"/>
      <c r="AA25" s="4"/>
      <c r="AB25" s="4"/>
      <c r="AC25" s="4"/>
      <c r="AD25" s="4"/>
      <c r="AE25" s="4"/>
      <c r="AF25" s="4"/>
      <c r="AG25" s="4"/>
      <c r="AH25" s="4"/>
      <c r="AI25" s="4"/>
      <c r="AJ25" s="4"/>
      <c r="AK25" s="4"/>
      <c r="AL25" s="4"/>
      <c r="AM25" s="4"/>
      <c r="AN25" s="4"/>
      <c r="AO25" s="4"/>
    </row>
    <row r="26" spans="1:41" ht="22.5" customHeight="1">
      <c r="A26" s="191"/>
      <c r="B26" s="56" t="s">
        <v>70</v>
      </c>
      <c r="C26" s="57" t="s">
        <v>71</v>
      </c>
      <c r="D26" s="200"/>
      <c r="E26" s="56" t="s">
        <v>72</v>
      </c>
      <c r="F26" s="57" t="s">
        <v>73</v>
      </c>
      <c r="G26" s="57" t="s">
        <v>74</v>
      </c>
      <c r="H26" s="57" t="s">
        <v>75</v>
      </c>
      <c r="I26" s="57" t="s">
        <v>76</v>
      </c>
      <c r="J26" s="57" t="s">
        <v>77</v>
      </c>
      <c r="K26" s="57" t="s">
        <v>78</v>
      </c>
      <c r="L26" s="57" t="s">
        <v>79</v>
      </c>
      <c r="M26" s="255" t="s">
        <v>80</v>
      </c>
      <c r="N26" s="242"/>
      <c r="O26" s="243"/>
      <c r="P26" s="255" t="s">
        <v>81</v>
      </c>
      <c r="Q26" s="242"/>
      <c r="R26" s="243"/>
      <c r="S26" s="255" t="s">
        <v>82</v>
      </c>
      <c r="T26" s="243"/>
      <c r="U26" s="200"/>
      <c r="V26" s="3"/>
      <c r="W26" s="4"/>
      <c r="X26" s="4"/>
      <c r="Y26" s="4"/>
      <c r="Z26" s="4"/>
      <c r="AA26" s="4"/>
      <c r="AB26" s="4"/>
      <c r="AC26" s="4"/>
      <c r="AD26" s="4"/>
      <c r="AE26" s="4"/>
      <c r="AF26" s="4"/>
      <c r="AG26" s="4"/>
      <c r="AH26" s="4"/>
      <c r="AI26" s="4"/>
      <c r="AJ26" s="4"/>
      <c r="AK26" s="4"/>
      <c r="AL26" s="4"/>
      <c r="AM26" s="4"/>
      <c r="AN26" s="4"/>
      <c r="AO26" s="4"/>
    </row>
    <row r="27" spans="1:41" ht="13.5" customHeight="1">
      <c r="A27" s="294" t="s">
        <v>83</v>
      </c>
      <c r="B27" s="295"/>
      <c r="C27" s="296"/>
      <c r="D27" s="297">
        <f>B27+C27</f>
        <v>0</v>
      </c>
      <c r="E27" s="298"/>
      <c r="F27" s="223"/>
      <c r="G27" s="223"/>
      <c r="H27" s="223"/>
      <c r="I27" s="223"/>
      <c r="J27" s="223"/>
      <c r="K27" s="223"/>
      <c r="L27" s="223"/>
      <c r="M27" s="283" t="s">
        <v>84</v>
      </c>
      <c r="N27" s="284"/>
      <c r="O27" s="58"/>
      <c r="P27" s="283" t="s">
        <v>84</v>
      </c>
      <c r="Q27" s="284"/>
      <c r="R27" s="58"/>
      <c r="S27" s="246">
        <f>M41+M42+M43+N41+N42+N43+O41+O42</f>
        <v>0</v>
      </c>
      <c r="T27" s="247"/>
      <c r="U27" s="248">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90"/>
      <c r="B28" s="193"/>
      <c r="C28" s="196"/>
      <c r="D28" s="199"/>
      <c r="E28" s="193"/>
      <c r="F28" s="196"/>
      <c r="G28" s="196"/>
      <c r="H28" s="196"/>
      <c r="I28" s="196"/>
      <c r="J28" s="196"/>
      <c r="K28" s="196"/>
      <c r="L28" s="196"/>
      <c r="M28" s="285" t="s">
        <v>85</v>
      </c>
      <c r="N28" s="286"/>
      <c r="O28" s="59"/>
      <c r="P28" s="285" t="s">
        <v>85</v>
      </c>
      <c r="Q28" s="286"/>
      <c r="R28" s="59"/>
      <c r="S28" s="233"/>
      <c r="T28" s="234"/>
      <c r="U28" s="199"/>
      <c r="V28" s="3"/>
      <c r="W28" s="4"/>
      <c r="X28" s="4"/>
      <c r="Y28" s="4"/>
      <c r="Z28" s="4"/>
      <c r="AA28" s="4"/>
      <c r="AB28" s="4"/>
      <c r="AC28" s="4"/>
      <c r="AD28" s="4"/>
      <c r="AE28" s="4"/>
      <c r="AF28" s="4"/>
      <c r="AG28" s="4"/>
      <c r="AH28" s="4"/>
      <c r="AI28" s="4"/>
      <c r="AJ28" s="4"/>
      <c r="AK28" s="4"/>
      <c r="AL28" s="4"/>
      <c r="AM28" s="4"/>
      <c r="AN28" s="4"/>
      <c r="AO28" s="4"/>
    </row>
    <row r="29" spans="1:41" ht="13.5" customHeight="1">
      <c r="A29" s="220"/>
      <c r="B29" s="208"/>
      <c r="C29" s="206"/>
      <c r="D29" s="211"/>
      <c r="E29" s="208"/>
      <c r="F29" s="206"/>
      <c r="G29" s="206"/>
      <c r="H29" s="206"/>
      <c r="I29" s="206"/>
      <c r="J29" s="206"/>
      <c r="K29" s="206"/>
      <c r="L29" s="206"/>
      <c r="M29" s="285" t="s">
        <v>86</v>
      </c>
      <c r="N29" s="286"/>
      <c r="O29" s="59"/>
      <c r="P29" s="285" t="s">
        <v>86</v>
      </c>
      <c r="Q29" s="286"/>
      <c r="R29" s="59"/>
      <c r="S29" s="235"/>
      <c r="T29" s="237"/>
      <c r="U29" s="211"/>
      <c r="V29" s="3"/>
      <c r="W29" s="4"/>
      <c r="X29" s="4"/>
      <c r="Y29" s="4"/>
      <c r="Z29" s="4"/>
      <c r="AA29" s="4"/>
      <c r="AB29" s="4"/>
      <c r="AC29" s="4"/>
      <c r="AD29" s="4"/>
      <c r="AE29" s="4"/>
      <c r="AF29" s="4"/>
      <c r="AG29" s="4"/>
      <c r="AH29" s="4"/>
      <c r="AI29" s="4"/>
      <c r="AJ29" s="4"/>
      <c r="AK29" s="4"/>
      <c r="AL29" s="4"/>
      <c r="AM29" s="4"/>
      <c r="AN29" s="4"/>
      <c r="AO29" s="4"/>
    </row>
    <row r="30" spans="1:41" ht="13.5" customHeight="1">
      <c r="A30" s="189" t="s">
        <v>87</v>
      </c>
      <c r="B30" s="192"/>
      <c r="C30" s="195"/>
      <c r="D30" s="198">
        <f>B30+C30</f>
        <v>0</v>
      </c>
      <c r="E30" s="201"/>
      <c r="F30" s="202"/>
      <c r="G30" s="202"/>
      <c r="H30" s="202"/>
      <c r="I30" s="202"/>
      <c r="J30" s="202"/>
      <c r="K30" s="202"/>
      <c r="L30" s="202"/>
      <c r="M30" s="285" t="s">
        <v>84</v>
      </c>
      <c r="N30" s="286"/>
      <c r="O30" s="59"/>
      <c r="P30" s="285" t="s">
        <v>84</v>
      </c>
      <c r="Q30" s="286"/>
      <c r="R30" s="59"/>
      <c r="S30" s="287">
        <f>P41+P42+P43+Q41+Q42+Q43+R41+R42</f>
        <v>0</v>
      </c>
      <c r="T30" s="232"/>
      <c r="U30" s="288">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90"/>
      <c r="B31" s="193"/>
      <c r="C31" s="196"/>
      <c r="D31" s="199"/>
      <c r="E31" s="193"/>
      <c r="F31" s="196"/>
      <c r="G31" s="196"/>
      <c r="H31" s="196"/>
      <c r="I31" s="196"/>
      <c r="J31" s="196"/>
      <c r="K31" s="196"/>
      <c r="L31" s="196"/>
      <c r="M31" s="285" t="s">
        <v>85</v>
      </c>
      <c r="N31" s="286"/>
      <c r="O31" s="59"/>
      <c r="P31" s="285" t="s">
        <v>85</v>
      </c>
      <c r="Q31" s="286"/>
      <c r="R31" s="59"/>
      <c r="S31" s="233"/>
      <c r="T31" s="234"/>
      <c r="U31" s="199"/>
      <c r="V31" s="3"/>
      <c r="W31" s="4"/>
      <c r="X31" s="4"/>
      <c r="Y31" s="4"/>
      <c r="Z31" s="4"/>
      <c r="AA31" s="4"/>
      <c r="AB31" s="4"/>
      <c r="AC31" s="4"/>
      <c r="AD31" s="4"/>
      <c r="AE31" s="4"/>
      <c r="AF31" s="4"/>
      <c r="AG31" s="4"/>
      <c r="AH31" s="4"/>
      <c r="AI31" s="4"/>
      <c r="AJ31" s="4"/>
      <c r="AK31" s="4"/>
      <c r="AL31" s="4"/>
      <c r="AM31" s="4"/>
      <c r="AN31" s="4"/>
      <c r="AO31" s="4"/>
    </row>
    <row r="32" spans="1:41" ht="13.5" customHeight="1">
      <c r="A32" s="220"/>
      <c r="B32" s="208"/>
      <c r="C32" s="206"/>
      <c r="D32" s="211"/>
      <c r="E32" s="208"/>
      <c r="F32" s="206"/>
      <c r="G32" s="206"/>
      <c r="H32" s="206"/>
      <c r="I32" s="206"/>
      <c r="J32" s="206"/>
      <c r="K32" s="206"/>
      <c r="L32" s="206"/>
      <c r="M32" s="285" t="s">
        <v>86</v>
      </c>
      <c r="N32" s="286"/>
      <c r="O32" s="59"/>
      <c r="P32" s="285" t="s">
        <v>86</v>
      </c>
      <c r="Q32" s="286"/>
      <c r="R32" s="59"/>
      <c r="S32" s="235"/>
      <c r="T32" s="237"/>
      <c r="U32" s="211"/>
      <c r="V32" s="3"/>
      <c r="W32" s="4"/>
      <c r="X32" s="4"/>
      <c r="Y32" s="4"/>
      <c r="Z32" s="4"/>
      <c r="AA32" s="4"/>
      <c r="AB32" s="4"/>
      <c r="AC32" s="4"/>
      <c r="AD32" s="4"/>
      <c r="AE32" s="4"/>
      <c r="AF32" s="4"/>
      <c r="AG32" s="4"/>
      <c r="AH32" s="4"/>
      <c r="AI32" s="4"/>
      <c r="AJ32" s="4"/>
      <c r="AK32" s="4"/>
      <c r="AL32" s="4"/>
      <c r="AM32" s="4"/>
      <c r="AN32" s="4"/>
      <c r="AO32" s="4"/>
    </row>
    <row r="33" spans="1:41" ht="13.5" customHeight="1">
      <c r="A33" s="189" t="s">
        <v>88</v>
      </c>
      <c r="B33" s="192"/>
      <c r="C33" s="195"/>
      <c r="D33" s="198">
        <f>B33+C33</f>
        <v>0</v>
      </c>
      <c r="E33" s="201"/>
      <c r="F33" s="202"/>
      <c r="G33" s="202"/>
      <c r="H33" s="202"/>
      <c r="I33" s="202"/>
      <c r="J33" s="202"/>
      <c r="K33" s="202"/>
      <c r="L33" s="202"/>
      <c r="M33" s="285" t="s">
        <v>84</v>
      </c>
      <c r="N33" s="286"/>
      <c r="O33" s="59"/>
      <c r="P33" s="285" t="s">
        <v>84</v>
      </c>
      <c r="Q33" s="286"/>
      <c r="R33" s="59"/>
      <c r="S33" s="287">
        <f>S41+S42+S43+T41+T42+T43+U41+U42</f>
        <v>0</v>
      </c>
      <c r="T33" s="232"/>
      <c r="U33" s="288">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90"/>
      <c r="B34" s="193"/>
      <c r="C34" s="196"/>
      <c r="D34" s="199"/>
      <c r="E34" s="193"/>
      <c r="F34" s="196"/>
      <c r="G34" s="196"/>
      <c r="H34" s="196"/>
      <c r="I34" s="196"/>
      <c r="J34" s="196"/>
      <c r="K34" s="196"/>
      <c r="L34" s="196"/>
      <c r="M34" s="285" t="s">
        <v>85</v>
      </c>
      <c r="N34" s="286"/>
      <c r="O34" s="59"/>
      <c r="P34" s="285" t="s">
        <v>85</v>
      </c>
      <c r="Q34" s="286"/>
      <c r="R34" s="59"/>
      <c r="S34" s="233"/>
      <c r="T34" s="234"/>
      <c r="U34" s="199"/>
      <c r="V34" s="3"/>
      <c r="W34" s="4"/>
      <c r="X34" s="4"/>
      <c r="Y34" s="4"/>
      <c r="Z34" s="4"/>
      <c r="AA34" s="4"/>
      <c r="AB34" s="4"/>
      <c r="AC34" s="4"/>
      <c r="AD34" s="4"/>
      <c r="AE34" s="4"/>
      <c r="AF34" s="4"/>
      <c r="AG34" s="4"/>
      <c r="AH34" s="4"/>
      <c r="AI34" s="4"/>
      <c r="AJ34" s="4"/>
      <c r="AK34" s="4"/>
      <c r="AL34" s="4"/>
      <c r="AM34" s="4"/>
      <c r="AN34" s="4"/>
      <c r="AO34" s="4"/>
    </row>
    <row r="35" spans="1:41" ht="13.5" customHeight="1">
      <c r="A35" s="191"/>
      <c r="B35" s="194"/>
      <c r="C35" s="197"/>
      <c r="D35" s="200"/>
      <c r="E35" s="194"/>
      <c r="F35" s="197"/>
      <c r="G35" s="197"/>
      <c r="H35" s="197"/>
      <c r="I35" s="197"/>
      <c r="J35" s="197"/>
      <c r="K35" s="197"/>
      <c r="L35" s="197"/>
      <c r="M35" s="292" t="s">
        <v>86</v>
      </c>
      <c r="N35" s="293"/>
      <c r="O35" s="60"/>
      <c r="P35" s="292" t="s">
        <v>86</v>
      </c>
      <c r="Q35" s="293"/>
      <c r="R35" s="60"/>
      <c r="S35" s="291"/>
      <c r="T35" s="275"/>
      <c r="U35" s="20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2" t="s">
        <v>90</v>
      </c>
      <c r="B38" s="213"/>
      <c r="C38" s="213"/>
      <c r="D38" s="213"/>
      <c r="E38" s="214"/>
      <c r="F38" s="61"/>
      <c r="G38" s="249" t="s">
        <v>91</v>
      </c>
      <c r="H38" s="232"/>
      <c r="I38" s="4"/>
      <c r="J38" s="212" t="s">
        <v>92</v>
      </c>
      <c r="K38" s="213"/>
      <c r="L38" s="213"/>
      <c r="M38" s="213"/>
      <c r="N38" s="213"/>
      <c r="O38" s="213"/>
      <c r="P38" s="213"/>
      <c r="Q38" s="213"/>
      <c r="R38" s="213"/>
      <c r="S38" s="213"/>
      <c r="T38" s="213"/>
      <c r="U38" s="214"/>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235"/>
      <c r="H39" s="237"/>
      <c r="I39" s="4"/>
      <c r="J39" s="250" t="s">
        <v>94</v>
      </c>
      <c r="K39" s="231"/>
      <c r="L39" s="232"/>
      <c r="M39" s="289" t="s">
        <v>95</v>
      </c>
      <c r="N39" s="216"/>
      <c r="O39" s="217"/>
      <c r="P39" s="289" t="s">
        <v>87</v>
      </c>
      <c r="Q39" s="216"/>
      <c r="R39" s="217"/>
      <c r="S39" s="289" t="s">
        <v>88</v>
      </c>
      <c r="T39" s="216"/>
      <c r="U39" s="290"/>
      <c r="V39" s="3"/>
      <c r="W39" s="4"/>
      <c r="X39" s="4"/>
      <c r="Y39" s="4"/>
      <c r="Z39" s="4"/>
      <c r="AA39" s="4"/>
      <c r="AB39" s="4"/>
      <c r="AC39" s="4"/>
      <c r="AD39" s="4"/>
      <c r="AE39" s="4"/>
      <c r="AF39" s="4"/>
      <c r="AG39" s="4"/>
      <c r="AH39" s="4"/>
      <c r="AI39" s="4"/>
      <c r="AJ39" s="4"/>
      <c r="AK39" s="4"/>
      <c r="AL39" s="4"/>
      <c r="AM39" s="4"/>
      <c r="AN39" s="4"/>
      <c r="AO39" s="4"/>
    </row>
    <row r="40" spans="1:41" ht="15" customHeight="1">
      <c r="A40" s="207" t="s">
        <v>96</v>
      </c>
      <c r="B40" s="209"/>
      <c r="C40" s="209"/>
      <c r="D40" s="209"/>
      <c r="E40" s="210">
        <f>B40+C40+D40</f>
        <v>0</v>
      </c>
      <c r="F40" s="203"/>
      <c r="G40" s="205" t="s">
        <v>97</v>
      </c>
      <c r="H40" s="209">
        <f>$E$17+$F$18</f>
        <v>0</v>
      </c>
      <c r="I40" s="4"/>
      <c r="J40" s="251"/>
      <c r="K40" s="236"/>
      <c r="L40" s="237"/>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208"/>
      <c r="B41" s="206"/>
      <c r="C41" s="206"/>
      <c r="D41" s="206"/>
      <c r="E41" s="211"/>
      <c r="F41" s="204"/>
      <c r="G41" s="206"/>
      <c r="H41" s="206"/>
      <c r="I41" s="4"/>
      <c r="J41" s="240" t="s">
        <v>101</v>
      </c>
      <c r="K41" s="216"/>
      <c r="L41" s="217"/>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07" t="s">
        <v>102</v>
      </c>
      <c r="B42" s="209"/>
      <c r="C42" s="209"/>
      <c r="D42" s="209"/>
      <c r="E42" s="210">
        <f>B42+C42+D42</f>
        <v>0</v>
      </c>
      <c r="F42" s="203"/>
      <c r="G42" s="205" t="s">
        <v>103</v>
      </c>
      <c r="H42" s="209"/>
      <c r="I42" s="4"/>
      <c r="J42" s="240" t="s">
        <v>104</v>
      </c>
      <c r="K42" s="216"/>
      <c r="L42" s="217"/>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208"/>
      <c r="B43" s="206"/>
      <c r="C43" s="206"/>
      <c r="D43" s="206"/>
      <c r="E43" s="211"/>
      <c r="F43" s="204"/>
      <c r="G43" s="206"/>
      <c r="H43" s="206"/>
      <c r="I43" s="4"/>
      <c r="J43" s="241" t="s">
        <v>105</v>
      </c>
      <c r="K43" s="242"/>
      <c r="L43" s="24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07" t="s">
        <v>106</v>
      </c>
      <c r="B44" s="209"/>
      <c r="C44" s="209"/>
      <c r="D44" s="209"/>
      <c r="E44" s="210">
        <f>B44+C44+D44</f>
        <v>0</v>
      </c>
      <c r="F44" s="203"/>
      <c r="G44" s="205" t="s">
        <v>107</v>
      </c>
      <c r="H44" s="209"/>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94"/>
      <c r="B45" s="197"/>
      <c r="C45" s="197"/>
      <c r="D45" s="197"/>
      <c r="E45" s="200"/>
      <c r="F45" s="204"/>
      <c r="G45" s="206"/>
      <c r="H45" s="206"/>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38" t="s">
        <v>109</v>
      </c>
      <c r="G46" s="204"/>
      <c r="H46" s="204"/>
      <c r="I46" s="4"/>
      <c r="J46" s="4"/>
      <c r="K46" s="4"/>
      <c r="L46" s="72" t="s">
        <v>110</v>
      </c>
      <c r="M46" s="72"/>
      <c r="N46" s="72"/>
      <c r="O46" s="72"/>
      <c r="P46" s="72"/>
      <c r="Q46" s="239"/>
      <c r="R46" s="227"/>
      <c r="S46" s="227"/>
      <c r="T46" s="227"/>
      <c r="U46" s="227"/>
      <c r="V46" s="3"/>
      <c r="W46" s="4"/>
      <c r="X46" s="4"/>
      <c r="Y46" s="4"/>
      <c r="Z46" s="4"/>
      <c r="AA46" s="4"/>
      <c r="AB46" s="4"/>
      <c r="AC46" s="4"/>
      <c r="AD46" s="4"/>
      <c r="AE46" s="4"/>
      <c r="AF46" s="4"/>
      <c r="AG46" s="4"/>
      <c r="AH46" s="4"/>
      <c r="AI46" s="4"/>
      <c r="AJ46" s="4"/>
      <c r="AK46" s="4"/>
      <c r="AL46" s="4"/>
      <c r="AM46" s="4"/>
      <c r="AN46" s="4"/>
      <c r="AO46" s="4"/>
    </row>
    <row r="47" spans="1:41" ht="13.5" customHeight="1">
      <c r="A47" s="229"/>
      <c r="B47" s="74"/>
      <c r="C47" s="74"/>
      <c r="D47" s="74"/>
      <c r="E47" s="230"/>
      <c r="F47" s="231"/>
      <c r="G47" s="231"/>
      <c r="H47" s="231"/>
      <c r="I47" s="231"/>
      <c r="J47" s="232"/>
      <c r="K47" s="72"/>
      <c r="L47" s="72" t="s">
        <v>111</v>
      </c>
      <c r="M47" s="239"/>
      <c r="N47" s="227"/>
      <c r="O47" s="227"/>
      <c r="P47" s="227"/>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4"/>
      <c r="B48" s="74"/>
      <c r="C48" s="74"/>
      <c r="D48" s="74"/>
      <c r="E48" s="233"/>
      <c r="F48" s="204"/>
      <c r="G48" s="204"/>
      <c r="H48" s="204"/>
      <c r="I48" s="204"/>
      <c r="J48" s="234"/>
      <c r="K48" s="72"/>
      <c r="L48" s="72" t="s">
        <v>112</v>
      </c>
      <c r="M48" s="224"/>
      <c r="N48" s="225"/>
      <c r="O48" s="225"/>
      <c r="P48" s="225"/>
      <c r="Q48" s="72"/>
      <c r="R48" s="75" t="s">
        <v>113</v>
      </c>
      <c r="S48" s="226"/>
      <c r="T48" s="227"/>
      <c r="U48" s="4"/>
      <c r="V48" s="3"/>
      <c r="W48" s="4"/>
      <c r="X48" s="4"/>
      <c r="Y48" s="4"/>
      <c r="Z48" s="4"/>
      <c r="AA48" s="4"/>
      <c r="AB48" s="4"/>
      <c r="AC48" s="4"/>
      <c r="AD48" s="4"/>
      <c r="AE48" s="4"/>
      <c r="AF48" s="4"/>
      <c r="AG48" s="4"/>
      <c r="AH48" s="4"/>
      <c r="AI48" s="4"/>
      <c r="AJ48" s="4"/>
      <c r="AK48" s="4"/>
      <c r="AL48" s="4"/>
      <c r="AM48" s="4"/>
      <c r="AN48" s="4"/>
      <c r="AO48" s="4"/>
    </row>
    <row r="49" spans="1:41" ht="13.5" customHeight="1">
      <c r="A49" s="203"/>
      <c r="B49" s="65"/>
      <c r="C49" s="65"/>
      <c r="D49" s="65"/>
      <c r="E49" s="233"/>
      <c r="F49" s="204"/>
      <c r="G49" s="204"/>
      <c r="H49" s="204"/>
      <c r="I49" s="204"/>
      <c r="J49" s="234"/>
      <c r="K49" s="72"/>
      <c r="L49" s="72" t="s">
        <v>114</v>
      </c>
      <c r="M49" s="228"/>
      <c r="N49" s="225"/>
      <c r="O49" s="225"/>
      <c r="P49" s="225"/>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4"/>
      <c r="B50" s="65"/>
      <c r="C50" s="65"/>
      <c r="D50" s="65"/>
      <c r="E50" s="235"/>
      <c r="F50" s="236"/>
      <c r="G50" s="236"/>
      <c r="H50" s="236"/>
      <c r="I50" s="236"/>
      <c r="J50" s="237"/>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workbookViewId="0">
      <selection activeCell="S13" sqref="S13"/>
    </sheetView>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305" t="s">
        <v>773</v>
      </c>
      <c r="B1" s="204"/>
      <c r="C1" s="204"/>
      <c r="D1" s="204"/>
      <c r="E1" s="204"/>
      <c r="F1" s="204"/>
      <c r="G1" s="204"/>
      <c r="H1" s="204"/>
      <c r="I1" s="204"/>
      <c r="J1" s="204"/>
      <c r="K1" s="204"/>
      <c r="L1" s="204"/>
      <c r="M1" s="204"/>
      <c r="N1" s="204"/>
      <c r="O1" s="204"/>
      <c r="P1" s="204"/>
      <c r="Q1" s="20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ht="16">
      <c r="A2" s="305" t="s">
        <v>774</v>
      </c>
      <c r="B2" s="204"/>
      <c r="C2" s="204"/>
      <c r="D2" s="204"/>
      <c r="E2" s="204"/>
      <c r="F2" s="204"/>
      <c r="G2" s="204"/>
      <c r="H2" s="204"/>
      <c r="I2" s="204"/>
      <c r="J2" s="204"/>
      <c r="K2" s="204"/>
      <c r="L2" s="204"/>
      <c r="M2" s="204"/>
      <c r="N2" s="204"/>
      <c r="O2" s="204"/>
      <c r="P2" s="204"/>
      <c r="Q2" s="204"/>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ht="16">
      <c r="A3" s="305" t="s">
        <v>775</v>
      </c>
      <c r="B3" s="204"/>
      <c r="C3" s="204"/>
      <c r="D3" s="204"/>
      <c r="E3" s="204"/>
      <c r="F3" s="204"/>
      <c r="G3" s="204"/>
      <c r="H3" s="204"/>
      <c r="I3" s="204"/>
      <c r="J3" s="204"/>
      <c r="K3" s="204"/>
      <c r="L3" s="204"/>
      <c r="M3" s="204"/>
      <c r="N3" s="204"/>
      <c r="O3" s="204"/>
      <c r="P3" s="204"/>
      <c r="Q3" s="204"/>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ht="16">
      <c r="A4" s="305" t="s">
        <v>776</v>
      </c>
      <c r="B4" s="204"/>
      <c r="C4" s="204"/>
      <c r="D4" s="204"/>
      <c r="E4" s="204"/>
      <c r="F4" s="204"/>
      <c r="G4" s="204"/>
      <c r="H4" s="204"/>
      <c r="I4" s="204"/>
      <c r="J4" s="204"/>
      <c r="K4" s="204"/>
      <c r="L4" s="204"/>
      <c r="M4" s="204"/>
      <c r="N4" s="204"/>
      <c r="O4" s="204"/>
      <c r="P4" s="204"/>
      <c r="Q4" s="204"/>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ht="16">
      <c r="A5" s="305" t="s">
        <v>777</v>
      </c>
      <c r="B5" s="204"/>
      <c r="C5" s="204"/>
      <c r="D5" s="204"/>
      <c r="E5" s="204"/>
      <c r="F5" s="204"/>
      <c r="G5" s="204"/>
      <c r="H5" s="204"/>
      <c r="I5" s="204"/>
      <c r="J5" s="204"/>
      <c r="K5" s="204"/>
      <c r="L5" s="204"/>
      <c r="M5" s="204"/>
      <c r="N5" s="204"/>
      <c r="O5" s="204"/>
      <c r="P5" s="204"/>
      <c r="Q5" s="204"/>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303" t="str">
        <f>IF('DR-TB 10A (Sputum &amp; EP Sample)'!C8="","",'DR-TB 10A (Sputum &amp; EP Sample)'!C8)</f>
        <v/>
      </c>
      <c r="E8" s="227"/>
      <c r="F8" s="227"/>
      <c r="G8" s="85"/>
      <c r="H8" s="88" t="s">
        <v>780</v>
      </c>
      <c r="I8" s="267" t="str">
        <f>'DR-TB 10A (Sputum &amp; EP Sample)'!L6</f>
        <v>&lt;Dates&gt;</v>
      </c>
      <c r="J8" s="227"/>
      <c r="K8" s="227"/>
      <c r="L8" s="227"/>
      <c r="M8" s="227"/>
      <c r="N8" s="227"/>
      <c r="O8" s="227"/>
      <c r="P8" s="227"/>
      <c r="Q8" s="227"/>
      <c r="R8" s="227"/>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304" t="s">
        <v>783</v>
      </c>
      <c r="B11" s="300" t="s">
        <v>784</v>
      </c>
      <c r="C11" s="300" t="s">
        <v>785</v>
      </c>
      <c r="D11" s="300" t="s">
        <v>786</v>
      </c>
      <c r="E11" s="300" t="s">
        <v>787</v>
      </c>
      <c r="F11" s="300" t="s">
        <v>788</v>
      </c>
      <c r="G11" s="300" t="s">
        <v>789</v>
      </c>
      <c r="H11" s="300" t="s">
        <v>790</v>
      </c>
      <c r="I11" s="300" t="s">
        <v>791</v>
      </c>
      <c r="J11" s="90"/>
      <c r="K11" s="300" t="s">
        <v>792</v>
      </c>
      <c r="L11" s="300" t="s">
        <v>793</v>
      </c>
      <c r="M11" s="300" t="s">
        <v>794</v>
      </c>
      <c r="N11" s="300" t="s">
        <v>795</v>
      </c>
      <c r="O11" s="301" t="s">
        <v>796</v>
      </c>
      <c r="P11" s="216"/>
      <c r="Q11" s="216"/>
      <c r="R11" s="216"/>
      <c r="S11" s="216"/>
      <c r="T11" s="216"/>
      <c r="U11" s="217"/>
      <c r="V11" s="300" t="s">
        <v>797</v>
      </c>
      <c r="W11" s="300" t="s">
        <v>798</v>
      </c>
      <c r="X11" s="300" t="s">
        <v>799</v>
      </c>
      <c r="Y11" s="300" t="s">
        <v>800</v>
      </c>
      <c r="Z11" s="300" t="s">
        <v>801</v>
      </c>
      <c r="AA11" s="300" t="s">
        <v>802</v>
      </c>
      <c r="AB11" s="91"/>
      <c r="AC11" s="91"/>
      <c r="AD11" s="91"/>
      <c r="AE11" s="91"/>
      <c r="AF11" s="91"/>
      <c r="AG11" s="91"/>
      <c r="AH11" s="91"/>
      <c r="AI11" s="91"/>
      <c r="AJ11" s="91"/>
      <c r="AK11" s="91"/>
      <c r="AL11" s="91"/>
      <c r="AM11" s="91"/>
      <c r="AN11" s="91"/>
      <c r="AO11" s="91"/>
      <c r="AP11" s="91"/>
      <c r="AQ11" s="91"/>
      <c r="AR11" s="91"/>
    </row>
    <row r="12" spans="1:44" ht="54.75" customHeight="1">
      <c r="A12" s="206"/>
      <c r="B12" s="206"/>
      <c r="C12" s="206"/>
      <c r="D12" s="206"/>
      <c r="E12" s="206"/>
      <c r="F12" s="206"/>
      <c r="G12" s="206"/>
      <c r="H12" s="206"/>
      <c r="I12" s="206"/>
      <c r="J12" s="92" t="s">
        <v>803</v>
      </c>
      <c r="K12" s="206"/>
      <c r="L12" s="206"/>
      <c r="M12" s="206"/>
      <c r="N12" s="206"/>
      <c r="O12" s="93" t="s">
        <v>46</v>
      </c>
      <c r="P12" s="93" t="s">
        <v>804</v>
      </c>
      <c r="Q12" s="93" t="s">
        <v>805</v>
      </c>
      <c r="R12" s="93" t="s">
        <v>806</v>
      </c>
      <c r="S12" s="93" t="s">
        <v>807</v>
      </c>
      <c r="T12" s="93" t="s">
        <v>808</v>
      </c>
      <c r="U12" s="93" t="s">
        <v>809</v>
      </c>
      <c r="V12" s="206"/>
      <c r="W12" s="206"/>
      <c r="X12" s="206"/>
      <c r="Y12" s="206"/>
      <c r="Z12" s="206"/>
      <c r="AA12" s="206"/>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302" t="s">
        <v>836</v>
      </c>
      <c r="B16" s="204"/>
      <c r="C16" s="204"/>
      <c r="D16" s="204"/>
      <c r="E16" s="204"/>
      <c r="F16" s="204"/>
      <c r="G16" s="204"/>
      <c r="H16" s="204"/>
      <c r="I16" s="204"/>
      <c r="J16" s="204"/>
      <c r="K16" s="204"/>
      <c r="L16" s="204"/>
      <c r="M16" s="204"/>
      <c r="N16" s="204"/>
      <c r="O16" s="204"/>
      <c r="P16" s="204"/>
      <c r="Q16" s="204"/>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A11" sqref="A11"/>
    </sheetView>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333" t="s">
        <v>838</v>
      </c>
      <c r="B1" s="204"/>
      <c r="C1" s="204"/>
      <c r="D1" s="204"/>
      <c r="E1" s="204"/>
      <c r="F1" s="204"/>
      <c r="G1" s="204"/>
      <c r="H1" s="204"/>
      <c r="I1" s="204"/>
      <c r="J1" s="204"/>
      <c r="K1" s="204"/>
      <c r="L1" s="204"/>
      <c r="M1" s="204"/>
      <c r="N1" s="204"/>
      <c r="O1" s="204"/>
      <c r="P1" s="333" t="s">
        <v>839</v>
      </c>
      <c r="Q1" s="204"/>
      <c r="R1" s="204"/>
      <c r="S1" s="204"/>
      <c r="T1" s="104"/>
      <c r="U1" s="104"/>
      <c r="V1" s="105"/>
      <c r="W1" s="105"/>
      <c r="X1" s="105"/>
      <c r="Y1" s="105"/>
      <c r="Z1" s="105"/>
    </row>
    <row r="2" spans="1:26" ht="18">
      <c r="A2" s="333" t="s">
        <v>2</v>
      </c>
      <c r="B2" s="204"/>
      <c r="C2" s="204"/>
      <c r="D2" s="204"/>
      <c r="E2" s="204"/>
      <c r="F2" s="204"/>
      <c r="G2" s="204"/>
      <c r="H2" s="204"/>
      <c r="I2" s="204"/>
      <c r="J2" s="204"/>
      <c r="K2" s="204"/>
      <c r="L2" s="204"/>
      <c r="M2" s="204"/>
      <c r="N2" s="204"/>
      <c r="O2" s="204"/>
      <c r="P2" s="204"/>
      <c r="Q2" s="204"/>
      <c r="R2" s="204"/>
      <c r="S2" s="204"/>
      <c r="T2" s="204"/>
      <c r="U2" s="204"/>
      <c r="V2" s="105"/>
      <c r="W2" s="105"/>
      <c r="X2" s="105"/>
      <c r="Y2" s="105"/>
      <c r="Z2" s="105"/>
    </row>
    <row r="3" spans="1:26" ht="18">
      <c r="A3" s="333" t="s">
        <v>840</v>
      </c>
      <c r="B3" s="204"/>
      <c r="C3" s="204"/>
      <c r="D3" s="204"/>
      <c r="E3" s="204"/>
      <c r="F3" s="204"/>
      <c r="G3" s="204"/>
      <c r="H3" s="204"/>
      <c r="I3" s="204"/>
      <c r="J3" s="204"/>
      <c r="K3" s="204"/>
      <c r="L3" s="204"/>
      <c r="M3" s="204"/>
      <c r="N3" s="204"/>
      <c r="O3" s="204"/>
      <c r="P3" s="204"/>
      <c r="Q3" s="204"/>
      <c r="R3" s="204"/>
      <c r="S3" s="103"/>
      <c r="T3" s="103"/>
      <c r="U3" s="103"/>
      <c r="V3" s="105"/>
      <c r="W3" s="105"/>
      <c r="X3" s="105"/>
      <c r="Y3" s="105"/>
      <c r="Z3" s="105"/>
    </row>
    <row r="4" spans="1:26" ht="18">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ht="18">
      <c r="A5" s="333" t="s">
        <v>841</v>
      </c>
      <c r="B5" s="204"/>
      <c r="C5" s="204"/>
      <c r="D5" s="204"/>
      <c r="E5" s="204"/>
      <c r="F5" s="204"/>
      <c r="G5" s="204"/>
      <c r="H5" s="204"/>
      <c r="I5" s="204"/>
      <c r="J5" s="204"/>
      <c r="K5" s="204"/>
      <c r="L5" s="204"/>
      <c r="M5" s="204"/>
      <c r="N5" s="204"/>
      <c r="O5" s="204"/>
      <c r="P5" s="204"/>
      <c r="Q5" s="204"/>
      <c r="R5" s="204"/>
      <c r="S5" s="204"/>
      <c r="T5" s="204"/>
      <c r="U5" s="204"/>
      <c r="V5" s="105"/>
      <c r="W5" s="105"/>
      <c r="X5" s="105"/>
      <c r="Y5" s="105"/>
      <c r="Z5" s="105"/>
    </row>
    <row r="6" spans="1:26" ht="16">
      <c r="A6" s="7"/>
      <c r="B6" s="7"/>
      <c r="C6" s="7"/>
      <c r="D6" s="7"/>
      <c r="E6" s="7"/>
      <c r="F6" s="7"/>
      <c r="G6" s="7"/>
      <c r="H6" s="7"/>
      <c r="I6" s="7"/>
      <c r="J6" s="7"/>
      <c r="K6" s="7"/>
      <c r="L6" s="7"/>
      <c r="M6" s="7"/>
      <c r="N6" s="7"/>
      <c r="O6" s="7"/>
      <c r="P6" s="7"/>
      <c r="Q6" s="7"/>
      <c r="R6" s="7"/>
      <c r="S6" s="7"/>
      <c r="T6" s="7"/>
      <c r="U6" s="7"/>
      <c r="V6" s="105"/>
      <c r="W6" s="105"/>
      <c r="X6" s="105"/>
      <c r="Y6" s="105"/>
      <c r="Z6" s="105"/>
    </row>
    <row r="7" spans="1:26" ht="16">
      <c r="A7" s="7" t="s">
        <v>5</v>
      </c>
      <c r="B7" s="7"/>
      <c r="C7" s="318">
        <f>'DR-TB 10A (Sputum &amp; EP Sample)'!C6:G6</f>
        <v>0</v>
      </c>
      <c r="D7" s="227"/>
      <c r="E7" s="227"/>
      <c r="F7" s="227"/>
      <c r="G7" s="227"/>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ht="17">
      <c r="A8" s="7" t="s">
        <v>8</v>
      </c>
      <c r="B8" s="7"/>
      <c r="C8" s="320">
        <f>'DR-TB 10A (Sputum &amp; EP Sample)'!C7:G7</f>
        <v>0</v>
      </c>
      <c r="D8" s="225"/>
      <c r="E8" s="225"/>
      <c r="F8" s="225"/>
      <c r="G8" s="225"/>
      <c r="H8" s="105"/>
      <c r="I8" s="108"/>
      <c r="J8" s="2" t="s">
        <v>842</v>
      </c>
      <c r="K8" s="109"/>
      <c r="L8" s="109"/>
      <c r="M8" s="109"/>
      <c r="N8" s="319">
        <f>'DR-TB 10A (Sputum &amp; EP Sample)'!N7:S7</f>
        <v>0</v>
      </c>
      <c r="O8" s="227"/>
      <c r="P8" s="227"/>
      <c r="Q8" s="227"/>
      <c r="R8" s="227"/>
      <c r="S8" s="227"/>
      <c r="T8" s="105"/>
      <c r="U8" s="105"/>
      <c r="V8" s="105"/>
      <c r="W8" s="105"/>
      <c r="X8" s="105"/>
      <c r="Y8" s="105"/>
      <c r="Z8" s="105"/>
    </row>
    <row r="9" spans="1:26" ht="17">
      <c r="A9" s="7" t="s">
        <v>10</v>
      </c>
      <c r="B9" s="7"/>
      <c r="C9" s="320">
        <f>'DR-TB 10A (Sputum &amp; EP Sample)'!C8:G8</f>
        <v>0</v>
      </c>
      <c r="D9" s="225"/>
      <c r="E9" s="225"/>
      <c r="F9" s="225"/>
      <c r="G9" s="225"/>
      <c r="H9" s="105"/>
      <c r="I9" s="108"/>
      <c r="J9" s="108" t="s">
        <v>11</v>
      </c>
      <c r="K9" s="108"/>
      <c r="L9" s="108"/>
      <c r="M9" s="319">
        <f>'DR-TB 10A (Sputum &amp; EP Sample)'!M8:S8</f>
        <v>0</v>
      </c>
      <c r="N9" s="227"/>
      <c r="O9" s="227"/>
      <c r="P9" s="227"/>
      <c r="Q9" s="227"/>
      <c r="R9" s="227"/>
      <c r="S9" s="227"/>
      <c r="T9" s="105"/>
      <c r="U9" s="105"/>
      <c r="V9" s="105"/>
      <c r="W9" s="105"/>
      <c r="X9" s="105"/>
      <c r="Y9" s="105"/>
      <c r="Z9" s="105"/>
    </row>
    <row r="10" spans="1:26" ht="17">
      <c r="A10" s="105"/>
      <c r="B10" s="105"/>
      <c r="C10" s="105"/>
      <c r="D10" s="105"/>
      <c r="E10" s="105"/>
      <c r="F10" s="105"/>
      <c r="G10" s="105"/>
      <c r="H10" s="105"/>
      <c r="I10" s="105"/>
      <c r="J10" s="108" t="s">
        <v>14</v>
      </c>
      <c r="K10" s="108"/>
      <c r="L10" s="108"/>
      <c r="M10" s="326">
        <f>'DR-TB 10A (Sputum &amp; EP Sample)'!M9:N9</f>
        <v>0</v>
      </c>
      <c r="N10" s="225"/>
      <c r="O10" s="110"/>
      <c r="P10" s="111"/>
      <c r="Q10" s="105"/>
      <c r="R10" s="105"/>
      <c r="S10" s="105"/>
      <c r="T10" s="105"/>
      <c r="U10" s="105"/>
      <c r="V10" s="105"/>
      <c r="W10" s="105"/>
      <c r="X10" s="105"/>
      <c r="Y10" s="105"/>
      <c r="Z10" s="105"/>
    </row>
    <row r="11" spans="1:26" ht="17">
      <c r="A11" s="105"/>
      <c r="B11" s="105"/>
      <c r="C11" s="105"/>
      <c r="D11" s="105"/>
      <c r="E11" s="105"/>
      <c r="F11" s="105"/>
      <c r="G11" s="105"/>
      <c r="H11" s="105"/>
      <c r="I11" s="105"/>
      <c r="J11" s="112" t="s">
        <v>15</v>
      </c>
      <c r="K11" s="327">
        <f>'DR-TB 10A (Sputum &amp; EP Sample)'!K10:L10</f>
        <v>0</v>
      </c>
      <c r="L11" s="227"/>
      <c r="M11" s="112"/>
      <c r="N11" s="113"/>
      <c r="O11" s="108" t="s">
        <v>16</v>
      </c>
      <c r="P11" s="105"/>
      <c r="Q11" s="328">
        <f>'DR-TB 10A (Sputum &amp; EP Sample)'!Q10:S10</f>
        <v>0</v>
      </c>
      <c r="R11" s="227"/>
      <c r="S11" s="227"/>
      <c r="T11" s="114"/>
      <c r="U11" s="105"/>
      <c r="V11" s="105"/>
      <c r="W11" s="105"/>
      <c r="X11" s="105"/>
      <c r="Y11" s="105"/>
      <c r="Z11" s="105"/>
    </row>
    <row r="12" spans="1:26" ht="16">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ht="17">
      <c r="A13" s="313" t="s">
        <v>843</v>
      </c>
      <c r="B13" s="321" t="s">
        <v>844</v>
      </c>
      <c r="C13" s="217"/>
      <c r="D13" s="321" t="s">
        <v>845</v>
      </c>
      <c r="E13" s="217"/>
      <c r="F13" s="105"/>
      <c r="G13" s="105"/>
      <c r="H13" s="322" t="s">
        <v>846</v>
      </c>
      <c r="I13" s="271"/>
      <c r="J13" s="271"/>
      <c r="K13" s="323"/>
      <c r="L13" s="329" t="s">
        <v>847</v>
      </c>
      <c r="M13" s="213"/>
      <c r="N13" s="213"/>
      <c r="O13" s="330" t="s">
        <v>26</v>
      </c>
      <c r="P13" s="331"/>
      <c r="Q13" s="114"/>
      <c r="R13" s="105"/>
      <c r="S13" s="105"/>
      <c r="T13" s="105"/>
      <c r="U13" s="105"/>
      <c r="V13" s="105"/>
      <c r="W13" s="105"/>
      <c r="X13" s="105"/>
      <c r="Y13" s="105"/>
      <c r="Z13" s="105"/>
    </row>
    <row r="14" spans="1:26" ht="16">
      <c r="A14" s="206"/>
      <c r="B14" s="325"/>
      <c r="C14" s="217"/>
      <c r="D14" s="325"/>
      <c r="E14" s="217"/>
      <c r="F14" s="105"/>
      <c r="G14" s="105"/>
      <c r="H14" s="273"/>
      <c r="I14" s="274"/>
      <c r="J14" s="274"/>
      <c r="K14" s="324"/>
      <c r="L14" s="117"/>
      <c r="M14" s="118"/>
      <c r="N14" s="119"/>
      <c r="O14" s="332">
        <f>L14+M14+N14</f>
        <v>0</v>
      </c>
      <c r="P14" s="324"/>
      <c r="Q14" s="114"/>
      <c r="R14" s="105"/>
      <c r="S14" s="105"/>
      <c r="T14" s="105"/>
      <c r="U14" s="105"/>
      <c r="V14" s="105"/>
      <c r="W14" s="105"/>
      <c r="X14" s="105"/>
      <c r="Y14" s="105"/>
      <c r="Z14" s="105"/>
    </row>
    <row r="15" spans="1:26" ht="16">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ht="16">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308"/>
      <c r="B17" s="232"/>
      <c r="C17" s="314" t="s">
        <v>848</v>
      </c>
      <c r="D17" s="216"/>
      <c r="E17" s="217"/>
      <c r="F17" s="315" t="s">
        <v>849</v>
      </c>
      <c r="G17" s="216"/>
      <c r="H17" s="216"/>
      <c r="I17" s="216"/>
      <c r="J17" s="216"/>
      <c r="K17" s="217"/>
      <c r="L17" s="314" t="s">
        <v>850</v>
      </c>
      <c r="M17" s="216"/>
      <c r="N17" s="216"/>
      <c r="O17" s="216"/>
      <c r="P17" s="216"/>
      <c r="Q17" s="217"/>
      <c r="R17" s="105"/>
      <c r="S17" s="105"/>
      <c r="T17" s="105"/>
      <c r="U17" s="316"/>
      <c r="V17" s="105"/>
      <c r="W17" s="105"/>
      <c r="X17" s="105"/>
      <c r="Y17" s="105"/>
      <c r="Z17" s="105"/>
    </row>
    <row r="18" spans="1:26">
      <c r="A18" s="233"/>
      <c r="B18" s="234"/>
      <c r="C18" s="310" t="s">
        <v>851</v>
      </c>
      <c r="D18" s="310" t="s">
        <v>852</v>
      </c>
      <c r="E18" s="310" t="s">
        <v>26</v>
      </c>
      <c r="F18" s="317" t="s">
        <v>851</v>
      </c>
      <c r="G18" s="232"/>
      <c r="H18" s="317" t="s">
        <v>852</v>
      </c>
      <c r="I18" s="232"/>
      <c r="J18" s="317" t="s">
        <v>26</v>
      </c>
      <c r="K18" s="232"/>
      <c r="L18" s="308" t="s">
        <v>851</v>
      </c>
      <c r="M18" s="232"/>
      <c r="N18" s="308" t="s">
        <v>852</v>
      </c>
      <c r="O18" s="232"/>
      <c r="P18" s="306" t="s">
        <v>26</v>
      </c>
      <c r="Q18" s="232"/>
      <c r="R18" s="105"/>
      <c r="S18" s="105"/>
      <c r="T18" s="105"/>
      <c r="U18" s="204"/>
      <c r="V18" s="105"/>
      <c r="W18" s="105"/>
      <c r="X18" s="105"/>
      <c r="Y18" s="105"/>
      <c r="Z18" s="105"/>
    </row>
    <row r="19" spans="1:26">
      <c r="A19" s="235"/>
      <c r="B19" s="237"/>
      <c r="C19" s="206"/>
      <c r="D19" s="206"/>
      <c r="E19" s="206"/>
      <c r="F19" s="235"/>
      <c r="G19" s="237"/>
      <c r="H19" s="235"/>
      <c r="I19" s="237"/>
      <c r="J19" s="235"/>
      <c r="K19" s="237"/>
      <c r="L19" s="235"/>
      <c r="M19" s="237"/>
      <c r="N19" s="235"/>
      <c r="O19" s="237"/>
      <c r="P19" s="235"/>
      <c r="Q19" s="237"/>
      <c r="R19" s="105"/>
      <c r="S19" s="105"/>
      <c r="T19" s="105"/>
      <c r="U19" s="204"/>
      <c r="V19" s="105"/>
      <c r="W19" s="105"/>
      <c r="X19" s="105"/>
      <c r="Y19" s="105"/>
      <c r="Z19" s="105"/>
    </row>
    <row r="20" spans="1:26" ht="15" customHeight="1">
      <c r="A20" s="308" t="s">
        <v>853</v>
      </c>
      <c r="B20" s="232"/>
      <c r="C20" s="309"/>
      <c r="D20" s="309"/>
      <c r="E20" s="310">
        <f>C20+D20</f>
        <v>0</v>
      </c>
      <c r="F20" s="311"/>
      <c r="G20" s="232"/>
      <c r="H20" s="312"/>
      <c r="I20" s="232"/>
      <c r="J20" s="311">
        <f>F20+H20</f>
        <v>0</v>
      </c>
      <c r="K20" s="232"/>
      <c r="L20" s="306">
        <f>C20+F20</f>
        <v>0</v>
      </c>
      <c r="M20" s="232"/>
      <c r="N20" s="306">
        <f>D20+H20</f>
        <v>0</v>
      </c>
      <c r="O20" s="232"/>
      <c r="P20" s="306">
        <f>L20+N20</f>
        <v>0</v>
      </c>
      <c r="Q20" s="232"/>
      <c r="R20" s="105"/>
      <c r="S20" s="105"/>
      <c r="T20" s="105"/>
      <c r="U20" s="307"/>
      <c r="V20" s="105"/>
      <c r="W20" s="105"/>
      <c r="X20" s="105"/>
      <c r="Y20" s="105"/>
      <c r="Z20" s="105"/>
    </row>
    <row r="21" spans="1:26" ht="15" customHeight="1">
      <c r="A21" s="233"/>
      <c r="B21" s="234"/>
      <c r="C21" s="196"/>
      <c r="D21" s="196"/>
      <c r="E21" s="196"/>
      <c r="F21" s="233"/>
      <c r="G21" s="234"/>
      <c r="H21" s="233"/>
      <c r="I21" s="234"/>
      <c r="J21" s="233"/>
      <c r="K21" s="234"/>
      <c r="L21" s="233"/>
      <c r="M21" s="234"/>
      <c r="N21" s="233"/>
      <c r="O21" s="234"/>
      <c r="P21" s="233"/>
      <c r="Q21" s="234"/>
      <c r="R21" s="105"/>
      <c r="S21" s="105"/>
      <c r="T21" s="105"/>
      <c r="U21" s="204"/>
      <c r="V21" s="105"/>
      <c r="W21" s="105"/>
      <c r="X21" s="105"/>
      <c r="Y21" s="105"/>
      <c r="Z21" s="105"/>
    </row>
    <row r="22" spans="1:26" ht="15" customHeight="1">
      <c r="A22" s="235"/>
      <c r="B22" s="237"/>
      <c r="C22" s="206"/>
      <c r="D22" s="206"/>
      <c r="E22" s="206"/>
      <c r="F22" s="235"/>
      <c r="G22" s="237"/>
      <c r="H22" s="235"/>
      <c r="I22" s="237"/>
      <c r="J22" s="235"/>
      <c r="K22" s="237"/>
      <c r="L22" s="235"/>
      <c r="M22" s="237"/>
      <c r="N22" s="235"/>
      <c r="O22" s="237"/>
      <c r="P22" s="235"/>
      <c r="Q22" s="237"/>
      <c r="R22" s="105"/>
      <c r="S22" s="105"/>
      <c r="T22" s="105"/>
      <c r="U22" s="204"/>
      <c r="V22" s="105"/>
      <c r="W22" s="105"/>
      <c r="X22" s="105"/>
      <c r="Y22" s="105"/>
      <c r="Z22" s="105"/>
    </row>
    <row r="23" spans="1:26" ht="15.75" customHeight="1">
      <c r="A23" s="308" t="s">
        <v>854</v>
      </c>
      <c r="B23" s="232"/>
      <c r="C23" s="309"/>
      <c r="D23" s="309"/>
      <c r="E23" s="310">
        <f>C23+D23</f>
        <v>0</v>
      </c>
      <c r="F23" s="311"/>
      <c r="G23" s="232"/>
      <c r="H23" s="312"/>
      <c r="I23" s="232"/>
      <c r="J23" s="311">
        <f>F23+H23</f>
        <v>0</v>
      </c>
      <c r="K23" s="232"/>
      <c r="L23" s="306">
        <f>C23+F23</f>
        <v>0</v>
      </c>
      <c r="M23" s="232"/>
      <c r="N23" s="306">
        <f>D23+H23</f>
        <v>0</v>
      </c>
      <c r="O23" s="232"/>
      <c r="P23" s="306">
        <f>L23+N23</f>
        <v>0</v>
      </c>
      <c r="Q23" s="232"/>
      <c r="R23" s="105"/>
      <c r="S23" s="105"/>
      <c r="T23" s="105"/>
      <c r="U23" s="124"/>
      <c r="V23" s="105"/>
      <c r="W23" s="105"/>
      <c r="X23" s="105"/>
      <c r="Y23" s="105"/>
      <c r="Z23" s="105"/>
    </row>
    <row r="24" spans="1:26" ht="15.75" customHeight="1">
      <c r="A24" s="233"/>
      <c r="B24" s="234"/>
      <c r="C24" s="196"/>
      <c r="D24" s="196"/>
      <c r="E24" s="196"/>
      <c r="F24" s="233"/>
      <c r="G24" s="234"/>
      <c r="H24" s="233"/>
      <c r="I24" s="234"/>
      <c r="J24" s="233"/>
      <c r="K24" s="234"/>
      <c r="L24" s="233"/>
      <c r="M24" s="234"/>
      <c r="N24" s="233"/>
      <c r="O24" s="234"/>
      <c r="P24" s="233"/>
      <c r="Q24" s="234"/>
      <c r="R24" s="105"/>
      <c r="S24" s="105"/>
      <c r="T24" s="105"/>
      <c r="U24" s="124"/>
      <c r="V24" s="105"/>
      <c r="W24" s="105"/>
      <c r="X24" s="105"/>
      <c r="Y24" s="105"/>
      <c r="Z24" s="105"/>
    </row>
    <row r="25" spans="1:26" ht="15.75" customHeight="1">
      <c r="A25" s="235"/>
      <c r="B25" s="237"/>
      <c r="C25" s="206"/>
      <c r="D25" s="206"/>
      <c r="E25" s="206"/>
      <c r="F25" s="235"/>
      <c r="G25" s="237"/>
      <c r="H25" s="235"/>
      <c r="I25" s="237"/>
      <c r="J25" s="235"/>
      <c r="K25" s="237"/>
      <c r="L25" s="235"/>
      <c r="M25" s="237"/>
      <c r="N25" s="235"/>
      <c r="O25" s="237"/>
      <c r="P25" s="235"/>
      <c r="Q25" s="237"/>
      <c r="R25" s="105"/>
      <c r="S25" s="105"/>
      <c r="T25" s="105"/>
      <c r="U25" s="124"/>
      <c r="V25" s="105"/>
      <c r="W25" s="105"/>
      <c r="X25" s="105"/>
      <c r="Y25" s="105"/>
      <c r="Z25" s="105"/>
    </row>
    <row r="26" spans="1:26" ht="15.75" customHeight="1">
      <c r="A26" s="308" t="s">
        <v>855</v>
      </c>
      <c r="B26" s="232"/>
      <c r="C26" s="309"/>
      <c r="D26" s="309"/>
      <c r="E26" s="310">
        <f>C26+D26</f>
        <v>0</v>
      </c>
      <c r="F26" s="311"/>
      <c r="G26" s="232"/>
      <c r="H26" s="312"/>
      <c r="I26" s="232"/>
      <c r="J26" s="311">
        <f>F26+H26</f>
        <v>0</v>
      </c>
      <c r="K26" s="232"/>
      <c r="L26" s="306">
        <f>C26+F26</f>
        <v>0</v>
      </c>
      <c r="M26" s="232"/>
      <c r="N26" s="306">
        <f>D26+H26</f>
        <v>0</v>
      </c>
      <c r="O26" s="232"/>
      <c r="P26" s="306">
        <f>L26+N26</f>
        <v>0</v>
      </c>
      <c r="Q26" s="232"/>
      <c r="R26" s="123"/>
      <c r="S26" s="124"/>
      <c r="T26" s="124"/>
      <c r="U26" s="124"/>
      <c r="V26" s="105"/>
      <c r="W26" s="105"/>
      <c r="X26" s="105"/>
      <c r="Y26" s="105"/>
      <c r="Z26" s="105"/>
    </row>
    <row r="27" spans="1:26" ht="15.75" customHeight="1">
      <c r="A27" s="233"/>
      <c r="B27" s="234"/>
      <c r="C27" s="196"/>
      <c r="D27" s="196"/>
      <c r="E27" s="196"/>
      <c r="F27" s="233"/>
      <c r="G27" s="234"/>
      <c r="H27" s="233"/>
      <c r="I27" s="234"/>
      <c r="J27" s="233"/>
      <c r="K27" s="234"/>
      <c r="L27" s="233"/>
      <c r="M27" s="234"/>
      <c r="N27" s="233"/>
      <c r="O27" s="234"/>
      <c r="P27" s="233"/>
      <c r="Q27" s="234"/>
      <c r="R27" s="123"/>
      <c r="S27" s="124"/>
      <c r="T27" s="124"/>
      <c r="U27" s="124"/>
      <c r="V27" s="105"/>
      <c r="W27" s="105"/>
      <c r="X27" s="105"/>
      <c r="Y27" s="105"/>
      <c r="Z27" s="105"/>
    </row>
    <row r="28" spans="1:26" ht="15.75" customHeight="1">
      <c r="A28" s="235"/>
      <c r="B28" s="237"/>
      <c r="C28" s="206"/>
      <c r="D28" s="206"/>
      <c r="E28" s="206"/>
      <c r="F28" s="235"/>
      <c r="G28" s="237"/>
      <c r="H28" s="235"/>
      <c r="I28" s="237"/>
      <c r="J28" s="235"/>
      <c r="K28" s="237"/>
      <c r="L28" s="235"/>
      <c r="M28" s="237"/>
      <c r="N28" s="235"/>
      <c r="O28" s="237"/>
      <c r="P28" s="235"/>
      <c r="Q28" s="237"/>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335"/>
      <c r="N30" s="236"/>
      <c r="O30" s="236"/>
      <c r="P30" s="236"/>
      <c r="Q30" s="236"/>
      <c r="R30" s="236"/>
      <c r="S30" s="236"/>
      <c r="T30" s="105"/>
      <c r="U30" s="105"/>
      <c r="V30" s="105"/>
      <c r="W30" s="105"/>
      <c r="X30" s="105"/>
      <c r="Y30" s="105"/>
      <c r="Z30" s="105"/>
    </row>
    <row r="31" spans="1:26" ht="15.75" customHeight="1">
      <c r="A31" s="126"/>
      <c r="B31" s="126"/>
      <c r="C31" s="126"/>
      <c r="D31" s="126"/>
      <c r="E31" s="127"/>
      <c r="F31" s="127"/>
      <c r="G31" s="106"/>
      <c r="H31" s="114" t="s">
        <v>112</v>
      </c>
      <c r="I31" s="336"/>
      <c r="J31" s="236"/>
      <c r="K31" s="236"/>
      <c r="L31" s="236"/>
      <c r="M31" s="105"/>
      <c r="N31" s="128" t="s">
        <v>113</v>
      </c>
      <c r="O31" s="337"/>
      <c r="P31" s="216"/>
      <c r="Q31" s="216"/>
      <c r="R31" s="105"/>
      <c r="S31" s="105"/>
      <c r="T31" s="105"/>
      <c r="U31" s="105"/>
      <c r="V31" s="105"/>
      <c r="W31" s="105"/>
      <c r="X31" s="105"/>
      <c r="Y31" s="105"/>
      <c r="Z31" s="105"/>
    </row>
    <row r="32" spans="1:26" ht="15.75" customHeight="1">
      <c r="A32" s="106"/>
      <c r="B32" s="125"/>
      <c r="C32" s="125"/>
      <c r="D32" s="125"/>
      <c r="E32" s="106"/>
      <c r="F32" s="106"/>
      <c r="G32" s="127"/>
      <c r="H32" s="114" t="s">
        <v>114</v>
      </c>
      <c r="I32" s="334"/>
      <c r="J32" s="236"/>
      <c r="K32" s="236"/>
      <c r="L32" s="236"/>
      <c r="M32" s="236"/>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A1:O1"/>
    <mergeCell ref="P1:S1"/>
    <mergeCell ref="A2:U2"/>
    <mergeCell ref="A3:R3"/>
    <mergeCell ref="A5:U5"/>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F17:K17"/>
    <mergeCell ref="L17:Q17"/>
    <mergeCell ref="U17:U19"/>
    <mergeCell ref="H18:I19"/>
    <mergeCell ref="J18:K19"/>
    <mergeCell ref="L18:M19"/>
    <mergeCell ref="N18:O19"/>
    <mergeCell ref="P18:Q19"/>
    <mergeCell ref="F18:G19"/>
    <mergeCell ref="A13:A14"/>
    <mergeCell ref="A17:B19"/>
    <mergeCell ref="C17:E17"/>
    <mergeCell ref="C18:C19"/>
    <mergeCell ref="D18:D19"/>
    <mergeCell ref="E18:E19"/>
    <mergeCell ref="L20:M22"/>
    <mergeCell ref="N20:O22"/>
    <mergeCell ref="P20:Q22"/>
    <mergeCell ref="U20:U22"/>
    <mergeCell ref="A20:B22"/>
    <mergeCell ref="C20:C22"/>
    <mergeCell ref="D20:D22"/>
    <mergeCell ref="E20:E22"/>
    <mergeCell ref="F20:G22"/>
    <mergeCell ref="H20:I22"/>
    <mergeCell ref="J20:K22"/>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topLeftCell="M1" workbookViewId="0">
      <selection activeCell="AA15" sqref="AA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57" t="s">
        <v>115</v>
      </c>
      <c r="B1" s="357" t="s">
        <v>857</v>
      </c>
      <c r="C1" s="357" t="s">
        <v>858</v>
      </c>
      <c r="D1" s="358"/>
      <c r="E1" s="359" t="s">
        <v>859</v>
      </c>
      <c r="F1" s="216"/>
      <c r="G1" s="217"/>
      <c r="H1" s="360" t="s">
        <v>860</v>
      </c>
      <c r="I1" s="216"/>
      <c r="J1" s="216"/>
      <c r="K1" s="216"/>
      <c r="L1" s="216"/>
      <c r="M1" s="216"/>
      <c r="N1" s="216"/>
      <c r="O1" s="216"/>
      <c r="P1" s="216"/>
      <c r="Q1" s="216"/>
      <c r="R1" s="216"/>
      <c r="S1" s="216"/>
      <c r="T1" s="216"/>
      <c r="U1" s="216"/>
      <c r="V1" s="216"/>
      <c r="W1" s="216"/>
      <c r="X1" s="216"/>
      <c r="Y1" s="216"/>
      <c r="Z1" s="216"/>
      <c r="AA1" s="216"/>
      <c r="AB1" s="216"/>
      <c r="AC1" s="216"/>
      <c r="AD1" s="216"/>
      <c r="AE1" s="216"/>
      <c r="AF1" s="217"/>
      <c r="AG1" s="360" t="s">
        <v>861</v>
      </c>
      <c r="AH1" s="216"/>
      <c r="AI1" s="216"/>
      <c r="AJ1" s="217"/>
      <c r="AK1" s="341" t="s">
        <v>862</v>
      </c>
      <c r="AL1" s="341" t="s">
        <v>863</v>
      </c>
      <c r="AM1" s="341" t="s">
        <v>864</v>
      </c>
      <c r="AN1" s="348" t="s">
        <v>865</v>
      </c>
      <c r="AO1" s="216"/>
      <c r="AP1" s="216"/>
      <c r="AQ1" s="217"/>
      <c r="AR1" s="341" t="s">
        <v>866</v>
      </c>
      <c r="AS1" s="348" t="s">
        <v>867</v>
      </c>
      <c r="AT1" s="216"/>
      <c r="AU1" s="216"/>
      <c r="AV1" s="217"/>
      <c r="AW1" s="345" t="s">
        <v>868</v>
      </c>
      <c r="AX1" s="348" t="s">
        <v>869</v>
      </c>
      <c r="AY1" s="216"/>
      <c r="AZ1" s="216"/>
      <c r="BA1" s="217"/>
      <c r="BB1" s="345" t="s">
        <v>870</v>
      </c>
      <c r="BC1" s="343" t="s">
        <v>37</v>
      </c>
      <c r="BD1" s="349" t="s">
        <v>38</v>
      </c>
      <c r="BE1" s="231"/>
      <c r="BF1" s="232"/>
      <c r="BG1" s="349" t="s">
        <v>35</v>
      </c>
      <c r="BH1" s="231"/>
      <c r="BI1" s="232"/>
      <c r="BJ1" s="350" t="s">
        <v>26</v>
      </c>
      <c r="BK1" s="341" t="str">
        <f>'DR-TB 10A (Sputum &amp; EP Sample)'!J7</f>
        <v>Name of the person completing the report :</v>
      </c>
      <c r="BL1" s="341" t="str">
        <f>'DR-TB 10A (Sputum &amp; EP Sample)'!J8</f>
        <v>Designation and organization :</v>
      </c>
      <c r="BM1" s="341" t="str">
        <f>'DR-TB 10A (Sputum &amp; EP Sample)'!O10</f>
        <v>Cell Number :</v>
      </c>
      <c r="BN1" s="343" t="str">
        <f>'COVID19 Reporting Form'!B13</f>
        <v>Cartridges Received</v>
      </c>
      <c r="BO1" s="343" t="str">
        <f>'COVID19 Reporting Form'!D13</f>
        <v>Cartridges in Hand</v>
      </c>
      <c r="BP1" s="344" t="str">
        <f>'COVID19 Reporting Form'!C17</f>
        <v>Type of test : New</v>
      </c>
      <c r="BQ1" s="216"/>
      <c r="BR1" s="216"/>
      <c r="BS1" s="216"/>
      <c r="BT1" s="216"/>
      <c r="BU1" s="217"/>
      <c r="BV1" s="344" t="str">
        <f>'COVID19 Reporting Form'!F17</f>
        <v xml:space="preserve">Type of Test : Follow up </v>
      </c>
      <c r="BW1" s="216"/>
      <c r="BX1" s="216"/>
      <c r="BY1" s="216"/>
      <c r="BZ1" s="216"/>
      <c r="CA1" s="217"/>
      <c r="CB1" s="342" t="s">
        <v>846</v>
      </c>
      <c r="CC1" s="231"/>
      <c r="CD1" s="232"/>
      <c r="CE1" s="344" t="str">
        <f>'DR-TB 10A (Sputum &amp; EP Sample)'!J12</f>
        <v>For Xpert</v>
      </c>
      <c r="CF1" s="216"/>
      <c r="CG1" s="217"/>
      <c r="CH1" s="344" t="str">
        <f>'DR-TB 10A (Sputum &amp; EP Sample)'!N12</f>
        <v>For Truenat</v>
      </c>
      <c r="CI1" s="216"/>
      <c r="CJ1" s="216"/>
      <c r="CK1" s="216"/>
      <c r="CL1" s="216"/>
      <c r="CM1" s="216"/>
      <c r="CN1" s="216"/>
      <c r="CO1" s="216"/>
      <c r="CP1" s="217"/>
      <c r="CQ1" s="344" t="str">
        <f>'DR-TB 10A (Sputum &amp; EP Sample)'!G38</f>
        <v>Number of Xpert XDR Assay</v>
      </c>
      <c r="CR1" s="217"/>
      <c r="CS1" s="359" t="s">
        <v>859</v>
      </c>
      <c r="CT1" s="216"/>
      <c r="CU1" s="217"/>
      <c r="CV1" s="360" t="s">
        <v>860</v>
      </c>
      <c r="CW1" s="216"/>
      <c r="CX1" s="216"/>
      <c r="CY1" s="216"/>
      <c r="CZ1" s="216"/>
      <c r="DA1" s="216"/>
      <c r="DB1" s="216"/>
      <c r="DC1" s="216"/>
      <c r="DD1" s="216"/>
      <c r="DE1" s="216"/>
      <c r="DF1" s="216"/>
      <c r="DG1" s="216"/>
      <c r="DH1" s="216"/>
      <c r="DI1" s="216"/>
      <c r="DJ1" s="216"/>
      <c r="DK1" s="216"/>
      <c r="DL1" s="216"/>
      <c r="DM1" s="216"/>
      <c r="DN1" s="216"/>
      <c r="DO1" s="216"/>
      <c r="DP1" s="216"/>
      <c r="DQ1" s="216"/>
      <c r="DR1" s="216"/>
      <c r="DS1" s="216"/>
      <c r="DT1" s="217"/>
      <c r="DU1" s="360" t="s">
        <v>861</v>
      </c>
      <c r="DV1" s="216"/>
      <c r="DW1" s="216"/>
      <c r="DX1" s="217"/>
      <c r="DY1" s="341" t="s">
        <v>862</v>
      </c>
      <c r="DZ1" s="341" t="s">
        <v>863</v>
      </c>
      <c r="EA1" s="341" t="s">
        <v>864</v>
      </c>
      <c r="EB1" s="348" t="s">
        <v>865</v>
      </c>
      <c r="EC1" s="216"/>
      <c r="ED1" s="216"/>
      <c r="EE1" s="217"/>
      <c r="EF1" s="341" t="s">
        <v>866</v>
      </c>
      <c r="EG1" s="348" t="s">
        <v>867</v>
      </c>
      <c r="EH1" s="216"/>
      <c r="EI1" s="216"/>
      <c r="EJ1" s="217"/>
      <c r="EK1" s="345" t="s">
        <v>868</v>
      </c>
      <c r="EL1" s="348" t="s">
        <v>869</v>
      </c>
      <c r="EM1" s="216"/>
      <c r="EN1" s="216"/>
      <c r="EO1" s="217"/>
      <c r="EP1" s="345" t="s">
        <v>870</v>
      </c>
      <c r="EQ1" s="348" t="s">
        <v>91</v>
      </c>
      <c r="ER1" s="216"/>
      <c r="ES1" s="217"/>
      <c r="ET1" s="129" t="s">
        <v>871</v>
      </c>
    </row>
    <row r="2" spans="1:151" ht="33.75" customHeight="1">
      <c r="A2" s="196"/>
      <c r="B2" s="196"/>
      <c r="C2" s="196"/>
      <c r="D2" s="196"/>
      <c r="E2" s="364" t="s">
        <v>56</v>
      </c>
      <c r="F2" s="365" t="s">
        <v>57</v>
      </c>
      <c r="G2" s="352" t="s">
        <v>872</v>
      </c>
      <c r="H2" s="362" t="s">
        <v>59</v>
      </c>
      <c r="I2" s="352" t="s">
        <v>60</v>
      </c>
      <c r="J2" s="352" t="s">
        <v>61</v>
      </c>
      <c r="K2" s="352" t="s">
        <v>62</v>
      </c>
      <c r="L2" s="352" t="s">
        <v>63</v>
      </c>
      <c r="M2" s="352" t="s">
        <v>64</v>
      </c>
      <c r="N2" s="352" t="s">
        <v>65</v>
      </c>
      <c r="O2" s="352" t="s">
        <v>66</v>
      </c>
      <c r="P2" s="351" t="s">
        <v>67</v>
      </c>
      <c r="Q2" s="216"/>
      <c r="R2" s="217"/>
      <c r="S2" s="351" t="s">
        <v>68</v>
      </c>
      <c r="T2" s="216"/>
      <c r="U2" s="217"/>
      <c r="V2" s="351" t="s">
        <v>873</v>
      </c>
      <c r="W2" s="216"/>
      <c r="X2" s="217"/>
      <c r="Y2" s="351" t="s">
        <v>874</v>
      </c>
      <c r="Z2" s="216"/>
      <c r="AA2" s="217"/>
      <c r="AB2" s="351" t="s">
        <v>875</v>
      </c>
      <c r="AC2" s="216"/>
      <c r="AD2" s="217"/>
      <c r="AE2" s="352" t="s">
        <v>876</v>
      </c>
      <c r="AF2" s="353" t="s">
        <v>26</v>
      </c>
      <c r="AG2" s="352" t="s">
        <v>56</v>
      </c>
      <c r="AH2" s="352" t="s">
        <v>57</v>
      </c>
      <c r="AI2" s="352" t="s">
        <v>877</v>
      </c>
      <c r="AJ2" s="353" t="s">
        <v>26</v>
      </c>
      <c r="AK2" s="196"/>
      <c r="AL2" s="196"/>
      <c r="AM2" s="196"/>
      <c r="AN2" s="341" t="s">
        <v>878</v>
      </c>
      <c r="AO2" s="341" t="s">
        <v>879</v>
      </c>
      <c r="AP2" s="341" t="s">
        <v>880</v>
      </c>
      <c r="AQ2" s="347" t="s">
        <v>881</v>
      </c>
      <c r="AR2" s="196"/>
      <c r="AS2" s="341" t="s">
        <v>878</v>
      </c>
      <c r="AT2" s="341" t="s">
        <v>879</v>
      </c>
      <c r="AU2" s="341" t="s">
        <v>880</v>
      </c>
      <c r="AV2" s="347" t="s">
        <v>881</v>
      </c>
      <c r="AW2" s="234"/>
      <c r="AX2" s="346" t="s">
        <v>878</v>
      </c>
      <c r="AY2" s="346" t="s">
        <v>879</v>
      </c>
      <c r="AZ2" s="346" t="s">
        <v>880</v>
      </c>
      <c r="BA2" s="347" t="s">
        <v>881</v>
      </c>
      <c r="BB2" s="234"/>
      <c r="BC2" s="196"/>
      <c r="BD2" s="235"/>
      <c r="BE2" s="236"/>
      <c r="BF2" s="237"/>
      <c r="BG2" s="235"/>
      <c r="BH2" s="236"/>
      <c r="BI2" s="237"/>
      <c r="BJ2" s="196"/>
      <c r="BK2" s="196"/>
      <c r="BL2" s="196"/>
      <c r="BM2" s="196"/>
      <c r="BN2" s="196"/>
      <c r="BO2" s="196"/>
      <c r="BP2" s="344" t="str">
        <f>'COVID19 Reporting Form'!A20</f>
        <v>Number Of COVID19 Test</v>
      </c>
      <c r="BQ2" s="217"/>
      <c r="BR2" s="344" t="str">
        <f>'COVID19 Reporting Form'!A23</f>
        <v>Number of COVID 19 Positive Detected</v>
      </c>
      <c r="BS2" s="217"/>
      <c r="BT2" s="344" t="str">
        <f>'COVID19 Reporting Form'!A26</f>
        <v>Number of COVID 19 Negative Detected</v>
      </c>
      <c r="BU2" s="217"/>
      <c r="BV2" s="344" t="str">
        <f>'COVID19 Reporting Form'!A20</f>
        <v>Number Of COVID19 Test</v>
      </c>
      <c r="BW2" s="217"/>
      <c r="BX2" s="344" t="str">
        <f>'COVID19 Reporting Form'!A23</f>
        <v>Number of COVID 19 Positive Detected</v>
      </c>
      <c r="BY2" s="217"/>
      <c r="BZ2" s="344" t="str">
        <f>'COVID19 Reporting Form'!A26</f>
        <v>Number of COVID 19 Negative Detected</v>
      </c>
      <c r="CA2" s="217"/>
      <c r="CB2" s="233"/>
      <c r="CC2" s="204"/>
      <c r="CD2" s="234"/>
      <c r="CE2" s="343" t="str">
        <f>'DR-TB 10A (Sputum &amp; EP Sample)'!J13</f>
        <v>Number of Gene Xpert Machine:</v>
      </c>
      <c r="CF2" s="343" t="str">
        <f>'DR-TB 10A (Sputum &amp; EP Sample)'!J14</f>
        <v>Total Number Of Module:</v>
      </c>
      <c r="CG2" s="343" t="str">
        <f>'DR-TB 10A (Sputum &amp; EP Sample)'!J15</f>
        <v>Number of Module Functional:</v>
      </c>
      <c r="CH2" s="343" t="str">
        <f>'DR-TB 10A (Sputum &amp; EP Sample)'!N13</f>
        <v>No. of TruePrep Device</v>
      </c>
      <c r="CI2" s="343" t="str">
        <f>'DR-TB 10A (Sputum &amp; EP Sample)'!N14</f>
        <v>No.of TrueLab Device</v>
      </c>
      <c r="CJ2" s="343" t="str">
        <f>'DR-TB 10A (Sputum &amp; EP Sample)'!N15</f>
        <v>Total No. of Chip Ports</v>
      </c>
      <c r="CK2" s="343" t="str">
        <f>'DR-TB 10A (Sputum &amp; EP Sample)'!R13</f>
        <v>Functional TruePrep Device</v>
      </c>
      <c r="CL2" s="343" t="str">
        <f>'DR-TB 10A (Sputum &amp; EP Sample)'!R14</f>
        <v>Functional TrueLab Device</v>
      </c>
      <c r="CM2" s="343" t="str">
        <f>'DR-TB 10A (Sputum &amp; EP Sample)'!R15</f>
        <v>Total functional Chip Ports</v>
      </c>
      <c r="CN2" s="343" t="str">
        <f>'DR-TB 10A (Sputum &amp; EP Sample)'!R17</f>
        <v>No. of Truenat Cartriage Used</v>
      </c>
      <c r="CO2" s="343" t="str">
        <f>'DR-TB 10A (Sputum &amp; EP Sample)'!R18</f>
        <v>No. of Truenat MTB Chip Used</v>
      </c>
      <c r="CP2" s="343" t="str">
        <f>'DR-TB 10A (Sputum &amp; EP Sample)'!R19</f>
        <v>No. of Truenat RIF Dx Chip Used</v>
      </c>
      <c r="CQ2" s="343" t="str">
        <f>'DR-TB 10A (Sputum &amp; EP Sample)'!G40</f>
        <v>Eligible for XDR Testing</v>
      </c>
      <c r="CR2" s="343" t="str">
        <f>'DR-TB 10A (Sputum &amp; EP Sample)'!G42</f>
        <v>Tested from Eligible</v>
      </c>
      <c r="CS2" s="364" t="s">
        <v>56</v>
      </c>
      <c r="CT2" s="365" t="s">
        <v>57</v>
      </c>
      <c r="CU2" s="352" t="s">
        <v>872</v>
      </c>
      <c r="CV2" s="362" t="s">
        <v>59</v>
      </c>
      <c r="CW2" s="352" t="s">
        <v>60</v>
      </c>
      <c r="CX2" s="352" t="s">
        <v>61</v>
      </c>
      <c r="CY2" s="352" t="s">
        <v>62</v>
      </c>
      <c r="CZ2" s="352" t="s">
        <v>63</v>
      </c>
      <c r="DA2" s="352" t="s">
        <v>64</v>
      </c>
      <c r="DB2" s="352" t="s">
        <v>65</v>
      </c>
      <c r="DC2" s="352" t="s">
        <v>66</v>
      </c>
      <c r="DD2" s="351" t="s">
        <v>67</v>
      </c>
      <c r="DE2" s="216"/>
      <c r="DF2" s="217"/>
      <c r="DG2" s="351" t="s">
        <v>68</v>
      </c>
      <c r="DH2" s="216"/>
      <c r="DI2" s="217"/>
      <c r="DJ2" s="351" t="s">
        <v>873</v>
      </c>
      <c r="DK2" s="216"/>
      <c r="DL2" s="217"/>
      <c r="DM2" s="351" t="s">
        <v>874</v>
      </c>
      <c r="DN2" s="216"/>
      <c r="DO2" s="217"/>
      <c r="DP2" s="351" t="s">
        <v>875</v>
      </c>
      <c r="DQ2" s="216"/>
      <c r="DR2" s="217"/>
      <c r="DS2" s="352" t="s">
        <v>876</v>
      </c>
      <c r="DT2" s="353" t="s">
        <v>26</v>
      </c>
      <c r="DU2" s="352" t="s">
        <v>56</v>
      </c>
      <c r="DV2" s="352" t="s">
        <v>57</v>
      </c>
      <c r="DW2" s="352" t="s">
        <v>877</v>
      </c>
      <c r="DX2" s="353" t="s">
        <v>26</v>
      </c>
      <c r="DY2" s="196"/>
      <c r="DZ2" s="196"/>
      <c r="EA2" s="196"/>
      <c r="EB2" s="341" t="s">
        <v>878</v>
      </c>
      <c r="EC2" s="341" t="s">
        <v>879</v>
      </c>
      <c r="ED2" s="341" t="s">
        <v>880</v>
      </c>
      <c r="EE2" s="347" t="s">
        <v>881</v>
      </c>
      <c r="EF2" s="196"/>
      <c r="EG2" s="341" t="s">
        <v>878</v>
      </c>
      <c r="EH2" s="341" t="s">
        <v>879</v>
      </c>
      <c r="EI2" s="341" t="s">
        <v>880</v>
      </c>
      <c r="EJ2" s="347" t="s">
        <v>881</v>
      </c>
      <c r="EK2" s="234"/>
      <c r="EL2" s="346" t="s">
        <v>878</v>
      </c>
      <c r="EM2" s="346" t="s">
        <v>879</v>
      </c>
      <c r="EN2" s="346" t="s">
        <v>880</v>
      </c>
      <c r="EO2" s="347" t="s">
        <v>881</v>
      </c>
      <c r="EP2" s="234"/>
      <c r="EQ2" s="341" t="s">
        <v>97</v>
      </c>
      <c r="ER2" s="341" t="s">
        <v>103</v>
      </c>
      <c r="ES2" s="341" t="s">
        <v>107</v>
      </c>
      <c r="ET2" s="343" t="s">
        <v>107</v>
      </c>
    </row>
    <row r="3" spans="1:151" ht="75.75" customHeight="1">
      <c r="A3" s="206"/>
      <c r="B3" s="206"/>
      <c r="C3" s="206"/>
      <c r="D3" s="206"/>
      <c r="E3" s="206"/>
      <c r="F3" s="206"/>
      <c r="G3" s="206"/>
      <c r="H3" s="206"/>
      <c r="I3" s="206"/>
      <c r="J3" s="206"/>
      <c r="K3" s="206"/>
      <c r="L3" s="206"/>
      <c r="M3" s="206"/>
      <c r="N3" s="206"/>
      <c r="O3" s="206"/>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06"/>
      <c r="AF3" s="206"/>
      <c r="AG3" s="206"/>
      <c r="AH3" s="206"/>
      <c r="AI3" s="206"/>
      <c r="AJ3" s="206"/>
      <c r="AK3" s="206"/>
      <c r="AL3" s="206"/>
      <c r="AM3" s="206"/>
      <c r="AN3" s="206"/>
      <c r="AO3" s="206"/>
      <c r="AP3" s="206"/>
      <c r="AQ3" s="206"/>
      <c r="AR3" s="206"/>
      <c r="AS3" s="206"/>
      <c r="AT3" s="206"/>
      <c r="AU3" s="206"/>
      <c r="AV3" s="206"/>
      <c r="AW3" s="237"/>
      <c r="AX3" s="206"/>
      <c r="AY3" s="206"/>
      <c r="AZ3" s="206"/>
      <c r="BA3" s="206"/>
      <c r="BB3" s="237"/>
      <c r="BC3" s="206"/>
      <c r="BD3" s="132" t="s">
        <v>41</v>
      </c>
      <c r="BE3" s="132" t="s">
        <v>884</v>
      </c>
      <c r="BF3" s="132" t="s">
        <v>43</v>
      </c>
      <c r="BG3" s="132" t="s">
        <v>41</v>
      </c>
      <c r="BH3" s="132" t="s">
        <v>884</v>
      </c>
      <c r="BI3" s="132" t="s">
        <v>43</v>
      </c>
      <c r="BJ3" s="206"/>
      <c r="BK3" s="206"/>
      <c r="BL3" s="206"/>
      <c r="BM3" s="206"/>
      <c r="BN3" s="206"/>
      <c r="BO3" s="206"/>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235"/>
      <c r="CC3" s="236"/>
      <c r="CD3" s="237"/>
      <c r="CE3" s="206"/>
      <c r="CF3" s="206"/>
      <c r="CG3" s="206"/>
      <c r="CH3" s="206"/>
      <c r="CI3" s="206"/>
      <c r="CJ3" s="206"/>
      <c r="CK3" s="206"/>
      <c r="CL3" s="206"/>
      <c r="CM3" s="206"/>
      <c r="CN3" s="206"/>
      <c r="CO3" s="206"/>
      <c r="CP3" s="206"/>
      <c r="CQ3" s="206"/>
      <c r="CR3" s="206"/>
      <c r="CS3" s="206"/>
      <c r="CT3" s="206"/>
      <c r="CU3" s="206"/>
      <c r="CV3" s="206"/>
      <c r="CW3" s="206"/>
      <c r="CX3" s="206"/>
      <c r="CY3" s="206"/>
      <c r="CZ3" s="206"/>
      <c r="DA3" s="206"/>
      <c r="DB3" s="206"/>
      <c r="DC3" s="206"/>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06"/>
      <c r="DT3" s="206"/>
      <c r="DU3" s="206"/>
      <c r="DV3" s="206"/>
      <c r="DW3" s="206"/>
      <c r="DX3" s="206"/>
      <c r="DY3" s="206"/>
      <c r="DZ3" s="206"/>
      <c r="EA3" s="206"/>
      <c r="EB3" s="206"/>
      <c r="EC3" s="206"/>
      <c r="ED3" s="206"/>
      <c r="EE3" s="206"/>
      <c r="EF3" s="206"/>
      <c r="EG3" s="206"/>
      <c r="EH3" s="206"/>
      <c r="EI3" s="206"/>
      <c r="EJ3" s="206"/>
      <c r="EK3" s="237"/>
      <c r="EL3" s="206"/>
      <c r="EM3" s="206"/>
      <c r="EN3" s="206"/>
      <c r="EO3" s="206"/>
      <c r="EP3" s="237"/>
      <c r="EQ3" s="206"/>
      <c r="ER3" s="206"/>
      <c r="ES3" s="206"/>
      <c r="ET3" s="206"/>
    </row>
    <row r="4" spans="1:151" ht="27.75" customHeight="1">
      <c r="A4" s="363">
        <f>'DR-TB 10A (Sputum &amp; EP Sample)'!$C6</f>
        <v>0</v>
      </c>
      <c r="B4" s="363">
        <f>'DR-TB 10A (Sputum &amp; EP Sample)'!$C7</f>
        <v>0</v>
      </c>
      <c r="C4" s="363">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38">
        <f>'DR-TB 10A (Sputum &amp; EP Sample)'!$H12</f>
        <v>0</v>
      </c>
      <c r="AL4" s="338">
        <f>'DR-TB 10A (Sputum &amp; EP Sample)'!$H13</f>
        <v>0</v>
      </c>
      <c r="AM4" s="338">
        <f>'DR-TB 10A (Sputum &amp; EP Sample)'!$H14</f>
        <v>0</v>
      </c>
      <c r="AN4" s="338">
        <f>'DR-TB 10A (Sputum &amp; EP Sample)'!$D17</f>
        <v>0</v>
      </c>
      <c r="AO4" s="338">
        <f>'DR-TB 10A (Sputum &amp; EP Sample)'!$D18</f>
        <v>0</v>
      </c>
      <c r="AP4" s="338">
        <f>'DR-TB 10A (Sputum &amp; EP Sample)'!$D19</f>
        <v>0</v>
      </c>
      <c r="AQ4" s="338">
        <f>'DR-TB 10A (Sputum &amp; EP Sample)'!$D20</f>
        <v>0</v>
      </c>
      <c r="AR4" s="338">
        <f>'DR-TB 10A (Sputum &amp; EP Sample)'!$D21</f>
        <v>0</v>
      </c>
      <c r="AS4" s="338">
        <f>'DR-TB 10A (Sputum &amp; EP Sample)'!$E17</f>
        <v>0</v>
      </c>
      <c r="AT4" s="338">
        <f>'DR-TB 10A (Sputum &amp; EP Sample)'!$E18</f>
        <v>0</v>
      </c>
      <c r="AU4" s="338">
        <f>'DR-TB 10A (Sputum &amp; EP Sample)'!$E19</f>
        <v>0</v>
      </c>
      <c r="AV4" s="338">
        <f>'DR-TB 10A (Sputum &amp; EP Sample)'!$E20</f>
        <v>0</v>
      </c>
      <c r="AW4" s="338">
        <f>'DR-TB 10A (Sputum &amp; EP Sample)'!$E21</f>
        <v>0</v>
      </c>
      <c r="AX4" s="338">
        <f>'DR-TB 10A (Sputum &amp; EP Sample)'!$F17</f>
        <v>0</v>
      </c>
      <c r="AY4" s="338">
        <f>'DR-TB 10A (Sputum &amp; EP Sample)'!$F18</f>
        <v>0</v>
      </c>
      <c r="AZ4" s="338">
        <f>'DR-TB 10A (Sputum &amp; EP Sample)'!$F19</f>
        <v>0</v>
      </c>
      <c r="BA4" s="338">
        <f>'DR-TB 10A (Sputum &amp; EP Sample)'!$F20</f>
        <v>0</v>
      </c>
      <c r="BB4" s="338">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339">
        <f>'DR-TB 10A (Sputum &amp; EP Sample)'!N7</f>
        <v>0</v>
      </c>
      <c r="BL4" s="339">
        <f>'DR-TB 10A (Sputum &amp; EP Sample)'!M8</f>
        <v>0</v>
      </c>
      <c r="BM4" s="340">
        <f>'DR-TB 10A (Sputum &amp; EP Sample)'!Q10</f>
        <v>0</v>
      </c>
      <c r="BN4" s="338">
        <f>'COVID19 Reporting Form'!B14</f>
        <v>0</v>
      </c>
      <c r="BO4" s="338">
        <f>'COVID19 Reporting Form'!D14</f>
        <v>0</v>
      </c>
      <c r="BP4" s="338">
        <f>'COVID19 Reporting Form'!C20</f>
        <v>0</v>
      </c>
      <c r="BQ4" s="338">
        <f>'COVID19 Reporting Form'!D20</f>
        <v>0</v>
      </c>
      <c r="BR4" s="338">
        <f>'COVID19 Reporting Form'!C23</f>
        <v>0</v>
      </c>
      <c r="BS4" s="338">
        <f>'COVID19 Reporting Form'!D23</f>
        <v>0</v>
      </c>
      <c r="BT4" s="338">
        <f>'COVID19 Reporting Form'!C26</f>
        <v>0</v>
      </c>
      <c r="BU4" s="338">
        <f>'COVID19 Reporting Form'!D26</f>
        <v>0</v>
      </c>
      <c r="BV4" s="338">
        <f>'COVID19 Reporting Form'!F20</f>
        <v>0</v>
      </c>
      <c r="BW4" s="338">
        <f>'COVID19 Reporting Form'!H20</f>
        <v>0</v>
      </c>
      <c r="BX4" s="338">
        <f>'COVID19 Reporting Form'!F23</f>
        <v>0</v>
      </c>
      <c r="BY4" s="338">
        <f>'COVID19 Reporting Form'!H23</f>
        <v>0</v>
      </c>
      <c r="BZ4" s="338">
        <f>'COVID19 Reporting Form'!F26</f>
        <v>0</v>
      </c>
      <c r="CA4" s="338">
        <f>'COVID19 Reporting Form'!H26</f>
        <v>0</v>
      </c>
      <c r="CB4" s="338">
        <f>'COVID19 Reporting Form'!L14</f>
        <v>0</v>
      </c>
      <c r="CC4" s="338">
        <f>'COVID19 Reporting Form'!M14</f>
        <v>0</v>
      </c>
      <c r="CD4" s="338">
        <f>'COVID19 Reporting Form'!N14</f>
        <v>0</v>
      </c>
      <c r="CE4" s="338">
        <f>'DR-TB 10A (Sputum &amp; EP Sample)'!M13</f>
        <v>0</v>
      </c>
      <c r="CF4" s="338">
        <f>'DR-TB 10A (Sputum &amp; EP Sample)'!M14</f>
        <v>0</v>
      </c>
      <c r="CG4" s="338">
        <f>'DR-TB 10A (Sputum &amp; EP Sample)'!M15</f>
        <v>0</v>
      </c>
      <c r="CH4" s="338">
        <f>'DR-TB 10A (Sputum &amp; EP Sample)'!Q13</f>
        <v>0</v>
      </c>
      <c r="CI4" s="338">
        <f>'DR-TB 10A (Sputum &amp; EP Sample)'!Q14</f>
        <v>0</v>
      </c>
      <c r="CJ4" s="338">
        <f>'DR-TB 10A (Sputum &amp; EP Sample)'!Q15</f>
        <v>0</v>
      </c>
      <c r="CK4" s="338">
        <f>'DR-TB 10A (Sputum &amp; EP Sample)'!U13</f>
        <v>0</v>
      </c>
      <c r="CL4" s="338">
        <f>'DR-TB 10A (Sputum &amp; EP Sample)'!U14</f>
        <v>0</v>
      </c>
      <c r="CM4" s="338">
        <f>'DR-TB 10A (Sputum &amp; EP Sample)'!U15</f>
        <v>0</v>
      </c>
      <c r="CN4" s="338">
        <f>'DR-TB 10A (Sputum &amp; EP Sample)'!U17</f>
        <v>0</v>
      </c>
      <c r="CO4" s="338">
        <f>'DR-TB 10A (Sputum &amp; EP Sample)'!U18</f>
        <v>0</v>
      </c>
      <c r="CP4" s="338">
        <f>'DR-TB 10A (Sputum &amp; EP Sample)'!U19</f>
        <v>0</v>
      </c>
      <c r="CQ4" s="339">
        <f>'DR-TB 10A (Sputum &amp; EP Sample)'!H40</f>
        <v>0</v>
      </c>
      <c r="CR4" s="339">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38">
        <f>'DR-TB 10A (Stool)'!$H12</f>
        <v>0</v>
      </c>
      <c r="DZ4" s="338">
        <f>'DR-TB 10A (Stool)'!$H13</f>
        <v>0</v>
      </c>
      <c r="EA4" s="338">
        <f>'DR-TB 10A (Stool)'!$H14</f>
        <v>0</v>
      </c>
      <c r="EB4" s="338">
        <f>'DR-TB 10A (Stool)'!$D17</f>
        <v>0</v>
      </c>
      <c r="EC4" s="338">
        <f>'DR-TB 10A (Stool)'!$D18</f>
        <v>0</v>
      </c>
      <c r="ED4" s="338">
        <f>'DR-TB 10A (Stool)'!$D19</f>
        <v>0</v>
      </c>
      <c r="EE4" s="338">
        <f>'DR-TB 10A (Stool)'!$D20</f>
        <v>0</v>
      </c>
      <c r="EF4" s="338">
        <f>'DR-TB 10A (Stool)'!$D21</f>
        <v>0</v>
      </c>
      <c r="EG4" s="338">
        <f>'DR-TB 10A (Stool)'!$E17</f>
        <v>0</v>
      </c>
      <c r="EH4" s="338">
        <f>'DR-TB 10A (Stool)'!$E18</f>
        <v>0</v>
      </c>
      <c r="EI4" s="338">
        <f>'DR-TB 10A (Stool)'!$E19</f>
        <v>0</v>
      </c>
      <c r="EJ4" s="338">
        <f>'DR-TB 10A (Stool)'!$E20</f>
        <v>0</v>
      </c>
      <c r="EK4" s="338">
        <f>'DR-TB 10A (Stool)'!$E21</f>
        <v>0</v>
      </c>
      <c r="EL4" s="338">
        <f>'DR-TB 10A (Stool)'!$F17</f>
        <v>0</v>
      </c>
      <c r="EM4" s="338">
        <f>'DR-TB 10A (Stool)'!$F18</f>
        <v>0</v>
      </c>
      <c r="EN4" s="338">
        <f>'DR-TB 10A (Stool)'!$F19</f>
        <v>0</v>
      </c>
      <c r="EO4" s="338">
        <f>'DR-TB 10A (Stool)'!$F20</f>
        <v>0</v>
      </c>
      <c r="EP4" s="338">
        <f>'DR-TB 10A (Stool)'!$F21</f>
        <v>0</v>
      </c>
      <c r="EQ4" s="339">
        <f>'DR-TB 10A (Stool)'!$H40</f>
        <v>0</v>
      </c>
      <c r="ER4" s="339">
        <f>'DR-TB 10A (Stool)'!$H42</f>
        <v>0</v>
      </c>
      <c r="ES4" s="339">
        <f>'DR-TB 10A (Stool)'!$H44</f>
        <v>0</v>
      </c>
      <c r="ET4" s="338">
        <f>'DR-TB 10A (Sputum &amp; EP Sample)'!$H44</f>
        <v>0</v>
      </c>
    </row>
    <row r="5" spans="1:151" ht="26.25" customHeight="1">
      <c r="A5" s="196"/>
      <c r="B5" s="196"/>
      <c r="C5" s="196"/>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196"/>
      <c r="AL5" s="196"/>
      <c r="AM5" s="196"/>
      <c r="AN5" s="196"/>
      <c r="AO5" s="196"/>
      <c r="AP5" s="196"/>
      <c r="AQ5" s="196"/>
      <c r="AR5" s="196"/>
      <c r="AS5" s="196"/>
      <c r="AT5" s="196"/>
      <c r="AU5" s="196"/>
      <c r="AV5" s="196"/>
      <c r="AW5" s="196"/>
      <c r="AX5" s="196"/>
      <c r="AY5" s="196"/>
      <c r="AZ5" s="196"/>
      <c r="BA5" s="196"/>
      <c r="BB5" s="196"/>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196"/>
      <c r="BL5" s="196"/>
      <c r="BM5" s="196"/>
      <c r="BN5" s="196"/>
      <c r="BO5" s="196"/>
      <c r="BP5" s="196"/>
      <c r="BQ5" s="196"/>
      <c r="BR5" s="196"/>
      <c r="BS5" s="196"/>
      <c r="BT5" s="196"/>
      <c r="BU5" s="196"/>
      <c r="BV5" s="196"/>
      <c r="BW5" s="196"/>
      <c r="BX5" s="196"/>
      <c r="BY5" s="196"/>
      <c r="BZ5" s="196"/>
      <c r="CA5" s="196"/>
      <c r="CB5" s="196"/>
      <c r="CC5" s="196"/>
      <c r="CD5" s="196"/>
      <c r="CE5" s="196"/>
      <c r="CF5" s="196"/>
      <c r="CG5" s="196"/>
      <c r="CH5" s="196"/>
      <c r="CI5" s="196"/>
      <c r="CJ5" s="196"/>
      <c r="CK5" s="196"/>
      <c r="CL5" s="196"/>
      <c r="CM5" s="196"/>
      <c r="CN5" s="196"/>
      <c r="CO5" s="196"/>
      <c r="CP5" s="196"/>
      <c r="CQ5" s="196"/>
      <c r="CR5" s="196"/>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196"/>
      <c r="DZ5" s="196"/>
      <c r="EA5" s="196"/>
      <c r="EB5" s="196"/>
      <c r="EC5" s="196"/>
      <c r="ED5" s="196"/>
      <c r="EE5" s="196"/>
      <c r="EF5" s="196"/>
      <c r="EG5" s="196"/>
      <c r="EH5" s="196"/>
      <c r="EI5" s="196"/>
      <c r="EJ5" s="196"/>
      <c r="EK5" s="196"/>
      <c r="EL5" s="196"/>
      <c r="EM5" s="196"/>
      <c r="EN5" s="196"/>
      <c r="EO5" s="196"/>
      <c r="EP5" s="196"/>
      <c r="EQ5" s="196"/>
      <c r="ER5" s="196"/>
      <c r="ES5" s="196"/>
      <c r="ET5" s="196"/>
    </row>
    <row r="6" spans="1:151" ht="28.5" customHeight="1">
      <c r="A6" s="206"/>
      <c r="B6" s="206"/>
      <c r="C6" s="206"/>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06"/>
      <c r="AL6" s="206"/>
      <c r="AM6" s="206"/>
      <c r="AN6" s="206"/>
      <c r="AO6" s="206"/>
      <c r="AP6" s="206"/>
      <c r="AQ6" s="206"/>
      <c r="AR6" s="206"/>
      <c r="AS6" s="206"/>
      <c r="AT6" s="206"/>
      <c r="AU6" s="206"/>
      <c r="AV6" s="206"/>
      <c r="AW6" s="206"/>
      <c r="AX6" s="206"/>
      <c r="AY6" s="206"/>
      <c r="AZ6" s="206"/>
      <c r="BA6" s="206"/>
      <c r="BB6" s="206"/>
      <c r="BC6" s="78"/>
      <c r="BD6" s="78"/>
      <c r="BE6" s="78"/>
      <c r="BF6" s="78"/>
      <c r="BG6" s="78"/>
      <c r="BH6" s="78"/>
      <c r="BI6" s="78"/>
      <c r="BJ6" s="78"/>
      <c r="BK6" s="206"/>
      <c r="BL6" s="206"/>
      <c r="BM6" s="206"/>
      <c r="BN6" s="206"/>
      <c r="BO6" s="206"/>
      <c r="BP6" s="206"/>
      <c r="BQ6" s="206"/>
      <c r="BR6" s="206"/>
      <c r="BS6" s="206"/>
      <c r="BT6" s="206"/>
      <c r="BU6" s="206"/>
      <c r="BV6" s="206"/>
      <c r="BW6" s="206"/>
      <c r="BX6" s="206"/>
      <c r="BY6" s="206"/>
      <c r="BZ6" s="206"/>
      <c r="CA6" s="206"/>
      <c r="CB6" s="206"/>
      <c r="CC6" s="206"/>
      <c r="CD6" s="206"/>
      <c r="CE6" s="206"/>
      <c r="CF6" s="206"/>
      <c r="CG6" s="206"/>
      <c r="CH6" s="206"/>
      <c r="CI6" s="206"/>
      <c r="CJ6" s="206"/>
      <c r="CK6" s="206"/>
      <c r="CL6" s="206"/>
      <c r="CM6" s="206"/>
      <c r="CN6" s="206"/>
      <c r="CO6" s="206"/>
      <c r="CP6" s="206"/>
      <c r="CQ6" s="206"/>
      <c r="CR6" s="206"/>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06"/>
      <c r="DZ6" s="206"/>
      <c r="EA6" s="206"/>
      <c r="EB6" s="206"/>
      <c r="EC6" s="206"/>
      <c r="ED6" s="206"/>
      <c r="EE6" s="206"/>
      <c r="EF6" s="206"/>
      <c r="EG6" s="206"/>
      <c r="EH6" s="206"/>
      <c r="EI6" s="206"/>
      <c r="EJ6" s="206"/>
      <c r="EK6" s="206"/>
      <c r="EL6" s="206"/>
      <c r="EM6" s="206"/>
      <c r="EN6" s="206"/>
      <c r="EO6" s="206"/>
      <c r="EP6" s="206"/>
      <c r="EQ6" s="206"/>
      <c r="ER6" s="206"/>
      <c r="ES6" s="206"/>
      <c r="ET6" s="206"/>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354" t="s">
        <v>115</v>
      </c>
      <c r="B13" s="354" t="s">
        <v>857</v>
      </c>
      <c r="C13" s="354" t="s">
        <v>858</v>
      </c>
      <c r="D13" s="354" t="str">
        <f>'DR-TB 10B'!A11</f>
        <v>Sl. No</v>
      </c>
      <c r="E13" s="355" t="str">
        <f>'DR-TB 10B'!B11</f>
        <v>Name of the RR                                                                                                                               patient</v>
      </c>
      <c r="F13" s="355" t="str">
        <f>'DR-TB 10B'!C11</f>
        <v>Age</v>
      </c>
      <c r="G13" s="355" t="str">
        <f>'DR-TB 10B'!D11</f>
        <v>Sex
(M/F)</v>
      </c>
      <c r="H13" s="355" t="str">
        <f>'DR-TB 10B'!F11</f>
        <v>Address and                                        cell number</v>
      </c>
      <c r="I13" s="355" t="str">
        <f>'DR-TB 10B'!G11</f>
        <v>Name &amp; address          of the referring unit                                                and cell number</v>
      </c>
      <c r="J13" s="355" t="str">
        <f>'DR-TB 10B'!H11</f>
        <v>* Type of patient</v>
      </c>
      <c r="K13" s="355" t="s">
        <v>803</v>
      </c>
      <c r="L13" s="355" t="str">
        <f>'DR-TB 10B'!K11</f>
        <v>Current and previous (if any)  TB registration number</v>
      </c>
      <c r="M13" s="355" t="str">
        <f>'DR-TB 10B'!L11</f>
        <v>Result of Xpert/Truenat MTB/RIF/Ultra</v>
      </c>
      <c r="N13" s="355" t="str">
        <f>'DR-TB 10B'!M11</f>
        <v>Bacterial Load</v>
      </c>
      <c r="O13" s="355" t="str">
        <f>'DR-TB 10B'!V11</f>
        <v>Name and address of the hospital/ treatment                initiation center            for enrollment of DR TB treatment</v>
      </c>
      <c r="P13" s="355" t="str">
        <f>'DR-TB 10B'!W11</f>
        <v>Enrollment status                   (Y/N)</v>
      </c>
      <c r="Q13" s="355" t="str">
        <f>'DR-TB 10B'!Z11</f>
        <v>** Current status of the patient</v>
      </c>
      <c r="R13" s="355" t="str">
        <f>'DR-TB 10B'!AA11</f>
        <v>Remarks</v>
      </c>
      <c r="S13" s="355" t="str">
        <f>'DR-TB 10B'!E11</f>
        <v>Date of Diagnosis</v>
      </c>
      <c r="T13" s="355" t="str">
        <f>'DR-TB 10B'!X11</f>
        <v>Date Of Enrollment</v>
      </c>
      <c r="U13" s="355" t="str">
        <f>'DR-TB 10B'!Y11</f>
        <v>eTB/ DR TB Registration Number</v>
      </c>
      <c r="V13" s="355" t="str">
        <f>'DR-TB 10B'!I11</f>
        <v>Type Of Specimen</v>
      </c>
      <c r="W13" s="361" t="str">
        <f>'DR-TB 10B'!O11</f>
        <v>Result Of MTB/XDR</v>
      </c>
      <c r="X13" s="216"/>
      <c r="Y13" s="216"/>
      <c r="Z13" s="216"/>
      <c r="AA13" s="216"/>
      <c r="AB13" s="216"/>
      <c r="AC13" s="217"/>
      <c r="AD13" s="356"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206"/>
      <c r="B14" s="206"/>
      <c r="C14" s="206"/>
      <c r="D14" s="206"/>
      <c r="E14" s="206"/>
      <c r="F14" s="206"/>
      <c r="G14" s="206"/>
      <c r="H14" s="206"/>
      <c r="I14" s="206"/>
      <c r="J14" s="206"/>
      <c r="K14" s="366"/>
      <c r="L14" s="206"/>
      <c r="M14" s="206"/>
      <c r="N14" s="206"/>
      <c r="O14" s="206"/>
      <c r="P14" s="206"/>
      <c r="Q14" s="206"/>
      <c r="R14" s="206"/>
      <c r="S14" s="206"/>
      <c r="T14" s="206"/>
      <c r="U14" s="206"/>
      <c r="V14" s="206"/>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06"/>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tabSelected="1" zoomScaleNormal="100" zoomScaleSheetLayoutView="112" workbookViewId="0">
      <selection activeCell="B19" sqref="B19"/>
    </sheetView>
  </sheetViews>
  <sheetFormatPr baseColWidth="10" defaultColWidth="9.1640625" defaultRowHeight="14"/>
  <cols>
    <col min="1" max="1" width="20.83203125" style="146" customWidth="1"/>
    <col min="2" max="21" width="8" style="146" customWidth="1"/>
    <col min="22" max="22" width="8.33203125" style="146" customWidth="1"/>
    <col min="23" max="23" width="16.83203125" style="146" customWidth="1"/>
    <col min="24" max="24" width="10.33203125" style="146" customWidth="1"/>
    <col min="25" max="28" width="9.1640625" style="146"/>
    <col min="29" max="29" width="13.33203125" style="146" customWidth="1"/>
    <col min="30" max="31" width="9.1640625" style="146"/>
    <col min="32" max="34" width="25.33203125" style="146" bestFit="1" customWidth="1"/>
    <col min="35" max="35" width="25.6640625" style="146" bestFit="1" customWidth="1"/>
    <col min="36" max="37" width="24.83203125" style="146" bestFit="1" customWidth="1"/>
    <col min="38" max="38" width="25.1640625" style="146" bestFit="1" customWidth="1"/>
    <col min="39" max="41" width="24.83203125" style="146" bestFit="1" customWidth="1"/>
    <col min="42" max="43" width="24.33203125" style="146" bestFit="1" customWidth="1"/>
    <col min="44" max="46" width="26.6640625" style="146" bestFit="1" customWidth="1"/>
    <col min="47" max="47" width="27" style="146" bestFit="1" customWidth="1"/>
    <col min="48" max="49" width="26" style="146" bestFit="1" customWidth="1"/>
    <col min="50" max="50" width="26.33203125" style="146" bestFit="1" customWidth="1"/>
    <col min="51" max="53" width="26" style="146" bestFit="1" customWidth="1"/>
    <col min="54" max="55" width="25.5" style="146" bestFit="1" customWidth="1"/>
    <col min="56" max="16384" width="9.1640625" style="146"/>
  </cols>
  <sheetData>
    <row r="1" spans="1:29" ht="13.75" customHeight="1">
      <c r="A1" s="395" t="s">
        <v>0</v>
      </c>
      <c r="B1" s="395"/>
      <c r="C1" s="395"/>
      <c r="D1" s="395"/>
      <c r="E1" s="395"/>
      <c r="F1" s="395"/>
      <c r="G1" s="395"/>
      <c r="H1" s="395"/>
      <c r="I1" s="395"/>
      <c r="J1" s="395"/>
      <c r="K1" s="395"/>
      <c r="L1" s="395"/>
      <c r="M1" s="395"/>
      <c r="N1" s="395"/>
      <c r="O1" s="395"/>
      <c r="P1" s="395"/>
      <c r="Q1" s="395"/>
      <c r="R1" s="395"/>
      <c r="S1" s="144" t="s">
        <v>889</v>
      </c>
      <c r="T1" s="144"/>
      <c r="U1" s="144"/>
      <c r="V1" s="145"/>
      <c r="W1" s="144"/>
      <c r="X1" s="144"/>
    </row>
    <row r="2" spans="1:29" ht="13.75" customHeight="1">
      <c r="A2" s="395" t="s">
        <v>2</v>
      </c>
      <c r="B2" s="395"/>
      <c r="C2" s="395"/>
      <c r="D2" s="395"/>
      <c r="E2" s="395"/>
      <c r="F2" s="395"/>
      <c r="G2" s="395"/>
      <c r="H2" s="395"/>
      <c r="I2" s="395"/>
      <c r="J2" s="395"/>
      <c r="K2" s="395"/>
      <c r="L2" s="395"/>
      <c r="M2" s="395"/>
      <c r="N2" s="395"/>
      <c r="O2" s="395"/>
      <c r="P2" s="395"/>
      <c r="Q2" s="395"/>
      <c r="R2" s="395"/>
      <c r="S2" s="395"/>
      <c r="T2" s="395"/>
      <c r="U2" s="395"/>
      <c r="V2" s="147"/>
      <c r="W2" s="144"/>
      <c r="X2" s="144"/>
    </row>
    <row r="3" spans="1:29" ht="13.75" customHeight="1">
      <c r="A3" s="395" t="s">
        <v>3</v>
      </c>
      <c r="B3" s="395"/>
      <c r="C3" s="395"/>
      <c r="D3" s="395"/>
      <c r="E3" s="395"/>
      <c r="F3" s="395"/>
      <c r="G3" s="395"/>
      <c r="H3" s="395"/>
      <c r="I3" s="395"/>
      <c r="J3" s="395"/>
      <c r="K3" s="395"/>
      <c r="L3" s="395"/>
      <c r="M3" s="395"/>
      <c r="N3" s="395"/>
      <c r="O3" s="395"/>
      <c r="P3" s="395"/>
      <c r="Q3" s="395"/>
      <c r="R3" s="395"/>
      <c r="S3" s="143"/>
      <c r="T3" s="143"/>
      <c r="U3" s="143"/>
      <c r="V3" s="147"/>
      <c r="W3" s="144"/>
      <c r="X3" s="144"/>
    </row>
    <row r="4" spans="1:29" ht="22.5" customHeight="1">
      <c r="A4" s="396" t="s">
        <v>4</v>
      </c>
      <c r="B4" s="396"/>
      <c r="C4" s="396"/>
      <c r="D4" s="396"/>
      <c r="E4" s="396"/>
      <c r="F4" s="396"/>
      <c r="G4" s="396"/>
      <c r="H4" s="396"/>
      <c r="I4" s="396"/>
      <c r="J4" s="396"/>
      <c r="K4" s="396"/>
      <c r="L4" s="396"/>
      <c r="M4" s="396"/>
      <c r="N4" s="396"/>
      <c r="O4" s="396"/>
      <c r="P4" s="396"/>
      <c r="Q4" s="396"/>
      <c r="R4" s="396"/>
      <c r="S4" s="396"/>
      <c r="T4" s="396"/>
      <c r="U4" s="396"/>
      <c r="V4" s="148"/>
      <c r="W4" s="149"/>
      <c r="X4" s="149"/>
    </row>
    <row r="5" spans="1:29" ht="18" customHeight="1">
      <c r="A5" s="149"/>
      <c r="B5" s="149"/>
      <c r="C5" s="397"/>
      <c r="D5" s="397"/>
      <c r="E5" s="397"/>
      <c r="F5" s="397"/>
      <c r="G5" s="397"/>
      <c r="H5" s="149"/>
      <c r="I5" s="149"/>
      <c r="J5" s="149"/>
      <c r="K5" s="149"/>
      <c r="L5" s="149"/>
      <c r="M5" s="149"/>
      <c r="N5" s="149"/>
      <c r="O5" s="149"/>
      <c r="P5" s="149"/>
      <c r="Q5" s="149"/>
      <c r="R5" s="149"/>
      <c r="S5" s="149"/>
      <c r="T5" s="149"/>
      <c r="U5" s="149"/>
      <c r="V5" s="148"/>
      <c r="W5" s="149"/>
      <c r="X5" s="149"/>
    </row>
    <row r="6" spans="1:29" ht="15.75" customHeight="1">
      <c r="A6" s="150" t="s">
        <v>5</v>
      </c>
      <c r="B6" s="150"/>
      <c r="C6" s="391">
        <v>0</v>
      </c>
      <c r="D6" s="391"/>
      <c r="E6" s="391"/>
      <c r="F6" s="391"/>
      <c r="G6" s="391"/>
      <c r="P6" s="144"/>
      <c r="Q6" s="151" t="s">
        <v>6</v>
      </c>
      <c r="S6" s="152">
        <v>0</v>
      </c>
      <c r="T6" s="153" t="s">
        <v>890</v>
      </c>
      <c r="U6" s="398" t="e">
        <f>IF(S6="","",VLOOKUP(S6,A89:B101,2,FALSE))</f>
        <v>#N/A</v>
      </c>
      <c r="V6" s="398"/>
      <c r="W6" s="154" t="s">
        <v>891</v>
      </c>
      <c r="Y6" s="152">
        <v>0</v>
      </c>
      <c r="AC6" s="145"/>
    </row>
    <row r="7" spans="1:29" ht="15.75" customHeight="1">
      <c r="A7" s="150" t="s">
        <v>8</v>
      </c>
      <c r="B7" s="150"/>
      <c r="C7" s="391">
        <v>0</v>
      </c>
      <c r="D7" s="391"/>
      <c r="E7" s="391"/>
      <c r="F7" s="391"/>
      <c r="G7" s="391"/>
      <c r="P7" s="155"/>
      <c r="Q7" s="156" t="s">
        <v>9</v>
      </c>
      <c r="R7" s="156"/>
      <c r="S7" s="156"/>
      <c r="T7" s="156"/>
      <c r="U7" s="392" t="s">
        <v>921</v>
      </c>
      <c r="V7" s="392"/>
      <c r="W7" s="392"/>
      <c r="X7" s="392"/>
      <c r="Y7" s="392"/>
      <c r="Z7" s="392"/>
      <c r="AC7" s="145"/>
    </row>
    <row r="8" spans="1:29" ht="15.75" customHeight="1">
      <c r="A8" s="150" t="s">
        <v>10</v>
      </c>
      <c r="B8" s="150"/>
      <c r="C8" s="391">
        <v>0</v>
      </c>
      <c r="D8" s="391"/>
      <c r="E8" s="391"/>
      <c r="F8" s="391"/>
      <c r="G8" s="391"/>
      <c r="P8" s="155"/>
      <c r="Q8" s="156" t="s">
        <v>11</v>
      </c>
      <c r="R8" s="156"/>
      <c r="S8" s="156"/>
      <c r="T8" s="392"/>
      <c r="U8" s="392"/>
      <c r="V8" s="392"/>
      <c r="W8" s="392"/>
      <c r="X8" s="392"/>
      <c r="Y8" s="392"/>
      <c r="Z8" s="392"/>
      <c r="AC8" s="145"/>
    </row>
    <row r="9" spans="1:29" ht="15.75" customHeight="1">
      <c r="A9" s="150" t="s">
        <v>12</v>
      </c>
      <c r="C9" s="393"/>
      <c r="D9" s="393"/>
      <c r="E9" s="393"/>
      <c r="F9" s="393"/>
      <c r="G9" s="393"/>
      <c r="Q9" s="156" t="s">
        <v>14</v>
      </c>
      <c r="R9" s="156"/>
      <c r="S9" s="156"/>
      <c r="T9" s="394" t="s">
        <v>922</v>
      </c>
      <c r="U9" s="394"/>
      <c r="V9" s="157"/>
      <c r="W9" s="158"/>
      <c r="AC9" s="145"/>
    </row>
    <row r="10" spans="1:29" ht="15.75" customHeight="1">
      <c r="A10" s="150"/>
      <c r="C10" s="159"/>
      <c r="D10" s="159"/>
      <c r="E10" s="159"/>
      <c r="F10" s="159"/>
      <c r="G10" s="159"/>
      <c r="Q10" s="156"/>
      <c r="R10" s="156"/>
      <c r="S10" s="156"/>
      <c r="T10" s="160"/>
      <c r="U10" s="160"/>
      <c r="V10" s="150"/>
      <c r="W10" s="161"/>
      <c r="AC10" s="145"/>
    </row>
    <row r="11" spans="1:29" ht="41.25" customHeight="1">
      <c r="A11" s="150"/>
      <c r="B11" s="150"/>
      <c r="C11" s="150"/>
      <c r="D11" s="150"/>
      <c r="E11" s="150"/>
      <c r="F11" s="150"/>
      <c r="G11" s="150"/>
      <c r="H11" s="150"/>
      <c r="I11" s="150"/>
      <c r="J11" s="150"/>
      <c r="K11" s="150"/>
      <c r="L11" s="150"/>
      <c r="M11" s="150"/>
      <c r="N11" s="150"/>
      <c r="O11" s="150"/>
      <c r="P11" s="150"/>
      <c r="Q11" s="380" t="s">
        <v>892</v>
      </c>
      <c r="R11" s="382" t="s">
        <v>919</v>
      </c>
      <c r="S11" s="383"/>
      <c r="T11" s="384"/>
      <c r="U11" s="385" t="s">
        <v>893</v>
      </c>
      <c r="V11" s="386"/>
      <c r="W11" s="387"/>
      <c r="X11" s="388" t="s">
        <v>26</v>
      </c>
      <c r="AC11" s="145"/>
    </row>
    <row r="12" spans="1:29" ht="15.75" customHeight="1">
      <c r="A12" s="150"/>
      <c r="B12" s="150"/>
      <c r="C12" s="150"/>
      <c r="D12" s="150"/>
      <c r="E12" s="150"/>
      <c r="F12" s="150"/>
      <c r="G12" s="150"/>
      <c r="H12" s="150"/>
      <c r="I12" s="150"/>
      <c r="J12" s="150"/>
      <c r="K12" s="150"/>
      <c r="L12" s="150"/>
      <c r="M12" s="150"/>
      <c r="N12" s="150"/>
      <c r="O12" s="150"/>
      <c r="P12" s="150"/>
      <c r="Q12" s="381"/>
      <c r="R12" s="162" t="s">
        <v>41</v>
      </c>
      <c r="S12" s="162" t="s">
        <v>42</v>
      </c>
      <c r="T12" s="162" t="s">
        <v>43</v>
      </c>
      <c r="U12" s="162" t="s">
        <v>41</v>
      </c>
      <c r="V12" s="162" t="s">
        <v>42</v>
      </c>
      <c r="W12" s="162" t="s">
        <v>43</v>
      </c>
      <c r="X12" s="389"/>
      <c r="AC12" s="145"/>
    </row>
    <row r="13" spans="1:29" ht="34.5" customHeight="1">
      <c r="A13" s="150"/>
      <c r="B13" s="150"/>
      <c r="C13" s="150"/>
      <c r="D13" s="150"/>
      <c r="E13" s="150"/>
      <c r="F13" s="150"/>
      <c r="G13" s="150"/>
      <c r="H13" s="150"/>
      <c r="I13" s="150"/>
      <c r="J13" s="150"/>
      <c r="K13" s="150"/>
      <c r="L13" s="150"/>
      <c r="M13" s="150"/>
      <c r="N13" s="150"/>
      <c r="O13" s="150"/>
      <c r="P13" s="150"/>
      <c r="Q13" s="163" t="s">
        <v>894</v>
      </c>
      <c r="R13" s="164"/>
      <c r="S13" s="164"/>
      <c r="T13" s="164"/>
      <c r="U13" s="164"/>
      <c r="V13" s="164"/>
      <c r="W13" s="164"/>
      <c r="X13" s="165">
        <v>0</v>
      </c>
      <c r="AC13" s="145"/>
    </row>
    <row r="14" spans="1:29" ht="15.75" customHeight="1">
      <c r="A14" s="150"/>
      <c r="Z14" s="145"/>
    </row>
    <row r="15" spans="1:29" ht="15.75" customHeight="1">
      <c r="A15" s="390" t="s">
        <v>895</v>
      </c>
      <c r="B15" s="374" t="s">
        <v>896</v>
      </c>
      <c r="C15" s="375"/>
      <c r="D15" s="375"/>
      <c r="E15" s="375"/>
      <c r="F15" s="375"/>
      <c r="G15" s="375"/>
      <c r="H15" s="375"/>
      <c r="I15" s="375"/>
      <c r="J15" s="375"/>
      <c r="K15" s="375"/>
      <c r="L15" s="375"/>
      <c r="M15" s="376"/>
      <c r="N15" s="374" t="s">
        <v>897</v>
      </c>
      <c r="O15" s="375"/>
      <c r="P15" s="375"/>
      <c r="Q15" s="375"/>
      <c r="R15" s="375"/>
      <c r="S15" s="375"/>
      <c r="T15" s="375"/>
      <c r="U15" s="375"/>
      <c r="V15" s="375"/>
      <c r="W15" s="375"/>
      <c r="X15" s="375"/>
      <c r="Y15" s="376"/>
      <c r="Z15" s="373" t="s">
        <v>898</v>
      </c>
    </row>
    <row r="16" spans="1:29" ht="39" customHeight="1">
      <c r="A16" s="390"/>
      <c r="B16" s="374" t="s">
        <v>899</v>
      </c>
      <c r="C16" s="375"/>
      <c r="D16" s="375"/>
      <c r="E16" s="375"/>
      <c r="F16" s="375"/>
      <c r="G16" s="375"/>
      <c r="H16" s="376"/>
      <c r="I16" s="374" t="s">
        <v>900</v>
      </c>
      <c r="J16" s="375"/>
      <c r="K16" s="375"/>
      <c r="L16" s="375"/>
      <c r="M16" s="376"/>
      <c r="N16" s="374" t="s">
        <v>899</v>
      </c>
      <c r="O16" s="375"/>
      <c r="P16" s="375"/>
      <c r="Q16" s="375"/>
      <c r="R16" s="375"/>
      <c r="S16" s="375"/>
      <c r="T16" s="376"/>
      <c r="U16" s="374" t="s">
        <v>900</v>
      </c>
      <c r="V16" s="375"/>
      <c r="W16" s="375"/>
      <c r="X16" s="375"/>
      <c r="Y16" s="376"/>
      <c r="Z16" s="373"/>
      <c r="AB16" s="145"/>
    </row>
    <row r="17" spans="1:30" ht="79.5" customHeight="1">
      <c r="A17" s="390"/>
      <c r="B17" s="377" t="s">
        <v>919</v>
      </c>
      <c r="C17" s="378"/>
      <c r="D17" s="378"/>
      <c r="E17" s="379"/>
      <c r="F17" s="374" t="s">
        <v>893</v>
      </c>
      <c r="G17" s="375"/>
      <c r="H17" s="376"/>
      <c r="I17" s="374" t="s">
        <v>920</v>
      </c>
      <c r="J17" s="375"/>
      <c r="K17" s="376"/>
      <c r="L17" s="374" t="s">
        <v>893</v>
      </c>
      <c r="M17" s="376"/>
      <c r="N17" s="377" t="s">
        <v>920</v>
      </c>
      <c r="O17" s="378"/>
      <c r="P17" s="378"/>
      <c r="Q17" s="379"/>
      <c r="R17" s="374" t="s">
        <v>893</v>
      </c>
      <c r="S17" s="375"/>
      <c r="T17" s="376"/>
      <c r="U17" s="374" t="s">
        <v>920</v>
      </c>
      <c r="V17" s="375"/>
      <c r="W17" s="376"/>
      <c r="X17" s="374" t="s">
        <v>893</v>
      </c>
      <c r="Y17" s="376"/>
      <c r="Z17" s="373"/>
      <c r="AD17" s="145"/>
    </row>
    <row r="18" spans="1:30" ht="32">
      <c r="A18" s="166" t="s">
        <v>901</v>
      </c>
      <c r="B18" s="167" t="s">
        <v>902</v>
      </c>
      <c r="C18" s="167" t="s">
        <v>903</v>
      </c>
      <c r="D18" s="167" t="s">
        <v>904</v>
      </c>
      <c r="E18" s="167" t="s">
        <v>905</v>
      </c>
      <c r="F18" s="167" t="s">
        <v>902</v>
      </c>
      <c r="G18" s="167" t="s">
        <v>904</v>
      </c>
      <c r="H18" s="167" t="s">
        <v>905</v>
      </c>
      <c r="I18" s="167" t="s">
        <v>902</v>
      </c>
      <c r="J18" s="167" t="s">
        <v>903</v>
      </c>
      <c r="K18" s="167" t="s">
        <v>904</v>
      </c>
      <c r="L18" s="167" t="s">
        <v>902</v>
      </c>
      <c r="M18" s="167" t="s">
        <v>904</v>
      </c>
      <c r="N18" s="167" t="s">
        <v>902</v>
      </c>
      <c r="O18" s="167" t="s">
        <v>903</v>
      </c>
      <c r="P18" s="167" t="s">
        <v>904</v>
      </c>
      <c r="Q18" s="167" t="s">
        <v>905</v>
      </c>
      <c r="R18" s="167" t="s">
        <v>902</v>
      </c>
      <c r="S18" s="167" t="s">
        <v>904</v>
      </c>
      <c r="T18" s="167" t="s">
        <v>905</v>
      </c>
      <c r="U18" s="167" t="s">
        <v>902</v>
      </c>
      <c r="V18" s="167" t="s">
        <v>903</v>
      </c>
      <c r="W18" s="167" t="s">
        <v>904</v>
      </c>
      <c r="X18" s="167" t="s">
        <v>902</v>
      </c>
      <c r="Y18" s="167" t="s">
        <v>904</v>
      </c>
      <c r="Z18" s="373"/>
      <c r="AD18" s="145"/>
    </row>
    <row r="19" spans="1:30" ht="16">
      <c r="A19" s="168" t="s">
        <v>906</v>
      </c>
      <c r="B19" s="169"/>
      <c r="C19" s="169"/>
      <c r="D19" s="169"/>
      <c r="E19" s="169"/>
      <c r="F19" s="169"/>
      <c r="G19" s="169"/>
      <c r="H19" s="169"/>
      <c r="I19" s="169"/>
      <c r="J19" s="169"/>
      <c r="K19" s="169"/>
      <c r="L19" s="169"/>
      <c r="M19" s="169"/>
      <c r="N19" s="169"/>
      <c r="O19" s="169"/>
      <c r="P19" s="169"/>
      <c r="Q19" s="169"/>
      <c r="R19" s="169"/>
      <c r="S19" s="169"/>
      <c r="T19" s="169"/>
      <c r="U19" s="169"/>
      <c r="V19" s="169"/>
      <c r="W19" s="169"/>
      <c r="X19" s="169"/>
      <c r="Y19" s="169"/>
      <c r="Z19" s="170">
        <f>SUM(B19:Y19)</f>
        <v>0</v>
      </c>
      <c r="AD19" s="145"/>
    </row>
    <row r="20" spans="1:30" ht="16">
      <c r="A20" s="168" t="s">
        <v>102</v>
      </c>
      <c r="B20" s="169"/>
      <c r="C20" s="169"/>
      <c r="D20" s="169"/>
      <c r="E20" s="169"/>
      <c r="F20" s="169"/>
      <c r="G20" s="169"/>
      <c r="H20" s="169"/>
      <c r="I20" s="169"/>
      <c r="J20" s="169"/>
      <c r="K20" s="169"/>
      <c r="L20" s="169"/>
      <c r="M20" s="169"/>
      <c r="N20" s="169"/>
      <c r="O20" s="169"/>
      <c r="P20" s="169"/>
      <c r="Q20" s="169"/>
      <c r="R20" s="169"/>
      <c r="S20" s="169"/>
      <c r="T20" s="169"/>
      <c r="U20" s="169"/>
      <c r="V20" s="169"/>
      <c r="W20" s="169"/>
      <c r="X20" s="169"/>
      <c r="Y20" s="169"/>
      <c r="Z20" s="170">
        <f t="shared" ref="Z20:Z31" si="0">SUM(B20:Y20)</f>
        <v>0</v>
      </c>
      <c r="AD20" s="145"/>
    </row>
    <row r="21" spans="1:30" ht="16">
      <c r="A21" s="171" t="s">
        <v>907</v>
      </c>
      <c r="B21" s="169"/>
      <c r="C21" s="169"/>
      <c r="D21" s="169"/>
      <c r="E21" s="169"/>
      <c r="F21" s="169"/>
      <c r="G21" s="169"/>
      <c r="H21" s="169"/>
      <c r="I21" s="169"/>
      <c r="J21" s="169"/>
      <c r="K21" s="169"/>
      <c r="L21" s="169"/>
      <c r="M21" s="169"/>
      <c r="N21" s="169"/>
      <c r="O21" s="169"/>
      <c r="P21" s="169"/>
      <c r="Q21" s="169"/>
      <c r="R21" s="169"/>
      <c r="S21" s="169"/>
      <c r="T21" s="169"/>
      <c r="U21" s="169"/>
      <c r="V21" s="169"/>
      <c r="W21" s="169"/>
      <c r="X21" s="169"/>
      <c r="Y21" s="169"/>
      <c r="Z21" s="170">
        <f t="shared" si="0"/>
        <v>0</v>
      </c>
      <c r="AD21" s="145"/>
    </row>
    <row r="22" spans="1:30" ht="16">
      <c r="A22" s="171" t="s">
        <v>908</v>
      </c>
      <c r="B22" s="169"/>
      <c r="C22" s="169"/>
      <c r="D22" s="169"/>
      <c r="E22" s="169"/>
      <c r="F22" s="169"/>
      <c r="G22" s="169"/>
      <c r="H22" s="169"/>
      <c r="I22" s="169"/>
      <c r="J22" s="169"/>
      <c r="K22" s="169"/>
      <c r="L22" s="169"/>
      <c r="M22" s="169"/>
      <c r="N22" s="169"/>
      <c r="O22" s="169"/>
      <c r="P22" s="169"/>
      <c r="Q22" s="169"/>
      <c r="R22" s="169"/>
      <c r="S22" s="169"/>
      <c r="T22" s="169"/>
      <c r="U22" s="169"/>
      <c r="V22" s="169"/>
      <c r="W22" s="169"/>
      <c r="X22" s="169"/>
      <c r="Y22" s="169"/>
      <c r="Z22" s="170">
        <f t="shared" si="0"/>
        <v>0</v>
      </c>
      <c r="AD22" s="145"/>
    </row>
    <row r="23" spans="1:30" ht="16">
      <c r="A23" s="171" t="s">
        <v>909</v>
      </c>
      <c r="B23" s="169"/>
      <c r="C23" s="169"/>
      <c r="D23" s="169"/>
      <c r="E23" s="169"/>
      <c r="F23" s="169"/>
      <c r="G23" s="169"/>
      <c r="H23" s="169"/>
      <c r="I23" s="169"/>
      <c r="J23" s="169"/>
      <c r="K23" s="169"/>
      <c r="L23" s="169"/>
      <c r="M23" s="169"/>
      <c r="N23" s="169"/>
      <c r="O23" s="169"/>
      <c r="P23" s="169"/>
      <c r="Q23" s="169"/>
      <c r="R23" s="169"/>
      <c r="S23" s="169"/>
      <c r="T23" s="169"/>
      <c r="U23" s="169"/>
      <c r="V23" s="169"/>
      <c r="W23" s="169"/>
      <c r="X23" s="169"/>
      <c r="Y23" s="169"/>
      <c r="Z23" s="170">
        <f t="shared" si="0"/>
        <v>0</v>
      </c>
      <c r="AD23" s="145"/>
    </row>
    <row r="24" spans="1:30" ht="16">
      <c r="A24" s="171" t="s">
        <v>910</v>
      </c>
      <c r="B24" s="169"/>
      <c r="C24" s="169"/>
      <c r="D24" s="169"/>
      <c r="E24" s="169"/>
      <c r="F24" s="169"/>
      <c r="G24" s="169"/>
      <c r="H24" s="169"/>
      <c r="I24" s="169"/>
      <c r="J24" s="169"/>
      <c r="K24" s="169"/>
      <c r="L24" s="169"/>
      <c r="M24" s="169"/>
      <c r="N24" s="169"/>
      <c r="O24" s="169"/>
      <c r="P24" s="169"/>
      <c r="Q24" s="169"/>
      <c r="R24" s="169"/>
      <c r="S24" s="169"/>
      <c r="T24" s="169"/>
      <c r="U24" s="169"/>
      <c r="V24" s="169"/>
      <c r="W24" s="169"/>
      <c r="X24" s="169"/>
      <c r="Y24" s="169"/>
      <c r="Z24" s="170">
        <f t="shared" si="0"/>
        <v>0</v>
      </c>
      <c r="AD24" s="145"/>
    </row>
    <row r="25" spans="1:30" ht="16">
      <c r="A25" s="171" t="s">
        <v>911</v>
      </c>
      <c r="B25" s="169"/>
      <c r="C25" s="169"/>
      <c r="D25" s="169"/>
      <c r="E25" s="169"/>
      <c r="F25" s="169"/>
      <c r="G25" s="169"/>
      <c r="H25" s="169"/>
      <c r="I25" s="169"/>
      <c r="J25" s="169"/>
      <c r="K25" s="169"/>
      <c r="L25" s="169"/>
      <c r="M25" s="169"/>
      <c r="N25" s="169"/>
      <c r="O25" s="169"/>
      <c r="P25" s="169"/>
      <c r="Q25" s="169"/>
      <c r="R25" s="169"/>
      <c r="S25" s="169"/>
      <c r="T25" s="169"/>
      <c r="U25" s="169"/>
      <c r="V25" s="169"/>
      <c r="W25" s="169"/>
      <c r="X25" s="169"/>
      <c r="Y25" s="169"/>
      <c r="Z25" s="170">
        <f t="shared" si="0"/>
        <v>0</v>
      </c>
      <c r="AD25" s="145"/>
    </row>
    <row r="26" spans="1:30" ht="16">
      <c r="A26" s="171" t="s">
        <v>912</v>
      </c>
      <c r="B26" s="169"/>
      <c r="C26" s="169"/>
      <c r="D26" s="169"/>
      <c r="E26" s="169"/>
      <c r="F26" s="169"/>
      <c r="G26" s="169"/>
      <c r="H26" s="169"/>
      <c r="I26" s="169"/>
      <c r="J26" s="169"/>
      <c r="K26" s="169"/>
      <c r="L26" s="169"/>
      <c r="M26" s="169"/>
      <c r="N26" s="169"/>
      <c r="O26" s="169"/>
      <c r="P26" s="169"/>
      <c r="Q26" s="169"/>
      <c r="R26" s="169"/>
      <c r="S26" s="169"/>
      <c r="T26" s="169"/>
      <c r="U26" s="169"/>
      <c r="V26" s="169"/>
      <c r="W26" s="169"/>
      <c r="X26" s="169"/>
      <c r="Y26" s="169"/>
      <c r="Z26" s="170">
        <f t="shared" si="0"/>
        <v>0</v>
      </c>
      <c r="AD26" s="145"/>
    </row>
    <row r="27" spans="1:30" ht="15.75" customHeight="1">
      <c r="A27" s="171" t="s">
        <v>913</v>
      </c>
      <c r="B27" s="169"/>
      <c r="C27" s="169"/>
      <c r="D27" s="169"/>
      <c r="E27" s="169"/>
      <c r="F27" s="169"/>
      <c r="G27" s="169"/>
      <c r="H27" s="169"/>
      <c r="I27" s="169"/>
      <c r="J27" s="169"/>
      <c r="K27" s="169"/>
      <c r="L27" s="169"/>
      <c r="M27" s="169"/>
      <c r="N27" s="169"/>
      <c r="O27" s="169"/>
      <c r="P27" s="169"/>
      <c r="Q27" s="169"/>
      <c r="R27" s="169"/>
      <c r="S27" s="169"/>
      <c r="T27" s="169"/>
      <c r="U27" s="169"/>
      <c r="V27" s="169"/>
      <c r="W27" s="169"/>
      <c r="X27" s="169"/>
      <c r="Y27" s="169"/>
      <c r="Z27" s="170">
        <f t="shared" si="0"/>
        <v>0</v>
      </c>
    </row>
    <row r="28" spans="1:30" ht="15.75" customHeight="1">
      <c r="A28" s="171" t="s">
        <v>914</v>
      </c>
      <c r="B28" s="169"/>
      <c r="C28" s="169"/>
      <c r="D28" s="169"/>
      <c r="E28" s="169"/>
      <c r="F28" s="169"/>
      <c r="G28" s="169"/>
      <c r="H28" s="169"/>
      <c r="I28" s="169"/>
      <c r="J28" s="169"/>
      <c r="K28" s="169"/>
      <c r="L28" s="169"/>
      <c r="M28" s="169"/>
      <c r="N28" s="169"/>
      <c r="O28" s="169"/>
      <c r="P28" s="169"/>
      <c r="Q28" s="169"/>
      <c r="R28" s="169"/>
      <c r="S28" s="169"/>
      <c r="T28" s="169"/>
      <c r="U28" s="169"/>
      <c r="V28" s="169"/>
      <c r="W28" s="169"/>
      <c r="X28" s="169"/>
      <c r="Y28" s="169"/>
      <c r="Z28" s="170">
        <f t="shared" si="0"/>
        <v>0</v>
      </c>
    </row>
    <row r="29" spans="1:30" ht="15.75" customHeight="1">
      <c r="A29" s="171" t="s">
        <v>915</v>
      </c>
      <c r="B29" s="169"/>
      <c r="C29" s="169"/>
      <c r="D29" s="169"/>
      <c r="E29" s="169"/>
      <c r="F29" s="169"/>
      <c r="G29" s="169"/>
      <c r="H29" s="169"/>
      <c r="I29" s="169"/>
      <c r="J29" s="169"/>
      <c r="K29" s="169"/>
      <c r="L29" s="169"/>
      <c r="M29" s="169"/>
      <c r="N29" s="169"/>
      <c r="O29" s="169"/>
      <c r="P29" s="169"/>
      <c r="Q29" s="169"/>
      <c r="R29" s="169"/>
      <c r="S29" s="169"/>
      <c r="T29" s="169"/>
      <c r="U29" s="169"/>
      <c r="V29" s="169"/>
      <c r="W29" s="169"/>
      <c r="X29" s="169"/>
      <c r="Y29" s="169"/>
      <c r="Z29" s="170">
        <f t="shared" si="0"/>
        <v>0</v>
      </c>
    </row>
    <row r="30" spans="1:30" ht="16">
      <c r="A30" s="171" t="s">
        <v>916</v>
      </c>
      <c r="B30" s="169"/>
      <c r="C30" s="169"/>
      <c r="D30" s="169"/>
      <c r="E30" s="169"/>
      <c r="F30" s="169"/>
      <c r="G30" s="169"/>
      <c r="H30" s="169"/>
      <c r="I30" s="169"/>
      <c r="J30" s="169"/>
      <c r="K30" s="169"/>
      <c r="L30" s="169"/>
      <c r="M30" s="169"/>
      <c r="N30" s="169"/>
      <c r="O30" s="169"/>
      <c r="P30" s="169"/>
      <c r="Q30" s="169"/>
      <c r="R30" s="169"/>
      <c r="S30" s="169"/>
      <c r="T30" s="169"/>
      <c r="U30" s="169"/>
      <c r="V30" s="169"/>
      <c r="W30" s="169"/>
      <c r="X30" s="169"/>
      <c r="Y30" s="169"/>
      <c r="Z30" s="170">
        <f t="shared" si="0"/>
        <v>0</v>
      </c>
    </row>
    <row r="31" spans="1:30" ht="15" customHeight="1">
      <c r="A31" s="171" t="s">
        <v>917</v>
      </c>
      <c r="B31" s="172">
        <f>B19-B20</f>
        <v>0</v>
      </c>
      <c r="C31" s="172">
        <f t="shared" ref="C31:Y31" si="1">C19-C20</f>
        <v>0</v>
      </c>
      <c r="D31" s="172">
        <f t="shared" si="1"/>
        <v>0</v>
      </c>
      <c r="E31" s="172">
        <f t="shared" si="1"/>
        <v>0</v>
      </c>
      <c r="F31" s="172">
        <f t="shared" si="1"/>
        <v>0</v>
      </c>
      <c r="G31" s="172">
        <f t="shared" si="1"/>
        <v>0</v>
      </c>
      <c r="H31" s="172">
        <f t="shared" si="1"/>
        <v>0</v>
      </c>
      <c r="I31" s="172">
        <f t="shared" si="1"/>
        <v>0</v>
      </c>
      <c r="J31" s="172">
        <f t="shared" si="1"/>
        <v>0</v>
      </c>
      <c r="K31" s="172">
        <f t="shared" si="1"/>
        <v>0</v>
      </c>
      <c r="L31" s="172">
        <f t="shared" si="1"/>
        <v>0</v>
      </c>
      <c r="M31" s="172">
        <f t="shared" si="1"/>
        <v>0</v>
      </c>
      <c r="N31" s="172">
        <f t="shared" si="1"/>
        <v>0</v>
      </c>
      <c r="O31" s="172">
        <f t="shared" si="1"/>
        <v>0</v>
      </c>
      <c r="P31" s="172">
        <f t="shared" si="1"/>
        <v>0</v>
      </c>
      <c r="Q31" s="172">
        <f t="shared" si="1"/>
        <v>0</v>
      </c>
      <c r="R31" s="172">
        <f t="shared" si="1"/>
        <v>0</v>
      </c>
      <c r="S31" s="172">
        <f t="shared" si="1"/>
        <v>0</v>
      </c>
      <c r="T31" s="172">
        <f t="shared" si="1"/>
        <v>0</v>
      </c>
      <c r="U31" s="172">
        <f t="shared" si="1"/>
        <v>0</v>
      </c>
      <c r="V31" s="172">
        <f t="shared" si="1"/>
        <v>0</v>
      </c>
      <c r="W31" s="172">
        <f t="shared" si="1"/>
        <v>0</v>
      </c>
      <c r="X31" s="172">
        <f t="shared" si="1"/>
        <v>0</v>
      </c>
      <c r="Y31" s="172">
        <f t="shared" si="1"/>
        <v>0</v>
      </c>
      <c r="Z31" s="170">
        <f t="shared" si="0"/>
        <v>0</v>
      </c>
    </row>
    <row r="32" spans="1:30" ht="15" customHeight="1">
      <c r="A32" s="173"/>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5"/>
    </row>
    <row r="33" spans="1:30" ht="15" customHeight="1">
      <c r="A33" s="173"/>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row>
    <row r="34" spans="1:30" ht="13.75" customHeight="1">
      <c r="A34" s="367"/>
      <c r="B34" s="176"/>
      <c r="C34" s="176"/>
      <c r="D34" s="176"/>
      <c r="E34" s="176"/>
      <c r="F34" s="176"/>
      <c r="G34" s="176"/>
      <c r="H34" s="176"/>
      <c r="I34" s="176"/>
      <c r="J34" s="176"/>
      <c r="K34" s="368"/>
      <c r="L34" s="368"/>
      <c r="M34" s="368"/>
      <c r="N34" s="368"/>
      <c r="O34" s="368"/>
      <c r="P34" s="368"/>
      <c r="Q34" s="177"/>
      <c r="R34" s="177" t="s">
        <v>111</v>
      </c>
      <c r="S34" s="369"/>
      <c r="T34" s="369"/>
      <c r="U34" s="369"/>
      <c r="V34" s="369"/>
      <c r="W34" s="177"/>
      <c r="X34" s="177"/>
      <c r="AB34" s="145"/>
    </row>
    <row r="35" spans="1:30" ht="13.75" customHeight="1">
      <c r="A35" s="367"/>
      <c r="B35" s="176"/>
      <c r="C35" s="176"/>
      <c r="D35" s="176"/>
      <c r="E35" s="176"/>
      <c r="F35" s="176"/>
      <c r="G35" s="176"/>
      <c r="H35" s="176"/>
      <c r="I35" s="176"/>
      <c r="J35" s="176"/>
      <c r="K35" s="368"/>
      <c r="L35" s="368"/>
      <c r="M35" s="368"/>
      <c r="N35" s="368"/>
      <c r="O35" s="368"/>
      <c r="P35" s="368"/>
      <c r="Q35" s="177"/>
      <c r="R35" s="177" t="s">
        <v>112</v>
      </c>
      <c r="S35" s="178"/>
      <c r="T35" s="178"/>
      <c r="U35" s="178"/>
      <c r="V35" s="178"/>
      <c r="W35" s="179" t="s">
        <v>113</v>
      </c>
      <c r="X35" s="370"/>
      <c r="Y35" s="370"/>
      <c r="Z35" s="370"/>
      <c r="AB35" s="145"/>
    </row>
    <row r="36" spans="1:30" ht="13.75" customHeight="1">
      <c r="A36" s="371"/>
      <c r="B36" s="180"/>
      <c r="C36" s="180"/>
      <c r="D36" s="180"/>
      <c r="E36" s="180"/>
      <c r="F36" s="180"/>
      <c r="G36" s="180"/>
      <c r="H36" s="180"/>
      <c r="I36" s="180"/>
      <c r="J36" s="180"/>
      <c r="K36" s="368"/>
      <c r="L36" s="368"/>
      <c r="M36" s="368"/>
      <c r="N36" s="368"/>
      <c r="O36" s="368"/>
      <c r="P36" s="368"/>
      <c r="Q36" s="177"/>
      <c r="R36" s="177" t="s">
        <v>114</v>
      </c>
      <c r="S36" s="372"/>
      <c r="T36" s="372"/>
      <c r="U36" s="372"/>
      <c r="V36" s="372"/>
      <c r="W36" s="177"/>
      <c r="AB36" s="145"/>
    </row>
    <row r="37" spans="1:30" ht="13.75" customHeight="1">
      <c r="A37" s="371"/>
      <c r="B37" s="180"/>
      <c r="C37" s="180"/>
      <c r="D37" s="180"/>
      <c r="E37" s="180"/>
      <c r="F37" s="180"/>
      <c r="G37" s="180"/>
      <c r="H37" s="180"/>
      <c r="I37" s="180"/>
      <c r="J37" s="180"/>
      <c r="K37" s="368"/>
      <c r="L37" s="368"/>
      <c r="M37" s="368"/>
      <c r="N37" s="368"/>
      <c r="O37" s="368"/>
      <c r="P37" s="368"/>
      <c r="Q37" s="177"/>
      <c r="AB37" s="145"/>
    </row>
    <row r="86" spans="1:8" ht="16.5" hidden="1" customHeight="1"/>
    <row r="87" spans="1:8" ht="16.5" hidden="1" customHeight="1"/>
    <row r="88" spans="1:8" s="181" customFormat="1" ht="25.5" hidden="1" customHeight="1">
      <c r="E88" s="181" t="s">
        <v>115</v>
      </c>
      <c r="F88" s="181" t="s">
        <v>116</v>
      </c>
      <c r="G88" s="181" t="s">
        <v>117</v>
      </c>
    </row>
    <row r="89" spans="1:8" s="181" customFormat="1" ht="25.5" hidden="1" customHeight="1">
      <c r="A89" s="181" t="s">
        <v>118</v>
      </c>
      <c r="B89" s="181" t="s">
        <v>119</v>
      </c>
      <c r="C89" s="181" t="s">
        <v>120</v>
      </c>
      <c r="D89" s="181" t="s">
        <v>121</v>
      </c>
      <c r="E89" s="182" t="s">
        <v>120</v>
      </c>
      <c r="F89" s="182" t="s">
        <v>121</v>
      </c>
      <c r="G89" s="182" t="s">
        <v>122</v>
      </c>
      <c r="H89" s="183"/>
    </row>
    <row r="90" spans="1:8" s="181" customFormat="1" ht="25.5" hidden="1" customHeight="1">
      <c r="A90" s="181" t="s">
        <v>123</v>
      </c>
      <c r="B90" s="181" t="s">
        <v>119</v>
      </c>
      <c r="C90" s="181" t="s">
        <v>120</v>
      </c>
      <c r="D90" s="181" t="s">
        <v>120</v>
      </c>
      <c r="E90" s="182" t="s">
        <v>120</v>
      </c>
      <c r="F90" s="182" t="s">
        <v>121</v>
      </c>
      <c r="G90" s="182" t="s">
        <v>124</v>
      </c>
      <c r="H90" s="183"/>
    </row>
    <row r="91" spans="1:8" s="181" customFormat="1" ht="25.5" hidden="1" customHeight="1">
      <c r="A91" s="181" t="s">
        <v>125</v>
      </c>
      <c r="B91" s="181" t="s">
        <v>119</v>
      </c>
      <c r="C91" s="181" t="s">
        <v>120</v>
      </c>
      <c r="D91" s="181" t="s">
        <v>126</v>
      </c>
      <c r="E91" s="182" t="s">
        <v>120</v>
      </c>
      <c r="F91" s="182" t="s">
        <v>121</v>
      </c>
      <c r="G91" s="182" t="s">
        <v>127</v>
      </c>
      <c r="H91" s="183"/>
    </row>
    <row r="92" spans="1:8" s="181" customFormat="1" ht="25.5" hidden="1" customHeight="1">
      <c r="A92" s="181" t="s">
        <v>128</v>
      </c>
      <c r="B92" s="181" t="s">
        <v>129</v>
      </c>
      <c r="C92" s="181" t="s">
        <v>120</v>
      </c>
      <c r="D92" s="181" t="s">
        <v>130</v>
      </c>
      <c r="E92" s="182" t="s">
        <v>120</v>
      </c>
      <c r="F92" s="182" t="s">
        <v>121</v>
      </c>
      <c r="G92" s="182" t="s">
        <v>131</v>
      </c>
      <c r="H92" s="183"/>
    </row>
    <row r="93" spans="1:8" s="181" customFormat="1" ht="25.5" hidden="1" customHeight="1">
      <c r="A93" s="181" t="s">
        <v>132</v>
      </c>
      <c r="B93" s="181" t="s">
        <v>129</v>
      </c>
      <c r="C93" s="181" t="s">
        <v>120</v>
      </c>
      <c r="D93" s="181" t="s">
        <v>133</v>
      </c>
      <c r="E93" s="182" t="s">
        <v>120</v>
      </c>
      <c r="F93" s="182" t="s">
        <v>121</v>
      </c>
      <c r="G93" s="182" t="s">
        <v>134</v>
      </c>
      <c r="H93" s="183"/>
    </row>
    <row r="94" spans="1:8" s="181" customFormat="1" ht="25.5" hidden="1" customHeight="1">
      <c r="A94" s="181" t="s">
        <v>135</v>
      </c>
      <c r="B94" s="181" t="s">
        <v>129</v>
      </c>
      <c r="C94" s="181" t="s">
        <v>120</v>
      </c>
      <c r="D94" s="181" t="s">
        <v>136</v>
      </c>
      <c r="E94" s="182" t="s">
        <v>120</v>
      </c>
      <c r="F94" s="182" t="s">
        <v>120</v>
      </c>
      <c r="G94" s="182" t="s">
        <v>137</v>
      </c>
      <c r="H94" s="183"/>
    </row>
    <row r="95" spans="1:8" s="181" customFormat="1" ht="25.5" hidden="1" customHeight="1">
      <c r="A95" s="181" t="s">
        <v>138</v>
      </c>
      <c r="B95" s="181" t="s">
        <v>139</v>
      </c>
      <c r="C95" s="182" t="s">
        <v>140</v>
      </c>
      <c r="D95" s="181" t="s">
        <v>141</v>
      </c>
      <c r="E95" s="182" t="s">
        <v>120</v>
      </c>
      <c r="F95" s="182" t="s">
        <v>120</v>
      </c>
      <c r="G95" s="182" t="s">
        <v>142</v>
      </c>
      <c r="H95" s="183"/>
    </row>
    <row r="96" spans="1:8" s="181" customFormat="1" ht="25.5" hidden="1" customHeight="1">
      <c r="A96" s="181" t="s">
        <v>143</v>
      </c>
      <c r="B96" s="181" t="s">
        <v>139</v>
      </c>
      <c r="C96" s="182" t="s">
        <v>140</v>
      </c>
      <c r="D96" s="181" t="s">
        <v>144</v>
      </c>
      <c r="E96" s="182" t="s">
        <v>120</v>
      </c>
      <c r="F96" s="182" t="s">
        <v>120</v>
      </c>
      <c r="G96" s="182" t="s">
        <v>145</v>
      </c>
      <c r="H96" s="183"/>
    </row>
    <row r="97" spans="1:8" s="181" customFormat="1" ht="25.5" hidden="1" customHeight="1">
      <c r="A97" s="181" t="s">
        <v>146</v>
      </c>
      <c r="B97" s="181" t="s">
        <v>139</v>
      </c>
      <c r="C97" s="182" t="s">
        <v>140</v>
      </c>
      <c r="D97" s="181" t="s">
        <v>147</v>
      </c>
      <c r="E97" s="182" t="s">
        <v>120</v>
      </c>
      <c r="F97" s="182" t="s">
        <v>120</v>
      </c>
      <c r="G97" s="182" t="s">
        <v>148</v>
      </c>
      <c r="H97" s="183"/>
    </row>
    <row r="98" spans="1:8" s="181" customFormat="1" ht="25.5" hidden="1" customHeight="1">
      <c r="A98" s="181" t="s">
        <v>149</v>
      </c>
      <c r="B98" s="181" t="s">
        <v>150</v>
      </c>
      <c r="C98" s="182" t="s">
        <v>140</v>
      </c>
      <c r="D98" s="182" t="s">
        <v>140</v>
      </c>
      <c r="E98" s="182" t="s">
        <v>120</v>
      </c>
      <c r="F98" s="182" t="s">
        <v>120</v>
      </c>
      <c r="G98" s="182" t="s">
        <v>151</v>
      </c>
      <c r="H98" s="183"/>
    </row>
    <row r="99" spans="1:8" s="181" customFormat="1" ht="25.5" hidden="1" customHeight="1">
      <c r="A99" s="181" t="s">
        <v>152</v>
      </c>
      <c r="B99" s="181" t="s">
        <v>150</v>
      </c>
      <c r="C99" s="182" t="s">
        <v>140</v>
      </c>
      <c r="D99" s="181" t="s">
        <v>153</v>
      </c>
      <c r="E99" s="182" t="s">
        <v>120</v>
      </c>
      <c r="F99" s="182" t="s">
        <v>120</v>
      </c>
      <c r="G99" s="182" t="s">
        <v>154</v>
      </c>
      <c r="H99" s="183"/>
    </row>
    <row r="100" spans="1:8" s="181" customFormat="1" ht="25.5" hidden="1" customHeight="1">
      <c r="A100" s="181" t="s">
        <v>155</v>
      </c>
      <c r="B100" s="181" t="s">
        <v>150</v>
      </c>
      <c r="C100" s="182" t="s">
        <v>140</v>
      </c>
      <c r="D100" s="184" t="s">
        <v>156</v>
      </c>
      <c r="E100" s="182" t="s">
        <v>120</v>
      </c>
      <c r="F100" s="182" t="s">
        <v>120</v>
      </c>
      <c r="G100" s="182" t="s">
        <v>157</v>
      </c>
      <c r="H100" s="183"/>
    </row>
    <row r="101" spans="1:8" s="181" customFormat="1" ht="25.5" hidden="1" customHeight="1">
      <c r="C101" s="182" t="s">
        <v>140</v>
      </c>
      <c r="D101" s="184" t="s">
        <v>158</v>
      </c>
      <c r="E101" s="182" t="s">
        <v>120</v>
      </c>
      <c r="F101" s="182" t="s">
        <v>120</v>
      </c>
      <c r="G101" s="182" t="s">
        <v>159</v>
      </c>
      <c r="H101" s="183"/>
    </row>
    <row r="102" spans="1:8" s="181" customFormat="1" ht="25.5" hidden="1" customHeight="1">
      <c r="A102" s="184"/>
      <c r="B102" s="184"/>
      <c r="C102" s="182" t="s">
        <v>140</v>
      </c>
      <c r="D102" s="184" t="s">
        <v>160</v>
      </c>
      <c r="E102" s="182" t="s">
        <v>120</v>
      </c>
      <c r="F102" s="182" t="s">
        <v>120</v>
      </c>
      <c r="G102" s="182" t="s">
        <v>161</v>
      </c>
      <c r="H102" s="183"/>
    </row>
    <row r="103" spans="1:8" s="181" customFormat="1" ht="25.5" hidden="1" customHeight="1">
      <c r="A103" s="184"/>
      <c r="B103" s="184"/>
      <c r="C103" s="182" t="s">
        <v>140</v>
      </c>
      <c r="D103" s="184" t="s">
        <v>162</v>
      </c>
      <c r="E103" s="182" t="s">
        <v>120</v>
      </c>
      <c r="F103" s="182" t="s">
        <v>120</v>
      </c>
      <c r="G103" s="182" t="s">
        <v>163</v>
      </c>
      <c r="H103" s="183"/>
    </row>
    <row r="104" spans="1:8" s="181" customFormat="1" ht="25.5" hidden="1" customHeight="1">
      <c r="A104" s="184"/>
      <c r="B104" s="184"/>
      <c r="C104" s="182" t="s">
        <v>140</v>
      </c>
      <c r="D104" s="184" t="s">
        <v>164</v>
      </c>
      <c r="E104" s="182" t="s">
        <v>120</v>
      </c>
      <c r="F104" s="182" t="s">
        <v>120</v>
      </c>
      <c r="G104" s="182" t="s">
        <v>165</v>
      </c>
      <c r="H104" s="183"/>
    </row>
    <row r="105" spans="1:8" s="181" customFormat="1" ht="25.5" hidden="1" customHeight="1">
      <c r="A105" s="184"/>
      <c r="B105" s="184"/>
      <c r="C105" s="182" t="s">
        <v>140</v>
      </c>
      <c r="D105" s="184" t="s">
        <v>166</v>
      </c>
      <c r="E105" s="182" t="s">
        <v>120</v>
      </c>
      <c r="F105" s="182" t="s">
        <v>120</v>
      </c>
      <c r="G105" s="182" t="s">
        <v>167</v>
      </c>
      <c r="H105" s="183"/>
    </row>
    <row r="106" spans="1:8" s="181" customFormat="1" ht="25.5" hidden="1" customHeight="1">
      <c r="A106" s="184"/>
      <c r="B106" s="184"/>
      <c r="C106" s="184" t="s">
        <v>168</v>
      </c>
      <c r="D106" s="184" t="s">
        <v>168</v>
      </c>
      <c r="E106" s="182"/>
      <c r="F106" s="182"/>
      <c r="G106" s="182"/>
      <c r="H106" s="183"/>
    </row>
    <row r="107" spans="1:8" s="181" customFormat="1" ht="25.5" hidden="1" customHeight="1">
      <c r="A107" s="184"/>
      <c r="B107" s="184"/>
      <c r="C107" s="184" t="s">
        <v>168</v>
      </c>
      <c r="D107" s="184" t="s">
        <v>169</v>
      </c>
      <c r="E107" s="182" t="s">
        <v>120</v>
      </c>
      <c r="F107" s="182" t="s">
        <v>126</v>
      </c>
      <c r="G107" s="182" t="s">
        <v>170</v>
      </c>
      <c r="H107" s="183"/>
    </row>
    <row r="108" spans="1:8" s="181" customFormat="1" ht="25.5" hidden="1" customHeight="1">
      <c r="A108" s="184"/>
      <c r="B108" s="184"/>
      <c r="C108" s="184" t="s">
        <v>168</v>
      </c>
      <c r="D108" s="184" t="s">
        <v>171</v>
      </c>
      <c r="E108" s="182" t="s">
        <v>120</v>
      </c>
      <c r="F108" s="182" t="s">
        <v>172</v>
      </c>
      <c r="G108" s="182" t="s">
        <v>173</v>
      </c>
      <c r="H108" s="183"/>
    </row>
    <row r="109" spans="1:8" s="181" customFormat="1" ht="25.5" hidden="1" customHeight="1">
      <c r="A109" s="184"/>
      <c r="B109" s="184"/>
      <c r="C109" s="184" t="s">
        <v>168</v>
      </c>
      <c r="D109" s="184" t="s">
        <v>174</v>
      </c>
      <c r="E109" s="182" t="s">
        <v>120</v>
      </c>
      <c r="F109" s="182" t="s">
        <v>172</v>
      </c>
      <c r="G109" s="182" t="s">
        <v>175</v>
      </c>
      <c r="H109" s="183"/>
    </row>
    <row r="110" spans="1:8" s="181" customFormat="1" ht="25.5" hidden="1" customHeight="1">
      <c r="A110" s="184"/>
      <c r="B110" s="184"/>
      <c r="C110" s="184" t="s">
        <v>168</v>
      </c>
      <c r="D110" s="184" t="s">
        <v>176</v>
      </c>
      <c r="E110" s="182" t="s">
        <v>120</v>
      </c>
      <c r="F110" s="182" t="s">
        <v>126</v>
      </c>
      <c r="G110" s="182" t="s">
        <v>177</v>
      </c>
      <c r="H110" s="183"/>
    </row>
    <row r="111" spans="1:8" s="181" customFormat="1" ht="25.5" hidden="1" customHeight="1">
      <c r="A111" s="184"/>
      <c r="B111" s="184"/>
      <c r="C111" s="184" t="s">
        <v>168</v>
      </c>
      <c r="D111" s="184" t="s">
        <v>178</v>
      </c>
      <c r="E111" s="182" t="s">
        <v>120</v>
      </c>
      <c r="F111" s="182" t="s">
        <v>126</v>
      </c>
      <c r="G111" s="182" t="s">
        <v>179</v>
      </c>
      <c r="H111" s="183"/>
    </row>
    <row r="112" spans="1:8" s="181" customFormat="1" ht="25.5" hidden="1" customHeight="1">
      <c r="A112" s="184"/>
      <c r="B112" s="184"/>
      <c r="C112" s="184" t="s">
        <v>168</v>
      </c>
      <c r="D112" s="184" t="s">
        <v>180</v>
      </c>
      <c r="E112" s="182" t="s">
        <v>120</v>
      </c>
      <c r="F112" s="182" t="s">
        <v>126</v>
      </c>
      <c r="G112" s="182" t="s">
        <v>181</v>
      </c>
      <c r="H112" s="183"/>
    </row>
    <row r="113" spans="1:8" s="181" customFormat="1" ht="25.5" hidden="1" customHeight="1">
      <c r="A113" s="184"/>
      <c r="B113" s="184"/>
      <c r="C113" s="184" t="s">
        <v>168</v>
      </c>
      <c r="D113" s="184" t="s">
        <v>182</v>
      </c>
      <c r="E113" s="182" t="s">
        <v>120</v>
      </c>
      <c r="F113" s="182" t="s">
        <v>126</v>
      </c>
      <c r="G113" s="182" t="s">
        <v>183</v>
      </c>
      <c r="H113" s="183"/>
    </row>
    <row r="114" spans="1:8" s="181" customFormat="1" ht="25.5" hidden="1" customHeight="1">
      <c r="A114" s="184"/>
      <c r="B114" s="184"/>
      <c r="C114" s="184" t="s">
        <v>168</v>
      </c>
      <c r="D114" s="184" t="s">
        <v>184</v>
      </c>
      <c r="H114" s="183"/>
    </row>
    <row r="115" spans="1:8" s="181" customFormat="1" ht="25.5" hidden="1" customHeight="1">
      <c r="A115" s="184"/>
      <c r="B115" s="184"/>
      <c r="C115" s="184" t="s">
        <v>168</v>
      </c>
      <c r="D115" s="184" t="s">
        <v>185</v>
      </c>
      <c r="H115" s="183"/>
    </row>
    <row r="116" spans="1:8" s="181" customFormat="1" ht="25.5" hidden="1" customHeight="1">
      <c r="A116" s="184"/>
      <c r="B116" s="184"/>
      <c r="C116" s="184" t="s">
        <v>168</v>
      </c>
      <c r="D116" s="184" t="s">
        <v>186</v>
      </c>
      <c r="E116" s="182"/>
      <c r="F116" s="182"/>
      <c r="G116" s="182"/>
      <c r="H116" s="183"/>
    </row>
    <row r="117" spans="1:8" s="181" customFormat="1" ht="25.5" hidden="1" customHeight="1">
      <c r="A117" s="184"/>
      <c r="B117" s="184"/>
      <c r="C117" s="184" t="s">
        <v>168</v>
      </c>
      <c r="D117" s="184" t="s">
        <v>187</v>
      </c>
      <c r="E117" s="182"/>
      <c r="F117" s="182"/>
      <c r="G117" s="182"/>
      <c r="H117" s="183"/>
    </row>
    <row r="118" spans="1:8" s="181" customFormat="1" ht="25.5" hidden="1" customHeight="1">
      <c r="A118" s="184"/>
      <c r="B118" s="184"/>
      <c r="C118" s="184" t="s">
        <v>168</v>
      </c>
      <c r="D118" s="184" t="s">
        <v>188</v>
      </c>
      <c r="E118" s="182"/>
      <c r="F118" s="182"/>
      <c r="G118" s="182"/>
      <c r="H118" s="183"/>
    </row>
    <row r="119" spans="1:8" s="181" customFormat="1" ht="25.5" hidden="1" customHeight="1">
      <c r="A119" s="184"/>
      <c r="B119" s="184"/>
      <c r="C119" s="184" t="s">
        <v>189</v>
      </c>
      <c r="D119" s="184" t="s">
        <v>190</v>
      </c>
      <c r="E119" s="182" t="s">
        <v>120</v>
      </c>
      <c r="F119" s="182" t="s">
        <v>130</v>
      </c>
      <c r="G119" s="182" t="s">
        <v>191</v>
      </c>
      <c r="H119" s="183"/>
    </row>
    <row r="120" spans="1:8" s="181" customFormat="1" ht="25.5" hidden="1" customHeight="1">
      <c r="A120" s="184"/>
      <c r="B120" s="184"/>
      <c r="C120" s="184" t="s">
        <v>189</v>
      </c>
      <c r="D120" s="184" t="s">
        <v>192</v>
      </c>
      <c r="E120" s="182" t="s">
        <v>120</v>
      </c>
      <c r="F120" s="182" t="s">
        <v>130</v>
      </c>
      <c r="G120" s="182" t="s">
        <v>193</v>
      </c>
      <c r="H120" s="183"/>
    </row>
    <row r="121" spans="1:8" s="181" customFormat="1" ht="25.5" hidden="1" customHeight="1">
      <c r="A121" s="184"/>
      <c r="B121" s="184"/>
      <c r="C121" s="184" t="s">
        <v>189</v>
      </c>
      <c r="D121" s="184" t="s">
        <v>194</v>
      </c>
      <c r="E121" s="182" t="s">
        <v>120</v>
      </c>
      <c r="F121" s="182" t="s">
        <v>130</v>
      </c>
      <c r="G121" s="182" t="s">
        <v>195</v>
      </c>
      <c r="H121" s="183"/>
    </row>
    <row r="122" spans="1:8" s="181" customFormat="1" ht="25.5" hidden="1" customHeight="1">
      <c r="A122" s="184"/>
      <c r="B122" s="184"/>
      <c r="C122" s="184" t="s">
        <v>189</v>
      </c>
      <c r="D122" s="184" t="s">
        <v>196</v>
      </c>
      <c r="E122" s="182" t="s">
        <v>120</v>
      </c>
      <c r="F122" s="182" t="s">
        <v>130</v>
      </c>
      <c r="G122" s="182" t="s">
        <v>197</v>
      </c>
      <c r="H122" s="183"/>
    </row>
    <row r="123" spans="1:8" s="181" customFormat="1" ht="25.5" hidden="1" customHeight="1">
      <c r="A123" s="184"/>
      <c r="B123" s="184"/>
      <c r="C123" s="184" t="s">
        <v>189</v>
      </c>
      <c r="D123" s="184" t="s">
        <v>189</v>
      </c>
      <c r="E123" s="182" t="s">
        <v>120</v>
      </c>
      <c r="F123" s="182" t="s">
        <v>133</v>
      </c>
      <c r="G123" s="182" t="s">
        <v>198</v>
      </c>
      <c r="H123" s="183"/>
    </row>
    <row r="124" spans="1:8" s="181" customFormat="1" ht="25.5" hidden="1" customHeight="1">
      <c r="A124" s="184"/>
      <c r="B124" s="184"/>
      <c r="C124" s="184" t="s">
        <v>189</v>
      </c>
      <c r="D124" s="184" t="s">
        <v>199</v>
      </c>
      <c r="E124" s="182" t="s">
        <v>120</v>
      </c>
      <c r="F124" s="182" t="s">
        <v>200</v>
      </c>
      <c r="G124" s="182" t="s">
        <v>201</v>
      </c>
      <c r="H124" s="183"/>
    </row>
    <row r="125" spans="1:8" s="181" customFormat="1" ht="25.5" hidden="1" customHeight="1">
      <c r="A125" s="184"/>
      <c r="B125" s="184"/>
      <c r="C125" s="184" t="s">
        <v>189</v>
      </c>
      <c r="D125" s="184" t="s">
        <v>202</v>
      </c>
      <c r="E125" s="182" t="s">
        <v>120</v>
      </c>
      <c r="F125" s="182" t="s">
        <v>200</v>
      </c>
      <c r="G125" s="182" t="s">
        <v>203</v>
      </c>
      <c r="H125" s="183"/>
    </row>
    <row r="126" spans="1:8" s="181" customFormat="1" ht="25.5" hidden="1" customHeight="1">
      <c r="A126" s="184"/>
      <c r="B126" s="184"/>
      <c r="C126" s="184" t="s">
        <v>189</v>
      </c>
      <c r="D126" s="184" t="s">
        <v>204</v>
      </c>
      <c r="E126" s="182" t="s">
        <v>120</v>
      </c>
      <c r="F126" s="182" t="s">
        <v>200</v>
      </c>
      <c r="G126" s="182" t="s">
        <v>205</v>
      </c>
      <c r="H126" s="183"/>
    </row>
    <row r="127" spans="1:8" s="181" customFormat="1" ht="25.5" hidden="1" customHeight="1">
      <c r="A127" s="184"/>
      <c r="B127" s="184"/>
      <c r="C127" s="184" t="s">
        <v>189</v>
      </c>
      <c r="D127" s="184" t="s">
        <v>206</v>
      </c>
      <c r="E127" s="182" t="s">
        <v>120</v>
      </c>
      <c r="F127" s="182" t="s">
        <v>200</v>
      </c>
      <c r="G127" s="182" t="s">
        <v>207</v>
      </c>
      <c r="H127" s="183"/>
    </row>
    <row r="128" spans="1:8" s="181" customFormat="1" ht="25.5" hidden="1" customHeight="1">
      <c r="A128" s="184"/>
      <c r="B128" s="184"/>
      <c r="C128" s="184" t="s">
        <v>189</v>
      </c>
      <c r="D128" s="184" t="s">
        <v>208</v>
      </c>
      <c r="E128" s="182" t="s">
        <v>120</v>
      </c>
      <c r="F128" s="182" t="s">
        <v>200</v>
      </c>
      <c r="G128" s="182" t="s">
        <v>209</v>
      </c>
      <c r="H128" s="183"/>
    </row>
    <row r="129" spans="1:8" s="181" customFormat="1" ht="25.5" hidden="1" customHeight="1">
      <c r="A129" s="184"/>
      <c r="B129" s="184"/>
      <c r="C129" s="184" t="s">
        <v>210</v>
      </c>
      <c r="D129" s="184" t="s">
        <v>211</v>
      </c>
      <c r="E129" s="182" t="s">
        <v>120</v>
      </c>
      <c r="F129" s="182" t="s">
        <v>200</v>
      </c>
      <c r="G129" s="182" t="s">
        <v>212</v>
      </c>
      <c r="H129" s="183"/>
    </row>
    <row r="130" spans="1:8" s="181" customFormat="1" ht="25.5" hidden="1" customHeight="1">
      <c r="A130" s="184"/>
      <c r="B130" s="184"/>
      <c r="C130" s="184" t="s">
        <v>210</v>
      </c>
      <c r="D130" s="184" t="s">
        <v>210</v>
      </c>
      <c r="E130" s="182" t="s">
        <v>120</v>
      </c>
      <c r="F130" s="182" t="s">
        <v>136</v>
      </c>
      <c r="G130" s="182" t="s">
        <v>213</v>
      </c>
      <c r="H130" s="183"/>
    </row>
    <row r="131" spans="1:8" s="181" customFormat="1" ht="25.5" hidden="1" customHeight="1">
      <c r="A131" s="184"/>
      <c r="B131" s="184"/>
      <c r="C131" s="184" t="s">
        <v>210</v>
      </c>
      <c r="D131" s="184" t="s">
        <v>214</v>
      </c>
      <c r="E131" s="182" t="s">
        <v>120</v>
      </c>
      <c r="F131" s="182" t="s">
        <v>136</v>
      </c>
      <c r="G131" s="182" t="s">
        <v>215</v>
      </c>
      <c r="H131" s="183"/>
    </row>
    <row r="132" spans="1:8" s="181" customFormat="1" ht="25.5" hidden="1" customHeight="1">
      <c r="A132" s="184"/>
      <c r="B132" s="184"/>
      <c r="C132" s="184" t="s">
        <v>210</v>
      </c>
      <c r="D132" s="184" t="s">
        <v>216</v>
      </c>
      <c r="E132" s="182" t="s">
        <v>120</v>
      </c>
      <c r="F132" s="182" t="s">
        <v>136</v>
      </c>
      <c r="G132" s="182" t="s">
        <v>217</v>
      </c>
      <c r="H132" s="183"/>
    </row>
    <row r="133" spans="1:8" s="181" customFormat="1" ht="25.5" hidden="1" customHeight="1">
      <c r="A133" s="184"/>
      <c r="B133" s="184"/>
      <c r="C133" s="181" t="s">
        <v>218</v>
      </c>
      <c r="D133" s="184" t="s">
        <v>219</v>
      </c>
      <c r="E133" s="182" t="s">
        <v>120</v>
      </c>
      <c r="F133" s="182" t="s">
        <v>136</v>
      </c>
      <c r="G133" s="182" t="s">
        <v>220</v>
      </c>
      <c r="H133" s="183"/>
    </row>
    <row r="134" spans="1:8" s="181" customFormat="1" ht="25.5" hidden="1" customHeight="1">
      <c r="A134" s="184"/>
      <c r="B134" s="184"/>
      <c r="C134" s="181" t="s">
        <v>218</v>
      </c>
      <c r="D134" s="184" t="s">
        <v>221</v>
      </c>
      <c r="E134" s="182" t="s">
        <v>120</v>
      </c>
      <c r="F134" s="182" t="s">
        <v>136</v>
      </c>
      <c r="G134" s="182" t="s">
        <v>222</v>
      </c>
      <c r="H134" s="183"/>
    </row>
    <row r="135" spans="1:8" s="181" customFormat="1" ht="25.5" hidden="1" customHeight="1">
      <c r="A135" s="184"/>
      <c r="B135" s="184"/>
      <c r="C135" s="181" t="s">
        <v>218</v>
      </c>
      <c r="D135" s="184" t="s">
        <v>223</v>
      </c>
      <c r="E135" s="182" t="s">
        <v>120</v>
      </c>
      <c r="F135" s="182" t="s">
        <v>136</v>
      </c>
      <c r="G135" s="182" t="s">
        <v>224</v>
      </c>
      <c r="H135" s="183"/>
    </row>
    <row r="136" spans="1:8" s="181" customFormat="1" ht="25.5" hidden="1" customHeight="1">
      <c r="A136" s="184"/>
      <c r="B136" s="184"/>
      <c r="C136" s="181" t="s">
        <v>218</v>
      </c>
      <c r="D136" s="181" t="s">
        <v>225</v>
      </c>
      <c r="E136" s="182"/>
      <c r="F136" s="182"/>
      <c r="G136" s="182"/>
      <c r="H136" s="183"/>
    </row>
    <row r="137" spans="1:8" s="181" customFormat="1" ht="25.5" hidden="1" customHeight="1">
      <c r="A137" s="184"/>
      <c r="B137" s="184"/>
      <c r="C137" s="181" t="s">
        <v>218</v>
      </c>
      <c r="D137" s="181" t="s">
        <v>226</v>
      </c>
      <c r="E137" s="182" t="s">
        <v>140</v>
      </c>
      <c r="F137" s="185" t="s">
        <v>227</v>
      </c>
      <c r="G137" s="185" t="s">
        <v>228</v>
      </c>
      <c r="H137" s="183"/>
    </row>
    <row r="138" spans="1:8" s="181" customFormat="1" ht="25.5" hidden="1" customHeight="1">
      <c r="A138" s="184"/>
      <c r="B138" s="184"/>
      <c r="C138" s="181" t="s">
        <v>218</v>
      </c>
      <c r="D138" s="181" t="s">
        <v>229</v>
      </c>
      <c r="E138" s="182" t="s">
        <v>140</v>
      </c>
      <c r="F138" s="185" t="s">
        <v>227</v>
      </c>
      <c r="G138" s="185" t="s">
        <v>230</v>
      </c>
      <c r="H138" s="183"/>
    </row>
    <row r="139" spans="1:8" s="181" customFormat="1" ht="25.5" hidden="1" customHeight="1">
      <c r="A139" s="184"/>
      <c r="B139" s="184"/>
      <c r="C139" s="181" t="s">
        <v>218</v>
      </c>
      <c r="D139" s="181" t="s">
        <v>218</v>
      </c>
      <c r="E139" s="185"/>
      <c r="F139" s="185"/>
      <c r="G139" s="185"/>
      <c r="H139" s="183"/>
    </row>
    <row r="140" spans="1:8" s="181" customFormat="1" ht="25.5" hidden="1" customHeight="1">
      <c r="A140" s="184"/>
      <c r="B140" s="184"/>
      <c r="C140" s="181" t="s">
        <v>218</v>
      </c>
      <c r="D140" s="181" t="s">
        <v>231</v>
      </c>
      <c r="E140" s="185"/>
      <c r="F140" s="185"/>
      <c r="G140" s="185"/>
      <c r="H140" s="183"/>
    </row>
    <row r="141" spans="1:8" s="181" customFormat="1" ht="25.5" hidden="1" customHeight="1">
      <c r="A141" s="184"/>
      <c r="B141" s="184"/>
      <c r="C141" s="181" t="s">
        <v>232</v>
      </c>
      <c r="D141" s="181" t="s">
        <v>233</v>
      </c>
      <c r="E141" s="182" t="s">
        <v>140</v>
      </c>
      <c r="F141" s="182" t="s">
        <v>234</v>
      </c>
      <c r="G141" s="182" t="s">
        <v>235</v>
      </c>
      <c r="H141" s="183"/>
    </row>
    <row r="142" spans="1:8" s="181" customFormat="1" ht="25.5" hidden="1" customHeight="1">
      <c r="A142" s="184"/>
      <c r="B142" s="184"/>
      <c r="C142" s="181" t="s">
        <v>232</v>
      </c>
      <c r="D142" s="181" t="s">
        <v>236</v>
      </c>
      <c r="E142" s="182" t="s">
        <v>140</v>
      </c>
      <c r="F142" s="182" t="s">
        <v>237</v>
      </c>
      <c r="G142" s="182" t="s">
        <v>238</v>
      </c>
      <c r="H142" s="183"/>
    </row>
    <row r="143" spans="1:8" s="181" customFormat="1" ht="25.5" hidden="1" customHeight="1">
      <c r="A143" s="184"/>
      <c r="B143" s="184"/>
      <c r="C143" s="181" t="s">
        <v>232</v>
      </c>
      <c r="D143" s="181" t="s">
        <v>239</v>
      </c>
      <c r="E143" s="182" t="s">
        <v>140</v>
      </c>
      <c r="F143" s="182" t="s">
        <v>237</v>
      </c>
      <c r="G143" s="182" t="s">
        <v>240</v>
      </c>
      <c r="H143" s="183"/>
    </row>
    <row r="144" spans="1:8" s="181" customFormat="1" ht="25.5" hidden="1" customHeight="1">
      <c r="A144" s="184"/>
      <c r="B144" s="184"/>
      <c r="C144" s="181" t="s">
        <v>232</v>
      </c>
      <c r="D144" s="181" t="s">
        <v>241</v>
      </c>
      <c r="E144" s="182" t="s">
        <v>140</v>
      </c>
      <c r="F144" s="182" t="s">
        <v>237</v>
      </c>
      <c r="G144" s="182" t="s">
        <v>242</v>
      </c>
      <c r="H144" s="183"/>
    </row>
    <row r="145" spans="1:8" s="181" customFormat="1" ht="25.5" hidden="1" customHeight="1">
      <c r="A145" s="184"/>
      <c r="B145" s="184"/>
      <c r="C145" s="181" t="s">
        <v>232</v>
      </c>
      <c r="D145" s="181" t="s">
        <v>243</v>
      </c>
      <c r="E145" s="182" t="s">
        <v>140</v>
      </c>
      <c r="F145" s="182" t="s">
        <v>237</v>
      </c>
      <c r="G145" s="182" t="s">
        <v>244</v>
      </c>
      <c r="H145" s="183"/>
    </row>
    <row r="146" spans="1:8" s="181" customFormat="1" ht="25.5" hidden="1" customHeight="1">
      <c r="A146" s="184"/>
      <c r="B146" s="184"/>
      <c r="C146" s="181" t="s">
        <v>232</v>
      </c>
      <c r="D146" s="181" t="s">
        <v>245</v>
      </c>
      <c r="E146" s="182" t="s">
        <v>140</v>
      </c>
      <c r="F146" s="182" t="s">
        <v>237</v>
      </c>
      <c r="G146" s="182" t="s">
        <v>246</v>
      </c>
      <c r="H146" s="183"/>
    </row>
    <row r="147" spans="1:8" s="181" customFormat="1" ht="25.5" hidden="1" customHeight="1">
      <c r="A147" s="184"/>
      <c r="B147" s="184"/>
      <c r="C147" s="181" t="s">
        <v>232</v>
      </c>
      <c r="D147" s="181" t="s">
        <v>232</v>
      </c>
      <c r="E147" s="182" t="s">
        <v>140</v>
      </c>
      <c r="F147" s="182" t="s">
        <v>237</v>
      </c>
      <c r="G147" s="182" t="s">
        <v>247</v>
      </c>
      <c r="H147" s="183"/>
    </row>
    <row r="148" spans="1:8" s="181" customFormat="1" ht="25.5" hidden="1" customHeight="1">
      <c r="A148" s="184"/>
      <c r="B148" s="184"/>
      <c r="C148" s="181" t="s">
        <v>232</v>
      </c>
      <c r="D148" s="181" t="s">
        <v>248</v>
      </c>
      <c r="E148" s="182" t="s">
        <v>140</v>
      </c>
      <c r="F148" s="182" t="s">
        <v>237</v>
      </c>
      <c r="G148" s="182" t="s">
        <v>249</v>
      </c>
      <c r="H148" s="183"/>
    </row>
    <row r="149" spans="1:8" s="181" customFormat="1" ht="25.5" hidden="1" customHeight="1">
      <c r="A149" s="184"/>
      <c r="B149" s="184"/>
      <c r="C149" s="181" t="s">
        <v>250</v>
      </c>
      <c r="D149" s="181" t="s">
        <v>251</v>
      </c>
      <c r="E149" s="182"/>
      <c r="F149" s="182"/>
      <c r="G149" s="182"/>
      <c r="H149" s="183"/>
    </row>
    <row r="150" spans="1:8" s="181" customFormat="1" ht="25.5" hidden="1" customHeight="1">
      <c r="C150" s="181" t="s">
        <v>250</v>
      </c>
      <c r="D150" s="181" t="s">
        <v>252</v>
      </c>
      <c r="E150" s="182" t="s">
        <v>140</v>
      </c>
      <c r="F150" s="182" t="s">
        <v>147</v>
      </c>
      <c r="G150" s="182" t="s">
        <v>253</v>
      </c>
    </row>
    <row r="151" spans="1:8" s="181" customFormat="1" ht="25.5" hidden="1" customHeight="1">
      <c r="C151" s="181" t="s">
        <v>250</v>
      </c>
      <c r="D151" s="181" t="s">
        <v>254</v>
      </c>
      <c r="E151" s="182" t="s">
        <v>140</v>
      </c>
      <c r="F151" s="182" t="s">
        <v>255</v>
      </c>
      <c r="G151" s="182" t="s">
        <v>256</v>
      </c>
    </row>
    <row r="152" spans="1:8" s="181" customFormat="1" ht="25.5" hidden="1" customHeight="1">
      <c r="C152" s="181" t="s">
        <v>250</v>
      </c>
      <c r="D152" s="181" t="s">
        <v>250</v>
      </c>
      <c r="E152" s="182" t="s">
        <v>140</v>
      </c>
      <c r="F152" s="182" t="s">
        <v>255</v>
      </c>
      <c r="G152" s="182" t="s">
        <v>257</v>
      </c>
    </row>
    <row r="153" spans="1:8" s="181" customFormat="1" ht="25.5" hidden="1" customHeight="1">
      <c r="E153" s="182" t="s">
        <v>140</v>
      </c>
      <c r="F153" s="182" t="s">
        <v>255</v>
      </c>
      <c r="G153" s="182" t="s">
        <v>258</v>
      </c>
    </row>
    <row r="154" spans="1:8" s="181" customFormat="1" ht="25.5" hidden="1" customHeight="1">
      <c r="E154" s="182" t="s">
        <v>140</v>
      </c>
      <c r="F154" s="182" t="s">
        <v>255</v>
      </c>
      <c r="G154" s="182" t="s">
        <v>259</v>
      </c>
    </row>
    <row r="155" spans="1:8" s="181" customFormat="1" ht="25.5" hidden="1" customHeight="1">
      <c r="E155" s="182" t="s">
        <v>140</v>
      </c>
      <c r="F155" s="182" t="s">
        <v>255</v>
      </c>
      <c r="G155" s="182" t="s">
        <v>260</v>
      </c>
    </row>
    <row r="156" spans="1:8" s="181" customFormat="1" ht="25.5" hidden="1" customHeight="1">
      <c r="E156" s="182" t="s">
        <v>140</v>
      </c>
      <c r="F156" s="182" t="s">
        <v>140</v>
      </c>
      <c r="G156" s="182" t="s">
        <v>261</v>
      </c>
    </row>
    <row r="157" spans="1:8" s="181" customFormat="1" ht="25.5" hidden="1" customHeight="1">
      <c r="E157" s="182" t="s">
        <v>140</v>
      </c>
      <c r="F157" s="182" t="s">
        <v>140</v>
      </c>
      <c r="G157" s="182" t="s">
        <v>262</v>
      </c>
    </row>
    <row r="158" spans="1:8" s="181" customFormat="1" ht="25.5" hidden="1" customHeight="1">
      <c r="E158" s="182" t="s">
        <v>140</v>
      </c>
      <c r="F158" s="182" t="s">
        <v>140</v>
      </c>
      <c r="G158" s="182" t="s">
        <v>263</v>
      </c>
    </row>
    <row r="159" spans="1:8" s="181" customFormat="1" ht="25.5" hidden="1" customHeight="1">
      <c r="E159" s="182" t="s">
        <v>140</v>
      </c>
      <c r="F159" s="182" t="s">
        <v>140</v>
      </c>
      <c r="G159" s="182" t="s">
        <v>264</v>
      </c>
    </row>
    <row r="160" spans="1:8" s="181" customFormat="1" ht="25.5" hidden="1" customHeight="1">
      <c r="E160" s="182" t="s">
        <v>140</v>
      </c>
      <c r="F160" s="182" t="s">
        <v>140</v>
      </c>
      <c r="G160" s="182" t="s">
        <v>265</v>
      </c>
    </row>
    <row r="161" spans="5:7" s="181" customFormat="1" ht="25.5" hidden="1" customHeight="1">
      <c r="E161" s="182" t="s">
        <v>140</v>
      </c>
      <c r="F161" s="182" t="s">
        <v>140</v>
      </c>
      <c r="G161" s="182" t="s">
        <v>266</v>
      </c>
    </row>
    <row r="162" spans="5:7" s="181" customFormat="1" ht="25.5" hidden="1" customHeight="1">
      <c r="E162" s="182" t="s">
        <v>140</v>
      </c>
      <c r="F162" s="182" t="s">
        <v>140</v>
      </c>
      <c r="G162" s="182" t="s">
        <v>267</v>
      </c>
    </row>
    <row r="163" spans="5:7" s="181" customFormat="1" ht="25.5" hidden="1" customHeight="1">
      <c r="E163" s="182" t="s">
        <v>140</v>
      </c>
      <c r="F163" s="182" t="s">
        <v>140</v>
      </c>
      <c r="G163" s="182" t="s">
        <v>268</v>
      </c>
    </row>
    <row r="164" spans="5:7" s="181" customFormat="1" ht="25.5" hidden="1" customHeight="1">
      <c r="E164" s="182" t="s">
        <v>140</v>
      </c>
      <c r="F164" s="182" t="s">
        <v>140</v>
      </c>
      <c r="G164" s="182" t="s">
        <v>269</v>
      </c>
    </row>
    <row r="165" spans="5:7" s="181" customFormat="1" ht="25.5" hidden="1" customHeight="1">
      <c r="E165" s="182" t="s">
        <v>140</v>
      </c>
      <c r="F165" s="182" t="s">
        <v>140</v>
      </c>
      <c r="G165" s="182" t="s">
        <v>270</v>
      </c>
    </row>
    <row r="166" spans="5:7" s="181" customFormat="1" ht="25.5" hidden="1" customHeight="1">
      <c r="E166" s="182" t="s">
        <v>140</v>
      </c>
      <c r="F166" s="182" t="s">
        <v>140</v>
      </c>
      <c r="G166" s="182" t="s">
        <v>271</v>
      </c>
    </row>
    <row r="167" spans="5:7" s="181" customFormat="1" ht="25.5" hidden="1" customHeight="1">
      <c r="E167" s="182" t="s">
        <v>140</v>
      </c>
      <c r="F167" s="182" t="s">
        <v>140</v>
      </c>
      <c r="G167" s="182" t="s">
        <v>272</v>
      </c>
    </row>
    <row r="168" spans="5:7" s="181" customFormat="1" ht="25.5" hidden="1" customHeight="1">
      <c r="E168" s="182" t="s">
        <v>140</v>
      </c>
      <c r="F168" s="182" t="s">
        <v>140</v>
      </c>
      <c r="G168" s="182" t="s">
        <v>273</v>
      </c>
    </row>
    <row r="169" spans="5:7" s="181" customFormat="1" ht="25.5" hidden="1" customHeight="1">
      <c r="E169" s="182" t="s">
        <v>140</v>
      </c>
      <c r="F169" s="182" t="s">
        <v>140</v>
      </c>
      <c r="G169" s="182" t="s">
        <v>274</v>
      </c>
    </row>
    <row r="170" spans="5:7" s="181" customFormat="1" ht="25.5" hidden="1" customHeight="1">
      <c r="E170" s="182" t="s">
        <v>140</v>
      </c>
      <c r="F170" s="182" t="s">
        <v>140</v>
      </c>
      <c r="G170" s="182" t="s">
        <v>275</v>
      </c>
    </row>
    <row r="171" spans="5:7" s="181" customFormat="1" ht="25.5" hidden="1" customHeight="1">
      <c r="E171" s="182" t="s">
        <v>140</v>
      </c>
      <c r="F171" s="182" t="s">
        <v>140</v>
      </c>
      <c r="G171" s="182" t="s">
        <v>276</v>
      </c>
    </row>
    <row r="172" spans="5:7" s="181" customFormat="1" ht="25.5" hidden="1" customHeight="1">
      <c r="E172" s="182" t="s">
        <v>140</v>
      </c>
      <c r="F172" s="182" t="s">
        <v>140</v>
      </c>
      <c r="G172" s="182" t="s">
        <v>277</v>
      </c>
    </row>
    <row r="173" spans="5:7" s="181" customFormat="1" ht="25.5" hidden="1" customHeight="1">
      <c r="E173" s="182" t="s">
        <v>140</v>
      </c>
      <c r="F173" s="182" t="s">
        <v>140</v>
      </c>
      <c r="G173" s="182" t="s">
        <v>278</v>
      </c>
    </row>
    <row r="174" spans="5:7" s="181" customFormat="1" ht="25.5" hidden="1" customHeight="1">
      <c r="E174" s="182" t="s">
        <v>140</v>
      </c>
      <c r="F174" s="182" t="s">
        <v>140</v>
      </c>
      <c r="G174" s="182" t="s">
        <v>279</v>
      </c>
    </row>
    <row r="175" spans="5:7" s="181" customFormat="1" ht="25.5" hidden="1" customHeight="1">
      <c r="E175" s="182" t="s">
        <v>140</v>
      </c>
      <c r="F175" s="182" t="s">
        <v>140</v>
      </c>
      <c r="G175" s="182" t="s">
        <v>280</v>
      </c>
    </row>
    <row r="176" spans="5:7" s="181" customFormat="1" ht="25.5" hidden="1" customHeight="1">
      <c r="E176" s="182" t="s">
        <v>140</v>
      </c>
      <c r="F176" s="182" t="s">
        <v>140</v>
      </c>
      <c r="G176" s="182" t="s">
        <v>281</v>
      </c>
    </row>
    <row r="177" spans="5:7" s="181" customFormat="1" ht="25.5" hidden="1" customHeight="1">
      <c r="E177" s="182" t="s">
        <v>140</v>
      </c>
      <c r="F177" s="182" t="s">
        <v>140</v>
      </c>
      <c r="G177" s="182" t="s">
        <v>282</v>
      </c>
    </row>
    <row r="178" spans="5:7" s="181" customFormat="1" ht="25.5" hidden="1" customHeight="1">
      <c r="E178" s="182"/>
      <c r="F178" s="182"/>
      <c r="G178" s="182"/>
    </row>
    <row r="179" spans="5:7" s="181" customFormat="1" ht="25.5" hidden="1" customHeight="1">
      <c r="E179" s="182"/>
      <c r="F179" s="182"/>
      <c r="G179" s="182"/>
    </row>
    <row r="180" spans="5:7" s="181" customFormat="1" ht="25.5" hidden="1" customHeight="1">
      <c r="E180" s="182"/>
      <c r="F180" s="182"/>
      <c r="G180" s="182"/>
    </row>
    <row r="181" spans="5:7" s="181" customFormat="1" ht="25.5" hidden="1" customHeight="1">
      <c r="E181" s="182"/>
      <c r="F181" s="182"/>
      <c r="G181" s="182"/>
    </row>
    <row r="182" spans="5:7" s="181" customFormat="1" ht="25.5" hidden="1" customHeight="1">
      <c r="E182" s="182"/>
      <c r="F182" s="182"/>
      <c r="G182" s="182"/>
    </row>
    <row r="183" spans="5:7" s="181" customFormat="1" ht="25.5" hidden="1" customHeight="1">
      <c r="E183" s="182"/>
      <c r="F183" s="182"/>
      <c r="G183" s="182"/>
    </row>
    <row r="184" spans="5:7" s="181" customFormat="1" ht="25.5" hidden="1" customHeight="1">
      <c r="E184" s="182" t="s">
        <v>140</v>
      </c>
      <c r="F184" s="182" t="s">
        <v>153</v>
      </c>
      <c r="G184" s="182" t="s">
        <v>283</v>
      </c>
    </row>
    <row r="185" spans="5:7" s="181" customFormat="1" ht="25.5" hidden="1" customHeight="1">
      <c r="E185" s="182" t="s">
        <v>140</v>
      </c>
      <c r="F185" s="182" t="s">
        <v>153</v>
      </c>
      <c r="G185" s="182" t="s">
        <v>284</v>
      </c>
    </row>
    <row r="186" spans="5:7" s="181" customFormat="1" ht="25.5" hidden="1" customHeight="1">
      <c r="E186" s="182" t="s">
        <v>140</v>
      </c>
      <c r="F186" s="182" t="s">
        <v>153</v>
      </c>
      <c r="G186" s="182" t="s">
        <v>285</v>
      </c>
    </row>
    <row r="187" spans="5:7" s="181" customFormat="1" ht="25.5" hidden="1" customHeight="1">
      <c r="E187" s="182" t="s">
        <v>140</v>
      </c>
      <c r="F187" s="182" t="s">
        <v>286</v>
      </c>
      <c r="G187" s="182" t="s">
        <v>287</v>
      </c>
    </row>
    <row r="188" spans="5:7" s="181" customFormat="1" ht="25.5" hidden="1" customHeight="1">
      <c r="E188" s="182" t="s">
        <v>140</v>
      </c>
      <c r="F188" s="182" t="s">
        <v>286</v>
      </c>
      <c r="G188" s="183" t="s">
        <v>288</v>
      </c>
    </row>
    <row r="189" spans="5:7" s="181" customFormat="1" ht="25.5" hidden="1" customHeight="1">
      <c r="E189" s="182" t="s">
        <v>140</v>
      </c>
      <c r="F189" s="182" t="s">
        <v>153</v>
      </c>
      <c r="G189" s="182" t="s">
        <v>289</v>
      </c>
    </row>
    <row r="190" spans="5:7" s="181" customFormat="1" ht="25.5" hidden="1" customHeight="1">
      <c r="E190" s="182" t="s">
        <v>140</v>
      </c>
      <c r="F190" s="182" t="s">
        <v>153</v>
      </c>
      <c r="G190" s="182" t="s">
        <v>290</v>
      </c>
    </row>
    <row r="191" spans="5:7" s="181" customFormat="1" ht="25.5" hidden="1" customHeight="1">
      <c r="E191" s="182" t="s">
        <v>140</v>
      </c>
      <c r="F191" s="182" t="s">
        <v>153</v>
      </c>
      <c r="G191" s="182" t="s">
        <v>291</v>
      </c>
    </row>
    <row r="192" spans="5:7" s="181" customFormat="1" ht="25.5" hidden="1" customHeight="1">
      <c r="E192" s="182" t="s">
        <v>140</v>
      </c>
      <c r="F192" s="182" t="s">
        <v>153</v>
      </c>
      <c r="G192" s="182" t="s">
        <v>292</v>
      </c>
    </row>
    <row r="193" spans="5:7" s="181" customFormat="1" ht="25.5" hidden="1" customHeight="1">
      <c r="E193" s="182" t="s">
        <v>140</v>
      </c>
      <c r="F193" s="182" t="s">
        <v>153</v>
      </c>
      <c r="G193" s="182" t="s">
        <v>293</v>
      </c>
    </row>
    <row r="194" spans="5:7" s="181" customFormat="1" ht="25.5" hidden="1" customHeight="1">
      <c r="E194" s="182" t="s">
        <v>140</v>
      </c>
      <c r="F194" s="182" t="s">
        <v>153</v>
      </c>
      <c r="G194" s="182" t="s">
        <v>294</v>
      </c>
    </row>
    <row r="195" spans="5:7" s="181" customFormat="1" ht="25.5" hidden="1" customHeight="1">
      <c r="E195" s="182" t="s">
        <v>140</v>
      </c>
      <c r="F195" s="182" t="s">
        <v>153</v>
      </c>
      <c r="G195" s="182" t="s">
        <v>295</v>
      </c>
    </row>
    <row r="196" spans="5:7" s="181" customFormat="1" ht="25.5" hidden="1" customHeight="1">
      <c r="E196" s="182" t="s">
        <v>140</v>
      </c>
      <c r="F196" s="182" t="s">
        <v>153</v>
      </c>
      <c r="G196" s="182" t="s">
        <v>296</v>
      </c>
    </row>
    <row r="197" spans="5:7" s="181" customFormat="1" ht="25.5" hidden="1" customHeight="1">
      <c r="E197" s="182" t="s">
        <v>140</v>
      </c>
      <c r="F197" s="182" t="s">
        <v>153</v>
      </c>
      <c r="G197" s="182" t="s">
        <v>297</v>
      </c>
    </row>
    <row r="198" spans="5:7" s="181" customFormat="1" ht="25.5" hidden="1" customHeight="1">
      <c r="E198" s="182" t="s">
        <v>140</v>
      </c>
      <c r="F198" s="182" t="s">
        <v>153</v>
      </c>
      <c r="G198" s="182" t="s">
        <v>298</v>
      </c>
    </row>
    <row r="199" spans="5:7" s="181" customFormat="1" ht="25.5" hidden="1" customHeight="1">
      <c r="E199" s="182"/>
      <c r="F199" s="182"/>
      <c r="G199" s="182"/>
    </row>
    <row r="200" spans="5:7" s="181" customFormat="1" ht="25.5" hidden="1" customHeight="1">
      <c r="E200" s="182" t="s">
        <v>140</v>
      </c>
      <c r="F200" s="182" t="s">
        <v>299</v>
      </c>
      <c r="G200" s="182" t="s">
        <v>300</v>
      </c>
    </row>
    <row r="201" spans="5:7" s="181" customFormat="1" ht="25.5" hidden="1" customHeight="1">
      <c r="E201" s="182" t="s">
        <v>140</v>
      </c>
      <c r="F201" s="182" t="s">
        <v>299</v>
      </c>
      <c r="G201" s="182" t="s">
        <v>301</v>
      </c>
    </row>
    <row r="202" spans="5:7" s="181" customFormat="1" ht="25.5" hidden="1" customHeight="1">
      <c r="E202" s="182" t="s">
        <v>140</v>
      </c>
      <c r="F202" s="182" t="s">
        <v>302</v>
      </c>
      <c r="G202" s="182" t="s">
        <v>303</v>
      </c>
    </row>
    <row r="203" spans="5:7" s="181" customFormat="1" ht="25.5" hidden="1" customHeight="1">
      <c r="E203" s="182" t="s">
        <v>140</v>
      </c>
      <c r="F203" s="182" t="s">
        <v>304</v>
      </c>
      <c r="G203" s="182" t="s">
        <v>305</v>
      </c>
    </row>
    <row r="204" spans="5:7" s="181" customFormat="1" ht="25.5" hidden="1" customHeight="1">
      <c r="E204" s="182" t="s">
        <v>140</v>
      </c>
      <c r="F204" s="182" t="s">
        <v>304</v>
      </c>
      <c r="G204" s="182" t="s">
        <v>306</v>
      </c>
    </row>
    <row r="205" spans="5:7" s="181" customFormat="1" ht="25.5" hidden="1" customHeight="1">
      <c r="E205" s="182" t="s">
        <v>140</v>
      </c>
      <c r="F205" s="182" t="s">
        <v>304</v>
      </c>
      <c r="G205" s="182" t="s">
        <v>307</v>
      </c>
    </row>
    <row r="206" spans="5:7" s="181" customFormat="1" ht="25.5" hidden="1" customHeight="1">
      <c r="E206" s="182" t="s">
        <v>140</v>
      </c>
      <c r="F206" s="182" t="s">
        <v>304</v>
      </c>
      <c r="G206" s="186" t="s">
        <v>308</v>
      </c>
    </row>
    <row r="207" spans="5:7" s="181" customFormat="1" ht="25.5" hidden="1" customHeight="1">
      <c r="E207" s="182" t="s">
        <v>140</v>
      </c>
      <c r="F207" s="182" t="s">
        <v>304</v>
      </c>
      <c r="G207" s="186" t="s">
        <v>309</v>
      </c>
    </row>
    <row r="208" spans="5:7" s="181" customFormat="1" ht="25.5" hidden="1" customHeight="1">
      <c r="E208" s="182" t="s">
        <v>140</v>
      </c>
      <c r="F208" s="182" t="s">
        <v>299</v>
      </c>
      <c r="G208" s="183" t="s">
        <v>310</v>
      </c>
    </row>
    <row r="209" spans="5:7" s="181" customFormat="1" ht="25.5" hidden="1" customHeight="1">
      <c r="E209" s="182"/>
      <c r="F209" s="182"/>
      <c r="G209" s="183"/>
    </row>
    <row r="210" spans="5:7" s="181" customFormat="1" ht="25.5" hidden="1" customHeight="1">
      <c r="E210" s="182"/>
      <c r="F210" s="182"/>
      <c r="G210" s="186"/>
    </row>
    <row r="211" spans="5:7" s="181" customFormat="1" ht="25.5" hidden="1" customHeight="1">
      <c r="E211" s="182"/>
      <c r="F211" s="182"/>
      <c r="G211" s="182"/>
    </row>
    <row r="212" spans="5:7" s="181" customFormat="1" ht="25.5" hidden="1" customHeight="1">
      <c r="E212" s="182" t="s">
        <v>140</v>
      </c>
      <c r="F212" s="182" t="s">
        <v>158</v>
      </c>
      <c r="G212" s="182" t="s">
        <v>311</v>
      </c>
    </row>
    <row r="213" spans="5:7" s="181" customFormat="1" ht="25.5" hidden="1" customHeight="1">
      <c r="E213" s="182" t="s">
        <v>140</v>
      </c>
      <c r="F213" s="182" t="s">
        <v>158</v>
      </c>
      <c r="G213" s="182" t="s">
        <v>312</v>
      </c>
    </row>
    <row r="214" spans="5:7" s="181" customFormat="1" ht="25.5" hidden="1" customHeight="1">
      <c r="E214" s="182" t="s">
        <v>140</v>
      </c>
      <c r="F214" s="182" t="s">
        <v>158</v>
      </c>
      <c r="G214" s="182" t="s">
        <v>313</v>
      </c>
    </row>
    <row r="215" spans="5:7" s="181" customFormat="1" ht="25.5" hidden="1" customHeight="1">
      <c r="E215" s="182" t="s">
        <v>140</v>
      </c>
      <c r="F215" s="182" t="s">
        <v>158</v>
      </c>
      <c r="G215" s="182" t="s">
        <v>314</v>
      </c>
    </row>
    <row r="216" spans="5:7" s="181" customFormat="1" ht="25.5" hidden="1" customHeight="1">
      <c r="E216" s="182" t="s">
        <v>140</v>
      </c>
      <c r="F216" s="182" t="s">
        <v>158</v>
      </c>
      <c r="G216" s="182" t="s">
        <v>315</v>
      </c>
    </row>
    <row r="217" spans="5:7" s="181" customFormat="1" ht="25.5" hidden="1" customHeight="1">
      <c r="E217" s="182"/>
      <c r="F217" s="182"/>
      <c r="G217" s="182"/>
    </row>
    <row r="218" spans="5:7" s="181" customFormat="1" ht="25.5" hidden="1" customHeight="1">
      <c r="E218" s="182" t="s">
        <v>140</v>
      </c>
      <c r="F218" s="182" t="s">
        <v>160</v>
      </c>
      <c r="G218" s="182" t="s">
        <v>316</v>
      </c>
    </row>
    <row r="219" spans="5:7" s="181" customFormat="1" ht="25.5" hidden="1" customHeight="1">
      <c r="E219" s="182" t="s">
        <v>140</v>
      </c>
      <c r="F219" s="182" t="s">
        <v>160</v>
      </c>
      <c r="G219" s="182" t="s">
        <v>317</v>
      </c>
    </row>
    <row r="220" spans="5:7" s="181" customFormat="1" ht="25.5" hidden="1" customHeight="1">
      <c r="E220" s="182" t="s">
        <v>140</v>
      </c>
      <c r="F220" s="182" t="s">
        <v>160</v>
      </c>
      <c r="G220" s="182" t="s">
        <v>318</v>
      </c>
    </row>
    <row r="221" spans="5:7" s="181" customFormat="1" ht="25.5" hidden="1" customHeight="1">
      <c r="E221" s="182"/>
      <c r="F221" s="182"/>
      <c r="G221" s="182"/>
    </row>
    <row r="222" spans="5:7" s="181" customFormat="1" ht="25.5" hidden="1" customHeight="1">
      <c r="E222" s="182" t="s">
        <v>140</v>
      </c>
      <c r="F222" s="182" t="s">
        <v>162</v>
      </c>
      <c r="G222" s="182" t="s">
        <v>319</v>
      </c>
    </row>
    <row r="223" spans="5:7" s="181" customFormat="1" ht="25.5" hidden="1" customHeight="1">
      <c r="E223" s="182" t="s">
        <v>140</v>
      </c>
      <c r="F223" s="182" t="s">
        <v>162</v>
      </c>
      <c r="G223" s="182" t="s">
        <v>320</v>
      </c>
    </row>
    <row r="224" spans="5:7" s="181" customFormat="1" ht="25.5" hidden="1" customHeight="1">
      <c r="E224" s="182" t="s">
        <v>140</v>
      </c>
      <c r="F224" s="182" t="s">
        <v>162</v>
      </c>
      <c r="G224" s="182" t="s">
        <v>321</v>
      </c>
    </row>
    <row r="225" spans="5:7" s="181" customFormat="1" ht="25.5" hidden="1" customHeight="1">
      <c r="E225" s="182" t="s">
        <v>140</v>
      </c>
      <c r="F225" s="182" t="s">
        <v>162</v>
      </c>
      <c r="G225" s="182" t="s">
        <v>322</v>
      </c>
    </row>
    <row r="226" spans="5:7" s="181" customFormat="1" ht="25.5" hidden="1" customHeight="1">
      <c r="E226" s="182" t="s">
        <v>140</v>
      </c>
      <c r="F226" s="182" t="s">
        <v>162</v>
      </c>
      <c r="G226" s="182" t="s">
        <v>323</v>
      </c>
    </row>
    <row r="227" spans="5:7" s="181" customFormat="1" ht="25.5" hidden="1" customHeight="1">
      <c r="E227" s="182" t="s">
        <v>140</v>
      </c>
      <c r="F227" s="182" t="s">
        <v>162</v>
      </c>
      <c r="G227" s="182" t="s">
        <v>324</v>
      </c>
    </row>
    <row r="228" spans="5:7" s="181" customFormat="1" ht="25.5" hidden="1" customHeight="1">
      <c r="E228" s="182" t="s">
        <v>140</v>
      </c>
      <c r="F228" s="182" t="s">
        <v>325</v>
      </c>
      <c r="G228" s="182" t="s">
        <v>326</v>
      </c>
    </row>
    <row r="229" spans="5:7" s="181" customFormat="1" ht="25.5" hidden="1" customHeight="1">
      <c r="E229" s="182" t="s">
        <v>140</v>
      </c>
      <c r="F229" s="182" t="s">
        <v>327</v>
      </c>
      <c r="G229" s="182" t="s">
        <v>328</v>
      </c>
    </row>
    <row r="230" spans="5:7" s="181" customFormat="1" ht="25.5" hidden="1" customHeight="1">
      <c r="E230" s="182" t="s">
        <v>140</v>
      </c>
      <c r="F230" s="182" t="s">
        <v>327</v>
      </c>
      <c r="G230" s="182" t="s">
        <v>329</v>
      </c>
    </row>
    <row r="231" spans="5:7" s="181" customFormat="1" ht="25.5" hidden="1" customHeight="1">
      <c r="E231" s="182" t="s">
        <v>140</v>
      </c>
      <c r="F231" s="182" t="s">
        <v>327</v>
      </c>
      <c r="G231" s="182" t="s">
        <v>330</v>
      </c>
    </row>
    <row r="232" spans="5:7" s="181" customFormat="1" ht="25.5" hidden="1" customHeight="1">
      <c r="E232" s="182" t="s">
        <v>140</v>
      </c>
      <c r="F232" s="182" t="s">
        <v>327</v>
      </c>
      <c r="G232" s="182" t="s">
        <v>331</v>
      </c>
    </row>
    <row r="233" spans="5:7" s="181" customFormat="1" ht="25.5" hidden="1" customHeight="1">
      <c r="E233" s="182" t="s">
        <v>140</v>
      </c>
      <c r="F233" s="182" t="s">
        <v>327</v>
      </c>
      <c r="G233" s="182" t="s">
        <v>332</v>
      </c>
    </row>
    <row r="234" spans="5:7" s="181" customFormat="1" ht="25.5" hidden="1" customHeight="1">
      <c r="E234" s="182" t="s">
        <v>140</v>
      </c>
      <c r="F234" s="182" t="s">
        <v>327</v>
      </c>
      <c r="G234" s="182" t="s">
        <v>333</v>
      </c>
    </row>
    <row r="235" spans="5:7" s="181" customFormat="1" ht="25.5" hidden="1" customHeight="1">
      <c r="E235" s="182" t="s">
        <v>140</v>
      </c>
      <c r="F235" s="182" t="s">
        <v>327</v>
      </c>
      <c r="G235" s="182" t="s">
        <v>334</v>
      </c>
    </row>
    <row r="236" spans="5:7" s="181" customFormat="1" ht="25.5" hidden="1" customHeight="1">
      <c r="E236" s="182"/>
      <c r="F236" s="182"/>
      <c r="G236" s="182"/>
    </row>
    <row r="237" spans="5:7" s="181" customFormat="1" ht="25.5" hidden="1" customHeight="1">
      <c r="E237" s="182" t="s">
        <v>140</v>
      </c>
      <c r="F237" s="182" t="s">
        <v>335</v>
      </c>
      <c r="G237" s="182" t="s">
        <v>336</v>
      </c>
    </row>
    <row r="238" spans="5:7" s="181" customFormat="1" ht="25.5" hidden="1" customHeight="1">
      <c r="E238" s="182" t="s">
        <v>140</v>
      </c>
      <c r="F238" s="182" t="s">
        <v>335</v>
      </c>
      <c r="G238" s="182" t="s">
        <v>337</v>
      </c>
    </row>
    <row r="239" spans="5:7" s="181" customFormat="1" ht="25.5" hidden="1" customHeight="1">
      <c r="E239" s="182"/>
      <c r="F239" s="182"/>
      <c r="G239" s="182"/>
    </row>
    <row r="240" spans="5:7" s="181" customFormat="1" ht="25.5" hidden="1" customHeight="1">
      <c r="E240" s="182"/>
      <c r="F240" s="182"/>
      <c r="G240" s="182"/>
    </row>
    <row r="241" spans="5:7" s="181" customFormat="1" ht="25.5" hidden="1" customHeight="1">
      <c r="E241" s="182" t="s">
        <v>168</v>
      </c>
      <c r="F241" s="182" t="s">
        <v>338</v>
      </c>
      <c r="G241" s="182" t="s">
        <v>339</v>
      </c>
    </row>
    <row r="242" spans="5:7" s="181" customFormat="1" ht="25.5" hidden="1" customHeight="1">
      <c r="E242" s="182" t="s">
        <v>168</v>
      </c>
      <c r="F242" s="182" t="s">
        <v>338</v>
      </c>
      <c r="G242" s="182" t="s">
        <v>340</v>
      </c>
    </row>
    <row r="243" spans="5:7" s="181" customFormat="1" ht="25.5" hidden="1" customHeight="1">
      <c r="E243" s="182" t="s">
        <v>168</v>
      </c>
      <c r="F243" s="182" t="s">
        <v>338</v>
      </c>
      <c r="G243" s="182" t="s">
        <v>341</v>
      </c>
    </row>
    <row r="244" spans="5:7" s="181" customFormat="1" ht="25.5" hidden="1" customHeight="1">
      <c r="E244" s="182" t="s">
        <v>168</v>
      </c>
      <c r="F244" s="182" t="s">
        <v>168</v>
      </c>
      <c r="G244" s="182" t="s">
        <v>342</v>
      </c>
    </row>
    <row r="245" spans="5:7" s="181" customFormat="1" ht="25.5" hidden="1" customHeight="1">
      <c r="E245" s="182" t="s">
        <v>168</v>
      </c>
      <c r="F245" s="182" t="s">
        <v>168</v>
      </c>
      <c r="G245" s="182" t="s">
        <v>343</v>
      </c>
    </row>
    <row r="246" spans="5:7" s="181" customFormat="1" ht="25.5" hidden="1" customHeight="1">
      <c r="E246" s="182" t="s">
        <v>168</v>
      </c>
      <c r="F246" s="182" t="s">
        <v>168</v>
      </c>
      <c r="G246" s="182" t="s">
        <v>344</v>
      </c>
    </row>
    <row r="247" spans="5:7" s="181" customFormat="1" ht="25.5" hidden="1" customHeight="1">
      <c r="E247" s="182" t="s">
        <v>168</v>
      </c>
      <c r="F247" s="182" t="s">
        <v>168</v>
      </c>
      <c r="G247" s="182" t="s">
        <v>345</v>
      </c>
    </row>
    <row r="248" spans="5:7" s="181" customFormat="1" ht="25.5" hidden="1" customHeight="1">
      <c r="E248" s="182" t="s">
        <v>168</v>
      </c>
      <c r="F248" s="182" t="s">
        <v>168</v>
      </c>
      <c r="G248" s="182" t="s">
        <v>346</v>
      </c>
    </row>
    <row r="249" spans="5:7" s="181" customFormat="1" ht="25.5" hidden="1" customHeight="1">
      <c r="E249" s="182" t="s">
        <v>168</v>
      </c>
      <c r="F249" s="182" t="s">
        <v>168</v>
      </c>
      <c r="G249" s="182" t="s">
        <v>347</v>
      </c>
    </row>
    <row r="250" spans="5:7" s="181" customFormat="1" ht="25.5" hidden="1" customHeight="1">
      <c r="E250" s="182" t="s">
        <v>168</v>
      </c>
      <c r="F250" s="182" t="s">
        <v>168</v>
      </c>
      <c r="G250" s="182" t="s">
        <v>348</v>
      </c>
    </row>
    <row r="251" spans="5:7" s="181" customFormat="1" ht="25.5" hidden="1" customHeight="1">
      <c r="E251" s="182" t="s">
        <v>168</v>
      </c>
      <c r="F251" s="182" t="s">
        <v>338</v>
      </c>
      <c r="G251" s="182" t="s">
        <v>349</v>
      </c>
    </row>
    <row r="252" spans="5:7" s="181" customFormat="1" ht="25.5" hidden="1" customHeight="1">
      <c r="E252" s="182" t="s">
        <v>168</v>
      </c>
      <c r="F252" s="182" t="s">
        <v>338</v>
      </c>
      <c r="G252" s="182" t="s">
        <v>350</v>
      </c>
    </row>
    <row r="253" spans="5:7" s="181" customFormat="1" ht="25.5" hidden="1" customHeight="1">
      <c r="E253" s="182" t="s">
        <v>168</v>
      </c>
      <c r="F253" s="182" t="s">
        <v>338</v>
      </c>
      <c r="G253" s="182" t="s">
        <v>351</v>
      </c>
    </row>
    <row r="254" spans="5:7" s="181" customFormat="1" ht="25.5" hidden="1" customHeight="1">
      <c r="E254" s="182" t="s">
        <v>168</v>
      </c>
      <c r="F254" s="182" t="s">
        <v>352</v>
      </c>
      <c r="G254" s="182" t="s">
        <v>353</v>
      </c>
    </row>
    <row r="255" spans="5:7" s="181" customFormat="1" ht="25.5" hidden="1" customHeight="1">
      <c r="E255" s="181" t="s">
        <v>168</v>
      </c>
      <c r="F255" s="181" t="s">
        <v>352</v>
      </c>
      <c r="G255" s="181" t="s">
        <v>354</v>
      </c>
    </row>
    <row r="256" spans="5:7" s="181" customFormat="1" ht="25.5" hidden="1" customHeight="1">
      <c r="E256" s="181" t="s">
        <v>168</v>
      </c>
      <c r="F256" s="181" t="s">
        <v>352</v>
      </c>
      <c r="G256" s="181" t="s">
        <v>355</v>
      </c>
    </row>
    <row r="257" spans="5:7" s="181" customFormat="1" ht="25.5" hidden="1" customHeight="1">
      <c r="E257" s="181" t="s">
        <v>168</v>
      </c>
      <c r="F257" s="181" t="s">
        <v>352</v>
      </c>
      <c r="G257" s="181" t="s">
        <v>356</v>
      </c>
    </row>
    <row r="258" spans="5:7" s="181" customFormat="1" ht="25.5" hidden="1" customHeight="1">
      <c r="E258" s="181" t="s">
        <v>168</v>
      </c>
      <c r="F258" s="181" t="s">
        <v>352</v>
      </c>
      <c r="G258" s="181" t="s">
        <v>357</v>
      </c>
    </row>
    <row r="259" spans="5:7" s="181" customFormat="1" ht="25.5" hidden="1" customHeight="1">
      <c r="E259" s="181" t="s">
        <v>168</v>
      </c>
      <c r="F259" s="181" t="s">
        <v>352</v>
      </c>
      <c r="G259" s="181" t="s">
        <v>358</v>
      </c>
    </row>
    <row r="260" spans="5:7" s="181" customFormat="1" ht="25.5" hidden="1" customHeight="1">
      <c r="E260" s="181" t="s">
        <v>168</v>
      </c>
      <c r="F260" s="181" t="s">
        <v>352</v>
      </c>
      <c r="G260" s="181" t="s">
        <v>359</v>
      </c>
    </row>
    <row r="261" spans="5:7" s="181" customFormat="1" ht="25.5" hidden="1" customHeight="1">
      <c r="E261" s="181" t="s">
        <v>168</v>
      </c>
      <c r="F261" s="181" t="s">
        <v>352</v>
      </c>
      <c r="G261" s="181" t="s">
        <v>360</v>
      </c>
    </row>
    <row r="262" spans="5:7" s="181" customFormat="1" ht="25.5" hidden="1" customHeight="1">
      <c r="E262" s="181" t="s">
        <v>168</v>
      </c>
      <c r="F262" s="181" t="s">
        <v>352</v>
      </c>
      <c r="G262" s="182" t="s">
        <v>361</v>
      </c>
    </row>
    <row r="263" spans="5:7" s="181" customFormat="1" ht="25.5" hidden="1" customHeight="1">
      <c r="E263" s="181" t="s">
        <v>168</v>
      </c>
      <c r="F263" s="181" t="s">
        <v>168</v>
      </c>
      <c r="G263" s="181" t="s">
        <v>362</v>
      </c>
    </row>
    <row r="264" spans="5:7" s="181" customFormat="1" ht="25.5" hidden="1" customHeight="1">
      <c r="E264" s="181" t="s">
        <v>168</v>
      </c>
      <c r="F264" s="181" t="s">
        <v>168</v>
      </c>
      <c r="G264" s="181" t="s">
        <v>363</v>
      </c>
    </row>
    <row r="265" spans="5:7" s="181" customFormat="1" ht="25.5" hidden="1" customHeight="1">
      <c r="E265" s="181" t="s">
        <v>168</v>
      </c>
      <c r="F265" s="181" t="s">
        <v>168</v>
      </c>
      <c r="G265" s="181" t="s">
        <v>364</v>
      </c>
    </row>
    <row r="266" spans="5:7" s="181" customFormat="1" ht="25.5" hidden="1" customHeight="1">
      <c r="E266" s="181" t="s">
        <v>168</v>
      </c>
      <c r="F266" s="181" t="s">
        <v>168</v>
      </c>
      <c r="G266" s="181" t="s">
        <v>365</v>
      </c>
    </row>
    <row r="267" spans="5:7" s="181" customFormat="1" ht="25.5" hidden="1" customHeight="1">
      <c r="E267" s="181" t="s">
        <v>168</v>
      </c>
      <c r="F267" s="181" t="s">
        <v>168</v>
      </c>
      <c r="G267" s="181" t="s">
        <v>366</v>
      </c>
    </row>
    <row r="268" spans="5:7" s="181" customFormat="1" ht="25.5" hidden="1" customHeight="1">
      <c r="E268" s="181" t="s">
        <v>168</v>
      </c>
      <c r="F268" s="181" t="s">
        <v>168</v>
      </c>
      <c r="G268" s="181" t="s">
        <v>367</v>
      </c>
    </row>
    <row r="269" spans="5:7" s="181" customFormat="1" ht="25.5" hidden="1" customHeight="1">
      <c r="E269" s="181" t="s">
        <v>168</v>
      </c>
      <c r="F269" s="181" t="s">
        <v>168</v>
      </c>
      <c r="G269" s="181" t="s">
        <v>368</v>
      </c>
    </row>
    <row r="270" spans="5:7" s="181" customFormat="1" ht="25.5" hidden="1" customHeight="1">
      <c r="E270" s="181" t="s">
        <v>168</v>
      </c>
      <c r="F270" s="181" t="s">
        <v>168</v>
      </c>
      <c r="G270" s="181" t="s">
        <v>369</v>
      </c>
    </row>
    <row r="271" spans="5:7" s="181" customFormat="1" ht="25.5" hidden="1" customHeight="1">
      <c r="E271" s="181" t="s">
        <v>168</v>
      </c>
      <c r="F271" s="181" t="s">
        <v>168</v>
      </c>
      <c r="G271" s="181" t="s">
        <v>370</v>
      </c>
    </row>
    <row r="272" spans="5:7" s="181" customFormat="1" ht="25.5" hidden="1" customHeight="1">
      <c r="E272" s="181" t="s">
        <v>168</v>
      </c>
      <c r="F272" s="181" t="s">
        <v>168</v>
      </c>
      <c r="G272" s="181" t="s">
        <v>371</v>
      </c>
    </row>
    <row r="273" spans="5:7" s="181" customFormat="1" ht="25.5" hidden="1" customHeight="1">
      <c r="E273" s="181" t="s">
        <v>168</v>
      </c>
      <c r="F273" s="181" t="s">
        <v>168</v>
      </c>
      <c r="G273" s="186" t="s">
        <v>372</v>
      </c>
    </row>
    <row r="274" spans="5:7" s="181" customFormat="1" ht="25.5" hidden="1" customHeight="1">
      <c r="E274" s="181" t="s">
        <v>168</v>
      </c>
      <c r="F274" s="181" t="s">
        <v>168</v>
      </c>
      <c r="G274" s="186" t="s">
        <v>373</v>
      </c>
    </row>
    <row r="275" spans="5:7" s="181" customFormat="1" ht="25.5" hidden="1" customHeight="1">
      <c r="E275" s="181" t="s">
        <v>168</v>
      </c>
      <c r="F275" s="181" t="s">
        <v>168</v>
      </c>
      <c r="G275" s="183" t="s">
        <v>374</v>
      </c>
    </row>
    <row r="276" spans="5:7" s="181" customFormat="1" ht="25.5" hidden="1" customHeight="1">
      <c r="E276" s="181" t="s">
        <v>168</v>
      </c>
      <c r="F276" s="181" t="s">
        <v>168</v>
      </c>
      <c r="G276" s="183" t="s">
        <v>375</v>
      </c>
    </row>
    <row r="277" spans="5:7" s="181" customFormat="1" ht="25.5" hidden="1" customHeight="1">
      <c r="E277" s="181" t="s">
        <v>168</v>
      </c>
      <c r="F277" s="181" t="s">
        <v>168</v>
      </c>
      <c r="G277" s="181" t="s">
        <v>376</v>
      </c>
    </row>
    <row r="278" spans="5:7" s="181" customFormat="1" ht="25.5" hidden="1" customHeight="1">
      <c r="E278" s="181" t="s">
        <v>168</v>
      </c>
      <c r="F278" s="181" t="s">
        <v>168</v>
      </c>
      <c r="G278" s="181" t="s">
        <v>377</v>
      </c>
    </row>
    <row r="279" spans="5:7" s="181" customFormat="1" ht="25.5" hidden="1" customHeight="1">
      <c r="E279" s="181" t="s">
        <v>168</v>
      </c>
      <c r="F279" s="181" t="s">
        <v>168</v>
      </c>
      <c r="G279" s="187" t="s">
        <v>378</v>
      </c>
    </row>
    <row r="280" spans="5:7" s="181" customFormat="1" ht="25.5" hidden="1" customHeight="1">
      <c r="E280" s="181" t="s">
        <v>168</v>
      </c>
      <c r="F280" s="181" t="s">
        <v>168</v>
      </c>
      <c r="G280" s="181" t="s">
        <v>379</v>
      </c>
    </row>
    <row r="281" spans="5:7" s="181" customFormat="1" ht="25.5" hidden="1" customHeight="1">
      <c r="E281" s="181" t="s">
        <v>168</v>
      </c>
      <c r="F281" s="181" t="s">
        <v>168</v>
      </c>
      <c r="G281" s="187" t="s">
        <v>380</v>
      </c>
    </row>
    <row r="282" spans="5:7" s="181" customFormat="1" ht="25.5" hidden="1" customHeight="1">
      <c r="E282" s="181" t="s">
        <v>168</v>
      </c>
      <c r="F282" s="181" t="s">
        <v>168</v>
      </c>
      <c r="G282" s="187" t="s">
        <v>381</v>
      </c>
    </row>
    <row r="283" spans="5:7" s="181" customFormat="1" ht="25.5" hidden="1" customHeight="1">
      <c r="E283" s="181" t="s">
        <v>168</v>
      </c>
      <c r="F283" s="181" t="s">
        <v>168</v>
      </c>
      <c r="G283" s="188" t="s">
        <v>382</v>
      </c>
    </row>
    <row r="284" spans="5:7" s="181" customFormat="1" ht="25.5" hidden="1" customHeight="1">
      <c r="E284" s="181" t="s">
        <v>168</v>
      </c>
      <c r="F284" s="181" t="s">
        <v>168</v>
      </c>
      <c r="G284" s="181" t="s">
        <v>918</v>
      </c>
    </row>
    <row r="285" spans="5:7" s="181" customFormat="1" ht="25.5" hidden="1" customHeight="1">
      <c r="E285" s="181" t="s">
        <v>168</v>
      </c>
      <c r="F285" s="181" t="s">
        <v>168</v>
      </c>
    </row>
    <row r="286" spans="5:7" s="181" customFormat="1" ht="25.5" hidden="1" customHeight="1">
      <c r="E286" s="181" t="s">
        <v>168</v>
      </c>
      <c r="F286" s="181" t="s">
        <v>168</v>
      </c>
    </row>
    <row r="287" spans="5:7" s="181" customFormat="1" ht="25.5" hidden="1" customHeight="1">
      <c r="E287" s="181" t="s">
        <v>168</v>
      </c>
      <c r="F287" s="181" t="s">
        <v>168</v>
      </c>
    </row>
    <row r="288" spans="5:7" s="181" customFormat="1" ht="25.5" hidden="1" customHeight="1">
      <c r="E288" s="181" t="s">
        <v>168</v>
      </c>
      <c r="F288" s="181" t="s">
        <v>169</v>
      </c>
      <c r="G288" s="181" t="s">
        <v>383</v>
      </c>
    </row>
    <row r="289" spans="5:7" s="181" customFormat="1" ht="25.5" hidden="1" customHeight="1">
      <c r="E289" s="181" t="s">
        <v>168</v>
      </c>
      <c r="F289" s="181" t="s">
        <v>384</v>
      </c>
      <c r="G289" s="181" t="s">
        <v>385</v>
      </c>
    </row>
    <row r="290" spans="5:7" s="181" customFormat="1" ht="25.5" hidden="1" customHeight="1">
      <c r="E290" s="181" t="s">
        <v>168</v>
      </c>
      <c r="F290" s="181" t="s">
        <v>384</v>
      </c>
      <c r="G290" s="181" t="s">
        <v>386</v>
      </c>
    </row>
    <row r="291" spans="5:7" s="181" customFormat="1" ht="25.5" hidden="1" customHeight="1">
      <c r="E291" s="181" t="s">
        <v>168</v>
      </c>
      <c r="F291" s="181" t="s">
        <v>384</v>
      </c>
      <c r="G291" s="181" t="s">
        <v>387</v>
      </c>
    </row>
    <row r="292" spans="5:7" s="181" customFormat="1" ht="25.5" hidden="1" customHeight="1">
      <c r="E292" s="181" t="s">
        <v>168</v>
      </c>
      <c r="F292" s="181" t="s">
        <v>384</v>
      </c>
      <c r="G292" s="181" t="s">
        <v>388</v>
      </c>
    </row>
    <row r="293" spans="5:7" s="181" customFormat="1" ht="25.5" hidden="1" customHeight="1">
      <c r="E293" s="181" t="s">
        <v>168</v>
      </c>
      <c r="F293" s="181" t="s">
        <v>384</v>
      </c>
      <c r="G293" s="181" t="s">
        <v>389</v>
      </c>
    </row>
    <row r="294" spans="5:7" s="181" customFormat="1" ht="25.5" hidden="1" customHeight="1"/>
    <row r="295" spans="5:7" s="181" customFormat="1" ht="25.5" hidden="1" customHeight="1">
      <c r="E295" s="181" t="s">
        <v>168</v>
      </c>
      <c r="F295" s="181" t="s">
        <v>171</v>
      </c>
      <c r="G295" s="181" t="s">
        <v>390</v>
      </c>
    </row>
    <row r="296" spans="5:7" s="181" customFormat="1" ht="25.5" hidden="1" customHeight="1">
      <c r="E296" s="181" t="s">
        <v>168</v>
      </c>
      <c r="F296" s="181" t="s">
        <v>391</v>
      </c>
      <c r="G296" s="181" t="s">
        <v>392</v>
      </c>
    </row>
    <row r="297" spans="5:7" s="181" customFormat="1" ht="25.5" hidden="1" customHeight="1">
      <c r="E297" s="181" t="s">
        <v>168</v>
      </c>
      <c r="F297" s="181" t="s">
        <v>391</v>
      </c>
      <c r="G297" s="181" t="s">
        <v>393</v>
      </c>
    </row>
    <row r="298" spans="5:7" s="181" customFormat="1" ht="25.5" hidden="1" customHeight="1">
      <c r="E298" s="181" t="s">
        <v>168</v>
      </c>
      <c r="F298" s="181" t="s">
        <v>394</v>
      </c>
      <c r="G298" s="181" t="s">
        <v>395</v>
      </c>
    </row>
    <row r="299" spans="5:7" s="181" customFormat="1" ht="25.5" hidden="1" customHeight="1">
      <c r="E299" s="181" t="s">
        <v>168</v>
      </c>
      <c r="F299" s="181" t="s">
        <v>171</v>
      </c>
      <c r="G299" s="181" t="s">
        <v>396</v>
      </c>
    </row>
    <row r="300" spans="5:7" s="181" customFormat="1" ht="25.5" hidden="1" customHeight="1">
      <c r="E300" s="181" t="s">
        <v>168</v>
      </c>
      <c r="F300" s="181" t="s">
        <v>171</v>
      </c>
      <c r="G300" s="183" t="s">
        <v>397</v>
      </c>
    </row>
    <row r="301" spans="5:7" s="181" customFormat="1" ht="25.5" hidden="1" customHeight="1">
      <c r="E301" s="181" t="s">
        <v>168</v>
      </c>
      <c r="F301" s="181" t="s">
        <v>171</v>
      </c>
      <c r="G301" s="183" t="s">
        <v>398</v>
      </c>
    </row>
    <row r="302" spans="5:7" s="181" customFormat="1" ht="25.5" hidden="1" customHeight="1">
      <c r="E302" s="181" t="s">
        <v>168</v>
      </c>
      <c r="F302" s="181" t="s">
        <v>171</v>
      </c>
      <c r="G302" s="181" t="s">
        <v>399</v>
      </c>
    </row>
    <row r="303" spans="5:7" s="181" customFormat="1" ht="25.5" hidden="1" customHeight="1"/>
    <row r="304" spans="5:7" s="181" customFormat="1" ht="25.5" hidden="1" customHeight="1">
      <c r="E304" s="181" t="s">
        <v>168</v>
      </c>
      <c r="F304" s="181" t="s">
        <v>174</v>
      </c>
      <c r="G304" s="181" t="s">
        <v>400</v>
      </c>
    </row>
    <row r="305" spans="5:7" s="181" customFormat="1" ht="25.5" hidden="1" customHeight="1">
      <c r="E305" s="181" t="s">
        <v>168</v>
      </c>
      <c r="F305" s="181" t="s">
        <v>401</v>
      </c>
      <c r="G305" s="181" t="s">
        <v>402</v>
      </c>
    </row>
    <row r="306" spans="5:7" s="181" customFormat="1" ht="25.5" hidden="1" customHeight="1">
      <c r="E306" s="181" t="s">
        <v>168</v>
      </c>
      <c r="F306" s="181" t="s">
        <v>174</v>
      </c>
      <c r="G306" s="181" t="s">
        <v>403</v>
      </c>
    </row>
    <row r="307" spans="5:7" s="181" customFormat="1" ht="25.5" hidden="1" customHeight="1">
      <c r="E307" s="181" t="s">
        <v>168</v>
      </c>
      <c r="F307" s="181" t="s">
        <v>174</v>
      </c>
      <c r="G307" s="181" t="s">
        <v>404</v>
      </c>
    </row>
    <row r="308" spans="5:7" s="181" customFormat="1" ht="25.5" hidden="1" customHeight="1">
      <c r="E308" s="181" t="s">
        <v>168</v>
      </c>
      <c r="F308" s="181" t="s">
        <v>174</v>
      </c>
      <c r="G308" s="181" t="s">
        <v>405</v>
      </c>
    </row>
    <row r="309" spans="5:7" s="181" customFormat="1" ht="25.5" hidden="1" customHeight="1">
      <c r="E309" s="181" t="s">
        <v>168</v>
      </c>
      <c r="F309" s="181" t="s">
        <v>176</v>
      </c>
      <c r="G309" s="181" t="s">
        <v>406</v>
      </c>
    </row>
    <row r="310" spans="5:7" s="181" customFormat="1" ht="25.5" hidden="1" customHeight="1">
      <c r="E310" s="181" t="s">
        <v>168</v>
      </c>
      <c r="F310" s="181" t="s">
        <v>176</v>
      </c>
      <c r="G310" s="181" t="s">
        <v>407</v>
      </c>
    </row>
    <row r="311" spans="5:7" s="181" customFormat="1" ht="25.5" hidden="1" customHeight="1">
      <c r="E311" s="181" t="s">
        <v>168</v>
      </c>
      <c r="F311" s="181" t="s">
        <v>176</v>
      </c>
      <c r="G311" s="181" t="s">
        <v>408</v>
      </c>
    </row>
    <row r="312" spans="5:7" s="181" customFormat="1" ht="25.5" hidden="1" customHeight="1">
      <c r="E312" s="181" t="s">
        <v>168</v>
      </c>
      <c r="F312" s="181" t="s">
        <v>176</v>
      </c>
      <c r="G312" s="181" t="s">
        <v>409</v>
      </c>
    </row>
    <row r="313" spans="5:7" s="181" customFormat="1" ht="25.5" hidden="1" customHeight="1">
      <c r="E313" s="181" t="s">
        <v>168</v>
      </c>
      <c r="F313" s="181" t="s">
        <v>176</v>
      </c>
      <c r="G313" s="181" t="s">
        <v>410</v>
      </c>
    </row>
    <row r="314" spans="5:7" s="181" customFormat="1" ht="25.5" hidden="1" customHeight="1">
      <c r="E314" s="181" t="s">
        <v>168</v>
      </c>
      <c r="F314" s="181" t="s">
        <v>411</v>
      </c>
      <c r="G314" s="181" t="s">
        <v>412</v>
      </c>
    </row>
    <row r="315" spans="5:7" s="181" customFormat="1" ht="25.5" hidden="1" customHeight="1">
      <c r="E315" s="181" t="s">
        <v>168</v>
      </c>
      <c r="F315" s="181" t="s">
        <v>411</v>
      </c>
      <c r="G315" s="181" t="s">
        <v>413</v>
      </c>
    </row>
    <row r="316" spans="5:7" s="181" customFormat="1" ht="25.5" hidden="1" customHeight="1">
      <c r="E316" s="181" t="s">
        <v>168</v>
      </c>
      <c r="F316" s="181" t="s">
        <v>411</v>
      </c>
      <c r="G316" s="181" t="s">
        <v>414</v>
      </c>
    </row>
    <row r="317" spans="5:7" s="181" customFormat="1" ht="25.5" hidden="1" customHeight="1">
      <c r="E317" s="181" t="s">
        <v>168</v>
      </c>
      <c r="F317" s="181" t="s">
        <v>411</v>
      </c>
      <c r="G317" s="181" t="s">
        <v>415</v>
      </c>
    </row>
    <row r="318" spans="5:7" s="181" customFormat="1" ht="25.5" hidden="1" customHeight="1">
      <c r="E318" s="181" t="s">
        <v>168</v>
      </c>
      <c r="F318" s="181" t="s">
        <v>411</v>
      </c>
      <c r="G318" s="181" t="s">
        <v>416</v>
      </c>
    </row>
    <row r="319" spans="5:7" s="181" customFormat="1" ht="25.5" hidden="1" customHeight="1">
      <c r="E319" s="181" t="s">
        <v>168</v>
      </c>
      <c r="F319" s="181" t="s">
        <v>411</v>
      </c>
      <c r="G319" s="181" t="s">
        <v>417</v>
      </c>
    </row>
    <row r="320" spans="5:7" s="181" customFormat="1" ht="25.5" hidden="1" customHeight="1">
      <c r="E320" s="181" t="s">
        <v>168</v>
      </c>
      <c r="F320" s="181" t="s">
        <v>411</v>
      </c>
      <c r="G320" s="181" t="s">
        <v>418</v>
      </c>
    </row>
    <row r="321" spans="5:7" s="181" customFormat="1" ht="25.5" hidden="1" customHeight="1">
      <c r="E321" s="181" t="s">
        <v>168</v>
      </c>
      <c r="F321" s="181" t="s">
        <v>411</v>
      </c>
      <c r="G321" s="181" t="s">
        <v>419</v>
      </c>
    </row>
    <row r="322" spans="5:7" s="181" customFormat="1" ht="25.5" hidden="1" customHeight="1">
      <c r="E322" s="181" t="s">
        <v>168</v>
      </c>
      <c r="F322" s="181" t="s">
        <v>178</v>
      </c>
      <c r="G322" s="181" t="s">
        <v>420</v>
      </c>
    </row>
    <row r="323" spans="5:7" s="181" customFormat="1" ht="25.5" hidden="1" customHeight="1">
      <c r="E323" s="181" t="s">
        <v>168</v>
      </c>
      <c r="F323" s="181" t="s">
        <v>178</v>
      </c>
      <c r="G323" s="181" t="s">
        <v>421</v>
      </c>
    </row>
    <row r="324" spans="5:7" s="181" customFormat="1" ht="25.5" hidden="1" customHeight="1">
      <c r="E324" s="181" t="s">
        <v>168</v>
      </c>
      <c r="F324" s="181" t="s">
        <v>178</v>
      </c>
      <c r="G324" s="181" t="s">
        <v>422</v>
      </c>
    </row>
    <row r="325" spans="5:7" s="181" customFormat="1" ht="25.5" hidden="1" customHeight="1">
      <c r="E325" s="181" t="s">
        <v>168</v>
      </c>
      <c r="F325" s="181" t="s">
        <v>178</v>
      </c>
      <c r="G325" s="181" t="s">
        <v>423</v>
      </c>
    </row>
    <row r="326" spans="5:7" s="181" customFormat="1" ht="25.5" hidden="1" customHeight="1">
      <c r="E326" s="181" t="s">
        <v>168</v>
      </c>
      <c r="F326" s="181" t="s">
        <v>180</v>
      </c>
      <c r="G326" s="181" t="s">
        <v>424</v>
      </c>
    </row>
    <row r="327" spans="5:7" s="181" customFormat="1" ht="25.5" hidden="1" customHeight="1">
      <c r="E327" s="181" t="s">
        <v>168</v>
      </c>
      <c r="F327" s="181" t="s">
        <v>180</v>
      </c>
      <c r="G327" s="181" t="s">
        <v>425</v>
      </c>
    </row>
    <row r="328" spans="5:7" s="181" customFormat="1" ht="25.5" hidden="1" customHeight="1">
      <c r="E328" s="181" t="s">
        <v>168</v>
      </c>
      <c r="F328" s="181" t="s">
        <v>426</v>
      </c>
      <c r="G328" s="181" t="s">
        <v>427</v>
      </c>
    </row>
    <row r="329" spans="5:7" s="181" customFormat="1" ht="25.5" hidden="1" customHeight="1">
      <c r="E329" s="181" t="s">
        <v>168</v>
      </c>
      <c r="F329" s="181" t="s">
        <v>180</v>
      </c>
      <c r="G329" s="181" t="s">
        <v>428</v>
      </c>
    </row>
    <row r="330" spans="5:7" s="181" customFormat="1" ht="25.5" hidden="1" customHeight="1">
      <c r="E330" s="181" t="s">
        <v>168</v>
      </c>
      <c r="F330" s="181" t="s">
        <v>429</v>
      </c>
      <c r="G330" s="181" t="s">
        <v>430</v>
      </c>
    </row>
    <row r="331" spans="5:7" s="181" customFormat="1" ht="25.5" hidden="1" customHeight="1">
      <c r="E331" s="181" t="s">
        <v>168</v>
      </c>
      <c r="F331" s="181" t="s">
        <v>429</v>
      </c>
      <c r="G331" s="181" t="s">
        <v>431</v>
      </c>
    </row>
    <row r="332" spans="5:7" s="181" customFormat="1" ht="25.5" hidden="1" customHeight="1">
      <c r="E332" s="181" t="s">
        <v>168</v>
      </c>
      <c r="F332" s="181" t="s">
        <v>429</v>
      </c>
      <c r="G332" s="181" t="s">
        <v>432</v>
      </c>
    </row>
    <row r="333" spans="5:7" s="181" customFormat="1" ht="25.5" hidden="1" customHeight="1">
      <c r="E333" s="181" t="s">
        <v>168</v>
      </c>
      <c r="F333" s="181" t="s">
        <v>429</v>
      </c>
      <c r="G333" s="181" t="s">
        <v>433</v>
      </c>
    </row>
    <row r="334" spans="5:7" s="181" customFormat="1" ht="25.5" hidden="1" customHeight="1">
      <c r="E334" s="181" t="s">
        <v>168</v>
      </c>
      <c r="F334" s="181" t="s">
        <v>182</v>
      </c>
      <c r="G334" s="181" t="s">
        <v>434</v>
      </c>
    </row>
    <row r="335" spans="5:7" s="181" customFormat="1" ht="25.5" hidden="1" customHeight="1">
      <c r="E335" s="181" t="s">
        <v>168</v>
      </c>
      <c r="F335" s="181" t="s">
        <v>182</v>
      </c>
      <c r="G335" s="181" t="s">
        <v>435</v>
      </c>
    </row>
    <row r="336" spans="5:7" s="181" customFormat="1" ht="25.5" hidden="1" customHeight="1">
      <c r="E336" s="181" t="s">
        <v>168</v>
      </c>
      <c r="F336" s="181" t="s">
        <v>182</v>
      </c>
      <c r="G336" s="183" t="s">
        <v>436</v>
      </c>
    </row>
    <row r="337" spans="5:7" s="181" customFormat="1" ht="25.5" hidden="1" customHeight="1">
      <c r="E337" s="181" t="s">
        <v>168</v>
      </c>
      <c r="F337" s="181" t="s">
        <v>182</v>
      </c>
      <c r="G337" s="183" t="s">
        <v>437</v>
      </c>
    </row>
    <row r="338" spans="5:7" s="181" customFormat="1" ht="25.5" hidden="1" customHeight="1">
      <c r="E338" s="181" t="s">
        <v>168</v>
      </c>
      <c r="F338" s="181" t="s">
        <v>182</v>
      </c>
      <c r="G338" s="181" t="s">
        <v>438</v>
      </c>
    </row>
    <row r="339" spans="5:7" s="181" customFormat="1" ht="25.5" hidden="1" customHeight="1">
      <c r="E339" s="181" t="s">
        <v>168</v>
      </c>
      <c r="F339" s="181" t="s">
        <v>182</v>
      </c>
      <c r="G339" s="181" t="s">
        <v>439</v>
      </c>
    </row>
    <row r="340" spans="5:7" s="181" customFormat="1" ht="25.5" hidden="1" customHeight="1">
      <c r="E340" s="181" t="s">
        <v>168</v>
      </c>
      <c r="F340" s="181" t="s">
        <v>182</v>
      </c>
      <c r="G340" s="181" t="s">
        <v>440</v>
      </c>
    </row>
    <row r="341" spans="5:7" s="181" customFormat="1" ht="25.5" hidden="1" customHeight="1">
      <c r="E341" s="181" t="s">
        <v>168</v>
      </c>
      <c r="F341" s="181" t="s">
        <v>441</v>
      </c>
      <c r="G341" s="181" t="s">
        <v>442</v>
      </c>
    </row>
    <row r="342" spans="5:7" s="181" customFormat="1" ht="25.5" hidden="1" customHeight="1">
      <c r="E342" s="181" t="s">
        <v>168</v>
      </c>
      <c r="F342" s="181" t="s">
        <v>443</v>
      </c>
      <c r="G342" s="181" t="s">
        <v>444</v>
      </c>
    </row>
    <row r="343" spans="5:7" s="181" customFormat="1" ht="25.5" hidden="1" customHeight="1">
      <c r="E343" s="181" t="s">
        <v>168</v>
      </c>
      <c r="F343" s="181" t="s">
        <v>443</v>
      </c>
      <c r="G343" s="181" t="s">
        <v>445</v>
      </c>
    </row>
    <row r="344" spans="5:7" s="181" customFormat="1" ht="25.5" hidden="1" customHeight="1"/>
    <row r="345" spans="5:7" s="181" customFormat="1" ht="25.5" hidden="1" customHeight="1">
      <c r="E345" s="181" t="s">
        <v>168</v>
      </c>
      <c r="F345" s="181" t="s">
        <v>443</v>
      </c>
      <c r="G345" s="183" t="s">
        <v>446</v>
      </c>
    </row>
    <row r="346" spans="5:7" s="181" customFormat="1" ht="25.5" hidden="1" customHeight="1">
      <c r="E346" s="181" t="s">
        <v>168</v>
      </c>
      <c r="F346" s="181" t="s">
        <v>443</v>
      </c>
      <c r="G346" s="183" t="s">
        <v>447</v>
      </c>
    </row>
    <row r="347" spans="5:7" s="181" customFormat="1" ht="25.5" hidden="1" customHeight="1">
      <c r="E347" s="181" t="s">
        <v>168</v>
      </c>
      <c r="F347" s="181" t="s">
        <v>443</v>
      </c>
      <c r="G347" s="181" t="s">
        <v>448</v>
      </c>
    </row>
    <row r="348" spans="5:7" s="181" customFormat="1" ht="25.5" hidden="1" customHeight="1"/>
    <row r="349" spans="5:7" s="181" customFormat="1" ht="25.5" hidden="1" customHeight="1">
      <c r="E349" s="181" t="s">
        <v>168</v>
      </c>
      <c r="F349" s="181" t="s">
        <v>185</v>
      </c>
      <c r="G349" s="181" t="s">
        <v>449</v>
      </c>
    </row>
    <row r="350" spans="5:7" s="181" customFormat="1" ht="25.5" hidden="1" customHeight="1">
      <c r="E350" s="181" t="s">
        <v>168</v>
      </c>
      <c r="F350" s="181" t="s">
        <v>185</v>
      </c>
      <c r="G350" s="181" t="s">
        <v>450</v>
      </c>
    </row>
    <row r="351" spans="5:7" s="181" customFormat="1" ht="25.5" hidden="1" customHeight="1">
      <c r="E351" s="181" t="s">
        <v>168</v>
      </c>
      <c r="F351" s="181" t="s">
        <v>185</v>
      </c>
      <c r="G351" s="181" t="s">
        <v>451</v>
      </c>
    </row>
    <row r="352" spans="5:7" s="181" customFormat="1" ht="25.5" hidden="1" customHeight="1">
      <c r="E352" s="181" t="s">
        <v>168</v>
      </c>
      <c r="F352" s="181" t="s">
        <v>185</v>
      </c>
      <c r="G352" s="181" t="s">
        <v>452</v>
      </c>
    </row>
    <row r="353" spans="5:7" s="181" customFormat="1" ht="25.5" hidden="1" customHeight="1">
      <c r="E353" s="181" t="s">
        <v>168</v>
      </c>
      <c r="F353" s="181" t="s">
        <v>453</v>
      </c>
      <c r="G353" s="181" t="s">
        <v>454</v>
      </c>
    </row>
    <row r="354" spans="5:7" s="181" customFormat="1" ht="25.5" hidden="1" customHeight="1">
      <c r="E354" s="181" t="s">
        <v>168</v>
      </c>
      <c r="F354" s="181" t="s">
        <v>453</v>
      </c>
      <c r="G354" s="181" t="s">
        <v>455</v>
      </c>
    </row>
    <row r="355" spans="5:7" s="181" customFormat="1" ht="25.5" hidden="1" customHeight="1">
      <c r="E355" s="181" t="s">
        <v>168</v>
      </c>
      <c r="F355" s="181" t="s">
        <v>453</v>
      </c>
      <c r="G355" s="181" t="s">
        <v>456</v>
      </c>
    </row>
    <row r="356" spans="5:7" s="181" customFormat="1" ht="25.5" hidden="1" customHeight="1"/>
    <row r="357" spans="5:7" s="181" customFormat="1" ht="25.5" hidden="1" customHeight="1">
      <c r="E357" s="181" t="s">
        <v>168</v>
      </c>
      <c r="F357" s="181" t="s">
        <v>186</v>
      </c>
      <c r="G357" s="181" t="s">
        <v>457</v>
      </c>
    </row>
    <row r="358" spans="5:7" s="181" customFormat="1" ht="25.5" hidden="1" customHeight="1">
      <c r="E358" s="181" t="s">
        <v>168</v>
      </c>
      <c r="F358" s="181" t="s">
        <v>186</v>
      </c>
      <c r="G358" s="181" t="s">
        <v>458</v>
      </c>
    </row>
    <row r="359" spans="5:7" s="181" customFormat="1" ht="25.5" hidden="1" customHeight="1">
      <c r="E359" s="181" t="s">
        <v>168</v>
      </c>
      <c r="F359" s="181" t="s">
        <v>186</v>
      </c>
      <c r="G359" s="181" t="s">
        <v>459</v>
      </c>
    </row>
    <row r="360" spans="5:7" s="181" customFormat="1" ht="25.5" hidden="1" customHeight="1"/>
    <row r="361" spans="5:7" s="181" customFormat="1" ht="25.5" hidden="1" customHeight="1"/>
    <row r="362" spans="5:7" s="181" customFormat="1" ht="25.5" hidden="1" customHeight="1">
      <c r="E362" s="181" t="s">
        <v>168</v>
      </c>
      <c r="F362" s="181" t="s">
        <v>187</v>
      </c>
      <c r="G362" s="181" t="s">
        <v>460</v>
      </c>
    </row>
    <row r="363" spans="5:7" s="181" customFormat="1" ht="25.5" hidden="1" customHeight="1">
      <c r="E363" s="181" t="s">
        <v>168</v>
      </c>
      <c r="F363" s="181" t="s">
        <v>187</v>
      </c>
      <c r="G363" s="181" t="s">
        <v>461</v>
      </c>
    </row>
    <row r="364" spans="5:7" s="181" customFormat="1" ht="25.5" hidden="1" customHeight="1">
      <c r="E364" s="181" t="s">
        <v>168</v>
      </c>
      <c r="F364" s="181" t="s">
        <v>187</v>
      </c>
      <c r="G364" s="181" t="s">
        <v>462</v>
      </c>
    </row>
    <row r="365" spans="5:7" s="181" customFormat="1" ht="25.5" hidden="1" customHeight="1"/>
    <row r="366" spans="5:7" s="181" customFormat="1" ht="25.5" hidden="1" customHeight="1">
      <c r="E366" s="181" t="s">
        <v>168</v>
      </c>
      <c r="F366" s="181" t="s">
        <v>188</v>
      </c>
      <c r="G366" s="181" t="s">
        <v>463</v>
      </c>
    </row>
    <row r="367" spans="5:7" s="181" customFormat="1" ht="25.5" hidden="1" customHeight="1">
      <c r="E367" s="181" t="s">
        <v>168</v>
      </c>
      <c r="F367" s="181" t="s">
        <v>188</v>
      </c>
      <c r="G367" s="181" t="s">
        <v>464</v>
      </c>
    </row>
    <row r="368" spans="5:7" s="181" customFormat="1" ht="25.5" hidden="1" customHeight="1">
      <c r="E368" s="181" t="s">
        <v>168</v>
      </c>
      <c r="F368" s="181" t="s">
        <v>188</v>
      </c>
      <c r="G368" s="181" t="s">
        <v>465</v>
      </c>
    </row>
    <row r="369" spans="5:7" s="181" customFormat="1" ht="25.5" hidden="1" customHeight="1">
      <c r="E369" s="181" t="s">
        <v>168</v>
      </c>
      <c r="F369" s="181" t="s">
        <v>466</v>
      </c>
      <c r="G369" s="181" t="s">
        <v>467</v>
      </c>
    </row>
    <row r="370" spans="5:7" s="181" customFormat="1" ht="25.5" hidden="1" customHeight="1">
      <c r="E370" s="181" t="s">
        <v>168</v>
      </c>
      <c r="F370" s="181" t="s">
        <v>466</v>
      </c>
      <c r="G370" s="181" t="s">
        <v>468</v>
      </c>
    </row>
    <row r="371" spans="5:7" s="181" customFormat="1" ht="25.5" hidden="1" customHeight="1">
      <c r="E371" s="181" t="s">
        <v>168</v>
      </c>
      <c r="F371" s="181" t="s">
        <v>188</v>
      </c>
      <c r="G371" s="181" t="s">
        <v>469</v>
      </c>
    </row>
    <row r="372" spans="5:7" s="181" customFormat="1" ht="25.5" hidden="1" customHeight="1">
      <c r="E372" s="181" t="s">
        <v>168</v>
      </c>
      <c r="F372" s="181" t="s">
        <v>188</v>
      </c>
      <c r="G372" s="182" t="s">
        <v>470</v>
      </c>
    </row>
    <row r="373" spans="5:7" s="181" customFormat="1" ht="25.5" hidden="1" customHeight="1">
      <c r="E373" s="181" t="s">
        <v>168</v>
      </c>
      <c r="F373" s="181" t="s">
        <v>188</v>
      </c>
      <c r="G373" s="182" t="s">
        <v>471</v>
      </c>
    </row>
    <row r="374" spans="5:7" s="181" customFormat="1" ht="25.5" hidden="1" customHeight="1">
      <c r="E374" s="181" t="s">
        <v>168</v>
      </c>
      <c r="F374" s="181" t="s">
        <v>188</v>
      </c>
      <c r="G374" s="182" t="s">
        <v>472</v>
      </c>
    </row>
    <row r="375" spans="5:7" s="181" customFormat="1" ht="25.5" hidden="1" customHeight="1">
      <c r="E375" s="181" t="s">
        <v>168</v>
      </c>
      <c r="F375" s="181" t="s">
        <v>188</v>
      </c>
      <c r="G375" s="182" t="s">
        <v>473</v>
      </c>
    </row>
    <row r="376" spans="5:7" s="181" customFormat="1" ht="25.5" hidden="1" customHeight="1">
      <c r="E376" s="181" t="s">
        <v>168</v>
      </c>
      <c r="F376" s="181" t="s">
        <v>188</v>
      </c>
      <c r="G376" s="182" t="s">
        <v>474</v>
      </c>
    </row>
    <row r="377" spans="5:7" s="181" customFormat="1" ht="25.5" hidden="1" customHeight="1">
      <c r="E377" s="181" t="s">
        <v>168</v>
      </c>
      <c r="F377" s="181" t="s">
        <v>188</v>
      </c>
      <c r="G377" s="182" t="s">
        <v>475</v>
      </c>
    </row>
    <row r="378" spans="5:7" s="181" customFormat="1" ht="25.5" hidden="1" customHeight="1">
      <c r="E378" s="181" t="s">
        <v>168</v>
      </c>
      <c r="F378" s="181" t="s">
        <v>188</v>
      </c>
      <c r="G378" s="182" t="s">
        <v>476</v>
      </c>
    </row>
    <row r="379" spans="5:7" s="181" customFormat="1" ht="25.5" hidden="1" customHeight="1">
      <c r="E379" s="181" t="s">
        <v>168</v>
      </c>
      <c r="F379" s="181" t="s">
        <v>188</v>
      </c>
      <c r="G379" s="182" t="s">
        <v>477</v>
      </c>
    </row>
    <row r="380" spans="5:7" s="181" customFormat="1" ht="25.5" hidden="1" customHeight="1">
      <c r="E380" s="181" t="s">
        <v>168</v>
      </c>
      <c r="F380" s="181" t="s">
        <v>188</v>
      </c>
      <c r="G380" s="181" t="s">
        <v>478</v>
      </c>
    </row>
    <row r="381" spans="5:7" s="181" customFormat="1" ht="25.5" hidden="1" customHeight="1">
      <c r="E381" s="181" t="s">
        <v>189</v>
      </c>
      <c r="F381" s="181" t="s">
        <v>190</v>
      </c>
      <c r="G381" s="181" t="s">
        <v>479</v>
      </c>
    </row>
    <row r="382" spans="5:7" s="181" customFormat="1" ht="25.5" hidden="1" customHeight="1">
      <c r="E382" s="181" t="s">
        <v>189</v>
      </c>
      <c r="F382" s="181" t="s">
        <v>190</v>
      </c>
      <c r="G382" s="181" t="s">
        <v>480</v>
      </c>
    </row>
    <row r="383" spans="5:7" s="181" customFormat="1" ht="25.5" hidden="1" customHeight="1">
      <c r="E383" s="181" t="s">
        <v>189</v>
      </c>
      <c r="F383" s="181" t="s">
        <v>190</v>
      </c>
      <c r="G383" s="181" t="s">
        <v>481</v>
      </c>
    </row>
    <row r="384" spans="5:7" s="181" customFormat="1" ht="25.5" hidden="1" customHeight="1">
      <c r="E384" s="181" t="s">
        <v>189</v>
      </c>
      <c r="F384" s="181" t="s">
        <v>190</v>
      </c>
      <c r="G384" s="181" t="s">
        <v>482</v>
      </c>
    </row>
    <row r="385" spans="5:7" s="181" customFormat="1" ht="25.5" hidden="1" customHeight="1">
      <c r="E385" s="181" t="s">
        <v>189</v>
      </c>
      <c r="F385" s="181" t="s">
        <v>190</v>
      </c>
      <c r="G385" s="181" t="s">
        <v>483</v>
      </c>
    </row>
    <row r="386" spans="5:7" s="181" customFormat="1" ht="25.5" hidden="1" customHeight="1">
      <c r="E386" s="181" t="s">
        <v>189</v>
      </c>
      <c r="F386" s="181" t="s">
        <v>190</v>
      </c>
      <c r="G386" s="181" t="s">
        <v>484</v>
      </c>
    </row>
    <row r="387" spans="5:7" s="181" customFormat="1" ht="25.5" hidden="1" customHeight="1">
      <c r="E387" s="181" t="s">
        <v>189</v>
      </c>
      <c r="F387" s="181" t="s">
        <v>190</v>
      </c>
      <c r="G387" s="181" t="s">
        <v>485</v>
      </c>
    </row>
    <row r="388" spans="5:7" s="181" customFormat="1" ht="25.5" hidden="1" customHeight="1">
      <c r="E388" s="181" t="s">
        <v>189</v>
      </c>
      <c r="F388" s="181" t="s">
        <v>192</v>
      </c>
      <c r="G388" s="181" t="s">
        <v>486</v>
      </c>
    </row>
    <row r="389" spans="5:7" s="181" customFormat="1" ht="25.5" hidden="1" customHeight="1">
      <c r="E389" s="181" t="s">
        <v>189</v>
      </c>
      <c r="F389" s="181" t="s">
        <v>487</v>
      </c>
      <c r="G389" s="181" t="s">
        <v>488</v>
      </c>
    </row>
    <row r="390" spans="5:7" s="181" customFormat="1" ht="25.5" hidden="1" customHeight="1">
      <c r="E390" s="181" t="s">
        <v>189</v>
      </c>
      <c r="F390" s="181" t="s">
        <v>487</v>
      </c>
      <c r="G390" s="181" t="s">
        <v>489</v>
      </c>
    </row>
    <row r="391" spans="5:7" s="181" customFormat="1" ht="25.5" hidden="1" customHeight="1">
      <c r="E391" s="181" t="s">
        <v>189</v>
      </c>
      <c r="F391" s="181" t="s">
        <v>487</v>
      </c>
      <c r="G391" s="181" t="s">
        <v>490</v>
      </c>
    </row>
    <row r="392" spans="5:7" s="181" customFormat="1" ht="25.5" hidden="1" customHeight="1">
      <c r="E392" s="181" t="s">
        <v>189</v>
      </c>
      <c r="F392" s="181" t="s">
        <v>487</v>
      </c>
      <c r="G392" s="181" t="s">
        <v>491</v>
      </c>
    </row>
    <row r="393" spans="5:7" s="181" customFormat="1" ht="25.5" hidden="1" customHeight="1">
      <c r="E393" s="181" t="s">
        <v>189</v>
      </c>
      <c r="F393" s="181" t="s">
        <v>487</v>
      </c>
      <c r="G393" s="181" t="s">
        <v>492</v>
      </c>
    </row>
    <row r="394" spans="5:7" s="181" customFormat="1" ht="25.5" hidden="1" customHeight="1">
      <c r="E394" s="181" t="s">
        <v>189</v>
      </c>
      <c r="F394" s="181" t="s">
        <v>194</v>
      </c>
      <c r="G394" s="181" t="s">
        <v>493</v>
      </c>
    </row>
    <row r="395" spans="5:7" s="181" customFormat="1" ht="25.5" hidden="1" customHeight="1">
      <c r="E395" s="181" t="s">
        <v>189</v>
      </c>
      <c r="F395" s="181" t="s">
        <v>494</v>
      </c>
      <c r="G395" s="181" t="s">
        <v>495</v>
      </c>
    </row>
    <row r="396" spans="5:7" s="181" customFormat="1" ht="25.5" hidden="1" customHeight="1">
      <c r="E396" s="181" t="s">
        <v>189</v>
      </c>
      <c r="F396" s="181" t="s">
        <v>496</v>
      </c>
      <c r="G396" s="181" t="s">
        <v>497</v>
      </c>
    </row>
    <row r="397" spans="5:7" s="181" customFormat="1" ht="25.5" hidden="1" customHeight="1">
      <c r="E397" s="181" t="s">
        <v>189</v>
      </c>
      <c r="F397" s="181" t="s">
        <v>496</v>
      </c>
      <c r="G397" s="181" t="s">
        <v>498</v>
      </c>
    </row>
    <row r="398" spans="5:7" s="181" customFormat="1" ht="25.5" hidden="1" customHeight="1">
      <c r="E398" s="181" t="s">
        <v>189</v>
      </c>
      <c r="F398" s="181" t="s">
        <v>496</v>
      </c>
      <c r="G398" s="181" t="s">
        <v>499</v>
      </c>
    </row>
    <row r="399" spans="5:7" s="181" customFormat="1" ht="25.5" hidden="1" customHeight="1">
      <c r="E399" s="181" t="s">
        <v>189</v>
      </c>
      <c r="F399" s="181" t="s">
        <v>496</v>
      </c>
      <c r="G399" s="181" t="s">
        <v>500</v>
      </c>
    </row>
    <row r="400" spans="5:7" s="181" customFormat="1" ht="25.5" hidden="1" customHeight="1">
      <c r="E400" s="181" t="s">
        <v>189</v>
      </c>
      <c r="F400" s="181" t="s">
        <v>496</v>
      </c>
      <c r="G400" s="181" t="s">
        <v>501</v>
      </c>
    </row>
    <row r="401" spans="5:7" s="181" customFormat="1" ht="25.5" hidden="1" customHeight="1">
      <c r="E401" s="181" t="s">
        <v>189</v>
      </c>
      <c r="F401" s="181" t="s">
        <v>496</v>
      </c>
      <c r="G401" s="181" t="s">
        <v>502</v>
      </c>
    </row>
    <row r="402" spans="5:7" s="181" customFormat="1" ht="25.5" hidden="1" customHeight="1">
      <c r="E402" s="181" t="s">
        <v>189</v>
      </c>
      <c r="F402" s="181" t="s">
        <v>196</v>
      </c>
      <c r="G402" s="181" t="s">
        <v>503</v>
      </c>
    </row>
    <row r="403" spans="5:7" s="181" customFormat="1" ht="25.5" hidden="1" customHeight="1">
      <c r="E403" s="181" t="s">
        <v>189</v>
      </c>
      <c r="F403" s="181" t="s">
        <v>196</v>
      </c>
      <c r="G403" s="181" t="s">
        <v>504</v>
      </c>
    </row>
    <row r="404" spans="5:7" s="181" customFormat="1" ht="25.5" hidden="1" customHeight="1">
      <c r="E404" s="181" t="s">
        <v>189</v>
      </c>
      <c r="F404" s="181" t="s">
        <v>196</v>
      </c>
      <c r="G404" s="181" t="s">
        <v>505</v>
      </c>
    </row>
    <row r="405" spans="5:7" s="181" customFormat="1" ht="25.5" hidden="1" customHeight="1">
      <c r="E405" s="181" t="s">
        <v>189</v>
      </c>
      <c r="F405" s="181" t="s">
        <v>196</v>
      </c>
      <c r="G405" s="181" t="s">
        <v>506</v>
      </c>
    </row>
    <row r="406" spans="5:7" s="181" customFormat="1" ht="25.5" hidden="1" customHeight="1">
      <c r="E406" s="181" t="s">
        <v>189</v>
      </c>
      <c r="F406" s="181" t="s">
        <v>196</v>
      </c>
      <c r="G406" s="181" t="s">
        <v>507</v>
      </c>
    </row>
    <row r="407" spans="5:7" s="181" customFormat="1" ht="25.5" hidden="1" customHeight="1">
      <c r="E407" s="181" t="s">
        <v>189</v>
      </c>
      <c r="F407" s="181" t="s">
        <v>196</v>
      </c>
      <c r="G407" s="181" t="s">
        <v>508</v>
      </c>
    </row>
    <row r="408" spans="5:7" s="181" customFormat="1" ht="25.5" hidden="1" customHeight="1">
      <c r="E408" s="181" t="s">
        <v>189</v>
      </c>
      <c r="F408" s="181" t="s">
        <v>196</v>
      </c>
      <c r="G408" s="181" t="s">
        <v>509</v>
      </c>
    </row>
    <row r="409" spans="5:7" s="181" customFormat="1" ht="25.5" hidden="1" customHeight="1">
      <c r="E409" s="181" t="s">
        <v>189</v>
      </c>
      <c r="F409" s="181" t="s">
        <v>189</v>
      </c>
      <c r="G409" s="181" t="s">
        <v>510</v>
      </c>
    </row>
    <row r="410" spans="5:7" s="181" customFormat="1" ht="25.5" hidden="1" customHeight="1">
      <c r="E410" s="181" t="s">
        <v>189</v>
      </c>
      <c r="F410" s="181" t="s">
        <v>189</v>
      </c>
      <c r="G410" s="181" t="s">
        <v>511</v>
      </c>
    </row>
    <row r="411" spans="5:7" s="181" customFormat="1" ht="25.5" hidden="1" customHeight="1">
      <c r="E411" s="181" t="s">
        <v>189</v>
      </c>
      <c r="F411" s="181" t="s">
        <v>189</v>
      </c>
      <c r="G411" s="181" t="s">
        <v>512</v>
      </c>
    </row>
    <row r="412" spans="5:7" s="181" customFormat="1" ht="25.5" hidden="1" customHeight="1">
      <c r="E412" s="181" t="s">
        <v>189</v>
      </c>
      <c r="F412" s="181" t="s">
        <v>513</v>
      </c>
      <c r="G412" s="181" t="s">
        <v>514</v>
      </c>
    </row>
    <row r="413" spans="5:7" s="181" customFormat="1" ht="25.5" hidden="1" customHeight="1">
      <c r="E413" s="181" t="s">
        <v>189</v>
      </c>
      <c r="F413" s="181" t="s">
        <v>189</v>
      </c>
      <c r="G413" s="181" t="s">
        <v>515</v>
      </c>
    </row>
    <row r="414" spans="5:7" s="181" customFormat="1" ht="25.5" hidden="1" customHeight="1">
      <c r="E414" s="181" t="s">
        <v>189</v>
      </c>
      <c r="F414" s="181" t="s">
        <v>513</v>
      </c>
      <c r="G414" s="181" t="s">
        <v>516</v>
      </c>
    </row>
    <row r="415" spans="5:7" s="181" customFormat="1" ht="25.5" hidden="1" customHeight="1">
      <c r="E415" s="181" t="s">
        <v>189</v>
      </c>
      <c r="F415" s="181" t="s">
        <v>513</v>
      </c>
      <c r="G415" s="181" t="s">
        <v>517</v>
      </c>
    </row>
    <row r="416" spans="5:7" s="181" customFormat="1" ht="25.5" hidden="1" customHeight="1">
      <c r="E416" s="181" t="s">
        <v>189</v>
      </c>
      <c r="F416" s="181" t="s">
        <v>513</v>
      </c>
      <c r="G416" s="181" t="s">
        <v>518</v>
      </c>
    </row>
    <row r="417" spans="5:7" s="181" customFormat="1" ht="25.5" hidden="1" customHeight="1">
      <c r="E417" s="181" t="s">
        <v>189</v>
      </c>
      <c r="F417" s="181" t="s">
        <v>513</v>
      </c>
      <c r="G417" s="181" t="s">
        <v>519</v>
      </c>
    </row>
    <row r="418" spans="5:7" s="181" customFormat="1" ht="25.5" hidden="1" customHeight="1">
      <c r="E418" s="181" t="s">
        <v>189</v>
      </c>
      <c r="F418" s="181" t="s">
        <v>199</v>
      </c>
      <c r="G418" s="181" t="s">
        <v>520</v>
      </c>
    </row>
    <row r="419" spans="5:7" s="181" customFormat="1" ht="25.5" hidden="1" customHeight="1">
      <c r="E419" s="181" t="s">
        <v>189</v>
      </c>
      <c r="F419" s="181" t="s">
        <v>521</v>
      </c>
      <c r="G419" s="181" t="s">
        <v>522</v>
      </c>
    </row>
    <row r="420" spans="5:7" s="181" customFormat="1" ht="25.5" hidden="1" customHeight="1">
      <c r="E420" s="181" t="s">
        <v>189</v>
      </c>
      <c r="F420" s="181" t="s">
        <v>521</v>
      </c>
      <c r="G420" s="181" t="s">
        <v>523</v>
      </c>
    </row>
    <row r="421" spans="5:7" s="181" customFormat="1" ht="25.5" hidden="1" customHeight="1">
      <c r="E421" s="181" t="s">
        <v>189</v>
      </c>
      <c r="F421" s="181" t="s">
        <v>199</v>
      </c>
      <c r="G421" s="181" t="s">
        <v>524</v>
      </c>
    </row>
    <row r="422" spans="5:7" s="181" customFormat="1" ht="25.5" hidden="1" customHeight="1">
      <c r="E422" s="181" t="s">
        <v>189</v>
      </c>
      <c r="F422" s="181" t="s">
        <v>199</v>
      </c>
      <c r="G422" s="181" t="s">
        <v>525</v>
      </c>
    </row>
    <row r="423" spans="5:7" s="181" customFormat="1" ht="25.5" hidden="1" customHeight="1">
      <c r="E423" s="181" t="s">
        <v>189</v>
      </c>
      <c r="F423" s="181" t="s">
        <v>199</v>
      </c>
      <c r="G423" s="181" t="s">
        <v>526</v>
      </c>
    </row>
    <row r="424" spans="5:7" s="181" customFormat="1" ht="25.5" hidden="1" customHeight="1">
      <c r="E424" s="181" t="s">
        <v>189</v>
      </c>
      <c r="F424" s="181" t="s">
        <v>202</v>
      </c>
      <c r="G424" s="181" t="s">
        <v>527</v>
      </c>
    </row>
    <row r="425" spans="5:7" s="181" customFormat="1" ht="25.5" hidden="1" customHeight="1">
      <c r="E425" s="181" t="s">
        <v>189</v>
      </c>
      <c r="F425" s="181" t="s">
        <v>202</v>
      </c>
      <c r="G425" s="181" t="s">
        <v>528</v>
      </c>
    </row>
    <row r="426" spans="5:7" s="181" customFormat="1" ht="25.5" hidden="1" customHeight="1">
      <c r="E426" s="181" t="s">
        <v>189</v>
      </c>
      <c r="F426" s="181" t="s">
        <v>202</v>
      </c>
      <c r="G426" s="181" t="s">
        <v>529</v>
      </c>
    </row>
    <row r="427" spans="5:7" s="181" customFormat="1" ht="25.5" hidden="1" customHeight="1"/>
    <row r="428" spans="5:7" s="181" customFormat="1" ht="25.5" hidden="1" customHeight="1"/>
    <row r="429" spans="5:7" s="181" customFormat="1" ht="25.5" hidden="1" customHeight="1">
      <c r="E429" s="181" t="s">
        <v>189</v>
      </c>
      <c r="F429" s="181" t="s">
        <v>204</v>
      </c>
      <c r="G429" s="181" t="s">
        <v>530</v>
      </c>
    </row>
    <row r="430" spans="5:7" s="181" customFormat="1" ht="25.5" hidden="1" customHeight="1">
      <c r="E430" s="181" t="s">
        <v>189</v>
      </c>
      <c r="F430" s="181" t="s">
        <v>204</v>
      </c>
      <c r="G430" s="181" t="s">
        <v>531</v>
      </c>
    </row>
    <row r="431" spans="5:7" s="181" customFormat="1" ht="25.5" hidden="1" customHeight="1">
      <c r="E431" s="181" t="s">
        <v>189</v>
      </c>
      <c r="F431" s="181" t="s">
        <v>204</v>
      </c>
      <c r="G431" s="181" t="s">
        <v>532</v>
      </c>
    </row>
    <row r="432" spans="5:7" s="181" customFormat="1" ht="25.5" hidden="1" customHeight="1">
      <c r="E432" s="181" t="s">
        <v>189</v>
      </c>
      <c r="F432" s="181" t="s">
        <v>204</v>
      </c>
      <c r="G432" s="181" t="s">
        <v>533</v>
      </c>
    </row>
    <row r="433" spans="5:7" s="181" customFormat="1" ht="25.5" hidden="1" customHeight="1"/>
    <row r="434" spans="5:7" s="181" customFormat="1" ht="25.5" hidden="1" customHeight="1">
      <c r="E434" s="181" t="s">
        <v>189</v>
      </c>
      <c r="F434" s="181" t="s">
        <v>534</v>
      </c>
      <c r="G434" s="181" t="s">
        <v>535</v>
      </c>
    </row>
    <row r="435" spans="5:7" s="181" customFormat="1" ht="25.5" hidden="1" customHeight="1">
      <c r="E435" s="181" t="s">
        <v>189</v>
      </c>
      <c r="F435" s="181" t="s">
        <v>206</v>
      </c>
      <c r="G435" s="182" t="s">
        <v>536</v>
      </c>
    </row>
    <row r="436" spans="5:7" s="181" customFormat="1" ht="25.5" hidden="1" customHeight="1">
      <c r="E436" s="181" t="s">
        <v>189</v>
      </c>
      <c r="F436" s="181" t="s">
        <v>206</v>
      </c>
      <c r="G436" s="181" t="s">
        <v>537</v>
      </c>
    </row>
    <row r="437" spans="5:7" s="181" customFormat="1" ht="25.5" hidden="1" customHeight="1"/>
    <row r="438" spans="5:7" s="181" customFormat="1" ht="25.5" hidden="1" customHeight="1">
      <c r="E438" s="181" t="s">
        <v>189</v>
      </c>
      <c r="F438" s="181" t="s">
        <v>208</v>
      </c>
      <c r="G438" s="181" t="s">
        <v>538</v>
      </c>
    </row>
    <row r="439" spans="5:7" s="181" customFormat="1" ht="25.5" hidden="1" customHeight="1">
      <c r="E439" s="181" t="s">
        <v>189</v>
      </c>
      <c r="F439" s="181" t="s">
        <v>539</v>
      </c>
      <c r="G439" s="181" t="s">
        <v>540</v>
      </c>
    </row>
    <row r="440" spans="5:7" s="181" customFormat="1" ht="25.5" hidden="1" customHeight="1">
      <c r="E440" s="181" t="s">
        <v>189</v>
      </c>
      <c r="F440" s="181" t="s">
        <v>208</v>
      </c>
      <c r="G440" s="181" t="s">
        <v>541</v>
      </c>
    </row>
    <row r="441" spans="5:7" s="181" customFormat="1" ht="25.5" hidden="1" customHeight="1">
      <c r="E441" s="181" t="s">
        <v>189</v>
      </c>
      <c r="F441" s="181" t="s">
        <v>208</v>
      </c>
      <c r="G441" s="181" t="s">
        <v>542</v>
      </c>
    </row>
    <row r="442" spans="5:7" s="181" customFormat="1" ht="25.5" hidden="1" customHeight="1">
      <c r="E442" s="181" t="s">
        <v>189</v>
      </c>
      <c r="F442" s="181" t="s">
        <v>208</v>
      </c>
      <c r="G442" s="181" t="s">
        <v>543</v>
      </c>
    </row>
    <row r="443" spans="5:7" s="181" customFormat="1" ht="25.5" hidden="1" customHeight="1">
      <c r="E443" s="181" t="s">
        <v>189</v>
      </c>
      <c r="F443" s="181" t="s">
        <v>208</v>
      </c>
      <c r="G443" s="181" t="s">
        <v>544</v>
      </c>
    </row>
    <row r="444" spans="5:7" s="181" customFormat="1" ht="25.5" hidden="1" customHeight="1">
      <c r="E444" s="181" t="s">
        <v>189</v>
      </c>
      <c r="F444" s="181" t="s">
        <v>208</v>
      </c>
      <c r="G444" s="181" t="s">
        <v>545</v>
      </c>
    </row>
    <row r="445" spans="5:7" s="181" customFormat="1" ht="25.5" hidden="1" customHeight="1">
      <c r="E445" s="181" t="s">
        <v>189</v>
      </c>
      <c r="F445" s="181" t="s">
        <v>208</v>
      </c>
      <c r="G445" s="181" t="s">
        <v>546</v>
      </c>
    </row>
    <row r="446" spans="5:7" s="181" customFormat="1" ht="25.5" hidden="1" customHeight="1">
      <c r="E446" s="181" t="s">
        <v>210</v>
      </c>
      <c r="F446" s="181" t="s">
        <v>211</v>
      </c>
      <c r="G446" s="181" t="s">
        <v>547</v>
      </c>
    </row>
    <row r="447" spans="5:7" s="181" customFormat="1" ht="25.5" hidden="1" customHeight="1">
      <c r="E447" s="181" t="s">
        <v>210</v>
      </c>
      <c r="F447" s="181" t="s">
        <v>211</v>
      </c>
      <c r="G447" s="181" t="s">
        <v>548</v>
      </c>
    </row>
    <row r="448" spans="5:7" s="181" customFormat="1" ht="25.5" hidden="1" customHeight="1">
      <c r="E448" s="181" t="s">
        <v>210</v>
      </c>
      <c r="F448" s="181" t="s">
        <v>211</v>
      </c>
      <c r="G448" s="181" t="s">
        <v>549</v>
      </c>
    </row>
    <row r="449" spans="5:7" s="181" customFormat="1" ht="25.5" hidden="1" customHeight="1">
      <c r="E449" s="181" t="s">
        <v>210</v>
      </c>
      <c r="F449" s="181" t="s">
        <v>211</v>
      </c>
      <c r="G449" s="181" t="s">
        <v>550</v>
      </c>
    </row>
    <row r="450" spans="5:7" s="181" customFormat="1" ht="25.5" hidden="1" customHeight="1">
      <c r="E450" s="181" t="s">
        <v>210</v>
      </c>
      <c r="F450" s="181" t="s">
        <v>211</v>
      </c>
      <c r="G450" s="181" t="s">
        <v>551</v>
      </c>
    </row>
    <row r="451" spans="5:7" s="181" customFormat="1" ht="25.5" hidden="1" customHeight="1">
      <c r="E451" s="181" t="s">
        <v>210</v>
      </c>
      <c r="F451" s="181" t="s">
        <v>211</v>
      </c>
      <c r="G451" s="181" t="s">
        <v>552</v>
      </c>
    </row>
    <row r="452" spans="5:7" s="181" customFormat="1" ht="25.5" hidden="1" customHeight="1">
      <c r="E452" s="181" t="s">
        <v>210</v>
      </c>
      <c r="F452" s="181" t="s">
        <v>211</v>
      </c>
      <c r="G452" s="181" t="s">
        <v>553</v>
      </c>
    </row>
    <row r="453" spans="5:7" s="181" customFormat="1" ht="25.5" hidden="1" customHeight="1">
      <c r="E453" s="181" t="s">
        <v>210</v>
      </c>
      <c r="F453" s="181" t="s">
        <v>211</v>
      </c>
      <c r="G453" s="181" t="s">
        <v>554</v>
      </c>
    </row>
    <row r="454" spans="5:7" s="181" customFormat="1" ht="25.5" hidden="1" customHeight="1"/>
    <row r="455" spans="5:7" s="181" customFormat="1" ht="25.5" hidden="1" customHeight="1">
      <c r="E455" s="181" t="s">
        <v>555</v>
      </c>
      <c r="F455" s="181" t="s">
        <v>555</v>
      </c>
      <c r="G455" s="181" t="s">
        <v>556</v>
      </c>
    </row>
    <row r="456" spans="5:7" s="181" customFormat="1" ht="25.5" hidden="1" customHeight="1">
      <c r="E456" s="181" t="s">
        <v>210</v>
      </c>
      <c r="F456" s="181" t="s">
        <v>210</v>
      </c>
      <c r="G456" s="181" t="s">
        <v>557</v>
      </c>
    </row>
    <row r="457" spans="5:7" s="181" customFormat="1" ht="25.5" hidden="1" customHeight="1">
      <c r="E457" s="181" t="s">
        <v>210</v>
      </c>
      <c r="F457" s="181" t="s">
        <v>558</v>
      </c>
      <c r="G457" s="181" t="s">
        <v>559</v>
      </c>
    </row>
    <row r="458" spans="5:7" s="181" customFormat="1" ht="25.5" hidden="1" customHeight="1">
      <c r="E458" s="181" t="s">
        <v>210</v>
      </c>
      <c r="F458" s="181" t="s">
        <v>210</v>
      </c>
      <c r="G458" s="181" t="s">
        <v>560</v>
      </c>
    </row>
    <row r="459" spans="5:7" s="181" customFormat="1" ht="25.5" hidden="1" customHeight="1">
      <c r="E459" s="181" t="s">
        <v>210</v>
      </c>
      <c r="F459" s="181" t="s">
        <v>558</v>
      </c>
      <c r="G459" s="181" t="s">
        <v>561</v>
      </c>
    </row>
    <row r="460" spans="5:7" s="181" customFormat="1" ht="25.5" hidden="1" customHeight="1">
      <c r="E460" s="181" t="s">
        <v>210</v>
      </c>
      <c r="F460" s="181" t="s">
        <v>558</v>
      </c>
      <c r="G460" s="181" t="s">
        <v>562</v>
      </c>
    </row>
    <row r="461" spans="5:7" s="181" customFormat="1" ht="25.5" hidden="1" customHeight="1">
      <c r="E461" s="181" t="s">
        <v>210</v>
      </c>
      <c r="F461" s="181" t="s">
        <v>210</v>
      </c>
      <c r="G461" s="181" t="s">
        <v>563</v>
      </c>
    </row>
    <row r="462" spans="5:7" s="181" customFormat="1" ht="25.5" hidden="1" customHeight="1">
      <c r="E462" s="181" t="s">
        <v>210</v>
      </c>
      <c r="F462" s="181" t="s">
        <v>210</v>
      </c>
      <c r="G462" s="181" t="s">
        <v>564</v>
      </c>
    </row>
    <row r="463" spans="5:7" s="181" customFormat="1" ht="25.5" hidden="1" customHeight="1">
      <c r="E463" s="181" t="s">
        <v>210</v>
      </c>
      <c r="F463" s="181" t="s">
        <v>210</v>
      </c>
      <c r="G463" s="181" t="s">
        <v>565</v>
      </c>
    </row>
    <row r="464" spans="5:7" s="181" customFormat="1" ht="25.5" hidden="1" customHeight="1">
      <c r="E464" s="181" t="s">
        <v>210</v>
      </c>
      <c r="F464" s="181" t="s">
        <v>210</v>
      </c>
      <c r="G464" s="181" t="s">
        <v>566</v>
      </c>
    </row>
    <row r="465" spans="5:7" s="181" customFormat="1" ht="25.5" hidden="1" customHeight="1">
      <c r="E465" s="181" t="s">
        <v>210</v>
      </c>
      <c r="F465" s="181" t="s">
        <v>210</v>
      </c>
      <c r="G465" s="181" t="s">
        <v>567</v>
      </c>
    </row>
    <row r="466" spans="5:7" s="181" customFormat="1" ht="25.5" hidden="1" customHeight="1">
      <c r="E466" s="181" t="s">
        <v>210</v>
      </c>
      <c r="F466" s="181" t="s">
        <v>210</v>
      </c>
      <c r="G466" s="181" t="s">
        <v>568</v>
      </c>
    </row>
    <row r="467" spans="5:7" s="181" customFormat="1" ht="25.5" hidden="1" customHeight="1">
      <c r="E467" s="181" t="s">
        <v>210</v>
      </c>
      <c r="F467" s="181" t="s">
        <v>210</v>
      </c>
      <c r="G467" s="181" t="s">
        <v>569</v>
      </c>
    </row>
    <row r="468" spans="5:7" s="181" customFormat="1" ht="25.5" hidden="1" customHeight="1">
      <c r="E468" s="181" t="s">
        <v>210</v>
      </c>
      <c r="F468" s="181" t="s">
        <v>210</v>
      </c>
      <c r="G468" s="181" t="s">
        <v>570</v>
      </c>
    </row>
    <row r="469" spans="5:7" s="181" customFormat="1" ht="25.5" hidden="1" customHeight="1"/>
    <row r="470" spans="5:7" s="181" customFormat="1" ht="25.5" hidden="1" customHeight="1"/>
    <row r="471" spans="5:7" s="181" customFormat="1" ht="25.5" hidden="1" customHeight="1"/>
    <row r="472" spans="5:7" s="181" customFormat="1" ht="25.5" hidden="1" customHeight="1">
      <c r="E472" s="181" t="s">
        <v>210</v>
      </c>
      <c r="F472" s="181" t="s">
        <v>571</v>
      </c>
      <c r="G472" s="181" t="s">
        <v>572</v>
      </c>
    </row>
    <row r="473" spans="5:7" s="181" customFormat="1" ht="25.5" hidden="1" customHeight="1">
      <c r="E473" s="181" t="s">
        <v>210</v>
      </c>
      <c r="F473" s="181" t="s">
        <v>573</v>
      </c>
      <c r="G473" s="181" t="s">
        <v>574</v>
      </c>
    </row>
    <row r="474" spans="5:7" s="181" customFormat="1" ht="25.5" hidden="1" customHeight="1">
      <c r="E474" s="181" t="s">
        <v>210</v>
      </c>
      <c r="F474" s="181" t="s">
        <v>573</v>
      </c>
      <c r="G474" s="181" t="s">
        <v>575</v>
      </c>
    </row>
    <row r="475" spans="5:7" s="181" customFormat="1" ht="25.5" hidden="1" customHeight="1">
      <c r="E475" s="181" t="s">
        <v>210</v>
      </c>
      <c r="F475" s="181" t="s">
        <v>573</v>
      </c>
      <c r="G475" s="181" t="s">
        <v>576</v>
      </c>
    </row>
    <row r="476" spans="5:7" s="181" customFormat="1" ht="25.5" hidden="1" customHeight="1">
      <c r="E476" s="181" t="s">
        <v>210</v>
      </c>
      <c r="F476" s="181" t="s">
        <v>573</v>
      </c>
      <c r="G476" s="181" t="s">
        <v>577</v>
      </c>
    </row>
    <row r="477" spans="5:7" s="181" customFormat="1" ht="25.5" hidden="1" customHeight="1">
      <c r="E477" s="181" t="s">
        <v>210</v>
      </c>
      <c r="F477" s="181" t="s">
        <v>573</v>
      </c>
      <c r="G477" s="181" t="s">
        <v>578</v>
      </c>
    </row>
    <row r="478" spans="5:7" s="181" customFormat="1" ht="25.5" hidden="1" customHeight="1">
      <c r="E478" s="181" t="s">
        <v>210</v>
      </c>
      <c r="F478" s="181" t="s">
        <v>573</v>
      </c>
      <c r="G478" s="181" t="s">
        <v>579</v>
      </c>
    </row>
    <row r="479" spans="5:7" s="181" customFormat="1" ht="25.5" hidden="1" customHeight="1">
      <c r="E479" s="181" t="s">
        <v>210</v>
      </c>
      <c r="F479" s="181" t="s">
        <v>573</v>
      </c>
      <c r="G479" s="181" t="s">
        <v>580</v>
      </c>
    </row>
    <row r="480" spans="5:7" s="181" customFormat="1" ht="25.5" hidden="1" customHeight="1">
      <c r="E480" s="181" t="s">
        <v>210</v>
      </c>
      <c r="F480" s="181" t="s">
        <v>573</v>
      </c>
      <c r="G480" s="181" t="s">
        <v>581</v>
      </c>
    </row>
    <row r="481" spans="5:7" s="181" customFormat="1" ht="25.5" hidden="1" customHeight="1">
      <c r="E481" s="181" t="s">
        <v>210</v>
      </c>
      <c r="F481" s="181" t="s">
        <v>573</v>
      </c>
      <c r="G481" s="181" t="s">
        <v>582</v>
      </c>
    </row>
    <row r="482" spans="5:7" s="181" customFormat="1" ht="25.5" hidden="1" customHeight="1">
      <c r="E482" s="181" t="s">
        <v>210</v>
      </c>
      <c r="F482" s="181" t="s">
        <v>573</v>
      </c>
      <c r="G482" s="181" t="s">
        <v>583</v>
      </c>
    </row>
    <row r="483" spans="5:7" s="181" customFormat="1" ht="25.5" hidden="1" customHeight="1">
      <c r="E483" s="181" t="s">
        <v>210</v>
      </c>
      <c r="F483" s="181" t="s">
        <v>216</v>
      </c>
      <c r="G483" s="181" t="s">
        <v>584</v>
      </c>
    </row>
    <row r="484" spans="5:7" s="181" customFormat="1" ht="25.5" hidden="1" customHeight="1">
      <c r="E484" s="181" t="s">
        <v>210</v>
      </c>
      <c r="F484" s="181" t="s">
        <v>216</v>
      </c>
      <c r="G484" s="181" t="s">
        <v>585</v>
      </c>
    </row>
    <row r="485" spans="5:7" s="181" customFormat="1" ht="25.5" hidden="1" customHeight="1">
      <c r="E485" s="181" t="s">
        <v>210</v>
      </c>
      <c r="F485" s="181" t="s">
        <v>216</v>
      </c>
      <c r="G485" s="181" t="s">
        <v>586</v>
      </c>
    </row>
    <row r="486" spans="5:7" s="181" customFormat="1" ht="25.5" hidden="1" customHeight="1">
      <c r="E486" s="181" t="s">
        <v>210</v>
      </c>
      <c r="F486" s="181" t="s">
        <v>216</v>
      </c>
      <c r="G486" s="181" t="s">
        <v>587</v>
      </c>
    </row>
    <row r="487" spans="5:7" s="181" customFormat="1" ht="25.5" hidden="1" customHeight="1">
      <c r="E487" s="181" t="s">
        <v>210</v>
      </c>
      <c r="F487" s="181" t="s">
        <v>216</v>
      </c>
      <c r="G487" s="181" t="s">
        <v>588</v>
      </c>
    </row>
    <row r="488" spans="5:7" s="181" customFormat="1" ht="25.5" hidden="1" customHeight="1">
      <c r="E488" s="181" t="s">
        <v>210</v>
      </c>
      <c r="F488" s="181" t="s">
        <v>216</v>
      </c>
      <c r="G488" s="181" t="s">
        <v>589</v>
      </c>
    </row>
    <row r="489" spans="5:7" s="181" customFormat="1" ht="25.5" hidden="1" customHeight="1">
      <c r="E489" s="181" t="s">
        <v>218</v>
      </c>
      <c r="F489" s="181" t="s">
        <v>219</v>
      </c>
      <c r="G489" s="181" t="s">
        <v>590</v>
      </c>
    </row>
    <row r="490" spans="5:7" s="181" customFormat="1" ht="25.5" hidden="1" customHeight="1">
      <c r="E490" s="181" t="s">
        <v>218</v>
      </c>
      <c r="F490" s="181" t="s">
        <v>591</v>
      </c>
      <c r="G490" s="181" t="s">
        <v>592</v>
      </c>
    </row>
    <row r="491" spans="5:7" s="181" customFormat="1" ht="25.5" hidden="1" customHeight="1">
      <c r="E491" s="181" t="s">
        <v>218</v>
      </c>
      <c r="F491" s="181" t="s">
        <v>593</v>
      </c>
      <c r="G491" s="181" t="s">
        <v>594</v>
      </c>
    </row>
    <row r="492" spans="5:7" s="181" customFormat="1" ht="25.5" hidden="1" customHeight="1">
      <c r="E492" s="181" t="s">
        <v>218</v>
      </c>
      <c r="F492" s="181" t="s">
        <v>593</v>
      </c>
      <c r="G492" s="181" t="s">
        <v>595</v>
      </c>
    </row>
    <row r="493" spans="5:7" s="181" customFormat="1" ht="25.5" hidden="1" customHeight="1">
      <c r="E493" s="181" t="s">
        <v>218</v>
      </c>
      <c r="F493" s="181" t="s">
        <v>219</v>
      </c>
      <c r="G493" s="181" t="s">
        <v>596</v>
      </c>
    </row>
    <row r="494" spans="5:7" s="181" customFormat="1" ht="25.5" hidden="1" customHeight="1">
      <c r="E494" s="181" t="s">
        <v>218</v>
      </c>
      <c r="F494" s="181" t="s">
        <v>219</v>
      </c>
      <c r="G494" s="181" t="s">
        <v>597</v>
      </c>
    </row>
    <row r="495" spans="5:7" s="181" customFormat="1" ht="25.5" hidden="1" customHeight="1">
      <c r="E495" s="181" t="s">
        <v>218</v>
      </c>
      <c r="F495" s="181" t="s">
        <v>219</v>
      </c>
      <c r="G495" s="181" t="s">
        <v>598</v>
      </c>
    </row>
    <row r="496" spans="5:7" s="181" customFormat="1" ht="25.5" hidden="1" customHeight="1">
      <c r="E496" s="181" t="s">
        <v>218</v>
      </c>
      <c r="F496" s="181" t="s">
        <v>219</v>
      </c>
      <c r="G496" s="181" t="s">
        <v>599</v>
      </c>
    </row>
    <row r="497" spans="5:7" s="181" customFormat="1" ht="25.5" hidden="1" customHeight="1">
      <c r="E497" s="181" t="s">
        <v>218</v>
      </c>
      <c r="F497" s="181" t="s">
        <v>219</v>
      </c>
      <c r="G497" s="181" t="s">
        <v>600</v>
      </c>
    </row>
    <row r="498" spans="5:7" s="181" customFormat="1" ht="25.5" hidden="1" customHeight="1">
      <c r="E498" s="181" t="s">
        <v>218</v>
      </c>
      <c r="F498" s="181" t="s">
        <v>219</v>
      </c>
      <c r="G498" s="181" t="s">
        <v>601</v>
      </c>
    </row>
    <row r="499" spans="5:7" s="181" customFormat="1" ht="25.5" hidden="1" customHeight="1">
      <c r="E499" s="181" t="s">
        <v>218</v>
      </c>
      <c r="F499" s="181" t="s">
        <v>219</v>
      </c>
      <c r="G499" s="181" t="s">
        <v>602</v>
      </c>
    </row>
    <row r="500" spans="5:7" s="181" customFormat="1" ht="25.5" hidden="1" customHeight="1">
      <c r="E500" s="181" t="s">
        <v>218</v>
      </c>
      <c r="F500" s="181" t="s">
        <v>219</v>
      </c>
      <c r="G500" s="181" t="s">
        <v>603</v>
      </c>
    </row>
    <row r="501" spans="5:7" s="181" customFormat="1" ht="25.5" hidden="1" customHeight="1">
      <c r="E501" s="181" t="s">
        <v>218</v>
      </c>
      <c r="F501" s="181" t="s">
        <v>219</v>
      </c>
      <c r="G501" s="181" t="s">
        <v>604</v>
      </c>
    </row>
    <row r="502" spans="5:7" s="181" customFormat="1" ht="25.5" hidden="1" customHeight="1">
      <c r="E502" s="181" t="s">
        <v>218</v>
      </c>
      <c r="F502" s="181" t="s">
        <v>219</v>
      </c>
      <c r="G502" s="181" t="s">
        <v>605</v>
      </c>
    </row>
    <row r="503" spans="5:7" s="181" customFormat="1" ht="25.5" hidden="1" customHeight="1">
      <c r="E503" s="181" t="s">
        <v>218</v>
      </c>
      <c r="F503" s="181" t="s">
        <v>219</v>
      </c>
      <c r="G503" s="181" t="s">
        <v>606</v>
      </c>
    </row>
    <row r="504" spans="5:7" s="181" customFormat="1" ht="25.5" hidden="1" customHeight="1">
      <c r="E504" s="181" t="s">
        <v>218</v>
      </c>
      <c r="F504" s="181" t="s">
        <v>226</v>
      </c>
      <c r="G504" s="181" t="s">
        <v>607</v>
      </c>
    </row>
    <row r="505" spans="5:7" s="181" customFormat="1" ht="25.5" hidden="1" customHeight="1">
      <c r="E505" s="181" t="s">
        <v>218</v>
      </c>
      <c r="F505" s="181" t="s">
        <v>226</v>
      </c>
      <c r="G505" s="181" t="s">
        <v>608</v>
      </c>
    </row>
    <row r="506" spans="5:7" s="181" customFormat="1" ht="25.5" hidden="1" customHeight="1">
      <c r="E506" s="181" t="s">
        <v>218</v>
      </c>
      <c r="F506" s="181" t="s">
        <v>226</v>
      </c>
      <c r="G506" s="181" t="s">
        <v>609</v>
      </c>
    </row>
    <row r="507" spans="5:7" s="181" customFormat="1" ht="25.5" hidden="1" customHeight="1">
      <c r="E507" s="181" t="s">
        <v>218</v>
      </c>
      <c r="F507" s="181" t="s">
        <v>226</v>
      </c>
      <c r="G507" s="181" t="s">
        <v>610</v>
      </c>
    </row>
    <row r="508" spans="5:7" s="181" customFormat="1" ht="25.5" hidden="1" customHeight="1">
      <c r="E508" s="181" t="s">
        <v>218</v>
      </c>
      <c r="F508" s="181" t="s">
        <v>226</v>
      </c>
      <c r="G508" s="183" t="s">
        <v>611</v>
      </c>
    </row>
    <row r="509" spans="5:7" s="181" customFormat="1" ht="25.5" hidden="1" customHeight="1">
      <c r="E509" s="181" t="s">
        <v>218</v>
      </c>
      <c r="F509" s="181" t="s">
        <v>226</v>
      </c>
      <c r="G509" s="181" t="s">
        <v>612</v>
      </c>
    </row>
    <row r="510" spans="5:7" s="181" customFormat="1" ht="25.5" hidden="1" customHeight="1"/>
    <row r="511" spans="5:7" s="181" customFormat="1" ht="25.5" hidden="1" customHeight="1">
      <c r="E511" s="181" t="s">
        <v>218</v>
      </c>
      <c r="F511" s="181" t="s">
        <v>221</v>
      </c>
      <c r="G511" s="181" t="s">
        <v>613</v>
      </c>
    </row>
    <row r="512" spans="5:7" s="181" customFormat="1" ht="25.5" hidden="1" customHeight="1">
      <c r="E512" s="181" t="s">
        <v>218</v>
      </c>
      <c r="F512" s="181" t="s">
        <v>221</v>
      </c>
      <c r="G512" s="181" t="s">
        <v>614</v>
      </c>
    </row>
    <row r="513" spans="5:7" s="181" customFormat="1" ht="25.5" hidden="1" customHeight="1">
      <c r="E513" s="181" t="s">
        <v>218</v>
      </c>
      <c r="F513" s="181" t="s">
        <v>221</v>
      </c>
      <c r="G513" s="181" t="s">
        <v>615</v>
      </c>
    </row>
    <row r="514" spans="5:7" s="181" customFormat="1" ht="25.5" hidden="1" customHeight="1">
      <c r="E514" s="181" t="s">
        <v>218</v>
      </c>
      <c r="F514" s="181" t="s">
        <v>221</v>
      </c>
      <c r="G514" s="181" t="s">
        <v>616</v>
      </c>
    </row>
    <row r="515" spans="5:7" s="181" customFormat="1" ht="25.5" hidden="1" customHeight="1"/>
    <row r="516" spans="5:7" s="181" customFormat="1" ht="25.5" hidden="1" customHeight="1"/>
    <row r="517" spans="5:7" s="181" customFormat="1" ht="25.5" hidden="1" customHeight="1">
      <c r="E517" s="181" t="s">
        <v>218</v>
      </c>
      <c r="F517" s="181" t="s">
        <v>223</v>
      </c>
      <c r="G517" s="181" t="s">
        <v>617</v>
      </c>
    </row>
    <row r="518" spans="5:7" s="181" customFormat="1" ht="25.5" hidden="1" customHeight="1">
      <c r="E518" s="181" t="s">
        <v>218</v>
      </c>
      <c r="F518" s="181" t="s">
        <v>223</v>
      </c>
      <c r="G518" s="181" t="s">
        <v>618</v>
      </c>
    </row>
    <row r="519" spans="5:7" s="181" customFormat="1" ht="25.5" hidden="1" customHeight="1">
      <c r="E519" s="181" t="s">
        <v>218</v>
      </c>
      <c r="F519" s="181" t="s">
        <v>223</v>
      </c>
      <c r="G519" s="181" t="s">
        <v>619</v>
      </c>
    </row>
    <row r="520" spans="5:7" s="181" customFormat="1" ht="25.5" hidden="1" customHeight="1">
      <c r="E520" s="181" t="s">
        <v>218</v>
      </c>
      <c r="F520" s="181" t="s">
        <v>223</v>
      </c>
      <c r="G520" s="181" t="s">
        <v>620</v>
      </c>
    </row>
    <row r="521" spans="5:7" s="181" customFormat="1" ht="25.5" hidden="1" customHeight="1">
      <c r="E521" s="181" t="s">
        <v>218</v>
      </c>
      <c r="F521" s="181" t="s">
        <v>223</v>
      </c>
      <c r="G521" s="181" t="s">
        <v>621</v>
      </c>
    </row>
    <row r="522" spans="5:7" s="181" customFormat="1" ht="25.5" hidden="1" customHeight="1">
      <c r="E522" s="181" t="s">
        <v>218</v>
      </c>
      <c r="F522" s="181" t="s">
        <v>223</v>
      </c>
      <c r="G522" s="181" t="s">
        <v>622</v>
      </c>
    </row>
    <row r="523" spans="5:7" s="181" customFormat="1" ht="25.5" hidden="1" customHeight="1">
      <c r="E523" s="181" t="s">
        <v>218</v>
      </c>
      <c r="F523" s="181" t="s">
        <v>223</v>
      </c>
      <c r="G523" s="181" t="s">
        <v>623</v>
      </c>
    </row>
    <row r="524" spans="5:7" s="181" customFormat="1" ht="25.5" hidden="1" customHeight="1">
      <c r="E524" s="181" t="s">
        <v>218</v>
      </c>
      <c r="F524" s="181" t="s">
        <v>225</v>
      </c>
      <c r="G524" s="181" t="s">
        <v>624</v>
      </c>
    </row>
    <row r="525" spans="5:7" s="181" customFormat="1" ht="25.5" hidden="1" customHeight="1">
      <c r="E525" s="181" t="s">
        <v>218</v>
      </c>
      <c r="F525" s="181" t="s">
        <v>225</v>
      </c>
      <c r="G525" s="181" t="s">
        <v>625</v>
      </c>
    </row>
    <row r="526" spans="5:7" s="181" customFormat="1" ht="25.5" hidden="1" customHeight="1">
      <c r="E526" s="181" t="s">
        <v>218</v>
      </c>
      <c r="F526" s="181" t="s">
        <v>626</v>
      </c>
      <c r="G526" s="181" t="s">
        <v>627</v>
      </c>
    </row>
    <row r="527" spans="5:7" s="181" customFormat="1" ht="25.5" hidden="1" customHeight="1">
      <c r="E527" s="181" t="s">
        <v>218</v>
      </c>
      <c r="F527" s="181" t="s">
        <v>626</v>
      </c>
      <c r="G527" s="181" t="s">
        <v>628</v>
      </c>
    </row>
    <row r="528" spans="5:7" s="181" customFormat="1" ht="25.5" hidden="1" customHeight="1">
      <c r="E528" s="181" t="s">
        <v>218</v>
      </c>
      <c r="F528" s="181" t="s">
        <v>626</v>
      </c>
      <c r="G528" s="181" t="s">
        <v>629</v>
      </c>
    </row>
    <row r="529" spans="5:7" s="181" customFormat="1" ht="25.5" hidden="1" customHeight="1">
      <c r="E529" s="181" t="s">
        <v>218</v>
      </c>
      <c r="F529" s="181" t="s">
        <v>225</v>
      </c>
      <c r="G529" s="181" t="s">
        <v>630</v>
      </c>
    </row>
    <row r="530" spans="5:7" s="181" customFormat="1" ht="25.5" hidden="1" customHeight="1">
      <c r="E530" s="181" t="s">
        <v>218</v>
      </c>
      <c r="F530" s="181" t="s">
        <v>225</v>
      </c>
      <c r="G530" s="181" t="s">
        <v>631</v>
      </c>
    </row>
    <row r="531" spans="5:7" s="181" customFormat="1" ht="25.5" hidden="1" customHeight="1">
      <c r="E531" s="181" t="s">
        <v>218</v>
      </c>
      <c r="F531" s="181" t="s">
        <v>225</v>
      </c>
      <c r="G531" s="181" t="s">
        <v>632</v>
      </c>
    </row>
    <row r="532" spans="5:7" s="181" customFormat="1" ht="25.5" hidden="1" customHeight="1">
      <c r="E532" s="181" t="s">
        <v>218</v>
      </c>
      <c r="F532" s="181" t="s">
        <v>225</v>
      </c>
      <c r="G532" s="181" t="s">
        <v>633</v>
      </c>
    </row>
    <row r="533" spans="5:7" s="181" customFormat="1" ht="25.5" hidden="1" customHeight="1">
      <c r="E533" s="181" t="s">
        <v>218</v>
      </c>
      <c r="F533" s="181" t="s">
        <v>229</v>
      </c>
      <c r="G533" s="181" t="s">
        <v>634</v>
      </c>
    </row>
    <row r="534" spans="5:7" s="181" customFormat="1" ht="25.5" hidden="1" customHeight="1">
      <c r="E534" s="181" t="s">
        <v>218</v>
      </c>
      <c r="F534" s="181" t="s">
        <v>229</v>
      </c>
      <c r="G534" s="181" t="s">
        <v>635</v>
      </c>
    </row>
    <row r="535" spans="5:7" s="181" customFormat="1" ht="25.5" hidden="1" customHeight="1">
      <c r="E535" s="181" t="s">
        <v>218</v>
      </c>
      <c r="F535" s="181" t="s">
        <v>229</v>
      </c>
      <c r="G535" s="181" t="s">
        <v>636</v>
      </c>
    </row>
    <row r="536" spans="5:7" s="181" customFormat="1" ht="25.5" hidden="1" customHeight="1">
      <c r="E536" s="181" t="s">
        <v>218</v>
      </c>
      <c r="F536" s="181" t="s">
        <v>229</v>
      </c>
      <c r="G536" s="181" t="s">
        <v>637</v>
      </c>
    </row>
    <row r="537" spans="5:7" s="181" customFormat="1" ht="25.5" hidden="1" customHeight="1">
      <c r="E537" s="181" t="s">
        <v>218</v>
      </c>
      <c r="F537" s="181" t="s">
        <v>229</v>
      </c>
      <c r="G537" s="181" t="s">
        <v>638</v>
      </c>
    </row>
    <row r="538" spans="5:7" s="181" customFormat="1" ht="25.5" hidden="1" customHeight="1">
      <c r="E538" s="181" t="s">
        <v>218</v>
      </c>
      <c r="F538" s="181" t="s">
        <v>229</v>
      </c>
      <c r="G538" s="181" t="s">
        <v>639</v>
      </c>
    </row>
    <row r="539" spans="5:7" s="181" customFormat="1" ht="25.5" hidden="1" customHeight="1">
      <c r="E539" s="181" t="s">
        <v>218</v>
      </c>
      <c r="F539" s="181" t="s">
        <v>640</v>
      </c>
      <c r="G539" s="181" t="s">
        <v>641</v>
      </c>
    </row>
    <row r="540" spans="5:7" s="181" customFormat="1" ht="25.5" hidden="1" customHeight="1">
      <c r="E540" s="181" t="s">
        <v>218</v>
      </c>
      <c r="F540" s="181" t="s">
        <v>640</v>
      </c>
      <c r="G540" s="181" t="s">
        <v>642</v>
      </c>
    </row>
    <row r="541" spans="5:7" s="181" customFormat="1" ht="25.5" hidden="1" customHeight="1">
      <c r="E541" s="181" t="s">
        <v>218</v>
      </c>
      <c r="F541" s="181" t="s">
        <v>640</v>
      </c>
      <c r="G541" s="181" t="s">
        <v>643</v>
      </c>
    </row>
    <row r="542" spans="5:7" s="181" customFormat="1" ht="25.5" hidden="1" customHeight="1">
      <c r="E542" s="181" t="s">
        <v>218</v>
      </c>
      <c r="F542" s="181" t="s">
        <v>640</v>
      </c>
      <c r="G542" s="181" t="s">
        <v>644</v>
      </c>
    </row>
    <row r="543" spans="5:7" s="181" customFormat="1" ht="25.5" hidden="1" customHeight="1">
      <c r="E543" s="181" t="s">
        <v>218</v>
      </c>
      <c r="F543" s="181" t="s">
        <v>218</v>
      </c>
      <c r="G543" s="181" t="s">
        <v>645</v>
      </c>
    </row>
    <row r="544" spans="5:7" s="181" customFormat="1" ht="25.5" hidden="1" customHeight="1">
      <c r="E544" s="181" t="s">
        <v>218</v>
      </c>
      <c r="F544" s="181" t="s">
        <v>218</v>
      </c>
      <c r="G544" s="181" t="s">
        <v>646</v>
      </c>
    </row>
    <row r="545" spans="5:7" s="181" customFormat="1" ht="25.5" hidden="1" customHeight="1">
      <c r="E545" s="181" t="s">
        <v>218</v>
      </c>
      <c r="F545" s="181" t="s">
        <v>647</v>
      </c>
      <c r="G545" s="181" t="s">
        <v>648</v>
      </c>
    </row>
    <row r="546" spans="5:7" s="181" customFormat="1" ht="25.5" hidden="1" customHeight="1">
      <c r="E546" s="181" t="s">
        <v>218</v>
      </c>
      <c r="F546" s="181" t="s">
        <v>647</v>
      </c>
      <c r="G546" s="181" t="s">
        <v>649</v>
      </c>
    </row>
    <row r="547" spans="5:7" s="181" customFormat="1" ht="25.5" hidden="1" customHeight="1">
      <c r="E547" s="181" t="s">
        <v>218</v>
      </c>
      <c r="F547" s="181" t="s">
        <v>647</v>
      </c>
      <c r="G547" s="181" t="s">
        <v>650</v>
      </c>
    </row>
    <row r="548" spans="5:7" s="181" customFormat="1" ht="25.5" hidden="1" customHeight="1">
      <c r="E548" s="181" t="s">
        <v>218</v>
      </c>
      <c r="F548" s="181" t="s">
        <v>647</v>
      </c>
      <c r="G548" s="181" t="s">
        <v>651</v>
      </c>
    </row>
    <row r="549" spans="5:7" s="181" customFormat="1" ht="25.5" hidden="1" customHeight="1">
      <c r="E549" s="181" t="s">
        <v>218</v>
      </c>
      <c r="F549" s="181" t="s">
        <v>647</v>
      </c>
      <c r="G549" s="181" t="s">
        <v>652</v>
      </c>
    </row>
    <row r="550" spans="5:7" s="181" customFormat="1" ht="25.5" hidden="1" customHeight="1">
      <c r="E550" s="181" t="s">
        <v>218</v>
      </c>
      <c r="F550" s="181" t="s">
        <v>647</v>
      </c>
      <c r="G550" s="181" t="s">
        <v>653</v>
      </c>
    </row>
    <row r="551" spans="5:7" s="181" customFormat="1" ht="25.5" hidden="1" customHeight="1">
      <c r="E551" s="181" t="s">
        <v>218</v>
      </c>
      <c r="F551" s="181" t="s">
        <v>647</v>
      </c>
      <c r="G551" s="181" t="s">
        <v>654</v>
      </c>
    </row>
    <row r="552" spans="5:7" s="181" customFormat="1" ht="25.5" hidden="1" customHeight="1">
      <c r="E552" s="181" t="s">
        <v>218</v>
      </c>
      <c r="F552" s="181" t="s">
        <v>647</v>
      </c>
      <c r="G552" s="181" t="s">
        <v>655</v>
      </c>
    </row>
    <row r="553" spans="5:7" s="181" customFormat="1" ht="25.5" hidden="1" customHeight="1">
      <c r="E553" s="181" t="s">
        <v>218</v>
      </c>
      <c r="F553" s="181" t="s">
        <v>647</v>
      </c>
      <c r="G553" s="181" t="s">
        <v>656</v>
      </c>
    </row>
    <row r="554" spans="5:7" s="181" customFormat="1" ht="25.5" hidden="1" customHeight="1">
      <c r="E554" s="181" t="s">
        <v>218</v>
      </c>
      <c r="F554" s="181" t="s">
        <v>231</v>
      </c>
      <c r="G554" s="181" t="s">
        <v>657</v>
      </c>
    </row>
    <row r="555" spans="5:7" s="181" customFormat="1" ht="25.5" hidden="1" customHeight="1">
      <c r="E555" s="181" t="s">
        <v>218</v>
      </c>
      <c r="F555" s="181" t="s">
        <v>231</v>
      </c>
      <c r="G555" s="181" t="s">
        <v>658</v>
      </c>
    </row>
    <row r="556" spans="5:7" s="181" customFormat="1" ht="25.5" hidden="1" customHeight="1">
      <c r="E556" s="181" t="s">
        <v>218</v>
      </c>
      <c r="F556" s="181" t="s">
        <v>231</v>
      </c>
      <c r="G556" s="181" t="s">
        <v>659</v>
      </c>
    </row>
    <row r="557" spans="5:7" s="181" customFormat="1" ht="25.5" hidden="1" customHeight="1">
      <c r="E557" s="181" t="s">
        <v>218</v>
      </c>
      <c r="F557" s="181" t="s">
        <v>231</v>
      </c>
      <c r="G557" s="181" t="s">
        <v>660</v>
      </c>
    </row>
    <row r="558" spans="5:7" s="181" customFormat="1" ht="25.5" hidden="1" customHeight="1">
      <c r="E558" s="181" t="s">
        <v>218</v>
      </c>
      <c r="F558" s="181" t="s">
        <v>661</v>
      </c>
      <c r="G558" s="181" t="s">
        <v>662</v>
      </c>
    </row>
    <row r="559" spans="5:7" s="181" customFormat="1" ht="25.5" hidden="1" customHeight="1">
      <c r="E559" s="181" t="s">
        <v>218</v>
      </c>
      <c r="F559" s="181" t="s">
        <v>661</v>
      </c>
      <c r="G559" s="181" t="s">
        <v>663</v>
      </c>
    </row>
    <row r="560" spans="5:7" s="181" customFormat="1" ht="25.5" hidden="1" customHeight="1">
      <c r="E560" s="181" t="s">
        <v>218</v>
      </c>
      <c r="F560" s="181" t="s">
        <v>661</v>
      </c>
      <c r="G560" s="181" t="s">
        <v>664</v>
      </c>
    </row>
    <row r="561" spans="5:7" s="181" customFormat="1" ht="25.5" hidden="1" customHeight="1">
      <c r="E561" s="181" t="s">
        <v>218</v>
      </c>
      <c r="F561" s="181" t="s">
        <v>661</v>
      </c>
      <c r="G561" s="181" t="s">
        <v>665</v>
      </c>
    </row>
    <row r="562" spans="5:7" s="181" customFormat="1" ht="25.5" hidden="1" customHeight="1">
      <c r="E562" s="181" t="s">
        <v>218</v>
      </c>
      <c r="F562" s="181" t="s">
        <v>661</v>
      </c>
      <c r="G562" s="181" t="s">
        <v>666</v>
      </c>
    </row>
    <row r="563" spans="5:7" s="181" customFormat="1" ht="25.5" hidden="1" customHeight="1"/>
    <row r="564" spans="5:7" s="181" customFormat="1" ht="25.5" hidden="1" customHeight="1">
      <c r="E564" s="181" t="s">
        <v>232</v>
      </c>
      <c r="F564" s="181" t="s">
        <v>233</v>
      </c>
      <c r="G564" s="181" t="s">
        <v>667</v>
      </c>
    </row>
    <row r="565" spans="5:7" s="181" customFormat="1" ht="25.5" hidden="1" customHeight="1">
      <c r="E565" s="181" t="s">
        <v>232</v>
      </c>
      <c r="F565" s="181" t="s">
        <v>233</v>
      </c>
      <c r="G565" s="181" t="s">
        <v>668</v>
      </c>
    </row>
    <row r="566" spans="5:7" s="181" customFormat="1" ht="25.5" hidden="1" customHeight="1">
      <c r="E566" s="181" t="s">
        <v>232</v>
      </c>
      <c r="F566" s="181" t="s">
        <v>233</v>
      </c>
      <c r="G566" s="181" t="s">
        <v>669</v>
      </c>
    </row>
    <row r="567" spans="5:7" s="181" customFormat="1" ht="25.5" hidden="1" customHeight="1">
      <c r="E567" s="181" t="s">
        <v>232</v>
      </c>
      <c r="F567" s="181" t="s">
        <v>233</v>
      </c>
      <c r="G567" s="181" t="s">
        <v>670</v>
      </c>
    </row>
    <row r="568" spans="5:7" s="181" customFormat="1" ht="25.5" hidden="1" customHeight="1">
      <c r="E568" s="181" t="s">
        <v>232</v>
      </c>
      <c r="F568" s="181" t="s">
        <v>233</v>
      </c>
      <c r="G568" s="181" t="s">
        <v>671</v>
      </c>
    </row>
    <row r="569" spans="5:7" s="181" customFormat="1" ht="25.5" hidden="1" customHeight="1">
      <c r="E569" s="181" t="s">
        <v>232</v>
      </c>
      <c r="F569" s="181" t="s">
        <v>233</v>
      </c>
      <c r="G569" s="181" t="s">
        <v>672</v>
      </c>
    </row>
    <row r="570" spans="5:7" s="181" customFormat="1" ht="25.5" hidden="1" customHeight="1">
      <c r="E570" s="181" t="s">
        <v>232</v>
      </c>
      <c r="F570" s="181" t="s">
        <v>233</v>
      </c>
      <c r="G570" s="181" t="s">
        <v>673</v>
      </c>
    </row>
    <row r="571" spans="5:7" s="181" customFormat="1" ht="25.5" hidden="1" customHeight="1">
      <c r="E571" s="181" t="s">
        <v>232</v>
      </c>
      <c r="F571" s="181" t="s">
        <v>233</v>
      </c>
      <c r="G571" s="181" t="s">
        <v>674</v>
      </c>
    </row>
    <row r="572" spans="5:7" s="181" customFormat="1" ht="25.5" hidden="1" customHeight="1">
      <c r="E572" s="181" t="s">
        <v>232</v>
      </c>
      <c r="F572" s="181" t="s">
        <v>233</v>
      </c>
      <c r="G572" s="181" t="s">
        <v>675</v>
      </c>
    </row>
    <row r="573" spans="5:7" s="181" customFormat="1" ht="25.5" hidden="1" customHeight="1">
      <c r="E573" s="181" t="s">
        <v>232</v>
      </c>
      <c r="F573" s="181" t="s">
        <v>233</v>
      </c>
      <c r="G573" s="181" t="s">
        <v>676</v>
      </c>
    </row>
    <row r="574" spans="5:7" s="181" customFormat="1" ht="25.5" hidden="1" customHeight="1">
      <c r="E574" s="181" t="s">
        <v>232</v>
      </c>
      <c r="F574" s="181" t="s">
        <v>233</v>
      </c>
      <c r="G574" s="181" t="s">
        <v>677</v>
      </c>
    </row>
    <row r="575" spans="5:7" s="181" customFormat="1" ht="25.5" hidden="1" customHeight="1">
      <c r="E575" s="181" t="s">
        <v>232</v>
      </c>
      <c r="F575" s="181" t="s">
        <v>233</v>
      </c>
      <c r="G575" s="181" t="s">
        <v>678</v>
      </c>
    </row>
    <row r="576" spans="5:7" s="181" customFormat="1" ht="25.5" hidden="1" customHeight="1">
      <c r="E576" s="181" t="s">
        <v>232</v>
      </c>
      <c r="F576" s="181" t="s">
        <v>236</v>
      </c>
      <c r="G576" s="181" t="s">
        <v>679</v>
      </c>
    </row>
    <row r="577" spans="5:7" s="181" customFormat="1" ht="25.5" hidden="1" customHeight="1">
      <c r="E577" s="181" t="s">
        <v>232</v>
      </c>
      <c r="F577" s="181" t="s">
        <v>680</v>
      </c>
      <c r="G577" s="181" t="s">
        <v>681</v>
      </c>
    </row>
    <row r="578" spans="5:7" s="181" customFormat="1" ht="25.5" hidden="1" customHeight="1">
      <c r="E578" s="181" t="s">
        <v>232</v>
      </c>
      <c r="F578" s="181" t="s">
        <v>682</v>
      </c>
      <c r="G578" s="181" t="s">
        <v>683</v>
      </c>
    </row>
    <row r="579" spans="5:7" s="181" customFormat="1" ht="25.5" hidden="1" customHeight="1">
      <c r="E579" s="181" t="s">
        <v>232</v>
      </c>
      <c r="F579" s="181" t="s">
        <v>682</v>
      </c>
      <c r="G579" s="181" t="s">
        <v>684</v>
      </c>
    </row>
    <row r="580" spans="5:7" s="181" customFormat="1" ht="25.5" hidden="1" customHeight="1">
      <c r="E580" s="181" t="s">
        <v>232</v>
      </c>
      <c r="F580" s="181" t="s">
        <v>682</v>
      </c>
      <c r="G580" s="181" t="s">
        <v>685</v>
      </c>
    </row>
    <row r="581" spans="5:7" s="181" customFormat="1" ht="25.5" hidden="1" customHeight="1">
      <c r="E581" s="181" t="s">
        <v>232</v>
      </c>
      <c r="F581" s="181" t="s">
        <v>682</v>
      </c>
      <c r="G581" s="181" t="s">
        <v>686</v>
      </c>
    </row>
    <row r="582" spans="5:7" s="181" customFormat="1" ht="25.5" hidden="1" customHeight="1">
      <c r="E582" s="181" t="s">
        <v>232</v>
      </c>
      <c r="F582" s="181" t="s">
        <v>682</v>
      </c>
      <c r="G582" s="181" t="s">
        <v>687</v>
      </c>
    </row>
    <row r="583" spans="5:7" s="181" customFormat="1" ht="25.5" hidden="1" customHeight="1">
      <c r="E583" s="181" t="s">
        <v>232</v>
      </c>
      <c r="F583" s="181" t="s">
        <v>682</v>
      </c>
      <c r="G583" s="181" t="s">
        <v>688</v>
      </c>
    </row>
    <row r="584" spans="5:7" s="181" customFormat="1" ht="25.5" hidden="1" customHeight="1">
      <c r="E584" s="181" t="s">
        <v>232</v>
      </c>
      <c r="F584" s="181" t="s">
        <v>682</v>
      </c>
      <c r="G584" s="181" t="s">
        <v>689</v>
      </c>
    </row>
    <row r="585" spans="5:7" s="181" customFormat="1" ht="25.5" hidden="1" customHeight="1">
      <c r="E585" s="181" t="s">
        <v>232</v>
      </c>
      <c r="F585" s="181" t="s">
        <v>239</v>
      </c>
      <c r="G585" s="181" t="s">
        <v>690</v>
      </c>
    </row>
    <row r="586" spans="5:7" s="181" customFormat="1" ht="25.5" hidden="1" customHeight="1">
      <c r="E586" s="181" t="s">
        <v>232</v>
      </c>
      <c r="F586" s="181" t="s">
        <v>691</v>
      </c>
      <c r="G586" s="181" t="s">
        <v>692</v>
      </c>
    </row>
    <row r="587" spans="5:7" s="181" customFormat="1" ht="25.5" hidden="1" customHeight="1">
      <c r="E587" s="181" t="s">
        <v>232</v>
      </c>
      <c r="F587" s="181" t="s">
        <v>691</v>
      </c>
      <c r="G587" s="181" t="s">
        <v>693</v>
      </c>
    </row>
    <row r="588" spans="5:7" s="181" customFormat="1" ht="25.5" hidden="1" customHeight="1">
      <c r="E588" s="181" t="s">
        <v>232</v>
      </c>
      <c r="F588" s="181" t="s">
        <v>691</v>
      </c>
      <c r="G588" s="181" t="s">
        <v>694</v>
      </c>
    </row>
    <row r="589" spans="5:7" s="181" customFormat="1" ht="25.5" hidden="1" customHeight="1">
      <c r="E589" s="181" t="s">
        <v>232</v>
      </c>
      <c r="F589" s="181" t="s">
        <v>691</v>
      </c>
      <c r="G589" s="181" t="s">
        <v>695</v>
      </c>
    </row>
    <row r="590" spans="5:7" s="181" customFormat="1" ht="25.5" hidden="1" customHeight="1">
      <c r="E590" s="181" t="s">
        <v>232</v>
      </c>
      <c r="F590" s="181" t="s">
        <v>691</v>
      </c>
      <c r="G590" s="181" t="s">
        <v>696</v>
      </c>
    </row>
    <row r="591" spans="5:7" s="181" customFormat="1" ht="25.5" hidden="1" customHeight="1">
      <c r="E591" s="181" t="s">
        <v>232</v>
      </c>
      <c r="F591" s="181" t="s">
        <v>241</v>
      </c>
      <c r="G591" s="181" t="s">
        <v>697</v>
      </c>
    </row>
    <row r="592" spans="5:7" s="181" customFormat="1" ht="25.5" hidden="1" customHeight="1">
      <c r="E592" s="181" t="s">
        <v>232</v>
      </c>
      <c r="F592" s="181" t="s">
        <v>241</v>
      </c>
      <c r="G592" s="181" t="s">
        <v>698</v>
      </c>
    </row>
    <row r="593" spans="5:7" s="181" customFormat="1" ht="25.5" hidden="1" customHeight="1">
      <c r="E593" s="181" t="s">
        <v>232</v>
      </c>
      <c r="F593" s="181" t="s">
        <v>241</v>
      </c>
      <c r="G593" s="181" t="s">
        <v>699</v>
      </c>
    </row>
    <row r="594" spans="5:7" s="181" customFormat="1" ht="25.5" hidden="1" customHeight="1">
      <c r="E594" s="181" t="s">
        <v>232</v>
      </c>
      <c r="F594" s="181" t="s">
        <v>241</v>
      </c>
      <c r="G594" s="181" t="s">
        <v>700</v>
      </c>
    </row>
    <row r="595" spans="5:7" s="181" customFormat="1" ht="25.5" hidden="1" customHeight="1"/>
    <row r="596" spans="5:7" s="181" customFormat="1" ht="25.5" hidden="1" customHeight="1">
      <c r="E596" s="181" t="s">
        <v>232</v>
      </c>
      <c r="F596" s="181" t="s">
        <v>243</v>
      </c>
      <c r="G596" s="181" t="s">
        <v>701</v>
      </c>
    </row>
    <row r="597" spans="5:7" s="181" customFormat="1" ht="25.5" hidden="1" customHeight="1">
      <c r="E597" s="181" t="s">
        <v>232</v>
      </c>
      <c r="F597" s="181" t="s">
        <v>243</v>
      </c>
      <c r="G597" s="181" t="s">
        <v>702</v>
      </c>
    </row>
    <row r="598" spans="5:7" s="181" customFormat="1" ht="25.5" hidden="1" customHeight="1">
      <c r="E598" s="181" t="s">
        <v>232</v>
      </c>
      <c r="F598" s="181" t="s">
        <v>243</v>
      </c>
      <c r="G598" s="181" t="s">
        <v>703</v>
      </c>
    </row>
    <row r="599" spans="5:7" s="181" customFormat="1" ht="25.5" hidden="1" customHeight="1">
      <c r="E599" s="181" t="s">
        <v>232</v>
      </c>
      <c r="F599" s="181" t="s">
        <v>243</v>
      </c>
      <c r="G599" s="181" t="s">
        <v>704</v>
      </c>
    </row>
    <row r="600" spans="5:7" s="181" customFormat="1" ht="25.5" hidden="1" customHeight="1">
      <c r="E600" s="181" t="s">
        <v>232</v>
      </c>
      <c r="F600" s="181" t="s">
        <v>243</v>
      </c>
      <c r="G600" s="181" t="s">
        <v>705</v>
      </c>
    </row>
    <row r="601" spans="5:7" s="181" customFormat="1" ht="25.5" hidden="1" customHeight="1">
      <c r="E601" s="181" t="s">
        <v>232</v>
      </c>
      <c r="F601" s="181" t="s">
        <v>243</v>
      </c>
      <c r="G601" s="181" t="s">
        <v>706</v>
      </c>
    </row>
    <row r="602" spans="5:7" s="181" customFormat="1" ht="25.5" hidden="1" customHeight="1">
      <c r="E602" s="181" t="s">
        <v>232</v>
      </c>
      <c r="F602" s="181" t="s">
        <v>243</v>
      </c>
      <c r="G602" s="181" t="s">
        <v>707</v>
      </c>
    </row>
    <row r="603" spans="5:7" s="181" customFormat="1" ht="25.5" hidden="1" customHeight="1">
      <c r="E603" s="181" t="s">
        <v>232</v>
      </c>
      <c r="F603" s="181" t="s">
        <v>243</v>
      </c>
      <c r="G603" s="181" t="s">
        <v>708</v>
      </c>
    </row>
    <row r="604" spans="5:7" s="181" customFormat="1" ht="25.5" hidden="1" customHeight="1">
      <c r="E604" s="181" t="s">
        <v>232</v>
      </c>
      <c r="F604" s="181" t="s">
        <v>245</v>
      </c>
      <c r="G604" s="181" t="s">
        <v>709</v>
      </c>
    </row>
    <row r="605" spans="5:7" s="181" customFormat="1" ht="25.5" hidden="1" customHeight="1">
      <c r="E605" s="181" t="s">
        <v>232</v>
      </c>
      <c r="F605" s="181" t="s">
        <v>245</v>
      </c>
      <c r="G605" s="181" t="s">
        <v>710</v>
      </c>
    </row>
    <row r="606" spans="5:7" s="181" customFormat="1" ht="25.5" hidden="1" customHeight="1">
      <c r="E606" s="181" t="s">
        <v>232</v>
      </c>
      <c r="F606" s="181" t="s">
        <v>245</v>
      </c>
      <c r="G606" s="181" t="s">
        <v>711</v>
      </c>
    </row>
    <row r="607" spans="5:7" s="181" customFormat="1" ht="25.5" hidden="1" customHeight="1">
      <c r="E607" s="181" t="s">
        <v>232</v>
      </c>
      <c r="F607" s="181" t="s">
        <v>245</v>
      </c>
      <c r="G607" s="181" t="s">
        <v>712</v>
      </c>
    </row>
    <row r="608" spans="5:7" s="181" customFormat="1" ht="25.5" hidden="1" customHeight="1">
      <c r="E608" s="181" t="s">
        <v>232</v>
      </c>
      <c r="F608" s="181" t="s">
        <v>245</v>
      </c>
      <c r="G608" s="181" t="s">
        <v>713</v>
      </c>
    </row>
    <row r="609" spans="5:7" s="181" customFormat="1" ht="25.5" hidden="1" customHeight="1"/>
    <row r="610" spans="5:7" s="181" customFormat="1" ht="25.5" hidden="1" customHeight="1">
      <c r="E610" s="181" t="s">
        <v>232</v>
      </c>
      <c r="F610" s="181" t="s">
        <v>714</v>
      </c>
      <c r="G610" s="181" t="s">
        <v>715</v>
      </c>
    </row>
    <row r="611" spans="5:7" s="181" customFormat="1" ht="25.5" hidden="1" customHeight="1">
      <c r="E611" s="181" t="s">
        <v>232</v>
      </c>
      <c r="F611" s="181" t="s">
        <v>232</v>
      </c>
      <c r="G611" s="181" t="s">
        <v>716</v>
      </c>
    </row>
    <row r="612" spans="5:7" s="181" customFormat="1" ht="25.5" hidden="1" customHeight="1">
      <c r="E612" s="181" t="s">
        <v>232</v>
      </c>
      <c r="F612" s="181" t="s">
        <v>232</v>
      </c>
      <c r="G612" s="181" t="s">
        <v>717</v>
      </c>
    </row>
    <row r="613" spans="5:7" s="181" customFormat="1" ht="25.5" hidden="1" customHeight="1">
      <c r="E613" s="181" t="s">
        <v>232</v>
      </c>
      <c r="F613" s="181" t="s">
        <v>232</v>
      </c>
      <c r="G613" s="181" t="s">
        <v>718</v>
      </c>
    </row>
    <row r="614" spans="5:7" s="181" customFormat="1" ht="25.5" hidden="1" customHeight="1">
      <c r="E614" s="181" t="s">
        <v>232</v>
      </c>
      <c r="F614" s="181" t="s">
        <v>232</v>
      </c>
      <c r="G614" s="181" t="s">
        <v>719</v>
      </c>
    </row>
    <row r="615" spans="5:7" s="181" customFormat="1" ht="25.5" hidden="1" customHeight="1">
      <c r="E615" s="181" t="s">
        <v>232</v>
      </c>
      <c r="F615" s="181" t="s">
        <v>232</v>
      </c>
      <c r="G615" s="181" t="s">
        <v>720</v>
      </c>
    </row>
    <row r="616" spans="5:7" s="181" customFormat="1" ht="25.5" hidden="1" customHeight="1">
      <c r="E616" s="181" t="s">
        <v>232</v>
      </c>
      <c r="F616" s="181" t="s">
        <v>232</v>
      </c>
      <c r="G616" s="181" t="s">
        <v>721</v>
      </c>
    </row>
    <row r="617" spans="5:7" s="181" customFormat="1" ht="25.5" hidden="1" customHeight="1">
      <c r="E617" s="181" t="s">
        <v>232</v>
      </c>
      <c r="F617" s="181" t="s">
        <v>232</v>
      </c>
      <c r="G617" s="181" t="s">
        <v>722</v>
      </c>
    </row>
    <row r="618" spans="5:7" s="181" customFormat="1" ht="25.5" hidden="1" customHeight="1">
      <c r="E618" s="181" t="s">
        <v>232</v>
      </c>
      <c r="F618" s="181" t="s">
        <v>232</v>
      </c>
      <c r="G618" s="181" t="s">
        <v>723</v>
      </c>
    </row>
    <row r="619" spans="5:7" s="181" customFormat="1" ht="25.5" hidden="1" customHeight="1">
      <c r="E619" s="181" t="s">
        <v>232</v>
      </c>
      <c r="F619" s="181" t="s">
        <v>248</v>
      </c>
      <c r="G619" s="181" t="s">
        <v>724</v>
      </c>
    </row>
    <row r="620" spans="5:7" s="181" customFormat="1" ht="25.5" hidden="1" customHeight="1">
      <c r="E620" s="181" t="s">
        <v>232</v>
      </c>
      <c r="F620" s="181" t="s">
        <v>248</v>
      </c>
      <c r="G620" s="181" t="s">
        <v>725</v>
      </c>
    </row>
    <row r="621" spans="5:7" s="181" customFormat="1" ht="25.5" hidden="1" customHeight="1">
      <c r="E621" s="181" t="s">
        <v>232</v>
      </c>
      <c r="F621" s="181" t="s">
        <v>248</v>
      </c>
      <c r="G621" s="181" t="s">
        <v>726</v>
      </c>
    </row>
    <row r="622" spans="5:7" s="181" customFormat="1" ht="25.5" hidden="1" customHeight="1">
      <c r="E622" s="181" t="s">
        <v>232</v>
      </c>
      <c r="F622" s="181" t="s">
        <v>248</v>
      </c>
      <c r="G622" s="181" t="s">
        <v>727</v>
      </c>
    </row>
    <row r="623" spans="5:7" s="181" customFormat="1" ht="25.5" hidden="1" customHeight="1">
      <c r="E623" s="181" t="s">
        <v>232</v>
      </c>
      <c r="F623" s="181" t="s">
        <v>248</v>
      </c>
      <c r="G623" s="181" t="s">
        <v>728</v>
      </c>
    </row>
    <row r="624" spans="5:7" s="181" customFormat="1" ht="25.5" hidden="1" customHeight="1">
      <c r="E624" s="181" t="s">
        <v>232</v>
      </c>
      <c r="F624" s="181" t="s">
        <v>248</v>
      </c>
      <c r="G624" s="181" t="s">
        <v>729</v>
      </c>
    </row>
    <row r="625" spans="5:7" s="181" customFormat="1" ht="25.5" hidden="1" customHeight="1">
      <c r="E625" s="181" t="s">
        <v>250</v>
      </c>
      <c r="F625" s="181" t="s">
        <v>251</v>
      </c>
      <c r="G625" s="181" t="s">
        <v>730</v>
      </c>
    </row>
    <row r="626" spans="5:7" s="181" customFormat="1" ht="25.5" hidden="1" customHeight="1">
      <c r="E626" s="181" t="s">
        <v>250</v>
      </c>
      <c r="F626" s="181" t="s">
        <v>251</v>
      </c>
      <c r="G626" s="181" t="s">
        <v>731</v>
      </c>
    </row>
    <row r="627" spans="5:7" s="181" customFormat="1" ht="25.5" hidden="1" customHeight="1">
      <c r="E627" s="181" t="s">
        <v>250</v>
      </c>
      <c r="F627" s="181" t="s">
        <v>732</v>
      </c>
      <c r="G627" s="181" t="s">
        <v>733</v>
      </c>
    </row>
    <row r="628" spans="5:7" s="181" customFormat="1" ht="25.5" hidden="1" customHeight="1">
      <c r="E628" s="181" t="s">
        <v>250</v>
      </c>
      <c r="F628" s="181" t="s">
        <v>732</v>
      </c>
      <c r="G628" s="181" t="s">
        <v>734</v>
      </c>
    </row>
    <row r="629" spans="5:7" s="181" customFormat="1" ht="25.5" hidden="1" customHeight="1">
      <c r="E629" s="181" t="s">
        <v>250</v>
      </c>
      <c r="F629" s="181" t="s">
        <v>732</v>
      </c>
      <c r="G629" s="181" t="s">
        <v>735</v>
      </c>
    </row>
    <row r="630" spans="5:7" s="181" customFormat="1" ht="25.5" hidden="1" customHeight="1">
      <c r="E630" s="181" t="s">
        <v>250</v>
      </c>
      <c r="F630" s="181" t="s">
        <v>732</v>
      </c>
      <c r="G630" s="181" t="s">
        <v>736</v>
      </c>
    </row>
    <row r="631" spans="5:7" s="181" customFormat="1" ht="25.5" hidden="1" customHeight="1">
      <c r="E631" s="181" t="s">
        <v>250</v>
      </c>
      <c r="F631" s="181" t="s">
        <v>732</v>
      </c>
      <c r="G631" s="181" t="s">
        <v>737</v>
      </c>
    </row>
    <row r="632" spans="5:7" s="181" customFormat="1" ht="25.5" hidden="1" customHeight="1">
      <c r="E632" s="181" t="s">
        <v>250</v>
      </c>
      <c r="F632" s="181" t="s">
        <v>732</v>
      </c>
      <c r="G632" s="181" t="s">
        <v>738</v>
      </c>
    </row>
    <row r="633" spans="5:7" s="181" customFormat="1" ht="25.5" hidden="1" customHeight="1">
      <c r="E633" s="181" t="s">
        <v>250</v>
      </c>
      <c r="F633" s="181" t="s">
        <v>732</v>
      </c>
      <c r="G633" s="181" t="s">
        <v>739</v>
      </c>
    </row>
    <row r="634" spans="5:7" s="181" customFormat="1" ht="25.5" hidden="1" customHeight="1"/>
    <row r="635" spans="5:7" s="181" customFormat="1" ht="25.5" hidden="1" customHeight="1"/>
    <row r="636" spans="5:7" s="181" customFormat="1" ht="25.5" hidden="1" customHeight="1">
      <c r="E636" s="181" t="s">
        <v>250</v>
      </c>
      <c r="F636" s="181" t="s">
        <v>252</v>
      </c>
      <c r="G636" s="181" t="s">
        <v>740</v>
      </c>
    </row>
    <row r="637" spans="5:7" s="181" customFormat="1" ht="25.5" hidden="1" customHeight="1">
      <c r="E637" s="181" t="s">
        <v>250</v>
      </c>
      <c r="F637" s="181" t="s">
        <v>252</v>
      </c>
      <c r="G637" s="181" t="s">
        <v>741</v>
      </c>
    </row>
    <row r="638" spans="5:7" s="181" customFormat="1" ht="25.5" hidden="1" customHeight="1">
      <c r="E638" s="181" t="s">
        <v>250</v>
      </c>
      <c r="F638" s="181" t="s">
        <v>742</v>
      </c>
      <c r="G638" s="181" t="s">
        <v>743</v>
      </c>
    </row>
    <row r="639" spans="5:7" s="181" customFormat="1" ht="25.5" hidden="1" customHeight="1">
      <c r="E639" s="181" t="s">
        <v>250</v>
      </c>
      <c r="F639" s="181" t="s">
        <v>742</v>
      </c>
      <c r="G639" s="181" t="s">
        <v>744</v>
      </c>
    </row>
    <row r="640" spans="5:7" s="181" customFormat="1" ht="25.5" hidden="1" customHeight="1">
      <c r="E640" s="181" t="s">
        <v>250</v>
      </c>
      <c r="F640" s="181" t="s">
        <v>742</v>
      </c>
      <c r="G640" s="181" t="s">
        <v>745</v>
      </c>
    </row>
    <row r="641" spans="5:7" s="181" customFormat="1" ht="25.5" hidden="1" customHeight="1">
      <c r="E641" s="181" t="s">
        <v>250</v>
      </c>
      <c r="F641" s="181" t="s">
        <v>742</v>
      </c>
      <c r="G641" s="181" t="s">
        <v>746</v>
      </c>
    </row>
    <row r="642" spans="5:7" s="181" customFormat="1" ht="25.5" hidden="1" customHeight="1">
      <c r="E642" s="181" t="s">
        <v>250</v>
      </c>
      <c r="F642" s="181" t="s">
        <v>742</v>
      </c>
      <c r="G642" s="181" t="s">
        <v>747</v>
      </c>
    </row>
    <row r="643" spans="5:7" s="181" customFormat="1" ht="25.5" hidden="1" customHeight="1">
      <c r="E643" s="181" t="s">
        <v>250</v>
      </c>
      <c r="F643" s="181" t="s">
        <v>254</v>
      </c>
      <c r="G643" s="181" t="s">
        <v>748</v>
      </c>
    </row>
    <row r="644" spans="5:7" s="181" customFormat="1" ht="25.5" hidden="1" customHeight="1">
      <c r="E644" s="181" t="s">
        <v>250</v>
      </c>
      <c r="F644" s="181" t="s">
        <v>254</v>
      </c>
      <c r="G644" s="181" t="s">
        <v>749</v>
      </c>
    </row>
    <row r="645" spans="5:7" s="181" customFormat="1" ht="25.5" hidden="1" customHeight="1">
      <c r="E645" s="181" t="s">
        <v>250</v>
      </c>
      <c r="F645" s="181" t="s">
        <v>750</v>
      </c>
      <c r="G645" s="181" t="s">
        <v>751</v>
      </c>
    </row>
    <row r="646" spans="5:7" s="181" customFormat="1" ht="25.5" hidden="1" customHeight="1">
      <c r="E646" s="181" t="s">
        <v>250</v>
      </c>
      <c r="F646" s="181" t="s">
        <v>750</v>
      </c>
      <c r="G646" s="181" t="s">
        <v>752</v>
      </c>
    </row>
    <row r="647" spans="5:7" s="181" customFormat="1" ht="25.5" hidden="1" customHeight="1">
      <c r="E647" s="181" t="s">
        <v>250</v>
      </c>
      <c r="F647" s="181" t="s">
        <v>750</v>
      </c>
      <c r="G647" s="181" t="s">
        <v>753</v>
      </c>
    </row>
    <row r="648" spans="5:7" s="181" customFormat="1" ht="25.5" hidden="1" customHeight="1">
      <c r="E648" s="181" t="s">
        <v>250</v>
      </c>
      <c r="F648" s="181" t="s">
        <v>750</v>
      </c>
      <c r="G648" s="181" t="s">
        <v>754</v>
      </c>
    </row>
    <row r="649" spans="5:7" s="181" customFormat="1" ht="25.5" hidden="1" customHeight="1">
      <c r="E649" s="181" t="s">
        <v>250</v>
      </c>
      <c r="F649" s="181" t="s">
        <v>750</v>
      </c>
      <c r="G649" s="181" t="s">
        <v>755</v>
      </c>
    </row>
    <row r="650" spans="5:7" s="181" customFormat="1" ht="25.5" hidden="1" customHeight="1">
      <c r="E650" s="181" t="s">
        <v>250</v>
      </c>
      <c r="F650" s="181" t="s">
        <v>750</v>
      </c>
      <c r="G650" s="181" t="s">
        <v>756</v>
      </c>
    </row>
    <row r="651" spans="5:7" s="181" customFormat="1" ht="25.5" hidden="1" customHeight="1">
      <c r="E651" s="181" t="s">
        <v>250</v>
      </c>
      <c r="F651" s="181" t="s">
        <v>750</v>
      </c>
      <c r="G651" s="181" t="s">
        <v>757</v>
      </c>
    </row>
    <row r="652" spans="5:7" s="181" customFormat="1" ht="25.5" hidden="1" customHeight="1">
      <c r="E652" s="181" t="s">
        <v>250</v>
      </c>
      <c r="F652" s="181" t="s">
        <v>250</v>
      </c>
      <c r="G652" s="181" t="s">
        <v>758</v>
      </c>
    </row>
    <row r="653" spans="5:7" s="181" customFormat="1" ht="25.5" hidden="1" customHeight="1">
      <c r="E653" s="181" t="s">
        <v>250</v>
      </c>
      <c r="F653" s="181" t="s">
        <v>250</v>
      </c>
      <c r="G653" s="181" t="s">
        <v>759</v>
      </c>
    </row>
    <row r="654" spans="5:7" s="181" customFormat="1" ht="25.5" hidden="1" customHeight="1">
      <c r="E654" s="181" t="s">
        <v>250</v>
      </c>
      <c r="F654" s="181" t="s">
        <v>250</v>
      </c>
      <c r="G654" s="181" t="s">
        <v>760</v>
      </c>
    </row>
    <row r="655" spans="5:7" s="181" customFormat="1" ht="25.5" hidden="1" customHeight="1">
      <c r="E655" s="181" t="s">
        <v>250</v>
      </c>
      <c r="F655" s="181" t="s">
        <v>761</v>
      </c>
      <c r="G655" s="181" t="s">
        <v>762</v>
      </c>
    </row>
    <row r="656" spans="5:7" s="181" customFormat="1" ht="25.5" hidden="1" customHeight="1">
      <c r="E656" s="181" t="s">
        <v>250</v>
      </c>
      <c r="F656" s="181" t="s">
        <v>250</v>
      </c>
      <c r="G656" s="181" t="s">
        <v>763</v>
      </c>
    </row>
    <row r="657" spans="5:7" s="181" customFormat="1" ht="25.5" hidden="1" customHeight="1">
      <c r="E657" s="181" t="s">
        <v>250</v>
      </c>
      <c r="F657" s="181" t="s">
        <v>250</v>
      </c>
      <c r="G657" s="181" t="s">
        <v>764</v>
      </c>
    </row>
    <row r="658" spans="5:7" s="181" customFormat="1" ht="25.5" hidden="1" customHeight="1">
      <c r="E658" s="181" t="s">
        <v>250</v>
      </c>
      <c r="F658" s="181" t="s">
        <v>250</v>
      </c>
      <c r="G658" s="181" t="s">
        <v>765</v>
      </c>
    </row>
    <row r="659" spans="5:7" s="181" customFormat="1" ht="25.5" hidden="1" customHeight="1">
      <c r="E659" s="181" t="s">
        <v>250</v>
      </c>
      <c r="F659" s="181" t="s">
        <v>761</v>
      </c>
      <c r="G659" s="182" t="s">
        <v>766</v>
      </c>
    </row>
    <row r="660" spans="5:7" s="181" customFormat="1" ht="25.5" hidden="1" customHeight="1">
      <c r="E660" s="181" t="s">
        <v>250</v>
      </c>
      <c r="F660" s="181" t="s">
        <v>761</v>
      </c>
      <c r="G660" s="181" t="s">
        <v>767</v>
      </c>
    </row>
    <row r="661" spans="5:7" s="181" customFormat="1" ht="25.5" hidden="1" customHeight="1">
      <c r="E661" s="181" t="s">
        <v>250</v>
      </c>
      <c r="F661" s="181" t="s">
        <v>761</v>
      </c>
      <c r="G661" s="181" t="s">
        <v>768</v>
      </c>
    </row>
    <row r="662" spans="5:7" s="181" customFormat="1" ht="25.5" hidden="1" customHeight="1">
      <c r="E662" s="181" t="s">
        <v>250</v>
      </c>
      <c r="F662" s="181" t="s">
        <v>761</v>
      </c>
      <c r="G662" s="181" t="s">
        <v>769</v>
      </c>
    </row>
    <row r="663" spans="5:7" s="181" customFormat="1" ht="25.5" hidden="1" customHeight="1">
      <c r="E663" s="181" t="s">
        <v>250</v>
      </c>
      <c r="F663" s="181" t="s">
        <v>761</v>
      </c>
      <c r="G663" s="181" t="s">
        <v>770</v>
      </c>
    </row>
    <row r="664" spans="5:7" s="181" customFormat="1" ht="25.5" hidden="1" customHeight="1"/>
    <row r="665" spans="5:7" s="181" customFormat="1" ht="25.5" hidden="1" customHeight="1"/>
    <row r="666" spans="5:7" s="181" customFormat="1" ht="25.5" hidden="1" customHeight="1"/>
    <row r="667" spans="5:7" s="181" customFormat="1" ht="25.5" hidden="1" customHeight="1"/>
    <row r="668" spans="5:7" s="181" customFormat="1" ht="25.5" hidden="1" customHeight="1"/>
    <row r="669" spans="5:7" s="181" customFormat="1" ht="25.5" hidden="1" customHeight="1"/>
    <row r="670" spans="5:7" s="181" customFormat="1" ht="25.5" hidden="1" customHeight="1"/>
    <row r="671" spans="5:7" s="181" customFormat="1" ht="25.5" hidden="1" customHeight="1"/>
    <row r="672" spans="5:7" s="181" customFormat="1" ht="25.5" hidden="1" customHeight="1"/>
    <row r="673" s="181" customFormat="1" ht="25.5" hidden="1" customHeight="1"/>
    <row r="674" s="181" customFormat="1" ht="25.5" hidden="1" customHeight="1"/>
    <row r="675" s="181" customFormat="1" ht="25.5" hidden="1" customHeight="1"/>
    <row r="676" s="181" customFormat="1" ht="25.5" hidden="1" customHeight="1"/>
    <row r="677" s="181" customFormat="1" ht="25.5" hidden="1" customHeight="1"/>
    <row r="678" s="181" customFormat="1" ht="25.5" hidden="1" customHeight="1"/>
    <row r="679" s="181" customFormat="1" ht="25.5" hidden="1" customHeight="1"/>
    <row r="680" s="181" customFormat="1" ht="25.5" hidden="1" customHeight="1"/>
    <row r="681" s="181" customFormat="1" ht="25.5" hidden="1" customHeight="1"/>
    <row r="682" s="181" customFormat="1" ht="25.5" hidden="1" customHeight="1"/>
    <row r="683" s="181" customFormat="1" ht="25.5" hidden="1" customHeight="1"/>
    <row r="684" s="181" customFormat="1" ht="25.5" hidden="1" customHeight="1"/>
    <row r="685" s="181" customFormat="1" ht="25.5" hidden="1" customHeight="1"/>
    <row r="686" s="181" customFormat="1" ht="25.5" hidden="1" customHeight="1"/>
    <row r="687" s="181" customFormat="1" ht="25.5" hidden="1" customHeight="1"/>
    <row r="688" s="181" customFormat="1" ht="25.5" hidden="1" customHeight="1"/>
    <row r="689" s="181" customFormat="1" ht="25.5" hidden="1" customHeight="1"/>
    <row r="690" s="181" customFormat="1" ht="25.5" hidden="1" customHeight="1"/>
    <row r="691" s="181" customFormat="1" ht="25.5" hidden="1" customHeight="1"/>
    <row r="692" s="181" customFormat="1" ht="25.5" hidden="1" customHeight="1"/>
    <row r="693" s="181" customFormat="1" ht="25.5" hidden="1" customHeight="1"/>
    <row r="694" s="181" customFormat="1" ht="25.5" hidden="1" customHeight="1"/>
    <row r="695" s="181" customFormat="1" ht="25.5" hidden="1" customHeight="1"/>
    <row r="696" s="181" customFormat="1" ht="25.5" hidden="1" customHeight="1"/>
    <row r="697" s="181" customFormat="1" ht="25.5" hidden="1" customHeight="1"/>
    <row r="698" s="181" customFormat="1" ht="25.5" hidden="1" customHeight="1"/>
    <row r="699" s="181" customFormat="1" ht="25.5" hidden="1" customHeight="1"/>
    <row r="700" s="181" customFormat="1" ht="25.5" hidden="1" customHeight="1"/>
    <row r="701" s="181" customFormat="1" ht="25.5" hidden="1" customHeight="1"/>
    <row r="702" s="181" customFormat="1" ht="25.5" hidden="1" customHeight="1"/>
    <row r="703" s="181" customFormat="1" ht="25.5" hidden="1" customHeight="1"/>
    <row r="704" s="181" customFormat="1" ht="25.5" hidden="1" customHeight="1"/>
    <row r="705" s="181" customFormat="1" ht="25.5" hidden="1" customHeight="1"/>
    <row r="706" s="181" customFormat="1" ht="25.5" hidden="1" customHeight="1"/>
    <row r="707" s="181" customFormat="1" ht="25.5" hidden="1" customHeight="1"/>
    <row r="708" s="181" customFormat="1" ht="25.5" hidden="1" customHeight="1"/>
    <row r="709" s="181" customFormat="1" ht="25.5" hidden="1" customHeight="1"/>
    <row r="710" s="181" customFormat="1" ht="25.5" hidden="1" customHeight="1"/>
    <row r="711" s="181" customFormat="1" ht="25.5" hidden="1" customHeight="1"/>
    <row r="712" s="181" customFormat="1" ht="25.5" hidden="1" customHeight="1"/>
    <row r="713" s="181" customFormat="1" ht="25.5" hidden="1" customHeight="1"/>
    <row r="714" s="181" customFormat="1" ht="25.5" hidden="1" customHeight="1"/>
    <row r="715" s="181" customFormat="1" ht="25.5" hidden="1" customHeight="1"/>
    <row r="716" s="181" customFormat="1" ht="25.5" hidden="1" customHeight="1"/>
    <row r="717" s="181" customFormat="1" ht="25.5" hidden="1" customHeight="1"/>
    <row r="718" s="181" customFormat="1" ht="25.5" hidden="1" customHeight="1"/>
    <row r="719" s="181" customFormat="1" ht="25.5" hidden="1" customHeight="1"/>
    <row r="720" s="181" customFormat="1" ht="25.5" hidden="1" customHeight="1"/>
    <row r="721" s="181" customFormat="1" ht="25.5" hidden="1" customHeight="1"/>
    <row r="722" s="181" customFormat="1" ht="25.5" hidden="1" customHeight="1"/>
    <row r="723" s="181" customFormat="1" ht="25.5" hidden="1" customHeight="1"/>
    <row r="724" s="181" customFormat="1" ht="25.5" hidden="1" customHeight="1"/>
    <row r="725" s="181" customFormat="1" ht="25.5" hidden="1" customHeight="1"/>
    <row r="726" s="181" customFormat="1" ht="25.5" hidden="1" customHeight="1"/>
    <row r="727" s="181" customFormat="1" ht="25.5" hidden="1" customHeight="1"/>
    <row r="728" s="181" customFormat="1" ht="25.5" hidden="1" customHeight="1"/>
    <row r="729" s="181" customFormat="1" ht="25.5" hidden="1" customHeight="1"/>
    <row r="730" s="181" customFormat="1" ht="25.5" hidden="1" customHeight="1"/>
    <row r="731" s="181" customFormat="1" ht="25.5" hidden="1" customHeight="1"/>
    <row r="732" s="181" customFormat="1" ht="25.5" hidden="1" customHeight="1"/>
    <row r="733" s="181" customFormat="1" ht="25.5" hidden="1" customHeight="1"/>
    <row r="734" s="181" customFormat="1" ht="25.5" hidden="1" customHeight="1"/>
    <row r="735" s="181" customFormat="1" ht="25.5" hidden="1" customHeight="1"/>
    <row r="736" s="181" customFormat="1" ht="25.5" hidden="1" customHeight="1"/>
    <row r="737" s="181" customFormat="1" ht="25.5" hidden="1" customHeight="1"/>
    <row r="738" s="181" customFormat="1" ht="25.5" hidden="1" customHeight="1"/>
    <row r="739" s="181" customFormat="1" ht="25.5" hidden="1" customHeight="1"/>
    <row r="740" s="181" customFormat="1" ht="25.5" hidden="1" customHeight="1"/>
    <row r="741" s="181" customFormat="1" ht="25.5" hidden="1" customHeight="1"/>
    <row r="742" s="181" customFormat="1" ht="25.5" hidden="1" customHeight="1"/>
    <row r="743" s="181" customFormat="1" ht="25.5" hidden="1" customHeight="1"/>
    <row r="744" s="181" customFormat="1" ht="25.5" hidden="1" customHeight="1"/>
    <row r="745" s="181" customFormat="1" ht="25.5" hidden="1" customHeight="1"/>
    <row r="746" s="181" customFormat="1" ht="25.5" hidden="1" customHeight="1"/>
    <row r="747" s="181" customFormat="1" ht="25.5" hidden="1" customHeight="1"/>
    <row r="748" s="181" customFormat="1" ht="25.5" hidden="1" customHeight="1"/>
    <row r="749" s="181" customFormat="1" ht="25.5" hidden="1" customHeight="1"/>
    <row r="750" s="181" customFormat="1" ht="25.5" hidden="1" customHeight="1"/>
    <row r="751" s="181" customFormat="1" ht="25.5" hidden="1" customHeight="1"/>
    <row r="752" s="181" customFormat="1" ht="25.5" hidden="1" customHeight="1"/>
    <row r="753" s="181" customFormat="1" ht="25.5" hidden="1" customHeight="1"/>
    <row r="754" s="181" customFormat="1" ht="25.5" hidden="1" customHeight="1"/>
    <row r="755" s="181" customFormat="1" ht="25.5" hidden="1" customHeight="1"/>
    <row r="756" s="181" customFormat="1" ht="25.5" hidden="1" customHeight="1"/>
    <row r="757" s="181" customFormat="1" ht="25.5" hidden="1" customHeight="1"/>
    <row r="758" s="181" customFormat="1" ht="25.5" hidden="1" customHeight="1"/>
    <row r="759" s="181" customFormat="1" ht="25.5" hidden="1" customHeight="1"/>
    <row r="760" s="181" customFormat="1" ht="25.5" hidden="1" customHeight="1"/>
    <row r="761" s="181" customFormat="1" ht="25.5" hidden="1" customHeight="1"/>
    <row r="762" s="181" customFormat="1" ht="25.5" hidden="1" customHeight="1"/>
    <row r="763" s="181"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9">
    <mergeCell ref="C6:G6"/>
    <mergeCell ref="U6:V6"/>
    <mergeCell ref="A1:R1"/>
    <mergeCell ref="A2:U2"/>
    <mergeCell ref="A3:R3"/>
    <mergeCell ref="A4:U4"/>
    <mergeCell ref="C5:G5"/>
    <mergeCell ref="C7:G7"/>
    <mergeCell ref="U7:Z7"/>
    <mergeCell ref="C8:G8"/>
    <mergeCell ref="T8:Z8"/>
    <mergeCell ref="C9:G9"/>
    <mergeCell ref="T9:U9"/>
    <mergeCell ref="Q11:Q12"/>
    <mergeCell ref="R11:T11"/>
    <mergeCell ref="U11:W11"/>
    <mergeCell ref="X11:X12"/>
    <mergeCell ref="A15:A17"/>
    <mergeCell ref="B15:M15"/>
    <mergeCell ref="N15:Y15"/>
    <mergeCell ref="R17:T17"/>
    <mergeCell ref="U17:W17"/>
    <mergeCell ref="X17:Y17"/>
    <mergeCell ref="Z15:Z18"/>
    <mergeCell ref="B16:H16"/>
    <mergeCell ref="I16:M16"/>
    <mergeCell ref="N16:T16"/>
    <mergeCell ref="U16:Y16"/>
    <mergeCell ref="B17:E17"/>
    <mergeCell ref="F17:H17"/>
    <mergeCell ref="I17:K17"/>
    <mergeCell ref="L17:M17"/>
    <mergeCell ref="N17:Q17"/>
    <mergeCell ref="A34:A35"/>
    <mergeCell ref="K34:P37"/>
    <mergeCell ref="S34:V34"/>
    <mergeCell ref="X35:Z35"/>
    <mergeCell ref="A36:A37"/>
    <mergeCell ref="S36:V36"/>
  </mergeCells>
  <dataValidations count="3">
    <dataValidation type="whole" allowBlank="1" showInputMessage="1" showErrorMessage="1" sqref="B18:Q18 B19:Y30" xr:uid="{6CED1EF6-5ED5-AC44-A695-CB47F4492A64}">
      <formula1>0</formula1>
      <formula2>100000</formula2>
    </dataValidation>
    <dataValidation type="list" allowBlank="1" showInputMessage="1" showErrorMessage="1" prompt="Select from drop down list" sqref="C9:G10" xr:uid="{AA435DF7-53FF-BB41-990C-627158FD3E04}">
      <formula1>"GeneXpert (Sputum &amp; EP), GeneXpert (Stool), Truenat"</formula1>
    </dataValidation>
    <dataValidation allowBlank="1" showInputMessage="1" showErrorMessage="1" prompt="Date Format:_x000a_DD/MM/YYYY" sqref="X18 V16 W9:W13" xr:uid="{8E606AF7-DF7F-FB45-B87D-A9C28EAD2510}"/>
  </dataValidations>
  <pageMargins left="0.21" right="0.17" top="0.47" bottom="0.22" header="0.23" footer="0.16"/>
  <pageSetup paperSize="9" scale="60"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217</vt:i4>
      </vt:variant>
    </vt:vector>
  </HeadingPairs>
  <TitlesOfParts>
    <vt:vector size="223" baseType="lpstr">
      <vt:lpstr>DR-TB 10A (Sputum &amp; EP Sample)</vt:lpstr>
      <vt:lpstr>DR-TB 10A (Stool)</vt:lpstr>
      <vt:lpstr>DR-TB 10B</vt:lpstr>
      <vt:lpstr>COVID19 Reporting Form</vt:lpstr>
      <vt:lpstr>For NTP Use</vt:lpstr>
      <vt:lpstr>XDR Cartridges Test Report</vt:lpstr>
      <vt:lpstr>'DR-TB 10A (Stool)'!Bagerhat</vt:lpstr>
      <vt:lpstr>'XDR Cartridges Test Report'!Bagerhat</vt:lpstr>
      <vt:lpstr>Bagerhat</vt:lpstr>
      <vt:lpstr>'DR-TB 10A (Stool)'!Bandarban</vt:lpstr>
      <vt:lpstr>'XDR Cartridges Test Report'!Bandarban</vt:lpstr>
      <vt:lpstr>Bandarban</vt:lpstr>
      <vt:lpstr>'DR-TB 10A (Stool)'!Barguna</vt:lpstr>
      <vt:lpstr>'XDR Cartridges Test Report'!Barguna</vt:lpstr>
      <vt:lpstr>Barguna</vt:lpstr>
      <vt:lpstr>'DR-TB 10A (Stool)'!Barisal</vt:lpstr>
      <vt:lpstr>'XDR Cartridges Test Report'!Barisal</vt:lpstr>
      <vt:lpstr>Barisal</vt:lpstr>
      <vt:lpstr>'DR-TB 10A (Stool)'!Barisal_Division</vt:lpstr>
      <vt:lpstr>'XDR Cartridges Test Report'!Barisal_Division</vt:lpstr>
      <vt:lpstr>Barisal_Division</vt:lpstr>
      <vt:lpstr>'DR-TB 10A (Stool)'!Bhola</vt:lpstr>
      <vt:lpstr>'XDR Cartridges Test Report'!Bhola</vt:lpstr>
      <vt:lpstr>Bhola</vt:lpstr>
      <vt:lpstr>'DR-TB 10A (Stool)'!Bogra</vt:lpstr>
      <vt:lpstr>'XDR Cartridges Test Report'!Bogra</vt:lpstr>
      <vt:lpstr>Bogra</vt:lpstr>
      <vt:lpstr>'DR-TB 10A (Stool)'!Brahmanbaria</vt:lpstr>
      <vt:lpstr>'XDR Cartridges Test Report'!Brahmanbaria</vt:lpstr>
      <vt:lpstr>Brahmanbaria</vt:lpstr>
      <vt:lpstr>'DR-TB 10A (Stool)'!Chandpur</vt:lpstr>
      <vt:lpstr>'XDR Cartridges Test Report'!Chandpur</vt:lpstr>
      <vt:lpstr>Chandpur</vt:lpstr>
      <vt:lpstr>'DR-TB 10A (Stool)'!Chattogram</vt:lpstr>
      <vt:lpstr>'XDR Cartridges Test Report'!Chattogram</vt:lpstr>
      <vt:lpstr>Chattogram</vt:lpstr>
      <vt:lpstr>'DR-TB 10A (Stool)'!Chattogram_Division</vt:lpstr>
      <vt:lpstr>'XDR Cartridges Test Report'!Chattogram_Division</vt:lpstr>
      <vt:lpstr>Chattogram_Division</vt:lpstr>
      <vt:lpstr>'DR-TB 10A (Stool)'!Chuadanga</vt:lpstr>
      <vt:lpstr>'XDR Cartridges Test Report'!Chuadanga</vt:lpstr>
      <vt:lpstr>Chuadanga</vt:lpstr>
      <vt:lpstr>'DR-TB 10A (Stool)'!Comilla</vt:lpstr>
      <vt:lpstr>'XDR Cartridges Test Report'!Comilla</vt:lpstr>
      <vt:lpstr>Comilla</vt:lpstr>
      <vt:lpstr>'DR-TB 10A (Stool)'!Coxs_Bazar</vt:lpstr>
      <vt:lpstr>'XDR Cartridges Test Report'!Coxs_Bazar</vt:lpstr>
      <vt:lpstr>Coxs_Bazar</vt:lpstr>
      <vt:lpstr>'DR-TB 10A (Stool)'!Dhaka</vt:lpstr>
      <vt:lpstr>'XDR Cartridges Test Report'!Dhaka</vt:lpstr>
      <vt:lpstr>Dhaka</vt:lpstr>
      <vt:lpstr>'DR-TB 10A (Stool)'!Dhaka_Division</vt:lpstr>
      <vt:lpstr>'XDR Cartridges Test Report'!Dhaka_Division</vt:lpstr>
      <vt:lpstr>Dhaka_Division</vt:lpstr>
      <vt:lpstr>'DR-TB 10A (Stool)'!Dinajpur</vt:lpstr>
      <vt:lpstr>'XDR Cartridges Test Report'!Dinajpur</vt:lpstr>
      <vt:lpstr>Dinajpur</vt:lpstr>
      <vt:lpstr>'DR-TB 10A (Stool)'!Faridpur</vt:lpstr>
      <vt:lpstr>'XDR Cartridges Test Report'!Faridpur</vt:lpstr>
      <vt:lpstr>Faridpur</vt:lpstr>
      <vt:lpstr>'DR-TB 10A (Stool)'!Feni</vt:lpstr>
      <vt:lpstr>'XDR Cartridges Test Report'!Feni</vt:lpstr>
      <vt:lpstr>Feni</vt:lpstr>
      <vt:lpstr>'DR-TB 10A (Stool)'!Gaibandha</vt:lpstr>
      <vt:lpstr>'XDR Cartridges Test Report'!Gaibandha</vt:lpstr>
      <vt:lpstr>Gaibandha</vt:lpstr>
      <vt:lpstr>'DR-TB 10A (Stool)'!Gazipur</vt:lpstr>
      <vt:lpstr>'XDR Cartridges Test Report'!Gazipur</vt:lpstr>
      <vt:lpstr>Gazipur</vt:lpstr>
      <vt:lpstr>'DR-TB 10A (Stool)'!Gopalganj</vt:lpstr>
      <vt:lpstr>'XDR Cartridges Test Report'!Gopalganj</vt:lpstr>
      <vt:lpstr>Gopalganj</vt:lpstr>
      <vt:lpstr>'DR-TB 10A (Stool)'!Habiganj</vt:lpstr>
      <vt:lpstr>'XDR Cartridges Test Report'!Habiganj</vt:lpstr>
      <vt:lpstr>Habiganj</vt:lpstr>
      <vt:lpstr>'DR-TB 10A (Stool)'!Jamalpur</vt:lpstr>
      <vt:lpstr>'XDR Cartridges Test Report'!Jamalpur</vt:lpstr>
      <vt:lpstr>Jamalpur</vt:lpstr>
      <vt:lpstr>'DR-TB 10A (Stool)'!Jessore</vt:lpstr>
      <vt:lpstr>'XDR Cartridges Test Report'!Jessore</vt:lpstr>
      <vt:lpstr>Jessore</vt:lpstr>
      <vt:lpstr>'DR-TB 10A (Stool)'!Jhalakathi</vt:lpstr>
      <vt:lpstr>'XDR Cartridges Test Report'!Jhalakathi</vt:lpstr>
      <vt:lpstr>Jhalakathi</vt:lpstr>
      <vt:lpstr>'DR-TB 10A (Stool)'!Jhenaidah</vt:lpstr>
      <vt:lpstr>'XDR Cartridges Test Report'!Jhenaidah</vt:lpstr>
      <vt:lpstr>Jhenaidah</vt:lpstr>
      <vt:lpstr>'DR-TB 10A (Stool)'!Joypurhat</vt:lpstr>
      <vt:lpstr>'XDR Cartridges Test Report'!Joypurhat</vt:lpstr>
      <vt:lpstr>Joypurhat</vt:lpstr>
      <vt:lpstr>'DR-TB 10A (Stool)'!Khagrachari</vt:lpstr>
      <vt:lpstr>'XDR Cartridges Test Report'!Khagrachari</vt:lpstr>
      <vt:lpstr>Khagrachari</vt:lpstr>
      <vt:lpstr>'DR-TB 10A (Stool)'!Khulna</vt:lpstr>
      <vt:lpstr>'XDR Cartridges Test Report'!Khulna</vt:lpstr>
      <vt:lpstr>Khulna</vt:lpstr>
      <vt:lpstr>'DR-TB 10A (Stool)'!Khulna_Division</vt:lpstr>
      <vt:lpstr>'XDR Cartridges Test Report'!Khulna_Division</vt:lpstr>
      <vt:lpstr>Khulna_Division</vt:lpstr>
      <vt:lpstr>'DR-TB 10A (Stool)'!Kishoreganj</vt:lpstr>
      <vt:lpstr>'XDR Cartridges Test Report'!Kishoreganj</vt:lpstr>
      <vt:lpstr>Kishoreganj</vt:lpstr>
      <vt:lpstr>'DR-TB 10A (Stool)'!Kurigram</vt:lpstr>
      <vt:lpstr>'XDR Cartridges Test Report'!Kurigram</vt:lpstr>
      <vt:lpstr>Kurigram</vt:lpstr>
      <vt:lpstr>'DR-TB 10A (Stool)'!Kushtia</vt:lpstr>
      <vt:lpstr>'XDR Cartridges Test Report'!Kushtia</vt:lpstr>
      <vt:lpstr>Kushtia</vt:lpstr>
      <vt:lpstr>'DR-TB 10A (Stool)'!Lalmonirhat</vt:lpstr>
      <vt:lpstr>'XDR Cartridges Test Report'!Lalmonirhat</vt:lpstr>
      <vt:lpstr>Lalmonirhat</vt:lpstr>
      <vt:lpstr>'DR-TB 10A (Stool)'!Laxmipur</vt:lpstr>
      <vt:lpstr>'XDR Cartridges Test Report'!Laxmipur</vt:lpstr>
      <vt:lpstr>Laxmipur</vt:lpstr>
      <vt:lpstr>'DR-TB 10A (Stool)'!Madaripur</vt:lpstr>
      <vt:lpstr>'XDR Cartridges Test Report'!Madaripur</vt:lpstr>
      <vt:lpstr>Madaripur</vt:lpstr>
      <vt:lpstr>'DR-TB 10A (Stool)'!Magura</vt:lpstr>
      <vt:lpstr>'XDR Cartridges Test Report'!Magura</vt:lpstr>
      <vt:lpstr>Magura</vt:lpstr>
      <vt:lpstr>'DR-TB 10A (Stool)'!Manikganj</vt:lpstr>
      <vt:lpstr>'XDR Cartridges Test Report'!Manikganj</vt:lpstr>
      <vt:lpstr>Manikganj</vt:lpstr>
      <vt:lpstr>'DR-TB 10A (Stool)'!Meherpur</vt:lpstr>
      <vt:lpstr>'XDR Cartridges Test Report'!Meherpur</vt:lpstr>
      <vt:lpstr>Meherpur</vt:lpstr>
      <vt:lpstr>'DR-TB 10A (Stool)'!Moulvibazar</vt:lpstr>
      <vt:lpstr>'XDR Cartridges Test Report'!Moulvibazar</vt:lpstr>
      <vt:lpstr>Moulvibazar</vt:lpstr>
      <vt:lpstr>'DR-TB 10A (Stool)'!Munshiganj</vt:lpstr>
      <vt:lpstr>'XDR Cartridges Test Report'!Munshiganj</vt:lpstr>
      <vt:lpstr>Munshiganj</vt:lpstr>
      <vt:lpstr>'DR-TB 10A (Stool)'!Mymensingh</vt:lpstr>
      <vt:lpstr>'XDR Cartridges Test Report'!Mymensingh</vt:lpstr>
      <vt:lpstr>Mymensingh</vt:lpstr>
      <vt:lpstr>'DR-TB 10A (Stool)'!Mymensingh_Division</vt:lpstr>
      <vt:lpstr>'XDR Cartridges Test Report'!Mymensingh_Division</vt:lpstr>
      <vt:lpstr>Mymensingh_Division</vt:lpstr>
      <vt:lpstr>'DR-TB 10A (Stool)'!Naogaon</vt:lpstr>
      <vt:lpstr>'XDR Cartridges Test Report'!Naogaon</vt:lpstr>
      <vt:lpstr>Naogaon</vt:lpstr>
      <vt:lpstr>'DR-TB 10A (Stool)'!Narail</vt:lpstr>
      <vt:lpstr>'XDR Cartridges Test Report'!Narail</vt:lpstr>
      <vt:lpstr>Narail</vt:lpstr>
      <vt:lpstr>'DR-TB 10A (Stool)'!Narayanganj</vt:lpstr>
      <vt:lpstr>'XDR Cartridges Test Report'!Narayanganj</vt:lpstr>
      <vt:lpstr>Narayanganj</vt:lpstr>
      <vt:lpstr>'DR-TB 10A (Stool)'!Narsingdi</vt:lpstr>
      <vt:lpstr>'XDR Cartridges Test Report'!Narsingdi</vt:lpstr>
      <vt:lpstr>Narsingdi</vt:lpstr>
      <vt:lpstr>'DR-TB 10A (Stool)'!Natore</vt:lpstr>
      <vt:lpstr>'XDR Cartridges Test Report'!Natore</vt:lpstr>
      <vt:lpstr>Natore</vt:lpstr>
      <vt:lpstr>'DR-TB 10A (Stool)'!Nawabganj</vt:lpstr>
      <vt:lpstr>'XDR Cartridges Test Report'!Nawabganj</vt:lpstr>
      <vt:lpstr>Nawabganj</vt:lpstr>
      <vt:lpstr>'DR-TB 10A (Stool)'!Netrakona</vt:lpstr>
      <vt:lpstr>'XDR Cartridges Test Report'!Netrakona</vt:lpstr>
      <vt:lpstr>Netrakona</vt:lpstr>
      <vt:lpstr>'DR-TB 10A (Stool)'!Nilphamari</vt:lpstr>
      <vt:lpstr>'XDR Cartridges Test Report'!Nilphamari</vt:lpstr>
      <vt:lpstr>Nilphamari</vt:lpstr>
      <vt:lpstr>'DR-TB 10A (Stool)'!Noakhali</vt:lpstr>
      <vt:lpstr>'XDR Cartridges Test Report'!Noakhali</vt:lpstr>
      <vt:lpstr>Noakhali</vt:lpstr>
      <vt:lpstr>'DR-TB 10A (Stool)'!Pabna</vt:lpstr>
      <vt:lpstr>'XDR Cartridges Test Report'!Pabna</vt:lpstr>
      <vt:lpstr>Pabna</vt:lpstr>
      <vt:lpstr>'DR-TB 10A (Stool)'!Panchagarh</vt:lpstr>
      <vt:lpstr>'XDR Cartridges Test Report'!Panchagarh</vt:lpstr>
      <vt:lpstr>Panchagarh</vt:lpstr>
      <vt:lpstr>'DR-TB 10A (Stool)'!Patuakhali</vt:lpstr>
      <vt:lpstr>'XDR Cartridges Test Report'!Patuakhali</vt:lpstr>
      <vt:lpstr>Patuakhali</vt:lpstr>
      <vt:lpstr>'DR-TB 10A (Stool)'!Pirojpur</vt:lpstr>
      <vt:lpstr>'XDR Cartridges Test Report'!Pirojpur</vt:lpstr>
      <vt:lpstr>Pirojpur</vt:lpstr>
      <vt:lpstr>'XDR Cartridges Test Report'!Print_Area</vt:lpstr>
      <vt:lpstr>'DR-TB 10A (Stool)'!Rajbari</vt:lpstr>
      <vt:lpstr>'XDR Cartridges Test Report'!Rajbari</vt:lpstr>
      <vt:lpstr>Rajbari</vt:lpstr>
      <vt:lpstr>'DR-TB 10A (Stool)'!Rajshahi</vt:lpstr>
      <vt:lpstr>'XDR Cartridges Test Report'!Rajshahi</vt:lpstr>
      <vt:lpstr>Rajshahi</vt:lpstr>
      <vt:lpstr>'DR-TB 10A (Stool)'!Rajshahi_Division</vt:lpstr>
      <vt:lpstr>'XDR Cartridges Test Report'!Rajshahi_Division</vt:lpstr>
      <vt:lpstr>Rajshahi_Division</vt:lpstr>
      <vt:lpstr>'DR-TB 10A (Stool)'!Rangamati</vt:lpstr>
      <vt:lpstr>'XDR Cartridges Test Report'!Rangamati</vt:lpstr>
      <vt:lpstr>Rangamati</vt:lpstr>
      <vt:lpstr>'DR-TB 10A (Stool)'!Rangpur</vt:lpstr>
      <vt:lpstr>'XDR Cartridges Test Report'!Rangpur</vt:lpstr>
      <vt:lpstr>Rangpur</vt:lpstr>
      <vt:lpstr>'DR-TB 10A (Stool)'!Rangpur_Division</vt:lpstr>
      <vt:lpstr>'XDR Cartridges Test Report'!Rangpur_Division</vt:lpstr>
      <vt:lpstr>Rangpur_Division</vt:lpstr>
      <vt:lpstr>'DR-TB 10A (Stool)'!Satkhira</vt:lpstr>
      <vt:lpstr>'XDR Cartridges Test Report'!Satkhira</vt:lpstr>
      <vt:lpstr>Satkhira</vt:lpstr>
      <vt:lpstr>'DR-TB 10A (Stool)'!Shariatpur</vt:lpstr>
      <vt:lpstr>'XDR Cartridges Test Report'!Shariatpur</vt:lpstr>
      <vt:lpstr>Shariatpur</vt:lpstr>
      <vt:lpstr>'DR-TB 10A (Stool)'!Sherpur</vt:lpstr>
      <vt:lpstr>'XDR Cartridges Test Report'!Sherpur</vt:lpstr>
      <vt:lpstr>Sherpur</vt:lpstr>
      <vt:lpstr>'DR-TB 10A (Stool)'!Sirajganj</vt:lpstr>
      <vt:lpstr>'XDR Cartridges Test Report'!Sirajganj</vt:lpstr>
      <vt:lpstr>Sirajganj</vt:lpstr>
      <vt:lpstr>'DR-TB 10A (Stool)'!Sunamganj</vt:lpstr>
      <vt:lpstr>'XDR Cartridges Test Report'!Sunamganj</vt:lpstr>
      <vt:lpstr>Sunamganj</vt:lpstr>
      <vt:lpstr>'DR-TB 10A (Stool)'!Sylhet</vt:lpstr>
      <vt:lpstr>'XDR Cartridges Test Report'!Sylhet</vt:lpstr>
      <vt:lpstr>Sylhet</vt:lpstr>
      <vt:lpstr>'DR-TB 10A (Stool)'!Sylhet_Division</vt:lpstr>
      <vt:lpstr>'XDR Cartridges Test Report'!Sylhet_Division</vt:lpstr>
      <vt:lpstr>Sylhet_Division</vt:lpstr>
      <vt:lpstr>'DR-TB 10A (Stool)'!Tangail</vt:lpstr>
      <vt:lpstr>'XDR Cartridges Test Report'!Tangail</vt:lpstr>
      <vt:lpstr>Tangail</vt:lpstr>
      <vt:lpstr>'DR-TB 10A (Stool)'!Thakurgaon</vt:lpstr>
      <vt:lpstr>'XDR Cartridges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2025-08-24T22:24:21Z</dcterms:modified>
  <cp:category/>
  <cp:contentStatus/>
</cp:coreProperties>
</file>