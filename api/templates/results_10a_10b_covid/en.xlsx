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924"/>
  <workbookPr showInkAnnotation="0" defaultThemeVersion="124226"/>
  <mc:AlternateContent xmlns:mc="http://schemas.openxmlformats.org/markup-compatibility/2006">
    <mc:Choice Requires="x15">
      <x15ac:absPath xmlns:x15ac="http://schemas.microsoft.com/office/spreadsheetml/2010/11/ac" url="\\wsl.localhost\Ubuntu-18.04\home\nsabaj\Repositories\aspect\api\templates\results_10a_10b_covid\"/>
    </mc:Choice>
  </mc:AlternateContent>
  <xr:revisionPtr revIDLastSave="0" documentId="13_ncr:1_{757DC760-91F1-4DCC-B32F-943961AF63A3}" xr6:coauthVersionLast="47" xr6:coauthVersionMax="47" xr10:uidLastSave="{00000000-0000-0000-0000-000000000000}"/>
  <bookViews>
    <workbookView xWindow="22932" yWindow="-144" windowWidth="23256" windowHeight="12456" xr2:uid="{00000000-000D-0000-FFFF-FFFF0000000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<sst xmlns="http://schemas.openxmlformats.org/spreadsheetml/2006/main" count="3988" uniqueCount="877">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</sst>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dd\/mm\/yyyy"/>
    <numFmt numFmtId="165" formatCode="[$-409]General"/>
    <numFmt numFmtId="166" formatCode="[$$-409]#,##0.00;[Red]&quot;-&quot;[$$-409]#,##0.00"/>
  </numFmts>
  <fonts count="5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5" fontId="20" fillId="0" borderId="0"/>
    <xf numFmtId="0" fontId="30" fillId="0" borderId="0">
      <alignment horizontal="center"/>
    </xf>
    <xf numFmtId="0" fontId="30" fillId="0" borderId="0">
      <alignment horizontal="center" textRotation="90"/>
    </xf>
    <xf numFmtId="0" fontId="3" fillId="0" borderId="0"/>
    <xf numFmtId="165" fontId="20" fillId="0" borderId="0"/>
    <xf numFmtId="165" fontId="20" fillId="0" borderId="0"/>
    <xf numFmtId="0" fontId="28" fillId="0" borderId="0"/>
    <xf numFmtId="0" fontId="31" fillId="0" borderId="0"/>
    <xf numFmtId="166" fontId="31"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86">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4"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4"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5" fillId="0" borderId="56" xfId="0" applyFont="1" applyBorder="1" applyAlignment="1" applyProtection="1">
      <alignment horizontal="center" vertical="center" shrinkToFit="1"/>
      <protection locked="0"/>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8" fillId="11" borderId="9" xfId="0" applyFont="1" applyFill="1" applyBorder="1" applyAlignment="1" applyProtection="1">
      <alignment vertical="center"/>
      <protection hidden="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1" fillId="0" borderId="0" xfId="0" applyFont="1" applyAlignment="1" applyProtection="1">
      <alignment horizontal="center" vertical="center"/>
      <protection hidden="1"/>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1" fillId="3" borderId="11" xfId="0" applyFont="1" applyFill="1" applyBorder="1" applyAlignment="1">
      <alignment horizontal="center" vertical="center"/>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19" fillId="0" borderId="2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10" xfId="0" applyFont="1" applyBorder="1" applyAlignment="1" applyProtection="1">
      <alignment horizontal="center" vertical="center" wrapText="1"/>
      <protection locked="0"/>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1" fillId="3" borderId="13" xfId="0" applyFont="1" applyFill="1" applyBorder="1" applyAlignment="1">
      <alignment horizontal="center" vertical="center"/>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164"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4"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17" fillId="0" borderId="0" xfId="0" applyFont="1" applyAlignment="1" applyProtection="1">
      <alignment horizontal="center" vertical="center" wrapTex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117"/>
  <sheetViews>
    <sheetView showGridLines="0" tabSelected="1" view="pageBreakPreview" zoomScaleSheetLayoutView="100" workbookViewId="0">
      <selection sqref="A1:R1"/>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16" t="s">
        <v>807</v>
      </c>
      <c r="B1" s="216"/>
      <c r="C1" s="216"/>
      <c r="D1" s="216"/>
      <c r="E1" s="216"/>
      <c r="F1" s="216"/>
      <c r="G1" s="216"/>
      <c r="H1" s="216"/>
      <c r="I1" s="216"/>
      <c r="J1" s="216"/>
      <c r="K1" s="216"/>
      <c r="L1" s="216"/>
      <c r="M1" s="216"/>
      <c r="N1" s="216"/>
      <c r="O1" s="216"/>
      <c r="P1" s="216"/>
      <c r="Q1" s="216"/>
      <c r="R1" s="216"/>
      <c r="S1" s="1" t="s">
        <v>66</v>
      </c>
      <c r="T1" s="1"/>
      <c r="U1" s="1"/>
      <c r="V1" s="36"/>
      <c r="W1" s="1"/>
      <c r="X1" s="1"/>
    </row>
    <row r="2" spans="1:603" ht="13.9" customHeight="1" x14ac:dyDescent="0.3">
      <c r="A2" s="216" t="s">
        <v>63</v>
      </c>
      <c r="B2" s="216"/>
      <c r="C2" s="216"/>
      <c r="D2" s="216"/>
      <c r="E2" s="216"/>
      <c r="F2" s="216"/>
      <c r="G2" s="216"/>
      <c r="H2" s="216"/>
      <c r="I2" s="216"/>
      <c r="J2" s="216"/>
      <c r="K2" s="216"/>
      <c r="L2" s="216"/>
      <c r="M2" s="216"/>
      <c r="N2" s="216"/>
      <c r="O2" s="216"/>
      <c r="P2" s="216"/>
      <c r="Q2" s="216"/>
      <c r="R2" s="216"/>
      <c r="S2" s="216"/>
      <c r="T2" s="216"/>
      <c r="U2" s="216"/>
      <c r="V2" s="38"/>
      <c r="W2" s="1"/>
      <c r="X2" s="1"/>
    </row>
    <row r="3" spans="1:603" ht="13.9" customHeight="1" x14ac:dyDescent="0.3">
      <c r="A3" s="216" t="s">
        <v>74</v>
      </c>
      <c r="B3" s="216"/>
      <c r="C3" s="216"/>
      <c r="D3" s="216"/>
      <c r="E3" s="216"/>
      <c r="F3" s="216"/>
      <c r="G3" s="216"/>
      <c r="H3" s="216"/>
      <c r="I3" s="216"/>
      <c r="J3" s="216"/>
      <c r="K3" s="216"/>
      <c r="L3" s="216"/>
      <c r="M3" s="216"/>
      <c r="N3" s="216"/>
      <c r="O3" s="216"/>
      <c r="P3" s="216"/>
      <c r="Q3" s="216"/>
      <c r="R3" s="216"/>
      <c r="S3" s="39"/>
      <c r="T3" s="39"/>
      <c r="U3" s="39"/>
      <c r="V3" s="38"/>
      <c r="W3" s="1"/>
      <c r="X3" s="1"/>
    </row>
    <row r="4" spans="1:603" ht="13.9" customHeight="1" x14ac:dyDescent="0.3">
      <c r="A4" s="218" t="s">
        <v>839</v>
      </c>
      <c r="B4" s="218"/>
      <c r="C4" s="218"/>
      <c r="D4" s="218"/>
      <c r="E4" s="218"/>
      <c r="F4" s="218"/>
      <c r="G4" s="218"/>
      <c r="H4" s="218"/>
      <c r="I4" s="218"/>
      <c r="J4" s="218"/>
      <c r="K4" s="218"/>
      <c r="L4" s="218"/>
      <c r="M4" s="218"/>
      <c r="N4" s="218"/>
      <c r="O4" s="218"/>
      <c r="P4" s="218"/>
      <c r="Q4" s="218"/>
      <c r="R4" s="218"/>
      <c r="S4" s="218"/>
      <c r="T4" s="218"/>
      <c r="U4" s="218"/>
      <c r="V4" s="35"/>
      <c r="W4" s="2"/>
      <c r="X4" s="2"/>
    </row>
    <row r="5" spans="1:603" ht="30" customHeight="1" x14ac:dyDescent="0.3">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265"/>
      <c r="D6" s="265"/>
      <c r="E6" s="265"/>
      <c r="F6" s="265"/>
      <c r="G6" s="265"/>
      <c r="I6" s="1"/>
      <c r="J6" s="41" t="s">
        <v>14</v>
      </c>
      <c r="L6" s="156" t="s">
        <v>850</v>
      </c>
      <c r="M6" s="156"/>
      <c r="N6" s="156"/>
      <c r="O6" s="156"/>
      <c r="P6" s="156"/>
      <c r="Q6" s="156"/>
      <c r="R6" s="156"/>
      <c r="S6" s="157"/>
    </row>
    <row r="7" spans="1:603" ht="15.75" customHeight="1" x14ac:dyDescent="0.3">
      <c r="A7" s="40" t="s">
        <v>9</v>
      </c>
      <c r="B7" s="40"/>
      <c r="C7" s="225"/>
      <c r="D7" s="225"/>
      <c r="E7" s="225"/>
      <c r="F7" s="225"/>
      <c r="G7" s="225"/>
      <c r="I7" s="42"/>
      <c r="J7" s="43" t="s">
        <v>65</v>
      </c>
      <c r="K7" s="43"/>
      <c r="L7" s="43"/>
      <c r="M7" s="43"/>
      <c r="N7" s="156"/>
      <c r="O7" s="156"/>
      <c r="P7" s="156"/>
      <c r="Q7" s="156"/>
      <c r="R7" s="156"/>
      <c r="S7" s="156"/>
      <c r="V7" s="36"/>
    </row>
    <row r="8" spans="1:603" ht="15.75" customHeight="1" x14ac:dyDescent="0.3">
      <c r="A8" s="40" t="s">
        <v>10</v>
      </c>
      <c r="B8" s="40"/>
      <c r="C8" s="225"/>
      <c r="D8" s="225"/>
      <c r="E8" s="225"/>
      <c r="F8" s="225"/>
      <c r="G8" s="225"/>
      <c r="I8" s="42"/>
      <c r="J8" s="43" t="s">
        <v>64</v>
      </c>
      <c r="K8" s="43"/>
      <c r="L8" s="43"/>
      <c r="M8" s="156"/>
      <c r="N8" s="156"/>
      <c r="O8" s="156"/>
      <c r="P8" s="156"/>
      <c r="Q8" s="156"/>
      <c r="R8" s="156"/>
      <c r="S8" s="156"/>
      <c r="V8" s="36"/>
    </row>
    <row r="9" spans="1:603" ht="15.75" customHeight="1" x14ac:dyDescent="0.3">
      <c r="A9" s="40" t="s">
        <v>763</v>
      </c>
      <c r="C9" s="225"/>
      <c r="D9" s="225"/>
      <c r="E9" s="225"/>
      <c r="F9" s="225"/>
      <c r="G9" s="225"/>
      <c r="J9" s="43" t="s">
        <v>11</v>
      </c>
      <c r="K9" s="43"/>
      <c r="L9" s="43"/>
      <c r="M9" s="271"/>
      <c r="N9" s="271"/>
      <c r="O9" s="44"/>
      <c r="P9" s="9"/>
      <c r="V9" s="36"/>
    </row>
    <row r="10" spans="1:603" ht="15.75" customHeight="1" x14ac:dyDescent="0.3">
      <c r="J10" s="45" t="s">
        <v>69</v>
      </c>
      <c r="K10" s="272"/>
      <c r="L10" s="272"/>
      <c r="M10" s="45"/>
      <c r="N10" s="46"/>
      <c r="O10" s="43" t="s">
        <v>12</v>
      </c>
      <c r="Q10" s="273"/>
      <c r="R10" s="273"/>
      <c r="S10" s="273"/>
      <c r="V10" s="36"/>
    </row>
    <row r="11" spans="1:603" s="46" customFormat="1" ht="14.25" customHeight="1" thickBot="1" x14ac:dyDescent="0.35">
      <c r="A11" s="1" t="s">
        <v>0</v>
      </c>
      <c r="B11" s="47"/>
      <c r="C11" s="47"/>
      <c r="D11" s="47"/>
      <c r="E11" s="47"/>
      <c r="F11" s="37"/>
      <c r="V11" s="48"/>
    </row>
    <row r="12" spans="1:603" s="49" customFormat="1" ht="13.9" customHeight="1" x14ac:dyDescent="0.2">
      <c r="A12" s="239" t="s">
        <v>68</v>
      </c>
      <c r="B12" s="240"/>
      <c r="C12" s="241"/>
      <c r="D12" s="233" t="s">
        <v>77</v>
      </c>
      <c r="E12" s="233"/>
      <c r="F12" s="233"/>
      <c r="G12" s="233"/>
      <c r="H12" s="10">
        <f>D27+E40</f>
        <v>0</v>
      </c>
      <c r="I12" s="46"/>
      <c r="J12" s="228" t="s">
        <v>752</v>
      </c>
      <c r="K12" s="229"/>
      <c r="L12" s="229"/>
      <c r="M12" s="230"/>
      <c r="N12" s="228" t="s">
        <v>753</v>
      </c>
      <c r="O12" s="229"/>
      <c r="P12" s="229"/>
      <c r="Q12" s="229"/>
      <c r="R12" s="229"/>
      <c r="S12" s="229"/>
      <c r="T12" s="229"/>
      <c r="U12" s="230"/>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42"/>
      <c r="B13" s="243"/>
      <c r="C13" s="244"/>
      <c r="D13" s="234" t="s">
        <v>71</v>
      </c>
      <c r="E13" s="234"/>
      <c r="F13" s="234"/>
      <c r="G13" s="234"/>
      <c r="H13" s="11">
        <f>U27</f>
        <v>0</v>
      </c>
      <c r="J13" s="224" t="s">
        <v>699</v>
      </c>
      <c r="K13" s="224"/>
      <c r="L13" s="224"/>
      <c r="M13" s="50"/>
      <c r="N13" s="51" t="s">
        <v>754</v>
      </c>
      <c r="O13" s="51"/>
      <c r="P13" s="51"/>
      <c r="Q13" s="50"/>
      <c r="R13" s="170" t="s">
        <v>755</v>
      </c>
      <c r="S13" s="170"/>
      <c r="T13" s="170"/>
      <c r="U13" s="50"/>
      <c r="V13" s="48"/>
    </row>
    <row r="14" spans="1:603" s="46" customFormat="1" ht="12.75" customHeight="1" thickBot="1" x14ac:dyDescent="0.25">
      <c r="A14" s="245"/>
      <c r="B14" s="246"/>
      <c r="C14" s="247"/>
      <c r="D14" s="235" t="s">
        <v>3</v>
      </c>
      <c r="E14" s="235"/>
      <c r="F14" s="235"/>
      <c r="G14" s="235"/>
      <c r="H14" s="12">
        <f>H12+H13</f>
        <v>0</v>
      </c>
      <c r="J14" s="224" t="s">
        <v>701</v>
      </c>
      <c r="K14" s="224"/>
      <c r="L14" s="224"/>
      <c r="M14" s="50"/>
      <c r="N14" s="51" t="s">
        <v>756</v>
      </c>
      <c r="O14" s="51"/>
      <c r="P14" s="51"/>
      <c r="Q14" s="50"/>
      <c r="R14" s="170" t="s">
        <v>757</v>
      </c>
      <c r="S14" s="170"/>
      <c r="T14" s="170"/>
      <c r="U14" s="50"/>
      <c r="V14" s="48"/>
    </row>
    <row r="15" spans="1:603" s="49" customFormat="1" ht="17.25" thickBot="1" x14ac:dyDescent="0.35">
      <c r="A15" s="3"/>
      <c r="B15" s="47"/>
      <c r="C15" s="47"/>
      <c r="D15" s="47"/>
      <c r="E15" s="47"/>
      <c r="F15" s="37"/>
      <c r="G15" s="46"/>
      <c r="H15" s="46"/>
      <c r="I15" s="46"/>
      <c r="J15" s="217" t="s">
        <v>700</v>
      </c>
      <c r="K15" s="217"/>
      <c r="L15" s="217"/>
      <c r="M15" s="50"/>
      <c r="N15" s="52" t="s">
        <v>758</v>
      </c>
      <c r="O15" s="52"/>
      <c r="P15" s="52"/>
      <c r="Q15" s="50"/>
      <c r="R15" s="171" t="s">
        <v>759</v>
      </c>
      <c r="S15" s="171"/>
      <c r="T15" s="171"/>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56" t="s">
        <v>59</v>
      </c>
      <c r="B16" s="257"/>
      <c r="C16" s="258"/>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85" t="s">
        <v>60</v>
      </c>
      <c r="B17" s="185"/>
      <c r="C17" s="185"/>
      <c r="D17" s="13">
        <f>D30+E42-D33-E44</f>
        <v>0</v>
      </c>
      <c r="E17" s="13">
        <f>+U30-U33</f>
        <v>0</v>
      </c>
      <c r="F17" s="14">
        <f>+E17+D17</f>
        <v>0</v>
      </c>
      <c r="G17" s="127"/>
      <c r="H17" s="128"/>
      <c r="I17" s="182" t="s">
        <v>820</v>
      </c>
      <c r="J17" s="183" t="s">
        <v>75</v>
      </c>
      <c r="K17" s="183"/>
      <c r="L17" s="183"/>
      <c r="M17" s="181" t="s">
        <v>67</v>
      </c>
      <c r="N17" s="181"/>
      <c r="O17" s="181"/>
      <c r="P17" s="181" t="s">
        <v>3</v>
      </c>
      <c r="Q17" s="267"/>
      <c r="R17" s="184" t="s">
        <v>760</v>
      </c>
      <c r="S17" s="184"/>
      <c r="T17" s="184"/>
      <c r="U17" s="123"/>
    </row>
    <row r="18" spans="1:22" s="46" customFormat="1" ht="17.649999999999999" customHeight="1" x14ac:dyDescent="0.2">
      <c r="A18" s="185" t="s">
        <v>61</v>
      </c>
      <c r="B18" s="185"/>
      <c r="C18" s="185"/>
      <c r="D18" s="15">
        <f>D33+E44</f>
        <v>0</v>
      </c>
      <c r="E18" s="16">
        <f>U33</f>
        <v>0</v>
      </c>
      <c r="F18" s="14">
        <f>+E18+D18</f>
        <v>0</v>
      </c>
      <c r="G18" s="127"/>
      <c r="H18" s="128"/>
      <c r="I18" s="182"/>
      <c r="J18" s="136" t="s">
        <v>817</v>
      </c>
      <c r="K18" s="136" t="s">
        <v>818</v>
      </c>
      <c r="L18" s="136" t="s">
        <v>819</v>
      </c>
      <c r="M18" s="136" t="s">
        <v>817</v>
      </c>
      <c r="N18" s="136" t="s">
        <v>818</v>
      </c>
      <c r="O18" s="136" t="s">
        <v>819</v>
      </c>
      <c r="P18" s="181"/>
      <c r="Q18" s="267"/>
      <c r="R18" s="184" t="s">
        <v>761</v>
      </c>
      <c r="S18" s="184"/>
      <c r="T18" s="184"/>
      <c r="U18" s="123"/>
    </row>
    <row r="19" spans="1:22" s="46" customFormat="1" ht="13.9" customHeight="1" x14ac:dyDescent="0.25">
      <c r="A19" s="185" t="s">
        <v>62</v>
      </c>
      <c r="B19" s="185"/>
      <c r="C19" s="185"/>
      <c r="D19" s="6"/>
      <c r="E19" s="8"/>
      <c r="F19" s="14">
        <f>+E19+D19</f>
        <v>0</v>
      </c>
      <c r="G19" s="127"/>
      <c r="H19" s="128"/>
      <c r="I19" s="131" t="s">
        <v>815</v>
      </c>
      <c r="J19" s="134"/>
      <c r="K19" s="134"/>
      <c r="L19" s="134"/>
      <c r="M19" s="134"/>
      <c r="N19" s="134"/>
      <c r="O19" s="134"/>
      <c r="P19" s="155">
        <f>J19+K19+L19+M19+N19+O19</f>
        <v>0</v>
      </c>
      <c r="Q19" s="130"/>
      <c r="R19" s="184" t="s">
        <v>762</v>
      </c>
      <c r="S19" s="184"/>
      <c r="T19" s="184"/>
      <c r="U19" s="123"/>
    </row>
    <row r="20" spans="1:22" s="46" customFormat="1" ht="13.9" customHeight="1" x14ac:dyDescent="0.25">
      <c r="A20" s="185" t="s">
        <v>814</v>
      </c>
      <c r="B20" s="185"/>
      <c r="C20" s="185"/>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 customHeight="1" thickBot="1" x14ac:dyDescent="0.25">
      <c r="A21" s="185" t="s">
        <v>813</v>
      </c>
      <c r="B21" s="185"/>
      <c r="C21" s="185"/>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53" t="s">
        <v>1</v>
      </c>
      <c r="B24" s="250" t="s">
        <v>78</v>
      </c>
      <c r="C24" s="251"/>
      <c r="D24" s="252"/>
      <c r="E24" s="282" t="s">
        <v>15</v>
      </c>
      <c r="F24" s="283"/>
      <c r="G24" s="283"/>
      <c r="H24" s="283"/>
      <c r="I24" s="283"/>
      <c r="J24" s="283"/>
      <c r="K24" s="283"/>
      <c r="L24" s="283"/>
      <c r="M24" s="283"/>
      <c r="N24" s="283"/>
      <c r="O24" s="283"/>
      <c r="P24" s="283"/>
      <c r="Q24" s="283"/>
      <c r="R24" s="283"/>
      <c r="S24" s="283"/>
      <c r="T24" s="283"/>
      <c r="U24" s="274" t="s">
        <v>764</v>
      </c>
      <c r="V24" s="36"/>
    </row>
    <row r="25" spans="1:22" ht="76.5" customHeight="1" x14ac:dyDescent="0.3">
      <c r="A25" s="254"/>
      <c r="B25" s="21" t="s">
        <v>43</v>
      </c>
      <c r="C25" s="4" t="s">
        <v>44</v>
      </c>
      <c r="D25" s="248" t="s">
        <v>765</v>
      </c>
      <c r="E25" s="61" t="s">
        <v>18</v>
      </c>
      <c r="F25" s="62" t="s">
        <v>19</v>
      </c>
      <c r="G25" s="62" t="s">
        <v>20</v>
      </c>
      <c r="H25" s="62" t="s">
        <v>22</v>
      </c>
      <c r="I25" s="62" t="s">
        <v>24</v>
      </c>
      <c r="J25" s="62" t="s">
        <v>26</v>
      </c>
      <c r="K25" s="62" t="s">
        <v>28</v>
      </c>
      <c r="L25" s="62" t="s">
        <v>30</v>
      </c>
      <c r="M25" s="284" t="s">
        <v>32</v>
      </c>
      <c r="N25" s="284"/>
      <c r="O25" s="284"/>
      <c r="P25" s="284" t="s">
        <v>34</v>
      </c>
      <c r="Q25" s="284"/>
      <c r="R25" s="284"/>
      <c r="S25" s="169" t="s">
        <v>766</v>
      </c>
      <c r="T25" s="169"/>
      <c r="U25" s="275"/>
      <c r="V25" s="36"/>
    </row>
    <row r="26" spans="1:22" ht="22.5" customHeight="1" thickBot="1" x14ac:dyDescent="0.35">
      <c r="A26" s="255"/>
      <c r="B26" s="63" t="s">
        <v>16</v>
      </c>
      <c r="C26" s="64" t="s">
        <v>17</v>
      </c>
      <c r="D26" s="249"/>
      <c r="E26" s="63" t="s">
        <v>21</v>
      </c>
      <c r="F26" s="64" t="s">
        <v>23</v>
      </c>
      <c r="G26" s="64" t="s">
        <v>25</v>
      </c>
      <c r="H26" s="64" t="s">
        <v>27</v>
      </c>
      <c r="I26" s="64" t="s">
        <v>29</v>
      </c>
      <c r="J26" s="64" t="s">
        <v>31</v>
      </c>
      <c r="K26" s="64" t="s">
        <v>33</v>
      </c>
      <c r="L26" s="64" t="s">
        <v>35</v>
      </c>
      <c r="M26" s="285" t="s">
        <v>36</v>
      </c>
      <c r="N26" s="285"/>
      <c r="O26" s="285"/>
      <c r="P26" s="285" t="s">
        <v>72</v>
      </c>
      <c r="Q26" s="285"/>
      <c r="R26" s="285"/>
      <c r="S26" s="285" t="s">
        <v>73</v>
      </c>
      <c r="T26" s="285"/>
      <c r="U26" s="276"/>
      <c r="V26" s="36"/>
    </row>
    <row r="27" spans="1:22" ht="13.9" customHeight="1" x14ac:dyDescent="0.3">
      <c r="A27" s="219" t="s">
        <v>70</v>
      </c>
      <c r="B27" s="188"/>
      <c r="C27" s="164"/>
      <c r="D27" s="159">
        <f>B27+C27</f>
        <v>0</v>
      </c>
      <c r="E27" s="232"/>
      <c r="F27" s="176"/>
      <c r="G27" s="176"/>
      <c r="H27" s="176"/>
      <c r="I27" s="176"/>
      <c r="J27" s="176"/>
      <c r="K27" s="176"/>
      <c r="L27" s="176"/>
      <c r="M27" s="260" t="s">
        <v>37</v>
      </c>
      <c r="N27" s="261"/>
      <c r="O27" s="65"/>
      <c r="P27" s="260" t="s">
        <v>37</v>
      </c>
      <c r="Q27" s="261"/>
      <c r="R27" s="65"/>
      <c r="S27" s="266">
        <f>M41+M42+M43+N41+N42+N43+O41+O42</f>
        <v>0</v>
      </c>
      <c r="T27" s="266"/>
      <c r="U27" s="277">
        <f>E27+F27+G27+H27+I27+J27+K27+L27+O27+O28+O29+R27+R28+R29+S27</f>
        <v>0</v>
      </c>
      <c r="V27" s="36"/>
    </row>
    <row r="28" spans="1:22" ht="13.9" customHeight="1" x14ac:dyDescent="0.3">
      <c r="A28" s="220"/>
      <c r="B28" s="189"/>
      <c r="C28" s="165"/>
      <c r="D28" s="160"/>
      <c r="E28" s="222"/>
      <c r="F28" s="174"/>
      <c r="G28" s="174"/>
      <c r="H28" s="174"/>
      <c r="I28" s="174"/>
      <c r="J28" s="174"/>
      <c r="K28" s="174"/>
      <c r="L28" s="174"/>
      <c r="M28" s="226" t="s">
        <v>13</v>
      </c>
      <c r="N28" s="227"/>
      <c r="O28" s="66"/>
      <c r="P28" s="226" t="s">
        <v>13</v>
      </c>
      <c r="Q28" s="227"/>
      <c r="R28" s="66"/>
      <c r="S28" s="167"/>
      <c r="T28" s="167"/>
      <c r="U28" s="278"/>
      <c r="V28" s="36"/>
    </row>
    <row r="29" spans="1:22" ht="13.9" customHeight="1" x14ac:dyDescent="0.3">
      <c r="A29" s="220"/>
      <c r="B29" s="190"/>
      <c r="C29" s="166"/>
      <c r="D29" s="161"/>
      <c r="E29" s="222"/>
      <c r="F29" s="174"/>
      <c r="G29" s="174"/>
      <c r="H29" s="174"/>
      <c r="I29" s="174"/>
      <c r="J29" s="174"/>
      <c r="K29" s="174"/>
      <c r="L29" s="174"/>
      <c r="M29" s="226" t="s">
        <v>46</v>
      </c>
      <c r="N29" s="227"/>
      <c r="O29" s="66"/>
      <c r="P29" s="226" t="s">
        <v>46</v>
      </c>
      <c r="Q29" s="227"/>
      <c r="R29" s="66"/>
      <c r="S29" s="167"/>
      <c r="T29" s="167"/>
      <c r="U29" s="278"/>
      <c r="V29" s="36"/>
    </row>
    <row r="30" spans="1:22" ht="13.9" customHeight="1" x14ac:dyDescent="0.3">
      <c r="A30" s="220" t="s">
        <v>4</v>
      </c>
      <c r="B30" s="191"/>
      <c r="C30" s="215"/>
      <c r="D30" s="162">
        <f>B30+C30</f>
        <v>0</v>
      </c>
      <c r="E30" s="222"/>
      <c r="F30" s="174"/>
      <c r="G30" s="174"/>
      <c r="H30" s="174"/>
      <c r="I30" s="174"/>
      <c r="J30" s="174"/>
      <c r="K30" s="174"/>
      <c r="L30" s="174"/>
      <c r="M30" s="226" t="s">
        <v>37</v>
      </c>
      <c r="N30" s="227"/>
      <c r="O30" s="66"/>
      <c r="P30" s="226" t="s">
        <v>37</v>
      </c>
      <c r="Q30" s="227"/>
      <c r="R30" s="66"/>
      <c r="S30" s="167">
        <f>P41+P42+P43+Q41+Q42+Q43+R41+R42</f>
        <v>0</v>
      </c>
      <c r="T30" s="167"/>
      <c r="U30" s="278">
        <f>E30+F30+G30+H30+I30+J30+K30+L30+O30+O31+O32+R30+R31+R32+S30</f>
        <v>0</v>
      </c>
      <c r="V30" s="36"/>
    </row>
    <row r="31" spans="1:22" ht="13.9" customHeight="1" x14ac:dyDescent="0.3">
      <c r="A31" s="220"/>
      <c r="B31" s="189"/>
      <c r="C31" s="165"/>
      <c r="D31" s="160"/>
      <c r="E31" s="222"/>
      <c r="F31" s="174"/>
      <c r="G31" s="174"/>
      <c r="H31" s="174"/>
      <c r="I31" s="174"/>
      <c r="J31" s="174"/>
      <c r="K31" s="174"/>
      <c r="L31" s="174"/>
      <c r="M31" s="226" t="s">
        <v>13</v>
      </c>
      <c r="N31" s="227"/>
      <c r="O31" s="66"/>
      <c r="P31" s="226" t="s">
        <v>13</v>
      </c>
      <c r="Q31" s="227"/>
      <c r="R31" s="66"/>
      <c r="S31" s="167"/>
      <c r="T31" s="167"/>
      <c r="U31" s="278"/>
      <c r="V31" s="36"/>
    </row>
    <row r="32" spans="1:22" ht="13.9" customHeight="1" x14ac:dyDescent="0.3">
      <c r="A32" s="220"/>
      <c r="B32" s="190"/>
      <c r="C32" s="166"/>
      <c r="D32" s="161"/>
      <c r="E32" s="222"/>
      <c r="F32" s="174"/>
      <c r="G32" s="174"/>
      <c r="H32" s="174"/>
      <c r="I32" s="174"/>
      <c r="J32" s="174"/>
      <c r="K32" s="174"/>
      <c r="L32" s="174"/>
      <c r="M32" s="226" t="s">
        <v>46</v>
      </c>
      <c r="N32" s="227"/>
      <c r="O32" s="66"/>
      <c r="P32" s="226" t="s">
        <v>46</v>
      </c>
      <c r="Q32" s="227"/>
      <c r="R32" s="66"/>
      <c r="S32" s="167"/>
      <c r="T32" s="167"/>
      <c r="U32" s="278"/>
      <c r="V32" s="36"/>
    </row>
    <row r="33" spans="1:24" ht="13.9" customHeight="1" x14ac:dyDescent="0.3">
      <c r="A33" s="220" t="s">
        <v>5</v>
      </c>
      <c r="B33" s="191"/>
      <c r="C33" s="215"/>
      <c r="D33" s="162">
        <f>B33+C33</f>
        <v>0</v>
      </c>
      <c r="E33" s="222"/>
      <c r="F33" s="174"/>
      <c r="G33" s="174"/>
      <c r="H33" s="174"/>
      <c r="I33" s="174"/>
      <c r="J33" s="174"/>
      <c r="K33" s="174"/>
      <c r="L33" s="174"/>
      <c r="M33" s="226" t="s">
        <v>37</v>
      </c>
      <c r="N33" s="227"/>
      <c r="O33" s="66"/>
      <c r="P33" s="226" t="s">
        <v>37</v>
      </c>
      <c r="Q33" s="227"/>
      <c r="R33" s="66"/>
      <c r="S33" s="167">
        <f>S41+S42+S43+T41+T42+T43+U41+U42</f>
        <v>0</v>
      </c>
      <c r="T33" s="167"/>
      <c r="U33" s="278">
        <f>E33+F33+G33+H33+I33+J33+K33+L33+O33+O34+O35+R33+R34+R35+S33</f>
        <v>0</v>
      </c>
      <c r="V33" s="36"/>
    </row>
    <row r="34" spans="1:24" ht="13.9" customHeight="1" x14ac:dyDescent="0.3">
      <c r="A34" s="220"/>
      <c r="B34" s="189"/>
      <c r="C34" s="165"/>
      <c r="D34" s="160"/>
      <c r="E34" s="222"/>
      <c r="F34" s="174"/>
      <c r="G34" s="174"/>
      <c r="H34" s="174"/>
      <c r="I34" s="174"/>
      <c r="J34" s="174"/>
      <c r="K34" s="174"/>
      <c r="L34" s="174"/>
      <c r="M34" s="226" t="s">
        <v>13</v>
      </c>
      <c r="N34" s="227"/>
      <c r="O34" s="66"/>
      <c r="P34" s="226" t="s">
        <v>13</v>
      </c>
      <c r="Q34" s="227"/>
      <c r="R34" s="66"/>
      <c r="S34" s="167"/>
      <c r="T34" s="167"/>
      <c r="U34" s="278"/>
      <c r="V34" s="36"/>
    </row>
    <row r="35" spans="1:24" ht="13.9" customHeight="1" thickBot="1" x14ac:dyDescent="0.35">
      <c r="A35" s="221"/>
      <c r="B35" s="192"/>
      <c r="C35" s="231"/>
      <c r="D35" s="163"/>
      <c r="E35" s="223"/>
      <c r="F35" s="175"/>
      <c r="G35" s="175"/>
      <c r="H35" s="175"/>
      <c r="I35" s="175"/>
      <c r="J35" s="175"/>
      <c r="K35" s="175"/>
      <c r="L35" s="175"/>
      <c r="M35" s="280" t="s">
        <v>46</v>
      </c>
      <c r="N35" s="281"/>
      <c r="O35" s="67"/>
      <c r="P35" s="280" t="s">
        <v>46</v>
      </c>
      <c r="Q35" s="281"/>
      <c r="R35" s="67"/>
      <c r="S35" s="168"/>
      <c r="T35" s="168"/>
      <c r="U35" s="279"/>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36" t="s">
        <v>42</v>
      </c>
      <c r="B38" s="237"/>
      <c r="C38" s="237"/>
      <c r="D38" s="237"/>
      <c r="E38" s="238"/>
      <c r="F38" s="68"/>
      <c r="G38" s="177" t="s">
        <v>821</v>
      </c>
      <c r="H38" s="178" t="s">
        <v>822</v>
      </c>
      <c r="J38" s="262" t="s">
        <v>47</v>
      </c>
      <c r="K38" s="263"/>
      <c r="L38" s="263"/>
      <c r="M38" s="263"/>
      <c r="N38" s="263"/>
      <c r="O38" s="263"/>
      <c r="P38" s="263"/>
      <c r="Q38" s="263"/>
      <c r="R38" s="263"/>
      <c r="S38" s="263"/>
      <c r="T38" s="263"/>
      <c r="U38" s="264"/>
      <c r="V38" s="36"/>
    </row>
    <row r="39" spans="1:24" ht="12.75" customHeight="1" x14ac:dyDescent="0.3">
      <c r="A39" s="69"/>
      <c r="B39" s="70" t="s">
        <v>43</v>
      </c>
      <c r="C39" s="70" t="s">
        <v>44</v>
      </c>
      <c r="D39" s="70" t="s">
        <v>45</v>
      </c>
      <c r="E39" s="71" t="s">
        <v>3</v>
      </c>
      <c r="G39" s="177"/>
      <c r="H39" s="179"/>
      <c r="J39" s="202" t="s">
        <v>2</v>
      </c>
      <c r="K39" s="203"/>
      <c r="L39" s="204"/>
      <c r="M39" s="172" t="s">
        <v>6</v>
      </c>
      <c r="N39" s="172"/>
      <c r="O39" s="172"/>
      <c r="P39" s="172" t="s">
        <v>4</v>
      </c>
      <c r="Q39" s="172"/>
      <c r="R39" s="172"/>
      <c r="S39" s="172" t="s">
        <v>5</v>
      </c>
      <c r="T39" s="172"/>
      <c r="U39" s="173"/>
      <c r="V39" s="36"/>
    </row>
    <row r="40" spans="1:24" ht="15.6" customHeight="1" x14ac:dyDescent="0.3">
      <c r="A40" s="195" t="s">
        <v>39</v>
      </c>
      <c r="B40" s="200"/>
      <c r="C40" s="200"/>
      <c r="D40" s="200"/>
      <c r="E40" s="197">
        <f>B40+C40+D40</f>
        <v>0</v>
      </c>
      <c r="F40" s="194"/>
      <c r="G40" s="177"/>
      <c r="H40" s="179"/>
      <c r="J40" s="205"/>
      <c r="K40" s="206"/>
      <c r="L40" s="207"/>
      <c r="M40" s="70" t="s">
        <v>48</v>
      </c>
      <c r="N40" s="70" t="s">
        <v>7</v>
      </c>
      <c r="O40" s="70" t="s">
        <v>49</v>
      </c>
      <c r="P40" s="70" t="s">
        <v>48</v>
      </c>
      <c r="Q40" s="70" t="s">
        <v>7</v>
      </c>
      <c r="R40" s="70" t="s">
        <v>49</v>
      </c>
      <c r="S40" s="70" t="s">
        <v>48</v>
      </c>
      <c r="T40" s="70" t="s">
        <v>7</v>
      </c>
      <c r="U40" s="71" t="s">
        <v>49</v>
      </c>
      <c r="V40" s="36"/>
    </row>
    <row r="41" spans="1:24" ht="15" customHeight="1" x14ac:dyDescent="0.3">
      <c r="A41" s="195"/>
      <c r="B41" s="214"/>
      <c r="C41" s="214"/>
      <c r="D41" s="214"/>
      <c r="E41" s="197"/>
      <c r="F41" s="194"/>
      <c r="G41" s="177"/>
      <c r="H41" s="180"/>
      <c r="J41" s="208" t="s">
        <v>50</v>
      </c>
      <c r="K41" s="209"/>
      <c r="L41" s="210"/>
      <c r="M41" s="72"/>
      <c r="N41" s="72"/>
      <c r="O41" s="72"/>
      <c r="P41" s="72"/>
      <c r="Q41" s="72"/>
      <c r="R41" s="72"/>
      <c r="S41" s="72"/>
      <c r="T41" s="72"/>
      <c r="U41" s="73"/>
      <c r="V41" s="36"/>
    </row>
    <row r="42" spans="1:24" ht="13.9" customHeight="1" x14ac:dyDescent="0.3">
      <c r="A42" s="195" t="s">
        <v>40</v>
      </c>
      <c r="B42" s="200"/>
      <c r="C42" s="200"/>
      <c r="D42" s="200"/>
      <c r="E42" s="197">
        <f>B42+C42+D42</f>
        <v>0</v>
      </c>
      <c r="F42" s="194"/>
      <c r="G42" s="198">
        <f>E17+F18</f>
        <v>0</v>
      </c>
      <c r="H42" s="199"/>
      <c r="J42" s="208" t="s">
        <v>51</v>
      </c>
      <c r="K42" s="209"/>
      <c r="L42" s="210"/>
      <c r="M42" s="72"/>
      <c r="N42" s="72"/>
      <c r="O42" s="72"/>
      <c r="P42" s="72"/>
      <c r="Q42" s="72"/>
      <c r="R42" s="72"/>
      <c r="S42" s="72"/>
      <c r="T42" s="72"/>
      <c r="U42" s="73"/>
      <c r="V42" s="36"/>
    </row>
    <row r="43" spans="1:24" ht="13.9" customHeight="1" thickBot="1" x14ac:dyDescent="0.35">
      <c r="A43" s="195"/>
      <c r="B43" s="214"/>
      <c r="C43" s="214"/>
      <c r="D43" s="214"/>
      <c r="E43" s="197"/>
      <c r="F43" s="194"/>
      <c r="G43" s="198"/>
      <c r="H43" s="199"/>
      <c r="J43" s="211" t="s">
        <v>52</v>
      </c>
      <c r="K43" s="212"/>
      <c r="L43" s="213"/>
      <c r="M43" s="74"/>
      <c r="N43" s="74"/>
      <c r="O43" s="75"/>
      <c r="P43" s="74"/>
      <c r="Q43" s="74"/>
      <c r="R43" s="75"/>
      <c r="S43" s="74"/>
      <c r="T43" s="74"/>
      <c r="U43" s="76"/>
      <c r="V43" s="36"/>
    </row>
    <row r="44" spans="1:24" ht="10.5" customHeight="1" x14ac:dyDescent="0.3">
      <c r="A44" s="195" t="s">
        <v>41</v>
      </c>
      <c r="B44" s="200"/>
      <c r="C44" s="200"/>
      <c r="D44" s="200"/>
      <c r="E44" s="197">
        <f>B44+C44+D44</f>
        <v>0</v>
      </c>
      <c r="F44" s="194"/>
      <c r="G44" s="194"/>
      <c r="H44" s="194"/>
      <c r="J44" s="77" t="s">
        <v>53</v>
      </c>
      <c r="K44" s="78"/>
      <c r="L44" s="78"/>
      <c r="M44" s="78"/>
      <c r="N44" s="78"/>
      <c r="O44" s="78"/>
      <c r="P44" s="78"/>
      <c r="Q44" s="78"/>
      <c r="R44" s="78"/>
      <c r="S44" s="78"/>
      <c r="T44" s="78"/>
      <c r="U44" s="78"/>
      <c r="V44" s="79"/>
      <c r="W44" s="78"/>
      <c r="X44" s="78"/>
    </row>
    <row r="45" spans="1:24" ht="13.9" customHeight="1" thickBot="1" x14ac:dyDescent="0.35">
      <c r="A45" s="196"/>
      <c r="B45" s="201"/>
      <c r="C45" s="201"/>
      <c r="D45" s="201"/>
      <c r="E45" s="259"/>
      <c r="F45" s="194"/>
      <c r="G45" s="194"/>
      <c r="H45" s="194"/>
      <c r="V45" s="36"/>
    </row>
    <row r="46" spans="1:24" ht="15" customHeight="1" x14ac:dyDescent="0.3">
      <c r="A46" s="1"/>
      <c r="B46" s="1"/>
      <c r="C46" s="1"/>
      <c r="D46" s="1"/>
      <c r="F46" s="187" t="s">
        <v>672</v>
      </c>
      <c r="G46" s="187"/>
      <c r="H46" s="187"/>
      <c r="L46" s="78" t="s">
        <v>54</v>
      </c>
      <c r="M46" s="78"/>
      <c r="N46" s="78"/>
      <c r="O46" s="78"/>
      <c r="P46" s="78"/>
      <c r="Q46" s="270"/>
      <c r="R46" s="270"/>
      <c r="S46" s="270"/>
      <c r="T46" s="270"/>
      <c r="U46" s="270"/>
      <c r="V46" s="36"/>
    </row>
    <row r="47" spans="1:24" ht="13.9" customHeight="1" x14ac:dyDescent="0.3">
      <c r="A47" s="193"/>
      <c r="B47" s="80"/>
      <c r="C47" s="80"/>
      <c r="D47" s="80"/>
      <c r="E47" s="186"/>
      <c r="F47" s="186"/>
      <c r="G47" s="186"/>
      <c r="H47" s="186"/>
      <c r="I47" s="186"/>
      <c r="J47" s="186"/>
      <c r="K47" s="78"/>
      <c r="L47" s="78" t="s">
        <v>55</v>
      </c>
      <c r="M47" s="270"/>
      <c r="N47" s="270"/>
      <c r="O47" s="270"/>
      <c r="P47" s="270"/>
      <c r="Q47" s="78"/>
      <c r="R47" s="78"/>
      <c r="V47" s="36"/>
    </row>
    <row r="48" spans="1:24" ht="13.9" customHeight="1" x14ac:dyDescent="0.3">
      <c r="A48" s="193"/>
      <c r="B48" s="80"/>
      <c r="C48" s="80"/>
      <c r="D48" s="80"/>
      <c r="E48" s="186"/>
      <c r="F48" s="186"/>
      <c r="G48" s="186"/>
      <c r="H48" s="186"/>
      <c r="I48" s="186"/>
      <c r="J48" s="186"/>
      <c r="K48" s="78"/>
      <c r="L48" s="78" t="s">
        <v>56</v>
      </c>
      <c r="M48" s="269"/>
      <c r="N48" s="269"/>
      <c r="O48" s="269"/>
      <c r="P48" s="269"/>
      <c r="Q48" s="78"/>
      <c r="R48" s="81" t="s">
        <v>57</v>
      </c>
      <c r="S48" s="268"/>
      <c r="T48" s="268"/>
      <c r="V48" s="36"/>
    </row>
    <row r="49" spans="1:22" ht="13.9" customHeight="1" x14ac:dyDescent="0.3">
      <c r="A49" s="194"/>
      <c r="B49" s="31"/>
      <c r="C49" s="31"/>
      <c r="D49" s="31"/>
      <c r="E49" s="186"/>
      <c r="F49" s="186"/>
      <c r="G49" s="186"/>
      <c r="H49" s="186"/>
      <c r="I49" s="186"/>
      <c r="J49" s="186"/>
      <c r="K49" s="78"/>
      <c r="L49" s="78" t="s">
        <v>58</v>
      </c>
      <c r="M49" s="158"/>
      <c r="N49" s="158"/>
      <c r="O49" s="158"/>
      <c r="P49" s="158"/>
      <c r="Q49" s="78"/>
      <c r="R49" s="78"/>
      <c r="V49" s="36"/>
    </row>
    <row r="50" spans="1:22" ht="13.9" customHeight="1" x14ac:dyDescent="0.3">
      <c r="A50" s="194"/>
      <c r="B50" s="31"/>
      <c r="C50" s="31"/>
      <c r="D50" s="31"/>
      <c r="E50" s="186"/>
      <c r="F50" s="186"/>
      <c r="G50" s="186"/>
      <c r="H50" s="186"/>
      <c r="I50" s="186"/>
      <c r="J50" s="186"/>
      <c r="K50" s="78"/>
      <c r="V50" s="36"/>
    </row>
    <row r="98" spans="1:8" hidden="1" x14ac:dyDescent="0.3"/>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7" t="s">
        <v>848</v>
      </c>
    </row>
    <row r="315" spans="5:7" s="82" customFormat="1" ht="25.5" hidden="1" customHeight="1" x14ac:dyDescent="0.3">
      <c r="E315" s="82" t="s">
        <v>106</v>
      </c>
      <c r="F315" s="82" t="s">
        <v>109</v>
      </c>
      <c r="G315" s="82" t="s">
        <v>477</v>
      </c>
    </row>
    <row r="316" spans="5:7" s="82" customFormat="1" ht="25.5" hidden="1" customHeight="1" x14ac:dyDescent="0.3"/>
    <row r="317" spans="5:7" s="82" customFormat="1" ht="25.5" hidden="1" customHeight="1" x14ac:dyDescent="0.3">
      <c r="E317" s="82" t="s">
        <v>106</v>
      </c>
      <c r="F317" s="82" t="s">
        <v>110</v>
      </c>
      <c r="G317" s="82" t="s">
        <v>546</v>
      </c>
    </row>
    <row r="318" spans="5:7" s="82" customFormat="1" ht="25.5" hidden="1" customHeight="1" x14ac:dyDescent="0.3">
      <c r="E318" s="82" t="s">
        <v>106</v>
      </c>
      <c r="F318" s="82" t="s">
        <v>204</v>
      </c>
      <c r="G318" s="82" t="s">
        <v>628</v>
      </c>
    </row>
    <row r="319" spans="5:7" s="82" customFormat="1" ht="25.5" hidden="1" customHeight="1" x14ac:dyDescent="0.3">
      <c r="E319" s="82" t="s">
        <v>106</v>
      </c>
      <c r="F319" s="82" t="s">
        <v>110</v>
      </c>
      <c r="G319" s="82" t="s">
        <v>547</v>
      </c>
    </row>
    <row r="320" spans="5:7" s="82" customFormat="1" ht="25.5" hidden="1" customHeight="1" x14ac:dyDescent="0.3">
      <c r="E320" s="82" t="s">
        <v>106</v>
      </c>
      <c r="F320" s="82" t="s">
        <v>110</v>
      </c>
      <c r="G320" s="82" t="s">
        <v>598</v>
      </c>
    </row>
    <row r="321" spans="5:7" s="82" customFormat="1" ht="25.5" hidden="1" customHeight="1" x14ac:dyDescent="0.3">
      <c r="E321" s="82" t="s">
        <v>106</v>
      </c>
      <c r="F321" s="82" t="s">
        <v>110</v>
      </c>
      <c r="G321" s="82" t="s">
        <v>478</v>
      </c>
    </row>
    <row r="322" spans="5:7" s="82" customFormat="1" ht="25.5" hidden="1" customHeight="1" x14ac:dyDescent="0.3">
      <c r="E322" s="82" t="s">
        <v>106</v>
      </c>
      <c r="F322" s="82" t="s">
        <v>111</v>
      </c>
      <c r="G322" s="82" t="s">
        <v>311</v>
      </c>
    </row>
    <row r="323" spans="5:7" s="82" customFormat="1" ht="25.5" hidden="1" customHeight="1" x14ac:dyDescent="0.3">
      <c r="E323" s="82" t="s">
        <v>106</v>
      </c>
      <c r="F323" s="82" t="s">
        <v>111</v>
      </c>
      <c r="G323" s="82" t="s">
        <v>796</v>
      </c>
    </row>
    <row r="324" spans="5:7" s="82" customFormat="1" ht="25.5" hidden="1" customHeight="1" x14ac:dyDescent="0.3">
      <c r="E324" s="82" t="s">
        <v>106</v>
      </c>
      <c r="F324" s="82" t="s">
        <v>111</v>
      </c>
      <c r="G324" s="82" t="s">
        <v>797</v>
      </c>
    </row>
    <row r="325" spans="5:7" s="82" customFormat="1" ht="25.5" hidden="1" customHeight="1" x14ac:dyDescent="0.3">
      <c r="E325" s="82" t="s">
        <v>106</v>
      </c>
      <c r="F325" s="82" t="s">
        <v>111</v>
      </c>
      <c r="G325" s="82" t="s">
        <v>788</v>
      </c>
    </row>
    <row r="326" spans="5:7" s="82" customFormat="1" ht="25.5" hidden="1" customHeight="1" x14ac:dyDescent="0.3">
      <c r="E326" s="82" t="s">
        <v>106</v>
      </c>
      <c r="F326" s="82" t="s">
        <v>111</v>
      </c>
      <c r="G326" s="82" t="s">
        <v>548</v>
      </c>
    </row>
    <row r="327" spans="5:7" s="82" customFormat="1" ht="25.5" hidden="1" customHeight="1" x14ac:dyDescent="0.3">
      <c r="E327" s="82" t="s">
        <v>106</v>
      </c>
      <c r="F327" s="82" t="s">
        <v>205</v>
      </c>
      <c r="G327" s="82" t="s">
        <v>206</v>
      </c>
    </row>
    <row r="328" spans="5:7" s="82" customFormat="1" ht="25.5" hidden="1" customHeight="1" x14ac:dyDescent="0.3">
      <c r="E328" s="82" t="s">
        <v>106</v>
      </c>
      <c r="F328" s="82" t="s">
        <v>205</v>
      </c>
      <c r="G328" s="82" t="s">
        <v>739</v>
      </c>
    </row>
    <row r="329" spans="5:7" s="82" customFormat="1" ht="25.5" hidden="1" customHeight="1" x14ac:dyDescent="0.3">
      <c r="E329" s="82" t="s">
        <v>106</v>
      </c>
      <c r="F329" s="82" t="s">
        <v>205</v>
      </c>
      <c r="G329" s="82" t="s">
        <v>738</v>
      </c>
    </row>
    <row r="330" spans="5:7" s="82" customFormat="1" ht="25.5" hidden="1" customHeight="1" x14ac:dyDescent="0.3">
      <c r="E330" s="82" t="s">
        <v>106</v>
      </c>
      <c r="F330" s="82" t="s">
        <v>205</v>
      </c>
      <c r="G330" s="82" t="s">
        <v>399</v>
      </c>
    </row>
    <row r="331" spans="5:7" s="82" customFormat="1" ht="25.5" hidden="1" customHeight="1" x14ac:dyDescent="0.3">
      <c r="E331" s="82" t="s">
        <v>106</v>
      </c>
      <c r="F331" s="82" t="s">
        <v>205</v>
      </c>
      <c r="G331" s="82" t="s">
        <v>414</v>
      </c>
    </row>
    <row r="332" spans="5:7" s="82" customFormat="1" ht="25.5" hidden="1" customHeight="1" x14ac:dyDescent="0.3">
      <c r="E332" s="82" t="s">
        <v>106</v>
      </c>
      <c r="F332" s="82" t="s">
        <v>205</v>
      </c>
      <c r="G332" s="82" t="s">
        <v>799</v>
      </c>
    </row>
    <row r="333" spans="5:7" s="82" customFormat="1" ht="25.5" hidden="1" customHeight="1" x14ac:dyDescent="0.3">
      <c r="E333" s="82" t="s">
        <v>106</v>
      </c>
      <c r="F333" s="82" t="s">
        <v>205</v>
      </c>
      <c r="G333" s="82" t="s">
        <v>486</v>
      </c>
    </row>
    <row r="334" spans="5:7" s="82" customFormat="1" ht="25.5" hidden="1" customHeight="1" x14ac:dyDescent="0.3">
      <c r="E334" s="82" t="s">
        <v>106</v>
      </c>
      <c r="F334" s="82" t="s">
        <v>205</v>
      </c>
      <c r="G334" s="82" t="s">
        <v>415</v>
      </c>
    </row>
    <row r="335" spans="5:7" s="82" customFormat="1" ht="25.5" hidden="1" customHeight="1" x14ac:dyDescent="0.3">
      <c r="E335" s="82" t="s">
        <v>106</v>
      </c>
      <c r="F335" s="82" t="s">
        <v>142</v>
      </c>
      <c r="G335" s="82" t="s">
        <v>207</v>
      </c>
    </row>
    <row r="336" spans="5:7" s="82" customFormat="1" ht="25.5" hidden="1" customHeight="1" x14ac:dyDescent="0.3">
      <c r="E336" s="82" t="s">
        <v>106</v>
      </c>
      <c r="F336" s="82" t="s">
        <v>142</v>
      </c>
      <c r="G336" s="82" t="s">
        <v>599</v>
      </c>
    </row>
    <row r="337" spans="5:7" s="82" customFormat="1" ht="25.5" hidden="1" customHeight="1" x14ac:dyDescent="0.3">
      <c r="E337" s="82" t="s">
        <v>106</v>
      </c>
      <c r="F337" s="82" t="s">
        <v>142</v>
      </c>
      <c r="G337" s="82" t="s">
        <v>412</v>
      </c>
    </row>
    <row r="338" spans="5:7" s="82" customFormat="1" ht="25.5" hidden="1" customHeight="1" x14ac:dyDescent="0.3">
      <c r="E338" s="82" t="s">
        <v>106</v>
      </c>
      <c r="F338" s="82" t="s">
        <v>142</v>
      </c>
      <c r="G338" s="82" t="s">
        <v>413</v>
      </c>
    </row>
    <row r="339" spans="5:7" s="82" customFormat="1" ht="25.5" hidden="1" customHeight="1" x14ac:dyDescent="0.3">
      <c r="E339" s="82" t="s">
        <v>106</v>
      </c>
      <c r="F339" s="82" t="s">
        <v>112</v>
      </c>
      <c r="G339" s="82" t="s">
        <v>549</v>
      </c>
    </row>
    <row r="340" spans="5:7" s="82" customFormat="1" ht="25.5" hidden="1" customHeight="1" x14ac:dyDescent="0.3">
      <c r="E340" s="82" t="s">
        <v>106</v>
      </c>
      <c r="F340" s="82" t="s">
        <v>112</v>
      </c>
      <c r="G340" s="82" t="s">
        <v>736</v>
      </c>
    </row>
    <row r="341" spans="5:7" s="82" customFormat="1" ht="25.5" hidden="1" customHeight="1" x14ac:dyDescent="0.3">
      <c r="E341" s="82" t="s">
        <v>106</v>
      </c>
      <c r="F341" s="82" t="s">
        <v>208</v>
      </c>
      <c r="G341" s="82" t="s">
        <v>661</v>
      </c>
    </row>
    <row r="342" spans="5:7" s="82" customFormat="1" ht="25.5" hidden="1" customHeight="1" x14ac:dyDescent="0.3">
      <c r="E342" s="82" t="s">
        <v>106</v>
      </c>
      <c r="F342" s="82" t="s">
        <v>112</v>
      </c>
      <c r="G342" s="82" t="s">
        <v>335</v>
      </c>
    </row>
    <row r="343" spans="5:7" s="82" customFormat="1" ht="25.5" hidden="1" customHeight="1" x14ac:dyDescent="0.3">
      <c r="E343" s="82" t="s">
        <v>106</v>
      </c>
      <c r="F343" s="82" t="s">
        <v>209</v>
      </c>
      <c r="G343" s="82" t="s">
        <v>210</v>
      </c>
    </row>
    <row r="344" spans="5:7" s="82" customFormat="1" ht="25.5" hidden="1" customHeight="1" x14ac:dyDescent="0.3">
      <c r="E344" s="82" t="s">
        <v>106</v>
      </c>
      <c r="F344" s="82" t="s">
        <v>209</v>
      </c>
      <c r="G344" s="82" t="s">
        <v>387</v>
      </c>
    </row>
    <row r="345" spans="5:7" s="82" customFormat="1" ht="25.5" hidden="1" customHeight="1" x14ac:dyDescent="0.3">
      <c r="E345" s="82" t="s">
        <v>106</v>
      </c>
      <c r="F345" s="82" t="s">
        <v>209</v>
      </c>
      <c r="G345" s="82" t="s">
        <v>388</v>
      </c>
    </row>
    <row r="346" spans="5:7" s="82" customFormat="1" ht="25.5" hidden="1" customHeight="1" x14ac:dyDescent="0.3">
      <c r="E346" s="82" t="s">
        <v>106</v>
      </c>
      <c r="F346" s="82" t="s">
        <v>209</v>
      </c>
      <c r="G346" s="82" t="s">
        <v>490</v>
      </c>
    </row>
    <row r="347" spans="5:7" s="82" customFormat="1" ht="25.5" hidden="1" customHeight="1" x14ac:dyDescent="0.3">
      <c r="E347" s="82" t="s">
        <v>106</v>
      </c>
      <c r="F347" s="82" t="s">
        <v>143</v>
      </c>
      <c r="G347" s="82" t="s">
        <v>211</v>
      </c>
    </row>
    <row r="348" spans="5:7" s="82" customFormat="1" ht="25.5" hidden="1" customHeight="1" x14ac:dyDescent="0.3">
      <c r="E348" s="82" t="s">
        <v>106</v>
      </c>
      <c r="F348" s="82" t="s">
        <v>143</v>
      </c>
      <c r="G348" s="82" t="s">
        <v>550</v>
      </c>
    </row>
    <row r="349" spans="5:7" s="82" customFormat="1" ht="25.5" hidden="1" customHeight="1" x14ac:dyDescent="0.3">
      <c r="E349" s="82" t="s">
        <v>106</v>
      </c>
      <c r="F349" s="82" t="s">
        <v>143</v>
      </c>
      <c r="G349" s="87" t="s">
        <v>324</v>
      </c>
    </row>
    <row r="350" spans="5:7" s="82" customFormat="1" ht="25.5" hidden="1" customHeight="1" x14ac:dyDescent="0.3">
      <c r="E350" s="82" t="s">
        <v>106</v>
      </c>
      <c r="F350" s="82" t="s">
        <v>143</v>
      </c>
      <c r="G350" s="87" t="s">
        <v>733</v>
      </c>
    </row>
    <row r="351" spans="5:7" s="82" customFormat="1" ht="25.5" hidden="1" customHeight="1" x14ac:dyDescent="0.3">
      <c r="E351" s="82" t="s">
        <v>106</v>
      </c>
      <c r="F351" s="82" t="s">
        <v>143</v>
      </c>
      <c r="G351" s="82" t="s">
        <v>600</v>
      </c>
    </row>
    <row r="352" spans="5:7" s="82" customFormat="1" ht="25.5" hidden="1" customHeight="1" x14ac:dyDescent="0.3">
      <c r="E352" s="82" t="s">
        <v>106</v>
      </c>
      <c r="F352" s="82" t="s">
        <v>143</v>
      </c>
      <c r="G352" s="82" t="s">
        <v>494</v>
      </c>
    </row>
    <row r="353" spans="5:7" s="82" customFormat="1" ht="25.5" hidden="1" customHeight="1" x14ac:dyDescent="0.3">
      <c r="E353" s="82" t="s">
        <v>106</v>
      </c>
      <c r="F353" s="82" t="s">
        <v>143</v>
      </c>
      <c r="G353" s="82" t="s">
        <v>495</v>
      </c>
    </row>
    <row r="354" spans="5:7" s="82" customFormat="1" ht="25.5" hidden="1" customHeight="1" x14ac:dyDescent="0.3">
      <c r="E354" s="82" t="s">
        <v>106</v>
      </c>
      <c r="F354" s="82" t="s">
        <v>212</v>
      </c>
      <c r="G354" s="82" t="s">
        <v>662</v>
      </c>
    </row>
    <row r="355" spans="5:7" s="82" customFormat="1" ht="25.5" hidden="1" customHeight="1" x14ac:dyDescent="0.3">
      <c r="E355" s="82" t="s">
        <v>106</v>
      </c>
      <c r="F355" s="82" t="s">
        <v>213</v>
      </c>
      <c r="G355" s="82" t="s">
        <v>214</v>
      </c>
    </row>
    <row r="356" spans="5:7" s="82" customFormat="1" ht="25.5" hidden="1" customHeight="1" x14ac:dyDescent="0.3">
      <c r="E356" s="82" t="s">
        <v>106</v>
      </c>
      <c r="F356" s="82" t="s">
        <v>213</v>
      </c>
      <c r="G356" s="82" t="s">
        <v>551</v>
      </c>
    </row>
    <row r="357" spans="5:7" s="82" customFormat="1" ht="25.5" hidden="1" customHeight="1" x14ac:dyDescent="0.3"/>
    <row r="358" spans="5:7" s="82" customFormat="1" ht="25.5" hidden="1" customHeight="1" x14ac:dyDescent="0.3">
      <c r="E358" s="82" t="s">
        <v>106</v>
      </c>
      <c r="F358" s="82" t="s">
        <v>213</v>
      </c>
      <c r="G358" s="87" t="s">
        <v>325</v>
      </c>
    </row>
    <row r="359" spans="5:7" s="82" customFormat="1" ht="25.5" hidden="1" customHeight="1" x14ac:dyDescent="0.3">
      <c r="E359" s="82" t="s">
        <v>106</v>
      </c>
      <c r="F359" s="82" t="s">
        <v>213</v>
      </c>
      <c r="G359" s="87" t="s">
        <v>734</v>
      </c>
    </row>
    <row r="360" spans="5:7" s="82" customFormat="1" ht="25.5" hidden="1" customHeight="1" x14ac:dyDescent="0.3">
      <c r="E360" s="82" t="s">
        <v>106</v>
      </c>
      <c r="F360" s="82" t="s">
        <v>213</v>
      </c>
      <c r="G360" s="82" t="s">
        <v>503</v>
      </c>
    </row>
    <row r="361" spans="5:7" s="82" customFormat="1" ht="25.5" hidden="1" customHeight="1" x14ac:dyDescent="0.3"/>
    <row r="362" spans="5:7" s="82" customFormat="1" ht="25.5" hidden="1" customHeight="1" x14ac:dyDescent="0.3">
      <c r="E362" s="82" t="s">
        <v>106</v>
      </c>
      <c r="F362" s="82" t="s">
        <v>215</v>
      </c>
      <c r="G362" s="82" t="s">
        <v>216</v>
      </c>
    </row>
    <row r="363" spans="5:7" s="82" customFormat="1" ht="25.5" hidden="1" customHeight="1" x14ac:dyDescent="0.3">
      <c r="E363" s="82" t="s">
        <v>106</v>
      </c>
      <c r="F363" s="82" t="s">
        <v>215</v>
      </c>
      <c r="G363" s="82" t="s">
        <v>552</v>
      </c>
    </row>
    <row r="364" spans="5:7" s="82" customFormat="1" ht="25.5" hidden="1" customHeight="1" x14ac:dyDescent="0.3">
      <c r="E364" s="82" t="s">
        <v>106</v>
      </c>
      <c r="F364" s="82" t="s">
        <v>215</v>
      </c>
      <c r="G364" s="82" t="s">
        <v>735</v>
      </c>
    </row>
    <row r="365" spans="5:7" s="82" customFormat="1" ht="25.5" hidden="1" customHeight="1" x14ac:dyDescent="0.3">
      <c r="E365" s="82" t="s">
        <v>106</v>
      </c>
      <c r="F365" s="82" t="s">
        <v>215</v>
      </c>
      <c r="G365" s="82" t="s">
        <v>336</v>
      </c>
    </row>
    <row r="366" spans="5:7" s="82" customFormat="1" ht="25.5" hidden="1" customHeight="1" x14ac:dyDescent="0.3">
      <c r="E366" s="82" t="s">
        <v>106</v>
      </c>
      <c r="F366" s="82" t="s">
        <v>217</v>
      </c>
      <c r="G366" s="82" t="s">
        <v>663</v>
      </c>
    </row>
    <row r="367" spans="5:7" s="82" customFormat="1" ht="25.5" hidden="1" customHeight="1" x14ac:dyDescent="0.3">
      <c r="E367" s="82" t="s">
        <v>106</v>
      </c>
      <c r="F367" s="82" t="s">
        <v>217</v>
      </c>
      <c r="G367" s="82" t="s">
        <v>504</v>
      </c>
    </row>
    <row r="368" spans="5:7" s="82" customFormat="1" ht="25.5" hidden="1" customHeight="1" x14ac:dyDescent="0.3">
      <c r="E368" s="82" t="s">
        <v>106</v>
      </c>
      <c r="F368" s="82" t="s">
        <v>217</v>
      </c>
      <c r="G368" s="82" t="s">
        <v>505</v>
      </c>
    </row>
    <row r="369" spans="5:7" s="82" customFormat="1" ht="25.5" hidden="1" customHeight="1" x14ac:dyDescent="0.3"/>
    <row r="370" spans="5:7" s="82" customFormat="1" ht="25.5" hidden="1" customHeight="1" x14ac:dyDescent="0.3">
      <c r="E370" s="82" t="s">
        <v>106</v>
      </c>
      <c r="F370" s="82" t="s">
        <v>145</v>
      </c>
      <c r="G370" s="82" t="s">
        <v>218</v>
      </c>
    </row>
    <row r="371" spans="5:7" s="82" customFormat="1" ht="25.5" hidden="1" customHeight="1" x14ac:dyDescent="0.3">
      <c r="E371" s="82" t="s">
        <v>106</v>
      </c>
      <c r="F371" s="82" t="s">
        <v>145</v>
      </c>
      <c r="G371" s="82" t="s">
        <v>553</v>
      </c>
    </row>
    <row r="372" spans="5:7" s="82" customFormat="1" ht="25.5" hidden="1" customHeight="1" x14ac:dyDescent="0.3">
      <c r="E372" s="82" t="s">
        <v>106</v>
      </c>
      <c r="F372" s="82" t="s">
        <v>145</v>
      </c>
      <c r="G372" s="82" t="s">
        <v>514</v>
      </c>
    </row>
    <row r="373" spans="5:7" s="82" customFormat="1" ht="25.5" hidden="1" customHeight="1" x14ac:dyDescent="0.3"/>
    <row r="374" spans="5:7" s="82" customFormat="1" ht="25.5" hidden="1" customHeight="1" x14ac:dyDescent="0.3"/>
    <row r="375" spans="5:7" s="82" customFormat="1" ht="25.5" hidden="1" customHeight="1" x14ac:dyDescent="0.3">
      <c r="E375" s="82" t="s">
        <v>106</v>
      </c>
      <c r="F375" s="82" t="s">
        <v>146</v>
      </c>
      <c r="G375" s="82" t="s">
        <v>219</v>
      </c>
    </row>
    <row r="376" spans="5:7" s="82" customFormat="1" ht="25.5" hidden="1" customHeight="1" x14ac:dyDescent="0.3">
      <c r="E376" s="82" t="s">
        <v>106</v>
      </c>
      <c r="F376" s="82" t="s">
        <v>146</v>
      </c>
      <c r="G376" s="82" t="s">
        <v>410</v>
      </c>
    </row>
    <row r="377" spans="5:7" s="82" customFormat="1" ht="25.5" hidden="1" customHeight="1" x14ac:dyDescent="0.3">
      <c r="E377" s="82" t="s">
        <v>106</v>
      </c>
      <c r="F377" s="82" t="s">
        <v>146</v>
      </c>
      <c r="G377" s="82" t="s">
        <v>411</v>
      </c>
    </row>
    <row r="378" spans="5:7" s="82" customFormat="1" ht="25.5" hidden="1" customHeight="1" x14ac:dyDescent="0.3"/>
    <row r="379" spans="5:7" s="82" customFormat="1" ht="25.5" hidden="1" customHeight="1" x14ac:dyDescent="0.3">
      <c r="E379" s="82" t="s">
        <v>106</v>
      </c>
      <c r="F379" s="82" t="s">
        <v>114</v>
      </c>
      <c r="G379" s="82" t="s">
        <v>629</v>
      </c>
    </row>
    <row r="380" spans="5:7" s="82" customFormat="1" ht="25.5" hidden="1" customHeight="1" x14ac:dyDescent="0.3">
      <c r="E380" s="82" t="s">
        <v>106</v>
      </c>
      <c r="F380" s="82" t="s">
        <v>114</v>
      </c>
      <c r="G380" s="82" t="s">
        <v>800</v>
      </c>
    </row>
    <row r="381" spans="5:7" s="82" customFormat="1" ht="25.5" hidden="1" customHeight="1" x14ac:dyDescent="0.3">
      <c r="E381" s="82" t="s">
        <v>106</v>
      </c>
      <c r="F381" s="82" t="s">
        <v>114</v>
      </c>
      <c r="G381" s="82" t="s">
        <v>554</v>
      </c>
    </row>
    <row r="382" spans="5:7" s="82" customFormat="1" ht="25.5" hidden="1" customHeight="1" x14ac:dyDescent="0.3">
      <c r="E382" s="82" t="s">
        <v>106</v>
      </c>
      <c r="F382" s="82" t="s">
        <v>220</v>
      </c>
      <c r="G382" s="82" t="s">
        <v>221</v>
      </c>
    </row>
    <row r="383" spans="5:7" s="82" customFormat="1" ht="25.5" hidden="1" customHeight="1" x14ac:dyDescent="0.3">
      <c r="E383" s="82" t="s">
        <v>106</v>
      </c>
      <c r="F383" s="82" t="s">
        <v>220</v>
      </c>
      <c r="G383" s="82" t="s">
        <v>737</v>
      </c>
    </row>
    <row r="384" spans="5:7" s="82" customFormat="1" ht="25.5" hidden="1" customHeight="1" x14ac:dyDescent="0.3">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3">
      <c r="E393" s="82" t="s">
        <v>106</v>
      </c>
      <c r="F393" s="82" t="s">
        <v>114</v>
      </c>
      <c r="G393" s="82" t="s">
        <v>601</v>
      </c>
    </row>
    <row r="394" spans="5:7" s="82" customFormat="1" ht="25.5" hidden="1" customHeight="1" x14ac:dyDescent="0.3">
      <c r="E394" s="82" t="s">
        <v>118</v>
      </c>
      <c r="F394" s="82" t="s">
        <v>148</v>
      </c>
      <c r="G394" s="82" t="s">
        <v>630</v>
      </c>
    </row>
    <row r="395" spans="5:7" s="82" customFormat="1" ht="25.5" hidden="1" customHeight="1" x14ac:dyDescent="0.3">
      <c r="E395" s="82" t="s">
        <v>118</v>
      </c>
      <c r="F395" s="82" t="s">
        <v>148</v>
      </c>
      <c r="G395" s="82" t="s">
        <v>720</v>
      </c>
    </row>
    <row r="396" spans="5:7" s="82" customFormat="1" ht="25.5" hidden="1" customHeight="1" x14ac:dyDescent="0.3">
      <c r="E396" s="82" t="s">
        <v>118</v>
      </c>
      <c r="F396" s="82" t="s">
        <v>148</v>
      </c>
      <c r="G396" s="82" t="s">
        <v>702</v>
      </c>
    </row>
    <row r="397" spans="5:7" s="82" customFormat="1" ht="25.5" hidden="1" customHeight="1" x14ac:dyDescent="0.3">
      <c r="E397" s="82" t="s">
        <v>118</v>
      </c>
      <c r="F397" s="82" t="s">
        <v>148</v>
      </c>
      <c r="G397" s="82" t="s">
        <v>602</v>
      </c>
    </row>
    <row r="398" spans="5:7" s="82" customFormat="1" ht="25.5" hidden="1" customHeight="1" x14ac:dyDescent="0.3">
      <c r="E398" s="82" t="s">
        <v>118</v>
      </c>
      <c r="F398" s="82" t="s">
        <v>148</v>
      </c>
      <c r="G398" s="82" t="s">
        <v>416</v>
      </c>
    </row>
    <row r="399" spans="5:7" s="82" customFormat="1" ht="25.5" hidden="1" customHeight="1" x14ac:dyDescent="0.3">
      <c r="E399" s="82" t="s">
        <v>118</v>
      </c>
      <c r="F399" s="82" t="s">
        <v>148</v>
      </c>
      <c r="G399" s="82" t="s">
        <v>464</v>
      </c>
    </row>
    <row r="400" spans="5:7" s="82" customFormat="1" ht="25.5" hidden="1" customHeight="1" x14ac:dyDescent="0.3">
      <c r="E400" s="82" t="s">
        <v>118</v>
      </c>
      <c r="F400" s="82" t="s">
        <v>148</v>
      </c>
      <c r="G400" s="82" t="s">
        <v>465</v>
      </c>
    </row>
    <row r="401" spans="5:7" s="82" customFormat="1" ht="25.5" hidden="1" customHeight="1" x14ac:dyDescent="0.3">
      <c r="E401" s="82" t="s">
        <v>118</v>
      </c>
      <c r="F401" s="82" t="s">
        <v>119</v>
      </c>
      <c r="G401" s="82" t="s">
        <v>556</v>
      </c>
    </row>
    <row r="402" spans="5:7" s="82" customFormat="1" ht="25.5" hidden="1" customHeight="1" x14ac:dyDescent="0.3">
      <c r="E402" s="82" t="s">
        <v>118</v>
      </c>
      <c r="F402" s="82" t="s">
        <v>222</v>
      </c>
      <c r="G402" s="82" t="s">
        <v>631</v>
      </c>
    </row>
    <row r="403" spans="5:7" s="82" customFormat="1" ht="25.5" hidden="1" customHeight="1" x14ac:dyDescent="0.3">
      <c r="E403" s="82" t="s">
        <v>118</v>
      </c>
      <c r="F403" s="82" t="s">
        <v>222</v>
      </c>
      <c r="G403" s="82" t="s">
        <v>847</v>
      </c>
    </row>
    <row r="404" spans="5:7" s="82" customFormat="1" ht="25.5" hidden="1" customHeight="1" x14ac:dyDescent="0.3">
      <c r="E404" s="82" t="s">
        <v>118</v>
      </c>
      <c r="F404" s="82" t="s">
        <v>222</v>
      </c>
      <c r="G404" s="82" t="s">
        <v>358</v>
      </c>
    </row>
    <row r="405" spans="5:7" s="82" customFormat="1" ht="25.5" hidden="1" customHeight="1" x14ac:dyDescent="0.3">
      <c r="E405" s="82" t="s">
        <v>118</v>
      </c>
      <c r="F405" s="82" t="s">
        <v>222</v>
      </c>
      <c r="G405" s="82" t="s">
        <v>603</v>
      </c>
    </row>
    <row r="406" spans="5:7" s="82" customFormat="1" ht="25.5" hidden="1" customHeight="1" x14ac:dyDescent="0.3">
      <c r="E406" s="82" t="s">
        <v>118</v>
      </c>
      <c r="F406" s="82" t="s">
        <v>222</v>
      </c>
      <c r="G406" s="82" t="s">
        <v>417</v>
      </c>
    </row>
    <row r="407" spans="5:7" s="82" customFormat="1" ht="25.5" hidden="1" customHeight="1" x14ac:dyDescent="0.3">
      <c r="E407" s="82" t="s">
        <v>118</v>
      </c>
      <c r="F407" s="82" t="s">
        <v>120</v>
      </c>
      <c r="G407" s="82" t="s">
        <v>557</v>
      </c>
    </row>
    <row r="408" spans="5:7" s="82" customFormat="1" ht="25.5" hidden="1" customHeight="1" x14ac:dyDescent="0.3">
      <c r="E408" s="82" t="s">
        <v>118</v>
      </c>
      <c r="F408" s="82" t="s">
        <v>223</v>
      </c>
      <c r="G408" s="82" t="s">
        <v>664</v>
      </c>
    </row>
    <row r="409" spans="5:7" s="82" customFormat="1" ht="25.5" hidden="1" customHeight="1" x14ac:dyDescent="0.3">
      <c r="E409" s="82" t="s">
        <v>118</v>
      </c>
      <c r="F409" s="82" t="s">
        <v>224</v>
      </c>
      <c r="G409" s="82" t="s">
        <v>632</v>
      </c>
    </row>
    <row r="410" spans="5:7" s="82" customFormat="1" ht="25.5" hidden="1" customHeight="1" x14ac:dyDescent="0.3">
      <c r="E410" s="82" t="s">
        <v>118</v>
      </c>
      <c r="F410" s="82" t="s">
        <v>224</v>
      </c>
      <c r="G410" s="82" t="s">
        <v>357</v>
      </c>
    </row>
    <row r="411" spans="5:7" s="82" customFormat="1" ht="25.5" hidden="1" customHeight="1" x14ac:dyDescent="0.3">
      <c r="E411" s="82" t="s">
        <v>118</v>
      </c>
      <c r="F411" s="82" t="s">
        <v>224</v>
      </c>
      <c r="G411" s="82" t="s">
        <v>418</v>
      </c>
    </row>
    <row r="412" spans="5:7" s="82" customFormat="1" ht="25.5" hidden="1" customHeight="1" x14ac:dyDescent="0.3">
      <c r="E412" s="82" t="s">
        <v>118</v>
      </c>
      <c r="F412" s="82" t="s">
        <v>224</v>
      </c>
      <c r="G412" s="82" t="s">
        <v>481</v>
      </c>
    </row>
    <row r="413" spans="5:7" s="82" customFormat="1" ht="25.5" hidden="1" customHeight="1" x14ac:dyDescent="0.3">
      <c r="E413" s="82" t="s">
        <v>118</v>
      </c>
      <c r="F413" s="82" t="s">
        <v>224</v>
      </c>
      <c r="G413" s="82" t="s">
        <v>482</v>
      </c>
    </row>
    <row r="414" spans="5:7" s="82" customFormat="1" ht="25.5" hidden="1" customHeight="1" x14ac:dyDescent="0.3">
      <c r="E414" s="82" t="s">
        <v>118</v>
      </c>
      <c r="F414" s="82" t="s">
        <v>224</v>
      </c>
      <c r="G414" s="82" t="s">
        <v>483</v>
      </c>
    </row>
    <row r="415" spans="5:7" s="82" customFormat="1" ht="25.5" hidden="1" customHeight="1" x14ac:dyDescent="0.3">
      <c r="E415" s="82" t="s">
        <v>118</v>
      </c>
      <c r="F415" s="82" t="s">
        <v>149</v>
      </c>
      <c r="G415" s="82" t="s">
        <v>225</v>
      </c>
    </row>
    <row r="416" spans="5:7" s="82" customFormat="1" ht="25.5" hidden="1" customHeight="1" x14ac:dyDescent="0.3">
      <c r="E416" s="82" t="s">
        <v>118</v>
      </c>
      <c r="F416" s="82" t="s">
        <v>149</v>
      </c>
      <c r="G416" s="82" t="s">
        <v>337</v>
      </c>
    </row>
    <row r="417" spans="5:7" s="82" customFormat="1" ht="25.5" hidden="1" customHeight="1" x14ac:dyDescent="0.3">
      <c r="E417" s="82" t="s">
        <v>118</v>
      </c>
      <c r="F417" s="82" t="s">
        <v>149</v>
      </c>
      <c r="G417" s="82" t="s">
        <v>711</v>
      </c>
    </row>
    <row r="418" spans="5:7" s="82" customFormat="1" ht="25.5" hidden="1" customHeight="1" x14ac:dyDescent="0.3">
      <c r="E418" s="82" t="s">
        <v>118</v>
      </c>
      <c r="F418" s="82" t="s">
        <v>149</v>
      </c>
      <c r="G418" s="82" t="s">
        <v>558</v>
      </c>
    </row>
    <row r="419" spans="5:7" s="82" customFormat="1" ht="25.5" hidden="1" customHeight="1" x14ac:dyDescent="0.3">
      <c r="E419" s="82" t="s">
        <v>118</v>
      </c>
      <c r="F419" s="82" t="s">
        <v>149</v>
      </c>
      <c r="G419" s="82" t="s">
        <v>604</v>
      </c>
    </row>
    <row r="420" spans="5:7" s="82" customFormat="1" ht="25.5" hidden="1" customHeight="1" x14ac:dyDescent="0.3">
      <c r="E420" s="82" t="s">
        <v>118</v>
      </c>
      <c r="F420" s="82" t="s">
        <v>149</v>
      </c>
      <c r="G420" s="82" t="s">
        <v>419</v>
      </c>
    </row>
    <row r="421" spans="5:7" s="82" customFormat="1" ht="25.5" hidden="1" customHeight="1" x14ac:dyDescent="0.3">
      <c r="E421" s="82" t="s">
        <v>118</v>
      </c>
      <c r="F421" s="82" t="s">
        <v>149</v>
      </c>
      <c r="G421" s="82" t="s">
        <v>480</v>
      </c>
    </row>
    <row r="422" spans="5:7" s="82" customFormat="1" ht="25.5" hidden="1" customHeight="1" x14ac:dyDescent="0.3">
      <c r="E422" s="82" t="s">
        <v>118</v>
      </c>
      <c r="F422" s="82" t="s">
        <v>118</v>
      </c>
      <c r="G422" s="82" t="s">
        <v>226</v>
      </c>
    </row>
    <row r="423" spans="5:7" s="82" customFormat="1" ht="25.5" hidden="1" customHeight="1" x14ac:dyDescent="0.3">
      <c r="E423" s="82" t="s">
        <v>118</v>
      </c>
      <c r="F423" s="82" t="s">
        <v>118</v>
      </c>
      <c r="G423" s="82" t="s">
        <v>665</v>
      </c>
    </row>
    <row r="424" spans="5:7" s="82" customFormat="1" ht="25.5" hidden="1" customHeight="1" x14ac:dyDescent="0.3">
      <c r="E424" s="82" t="s">
        <v>118</v>
      </c>
      <c r="F424" s="82" t="s">
        <v>118</v>
      </c>
      <c r="G424" s="82" t="s">
        <v>559</v>
      </c>
    </row>
    <row r="425" spans="5:7" s="82" customFormat="1" ht="25.5" hidden="1" customHeight="1" x14ac:dyDescent="0.3">
      <c r="E425" s="82" t="s">
        <v>118</v>
      </c>
      <c r="F425" s="82" t="s">
        <v>227</v>
      </c>
      <c r="G425" s="82" t="s">
        <v>633</v>
      </c>
    </row>
    <row r="426" spans="5:7" s="82" customFormat="1" ht="25.5" hidden="1" customHeight="1" x14ac:dyDescent="0.3">
      <c r="E426" s="82" t="s">
        <v>118</v>
      </c>
      <c r="F426" s="82" t="s">
        <v>118</v>
      </c>
      <c r="G426" s="82" t="s">
        <v>338</v>
      </c>
    </row>
    <row r="427" spans="5:7" s="82" customFormat="1" ht="25.5" hidden="1" customHeight="1" x14ac:dyDescent="0.3">
      <c r="E427" s="82" t="s">
        <v>118</v>
      </c>
      <c r="F427" s="82" t="s">
        <v>227</v>
      </c>
      <c r="G427" s="82" t="s">
        <v>317</v>
      </c>
    </row>
    <row r="428" spans="5:7" s="82" customFormat="1" ht="25.5" hidden="1" customHeight="1" x14ac:dyDescent="0.3">
      <c r="E428" s="82" t="s">
        <v>118</v>
      </c>
      <c r="F428" s="82" t="s">
        <v>227</v>
      </c>
      <c r="G428" s="82" t="s">
        <v>420</v>
      </c>
    </row>
    <row r="429" spans="5:7" s="82" customFormat="1" ht="25.5" hidden="1" customHeight="1" x14ac:dyDescent="0.3">
      <c r="E429" s="82" t="s">
        <v>118</v>
      </c>
      <c r="F429" s="82" t="s">
        <v>227</v>
      </c>
      <c r="G429" s="82" t="s">
        <v>484</v>
      </c>
    </row>
    <row r="430" spans="5:7" s="82" customFormat="1" ht="25.5" hidden="1" customHeight="1" x14ac:dyDescent="0.3">
      <c r="E430" s="82" t="s">
        <v>118</v>
      </c>
      <c r="F430" s="82" t="s">
        <v>227</v>
      </c>
      <c r="G430" s="82" t="s">
        <v>485</v>
      </c>
    </row>
    <row r="431" spans="5:7" s="82" customFormat="1" ht="25.5" hidden="1" customHeight="1" x14ac:dyDescent="0.3">
      <c r="E431" s="82" t="s">
        <v>118</v>
      </c>
      <c r="F431" s="82" t="s">
        <v>121</v>
      </c>
      <c r="G431" s="82" t="s">
        <v>560</v>
      </c>
    </row>
    <row r="432" spans="5:7" s="82" customFormat="1" ht="25.5" hidden="1" customHeight="1" x14ac:dyDescent="0.3">
      <c r="E432" s="82" t="s">
        <v>118</v>
      </c>
      <c r="F432" s="82" t="s">
        <v>228</v>
      </c>
      <c r="G432" s="82" t="s">
        <v>634</v>
      </c>
    </row>
    <row r="433" spans="5:7" s="82" customFormat="1" ht="25.5" hidden="1" customHeight="1" x14ac:dyDescent="0.3">
      <c r="E433" s="82" t="s">
        <v>118</v>
      </c>
      <c r="F433" s="82" t="s">
        <v>228</v>
      </c>
      <c r="G433" s="82" t="s">
        <v>732</v>
      </c>
    </row>
    <row r="434" spans="5:7" s="82" customFormat="1" ht="25.5" hidden="1" customHeight="1" x14ac:dyDescent="0.3">
      <c r="E434" s="82" t="s">
        <v>118</v>
      </c>
      <c r="F434" s="82" t="s">
        <v>121</v>
      </c>
      <c r="G434" s="82" t="s">
        <v>561</v>
      </c>
    </row>
    <row r="435" spans="5:7" s="82" customFormat="1" ht="25.5" hidden="1" customHeight="1" x14ac:dyDescent="0.3">
      <c r="E435" s="82" t="s">
        <v>118</v>
      </c>
      <c r="F435" s="82" t="s">
        <v>121</v>
      </c>
      <c r="G435" s="82" t="s">
        <v>359</v>
      </c>
    </row>
    <row r="436" spans="5:7" s="82" customFormat="1" ht="25.5" hidden="1" customHeight="1" x14ac:dyDescent="0.3">
      <c r="E436" s="82" t="s">
        <v>118</v>
      </c>
      <c r="F436" s="82" t="s">
        <v>121</v>
      </c>
      <c r="G436" s="82" t="s">
        <v>421</v>
      </c>
    </row>
    <row r="437" spans="5:7" s="82" customFormat="1" ht="25.5" hidden="1" customHeight="1" x14ac:dyDescent="0.3">
      <c r="E437" s="82" t="s">
        <v>118</v>
      </c>
      <c r="F437" s="82" t="s">
        <v>150</v>
      </c>
      <c r="G437" s="82" t="s">
        <v>635</v>
      </c>
    </row>
    <row r="438" spans="5:7" s="82" customFormat="1" ht="25.5" hidden="1" customHeight="1" x14ac:dyDescent="0.3">
      <c r="E438" s="82" t="s">
        <v>118</v>
      </c>
      <c r="F438" s="82" t="s">
        <v>150</v>
      </c>
      <c r="G438" s="82" t="s">
        <v>562</v>
      </c>
    </row>
    <row r="439" spans="5:7" s="82" customFormat="1" ht="25.5" hidden="1" customHeight="1" x14ac:dyDescent="0.3">
      <c r="E439" s="82" t="s">
        <v>118</v>
      </c>
      <c r="F439" s="82" t="s">
        <v>150</v>
      </c>
      <c r="G439" s="82" t="s">
        <v>489</v>
      </c>
    </row>
    <row r="440" spans="5:7" s="82" customFormat="1" ht="25.5" hidden="1" customHeight="1" x14ac:dyDescent="0.3"/>
    <row r="441" spans="5:7" s="82" customFormat="1" ht="25.5" hidden="1" customHeight="1" x14ac:dyDescent="0.3"/>
    <row r="442" spans="5:7" s="82" customFormat="1" ht="25.5" hidden="1" customHeight="1" x14ac:dyDescent="0.3">
      <c r="E442" s="82" t="s">
        <v>118</v>
      </c>
      <c r="F442" s="82" t="s">
        <v>151</v>
      </c>
      <c r="G442" s="82" t="s">
        <v>636</v>
      </c>
    </row>
    <row r="443" spans="5:7" s="82" customFormat="1" ht="25.5" hidden="1" customHeight="1" x14ac:dyDescent="0.3">
      <c r="E443" s="82" t="s">
        <v>118</v>
      </c>
      <c r="F443" s="82" t="s">
        <v>151</v>
      </c>
      <c r="G443" s="82" t="s">
        <v>846</v>
      </c>
    </row>
    <row r="444" spans="5:7" s="82" customFormat="1" ht="25.5" hidden="1" customHeight="1" x14ac:dyDescent="0.3">
      <c r="E444" s="82" t="s">
        <v>118</v>
      </c>
      <c r="F444" s="82" t="s">
        <v>151</v>
      </c>
      <c r="G444" s="82" t="s">
        <v>339</v>
      </c>
    </row>
    <row r="445" spans="5:7" s="82" customFormat="1" ht="25.5" hidden="1" customHeight="1" x14ac:dyDescent="0.3">
      <c r="E445" s="82" t="s">
        <v>118</v>
      </c>
      <c r="F445" s="82" t="s">
        <v>151</v>
      </c>
      <c r="G445" s="82" t="s">
        <v>491</v>
      </c>
    </row>
    <row r="446" spans="5:7" s="82" customFormat="1" ht="25.5" hidden="1" customHeight="1" x14ac:dyDescent="0.3"/>
    <row r="447" spans="5:7" s="82" customFormat="1" ht="25.5" hidden="1" customHeight="1" x14ac:dyDescent="0.3">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3">
      <c r="E449" s="82" t="s">
        <v>118</v>
      </c>
      <c r="F449" s="82" t="s">
        <v>152</v>
      </c>
      <c r="G449" s="82" t="s">
        <v>502</v>
      </c>
    </row>
    <row r="450" spans="5:7" s="82" customFormat="1" ht="25.5" hidden="1" customHeight="1" x14ac:dyDescent="0.3"/>
    <row r="451" spans="5:7" s="82" customFormat="1" ht="25.5" hidden="1" customHeight="1" x14ac:dyDescent="0.3">
      <c r="E451" s="82" t="s">
        <v>118</v>
      </c>
      <c r="F451" s="82" t="s">
        <v>122</v>
      </c>
      <c r="G451" s="82" t="s">
        <v>563</v>
      </c>
    </row>
    <row r="452" spans="5:7" s="82" customFormat="1" ht="25.5" hidden="1" customHeight="1" x14ac:dyDescent="0.3">
      <c r="E452" s="82" t="s">
        <v>118</v>
      </c>
      <c r="F452" s="82" t="s">
        <v>231</v>
      </c>
      <c r="G452" s="82" t="s">
        <v>637</v>
      </c>
    </row>
    <row r="453" spans="5:7" s="82" customFormat="1" ht="25.5" hidden="1" customHeight="1" x14ac:dyDescent="0.3">
      <c r="E453" s="82" t="s">
        <v>118</v>
      </c>
      <c r="F453" s="82" t="s">
        <v>122</v>
      </c>
      <c r="G453" s="82" t="s">
        <v>356</v>
      </c>
    </row>
    <row r="454" spans="5:7" s="82" customFormat="1" ht="25.5" hidden="1" customHeight="1" x14ac:dyDescent="0.3">
      <c r="E454" s="82" t="s">
        <v>118</v>
      </c>
      <c r="F454" s="82" t="s">
        <v>122</v>
      </c>
      <c r="G454" s="82" t="s">
        <v>605</v>
      </c>
    </row>
    <row r="455" spans="5:7" s="82" customFormat="1" ht="25.5" hidden="1" customHeight="1" x14ac:dyDescent="0.3">
      <c r="E455" s="82" t="s">
        <v>118</v>
      </c>
      <c r="F455" s="82" t="s">
        <v>122</v>
      </c>
      <c r="G455" s="82" t="s">
        <v>519</v>
      </c>
    </row>
    <row r="456" spans="5:7" s="82" customFormat="1" ht="25.5" hidden="1" customHeight="1" x14ac:dyDescent="0.3">
      <c r="E456" s="82" t="s">
        <v>118</v>
      </c>
      <c r="F456" s="82" t="s">
        <v>122</v>
      </c>
      <c r="G456" s="82" t="s">
        <v>520</v>
      </c>
    </row>
    <row r="457" spans="5:7" s="82" customFormat="1" ht="25.5" hidden="1" customHeight="1" x14ac:dyDescent="0.3">
      <c r="E457" s="82" t="s">
        <v>118</v>
      </c>
      <c r="F457" s="82" t="s">
        <v>122</v>
      </c>
      <c r="G457" s="82" t="s">
        <v>521</v>
      </c>
    </row>
    <row r="458" spans="5:7" s="82" customFormat="1" ht="25.5" hidden="1" customHeight="1" x14ac:dyDescent="0.3">
      <c r="E458" s="82" t="s">
        <v>118</v>
      </c>
      <c r="F458" s="82" t="s">
        <v>122</v>
      </c>
      <c r="G458" s="82" t="s">
        <v>422</v>
      </c>
    </row>
    <row r="459" spans="5:7" s="82" customFormat="1" ht="25.5" hidden="1" customHeight="1" x14ac:dyDescent="0.3">
      <c r="E459" s="82" t="s">
        <v>117</v>
      </c>
      <c r="F459" s="82" t="s">
        <v>141</v>
      </c>
      <c r="G459" s="82" t="s">
        <v>638</v>
      </c>
    </row>
    <row r="460" spans="5:7" s="82" customFormat="1" ht="25.5" hidden="1" customHeight="1" x14ac:dyDescent="0.3">
      <c r="E460" s="82" t="s">
        <v>117</v>
      </c>
      <c r="F460" s="82" t="s">
        <v>141</v>
      </c>
      <c r="G460" s="82" t="s">
        <v>564</v>
      </c>
    </row>
    <row r="461" spans="5:7" s="82" customFormat="1" ht="25.5" hidden="1" customHeight="1" x14ac:dyDescent="0.3">
      <c r="E461" s="82" t="s">
        <v>117</v>
      </c>
      <c r="F461" s="82" t="s">
        <v>141</v>
      </c>
      <c r="G461" s="82" t="s">
        <v>784</v>
      </c>
    </row>
    <row r="462" spans="5:7" s="82" customFormat="1" ht="25.5" hidden="1" customHeight="1" x14ac:dyDescent="0.3">
      <c r="E462" s="82" t="s">
        <v>117</v>
      </c>
      <c r="F462" s="82" t="s">
        <v>141</v>
      </c>
      <c r="G462" s="82" t="s">
        <v>423</v>
      </c>
    </row>
    <row r="463" spans="5:7" s="82" customFormat="1" ht="25.5" hidden="1" customHeight="1" x14ac:dyDescent="0.3">
      <c r="E463" s="82" t="s">
        <v>117</v>
      </c>
      <c r="F463" s="82" t="s">
        <v>141</v>
      </c>
      <c r="G463" s="82" t="s">
        <v>801</v>
      </c>
    </row>
    <row r="464" spans="5:7" s="82" customFormat="1" ht="25.5" hidden="1" customHeight="1" x14ac:dyDescent="0.3">
      <c r="E464" s="82" t="s">
        <v>117</v>
      </c>
      <c r="F464" s="82" t="s">
        <v>141</v>
      </c>
      <c r="G464" s="82" t="s">
        <v>777</v>
      </c>
    </row>
    <row r="465" spans="5:7" s="82" customFormat="1" ht="25.5" hidden="1" customHeight="1" x14ac:dyDescent="0.3">
      <c r="E465" s="82" t="s">
        <v>117</v>
      </c>
      <c r="F465" s="82" t="s">
        <v>141</v>
      </c>
      <c r="G465" s="82" t="s">
        <v>707</v>
      </c>
    </row>
    <row r="466" spans="5:7" s="82" customFormat="1" ht="25.5" hidden="1" customHeight="1" x14ac:dyDescent="0.3">
      <c r="E466" s="82" t="s">
        <v>117</v>
      </c>
      <c r="F466" s="82" t="s">
        <v>141</v>
      </c>
      <c r="G466" s="82" t="s">
        <v>479</v>
      </c>
    </row>
    <row r="467" spans="5:7" s="82" customFormat="1" ht="25.5" hidden="1" customHeight="1" x14ac:dyDescent="0.3"/>
    <row r="468" spans="5:7" s="82" customFormat="1" ht="25.5" hidden="1" customHeight="1" x14ac:dyDescent="0.3">
      <c r="E468" s="82" t="s">
        <v>265</v>
      </c>
      <c r="F468" s="82" t="s">
        <v>265</v>
      </c>
      <c r="G468" s="82" t="s">
        <v>666</v>
      </c>
    </row>
    <row r="469" spans="5:7" s="82" customFormat="1" ht="25.5" hidden="1" customHeight="1" x14ac:dyDescent="0.3">
      <c r="E469" s="82" t="s">
        <v>117</v>
      </c>
      <c r="F469" s="82" t="s">
        <v>117</v>
      </c>
      <c r="G469" s="82" t="s">
        <v>565</v>
      </c>
    </row>
    <row r="470" spans="5:7" s="82" customFormat="1" ht="25.5" hidden="1" customHeight="1" x14ac:dyDescent="0.3">
      <c r="E470" s="82" t="s">
        <v>117</v>
      </c>
      <c r="F470" s="82" t="s">
        <v>232</v>
      </c>
      <c r="G470" s="82" t="s">
        <v>233</v>
      </c>
    </row>
    <row r="471" spans="5:7" s="82" customFormat="1" ht="25.5" hidden="1" customHeight="1" x14ac:dyDescent="0.3">
      <c r="E471" s="82" t="s">
        <v>117</v>
      </c>
      <c r="F471" s="82" t="s">
        <v>117</v>
      </c>
      <c r="G471" s="82" t="s">
        <v>343</v>
      </c>
    </row>
    <row r="472" spans="5:7" s="82" customFormat="1" ht="25.5" hidden="1" customHeight="1" x14ac:dyDescent="0.3">
      <c r="E472" s="82" t="s">
        <v>117</v>
      </c>
      <c r="F472" s="82" t="s">
        <v>232</v>
      </c>
      <c r="G472" s="82" t="s">
        <v>234</v>
      </c>
    </row>
    <row r="473" spans="5:7" s="82" customFormat="1" ht="25.5" hidden="1" customHeight="1" x14ac:dyDescent="0.3">
      <c r="E473" s="82" t="s">
        <v>117</v>
      </c>
      <c r="F473" s="82" t="s">
        <v>232</v>
      </c>
      <c r="G473" s="82" t="s">
        <v>731</v>
      </c>
    </row>
    <row r="474" spans="5:7" s="82" customFormat="1" ht="25.5" hidden="1" customHeight="1" x14ac:dyDescent="0.3">
      <c r="E474" s="82" t="s">
        <v>117</v>
      </c>
      <c r="F474" s="82" t="s">
        <v>117</v>
      </c>
      <c r="G474" s="82" t="s">
        <v>349</v>
      </c>
    </row>
    <row r="475" spans="5:7" s="82" customFormat="1" ht="25.5" hidden="1" customHeight="1" x14ac:dyDescent="0.3">
      <c r="E475" s="82" t="s">
        <v>117</v>
      </c>
      <c r="F475" s="82" t="s">
        <v>117</v>
      </c>
      <c r="G475" s="82" t="s">
        <v>424</v>
      </c>
    </row>
    <row r="476" spans="5:7" s="82" customFormat="1" ht="25.5" hidden="1" customHeight="1" x14ac:dyDescent="0.3">
      <c r="E476" s="82" t="s">
        <v>117</v>
      </c>
      <c r="F476" s="82" t="s">
        <v>117</v>
      </c>
      <c r="G476" s="82" t="s">
        <v>496</v>
      </c>
    </row>
    <row r="477" spans="5:7" s="82" customFormat="1" ht="25.5" hidden="1" customHeight="1" x14ac:dyDescent="0.3">
      <c r="E477" s="82" t="s">
        <v>117</v>
      </c>
      <c r="F477" s="82" t="s">
        <v>117</v>
      </c>
      <c r="G477" s="82" t="s">
        <v>804</v>
      </c>
    </row>
    <row r="478" spans="5:7" s="82" customFormat="1" ht="25.5" hidden="1" customHeight="1" x14ac:dyDescent="0.3">
      <c r="E478" s="82" t="s">
        <v>117</v>
      </c>
      <c r="F478" s="82" t="s">
        <v>117</v>
      </c>
      <c r="G478" s="82" t="s">
        <v>497</v>
      </c>
    </row>
    <row r="479" spans="5:7" s="82" customFormat="1" ht="25.5" hidden="1" customHeight="1" x14ac:dyDescent="0.3">
      <c r="E479" s="82" t="s">
        <v>117</v>
      </c>
      <c r="F479" s="82" t="s">
        <v>117</v>
      </c>
      <c r="G479" s="82" t="s">
        <v>498</v>
      </c>
    </row>
    <row r="480" spans="5:7" s="82" customFormat="1" ht="25.5" hidden="1" customHeight="1" x14ac:dyDescent="0.3">
      <c r="E480" s="82" t="s">
        <v>117</v>
      </c>
      <c r="F480" s="82" t="s">
        <v>117</v>
      </c>
      <c r="G480" s="82" t="s">
        <v>499</v>
      </c>
    </row>
    <row r="481" spans="5:7" s="82" customFormat="1" ht="25.5" hidden="1" customHeight="1" x14ac:dyDescent="0.3">
      <c r="E481" s="82" t="s">
        <v>117</v>
      </c>
      <c r="F481" s="82" t="s">
        <v>117</v>
      </c>
      <c r="G481" s="82" t="s">
        <v>500</v>
      </c>
    </row>
    <row r="482" spans="5:7" s="82" customFormat="1" ht="25.5" hidden="1" customHeight="1" x14ac:dyDescent="0.3"/>
    <row r="483" spans="5:7" s="82" customFormat="1" ht="25.5" hidden="1" customHeight="1" x14ac:dyDescent="0.3"/>
    <row r="484" spans="5:7" s="82" customFormat="1" ht="25.5" hidden="1" customHeight="1" x14ac:dyDescent="0.3"/>
    <row r="485" spans="5:7" s="82" customFormat="1" ht="25.5" hidden="1" customHeight="1" x14ac:dyDescent="0.3">
      <c r="E485" s="82" t="s">
        <v>117</v>
      </c>
      <c r="F485" s="82" t="s">
        <v>235</v>
      </c>
      <c r="G485" s="82" t="s">
        <v>236</v>
      </c>
    </row>
    <row r="486" spans="5:7" s="82" customFormat="1" ht="25.5" hidden="1" customHeight="1" x14ac:dyDescent="0.3">
      <c r="E486" s="82" t="s">
        <v>117</v>
      </c>
      <c r="F486" s="82" t="s">
        <v>237</v>
      </c>
      <c r="G486" s="82" t="s">
        <v>566</v>
      </c>
    </row>
    <row r="487" spans="5:7" s="82" customFormat="1" ht="25.5" hidden="1" customHeight="1" x14ac:dyDescent="0.3">
      <c r="E487" s="82" t="s">
        <v>117</v>
      </c>
      <c r="F487" s="82" t="s">
        <v>237</v>
      </c>
      <c r="G487" s="82" t="s">
        <v>351</v>
      </c>
    </row>
    <row r="488" spans="5:7" s="82" customFormat="1" ht="25.5" hidden="1" customHeight="1" x14ac:dyDescent="0.3">
      <c r="E488" s="82" t="s">
        <v>117</v>
      </c>
      <c r="F488" s="82" t="s">
        <v>237</v>
      </c>
      <c r="G488" s="82" t="s">
        <v>606</v>
      </c>
    </row>
    <row r="489" spans="5:7" s="82" customFormat="1" ht="25.5" hidden="1" customHeight="1" x14ac:dyDescent="0.3">
      <c r="E489" s="82" t="s">
        <v>117</v>
      </c>
      <c r="F489" s="82" t="s">
        <v>237</v>
      </c>
      <c r="G489" s="82" t="s">
        <v>508</v>
      </c>
    </row>
    <row r="490" spans="5:7" s="82" customFormat="1" ht="25.5" hidden="1" customHeight="1" x14ac:dyDescent="0.3">
      <c r="E490" s="82" t="s">
        <v>117</v>
      </c>
      <c r="F490" s="82" t="s">
        <v>237</v>
      </c>
      <c r="G490" s="82" t="s">
        <v>509</v>
      </c>
    </row>
    <row r="491" spans="5:7" s="82" customFormat="1" ht="25.5" hidden="1" customHeight="1" x14ac:dyDescent="0.3">
      <c r="E491" s="82" t="s">
        <v>117</v>
      </c>
      <c r="F491" s="82" t="s">
        <v>237</v>
      </c>
      <c r="G491" s="82" t="s">
        <v>798</v>
      </c>
    </row>
    <row r="492" spans="5:7" s="82" customFormat="1" ht="25.5" hidden="1" customHeight="1" x14ac:dyDescent="0.3">
      <c r="E492" s="82" t="s">
        <v>117</v>
      </c>
      <c r="F492" s="82" t="s">
        <v>237</v>
      </c>
      <c r="G492" s="82" t="s">
        <v>510</v>
      </c>
    </row>
    <row r="493" spans="5:7" s="82" customFormat="1" ht="25.5" hidden="1" customHeight="1" x14ac:dyDescent="0.3">
      <c r="E493" s="82" t="s">
        <v>117</v>
      </c>
      <c r="F493" s="82" t="s">
        <v>237</v>
      </c>
      <c r="G493" s="82" t="s">
        <v>768</v>
      </c>
    </row>
    <row r="494" spans="5:7" s="82" customFormat="1" ht="25.5" hidden="1" customHeight="1" x14ac:dyDescent="0.3">
      <c r="E494" s="82" t="s">
        <v>117</v>
      </c>
      <c r="F494" s="82" t="s">
        <v>237</v>
      </c>
      <c r="G494" s="82" t="s">
        <v>714</v>
      </c>
    </row>
    <row r="495" spans="5:7" s="82" customFormat="1" ht="25.5" hidden="1" customHeight="1" x14ac:dyDescent="0.3">
      <c r="E495" s="82" t="s">
        <v>117</v>
      </c>
      <c r="F495" s="82" t="s">
        <v>237</v>
      </c>
      <c r="G495" s="82" t="s">
        <v>425</v>
      </c>
    </row>
    <row r="496" spans="5:7" s="82" customFormat="1" ht="25.5" hidden="1" customHeight="1" x14ac:dyDescent="0.3">
      <c r="E496" s="82" t="s">
        <v>117</v>
      </c>
      <c r="F496" s="82" t="s">
        <v>147</v>
      </c>
      <c r="G496" s="82" t="s">
        <v>238</v>
      </c>
    </row>
    <row r="497" spans="5:7" s="82" customFormat="1" ht="25.5" hidden="1" customHeight="1" x14ac:dyDescent="0.3">
      <c r="E497" s="82" t="s">
        <v>117</v>
      </c>
      <c r="F497" s="82" t="s">
        <v>147</v>
      </c>
      <c r="G497" s="82" t="s">
        <v>567</v>
      </c>
    </row>
    <row r="498" spans="5:7" s="82" customFormat="1" ht="25.5" hidden="1" customHeight="1" x14ac:dyDescent="0.3">
      <c r="E498" s="82" t="s">
        <v>117</v>
      </c>
      <c r="F498" s="82" t="s">
        <v>147</v>
      </c>
      <c r="G498" s="82" t="s">
        <v>350</v>
      </c>
    </row>
    <row r="499" spans="5:7" s="82" customFormat="1" ht="25.5" hidden="1" customHeight="1" x14ac:dyDescent="0.3">
      <c r="E499" s="82" t="s">
        <v>117</v>
      </c>
      <c r="F499" s="82" t="s">
        <v>147</v>
      </c>
      <c r="G499" s="82" t="s">
        <v>607</v>
      </c>
    </row>
    <row r="500" spans="5:7" s="82" customFormat="1" ht="25.5" hidden="1" customHeight="1" x14ac:dyDescent="0.3">
      <c r="E500" s="82" t="s">
        <v>117</v>
      </c>
      <c r="F500" s="82" t="s">
        <v>147</v>
      </c>
      <c r="G500" s="82" t="s">
        <v>522</v>
      </c>
    </row>
    <row r="501" spans="5:7" s="82" customFormat="1" ht="25.5" hidden="1" customHeight="1" x14ac:dyDescent="0.3">
      <c r="E501" s="82" t="s">
        <v>117</v>
      </c>
      <c r="F501" s="82" t="s">
        <v>147</v>
      </c>
      <c r="G501" s="82" t="s">
        <v>523</v>
      </c>
    </row>
    <row r="502" spans="5:7" s="82" customFormat="1" ht="25.5" hidden="1" customHeight="1" x14ac:dyDescent="0.3">
      <c r="E502" s="82" t="s">
        <v>123</v>
      </c>
      <c r="F502" s="82" t="s">
        <v>124</v>
      </c>
      <c r="G502" s="82" t="s">
        <v>568</v>
      </c>
    </row>
    <row r="503" spans="5:7" s="82" customFormat="1" ht="25.5" hidden="1" customHeight="1" x14ac:dyDescent="0.3">
      <c r="E503" s="82" t="s">
        <v>123</v>
      </c>
      <c r="F503" s="82" t="s">
        <v>239</v>
      </c>
      <c r="G503" s="82" t="s">
        <v>667</v>
      </c>
    </row>
    <row r="504" spans="5:7" s="82" customFormat="1" ht="25.5" hidden="1" customHeight="1" x14ac:dyDescent="0.3">
      <c r="E504" s="82" t="s">
        <v>123</v>
      </c>
      <c r="F504" s="82" t="s">
        <v>240</v>
      </c>
      <c r="G504" s="82" t="s">
        <v>639</v>
      </c>
    </row>
    <row r="505" spans="5:7" s="82" customFormat="1" ht="25.5" hidden="1" customHeight="1" x14ac:dyDescent="0.3">
      <c r="E505" s="82" t="s">
        <v>123</v>
      </c>
      <c r="F505" s="82" t="s">
        <v>240</v>
      </c>
      <c r="G505" s="82" t="s">
        <v>715</v>
      </c>
    </row>
    <row r="506" spans="5:7" s="82" customFormat="1" ht="25.5" hidden="1" customHeight="1" x14ac:dyDescent="0.3">
      <c r="E506" s="82" t="s">
        <v>123</v>
      </c>
      <c r="F506" s="82" t="s">
        <v>124</v>
      </c>
      <c r="G506" s="82" t="s">
        <v>327</v>
      </c>
    </row>
    <row r="507" spans="5:7" s="82" customFormat="1" ht="25.5" hidden="1" customHeight="1" x14ac:dyDescent="0.3">
      <c r="E507" s="82" t="s">
        <v>123</v>
      </c>
      <c r="F507" s="82" t="s">
        <v>124</v>
      </c>
      <c r="G507" s="82" t="s">
        <v>844</v>
      </c>
    </row>
    <row r="508" spans="5:7" s="82" customFormat="1" ht="25.5" hidden="1" customHeight="1" x14ac:dyDescent="0.3">
      <c r="E508" s="82" t="s">
        <v>123</v>
      </c>
      <c r="F508" s="82" t="s">
        <v>124</v>
      </c>
      <c r="G508" s="82" t="s">
        <v>771</v>
      </c>
    </row>
    <row r="509" spans="5:7" s="82" customFormat="1" ht="25.5" hidden="1" customHeight="1" x14ac:dyDescent="0.3">
      <c r="E509" s="82" t="s">
        <v>123</v>
      </c>
      <c r="F509" s="82" t="s">
        <v>124</v>
      </c>
      <c r="G509" s="82" t="s">
        <v>772</v>
      </c>
    </row>
    <row r="510" spans="5:7" s="82" customFormat="1" ht="25.5" hidden="1" customHeight="1" x14ac:dyDescent="0.3">
      <c r="E510" s="82" t="s">
        <v>123</v>
      </c>
      <c r="F510" s="82" t="s">
        <v>124</v>
      </c>
      <c r="G510" s="82" t="s">
        <v>773</v>
      </c>
    </row>
    <row r="511" spans="5:7" s="82" customFormat="1" ht="25.5" hidden="1" customHeight="1" x14ac:dyDescent="0.3">
      <c r="E511" s="82" t="s">
        <v>123</v>
      </c>
      <c r="F511" s="82" t="s">
        <v>124</v>
      </c>
      <c r="G511" s="82" t="s">
        <v>774</v>
      </c>
    </row>
    <row r="512" spans="5:7" s="82" customFormat="1" ht="25.5" hidden="1" customHeight="1" x14ac:dyDescent="0.3">
      <c r="E512" s="82" t="s">
        <v>123</v>
      </c>
      <c r="F512" s="82" t="s">
        <v>124</v>
      </c>
      <c r="G512" s="82" t="s">
        <v>775</v>
      </c>
    </row>
    <row r="513" spans="5:7" s="82" customFormat="1" ht="25.5" hidden="1" customHeight="1" x14ac:dyDescent="0.3">
      <c r="E513" s="82" t="s">
        <v>123</v>
      </c>
      <c r="F513" s="82" t="s">
        <v>124</v>
      </c>
      <c r="G513" s="82" t="s">
        <v>466</v>
      </c>
    </row>
    <row r="514" spans="5:7" s="82" customFormat="1" ht="25.5" hidden="1" customHeight="1" x14ac:dyDescent="0.3">
      <c r="E514" s="82" t="s">
        <v>123</v>
      </c>
      <c r="F514" s="82" t="s">
        <v>124</v>
      </c>
      <c r="G514" s="82" t="s">
        <v>467</v>
      </c>
    </row>
    <row r="515" spans="5:7" s="82" customFormat="1" ht="25.5" hidden="1" customHeight="1" x14ac:dyDescent="0.3">
      <c r="E515" s="82" t="s">
        <v>123</v>
      </c>
      <c r="F515" s="82" t="s">
        <v>124</v>
      </c>
      <c r="G515" s="82" t="s">
        <v>468</v>
      </c>
    </row>
    <row r="516" spans="5:7" s="82" customFormat="1" ht="25.5" hidden="1" customHeight="1" x14ac:dyDescent="0.3">
      <c r="E516" s="82" t="s">
        <v>123</v>
      </c>
      <c r="F516" s="82" t="s">
        <v>124</v>
      </c>
      <c r="G516" s="82" t="s">
        <v>469</v>
      </c>
    </row>
    <row r="517" spans="5:7" s="82" customFormat="1" ht="25.5" hidden="1" customHeight="1" x14ac:dyDescent="0.3">
      <c r="E517" s="82" t="s">
        <v>123</v>
      </c>
      <c r="F517" s="82" t="s">
        <v>154</v>
      </c>
      <c r="G517" s="82" t="s">
        <v>640</v>
      </c>
    </row>
    <row r="518" spans="5:7" s="82" customFormat="1" ht="25.5" hidden="1" customHeight="1" x14ac:dyDescent="0.3">
      <c r="E518" s="82" t="s">
        <v>123</v>
      </c>
      <c r="F518" s="82" t="s">
        <v>154</v>
      </c>
      <c r="G518" s="82" t="s">
        <v>569</v>
      </c>
    </row>
    <row r="519" spans="5:7" s="82" customFormat="1" ht="25.5" hidden="1" customHeight="1" x14ac:dyDescent="0.3">
      <c r="E519" s="82" t="s">
        <v>123</v>
      </c>
      <c r="F519" s="82" t="s">
        <v>154</v>
      </c>
      <c r="G519" s="82" t="s">
        <v>780</v>
      </c>
    </row>
    <row r="520" spans="5:7" s="82" customFormat="1" ht="25.5" hidden="1" customHeight="1" x14ac:dyDescent="0.3">
      <c r="E520" s="82" t="s">
        <v>123</v>
      </c>
      <c r="F520" s="82" t="s">
        <v>154</v>
      </c>
      <c r="G520" s="82" t="s">
        <v>730</v>
      </c>
    </row>
    <row r="521" spans="5:7" s="82" customFormat="1" ht="25.5" hidden="1" customHeight="1" x14ac:dyDescent="0.3">
      <c r="E521" s="82" t="s">
        <v>123</v>
      </c>
      <c r="F521" s="82" t="s">
        <v>154</v>
      </c>
      <c r="G521" s="87" t="s">
        <v>326</v>
      </c>
    </row>
    <row r="522" spans="5:7" s="82" customFormat="1" ht="25.5" hidden="1" customHeight="1" x14ac:dyDescent="0.3">
      <c r="E522" s="82" t="s">
        <v>123</v>
      </c>
      <c r="F522" s="82" t="s">
        <v>154</v>
      </c>
      <c r="G522" s="82" t="s">
        <v>608</v>
      </c>
    </row>
    <row r="523" spans="5:7" s="82" customFormat="1" ht="25.5" hidden="1" customHeight="1" x14ac:dyDescent="0.3"/>
    <row r="524" spans="5:7" s="82" customFormat="1" ht="25.5" hidden="1" customHeight="1" x14ac:dyDescent="0.3">
      <c r="E524" s="82" t="s">
        <v>123</v>
      </c>
      <c r="F524" s="82" t="s">
        <v>241</v>
      </c>
      <c r="G524" s="82" t="s">
        <v>242</v>
      </c>
    </row>
    <row r="525" spans="5:7" s="82" customFormat="1" ht="25.5" hidden="1" customHeight="1" x14ac:dyDescent="0.3">
      <c r="E525" s="82" t="s">
        <v>123</v>
      </c>
      <c r="F525" s="82" t="s">
        <v>241</v>
      </c>
      <c r="G525" s="82" t="s">
        <v>716</v>
      </c>
    </row>
    <row r="526" spans="5:7" s="82" customFormat="1" ht="25.5" hidden="1" customHeight="1" x14ac:dyDescent="0.3">
      <c r="E526" s="82" t="s">
        <v>123</v>
      </c>
      <c r="F526" s="82" t="s">
        <v>241</v>
      </c>
      <c r="G526" s="82" t="s">
        <v>570</v>
      </c>
    </row>
    <row r="527" spans="5:7" s="82" customFormat="1" ht="25.5" hidden="1" customHeight="1" x14ac:dyDescent="0.3">
      <c r="E527" s="82" t="s">
        <v>123</v>
      </c>
      <c r="F527" s="82" t="s">
        <v>241</v>
      </c>
      <c r="G527" s="82" t="s">
        <v>427</v>
      </c>
    </row>
    <row r="528" spans="5:7" s="82" customFormat="1" ht="25.5" hidden="1" customHeight="1" x14ac:dyDescent="0.3"/>
    <row r="529" spans="5:7" s="82" customFormat="1" ht="25.5" hidden="1" customHeight="1" x14ac:dyDescent="0.3"/>
    <row r="530" spans="5:7" s="82" customFormat="1" ht="25.5" hidden="1" customHeight="1" x14ac:dyDescent="0.3">
      <c r="E530" s="82" t="s">
        <v>123</v>
      </c>
      <c r="F530" s="82" t="s">
        <v>153</v>
      </c>
      <c r="G530" s="82" t="s">
        <v>243</v>
      </c>
    </row>
    <row r="531" spans="5:7" s="82" customFormat="1" ht="25.5" hidden="1" customHeight="1" x14ac:dyDescent="0.3">
      <c r="E531" s="82" t="s">
        <v>123</v>
      </c>
      <c r="F531" s="82" t="s">
        <v>153</v>
      </c>
      <c r="G531" s="82" t="s">
        <v>571</v>
      </c>
    </row>
    <row r="532" spans="5:7" s="82" customFormat="1" ht="25.5" hidden="1" customHeight="1" x14ac:dyDescent="0.3">
      <c r="E532" s="82" t="s">
        <v>123</v>
      </c>
      <c r="F532" s="82" t="s">
        <v>153</v>
      </c>
      <c r="G532" s="82" t="s">
        <v>783</v>
      </c>
    </row>
    <row r="533" spans="5:7" s="82" customFormat="1" ht="25.5" hidden="1" customHeight="1" x14ac:dyDescent="0.3">
      <c r="E533" s="82" t="s">
        <v>123</v>
      </c>
      <c r="F533" s="82" t="s">
        <v>153</v>
      </c>
      <c r="G533" s="82" t="s">
        <v>713</v>
      </c>
    </row>
    <row r="534" spans="5:7" s="82" customFormat="1" ht="25.5" hidden="1" customHeight="1" x14ac:dyDescent="0.3">
      <c r="E534" s="82" t="s">
        <v>123</v>
      </c>
      <c r="F534" s="82" t="s">
        <v>153</v>
      </c>
      <c r="G534" s="82" t="s">
        <v>393</v>
      </c>
    </row>
    <row r="535" spans="5:7" s="82" customFormat="1" ht="25.5" hidden="1" customHeight="1" x14ac:dyDescent="0.3">
      <c r="E535" s="82" t="s">
        <v>123</v>
      </c>
      <c r="F535" s="82" t="s">
        <v>153</v>
      </c>
      <c r="G535" s="82" t="s">
        <v>428</v>
      </c>
    </row>
    <row r="536" spans="5:7" s="82" customFormat="1" ht="25.5" hidden="1" customHeight="1" x14ac:dyDescent="0.3">
      <c r="E536" s="82" t="s">
        <v>123</v>
      </c>
      <c r="F536" s="82" t="s">
        <v>153</v>
      </c>
      <c r="G536" s="82" t="s">
        <v>501</v>
      </c>
    </row>
    <row r="537" spans="5:7" s="82" customFormat="1" ht="25.5" hidden="1" customHeight="1" x14ac:dyDescent="0.3">
      <c r="E537" s="82" t="s">
        <v>123</v>
      </c>
      <c r="F537" s="82" t="s">
        <v>125</v>
      </c>
      <c r="G537" s="82" t="s">
        <v>572</v>
      </c>
    </row>
    <row r="538" spans="5:7" s="82" customFormat="1" ht="25.5" hidden="1" customHeight="1" x14ac:dyDescent="0.3">
      <c r="E538" s="82" t="s">
        <v>123</v>
      </c>
      <c r="F538" s="82" t="s">
        <v>125</v>
      </c>
      <c r="G538" s="82" t="s">
        <v>795</v>
      </c>
    </row>
    <row r="539" spans="5:7" s="82" customFormat="1" ht="25.5" hidden="1" customHeight="1" x14ac:dyDescent="0.3">
      <c r="E539" s="82" t="s">
        <v>123</v>
      </c>
      <c r="F539" s="82" t="s">
        <v>244</v>
      </c>
      <c r="G539" s="82" t="s">
        <v>641</v>
      </c>
    </row>
    <row r="540" spans="5:7" s="82" customFormat="1" ht="25.5" hidden="1" customHeight="1" x14ac:dyDescent="0.3">
      <c r="E540" s="82" t="s">
        <v>123</v>
      </c>
      <c r="F540" s="82" t="s">
        <v>244</v>
      </c>
      <c r="G540" s="82" t="s">
        <v>770</v>
      </c>
    </row>
    <row r="541" spans="5:7" s="82" customFormat="1" ht="25.5" hidden="1" customHeight="1" x14ac:dyDescent="0.3">
      <c r="E541" s="82" t="s">
        <v>123</v>
      </c>
      <c r="F541" s="82" t="s">
        <v>244</v>
      </c>
      <c r="G541" s="82" t="s">
        <v>729</v>
      </c>
    </row>
    <row r="542" spans="5:7" s="82" customFormat="1" ht="25.5" hidden="1" customHeight="1" x14ac:dyDescent="0.3">
      <c r="E542" s="82" t="s">
        <v>123</v>
      </c>
      <c r="F542" s="82" t="s">
        <v>125</v>
      </c>
      <c r="G542" s="82" t="s">
        <v>320</v>
      </c>
    </row>
    <row r="543" spans="5:7" s="82" customFormat="1" ht="25.5" hidden="1" customHeight="1" x14ac:dyDescent="0.3">
      <c r="E543" s="82" t="s">
        <v>123</v>
      </c>
      <c r="F543" s="82" t="s">
        <v>125</v>
      </c>
      <c r="G543" s="82" t="s">
        <v>506</v>
      </c>
    </row>
    <row r="544" spans="5:7" s="82" customFormat="1" ht="25.5" hidden="1" customHeight="1" x14ac:dyDescent="0.3">
      <c r="E544" s="82" t="s">
        <v>123</v>
      </c>
      <c r="F544" s="82" t="s">
        <v>125</v>
      </c>
      <c r="G544" s="82" t="s">
        <v>705</v>
      </c>
    </row>
    <row r="545" spans="5:7" s="82" customFormat="1" ht="25.5" hidden="1" customHeight="1" x14ac:dyDescent="0.3">
      <c r="E545" s="82" t="s">
        <v>123</v>
      </c>
      <c r="F545" s="82" t="s">
        <v>125</v>
      </c>
      <c r="G545" s="82" t="s">
        <v>507</v>
      </c>
    </row>
    <row r="546" spans="5:7" s="82" customFormat="1" ht="25.5" hidden="1" customHeight="1" x14ac:dyDescent="0.3">
      <c r="E546" s="82" t="s">
        <v>123</v>
      </c>
      <c r="F546" s="82" t="s">
        <v>127</v>
      </c>
      <c r="G546" s="82" t="s">
        <v>573</v>
      </c>
    </row>
    <row r="547" spans="5:7" s="82" customFormat="1" ht="25.5" hidden="1" customHeight="1" x14ac:dyDescent="0.3">
      <c r="E547" s="82" t="s">
        <v>123</v>
      </c>
      <c r="F547" s="82" t="s">
        <v>127</v>
      </c>
      <c r="G547" s="82" t="s">
        <v>791</v>
      </c>
    </row>
    <row r="548" spans="5:7" s="82" customFormat="1" ht="25.5" hidden="1" customHeight="1" x14ac:dyDescent="0.3">
      <c r="E548" s="82" t="s">
        <v>123</v>
      </c>
      <c r="F548" s="82" t="s">
        <v>127</v>
      </c>
      <c r="G548" s="82" t="s">
        <v>792</v>
      </c>
    </row>
    <row r="549" spans="5:7" s="82" customFormat="1" ht="25.5" hidden="1" customHeight="1" x14ac:dyDescent="0.3">
      <c r="E549" s="82" t="s">
        <v>123</v>
      </c>
      <c r="F549" s="82" t="s">
        <v>127</v>
      </c>
      <c r="G549" s="82" t="s">
        <v>793</v>
      </c>
    </row>
    <row r="550" spans="5:7" s="82" customFormat="1" ht="25.5" hidden="1" customHeight="1" x14ac:dyDescent="0.3">
      <c r="E550" s="82" t="s">
        <v>123</v>
      </c>
      <c r="F550" s="82" t="s">
        <v>127</v>
      </c>
      <c r="G550" s="82" t="s">
        <v>345</v>
      </c>
    </row>
    <row r="551" spans="5:7" s="82" customFormat="1" ht="25.5" hidden="1" customHeight="1" x14ac:dyDescent="0.3">
      <c r="E551" s="82" t="s">
        <v>123</v>
      </c>
      <c r="F551" s="82" t="s">
        <v>127</v>
      </c>
      <c r="G551" s="82" t="s">
        <v>728</v>
      </c>
    </row>
    <row r="552" spans="5:7" s="82" customFormat="1" ht="25.5" hidden="1" customHeight="1" x14ac:dyDescent="0.3">
      <c r="E552" s="82" t="s">
        <v>123</v>
      </c>
      <c r="F552" s="82" t="s">
        <v>245</v>
      </c>
      <c r="G552" s="82" t="s">
        <v>126</v>
      </c>
    </row>
    <row r="553" spans="5:7" s="82" customFormat="1" ht="25.5" hidden="1" customHeight="1" x14ac:dyDescent="0.3">
      <c r="E553" s="82" t="s">
        <v>123</v>
      </c>
      <c r="F553" s="82" t="s">
        <v>245</v>
      </c>
      <c r="G553" s="82" t="s">
        <v>429</v>
      </c>
    </row>
    <row r="554" spans="5:7" s="82" customFormat="1" ht="25.5" hidden="1" customHeight="1" x14ac:dyDescent="0.3">
      <c r="E554" s="82" t="s">
        <v>123</v>
      </c>
      <c r="F554" s="82" t="s">
        <v>245</v>
      </c>
      <c r="G554" s="82" t="s">
        <v>512</v>
      </c>
    </row>
    <row r="555" spans="5:7" s="82" customFormat="1" ht="25.5" hidden="1" customHeight="1" x14ac:dyDescent="0.3">
      <c r="E555" s="82" t="s">
        <v>123</v>
      </c>
      <c r="F555" s="82" t="s">
        <v>245</v>
      </c>
      <c r="G555" s="82" t="s">
        <v>513</v>
      </c>
    </row>
    <row r="556" spans="5:7" s="82" customFormat="1" ht="25.5" hidden="1" customHeight="1" x14ac:dyDescent="0.3">
      <c r="E556" s="82" t="s">
        <v>123</v>
      </c>
      <c r="F556" s="82" t="s">
        <v>123</v>
      </c>
      <c r="G556" s="82" t="s">
        <v>246</v>
      </c>
    </row>
    <row r="557" spans="5:7" s="82" customFormat="1" ht="25.5" hidden="1" customHeight="1" x14ac:dyDescent="0.3">
      <c r="E557" s="82" t="s">
        <v>123</v>
      </c>
      <c r="F557" s="82" t="s">
        <v>123</v>
      </c>
      <c r="G557" s="82" t="s">
        <v>668</v>
      </c>
    </row>
    <row r="558" spans="5:7" s="82" customFormat="1" ht="25.5" hidden="1" customHeight="1" x14ac:dyDescent="0.3">
      <c r="E558" s="82" t="s">
        <v>123</v>
      </c>
      <c r="F558" s="82" t="s">
        <v>247</v>
      </c>
      <c r="G558" s="82" t="s">
        <v>248</v>
      </c>
    </row>
    <row r="559" spans="5:7" s="82" customFormat="1" ht="25.5" hidden="1" customHeight="1" x14ac:dyDescent="0.3">
      <c r="E559" s="82" t="s">
        <v>123</v>
      </c>
      <c r="F559" s="82" t="s">
        <v>247</v>
      </c>
      <c r="G559" s="82" t="s">
        <v>721</v>
      </c>
    </row>
    <row r="560" spans="5:7" s="82" customFormat="1" ht="25.5" hidden="1" customHeight="1" x14ac:dyDescent="0.3">
      <c r="E560" s="82" t="s">
        <v>123</v>
      </c>
      <c r="F560" s="82" t="s">
        <v>247</v>
      </c>
      <c r="G560" s="82" t="s">
        <v>786</v>
      </c>
    </row>
    <row r="561" spans="5:7" s="82" customFormat="1" ht="25.5" hidden="1" customHeight="1" x14ac:dyDescent="0.3">
      <c r="E561" s="82" t="s">
        <v>123</v>
      </c>
      <c r="F561" s="82" t="s">
        <v>247</v>
      </c>
      <c r="G561" s="82" t="s">
        <v>805</v>
      </c>
    </row>
    <row r="562" spans="5:7" s="82" customFormat="1" ht="25.5" hidden="1" customHeight="1" x14ac:dyDescent="0.3">
      <c r="E562" s="82" t="s">
        <v>123</v>
      </c>
      <c r="F562" s="82" t="s">
        <v>247</v>
      </c>
      <c r="G562" s="82" t="s">
        <v>708</v>
      </c>
    </row>
    <row r="563" spans="5:7" s="82" customFormat="1" ht="25.5" hidden="1" customHeight="1" x14ac:dyDescent="0.3">
      <c r="E563" s="82" t="s">
        <v>123</v>
      </c>
      <c r="F563" s="82" t="s">
        <v>247</v>
      </c>
      <c r="G563" s="82" t="s">
        <v>426</v>
      </c>
    </row>
    <row r="564" spans="5:7" s="82" customFormat="1" ht="25.5" hidden="1" customHeight="1" x14ac:dyDescent="0.3">
      <c r="E564" s="82" t="s">
        <v>123</v>
      </c>
      <c r="F564" s="82" t="s">
        <v>247</v>
      </c>
      <c r="G564" s="82" t="s">
        <v>515</v>
      </c>
    </row>
    <row r="565" spans="5:7" s="82" customFormat="1" ht="25.5" hidden="1" customHeight="1" x14ac:dyDescent="0.3">
      <c r="E565" s="82" t="s">
        <v>123</v>
      </c>
      <c r="F565" s="82" t="s">
        <v>247</v>
      </c>
      <c r="G565" s="82" t="s">
        <v>516</v>
      </c>
    </row>
    <row r="566" spans="5:7" s="82" customFormat="1" ht="25.5" hidden="1" customHeight="1" x14ac:dyDescent="0.3">
      <c r="E566" s="82" t="s">
        <v>123</v>
      </c>
      <c r="F566" s="82" t="s">
        <v>247</v>
      </c>
      <c r="G566" s="82" t="s">
        <v>517</v>
      </c>
    </row>
    <row r="567" spans="5:7" s="82" customFormat="1" ht="25.5" hidden="1" customHeight="1" x14ac:dyDescent="0.3">
      <c r="E567" s="82" t="s">
        <v>123</v>
      </c>
      <c r="F567" s="82" t="s">
        <v>128</v>
      </c>
      <c r="G567" s="82" t="s">
        <v>642</v>
      </c>
    </row>
    <row r="568" spans="5:7" s="82" customFormat="1" ht="25.5" hidden="1" customHeight="1" x14ac:dyDescent="0.3">
      <c r="E568" s="82" t="s">
        <v>123</v>
      </c>
      <c r="F568" s="82" t="s">
        <v>128</v>
      </c>
      <c r="G568" s="82" t="s">
        <v>727</v>
      </c>
    </row>
    <row r="569" spans="5:7" s="82" customFormat="1" ht="25.5" hidden="1" customHeight="1" x14ac:dyDescent="0.3">
      <c r="E569" s="82" t="s">
        <v>123</v>
      </c>
      <c r="F569" s="82" t="s">
        <v>128</v>
      </c>
      <c r="G569" s="82" t="s">
        <v>574</v>
      </c>
    </row>
    <row r="570" spans="5:7" s="82" customFormat="1" ht="25.5" hidden="1" customHeight="1" x14ac:dyDescent="0.3">
      <c r="E570" s="82" t="s">
        <v>123</v>
      </c>
      <c r="F570" s="82" t="s">
        <v>128</v>
      </c>
      <c r="G570" s="82" t="s">
        <v>776</v>
      </c>
    </row>
    <row r="571" spans="5:7" s="82" customFormat="1" ht="25.5" hidden="1" customHeight="1" x14ac:dyDescent="0.3">
      <c r="E571" s="82" t="s">
        <v>123</v>
      </c>
      <c r="F571" s="82" t="s">
        <v>249</v>
      </c>
      <c r="G571" s="82" t="s">
        <v>328</v>
      </c>
    </row>
    <row r="572" spans="5:7" s="82" customFormat="1" ht="25.5" hidden="1" customHeight="1" x14ac:dyDescent="0.3">
      <c r="E572" s="82" t="s">
        <v>123</v>
      </c>
      <c r="F572" s="82" t="s">
        <v>249</v>
      </c>
      <c r="G572" s="82" t="s">
        <v>781</v>
      </c>
    </row>
    <row r="573" spans="5:7" s="82" customFormat="1" ht="25.5" hidden="1" customHeight="1" x14ac:dyDescent="0.3">
      <c r="E573" s="82" t="s">
        <v>123</v>
      </c>
      <c r="F573" s="82" t="s">
        <v>249</v>
      </c>
      <c r="G573" s="82" t="s">
        <v>524</v>
      </c>
    </row>
    <row r="574" spans="5:7" s="82" customFormat="1" ht="25.5" hidden="1" customHeight="1" x14ac:dyDescent="0.3">
      <c r="E574" s="82" t="s">
        <v>123</v>
      </c>
      <c r="F574" s="82" t="s">
        <v>249</v>
      </c>
      <c r="G574" s="82" t="s">
        <v>748</v>
      </c>
    </row>
    <row r="575" spans="5:7" s="82" customFormat="1" ht="25.5" hidden="1" customHeight="1" x14ac:dyDescent="0.3">
      <c r="E575" s="82" t="s">
        <v>123</v>
      </c>
      <c r="F575" s="82" t="s">
        <v>249</v>
      </c>
      <c r="G575" s="82" t="s">
        <v>525</v>
      </c>
    </row>
    <row r="576" spans="5:7" s="82" customFormat="1" ht="25.5" hidden="1" customHeight="1" x14ac:dyDescent="0.3"/>
    <row r="577" spans="5:7" s="82" customFormat="1" ht="25.5" hidden="1" customHeight="1" x14ac:dyDescent="0.3">
      <c r="E577" s="82" t="s">
        <v>129</v>
      </c>
      <c r="F577" s="82" t="s">
        <v>155</v>
      </c>
      <c r="G577" s="82" t="s">
        <v>643</v>
      </c>
    </row>
    <row r="578" spans="5:7" s="82" customFormat="1" ht="25.5" hidden="1" customHeight="1" x14ac:dyDescent="0.3">
      <c r="E578" s="82" t="s">
        <v>129</v>
      </c>
      <c r="F578" s="82" t="s">
        <v>155</v>
      </c>
      <c r="G578" s="82" t="s">
        <v>669</v>
      </c>
    </row>
    <row r="579" spans="5:7" s="82" customFormat="1" ht="25.5" hidden="1" customHeight="1" x14ac:dyDescent="0.3">
      <c r="E579" s="82" t="s">
        <v>129</v>
      </c>
      <c r="F579" s="82" t="s">
        <v>155</v>
      </c>
      <c r="G579" s="82" t="s">
        <v>782</v>
      </c>
    </row>
    <row r="580" spans="5:7" s="82" customFormat="1" ht="25.5" hidden="1" customHeight="1" x14ac:dyDescent="0.3">
      <c r="E580" s="82" t="s">
        <v>129</v>
      </c>
      <c r="F580" s="82" t="s">
        <v>155</v>
      </c>
      <c r="G580" s="82" t="s">
        <v>575</v>
      </c>
    </row>
    <row r="581" spans="5:7" s="82" customFormat="1" ht="25.5" hidden="1" customHeight="1" x14ac:dyDescent="0.3">
      <c r="E581" s="82" t="s">
        <v>129</v>
      </c>
      <c r="F581" s="82" t="s">
        <v>155</v>
      </c>
      <c r="G581" s="82" t="s">
        <v>789</v>
      </c>
    </row>
    <row r="582" spans="5:7" s="82" customFormat="1" ht="25.5" hidden="1" customHeight="1" x14ac:dyDescent="0.3">
      <c r="E582" s="82" t="s">
        <v>129</v>
      </c>
      <c r="F582" s="82" t="s">
        <v>155</v>
      </c>
      <c r="G582" s="82" t="s">
        <v>312</v>
      </c>
    </row>
    <row r="583" spans="5:7" s="82" customFormat="1" ht="25.5" hidden="1" customHeight="1" x14ac:dyDescent="0.3">
      <c r="E583" s="82" t="s">
        <v>129</v>
      </c>
      <c r="F583" s="82" t="s">
        <v>155</v>
      </c>
      <c r="G583" s="82" t="s">
        <v>361</v>
      </c>
    </row>
    <row r="584" spans="5:7" s="82" customFormat="1" ht="25.5" hidden="1" customHeight="1" x14ac:dyDescent="0.3">
      <c r="E584" s="82" t="s">
        <v>129</v>
      </c>
      <c r="F584" s="82" t="s">
        <v>155</v>
      </c>
      <c r="G584" s="82" t="s">
        <v>723</v>
      </c>
    </row>
    <row r="585" spans="5:7" s="82" customFormat="1" ht="25.5" hidden="1" customHeight="1" x14ac:dyDescent="0.3">
      <c r="E585" s="82" t="s">
        <v>129</v>
      </c>
      <c r="F585" s="82" t="s">
        <v>155</v>
      </c>
      <c r="G585" s="82" t="s">
        <v>397</v>
      </c>
    </row>
    <row r="586" spans="5:7" s="82" customFormat="1" ht="25.5" hidden="1" customHeight="1" x14ac:dyDescent="0.3">
      <c r="E586" s="82" t="s">
        <v>129</v>
      </c>
      <c r="F586" s="82" t="s">
        <v>155</v>
      </c>
      <c r="G586" s="82" t="s">
        <v>398</v>
      </c>
    </row>
    <row r="587" spans="5:7" s="82" customFormat="1" ht="25.5" hidden="1" customHeight="1" x14ac:dyDescent="0.3">
      <c r="E587" s="82" t="s">
        <v>129</v>
      </c>
      <c r="F587" s="82" t="s">
        <v>155</v>
      </c>
      <c r="G587" s="82" t="s">
        <v>430</v>
      </c>
    </row>
    <row r="588" spans="5:7" s="82" customFormat="1" ht="25.5" hidden="1" customHeight="1" x14ac:dyDescent="0.3">
      <c r="E588" s="82" t="s">
        <v>129</v>
      </c>
      <c r="F588" s="82" t="s">
        <v>155</v>
      </c>
      <c r="G588" s="82" t="s">
        <v>471</v>
      </c>
    </row>
    <row r="589" spans="5:7" s="82" customFormat="1" ht="25.5" hidden="1" customHeight="1" x14ac:dyDescent="0.3">
      <c r="E589" s="82" t="s">
        <v>129</v>
      </c>
      <c r="F589" s="82" t="s">
        <v>130</v>
      </c>
      <c r="G589" s="82" t="s">
        <v>576</v>
      </c>
    </row>
    <row r="590" spans="5:7" s="82" customFormat="1" ht="25.5" hidden="1" customHeight="1" x14ac:dyDescent="0.3">
      <c r="E590" s="82" t="s">
        <v>129</v>
      </c>
      <c r="F590" s="82" t="s">
        <v>341</v>
      </c>
      <c r="G590" s="82" t="s">
        <v>342</v>
      </c>
    </row>
    <row r="591" spans="5:7" s="82" customFormat="1" ht="25.5" hidden="1" customHeight="1" x14ac:dyDescent="0.3">
      <c r="E591" s="82" t="s">
        <v>129</v>
      </c>
      <c r="F591" s="82" t="s">
        <v>250</v>
      </c>
      <c r="G591" s="82" t="s">
        <v>644</v>
      </c>
    </row>
    <row r="592" spans="5:7" s="82" customFormat="1" ht="25.5" hidden="1" customHeight="1" x14ac:dyDescent="0.3">
      <c r="E592" s="82" t="s">
        <v>129</v>
      </c>
      <c r="F592" s="82" t="s">
        <v>250</v>
      </c>
      <c r="G592" s="82" t="s">
        <v>360</v>
      </c>
    </row>
    <row r="593" spans="5:7" s="82" customFormat="1" ht="25.5" hidden="1" customHeight="1" x14ac:dyDescent="0.3">
      <c r="E593" s="82" t="s">
        <v>129</v>
      </c>
      <c r="F593" s="82" t="s">
        <v>250</v>
      </c>
      <c r="G593" s="82" t="s">
        <v>794</v>
      </c>
    </row>
    <row r="594" spans="5:7" s="82" customFormat="1" ht="25.5" hidden="1" customHeight="1" x14ac:dyDescent="0.3">
      <c r="E594" s="82" t="s">
        <v>129</v>
      </c>
      <c r="F594" s="82" t="s">
        <v>250</v>
      </c>
      <c r="G594" s="82" t="s">
        <v>787</v>
      </c>
    </row>
    <row r="595" spans="5:7" s="82" customFormat="1" ht="25.5" hidden="1" customHeight="1" x14ac:dyDescent="0.3">
      <c r="E595" s="82" t="s">
        <v>129</v>
      </c>
      <c r="F595" s="82" t="s">
        <v>250</v>
      </c>
      <c r="G595" s="82" t="s">
        <v>609</v>
      </c>
    </row>
    <row r="596" spans="5:7" s="82" customFormat="1" ht="25.5" hidden="1" customHeight="1" x14ac:dyDescent="0.3">
      <c r="E596" s="82" t="s">
        <v>129</v>
      </c>
      <c r="F596" s="82" t="s">
        <v>250</v>
      </c>
      <c r="G596" s="82" t="s">
        <v>475</v>
      </c>
    </row>
    <row r="597" spans="5:7" s="82" customFormat="1" ht="25.5" hidden="1" customHeight="1" x14ac:dyDescent="0.3">
      <c r="E597" s="82" t="s">
        <v>129</v>
      </c>
      <c r="F597" s="82" t="s">
        <v>250</v>
      </c>
      <c r="G597" s="82" t="s">
        <v>476</v>
      </c>
    </row>
    <row r="598" spans="5:7" s="82" customFormat="1" ht="25.5" hidden="1" customHeight="1" x14ac:dyDescent="0.3">
      <c r="E598" s="82" t="s">
        <v>129</v>
      </c>
      <c r="F598" s="82" t="s">
        <v>131</v>
      </c>
      <c r="G598" s="82" t="s">
        <v>577</v>
      </c>
    </row>
    <row r="599" spans="5:7" s="82" customFormat="1" ht="25.5" hidden="1" customHeight="1" x14ac:dyDescent="0.3">
      <c r="E599" s="82" t="s">
        <v>129</v>
      </c>
      <c r="F599" s="82" t="s">
        <v>251</v>
      </c>
      <c r="G599" s="82" t="s">
        <v>645</v>
      </c>
    </row>
    <row r="600" spans="5:7" s="82" customFormat="1" ht="25.5" hidden="1" customHeight="1" x14ac:dyDescent="0.3">
      <c r="E600" s="82" t="s">
        <v>129</v>
      </c>
      <c r="F600" s="82" t="s">
        <v>251</v>
      </c>
      <c r="G600" s="82" t="s">
        <v>712</v>
      </c>
    </row>
    <row r="601" spans="5:7" s="82" customFormat="1" ht="25.5" hidden="1" customHeight="1" x14ac:dyDescent="0.3">
      <c r="E601" s="82" t="s">
        <v>129</v>
      </c>
      <c r="F601" s="82" t="s">
        <v>251</v>
      </c>
      <c r="G601" s="82" t="s">
        <v>394</v>
      </c>
    </row>
    <row r="602" spans="5:7" s="82" customFormat="1" ht="25.5" hidden="1" customHeight="1" x14ac:dyDescent="0.3">
      <c r="E602" s="82" t="s">
        <v>129</v>
      </c>
      <c r="F602" s="82" t="s">
        <v>251</v>
      </c>
      <c r="G602" s="82" t="s">
        <v>431</v>
      </c>
    </row>
    <row r="603" spans="5:7" s="82" customFormat="1" ht="25.5" hidden="1" customHeight="1" x14ac:dyDescent="0.3">
      <c r="E603" s="82" t="s">
        <v>129</v>
      </c>
      <c r="F603" s="82" t="s">
        <v>251</v>
      </c>
      <c r="G603" s="82" t="s">
        <v>487</v>
      </c>
    </row>
    <row r="604" spans="5:7" s="82" customFormat="1" ht="25.5" hidden="1" customHeight="1" x14ac:dyDescent="0.3">
      <c r="E604" s="82" t="s">
        <v>129</v>
      </c>
      <c r="F604" s="82" t="s">
        <v>156</v>
      </c>
      <c r="G604" s="82" t="s">
        <v>252</v>
      </c>
    </row>
    <row r="605" spans="5:7" s="82" customFormat="1" ht="25.5" hidden="1" customHeight="1" x14ac:dyDescent="0.3">
      <c r="E605" s="82" t="s">
        <v>129</v>
      </c>
      <c r="F605" s="82" t="s">
        <v>156</v>
      </c>
      <c r="G605" s="82" t="s">
        <v>578</v>
      </c>
    </row>
    <row r="606" spans="5:7" s="82" customFormat="1" ht="25.5" hidden="1" customHeight="1" x14ac:dyDescent="0.3">
      <c r="E606" s="82" t="s">
        <v>129</v>
      </c>
      <c r="F606" s="82" t="s">
        <v>156</v>
      </c>
      <c r="G606" s="82" t="s">
        <v>432</v>
      </c>
    </row>
    <row r="607" spans="5:7" s="82" customFormat="1" ht="25.5" hidden="1" customHeight="1" x14ac:dyDescent="0.3">
      <c r="E607" s="82" t="s">
        <v>129</v>
      </c>
      <c r="F607" s="82" t="s">
        <v>156</v>
      </c>
      <c r="G607" s="82" t="s">
        <v>488</v>
      </c>
    </row>
    <row r="608" spans="5:7" s="82" customFormat="1" ht="25.5" hidden="1" customHeight="1" x14ac:dyDescent="0.3"/>
    <row r="609" spans="5:7" s="82" customFormat="1" ht="25.5" hidden="1" customHeight="1" x14ac:dyDescent="0.3">
      <c r="E609" s="82" t="s">
        <v>129</v>
      </c>
      <c r="F609" s="82" t="s">
        <v>157</v>
      </c>
      <c r="G609" s="82" t="s">
        <v>253</v>
      </c>
    </row>
    <row r="610" spans="5:7" s="82" customFormat="1" ht="25.5" hidden="1" customHeight="1" x14ac:dyDescent="0.3">
      <c r="E610" s="82" t="s">
        <v>129</v>
      </c>
      <c r="F610" s="82" t="s">
        <v>157</v>
      </c>
      <c r="G610" s="82" t="s">
        <v>717</v>
      </c>
    </row>
    <row r="611" spans="5:7" s="82" customFormat="1" ht="25.5" hidden="1" customHeight="1" x14ac:dyDescent="0.3">
      <c r="E611" s="82" t="s">
        <v>129</v>
      </c>
      <c r="F611" s="82" t="s">
        <v>157</v>
      </c>
      <c r="G611" s="82" t="s">
        <v>778</v>
      </c>
    </row>
    <row r="612" spans="5:7" s="82" customFormat="1" ht="25.5" hidden="1" customHeight="1" x14ac:dyDescent="0.3">
      <c r="E612" s="82" t="s">
        <v>129</v>
      </c>
      <c r="F612" s="82" t="s">
        <v>157</v>
      </c>
      <c r="G612" s="82" t="s">
        <v>779</v>
      </c>
    </row>
    <row r="613" spans="5:7" s="82" customFormat="1" ht="25.5" hidden="1" customHeight="1" x14ac:dyDescent="0.3">
      <c r="E613" s="82" t="s">
        <v>129</v>
      </c>
      <c r="F613" s="82" t="s">
        <v>157</v>
      </c>
      <c r="G613" s="82" t="s">
        <v>579</v>
      </c>
    </row>
    <row r="614" spans="5:7" s="82" customFormat="1" ht="25.5" hidden="1" customHeight="1" x14ac:dyDescent="0.3">
      <c r="E614" s="82" t="s">
        <v>129</v>
      </c>
      <c r="F614" s="82" t="s">
        <v>157</v>
      </c>
      <c r="G614" s="82" t="s">
        <v>610</v>
      </c>
    </row>
    <row r="615" spans="5:7" s="82" customFormat="1" ht="25.5" hidden="1" customHeight="1" x14ac:dyDescent="0.3">
      <c r="E615" s="82" t="s">
        <v>129</v>
      </c>
      <c r="F615" s="82" t="s">
        <v>157</v>
      </c>
      <c r="G615" s="82" t="s">
        <v>395</v>
      </c>
    </row>
    <row r="616" spans="5:7" s="82" customFormat="1" ht="25.5" hidden="1" customHeight="1" x14ac:dyDescent="0.3">
      <c r="E616" s="82" t="s">
        <v>129</v>
      </c>
      <c r="F616" s="82" t="s">
        <v>157</v>
      </c>
      <c r="G616" s="82" t="s">
        <v>433</v>
      </c>
    </row>
    <row r="617" spans="5:7" s="82" customFormat="1" ht="25.5" hidden="1" customHeight="1" x14ac:dyDescent="0.3">
      <c r="E617" s="82" t="s">
        <v>129</v>
      </c>
      <c r="F617" s="82" t="s">
        <v>158</v>
      </c>
      <c r="G617" s="82" t="s">
        <v>254</v>
      </c>
    </row>
    <row r="618" spans="5:7" s="82" customFormat="1" ht="25.5" hidden="1" customHeight="1" x14ac:dyDescent="0.3">
      <c r="E618" s="82" t="s">
        <v>129</v>
      </c>
      <c r="F618" s="82" t="s">
        <v>158</v>
      </c>
      <c r="G618" s="82" t="s">
        <v>749</v>
      </c>
    </row>
    <row r="619" spans="5:7" s="82" customFormat="1" ht="25.5" hidden="1" customHeight="1" x14ac:dyDescent="0.3">
      <c r="E619" s="82" t="s">
        <v>129</v>
      </c>
      <c r="F619" s="82" t="s">
        <v>158</v>
      </c>
      <c r="G619" s="82" t="s">
        <v>725</v>
      </c>
    </row>
    <row r="620" spans="5:7" s="82" customFormat="1" ht="25.5" hidden="1" customHeight="1" x14ac:dyDescent="0.3">
      <c r="E620" s="82" t="s">
        <v>129</v>
      </c>
      <c r="F620" s="82" t="s">
        <v>158</v>
      </c>
      <c r="G620" s="82" t="s">
        <v>580</v>
      </c>
    </row>
    <row r="621" spans="5:7" s="82" customFormat="1" ht="25.5" hidden="1" customHeight="1" x14ac:dyDescent="0.3">
      <c r="E621" s="82" t="s">
        <v>129</v>
      </c>
      <c r="F621" s="82" t="s">
        <v>158</v>
      </c>
      <c r="G621" s="82" t="s">
        <v>396</v>
      </c>
    </row>
    <row r="622" spans="5:7" s="82" customFormat="1" ht="25.5" hidden="1" customHeight="1" x14ac:dyDescent="0.3"/>
    <row r="623" spans="5:7" s="82" customFormat="1" ht="25.5" hidden="1" customHeight="1" x14ac:dyDescent="0.3">
      <c r="E623" s="82" t="s">
        <v>129</v>
      </c>
      <c r="F623" s="82" t="s">
        <v>255</v>
      </c>
      <c r="G623" s="82" t="s">
        <v>646</v>
      </c>
    </row>
    <row r="624" spans="5:7" s="82" customFormat="1" ht="25.5" hidden="1" customHeight="1" x14ac:dyDescent="0.3">
      <c r="E624" s="82" t="s">
        <v>129</v>
      </c>
      <c r="F624" s="82" t="s">
        <v>129</v>
      </c>
      <c r="G624" s="82" t="s">
        <v>256</v>
      </c>
    </row>
    <row r="625" spans="5:7" s="82" customFormat="1" ht="25.5" hidden="1" customHeight="1" x14ac:dyDescent="0.3">
      <c r="E625" s="82" t="s">
        <v>129</v>
      </c>
      <c r="F625" s="82" t="s">
        <v>129</v>
      </c>
      <c r="G625" s="82" t="s">
        <v>790</v>
      </c>
    </row>
    <row r="626" spans="5:7" s="82" customFormat="1" ht="25.5" hidden="1" customHeight="1" x14ac:dyDescent="0.3">
      <c r="E626" s="82" t="s">
        <v>129</v>
      </c>
      <c r="F626" s="82" t="s">
        <v>129</v>
      </c>
      <c r="G626" s="82" t="s">
        <v>722</v>
      </c>
    </row>
    <row r="627" spans="5:7" s="82" customFormat="1" ht="25.5" hidden="1" customHeight="1" x14ac:dyDescent="0.3">
      <c r="E627" s="82" t="s">
        <v>129</v>
      </c>
      <c r="F627" s="82" t="s">
        <v>129</v>
      </c>
      <c r="G627" s="82" t="s">
        <v>785</v>
      </c>
    </row>
    <row r="628" spans="5:7" s="82" customFormat="1" ht="25.5" hidden="1" customHeight="1" x14ac:dyDescent="0.3">
      <c r="E628" s="82" t="s">
        <v>129</v>
      </c>
      <c r="F628" s="82" t="s">
        <v>129</v>
      </c>
      <c r="G628" s="82" t="s">
        <v>340</v>
      </c>
    </row>
    <row r="629" spans="5:7" s="82" customFormat="1" ht="25.5" hidden="1" customHeight="1" x14ac:dyDescent="0.3">
      <c r="E629" s="82" t="s">
        <v>129</v>
      </c>
      <c r="F629" s="82" t="s">
        <v>129</v>
      </c>
      <c r="G629" s="82" t="s">
        <v>611</v>
      </c>
    </row>
    <row r="630" spans="5:7" s="82" customFormat="1" ht="25.5" hidden="1" customHeight="1" x14ac:dyDescent="0.3">
      <c r="E630" s="82" t="s">
        <v>129</v>
      </c>
      <c r="F630" s="82" t="s">
        <v>129</v>
      </c>
      <c r="G630" s="82" t="s">
        <v>434</v>
      </c>
    </row>
    <row r="631" spans="5:7" s="82" customFormat="1" ht="25.5" hidden="1" customHeight="1" x14ac:dyDescent="0.3">
      <c r="E631" s="82" t="s">
        <v>129</v>
      </c>
      <c r="F631" s="82" t="s">
        <v>129</v>
      </c>
      <c r="G631" s="82" t="s">
        <v>518</v>
      </c>
    </row>
    <row r="632" spans="5:7" s="82" customFormat="1" ht="25.5" hidden="1" customHeight="1" x14ac:dyDescent="0.3">
      <c r="E632" s="82" t="s">
        <v>129</v>
      </c>
      <c r="F632" s="82" t="s">
        <v>159</v>
      </c>
      <c r="G632" s="82" t="s">
        <v>581</v>
      </c>
    </row>
    <row r="633" spans="5:7" s="82" customFormat="1" ht="25.5" hidden="1" customHeight="1" x14ac:dyDescent="0.3">
      <c r="E633" s="82" t="s">
        <v>129</v>
      </c>
      <c r="F633" s="82" t="s">
        <v>159</v>
      </c>
      <c r="G633" s="82" t="s">
        <v>647</v>
      </c>
    </row>
    <row r="634" spans="5:7" s="82" customFormat="1" ht="25.5" hidden="1" customHeight="1" x14ac:dyDescent="0.3">
      <c r="E634" s="82" t="s">
        <v>129</v>
      </c>
      <c r="F634" s="82" t="s">
        <v>159</v>
      </c>
      <c r="G634" s="82" t="s">
        <v>724</v>
      </c>
    </row>
    <row r="635" spans="5:7" s="82" customFormat="1" ht="25.5" hidden="1" customHeight="1" x14ac:dyDescent="0.3">
      <c r="E635" s="82" t="s">
        <v>129</v>
      </c>
      <c r="F635" s="82" t="s">
        <v>159</v>
      </c>
      <c r="G635" s="82" t="s">
        <v>612</v>
      </c>
    </row>
    <row r="636" spans="5:7" s="82" customFormat="1" ht="25.5" hidden="1" customHeight="1" x14ac:dyDescent="0.3">
      <c r="E636" s="82" t="s">
        <v>129</v>
      </c>
      <c r="F636" s="82" t="s">
        <v>159</v>
      </c>
      <c r="G636" s="82" t="s">
        <v>435</v>
      </c>
    </row>
    <row r="637" spans="5:7" s="82" customFormat="1" ht="25.5" hidden="1" customHeight="1" x14ac:dyDescent="0.3">
      <c r="E637" s="82" t="s">
        <v>129</v>
      </c>
      <c r="F637" s="82" t="s">
        <v>159</v>
      </c>
      <c r="G637" s="82" t="s">
        <v>671</v>
      </c>
    </row>
    <row r="638" spans="5:7" s="82" customFormat="1" ht="25.5" hidden="1" customHeight="1" x14ac:dyDescent="0.3">
      <c r="E638" s="82" t="s">
        <v>132</v>
      </c>
      <c r="F638" s="82" t="s">
        <v>133</v>
      </c>
      <c r="G638" s="82" t="s">
        <v>582</v>
      </c>
    </row>
    <row r="639" spans="5:7" s="82" customFormat="1" ht="25.5" hidden="1" customHeight="1" x14ac:dyDescent="0.3">
      <c r="E639" s="82" t="s">
        <v>132</v>
      </c>
      <c r="F639" s="82" t="s">
        <v>133</v>
      </c>
      <c r="G639" s="82" t="s">
        <v>346</v>
      </c>
    </row>
    <row r="640" spans="5:7" s="82" customFormat="1" ht="25.5" hidden="1" customHeight="1" x14ac:dyDescent="0.3">
      <c r="E640" s="82" t="s">
        <v>132</v>
      </c>
      <c r="F640" s="82" t="s">
        <v>257</v>
      </c>
      <c r="G640" s="82" t="s">
        <v>258</v>
      </c>
    </row>
    <row r="641" spans="5:7" s="82" customFormat="1" ht="25.5" hidden="1" customHeight="1" x14ac:dyDescent="0.3">
      <c r="E641" s="82" t="s">
        <v>132</v>
      </c>
      <c r="F641" s="82" t="s">
        <v>257</v>
      </c>
      <c r="G641" s="82" t="s">
        <v>726</v>
      </c>
    </row>
    <row r="642" spans="5:7" s="82" customFormat="1" ht="25.5" hidden="1" customHeight="1" x14ac:dyDescent="0.3">
      <c r="E642" s="82" t="s">
        <v>132</v>
      </c>
      <c r="F642" s="82" t="s">
        <v>257</v>
      </c>
      <c r="G642" s="82" t="s">
        <v>374</v>
      </c>
    </row>
    <row r="643" spans="5:7" s="82" customFormat="1" ht="25.5" hidden="1" customHeight="1" x14ac:dyDescent="0.3">
      <c r="E643" s="82" t="s">
        <v>132</v>
      </c>
      <c r="F643" s="82" t="s">
        <v>257</v>
      </c>
      <c r="G643" s="82" t="s">
        <v>386</v>
      </c>
    </row>
    <row r="644" spans="5:7" s="82" customFormat="1" ht="25.5" hidden="1" customHeight="1" x14ac:dyDescent="0.3">
      <c r="E644" s="82" t="s">
        <v>132</v>
      </c>
      <c r="F644" s="82" t="s">
        <v>257</v>
      </c>
      <c r="G644" s="82" t="s">
        <v>613</v>
      </c>
    </row>
    <row r="645" spans="5:7" s="82" customFormat="1" ht="25.5" hidden="1" customHeight="1" x14ac:dyDescent="0.3">
      <c r="E645" s="82" t="s">
        <v>132</v>
      </c>
      <c r="F645" s="82" t="s">
        <v>257</v>
      </c>
      <c r="G645" s="82" t="s">
        <v>436</v>
      </c>
    </row>
    <row r="646" spans="5:7" s="82" customFormat="1" ht="25.5" hidden="1" customHeight="1" x14ac:dyDescent="0.3">
      <c r="E646" s="82" t="s">
        <v>132</v>
      </c>
      <c r="F646" s="82" t="s">
        <v>257</v>
      </c>
      <c r="G646" s="82" t="s">
        <v>437</v>
      </c>
    </row>
    <row r="647" spans="5:7" s="82" customFormat="1" ht="25.5" hidden="1" customHeight="1" x14ac:dyDescent="0.3"/>
    <row r="648" spans="5:7" s="82" customFormat="1" ht="25.5" hidden="1" customHeight="1" x14ac:dyDescent="0.3"/>
    <row r="649" spans="5:7" s="82" customFormat="1" ht="25.5" hidden="1" customHeight="1" x14ac:dyDescent="0.3">
      <c r="E649" s="82" t="s">
        <v>132</v>
      </c>
      <c r="F649" s="82" t="s">
        <v>160</v>
      </c>
      <c r="G649" s="82" t="s">
        <v>259</v>
      </c>
    </row>
    <row r="650" spans="5:7" s="82" customFormat="1" ht="25.5" hidden="1" customHeight="1" x14ac:dyDescent="0.3">
      <c r="E650" s="82" t="s">
        <v>132</v>
      </c>
      <c r="F650" s="82" t="s">
        <v>160</v>
      </c>
      <c r="G650" s="82" t="s">
        <v>347</v>
      </c>
    </row>
    <row r="651" spans="5:7" s="82" customFormat="1" ht="25.5" hidden="1" customHeight="1" x14ac:dyDescent="0.3">
      <c r="E651" s="82" t="s">
        <v>132</v>
      </c>
      <c r="F651" s="82" t="s">
        <v>260</v>
      </c>
      <c r="G651" s="82" t="s">
        <v>261</v>
      </c>
    </row>
    <row r="652" spans="5:7" s="82" customFormat="1" ht="25.5" hidden="1" customHeight="1" x14ac:dyDescent="0.3">
      <c r="E652" s="82" t="s">
        <v>132</v>
      </c>
      <c r="F652" s="82" t="s">
        <v>260</v>
      </c>
      <c r="G652" s="82" t="s">
        <v>364</v>
      </c>
    </row>
    <row r="653" spans="5:7" s="82" customFormat="1" ht="25.5" hidden="1" customHeight="1" x14ac:dyDescent="0.3">
      <c r="E653" s="82" t="s">
        <v>132</v>
      </c>
      <c r="F653" s="82" t="s">
        <v>260</v>
      </c>
      <c r="G653" s="82" t="s">
        <v>614</v>
      </c>
    </row>
    <row r="654" spans="5:7" s="82" customFormat="1" ht="25.5" hidden="1" customHeight="1" x14ac:dyDescent="0.3">
      <c r="E654" s="82" t="s">
        <v>132</v>
      </c>
      <c r="F654" s="82" t="s">
        <v>260</v>
      </c>
      <c r="G654" s="82" t="s">
        <v>492</v>
      </c>
    </row>
    <row r="655" spans="5:7" s="82" customFormat="1" ht="25.5" hidden="1" customHeight="1" x14ac:dyDescent="0.3">
      <c r="E655" s="82" t="s">
        <v>132</v>
      </c>
      <c r="F655" s="82" t="s">
        <v>260</v>
      </c>
      <c r="G655" s="82" t="s">
        <v>493</v>
      </c>
    </row>
    <row r="656" spans="5:7" s="82" customFormat="1" ht="25.5" hidden="1" customHeight="1" x14ac:dyDescent="0.3">
      <c r="E656" s="82" t="s">
        <v>132</v>
      </c>
      <c r="F656" s="82" t="s">
        <v>134</v>
      </c>
      <c r="G656" s="82" t="s">
        <v>583</v>
      </c>
    </row>
    <row r="657" spans="5:7" s="82" customFormat="1" ht="25.5" hidden="1" customHeight="1" x14ac:dyDescent="0.3">
      <c r="E657" s="82" t="s">
        <v>132</v>
      </c>
      <c r="F657" s="82" t="s">
        <v>134</v>
      </c>
      <c r="G657" s="82" t="s">
        <v>348</v>
      </c>
    </row>
    <row r="658" spans="5:7" s="82" customFormat="1" ht="25.5" hidden="1" customHeight="1" x14ac:dyDescent="0.3">
      <c r="E658" s="82" t="s">
        <v>132</v>
      </c>
      <c r="F658" s="82" t="s">
        <v>262</v>
      </c>
      <c r="G658" s="82" t="s">
        <v>648</v>
      </c>
    </row>
    <row r="659" spans="5:7" s="82" customFormat="1" ht="25.5" hidden="1" customHeight="1" x14ac:dyDescent="0.3">
      <c r="E659" s="82" t="s">
        <v>132</v>
      </c>
      <c r="F659" s="82" t="s">
        <v>262</v>
      </c>
      <c r="G659" s="82" t="s">
        <v>363</v>
      </c>
    </row>
    <row r="660" spans="5:7" s="82" customFormat="1" ht="25.5" hidden="1" customHeight="1" x14ac:dyDescent="0.3">
      <c r="E660" s="82" t="s">
        <v>132</v>
      </c>
      <c r="F660" s="82" t="s">
        <v>262</v>
      </c>
      <c r="G660" s="82" t="s">
        <v>808</v>
      </c>
    </row>
    <row r="661" spans="5:7" s="82" customFormat="1" ht="25.5" hidden="1" customHeight="1" x14ac:dyDescent="0.3">
      <c r="E661" s="82" t="s">
        <v>132</v>
      </c>
      <c r="F661" s="82" t="s">
        <v>262</v>
      </c>
      <c r="G661" s="82" t="s">
        <v>615</v>
      </c>
    </row>
    <row r="662" spans="5:7" s="82" customFormat="1" ht="25.5" hidden="1" customHeight="1" x14ac:dyDescent="0.3">
      <c r="E662" s="82" t="s">
        <v>132</v>
      </c>
      <c r="F662" s="82" t="s">
        <v>262</v>
      </c>
      <c r="G662" s="82" t="s">
        <v>526</v>
      </c>
    </row>
    <row r="663" spans="5:7" s="82" customFormat="1" ht="25.5" hidden="1" customHeight="1" x14ac:dyDescent="0.3">
      <c r="E663" s="82" t="s">
        <v>132</v>
      </c>
      <c r="F663" s="82" t="s">
        <v>262</v>
      </c>
      <c r="G663" s="82" t="s">
        <v>527</v>
      </c>
    </row>
    <row r="664" spans="5:7" s="82" customFormat="1" ht="25.5" hidden="1" customHeight="1" x14ac:dyDescent="0.3">
      <c r="E664" s="82" t="s">
        <v>132</v>
      </c>
      <c r="F664" s="82" t="s">
        <v>262</v>
      </c>
      <c r="G664" s="82" t="s">
        <v>438</v>
      </c>
    </row>
    <row r="665" spans="5:7" s="82" customFormat="1" ht="25.5" hidden="1" customHeight="1" x14ac:dyDescent="0.3">
      <c r="E665" s="82" t="s">
        <v>132</v>
      </c>
      <c r="F665" s="82" t="s">
        <v>132</v>
      </c>
      <c r="G665" s="82" t="s">
        <v>263</v>
      </c>
    </row>
    <row r="666" spans="5:7" s="82" customFormat="1" ht="25.5" hidden="1" customHeight="1" x14ac:dyDescent="0.3">
      <c r="E666" s="82" t="s">
        <v>132</v>
      </c>
      <c r="F666" s="82" t="s">
        <v>132</v>
      </c>
      <c r="G666" s="82" t="s">
        <v>670</v>
      </c>
    </row>
    <row r="667" spans="5:7" s="82" customFormat="1" ht="25.5" hidden="1" customHeight="1" x14ac:dyDescent="0.3">
      <c r="E667" s="82" t="s">
        <v>132</v>
      </c>
      <c r="F667" s="82" t="s">
        <v>132</v>
      </c>
      <c r="G667" s="82" t="s">
        <v>584</v>
      </c>
    </row>
    <row r="668" spans="5:7" s="82" customFormat="1" ht="25.5" hidden="1" customHeight="1" x14ac:dyDescent="0.3">
      <c r="E668" s="82" t="s">
        <v>132</v>
      </c>
      <c r="F668" s="82" t="s">
        <v>264</v>
      </c>
      <c r="G668" s="82" t="s">
        <v>135</v>
      </c>
    </row>
    <row r="669" spans="5:7" s="82" customFormat="1" ht="25.5" hidden="1" customHeight="1" x14ac:dyDescent="0.3">
      <c r="E669" s="82" t="s">
        <v>132</v>
      </c>
      <c r="F669" s="82" t="s">
        <v>132</v>
      </c>
      <c r="G669" s="82" t="s">
        <v>362</v>
      </c>
    </row>
    <row r="670" spans="5:7" s="82" customFormat="1" ht="25.5" hidden="1" customHeight="1" x14ac:dyDescent="0.3">
      <c r="E670" s="82" t="s">
        <v>132</v>
      </c>
      <c r="F670" s="82" t="s">
        <v>132</v>
      </c>
      <c r="G670" s="82" t="s">
        <v>810</v>
      </c>
    </row>
    <row r="671" spans="5:7" s="82" customFormat="1" ht="25.5" hidden="1" customHeight="1" x14ac:dyDescent="0.3">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3">
      <c r="E673" s="82" t="s">
        <v>132</v>
      </c>
      <c r="F673" s="82" t="s">
        <v>264</v>
      </c>
      <c r="G673" s="82" t="s">
        <v>389</v>
      </c>
    </row>
    <row r="674" spans="5:7" s="82" customFormat="1" ht="25.5" hidden="1" customHeight="1" x14ac:dyDescent="0.3">
      <c r="E674" s="82" t="s">
        <v>132</v>
      </c>
      <c r="F674" s="82" t="s">
        <v>264</v>
      </c>
      <c r="G674" s="82" t="s">
        <v>439</v>
      </c>
    </row>
    <row r="675" spans="5:7" s="82" customFormat="1" ht="25.5" hidden="1" customHeight="1" x14ac:dyDescent="0.3">
      <c r="E675" s="82" t="s">
        <v>132</v>
      </c>
      <c r="F675" s="82" t="s">
        <v>264</v>
      </c>
      <c r="G675" s="82" t="s">
        <v>528</v>
      </c>
    </row>
    <row r="676" spans="5:7" s="82" customFormat="1" ht="25.5" hidden="1" customHeight="1" x14ac:dyDescent="0.3">
      <c r="E676" s="82" t="s">
        <v>132</v>
      </c>
      <c r="F676" s="82" t="s">
        <v>264</v>
      </c>
      <c r="G676" s="82" t="s">
        <v>529</v>
      </c>
    </row>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s="82" customFormat="1" ht="25.5" hidden="1" customHeight="1" x14ac:dyDescent="0.3"/>
    <row r="775" s="82" customFormat="1" ht="25.5" hidden="1" customHeight="1" x14ac:dyDescent="0.3"/>
    <row r="776" s="82" customFormat="1"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customHeight="1" x14ac:dyDescent="0.3"/>
    <row r="1023" ht="25.5" customHeight="1" x14ac:dyDescent="0.3"/>
    <row r="1024" ht="25.5" customHeight="1" x14ac:dyDescent="0.3"/>
    <row r="1025" ht="25.5" customHeight="1" x14ac:dyDescent="0.3"/>
    <row r="1026" ht="25.5" customHeight="1" x14ac:dyDescent="0.3"/>
    <row r="1027" ht="25.5" customHeight="1" x14ac:dyDescent="0.3"/>
    <row r="1028" ht="25.5" customHeight="1" x14ac:dyDescent="0.3"/>
    <row r="1029" ht="25.5" customHeight="1" x14ac:dyDescent="0.3"/>
    <row r="1030" ht="25.5" customHeight="1" x14ac:dyDescent="0.3"/>
    <row r="1031" ht="25.5" customHeight="1" x14ac:dyDescent="0.3"/>
    <row r="1032" ht="25.5" customHeight="1" x14ac:dyDescent="0.3"/>
    <row r="1033" ht="25.5" customHeight="1" x14ac:dyDescent="0.3"/>
    <row r="1034" ht="25.5" customHeight="1" x14ac:dyDescent="0.3"/>
    <row r="1035" ht="25.5" customHeight="1" x14ac:dyDescent="0.3"/>
    <row r="1036" ht="25.5" customHeight="1" x14ac:dyDescent="0.3"/>
    <row r="1037" ht="25.5" customHeight="1" x14ac:dyDescent="0.3"/>
    <row r="1038" ht="25.5" customHeight="1" x14ac:dyDescent="0.3"/>
    <row r="1039" ht="25.5" customHeight="1" x14ac:dyDescent="0.3"/>
    <row r="1040" ht="25.5" customHeight="1" x14ac:dyDescent="0.3"/>
    <row r="1041" ht="25.5" customHeight="1" x14ac:dyDescent="0.3"/>
    <row r="1042" ht="25.5" customHeight="1" x14ac:dyDescent="0.3"/>
    <row r="1043" ht="25.5" customHeight="1" x14ac:dyDescent="0.3"/>
    <row r="1044" ht="25.5" customHeight="1" x14ac:dyDescent="0.3"/>
    <row r="1045" ht="25.5" customHeight="1" x14ac:dyDescent="0.3"/>
    <row r="1046" ht="25.5" customHeight="1" x14ac:dyDescent="0.3"/>
    <row r="1047" ht="25.5" customHeight="1" x14ac:dyDescent="0.3"/>
    <row r="1048" ht="25.5" customHeight="1" x14ac:dyDescent="0.3"/>
    <row r="1049" ht="25.5" customHeight="1" x14ac:dyDescent="0.3"/>
    <row r="1050" ht="25.5" customHeight="1" x14ac:dyDescent="0.3"/>
    <row r="1051" ht="25.5" customHeight="1" x14ac:dyDescent="0.3"/>
    <row r="1052" ht="25.5" customHeight="1" x14ac:dyDescent="0.3"/>
    <row r="1053" ht="25.5" customHeight="1" x14ac:dyDescent="0.3"/>
    <row r="1054" ht="25.5" customHeight="1" x14ac:dyDescent="0.3"/>
    <row r="1055" ht="25.5" customHeight="1" x14ac:dyDescent="0.3"/>
    <row r="1056" ht="25.5" customHeight="1" x14ac:dyDescent="0.3"/>
    <row r="1057" ht="25.5" customHeight="1" x14ac:dyDescent="0.3"/>
    <row r="1058" ht="25.5" customHeight="1" x14ac:dyDescent="0.3"/>
    <row r="1059" ht="25.5" customHeight="1" x14ac:dyDescent="0.3"/>
    <row r="1060" ht="25.5" customHeight="1" x14ac:dyDescent="0.3"/>
    <row r="1061" ht="25.5" customHeight="1" x14ac:dyDescent="0.3"/>
    <row r="1062" ht="25.5" customHeight="1" x14ac:dyDescent="0.3"/>
    <row r="1063" ht="25.5" customHeight="1" x14ac:dyDescent="0.3"/>
    <row r="1064" ht="25.5" customHeight="1" x14ac:dyDescent="0.3"/>
    <row r="1065" ht="25.5" customHeight="1" x14ac:dyDescent="0.3"/>
    <row r="1066" ht="25.5" customHeight="1" x14ac:dyDescent="0.3"/>
    <row r="1067" ht="25.5" customHeight="1" x14ac:dyDescent="0.3"/>
    <row r="1068" ht="25.5" customHeight="1" x14ac:dyDescent="0.3"/>
    <row r="1069" ht="25.5" customHeight="1" x14ac:dyDescent="0.3"/>
    <row r="1070" ht="25.5" customHeight="1" x14ac:dyDescent="0.3"/>
    <row r="1071" ht="25.5" customHeight="1" x14ac:dyDescent="0.3"/>
    <row r="1072" ht="25.5" customHeight="1" x14ac:dyDescent="0.3"/>
    <row r="1073" ht="25.5" customHeight="1" x14ac:dyDescent="0.3"/>
    <row r="1074" ht="25.5" customHeight="1" x14ac:dyDescent="0.3"/>
    <row r="1075" ht="25.5" customHeight="1" x14ac:dyDescent="0.3"/>
    <row r="1076" ht="25.5" customHeight="1" x14ac:dyDescent="0.3"/>
    <row r="1077" ht="25.5" customHeight="1" x14ac:dyDescent="0.3"/>
    <row r="1078" ht="25.5" customHeight="1" x14ac:dyDescent="0.3"/>
    <row r="1079" ht="25.5" customHeight="1" x14ac:dyDescent="0.3"/>
    <row r="1080" ht="25.5" customHeight="1" x14ac:dyDescent="0.3"/>
    <row r="1081" ht="25.5" customHeight="1" x14ac:dyDescent="0.3"/>
    <row r="1082" ht="25.5" customHeight="1" x14ac:dyDescent="0.3"/>
    <row r="1083" ht="25.5" customHeight="1" x14ac:dyDescent="0.3"/>
    <row r="1084" ht="25.5" customHeight="1" x14ac:dyDescent="0.3"/>
    <row r="1085" ht="25.5" customHeight="1" x14ac:dyDescent="0.3"/>
    <row r="1086" ht="25.5" customHeight="1" x14ac:dyDescent="0.3"/>
    <row r="1087" ht="25.5" customHeight="1" x14ac:dyDescent="0.3"/>
    <row r="1088" ht="25.5" customHeight="1" x14ac:dyDescent="0.3"/>
    <row r="1089" ht="25.5" customHeight="1" x14ac:dyDescent="0.3"/>
    <row r="1090" ht="25.5" customHeight="1" x14ac:dyDescent="0.3"/>
    <row r="1091" ht="25.5" customHeight="1" x14ac:dyDescent="0.3"/>
    <row r="1092" ht="25.5" customHeight="1" x14ac:dyDescent="0.3"/>
    <row r="1093" ht="25.5" customHeight="1" x14ac:dyDescent="0.3"/>
    <row r="1094" ht="25.5" customHeight="1" x14ac:dyDescent="0.3"/>
    <row r="1095" ht="25.5" customHeight="1" x14ac:dyDescent="0.3"/>
    <row r="1096" ht="25.5" customHeight="1" x14ac:dyDescent="0.3"/>
    <row r="1097" ht="25.5" customHeight="1" x14ac:dyDescent="0.3"/>
    <row r="1098" ht="25.5" customHeight="1" x14ac:dyDescent="0.3"/>
    <row r="1099" ht="25.5" customHeight="1" x14ac:dyDescent="0.3"/>
    <row r="1100" ht="25.5" customHeight="1" x14ac:dyDescent="0.3"/>
    <row r="1101" ht="25.5" customHeight="1" x14ac:dyDescent="0.3"/>
    <row r="1102" ht="25.5" customHeight="1" x14ac:dyDescent="0.3"/>
    <row r="1103" ht="25.5" customHeight="1" x14ac:dyDescent="0.3"/>
    <row r="1104" ht="25.5" customHeight="1" x14ac:dyDescent="0.3"/>
    <row r="1105" ht="25.5" customHeight="1" x14ac:dyDescent="0.3"/>
    <row r="1106" ht="25.5"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row r="1115" ht="25.5" customHeight="1" x14ac:dyDescent="0.3"/>
    <row r="1116" ht="25.5" customHeight="1" x14ac:dyDescent="0.3"/>
    <row r="1117" ht="25.5" customHeight="1" x14ac:dyDescent="0.3"/>
  </sheetData>
  <mergeCells count="153">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C30:C32"/>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xr:uid="{00000000-0002-0000-0000-000000000000}"/>
    <dataValidation type="whole" allowBlank="1" showInputMessage="1" showErrorMessage="1" sqref="E27:L35 M41:U43 O27:O35 R27:R35 B27:C35 B40:D45" xr:uid="{00000000-0002-0000-0000-000001000000}">
      <formula1>0</formula1>
      <formula2>999999</formula2>
    </dataValidation>
    <dataValidation type="whole" allowBlank="1" showInputMessage="1" showErrorMessage="1" prompt="Fill the following Others (Specify) table to get the number automatically " sqref="S27:T35" xr:uid="{00000000-0002-0000-0000-000002000000}">
      <formula1>0</formula1>
      <formula2>999999</formula2>
    </dataValidation>
    <dataValidation type="list" allowBlank="1" showInputMessage="1" showErrorMessage="1" prompt="Select from drop down list" sqref="C6:G6" xr:uid="{00000000-0002-0000-0000-000003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4000000}">
      <formula1>INDIRECT($C$6)</formula1>
    </dataValidation>
    <dataValidation type="list" allowBlank="1" showInputMessage="1" showErrorMessage="1" prompt="Select from drop down list" sqref="C8:G8" xr:uid="{00000000-0002-0000-0000-000005000000}">
      <formula1>INDIRECT($C$7)</formula1>
    </dataValidation>
    <dataValidation type="list" allowBlank="1" showInputMessage="1" showErrorMessage="1" prompt="Select from drop down list" sqref="C9:G9" xr:uid="{00000000-0002-0000-0000-000006000000}">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E1114"/>
  <sheetViews>
    <sheetView showGridLines="0" view="pageBreakPreview" topLeftCell="C1" zoomScaleSheetLayoutView="100" workbookViewId="0">
      <selection activeCell="L6" sqref="L6:S6"/>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16" t="s">
        <v>807</v>
      </c>
      <c r="B1" s="216"/>
      <c r="C1" s="216"/>
      <c r="D1" s="216"/>
      <c r="E1" s="216"/>
      <c r="F1" s="216"/>
      <c r="G1" s="216"/>
      <c r="H1" s="216"/>
      <c r="I1" s="216"/>
      <c r="J1" s="216"/>
      <c r="K1" s="216"/>
      <c r="L1" s="216"/>
      <c r="M1" s="216"/>
      <c r="N1" s="216"/>
      <c r="O1" s="216"/>
      <c r="P1" s="216"/>
      <c r="Q1" s="216"/>
      <c r="R1" s="216"/>
      <c r="S1" s="1" t="s">
        <v>66</v>
      </c>
      <c r="T1" s="1"/>
      <c r="U1" s="1"/>
      <c r="V1" s="36"/>
      <c r="W1" s="1"/>
      <c r="X1" s="1"/>
    </row>
    <row r="2" spans="1:603" ht="13.9" customHeight="1" x14ac:dyDescent="0.3">
      <c r="A2" s="216" t="s">
        <v>63</v>
      </c>
      <c r="B2" s="216"/>
      <c r="C2" s="216"/>
      <c r="D2" s="216"/>
      <c r="E2" s="216"/>
      <c r="F2" s="216"/>
      <c r="G2" s="216"/>
      <c r="H2" s="216"/>
      <c r="I2" s="216"/>
      <c r="J2" s="216"/>
      <c r="K2" s="216"/>
      <c r="L2" s="216"/>
      <c r="M2" s="216"/>
      <c r="N2" s="216"/>
      <c r="O2" s="216"/>
      <c r="P2" s="216"/>
      <c r="Q2" s="216"/>
      <c r="R2" s="216"/>
      <c r="S2" s="216"/>
      <c r="T2" s="216"/>
      <c r="U2" s="216"/>
      <c r="V2" s="38"/>
      <c r="W2" s="1"/>
      <c r="X2" s="1"/>
    </row>
    <row r="3" spans="1:603" ht="13.9" customHeight="1" x14ac:dyDescent="0.3">
      <c r="A3" s="216" t="s">
        <v>74</v>
      </c>
      <c r="B3" s="216"/>
      <c r="C3" s="216"/>
      <c r="D3" s="216"/>
      <c r="E3" s="216"/>
      <c r="F3" s="216"/>
      <c r="G3" s="216"/>
      <c r="H3" s="216"/>
      <c r="I3" s="216"/>
      <c r="J3" s="216"/>
      <c r="K3" s="216"/>
      <c r="L3" s="216"/>
      <c r="M3" s="216"/>
      <c r="N3" s="216"/>
      <c r="O3" s="216"/>
      <c r="P3" s="216"/>
      <c r="Q3" s="216"/>
      <c r="R3" s="216"/>
      <c r="S3" s="39"/>
      <c r="T3" s="39"/>
      <c r="U3" s="39"/>
      <c r="V3" s="38"/>
      <c r="W3" s="1"/>
      <c r="X3" s="1"/>
    </row>
    <row r="4" spans="1:603" ht="13.9" customHeight="1" x14ac:dyDescent="0.3">
      <c r="A4" s="218" t="s">
        <v>839</v>
      </c>
      <c r="B4" s="218"/>
      <c r="C4" s="218"/>
      <c r="D4" s="218"/>
      <c r="E4" s="218"/>
      <c r="F4" s="218"/>
      <c r="G4" s="218"/>
      <c r="H4" s="218"/>
      <c r="I4" s="218"/>
      <c r="J4" s="218"/>
      <c r="K4" s="218"/>
      <c r="L4" s="218"/>
      <c r="M4" s="218"/>
      <c r="N4" s="218"/>
      <c r="O4" s="218"/>
      <c r="P4" s="218"/>
      <c r="Q4" s="218"/>
      <c r="R4" s="218"/>
      <c r="S4" s="218"/>
      <c r="T4" s="218"/>
      <c r="U4" s="218"/>
      <c r="V4" s="35"/>
      <c r="W4" s="2"/>
      <c r="X4" s="2"/>
    </row>
    <row r="5" spans="1:603" ht="30" customHeight="1" x14ac:dyDescent="0.3">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2">
        <f>'DR-TB 10A (Sputum &amp; EP Sample)'!C6:G6</f>
        <v>0</v>
      </c>
      <c r="D6" s="292"/>
      <c r="E6" s="292"/>
      <c r="F6" s="292"/>
      <c r="G6" s="292"/>
      <c r="I6" s="1"/>
      <c r="J6" s="41" t="s">
        <v>14</v>
      </c>
      <c r="L6" s="156" t="str">
        <f>'DR-TB 10A (Sputum &amp; EP Sample)'!L6</f>
        <v>&lt;Dates&gt;</v>
      </c>
      <c r="M6" s="156"/>
      <c r="N6" s="156"/>
      <c r="O6" s="156"/>
      <c r="P6" s="156"/>
      <c r="Q6" s="156"/>
      <c r="R6" s="156"/>
      <c r="S6" s="157"/>
    </row>
    <row r="7" spans="1:603" ht="15.75" customHeight="1" x14ac:dyDescent="0.3">
      <c r="A7" s="40" t="s">
        <v>9</v>
      </c>
      <c r="B7" s="40"/>
      <c r="C7" s="289">
        <f>'DR-TB 10A (Sputum &amp; EP Sample)'!C7:G7</f>
        <v>0</v>
      </c>
      <c r="D7" s="289"/>
      <c r="E7" s="289"/>
      <c r="F7" s="289"/>
      <c r="G7" s="289"/>
      <c r="I7" s="42"/>
      <c r="J7" s="43" t="s">
        <v>65</v>
      </c>
      <c r="K7" s="43"/>
      <c r="L7" s="43"/>
      <c r="M7" s="43"/>
      <c r="N7" s="290">
        <f>'DR-TB 10A (Sputum &amp; EP Sample)'!N7</f>
        <v>0</v>
      </c>
      <c r="O7" s="290"/>
      <c r="P7" s="290"/>
      <c r="Q7" s="290"/>
      <c r="R7" s="290"/>
      <c r="S7" s="290"/>
      <c r="V7" s="36"/>
    </row>
    <row r="8" spans="1:603" ht="15.75" customHeight="1" x14ac:dyDescent="0.3">
      <c r="A8" s="40" t="s">
        <v>10</v>
      </c>
      <c r="B8" s="40"/>
      <c r="C8" s="289">
        <f>'DR-TB 10A (Sputum &amp; EP Sample)'!C8:G8</f>
        <v>0</v>
      </c>
      <c r="D8" s="289"/>
      <c r="E8" s="289"/>
      <c r="F8" s="289"/>
      <c r="G8" s="289"/>
      <c r="I8" s="42"/>
      <c r="J8" s="43" t="s">
        <v>64</v>
      </c>
      <c r="K8" s="43"/>
      <c r="L8" s="43"/>
      <c r="M8" s="290">
        <f>'DR-TB 10A (Sputum &amp; EP Sample)'!M8</f>
        <v>0</v>
      </c>
      <c r="N8" s="290"/>
      <c r="O8" s="290"/>
      <c r="P8" s="290"/>
      <c r="Q8" s="290"/>
      <c r="R8" s="290"/>
      <c r="S8" s="290"/>
      <c r="V8" s="36"/>
    </row>
    <row r="9" spans="1:603" ht="15.75" customHeight="1" x14ac:dyDescent="0.3">
      <c r="A9" s="40" t="s">
        <v>763</v>
      </c>
      <c r="C9" s="225"/>
      <c r="D9" s="225"/>
      <c r="E9" s="225"/>
      <c r="F9" s="225"/>
      <c r="G9" s="225"/>
      <c r="J9" s="43" t="s">
        <v>11</v>
      </c>
      <c r="K9" s="43"/>
      <c r="L9" s="43"/>
      <c r="M9" s="291">
        <f>'DR-TB 10A (Sputum &amp; EP Sample)'!M9</f>
        <v>0</v>
      </c>
      <c r="N9" s="291"/>
      <c r="O9" s="44"/>
      <c r="P9" s="9"/>
      <c r="V9" s="36"/>
    </row>
    <row r="10" spans="1:603" ht="15.75" customHeight="1" x14ac:dyDescent="0.3">
      <c r="J10" s="45" t="s">
        <v>69</v>
      </c>
      <c r="K10" s="286">
        <f>'DR-TB 10A (Sputum &amp; EP Sample)'!K10:L10</f>
        <v>0</v>
      </c>
      <c r="L10" s="286"/>
      <c r="M10" s="45"/>
      <c r="N10" s="46"/>
      <c r="O10" s="43"/>
      <c r="P10" s="37" t="s">
        <v>845</v>
      </c>
      <c r="Q10" s="287">
        <f>'DR-TB 10A (Sputum &amp; EP Sample)'!Q10:S10</f>
        <v>0</v>
      </c>
      <c r="R10" s="288"/>
      <c r="S10" s="288"/>
      <c r="V10" s="36"/>
    </row>
    <row r="11" spans="1:603" s="46" customFormat="1" ht="14.25" customHeight="1" thickBot="1" x14ac:dyDescent="0.35">
      <c r="A11" s="1" t="s">
        <v>0</v>
      </c>
      <c r="B11" s="47"/>
      <c r="C11" s="47"/>
      <c r="D11" s="47"/>
      <c r="E11" s="47"/>
      <c r="F11" s="37"/>
      <c r="V11" s="48"/>
    </row>
    <row r="12" spans="1:603" s="49" customFormat="1" ht="13.9" customHeight="1" x14ac:dyDescent="0.2">
      <c r="A12" s="239" t="s">
        <v>68</v>
      </c>
      <c r="B12" s="240"/>
      <c r="C12" s="241"/>
      <c r="D12" s="233" t="s">
        <v>77</v>
      </c>
      <c r="E12" s="233"/>
      <c r="F12" s="233"/>
      <c r="G12" s="233"/>
      <c r="H12" s="10">
        <f>D27+E40</f>
        <v>0</v>
      </c>
      <c r="I12" s="46"/>
      <c r="J12" s="228" t="s">
        <v>752</v>
      </c>
      <c r="K12" s="229"/>
      <c r="L12" s="229"/>
      <c r="M12" s="230"/>
      <c r="N12" s="228" t="s">
        <v>753</v>
      </c>
      <c r="O12" s="229"/>
      <c r="P12" s="229"/>
      <c r="Q12" s="229"/>
      <c r="R12" s="229"/>
      <c r="S12" s="229"/>
      <c r="T12" s="229"/>
      <c r="U12" s="230"/>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42"/>
      <c r="B13" s="243"/>
      <c r="C13" s="244"/>
      <c r="D13" s="234" t="s">
        <v>71</v>
      </c>
      <c r="E13" s="234"/>
      <c r="F13" s="234"/>
      <c r="G13" s="234"/>
      <c r="H13" s="11">
        <f>U27</f>
        <v>0</v>
      </c>
      <c r="J13" s="224" t="s">
        <v>699</v>
      </c>
      <c r="K13" s="224"/>
      <c r="L13" s="224"/>
      <c r="M13" s="140">
        <f>'DR-TB 10A (Sputum &amp; EP Sample)'!M13</f>
        <v>0</v>
      </c>
      <c r="N13" s="51" t="s">
        <v>754</v>
      </c>
      <c r="O13" s="51"/>
      <c r="P13" s="51"/>
      <c r="Q13" s="140">
        <f>'DR-TB 10A (Sputum &amp; EP Sample)'!Q13</f>
        <v>0</v>
      </c>
      <c r="R13" s="170" t="s">
        <v>755</v>
      </c>
      <c r="S13" s="170"/>
      <c r="T13" s="170"/>
      <c r="U13" s="140">
        <f>'DR-TB 10A (Sputum &amp; EP Sample)'!U13</f>
        <v>0</v>
      </c>
      <c r="V13" s="48"/>
    </row>
    <row r="14" spans="1:603" s="46" customFormat="1" ht="12.75" customHeight="1" thickBot="1" x14ac:dyDescent="0.25">
      <c r="A14" s="245"/>
      <c r="B14" s="246"/>
      <c r="C14" s="247"/>
      <c r="D14" s="235" t="s">
        <v>3</v>
      </c>
      <c r="E14" s="235"/>
      <c r="F14" s="235"/>
      <c r="G14" s="235"/>
      <c r="H14" s="12">
        <f>H12+H13</f>
        <v>0</v>
      </c>
      <c r="J14" s="224" t="s">
        <v>701</v>
      </c>
      <c r="K14" s="224"/>
      <c r="L14" s="224"/>
      <c r="M14" s="140">
        <f>'DR-TB 10A (Sputum &amp; EP Sample)'!M14</f>
        <v>0</v>
      </c>
      <c r="N14" s="51" t="s">
        <v>756</v>
      </c>
      <c r="O14" s="51"/>
      <c r="P14" s="51"/>
      <c r="Q14" s="140">
        <f>'DR-TB 10A (Sputum &amp; EP Sample)'!Q14</f>
        <v>0</v>
      </c>
      <c r="R14" s="170" t="s">
        <v>757</v>
      </c>
      <c r="S14" s="170"/>
      <c r="T14" s="170"/>
      <c r="U14" s="140">
        <f>'DR-TB 10A (Sputum &amp; EP Sample)'!U14</f>
        <v>0</v>
      </c>
      <c r="V14" s="48"/>
    </row>
    <row r="15" spans="1:603" s="49" customFormat="1" ht="17.25" thickBot="1" x14ac:dyDescent="0.35">
      <c r="A15" s="3"/>
      <c r="B15" s="47"/>
      <c r="C15" s="47"/>
      <c r="D15" s="47"/>
      <c r="E15" s="47"/>
      <c r="F15" s="37"/>
      <c r="G15" s="46"/>
      <c r="H15" s="46"/>
      <c r="I15" s="46"/>
      <c r="J15" s="217" t="s">
        <v>700</v>
      </c>
      <c r="K15" s="217"/>
      <c r="L15" s="217"/>
      <c r="M15" s="140">
        <f>'DR-TB 10A (Sputum &amp; EP Sample)'!M15</f>
        <v>0</v>
      </c>
      <c r="N15" s="52" t="s">
        <v>758</v>
      </c>
      <c r="O15" s="52"/>
      <c r="P15" s="52"/>
      <c r="Q15" s="140">
        <f>'DR-TB 10A (Sputum &amp; EP Sample)'!Q15</f>
        <v>0</v>
      </c>
      <c r="R15" s="171" t="s">
        <v>759</v>
      </c>
      <c r="S15" s="171"/>
      <c r="T15" s="171"/>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56" t="s">
        <v>59</v>
      </c>
      <c r="B16" s="257"/>
      <c r="C16" s="258"/>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85" t="s">
        <v>60</v>
      </c>
      <c r="B17" s="185"/>
      <c r="C17" s="185"/>
      <c r="D17" s="13">
        <f>D30+E42-D33-E44</f>
        <v>0</v>
      </c>
      <c r="E17" s="13">
        <f>+U30-U33</f>
        <v>0</v>
      </c>
      <c r="F17" s="14">
        <f>+E17+D17</f>
        <v>0</v>
      </c>
      <c r="G17" s="127"/>
      <c r="H17" s="128"/>
      <c r="I17" s="182" t="s">
        <v>820</v>
      </c>
      <c r="J17" s="183" t="s">
        <v>75</v>
      </c>
      <c r="K17" s="183"/>
      <c r="L17" s="183"/>
      <c r="M17" s="181" t="s">
        <v>67</v>
      </c>
      <c r="N17" s="181"/>
      <c r="O17" s="181"/>
      <c r="P17" s="181" t="s">
        <v>3</v>
      </c>
      <c r="Q17" s="267"/>
      <c r="R17" s="184" t="s">
        <v>760</v>
      </c>
      <c r="S17" s="184"/>
      <c r="T17" s="184"/>
      <c r="U17" s="141">
        <f>'DR-TB 10A (Sputum &amp; EP Sample)'!U17</f>
        <v>0</v>
      </c>
    </row>
    <row r="18" spans="1:22" s="46" customFormat="1" ht="17.649999999999999" customHeight="1" x14ac:dyDescent="0.2">
      <c r="A18" s="185" t="s">
        <v>61</v>
      </c>
      <c r="B18" s="185"/>
      <c r="C18" s="185"/>
      <c r="D18" s="15">
        <f>D33+E44</f>
        <v>0</v>
      </c>
      <c r="E18" s="16">
        <f>U33</f>
        <v>0</v>
      </c>
      <c r="F18" s="14">
        <f>+E18+D18</f>
        <v>0</v>
      </c>
      <c r="G18" s="127"/>
      <c r="H18" s="128"/>
      <c r="I18" s="182"/>
      <c r="J18" s="136" t="s">
        <v>817</v>
      </c>
      <c r="K18" s="136" t="s">
        <v>818</v>
      </c>
      <c r="L18" s="136" t="s">
        <v>819</v>
      </c>
      <c r="M18" s="136" t="s">
        <v>817</v>
      </c>
      <c r="N18" s="136" t="s">
        <v>818</v>
      </c>
      <c r="O18" s="136" t="s">
        <v>819</v>
      </c>
      <c r="P18" s="181"/>
      <c r="Q18" s="267"/>
      <c r="R18" s="184" t="s">
        <v>761</v>
      </c>
      <c r="S18" s="184"/>
      <c r="T18" s="184"/>
      <c r="U18" s="141">
        <f>'DR-TB 10A (Sputum &amp; EP Sample)'!U18</f>
        <v>0</v>
      </c>
    </row>
    <row r="19" spans="1:22" s="46" customFormat="1" ht="13.9" customHeight="1" x14ac:dyDescent="0.25">
      <c r="A19" s="185" t="s">
        <v>62</v>
      </c>
      <c r="B19" s="185"/>
      <c r="C19" s="185"/>
      <c r="D19" s="6"/>
      <c r="E19" s="8"/>
      <c r="F19" s="14">
        <f>+E19+D19</f>
        <v>0</v>
      </c>
      <c r="G19" s="127"/>
      <c r="H19" s="128"/>
      <c r="I19" s="131" t="s">
        <v>815</v>
      </c>
      <c r="J19" s="134"/>
      <c r="K19" s="134"/>
      <c r="L19" s="134"/>
      <c r="M19" s="134"/>
      <c r="N19" s="134"/>
      <c r="O19" s="134"/>
      <c r="P19" s="132">
        <f>J19+K19+L19+M19+N19+O19</f>
        <v>0</v>
      </c>
      <c r="Q19" s="130"/>
      <c r="R19" s="184" t="s">
        <v>762</v>
      </c>
      <c r="S19" s="184"/>
      <c r="T19" s="184"/>
      <c r="U19" s="141">
        <f>'DR-TB 10A (Sputum &amp; EP Sample)'!U19</f>
        <v>0</v>
      </c>
    </row>
    <row r="20" spans="1:22" s="46" customFormat="1" ht="13.9" customHeight="1" x14ac:dyDescent="0.25">
      <c r="A20" s="185" t="s">
        <v>814</v>
      </c>
      <c r="B20" s="185"/>
      <c r="C20" s="185"/>
      <c r="D20" s="124"/>
      <c r="E20" s="125"/>
      <c r="F20" s="14">
        <f>+E20+D20</f>
        <v>0</v>
      </c>
      <c r="I20" s="131" t="s">
        <v>816</v>
      </c>
      <c r="J20" s="134"/>
      <c r="K20" s="134"/>
      <c r="L20" s="134"/>
      <c r="M20" s="134"/>
      <c r="N20" s="134"/>
      <c r="O20" s="134"/>
      <c r="P20" s="132">
        <f>J20+K20+L20+M20+N20+O20</f>
        <v>0</v>
      </c>
      <c r="Q20" s="130"/>
      <c r="T20" s="129"/>
      <c r="U20" s="126"/>
    </row>
    <row r="21" spans="1:22" s="46" customFormat="1" ht="13.9" customHeight="1" thickBot="1" x14ac:dyDescent="0.25">
      <c r="A21" s="185" t="s">
        <v>813</v>
      </c>
      <c r="B21" s="185"/>
      <c r="C21" s="185"/>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53" t="s">
        <v>1</v>
      </c>
      <c r="B24" s="250" t="s">
        <v>78</v>
      </c>
      <c r="C24" s="251"/>
      <c r="D24" s="252"/>
      <c r="E24" s="282" t="s">
        <v>15</v>
      </c>
      <c r="F24" s="283"/>
      <c r="G24" s="283"/>
      <c r="H24" s="283"/>
      <c r="I24" s="283"/>
      <c r="J24" s="283"/>
      <c r="K24" s="283"/>
      <c r="L24" s="283"/>
      <c r="M24" s="283"/>
      <c r="N24" s="283"/>
      <c r="O24" s="283"/>
      <c r="P24" s="283"/>
      <c r="Q24" s="283"/>
      <c r="R24" s="283"/>
      <c r="S24" s="283"/>
      <c r="T24" s="283"/>
      <c r="U24" s="274" t="s">
        <v>764</v>
      </c>
      <c r="V24" s="36"/>
    </row>
    <row r="25" spans="1:22" ht="76.5" customHeight="1" x14ac:dyDescent="0.3">
      <c r="A25" s="254"/>
      <c r="B25" s="21" t="s">
        <v>43</v>
      </c>
      <c r="C25" s="4" t="s">
        <v>44</v>
      </c>
      <c r="D25" s="248" t="s">
        <v>765</v>
      </c>
      <c r="E25" s="61" t="s">
        <v>18</v>
      </c>
      <c r="F25" s="62" t="s">
        <v>19</v>
      </c>
      <c r="G25" s="62" t="s">
        <v>20</v>
      </c>
      <c r="H25" s="62" t="s">
        <v>22</v>
      </c>
      <c r="I25" s="62" t="s">
        <v>24</v>
      </c>
      <c r="J25" s="62" t="s">
        <v>26</v>
      </c>
      <c r="K25" s="62" t="s">
        <v>28</v>
      </c>
      <c r="L25" s="62" t="s">
        <v>30</v>
      </c>
      <c r="M25" s="284" t="s">
        <v>32</v>
      </c>
      <c r="N25" s="284"/>
      <c r="O25" s="284"/>
      <c r="P25" s="284" t="s">
        <v>34</v>
      </c>
      <c r="Q25" s="284"/>
      <c r="R25" s="284"/>
      <c r="S25" s="169" t="s">
        <v>766</v>
      </c>
      <c r="T25" s="169"/>
      <c r="U25" s="275"/>
      <c r="V25" s="36"/>
    </row>
    <row r="26" spans="1:22" ht="22.5" customHeight="1" thickBot="1" x14ac:dyDescent="0.35">
      <c r="A26" s="255"/>
      <c r="B26" s="63" t="s">
        <v>16</v>
      </c>
      <c r="C26" s="64" t="s">
        <v>17</v>
      </c>
      <c r="D26" s="249"/>
      <c r="E26" s="63" t="s">
        <v>21</v>
      </c>
      <c r="F26" s="64" t="s">
        <v>23</v>
      </c>
      <c r="G26" s="64" t="s">
        <v>25</v>
      </c>
      <c r="H26" s="64" t="s">
        <v>27</v>
      </c>
      <c r="I26" s="64" t="s">
        <v>29</v>
      </c>
      <c r="J26" s="64" t="s">
        <v>31</v>
      </c>
      <c r="K26" s="64" t="s">
        <v>33</v>
      </c>
      <c r="L26" s="64" t="s">
        <v>35</v>
      </c>
      <c r="M26" s="285" t="s">
        <v>36</v>
      </c>
      <c r="N26" s="285"/>
      <c r="O26" s="285"/>
      <c r="P26" s="285" t="s">
        <v>72</v>
      </c>
      <c r="Q26" s="285"/>
      <c r="R26" s="285"/>
      <c r="S26" s="285" t="s">
        <v>73</v>
      </c>
      <c r="T26" s="285"/>
      <c r="U26" s="276"/>
      <c r="V26" s="36"/>
    </row>
    <row r="27" spans="1:22" ht="13.9" customHeight="1" x14ac:dyDescent="0.3">
      <c r="A27" s="219" t="s">
        <v>70</v>
      </c>
      <c r="B27" s="188"/>
      <c r="C27" s="164"/>
      <c r="D27" s="159">
        <f>B27+C27</f>
        <v>0</v>
      </c>
      <c r="E27" s="232"/>
      <c r="F27" s="176"/>
      <c r="G27" s="176"/>
      <c r="H27" s="176"/>
      <c r="I27" s="176"/>
      <c r="J27" s="176"/>
      <c r="K27" s="176"/>
      <c r="L27" s="176"/>
      <c r="M27" s="260" t="s">
        <v>37</v>
      </c>
      <c r="N27" s="261"/>
      <c r="O27" s="65"/>
      <c r="P27" s="260" t="s">
        <v>37</v>
      </c>
      <c r="Q27" s="261"/>
      <c r="R27" s="65"/>
      <c r="S27" s="266">
        <f>M41+M42+M43+N41+N42+N43+O41+O42</f>
        <v>0</v>
      </c>
      <c r="T27" s="266"/>
      <c r="U27" s="277">
        <f>E27+F27+G27+H27+I27+J27+K27+L27+O27+O28+O29+R27+R28+R29+S27</f>
        <v>0</v>
      </c>
      <c r="V27" s="36"/>
    </row>
    <row r="28" spans="1:22" ht="13.9" customHeight="1" x14ac:dyDescent="0.3">
      <c r="A28" s="220"/>
      <c r="B28" s="189"/>
      <c r="C28" s="165"/>
      <c r="D28" s="160"/>
      <c r="E28" s="222"/>
      <c r="F28" s="174"/>
      <c r="G28" s="174"/>
      <c r="H28" s="174"/>
      <c r="I28" s="174"/>
      <c r="J28" s="174"/>
      <c r="K28" s="174"/>
      <c r="L28" s="174"/>
      <c r="M28" s="226" t="s">
        <v>13</v>
      </c>
      <c r="N28" s="227"/>
      <c r="O28" s="66"/>
      <c r="P28" s="226" t="s">
        <v>13</v>
      </c>
      <c r="Q28" s="227"/>
      <c r="R28" s="66"/>
      <c r="S28" s="167"/>
      <c r="T28" s="167"/>
      <c r="U28" s="278"/>
      <c r="V28" s="36"/>
    </row>
    <row r="29" spans="1:22" ht="13.9" customHeight="1" x14ac:dyDescent="0.3">
      <c r="A29" s="220"/>
      <c r="B29" s="190"/>
      <c r="C29" s="166"/>
      <c r="D29" s="161"/>
      <c r="E29" s="222"/>
      <c r="F29" s="174"/>
      <c r="G29" s="174"/>
      <c r="H29" s="174"/>
      <c r="I29" s="174"/>
      <c r="J29" s="174"/>
      <c r="K29" s="174"/>
      <c r="L29" s="174"/>
      <c r="M29" s="226" t="s">
        <v>46</v>
      </c>
      <c r="N29" s="227"/>
      <c r="O29" s="66"/>
      <c r="P29" s="226" t="s">
        <v>46</v>
      </c>
      <c r="Q29" s="227"/>
      <c r="R29" s="66"/>
      <c r="S29" s="167"/>
      <c r="T29" s="167"/>
      <c r="U29" s="278"/>
      <c r="V29" s="36"/>
    </row>
    <row r="30" spans="1:22" ht="13.9" customHeight="1" x14ac:dyDescent="0.3">
      <c r="A30" s="220" t="s">
        <v>4</v>
      </c>
      <c r="B30" s="191"/>
      <c r="C30" s="215"/>
      <c r="D30" s="162">
        <f>B30+C30</f>
        <v>0</v>
      </c>
      <c r="E30" s="222"/>
      <c r="F30" s="174"/>
      <c r="G30" s="174"/>
      <c r="H30" s="174"/>
      <c r="I30" s="174"/>
      <c r="J30" s="174"/>
      <c r="K30" s="174"/>
      <c r="L30" s="174"/>
      <c r="M30" s="226" t="s">
        <v>37</v>
      </c>
      <c r="N30" s="227"/>
      <c r="O30" s="66"/>
      <c r="P30" s="226" t="s">
        <v>37</v>
      </c>
      <c r="Q30" s="227"/>
      <c r="R30" s="66"/>
      <c r="S30" s="167">
        <f>P41+P42+P43+Q41+Q42+Q43+R41+R42</f>
        <v>0</v>
      </c>
      <c r="T30" s="167"/>
      <c r="U30" s="278">
        <f>E30+F30+G30+H30+I30+J30+K30+L30+O30+O31+O32+R30+R31+R32+S30</f>
        <v>0</v>
      </c>
      <c r="V30" s="36"/>
    </row>
    <row r="31" spans="1:22" ht="13.9" customHeight="1" x14ac:dyDescent="0.3">
      <c r="A31" s="220"/>
      <c r="B31" s="189"/>
      <c r="C31" s="165"/>
      <c r="D31" s="160"/>
      <c r="E31" s="222"/>
      <c r="F31" s="174"/>
      <c r="G31" s="174"/>
      <c r="H31" s="174"/>
      <c r="I31" s="174"/>
      <c r="J31" s="174"/>
      <c r="K31" s="174"/>
      <c r="L31" s="174"/>
      <c r="M31" s="226" t="s">
        <v>13</v>
      </c>
      <c r="N31" s="227"/>
      <c r="O31" s="66"/>
      <c r="P31" s="226" t="s">
        <v>13</v>
      </c>
      <c r="Q31" s="227"/>
      <c r="R31" s="66"/>
      <c r="S31" s="167"/>
      <c r="T31" s="167"/>
      <c r="U31" s="278"/>
      <c r="V31" s="36"/>
    </row>
    <row r="32" spans="1:22" ht="13.9" customHeight="1" x14ac:dyDescent="0.3">
      <c r="A32" s="220"/>
      <c r="B32" s="190"/>
      <c r="C32" s="166"/>
      <c r="D32" s="161"/>
      <c r="E32" s="222"/>
      <c r="F32" s="174"/>
      <c r="G32" s="174"/>
      <c r="H32" s="174"/>
      <c r="I32" s="174"/>
      <c r="J32" s="174"/>
      <c r="K32" s="174"/>
      <c r="L32" s="174"/>
      <c r="M32" s="226" t="s">
        <v>46</v>
      </c>
      <c r="N32" s="227"/>
      <c r="O32" s="66"/>
      <c r="P32" s="226" t="s">
        <v>46</v>
      </c>
      <c r="Q32" s="227"/>
      <c r="R32" s="66"/>
      <c r="S32" s="167"/>
      <c r="T32" s="167"/>
      <c r="U32" s="278"/>
      <c r="V32" s="36"/>
    </row>
    <row r="33" spans="1:24" ht="13.9" customHeight="1" x14ac:dyDescent="0.3">
      <c r="A33" s="220" t="s">
        <v>5</v>
      </c>
      <c r="B33" s="191"/>
      <c r="C33" s="215"/>
      <c r="D33" s="162">
        <f>B33+C33</f>
        <v>0</v>
      </c>
      <c r="E33" s="222"/>
      <c r="F33" s="174"/>
      <c r="G33" s="174"/>
      <c r="H33" s="174"/>
      <c r="I33" s="174"/>
      <c r="J33" s="174"/>
      <c r="K33" s="174"/>
      <c r="L33" s="174"/>
      <c r="M33" s="226" t="s">
        <v>37</v>
      </c>
      <c r="N33" s="227"/>
      <c r="O33" s="66"/>
      <c r="P33" s="226" t="s">
        <v>37</v>
      </c>
      <c r="Q33" s="227"/>
      <c r="R33" s="66"/>
      <c r="S33" s="167">
        <f>S41+S42+S43+T41+T42+T43+U41+U42</f>
        <v>0</v>
      </c>
      <c r="T33" s="167"/>
      <c r="U33" s="278">
        <f>E33+F33+G33+H33+I33+J33+K33+L33+O33+O34+O35+R33+R34+R35+S33</f>
        <v>0</v>
      </c>
      <c r="V33" s="36"/>
    </row>
    <row r="34" spans="1:24" ht="13.9" customHeight="1" x14ac:dyDescent="0.3">
      <c r="A34" s="220"/>
      <c r="B34" s="189"/>
      <c r="C34" s="165"/>
      <c r="D34" s="160"/>
      <c r="E34" s="222"/>
      <c r="F34" s="174"/>
      <c r="G34" s="174"/>
      <c r="H34" s="174"/>
      <c r="I34" s="174"/>
      <c r="J34" s="174"/>
      <c r="K34" s="174"/>
      <c r="L34" s="174"/>
      <c r="M34" s="226" t="s">
        <v>13</v>
      </c>
      <c r="N34" s="227"/>
      <c r="O34" s="66"/>
      <c r="P34" s="226" t="s">
        <v>13</v>
      </c>
      <c r="Q34" s="227"/>
      <c r="R34" s="66"/>
      <c r="S34" s="167"/>
      <c r="T34" s="167"/>
      <c r="U34" s="278"/>
      <c r="V34" s="36"/>
    </row>
    <row r="35" spans="1:24" ht="13.9" customHeight="1" thickBot="1" x14ac:dyDescent="0.35">
      <c r="A35" s="221"/>
      <c r="B35" s="192"/>
      <c r="C35" s="231"/>
      <c r="D35" s="163"/>
      <c r="E35" s="223"/>
      <c r="F35" s="175"/>
      <c r="G35" s="175"/>
      <c r="H35" s="175"/>
      <c r="I35" s="175"/>
      <c r="J35" s="175"/>
      <c r="K35" s="175"/>
      <c r="L35" s="175"/>
      <c r="M35" s="280" t="s">
        <v>46</v>
      </c>
      <c r="N35" s="281"/>
      <c r="O35" s="67"/>
      <c r="P35" s="280" t="s">
        <v>46</v>
      </c>
      <c r="Q35" s="281"/>
      <c r="R35" s="67"/>
      <c r="S35" s="168"/>
      <c r="T35" s="168"/>
      <c r="U35" s="279"/>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36" t="s">
        <v>42</v>
      </c>
      <c r="B38" s="237"/>
      <c r="C38" s="237"/>
      <c r="D38" s="237"/>
      <c r="E38" s="238"/>
      <c r="F38" s="68"/>
      <c r="G38" s="177" t="s">
        <v>821</v>
      </c>
      <c r="H38" s="178" t="s">
        <v>822</v>
      </c>
      <c r="J38" s="262" t="s">
        <v>47</v>
      </c>
      <c r="K38" s="263"/>
      <c r="L38" s="263"/>
      <c r="M38" s="263"/>
      <c r="N38" s="263"/>
      <c r="O38" s="263"/>
      <c r="P38" s="263"/>
      <c r="Q38" s="263"/>
      <c r="R38" s="263"/>
      <c r="S38" s="263"/>
      <c r="T38" s="263"/>
      <c r="U38" s="264"/>
      <c r="V38" s="36"/>
    </row>
    <row r="39" spans="1:24" ht="12.75" customHeight="1" x14ac:dyDescent="0.3">
      <c r="A39" s="69"/>
      <c r="B39" s="70" t="s">
        <v>43</v>
      </c>
      <c r="C39" s="70" t="s">
        <v>44</v>
      </c>
      <c r="D39" s="70" t="s">
        <v>45</v>
      </c>
      <c r="E39" s="71" t="s">
        <v>3</v>
      </c>
      <c r="G39" s="177"/>
      <c r="H39" s="179"/>
      <c r="J39" s="202" t="s">
        <v>2</v>
      </c>
      <c r="K39" s="203"/>
      <c r="L39" s="204"/>
      <c r="M39" s="172" t="s">
        <v>6</v>
      </c>
      <c r="N39" s="172"/>
      <c r="O39" s="172"/>
      <c r="P39" s="172" t="s">
        <v>4</v>
      </c>
      <c r="Q39" s="172"/>
      <c r="R39" s="172"/>
      <c r="S39" s="172" t="s">
        <v>5</v>
      </c>
      <c r="T39" s="172"/>
      <c r="U39" s="173"/>
      <c r="V39" s="36"/>
    </row>
    <row r="40" spans="1:24" ht="15.6" customHeight="1" x14ac:dyDescent="0.3">
      <c r="A40" s="195" t="s">
        <v>39</v>
      </c>
      <c r="B40" s="200"/>
      <c r="C40" s="200"/>
      <c r="D40" s="200"/>
      <c r="E40" s="197">
        <f>B40+C40+D40</f>
        <v>0</v>
      </c>
      <c r="F40" s="194"/>
      <c r="G40" s="177"/>
      <c r="H40" s="179"/>
      <c r="J40" s="205"/>
      <c r="K40" s="206"/>
      <c r="L40" s="207"/>
      <c r="M40" s="70" t="s">
        <v>48</v>
      </c>
      <c r="N40" s="70" t="s">
        <v>7</v>
      </c>
      <c r="O40" s="70" t="s">
        <v>49</v>
      </c>
      <c r="P40" s="70" t="s">
        <v>48</v>
      </c>
      <c r="Q40" s="70" t="s">
        <v>7</v>
      </c>
      <c r="R40" s="70" t="s">
        <v>49</v>
      </c>
      <c r="S40" s="70" t="s">
        <v>48</v>
      </c>
      <c r="T40" s="70" t="s">
        <v>7</v>
      </c>
      <c r="U40" s="71" t="s">
        <v>49</v>
      </c>
      <c r="V40" s="36"/>
    </row>
    <row r="41" spans="1:24" ht="15" customHeight="1" x14ac:dyDescent="0.3">
      <c r="A41" s="195"/>
      <c r="B41" s="214"/>
      <c r="C41" s="214"/>
      <c r="D41" s="214"/>
      <c r="E41" s="197"/>
      <c r="F41" s="194"/>
      <c r="G41" s="177"/>
      <c r="H41" s="180"/>
      <c r="J41" s="208" t="s">
        <v>50</v>
      </c>
      <c r="K41" s="209"/>
      <c r="L41" s="210"/>
      <c r="M41" s="72"/>
      <c r="N41" s="72"/>
      <c r="O41" s="72"/>
      <c r="P41" s="72"/>
      <c r="Q41" s="72"/>
      <c r="R41" s="72"/>
      <c r="S41" s="72"/>
      <c r="T41" s="72"/>
      <c r="U41" s="73"/>
      <c r="V41" s="36"/>
    </row>
    <row r="42" spans="1:24" ht="13.9" customHeight="1" x14ac:dyDescent="0.3">
      <c r="A42" s="195" t="s">
        <v>40</v>
      </c>
      <c r="B42" s="200"/>
      <c r="C42" s="200"/>
      <c r="D42" s="200"/>
      <c r="E42" s="197">
        <f>B42+C42+D42</f>
        <v>0</v>
      </c>
      <c r="F42" s="194"/>
      <c r="G42" s="198">
        <f>F18+E17</f>
        <v>0</v>
      </c>
      <c r="H42" s="199"/>
      <c r="J42" s="208" t="s">
        <v>51</v>
      </c>
      <c r="K42" s="209"/>
      <c r="L42" s="210"/>
      <c r="M42" s="72"/>
      <c r="N42" s="72"/>
      <c r="O42" s="72"/>
      <c r="P42" s="72"/>
      <c r="Q42" s="72"/>
      <c r="R42" s="72"/>
      <c r="S42" s="72"/>
      <c r="T42" s="72"/>
      <c r="U42" s="73"/>
      <c r="V42" s="36"/>
    </row>
    <row r="43" spans="1:24" ht="13.9" customHeight="1" thickBot="1" x14ac:dyDescent="0.35">
      <c r="A43" s="195"/>
      <c r="B43" s="214"/>
      <c r="C43" s="214"/>
      <c r="D43" s="214"/>
      <c r="E43" s="197"/>
      <c r="F43" s="194"/>
      <c r="G43" s="198"/>
      <c r="H43" s="199"/>
      <c r="J43" s="211" t="s">
        <v>52</v>
      </c>
      <c r="K43" s="212"/>
      <c r="L43" s="213"/>
      <c r="M43" s="74"/>
      <c r="N43" s="74"/>
      <c r="O43" s="75"/>
      <c r="P43" s="74"/>
      <c r="Q43" s="74"/>
      <c r="R43" s="75"/>
      <c r="S43" s="74"/>
      <c r="T43" s="74"/>
      <c r="U43" s="76"/>
      <c r="V43" s="36"/>
    </row>
    <row r="44" spans="1:24" ht="10.5" customHeight="1" x14ac:dyDescent="0.3">
      <c r="A44" s="195" t="s">
        <v>41</v>
      </c>
      <c r="B44" s="200"/>
      <c r="C44" s="200"/>
      <c r="D44" s="200"/>
      <c r="E44" s="197">
        <f>B44+C44+D44</f>
        <v>0</v>
      </c>
      <c r="F44" s="194"/>
      <c r="G44" s="194"/>
      <c r="H44" s="194"/>
      <c r="J44" s="77" t="s">
        <v>53</v>
      </c>
      <c r="K44" s="78"/>
      <c r="L44" s="78"/>
      <c r="M44" s="78"/>
      <c r="N44" s="78"/>
      <c r="O44" s="78"/>
      <c r="P44" s="78"/>
      <c r="Q44" s="78"/>
      <c r="R44" s="78"/>
      <c r="S44" s="78"/>
      <c r="T44" s="78"/>
      <c r="U44" s="78"/>
      <c r="V44" s="79"/>
      <c r="W44" s="78"/>
      <c r="X44" s="78"/>
    </row>
    <row r="45" spans="1:24" ht="13.9" customHeight="1" thickBot="1" x14ac:dyDescent="0.35">
      <c r="A45" s="196"/>
      <c r="B45" s="201"/>
      <c r="C45" s="201"/>
      <c r="D45" s="201"/>
      <c r="E45" s="259"/>
      <c r="F45" s="194"/>
      <c r="G45" s="194"/>
      <c r="H45" s="194"/>
      <c r="V45" s="36"/>
    </row>
    <row r="46" spans="1:24" ht="15" customHeight="1" x14ac:dyDescent="0.3">
      <c r="A46" s="1"/>
      <c r="B46" s="1"/>
      <c r="C46" s="1"/>
      <c r="D46" s="1"/>
      <c r="F46" s="187" t="s">
        <v>672</v>
      </c>
      <c r="G46" s="187"/>
      <c r="H46" s="187"/>
      <c r="L46" s="78" t="s">
        <v>54</v>
      </c>
      <c r="M46" s="78"/>
      <c r="N46" s="78"/>
      <c r="O46" s="78"/>
      <c r="P46" s="78"/>
      <c r="Q46" s="270"/>
      <c r="R46" s="270"/>
      <c r="S46" s="270"/>
      <c r="T46" s="270"/>
      <c r="U46" s="270"/>
      <c r="V46" s="36"/>
    </row>
    <row r="47" spans="1:24" ht="13.9" customHeight="1" x14ac:dyDescent="0.3">
      <c r="A47" s="193"/>
      <c r="B47" s="80"/>
      <c r="C47" s="80"/>
      <c r="D47" s="80"/>
      <c r="E47" s="186"/>
      <c r="F47" s="186"/>
      <c r="G47" s="186"/>
      <c r="H47" s="186"/>
      <c r="I47" s="186"/>
      <c r="J47" s="186"/>
      <c r="K47" s="78"/>
      <c r="L47" s="78" t="s">
        <v>55</v>
      </c>
      <c r="M47" s="270"/>
      <c r="N47" s="270"/>
      <c r="O47" s="270"/>
      <c r="P47" s="270"/>
      <c r="Q47" s="78"/>
      <c r="R47" s="78"/>
      <c r="V47" s="36"/>
    </row>
    <row r="48" spans="1:24" ht="13.9" customHeight="1" x14ac:dyDescent="0.3">
      <c r="A48" s="193"/>
      <c r="B48" s="80"/>
      <c r="C48" s="80"/>
      <c r="D48" s="80"/>
      <c r="E48" s="186"/>
      <c r="F48" s="186"/>
      <c r="G48" s="186"/>
      <c r="H48" s="186"/>
      <c r="I48" s="186"/>
      <c r="J48" s="186"/>
      <c r="K48" s="78"/>
      <c r="L48" s="78" t="s">
        <v>56</v>
      </c>
      <c r="M48" s="269"/>
      <c r="N48" s="269"/>
      <c r="O48" s="269"/>
      <c r="P48" s="269"/>
      <c r="Q48" s="78"/>
      <c r="R48" s="81" t="s">
        <v>57</v>
      </c>
      <c r="S48" s="268"/>
      <c r="T48" s="268"/>
      <c r="V48" s="36"/>
    </row>
    <row r="49" spans="1:22" ht="13.9" customHeight="1" x14ac:dyDescent="0.3">
      <c r="A49" s="194"/>
      <c r="B49" s="31"/>
      <c r="C49" s="31"/>
      <c r="D49" s="31"/>
      <c r="E49" s="186"/>
      <c r="F49" s="186"/>
      <c r="G49" s="186"/>
      <c r="H49" s="186"/>
      <c r="I49" s="186"/>
      <c r="J49" s="186"/>
      <c r="K49" s="78"/>
      <c r="L49" s="78" t="s">
        <v>58</v>
      </c>
      <c r="M49" s="158"/>
      <c r="N49" s="158"/>
      <c r="O49" s="158"/>
      <c r="P49" s="158"/>
      <c r="Q49" s="78"/>
      <c r="R49" s="78"/>
      <c r="V49" s="36"/>
    </row>
    <row r="50" spans="1:22" ht="13.9" customHeight="1" x14ac:dyDescent="0.3">
      <c r="A50" s="194"/>
      <c r="B50" s="31"/>
      <c r="C50" s="31"/>
      <c r="D50" s="31"/>
      <c r="E50" s="186"/>
      <c r="F50" s="186"/>
      <c r="G50" s="186"/>
      <c r="H50" s="186"/>
      <c r="I50" s="186"/>
      <c r="J50" s="186"/>
      <c r="K50" s="78"/>
      <c r="V50" s="36"/>
    </row>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2" t="s">
        <v>477</v>
      </c>
    </row>
    <row r="315" spans="5:7" s="82" customFormat="1" ht="25.5" hidden="1" customHeight="1" x14ac:dyDescent="0.3"/>
    <row r="316" spans="5:7" s="82" customFormat="1" ht="25.5" hidden="1" customHeight="1" x14ac:dyDescent="0.3">
      <c r="E316" s="82" t="s">
        <v>106</v>
      </c>
      <c r="F316" s="82" t="s">
        <v>110</v>
      </c>
      <c r="G316" s="82" t="s">
        <v>546</v>
      </c>
    </row>
    <row r="317" spans="5:7" s="82" customFormat="1" ht="25.5" hidden="1" customHeight="1" x14ac:dyDescent="0.3">
      <c r="E317" s="82" t="s">
        <v>106</v>
      </c>
      <c r="F317" s="82" t="s">
        <v>204</v>
      </c>
      <c r="G317" s="82" t="s">
        <v>628</v>
      </c>
    </row>
    <row r="318" spans="5:7" s="82" customFormat="1" ht="25.5" hidden="1" customHeight="1" x14ac:dyDescent="0.3">
      <c r="E318" s="82" t="s">
        <v>106</v>
      </c>
      <c r="F318" s="82" t="s">
        <v>110</v>
      </c>
      <c r="G318" s="82" t="s">
        <v>547</v>
      </c>
    </row>
    <row r="319" spans="5:7" s="82" customFormat="1" ht="25.5" hidden="1" customHeight="1" x14ac:dyDescent="0.3">
      <c r="E319" s="82" t="s">
        <v>106</v>
      </c>
      <c r="F319" s="82" t="s">
        <v>110</v>
      </c>
      <c r="G319" s="82" t="s">
        <v>598</v>
      </c>
    </row>
    <row r="320" spans="5:7" s="82" customFormat="1" ht="25.5" hidden="1" customHeight="1" x14ac:dyDescent="0.3">
      <c r="E320" s="82" t="s">
        <v>106</v>
      </c>
      <c r="F320" s="82" t="s">
        <v>110</v>
      </c>
      <c r="G320" s="82" t="s">
        <v>478</v>
      </c>
    </row>
    <row r="321" spans="5:7" s="82" customFormat="1" ht="25.5" hidden="1" customHeight="1" x14ac:dyDescent="0.3">
      <c r="E321" s="82" t="s">
        <v>106</v>
      </c>
      <c r="F321" s="82" t="s">
        <v>111</v>
      </c>
      <c r="G321" s="82" t="s">
        <v>311</v>
      </c>
    </row>
    <row r="322" spans="5:7" s="82" customFormat="1" ht="25.5" hidden="1" customHeight="1" x14ac:dyDescent="0.3">
      <c r="E322" s="82" t="s">
        <v>106</v>
      </c>
      <c r="F322" s="82" t="s">
        <v>111</v>
      </c>
      <c r="G322" s="82" t="s">
        <v>796</v>
      </c>
    </row>
    <row r="323" spans="5:7" s="82" customFormat="1" ht="25.5" hidden="1" customHeight="1" x14ac:dyDescent="0.3">
      <c r="E323" s="82" t="s">
        <v>106</v>
      </c>
      <c r="F323" s="82" t="s">
        <v>111</v>
      </c>
      <c r="G323" s="82" t="s">
        <v>797</v>
      </c>
    </row>
    <row r="324" spans="5:7" s="82" customFormat="1" ht="25.5" hidden="1" customHeight="1" x14ac:dyDescent="0.3">
      <c r="E324" s="82" t="s">
        <v>106</v>
      </c>
      <c r="F324" s="82" t="s">
        <v>111</v>
      </c>
      <c r="G324" s="82" t="s">
        <v>788</v>
      </c>
    </row>
    <row r="325" spans="5:7" s="82" customFormat="1" ht="25.5" hidden="1" customHeight="1" x14ac:dyDescent="0.3">
      <c r="E325" s="82" t="s">
        <v>106</v>
      </c>
      <c r="F325" s="82" t="s">
        <v>111</v>
      </c>
      <c r="G325" s="82" t="s">
        <v>548</v>
      </c>
    </row>
    <row r="326" spans="5:7" s="82" customFormat="1" ht="25.5" hidden="1" customHeight="1" x14ac:dyDescent="0.3">
      <c r="E326" s="82" t="s">
        <v>106</v>
      </c>
      <c r="F326" s="82" t="s">
        <v>205</v>
      </c>
      <c r="G326" s="82" t="s">
        <v>206</v>
      </c>
    </row>
    <row r="327" spans="5:7" s="82" customFormat="1" ht="25.5" hidden="1" customHeight="1" x14ac:dyDescent="0.3">
      <c r="E327" s="82" t="s">
        <v>106</v>
      </c>
      <c r="F327" s="82" t="s">
        <v>205</v>
      </c>
      <c r="G327" s="82" t="s">
        <v>739</v>
      </c>
    </row>
    <row r="328" spans="5:7" s="82" customFormat="1" ht="25.5" hidden="1" customHeight="1" x14ac:dyDescent="0.3">
      <c r="E328" s="82" t="s">
        <v>106</v>
      </c>
      <c r="F328" s="82" t="s">
        <v>205</v>
      </c>
      <c r="G328" s="82" t="s">
        <v>738</v>
      </c>
    </row>
    <row r="329" spans="5:7" s="82" customFormat="1" ht="25.5" hidden="1" customHeight="1" x14ac:dyDescent="0.3">
      <c r="E329" s="82" t="s">
        <v>106</v>
      </c>
      <c r="F329" s="82" t="s">
        <v>205</v>
      </c>
      <c r="G329" s="82" t="s">
        <v>399</v>
      </c>
    </row>
    <row r="330" spans="5:7" s="82" customFormat="1" ht="25.5" hidden="1" customHeight="1" x14ac:dyDescent="0.3">
      <c r="E330" s="82" t="s">
        <v>106</v>
      </c>
      <c r="F330" s="82" t="s">
        <v>205</v>
      </c>
      <c r="G330" s="82" t="s">
        <v>414</v>
      </c>
    </row>
    <row r="331" spans="5:7" s="82" customFormat="1" ht="25.5" hidden="1" customHeight="1" x14ac:dyDescent="0.3">
      <c r="E331" s="82" t="s">
        <v>106</v>
      </c>
      <c r="F331" s="82" t="s">
        <v>205</v>
      </c>
      <c r="G331" s="82" t="s">
        <v>799</v>
      </c>
    </row>
    <row r="332" spans="5:7" s="82" customFormat="1" ht="25.5" hidden="1" customHeight="1" x14ac:dyDescent="0.3">
      <c r="E332" s="82" t="s">
        <v>106</v>
      </c>
      <c r="F332" s="82" t="s">
        <v>205</v>
      </c>
      <c r="G332" s="82" t="s">
        <v>486</v>
      </c>
    </row>
    <row r="333" spans="5:7" s="82" customFormat="1" ht="25.5" hidden="1" customHeight="1" x14ac:dyDescent="0.3">
      <c r="E333" s="82" t="s">
        <v>106</v>
      </c>
      <c r="F333" s="82" t="s">
        <v>205</v>
      </c>
      <c r="G333" s="82" t="s">
        <v>415</v>
      </c>
    </row>
    <row r="334" spans="5:7" s="82" customFormat="1" ht="25.5" hidden="1" customHeight="1" x14ac:dyDescent="0.3">
      <c r="E334" s="82" t="s">
        <v>106</v>
      </c>
      <c r="F334" s="82" t="s">
        <v>142</v>
      </c>
      <c r="G334" s="82" t="s">
        <v>207</v>
      </c>
    </row>
    <row r="335" spans="5:7" s="82" customFormat="1" ht="25.5" hidden="1" customHeight="1" x14ac:dyDescent="0.3">
      <c r="E335" s="82" t="s">
        <v>106</v>
      </c>
      <c r="F335" s="82" t="s">
        <v>142</v>
      </c>
      <c r="G335" s="82" t="s">
        <v>599</v>
      </c>
    </row>
    <row r="336" spans="5:7" s="82" customFormat="1" ht="25.5" hidden="1" customHeight="1" x14ac:dyDescent="0.3">
      <c r="E336" s="82" t="s">
        <v>106</v>
      </c>
      <c r="F336" s="82" t="s">
        <v>142</v>
      </c>
      <c r="G336" s="82" t="s">
        <v>412</v>
      </c>
    </row>
    <row r="337" spans="5:7" s="82" customFormat="1" ht="25.5" hidden="1" customHeight="1" x14ac:dyDescent="0.3">
      <c r="E337" s="82" t="s">
        <v>106</v>
      </c>
      <c r="F337" s="82" t="s">
        <v>142</v>
      </c>
      <c r="G337" s="82" t="s">
        <v>413</v>
      </c>
    </row>
    <row r="338" spans="5:7" s="82" customFormat="1" ht="25.5" hidden="1" customHeight="1" x14ac:dyDescent="0.3">
      <c r="E338" s="82" t="s">
        <v>106</v>
      </c>
      <c r="F338" s="82" t="s">
        <v>112</v>
      </c>
      <c r="G338" s="82" t="s">
        <v>549</v>
      </c>
    </row>
    <row r="339" spans="5:7" s="82" customFormat="1" ht="25.5" hidden="1" customHeight="1" x14ac:dyDescent="0.3">
      <c r="E339" s="82" t="s">
        <v>106</v>
      </c>
      <c r="F339" s="82" t="s">
        <v>112</v>
      </c>
      <c r="G339" s="82" t="s">
        <v>736</v>
      </c>
    </row>
    <row r="340" spans="5:7" s="82" customFormat="1" ht="25.5" hidden="1" customHeight="1" x14ac:dyDescent="0.3">
      <c r="E340" s="82" t="s">
        <v>106</v>
      </c>
      <c r="F340" s="82" t="s">
        <v>208</v>
      </c>
      <c r="G340" s="82" t="s">
        <v>661</v>
      </c>
    </row>
    <row r="341" spans="5:7" s="82" customFormat="1" ht="25.5" hidden="1" customHeight="1" x14ac:dyDescent="0.3">
      <c r="E341" s="82" t="s">
        <v>106</v>
      </c>
      <c r="F341" s="82" t="s">
        <v>112</v>
      </c>
      <c r="G341" s="82" t="s">
        <v>335</v>
      </c>
    </row>
    <row r="342" spans="5:7" s="82" customFormat="1" ht="25.5" hidden="1" customHeight="1" x14ac:dyDescent="0.3">
      <c r="E342" s="82" t="s">
        <v>106</v>
      </c>
      <c r="F342" s="82" t="s">
        <v>209</v>
      </c>
      <c r="G342" s="82" t="s">
        <v>210</v>
      </c>
    </row>
    <row r="343" spans="5:7" s="82" customFormat="1" ht="25.5" hidden="1" customHeight="1" x14ac:dyDescent="0.3">
      <c r="E343" s="82" t="s">
        <v>106</v>
      </c>
      <c r="F343" s="82" t="s">
        <v>209</v>
      </c>
      <c r="G343" s="82" t="s">
        <v>387</v>
      </c>
    </row>
    <row r="344" spans="5:7" s="82" customFormat="1" ht="25.5" hidden="1" customHeight="1" x14ac:dyDescent="0.3">
      <c r="E344" s="82" t="s">
        <v>106</v>
      </c>
      <c r="F344" s="82" t="s">
        <v>209</v>
      </c>
      <c r="G344" s="82" t="s">
        <v>388</v>
      </c>
    </row>
    <row r="345" spans="5:7" s="82" customFormat="1" ht="25.5" hidden="1" customHeight="1" x14ac:dyDescent="0.3">
      <c r="E345" s="82" t="s">
        <v>106</v>
      </c>
      <c r="F345" s="82" t="s">
        <v>209</v>
      </c>
      <c r="G345" s="82" t="s">
        <v>490</v>
      </c>
    </row>
    <row r="346" spans="5:7" s="82" customFormat="1" ht="25.5" hidden="1" customHeight="1" x14ac:dyDescent="0.3">
      <c r="E346" s="82" t="s">
        <v>106</v>
      </c>
      <c r="F346" s="82" t="s">
        <v>143</v>
      </c>
      <c r="G346" s="82" t="s">
        <v>211</v>
      </c>
    </row>
    <row r="347" spans="5:7" s="82" customFormat="1" ht="25.5" hidden="1" customHeight="1" x14ac:dyDescent="0.3">
      <c r="E347" s="82" t="s">
        <v>106</v>
      </c>
      <c r="F347" s="82" t="s">
        <v>143</v>
      </c>
      <c r="G347" s="82" t="s">
        <v>550</v>
      </c>
    </row>
    <row r="348" spans="5:7" s="82" customFormat="1" ht="25.5" hidden="1" customHeight="1" x14ac:dyDescent="0.3">
      <c r="E348" s="82" t="s">
        <v>106</v>
      </c>
      <c r="F348" s="82" t="s">
        <v>143</v>
      </c>
      <c r="G348" s="87" t="s">
        <v>324</v>
      </c>
    </row>
    <row r="349" spans="5:7" s="82" customFormat="1" ht="25.5" hidden="1" customHeight="1" x14ac:dyDescent="0.3">
      <c r="E349" s="82" t="s">
        <v>106</v>
      </c>
      <c r="F349" s="82" t="s">
        <v>143</v>
      </c>
      <c r="G349" s="87" t="s">
        <v>733</v>
      </c>
    </row>
    <row r="350" spans="5:7" s="82" customFormat="1" ht="25.5" hidden="1" customHeight="1" x14ac:dyDescent="0.3">
      <c r="E350" s="82" t="s">
        <v>106</v>
      </c>
      <c r="F350" s="82" t="s">
        <v>143</v>
      </c>
      <c r="G350" s="82" t="s">
        <v>600</v>
      </c>
    </row>
    <row r="351" spans="5:7" s="82" customFormat="1" ht="25.5" hidden="1" customHeight="1" x14ac:dyDescent="0.3">
      <c r="E351" s="82" t="s">
        <v>106</v>
      </c>
      <c r="F351" s="82" t="s">
        <v>143</v>
      </c>
      <c r="G351" s="82" t="s">
        <v>494</v>
      </c>
    </row>
    <row r="352" spans="5:7" s="82" customFormat="1" ht="25.5" hidden="1" customHeight="1" x14ac:dyDescent="0.3">
      <c r="E352" s="82" t="s">
        <v>106</v>
      </c>
      <c r="F352" s="82" t="s">
        <v>143</v>
      </c>
      <c r="G352" s="82" t="s">
        <v>495</v>
      </c>
    </row>
    <row r="353" spans="5:7" s="82" customFormat="1" ht="25.5" hidden="1" customHeight="1" x14ac:dyDescent="0.3">
      <c r="E353" s="82" t="s">
        <v>106</v>
      </c>
      <c r="F353" s="82" t="s">
        <v>212</v>
      </c>
      <c r="G353" s="82" t="s">
        <v>662</v>
      </c>
    </row>
    <row r="354" spans="5:7" s="82" customFormat="1" ht="25.5" hidden="1" customHeight="1" x14ac:dyDescent="0.3">
      <c r="E354" s="82" t="s">
        <v>106</v>
      </c>
      <c r="F354" s="82" t="s">
        <v>213</v>
      </c>
      <c r="G354" s="82" t="s">
        <v>214</v>
      </c>
    </row>
    <row r="355" spans="5:7" s="82" customFormat="1" ht="25.5" hidden="1" customHeight="1" x14ac:dyDescent="0.3">
      <c r="E355" s="82" t="s">
        <v>106</v>
      </c>
      <c r="F355" s="82" t="s">
        <v>213</v>
      </c>
      <c r="G355" s="82" t="s">
        <v>551</v>
      </c>
    </row>
    <row r="356" spans="5:7" s="82" customFormat="1" ht="25.5" hidden="1" customHeight="1" x14ac:dyDescent="0.3"/>
    <row r="357" spans="5:7" s="82" customFormat="1" ht="25.5" hidden="1" customHeight="1" x14ac:dyDescent="0.3">
      <c r="E357" s="82" t="s">
        <v>106</v>
      </c>
      <c r="F357" s="82" t="s">
        <v>213</v>
      </c>
      <c r="G357" s="87" t="s">
        <v>325</v>
      </c>
    </row>
    <row r="358" spans="5:7" s="82" customFormat="1" ht="25.5" hidden="1" customHeight="1" x14ac:dyDescent="0.3">
      <c r="E358" s="82" t="s">
        <v>106</v>
      </c>
      <c r="F358" s="82" t="s">
        <v>213</v>
      </c>
      <c r="G358" s="87" t="s">
        <v>734</v>
      </c>
    </row>
    <row r="359" spans="5:7" s="82" customFormat="1" ht="25.5" hidden="1" customHeight="1" x14ac:dyDescent="0.3">
      <c r="E359" s="82" t="s">
        <v>106</v>
      </c>
      <c r="F359" s="82" t="s">
        <v>213</v>
      </c>
      <c r="G359" s="82" t="s">
        <v>503</v>
      </c>
    </row>
    <row r="360" spans="5:7" s="82" customFormat="1" ht="25.5" hidden="1" customHeight="1" x14ac:dyDescent="0.3"/>
    <row r="361" spans="5:7" s="82" customFormat="1" ht="25.5" hidden="1" customHeight="1" x14ac:dyDescent="0.3">
      <c r="E361" s="82" t="s">
        <v>106</v>
      </c>
      <c r="F361" s="82" t="s">
        <v>215</v>
      </c>
      <c r="G361" s="82" t="s">
        <v>216</v>
      </c>
    </row>
    <row r="362" spans="5:7" s="82" customFormat="1" ht="25.5" hidden="1" customHeight="1" x14ac:dyDescent="0.3">
      <c r="E362" s="82" t="s">
        <v>106</v>
      </c>
      <c r="F362" s="82" t="s">
        <v>215</v>
      </c>
      <c r="G362" s="82" t="s">
        <v>552</v>
      </c>
    </row>
    <row r="363" spans="5:7" s="82" customFormat="1" ht="25.5" hidden="1" customHeight="1" x14ac:dyDescent="0.3">
      <c r="E363" s="82" t="s">
        <v>106</v>
      </c>
      <c r="F363" s="82" t="s">
        <v>215</v>
      </c>
      <c r="G363" s="82" t="s">
        <v>735</v>
      </c>
    </row>
    <row r="364" spans="5:7" s="82" customFormat="1" ht="25.5" hidden="1" customHeight="1" x14ac:dyDescent="0.3">
      <c r="E364" s="82" t="s">
        <v>106</v>
      </c>
      <c r="F364" s="82" t="s">
        <v>215</v>
      </c>
      <c r="G364" s="82" t="s">
        <v>336</v>
      </c>
    </row>
    <row r="365" spans="5:7" s="82" customFormat="1" ht="25.5" hidden="1" customHeight="1" x14ac:dyDescent="0.3">
      <c r="E365" s="82" t="s">
        <v>106</v>
      </c>
      <c r="F365" s="82" t="s">
        <v>217</v>
      </c>
      <c r="G365" s="82" t="s">
        <v>663</v>
      </c>
    </row>
    <row r="366" spans="5:7" s="82" customFormat="1" ht="25.5" hidden="1" customHeight="1" x14ac:dyDescent="0.3">
      <c r="E366" s="82" t="s">
        <v>106</v>
      </c>
      <c r="F366" s="82" t="s">
        <v>217</v>
      </c>
      <c r="G366" s="82" t="s">
        <v>504</v>
      </c>
    </row>
    <row r="367" spans="5:7" s="82" customFormat="1" ht="25.5" hidden="1" customHeight="1" x14ac:dyDescent="0.3">
      <c r="E367" s="82" t="s">
        <v>106</v>
      </c>
      <c r="F367" s="82" t="s">
        <v>217</v>
      </c>
      <c r="G367" s="82" t="s">
        <v>505</v>
      </c>
    </row>
    <row r="368" spans="5:7" s="82" customFormat="1" ht="25.5" hidden="1" customHeight="1" x14ac:dyDescent="0.3"/>
    <row r="369" spans="5:7" s="82" customFormat="1" ht="25.5" hidden="1" customHeight="1" x14ac:dyDescent="0.3">
      <c r="E369" s="82" t="s">
        <v>106</v>
      </c>
      <c r="F369" s="82" t="s">
        <v>145</v>
      </c>
      <c r="G369" s="82" t="s">
        <v>218</v>
      </c>
    </row>
    <row r="370" spans="5:7" s="82" customFormat="1" ht="25.5" hidden="1" customHeight="1" x14ac:dyDescent="0.3">
      <c r="E370" s="82" t="s">
        <v>106</v>
      </c>
      <c r="F370" s="82" t="s">
        <v>145</v>
      </c>
      <c r="G370" s="82" t="s">
        <v>553</v>
      </c>
    </row>
    <row r="371" spans="5:7" s="82" customFormat="1" ht="25.5" hidden="1" customHeight="1" x14ac:dyDescent="0.3">
      <c r="E371" s="82" t="s">
        <v>106</v>
      </c>
      <c r="F371" s="82" t="s">
        <v>145</v>
      </c>
      <c r="G371" s="82" t="s">
        <v>514</v>
      </c>
    </row>
    <row r="372" spans="5:7" s="82" customFormat="1" ht="25.5" hidden="1" customHeight="1" x14ac:dyDescent="0.3"/>
    <row r="373" spans="5:7" s="82" customFormat="1" ht="25.5" hidden="1" customHeight="1" x14ac:dyDescent="0.3"/>
    <row r="374" spans="5:7" s="82" customFormat="1" ht="25.5" hidden="1" customHeight="1" x14ac:dyDescent="0.3">
      <c r="E374" s="82" t="s">
        <v>106</v>
      </c>
      <c r="F374" s="82" t="s">
        <v>146</v>
      </c>
      <c r="G374" s="82" t="s">
        <v>219</v>
      </c>
    </row>
    <row r="375" spans="5:7" s="82" customFormat="1" ht="25.5" hidden="1" customHeight="1" x14ac:dyDescent="0.3">
      <c r="E375" s="82" t="s">
        <v>106</v>
      </c>
      <c r="F375" s="82" t="s">
        <v>146</v>
      </c>
      <c r="G375" s="82" t="s">
        <v>410</v>
      </c>
    </row>
    <row r="376" spans="5:7" s="82" customFormat="1" ht="25.5" hidden="1" customHeight="1" x14ac:dyDescent="0.3">
      <c r="E376" s="82" t="s">
        <v>106</v>
      </c>
      <c r="F376" s="82" t="s">
        <v>146</v>
      </c>
      <c r="G376" s="82" t="s">
        <v>411</v>
      </c>
    </row>
    <row r="377" spans="5:7" s="82" customFormat="1" ht="25.5" hidden="1" customHeight="1" x14ac:dyDescent="0.3"/>
    <row r="378" spans="5:7" s="82" customFormat="1" ht="25.5" hidden="1" customHeight="1" x14ac:dyDescent="0.3">
      <c r="E378" s="82" t="s">
        <v>106</v>
      </c>
      <c r="F378" s="82" t="s">
        <v>114</v>
      </c>
      <c r="G378" s="82" t="s">
        <v>629</v>
      </c>
    </row>
    <row r="379" spans="5:7" s="82" customFormat="1" ht="25.5" hidden="1" customHeight="1" x14ac:dyDescent="0.3">
      <c r="E379" s="82" t="s">
        <v>106</v>
      </c>
      <c r="F379" s="82" t="s">
        <v>114</v>
      </c>
      <c r="G379" s="82" t="s">
        <v>800</v>
      </c>
    </row>
    <row r="380" spans="5:7" s="82" customFormat="1" ht="25.5" hidden="1" customHeight="1" x14ac:dyDescent="0.3">
      <c r="E380" s="82" t="s">
        <v>106</v>
      </c>
      <c r="F380" s="82" t="s">
        <v>114</v>
      </c>
      <c r="G380" s="82" t="s">
        <v>554</v>
      </c>
    </row>
    <row r="381" spans="5:7" s="82" customFormat="1" ht="25.5" hidden="1" customHeight="1" x14ac:dyDescent="0.3">
      <c r="E381" s="82" t="s">
        <v>106</v>
      </c>
      <c r="F381" s="82" t="s">
        <v>220</v>
      </c>
      <c r="G381" s="82" t="s">
        <v>221</v>
      </c>
    </row>
    <row r="382" spans="5:7" s="82" customFormat="1" ht="25.5" hidden="1" customHeight="1" x14ac:dyDescent="0.3">
      <c r="E382" s="82" t="s">
        <v>106</v>
      </c>
      <c r="F382" s="82" t="s">
        <v>220</v>
      </c>
      <c r="G382" s="82" t="s">
        <v>737</v>
      </c>
    </row>
    <row r="383" spans="5:7" s="82" customFormat="1" ht="25.5" hidden="1" customHeight="1" x14ac:dyDescent="0.3">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3">
      <c r="E392" s="82" t="s">
        <v>106</v>
      </c>
      <c r="F392" s="82" t="s">
        <v>114</v>
      </c>
      <c r="G392" s="82" t="s">
        <v>601</v>
      </c>
    </row>
    <row r="393" spans="5:7" s="82" customFormat="1" ht="25.5" hidden="1" customHeight="1" x14ac:dyDescent="0.3">
      <c r="E393" s="82" t="s">
        <v>118</v>
      </c>
      <c r="F393" s="82" t="s">
        <v>148</v>
      </c>
      <c r="G393" s="82" t="s">
        <v>630</v>
      </c>
    </row>
    <row r="394" spans="5:7" s="82" customFormat="1" ht="25.5" hidden="1" customHeight="1" x14ac:dyDescent="0.3">
      <c r="E394" s="82" t="s">
        <v>118</v>
      </c>
      <c r="F394" s="82" t="s">
        <v>148</v>
      </c>
      <c r="G394" s="82" t="s">
        <v>720</v>
      </c>
    </row>
    <row r="395" spans="5:7" s="82" customFormat="1" ht="25.5" hidden="1" customHeight="1" x14ac:dyDescent="0.3">
      <c r="E395" s="82" t="s">
        <v>118</v>
      </c>
      <c r="F395" s="82" t="s">
        <v>148</v>
      </c>
      <c r="G395" s="82" t="s">
        <v>702</v>
      </c>
    </row>
    <row r="396" spans="5:7" s="82" customFormat="1" ht="25.5" hidden="1" customHeight="1" x14ac:dyDescent="0.3">
      <c r="E396" s="82" t="s">
        <v>118</v>
      </c>
      <c r="F396" s="82" t="s">
        <v>148</v>
      </c>
      <c r="G396" s="82" t="s">
        <v>602</v>
      </c>
    </row>
    <row r="397" spans="5:7" s="82" customFormat="1" ht="25.5" hidden="1" customHeight="1" x14ac:dyDescent="0.3">
      <c r="E397" s="82" t="s">
        <v>118</v>
      </c>
      <c r="F397" s="82" t="s">
        <v>148</v>
      </c>
      <c r="G397" s="82" t="s">
        <v>416</v>
      </c>
    </row>
    <row r="398" spans="5:7" s="82" customFormat="1" ht="25.5" hidden="1" customHeight="1" x14ac:dyDescent="0.3">
      <c r="E398" s="82" t="s">
        <v>118</v>
      </c>
      <c r="F398" s="82" t="s">
        <v>148</v>
      </c>
      <c r="G398" s="82" t="s">
        <v>464</v>
      </c>
    </row>
    <row r="399" spans="5:7" s="82" customFormat="1" ht="25.5" hidden="1" customHeight="1" x14ac:dyDescent="0.3">
      <c r="E399" s="82" t="s">
        <v>118</v>
      </c>
      <c r="F399" s="82" t="s">
        <v>148</v>
      </c>
      <c r="G399" s="82" t="s">
        <v>465</v>
      </c>
    </row>
    <row r="400" spans="5:7" s="82" customFormat="1" ht="25.5" hidden="1" customHeight="1" x14ac:dyDescent="0.3">
      <c r="E400" s="82" t="s">
        <v>118</v>
      </c>
      <c r="F400" s="82" t="s">
        <v>119</v>
      </c>
      <c r="G400" s="82" t="s">
        <v>556</v>
      </c>
    </row>
    <row r="401" spans="5:7" s="82" customFormat="1" ht="25.5" hidden="1" customHeight="1" x14ac:dyDescent="0.3">
      <c r="E401" s="82" t="s">
        <v>118</v>
      </c>
      <c r="F401" s="82" t="s">
        <v>222</v>
      </c>
      <c r="G401" s="82" t="s">
        <v>631</v>
      </c>
    </row>
    <row r="402" spans="5:7" s="82" customFormat="1" ht="25.5" hidden="1" customHeight="1" x14ac:dyDescent="0.3">
      <c r="E402" s="82" t="s">
        <v>118</v>
      </c>
      <c r="F402" s="82" t="s">
        <v>222</v>
      </c>
      <c r="G402" s="82" t="s">
        <v>358</v>
      </c>
    </row>
    <row r="403" spans="5:7" s="82" customFormat="1" ht="25.5" hidden="1" customHeight="1" x14ac:dyDescent="0.3">
      <c r="E403" s="82" t="s">
        <v>118</v>
      </c>
      <c r="F403" s="82" t="s">
        <v>222</v>
      </c>
      <c r="G403" s="82" t="s">
        <v>603</v>
      </c>
    </row>
    <row r="404" spans="5:7" s="82" customFormat="1" ht="25.5" hidden="1" customHeight="1" x14ac:dyDescent="0.3">
      <c r="E404" s="82" t="s">
        <v>118</v>
      </c>
      <c r="F404" s="82" t="s">
        <v>222</v>
      </c>
      <c r="G404" s="82" t="s">
        <v>417</v>
      </c>
    </row>
    <row r="405" spans="5:7" s="82" customFormat="1" ht="25.5" hidden="1" customHeight="1" x14ac:dyDescent="0.3">
      <c r="E405" s="82" t="s">
        <v>118</v>
      </c>
      <c r="F405" s="82" t="s">
        <v>120</v>
      </c>
      <c r="G405" s="82" t="s">
        <v>557</v>
      </c>
    </row>
    <row r="406" spans="5:7" s="82" customFormat="1" ht="25.5" hidden="1" customHeight="1" x14ac:dyDescent="0.3">
      <c r="E406" s="82" t="s">
        <v>118</v>
      </c>
      <c r="F406" s="82" t="s">
        <v>223</v>
      </c>
      <c r="G406" s="82" t="s">
        <v>664</v>
      </c>
    </row>
    <row r="407" spans="5:7" s="82" customFormat="1" ht="25.5" hidden="1" customHeight="1" x14ac:dyDescent="0.3">
      <c r="E407" s="82" t="s">
        <v>118</v>
      </c>
      <c r="F407" s="82" t="s">
        <v>224</v>
      </c>
      <c r="G407" s="82" t="s">
        <v>632</v>
      </c>
    </row>
    <row r="408" spans="5:7" s="82" customFormat="1" ht="25.5" hidden="1" customHeight="1" x14ac:dyDescent="0.3">
      <c r="E408" s="82" t="s">
        <v>118</v>
      </c>
      <c r="F408" s="82" t="s">
        <v>224</v>
      </c>
      <c r="G408" s="82" t="s">
        <v>357</v>
      </c>
    </row>
    <row r="409" spans="5:7" s="82" customFormat="1" ht="25.5" hidden="1" customHeight="1" x14ac:dyDescent="0.3">
      <c r="E409" s="82" t="s">
        <v>118</v>
      </c>
      <c r="F409" s="82" t="s">
        <v>224</v>
      </c>
      <c r="G409" s="82" t="s">
        <v>418</v>
      </c>
    </row>
    <row r="410" spans="5:7" s="82" customFormat="1" ht="25.5" hidden="1" customHeight="1" x14ac:dyDescent="0.3">
      <c r="E410" s="82" t="s">
        <v>118</v>
      </c>
      <c r="F410" s="82" t="s">
        <v>224</v>
      </c>
      <c r="G410" s="82" t="s">
        <v>481</v>
      </c>
    </row>
    <row r="411" spans="5:7" s="82" customFormat="1" ht="25.5" hidden="1" customHeight="1" x14ac:dyDescent="0.3">
      <c r="E411" s="82" t="s">
        <v>118</v>
      </c>
      <c r="F411" s="82" t="s">
        <v>224</v>
      </c>
      <c r="G411" s="82" t="s">
        <v>482</v>
      </c>
    </row>
    <row r="412" spans="5:7" s="82" customFormat="1" ht="25.5" hidden="1" customHeight="1" x14ac:dyDescent="0.3">
      <c r="E412" s="82" t="s">
        <v>118</v>
      </c>
      <c r="F412" s="82" t="s">
        <v>224</v>
      </c>
      <c r="G412" s="82" t="s">
        <v>483</v>
      </c>
    </row>
    <row r="413" spans="5:7" s="82" customFormat="1" ht="25.5" hidden="1" customHeight="1" x14ac:dyDescent="0.3">
      <c r="E413" s="82" t="s">
        <v>118</v>
      </c>
      <c r="F413" s="82" t="s">
        <v>149</v>
      </c>
      <c r="G413" s="82" t="s">
        <v>225</v>
      </c>
    </row>
    <row r="414" spans="5:7" s="82" customFormat="1" ht="25.5" hidden="1" customHeight="1" x14ac:dyDescent="0.3">
      <c r="E414" s="82" t="s">
        <v>118</v>
      </c>
      <c r="F414" s="82" t="s">
        <v>149</v>
      </c>
      <c r="G414" s="82" t="s">
        <v>337</v>
      </c>
    </row>
    <row r="415" spans="5:7" s="82" customFormat="1" ht="25.5" hidden="1" customHeight="1" x14ac:dyDescent="0.3">
      <c r="E415" s="82" t="s">
        <v>118</v>
      </c>
      <c r="F415" s="82" t="s">
        <v>149</v>
      </c>
      <c r="G415" s="82" t="s">
        <v>711</v>
      </c>
    </row>
    <row r="416" spans="5:7" s="82" customFormat="1" ht="25.5" hidden="1" customHeight="1" x14ac:dyDescent="0.3">
      <c r="E416" s="82" t="s">
        <v>118</v>
      </c>
      <c r="F416" s="82" t="s">
        <v>149</v>
      </c>
      <c r="G416" s="82" t="s">
        <v>558</v>
      </c>
    </row>
    <row r="417" spans="5:7" s="82" customFormat="1" ht="25.5" hidden="1" customHeight="1" x14ac:dyDescent="0.3">
      <c r="E417" s="82" t="s">
        <v>118</v>
      </c>
      <c r="F417" s="82" t="s">
        <v>149</v>
      </c>
      <c r="G417" s="82" t="s">
        <v>604</v>
      </c>
    </row>
    <row r="418" spans="5:7" s="82" customFormat="1" ht="25.5" hidden="1" customHeight="1" x14ac:dyDescent="0.3">
      <c r="E418" s="82" t="s">
        <v>118</v>
      </c>
      <c r="F418" s="82" t="s">
        <v>149</v>
      </c>
      <c r="G418" s="82" t="s">
        <v>419</v>
      </c>
    </row>
    <row r="419" spans="5:7" s="82" customFormat="1" ht="25.5" hidden="1" customHeight="1" x14ac:dyDescent="0.3">
      <c r="E419" s="82" t="s">
        <v>118</v>
      </c>
      <c r="F419" s="82" t="s">
        <v>149</v>
      </c>
      <c r="G419" s="82" t="s">
        <v>480</v>
      </c>
    </row>
    <row r="420" spans="5:7" s="82" customFormat="1" ht="25.5" hidden="1" customHeight="1" x14ac:dyDescent="0.3">
      <c r="E420" s="82" t="s">
        <v>118</v>
      </c>
      <c r="F420" s="82" t="s">
        <v>118</v>
      </c>
      <c r="G420" s="82" t="s">
        <v>226</v>
      </c>
    </row>
    <row r="421" spans="5:7" s="82" customFormat="1" ht="25.5" hidden="1" customHeight="1" x14ac:dyDescent="0.3">
      <c r="E421" s="82" t="s">
        <v>118</v>
      </c>
      <c r="F421" s="82" t="s">
        <v>118</v>
      </c>
      <c r="G421" s="82" t="s">
        <v>665</v>
      </c>
    </row>
    <row r="422" spans="5:7" s="82" customFormat="1" ht="25.5" hidden="1" customHeight="1" x14ac:dyDescent="0.3">
      <c r="E422" s="82" t="s">
        <v>118</v>
      </c>
      <c r="F422" s="82" t="s">
        <v>118</v>
      </c>
      <c r="G422" s="82" t="s">
        <v>559</v>
      </c>
    </row>
    <row r="423" spans="5:7" s="82" customFormat="1" ht="25.5" hidden="1" customHeight="1" x14ac:dyDescent="0.3">
      <c r="E423" s="82" t="s">
        <v>118</v>
      </c>
      <c r="F423" s="82" t="s">
        <v>227</v>
      </c>
      <c r="G423" s="82" t="s">
        <v>633</v>
      </c>
    </row>
    <row r="424" spans="5:7" s="82" customFormat="1" ht="25.5" hidden="1" customHeight="1" x14ac:dyDescent="0.3">
      <c r="E424" s="82" t="s">
        <v>118</v>
      </c>
      <c r="F424" s="82" t="s">
        <v>118</v>
      </c>
      <c r="G424" s="82" t="s">
        <v>338</v>
      </c>
    </row>
    <row r="425" spans="5:7" s="82" customFormat="1" ht="25.5" hidden="1" customHeight="1" x14ac:dyDescent="0.3">
      <c r="E425" s="82" t="s">
        <v>118</v>
      </c>
      <c r="F425" s="82" t="s">
        <v>227</v>
      </c>
      <c r="G425" s="82" t="s">
        <v>317</v>
      </c>
    </row>
    <row r="426" spans="5:7" s="82" customFormat="1" ht="25.5" hidden="1" customHeight="1" x14ac:dyDescent="0.3">
      <c r="E426" s="82" t="s">
        <v>118</v>
      </c>
      <c r="F426" s="82" t="s">
        <v>227</v>
      </c>
      <c r="G426" s="82" t="s">
        <v>420</v>
      </c>
    </row>
    <row r="427" spans="5:7" s="82" customFormat="1" ht="25.5" hidden="1" customHeight="1" x14ac:dyDescent="0.3">
      <c r="E427" s="82" t="s">
        <v>118</v>
      </c>
      <c r="F427" s="82" t="s">
        <v>227</v>
      </c>
      <c r="G427" s="82" t="s">
        <v>484</v>
      </c>
    </row>
    <row r="428" spans="5:7" s="82" customFormat="1" ht="25.5" hidden="1" customHeight="1" x14ac:dyDescent="0.3">
      <c r="E428" s="82" t="s">
        <v>118</v>
      </c>
      <c r="F428" s="82" t="s">
        <v>227</v>
      </c>
      <c r="G428" s="82" t="s">
        <v>485</v>
      </c>
    </row>
    <row r="429" spans="5:7" s="82" customFormat="1" ht="25.5" hidden="1" customHeight="1" x14ac:dyDescent="0.3">
      <c r="E429" s="82" t="s">
        <v>118</v>
      </c>
      <c r="F429" s="82" t="s">
        <v>121</v>
      </c>
      <c r="G429" s="82" t="s">
        <v>560</v>
      </c>
    </row>
    <row r="430" spans="5:7" s="82" customFormat="1" ht="25.5" hidden="1" customHeight="1" x14ac:dyDescent="0.3">
      <c r="E430" s="82" t="s">
        <v>118</v>
      </c>
      <c r="F430" s="82" t="s">
        <v>228</v>
      </c>
      <c r="G430" s="82" t="s">
        <v>634</v>
      </c>
    </row>
    <row r="431" spans="5:7" s="82" customFormat="1" ht="25.5" hidden="1" customHeight="1" x14ac:dyDescent="0.3">
      <c r="E431" s="82" t="s">
        <v>118</v>
      </c>
      <c r="F431" s="82" t="s">
        <v>228</v>
      </c>
      <c r="G431" s="82" t="s">
        <v>732</v>
      </c>
    </row>
    <row r="432" spans="5:7" s="82" customFormat="1" ht="25.5" hidden="1" customHeight="1" x14ac:dyDescent="0.3">
      <c r="E432" s="82" t="s">
        <v>118</v>
      </c>
      <c r="F432" s="82" t="s">
        <v>121</v>
      </c>
      <c r="G432" s="82" t="s">
        <v>561</v>
      </c>
    </row>
    <row r="433" spans="5:7" s="82" customFormat="1" ht="25.5" hidden="1" customHeight="1" x14ac:dyDescent="0.3">
      <c r="E433" s="82" t="s">
        <v>118</v>
      </c>
      <c r="F433" s="82" t="s">
        <v>121</v>
      </c>
      <c r="G433" s="82" t="s">
        <v>359</v>
      </c>
    </row>
    <row r="434" spans="5:7" s="82" customFormat="1" ht="25.5" hidden="1" customHeight="1" x14ac:dyDescent="0.3">
      <c r="E434" s="82" t="s">
        <v>118</v>
      </c>
      <c r="F434" s="82" t="s">
        <v>121</v>
      </c>
      <c r="G434" s="82" t="s">
        <v>421</v>
      </c>
    </row>
    <row r="435" spans="5:7" s="82" customFormat="1" ht="25.5" hidden="1" customHeight="1" x14ac:dyDescent="0.3">
      <c r="E435" s="82" t="s">
        <v>118</v>
      </c>
      <c r="F435" s="82" t="s">
        <v>150</v>
      </c>
      <c r="G435" s="82" t="s">
        <v>635</v>
      </c>
    </row>
    <row r="436" spans="5:7" s="82" customFormat="1" ht="25.5" hidden="1" customHeight="1" x14ac:dyDescent="0.3">
      <c r="E436" s="82" t="s">
        <v>118</v>
      </c>
      <c r="F436" s="82" t="s">
        <v>150</v>
      </c>
      <c r="G436" s="82" t="s">
        <v>562</v>
      </c>
    </row>
    <row r="437" spans="5:7" s="82" customFormat="1" ht="25.5" hidden="1" customHeight="1" x14ac:dyDescent="0.3">
      <c r="E437" s="82" t="s">
        <v>118</v>
      </c>
      <c r="F437" s="82" t="s">
        <v>150</v>
      </c>
      <c r="G437" s="82" t="s">
        <v>489</v>
      </c>
    </row>
    <row r="438" spans="5:7" s="82" customFormat="1" ht="25.5" hidden="1" customHeight="1" x14ac:dyDescent="0.3"/>
    <row r="439" spans="5:7" s="82" customFormat="1" ht="25.5" hidden="1" customHeight="1" x14ac:dyDescent="0.3"/>
    <row r="440" spans="5:7" s="82" customFormat="1" ht="25.5" hidden="1" customHeight="1" x14ac:dyDescent="0.3">
      <c r="E440" s="82" t="s">
        <v>118</v>
      </c>
      <c r="F440" s="82" t="s">
        <v>151</v>
      </c>
      <c r="G440" s="82" t="s">
        <v>636</v>
      </c>
    </row>
    <row r="441" spans="5:7" s="82" customFormat="1" ht="25.5" hidden="1" customHeight="1" x14ac:dyDescent="0.3">
      <c r="E441" s="82" t="s">
        <v>118</v>
      </c>
      <c r="F441" s="82" t="s">
        <v>151</v>
      </c>
      <c r="G441" s="82" t="s">
        <v>339</v>
      </c>
    </row>
    <row r="442" spans="5:7" s="82" customFormat="1" ht="25.5" hidden="1" customHeight="1" x14ac:dyDescent="0.3">
      <c r="E442" s="82" t="s">
        <v>118</v>
      </c>
      <c r="F442" s="82" t="s">
        <v>151</v>
      </c>
      <c r="G442" s="82" t="s">
        <v>491</v>
      </c>
    </row>
    <row r="443" spans="5:7" s="82" customFormat="1" ht="25.5" hidden="1" customHeight="1" x14ac:dyDescent="0.3"/>
    <row r="444" spans="5:7" s="82" customFormat="1" ht="25.5" hidden="1" customHeight="1" x14ac:dyDescent="0.3">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3">
      <c r="E446" s="82" t="s">
        <v>118</v>
      </c>
      <c r="F446" s="82" t="s">
        <v>152</v>
      </c>
      <c r="G446" s="82" t="s">
        <v>502</v>
      </c>
    </row>
    <row r="447" spans="5:7" s="82" customFormat="1" ht="25.5" hidden="1" customHeight="1" x14ac:dyDescent="0.3"/>
    <row r="448" spans="5:7" s="82" customFormat="1" ht="25.5" hidden="1" customHeight="1" x14ac:dyDescent="0.3">
      <c r="E448" s="82" t="s">
        <v>118</v>
      </c>
      <c r="F448" s="82" t="s">
        <v>122</v>
      </c>
      <c r="G448" s="82" t="s">
        <v>563</v>
      </c>
    </row>
    <row r="449" spans="5:7" s="82" customFormat="1" ht="25.5" hidden="1" customHeight="1" x14ac:dyDescent="0.3">
      <c r="E449" s="82" t="s">
        <v>118</v>
      </c>
      <c r="F449" s="82" t="s">
        <v>231</v>
      </c>
      <c r="G449" s="82" t="s">
        <v>637</v>
      </c>
    </row>
    <row r="450" spans="5:7" s="82" customFormat="1" ht="25.5" hidden="1" customHeight="1" x14ac:dyDescent="0.3">
      <c r="E450" s="82" t="s">
        <v>118</v>
      </c>
      <c r="F450" s="82" t="s">
        <v>122</v>
      </c>
      <c r="G450" s="82" t="s">
        <v>356</v>
      </c>
    </row>
    <row r="451" spans="5:7" s="82" customFormat="1" ht="25.5" hidden="1" customHeight="1" x14ac:dyDescent="0.3">
      <c r="E451" s="82" t="s">
        <v>118</v>
      </c>
      <c r="F451" s="82" t="s">
        <v>122</v>
      </c>
      <c r="G451" s="82" t="s">
        <v>605</v>
      </c>
    </row>
    <row r="452" spans="5:7" s="82" customFormat="1" ht="25.5" hidden="1" customHeight="1" x14ac:dyDescent="0.3">
      <c r="E452" s="82" t="s">
        <v>118</v>
      </c>
      <c r="F452" s="82" t="s">
        <v>122</v>
      </c>
      <c r="G452" s="82" t="s">
        <v>519</v>
      </c>
    </row>
    <row r="453" spans="5:7" s="82" customFormat="1" ht="25.5" hidden="1" customHeight="1" x14ac:dyDescent="0.3">
      <c r="E453" s="82" t="s">
        <v>118</v>
      </c>
      <c r="F453" s="82" t="s">
        <v>122</v>
      </c>
      <c r="G453" s="82" t="s">
        <v>520</v>
      </c>
    </row>
    <row r="454" spans="5:7" s="82" customFormat="1" ht="25.5" hidden="1" customHeight="1" x14ac:dyDescent="0.3">
      <c r="E454" s="82" t="s">
        <v>118</v>
      </c>
      <c r="F454" s="82" t="s">
        <v>122</v>
      </c>
      <c r="G454" s="82" t="s">
        <v>521</v>
      </c>
    </row>
    <row r="455" spans="5:7" s="82" customFormat="1" ht="25.5" hidden="1" customHeight="1" x14ac:dyDescent="0.3">
      <c r="E455" s="82" t="s">
        <v>118</v>
      </c>
      <c r="F455" s="82" t="s">
        <v>122</v>
      </c>
      <c r="G455" s="82" t="s">
        <v>422</v>
      </c>
    </row>
    <row r="456" spans="5:7" s="82" customFormat="1" ht="25.5" hidden="1" customHeight="1" x14ac:dyDescent="0.3">
      <c r="E456" s="82" t="s">
        <v>117</v>
      </c>
      <c r="F456" s="82" t="s">
        <v>141</v>
      </c>
      <c r="G456" s="82" t="s">
        <v>638</v>
      </c>
    </row>
    <row r="457" spans="5:7" s="82" customFormat="1" ht="25.5" hidden="1" customHeight="1" x14ac:dyDescent="0.3">
      <c r="E457" s="82" t="s">
        <v>117</v>
      </c>
      <c r="F457" s="82" t="s">
        <v>141</v>
      </c>
      <c r="G457" s="82" t="s">
        <v>564</v>
      </c>
    </row>
    <row r="458" spans="5:7" s="82" customFormat="1" ht="25.5" hidden="1" customHeight="1" x14ac:dyDescent="0.3">
      <c r="E458" s="82" t="s">
        <v>117</v>
      </c>
      <c r="F458" s="82" t="s">
        <v>141</v>
      </c>
      <c r="G458" s="82" t="s">
        <v>784</v>
      </c>
    </row>
    <row r="459" spans="5:7" s="82" customFormat="1" ht="25.5" hidden="1" customHeight="1" x14ac:dyDescent="0.3">
      <c r="E459" s="82" t="s">
        <v>117</v>
      </c>
      <c r="F459" s="82" t="s">
        <v>141</v>
      </c>
      <c r="G459" s="82" t="s">
        <v>423</v>
      </c>
    </row>
    <row r="460" spans="5:7" s="82" customFormat="1" ht="25.5" hidden="1" customHeight="1" x14ac:dyDescent="0.3">
      <c r="E460" s="82" t="s">
        <v>117</v>
      </c>
      <c r="F460" s="82" t="s">
        <v>141</v>
      </c>
      <c r="G460" s="82" t="s">
        <v>801</v>
      </c>
    </row>
    <row r="461" spans="5:7" s="82" customFormat="1" ht="25.5" hidden="1" customHeight="1" x14ac:dyDescent="0.3">
      <c r="E461" s="82" t="s">
        <v>117</v>
      </c>
      <c r="F461" s="82" t="s">
        <v>141</v>
      </c>
      <c r="G461" s="82" t="s">
        <v>777</v>
      </c>
    </row>
    <row r="462" spans="5:7" s="82" customFormat="1" ht="25.5" hidden="1" customHeight="1" x14ac:dyDescent="0.3">
      <c r="E462" s="82" t="s">
        <v>117</v>
      </c>
      <c r="F462" s="82" t="s">
        <v>141</v>
      </c>
      <c r="G462" s="82" t="s">
        <v>707</v>
      </c>
    </row>
    <row r="463" spans="5:7" s="82" customFormat="1" ht="25.5" hidden="1" customHeight="1" x14ac:dyDescent="0.3">
      <c r="E463" s="82" t="s">
        <v>117</v>
      </c>
      <c r="F463" s="82" t="s">
        <v>141</v>
      </c>
      <c r="G463" s="82" t="s">
        <v>479</v>
      </c>
    </row>
    <row r="464" spans="5:7" s="82" customFormat="1" ht="25.5" hidden="1" customHeight="1" x14ac:dyDescent="0.3"/>
    <row r="465" spans="5:7" s="82" customFormat="1" ht="25.5" hidden="1" customHeight="1" x14ac:dyDescent="0.3">
      <c r="E465" s="82" t="s">
        <v>265</v>
      </c>
      <c r="F465" s="82" t="s">
        <v>265</v>
      </c>
      <c r="G465" s="82" t="s">
        <v>666</v>
      </c>
    </row>
    <row r="466" spans="5:7" s="82" customFormat="1" ht="25.5" hidden="1" customHeight="1" x14ac:dyDescent="0.3">
      <c r="E466" s="82" t="s">
        <v>117</v>
      </c>
      <c r="F466" s="82" t="s">
        <v>117</v>
      </c>
      <c r="G466" s="82" t="s">
        <v>565</v>
      </c>
    </row>
    <row r="467" spans="5:7" s="82" customFormat="1" ht="25.5" hidden="1" customHeight="1" x14ac:dyDescent="0.3">
      <c r="E467" s="82" t="s">
        <v>117</v>
      </c>
      <c r="F467" s="82" t="s">
        <v>232</v>
      </c>
      <c r="G467" s="82" t="s">
        <v>233</v>
      </c>
    </row>
    <row r="468" spans="5:7" s="82" customFormat="1" ht="25.5" hidden="1" customHeight="1" x14ac:dyDescent="0.3">
      <c r="E468" s="82" t="s">
        <v>117</v>
      </c>
      <c r="F468" s="82" t="s">
        <v>117</v>
      </c>
      <c r="G468" s="82" t="s">
        <v>343</v>
      </c>
    </row>
    <row r="469" spans="5:7" s="82" customFormat="1" ht="25.5" hidden="1" customHeight="1" x14ac:dyDescent="0.3">
      <c r="E469" s="82" t="s">
        <v>117</v>
      </c>
      <c r="F469" s="82" t="s">
        <v>232</v>
      </c>
      <c r="G469" s="82" t="s">
        <v>234</v>
      </c>
    </row>
    <row r="470" spans="5:7" s="82" customFormat="1" ht="25.5" hidden="1" customHeight="1" x14ac:dyDescent="0.3">
      <c r="E470" s="82" t="s">
        <v>117</v>
      </c>
      <c r="F470" s="82" t="s">
        <v>232</v>
      </c>
      <c r="G470" s="82" t="s">
        <v>731</v>
      </c>
    </row>
    <row r="471" spans="5:7" s="82" customFormat="1" ht="25.5" hidden="1" customHeight="1" x14ac:dyDescent="0.3">
      <c r="E471" s="82" t="s">
        <v>117</v>
      </c>
      <c r="F471" s="82" t="s">
        <v>117</v>
      </c>
      <c r="G471" s="82" t="s">
        <v>349</v>
      </c>
    </row>
    <row r="472" spans="5:7" s="82" customFormat="1" ht="25.5" hidden="1" customHeight="1" x14ac:dyDescent="0.3">
      <c r="E472" s="82" t="s">
        <v>117</v>
      </c>
      <c r="F472" s="82" t="s">
        <v>117</v>
      </c>
      <c r="G472" s="82" t="s">
        <v>424</v>
      </c>
    </row>
    <row r="473" spans="5:7" s="82" customFormat="1" ht="25.5" hidden="1" customHeight="1" x14ac:dyDescent="0.3">
      <c r="E473" s="82" t="s">
        <v>117</v>
      </c>
      <c r="F473" s="82" t="s">
        <v>117</v>
      </c>
      <c r="G473" s="82" t="s">
        <v>496</v>
      </c>
    </row>
    <row r="474" spans="5:7" s="82" customFormat="1" ht="25.5" hidden="1" customHeight="1" x14ac:dyDescent="0.3">
      <c r="E474" s="82" t="s">
        <v>117</v>
      </c>
      <c r="F474" s="82" t="s">
        <v>117</v>
      </c>
      <c r="G474" s="82" t="s">
        <v>804</v>
      </c>
    </row>
    <row r="475" spans="5:7" s="82" customFormat="1" ht="25.5" hidden="1" customHeight="1" x14ac:dyDescent="0.3">
      <c r="E475" s="82" t="s">
        <v>117</v>
      </c>
      <c r="F475" s="82" t="s">
        <v>117</v>
      </c>
      <c r="G475" s="82" t="s">
        <v>497</v>
      </c>
    </row>
    <row r="476" spans="5:7" s="82" customFormat="1" ht="25.5" hidden="1" customHeight="1" x14ac:dyDescent="0.3">
      <c r="E476" s="82" t="s">
        <v>117</v>
      </c>
      <c r="F476" s="82" t="s">
        <v>117</v>
      </c>
      <c r="G476" s="82" t="s">
        <v>498</v>
      </c>
    </row>
    <row r="477" spans="5:7" s="82" customFormat="1" ht="25.5" hidden="1" customHeight="1" x14ac:dyDescent="0.3">
      <c r="E477" s="82" t="s">
        <v>117</v>
      </c>
      <c r="F477" s="82" t="s">
        <v>117</v>
      </c>
      <c r="G477" s="82" t="s">
        <v>499</v>
      </c>
    </row>
    <row r="478" spans="5:7" s="82" customFormat="1" ht="25.5" hidden="1" customHeight="1" x14ac:dyDescent="0.3">
      <c r="E478" s="82" t="s">
        <v>117</v>
      </c>
      <c r="F478" s="82" t="s">
        <v>117</v>
      </c>
      <c r="G478" s="82" t="s">
        <v>500</v>
      </c>
    </row>
    <row r="479" spans="5:7" s="82" customFormat="1" ht="25.5" hidden="1" customHeight="1" x14ac:dyDescent="0.3"/>
    <row r="480" spans="5:7" s="82" customFormat="1" ht="25.5" hidden="1" customHeight="1" x14ac:dyDescent="0.3"/>
    <row r="481" spans="5:7" s="82" customFormat="1" ht="25.5" hidden="1" customHeight="1" x14ac:dyDescent="0.3"/>
    <row r="482" spans="5:7" s="82" customFormat="1" ht="25.5" hidden="1" customHeight="1" x14ac:dyDescent="0.3">
      <c r="E482" s="82" t="s">
        <v>117</v>
      </c>
      <c r="F482" s="82" t="s">
        <v>235</v>
      </c>
      <c r="G482" s="82" t="s">
        <v>236</v>
      </c>
    </row>
    <row r="483" spans="5:7" s="82" customFormat="1" ht="25.5" hidden="1" customHeight="1" x14ac:dyDescent="0.3">
      <c r="E483" s="82" t="s">
        <v>117</v>
      </c>
      <c r="F483" s="82" t="s">
        <v>237</v>
      </c>
      <c r="G483" s="82" t="s">
        <v>566</v>
      </c>
    </row>
    <row r="484" spans="5:7" s="82" customFormat="1" ht="25.5" hidden="1" customHeight="1" x14ac:dyDescent="0.3">
      <c r="E484" s="82" t="s">
        <v>117</v>
      </c>
      <c r="F484" s="82" t="s">
        <v>237</v>
      </c>
      <c r="G484" s="82" t="s">
        <v>351</v>
      </c>
    </row>
    <row r="485" spans="5:7" s="82" customFormat="1" ht="25.5" hidden="1" customHeight="1" x14ac:dyDescent="0.3">
      <c r="E485" s="82" t="s">
        <v>117</v>
      </c>
      <c r="F485" s="82" t="s">
        <v>237</v>
      </c>
      <c r="G485" s="82" t="s">
        <v>606</v>
      </c>
    </row>
    <row r="486" spans="5:7" s="82" customFormat="1" ht="25.5" hidden="1" customHeight="1" x14ac:dyDescent="0.3">
      <c r="E486" s="82" t="s">
        <v>117</v>
      </c>
      <c r="F486" s="82" t="s">
        <v>237</v>
      </c>
      <c r="G486" s="82" t="s">
        <v>508</v>
      </c>
    </row>
    <row r="487" spans="5:7" s="82" customFormat="1" ht="25.5" hidden="1" customHeight="1" x14ac:dyDescent="0.3">
      <c r="E487" s="82" t="s">
        <v>117</v>
      </c>
      <c r="F487" s="82" t="s">
        <v>237</v>
      </c>
      <c r="G487" s="82" t="s">
        <v>509</v>
      </c>
    </row>
    <row r="488" spans="5:7" s="82" customFormat="1" ht="25.5" hidden="1" customHeight="1" x14ac:dyDescent="0.3">
      <c r="E488" s="82" t="s">
        <v>117</v>
      </c>
      <c r="F488" s="82" t="s">
        <v>237</v>
      </c>
      <c r="G488" s="82" t="s">
        <v>798</v>
      </c>
    </row>
    <row r="489" spans="5:7" s="82" customFormat="1" ht="25.5" hidden="1" customHeight="1" x14ac:dyDescent="0.3">
      <c r="E489" s="82" t="s">
        <v>117</v>
      </c>
      <c r="F489" s="82" t="s">
        <v>237</v>
      </c>
      <c r="G489" s="82" t="s">
        <v>510</v>
      </c>
    </row>
    <row r="490" spans="5:7" s="82" customFormat="1" ht="25.5" hidden="1" customHeight="1" x14ac:dyDescent="0.3">
      <c r="E490" s="82" t="s">
        <v>117</v>
      </c>
      <c r="F490" s="82" t="s">
        <v>237</v>
      </c>
      <c r="G490" s="82" t="s">
        <v>768</v>
      </c>
    </row>
    <row r="491" spans="5:7" s="82" customFormat="1" ht="25.5" hidden="1" customHeight="1" x14ac:dyDescent="0.3">
      <c r="E491" s="82" t="s">
        <v>117</v>
      </c>
      <c r="F491" s="82" t="s">
        <v>237</v>
      </c>
      <c r="G491" s="82" t="s">
        <v>714</v>
      </c>
    </row>
    <row r="492" spans="5:7" s="82" customFormat="1" ht="25.5" hidden="1" customHeight="1" x14ac:dyDescent="0.3">
      <c r="E492" s="82" t="s">
        <v>117</v>
      </c>
      <c r="F492" s="82" t="s">
        <v>237</v>
      </c>
      <c r="G492" s="82" t="s">
        <v>425</v>
      </c>
    </row>
    <row r="493" spans="5:7" s="82" customFormat="1" ht="25.5" hidden="1" customHeight="1" x14ac:dyDescent="0.3">
      <c r="E493" s="82" t="s">
        <v>117</v>
      </c>
      <c r="F493" s="82" t="s">
        <v>147</v>
      </c>
      <c r="G493" s="82" t="s">
        <v>238</v>
      </c>
    </row>
    <row r="494" spans="5:7" s="82" customFormat="1" ht="25.5" hidden="1" customHeight="1" x14ac:dyDescent="0.3">
      <c r="E494" s="82" t="s">
        <v>117</v>
      </c>
      <c r="F494" s="82" t="s">
        <v>147</v>
      </c>
      <c r="G494" s="82" t="s">
        <v>567</v>
      </c>
    </row>
    <row r="495" spans="5:7" s="82" customFormat="1" ht="25.5" hidden="1" customHeight="1" x14ac:dyDescent="0.3">
      <c r="E495" s="82" t="s">
        <v>117</v>
      </c>
      <c r="F495" s="82" t="s">
        <v>147</v>
      </c>
      <c r="G495" s="82" t="s">
        <v>350</v>
      </c>
    </row>
    <row r="496" spans="5:7" s="82" customFormat="1" ht="25.5" hidden="1" customHeight="1" x14ac:dyDescent="0.3">
      <c r="E496" s="82" t="s">
        <v>117</v>
      </c>
      <c r="F496" s="82" t="s">
        <v>147</v>
      </c>
      <c r="G496" s="82" t="s">
        <v>607</v>
      </c>
    </row>
    <row r="497" spans="5:7" s="82" customFormat="1" ht="25.5" hidden="1" customHeight="1" x14ac:dyDescent="0.3">
      <c r="E497" s="82" t="s">
        <v>117</v>
      </c>
      <c r="F497" s="82" t="s">
        <v>147</v>
      </c>
      <c r="G497" s="82" t="s">
        <v>522</v>
      </c>
    </row>
    <row r="498" spans="5:7" s="82" customFormat="1" ht="25.5" hidden="1" customHeight="1" x14ac:dyDescent="0.3">
      <c r="E498" s="82" t="s">
        <v>117</v>
      </c>
      <c r="F498" s="82" t="s">
        <v>147</v>
      </c>
      <c r="G498" s="82" t="s">
        <v>523</v>
      </c>
    </row>
    <row r="499" spans="5:7" s="82" customFormat="1" ht="25.5" hidden="1" customHeight="1" x14ac:dyDescent="0.3">
      <c r="E499" s="82" t="s">
        <v>123</v>
      </c>
      <c r="F499" s="82" t="s">
        <v>124</v>
      </c>
      <c r="G499" s="82" t="s">
        <v>568</v>
      </c>
    </row>
    <row r="500" spans="5:7" s="82" customFormat="1" ht="25.5" hidden="1" customHeight="1" x14ac:dyDescent="0.3">
      <c r="E500" s="82" t="s">
        <v>123</v>
      </c>
      <c r="F500" s="82" t="s">
        <v>239</v>
      </c>
      <c r="G500" s="82" t="s">
        <v>667</v>
      </c>
    </row>
    <row r="501" spans="5:7" s="82" customFormat="1" ht="25.5" hidden="1" customHeight="1" x14ac:dyDescent="0.3">
      <c r="E501" s="82" t="s">
        <v>123</v>
      </c>
      <c r="F501" s="82" t="s">
        <v>240</v>
      </c>
      <c r="G501" s="82" t="s">
        <v>639</v>
      </c>
    </row>
    <row r="502" spans="5:7" s="82" customFormat="1" ht="25.5" hidden="1" customHeight="1" x14ac:dyDescent="0.3">
      <c r="E502" s="82" t="s">
        <v>123</v>
      </c>
      <c r="F502" s="82" t="s">
        <v>240</v>
      </c>
      <c r="G502" s="82" t="s">
        <v>715</v>
      </c>
    </row>
    <row r="503" spans="5:7" s="82" customFormat="1" ht="25.5" hidden="1" customHeight="1" x14ac:dyDescent="0.3">
      <c r="E503" s="82" t="s">
        <v>123</v>
      </c>
      <c r="F503" s="82" t="s">
        <v>124</v>
      </c>
      <c r="G503" s="82" t="s">
        <v>327</v>
      </c>
    </row>
    <row r="504" spans="5:7" s="82" customFormat="1" ht="25.5" hidden="1" customHeight="1" x14ac:dyDescent="0.3">
      <c r="E504" s="82" t="s">
        <v>123</v>
      </c>
      <c r="F504" s="82" t="s">
        <v>124</v>
      </c>
      <c r="G504" s="82" t="s">
        <v>844</v>
      </c>
    </row>
    <row r="505" spans="5:7" s="82" customFormat="1" ht="25.5" hidden="1" customHeight="1" x14ac:dyDescent="0.3">
      <c r="E505" s="82" t="s">
        <v>123</v>
      </c>
      <c r="F505" s="82" t="s">
        <v>124</v>
      </c>
      <c r="G505" s="82" t="s">
        <v>771</v>
      </c>
    </row>
    <row r="506" spans="5:7" s="82" customFormat="1" ht="25.5" hidden="1" customHeight="1" x14ac:dyDescent="0.3">
      <c r="E506" s="82" t="s">
        <v>123</v>
      </c>
      <c r="F506" s="82" t="s">
        <v>124</v>
      </c>
      <c r="G506" s="82" t="s">
        <v>772</v>
      </c>
    </row>
    <row r="507" spans="5:7" s="82" customFormat="1" ht="25.5" hidden="1" customHeight="1" x14ac:dyDescent="0.3">
      <c r="E507" s="82" t="s">
        <v>123</v>
      </c>
      <c r="F507" s="82" t="s">
        <v>124</v>
      </c>
      <c r="G507" s="82" t="s">
        <v>773</v>
      </c>
    </row>
    <row r="508" spans="5:7" s="82" customFormat="1" ht="25.5" hidden="1" customHeight="1" x14ac:dyDescent="0.3">
      <c r="E508" s="82" t="s">
        <v>123</v>
      </c>
      <c r="F508" s="82" t="s">
        <v>124</v>
      </c>
      <c r="G508" s="82" t="s">
        <v>774</v>
      </c>
    </row>
    <row r="509" spans="5:7" s="82" customFormat="1" ht="25.5" hidden="1" customHeight="1" x14ac:dyDescent="0.3">
      <c r="E509" s="82" t="s">
        <v>123</v>
      </c>
      <c r="F509" s="82" t="s">
        <v>124</v>
      </c>
      <c r="G509" s="82" t="s">
        <v>775</v>
      </c>
    </row>
    <row r="510" spans="5:7" s="82" customFormat="1" ht="25.5" hidden="1" customHeight="1" x14ac:dyDescent="0.3">
      <c r="E510" s="82" t="s">
        <v>123</v>
      </c>
      <c r="F510" s="82" t="s">
        <v>124</v>
      </c>
      <c r="G510" s="82" t="s">
        <v>466</v>
      </c>
    </row>
    <row r="511" spans="5:7" s="82" customFormat="1" ht="25.5" hidden="1" customHeight="1" x14ac:dyDescent="0.3">
      <c r="E511" s="82" t="s">
        <v>123</v>
      </c>
      <c r="F511" s="82" t="s">
        <v>124</v>
      </c>
      <c r="G511" s="82" t="s">
        <v>467</v>
      </c>
    </row>
    <row r="512" spans="5:7" s="82" customFormat="1" ht="25.5" hidden="1" customHeight="1" x14ac:dyDescent="0.3">
      <c r="E512" s="82" t="s">
        <v>123</v>
      </c>
      <c r="F512" s="82" t="s">
        <v>124</v>
      </c>
      <c r="G512" s="82" t="s">
        <v>468</v>
      </c>
    </row>
    <row r="513" spans="5:7" s="82" customFormat="1" ht="25.5" hidden="1" customHeight="1" x14ac:dyDescent="0.3">
      <c r="E513" s="82" t="s">
        <v>123</v>
      </c>
      <c r="F513" s="82" t="s">
        <v>124</v>
      </c>
      <c r="G513" s="82" t="s">
        <v>469</v>
      </c>
    </row>
    <row r="514" spans="5:7" s="82" customFormat="1" ht="25.5" hidden="1" customHeight="1" x14ac:dyDescent="0.3">
      <c r="E514" s="82" t="s">
        <v>123</v>
      </c>
      <c r="F514" s="82" t="s">
        <v>154</v>
      </c>
      <c r="G514" s="82" t="s">
        <v>640</v>
      </c>
    </row>
    <row r="515" spans="5:7" s="82" customFormat="1" ht="25.5" hidden="1" customHeight="1" x14ac:dyDescent="0.3">
      <c r="E515" s="82" t="s">
        <v>123</v>
      </c>
      <c r="F515" s="82" t="s">
        <v>154</v>
      </c>
      <c r="G515" s="82" t="s">
        <v>569</v>
      </c>
    </row>
    <row r="516" spans="5:7" s="82" customFormat="1" ht="25.5" hidden="1" customHeight="1" x14ac:dyDescent="0.3">
      <c r="E516" s="82" t="s">
        <v>123</v>
      </c>
      <c r="F516" s="82" t="s">
        <v>154</v>
      </c>
      <c r="G516" s="82" t="s">
        <v>780</v>
      </c>
    </row>
    <row r="517" spans="5:7" s="82" customFormat="1" ht="25.5" hidden="1" customHeight="1" x14ac:dyDescent="0.3">
      <c r="E517" s="82" t="s">
        <v>123</v>
      </c>
      <c r="F517" s="82" t="s">
        <v>154</v>
      </c>
      <c r="G517" s="82" t="s">
        <v>730</v>
      </c>
    </row>
    <row r="518" spans="5:7" s="82" customFormat="1" ht="25.5" hidden="1" customHeight="1" x14ac:dyDescent="0.3">
      <c r="E518" s="82" t="s">
        <v>123</v>
      </c>
      <c r="F518" s="82" t="s">
        <v>154</v>
      </c>
      <c r="G518" s="87" t="s">
        <v>326</v>
      </c>
    </row>
    <row r="519" spans="5:7" s="82" customFormat="1" ht="25.5" hidden="1" customHeight="1" x14ac:dyDescent="0.3">
      <c r="E519" s="82" t="s">
        <v>123</v>
      </c>
      <c r="F519" s="82" t="s">
        <v>154</v>
      </c>
      <c r="G519" s="82" t="s">
        <v>608</v>
      </c>
    </row>
    <row r="520" spans="5:7" s="82" customFormat="1" ht="25.5" hidden="1" customHeight="1" x14ac:dyDescent="0.3"/>
    <row r="521" spans="5:7" s="82" customFormat="1" ht="25.5" hidden="1" customHeight="1" x14ac:dyDescent="0.3">
      <c r="E521" s="82" t="s">
        <v>123</v>
      </c>
      <c r="F521" s="82" t="s">
        <v>241</v>
      </c>
      <c r="G521" s="82" t="s">
        <v>242</v>
      </c>
    </row>
    <row r="522" spans="5:7" s="82" customFormat="1" ht="25.5" hidden="1" customHeight="1" x14ac:dyDescent="0.3">
      <c r="E522" s="82" t="s">
        <v>123</v>
      </c>
      <c r="F522" s="82" t="s">
        <v>241</v>
      </c>
      <c r="G522" s="82" t="s">
        <v>716</v>
      </c>
    </row>
    <row r="523" spans="5:7" s="82" customFormat="1" ht="25.5" hidden="1" customHeight="1" x14ac:dyDescent="0.3">
      <c r="E523" s="82" t="s">
        <v>123</v>
      </c>
      <c r="F523" s="82" t="s">
        <v>241</v>
      </c>
      <c r="G523" s="82" t="s">
        <v>570</v>
      </c>
    </row>
    <row r="524" spans="5:7" s="82" customFormat="1" ht="25.5" hidden="1" customHeight="1" x14ac:dyDescent="0.3">
      <c r="E524" s="82" t="s">
        <v>123</v>
      </c>
      <c r="F524" s="82" t="s">
        <v>241</v>
      </c>
      <c r="G524" s="82" t="s">
        <v>427</v>
      </c>
    </row>
    <row r="525" spans="5:7" s="82" customFormat="1" ht="25.5" hidden="1" customHeight="1" x14ac:dyDescent="0.3"/>
    <row r="526" spans="5:7" s="82" customFormat="1" ht="25.5" hidden="1" customHeight="1" x14ac:dyDescent="0.3"/>
    <row r="527" spans="5:7" s="82" customFormat="1" ht="25.5" hidden="1" customHeight="1" x14ac:dyDescent="0.3">
      <c r="E527" s="82" t="s">
        <v>123</v>
      </c>
      <c r="F527" s="82" t="s">
        <v>153</v>
      </c>
      <c r="G527" s="82" t="s">
        <v>243</v>
      </c>
    </row>
    <row r="528" spans="5:7" s="82" customFormat="1" ht="25.5" hidden="1" customHeight="1" x14ac:dyDescent="0.3">
      <c r="E528" s="82" t="s">
        <v>123</v>
      </c>
      <c r="F528" s="82" t="s">
        <v>153</v>
      </c>
      <c r="G528" s="82" t="s">
        <v>571</v>
      </c>
    </row>
    <row r="529" spans="5:7" s="82" customFormat="1" ht="25.5" hidden="1" customHeight="1" x14ac:dyDescent="0.3">
      <c r="E529" s="82" t="s">
        <v>123</v>
      </c>
      <c r="F529" s="82" t="s">
        <v>153</v>
      </c>
      <c r="G529" s="82" t="s">
        <v>783</v>
      </c>
    </row>
    <row r="530" spans="5:7" s="82" customFormat="1" ht="25.5" hidden="1" customHeight="1" x14ac:dyDescent="0.3">
      <c r="E530" s="82" t="s">
        <v>123</v>
      </c>
      <c r="F530" s="82" t="s">
        <v>153</v>
      </c>
      <c r="G530" s="82" t="s">
        <v>713</v>
      </c>
    </row>
    <row r="531" spans="5:7" s="82" customFormat="1" ht="25.5" hidden="1" customHeight="1" x14ac:dyDescent="0.3">
      <c r="E531" s="82" t="s">
        <v>123</v>
      </c>
      <c r="F531" s="82" t="s">
        <v>153</v>
      </c>
      <c r="G531" s="82" t="s">
        <v>393</v>
      </c>
    </row>
    <row r="532" spans="5:7" s="82" customFormat="1" ht="25.5" hidden="1" customHeight="1" x14ac:dyDescent="0.3">
      <c r="E532" s="82" t="s">
        <v>123</v>
      </c>
      <c r="F532" s="82" t="s">
        <v>153</v>
      </c>
      <c r="G532" s="82" t="s">
        <v>428</v>
      </c>
    </row>
    <row r="533" spans="5:7" s="82" customFormat="1" ht="25.5" hidden="1" customHeight="1" x14ac:dyDescent="0.3">
      <c r="E533" s="82" t="s">
        <v>123</v>
      </c>
      <c r="F533" s="82" t="s">
        <v>153</v>
      </c>
      <c r="G533" s="82" t="s">
        <v>501</v>
      </c>
    </row>
    <row r="534" spans="5:7" s="82" customFormat="1" ht="25.5" hidden="1" customHeight="1" x14ac:dyDescent="0.3">
      <c r="E534" s="82" t="s">
        <v>123</v>
      </c>
      <c r="F534" s="82" t="s">
        <v>125</v>
      </c>
      <c r="G534" s="82" t="s">
        <v>572</v>
      </c>
    </row>
    <row r="535" spans="5:7" s="82" customFormat="1" ht="25.5" hidden="1" customHeight="1" x14ac:dyDescent="0.3">
      <c r="E535" s="82" t="s">
        <v>123</v>
      </c>
      <c r="F535" s="82" t="s">
        <v>125</v>
      </c>
      <c r="G535" s="82" t="s">
        <v>795</v>
      </c>
    </row>
    <row r="536" spans="5:7" s="82" customFormat="1" ht="25.5" hidden="1" customHeight="1" x14ac:dyDescent="0.3">
      <c r="E536" s="82" t="s">
        <v>123</v>
      </c>
      <c r="F536" s="82" t="s">
        <v>244</v>
      </c>
      <c r="G536" s="82" t="s">
        <v>641</v>
      </c>
    </row>
    <row r="537" spans="5:7" s="82" customFormat="1" ht="25.5" hidden="1" customHeight="1" x14ac:dyDescent="0.3">
      <c r="E537" s="82" t="s">
        <v>123</v>
      </c>
      <c r="F537" s="82" t="s">
        <v>244</v>
      </c>
      <c r="G537" s="82" t="s">
        <v>770</v>
      </c>
    </row>
    <row r="538" spans="5:7" s="82" customFormat="1" ht="25.5" hidden="1" customHeight="1" x14ac:dyDescent="0.3">
      <c r="E538" s="82" t="s">
        <v>123</v>
      </c>
      <c r="F538" s="82" t="s">
        <v>244</v>
      </c>
      <c r="G538" s="82" t="s">
        <v>729</v>
      </c>
    </row>
    <row r="539" spans="5:7" s="82" customFormat="1" ht="25.5" hidden="1" customHeight="1" x14ac:dyDescent="0.3">
      <c r="E539" s="82" t="s">
        <v>123</v>
      </c>
      <c r="F539" s="82" t="s">
        <v>125</v>
      </c>
      <c r="G539" s="82" t="s">
        <v>320</v>
      </c>
    </row>
    <row r="540" spans="5:7" s="82" customFormat="1" ht="25.5" hidden="1" customHeight="1" x14ac:dyDescent="0.3">
      <c r="E540" s="82" t="s">
        <v>123</v>
      </c>
      <c r="F540" s="82" t="s">
        <v>125</v>
      </c>
      <c r="G540" s="82" t="s">
        <v>506</v>
      </c>
    </row>
    <row r="541" spans="5:7" s="82" customFormat="1" ht="25.5" hidden="1" customHeight="1" x14ac:dyDescent="0.3">
      <c r="E541" s="82" t="s">
        <v>123</v>
      </c>
      <c r="F541" s="82" t="s">
        <v>125</v>
      </c>
      <c r="G541" s="82" t="s">
        <v>705</v>
      </c>
    </row>
    <row r="542" spans="5:7" s="82" customFormat="1" ht="25.5" hidden="1" customHeight="1" x14ac:dyDescent="0.3">
      <c r="E542" s="82" t="s">
        <v>123</v>
      </c>
      <c r="F542" s="82" t="s">
        <v>125</v>
      </c>
      <c r="G542" s="82" t="s">
        <v>507</v>
      </c>
    </row>
    <row r="543" spans="5:7" s="82" customFormat="1" ht="25.5" hidden="1" customHeight="1" x14ac:dyDescent="0.3">
      <c r="E543" s="82" t="s">
        <v>123</v>
      </c>
      <c r="F543" s="82" t="s">
        <v>127</v>
      </c>
      <c r="G543" s="82" t="s">
        <v>573</v>
      </c>
    </row>
    <row r="544" spans="5:7" s="82" customFormat="1" ht="25.5" hidden="1" customHeight="1" x14ac:dyDescent="0.3">
      <c r="E544" s="82" t="s">
        <v>123</v>
      </c>
      <c r="F544" s="82" t="s">
        <v>127</v>
      </c>
      <c r="G544" s="82" t="s">
        <v>791</v>
      </c>
    </row>
    <row r="545" spans="5:7" s="82" customFormat="1" ht="25.5" hidden="1" customHeight="1" x14ac:dyDescent="0.3">
      <c r="E545" s="82" t="s">
        <v>123</v>
      </c>
      <c r="F545" s="82" t="s">
        <v>127</v>
      </c>
      <c r="G545" s="82" t="s">
        <v>792</v>
      </c>
    </row>
    <row r="546" spans="5:7" s="82" customFormat="1" ht="25.5" hidden="1" customHeight="1" x14ac:dyDescent="0.3">
      <c r="E546" s="82" t="s">
        <v>123</v>
      </c>
      <c r="F546" s="82" t="s">
        <v>127</v>
      </c>
      <c r="G546" s="82" t="s">
        <v>793</v>
      </c>
    </row>
    <row r="547" spans="5:7" s="82" customFormat="1" ht="25.5" hidden="1" customHeight="1" x14ac:dyDescent="0.3">
      <c r="E547" s="82" t="s">
        <v>123</v>
      </c>
      <c r="F547" s="82" t="s">
        <v>127</v>
      </c>
      <c r="G547" s="82" t="s">
        <v>345</v>
      </c>
    </row>
    <row r="548" spans="5:7" s="82" customFormat="1" ht="25.5" hidden="1" customHeight="1" x14ac:dyDescent="0.3">
      <c r="E548" s="82" t="s">
        <v>123</v>
      </c>
      <c r="F548" s="82" t="s">
        <v>127</v>
      </c>
      <c r="G548" s="82" t="s">
        <v>728</v>
      </c>
    </row>
    <row r="549" spans="5:7" s="82" customFormat="1" ht="25.5" hidden="1" customHeight="1" x14ac:dyDescent="0.3">
      <c r="E549" s="82" t="s">
        <v>123</v>
      </c>
      <c r="F549" s="82" t="s">
        <v>245</v>
      </c>
      <c r="G549" s="82" t="s">
        <v>126</v>
      </c>
    </row>
    <row r="550" spans="5:7" s="82" customFormat="1" ht="25.5" hidden="1" customHeight="1" x14ac:dyDescent="0.3">
      <c r="E550" s="82" t="s">
        <v>123</v>
      </c>
      <c r="F550" s="82" t="s">
        <v>245</v>
      </c>
      <c r="G550" s="82" t="s">
        <v>429</v>
      </c>
    </row>
    <row r="551" spans="5:7" s="82" customFormat="1" ht="25.5" hidden="1" customHeight="1" x14ac:dyDescent="0.3">
      <c r="E551" s="82" t="s">
        <v>123</v>
      </c>
      <c r="F551" s="82" t="s">
        <v>245</v>
      </c>
      <c r="G551" s="82" t="s">
        <v>512</v>
      </c>
    </row>
    <row r="552" spans="5:7" s="82" customFormat="1" ht="25.5" hidden="1" customHeight="1" x14ac:dyDescent="0.3">
      <c r="E552" s="82" t="s">
        <v>123</v>
      </c>
      <c r="F552" s="82" t="s">
        <v>245</v>
      </c>
      <c r="G552" s="82" t="s">
        <v>513</v>
      </c>
    </row>
    <row r="553" spans="5:7" s="82" customFormat="1" ht="25.5" hidden="1" customHeight="1" x14ac:dyDescent="0.3">
      <c r="E553" s="82" t="s">
        <v>123</v>
      </c>
      <c r="F553" s="82" t="s">
        <v>123</v>
      </c>
      <c r="G553" s="82" t="s">
        <v>246</v>
      </c>
    </row>
    <row r="554" spans="5:7" s="82" customFormat="1" ht="25.5" hidden="1" customHeight="1" x14ac:dyDescent="0.3">
      <c r="E554" s="82" t="s">
        <v>123</v>
      </c>
      <c r="F554" s="82" t="s">
        <v>123</v>
      </c>
      <c r="G554" s="82" t="s">
        <v>668</v>
      </c>
    </row>
    <row r="555" spans="5:7" s="82" customFormat="1" ht="25.5" hidden="1" customHeight="1" x14ac:dyDescent="0.3">
      <c r="E555" s="82" t="s">
        <v>123</v>
      </c>
      <c r="F555" s="82" t="s">
        <v>247</v>
      </c>
      <c r="G555" s="82" t="s">
        <v>248</v>
      </c>
    </row>
    <row r="556" spans="5:7" s="82" customFormat="1" ht="25.5" hidden="1" customHeight="1" x14ac:dyDescent="0.3">
      <c r="E556" s="82" t="s">
        <v>123</v>
      </c>
      <c r="F556" s="82" t="s">
        <v>247</v>
      </c>
      <c r="G556" s="82" t="s">
        <v>721</v>
      </c>
    </row>
    <row r="557" spans="5:7" s="82" customFormat="1" ht="25.5" hidden="1" customHeight="1" x14ac:dyDescent="0.3">
      <c r="E557" s="82" t="s">
        <v>123</v>
      </c>
      <c r="F557" s="82" t="s">
        <v>247</v>
      </c>
      <c r="G557" s="82" t="s">
        <v>786</v>
      </c>
    </row>
    <row r="558" spans="5:7" s="82" customFormat="1" ht="25.5" hidden="1" customHeight="1" x14ac:dyDescent="0.3">
      <c r="E558" s="82" t="s">
        <v>123</v>
      </c>
      <c r="F558" s="82" t="s">
        <v>247</v>
      </c>
      <c r="G558" s="82" t="s">
        <v>805</v>
      </c>
    </row>
    <row r="559" spans="5:7" s="82" customFormat="1" ht="25.5" hidden="1" customHeight="1" x14ac:dyDescent="0.3">
      <c r="E559" s="82" t="s">
        <v>123</v>
      </c>
      <c r="F559" s="82" t="s">
        <v>247</v>
      </c>
      <c r="G559" s="82" t="s">
        <v>708</v>
      </c>
    </row>
    <row r="560" spans="5:7" s="82" customFormat="1" ht="25.5" hidden="1" customHeight="1" x14ac:dyDescent="0.3">
      <c r="E560" s="82" t="s">
        <v>123</v>
      </c>
      <c r="F560" s="82" t="s">
        <v>247</v>
      </c>
      <c r="G560" s="82" t="s">
        <v>426</v>
      </c>
    </row>
    <row r="561" spans="5:7" s="82" customFormat="1" ht="25.5" hidden="1" customHeight="1" x14ac:dyDescent="0.3">
      <c r="E561" s="82" t="s">
        <v>123</v>
      </c>
      <c r="F561" s="82" t="s">
        <v>247</v>
      </c>
      <c r="G561" s="82" t="s">
        <v>515</v>
      </c>
    </row>
    <row r="562" spans="5:7" s="82" customFormat="1" ht="25.5" hidden="1" customHeight="1" x14ac:dyDescent="0.3">
      <c r="E562" s="82" t="s">
        <v>123</v>
      </c>
      <c r="F562" s="82" t="s">
        <v>247</v>
      </c>
      <c r="G562" s="82" t="s">
        <v>516</v>
      </c>
    </row>
    <row r="563" spans="5:7" s="82" customFormat="1" ht="25.5" hidden="1" customHeight="1" x14ac:dyDescent="0.3">
      <c r="E563" s="82" t="s">
        <v>123</v>
      </c>
      <c r="F563" s="82" t="s">
        <v>247</v>
      </c>
      <c r="G563" s="82" t="s">
        <v>517</v>
      </c>
    </row>
    <row r="564" spans="5:7" s="82" customFormat="1" ht="25.5" hidden="1" customHeight="1" x14ac:dyDescent="0.3">
      <c r="E564" s="82" t="s">
        <v>123</v>
      </c>
      <c r="F564" s="82" t="s">
        <v>128</v>
      </c>
      <c r="G564" s="82" t="s">
        <v>642</v>
      </c>
    </row>
    <row r="565" spans="5:7" s="82" customFormat="1" ht="25.5" hidden="1" customHeight="1" x14ac:dyDescent="0.3">
      <c r="E565" s="82" t="s">
        <v>123</v>
      </c>
      <c r="F565" s="82" t="s">
        <v>128</v>
      </c>
      <c r="G565" s="82" t="s">
        <v>727</v>
      </c>
    </row>
    <row r="566" spans="5:7" s="82" customFormat="1" ht="25.5" hidden="1" customHeight="1" x14ac:dyDescent="0.3">
      <c r="E566" s="82" t="s">
        <v>123</v>
      </c>
      <c r="F566" s="82" t="s">
        <v>128</v>
      </c>
      <c r="G566" s="82" t="s">
        <v>574</v>
      </c>
    </row>
    <row r="567" spans="5:7" s="82" customFormat="1" ht="25.5" hidden="1" customHeight="1" x14ac:dyDescent="0.3">
      <c r="E567" s="82" t="s">
        <v>123</v>
      </c>
      <c r="F567" s="82" t="s">
        <v>128</v>
      </c>
      <c r="G567" s="82" t="s">
        <v>776</v>
      </c>
    </row>
    <row r="568" spans="5:7" s="82" customFormat="1" ht="25.5" hidden="1" customHeight="1" x14ac:dyDescent="0.3">
      <c r="E568" s="82" t="s">
        <v>123</v>
      </c>
      <c r="F568" s="82" t="s">
        <v>249</v>
      </c>
      <c r="G568" s="82" t="s">
        <v>328</v>
      </c>
    </row>
    <row r="569" spans="5:7" s="82" customFormat="1" ht="25.5" hidden="1" customHeight="1" x14ac:dyDescent="0.3">
      <c r="E569" s="82" t="s">
        <v>123</v>
      </c>
      <c r="F569" s="82" t="s">
        <v>249</v>
      </c>
      <c r="G569" s="82" t="s">
        <v>781</v>
      </c>
    </row>
    <row r="570" spans="5:7" s="82" customFormat="1" ht="25.5" hidden="1" customHeight="1" x14ac:dyDescent="0.3">
      <c r="E570" s="82" t="s">
        <v>123</v>
      </c>
      <c r="F570" s="82" t="s">
        <v>249</v>
      </c>
      <c r="G570" s="82" t="s">
        <v>524</v>
      </c>
    </row>
    <row r="571" spans="5:7" s="82" customFormat="1" ht="25.5" hidden="1" customHeight="1" x14ac:dyDescent="0.3">
      <c r="E571" s="82" t="s">
        <v>123</v>
      </c>
      <c r="F571" s="82" t="s">
        <v>249</v>
      </c>
      <c r="G571" s="82" t="s">
        <v>748</v>
      </c>
    </row>
    <row r="572" spans="5:7" s="82" customFormat="1" ht="25.5" hidden="1" customHeight="1" x14ac:dyDescent="0.3">
      <c r="E572" s="82" t="s">
        <v>123</v>
      </c>
      <c r="F572" s="82" t="s">
        <v>249</v>
      </c>
      <c r="G572" s="82" t="s">
        <v>525</v>
      </c>
    </row>
    <row r="573" spans="5:7" s="82" customFormat="1" ht="25.5" hidden="1" customHeight="1" x14ac:dyDescent="0.3"/>
    <row r="574" spans="5:7" s="82" customFormat="1" ht="25.5" hidden="1" customHeight="1" x14ac:dyDescent="0.3">
      <c r="E574" s="82" t="s">
        <v>129</v>
      </c>
      <c r="F574" s="82" t="s">
        <v>155</v>
      </c>
      <c r="G574" s="82" t="s">
        <v>643</v>
      </c>
    </row>
    <row r="575" spans="5:7" s="82" customFormat="1" ht="25.5" hidden="1" customHeight="1" x14ac:dyDescent="0.3">
      <c r="E575" s="82" t="s">
        <v>129</v>
      </c>
      <c r="F575" s="82" t="s">
        <v>155</v>
      </c>
      <c r="G575" s="82" t="s">
        <v>669</v>
      </c>
    </row>
    <row r="576" spans="5:7" s="82" customFormat="1" ht="25.5" hidden="1" customHeight="1" x14ac:dyDescent="0.3">
      <c r="E576" s="82" t="s">
        <v>129</v>
      </c>
      <c r="F576" s="82" t="s">
        <v>155</v>
      </c>
      <c r="G576" s="82" t="s">
        <v>782</v>
      </c>
    </row>
    <row r="577" spans="5:7" s="82" customFormat="1" ht="25.5" hidden="1" customHeight="1" x14ac:dyDescent="0.3">
      <c r="E577" s="82" t="s">
        <v>129</v>
      </c>
      <c r="F577" s="82" t="s">
        <v>155</v>
      </c>
      <c r="G577" s="82" t="s">
        <v>575</v>
      </c>
    </row>
    <row r="578" spans="5:7" s="82" customFormat="1" ht="25.5" hidden="1" customHeight="1" x14ac:dyDescent="0.3">
      <c r="E578" s="82" t="s">
        <v>129</v>
      </c>
      <c r="F578" s="82" t="s">
        <v>155</v>
      </c>
      <c r="G578" s="82" t="s">
        <v>789</v>
      </c>
    </row>
    <row r="579" spans="5:7" s="82" customFormat="1" ht="25.5" hidden="1" customHeight="1" x14ac:dyDescent="0.3">
      <c r="E579" s="82" t="s">
        <v>129</v>
      </c>
      <c r="F579" s="82" t="s">
        <v>155</v>
      </c>
      <c r="G579" s="82" t="s">
        <v>312</v>
      </c>
    </row>
    <row r="580" spans="5:7" s="82" customFormat="1" ht="25.5" hidden="1" customHeight="1" x14ac:dyDescent="0.3">
      <c r="E580" s="82" t="s">
        <v>129</v>
      </c>
      <c r="F580" s="82" t="s">
        <v>155</v>
      </c>
      <c r="G580" s="82" t="s">
        <v>361</v>
      </c>
    </row>
    <row r="581" spans="5:7" s="82" customFormat="1" ht="25.5" hidden="1" customHeight="1" x14ac:dyDescent="0.3">
      <c r="E581" s="82" t="s">
        <v>129</v>
      </c>
      <c r="F581" s="82" t="s">
        <v>155</v>
      </c>
      <c r="G581" s="82" t="s">
        <v>723</v>
      </c>
    </row>
    <row r="582" spans="5:7" s="82" customFormat="1" ht="25.5" hidden="1" customHeight="1" x14ac:dyDescent="0.3">
      <c r="E582" s="82" t="s">
        <v>129</v>
      </c>
      <c r="F582" s="82" t="s">
        <v>155</v>
      </c>
      <c r="G582" s="82" t="s">
        <v>397</v>
      </c>
    </row>
    <row r="583" spans="5:7" s="82" customFormat="1" ht="25.5" hidden="1" customHeight="1" x14ac:dyDescent="0.3">
      <c r="E583" s="82" t="s">
        <v>129</v>
      </c>
      <c r="F583" s="82" t="s">
        <v>155</v>
      </c>
      <c r="G583" s="82" t="s">
        <v>398</v>
      </c>
    </row>
    <row r="584" spans="5:7" s="82" customFormat="1" ht="25.5" hidden="1" customHeight="1" x14ac:dyDescent="0.3">
      <c r="E584" s="82" t="s">
        <v>129</v>
      </c>
      <c r="F584" s="82" t="s">
        <v>155</v>
      </c>
      <c r="G584" s="82" t="s">
        <v>430</v>
      </c>
    </row>
    <row r="585" spans="5:7" s="82" customFormat="1" ht="25.5" hidden="1" customHeight="1" x14ac:dyDescent="0.3">
      <c r="E585" s="82" t="s">
        <v>129</v>
      </c>
      <c r="F585" s="82" t="s">
        <v>155</v>
      </c>
      <c r="G585" s="82" t="s">
        <v>471</v>
      </c>
    </row>
    <row r="586" spans="5:7" s="82" customFormat="1" ht="25.5" hidden="1" customHeight="1" x14ac:dyDescent="0.3">
      <c r="E586" s="82" t="s">
        <v>129</v>
      </c>
      <c r="F586" s="82" t="s">
        <v>130</v>
      </c>
      <c r="G586" s="82" t="s">
        <v>576</v>
      </c>
    </row>
    <row r="587" spans="5:7" s="82" customFormat="1" ht="25.5" hidden="1" customHeight="1" x14ac:dyDescent="0.3">
      <c r="E587" s="82" t="s">
        <v>129</v>
      </c>
      <c r="F587" s="82" t="s">
        <v>341</v>
      </c>
      <c r="G587" s="82" t="s">
        <v>342</v>
      </c>
    </row>
    <row r="588" spans="5:7" s="82" customFormat="1" ht="25.5" hidden="1" customHeight="1" x14ac:dyDescent="0.3">
      <c r="E588" s="82" t="s">
        <v>129</v>
      </c>
      <c r="F588" s="82" t="s">
        <v>250</v>
      </c>
      <c r="G588" s="82" t="s">
        <v>644</v>
      </c>
    </row>
    <row r="589" spans="5:7" s="82" customFormat="1" ht="25.5" hidden="1" customHeight="1" x14ac:dyDescent="0.3">
      <c r="E589" s="82" t="s">
        <v>129</v>
      </c>
      <c r="F589" s="82" t="s">
        <v>250</v>
      </c>
      <c r="G589" s="82" t="s">
        <v>360</v>
      </c>
    </row>
    <row r="590" spans="5:7" s="82" customFormat="1" ht="25.5" hidden="1" customHeight="1" x14ac:dyDescent="0.3">
      <c r="E590" s="82" t="s">
        <v>129</v>
      </c>
      <c r="F590" s="82" t="s">
        <v>250</v>
      </c>
      <c r="G590" s="82" t="s">
        <v>794</v>
      </c>
    </row>
    <row r="591" spans="5:7" s="82" customFormat="1" ht="25.5" hidden="1" customHeight="1" x14ac:dyDescent="0.3">
      <c r="E591" s="82" t="s">
        <v>129</v>
      </c>
      <c r="F591" s="82" t="s">
        <v>250</v>
      </c>
      <c r="G591" s="82" t="s">
        <v>787</v>
      </c>
    </row>
    <row r="592" spans="5:7" s="82" customFormat="1" ht="25.5" hidden="1" customHeight="1" x14ac:dyDescent="0.3">
      <c r="E592" s="82" t="s">
        <v>129</v>
      </c>
      <c r="F592" s="82" t="s">
        <v>250</v>
      </c>
      <c r="G592" s="82" t="s">
        <v>609</v>
      </c>
    </row>
    <row r="593" spans="5:7" s="82" customFormat="1" ht="25.5" hidden="1" customHeight="1" x14ac:dyDescent="0.3">
      <c r="E593" s="82" t="s">
        <v>129</v>
      </c>
      <c r="F593" s="82" t="s">
        <v>250</v>
      </c>
      <c r="G593" s="82" t="s">
        <v>475</v>
      </c>
    </row>
    <row r="594" spans="5:7" s="82" customFormat="1" ht="25.5" hidden="1" customHeight="1" x14ac:dyDescent="0.3">
      <c r="E594" s="82" t="s">
        <v>129</v>
      </c>
      <c r="F594" s="82" t="s">
        <v>250</v>
      </c>
      <c r="G594" s="82" t="s">
        <v>476</v>
      </c>
    </row>
    <row r="595" spans="5:7" s="82" customFormat="1" ht="25.5" hidden="1" customHeight="1" x14ac:dyDescent="0.3">
      <c r="E595" s="82" t="s">
        <v>129</v>
      </c>
      <c r="F595" s="82" t="s">
        <v>131</v>
      </c>
      <c r="G595" s="82" t="s">
        <v>577</v>
      </c>
    </row>
    <row r="596" spans="5:7" s="82" customFormat="1" ht="25.5" hidden="1" customHeight="1" x14ac:dyDescent="0.3">
      <c r="E596" s="82" t="s">
        <v>129</v>
      </c>
      <c r="F596" s="82" t="s">
        <v>251</v>
      </c>
      <c r="G596" s="82" t="s">
        <v>645</v>
      </c>
    </row>
    <row r="597" spans="5:7" s="82" customFormat="1" ht="25.5" hidden="1" customHeight="1" x14ac:dyDescent="0.3">
      <c r="E597" s="82" t="s">
        <v>129</v>
      </c>
      <c r="F597" s="82" t="s">
        <v>251</v>
      </c>
      <c r="G597" s="82" t="s">
        <v>712</v>
      </c>
    </row>
    <row r="598" spans="5:7" s="82" customFormat="1" ht="25.5" hidden="1" customHeight="1" x14ac:dyDescent="0.3">
      <c r="E598" s="82" t="s">
        <v>129</v>
      </c>
      <c r="F598" s="82" t="s">
        <v>251</v>
      </c>
      <c r="G598" s="82" t="s">
        <v>394</v>
      </c>
    </row>
    <row r="599" spans="5:7" s="82" customFormat="1" ht="25.5" hidden="1" customHeight="1" x14ac:dyDescent="0.3">
      <c r="E599" s="82" t="s">
        <v>129</v>
      </c>
      <c r="F599" s="82" t="s">
        <v>251</v>
      </c>
      <c r="G599" s="82" t="s">
        <v>431</v>
      </c>
    </row>
    <row r="600" spans="5:7" s="82" customFormat="1" ht="25.5" hidden="1" customHeight="1" x14ac:dyDescent="0.3">
      <c r="E600" s="82" t="s">
        <v>129</v>
      </c>
      <c r="F600" s="82" t="s">
        <v>251</v>
      </c>
      <c r="G600" s="82" t="s">
        <v>487</v>
      </c>
    </row>
    <row r="601" spans="5:7" s="82" customFormat="1" ht="25.5" hidden="1" customHeight="1" x14ac:dyDescent="0.3">
      <c r="E601" s="82" t="s">
        <v>129</v>
      </c>
      <c r="F601" s="82" t="s">
        <v>156</v>
      </c>
      <c r="G601" s="82" t="s">
        <v>252</v>
      </c>
    </row>
    <row r="602" spans="5:7" s="82" customFormat="1" ht="25.5" hidden="1" customHeight="1" x14ac:dyDescent="0.3">
      <c r="E602" s="82" t="s">
        <v>129</v>
      </c>
      <c r="F602" s="82" t="s">
        <v>156</v>
      </c>
      <c r="G602" s="82" t="s">
        <v>578</v>
      </c>
    </row>
    <row r="603" spans="5:7" s="82" customFormat="1" ht="25.5" hidden="1" customHeight="1" x14ac:dyDescent="0.3">
      <c r="E603" s="82" t="s">
        <v>129</v>
      </c>
      <c r="F603" s="82" t="s">
        <v>156</v>
      </c>
      <c r="G603" s="82" t="s">
        <v>432</v>
      </c>
    </row>
    <row r="604" spans="5:7" s="82" customFormat="1" ht="25.5" hidden="1" customHeight="1" x14ac:dyDescent="0.3">
      <c r="E604" s="82" t="s">
        <v>129</v>
      </c>
      <c r="F604" s="82" t="s">
        <v>156</v>
      </c>
      <c r="G604" s="82" t="s">
        <v>488</v>
      </c>
    </row>
    <row r="605" spans="5:7" s="82" customFormat="1" ht="25.5" hidden="1" customHeight="1" x14ac:dyDescent="0.3"/>
    <row r="606" spans="5:7" s="82" customFormat="1" ht="25.5" hidden="1" customHeight="1" x14ac:dyDescent="0.3">
      <c r="E606" s="82" t="s">
        <v>129</v>
      </c>
      <c r="F606" s="82" t="s">
        <v>157</v>
      </c>
      <c r="G606" s="82" t="s">
        <v>253</v>
      </c>
    </row>
    <row r="607" spans="5:7" s="82" customFormat="1" ht="25.5" hidden="1" customHeight="1" x14ac:dyDescent="0.3">
      <c r="E607" s="82" t="s">
        <v>129</v>
      </c>
      <c r="F607" s="82" t="s">
        <v>157</v>
      </c>
      <c r="G607" s="82" t="s">
        <v>717</v>
      </c>
    </row>
    <row r="608" spans="5:7" s="82" customFormat="1" ht="25.5" hidden="1" customHeight="1" x14ac:dyDescent="0.3">
      <c r="E608" s="82" t="s">
        <v>129</v>
      </c>
      <c r="F608" s="82" t="s">
        <v>157</v>
      </c>
      <c r="G608" s="82" t="s">
        <v>778</v>
      </c>
    </row>
    <row r="609" spans="5:7" s="82" customFormat="1" ht="25.5" hidden="1" customHeight="1" x14ac:dyDescent="0.3">
      <c r="E609" s="82" t="s">
        <v>129</v>
      </c>
      <c r="F609" s="82" t="s">
        <v>157</v>
      </c>
      <c r="G609" s="82" t="s">
        <v>779</v>
      </c>
    </row>
    <row r="610" spans="5:7" s="82" customFormat="1" ht="25.5" hidden="1" customHeight="1" x14ac:dyDescent="0.3">
      <c r="E610" s="82" t="s">
        <v>129</v>
      </c>
      <c r="F610" s="82" t="s">
        <v>157</v>
      </c>
      <c r="G610" s="82" t="s">
        <v>579</v>
      </c>
    </row>
    <row r="611" spans="5:7" s="82" customFormat="1" ht="25.5" hidden="1" customHeight="1" x14ac:dyDescent="0.3">
      <c r="E611" s="82" t="s">
        <v>129</v>
      </c>
      <c r="F611" s="82" t="s">
        <v>157</v>
      </c>
      <c r="G611" s="82" t="s">
        <v>610</v>
      </c>
    </row>
    <row r="612" spans="5:7" s="82" customFormat="1" ht="25.5" hidden="1" customHeight="1" x14ac:dyDescent="0.3">
      <c r="E612" s="82" t="s">
        <v>129</v>
      </c>
      <c r="F612" s="82" t="s">
        <v>157</v>
      </c>
      <c r="G612" s="82" t="s">
        <v>395</v>
      </c>
    </row>
    <row r="613" spans="5:7" s="82" customFormat="1" ht="25.5" hidden="1" customHeight="1" x14ac:dyDescent="0.3">
      <c r="E613" s="82" t="s">
        <v>129</v>
      </c>
      <c r="F613" s="82" t="s">
        <v>157</v>
      </c>
      <c r="G613" s="82" t="s">
        <v>433</v>
      </c>
    </row>
    <row r="614" spans="5:7" s="82" customFormat="1" ht="25.5" hidden="1" customHeight="1" x14ac:dyDescent="0.3">
      <c r="E614" s="82" t="s">
        <v>129</v>
      </c>
      <c r="F614" s="82" t="s">
        <v>158</v>
      </c>
      <c r="G614" s="82" t="s">
        <v>254</v>
      </c>
    </row>
    <row r="615" spans="5:7" s="82" customFormat="1" ht="25.5" hidden="1" customHeight="1" x14ac:dyDescent="0.3">
      <c r="E615" s="82" t="s">
        <v>129</v>
      </c>
      <c r="F615" s="82" t="s">
        <v>158</v>
      </c>
      <c r="G615" s="82" t="s">
        <v>749</v>
      </c>
    </row>
    <row r="616" spans="5:7" s="82" customFormat="1" ht="25.5" hidden="1" customHeight="1" x14ac:dyDescent="0.3">
      <c r="E616" s="82" t="s">
        <v>129</v>
      </c>
      <c r="F616" s="82" t="s">
        <v>158</v>
      </c>
      <c r="G616" s="82" t="s">
        <v>725</v>
      </c>
    </row>
    <row r="617" spans="5:7" s="82" customFormat="1" ht="25.5" hidden="1" customHeight="1" x14ac:dyDescent="0.3">
      <c r="E617" s="82" t="s">
        <v>129</v>
      </c>
      <c r="F617" s="82" t="s">
        <v>158</v>
      </c>
      <c r="G617" s="82" t="s">
        <v>580</v>
      </c>
    </row>
    <row r="618" spans="5:7" s="82" customFormat="1" ht="25.5" hidden="1" customHeight="1" x14ac:dyDescent="0.3">
      <c r="E618" s="82" t="s">
        <v>129</v>
      </c>
      <c r="F618" s="82" t="s">
        <v>158</v>
      </c>
      <c r="G618" s="82" t="s">
        <v>396</v>
      </c>
    </row>
    <row r="619" spans="5:7" s="82" customFormat="1" ht="25.5" hidden="1" customHeight="1" x14ac:dyDescent="0.3"/>
    <row r="620" spans="5:7" s="82" customFormat="1" ht="25.5" hidden="1" customHeight="1" x14ac:dyDescent="0.3">
      <c r="E620" s="82" t="s">
        <v>129</v>
      </c>
      <c r="F620" s="82" t="s">
        <v>255</v>
      </c>
      <c r="G620" s="82" t="s">
        <v>646</v>
      </c>
    </row>
    <row r="621" spans="5:7" s="82" customFormat="1" ht="25.5" hidden="1" customHeight="1" x14ac:dyDescent="0.3">
      <c r="E621" s="82" t="s">
        <v>129</v>
      </c>
      <c r="F621" s="82" t="s">
        <v>129</v>
      </c>
      <c r="G621" s="82" t="s">
        <v>256</v>
      </c>
    </row>
    <row r="622" spans="5:7" s="82" customFormat="1" ht="25.5" hidden="1" customHeight="1" x14ac:dyDescent="0.3">
      <c r="E622" s="82" t="s">
        <v>129</v>
      </c>
      <c r="F622" s="82" t="s">
        <v>129</v>
      </c>
      <c r="G622" s="82" t="s">
        <v>790</v>
      </c>
    </row>
    <row r="623" spans="5:7" s="82" customFormat="1" ht="25.5" hidden="1" customHeight="1" x14ac:dyDescent="0.3">
      <c r="E623" s="82" t="s">
        <v>129</v>
      </c>
      <c r="F623" s="82" t="s">
        <v>129</v>
      </c>
      <c r="G623" s="82" t="s">
        <v>722</v>
      </c>
    </row>
    <row r="624" spans="5:7" s="82" customFormat="1" ht="25.5" hidden="1" customHeight="1" x14ac:dyDescent="0.3">
      <c r="E624" s="82" t="s">
        <v>129</v>
      </c>
      <c r="F624" s="82" t="s">
        <v>129</v>
      </c>
      <c r="G624" s="82" t="s">
        <v>785</v>
      </c>
    </row>
    <row r="625" spans="5:7" s="82" customFormat="1" ht="25.5" hidden="1" customHeight="1" x14ac:dyDescent="0.3">
      <c r="E625" s="82" t="s">
        <v>129</v>
      </c>
      <c r="F625" s="82" t="s">
        <v>129</v>
      </c>
      <c r="G625" s="82" t="s">
        <v>340</v>
      </c>
    </row>
    <row r="626" spans="5:7" s="82" customFormat="1" ht="25.5" hidden="1" customHeight="1" x14ac:dyDescent="0.3">
      <c r="E626" s="82" t="s">
        <v>129</v>
      </c>
      <c r="F626" s="82" t="s">
        <v>129</v>
      </c>
      <c r="G626" s="82" t="s">
        <v>611</v>
      </c>
    </row>
    <row r="627" spans="5:7" s="82" customFormat="1" ht="25.5" hidden="1" customHeight="1" x14ac:dyDescent="0.3">
      <c r="E627" s="82" t="s">
        <v>129</v>
      </c>
      <c r="F627" s="82" t="s">
        <v>129</v>
      </c>
      <c r="G627" s="82" t="s">
        <v>434</v>
      </c>
    </row>
    <row r="628" spans="5:7" s="82" customFormat="1" ht="25.5" hidden="1" customHeight="1" x14ac:dyDescent="0.3">
      <c r="E628" s="82" t="s">
        <v>129</v>
      </c>
      <c r="F628" s="82" t="s">
        <v>129</v>
      </c>
      <c r="G628" s="82" t="s">
        <v>518</v>
      </c>
    </row>
    <row r="629" spans="5:7" s="82" customFormat="1" ht="25.5" hidden="1" customHeight="1" x14ac:dyDescent="0.3">
      <c r="E629" s="82" t="s">
        <v>129</v>
      </c>
      <c r="F629" s="82" t="s">
        <v>159</v>
      </c>
      <c r="G629" s="82" t="s">
        <v>581</v>
      </c>
    </row>
    <row r="630" spans="5:7" s="82" customFormat="1" ht="25.5" hidden="1" customHeight="1" x14ac:dyDescent="0.3">
      <c r="E630" s="82" t="s">
        <v>129</v>
      </c>
      <c r="F630" s="82" t="s">
        <v>159</v>
      </c>
      <c r="G630" s="82" t="s">
        <v>647</v>
      </c>
    </row>
    <row r="631" spans="5:7" s="82" customFormat="1" ht="25.5" hidden="1" customHeight="1" x14ac:dyDescent="0.3">
      <c r="E631" s="82" t="s">
        <v>129</v>
      </c>
      <c r="F631" s="82" t="s">
        <v>159</v>
      </c>
      <c r="G631" s="82" t="s">
        <v>724</v>
      </c>
    </row>
    <row r="632" spans="5:7" s="82" customFormat="1" ht="25.5" hidden="1" customHeight="1" x14ac:dyDescent="0.3">
      <c r="E632" s="82" t="s">
        <v>129</v>
      </c>
      <c r="F632" s="82" t="s">
        <v>159</v>
      </c>
      <c r="G632" s="82" t="s">
        <v>612</v>
      </c>
    </row>
    <row r="633" spans="5:7" s="82" customFormat="1" ht="25.5" hidden="1" customHeight="1" x14ac:dyDescent="0.3">
      <c r="E633" s="82" t="s">
        <v>129</v>
      </c>
      <c r="F633" s="82" t="s">
        <v>159</v>
      </c>
      <c r="G633" s="82" t="s">
        <v>435</v>
      </c>
    </row>
    <row r="634" spans="5:7" s="82" customFormat="1" ht="25.5" hidden="1" customHeight="1" x14ac:dyDescent="0.3">
      <c r="E634" s="82" t="s">
        <v>129</v>
      </c>
      <c r="F634" s="82" t="s">
        <v>159</v>
      </c>
      <c r="G634" s="82" t="s">
        <v>671</v>
      </c>
    </row>
    <row r="635" spans="5:7" s="82" customFormat="1" ht="25.5" hidden="1" customHeight="1" x14ac:dyDescent="0.3">
      <c r="E635" s="82" t="s">
        <v>132</v>
      </c>
      <c r="F635" s="82" t="s">
        <v>133</v>
      </c>
      <c r="G635" s="82" t="s">
        <v>582</v>
      </c>
    </row>
    <row r="636" spans="5:7" s="82" customFormat="1" ht="25.5" hidden="1" customHeight="1" x14ac:dyDescent="0.3">
      <c r="E636" s="82" t="s">
        <v>132</v>
      </c>
      <c r="F636" s="82" t="s">
        <v>133</v>
      </c>
      <c r="G636" s="82" t="s">
        <v>346</v>
      </c>
    </row>
    <row r="637" spans="5:7" s="82" customFormat="1" ht="25.5" hidden="1" customHeight="1" x14ac:dyDescent="0.3">
      <c r="E637" s="82" t="s">
        <v>132</v>
      </c>
      <c r="F637" s="82" t="s">
        <v>257</v>
      </c>
      <c r="G637" s="82" t="s">
        <v>258</v>
      </c>
    </row>
    <row r="638" spans="5:7" s="82" customFormat="1" ht="25.5" hidden="1" customHeight="1" x14ac:dyDescent="0.3">
      <c r="E638" s="82" t="s">
        <v>132</v>
      </c>
      <c r="F638" s="82" t="s">
        <v>257</v>
      </c>
      <c r="G638" s="82" t="s">
        <v>726</v>
      </c>
    </row>
    <row r="639" spans="5:7" s="82" customFormat="1" ht="25.5" hidden="1" customHeight="1" x14ac:dyDescent="0.3">
      <c r="E639" s="82" t="s">
        <v>132</v>
      </c>
      <c r="F639" s="82" t="s">
        <v>257</v>
      </c>
      <c r="G639" s="82" t="s">
        <v>374</v>
      </c>
    </row>
    <row r="640" spans="5:7" s="82" customFormat="1" ht="25.5" hidden="1" customHeight="1" x14ac:dyDescent="0.3">
      <c r="E640" s="82" t="s">
        <v>132</v>
      </c>
      <c r="F640" s="82" t="s">
        <v>257</v>
      </c>
      <c r="G640" s="82" t="s">
        <v>386</v>
      </c>
    </row>
    <row r="641" spans="5:7" s="82" customFormat="1" ht="25.5" hidden="1" customHeight="1" x14ac:dyDescent="0.3">
      <c r="E641" s="82" t="s">
        <v>132</v>
      </c>
      <c r="F641" s="82" t="s">
        <v>257</v>
      </c>
      <c r="G641" s="82" t="s">
        <v>613</v>
      </c>
    </row>
    <row r="642" spans="5:7" s="82" customFormat="1" ht="25.5" hidden="1" customHeight="1" x14ac:dyDescent="0.3">
      <c r="E642" s="82" t="s">
        <v>132</v>
      </c>
      <c r="F642" s="82" t="s">
        <v>257</v>
      </c>
      <c r="G642" s="82" t="s">
        <v>436</v>
      </c>
    </row>
    <row r="643" spans="5:7" s="82" customFormat="1" ht="25.5" hidden="1" customHeight="1" x14ac:dyDescent="0.3">
      <c r="E643" s="82" t="s">
        <v>132</v>
      </c>
      <c r="F643" s="82" t="s">
        <v>257</v>
      </c>
      <c r="G643" s="82" t="s">
        <v>437</v>
      </c>
    </row>
    <row r="644" spans="5:7" s="82" customFormat="1" ht="25.5" hidden="1" customHeight="1" x14ac:dyDescent="0.3"/>
    <row r="645" spans="5:7" s="82" customFormat="1" ht="25.5" hidden="1" customHeight="1" x14ac:dyDescent="0.3"/>
    <row r="646" spans="5:7" s="82" customFormat="1" ht="25.5" hidden="1" customHeight="1" x14ac:dyDescent="0.3">
      <c r="E646" s="82" t="s">
        <v>132</v>
      </c>
      <c r="F646" s="82" t="s">
        <v>160</v>
      </c>
      <c r="G646" s="82" t="s">
        <v>259</v>
      </c>
    </row>
    <row r="647" spans="5:7" s="82" customFormat="1" ht="25.5" hidden="1" customHeight="1" x14ac:dyDescent="0.3">
      <c r="E647" s="82" t="s">
        <v>132</v>
      </c>
      <c r="F647" s="82" t="s">
        <v>160</v>
      </c>
      <c r="G647" s="82" t="s">
        <v>347</v>
      </c>
    </row>
    <row r="648" spans="5:7" s="82" customFormat="1" ht="25.5" hidden="1" customHeight="1" x14ac:dyDescent="0.3">
      <c r="E648" s="82" t="s">
        <v>132</v>
      </c>
      <c r="F648" s="82" t="s">
        <v>260</v>
      </c>
      <c r="G648" s="82" t="s">
        <v>261</v>
      </c>
    </row>
    <row r="649" spans="5:7" s="82" customFormat="1" ht="25.5" hidden="1" customHeight="1" x14ac:dyDescent="0.3">
      <c r="E649" s="82" t="s">
        <v>132</v>
      </c>
      <c r="F649" s="82" t="s">
        <v>260</v>
      </c>
      <c r="G649" s="82" t="s">
        <v>364</v>
      </c>
    </row>
    <row r="650" spans="5:7" s="82" customFormat="1" ht="25.5" hidden="1" customHeight="1" x14ac:dyDescent="0.3">
      <c r="E650" s="82" t="s">
        <v>132</v>
      </c>
      <c r="F650" s="82" t="s">
        <v>260</v>
      </c>
      <c r="G650" s="82" t="s">
        <v>614</v>
      </c>
    </row>
    <row r="651" spans="5:7" s="82" customFormat="1" ht="25.5" hidden="1" customHeight="1" x14ac:dyDescent="0.3">
      <c r="E651" s="82" t="s">
        <v>132</v>
      </c>
      <c r="F651" s="82" t="s">
        <v>260</v>
      </c>
      <c r="G651" s="82" t="s">
        <v>492</v>
      </c>
    </row>
    <row r="652" spans="5:7" s="82" customFormat="1" ht="25.5" hidden="1" customHeight="1" x14ac:dyDescent="0.3">
      <c r="E652" s="82" t="s">
        <v>132</v>
      </c>
      <c r="F652" s="82" t="s">
        <v>260</v>
      </c>
      <c r="G652" s="82" t="s">
        <v>493</v>
      </c>
    </row>
    <row r="653" spans="5:7" s="82" customFormat="1" ht="25.5" hidden="1" customHeight="1" x14ac:dyDescent="0.3">
      <c r="E653" s="82" t="s">
        <v>132</v>
      </c>
      <c r="F653" s="82" t="s">
        <v>134</v>
      </c>
      <c r="G653" s="82" t="s">
        <v>583</v>
      </c>
    </row>
    <row r="654" spans="5:7" s="82" customFormat="1" ht="25.5" hidden="1" customHeight="1" x14ac:dyDescent="0.3">
      <c r="E654" s="82" t="s">
        <v>132</v>
      </c>
      <c r="F654" s="82" t="s">
        <v>134</v>
      </c>
      <c r="G654" s="82" t="s">
        <v>348</v>
      </c>
    </row>
    <row r="655" spans="5:7" s="82" customFormat="1" ht="25.5" hidden="1" customHeight="1" x14ac:dyDescent="0.3">
      <c r="E655" s="82" t="s">
        <v>132</v>
      </c>
      <c r="F655" s="82" t="s">
        <v>262</v>
      </c>
      <c r="G655" s="82" t="s">
        <v>648</v>
      </c>
    </row>
    <row r="656" spans="5:7" s="82" customFormat="1" ht="25.5" hidden="1" customHeight="1" x14ac:dyDescent="0.3">
      <c r="E656" s="82" t="s">
        <v>132</v>
      </c>
      <c r="F656" s="82" t="s">
        <v>262</v>
      </c>
      <c r="G656" s="82" t="s">
        <v>363</v>
      </c>
    </row>
    <row r="657" spans="5:7" s="82" customFormat="1" ht="25.5" hidden="1" customHeight="1" x14ac:dyDescent="0.3">
      <c r="E657" s="82" t="s">
        <v>132</v>
      </c>
      <c r="F657" s="82" t="s">
        <v>262</v>
      </c>
      <c r="G657" s="82" t="s">
        <v>808</v>
      </c>
    </row>
    <row r="658" spans="5:7" s="82" customFormat="1" ht="25.5" hidden="1" customHeight="1" x14ac:dyDescent="0.3">
      <c r="E658" s="82" t="s">
        <v>132</v>
      </c>
      <c r="F658" s="82" t="s">
        <v>262</v>
      </c>
      <c r="G658" s="82" t="s">
        <v>615</v>
      </c>
    </row>
    <row r="659" spans="5:7" s="82" customFormat="1" ht="25.5" hidden="1" customHeight="1" x14ac:dyDescent="0.3">
      <c r="E659" s="82" t="s">
        <v>132</v>
      </c>
      <c r="F659" s="82" t="s">
        <v>262</v>
      </c>
      <c r="G659" s="82" t="s">
        <v>526</v>
      </c>
    </row>
    <row r="660" spans="5:7" s="82" customFormat="1" ht="25.5" hidden="1" customHeight="1" x14ac:dyDescent="0.3">
      <c r="E660" s="82" t="s">
        <v>132</v>
      </c>
      <c r="F660" s="82" t="s">
        <v>262</v>
      </c>
      <c r="G660" s="82" t="s">
        <v>527</v>
      </c>
    </row>
    <row r="661" spans="5:7" s="82" customFormat="1" ht="25.5" hidden="1" customHeight="1" x14ac:dyDescent="0.3">
      <c r="E661" s="82" t="s">
        <v>132</v>
      </c>
      <c r="F661" s="82" t="s">
        <v>262</v>
      </c>
      <c r="G661" s="82" t="s">
        <v>438</v>
      </c>
    </row>
    <row r="662" spans="5:7" s="82" customFormat="1" ht="25.5" hidden="1" customHeight="1" x14ac:dyDescent="0.3">
      <c r="E662" s="82" t="s">
        <v>132</v>
      </c>
      <c r="F662" s="82" t="s">
        <v>132</v>
      </c>
      <c r="G662" s="82" t="s">
        <v>263</v>
      </c>
    </row>
    <row r="663" spans="5:7" s="82" customFormat="1" ht="25.5" hidden="1" customHeight="1" x14ac:dyDescent="0.3">
      <c r="E663" s="82" t="s">
        <v>132</v>
      </c>
      <c r="F663" s="82" t="s">
        <v>132</v>
      </c>
      <c r="G663" s="82" t="s">
        <v>670</v>
      </c>
    </row>
    <row r="664" spans="5:7" s="82" customFormat="1" ht="25.5" hidden="1" customHeight="1" x14ac:dyDescent="0.3">
      <c r="E664" s="82" t="s">
        <v>132</v>
      </c>
      <c r="F664" s="82" t="s">
        <v>132</v>
      </c>
      <c r="G664" s="82" t="s">
        <v>584</v>
      </c>
    </row>
    <row r="665" spans="5:7" s="82" customFormat="1" ht="25.5" hidden="1" customHeight="1" x14ac:dyDescent="0.3">
      <c r="E665" s="82" t="s">
        <v>132</v>
      </c>
      <c r="F665" s="82" t="s">
        <v>264</v>
      </c>
      <c r="G665" s="82" t="s">
        <v>135</v>
      </c>
    </row>
    <row r="666" spans="5:7" s="82" customFormat="1" ht="25.5" hidden="1" customHeight="1" x14ac:dyDescent="0.3">
      <c r="E666" s="82" t="s">
        <v>132</v>
      </c>
      <c r="F666" s="82" t="s">
        <v>132</v>
      </c>
      <c r="G666" s="82" t="s">
        <v>362</v>
      </c>
    </row>
    <row r="667" spans="5:7" s="82" customFormat="1" ht="25.5" hidden="1" customHeight="1" x14ac:dyDescent="0.3">
      <c r="E667" s="82" t="s">
        <v>132</v>
      </c>
      <c r="F667" s="82" t="s">
        <v>132</v>
      </c>
      <c r="G667" s="82" t="s">
        <v>810</v>
      </c>
    </row>
    <row r="668" spans="5:7" s="82" customFormat="1" ht="25.5" hidden="1" customHeight="1" x14ac:dyDescent="0.3">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3">
      <c r="E670" s="82" t="s">
        <v>132</v>
      </c>
      <c r="F670" s="82" t="s">
        <v>264</v>
      </c>
      <c r="G670" s="82" t="s">
        <v>389</v>
      </c>
    </row>
    <row r="671" spans="5:7" s="82" customFormat="1" ht="25.5" hidden="1" customHeight="1" x14ac:dyDescent="0.3">
      <c r="E671" s="82" t="s">
        <v>132</v>
      </c>
      <c r="F671" s="82" t="s">
        <v>264</v>
      </c>
      <c r="G671" s="82" t="s">
        <v>439</v>
      </c>
    </row>
    <row r="672" spans="5:7" s="82" customFormat="1" ht="25.5" hidden="1" customHeight="1" x14ac:dyDescent="0.3">
      <c r="E672" s="82" t="s">
        <v>132</v>
      </c>
      <c r="F672" s="82" t="s">
        <v>264</v>
      </c>
      <c r="G672" s="82" t="s">
        <v>528</v>
      </c>
    </row>
    <row r="673" spans="5:7" s="82" customFormat="1" ht="25.5" hidden="1" customHeight="1" x14ac:dyDescent="0.3">
      <c r="E673" s="82" t="s">
        <v>132</v>
      </c>
      <c r="F673" s="82" t="s">
        <v>264</v>
      </c>
      <c r="G673" s="82" t="s">
        <v>529</v>
      </c>
    </row>
    <row r="674" spans="5:7" s="82" customFormat="1" ht="25.5" hidden="1" customHeight="1" x14ac:dyDescent="0.3"/>
    <row r="675" spans="5:7" s="82" customFormat="1" ht="25.5" hidden="1" customHeight="1" x14ac:dyDescent="0.3"/>
    <row r="676" spans="5:7" s="82" customFormat="1" ht="25.5" hidden="1" customHeight="1" x14ac:dyDescent="0.3"/>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ht="25.5" hidden="1" customHeight="1" x14ac:dyDescent="0.3"/>
    <row r="775" ht="25.5" hidden="1" customHeight="1" x14ac:dyDescent="0.3"/>
    <row r="776"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hidden="1" customHeight="1" x14ac:dyDescent="0.3"/>
    <row r="1023" ht="25.5" hidden="1" customHeight="1" x14ac:dyDescent="0.3"/>
    <row r="1024" ht="25.5" hidden="1" customHeight="1" x14ac:dyDescent="0.3"/>
    <row r="1025" ht="25.5" hidden="1" customHeight="1" x14ac:dyDescent="0.3"/>
    <row r="1026" ht="25.5" hidden="1" customHeight="1" x14ac:dyDescent="0.3"/>
    <row r="1027" ht="25.5" hidden="1" customHeight="1" x14ac:dyDescent="0.3"/>
    <row r="1028" ht="25.5" hidden="1" customHeight="1" x14ac:dyDescent="0.3"/>
    <row r="1029" ht="25.5" hidden="1" customHeight="1" x14ac:dyDescent="0.3"/>
    <row r="1030" ht="25.5" hidden="1" customHeight="1" x14ac:dyDescent="0.3"/>
    <row r="1031" ht="25.5" hidden="1" customHeight="1" x14ac:dyDescent="0.3"/>
    <row r="1032" ht="25.5" hidden="1" customHeight="1" x14ac:dyDescent="0.3"/>
    <row r="1033" ht="25.5" hidden="1" customHeight="1" x14ac:dyDescent="0.3"/>
    <row r="1034" ht="25.5" hidden="1" customHeight="1" x14ac:dyDescent="0.3"/>
    <row r="1035" ht="25.5" hidden="1" customHeight="1" x14ac:dyDescent="0.3"/>
    <row r="1036" ht="25.5" hidden="1" customHeight="1" x14ac:dyDescent="0.3"/>
    <row r="1037" ht="25.5" hidden="1" customHeight="1" x14ac:dyDescent="0.3"/>
    <row r="1038" ht="25.5" hidden="1" customHeight="1" x14ac:dyDescent="0.3"/>
    <row r="1039" ht="25.5" hidden="1" customHeight="1" x14ac:dyDescent="0.3"/>
    <row r="1040" ht="25.5" hidden="1" customHeight="1" x14ac:dyDescent="0.3"/>
    <row r="1041" ht="25.5" hidden="1" customHeight="1" x14ac:dyDescent="0.3"/>
    <row r="1042" ht="25.5" hidden="1" customHeight="1" x14ac:dyDescent="0.3"/>
    <row r="1043" ht="25.5" hidden="1" customHeight="1" x14ac:dyDescent="0.3"/>
    <row r="1044" ht="25.5" hidden="1" customHeight="1" x14ac:dyDescent="0.3"/>
    <row r="1045" ht="25.5" hidden="1" customHeight="1" x14ac:dyDescent="0.3"/>
    <row r="1046" ht="25.5" hidden="1" customHeight="1" x14ac:dyDescent="0.3"/>
    <row r="1047" ht="25.5" hidden="1" customHeight="1" x14ac:dyDescent="0.3"/>
    <row r="1048" ht="25.5" hidden="1" customHeight="1" x14ac:dyDescent="0.3"/>
    <row r="1049" ht="25.5" hidden="1" customHeight="1" x14ac:dyDescent="0.3"/>
    <row r="1050" ht="25.5" hidden="1" customHeight="1" x14ac:dyDescent="0.3"/>
    <row r="1051" ht="25.5" hidden="1" customHeight="1" x14ac:dyDescent="0.3"/>
    <row r="1052" ht="25.5" hidden="1" customHeight="1" x14ac:dyDescent="0.3"/>
    <row r="1053" ht="25.5" hidden="1" customHeight="1" x14ac:dyDescent="0.3"/>
    <row r="1054" ht="25.5" hidden="1" customHeight="1" x14ac:dyDescent="0.3"/>
    <row r="1055" ht="25.5" hidden="1" customHeight="1" x14ac:dyDescent="0.3"/>
    <row r="1056" ht="25.5" hidden="1" customHeight="1" x14ac:dyDescent="0.3"/>
    <row r="1057" ht="25.5" hidden="1" customHeight="1" x14ac:dyDescent="0.3"/>
    <row r="1058" ht="25.5" hidden="1" customHeight="1" x14ac:dyDescent="0.3"/>
    <row r="1059" ht="25.5" hidden="1" customHeight="1" x14ac:dyDescent="0.3"/>
    <row r="1060" ht="25.5" hidden="1" customHeight="1" x14ac:dyDescent="0.3"/>
    <row r="1061" ht="25.5" hidden="1" customHeight="1" x14ac:dyDescent="0.3"/>
    <row r="1062" ht="25.5" hidden="1" customHeight="1" x14ac:dyDescent="0.3"/>
    <row r="1063" ht="25.5" hidden="1" customHeight="1" x14ac:dyDescent="0.3"/>
    <row r="1064" ht="25.5" hidden="1" customHeight="1" x14ac:dyDescent="0.3"/>
    <row r="1065" ht="25.5" hidden="1" customHeight="1" x14ac:dyDescent="0.3"/>
    <row r="1066" ht="25.5" hidden="1" customHeight="1" x14ac:dyDescent="0.3"/>
    <row r="1067" ht="25.5" hidden="1" customHeight="1" x14ac:dyDescent="0.3"/>
    <row r="1068" ht="25.5" hidden="1" customHeight="1" x14ac:dyDescent="0.3"/>
    <row r="1069" ht="25.5" hidden="1" customHeight="1" x14ac:dyDescent="0.3"/>
    <row r="1070" ht="25.5" hidden="1" customHeight="1" x14ac:dyDescent="0.3"/>
    <row r="1071" ht="25.5" hidden="1" customHeight="1" x14ac:dyDescent="0.3"/>
    <row r="1072" ht="25.5" hidden="1" customHeight="1" x14ac:dyDescent="0.3"/>
    <row r="1073" ht="25.5" hidden="1" customHeight="1" x14ac:dyDescent="0.3"/>
    <row r="1074" ht="25.5" hidden="1" customHeight="1" x14ac:dyDescent="0.3"/>
    <row r="1075" ht="25.5" hidden="1" customHeight="1" x14ac:dyDescent="0.3"/>
    <row r="1076" ht="25.5" hidden="1" customHeight="1" x14ac:dyDescent="0.3"/>
    <row r="1077" ht="25.5" hidden="1" customHeight="1" x14ac:dyDescent="0.3"/>
    <row r="1078" ht="25.5" hidden="1" customHeight="1" x14ac:dyDescent="0.3"/>
    <row r="1079" ht="25.5" hidden="1" customHeight="1" x14ac:dyDescent="0.3"/>
    <row r="1080" ht="25.5" hidden="1" customHeight="1" x14ac:dyDescent="0.3"/>
    <row r="1081" ht="25.5" hidden="1" customHeight="1" x14ac:dyDescent="0.3"/>
    <row r="1082" ht="25.5" hidden="1" customHeight="1" x14ac:dyDescent="0.3"/>
    <row r="1083" ht="25.5" hidden="1" customHeight="1" x14ac:dyDescent="0.3"/>
    <row r="1084" ht="25.5" hidden="1" customHeight="1" x14ac:dyDescent="0.3"/>
    <row r="1085" ht="25.5" hidden="1" customHeight="1" x14ac:dyDescent="0.3"/>
    <row r="1086" ht="25.5" hidden="1" customHeight="1" x14ac:dyDescent="0.3"/>
    <row r="1087" ht="25.5" hidden="1" customHeight="1" x14ac:dyDescent="0.3"/>
    <row r="1088" ht="25.5" hidden="1" customHeight="1" x14ac:dyDescent="0.3"/>
    <row r="1089" ht="25.5" hidden="1" customHeight="1" x14ac:dyDescent="0.3"/>
    <row r="1090" ht="25.5" hidden="1" customHeight="1" x14ac:dyDescent="0.3"/>
    <row r="1091" ht="25.5" hidden="1" customHeight="1" x14ac:dyDescent="0.3"/>
    <row r="1092" ht="25.5" hidden="1" customHeight="1" x14ac:dyDescent="0.3"/>
    <row r="1093" ht="25.5" hidden="1" customHeight="1" x14ac:dyDescent="0.3"/>
    <row r="1094" ht="25.5" hidden="1" customHeight="1" x14ac:dyDescent="0.3"/>
    <row r="1095" ht="25.5" hidden="1" customHeight="1" x14ac:dyDescent="0.3"/>
    <row r="1096" ht="25.5" hidden="1" customHeight="1" x14ac:dyDescent="0.3"/>
    <row r="1097" ht="25.5" hidden="1" customHeight="1" x14ac:dyDescent="0.3"/>
    <row r="1098" ht="25.5" hidden="1" customHeight="1" x14ac:dyDescent="0.3"/>
    <row r="1099" ht="25.5" hidden="1" customHeight="1" x14ac:dyDescent="0.3"/>
    <row r="1100" ht="25.5" hidden="1" customHeight="1" x14ac:dyDescent="0.3"/>
    <row r="1101" ht="25.5" hidden="1" customHeight="1" x14ac:dyDescent="0.3"/>
    <row r="1102" ht="25.5" hidden="1" customHeight="1" x14ac:dyDescent="0.3"/>
    <row r="1103" ht="25.5" hidden="1" customHeight="1" x14ac:dyDescent="0.3"/>
    <row r="1104" ht="25.5" hidden="1" customHeight="1" x14ac:dyDescent="0.3"/>
    <row r="1105" ht="25.5" hidden="1" customHeight="1" x14ac:dyDescent="0.3"/>
    <row r="1106" ht="25.5" hidden="1"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sheetData>
  <mergeCells count="153">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conditionalFormatting sqref="G42:H43">
    <cfRule type="expression" dxfId="4" priority="1">
      <formula>$G$42&lt;&gt;$H$42</formula>
    </cfRule>
  </conditionalFormatting>
  <dataValidations count="4">
    <dataValidation type="list" allowBlank="1" showInputMessage="1" showErrorMessage="1" prompt="Select from drop down list" sqref="C9:G9" xr:uid="{00000000-0002-0000-0100-000000000000}">
      <formula1>"GeneXpert (Sputum &amp; EP), GeneXpert (Stool), Truenat"</formula1>
    </dataValidation>
    <dataValidation type="whole" allowBlank="1" showInputMessage="1" showErrorMessage="1" prompt="Fill the following Others (Specify) table to get the number automatically " sqref="S27:T35" xr:uid="{00000000-0002-0000-0100-000001000000}">
      <formula1>0</formula1>
      <formula2>999999</formula2>
    </dataValidation>
    <dataValidation type="whole" allowBlank="1" showInputMessage="1" showErrorMessage="1" sqref="E27:L35 M41:U43 O27:O35 R27:R35 B27:C35 B40:D45" xr:uid="{00000000-0002-0000-0100-000002000000}">
      <formula1>0</formula1>
      <formula2>999999</formula2>
    </dataValidation>
    <dataValidation allowBlank="1" showInputMessage="1" showErrorMessage="1" prompt="Date Format:_x000a_DD/MM/YYYY" sqref="S48 P9" xr:uid="{00000000-0002-0000-0100-000003000000}"/>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Q17"/>
  <sheetViews>
    <sheetView showGridLines="0" view="pageBreakPreview" zoomScaleSheetLayoutView="100" workbookViewId="0">
      <selection activeCell="L15" sqref="L15"/>
    </sheetView>
  </sheetViews>
  <sheetFormatPr defaultRowHeight="15" x14ac:dyDescent="0.25"/>
  <cols>
    <col min="1" max="1" width="6" style="91" customWidth="1"/>
    <col min="2" max="2" width="17.5703125" style="91" customWidth="1"/>
    <col min="3" max="3" width="5.28515625" style="91" customWidth="1"/>
    <col min="4" max="4" width="5" style="91" customWidth="1"/>
    <col min="5" max="5" width="11.5703125" style="91" bestFit="1" customWidth="1"/>
    <col min="6" max="6" width="19.5703125" style="91" customWidth="1"/>
    <col min="7" max="7" width="14.42578125" style="91" customWidth="1"/>
    <col min="8" max="8" width="10.28515625" style="91" customWidth="1"/>
    <col min="9" max="9" width="15.7109375" style="91" customWidth="1"/>
    <col min="10" max="11" width="10.7109375" style="91" customWidth="1"/>
    <col min="12" max="12" width="12.28515625" style="91" customWidth="1"/>
    <col min="13" max="13" width="7.7109375" style="91" customWidth="1"/>
    <col min="14" max="14" width="8.42578125" style="91" customWidth="1"/>
    <col min="15" max="15" width="7.7109375" style="91" customWidth="1"/>
    <col min="16" max="16" width="9.5703125" style="91" customWidth="1"/>
    <col min="17" max="17" width="7.7109375" style="91" customWidth="1"/>
    <col min="18" max="19" width="8.28515625" style="91" customWidth="1"/>
    <col min="20" max="20" width="14.28515625" style="91" customWidth="1"/>
    <col min="21" max="21" width="9.28515625" style="91" customWidth="1"/>
    <col min="22" max="22" width="10.7109375" style="91" bestFit="1" customWidth="1"/>
    <col min="23" max="23" width="10.28515625" style="91" customWidth="1"/>
    <col min="24" max="24" width="9.28515625" style="91"/>
    <col min="25" max="25" width="13.7109375" style="91" customWidth="1"/>
    <col min="26" max="259" width="9.28515625" style="91"/>
    <col min="260" max="260" width="6" style="91" customWidth="1"/>
    <col min="261" max="261" width="22.28515625" style="91" customWidth="1"/>
    <col min="262" max="262" width="5.42578125" style="91" customWidth="1"/>
    <col min="263" max="263" width="5.28515625" style="91" customWidth="1"/>
    <col min="264" max="264" width="21.28515625" style="91" customWidth="1"/>
    <col min="265" max="265" width="17.28515625" style="91" customWidth="1"/>
    <col min="266" max="266" width="10.28515625" style="91" customWidth="1"/>
    <col min="267" max="267" width="15" style="91" customWidth="1"/>
    <col min="268" max="268" width="10.28515625" style="91" customWidth="1"/>
    <col min="269" max="269" width="15.7109375" style="91" customWidth="1"/>
    <col min="270" max="270" width="9.5703125" style="91" customWidth="1"/>
    <col min="271" max="271" width="11.42578125" style="91" customWidth="1"/>
    <col min="272" max="272" width="12" style="91" customWidth="1"/>
    <col min="273" max="515" width="9.28515625" style="91"/>
    <col min="516" max="516" width="6" style="91" customWidth="1"/>
    <col min="517" max="517" width="22.28515625" style="91" customWidth="1"/>
    <col min="518" max="518" width="5.42578125" style="91" customWidth="1"/>
    <col min="519" max="519" width="5.28515625" style="91" customWidth="1"/>
    <col min="520" max="520" width="21.28515625" style="91" customWidth="1"/>
    <col min="521" max="521" width="17.28515625" style="91" customWidth="1"/>
    <col min="522" max="522" width="10.28515625" style="91" customWidth="1"/>
    <col min="523" max="523" width="15" style="91" customWidth="1"/>
    <col min="524" max="524" width="10.28515625" style="91" customWidth="1"/>
    <col min="525" max="525" width="15.7109375" style="91" customWidth="1"/>
    <col min="526" max="526" width="9.5703125" style="91" customWidth="1"/>
    <col min="527" max="527" width="11.42578125" style="91" customWidth="1"/>
    <col min="528" max="528" width="12" style="91" customWidth="1"/>
    <col min="529" max="771" width="9.28515625" style="91"/>
    <col min="772" max="772" width="6" style="91" customWidth="1"/>
    <col min="773" max="773" width="22.28515625" style="91" customWidth="1"/>
    <col min="774" max="774" width="5.42578125" style="91" customWidth="1"/>
    <col min="775" max="775" width="5.28515625" style="91" customWidth="1"/>
    <col min="776" max="776" width="21.28515625" style="91" customWidth="1"/>
    <col min="777" max="777" width="17.28515625" style="91" customWidth="1"/>
    <col min="778" max="778" width="10.28515625" style="91" customWidth="1"/>
    <col min="779" max="779" width="15" style="91" customWidth="1"/>
    <col min="780" max="780" width="10.28515625" style="91" customWidth="1"/>
    <col min="781" max="781" width="15.7109375" style="91" customWidth="1"/>
    <col min="782" max="782" width="9.5703125" style="91" customWidth="1"/>
    <col min="783" max="783" width="11.42578125" style="91" customWidth="1"/>
    <col min="784" max="784" width="12" style="91" customWidth="1"/>
    <col min="785" max="1027" width="9.28515625" style="91"/>
    <col min="1028" max="1028" width="6" style="91" customWidth="1"/>
    <col min="1029" max="1029" width="22.28515625" style="91" customWidth="1"/>
    <col min="1030" max="1030" width="5.42578125" style="91" customWidth="1"/>
    <col min="1031" max="1031" width="5.28515625" style="91" customWidth="1"/>
    <col min="1032" max="1032" width="21.28515625" style="91" customWidth="1"/>
    <col min="1033" max="1033" width="17.28515625" style="91" customWidth="1"/>
    <col min="1034" max="1034" width="10.28515625" style="91" customWidth="1"/>
    <col min="1035" max="1035" width="15" style="91" customWidth="1"/>
    <col min="1036" max="1036" width="10.28515625" style="91" customWidth="1"/>
    <col min="1037" max="1037" width="15.7109375" style="91" customWidth="1"/>
    <col min="1038" max="1038" width="9.5703125" style="91" customWidth="1"/>
    <col min="1039" max="1039" width="11.42578125" style="91" customWidth="1"/>
    <col min="1040" max="1040" width="12" style="91" customWidth="1"/>
    <col min="1041" max="1283" width="9.28515625" style="91"/>
    <col min="1284" max="1284" width="6" style="91" customWidth="1"/>
    <col min="1285" max="1285" width="22.28515625" style="91" customWidth="1"/>
    <col min="1286" max="1286" width="5.42578125" style="91" customWidth="1"/>
    <col min="1287" max="1287" width="5.28515625" style="91" customWidth="1"/>
    <col min="1288" max="1288" width="21.28515625" style="91" customWidth="1"/>
    <col min="1289" max="1289" width="17.28515625" style="91" customWidth="1"/>
    <col min="1290" max="1290" width="10.28515625" style="91" customWidth="1"/>
    <col min="1291" max="1291" width="15" style="91" customWidth="1"/>
    <col min="1292" max="1292" width="10.28515625" style="91" customWidth="1"/>
    <col min="1293" max="1293" width="15.7109375" style="91" customWidth="1"/>
    <col min="1294" max="1294" width="9.5703125" style="91" customWidth="1"/>
    <col min="1295" max="1295" width="11.42578125" style="91" customWidth="1"/>
    <col min="1296" max="1296" width="12" style="91" customWidth="1"/>
    <col min="1297" max="1539" width="9.28515625" style="91"/>
    <col min="1540" max="1540" width="6" style="91" customWidth="1"/>
    <col min="1541" max="1541" width="22.28515625" style="91" customWidth="1"/>
    <col min="1542" max="1542" width="5.42578125" style="91" customWidth="1"/>
    <col min="1543" max="1543" width="5.28515625" style="91" customWidth="1"/>
    <col min="1544" max="1544" width="21.28515625" style="91" customWidth="1"/>
    <col min="1545" max="1545" width="17.28515625" style="91" customWidth="1"/>
    <col min="1546" max="1546" width="10.28515625" style="91" customWidth="1"/>
    <col min="1547" max="1547" width="15" style="91" customWidth="1"/>
    <col min="1548" max="1548" width="10.28515625" style="91" customWidth="1"/>
    <col min="1549" max="1549" width="15.7109375" style="91" customWidth="1"/>
    <col min="1550" max="1550" width="9.5703125" style="91" customWidth="1"/>
    <col min="1551" max="1551" width="11.42578125" style="91" customWidth="1"/>
    <col min="1552" max="1552" width="12" style="91" customWidth="1"/>
    <col min="1553" max="1795" width="9.28515625" style="91"/>
    <col min="1796" max="1796" width="6" style="91" customWidth="1"/>
    <col min="1797" max="1797" width="22.28515625" style="91" customWidth="1"/>
    <col min="1798" max="1798" width="5.42578125" style="91" customWidth="1"/>
    <col min="1799" max="1799" width="5.28515625" style="91" customWidth="1"/>
    <col min="1800" max="1800" width="21.28515625" style="91" customWidth="1"/>
    <col min="1801" max="1801" width="17.28515625" style="91" customWidth="1"/>
    <col min="1802" max="1802" width="10.28515625" style="91" customWidth="1"/>
    <col min="1803" max="1803" width="15" style="91" customWidth="1"/>
    <col min="1804" max="1804" width="10.28515625" style="91" customWidth="1"/>
    <col min="1805" max="1805" width="15.7109375" style="91" customWidth="1"/>
    <col min="1806" max="1806" width="9.5703125" style="91" customWidth="1"/>
    <col min="1807" max="1807" width="11.42578125" style="91" customWidth="1"/>
    <col min="1808" max="1808" width="12" style="91" customWidth="1"/>
    <col min="1809" max="2051" width="9.28515625" style="91"/>
    <col min="2052" max="2052" width="6" style="91" customWidth="1"/>
    <col min="2053" max="2053" width="22.28515625" style="91" customWidth="1"/>
    <col min="2054" max="2054" width="5.42578125" style="91" customWidth="1"/>
    <col min="2055" max="2055" width="5.28515625" style="91" customWidth="1"/>
    <col min="2056" max="2056" width="21.28515625" style="91" customWidth="1"/>
    <col min="2057" max="2057" width="17.28515625" style="91" customWidth="1"/>
    <col min="2058" max="2058" width="10.28515625" style="91" customWidth="1"/>
    <col min="2059" max="2059" width="15" style="91" customWidth="1"/>
    <col min="2060" max="2060" width="10.28515625" style="91" customWidth="1"/>
    <col min="2061" max="2061" width="15.7109375" style="91" customWidth="1"/>
    <col min="2062" max="2062" width="9.5703125" style="91" customWidth="1"/>
    <col min="2063" max="2063" width="11.42578125" style="91" customWidth="1"/>
    <col min="2064" max="2064" width="12" style="91" customWidth="1"/>
    <col min="2065" max="2307" width="9.28515625" style="91"/>
    <col min="2308" max="2308" width="6" style="91" customWidth="1"/>
    <col min="2309" max="2309" width="22.28515625" style="91" customWidth="1"/>
    <col min="2310" max="2310" width="5.42578125" style="91" customWidth="1"/>
    <col min="2311" max="2311" width="5.28515625" style="91" customWidth="1"/>
    <col min="2312" max="2312" width="21.28515625" style="91" customWidth="1"/>
    <col min="2313" max="2313" width="17.28515625" style="91" customWidth="1"/>
    <col min="2314" max="2314" width="10.28515625" style="91" customWidth="1"/>
    <col min="2315" max="2315" width="15" style="91" customWidth="1"/>
    <col min="2316" max="2316" width="10.28515625" style="91" customWidth="1"/>
    <col min="2317" max="2317" width="15.7109375" style="91" customWidth="1"/>
    <col min="2318" max="2318" width="9.5703125" style="91" customWidth="1"/>
    <col min="2319" max="2319" width="11.42578125" style="91" customWidth="1"/>
    <col min="2320" max="2320" width="12" style="91" customWidth="1"/>
    <col min="2321" max="2563" width="9.28515625" style="91"/>
    <col min="2564" max="2564" width="6" style="91" customWidth="1"/>
    <col min="2565" max="2565" width="22.28515625" style="91" customWidth="1"/>
    <col min="2566" max="2566" width="5.42578125" style="91" customWidth="1"/>
    <col min="2567" max="2567" width="5.28515625" style="91" customWidth="1"/>
    <col min="2568" max="2568" width="21.28515625" style="91" customWidth="1"/>
    <col min="2569" max="2569" width="17.28515625" style="91" customWidth="1"/>
    <col min="2570" max="2570" width="10.28515625" style="91" customWidth="1"/>
    <col min="2571" max="2571" width="15" style="91" customWidth="1"/>
    <col min="2572" max="2572" width="10.28515625" style="91" customWidth="1"/>
    <col min="2573" max="2573" width="15.7109375" style="91" customWidth="1"/>
    <col min="2574" max="2574" width="9.5703125" style="91" customWidth="1"/>
    <col min="2575" max="2575" width="11.42578125" style="91" customWidth="1"/>
    <col min="2576" max="2576" width="12" style="91" customWidth="1"/>
    <col min="2577" max="2819" width="9.28515625" style="91"/>
    <col min="2820" max="2820" width="6" style="91" customWidth="1"/>
    <col min="2821" max="2821" width="22.28515625" style="91" customWidth="1"/>
    <col min="2822" max="2822" width="5.42578125" style="91" customWidth="1"/>
    <col min="2823" max="2823" width="5.28515625" style="91" customWidth="1"/>
    <col min="2824" max="2824" width="21.28515625" style="91" customWidth="1"/>
    <col min="2825" max="2825" width="17.28515625" style="91" customWidth="1"/>
    <col min="2826" max="2826" width="10.28515625" style="91" customWidth="1"/>
    <col min="2827" max="2827" width="15" style="91" customWidth="1"/>
    <col min="2828" max="2828" width="10.28515625" style="91" customWidth="1"/>
    <col min="2829" max="2829" width="15.7109375" style="91" customWidth="1"/>
    <col min="2830" max="2830" width="9.5703125" style="91" customWidth="1"/>
    <col min="2831" max="2831" width="11.42578125" style="91" customWidth="1"/>
    <col min="2832" max="2832" width="12" style="91" customWidth="1"/>
    <col min="2833" max="3075" width="9.28515625" style="91"/>
    <col min="3076" max="3076" width="6" style="91" customWidth="1"/>
    <col min="3077" max="3077" width="22.28515625" style="91" customWidth="1"/>
    <col min="3078" max="3078" width="5.42578125" style="91" customWidth="1"/>
    <col min="3079" max="3079" width="5.28515625" style="91" customWidth="1"/>
    <col min="3080" max="3080" width="21.28515625" style="91" customWidth="1"/>
    <col min="3081" max="3081" width="17.28515625" style="91" customWidth="1"/>
    <col min="3082" max="3082" width="10.28515625" style="91" customWidth="1"/>
    <col min="3083" max="3083" width="15" style="91" customWidth="1"/>
    <col min="3084" max="3084" width="10.28515625" style="91" customWidth="1"/>
    <col min="3085" max="3085" width="15.7109375" style="91" customWidth="1"/>
    <col min="3086" max="3086" width="9.5703125" style="91" customWidth="1"/>
    <col min="3087" max="3087" width="11.42578125" style="91" customWidth="1"/>
    <col min="3088" max="3088" width="12" style="91" customWidth="1"/>
    <col min="3089" max="3331" width="9.28515625" style="91"/>
    <col min="3332" max="3332" width="6" style="91" customWidth="1"/>
    <col min="3333" max="3333" width="22.28515625" style="91" customWidth="1"/>
    <col min="3334" max="3334" width="5.42578125" style="91" customWidth="1"/>
    <col min="3335" max="3335" width="5.28515625" style="91" customWidth="1"/>
    <col min="3336" max="3336" width="21.28515625" style="91" customWidth="1"/>
    <col min="3337" max="3337" width="17.28515625" style="91" customWidth="1"/>
    <col min="3338" max="3338" width="10.28515625" style="91" customWidth="1"/>
    <col min="3339" max="3339" width="15" style="91" customWidth="1"/>
    <col min="3340" max="3340" width="10.28515625" style="91" customWidth="1"/>
    <col min="3341" max="3341" width="15.7109375" style="91" customWidth="1"/>
    <col min="3342" max="3342" width="9.5703125" style="91" customWidth="1"/>
    <col min="3343" max="3343" width="11.42578125" style="91" customWidth="1"/>
    <col min="3344" max="3344" width="12" style="91" customWidth="1"/>
    <col min="3345" max="3587" width="9.28515625" style="91"/>
    <col min="3588" max="3588" width="6" style="91" customWidth="1"/>
    <col min="3589" max="3589" width="22.28515625" style="91" customWidth="1"/>
    <col min="3590" max="3590" width="5.42578125" style="91" customWidth="1"/>
    <col min="3591" max="3591" width="5.28515625" style="91" customWidth="1"/>
    <col min="3592" max="3592" width="21.28515625" style="91" customWidth="1"/>
    <col min="3593" max="3593" width="17.28515625" style="91" customWidth="1"/>
    <col min="3594" max="3594" width="10.28515625" style="91" customWidth="1"/>
    <col min="3595" max="3595" width="15" style="91" customWidth="1"/>
    <col min="3596" max="3596" width="10.28515625" style="91" customWidth="1"/>
    <col min="3597" max="3597" width="15.7109375" style="91" customWidth="1"/>
    <col min="3598" max="3598" width="9.5703125" style="91" customWidth="1"/>
    <col min="3599" max="3599" width="11.42578125" style="91" customWidth="1"/>
    <col min="3600" max="3600" width="12" style="91" customWidth="1"/>
    <col min="3601" max="3843" width="9.28515625" style="91"/>
    <col min="3844" max="3844" width="6" style="91" customWidth="1"/>
    <col min="3845" max="3845" width="22.28515625" style="91" customWidth="1"/>
    <col min="3846" max="3846" width="5.42578125" style="91" customWidth="1"/>
    <col min="3847" max="3847" width="5.28515625" style="91" customWidth="1"/>
    <col min="3848" max="3848" width="21.28515625" style="91" customWidth="1"/>
    <col min="3849" max="3849" width="17.28515625" style="91" customWidth="1"/>
    <col min="3850" max="3850" width="10.28515625" style="91" customWidth="1"/>
    <col min="3851" max="3851" width="15" style="91" customWidth="1"/>
    <col min="3852" max="3852" width="10.28515625" style="91" customWidth="1"/>
    <col min="3853" max="3853" width="15.7109375" style="91" customWidth="1"/>
    <col min="3854" max="3854" width="9.5703125" style="91" customWidth="1"/>
    <col min="3855" max="3855" width="11.42578125" style="91" customWidth="1"/>
    <col min="3856" max="3856" width="12" style="91" customWidth="1"/>
    <col min="3857" max="4099" width="9.28515625" style="91"/>
    <col min="4100" max="4100" width="6" style="91" customWidth="1"/>
    <col min="4101" max="4101" width="22.28515625" style="91" customWidth="1"/>
    <col min="4102" max="4102" width="5.42578125" style="91" customWidth="1"/>
    <col min="4103" max="4103" width="5.28515625" style="91" customWidth="1"/>
    <col min="4104" max="4104" width="21.28515625" style="91" customWidth="1"/>
    <col min="4105" max="4105" width="17.28515625" style="91" customWidth="1"/>
    <col min="4106" max="4106" width="10.28515625" style="91" customWidth="1"/>
    <col min="4107" max="4107" width="15" style="91" customWidth="1"/>
    <col min="4108" max="4108" width="10.28515625" style="91" customWidth="1"/>
    <col min="4109" max="4109" width="15.7109375" style="91" customWidth="1"/>
    <col min="4110" max="4110" width="9.5703125" style="91" customWidth="1"/>
    <col min="4111" max="4111" width="11.42578125" style="91" customWidth="1"/>
    <col min="4112" max="4112" width="12" style="91" customWidth="1"/>
    <col min="4113" max="4355" width="9.28515625" style="91"/>
    <col min="4356" max="4356" width="6" style="91" customWidth="1"/>
    <col min="4357" max="4357" width="22.28515625" style="91" customWidth="1"/>
    <col min="4358" max="4358" width="5.42578125" style="91" customWidth="1"/>
    <col min="4359" max="4359" width="5.28515625" style="91" customWidth="1"/>
    <col min="4360" max="4360" width="21.28515625" style="91" customWidth="1"/>
    <col min="4361" max="4361" width="17.28515625" style="91" customWidth="1"/>
    <col min="4362" max="4362" width="10.28515625" style="91" customWidth="1"/>
    <col min="4363" max="4363" width="15" style="91" customWidth="1"/>
    <col min="4364" max="4364" width="10.28515625" style="91" customWidth="1"/>
    <col min="4365" max="4365" width="15.7109375" style="91" customWidth="1"/>
    <col min="4366" max="4366" width="9.5703125" style="91" customWidth="1"/>
    <col min="4367" max="4367" width="11.42578125" style="91" customWidth="1"/>
    <col min="4368" max="4368" width="12" style="91" customWidth="1"/>
    <col min="4369" max="4611" width="9.28515625" style="91"/>
    <col min="4612" max="4612" width="6" style="91" customWidth="1"/>
    <col min="4613" max="4613" width="22.28515625" style="91" customWidth="1"/>
    <col min="4614" max="4614" width="5.42578125" style="91" customWidth="1"/>
    <col min="4615" max="4615" width="5.28515625" style="91" customWidth="1"/>
    <col min="4616" max="4616" width="21.28515625" style="91" customWidth="1"/>
    <col min="4617" max="4617" width="17.28515625" style="91" customWidth="1"/>
    <col min="4618" max="4618" width="10.28515625" style="91" customWidth="1"/>
    <col min="4619" max="4619" width="15" style="91" customWidth="1"/>
    <col min="4620" max="4620" width="10.28515625" style="91" customWidth="1"/>
    <col min="4621" max="4621" width="15.7109375" style="91" customWidth="1"/>
    <col min="4622" max="4622" width="9.5703125" style="91" customWidth="1"/>
    <col min="4623" max="4623" width="11.42578125" style="91" customWidth="1"/>
    <col min="4624" max="4624" width="12" style="91" customWidth="1"/>
    <col min="4625" max="4867" width="9.28515625" style="91"/>
    <col min="4868" max="4868" width="6" style="91" customWidth="1"/>
    <col min="4869" max="4869" width="22.28515625" style="91" customWidth="1"/>
    <col min="4870" max="4870" width="5.42578125" style="91" customWidth="1"/>
    <col min="4871" max="4871" width="5.28515625" style="91" customWidth="1"/>
    <col min="4872" max="4872" width="21.28515625" style="91" customWidth="1"/>
    <col min="4873" max="4873" width="17.28515625" style="91" customWidth="1"/>
    <col min="4874" max="4874" width="10.28515625" style="91" customWidth="1"/>
    <col min="4875" max="4875" width="15" style="91" customWidth="1"/>
    <col min="4876" max="4876" width="10.28515625" style="91" customWidth="1"/>
    <col min="4877" max="4877" width="15.7109375" style="91" customWidth="1"/>
    <col min="4878" max="4878" width="9.5703125" style="91" customWidth="1"/>
    <col min="4879" max="4879" width="11.42578125" style="91" customWidth="1"/>
    <col min="4880" max="4880" width="12" style="91" customWidth="1"/>
    <col min="4881" max="5123" width="9.28515625" style="91"/>
    <col min="5124" max="5124" width="6" style="91" customWidth="1"/>
    <col min="5125" max="5125" width="22.28515625" style="91" customWidth="1"/>
    <col min="5126" max="5126" width="5.42578125" style="91" customWidth="1"/>
    <col min="5127" max="5127" width="5.28515625" style="91" customWidth="1"/>
    <col min="5128" max="5128" width="21.28515625" style="91" customWidth="1"/>
    <col min="5129" max="5129" width="17.28515625" style="91" customWidth="1"/>
    <col min="5130" max="5130" width="10.28515625" style="91" customWidth="1"/>
    <col min="5131" max="5131" width="15" style="91" customWidth="1"/>
    <col min="5132" max="5132" width="10.28515625" style="91" customWidth="1"/>
    <col min="5133" max="5133" width="15.7109375" style="91" customWidth="1"/>
    <col min="5134" max="5134" width="9.5703125" style="91" customWidth="1"/>
    <col min="5135" max="5135" width="11.42578125" style="91" customWidth="1"/>
    <col min="5136" max="5136" width="12" style="91" customWidth="1"/>
    <col min="5137" max="5379" width="9.28515625" style="91"/>
    <col min="5380" max="5380" width="6" style="91" customWidth="1"/>
    <col min="5381" max="5381" width="22.28515625" style="91" customWidth="1"/>
    <col min="5382" max="5382" width="5.42578125" style="91" customWidth="1"/>
    <col min="5383" max="5383" width="5.28515625" style="91" customWidth="1"/>
    <col min="5384" max="5384" width="21.28515625" style="91" customWidth="1"/>
    <col min="5385" max="5385" width="17.28515625" style="91" customWidth="1"/>
    <col min="5386" max="5386" width="10.28515625" style="91" customWidth="1"/>
    <col min="5387" max="5387" width="15" style="91" customWidth="1"/>
    <col min="5388" max="5388" width="10.28515625" style="91" customWidth="1"/>
    <col min="5389" max="5389" width="15.7109375" style="91" customWidth="1"/>
    <col min="5390" max="5390" width="9.5703125" style="91" customWidth="1"/>
    <col min="5391" max="5391" width="11.42578125" style="91" customWidth="1"/>
    <col min="5392" max="5392" width="12" style="91" customWidth="1"/>
    <col min="5393" max="5635" width="9.28515625" style="91"/>
    <col min="5636" max="5636" width="6" style="91" customWidth="1"/>
    <col min="5637" max="5637" width="22.28515625" style="91" customWidth="1"/>
    <col min="5638" max="5638" width="5.42578125" style="91" customWidth="1"/>
    <col min="5639" max="5639" width="5.28515625" style="91" customWidth="1"/>
    <col min="5640" max="5640" width="21.28515625" style="91" customWidth="1"/>
    <col min="5641" max="5641" width="17.28515625" style="91" customWidth="1"/>
    <col min="5642" max="5642" width="10.28515625" style="91" customWidth="1"/>
    <col min="5643" max="5643" width="15" style="91" customWidth="1"/>
    <col min="5644" max="5644" width="10.28515625" style="91" customWidth="1"/>
    <col min="5645" max="5645" width="15.7109375" style="91" customWidth="1"/>
    <col min="5646" max="5646" width="9.5703125" style="91" customWidth="1"/>
    <col min="5647" max="5647" width="11.42578125" style="91" customWidth="1"/>
    <col min="5648" max="5648" width="12" style="91" customWidth="1"/>
    <col min="5649" max="5891" width="9.28515625" style="91"/>
    <col min="5892" max="5892" width="6" style="91" customWidth="1"/>
    <col min="5893" max="5893" width="22.28515625" style="91" customWidth="1"/>
    <col min="5894" max="5894" width="5.42578125" style="91" customWidth="1"/>
    <col min="5895" max="5895" width="5.28515625" style="91" customWidth="1"/>
    <col min="5896" max="5896" width="21.28515625" style="91" customWidth="1"/>
    <col min="5897" max="5897" width="17.28515625" style="91" customWidth="1"/>
    <col min="5898" max="5898" width="10.28515625" style="91" customWidth="1"/>
    <col min="5899" max="5899" width="15" style="91" customWidth="1"/>
    <col min="5900" max="5900" width="10.28515625" style="91" customWidth="1"/>
    <col min="5901" max="5901" width="15.7109375" style="91" customWidth="1"/>
    <col min="5902" max="5902" width="9.5703125" style="91" customWidth="1"/>
    <col min="5903" max="5903" width="11.42578125" style="91" customWidth="1"/>
    <col min="5904" max="5904" width="12" style="91" customWidth="1"/>
    <col min="5905" max="6147" width="9.28515625" style="91"/>
    <col min="6148" max="6148" width="6" style="91" customWidth="1"/>
    <col min="6149" max="6149" width="22.28515625" style="91" customWidth="1"/>
    <col min="6150" max="6150" width="5.42578125" style="91" customWidth="1"/>
    <col min="6151" max="6151" width="5.28515625" style="91" customWidth="1"/>
    <col min="6152" max="6152" width="21.28515625" style="91" customWidth="1"/>
    <col min="6153" max="6153" width="17.28515625" style="91" customWidth="1"/>
    <col min="6154" max="6154" width="10.28515625" style="91" customWidth="1"/>
    <col min="6155" max="6155" width="15" style="91" customWidth="1"/>
    <col min="6156" max="6156" width="10.28515625" style="91" customWidth="1"/>
    <col min="6157" max="6157" width="15.7109375" style="91" customWidth="1"/>
    <col min="6158" max="6158" width="9.5703125" style="91" customWidth="1"/>
    <col min="6159" max="6159" width="11.42578125" style="91" customWidth="1"/>
    <col min="6160" max="6160" width="12" style="91" customWidth="1"/>
    <col min="6161" max="6403" width="9.28515625" style="91"/>
    <col min="6404" max="6404" width="6" style="91" customWidth="1"/>
    <col min="6405" max="6405" width="22.28515625" style="91" customWidth="1"/>
    <col min="6406" max="6406" width="5.42578125" style="91" customWidth="1"/>
    <col min="6407" max="6407" width="5.28515625" style="91" customWidth="1"/>
    <col min="6408" max="6408" width="21.28515625" style="91" customWidth="1"/>
    <col min="6409" max="6409" width="17.28515625" style="91" customWidth="1"/>
    <col min="6410" max="6410" width="10.28515625" style="91" customWidth="1"/>
    <col min="6411" max="6411" width="15" style="91" customWidth="1"/>
    <col min="6412" max="6412" width="10.28515625" style="91" customWidth="1"/>
    <col min="6413" max="6413" width="15.7109375" style="91" customWidth="1"/>
    <col min="6414" max="6414" width="9.5703125" style="91" customWidth="1"/>
    <col min="6415" max="6415" width="11.42578125" style="91" customWidth="1"/>
    <col min="6416" max="6416" width="12" style="91" customWidth="1"/>
    <col min="6417" max="6659" width="9.28515625" style="91"/>
    <col min="6660" max="6660" width="6" style="91" customWidth="1"/>
    <col min="6661" max="6661" width="22.28515625" style="91" customWidth="1"/>
    <col min="6662" max="6662" width="5.42578125" style="91" customWidth="1"/>
    <col min="6663" max="6663" width="5.28515625" style="91" customWidth="1"/>
    <col min="6664" max="6664" width="21.28515625" style="91" customWidth="1"/>
    <col min="6665" max="6665" width="17.28515625" style="91" customWidth="1"/>
    <col min="6666" max="6666" width="10.28515625" style="91" customWidth="1"/>
    <col min="6667" max="6667" width="15" style="91" customWidth="1"/>
    <col min="6668" max="6668" width="10.28515625" style="91" customWidth="1"/>
    <col min="6669" max="6669" width="15.7109375" style="91" customWidth="1"/>
    <col min="6670" max="6670" width="9.5703125" style="91" customWidth="1"/>
    <col min="6671" max="6671" width="11.42578125" style="91" customWidth="1"/>
    <col min="6672" max="6672" width="12" style="91" customWidth="1"/>
    <col min="6673" max="6915" width="9.28515625" style="91"/>
    <col min="6916" max="6916" width="6" style="91" customWidth="1"/>
    <col min="6917" max="6917" width="22.28515625" style="91" customWidth="1"/>
    <col min="6918" max="6918" width="5.42578125" style="91" customWidth="1"/>
    <col min="6919" max="6919" width="5.28515625" style="91" customWidth="1"/>
    <col min="6920" max="6920" width="21.28515625" style="91" customWidth="1"/>
    <col min="6921" max="6921" width="17.28515625" style="91" customWidth="1"/>
    <col min="6922" max="6922" width="10.28515625" style="91" customWidth="1"/>
    <col min="6923" max="6923" width="15" style="91" customWidth="1"/>
    <col min="6924" max="6924" width="10.28515625" style="91" customWidth="1"/>
    <col min="6925" max="6925" width="15.7109375" style="91" customWidth="1"/>
    <col min="6926" max="6926" width="9.5703125" style="91" customWidth="1"/>
    <col min="6927" max="6927" width="11.42578125" style="91" customWidth="1"/>
    <col min="6928" max="6928" width="12" style="91" customWidth="1"/>
    <col min="6929" max="7171" width="9.28515625" style="91"/>
    <col min="7172" max="7172" width="6" style="91" customWidth="1"/>
    <col min="7173" max="7173" width="22.28515625" style="91" customWidth="1"/>
    <col min="7174" max="7174" width="5.42578125" style="91" customWidth="1"/>
    <col min="7175" max="7175" width="5.28515625" style="91" customWidth="1"/>
    <col min="7176" max="7176" width="21.28515625" style="91" customWidth="1"/>
    <col min="7177" max="7177" width="17.28515625" style="91" customWidth="1"/>
    <col min="7178" max="7178" width="10.28515625" style="91" customWidth="1"/>
    <col min="7179" max="7179" width="15" style="91" customWidth="1"/>
    <col min="7180" max="7180" width="10.28515625" style="91" customWidth="1"/>
    <col min="7181" max="7181" width="15.7109375" style="91" customWidth="1"/>
    <col min="7182" max="7182" width="9.5703125" style="91" customWidth="1"/>
    <col min="7183" max="7183" width="11.42578125" style="91" customWidth="1"/>
    <col min="7184" max="7184" width="12" style="91" customWidth="1"/>
    <col min="7185" max="7427" width="9.28515625" style="91"/>
    <col min="7428" max="7428" width="6" style="91" customWidth="1"/>
    <col min="7429" max="7429" width="22.28515625" style="91" customWidth="1"/>
    <col min="7430" max="7430" width="5.42578125" style="91" customWidth="1"/>
    <col min="7431" max="7431" width="5.28515625" style="91" customWidth="1"/>
    <col min="7432" max="7432" width="21.28515625" style="91" customWidth="1"/>
    <col min="7433" max="7433" width="17.28515625" style="91" customWidth="1"/>
    <col min="7434" max="7434" width="10.28515625" style="91" customWidth="1"/>
    <col min="7435" max="7435" width="15" style="91" customWidth="1"/>
    <col min="7436" max="7436" width="10.28515625" style="91" customWidth="1"/>
    <col min="7437" max="7437" width="15.7109375" style="91" customWidth="1"/>
    <col min="7438" max="7438" width="9.5703125" style="91" customWidth="1"/>
    <col min="7439" max="7439" width="11.42578125" style="91" customWidth="1"/>
    <col min="7440" max="7440" width="12" style="91" customWidth="1"/>
    <col min="7441" max="7683" width="9.28515625" style="91"/>
    <col min="7684" max="7684" width="6" style="91" customWidth="1"/>
    <col min="7685" max="7685" width="22.28515625" style="91" customWidth="1"/>
    <col min="7686" max="7686" width="5.42578125" style="91" customWidth="1"/>
    <col min="7687" max="7687" width="5.28515625" style="91" customWidth="1"/>
    <col min="7688" max="7688" width="21.28515625" style="91" customWidth="1"/>
    <col min="7689" max="7689" width="17.28515625" style="91" customWidth="1"/>
    <col min="7690" max="7690" width="10.28515625" style="91" customWidth="1"/>
    <col min="7691" max="7691" width="15" style="91" customWidth="1"/>
    <col min="7692" max="7692" width="10.28515625" style="91" customWidth="1"/>
    <col min="7693" max="7693" width="15.7109375" style="91" customWidth="1"/>
    <col min="7694" max="7694" width="9.5703125" style="91" customWidth="1"/>
    <col min="7695" max="7695" width="11.42578125" style="91" customWidth="1"/>
    <col min="7696" max="7696" width="12" style="91" customWidth="1"/>
    <col min="7697" max="7939" width="9.28515625" style="91"/>
    <col min="7940" max="7940" width="6" style="91" customWidth="1"/>
    <col min="7941" max="7941" width="22.28515625" style="91" customWidth="1"/>
    <col min="7942" max="7942" width="5.42578125" style="91" customWidth="1"/>
    <col min="7943" max="7943" width="5.28515625" style="91" customWidth="1"/>
    <col min="7944" max="7944" width="21.28515625" style="91" customWidth="1"/>
    <col min="7945" max="7945" width="17.28515625" style="91" customWidth="1"/>
    <col min="7946" max="7946" width="10.28515625" style="91" customWidth="1"/>
    <col min="7947" max="7947" width="15" style="91" customWidth="1"/>
    <col min="7948" max="7948" width="10.28515625" style="91" customWidth="1"/>
    <col min="7949" max="7949" width="15.7109375" style="91" customWidth="1"/>
    <col min="7950" max="7950" width="9.5703125" style="91" customWidth="1"/>
    <col min="7951" max="7951" width="11.42578125" style="91" customWidth="1"/>
    <col min="7952" max="7952" width="12" style="91" customWidth="1"/>
    <col min="7953" max="8195" width="9.28515625" style="91"/>
    <col min="8196" max="8196" width="6" style="91" customWidth="1"/>
    <col min="8197" max="8197" width="22.28515625" style="91" customWidth="1"/>
    <col min="8198" max="8198" width="5.42578125" style="91" customWidth="1"/>
    <col min="8199" max="8199" width="5.28515625" style="91" customWidth="1"/>
    <col min="8200" max="8200" width="21.28515625" style="91" customWidth="1"/>
    <col min="8201" max="8201" width="17.28515625" style="91" customWidth="1"/>
    <col min="8202" max="8202" width="10.28515625" style="91" customWidth="1"/>
    <col min="8203" max="8203" width="15" style="91" customWidth="1"/>
    <col min="8204" max="8204" width="10.28515625" style="91" customWidth="1"/>
    <col min="8205" max="8205" width="15.7109375" style="91" customWidth="1"/>
    <col min="8206" max="8206" width="9.5703125" style="91" customWidth="1"/>
    <col min="8207" max="8207" width="11.42578125" style="91" customWidth="1"/>
    <col min="8208" max="8208" width="12" style="91" customWidth="1"/>
    <col min="8209" max="8451" width="9.28515625" style="91"/>
    <col min="8452" max="8452" width="6" style="91" customWidth="1"/>
    <col min="8453" max="8453" width="22.28515625" style="91" customWidth="1"/>
    <col min="8454" max="8454" width="5.42578125" style="91" customWidth="1"/>
    <col min="8455" max="8455" width="5.28515625" style="91" customWidth="1"/>
    <col min="8456" max="8456" width="21.28515625" style="91" customWidth="1"/>
    <col min="8457" max="8457" width="17.28515625" style="91" customWidth="1"/>
    <col min="8458" max="8458" width="10.28515625" style="91" customWidth="1"/>
    <col min="8459" max="8459" width="15" style="91" customWidth="1"/>
    <col min="8460" max="8460" width="10.28515625" style="91" customWidth="1"/>
    <col min="8461" max="8461" width="15.7109375" style="91" customWidth="1"/>
    <col min="8462" max="8462" width="9.5703125" style="91" customWidth="1"/>
    <col min="8463" max="8463" width="11.42578125" style="91" customWidth="1"/>
    <col min="8464" max="8464" width="12" style="91" customWidth="1"/>
    <col min="8465" max="8707" width="9.28515625" style="91"/>
    <col min="8708" max="8708" width="6" style="91" customWidth="1"/>
    <col min="8709" max="8709" width="22.28515625" style="91" customWidth="1"/>
    <col min="8710" max="8710" width="5.42578125" style="91" customWidth="1"/>
    <col min="8711" max="8711" width="5.28515625" style="91" customWidth="1"/>
    <col min="8712" max="8712" width="21.28515625" style="91" customWidth="1"/>
    <col min="8713" max="8713" width="17.28515625" style="91" customWidth="1"/>
    <col min="8714" max="8714" width="10.28515625" style="91" customWidth="1"/>
    <col min="8715" max="8715" width="15" style="91" customWidth="1"/>
    <col min="8716" max="8716" width="10.28515625" style="91" customWidth="1"/>
    <col min="8717" max="8717" width="15.7109375" style="91" customWidth="1"/>
    <col min="8718" max="8718" width="9.5703125" style="91" customWidth="1"/>
    <col min="8719" max="8719" width="11.42578125" style="91" customWidth="1"/>
    <col min="8720" max="8720" width="12" style="91" customWidth="1"/>
    <col min="8721" max="8963" width="9.28515625" style="91"/>
    <col min="8964" max="8964" width="6" style="91" customWidth="1"/>
    <col min="8965" max="8965" width="22.28515625" style="91" customWidth="1"/>
    <col min="8966" max="8966" width="5.42578125" style="91" customWidth="1"/>
    <col min="8967" max="8967" width="5.28515625" style="91" customWidth="1"/>
    <col min="8968" max="8968" width="21.28515625" style="91" customWidth="1"/>
    <col min="8969" max="8969" width="17.28515625" style="91" customWidth="1"/>
    <col min="8970" max="8970" width="10.28515625" style="91" customWidth="1"/>
    <col min="8971" max="8971" width="15" style="91" customWidth="1"/>
    <col min="8972" max="8972" width="10.28515625" style="91" customWidth="1"/>
    <col min="8973" max="8973" width="15.7109375" style="91" customWidth="1"/>
    <col min="8974" max="8974" width="9.5703125" style="91" customWidth="1"/>
    <col min="8975" max="8975" width="11.42578125" style="91" customWidth="1"/>
    <col min="8976" max="8976" width="12" style="91" customWidth="1"/>
    <col min="8977" max="9219" width="9.28515625" style="91"/>
    <col min="9220" max="9220" width="6" style="91" customWidth="1"/>
    <col min="9221" max="9221" width="22.28515625" style="91" customWidth="1"/>
    <col min="9222" max="9222" width="5.42578125" style="91" customWidth="1"/>
    <col min="9223" max="9223" width="5.28515625" style="91" customWidth="1"/>
    <col min="9224" max="9224" width="21.28515625" style="91" customWidth="1"/>
    <col min="9225" max="9225" width="17.28515625" style="91" customWidth="1"/>
    <col min="9226" max="9226" width="10.28515625" style="91" customWidth="1"/>
    <col min="9227" max="9227" width="15" style="91" customWidth="1"/>
    <col min="9228" max="9228" width="10.28515625" style="91" customWidth="1"/>
    <col min="9229" max="9229" width="15.7109375" style="91" customWidth="1"/>
    <col min="9230" max="9230" width="9.5703125" style="91" customWidth="1"/>
    <col min="9231" max="9231" width="11.42578125" style="91" customWidth="1"/>
    <col min="9232" max="9232" width="12" style="91" customWidth="1"/>
    <col min="9233" max="9475" width="9.28515625" style="91"/>
    <col min="9476" max="9476" width="6" style="91" customWidth="1"/>
    <col min="9477" max="9477" width="22.28515625" style="91" customWidth="1"/>
    <col min="9478" max="9478" width="5.42578125" style="91" customWidth="1"/>
    <col min="9479" max="9479" width="5.28515625" style="91" customWidth="1"/>
    <col min="9480" max="9480" width="21.28515625" style="91" customWidth="1"/>
    <col min="9481" max="9481" width="17.28515625" style="91" customWidth="1"/>
    <col min="9482" max="9482" width="10.28515625" style="91" customWidth="1"/>
    <col min="9483" max="9483" width="15" style="91" customWidth="1"/>
    <col min="9484" max="9484" width="10.28515625" style="91" customWidth="1"/>
    <col min="9485" max="9485" width="15.7109375" style="91" customWidth="1"/>
    <col min="9486" max="9486" width="9.5703125" style="91" customWidth="1"/>
    <col min="9487" max="9487" width="11.42578125" style="91" customWidth="1"/>
    <col min="9488" max="9488" width="12" style="91" customWidth="1"/>
    <col min="9489" max="9731" width="9.28515625" style="91"/>
    <col min="9732" max="9732" width="6" style="91" customWidth="1"/>
    <col min="9733" max="9733" width="22.28515625" style="91" customWidth="1"/>
    <col min="9734" max="9734" width="5.42578125" style="91" customWidth="1"/>
    <col min="9735" max="9735" width="5.28515625" style="91" customWidth="1"/>
    <col min="9736" max="9736" width="21.28515625" style="91" customWidth="1"/>
    <col min="9737" max="9737" width="17.28515625" style="91" customWidth="1"/>
    <col min="9738" max="9738" width="10.28515625" style="91" customWidth="1"/>
    <col min="9739" max="9739" width="15" style="91" customWidth="1"/>
    <col min="9740" max="9740" width="10.28515625" style="91" customWidth="1"/>
    <col min="9741" max="9741" width="15.7109375" style="91" customWidth="1"/>
    <col min="9742" max="9742" width="9.5703125" style="91" customWidth="1"/>
    <col min="9743" max="9743" width="11.42578125" style="91" customWidth="1"/>
    <col min="9744" max="9744" width="12" style="91" customWidth="1"/>
    <col min="9745" max="9987" width="9.28515625" style="91"/>
    <col min="9988" max="9988" width="6" style="91" customWidth="1"/>
    <col min="9989" max="9989" width="22.28515625" style="91" customWidth="1"/>
    <col min="9990" max="9990" width="5.42578125" style="91" customWidth="1"/>
    <col min="9991" max="9991" width="5.28515625" style="91" customWidth="1"/>
    <col min="9992" max="9992" width="21.28515625" style="91" customWidth="1"/>
    <col min="9993" max="9993" width="17.28515625" style="91" customWidth="1"/>
    <col min="9994" max="9994" width="10.28515625" style="91" customWidth="1"/>
    <col min="9995" max="9995" width="15" style="91" customWidth="1"/>
    <col min="9996" max="9996" width="10.28515625" style="91" customWidth="1"/>
    <col min="9997" max="9997" width="15.7109375" style="91" customWidth="1"/>
    <col min="9998" max="9998" width="9.5703125" style="91" customWidth="1"/>
    <col min="9999" max="9999" width="11.42578125" style="91" customWidth="1"/>
    <col min="10000" max="10000" width="12" style="91" customWidth="1"/>
    <col min="10001" max="10243" width="9.28515625" style="91"/>
    <col min="10244" max="10244" width="6" style="91" customWidth="1"/>
    <col min="10245" max="10245" width="22.28515625" style="91" customWidth="1"/>
    <col min="10246" max="10246" width="5.42578125" style="91" customWidth="1"/>
    <col min="10247" max="10247" width="5.28515625" style="91" customWidth="1"/>
    <col min="10248" max="10248" width="21.28515625" style="91" customWidth="1"/>
    <col min="10249" max="10249" width="17.28515625" style="91" customWidth="1"/>
    <col min="10250" max="10250" width="10.28515625" style="91" customWidth="1"/>
    <col min="10251" max="10251" width="15" style="91" customWidth="1"/>
    <col min="10252" max="10252" width="10.28515625" style="91" customWidth="1"/>
    <col min="10253" max="10253" width="15.7109375" style="91" customWidth="1"/>
    <col min="10254" max="10254" width="9.5703125" style="91" customWidth="1"/>
    <col min="10255" max="10255" width="11.42578125" style="91" customWidth="1"/>
    <col min="10256" max="10256" width="12" style="91" customWidth="1"/>
    <col min="10257" max="10499" width="9.28515625" style="91"/>
    <col min="10500" max="10500" width="6" style="91" customWidth="1"/>
    <col min="10501" max="10501" width="22.28515625" style="91" customWidth="1"/>
    <col min="10502" max="10502" width="5.42578125" style="91" customWidth="1"/>
    <col min="10503" max="10503" width="5.28515625" style="91" customWidth="1"/>
    <col min="10504" max="10504" width="21.28515625" style="91" customWidth="1"/>
    <col min="10505" max="10505" width="17.28515625" style="91" customWidth="1"/>
    <col min="10506" max="10506" width="10.28515625" style="91" customWidth="1"/>
    <col min="10507" max="10507" width="15" style="91" customWidth="1"/>
    <col min="10508" max="10508" width="10.28515625" style="91" customWidth="1"/>
    <col min="10509" max="10509" width="15.7109375" style="91" customWidth="1"/>
    <col min="10510" max="10510" width="9.5703125" style="91" customWidth="1"/>
    <col min="10511" max="10511" width="11.42578125" style="91" customWidth="1"/>
    <col min="10512" max="10512" width="12" style="91" customWidth="1"/>
    <col min="10513" max="10755" width="9.28515625" style="91"/>
    <col min="10756" max="10756" width="6" style="91" customWidth="1"/>
    <col min="10757" max="10757" width="22.28515625" style="91" customWidth="1"/>
    <col min="10758" max="10758" width="5.42578125" style="91" customWidth="1"/>
    <col min="10759" max="10759" width="5.28515625" style="91" customWidth="1"/>
    <col min="10760" max="10760" width="21.28515625" style="91" customWidth="1"/>
    <col min="10761" max="10761" width="17.28515625" style="91" customWidth="1"/>
    <col min="10762" max="10762" width="10.28515625" style="91" customWidth="1"/>
    <col min="10763" max="10763" width="15" style="91" customWidth="1"/>
    <col min="10764" max="10764" width="10.28515625" style="91" customWidth="1"/>
    <col min="10765" max="10765" width="15.7109375" style="91" customWidth="1"/>
    <col min="10766" max="10766" width="9.5703125" style="91" customWidth="1"/>
    <col min="10767" max="10767" width="11.42578125" style="91" customWidth="1"/>
    <col min="10768" max="10768" width="12" style="91" customWidth="1"/>
    <col min="10769" max="11011" width="9.28515625" style="91"/>
    <col min="11012" max="11012" width="6" style="91" customWidth="1"/>
    <col min="11013" max="11013" width="22.28515625" style="91" customWidth="1"/>
    <col min="11014" max="11014" width="5.42578125" style="91" customWidth="1"/>
    <col min="11015" max="11015" width="5.28515625" style="91" customWidth="1"/>
    <col min="11016" max="11016" width="21.28515625" style="91" customWidth="1"/>
    <col min="11017" max="11017" width="17.28515625" style="91" customWidth="1"/>
    <col min="11018" max="11018" width="10.28515625" style="91" customWidth="1"/>
    <col min="11019" max="11019" width="15" style="91" customWidth="1"/>
    <col min="11020" max="11020" width="10.28515625" style="91" customWidth="1"/>
    <col min="11021" max="11021" width="15.7109375" style="91" customWidth="1"/>
    <col min="11022" max="11022" width="9.5703125" style="91" customWidth="1"/>
    <col min="11023" max="11023" width="11.42578125" style="91" customWidth="1"/>
    <col min="11024" max="11024" width="12" style="91" customWidth="1"/>
    <col min="11025" max="11267" width="9.28515625" style="91"/>
    <col min="11268" max="11268" width="6" style="91" customWidth="1"/>
    <col min="11269" max="11269" width="22.28515625" style="91" customWidth="1"/>
    <col min="11270" max="11270" width="5.42578125" style="91" customWidth="1"/>
    <col min="11271" max="11271" width="5.28515625" style="91" customWidth="1"/>
    <col min="11272" max="11272" width="21.28515625" style="91" customWidth="1"/>
    <col min="11273" max="11273" width="17.28515625" style="91" customWidth="1"/>
    <col min="11274" max="11274" width="10.28515625" style="91" customWidth="1"/>
    <col min="11275" max="11275" width="15" style="91" customWidth="1"/>
    <col min="11276" max="11276" width="10.28515625" style="91" customWidth="1"/>
    <col min="11277" max="11277" width="15.7109375" style="91" customWidth="1"/>
    <col min="11278" max="11278" width="9.5703125" style="91" customWidth="1"/>
    <col min="11279" max="11279" width="11.42578125" style="91" customWidth="1"/>
    <col min="11280" max="11280" width="12" style="91" customWidth="1"/>
    <col min="11281" max="11523" width="9.28515625" style="91"/>
    <col min="11524" max="11524" width="6" style="91" customWidth="1"/>
    <col min="11525" max="11525" width="22.28515625" style="91" customWidth="1"/>
    <col min="11526" max="11526" width="5.42578125" style="91" customWidth="1"/>
    <col min="11527" max="11527" width="5.28515625" style="91" customWidth="1"/>
    <col min="11528" max="11528" width="21.28515625" style="91" customWidth="1"/>
    <col min="11529" max="11529" width="17.28515625" style="91" customWidth="1"/>
    <col min="11530" max="11530" width="10.28515625" style="91" customWidth="1"/>
    <col min="11531" max="11531" width="15" style="91" customWidth="1"/>
    <col min="11532" max="11532" width="10.28515625" style="91" customWidth="1"/>
    <col min="11533" max="11533" width="15.7109375" style="91" customWidth="1"/>
    <col min="11534" max="11534" width="9.5703125" style="91" customWidth="1"/>
    <col min="11535" max="11535" width="11.42578125" style="91" customWidth="1"/>
    <col min="11536" max="11536" width="12" style="91" customWidth="1"/>
    <col min="11537" max="11779" width="9.28515625" style="91"/>
    <col min="11780" max="11780" width="6" style="91" customWidth="1"/>
    <col min="11781" max="11781" width="22.28515625" style="91" customWidth="1"/>
    <col min="11782" max="11782" width="5.42578125" style="91" customWidth="1"/>
    <col min="11783" max="11783" width="5.28515625" style="91" customWidth="1"/>
    <col min="11784" max="11784" width="21.28515625" style="91" customWidth="1"/>
    <col min="11785" max="11785" width="17.28515625" style="91" customWidth="1"/>
    <col min="11786" max="11786" width="10.28515625" style="91" customWidth="1"/>
    <col min="11787" max="11787" width="15" style="91" customWidth="1"/>
    <col min="11788" max="11788" width="10.28515625" style="91" customWidth="1"/>
    <col min="11789" max="11789" width="15.7109375" style="91" customWidth="1"/>
    <col min="11790" max="11790" width="9.5703125" style="91" customWidth="1"/>
    <col min="11791" max="11791" width="11.42578125" style="91" customWidth="1"/>
    <col min="11792" max="11792" width="12" style="91" customWidth="1"/>
    <col min="11793" max="12035" width="9.28515625" style="91"/>
    <col min="12036" max="12036" width="6" style="91" customWidth="1"/>
    <col min="12037" max="12037" width="22.28515625" style="91" customWidth="1"/>
    <col min="12038" max="12038" width="5.42578125" style="91" customWidth="1"/>
    <col min="12039" max="12039" width="5.28515625" style="91" customWidth="1"/>
    <col min="12040" max="12040" width="21.28515625" style="91" customWidth="1"/>
    <col min="12041" max="12041" width="17.28515625" style="91" customWidth="1"/>
    <col min="12042" max="12042" width="10.28515625" style="91" customWidth="1"/>
    <col min="12043" max="12043" width="15" style="91" customWidth="1"/>
    <col min="12044" max="12044" width="10.28515625" style="91" customWidth="1"/>
    <col min="12045" max="12045" width="15.7109375" style="91" customWidth="1"/>
    <col min="12046" max="12046" width="9.5703125" style="91" customWidth="1"/>
    <col min="12047" max="12047" width="11.42578125" style="91" customWidth="1"/>
    <col min="12048" max="12048" width="12" style="91" customWidth="1"/>
    <col min="12049" max="12291" width="9.28515625" style="91"/>
    <col min="12292" max="12292" width="6" style="91" customWidth="1"/>
    <col min="12293" max="12293" width="22.28515625" style="91" customWidth="1"/>
    <col min="12294" max="12294" width="5.42578125" style="91" customWidth="1"/>
    <col min="12295" max="12295" width="5.28515625" style="91" customWidth="1"/>
    <col min="12296" max="12296" width="21.28515625" style="91" customWidth="1"/>
    <col min="12297" max="12297" width="17.28515625" style="91" customWidth="1"/>
    <col min="12298" max="12298" width="10.28515625" style="91" customWidth="1"/>
    <col min="12299" max="12299" width="15" style="91" customWidth="1"/>
    <col min="12300" max="12300" width="10.28515625" style="91" customWidth="1"/>
    <col min="12301" max="12301" width="15.7109375" style="91" customWidth="1"/>
    <col min="12302" max="12302" width="9.5703125" style="91" customWidth="1"/>
    <col min="12303" max="12303" width="11.42578125" style="91" customWidth="1"/>
    <col min="12304" max="12304" width="12" style="91" customWidth="1"/>
    <col min="12305" max="12547" width="9.28515625" style="91"/>
    <col min="12548" max="12548" width="6" style="91" customWidth="1"/>
    <col min="12549" max="12549" width="22.28515625" style="91" customWidth="1"/>
    <col min="12550" max="12550" width="5.42578125" style="91" customWidth="1"/>
    <col min="12551" max="12551" width="5.28515625" style="91" customWidth="1"/>
    <col min="12552" max="12552" width="21.28515625" style="91" customWidth="1"/>
    <col min="12553" max="12553" width="17.28515625" style="91" customWidth="1"/>
    <col min="12554" max="12554" width="10.28515625" style="91" customWidth="1"/>
    <col min="12555" max="12555" width="15" style="91" customWidth="1"/>
    <col min="12556" max="12556" width="10.28515625" style="91" customWidth="1"/>
    <col min="12557" max="12557" width="15.7109375" style="91" customWidth="1"/>
    <col min="12558" max="12558" width="9.5703125" style="91" customWidth="1"/>
    <col min="12559" max="12559" width="11.42578125" style="91" customWidth="1"/>
    <col min="12560" max="12560" width="12" style="91" customWidth="1"/>
    <col min="12561" max="12803" width="9.28515625" style="91"/>
    <col min="12804" max="12804" width="6" style="91" customWidth="1"/>
    <col min="12805" max="12805" width="22.28515625" style="91" customWidth="1"/>
    <col min="12806" max="12806" width="5.42578125" style="91" customWidth="1"/>
    <col min="12807" max="12807" width="5.28515625" style="91" customWidth="1"/>
    <col min="12808" max="12808" width="21.28515625" style="91" customWidth="1"/>
    <col min="12809" max="12809" width="17.28515625" style="91" customWidth="1"/>
    <col min="12810" max="12810" width="10.28515625" style="91" customWidth="1"/>
    <col min="12811" max="12811" width="15" style="91" customWidth="1"/>
    <col min="12812" max="12812" width="10.28515625" style="91" customWidth="1"/>
    <col min="12813" max="12813" width="15.7109375" style="91" customWidth="1"/>
    <col min="12814" max="12814" width="9.5703125" style="91" customWidth="1"/>
    <col min="12815" max="12815" width="11.42578125" style="91" customWidth="1"/>
    <col min="12816" max="12816" width="12" style="91" customWidth="1"/>
    <col min="12817" max="13059" width="9.28515625" style="91"/>
    <col min="13060" max="13060" width="6" style="91" customWidth="1"/>
    <col min="13061" max="13061" width="22.28515625" style="91" customWidth="1"/>
    <col min="13062" max="13062" width="5.42578125" style="91" customWidth="1"/>
    <col min="13063" max="13063" width="5.28515625" style="91" customWidth="1"/>
    <col min="13064" max="13064" width="21.28515625" style="91" customWidth="1"/>
    <col min="13065" max="13065" width="17.28515625" style="91" customWidth="1"/>
    <col min="13066" max="13066" width="10.28515625" style="91" customWidth="1"/>
    <col min="13067" max="13067" width="15" style="91" customWidth="1"/>
    <col min="13068" max="13068" width="10.28515625" style="91" customWidth="1"/>
    <col min="13069" max="13069" width="15.7109375" style="91" customWidth="1"/>
    <col min="13070" max="13070" width="9.5703125" style="91" customWidth="1"/>
    <col min="13071" max="13071" width="11.42578125" style="91" customWidth="1"/>
    <col min="13072" max="13072" width="12" style="91" customWidth="1"/>
    <col min="13073" max="13315" width="9.28515625" style="91"/>
    <col min="13316" max="13316" width="6" style="91" customWidth="1"/>
    <col min="13317" max="13317" width="22.28515625" style="91" customWidth="1"/>
    <col min="13318" max="13318" width="5.42578125" style="91" customWidth="1"/>
    <col min="13319" max="13319" width="5.28515625" style="91" customWidth="1"/>
    <col min="13320" max="13320" width="21.28515625" style="91" customWidth="1"/>
    <col min="13321" max="13321" width="17.28515625" style="91" customWidth="1"/>
    <col min="13322" max="13322" width="10.28515625" style="91" customWidth="1"/>
    <col min="13323" max="13323" width="15" style="91" customWidth="1"/>
    <col min="13324" max="13324" width="10.28515625" style="91" customWidth="1"/>
    <col min="13325" max="13325" width="15.7109375" style="91" customWidth="1"/>
    <col min="13326" max="13326" width="9.5703125" style="91" customWidth="1"/>
    <col min="13327" max="13327" width="11.42578125" style="91" customWidth="1"/>
    <col min="13328" max="13328" width="12" style="91" customWidth="1"/>
    <col min="13329" max="13571" width="9.28515625" style="91"/>
    <col min="13572" max="13572" width="6" style="91" customWidth="1"/>
    <col min="13573" max="13573" width="22.28515625" style="91" customWidth="1"/>
    <col min="13574" max="13574" width="5.42578125" style="91" customWidth="1"/>
    <col min="13575" max="13575" width="5.28515625" style="91" customWidth="1"/>
    <col min="13576" max="13576" width="21.28515625" style="91" customWidth="1"/>
    <col min="13577" max="13577" width="17.28515625" style="91" customWidth="1"/>
    <col min="13578" max="13578" width="10.28515625" style="91" customWidth="1"/>
    <col min="13579" max="13579" width="15" style="91" customWidth="1"/>
    <col min="13580" max="13580" width="10.28515625" style="91" customWidth="1"/>
    <col min="13581" max="13581" width="15.7109375" style="91" customWidth="1"/>
    <col min="13582" max="13582" width="9.5703125" style="91" customWidth="1"/>
    <col min="13583" max="13583" width="11.42578125" style="91" customWidth="1"/>
    <col min="13584" max="13584" width="12" style="91" customWidth="1"/>
    <col min="13585" max="13827" width="9.28515625" style="91"/>
    <col min="13828" max="13828" width="6" style="91" customWidth="1"/>
    <col min="13829" max="13829" width="22.28515625" style="91" customWidth="1"/>
    <col min="13830" max="13830" width="5.42578125" style="91" customWidth="1"/>
    <col min="13831" max="13831" width="5.28515625" style="91" customWidth="1"/>
    <col min="13832" max="13832" width="21.28515625" style="91" customWidth="1"/>
    <col min="13833" max="13833" width="17.28515625" style="91" customWidth="1"/>
    <col min="13834" max="13834" width="10.28515625" style="91" customWidth="1"/>
    <col min="13835" max="13835" width="15" style="91" customWidth="1"/>
    <col min="13836" max="13836" width="10.28515625" style="91" customWidth="1"/>
    <col min="13837" max="13837" width="15.7109375" style="91" customWidth="1"/>
    <col min="13838" max="13838" width="9.5703125" style="91" customWidth="1"/>
    <col min="13839" max="13839" width="11.42578125" style="91" customWidth="1"/>
    <col min="13840" max="13840" width="12" style="91" customWidth="1"/>
    <col min="13841" max="14083" width="9.28515625" style="91"/>
    <col min="14084" max="14084" width="6" style="91" customWidth="1"/>
    <col min="14085" max="14085" width="22.28515625" style="91" customWidth="1"/>
    <col min="14086" max="14086" width="5.42578125" style="91" customWidth="1"/>
    <col min="14087" max="14087" width="5.28515625" style="91" customWidth="1"/>
    <col min="14088" max="14088" width="21.28515625" style="91" customWidth="1"/>
    <col min="14089" max="14089" width="17.28515625" style="91" customWidth="1"/>
    <col min="14090" max="14090" width="10.28515625" style="91" customWidth="1"/>
    <col min="14091" max="14091" width="15" style="91" customWidth="1"/>
    <col min="14092" max="14092" width="10.28515625" style="91" customWidth="1"/>
    <col min="14093" max="14093" width="15.7109375" style="91" customWidth="1"/>
    <col min="14094" max="14094" width="9.5703125" style="91" customWidth="1"/>
    <col min="14095" max="14095" width="11.42578125" style="91" customWidth="1"/>
    <col min="14096" max="14096" width="12" style="91" customWidth="1"/>
    <col min="14097" max="14339" width="9.28515625" style="91"/>
    <col min="14340" max="14340" width="6" style="91" customWidth="1"/>
    <col min="14341" max="14341" width="22.28515625" style="91" customWidth="1"/>
    <col min="14342" max="14342" width="5.42578125" style="91" customWidth="1"/>
    <col min="14343" max="14343" width="5.28515625" style="91" customWidth="1"/>
    <col min="14344" max="14344" width="21.28515625" style="91" customWidth="1"/>
    <col min="14345" max="14345" width="17.28515625" style="91" customWidth="1"/>
    <col min="14346" max="14346" width="10.28515625" style="91" customWidth="1"/>
    <col min="14347" max="14347" width="15" style="91" customWidth="1"/>
    <col min="14348" max="14348" width="10.28515625" style="91" customWidth="1"/>
    <col min="14349" max="14349" width="15.7109375" style="91" customWidth="1"/>
    <col min="14350" max="14350" width="9.5703125" style="91" customWidth="1"/>
    <col min="14351" max="14351" width="11.42578125" style="91" customWidth="1"/>
    <col min="14352" max="14352" width="12" style="91" customWidth="1"/>
    <col min="14353" max="14595" width="9.28515625" style="91"/>
    <col min="14596" max="14596" width="6" style="91" customWidth="1"/>
    <col min="14597" max="14597" width="22.28515625" style="91" customWidth="1"/>
    <col min="14598" max="14598" width="5.42578125" style="91" customWidth="1"/>
    <col min="14599" max="14599" width="5.28515625" style="91" customWidth="1"/>
    <col min="14600" max="14600" width="21.28515625" style="91" customWidth="1"/>
    <col min="14601" max="14601" width="17.28515625" style="91" customWidth="1"/>
    <col min="14602" max="14602" width="10.28515625" style="91" customWidth="1"/>
    <col min="14603" max="14603" width="15" style="91" customWidth="1"/>
    <col min="14604" max="14604" width="10.28515625" style="91" customWidth="1"/>
    <col min="14605" max="14605" width="15.7109375" style="91" customWidth="1"/>
    <col min="14606" max="14606" width="9.5703125" style="91" customWidth="1"/>
    <col min="14607" max="14607" width="11.42578125" style="91" customWidth="1"/>
    <col min="14608" max="14608" width="12" style="91" customWidth="1"/>
    <col min="14609" max="14851" width="9.28515625" style="91"/>
    <col min="14852" max="14852" width="6" style="91" customWidth="1"/>
    <col min="14853" max="14853" width="22.28515625" style="91" customWidth="1"/>
    <col min="14854" max="14854" width="5.42578125" style="91" customWidth="1"/>
    <col min="14855" max="14855" width="5.28515625" style="91" customWidth="1"/>
    <col min="14856" max="14856" width="21.28515625" style="91" customWidth="1"/>
    <col min="14857" max="14857" width="17.28515625" style="91" customWidth="1"/>
    <col min="14858" max="14858" width="10.28515625" style="91" customWidth="1"/>
    <col min="14859" max="14859" width="15" style="91" customWidth="1"/>
    <col min="14860" max="14860" width="10.28515625" style="91" customWidth="1"/>
    <col min="14861" max="14861" width="15.7109375" style="91" customWidth="1"/>
    <col min="14862" max="14862" width="9.5703125" style="91" customWidth="1"/>
    <col min="14863" max="14863" width="11.42578125" style="91" customWidth="1"/>
    <col min="14864" max="14864" width="12" style="91" customWidth="1"/>
    <col min="14865" max="15107" width="9.28515625" style="91"/>
    <col min="15108" max="15108" width="6" style="91" customWidth="1"/>
    <col min="15109" max="15109" width="22.28515625" style="91" customWidth="1"/>
    <col min="15110" max="15110" width="5.42578125" style="91" customWidth="1"/>
    <col min="15111" max="15111" width="5.28515625" style="91" customWidth="1"/>
    <col min="15112" max="15112" width="21.28515625" style="91" customWidth="1"/>
    <col min="15113" max="15113" width="17.28515625" style="91" customWidth="1"/>
    <col min="15114" max="15114" width="10.28515625" style="91" customWidth="1"/>
    <col min="15115" max="15115" width="15" style="91" customWidth="1"/>
    <col min="15116" max="15116" width="10.28515625" style="91" customWidth="1"/>
    <col min="15117" max="15117" width="15.7109375" style="91" customWidth="1"/>
    <col min="15118" max="15118" width="9.5703125" style="91" customWidth="1"/>
    <col min="15119" max="15119" width="11.42578125" style="91" customWidth="1"/>
    <col min="15120" max="15120" width="12" style="91" customWidth="1"/>
    <col min="15121" max="15363" width="9.28515625" style="91"/>
    <col min="15364" max="15364" width="6" style="91" customWidth="1"/>
    <col min="15365" max="15365" width="22.28515625" style="91" customWidth="1"/>
    <col min="15366" max="15366" width="5.42578125" style="91" customWidth="1"/>
    <col min="15367" max="15367" width="5.28515625" style="91" customWidth="1"/>
    <col min="15368" max="15368" width="21.28515625" style="91" customWidth="1"/>
    <col min="15369" max="15369" width="17.28515625" style="91" customWidth="1"/>
    <col min="15370" max="15370" width="10.28515625" style="91" customWidth="1"/>
    <col min="15371" max="15371" width="15" style="91" customWidth="1"/>
    <col min="15372" max="15372" width="10.28515625" style="91" customWidth="1"/>
    <col min="15373" max="15373" width="15.7109375" style="91" customWidth="1"/>
    <col min="15374" max="15374" width="9.5703125" style="91" customWidth="1"/>
    <col min="15375" max="15375" width="11.42578125" style="91" customWidth="1"/>
    <col min="15376" max="15376" width="12" style="91" customWidth="1"/>
    <col min="15377" max="15619" width="9.28515625" style="91"/>
    <col min="15620" max="15620" width="6" style="91" customWidth="1"/>
    <col min="15621" max="15621" width="22.28515625" style="91" customWidth="1"/>
    <col min="15622" max="15622" width="5.42578125" style="91" customWidth="1"/>
    <col min="15623" max="15623" width="5.28515625" style="91" customWidth="1"/>
    <col min="15624" max="15624" width="21.28515625" style="91" customWidth="1"/>
    <col min="15625" max="15625" width="17.28515625" style="91" customWidth="1"/>
    <col min="15626" max="15626" width="10.28515625" style="91" customWidth="1"/>
    <col min="15627" max="15627" width="15" style="91" customWidth="1"/>
    <col min="15628" max="15628" width="10.28515625" style="91" customWidth="1"/>
    <col min="15629" max="15629" width="15.7109375" style="91" customWidth="1"/>
    <col min="15630" max="15630" width="9.5703125" style="91" customWidth="1"/>
    <col min="15631" max="15631" width="11.42578125" style="91" customWidth="1"/>
    <col min="15632" max="15632" width="12" style="91" customWidth="1"/>
    <col min="15633" max="15875" width="9.28515625" style="91"/>
    <col min="15876" max="15876" width="6" style="91" customWidth="1"/>
    <col min="15877" max="15877" width="22.28515625" style="91" customWidth="1"/>
    <col min="15878" max="15878" width="5.42578125" style="91" customWidth="1"/>
    <col min="15879" max="15879" width="5.28515625" style="91" customWidth="1"/>
    <col min="15880" max="15880" width="21.28515625" style="91" customWidth="1"/>
    <col min="15881" max="15881" width="17.28515625" style="91" customWidth="1"/>
    <col min="15882" max="15882" width="10.28515625" style="91" customWidth="1"/>
    <col min="15883" max="15883" width="15" style="91" customWidth="1"/>
    <col min="15884" max="15884" width="10.28515625" style="91" customWidth="1"/>
    <col min="15885" max="15885" width="15.7109375" style="91" customWidth="1"/>
    <col min="15886" max="15886" width="9.5703125" style="91" customWidth="1"/>
    <col min="15887" max="15887" width="11.42578125" style="91" customWidth="1"/>
    <col min="15888" max="15888" width="12" style="91" customWidth="1"/>
    <col min="15889" max="16131" width="9.28515625" style="91"/>
    <col min="16132" max="16132" width="6" style="91" customWidth="1"/>
    <col min="16133" max="16133" width="22.28515625" style="91" customWidth="1"/>
    <col min="16134" max="16134" width="5.42578125" style="91" customWidth="1"/>
    <col min="16135" max="16135" width="5.28515625" style="91" customWidth="1"/>
    <col min="16136" max="16136" width="21.28515625" style="91" customWidth="1"/>
    <col min="16137" max="16137" width="17.28515625" style="91" customWidth="1"/>
    <col min="16138" max="16138" width="10.28515625" style="91" customWidth="1"/>
    <col min="16139" max="16139" width="15" style="91" customWidth="1"/>
    <col min="16140" max="16140" width="10.28515625" style="91" customWidth="1"/>
    <col min="16141" max="16141" width="15.7109375" style="91" customWidth="1"/>
    <col min="16142" max="16142" width="9.5703125" style="91" customWidth="1"/>
    <col min="16143" max="16143" width="11.42578125" style="91" customWidth="1"/>
    <col min="16144" max="16144" width="12" style="91" customWidth="1"/>
    <col min="16145" max="16384" width="9.28515625" style="91"/>
  </cols>
  <sheetData>
    <row r="1" spans="1:43" ht="15.75" x14ac:dyDescent="0.25">
      <c r="A1" s="294" t="s">
        <v>266</v>
      </c>
      <c r="B1" s="294"/>
      <c r="C1" s="294"/>
      <c r="D1" s="294"/>
      <c r="E1" s="294"/>
      <c r="F1" s="294"/>
      <c r="G1" s="294"/>
      <c r="H1" s="294"/>
      <c r="I1" s="294"/>
      <c r="J1" s="294"/>
      <c r="K1" s="294"/>
      <c r="L1" s="294"/>
      <c r="M1" s="294"/>
      <c r="N1" s="294"/>
      <c r="O1" s="294"/>
      <c r="P1" s="294"/>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75" x14ac:dyDescent="0.25">
      <c r="A2" s="294" t="s">
        <v>267</v>
      </c>
      <c r="B2" s="294"/>
      <c r="C2" s="294"/>
      <c r="D2" s="294"/>
      <c r="E2" s="294"/>
      <c r="F2" s="294"/>
      <c r="G2" s="294"/>
      <c r="H2" s="294"/>
      <c r="I2" s="294"/>
      <c r="J2" s="294"/>
      <c r="K2" s="294"/>
      <c r="L2" s="294"/>
      <c r="M2" s="294"/>
      <c r="N2" s="294"/>
      <c r="O2" s="294"/>
      <c r="P2" s="294"/>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75" x14ac:dyDescent="0.25">
      <c r="A3" s="294" t="s">
        <v>268</v>
      </c>
      <c r="B3" s="294"/>
      <c r="C3" s="294"/>
      <c r="D3" s="294"/>
      <c r="E3" s="294"/>
      <c r="F3" s="294"/>
      <c r="G3" s="294"/>
      <c r="H3" s="294"/>
      <c r="I3" s="294"/>
      <c r="J3" s="294"/>
      <c r="K3" s="294"/>
      <c r="L3" s="294"/>
      <c r="M3" s="294"/>
      <c r="N3" s="294"/>
      <c r="O3" s="294"/>
      <c r="P3" s="294"/>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75" x14ac:dyDescent="0.25">
      <c r="A4" s="294" t="s">
        <v>269</v>
      </c>
      <c r="B4" s="294"/>
      <c r="C4" s="294"/>
      <c r="D4" s="294"/>
      <c r="E4" s="294"/>
      <c r="F4" s="294"/>
      <c r="G4" s="294"/>
      <c r="H4" s="294"/>
      <c r="I4" s="294"/>
      <c r="J4" s="294"/>
      <c r="K4" s="294"/>
      <c r="L4" s="294"/>
      <c r="M4" s="294"/>
      <c r="N4" s="294"/>
      <c r="O4" s="294"/>
      <c r="P4" s="294"/>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75" x14ac:dyDescent="0.25">
      <c r="A5" s="294" t="s">
        <v>832</v>
      </c>
      <c r="B5" s="294"/>
      <c r="C5" s="294"/>
      <c r="D5" s="294"/>
      <c r="E5" s="294"/>
      <c r="F5" s="294"/>
      <c r="G5" s="294"/>
      <c r="H5" s="294"/>
      <c r="I5" s="294"/>
      <c r="J5" s="294"/>
      <c r="K5" s="294"/>
      <c r="L5" s="294"/>
      <c r="M5" s="294"/>
      <c r="N5" s="294"/>
      <c r="O5" s="294"/>
      <c r="P5" s="294"/>
    </row>
    <row r="6" spans="1:43" ht="9.75" customHeight="1" x14ac:dyDescent="0.25"/>
    <row r="7" spans="1:43" x14ac:dyDescent="0.25">
      <c r="A7" s="92" t="s">
        <v>833</v>
      </c>
    </row>
    <row r="8" spans="1:43" ht="17.649999999999999" customHeight="1" x14ac:dyDescent="0.25">
      <c r="A8" s="93" t="s">
        <v>270</v>
      </c>
      <c r="D8" s="295" t="str">
        <f>IF('DR-TB 10A (Sputum &amp; EP Sample)'!C8="","",'DR-TB 10A (Sputum &amp; EP Sample)'!C8)</f>
        <v/>
      </c>
      <c r="E8" s="295"/>
      <c r="F8" s="295"/>
      <c r="H8" s="94" t="s">
        <v>271</v>
      </c>
      <c r="I8" s="156" t="str">
        <f>'DR-TB 10A (Sputum &amp; EP Sample)'!L6</f>
        <v>&lt;Dates&gt;</v>
      </c>
      <c r="J8" s="156"/>
      <c r="K8" s="156"/>
      <c r="L8" s="156"/>
      <c r="M8" s="156"/>
      <c r="N8" s="156"/>
      <c r="O8" s="156"/>
      <c r="P8" s="156"/>
      <c r="Q8" s="157"/>
    </row>
    <row r="9" spans="1:43" ht="17.649999999999999" customHeight="1" x14ac:dyDescent="0.25">
      <c r="A9" s="95" t="s">
        <v>834</v>
      </c>
      <c r="F9" s="20">
        <f>'DR-TB 10A (Sputum &amp; EP Sample)'!F18+'DR-TB 10A (Stool)'!F18</f>
        <v>0</v>
      </c>
    </row>
    <row r="10" spans="1:43" ht="24.6" customHeight="1" x14ac:dyDescent="0.25">
      <c r="A10" s="91" t="s">
        <v>865</v>
      </c>
      <c r="B10" s="91">
        <v>2</v>
      </c>
    </row>
    <row r="11" spans="1:43" s="96" customFormat="1" ht="55.15" customHeight="1" x14ac:dyDescent="0.25">
      <c r="A11" s="296" t="s">
        <v>272</v>
      </c>
      <c r="B11" s="297" t="s">
        <v>843</v>
      </c>
      <c r="C11" s="298" t="s">
        <v>273</v>
      </c>
      <c r="D11" s="298" t="s">
        <v>277</v>
      </c>
      <c r="E11" s="298" t="s">
        <v>679</v>
      </c>
      <c r="F11" s="298" t="s">
        <v>274</v>
      </c>
      <c r="G11" s="298" t="s">
        <v>835</v>
      </c>
      <c r="H11" s="298" t="s">
        <v>849</v>
      </c>
      <c r="I11" s="297" t="s">
        <v>842</v>
      </c>
      <c r="J11" s="298" t="s">
        <v>275</v>
      </c>
      <c r="K11" s="298" t="s">
        <v>836</v>
      </c>
      <c r="L11" s="298" t="s">
        <v>875</v>
      </c>
      <c r="M11" s="297" t="s">
        <v>823</v>
      </c>
      <c r="N11" s="297"/>
      <c r="O11" s="297"/>
      <c r="P11" s="297"/>
      <c r="Q11" s="297"/>
      <c r="R11" s="297"/>
      <c r="S11" s="297"/>
      <c r="T11" s="298" t="s">
        <v>824</v>
      </c>
      <c r="U11" s="298" t="s">
        <v>278</v>
      </c>
      <c r="V11" s="298" t="s">
        <v>703</v>
      </c>
      <c r="W11" s="298" t="s">
        <v>825</v>
      </c>
      <c r="X11" s="298" t="s">
        <v>838</v>
      </c>
      <c r="Y11" s="298" t="s">
        <v>276</v>
      </c>
    </row>
    <row r="12" spans="1:43" s="96" customFormat="1" ht="55.15" customHeight="1" x14ac:dyDescent="0.25">
      <c r="A12" s="296"/>
      <c r="B12" s="297"/>
      <c r="C12" s="299"/>
      <c r="D12" s="299"/>
      <c r="E12" s="299"/>
      <c r="F12" s="299"/>
      <c r="G12" s="299"/>
      <c r="H12" s="299"/>
      <c r="I12" s="297"/>
      <c r="J12" s="299"/>
      <c r="K12" s="299"/>
      <c r="L12" s="299"/>
      <c r="M12" s="154" t="s">
        <v>815</v>
      </c>
      <c r="N12" s="154" t="s">
        <v>826</v>
      </c>
      <c r="O12" s="154" t="s">
        <v>827</v>
      </c>
      <c r="P12" s="154" t="s">
        <v>828</v>
      </c>
      <c r="Q12" s="154" t="s">
        <v>829</v>
      </c>
      <c r="R12" s="154" t="s">
        <v>830</v>
      </c>
      <c r="S12" s="154" t="s">
        <v>831</v>
      </c>
      <c r="T12" s="299"/>
      <c r="U12" s="299"/>
      <c r="V12" s="299"/>
      <c r="W12" s="299"/>
      <c r="X12" s="299"/>
      <c r="Y12" s="299"/>
    </row>
    <row r="13" spans="1:43" s="135" customFormat="1" ht="55.15" customHeight="1" x14ac:dyDescent="0.25">
      <c r="A13" s="149" t="s">
        <v>851</v>
      </c>
      <c r="B13" s="149" t="s">
        <v>852</v>
      </c>
      <c r="C13" s="149" t="s">
        <v>853</v>
      </c>
      <c r="D13" s="149" t="s">
        <v>854</v>
      </c>
      <c r="E13" s="149" t="s">
        <v>855</v>
      </c>
      <c r="F13" s="150" t="s">
        <v>856</v>
      </c>
      <c r="G13" s="150" t="s">
        <v>857</v>
      </c>
      <c r="H13" s="151" t="s">
        <v>874</v>
      </c>
      <c r="I13" s="137" t="s">
        <v>866</v>
      </c>
      <c r="J13" s="149" t="s">
        <v>858</v>
      </c>
      <c r="K13" s="149" t="s">
        <v>859</v>
      </c>
      <c r="L13" s="149" t="s">
        <v>876</v>
      </c>
      <c r="M13" s="153" t="s">
        <v>867</v>
      </c>
      <c r="N13" s="153" t="s">
        <v>868</v>
      </c>
      <c r="O13" s="153" t="s">
        <v>869</v>
      </c>
      <c r="P13" s="153" t="s">
        <v>870</v>
      </c>
      <c r="Q13" s="153" t="s">
        <v>871</v>
      </c>
      <c r="R13" s="153" t="s">
        <v>872</v>
      </c>
      <c r="S13" s="153" t="s">
        <v>873</v>
      </c>
      <c r="T13" s="149" t="s">
        <v>860</v>
      </c>
      <c r="U13" s="149" t="s">
        <v>861</v>
      </c>
      <c r="V13" s="149" t="s">
        <v>862</v>
      </c>
      <c r="W13" s="142" t="s">
        <v>858</v>
      </c>
      <c r="X13" s="149" t="s">
        <v>863</v>
      </c>
      <c r="Y13" s="152" t="s">
        <v>864</v>
      </c>
    </row>
    <row r="14" spans="1:43" hidden="1" x14ac:dyDescent="0.25">
      <c r="C14" s="97"/>
      <c r="I14" s="137"/>
    </row>
    <row r="15" spans="1:43" x14ac:dyDescent="0.25">
      <c r="C15" s="97"/>
      <c r="I15" s="148"/>
    </row>
    <row r="16" spans="1:43" ht="54.75" customHeight="1" x14ac:dyDescent="0.25">
      <c r="A16" s="293" t="s">
        <v>767</v>
      </c>
      <c r="B16" s="293"/>
      <c r="C16" s="293"/>
      <c r="D16" s="293"/>
      <c r="E16" s="293"/>
      <c r="F16" s="293"/>
      <c r="G16" s="293"/>
      <c r="H16" s="293"/>
      <c r="I16" s="293"/>
      <c r="J16" s="293"/>
      <c r="K16" s="293"/>
      <c r="L16" s="293"/>
      <c r="M16" s="293"/>
      <c r="N16" s="293"/>
      <c r="O16" s="293"/>
      <c r="P16" s="293"/>
    </row>
    <row r="17" spans="1:16" ht="16.5" customHeight="1" x14ac:dyDescent="0.25">
      <c r="A17" s="19" t="s">
        <v>837</v>
      </c>
      <c r="B17" s="98"/>
      <c r="C17" s="98"/>
      <c r="D17" s="98"/>
      <c r="E17" s="98"/>
      <c r="F17" s="98"/>
      <c r="G17" s="98"/>
      <c r="H17" s="98"/>
      <c r="I17" s="98"/>
      <c r="J17" s="98"/>
      <c r="K17" s="98"/>
      <c r="L17" s="98"/>
      <c r="M17" s="98"/>
      <c r="N17" s="98"/>
      <c r="O17" s="98"/>
      <c r="P17" s="98"/>
    </row>
  </sheetData>
  <sheetProtection insertRows="0" deleteRows="0"/>
  <mergeCells count="27">
    <mergeCell ref="I11:I12"/>
    <mergeCell ref="V11:V12"/>
    <mergeCell ref="W11:W12"/>
    <mergeCell ref="X11:X12"/>
    <mergeCell ref="Y11:Y12"/>
    <mergeCell ref="J11:J12"/>
    <mergeCell ref="L11:L12"/>
    <mergeCell ref="M11:S11"/>
    <mergeCell ref="T11:T12"/>
    <mergeCell ref="U11:U12"/>
    <mergeCell ref="K11:K12"/>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xr:uid="{00000000-0002-0000-0200-000000000000}">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xr:uid="{00000000-0002-0000-0200-000001000000}">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xr:uid="{00000000-0002-0000-0200-000002000000}">
      <formula1>"2015, 2016,2017,2018,2019, 2020"</formula1>
    </dataValidation>
    <dataValidation type="list" allowBlank="1" showInputMessage="1" showErrorMessage="1" sqref="S13" xr:uid="{00000000-0002-0000-0200-000003000000}">
      <formula1>"Not Detected, Resistance, Invalid, Error, No result"</formula1>
    </dataValidation>
    <dataValidation type="list" allowBlank="1" showInputMessage="1" showErrorMessage="1" sqref="P13:R13" xr:uid="{00000000-0002-0000-0200-000004000000}">
      <formula1>"Not Detected, Resistance, Indeterminate, Error, Invalid, No Result"</formula1>
    </dataValidation>
    <dataValidation type="list" allowBlank="1" showInputMessage="1" showErrorMessage="1" sqref="N13:O13" xr:uid="{00000000-0002-0000-0200-000005000000}">
      <formula1>"Not Detected, Resistance, Low Resistance, Indeterminate, Error, Invalid, No Result"</formula1>
    </dataValidation>
    <dataValidation type="list" allowBlank="1" showInputMessage="1" showErrorMessage="1" sqref="M13" xr:uid="{00000000-0002-0000-0200-000006000000}">
      <formula1>"Detected, Not Detected"</formula1>
    </dataValidation>
    <dataValidation type="list" allowBlank="1" showInputMessage="1" showErrorMessage="1" sqref="I13:I15" xr:uid="{00000000-0002-0000-0200-000007000000}">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3"/>
  <sheetViews>
    <sheetView workbookViewId="0">
      <selection activeCell="K11" sqref="K11:L11"/>
    </sheetView>
  </sheetViews>
  <sheetFormatPr defaultColWidth="9.28515625" defaultRowHeight="15" x14ac:dyDescent="0.25"/>
  <cols>
    <col min="1" max="1" width="11" style="101" customWidth="1"/>
    <col min="2" max="2" width="9.28515625" style="101"/>
    <col min="3" max="3" width="11.7109375" style="101" customWidth="1"/>
    <col min="4" max="4" width="9.28515625" style="101"/>
    <col min="5" max="5" width="10.7109375" style="101" customWidth="1"/>
    <col min="6" max="16384" width="9.28515625" style="101"/>
  </cols>
  <sheetData>
    <row r="1" spans="1:21" s="100" customFormat="1" ht="18" x14ac:dyDescent="0.25">
      <c r="A1" s="304" t="s">
        <v>698</v>
      </c>
      <c r="B1" s="304"/>
      <c r="C1" s="304"/>
      <c r="D1" s="304"/>
      <c r="E1" s="304"/>
      <c r="F1" s="304"/>
      <c r="G1" s="304"/>
      <c r="H1" s="304"/>
      <c r="I1" s="304"/>
      <c r="J1" s="304"/>
      <c r="K1" s="304"/>
      <c r="L1" s="304"/>
      <c r="M1" s="304"/>
      <c r="N1" s="304"/>
      <c r="O1" s="304"/>
      <c r="P1" s="304" t="s">
        <v>697</v>
      </c>
      <c r="Q1" s="304"/>
      <c r="R1" s="304"/>
      <c r="S1" s="304"/>
      <c r="T1" s="99"/>
      <c r="U1" s="99"/>
    </row>
    <row r="2" spans="1:21" s="100" customFormat="1" ht="18" x14ac:dyDescent="0.25">
      <c r="A2" s="304" t="s">
        <v>63</v>
      </c>
      <c r="B2" s="304"/>
      <c r="C2" s="304"/>
      <c r="D2" s="304"/>
      <c r="E2" s="304"/>
      <c r="F2" s="304"/>
      <c r="G2" s="304"/>
      <c r="H2" s="304"/>
      <c r="I2" s="304"/>
      <c r="J2" s="304"/>
      <c r="K2" s="304"/>
      <c r="L2" s="304"/>
      <c r="M2" s="304"/>
      <c r="N2" s="304"/>
      <c r="O2" s="304"/>
      <c r="P2" s="304"/>
      <c r="Q2" s="304"/>
      <c r="R2" s="304"/>
      <c r="S2" s="304"/>
      <c r="T2" s="304"/>
      <c r="U2" s="304"/>
    </row>
    <row r="3" spans="1:21" s="100" customFormat="1" ht="18" x14ac:dyDescent="0.25">
      <c r="A3" s="304" t="s">
        <v>680</v>
      </c>
      <c r="B3" s="304"/>
      <c r="C3" s="304"/>
      <c r="D3" s="304"/>
      <c r="E3" s="304"/>
      <c r="F3" s="304"/>
      <c r="G3" s="304"/>
      <c r="H3" s="304"/>
      <c r="I3" s="304"/>
      <c r="J3" s="304"/>
      <c r="K3" s="304"/>
      <c r="L3" s="304"/>
      <c r="M3" s="304"/>
      <c r="N3" s="304"/>
      <c r="O3" s="304"/>
      <c r="P3" s="304"/>
      <c r="Q3" s="304"/>
      <c r="R3" s="304"/>
      <c r="S3" s="34"/>
      <c r="T3" s="34"/>
      <c r="U3" s="34"/>
    </row>
    <row r="4" spans="1:21" s="100" customFormat="1" ht="18" x14ac:dyDescent="0.25">
      <c r="A4" s="34"/>
      <c r="B4" s="34"/>
      <c r="C4" s="34"/>
      <c r="D4" s="34"/>
      <c r="E4" s="34"/>
      <c r="F4" s="34"/>
      <c r="G4" s="34"/>
      <c r="H4" s="34"/>
      <c r="I4" s="34"/>
      <c r="J4" s="34"/>
      <c r="K4" s="34"/>
      <c r="L4" s="34"/>
      <c r="M4" s="34"/>
      <c r="N4" s="34"/>
      <c r="O4" s="34"/>
      <c r="P4" s="34"/>
      <c r="Q4" s="34"/>
      <c r="R4" s="34"/>
      <c r="S4" s="34"/>
      <c r="T4" s="34"/>
      <c r="U4" s="34"/>
    </row>
    <row r="5" spans="1:21" s="100" customFormat="1" ht="18" x14ac:dyDescent="0.25">
      <c r="A5" s="304" t="s">
        <v>681</v>
      </c>
      <c r="B5" s="304"/>
      <c r="C5" s="304"/>
      <c r="D5" s="304"/>
      <c r="E5" s="304"/>
      <c r="F5" s="304"/>
      <c r="G5" s="304"/>
      <c r="H5" s="304"/>
      <c r="I5" s="304"/>
      <c r="J5" s="304"/>
      <c r="K5" s="304"/>
      <c r="L5" s="304"/>
      <c r="M5" s="304"/>
      <c r="N5" s="304"/>
      <c r="O5" s="304"/>
      <c r="P5" s="304"/>
      <c r="Q5" s="304"/>
      <c r="R5" s="304"/>
      <c r="S5" s="304"/>
      <c r="T5" s="304"/>
      <c r="U5" s="304"/>
    </row>
    <row r="6" spans="1:21" ht="15.75" x14ac:dyDescent="0.25">
      <c r="A6" s="2"/>
      <c r="B6" s="2"/>
      <c r="C6" s="2"/>
      <c r="D6" s="2"/>
      <c r="E6" s="2"/>
      <c r="F6" s="2"/>
      <c r="G6" s="2"/>
      <c r="H6" s="2"/>
      <c r="I6" s="2"/>
      <c r="J6" s="2"/>
      <c r="K6" s="2"/>
      <c r="L6" s="2"/>
      <c r="M6" s="2"/>
      <c r="N6" s="2"/>
      <c r="O6" s="2"/>
      <c r="P6" s="2"/>
      <c r="Q6" s="2"/>
      <c r="R6" s="2"/>
      <c r="S6" s="2"/>
      <c r="T6" s="2"/>
      <c r="U6" s="2"/>
    </row>
    <row r="7" spans="1:21" ht="15.75" x14ac:dyDescent="0.25">
      <c r="A7" s="2" t="s">
        <v>136</v>
      </c>
      <c r="B7" s="2"/>
      <c r="C7" s="313">
        <f>'DR-TB 10A (Sputum &amp; EP Sample)'!C6:G6</f>
        <v>0</v>
      </c>
      <c r="D7" s="313"/>
      <c r="E7" s="313"/>
      <c r="F7" s="313"/>
      <c r="G7" s="313"/>
      <c r="I7" s="2"/>
      <c r="J7" s="25" t="s">
        <v>14</v>
      </c>
      <c r="K7" s="100"/>
      <c r="L7" s="28" t="str">
        <f>'DR-TB 10A (Sputum &amp; EP Sample)'!L6</f>
        <v>&lt;Dates&gt;</v>
      </c>
    </row>
    <row r="8" spans="1:21" ht="17.25" x14ac:dyDescent="0.25">
      <c r="A8" s="2" t="s">
        <v>9</v>
      </c>
      <c r="B8" s="2"/>
      <c r="C8" s="321">
        <f>'DR-TB 10A (Sputum &amp; EP Sample)'!C7:G7</f>
        <v>0</v>
      </c>
      <c r="D8" s="321"/>
      <c r="E8" s="321"/>
      <c r="F8" s="321"/>
      <c r="G8" s="321"/>
      <c r="I8" s="102"/>
      <c r="J8" s="1" t="s">
        <v>682</v>
      </c>
      <c r="K8" s="24"/>
      <c r="L8" s="24"/>
      <c r="M8" s="24"/>
      <c r="N8" s="316">
        <f>'DR-TB 10A (Sputum &amp; EP Sample)'!N7:S7</f>
        <v>0</v>
      </c>
      <c r="O8" s="316"/>
      <c r="P8" s="316"/>
      <c r="Q8" s="316"/>
      <c r="R8" s="316"/>
      <c r="S8" s="316"/>
    </row>
    <row r="9" spans="1:21" ht="17.25" x14ac:dyDescent="0.25">
      <c r="A9" s="2" t="s">
        <v>10</v>
      </c>
      <c r="B9" s="2"/>
      <c r="C9" s="321">
        <f>'DR-TB 10A (Sputum &amp; EP Sample)'!C8:G8</f>
        <v>0</v>
      </c>
      <c r="D9" s="321"/>
      <c r="E9" s="321"/>
      <c r="F9" s="321"/>
      <c r="G9" s="321"/>
      <c r="I9" s="102"/>
      <c r="J9" s="102" t="s">
        <v>64</v>
      </c>
      <c r="K9" s="102"/>
      <c r="L9" s="102"/>
      <c r="M9" s="316">
        <f>'DR-TB 10A (Sputum &amp; EP Sample)'!M8:S8</f>
        <v>0</v>
      </c>
      <c r="N9" s="316"/>
      <c r="O9" s="316"/>
      <c r="P9" s="316"/>
      <c r="Q9" s="316"/>
      <c r="R9" s="316"/>
      <c r="S9" s="316"/>
    </row>
    <row r="10" spans="1:21" ht="17.25" x14ac:dyDescent="0.25">
      <c r="J10" s="102" t="s">
        <v>11</v>
      </c>
      <c r="K10" s="102"/>
      <c r="L10" s="102"/>
      <c r="M10" s="317">
        <f>'DR-TB 10A (Sputum &amp; EP Sample)'!M9:N9</f>
        <v>0</v>
      </c>
      <c r="N10" s="317"/>
      <c r="O10" s="103"/>
      <c r="P10" s="22"/>
    </row>
    <row r="11" spans="1:21" ht="17.25" x14ac:dyDescent="0.3">
      <c r="J11" s="104" t="s">
        <v>69</v>
      </c>
      <c r="K11" s="318">
        <f>'DR-TB 10A (Sputum &amp; EP Sample)'!K10:L10</f>
        <v>0</v>
      </c>
      <c r="L11" s="318"/>
      <c r="M11" s="104"/>
      <c r="N11" s="105"/>
      <c r="O11" s="102" t="s">
        <v>12</v>
      </c>
      <c r="Q11" s="319">
        <f>'DR-TB 10A (Sputum &amp; EP Sample)'!Q10:S10</f>
        <v>0</v>
      </c>
      <c r="R11" s="320"/>
      <c r="S11" s="320"/>
      <c r="T11" s="106"/>
    </row>
    <row r="12" spans="1:21" ht="16.5" thickBot="1" x14ac:dyDescent="0.3">
      <c r="J12" s="104"/>
      <c r="K12" s="107"/>
      <c r="L12" s="107"/>
      <c r="M12" s="104"/>
      <c r="N12" s="105"/>
      <c r="O12" s="102"/>
      <c r="Q12" s="27"/>
      <c r="R12" s="27"/>
      <c r="S12" s="27"/>
      <c r="T12" s="106"/>
    </row>
    <row r="13" spans="1:21" ht="18" thickBot="1" x14ac:dyDescent="0.35">
      <c r="A13" s="324" t="s">
        <v>683</v>
      </c>
      <c r="B13" s="323" t="s">
        <v>684</v>
      </c>
      <c r="C13" s="323"/>
      <c r="D13" s="323" t="s">
        <v>685</v>
      </c>
      <c r="E13" s="323"/>
      <c r="H13" s="326" t="s">
        <v>686</v>
      </c>
      <c r="I13" s="327"/>
      <c r="J13" s="327"/>
      <c r="K13" s="328"/>
      <c r="L13" s="332" t="s">
        <v>687</v>
      </c>
      <c r="M13" s="332"/>
      <c r="N13" s="332"/>
      <c r="O13" s="333" t="s">
        <v>3</v>
      </c>
      <c r="P13" s="334"/>
      <c r="Q13" s="106"/>
    </row>
    <row r="14" spans="1:21" ht="17.25" thickBot="1" x14ac:dyDescent="0.3">
      <c r="A14" s="325"/>
      <c r="B14" s="305"/>
      <c r="C14" s="306"/>
      <c r="D14" s="305"/>
      <c r="E14" s="306"/>
      <c r="H14" s="329"/>
      <c r="I14" s="330"/>
      <c r="J14" s="330"/>
      <c r="K14" s="331"/>
      <c r="L14" s="108"/>
      <c r="M14" s="109"/>
      <c r="N14" s="110"/>
      <c r="O14" s="335">
        <f>L14+M14+N14</f>
        <v>0</v>
      </c>
      <c r="P14" s="336"/>
      <c r="Q14" s="106"/>
    </row>
    <row r="15" spans="1:21" ht="15.75" x14ac:dyDescent="0.25">
      <c r="A15" s="2"/>
      <c r="B15" s="111"/>
      <c r="C15" s="111"/>
      <c r="D15" s="111"/>
      <c r="E15" s="111"/>
      <c r="F15" s="106"/>
      <c r="G15" s="105"/>
      <c r="H15" s="105"/>
      <c r="I15" s="105"/>
      <c r="J15" s="105"/>
      <c r="K15" s="105"/>
      <c r="L15" s="105"/>
      <c r="M15" s="105"/>
      <c r="N15" s="105"/>
      <c r="O15" s="105"/>
      <c r="P15" s="105"/>
      <c r="Q15" s="105"/>
      <c r="R15" s="105"/>
      <c r="S15" s="105"/>
      <c r="T15" s="105"/>
      <c r="U15" s="105"/>
    </row>
    <row r="16" spans="1:21" ht="15.75" x14ac:dyDescent="0.25">
      <c r="A16" s="112"/>
      <c r="B16" s="111"/>
      <c r="C16" s="111"/>
      <c r="D16" s="111"/>
      <c r="E16" s="111"/>
      <c r="F16" s="111"/>
      <c r="G16" s="111"/>
      <c r="H16" s="111"/>
      <c r="I16" s="106"/>
      <c r="J16" s="105"/>
      <c r="K16" s="105"/>
      <c r="L16" s="105"/>
      <c r="M16" s="105"/>
      <c r="N16" s="105"/>
      <c r="O16" s="105"/>
      <c r="P16" s="105"/>
      <c r="Q16" s="105"/>
      <c r="R16" s="105"/>
      <c r="S16" s="105"/>
      <c r="T16" s="105"/>
      <c r="U16" s="113"/>
    </row>
    <row r="17" spans="1:21" ht="15.75" x14ac:dyDescent="0.25">
      <c r="A17" s="310"/>
      <c r="B17" s="310"/>
      <c r="C17" s="310" t="s">
        <v>688</v>
      </c>
      <c r="D17" s="310"/>
      <c r="E17" s="310"/>
      <c r="F17" s="315" t="s">
        <v>689</v>
      </c>
      <c r="G17" s="315"/>
      <c r="H17" s="315"/>
      <c r="I17" s="315"/>
      <c r="J17" s="315"/>
      <c r="K17" s="315"/>
      <c r="L17" s="310" t="s">
        <v>690</v>
      </c>
      <c r="M17" s="310"/>
      <c r="N17" s="310"/>
      <c r="O17" s="310"/>
      <c r="P17" s="310"/>
      <c r="Q17" s="310"/>
      <c r="U17" s="314"/>
    </row>
    <row r="18" spans="1:21" x14ac:dyDescent="0.25">
      <c r="A18" s="310"/>
      <c r="B18" s="310"/>
      <c r="C18" s="309" t="s">
        <v>691</v>
      </c>
      <c r="D18" s="309" t="s">
        <v>692</v>
      </c>
      <c r="E18" s="309" t="s">
        <v>3</v>
      </c>
      <c r="F18" s="315" t="s">
        <v>691</v>
      </c>
      <c r="G18" s="315"/>
      <c r="H18" s="315" t="s">
        <v>692</v>
      </c>
      <c r="I18" s="315"/>
      <c r="J18" s="315" t="s">
        <v>3</v>
      </c>
      <c r="K18" s="315"/>
      <c r="L18" s="310" t="s">
        <v>691</v>
      </c>
      <c r="M18" s="310"/>
      <c r="N18" s="310" t="s">
        <v>692</v>
      </c>
      <c r="O18" s="310"/>
      <c r="P18" s="309" t="s">
        <v>3</v>
      </c>
      <c r="Q18" s="309"/>
      <c r="U18" s="314"/>
    </row>
    <row r="19" spans="1:21" x14ac:dyDescent="0.25">
      <c r="A19" s="310"/>
      <c r="B19" s="310"/>
      <c r="C19" s="309"/>
      <c r="D19" s="309"/>
      <c r="E19" s="309"/>
      <c r="F19" s="315"/>
      <c r="G19" s="315"/>
      <c r="H19" s="315"/>
      <c r="I19" s="315"/>
      <c r="J19" s="315"/>
      <c r="K19" s="315"/>
      <c r="L19" s="310"/>
      <c r="M19" s="310"/>
      <c r="N19" s="310"/>
      <c r="O19" s="310"/>
      <c r="P19" s="309"/>
      <c r="Q19" s="309"/>
      <c r="U19" s="314"/>
    </row>
    <row r="20" spans="1:21" ht="15" customHeight="1" x14ac:dyDescent="0.25">
      <c r="A20" s="310" t="s">
        <v>693</v>
      </c>
      <c r="B20" s="310"/>
      <c r="C20" s="311"/>
      <c r="D20" s="311"/>
      <c r="E20" s="309">
        <f>C20+D20</f>
        <v>0</v>
      </c>
      <c r="F20" s="312"/>
      <c r="G20" s="312"/>
      <c r="H20" s="302"/>
      <c r="I20" s="302"/>
      <c r="J20" s="303">
        <f>F20+H20</f>
        <v>0</v>
      </c>
      <c r="K20" s="303"/>
      <c r="L20" s="309">
        <f>C20+F20</f>
        <v>0</v>
      </c>
      <c r="M20" s="309"/>
      <c r="N20" s="309">
        <f>D20+H20</f>
        <v>0</v>
      </c>
      <c r="O20" s="309"/>
      <c r="P20" s="309">
        <f>L20+N20</f>
        <v>0</v>
      </c>
      <c r="Q20" s="309"/>
      <c r="U20" s="322"/>
    </row>
    <row r="21" spans="1:21" ht="15" customHeight="1" x14ac:dyDescent="0.25">
      <c r="A21" s="310"/>
      <c r="B21" s="310"/>
      <c r="C21" s="311"/>
      <c r="D21" s="311"/>
      <c r="E21" s="309"/>
      <c r="F21" s="312"/>
      <c r="G21" s="312"/>
      <c r="H21" s="302"/>
      <c r="I21" s="302"/>
      <c r="J21" s="303"/>
      <c r="K21" s="303"/>
      <c r="L21" s="309"/>
      <c r="M21" s="309"/>
      <c r="N21" s="309"/>
      <c r="O21" s="309"/>
      <c r="P21" s="309"/>
      <c r="Q21" s="309"/>
      <c r="U21" s="322"/>
    </row>
    <row r="22" spans="1:21" ht="15" customHeight="1" x14ac:dyDescent="0.25">
      <c r="A22" s="310"/>
      <c r="B22" s="310"/>
      <c r="C22" s="311"/>
      <c r="D22" s="311"/>
      <c r="E22" s="309"/>
      <c r="F22" s="312"/>
      <c r="G22" s="312"/>
      <c r="H22" s="302"/>
      <c r="I22" s="302"/>
      <c r="J22" s="303"/>
      <c r="K22" s="303"/>
      <c r="L22" s="309"/>
      <c r="M22" s="309"/>
      <c r="N22" s="309"/>
      <c r="O22" s="309"/>
      <c r="P22" s="309"/>
      <c r="Q22" s="309"/>
      <c r="U22" s="322"/>
    </row>
    <row r="23" spans="1:21" ht="15.75" x14ac:dyDescent="0.25">
      <c r="A23" s="310" t="s">
        <v>694</v>
      </c>
      <c r="B23" s="310"/>
      <c r="C23" s="311"/>
      <c r="D23" s="311"/>
      <c r="E23" s="309">
        <f t="shared" ref="E23" si="0">C23+D23</f>
        <v>0</v>
      </c>
      <c r="F23" s="312"/>
      <c r="G23" s="312"/>
      <c r="H23" s="302"/>
      <c r="I23" s="302"/>
      <c r="J23" s="303">
        <f t="shared" ref="J23" si="1">F23+H23</f>
        <v>0</v>
      </c>
      <c r="K23" s="303"/>
      <c r="L23" s="309">
        <f t="shared" ref="L23" si="2">C23+F23</f>
        <v>0</v>
      </c>
      <c r="M23" s="309"/>
      <c r="N23" s="309">
        <f t="shared" ref="N23" si="3">D23+H23</f>
        <v>0</v>
      </c>
      <c r="O23" s="309"/>
      <c r="P23" s="309">
        <f t="shared" ref="P23" si="4">L23+N23</f>
        <v>0</v>
      </c>
      <c r="Q23" s="309"/>
      <c r="U23" s="33"/>
    </row>
    <row r="24" spans="1:21" ht="15.75" x14ac:dyDescent="0.25">
      <c r="A24" s="310"/>
      <c r="B24" s="310"/>
      <c r="C24" s="311"/>
      <c r="D24" s="311"/>
      <c r="E24" s="309"/>
      <c r="F24" s="312"/>
      <c r="G24" s="312"/>
      <c r="H24" s="302"/>
      <c r="I24" s="302"/>
      <c r="J24" s="303"/>
      <c r="K24" s="303"/>
      <c r="L24" s="309"/>
      <c r="M24" s="309"/>
      <c r="N24" s="309"/>
      <c r="O24" s="309"/>
      <c r="P24" s="309"/>
      <c r="Q24" s="309"/>
      <c r="U24" s="33"/>
    </row>
    <row r="25" spans="1:21" ht="15.75" x14ac:dyDescent="0.25">
      <c r="A25" s="310"/>
      <c r="B25" s="310"/>
      <c r="C25" s="311"/>
      <c r="D25" s="311"/>
      <c r="E25" s="309"/>
      <c r="F25" s="312"/>
      <c r="G25" s="312"/>
      <c r="H25" s="302"/>
      <c r="I25" s="302"/>
      <c r="J25" s="303"/>
      <c r="K25" s="303"/>
      <c r="L25" s="309"/>
      <c r="M25" s="309"/>
      <c r="N25" s="309"/>
      <c r="O25" s="309"/>
      <c r="P25" s="309"/>
      <c r="Q25" s="309"/>
      <c r="U25" s="33"/>
    </row>
    <row r="26" spans="1:21" ht="15.75" x14ac:dyDescent="0.25">
      <c r="A26" s="310" t="s">
        <v>695</v>
      </c>
      <c r="B26" s="310"/>
      <c r="C26" s="311"/>
      <c r="D26" s="311"/>
      <c r="E26" s="309">
        <f t="shared" ref="E26" si="5">C26+D26</f>
        <v>0</v>
      </c>
      <c r="F26" s="312"/>
      <c r="G26" s="312"/>
      <c r="H26" s="302"/>
      <c r="I26" s="302"/>
      <c r="J26" s="303">
        <f t="shared" ref="J26" si="6">F26+H26</f>
        <v>0</v>
      </c>
      <c r="K26" s="303"/>
      <c r="L26" s="309">
        <f t="shared" ref="L26" si="7">C26+F26</f>
        <v>0</v>
      </c>
      <c r="M26" s="309"/>
      <c r="N26" s="309">
        <f t="shared" ref="N26" si="8">D26+H26</f>
        <v>0</v>
      </c>
      <c r="O26" s="309"/>
      <c r="P26" s="309">
        <f t="shared" ref="P26" si="9">L26+N26</f>
        <v>0</v>
      </c>
      <c r="Q26" s="309"/>
      <c r="R26" s="32"/>
      <c r="S26" s="33"/>
      <c r="T26" s="33"/>
      <c r="U26" s="33"/>
    </row>
    <row r="27" spans="1:21" ht="15.75" x14ac:dyDescent="0.25">
      <c r="A27" s="310"/>
      <c r="B27" s="310"/>
      <c r="C27" s="311"/>
      <c r="D27" s="311"/>
      <c r="E27" s="309"/>
      <c r="F27" s="312"/>
      <c r="G27" s="312"/>
      <c r="H27" s="302"/>
      <c r="I27" s="302"/>
      <c r="J27" s="303"/>
      <c r="K27" s="303"/>
      <c r="L27" s="309"/>
      <c r="M27" s="309"/>
      <c r="N27" s="309"/>
      <c r="O27" s="309"/>
      <c r="P27" s="309"/>
      <c r="Q27" s="309"/>
      <c r="R27" s="32"/>
      <c r="S27" s="33"/>
      <c r="T27" s="33"/>
      <c r="U27" s="33"/>
    </row>
    <row r="28" spans="1:21" ht="15.75" x14ac:dyDescent="0.25">
      <c r="A28" s="310"/>
      <c r="B28" s="310"/>
      <c r="C28" s="311"/>
      <c r="D28" s="311"/>
      <c r="E28" s="309"/>
      <c r="F28" s="312"/>
      <c r="G28" s="312"/>
      <c r="H28" s="302"/>
      <c r="I28" s="302"/>
      <c r="J28" s="303"/>
      <c r="K28" s="303"/>
      <c r="L28" s="309"/>
      <c r="M28" s="309"/>
      <c r="N28" s="309"/>
      <c r="O28" s="309"/>
      <c r="P28" s="309"/>
      <c r="Q28" s="309"/>
      <c r="R28" s="32"/>
      <c r="S28" s="33"/>
      <c r="T28" s="33"/>
      <c r="U28" s="33"/>
    </row>
    <row r="29" spans="1:21" ht="15.75" x14ac:dyDescent="0.25">
      <c r="A29" s="32"/>
      <c r="B29" s="32"/>
      <c r="C29" s="32"/>
      <c r="D29" s="32"/>
      <c r="E29" s="23"/>
      <c r="F29" s="33"/>
      <c r="G29" s="33"/>
      <c r="H29" s="23"/>
      <c r="I29" s="23"/>
      <c r="J29" s="33"/>
      <c r="K29" s="33"/>
      <c r="L29" s="23"/>
      <c r="M29" s="23"/>
      <c r="N29" s="23"/>
      <c r="O29" s="23"/>
      <c r="P29" s="23"/>
      <c r="Q29" s="23"/>
      <c r="R29" s="32"/>
      <c r="S29" s="33"/>
      <c r="T29" s="33"/>
      <c r="U29" s="33"/>
    </row>
    <row r="30" spans="1:21" ht="17.25" x14ac:dyDescent="0.25">
      <c r="A30" s="2"/>
      <c r="B30" s="2"/>
      <c r="C30" s="2"/>
      <c r="D30" s="2"/>
      <c r="H30" s="106" t="s">
        <v>696</v>
      </c>
      <c r="I30" s="106"/>
      <c r="J30" s="106"/>
      <c r="K30" s="106"/>
      <c r="L30" s="106"/>
      <c r="M30" s="307"/>
      <c r="N30" s="307"/>
      <c r="O30" s="307"/>
      <c r="P30" s="307"/>
      <c r="Q30" s="307"/>
      <c r="R30" s="307"/>
      <c r="S30" s="307"/>
    </row>
    <row r="31" spans="1:21" ht="17.25" x14ac:dyDescent="0.25">
      <c r="A31" s="114"/>
      <c r="B31" s="114"/>
      <c r="C31" s="114"/>
      <c r="D31" s="114"/>
      <c r="E31" s="26"/>
      <c r="F31" s="26"/>
      <c r="G31" s="25"/>
      <c r="H31" s="106" t="s">
        <v>56</v>
      </c>
      <c r="I31" s="301"/>
      <c r="J31" s="301"/>
      <c r="K31" s="301"/>
      <c r="L31" s="301"/>
      <c r="N31" s="115" t="s">
        <v>57</v>
      </c>
      <c r="O31" s="308"/>
      <c r="P31" s="308"/>
      <c r="Q31" s="308"/>
    </row>
    <row r="32" spans="1:21" ht="17.25" x14ac:dyDescent="0.25">
      <c r="A32" s="25"/>
      <c r="B32" s="23"/>
      <c r="C32" s="23"/>
      <c r="D32" s="23"/>
      <c r="E32" s="25"/>
      <c r="F32" s="25"/>
      <c r="G32" s="26"/>
      <c r="H32" s="106" t="s">
        <v>58</v>
      </c>
      <c r="I32" s="300"/>
      <c r="J32" s="300"/>
      <c r="K32" s="300"/>
      <c r="L32" s="300"/>
      <c r="M32" s="300"/>
    </row>
    <row r="33" spans="1:8" ht="15.75" x14ac:dyDescent="0.25">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P13"/>
  <sheetViews>
    <sheetView zoomScaleNormal="100" workbookViewId="0">
      <selection sqref="A1:A3"/>
    </sheetView>
  </sheetViews>
  <sheetFormatPr defaultColWidth="9.28515625" defaultRowHeight="15" x14ac:dyDescent="0.25"/>
  <cols>
    <col min="1" max="1" width="14.42578125" style="101" customWidth="1"/>
    <col min="2" max="2" width="9.7109375" style="101" customWidth="1"/>
    <col min="3" max="3" width="13.42578125" style="101" customWidth="1"/>
    <col min="4" max="7" width="9.28515625" style="101"/>
    <col min="8" max="8" width="11.28515625" style="138" bestFit="1" customWidth="1"/>
    <col min="9" max="9" width="14.28515625" style="101" customWidth="1"/>
    <col min="10" max="10" width="18" style="101" customWidth="1"/>
    <col min="11" max="16" width="9.28515625" style="101"/>
    <col min="17" max="17" width="12.7109375" style="101" bestFit="1" customWidth="1"/>
    <col min="18" max="18" width="11.7109375" style="101" bestFit="1" customWidth="1"/>
    <col min="19" max="23" width="9.28515625" style="101"/>
    <col min="24" max="24" width="11.28515625" style="138" bestFit="1" customWidth="1"/>
    <col min="25" max="30" width="9.28515625" style="101"/>
    <col min="31" max="31" width="10.28515625" style="101" bestFit="1" customWidth="1"/>
    <col min="32" max="32" width="9.28515625" style="101"/>
    <col min="33" max="33" width="10.28515625" style="101" bestFit="1" customWidth="1"/>
    <col min="34" max="64" width="9.28515625" style="101"/>
    <col min="65" max="65" width="19.5703125" style="101" customWidth="1"/>
    <col min="66" max="84" width="9.28515625" style="101"/>
    <col min="85" max="85" width="10.28515625" style="101" customWidth="1"/>
    <col min="86" max="88" width="9.28515625" style="101"/>
    <col min="89" max="89" width="10" style="101" customWidth="1"/>
    <col min="90" max="90" width="9.7109375" style="101" customWidth="1"/>
    <col min="91" max="16384" width="9.28515625" style="101"/>
  </cols>
  <sheetData>
    <row r="1" spans="1:146" s="100" customFormat="1" ht="29.25" customHeight="1" x14ac:dyDescent="0.25">
      <c r="A1" s="382" t="s">
        <v>161</v>
      </c>
      <c r="B1" s="382" t="s">
        <v>280</v>
      </c>
      <c r="C1" s="382" t="s">
        <v>806</v>
      </c>
      <c r="D1" s="383"/>
      <c r="E1" s="362" t="s">
        <v>281</v>
      </c>
      <c r="F1" s="362"/>
      <c r="G1" s="362"/>
      <c r="H1" s="361" t="s">
        <v>282</v>
      </c>
      <c r="I1" s="361"/>
      <c r="J1" s="361"/>
      <c r="K1" s="361"/>
      <c r="L1" s="361"/>
      <c r="M1" s="361"/>
      <c r="N1" s="361"/>
      <c r="O1" s="361"/>
      <c r="P1" s="361"/>
      <c r="Q1" s="361"/>
      <c r="R1" s="361"/>
      <c r="S1" s="361"/>
      <c r="T1" s="361"/>
      <c r="U1" s="361"/>
      <c r="V1" s="361"/>
      <c r="W1" s="361"/>
      <c r="X1" s="361"/>
      <c r="Y1" s="361"/>
      <c r="Z1" s="361"/>
      <c r="AA1" s="361"/>
      <c r="AB1" s="361"/>
      <c r="AC1" s="361"/>
      <c r="AD1" s="361"/>
      <c r="AE1" s="361"/>
      <c r="AF1" s="361"/>
      <c r="AG1" s="361" t="s">
        <v>283</v>
      </c>
      <c r="AH1" s="361"/>
      <c r="AI1" s="361"/>
      <c r="AJ1" s="361"/>
      <c r="AK1" s="342" t="s">
        <v>284</v>
      </c>
      <c r="AL1" s="342" t="s">
        <v>285</v>
      </c>
      <c r="AM1" s="342" t="s">
        <v>286</v>
      </c>
      <c r="AN1" s="342" t="s">
        <v>287</v>
      </c>
      <c r="AO1" s="342"/>
      <c r="AP1" s="342"/>
      <c r="AQ1" s="342"/>
      <c r="AR1" s="342" t="s">
        <v>288</v>
      </c>
      <c r="AS1" s="363" t="s">
        <v>289</v>
      </c>
      <c r="AT1" s="364"/>
      <c r="AU1" s="364"/>
      <c r="AV1" s="365"/>
      <c r="AW1" s="350" t="s">
        <v>290</v>
      </c>
      <c r="AX1" s="342" t="s">
        <v>291</v>
      </c>
      <c r="AY1" s="342"/>
      <c r="AZ1" s="342"/>
      <c r="BA1" s="342"/>
      <c r="BB1" s="350" t="s">
        <v>292</v>
      </c>
      <c r="BC1" s="371" t="s">
        <v>820</v>
      </c>
      <c r="BD1" s="370" t="s">
        <v>75</v>
      </c>
      <c r="BE1" s="370"/>
      <c r="BF1" s="370"/>
      <c r="BG1" s="370" t="s">
        <v>67</v>
      </c>
      <c r="BH1" s="370"/>
      <c r="BI1" s="370"/>
      <c r="BJ1" s="370" t="s">
        <v>3</v>
      </c>
      <c r="BK1" s="377" t="str">
        <f>'DR-TB 10A (Sputum &amp; EP Sample)'!J7</f>
        <v>Name of the person completing the report :</v>
      </c>
      <c r="BL1" s="377" t="str">
        <f>'DR-TB 10A (Sputum &amp; EP Sample)'!J8</f>
        <v>Designation and organization :</v>
      </c>
      <c r="BM1" s="377" t="str">
        <f>'DR-TB 10A (Sputum &amp; EP Sample)'!O10</f>
        <v>Cell Number :</v>
      </c>
      <c r="BN1" s="366" t="str">
        <f>'COVID19 Reporting Form'!B13</f>
        <v>Cartridges Received</v>
      </c>
      <c r="BO1" s="366" t="str">
        <f>'COVID19 Reporting Form'!D13</f>
        <v>Cartridges in Hand</v>
      </c>
      <c r="BP1" s="366" t="str">
        <f>'COVID19 Reporting Form'!C17</f>
        <v>Type of test : New</v>
      </c>
      <c r="BQ1" s="366"/>
      <c r="BR1" s="366"/>
      <c r="BS1" s="366"/>
      <c r="BT1" s="366"/>
      <c r="BU1" s="366"/>
      <c r="BV1" s="366" t="str">
        <f>'COVID19 Reporting Form'!F17</f>
        <v xml:space="preserve">Type of Test : Follow up </v>
      </c>
      <c r="BW1" s="366"/>
      <c r="BX1" s="366"/>
      <c r="BY1" s="366"/>
      <c r="BZ1" s="366"/>
      <c r="CA1" s="366"/>
      <c r="CB1" s="366" t="s">
        <v>686</v>
      </c>
      <c r="CC1" s="366"/>
      <c r="CD1" s="366"/>
      <c r="CE1" s="374" t="str">
        <f>'DR-TB 10A (Sputum &amp; EP Sample)'!J12</f>
        <v>For Xpert</v>
      </c>
      <c r="CF1" s="375"/>
      <c r="CG1" s="376"/>
      <c r="CH1" s="374" t="str">
        <f>'DR-TB 10A (Sputum &amp; EP Sample)'!N12</f>
        <v>For Truenat</v>
      </c>
      <c r="CI1" s="375"/>
      <c r="CJ1" s="375"/>
      <c r="CK1" s="375"/>
      <c r="CL1" s="375"/>
      <c r="CM1" s="375"/>
      <c r="CN1" s="375"/>
      <c r="CO1" s="375"/>
      <c r="CP1" s="376"/>
      <c r="CQ1" s="366" t="str">
        <f>'DR-TB 10A (Sputum &amp; EP Sample)'!G38</f>
        <v>Eligible for XDR Testing</v>
      </c>
      <c r="CR1" s="366" t="str">
        <f>'DR-TB 10A (Sputum &amp; EP Sample)'!H38</f>
        <v>Tested by XDR Cartridge</v>
      </c>
      <c r="CS1" s="362" t="s">
        <v>281</v>
      </c>
      <c r="CT1" s="362"/>
      <c r="CU1" s="362"/>
      <c r="CV1" s="361" t="s">
        <v>282</v>
      </c>
      <c r="CW1" s="361"/>
      <c r="CX1" s="361"/>
      <c r="CY1" s="361"/>
      <c r="CZ1" s="361"/>
      <c r="DA1" s="361"/>
      <c r="DB1" s="361"/>
      <c r="DC1" s="361"/>
      <c r="DD1" s="361"/>
      <c r="DE1" s="361"/>
      <c r="DF1" s="361"/>
      <c r="DG1" s="361"/>
      <c r="DH1" s="361"/>
      <c r="DI1" s="361"/>
      <c r="DJ1" s="361"/>
      <c r="DK1" s="361"/>
      <c r="DL1" s="361"/>
      <c r="DM1" s="361"/>
      <c r="DN1" s="361"/>
      <c r="DO1" s="361"/>
      <c r="DP1" s="361"/>
      <c r="DQ1" s="361"/>
      <c r="DR1" s="361"/>
      <c r="DS1" s="361"/>
      <c r="DT1" s="361"/>
      <c r="DU1" s="361" t="s">
        <v>283</v>
      </c>
      <c r="DV1" s="361"/>
      <c r="DW1" s="361"/>
      <c r="DX1" s="361"/>
      <c r="DY1" s="342" t="s">
        <v>284</v>
      </c>
      <c r="DZ1" s="342" t="s">
        <v>285</v>
      </c>
      <c r="EA1" s="342" t="s">
        <v>286</v>
      </c>
      <c r="EB1" s="342" t="s">
        <v>287</v>
      </c>
      <c r="EC1" s="342"/>
      <c r="ED1" s="342"/>
      <c r="EE1" s="342"/>
      <c r="EF1" s="342" t="s">
        <v>288</v>
      </c>
      <c r="EG1" s="363" t="s">
        <v>289</v>
      </c>
      <c r="EH1" s="364"/>
      <c r="EI1" s="364"/>
      <c r="EJ1" s="365"/>
      <c r="EK1" s="350" t="s">
        <v>290</v>
      </c>
      <c r="EL1" s="342" t="s">
        <v>291</v>
      </c>
      <c r="EM1" s="342"/>
      <c r="EN1" s="342"/>
      <c r="EO1" s="342"/>
      <c r="EP1" s="350" t="s">
        <v>292</v>
      </c>
    </row>
    <row r="2" spans="1:146" s="100" customFormat="1" ht="33.75" customHeight="1" x14ac:dyDescent="0.25">
      <c r="A2" s="382"/>
      <c r="B2" s="382"/>
      <c r="C2" s="382"/>
      <c r="D2" s="384"/>
      <c r="E2" s="353" t="s">
        <v>43</v>
      </c>
      <c r="F2" s="355" t="s">
        <v>44</v>
      </c>
      <c r="G2" s="356" t="s">
        <v>304</v>
      </c>
      <c r="H2" s="357" t="s">
        <v>18</v>
      </c>
      <c r="I2" s="358" t="s">
        <v>19</v>
      </c>
      <c r="J2" s="358" t="s">
        <v>20</v>
      </c>
      <c r="K2" s="358" t="s">
        <v>22</v>
      </c>
      <c r="L2" s="358" t="s">
        <v>24</v>
      </c>
      <c r="M2" s="358" t="s">
        <v>26</v>
      </c>
      <c r="N2" s="358" t="s">
        <v>28</v>
      </c>
      <c r="O2" s="358" t="s">
        <v>30</v>
      </c>
      <c r="P2" s="358" t="s">
        <v>32</v>
      </c>
      <c r="Q2" s="358"/>
      <c r="R2" s="358"/>
      <c r="S2" s="358" t="s">
        <v>34</v>
      </c>
      <c r="T2" s="358"/>
      <c r="U2" s="358"/>
      <c r="V2" s="358" t="s">
        <v>293</v>
      </c>
      <c r="W2" s="358"/>
      <c r="X2" s="358"/>
      <c r="Y2" s="358" t="s">
        <v>294</v>
      </c>
      <c r="Z2" s="358"/>
      <c r="AA2" s="358"/>
      <c r="AB2" s="358" t="s">
        <v>295</v>
      </c>
      <c r="AC2" s="358"/>
      <c r="AD2" s="358"/>
      <c r="AE2" s="359" t="s">
        <v>296</v>
      </c>
      <c r="AF2" s="361" t="s">
        <v>3</v>
      </c>
      <c r="AG2" s="358" t="s">
        <v>43</v>
      </c>
      <c r="AH2" s="358" t="s">
        <v>44</v>
      </c>
      <c r="AI2" s="358" t="s">
        <v>297</v>
      </c>
      <c r="AJ2" s="361" t="s">
        <v>3</v>
      </c>
      <c r="AK2" s="342"/>
      <c r="AL2" s="342"/>
      <c r="AM2" s="342"/>
      <c r="AN2" s="342" t="s">
        <v>298</v>
      </c>
      <c r="AO2" s="342" t="s">
        <v>299</v>
      </c>
      <c r="AP2" s="342" t="s">
        <v>300</v>
      </c>
      <c r="AQ2" s="343" t="s">
        <v>840</v>
      </c>
      <c r="AR2" s="342"/>
      <c r="AS2" s="342" t="s">
        <v>298</v>
      </c>
      <c r="AT2" s="342" t="s">
        <v>299</v>
      </c>
      <c r="AU2" s="342" t="s">
        <v>300</v>
      </c>
      <c r="AV2" s="343" t="s">
        <v>840</v>
      </c>
      <c r="AW2" s="351"/>
      <c r="AX2" s="341" t="s">
        <v>298</v>
      </c>
      <c r="AY2" s="341" t="s">
        <v>299</v>
      </c>
      <c r="AZ2" s="341" t="s">
        <v>300</v>
      </c>
      <c r="BA2" s="343" t="s">
        <v>840</v>
      </c>
      <c r="BB2" s="351"/>
      <c r="BC2" s="372"/>
      <c r="BD2" s="370"/>
      <c r="BE2" s="370"/>
      <c r="BF2" s="370"/>
      <c r="BG2" s="370"/>
      <c r="BH2" s="370"/>
      <c r="BI2" s="370"/>
      <c r="BJ2" s="370"/>
      <c r="BK2" s="377"/>
      <c r="BL2" s="377"/>
      <c r="BM2" s="377"/>
      <c r="BN2" s="366"/>
      <c r="BO2" s="366"/>
      <c r="BP2" s="366" t="str">
        <f>'COVID19 Reporting Form'!A20</f>
        <v>Number Of COVID19 Test</v>
      </c>
      <c r="BQ2" s="366"/>
      <c r="BR2" s="366" t="str">
        <f>'COVID19 Reporting Form'!A23</f>
        <v>Number of COVID 19 Positive Detected</v>
      </c>
      <c r="BS2" s="366"/>
      <c r="BT2" s="366" t="str">
        <f>'COVID19 Reporting Form'!A26</f>
        <v>Number of COVID 19 Negative Detected</v>
      </c>
      <c r="BU2" s="366"/>
      <c r="BV2" s="366" t="str">
        <f>'COVID19 Reporting Form'!A20</f>
        <v>Number Of COVID19 Test</v>
      </c>
      <c r="BW2" s="366"/>
      <c r="BX2" s="366" t="str">
        <f>'COVID19 Reporting Form'!A23</f>
        <v>Number of COVID 19 Positive Detected</v>
      </c>
      <c r="BY2" s="366"/>
      <c r="BZ2" s="366" t="str">
        <f>'COVID19 Reporting Form'!A26</f>
        <v>Number of COVID 19 Negative Detected</v>
      </c>
      <c r="CA2" s="366"/>
      <c r="CB2" s="366"/>
      <c r="CC2" s="366"/>
      <c r="CD2" s="366"/>
      <c r="CE2" s="371" t="str">
        <f>'DR-TB 10A (Sputum &amp; EP Sample)'!J13</f>
        <v>Number of Gene Xpert Machine:</v>
      </c>
      <c r="CF2" s="371" t="str">
        <f>'DR-TB 10A (Sputum &amp; EP Sample)'!J14</f>
        <v>Total Number Of Module:</v>
      </c>
      <c r="CG2" s="371" t="str">
        <f>'DR-TB 10A (Sputum &amp; EP Sample)'!J15</f>
        <v>Number of Module Functional:</v>
      </c>
      <c r="CH2" s="371" t="str">
        <f>'DR-TB 10A (Sputum &amp; EP Sample)'!N13</f>
        <v>No. of TruePrep Device</v>
      </c>
      <c r="CI2" s="371" t="str">
        <f>'DR-TB 10A (Sputum &amp; EP Sample)'!N14</f>
        <v>No.of TrueLab Device</v>
      </c>
      <c r="CJ2" s="371" t="str">
        <f>'DR-TB 10A (Sputum &amp; EP Sample)'!N15</f>
        <v>Total No. of Chip Ports</v>
      </c>
      <c r="CK2" s="371" t="str">
        <f>'DR-TB 10A (Sputum &amp; EP Sample)'!R13</f>
        <v>Functional TruePrep Device</v>
      </c>
      <c r="CL2" s="371" t="str">
        <f>'DR-TB 10A (Sputum &amp; EP Sample)'!R14</f>
        <v>Functional TrueLab Device</v>
      </c>
      <c r="CM2" s="371" t="str">
        <f>'DR-TB 10A (Sputum &amp; EP Sample)'!R15</f>
        <v>Total functional Chip Ports</v>
      </c>
      <c r="CN2" s="371" t="str">
        <f>'DR-TB 10A (Sputum &amp; EP Sample)'!R17</f>
        <v>No. of Truenat Cartriage Used</v>
      </c>
      <c r="CO2" s="371" t="str">
        <f>'DR-TB 10A (Sputum &amp; EP Sample)'!R18</f>
        <v>No. of Truenat MTB Chip Used</v>
      </c>
      <c r="CP2" s="371" t="str">
        <f>'DR-TB 10A (Sputum &amp; EP Sample)'!R19</f>
        <v>No. of Truenat RIF Dx Chip Used</v>
      </c>
      <c r="CQ2" s="366"/>
      <c r="CR2" s="366"/>
      <c r="CS2" s="353" t="s">
        <v>43</v>
      </c>
      <c r="CT2" s="355" t="s">
        <v>44</v>
      </c>
      <c r="CU2" s="356" t="s">
        <v>304</v>
      </c>
      <c r="CV2" s="357" t="s">
        <v>18</v>
      </c>
      <c r="CW2" s="358" t="s">
        <v>19</v>
      </c>
      <c r="CX2" s="358" t="s">
        <v>20</v>
      </c>
      <c r="CY2" s="358" t="s">
        <v>22</v>
      </c>
      <c r="CZ2" s="358" t="s">
        <v>24</v>
      </c>
      <c r="DA2" s="358" t="s">
        <v>26</v>
      </c>
      <c r="DB2" s="358" t="s">
        <v>28</v>
      </c>
      <c r="DC2" s="358" t="s">
        <v>30</v>
      </c>
      <c r="DD2" s="358" t="s">
        <v>32</v>
      </c>
      <c r="DE2" s="358"/>
      <c r="DF2" s="358"/>
      <c r="DG2" s="358" t="s">
        <v>34</v>
      </c>
      <c r="DH2" s="358"/>
      <c r="DI2" s="358"/>
      <c r="DJ2" s="358" t="s">
        <v>293</v>
      </c>
      <c r="DK2" s="358"/>
      <c r="DL2" s="358"/>
      <c r="DM2" s="358" t="s">
        <v>294</v>
      </c>
      <c r="DN2" s="358"/>
      <c r="DO2" s="358"/>
      <c r="DP2" s="358" t="s">
        <v>295</v>
      </c>
      <c r="DQ2" s="358"/>
      <c r="DR2" s="358"/>
      <c r="DS2" s="359" t="s">
        <v>296</v>
      </c>
      <c r="DT2" s="361" t="s">
        <v>3</v>
      </c>
      <c r="DU2" s="358" t="s">
        <v>43</v>
      </c>
      <c r="DV2" s="358" t="s">
        <v>44</v>
      </c>
      <c r="DW2" s="358" t="s">
        <v>297</v>
      </c>
      <c r="DX2" s="361" t="s">
        <v>3</v>
      </c>
      <c r="DY2" s="342"/>
      <c r="DZ2" s="342"/>
      <c r="EA2" s="342"/>
      <c r="EB2" s="342" t="s">
        <v>298</v>
      </c>
      <c r="EC2" s="342" t="s">
        <v>299</v>
      </c>
      <c r="ED2" s="342" t="s">
        <v>300</v>
      </c>
      <c r="EE2" s="343" t="s">
        <v>840</v>
      </c>
      <c r="EF2" s="342"/>
      <c r="EG2" s="342" t="s">
        <v>298</v>
      </c>
      <c r="EH2" s="342" t="s">
        <v>299</v>
      </c>
      <c r="EI2" s="342" t="s">
        <v>300</v>
      </c>
      <c r="EJ2" s="343" t="s">
        <v>840</v>
      </c>
      <c r="EK2" s="351"/>
      <c r="EL2" s="341" t="s">
        <v>298</v>
      </c>
      <c r="EM2" s="341" t="s">
        <v>299</v>
      </c>
      <c r="EN2" s="341" t="s">
        <v>300</v>
      </c>
      <c r="EO2" s="343" t="s">
        <v>840</v>
      </c>
      <c r="EP2" s="351"/>
    </row>
    <row r="3" spans="1:146" s="100" customFormat="1" ht="75.75" customHeight="1" x14ac:dyDescent="0.25">
      <c r="A3" s="382"/>
      <c r="B3" s="382"/>
      <c r="C3" s="382"/>
      <c r="D3" s="385"/>
      <c r="E3" s="354"/>
      <c r="F3" s="355"/>
      <c r="G3" s="356"/>
      <c r="H3" s="357"/>
      <c r="I3" s="358"/>
      <c r="J3" s="358"/>
      <c r="K3" s="358"/>
      <c r="L3" s="358"/>
      <c r="M3" s="358"/>
      <c r="N3" s="358"/>
      <c r="O3" s="358"/>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60"/>
      <c r="AF3" s="361"/>
      <c r="AG3" s="358"/>
      <c r="AH3" s="358"/>
      <c r="AI3" s="358"/>
      <c r="AJ3" s="361"/>
      <c r="AK3" s="342"/>
      <c r="AL3" s="342"/>
      <c r="AM3" s="342"/>
      <c r="AN3" s="342"/>
      <c r="AO3" s="342"/>
      <c r="AP3" s="342"/>
      <c r="AQ3" s="343"/>
      <c r="AR3" s="342"/>
      <c r="AS3" s="342"/>
      <c r="AT3" s="342"/>
      <c r="AU3" s="342"/>
      <c r="AV3" s="343"/>
      <c r="AW3" s="352"/>
      <c r="AX3" s="342"/>
      <c r="AY3" s="342"/>
      <c r="AZ3" s="342"/>
      <c r="BA3" s="343"/>
      <c r="BB3" s="352"/>
      <c r="BC3" s="373"/>
      <c r="BD3" s="133" t="s">
        <v>817</v>
      </c>
      <c r="BE3" s="133" t="s">
        <v>841</v>
      </c>
      <c r="BF3" s="133" t="s">
        <v>819</v>
      </c>
      <c r="BG3" s="133" t="s">
        <v>817</v>
      </c>
      <c r="BH3" s="133" t="s">
        <v>841</v>
      </c>
      <c r="BI3" s="133" t="s">
        <v>819</v>
      </c>
      <c r="BJ3" s="370"/>
      <c r="BK3" s="377"/>
      <c r="BL3" s="377"/>
      <c r="BM3" s="377"/>
      <c r="BN3" s="366"/>
      <c r="BO3" s="366"/>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66"/>
      <c r="CC3" s="366"/>
      <c r="CD3" s="366"/>
      <c r="CE3" s="373"/>
      <c r="CF3" s="373"/>
      <c r="CG3" s="373"/>
      <c r="CH3" s="373"/>
      <c r="CI3" s="373"/>
      <c r="CJ3" s="373"/>
      <c r="CK3" s="373"/>
      <c r="CL3" s="373"/>
      <c r="CM3" s="373"/>
      <c r="CN3" s="373"/>
      <c r="CO3" s="373"/>
      <c r="CP3" s="373"/>
      <c r="CQ3" s="366"/>
      <c r="CR3" s="366"/>
      <c r="CS3" s="354"/>
      <c r="CT3" s="355"/>
      <c r="CU3" s="356"/>
      <c r="CV3" s="357"/>
      <c r="CW3" s="358"/>
      <c r="CX3" s="358"/>
      <c r="CY3" s="358"/>
      <c r="CZ3" s="358"/>
      <c r="DA3" s="358"/>
      <c r="DB3" s="358"/>
      <c r="DC3" s="358"/>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60"/>
      <c r="DT3" s="361"/>
      <c r="DU3" s="358"/>
      <c r="DV3" s="358"/>
      <c r="DW3" s="358"/>
      <c r="DX3" s="361"/>
      <c r="DY3" s="342"/>
      <c r="DZ3" s="342"/>
      <c r="EA3" s="342"/>
      <c r="EB3" s="342"/>
      <c r="EC3" s="342"/>
      <c r="ED3" s="342"/>
      <c r="EE3" s="343"/>
      <c r="EF3" s="342"/>
      <c r="EG3" s="342"/>
      <c r="EH3" s="342"/>
      <c r="EI3" s="342"/>
      <c r="EJ3" s="343"/>
      <c r="EK3" s="352"/>
      <c r="EL3" s="342"/>
      <c r="EM3" s="342"/>
      <c r="EN3" s="342"/>
      <c r="EO3" s="343"/>
      <c r="EP3" s="352"/>
    </row>
    <row r="4" spans="1:146" s="100" customFormat="1" ht="27.75" customHeight="1" x14ac:dyDescent="0.25">
      <c r="A4" s="378">
        <f>'DR-TB 10A (Sputum &amp; EP Sample)'!$C6</f>
        <v>0</v>
      </c>
      <c r="B4" s="378">
        <f>'DR-TB 10A (Sputum &amp; EP Sample)'!$C7</f>
        <v>0</v>
      </c>
      <c r="C4" s="378">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44">
        <f>'DR-TB 10A (Sputum &amp; EP Sample)'!$H12</f>
        <v>0</v>
      </c>
      <c r="AL4" s="344">
        <f>'DR-TB 10A (Sputum &amp; EP Sample)'!$H13</f>
        <v>0</v>
      </c>
      <c r="AM4" s="344">
        <f>'DR-TB 10A (Sputum &amp; EP Sample)'!$H14</f>
        <v>0</v>
      </c>
      <c r="AN4" s="337">
        <f>'DR-TB 10A (Sputum &amp; EP Sample)'!$D17</f>
        <v>0</v>
      </c>
      <c r="AO4" s="337">
        <f>'DR-TB 10A (Sputum &amp; EP Sample)'!$D18</f>
        <v>0</v>
      </c>
      <c r="AP4" s="347">
        <f>'DR-TB 10A (Sputum &amp; EP Sample)'!$D19</f>
        <v>0</v>
      </c>
      <c r="AQ4" s="347">
        <f>'DR-TB 10A (Sputum &amp; EP Sample)'!$D20</f>
        <v>0</v>
      </c>
      <c r="AR4" s="337">
        <f>'DR-TB 10A (Sputum &amp; EP Sample)'!$D21</f>
        <v>0</v>
      </c>
      <c r="AS4" s="337">
        <f>'DR-TB 10A (Sputum &amp; EP Sample)'!$E17</f>
        <v>0</v>
      </c>
      <c r="AT4" s="337">
        <f>'DR-TB 10A (Sputum &amp; EP Sample)'!$E18</f>
        <v>0</v>
      </c>
      <c r="AU4" s="347">
        <f>'DR-TB 10A (Sputum &amp; EP Sample)'!$E19</f>
        <v>0</v>
      </c>
      <c r="AV4" s="347">
        <f>'DR-TB 10A (Sputum &amp; EP Sample)'!$E20</f>
        <v>0</v>
      </c>
      <c r="AW4" s="337">
        <f>'DR-TB 10A (Sputum &amp; EP Sample)'!$E21</f>
        <v>0</v>
      </c>
      <c r="AX4" s="337">
        <f>'DR-TB 10A (Sputum &amp; EP Sample)'!$F17</f>
        <v>0</v>
      </c>
      <c r="AY4" s="337">
        <f>'DR-TB 10A (Sputum &amp; EP Sample)'!$F18</f>
        <v>0</v>
      </c>
      <c r="AZ4" s="347">
        <f>'DR-TB 10A (Sputum &amp; EP Sample)'!$F19</f>
        <v>0</v>
      </c>
      <c r="BA4" s="347">
        <f>'DR-TB 10A (Sputum &amp; EP Sample)'!$F20</f>
        <v>0</v>
      </c>
      <c r="BB4" s="337">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67">
        <f>'DR-TB 10A (Sputum &amp; EP Sample)'!N7</f>
        <v>0</v>
      </c>
      <c r="BL4" s="367">
        <f>'DR-TB 10A (Sputum &amp; EP Sample)'!M8</f>
        <v>0</v>
      </c>
      <c r="BM4" s="381">
        <f>'DR-TB 10A (Sputum &amp; EP Sample)'!Q10</f>
        <v>0</v>
      </c>
      <c r="BN4" s="368">
        <f>'COVID19 Reporting Form'!B14</f>
        <v>0</v>
      </c>
      <c r="BO4" s="368">
        <f>'COVID19 Reporting Form'!D14</f>
        <v>0</v>
      </c>
      <c r="BP4" s="368">
        <f>'COVID19 Reporting Form'!C20</f>
        <v>0</v>
      </c>
      <c r="BQ4" s="368">
        <f>'COVID19 Reporting Form'!D20</f>
        <v>0</v>
      </c>
      <c r="BR4" s="368">
        <f>'COVID19 Reporting Form'!C23</f>
        <v>0</v>
      </c>
      <c r="BS4" s="368">
        <f>'COVID19 Reporting Form'!D23</f>
        <v>0</v>
      </c>
      <c r="BT4" s="368">
        <f>'COVID19 Reporting Form'!C26</f>
        <v>0</v>
      </c>
      <c r="BU4" s="368">
        <f>'COVID19 Reporting Form'!D26</f>
        <v>0</v>
      </c>
      <c r="BV4" s="368">
        <f>'COVID19 Reporting Form'!F20</f>
        <v>0</v>
      </c>
      <c r="BW4" s="368">
        <f>'COVID19 Reporting Form'!H20</f>
        <v>0</v>
      </c>
      <c r="BX4" s="368">
        <f>'COVID19 Reporting Form'!F23</f>
        <v>0</v>
      </c>
      <c r="BY4" s="368">
        <f>'COVID19 Reporting Form'!H23</f>
        <v>0</v>
      </c>
      <c r="BZ4" s="368">
        <f>'COVID19 Reporting Form'!F26</f>
        <v>0</v>
      </c>
      <c r="CA4" s="368">
        <f>'COVID19 Reporting Form'!H26</f>
        <v>0</v>
      </c>
      <c r="CB4" s="368">
        <f>'COVID19 Reporting Form'!L14</f>
        <v>0</v>
      </c>
      <c r="CC4" s="368">
        <f>'COVID19 Reporting Form'!M14</f>
        <v>0</v>
      </c>
      <c r="CD4" s="368">
        <f>'COVID19 Reporting Form'!N14</f>
        <v>0</v>
      </c>
      <c r="CE4" s="368">
        <f>'DR-TB 10A (Sputum &amp; EP Sample)'!M13</f>
        <v>0</v>
      </c>
      <c r="CF4" s="368">
        <f>'DR-TB 10A (Sputum &amp; EP Sample)'!M14</f>
        <v>0</v>
      </c>
      <c r="CG4" s="368">
        <f>'DR-TB 10A (Sputum &amp; EP Sample)'!M15</f>
        <v>0</v>
      </c>
      <c r="CH4" s="368">
        <f>'DR-TB 10A (Sputum &amp; EP Sample)'!Q13</f>
        <v>0</v>
      </c>
      <c r="CI4" s="368">
        <f>'DR-TB 10A (Sputum &amp; EP Sample)'!Q14</f>
        <v>0</v>
      </c>
      <c r="CJ4" s="368">
        <f>'DR-TB 10A (Sputum &amp; EP Sample)'!Q15</f>
        <v>0</v>
      </c>
      <c r="CK4" s="368">
        <f>'DR-TB 10A (Sputum &amp; EP Sample)'!U13</f>
        <v>0</v>
      </c>
      <c r="CL4" s="368">
        <f>'DR-TB 10A (Sputum &amp; EP Sample)'!U14</f>
        <v>0</v>
      </c>
      <c r="CM4" s="368">
        <f>'DR-TB 10A (Sputum &amp; EP Sample)'!U15</f>
        <v>0</v>
      </c>
      <c r="CN4" s="368">
        <f>'DR-TB 10A (Sputum &amp; EP Sample)'!U17</f>
        <v>0</v>
      </c>
      <c r="CO4" s="368">
        <f>'DR-TB 10A (Sputum &amp; EP Sample)'!U18</f>
        <v>0</v>
      </c>
      <c r="CP4" s="368">
        <f>'DR-TB 10A (Sputum &amp; EP Sample)'!U19</f>
        <v>0</v>
      </c>
      <c r="CQ4" s="367">
        <f>'DR-TB 10A (Sputum &amp; EP Sample)'!G42</f>
        <v>0</v>
      </c>
      <c r="CR4" s="367">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44">
        <f>'DR-TB 10A (Stool)'!$H12</f>
        <v>0</v>
      </c>
      <c r="DZ4" s="344">
        <f>'DR-TB 10A (Stool)'!$H13</f>
        <v>0</v>
      </c>
      <c r="EA4" s="344">
        <f>'DR-TB 10A (Stool)'!$H14</f>
        <v>0</v>
      </c>
      <c r="EB4" s="337">
        <f>'DR-TB 10A (Stool)'!$D17</f>
        <v>0</v>
      </c>
      <c r="EC4" s="337">
        <f>'DR-TB 10A (Stool)'!$D18</f>
        <v>0</v>
      </c>
      <c r="ED4" s="347">
        <f>'DR-TB 10A (Stool)'!$D19</f>
        <v>0</v>
      </c>
      <c r="EE4" s="347">
        <f>'DR-TB 10A (Stool)'!$D20</f>
        <v>0</v>
      </c>
      <c r="EF4" s="337">
        <f>'DR-TB 10A (Stool)'!$D21</f>
        <v>0</v>
      </c>
      <c r="EG4" s="337">
        <f>'DR-TB 10A (Stool)'!$E17</f>
        <v>0</v>
      </c>
      <c r="EH4" s="337">
        <f>'DR-TB 10A (Stool)'!$E18</f>
        <v>0</v>
      </c>
      <c r="EI4" s="347">
        <f>'DR-TB 10A (Stool)'!$E19</f>
        <v>0</v>
      </c>
      <c r="EJ4" s="347">
        <f>'DR-TB 10A (Stool)'!$E20</f>
        <v>0</v>
      </c>
      <c r="EK4" s="337">
        <f>'DR-TB 10A (Stool)'!$E21</f>
        <v>0</v>
      </c>
      <c r="EL4" s="337">
        <f>'DR-TB 10A (Stool)'!$F17</f>
        <v>0</v>
      </c>
      <c r="EM4" s="337">
        <f>'DR-TB 10A (Stool)'!$F18</f>
        <v>0</v>
      </c>
      <c r="EN4" s="347">
        <f>'DR-TB 10A (Stool)'!$F19</f>
        <v>0</v>
      </c>
      <c r="EO4" s="347">
        <f>'DR-TB 10A (Stool)'!$F20</f>
        <v>0</v>
      </c>
      <c r="EP4" s="337">
        <f>'DR-TB 10A (Stool)'!$F21</f>
        <v>0</v>
      </c>
    </row>
    <row r="5" spans="1:146" s="100" customFormat="1" ht="26.65" customHeight="1" x14ac:dyDescent="0.25">
      <c r="A5" s="379"/>
      <c r="B5" s="379"/>
      <c r="C5" s="379"/>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45"/>
      <c r="AL5" s="345"/>
      <c r="AM5" s="345"/>
      <c r="AN5" s="338"/>
      <c r="AO5" s="338"/>
      <c r="AP5" s="348"/>
      <c r="AQ5" s="348"/>
      <c r="AR5" s="338"/>
      <c r="AS5" s="338"/>
      <c r="AT5" s="338"/>
      <c r="AU5" s="348"/>
      <c r="AV5" s="348"/>
      <c r="AW5" s="338"/>
      <c r="AX5" s="338"/>
      <c r="AY5" s="338"/>
      <c r="AZ5" s="348"/>
      <c r="BA5" s="348"/>
      <c r="BB5" s="338"/>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67"/>
      <c r="BL5" s="367"/>
      <c r="BM5" s="381"/>
      <c r="BN5" s="368"/>
      <c r="BO5" s="368"/>
      <c r="BP5" s="368"/>
      <c r="BQ5" s="368"/>
      <c r="BR5" s="368"/>
      <c r="BS5" s="368"/>
      <c r="BT5" s="368"/>
      <c r="BU5" s="368"/>
      <c r="BV5" s="368"/>
      <c r="BW5" s="368"/>
      <c r="BX5" s="368"/>
      <c r="BY5" s="368"/>
      <c r="BZ5" s="368"/>
      <c r="CA5" s="368"/>
      <c r="CB5" s="368"/>
      <c r="CC5" s="368"/>
      <c r="CD5" s="368"/>
      <c r="CE5" s="368"/>
      <c r="CF5" s="368"/>
      <c r="CG5" s="368"/>
      <c r="CH5" s="368"/>
      <c r="CI5" s="368"/>
      <c r="CJ5" s="368"/>
      <c r="CK5" s="368"/>
      <c r="CL5" s="368"/>
      <c r="CM5" s="368"/>
      <c r="CN5" s="368"/>
      <c r="CO5" s="368"/>
      <c r="CP5" s="368"/>
      <c r="CQ5" s="367"/>
      <c r="CR5" s="367"/>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45"/>
      <c r="DZ5" s="345"/>
      <c r="EA5" s="345"/>
      <c r="EB5" s="338"/>
      <c r="EC5" s="338"/>
      <c r="ED5" s="348"/>
      <c r="EE5" s="348"/>
      <c r="EF5" s="338"/>
      <c r="EG5" s="338"/>
      <c r="EH5" s="338"/>
      <c r="EI5" s="348"/>
      <c r="EJ5" s="348"/>
      <c r="EK5" s="338"/>
      <c r="EL5" s="338"/>
      <c r="EM5" s="338"/>
      <c r="EN5" s="348"/>
      <c r="EO5" s="348"/>
      <c r="EP5" s="338"/>
    </row>
    <row r="6" spans="1:146" s="100" customFormat="1" ht="28.5" customHeight="1" x14ac:dyDescent="0.25">
      <c r="A6" s="380"/>
      <c r="B6" s="380"/>
      <c r="C6" s="380"/>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46"/>
      <c r="AL6" s="346"/>
      <c r="AM6" s="346"/>
      <c r="AN6" s="339"/>
      <c r="AO6" s="339"/>
      <c r="AP6" s="349"/>
      <c r="AQ6" s="349"/>
      <c r="AR6" s="339"/>
      <c r="AS6" s="339"/>
      <c r="AT6" s="339"/>
      <c r="AU6" s="349"/>
      <c r="AV6" s="349"/>
      <c r="AW6" s="339"/>
      <c r="AX6" s="339"/>
      <c r="AY6" s="339"/>
      <c r="AZ6" s="349"/>
      <c r="BA6" s="349"/>
      <c r="BB6" s="339"/>
      <c r="BC6" s="85"/>
      <c r="BD6" s="85"/>
      <c r="BE6" s="85"/>
      <c r="BF6" s="85"/>
      <c r="BG6" s="85"/>
      <c r="BH6" s="85"/>
      <c r="BI6" s="85"/>
      <c r="BJ6" s="85"/>
      <c r="BK6" s="367"/>
      <c r="BL6" s="367"/>
      <c r="BM6" s="381"/>
      <c r="BN6" s="368"/>
      <c r="BO6" s="368"/>
      <c r="BP6" s="368"/>
      <c r="BQ6" s="368"/>
      <c r="BR6" s="368"/>
      <c r="BS6" s="368"/>
      <c r="BT6" s="368"/>
      <c r="BU6" s="368"/>
      <c r="BV6" s="368"/>
      <c r="BW6" s="368"/>
      <c r="BX6" s="368"/>
      <c r="BY6" s="368"/>
      <c r="BZ6" s="368"/>
      <c r="CA6" s="368"/>
      <c r="CB6" s="368"/>
      <c r="CC6" s="368"/>
      <c r="CD6" s="368"/>
      <c r="CE6" s="368"/>
      <c r="CF6" s="368"/>
      <c r="CG6" s="368"/>
      <c r="CH6" s="368"/>
      <c r="CI6" s="368"/>
      <c r="CJ6" s="368"/>
      <c r="CK6" s="368"/>
      <c r="CL6" s="368"/>
      <c r="CM6" s="368"/>
      <c r="CN6" s="368"/>
      <c r="CO6" s="368"/>
      <c r="CP6" s="368"/>
      <c r="CQ6" s="367"/>
      <c r="CR6" s="367"/>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46"/>
      <c r="DZ6" s="346"/>
      <c r="EA6" s="346"/>
      <c r="EB6" s="339"/>
      <c r="EC6" s="339"/>
      <c r="ED6" s="349"/>
      <c r="EE6" s="349"/>
      <c r="EF6" s="339"/>
      <c r="EG6" s="339"/>
      <c r="EH6" s="339"/>
      <c r="EI6" s="349"/>
      <c r="EJ6" s="349"/>
      <c r="EK6" s="339"/>
      <c r="EL6" s="339"/>
      <c r="EM6" s="339"/>
      <c r="EN6" s="349"/>
      <c r="EO6" s="349"/>
      <c r="EP6" s="339"/>
    </row>
    <row r="10" spans="1:146" ht="140.25" customHeight="1" x14ac:dyDescent="0.25">
      <c r="A10" s="340" t="s">
        <v>161</v>
      </c>
      <c r="B10" s="340" t="s">
        <v>280</v>
      </c>
      <c r="C10" s="340" t="s">
        <v>806</v>
      </c>
      <c r="D10" s="340" t="str">
        <f>'DR-TB 10B'!A11</f>
        <v>Sl.              No</v>
      </c>
      <c r="E10" s="340" t="str">
        <f>'DR-TB 10B'!B11</f>
        <v>Name of the RR                                                                                                                               patient</v>
      </c>
      <c r="F10" s="340" t="str">
        <f>'DR-TB 10B'!C11</f>
        <v>Age</v>
      </c>
      <c r="G10" s="340" t="str">
        <f>'DR-TB 10B'!D11</f>
        <v>Sex
(M/F)</v>
      </c>
      <c r="H10" s="340" t="str">
        <f>'DR-TB 10B'!F11</f>
        <v>Address and                                        cell number</v>
      </c>
      <c r="I10" s="340" t="str">
        <f>'DR-TB 10B'!G11</f>
        <v>Name &amp; address          of the referring unit                                                and cell number</v>
      </c>
      <c r="J10" s="340" t="str">
        <f>'DR-TB 10B'!H11</f>
        <v>* Type of patient</v>
      </c>
      <c r="K10" s="340" t="str">
        <f>'DR-TB 10B'!J11</f>
        <v>Current and previous (if any)  TB registration number</v>
      </c>
      <c r="L10" s="340" t="str">
        <f>'DR-TB 10B'!L11</f>
        <v>Bacterial Load</v>
      </c>
      <c r="M10" s="340" t="str">
        <f>'DR-TB 10B'!T11</f>
        <v>Name and address of the hospital/ treatment                initiation center            for enrollment of DR TB treatment</v>
      </c>
      <c r="N10" s="340" t="str">
        <f>'DR-TB 10B'!U11</f>
        <v>Enrollment status                   (Y/N)</v>
      </c>
      <c r="O10" s="340" t="str">
        <f>'DR-TB 10B'!X11</f>
        <v>** Current status of the patient</v>
      </c>
      <c r="P10" s="340" t="str">
        <f>'DR-TB 10B'!Y11</f>
        <v>Remarks</v>
      </c>
      <c r="Q10" s="340" t="str">
        <f>'DR-TB 10B'!E11</f>
        <v>Date of Diagnosis</v>
      </c>
      <c r="R10" s="340" t="str">
        <f>'DR-TB 10B'!V11</f>
        <v>Date Of Enrollment</v>
      </c>
      <c r="S10" s="340" t="str">
        <f>'DR-TB 10B'!W11</f>
        <v>eTB/ DR TB Registration Number</v>
      </c>
      <c r="T10" s="340" t="str">
        <f>'DR-TB 10B'!I11</f>
        <v>Type Of Sample</v>
      </c>
      <c r="U10" s="369" t="str">
        <f>'DR-TB 10B'!M11</f>
        <v>Result Of MTB/XDR</v>
      </c>
      <c r="V10" s="369"/>
      <c r="W10" s="369"/>
      <c r="X10" s="369"/>
      <c r="Y10" s="369"/>
      <c r="Z10" s="369"/>
      <c r="AA10" s="369"/>
    </row>
    <row r="11" spans="1:146" ht="140.25" customHeight="1" x14ac:dyDescent="0.25">
      <c r="A11" s="340"/>
      <c r="B11" s="340"/>
      <c r="C11" s="340"/>
      <c r="D11" s="340"/>
      <c r="E11" s="340"/>
      <c r="F11" s="340"/>
      <c r="G11" s="340"/>
      <c r="H11" s="340"/>
      <c r="I11" s="340"/>
      <c r="J11" s="340"/>
      <c r="K11" s="340"/>
      <c r="L11" s="340"/>
      <c r="M11" s="340"/>
      <c r="N11" s="340"/>
      <c r="O11" s="340"/>
      <c r="P11" s="340"/>
      <c r="Q11" s="340"/>
      <c r="R11" s="340"/>
      <c r="S11" s="340"/>
      <c r="T11" s="340"/>
      <c r="U11" s="29" t="str">
        <f>'DR-TB 10B'!M12</f>
        <v>MTB</v>
      </c>
      <c r="V11" s="29" t="str">
        <f>'DR-TB 10B'!N12</f>
        <v>INH</v>
      </c>
      <c r="W11" s="29" t="str">
        <f>'DR-TB 10B'!O12</f>
        <v>FLQ</v>
      </c>
      <c r="X11" s="29" t="str">
        <f>'DR-TB 10B'!P12</f>
        <v>AMK</v>
      </c>
      <c r="Y11" s="29" t="str">
        <f>'DR-TB 10B'!Q12</f>
        <v>KAN</v>
      </c>
      <c r="Z11" s="29" t="str">
        <f>'DR-TB 10B'!R12</f>
        <v>CAP</v>
      </c>
      <c r="AA11" s="29" t="str">
        <f>'DR-TB 10B'!S12</f>
        <v>ETH</v>
      </c>
    </row>
    <row r="12" spans="1:146" ht="15" customHeight="1" x14ac:dyDescent="0.25">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87" t="str">
        <f>'DR-TB 10B'!L13</f>
        <v>&lt;bacterialLoad&gt;</v>
      </c>
      <c r="M12" s="87" t="str">
        <f>'DR-TB 10B'!T13</f>
        <v>&lt;hospitalTreatmentDRTB&gt;</v>
      </c>
      <c r="N12" s="87" t="str">
        <f>'DR-TB 10B'!U13</f>
        <v>&lt;enrollmentStatus&gt;</v>
      </c>
      <c r="O12" s="87" t="str">
        <f>'DR-TB 10B'!X13</f>
        <v>&lt;patientStatus&gt;</v>
      </c>
      <c r="P12" s="87" t="str">
        <f>'DR-TB 10B'!Y13</f>
        <v>&lt;remarks&gt;</v>
      </c>
      <c r="Q12" s="143" t="str">
        <f>'DR-TB 10B'!E13</f>
        <v>&lt;dateOfDiagnosis&gt;</v>
      </c>
      <c r="R12" s="143" t="str">
        <f>'DR-TB 10B'!V13</f>
        <v>&lt;enrollmentDate&gt;</v>
      </c>
      <c r="S12" s="87" t="str">
        <f>'DR-TB 10B'!W13</f>
        <v>&lt;tbRegistrationNumber&gt;</v>
      </c>
      <c r="T12" s="87" t="str">
        <f>'DR-TB 10B'!I13</f>
        <v>&lt;sampleType&gt;</v>
      </c>
      <c r="U12" s="87" t="str">
        <f>'DR-TB 10B'!M13</f>
        <v>&lt;mtbDetected&gt;</v>
      </c>
      <c r="V12" s="87" t="str">
        <f>'DR-TB 10B'!N13</f>
        <v>&lt;inhDetected&gt;</v>
      </c>
      <c r="W12" s="87" t="str">
        <f>'DR-TB 10B'!O13</f>
        <v>&lt;flqDetected&gt;</v>
      </c>
      <c r="X12" s="87" t="str">
        <f>'DR-TB 10B'!P13</f>
        <v>&lt;amkDetected&gt;</v>
      </c>
      <c r="Y12" s="87" t="str">
        <f>'DR-TB 10B'!Q13</f>
        <v>&lt;kanDetected&gt;</v>
      </c>
      <c r="Z12" s="87" t="str">
        <f>'DR-TB 10B'!R13</f>
        <v>&lt;capDetected&gt;</v>
      </c>
      <c r="AA12" s="87" t="str">
        <f>'DR-TB 10B'!S13</f>
        <v>&lt;ethDetected&gt;</v>
      </c>
    </row>
    <row r="13" spans="1:146" x14ac:dyDescent="0.25">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BX2:BY2"/>
    <mergeCell ref="BZ2:CA2"/>
    <mergeCell ref="BV4:BV6"/>
    <mergeCell ref="BW4:BW6"/>
    <mergeCell ref="BX4:BX6"/>
    <mergeCell ref="BY4:BY6"/>
    <mergeCell ref="BZ4:BZ6"/>
    <mergeCell ref="CA4:CA6"/>
    <mergeCell ref="CF4:CF6"/>
    <mergeCell ref="BV2:BW2"/>
    <mergeCell ref="CG4:CG6"/>
    <mergeCell ref="CB1:CD3"/>
    <mergeCell ref="CB4:CB6"/>
    <mergeCell ref="CC4:CC6"/>
    <mergeCell ref="CD4:CD6"/>
    <mergeCell ref="CE4:CE6"/>
    <mergeCell ref="CE2:CE3"/>
    <mergeCell ref="CF2:CF3"/>
    <mergeCell ref="CG2:CG3"/>
    <mergeCell ref="CE1:CG1"/>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V4:AV6"/>
    <mergeCell ref="AS1:AV1"/>
    <mergeCell ref="AX1:BA1"/>
    <mergeCell ref="BA2:BA3"/>
    <mergeCell ref="BA4:BA6"/>
    <mergeCell ref="AZ4:AZ6"/>
    <mergeCell ref="AX2:AX3"/>
    <mergeCell ref="AS2:AS3"/>
    <mergeCell ref="AT2:AT3"/>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EA1:EA3"/>
    <mergeCell ref="EB1:EE1"/>
    <mergeCell ref="EF1:EF3"/>
    <mergeCell ref="EG1:EJ1"/>
    <mergeCell ref="DX2:DX3"/>
    <mergeCell ref="EB2:EB3"/>
    <mergeCell ref="EC2:EC3"/>
    <mergeCell ref="ED2:ED3"/>
    <mergeCell ref="EE2:EE3"/>
    <mergeCell ref="EG2:EG3"/>
    <mergeCell ref="EH2:EH3"/>
    <mergeCell ref="EI2:EI3"/>
    <mergeCell ref="EJ2:EJ3"/>
    <mergeCell ref="DT2:DT3"/>
    <mergeCell ref="DU2:DU3"/>
    <mergeCell ref="DV2:DV3"/>
    <mergeCell ref="DW2:DW3"/>
    <mergeCell ref="CS1:CU1"/>
    <mergeCell ref="CV1:DT1"/>
    <mergeCell ref="DU1:DX1"/>
    <mergeCell ref="DY1:DY3"/>
    <mergeCell ref="DZ1:DZ3"/>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s>
  <conditionalFormatting sqref="AE4:AF6">
    <cfRule type="cellIs" dxfId="3" priority="4" stopIfTrue="1" operator="notEqual">
      <formula>SUM(V4:AC4)</formula>
    </cfRule>
  </conditionalFormatting>
  <conditionalFormatting sqref="DS4:DT6">
    <cfRule type="cellIs" dxfId="1"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xr:uid="{00000000-0002-0000-04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2023-03-20T06:59:22Z</cp:lastPrinted>
  <dcterms:created xsi:type="dcterms:W3CDTF">2014-06-08T20:03:38Z</dcterms:created>
  <dcterms:modified xsi:type="dcterms:W3CDTF">2023-11-21T20:34:52Z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