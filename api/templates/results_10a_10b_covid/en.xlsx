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924"/>
  <workbookPr showInkAnnotation="0" defaultThemeVersion="124226"/>
  <mc:AlternateContent xmlns:mc="http://schemas.openxmlformats.org/markup-compatibility/2006">
    <mc:Choice Requires="x15">
      <x15ac:absPath xmlns:x15ac="http://schemas.microsoft.com/office/spreadsheetml/2010/11/ac" url="\\wsl.localhost\Ubuntu-18.04\home\nsabaj\Repositories\aspect\api\templates\results_10a_10b_covid\"/>
    </mc:Choice>
  </mc:AlternateContent>
  <xr:revisionPtr revIDLastSave="0" documentId="13_ncr:1_{3B30C953-F9FA-431F-9A03-742F88D49896}" xr6:coauthVersionLast="47" xr6:coauthVersionMax="47" xr10:uidLastSave="{00000000-0000-0000-0000-000000000000}"/>
  <bookViews>
    <workbookView xWindow="-120" yWindow="-120" windowWidth="29040" windowHeight="15720" xr2:uid="{00000000-000D-0000-FFFF-FFFF00000000}"/>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10B'!$A$1:$X$17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<sst xmlns="http://schemas.openxmlformats.org/spreadsheetml/2006/main" count="3986" uniqueCount="875">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</sst>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dd\/mm\/yyyy"/>
    <numFmt numFmtId="165" formatCode="[$-409]General"/>
    <numFmt numFmtId="166" formatCode="[$$-409]#,##0.00;[Red]&quot;-&quot;[$$-409]#,##0.00"/>
  </numFmts>
  <fonts count="5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5" fontId="20" fillId="0" borderId="0"/>
    <xf numFmtId="0" fontId="30" fillId="0" borderId="0">
      <alignment horizontal="center"/>
    </xf>
    <xf numFmtId="0" fontId="30" fillId="0" borderId="0">
      <alignment horizontal="center" textRotation="90"/>
    </xf>
    <xf numFmtId="0" fontId="3" fillId="0" borderId="0"/>
    <xf numFmtId="165" fontId="20" fillId="0" borderId="0"/>
    <xf numFmtId="165" fontId="20" fillId="0" borderId="0"/>
    <xf numFmtId="0" fontId="28" fillId="0" borderId="0"/>
    <xf numFmtId="0" fontId="31" fillId="0" borderId="0"/>
    <xf numFmtId="166" fontId="31"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86">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4"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4"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18" fillId="11" borderId="9" xfId="0" applyFont="1" applyFill="1" applyBorder="1" applyAlignment="1" applyProtection="1">
      <alignment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0" borderId="9" xfId="0" applyFont="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8" fillId="0" borderId="58" xfId="0" applyFont="1" applyBorder="1" applyAlignment="1" applyProtection="1">
      <alignment horizontal="left" vertical="center" shrinkToFit="1"/>
      <protection locked="0"/>
    </xf>
    <xf numFmtId="164"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1" fillId="0" borderId="0" xfId="0" applyFont="1" applyAlignment="1" applyProtection="1">
      <alignment horizontal="center" vertical="center"/>
      <protection hidden="1"/>
    </xf>
    <xf numFmtId="0" fontId="18" fillId="0" borderId="12"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34" fillId="0" borderId="37" xfId="0" applyFont="1" applyBorder="1" applyAlignment="1" applyProtection="1">
      <alignment horizontal="center" vertical="center" shrinkToFit="1"/>
      <protection locked="0" hidden="1"/>
    </xf>
    <xf numFmtId="164"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39" fillId="8" borderId="9" xfId="0" applyFont="1" applyFill="1" applyBorder="1" applyAlignment="1" applyProtection="1">
      <alignment horizontal="center" vertical="center"/>
      <protection hidden="1"/>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117"/>
  <sheetViews>
    <sheetView showGridLines="0" tabSelected="1" view="pageBreakPreview" zoomScaleSheetLayoutView="100" workbookViewId="0">
      <selection sqref="A1:R1"/>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33" t="s">
        <v>807</v>
      </c>
      <c r="B1" s="233"/>
      <c r="C1" s="233"/>
      <c r="D1" s="233"/>
      <c r="E1" s="233"/>
      <c r="F1" s="233"/>
      <c r="G1" s="233"/>
      <c r="H1" s="233"/>
      <c r="I1" s="233"/>
      <c r="J1" s="233"/>
      <c r="K1" s="233"/>
      <c r="L1" s="233"/>
      <c r="M1" s="233"/>
      <c r="N1" s="233"/>
      <c r="O1" s="233"/>
      <c r="P1" s="233"/>
      <c r="Q1" s="233"/>
      <c r="R1" s="233"/>
      <c r="S1" s="1" t="s">
        <v>66</v>
      </c>
      <c r="T1" s="1"/>
      <c r="U1" s="1"/>
      <c r="V1" s="36"/>
      <c r="W1" s="1"/>
      <c r="X1" s="1"/>
    </row>
    <row r="2" spans="1:603" ht="13.9" customHeight="1" x14ac:dyDescent="0.3">
      <c r="A2" s="233" t="s">
        <v>63</v>
      </c>
      <c r="B2" s="233"/>
      <c r="C2" s="233"/>
      <c r="D2" s="233"/>
      <c r="E2" s="233"/>
      <c r="F2" s="233"/>
      <c r="G2" s="233"/>
      <c r="H2" s="233"/>
      <c r="I2" s="233"/>
      <c r="J2" s="233"/>
      <c r="K2" s="233"/>
      <c r="L2" s="233"/>
      <c r="M2" s="233"/>
      <c r="N2" s="233"/>
      <c r="O2" s="233"/>
      <c r="P2" s="233"/>
      <c r="Q2" s="233"/>
      <c r="R2" s="233"/>
      <c r="S2" s="233"/>
      <c r="T2" s="233"/>
      <c r="U2" s="233"/>
      <c r="V2" s="38"/>
      <c r="W2" s="1"/>
      <c r="X2" s="1"/>
    </row>
    <row r="3" spans="1:603" ht="13.9" customHeight="1" x14ac:dyDescent="0.3">
      <c r="A3" s="233" t="s">
        <v>74</v>
      </c>
      <c r="B3" s="233"/>
      <c r="C3" s="233"/>
      <c r="D3" s="233"/>
      <c r="E3" s="233"/>
      <c r="F3" s="233"/>
      <c r="G3" s="233"/>
      <c r="H3" s="233"/>
      <c r="I3" s="233"/>
      <c r="J3" s="233"/>
      <c r="K3" s="233"/>
      <c r="L3" s="233"/>
      <c r="M3" s="233"/>
      <c r="N3" s="233"/>
      <c r="O3" s="233"/>
      <c r="P3" s="233"/>
      <c r="Q3" s="233"/>
      <c r="R3" s="233"/>
      <c r="S3" s="39"/>
      <c r="T3" s="39"/>
      <c r="U3" s="39"/>
      <c r="V3" s="38"/>
      <c r="W3" s="1"/>
      <c r="X3" s="1"/>
    </row>
    <row r="4" spans="1:603" ht="13.9" customHeight="1" x14ac:dyDescent="0.3">
      <c r="A4" s="235" t="s">
        <v>839</v>
      </c>
      <c r="B4" s="235"/>
      <c r="C4" s="235"/>
      <c r="D4" s="235"/>
      <c r="E4" s="235"/>
      <c r="F4" s="235"/>
      <c r="G4" s="235"/>
      <c r="H4" s="235"/>
      <c r="I4" s="235"/>
      <c r="J4" s="235"/>
      <c r="K4" s="235"/>
      <c r="L4" s="235"/>
      <c r="M4" s="235"/>
      <c r="N4" s="235"/>
      <c r="O4" s="235"/>
      <c r="P4" s="235"/>
      <c r="Q4" s="235"/>
      <c r="R4" s="235"/>
      <c r="S4" s="235"/>
      <c r="T4" s="235"/>
      <c r="U4" s="235"/>
      <c r="V4" s="35"/>
      <c r="W4" s="2"/>
      <c r="X4" s="2"/>
    </row>
    <row r="5" spans="1:603" ht="30" customHeight="1" x14ac:dyDescent="0.3">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168"/>
      <c r="D6" s="168"/>
      <c r="E6" s="168"/>
      <c r="F6" s="168"/>
      <c r="G6" s="168"/>
      <c r="I6" s="1"/>
      <c r="J6" s="41" t="s">
        <v>14</v>
      </c>
      <c r="L6" s="177" t="s">
        <v>850</v>
      </c>
      <c r="M6" s="177"/>
      <c r="N6" s="177"/>
      <c r="O6" s="177"/>
      <c r="P6" s="177"/>
      <c r="Q6" s="177"/>
      <c r="R6" s="177"/>
      <c r="S6" s="266"/>
    </row>
    <row r="7" spans="1:603" ht="15.75" customHeight="1" x14ac:dyDescent="0.3">
      <c r="A7" s="40" t="s">
        <v>9</v>
      </c>
      <c r="B7" s="40"/>
      <c r="C7" s="173"/>
      <c r="D7" s="173"/>
      <c r="E7" s="173"/>
      <c r="F7" s="173"/>
      <c r="G7" s="173"/>
      <c r="I7" s="42"/>
      <c r="J7" s="43" t="s">
        <v>65</v>
      </c>
      <c r="K7" s="43"/>
      <c r="L7" s="43"/>
      <c r="M7" s="43"/>
      <c r="N7" s="177"/>
      <c r="O7" s="177"/>
      <c r="P7" s="177"/>
      <c r="Q7" s="177"/>
      <c r="R7" s="177"/>
      <c r="S7" s="177"/>
      <c r="V7" s="36"/>
    </row>
    <row r="8" spans="1:603" ht="15.75" customHeight="1" x14ac:dyDescent="0.3">
      <c r="A8" s="40" t="s">
        <v>10</v>
      </c>
      <c r="B8" s="40"/>
      <c r="C8" s="173"/>
      <c r="D8" s="173"/>
      <c r="E8" s="173"/>
      <c r="F8" s="173"/>
      <c r="G8" s="173"/>
      <c r="I8" s="42"/>
      <c r="J8" s="43" t="s">
        <v>64</v>
      </c>
      <c r="K8" s="43"/>
      <c r="L8" s="43"/>
      <c r="M8" s="177"/>
      <c r="N8" s="177"/>
      <c r="O8" s="177"/>
      <c r="P8" s="177"/>
      <c r="Q8" s="177"/>
      <c r="R8" s="177"/>
      <c r="S8" s="177"/>
      <c r="V8" s="36"/>
    </row>
    <row r="9" spans="1:603" ht="15.75" customHeight="1" x14ac:dyDescent="0.3">
      <c r="A9" s="40" t="s">
        <v>763</v>
      </c>
      <c r="C9" s="173"/>
      <c r="D9" s="173"/>
      <c r="E9" s="173"/>
      <c r="F9" s="173"/>
      <c r="G9" s="173"/>
      <c r="J9" s="43" t="s">
        <v>11</v>
      </c>
      <c r="K9" s="43"/>
      <c r="L9" s="43"/>
      <c r="M9" s="178"/>
      <c r="N9" s="178"/>
      <c r="O9" s="44"/>
      <c r="P9" s="9"/>
      <c r="V9" s="36"/>
    </row>
    <row r="10" spans="1:603" ht="15.75" customHeight="1" x14ac:dyDescent="0.3">
      <c r="J10" s="45" t="s">
        <v>69</v>
      </c>
      <c r="K10" s="179"/>
      <c r="L10" s="179"/>
      <c r="M10" s="45"/>
      <c r="N10" s="46"/>
      <c r="O10" s="43" t="s">
        <v>12</v>
      </c>
      <c r="Q10" s="180"/>
      <c r="R10" s="180"/>
      <c r="S10" s="180"/>
      <c r="V10" s="36"/>
    </row>
    <row r="11" spans="1:603" s="46" customFormat="1" ht="14.25" customHeight="1" thickBot="1" x14ac:dyDescent="0.35">
      <c r="A11" s="1" t="s">
        <v>0</v>
      </c>
      <c r="B11" s="47"/>
      <c r="C11" s="47"/>
      <c r="D11" s="47"/>
      <c r="E11" s="47"/>
      <c r="F11" s="37"/>
      <c r="V11" s="48"/>
    </row>
    <row r="12" spans="1:603" s="49" customFormat="1" ht="13.9" customHeight="1" x14ac:dyDescent="0.2">
      <c r="A12" s="212" t="s">
        <v>68</v>
      </c>
      <c r="B12" s="213"/>
      <c r="C12" s="214"/>
      <c r="D12" s="206" t="s">
        <v>77</v>
      </c>
      <c r="E12" s="206"/>
      <c r="F12" s="206"/>
      <c r="G12" s="206"/>
      <c r="H12" s="10">
        <f>D27+E40</f>
        <v>0</v>
      </c>
      <c r="I12" s="46"/>
      <c r="J12" s="240" t="s">
        <v>752</v>
      </c>
      <c r="K12" s="241"/>
      <c r="L12" s="241"/>
      <c r="M12" s="242"/>
      <c r="N12" s="240" t="s">
        <v>753</v>
      </c>
      <c r="O12" s="241"/>
      <c r="P12" s="241"/>
      <c r="Q12" s="241"/>
      <c r="R12" s="241"/>
      <c r="S12" s="241"/>
      <c r="T12" s="241"/>
      <c r="U12" s="242"/>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15"/>
      <c r="B13" s="216"/>
      <c r="C13" s="217"/>
      <c r="D13" s="207" t="s">
        <v>71</v>
      </c>
      <c r="E13" s="207"/>
      <c r="F13" s="207"/>
      <c r="G13" s="207"/>
      <c r="H13" s="11">
        <f>U27</f>
        <v>0</v>
      </c>
      <c r="J13" s="166" t="s">
        <v>699</v>
      </c>
      <c r="K13" s="166"/>
      <c r="L13" s="166"/>
      <c r="M13" s="50"/>
      <c r="N13" s="51" t="s">
        <v>754</v>
      </c>
      <c r="O13" s="51"/>
      <c r="P13" s="51"/>
      <c r="Q13" s="50"/>
      <c r="R13" s="276" t="s">
        <v>755</v>
      </c>
      <c r="S13" s="276"/>
      <c r="T13" s="276"/>
      <c r="U13" s="50"/>
      <c r="V13" s="48"/>
    </row>
    <row r="14" spans="1:603" s="46" customFormat="1" ht="12.75" customHeight="1" thickBot="1" x14ac:dyDescent="0.25">
      <c r="A14" s="218"/>
      <c r="B14" s="219"/>
      <c r="C14" s="220"/>
      <c r="D14" s="208" t="s">
        <v>3</v>
      </c>
      <c r="E14" s="208"/>
      <c r="F14" s="208"/>
      <c r="G14" s="208"/>
      <c r="H14" s="12">
        <f>H12+H13</f>
        <v>0</v>
      </c>
      <c r="J14" s="166" t="s">
        <v>701</v>
      </c>
      <c r="K14" s="166"/>
      <c r="L14" s="166"/>
      <c r="M14" s="50"/>
      <c r="N14" s="51" t="s">
        <v>756</v>
      </c>
      <c r="O14" s="51"/>
      <c r="P14" s="51"/>
      <c r="Q14" s="50"/>
      <c r="R14" s="276" t="s">
        <v>757</v>
      </c>
      <c r="S14" s="276"/>
      <c r="T14" s="276"/>
      <c r="U14" s="50"/>
      <c r="V14" s="48"/>
    </row>
    <row r="15" spans="1:603" s="49" customFormat="1" ht="17.25" thickBot="1" x14ac:dyDescent="0.35">
      <c r="A15" s="3"/>
      <c r="B15" s="47"/>
      <c r="C15" s="47"/>
      <c r="D15" s="47"/>
      <c r="E15" s="47"/>
      <c r="F15" s="37"/>
      <c r="G15" s="46"/>
      <c r="H15" s="46"/>
      <c r="I15" s="46"/>
      <c r="J15" s="234" t="s">
        <v>700</v>
      </c>
      <c r="K15" s="234"/>
      <c r="L15" s="234"/>
      <c r="M15" s="50"/>
      <c r="N15" s="52" t="s">
        <v>758</v>
      </c>
      <c r="O15" s="52"/>
      <c r="P15" s="52"/>
      <c r="Q15" s="50"/>
      <c r="R15" s="277" t="s">
        <v>759</v>
      </c>
      <c r="S15" s="277"/>
      <c r="T15" s="277"/>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30" t="s">
        <v>59</v>
      </c>
      <c r="B16" s="231"/>
      <c r="C16" s="232"/>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71" t="s">
        <v>60</v>
      </c>
      <c r="B17" s="171"/>
      <c r="C17" s="171"/>
      <c r="D17" s="13">
        <f>D30+E42-D33-E44</f>
        <v>0</v>
      </c>
      <c r="E17" s="13">
        <f>+U30-U33</f>
        <v>0</v>
      </c>
      <c r="F17" s="14">
        <f>+E17+D17</f>
        <v>0</v>
      </c>
      <c r="G17" s="127"/>
      <c r="H17" s="128"/>
      <c r="I17" s="284" t="s">
        <v>820</v>
      </c>
      <c r="J17" s="285" t="s">
        <v>75</v>
      </c>
      <c r="K17" s="285"/>
      <c r="L17" s="285"/>
      <c r="M17" s="283" t="s">
        <v>67</v>
      </c>
      <c r="N17" s="283"/>
      <c r="O17" s="283"/>
      <c r="P17" s="283" t="s">
        <v>3</v>
      </c>
      <c r="Q17" s="172"/>
      <c r="R17" s="167" t="s">
        <v>760</v>
      </c>
      <c r="S17" s="167"/>
      <c r="T17" s="167"/>
      <c r="U17" s="123"/>
    </row>
    <row r="18" spans="1:22" s="46" customFormat="1" ht="17.649999999999999" customHeight="1" x14ac:dyDescent="0.2">
      <c r="A18" s="171" t="s">
        <v>61</v>
      </c>
      <c r="B18" s="171"/>
      <c r="C18" s="171"/>
      <c r="D18" s="15">
        <f>D33+E44</f>
        <v>0</v>
      </c>
      <c r="E18" s="16">
        <f>U33</f>
        <v>0</v>
      </c>
      <c r="F18" s="14">
        <f>+E18+D18</f>
        <v>0</v>
      </c>
      <c r="G18" s="127"/>
      <c r="H18" s="128"/>
      <c r="I18" s="284"/>
      <c r="J18" s="136" t="s">
        <v>817</v>
      </c>
      <c r="K18" s="136" t="s">
        <v>818</v>
      </c>
      <c r="L18" s="136" t="s">
        <v>819</v>
      </c>
      <c r="M18" s="136" t="s">
        <v>817</v>
      </c>
      <c r="N18" s="136" t="s">
        <v>818</v>
      </c>
      <c r="O18" s="136" t="s">
        <v>819</v>
      </c>
      <c r="P18" s="283"/>
      <c r="Q18" s="172"/>
      <c r="R18" s="167" t="s">
        <v>761</v>
      </c>
      <c r="S18" s="167"/>
      <c r="T18" s="167"/>
      <c r="U18" s="123"/>
    </row>
    <row r="19" spans="1:22" s="46" customFormat="1" ht="13.9" customHeight="1" x14ac:dyDescent="0.25">
      <c r="A19" s="171" t="s">
        <v>62</v>
      </c>
      <c r="B19" s="171"/>
      <c r="C19" s="171"/>
      <c r="D19" s="6"/>
      <c r="E19" s="8"/>
      <c r="F19" s="14">
        <f>+E19+D19</f>
        <v>0</v>
      </c>
      <c r="G19" s="127"/>
      <c r="H19" s="128"/>
      <c r="I19" s="131" t="s">
        <v>815</v>
      </c>
      <c r="J19" s="134"/>
      <c r="K19" s="134"/>
      <c r="L19" s="134"/>
      <c r="M19" s="134"/>
      <c r="N19" s="134"/>
      <c r="O19" s="134"/>
      <c r="P19" s="155">
        <f>J19+K19+L19+M19+N19+O19</f>
        <v>0</v>
      </c>
      <c r="Q19" s="130"/>
      <c r="R19" s="167" t="s">
        <v>762</v>
      </c>
      <c r="S19" s="167"/>
      <c r="T19" s="167"/>
      <c r="U19" s="123"/>
    </row>
    <row r="20" spans="1:22" s="46" customFormat="1" ht="13.9" customHeight="1" x14ac:dyDescent="0.25">
      <c r="A20" s="171" t="s">
        <v>814</v>
      </c>
      <c r="B20" s="171"/>
      <c r="C20" s="171"/>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 customHeight="1" thickBot="1" x14ac:dyDescent="0.25">
      <c r="A21" s="171" t="s">
        <v>813</v>
      </c>
      <c r="B21" s="171"/>
      <c r="C21" s="171"/>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27" t="s">
        <v>1</v>
      </c>
      <c r="B24" s="224" t="s">
        <v>78</v>
      </c>
      <c r="C24" s="225"/>
      <c r="D24" s="226"/>
      <c r="E24" s="158" t="s">
        <v>15</v>
      </c>
      <c r="F24" s="159"/>
      <c r="G24" s="159"/>
      <c r="H24" s="159"/>
      <c r="I24" s="159"/>
      <c r="J24" s="159"/>
      <c r="K24" s="159"/>
      <c r="L24" s="159"/>
      <c r="M24" s="159"/>
      <c r="N24" s="159"/>
      <c r="O24" s="159"/>
      <c r="P24" s="159"/>
      <c r="Q24" s="159"/>
      <c r="R24" s="159"/>
      <c r="S24" s="159"/>
      <c r="T24" s="159"/>
      <c r="U24" s="181" t="s">
        <v>764</v>
      </c>
      <c r="V24" s="36"/>
    </row>
    <row r="25" spans="1:22" ht="76.5" customHeight="1" x14ac:dyDescent="0.3">
      <c r="A25" s="228"/>
      <c r="B25" s="21" t="s">
        <v>43</v>
      </c>
      <c r="C25" s="4" t="s">
        <v>44</v>
      </c>
      <c r="D25" s="222" t="s">
        <v>765</v>
      </c>
      <c r="E25" s="61" t="s">
        <v>18</v>
      </c>
      <c r="F25" s="62" t="s">
        <v>19</v>
      </c>
      <c r="G25" s="62" t="s">
        <v>20</v>
      </c>
      <c r="H25" s="62" t="s">
        <v>22</v>
      </c>
      <c r="I25" s="62" t="s">
        <v>24</v>
      </c>
      <c r="J25" s="62" t="s">
        <v>26</v>
      </c>
      <c r="K25" s="62" t="s">
        <v>28</v>
      </c>
      <c r="L25" s="62" t="s">
        <v>30</v>
      </c>
      <c r="M25" s="164" t="s">
        <v>32</v>
      </c>
      <c r="N25" s="164"/>
      <c r="O25" s="164"/>
      <c r="P25" s="164" t="s">
        <v>34</v>
      </c>
      <c r="Q25" s="164"/>
      <c r="R25" s="164"/>
      <c r="S25" s="275" t="s">
        <v>766</v>
      </c>
      <c r="T25" s="275"/>
      <c r="U25" s="182"/>
      <c r="V25" s="36"/>
    </row>
    <row r="26" spans="1:22" ht="22.5" customHeight="1" thickBot="1" x14ac:dyDescent="0.35">
      <c r="A26" s="229"/>
      <c r="B26" s="63" t="s">
        <v>16</v>
      </c>
      <c r="C26" s="64" t="s">
        <v>17</v>
      </c>
      <c r="D26" s="223"/>
      <c r="E26" s="63" t="s">
        <v>21</v>
      </c>
      <c r="F26" s="64" t="s">
        <v>23</v>
      </c>
      <c r="G26" s="64" t="s">
        <v>25</v>
      </c>
      <c r="H26" s="64" t="s">
        <v>27</v>
      </c>
      <c r="I26" s="64" t="s">
        <v>29</v>
      </c>
      <c r="J26" s="64" t="s">
        <v>31</v>
      </c>
      <c r="K26" s="64" t="s">
        <v>33</v>
      </c>
      <c r="L26" s="64" t="s">
        <v>35</v>
      </c>
      <c r="M26" s="165" t="s">
        <v>36</v>
      </c>
      <c r="N26" s="165"/>
      <c r="O26" s="165"/>
      <c r="P26" s="165" t="s">
        <v>72</v>
      </c>
      <c r="Q26" s="165"/>
      <c r="R26" s="165"/>
      <c r="S26" s="165" t="s">
        <v>73</v>
      </c>
      <c r="T26" s="165"/>
      <c r="U26" s="183"/>
      <c r="V26" s="36"/>
    </row>
    <row r="27" spans="1:22" ht="13.9" customHeight="1" x14ac:dyDescent="0.3">
      <c r="A27" s="236" t="s">
        <v>70</v>
      </c>
      <c r="B27" s="245"/>
      <c r="C27" s="273"/>
      <c r="D27" s="268">
        <f>B27+C27</f>
        <v>0</v>
      </c>
      <c r="E27" s="203"/>
      <c r="F27" s="160"/>
      <c r="G27" s="160"/>
      <c r="H27" s="160"/>
      <c r="I27" s="160"/>
      <c r="J27" s="160"/>
      <c r="K27" s="160"/>
      <c r="L27" s="160"/>
      <c r="M27" s="193" t="s">
        <v>37</v>
      </c>
      <c r="N27" s="194"/>
      <c r="O27" s="65"/>
      <c r="P27" s="193" t="s">
        <v>37</v>
      </c>
      <c r="Q27" s="194"/>
      <c r="R27" s="65"/>
      <c r="S27" s="169">
        <f>M41+M42+M43+N41+N42+N43+O41+O42</f>
        <v>0</v>
      </c>
      <c r="T27" s="169"/>
      <c r="U27" s="184">
        <f>E27+F27+G27+H27+I27+J27+K27+L27+O27+O28+O29+R27+R28+R29+S27</f>
        <v>0</v>
      </c>
      <c r="V27" s="36"/>
    </row>
    <row r="28" spans="1:22" ht="13.9" customHeight="1" x14ac:dyDescent="0.3">
      <c r="A28" s="237"/>
      <c r="B28" s="246"/>
      <c r="C28" s="200"/>
      <c r="D28" s="269"/>
      <c r="E28" s="204"/>
      <c r="F28" s="161"/>
      <c r="G28" s="161"/>
      <c r="H28" s="161"/>
      <c r="I28" s="161"/>
      <c r="J28" s="161"/>
      <c r="K28" s="161"/>
      <c r="L28" s="161"/>
      <c r="M28" s="162" t="s">
        <v>13</v>
      </c>
      <c r="N28" s="163"/>
      <c r="O28" s="66"/>
      <c r="P28" s="162" t="s">
        <v>13</v>
      </c>
      <c r="Q28" s="163"/>
      <c r="R28" s="66"/>
      <c r="S28" s="170"/>
      <c r="T28" s="170"/>
      <c r="U28" s="185"/>
      <c r="V28" s="36"/>
    </row>
    <row r="29" spans="1:22" ht="13.9" customHeight="1" x14ac:dyDescent="0.3">
      <c r="A29" s="237"/>
      <c r="B29" s="247"/>
      <c r="C29" s="201"/>
      <c r="D29" s="270"/>
      <c r="E29" s="204"/>
      <c r="F29" s="161"/>
      <c r="G29" s="161"/>
      <c r="H29" s="161"/>
      <c r="I29" s="161"/>
      <c r="J29" s="161"/>
      <c r="K29" s="161"/>
      <c r="L29" s="161"/>
      <c r="M29" s="162" t="s">
        <v>46</v>
      </c>
      <c r="N29" s="163"/>
      <c r="O29" s="66"/>
      <c r="P29" s="162" t="s">
        <v>46</v>
      </c>
      <c r="Q29" s="163"/>
      <c r="R29" s="66"/>
      <c r="S29" s="170"/>
      <c r="T29" s="170"/>
      <c r="U29" s="185"/>
      <c r="V29" s="36"/>
    </row>
    <row r="30" spans="1:22" ht="13.9" customHeight="1" x14ac:dyDescent="0.3">
      <c r="A30" s="237" t="s">
        <v>4</v>
      </c>
      <c r="B30" s="248"/>
      <c r="C30" s="199"/>
      <c r="D30" s="271">
        <f>B30+C30</f>
        <v>0</v>
      </c>
      <c r="E30" s="204"/>
      <c r="F30" s="161"/>
      <c r="G30" s="161"/>
      <c r="H30" s="161"/>
      <c r="I30" s="161"/>
      <c r="J30" s="161"/>
      <c r="K30" s="161"/>
      <c r="L30" s="161"/>
      <c r="M30" s="162" t="s">
        <v>37</v>
      </c>
      <c r="N30" s="163"/>
      <c r="O30" s="66"/>
      <c r="P30" s="162" t="s">
        <v>37</v>
      </c>
      <c r="Q30" s="163"/>
      <c r="R30" s="66"/>
      <c r="S30" s="170">
        <f>P41+P42+P43+Q41+Q42+Q43+R41+R42</f>
        <v>0</v>
      </c>
      <c r="T30" s="170"/>
      <c r="U30" s="185">
        <f>E30+F30+G30+H30+I30+J30+K30+L30+O30+O31+O32+R30+R31+R32+S30</f>
        <v>0</v>
      </c>
      <c r="V30" s="36"/>
    </row>
    <row r="31" spans="1:22" ht="13.9" customHeight="1" x14ac:dyDescent="0.3">
      <c r="A31" s="237"/>
      <c r="B31" s="246"/>
      <c r="C31" s="200"/>
      <c r="D31" s="269"/>
      <c r="E31" s="204"/>
      <c r="F31" s="161"/>
      <c r="G31" s="161"/>
      <c r="H31" s="161"/>
      <c r="I31" s="161"/>
      <c r="J31" s="161"/>
      <c r="K31" s="161"/>
      <c r="L31" s="161"/>
      <c r="M31" s="162" t="s">
        <v>13</v>
      </c>
      <c r="N31" s="163"/>
      <c r="O31" s="66"/>
      <c r="P31" s="162" t="s">
        <v>13</v>
      </c>
      <c r="Q31" s="163"/>
      <c r="R31" s="66"/>
      <c r="S31" s="170"/>
      <c r="T31" s="170"/>
      <c r="U31" s="185"/>
      <c r="V31" s="36"/>
    </row>
    <row r="32" spans="1:22" ht="13.9" customHeight="1" x14ac:dyDescent="0.3">
      <c r="A32" s="237"/>
      <c r="B32" s="247"/>
      <c r="C32" s="201"/>
      <c r="D32" s="270"/>
      <c r="E32" s="204"/>
      <c r="F32" s="161"/>
      <c r="G32" s="161"/>
      <c r="H32" s="161"/>
      <c r="I32" s="161"/>
      <c r="J32" s="161"/>
      <c r="K32" s="161"/>
      <c r="L32" s="161"/>
      <c r="M32" s="162" t="s">
        <v>46</v>
      </c>
      <c r="N32" s="163"/>
      <c r="O32" s="66"/>
      <c r="P32" s="162" t="s">
        <v>46</v>
      </c>
      <c r="Q32" s="163"/>
      <c r="R32" s="66"/>
      <c r="S32" s="170"/>
      <c r="T32" s="170"/>
      <c r="U32" s="185"/>
      <c r="V32" s="36"/>
    </row>
    <row r="33" spans="1:24" ht="13.9" customHeight="1" x14ac:dyDescent="0.3">
      <c r="A33" s="237" t="s">
        <v>5</v>
      </c>
      <c r="B33" s="248"/>
      <c r="C33" s="199"/>
      <c r="D33" s="271">
        <f>B33+C33</f>
        <v>0</v>
      </c>
      <c r="E33" s="204"/>
      <c r="F33" s="161"/>
      <c r="G33" s="161"/>
      <c r="H33" s="161"/>
      <c r="I33" s="161"/>
      <c r="J33" s="161"/>
      <c r="K33" s="161"/>
      <c r="L33" s="161"/>
      <c r="M33" s="162" t="s">
        <v>37</v>
      </c>
      <c r="N33" s="163"/>
      <c r="O33" s="66"/>
      <c r="P33" s="162" t="s">
        <v>37</v>
      </c>
      <c r="Q33" s="163"/>
      <c r="R33" s="66"/>
      <c r="S33" s="170">
        <f>S41+S42+S43+T41+T42+T43+U41+U42</f>
        <v>0</v>
      </c>
      <c r="T33" s="170"/>
      <c r="U33" s="185">
        <f>E33+F33+G33+H33+I33+J33+K33+L33+O33+O34+O35+R33+R34+R35+S33</f>
        <v>0</v>
      </c>
      <c r="V33" s="36"/>
    </row>
    <row r="34" spans="1:24" ht="13.9" customHeight="1" x14ac:dyDescent="0.3">
      <c r="A34" s="237"/>
      <c r="B34" s="246"/>
      <c r="C34" s="200"/>
      <c r="D34" s="269"/>
      <c r="E34" s="204"/>
      <c r="F34" s="161"/>
      <c r="G34" s="161"/>
      <c r="H34" s="161"/>
      <c r="I34" s="161"/>
      <c r="J34" s="161"/>
      <c r="K34" s="161"/>
      <c r="L34" s="161"/>
      <c r="M34" s="162" t="s">
        <v>13</v>
      </c>
      <c r="N34" s="163"/>
      <c r="O34" s="66"/>
      <c r="P34" s="162" t="s">
        <v>13</v>
      </c>
      <c r="Q34" s="163"/>
      <c r="R34" s="66"/>
      <c r="S34" s="170"/>
      <c r="T34" s="170"/>
      <c r="U34" s="185"/>
      <c r="V34" s="36"/>
    </row>
    <row r="35" spans="1:24" ht="13.9" customHeight="1" thickBot="1" x14ac:dyDescent="0.35">
      <c r="A35" s="238"/>
      <c r="B35" s="249"/>
      <c r="C35" s="202"/>
      <c r="D35" s="272"/>
      <c r="E35" s="239"/>
      <c r="F35" s="192"/>
      <c r="G35" s="192"/>
      <c r="H35" s="192"/>
      <c r="I35" s="192"/>
      <c r="J35" s="192"/>
      <c r="K35" s="192"/>
      <c r="L35" s="192"/>
      <c r="M35" s="156" t="s">
        <v>46</v>
      </c>
      <c r="N35" s="157"/>
      <c r="O35" s="67"/>
      <c r="P35" s="156" t="s">
        <v>46</v>
      </c>
      <c r="Q35" s="157"/>
      <c r="R35" s="67"/>
      <c r="S35" s="274"/>
      <c r="T35" s="274"/>
      <c r="U35" s="186"/>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09" t="s">
        <v>42</v>
      </c>
      <c r="B38" s="210"/>
      <c r="C38" s="210"/>
      <c r="D38" s="210"/>
      <c r="E38" s="211"/>
      <c r="F38" s="68"/>
      <c r="G38" s="279" t="s">
        <v>821</v>
      </c>
      <c r="H38" s="280" t="s">
        <v>822</v>
      </c>
      <c r="J38" s="195" t="s">
        <v>47</v>
      </c>
      <c r="K38" s="196"/>
      <c r="L38" s="196"/>
      <c r="M38" s="196"/>
      <c r="N38" s="196"/>
      <c r="O38" s="196"/>
      <c r="P38" s="196"/>
      <c r="Q38" s="196"/>
      <c r="R38" s="196"/>
      <c r="S38" s="196"/>
      <c r="T38" s="196"/>
      <c r="U38" s="197"/>
      <c r="V38" s="36"/>
    </row>
    <row r="39" spans="1:24" ht="12.75" customHeight="1" x14ac:dyDescent="0.3">
      <c r="A39" s="69"/>
      <c r="B39" s="70" t="s">
        <v>43</v>
      </c>
      <c r="C39" s="70" t="s">
        <v>44</v>
      </c>
      <c r="D39" s="70" t="s">
        <v>45</v>
      </c>
      <c r="E39" s="71" t="s">
        <v>3</v>
      </c>
      <c r="G39" s="279"/>
      <c r="H39" s="281"/>
      <c r="J39" s="254" t="s">
        <v>2</v>
      </c>
      <c r="K39" s="255"/>
      <c r="L39" s="256"/>
      <c r="M39" s="198" t="s">
        <v>6</v>
      </c>
      <c r="N39" s="198"/>
      <c r="O39" s="198"/>
      <c r="P39" s="198" t="s">
        <v>4</v>
      </c>
      <c r="Q39" s="198"/>
      <c r="R39" s="198"/>
      <c r="S39" s="198" t="s">
        <v>5</v>
      </c>
      <c r="T39" s="198"/>
      <c r="U39" s="278"/>
      <c r="V39" s="36"/>
    </row>
    <row r="40" spans="1:24" ht="15.6" customHeight="1" x14ac:dyDescent="0.3">
      <c r="A40" s="221" t="s">
        <v>39</v>
      </c>
      <c r="B40" s="187"/>
      <c r="C40" s="187"/>
      <c r="D40" s="187"/>
      <c r="E40" s="189">
        <f>B40+C40+D40</f>
        <v>0</v>
      </c>
      <c r="F40" s="191"/>
      <c r="G40" s="279"/>
      <c r="H40" s="281"/>
      <c r="J40" s="257"/>
      <c r="K40" s="258"/>
      <c r="L40" s="259"/>
      <c r="M40" s="70" t="s">
        <v>48</v>
      </c>
      <c r="N40" s="70" t="s">
        <v>7</v>
      </c>
      <c r="O40" s="70" t="s">
        <v>49</v>
      </c>
      <c r="P40" s="70" t="s">
        <v>48</v>
      </c>
      <c r="Q40" s="70" t="s">
        <v>7</v>
      </c>
      <c r="R40" s="70" t="s">
        <v>49</v>
      </c>
      <c r="S40" s="70" t="s">
        <v>48</v>
      </c>
      <c r="T40" s="70" t="s">
        <v>7</v>
      </c>
      <c r="U40" s="71" t="s">
        <v>49</v>
      </c>
      <c r="V40" s="36"/>
    </row>
    <row r="41" spans="1:24" ht="15" customHeight="1" x14ac:dyDescent="0.3">
      <c r="A41" s="221"/>
      <c r="B41" s="205"/>
      <c r="C41" s="205"/>
      <c r="D41" s="205"/>
      <c r="E41" s="189"/>
      <c r="F41" s="191"/>
      <c r="G41" s="279"/>
      <c r="H41" s="282"/>
      <c r="J41" s="260" t="s">
        <v>50</v>
      </c>
      <c r="K41" s="261"/>
      <c r="L41" s="262"/>
      <c r="M41" s="72"/>
      <c r="N41" s="72"/>
      <c r="O41" s="72"/>
      <c r="P41" s="72"/>
      <c r="Q41" s="72"/>
      <c r="R41" s="72"/>
      <c r="S41" s="72"/>
      <c r="T41" s="72"/>
      <c r="U41" s="73"/>
      <c r="V41" s="36"/>
    </row>
    <row r="42" spans="1:24" ht="13.9" customHeight="1" x14ac:dyDescent="0.3">
      <c r="A42" s="221" t="s">
        <v>40</v>
      </c>
      <c r="B42" s="187"/>
      <c r="C42" s="187"/>
      <c r="D42" s="187"/>
      <c r="E42" s="189">
        <f>B42+C42+D42</f>
        <v>0</v>
      </c>
      <c r="F42" s="191"/>
      <c r="G42" s="252">
        <f>E17+F18</f>
        <v>0</v>
      </c>
      <c r="H42" s="253"/>
      <c r="J42" s="260" t="s">
        <v>51</v>
      </c>
      <c r="K42" s="261"/>
      <c r="L42" s="262"/>
      <c r="M42" s="72"/>
      <c r="N42" s="72"/>
      <c r="O42" s="72"/>
      <c r="P42" s="72"/>
      <c r="Q42" s="72"/>
      <c r="R42" s="72"/>
      <c r="S42" s="72"/>
      <c r="T42" s="72"/>
      <c r="U42" s="73"/>
      <c r="V42" s="36"/>
    </row>
    <row r="43" spans="1:24" ht="13.9" customHeight="1" thickBot="1" x14ac:dyDescent="0.35">
      <c r="A43" s="221"/>
      <c r="B43" s="205"/>
      <c r="C43" s="205"/>
      <c r="D43" s="205"/>
      <c r="E43" s="189"/>
      <c r="F43" s="191"/>
      <c r="G43" s="252"/>
      <c r="H43" s="253"/>
      <c r="J43" s="263" t="s">
        <v>52</v>
      </c>
      <c r="K43" s="264"/>
      <c r="L43" s="265"/>
      <c r="M43" s="74"/>
      <c r="N43" s="74"/>
      <c r="O43" s="75"/>
      <c r="P43" s="74"/>
      <c r="Q43" s="74"/>
      <c r="R43" s="75"/>
      <c r="S43" s="74"/>
      <c r="T43" s="74"/>
      <c r="U43" s="76"/>
      <c r="V43" s="36"/>
    </row>
    <row r="44" spans="1:24" ht="10.5" customHeight="1" x14ac:dyDescent="0.3">
      <c r="A44" s="221" t="s">
        <v>41</v>
      </c>
      <c r="B44" s="187"/>
      <c r="C44" s="187"/>
      <c r="D44" s="187"/>
      <c r="E44" s="189">
        <f>B44+C44+D44</f>
        <v>0</v>
      </c>
      <c r="F44" s="191"/>
      <c r="G44" s="191"/>
      <c r="H44" s="191"/>
      <c r="J44" s="77" t="s">
        <v>53</v>
      </c>
      <c r="K44" s="78"/>
      <c r="L44" s="78"/>
      <c r="M44" s="78"/>
      <c r="N44" s="78"/>
      <c r="O44" s="78"/>
      <c r="P44" s="78"/>
      <c r="Q44" s="78"/>
      <c r="R44" s="78"/>
      <c r="S44" s="78"/>
      <c r="T44" s="78"/>
      <c r="U44" s="78"/>
      <c r="V44" s="79"/>
      <c r="W44" s="78"/>
      <c r="X44" s="78"/>
    </row>
    <row r="45" spans="1:24" ht="13.9" customHeight="1" thickBot="1" x14ac:dyDescent="0.35">
      <c r="A45" s="251"/>
      <c r="B45" s="188"/>
      <c r="C45" s="188"/>
      <c r="D45" s="188"/>
      <c r="E45" s="190"/>
      <c r="F45" s="191"/>
      <c r="G45" s="191"/>
      <c r="H45" s="191"/>
      <c r="V45" s="36"/>
    </row>
    <row r="46" spans="1:24" ht="15" customHeight="1" x14ac:dyDescent="0.3">
      <c r="A46" s="1"/>
      <c r="B46" s="1"/>
      <c r="C46" s="1"/>
      <c r="D46" s="1"/>
      <c r="F46" s="244" t="s">
        <v>672</v>
      </c>
      <c r="G46" s="244"/>
      <c r="H46" s="244"/>
      <c r="L46" s="78" t="s">
        <v>54</v>
      </c>
      <c r="M46" s="78"/>
      <c r="N46" s="78"/>
      <c r="O46" s="78"/>
      <c r="P46" s="78"/>
      <c r="Q46" s="176"/>
      <c r="R46" s="176"/>
      <c r="S46" s="176"/>
      <c r="T46" s="176"/>
      <c r="U46" s="176"/>
      <c r="V46" s="36"/>
    </row>
    <row r="47" spans="1:24" ht="13.9" customHeight="1" x14ac:dyDescent="0.3">
      <c r="A47" s="250"/>
      <c r="B47" s="80"/>
      <c r="C47" s="80"/>
      <c r="D47" s="80"/>
      <c r="E47" s="243"/>
      <c r="F47" s="243"/>
      <c r="G47" s="243"/>
      <c r="H47" s="243"/>
      <c r="I47" s="243"/>
      <c r="J47" s="243"/>
      <c r="K47" s="78"/>
      <c r="L47" s="78" t="s">
        <v>55</v>
      </c>
      <c r="M47" s="176"/>
      <c r="N47" s="176"/>
      <c r="O47" s="176"/>
      <c r="P47" s="176"/>
      <c r="Q47" s="78"/>
      <c r="R47" s="78"/>
      <c r="V47" s="36"/>
    </row>
    <row r="48" spans="1:24" ht="13.9" customHeight="1" x14ac:dyDescent="0.3">
      <c r="A48" s="250"/>
      <c r="B48" s="80"/>
      <c r="C48" s="80"/>
      <c r="D48" s="80"/>
      <c r="E48" s="243"/>
      <c r="F48" s="243"/>
      <c r="G48" s="243"/>
      <c r="H48" s="243"/>
      <c r="I48" s="243"/>
      <c r="J48" s="243"/>
      <c r="K48" s="78"/>
      <c r="L48" s="78" t="s">
        <v>56</v>
      </c>
      <c r="M48" s="175"/>
      <c r="N48" s="175"/>
      <c r="O48" s="175"/>
      <c r="P48" s="175"/>
      <c r="Q48" s="78"/>
      <c r="R48" s="81" t="s">
        <v>57</v>
      </c>
      <c r="S48" s="174"/>
      <c r="T48" s="174"/>
      <c r="V48" s="36"/>
    </row>
    <row r="49" spans="1:22" ht="13.9" customHeight="1" x14ac:dyDescent="0.3">
      <c r="A49" s="191"/>
      <c r="B49" s="31"/>
      <c r="C49" s="31"/>
      <c r="D49" s="31"/>
      <c r="E49" s="243"/>
      <c r="F49" s="243"/>
      <c r="G49" s="243"/>
      <c r="H49" s="243"/>
      <c r="I49" s="243"/>
      <c r="J49" s="243"/>
      <c r="K49" s="78"/>
      <c r="L49" s="78" t="s">
        <v>58</v>
      </c>
      <c r="M49" s="267"/>
      <c r="N49" s="267"/>
      <c r="O49" s="267"/>
      <c r="P49" s="267"/>
      <c r="Q49" s="78"/>
      <c r="R49" s="78"/>
      <c r="V49" s="36"/>
    </row>
    <row r="50" spans="1:22" ht="13.9" customHeight="1" x14ac:dyDescent="0.3">
      <c r="A50" s="191"/>
      <c r="B50" s="31"/>
      <c r="C50" s="31"/>
      <c r="D50" s="31"/>
      <c r="E50" s="243"/>
      <c r="F50" s="243"/>
      <c r="G50" s="243"/>
      <c r="H50" s="243"/>
      <c r="I50" s="243"/>
      <c r="J50" s="243"/>
      <c r="K50" s="78"/>
      <c r="V50" s="36"/>
    </row>
    <row r="98" spans="1:8" hidden="1" x14ac:dyDescent="0.3"/>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7" t="s">
        <v>848</v>
      </c>
    </row>
    <row r="315" spans="5:7" s="82" customFormat="1" ht="25.5" hidden="1" customHeight="1" x14ac:dyDescent="0.3">
      <c r="E315" s="82" t="s">
        <v>106</v>
      </c>
      <c r="F315" s="82" t="s">
        <v>109</v>
      </c>
      <c r="G315" s="82" t="s">
        <v>477</v>
      </c>
    </row>
    <row r="316" spans="5:7" s="82" customFormat="1" ht="25.5" hidden="1" customHeight="1" x14ac:dyDescent="0.3"/>
    <row r="317" spans="5:7" s="82" customFormat="1" ht="25.5" hidden="1" customHeight="1" x14ac:dyDescent="0.3">
      <c r="E317" s="82" t="s">
        <v>106</v>
      </c>
      <c r="F317" s="82" t="s">
        <v>110</v>
      </c>
      <c r="G317" s="82" t="s">
        <v>546</v>
      </c>
    </row>
    <row r="318" spans="5:7" s="82" customFormat="1" ht="25.5" hidden="1" customHeight="1" x14ac:dyDescent="0.3">
      <c r="E318" s="82" t="s">
        <v>106</v>
      </c>
      <c r="F318" s="82" t="s">
        <v>204</v>
      </c>
      <c r="G318" s="82" t="s">
        <v>628</v>
      </c>
    </row>
    <row r="319" spans="5:7" s="82" customFormat="1" ht="25.5" hidden="1" customHeight="1" x14ac:dyDescent="0.3">
      <c r="E319" s="82" t="s">
        <v>106</v>
      </c>
      <c r="F319" s="82" t="s">
        <v>110</v>
      </c>
      <c r="G319" s="82" t="s">
        <v>547</v>
      </c>
    </row>
    <row r="320" spans="5:7" s="82" customFormat="1" ht="25.5" hidden="1" customHeight="1" x14ac:dyDescent="0.3">
      <c r="E320" s="82" t="s">
        <v>106</v>
      </c>
      <c r="F320" s="82" t="s">
        <v>110</v>
      </c>
      <c r="G320" s="82" t="s">
        <v>598</v>
      </c>
    </row>
    <row r="321" spans="5:7" s="82" customFormat="1" ht="25.5" hidden="1" customHeight="1" x14ac:dyDescent="0.3">
      <c r="E321" s="82" t="s">
        <v>106</v>
      </c>
      <c r="F321" s="82" t="s">
        <v>110</v>
      </c>
      <c r="G321" s="82" t="s">
        <v>478</v>
      </c>
    </row>
    <row r="322" spans="5:7" s="82" customFormat="1" ht="25.5" hidden="1" customHeight="1" x14ac:dyDescent="0.3">
      <c r="E322" s="82" t="s">
        <v>106</v>
      </c>
      <c r="F322" s="82" t="s">
        <v>111</v>
      </c>
      <c r="G322" s="82" t="s">
        <v>311</v>
      </c>
    </row>
    <row r="323" spans="5:7" s="82" customFormat="1" ht="25.5" hidden="1" customHeight="1" x14ac:dyDescent="0.3">
      <c r="E323" s="82" t="s">
        <v>106</v>
      </c>
      <c r="F323" s="82" t="s">
        <v>111</v>
      </c>
      <c r="G323" s="82" t="s">
        <v>796</v>
      </c>
    </row>
    <row r="324" spans="5:7" s="82" customFormat="1" ht="25.5" hidden="1" customHeight="1" x14ac:dyDescent="0.3">
      <c r="E324" s="82" t="s">
        <v>106</v>
      </c>
      <c r="F324" s="82" t="s">
        <v>111</v>
      </c>
      <c r="G324" s="82" t="s">
        <v>797</v>
      </c>
    </row>
    <row r="325" spans="5:7" s="82" customFormat="1" ht="25.5" hidden="1" customHeight="1" x14ac:dyDescent="0.3">
      <c r="E325" s="82" t="s">
        <v>106</v>
      </c>
      <c r="F325" s="82" t="s">
        <v>111</v>
      </c>
      <c r="G325" s="82" t="s">
        <v>788</v>
      </c>
    </row>
    <row r="326" spans="5:7" s="82" customFormat="1" ht="25.5" hidden="1" customHeight="1" x14ac:dyDescent="0.3">
      <c r="E326" s="82" t="s">
        <v>106</v>
      </c>
      <c r="F326" s="82" t="s">
        <v>111</v>
      </c>
      <c r="G326" s="82" t="s">
        <v>548</v>
      </c>
    </row>
    <row r="327" spans="5:7" s="82" customFormat="1" ht="25.5" hidden="1" customHeight="1" x14ac:dyDescent="0.3">
      <c r="E327" s="82" t="s">
        <v>106</v>
      </c>
      <c r="F327" s="82" t="s">
        <v>205</v>
      </c>
      <c r="G327" s="82" t="s">
        <v>206</v>
      </c>
    </row>
    <row r="328" spans="5:7" s="82" customFormat="1" ht="25.5" hidden="1" customHeight="1" x14ac:dyDescent="0.3">
      <c r="E328" s="82" t="s">
        <v>106</v>
      </c>
      <c r="F328" s="82" t="s">
        <v>205</v>
      </c>
      <c r="G328" s="82" t="s">
        <v>739</v>
      </c>
    </row>
    <row r="329" spans="5:7" s="82" customFormat="1" ht="25.5" hidden="1" customHeight="1" x14ac:dyDescent="0.3">
      <c r="E329" s="82" t="s">
        <v>106</v>
      </c>
      <c r="F329" s="82" t="s">
        <v>205</v>
      </c>
      <c r="G329" s="82" t="s">
        <v>738</v>
      </c>
    </row>
    <row r="330" spans="5:7" s="82" customFormat="1" ht="25.5" hidden="1" customHeight="1" x14ac:dyDescent="0.3">
      <c r="E330" s="82" t="s">
        <v>106</v>
      </c>
      <c r="F330" s="82" t="s">
        <v>205</v>
      </c>
      <c r="G330" s="82" t="s">
        <v>399</v>
      </c>
    </row>
    <row r="331" spans="5:7" s="82" customFormat="1" ht="25.5" hidden="1" customHeight="1" x14ac:dyDescent="0.3">
      <c r="E331" s="82" t="s">
        <v>106</v>
      </c>
      <c r="F331" s="82" t="s">
        <v>205</v>
      </c>
      <c r="G331" s="82" t="s">
        <v>414</v>
      </c>
    </row>
    <row r="332" spans="5:7" s="82" customFormat="1" ht="25.5" hidden="1" customHeight="1" x14ac:dyDescent="0.3">
      <c r="E332" s="82" t="s">
        <v>106</v>
      </c>
      <c r="F332" s="82" t="s">
        <v>205</v>
      </c>
      <c r="G332" s="82" t="s">
        <v>799</v>
      </c>
    </row>
    <row r="333" spans="5:7" s="82" customFormat="1" ht="25.5" hidden="1" customHeight="1" x14ac:dyDescent="0.3">
      <c r="E333" s="82" t="s">
        <v>106</v>
      </c>
      <c r="F333" s="82" t="s">
        <v>205</v>
      </c>
      <c r="G333" s="82" t="s">
        <v>486</v>
      </c>
    </row>
    <row r="334" spans="5:7" s="82" customFormat="1" ht="25.5" hidden="1" customHeight="1" x14ac:dyDescent="0.3">
      <c r="E334" s="82" t="s">
        <v>106</v>
      </c>
      <c r="F334" s="82" t="s">
        <v>205</v>
      </c>
      <c r="G334" s="82" t="s">
        <v>415</v>
      </c>
    </row>
    <row r="335" spans="5:7" s="82" customFormat="1" ht="25.5" hidden="1" customHeight="1" x14ac:dyDescent="0.3">
      <c r="E335" s="82" t="s">
        <v>106</v>
      </c>
      <c r="F335" s="82" t="s">
        <v>142</v>
      </c>
      <c r="G335" s="82" t="s">
        <v>207</v>
      </c>
    </row>
    <row r="336" spans="5:7" s="82" customFormat="1" ht="25.5" hidden="1" customHeight="1" x14ac:dyDescent="0.3">
      <c r="E336" s="82" t="s">
        <v>106</v>
      </c>
      <c r="F336" s="82" t="s">
        <v>142</v>
      </c>
      <c r="G336" s="82" t="s">
        <v>599</v>
      </c>
    </row>
    <row r="337" spans="5:7" s="82" customFormat="1" ht="25.5" hidden="1" customHeight="1" x14ac:dyDescent="0.3">
      <c r="E337" s="82" t="s">
        <v>106</v>
      </c>
      <c r="F337" s="82" t="s">
        <v>142</v>
      </c>
      <c r="G337" s="82" t="s">
        <v>412</v>
      </c>
    </row>
    <row r="338" spans="5:7" s="82" customFormat="1" ht="25.5" hidden="1" customHeight="1" x14ac:dyDescent="0.3">
      <c r="E338" s="82" t="s">
        <v>106</v>
      </c>
      <c r="F338" s="82" t="s">
        <v>142</v>
      </c>
      <c r="G338" s="82" t="s">
        <v>413</v>
      </c>
    </row>
    <row r="339" spans="5:7" s="82" customFormat="1" ht="25.5" hidden="1" customHeight="1" x14ac:dyDescent="0.3">
      <c r="E339" s="82" t="s">
        <v>106</v>
      </c>
      <c r="F339" s="82" t="s">
        <v>112</v>
      </c>
      <c r="G339" s="82" t="s">
        <v>549</v>
      </c>
    </row>
    <row r="340" spans="5:7" s="82" customFormat="1" ht="25.5" hidden="1" customHeight="1" x14ac:dyDescent="0.3">
      <c r="E340" s="82" t="s">
        <v>106</v>
      </c>
      <c r="F340" s="82" t="s">
        <v>112</v>
      </c>
      <c r="G340" s="82" t="s">
        <v>736</v>
      </c>
    </row>
    <row r="341" spans="5:7" s="82" customFormat="1" ht="25.5" hidden="1" customHeight="1" x14ac:dyDescent="0.3">
      <c r="E341" s="82" t="s">
        <v>106</v>
      </c>
      <c r="F341" s="82" t="s">
        <v>208</v>
      </c>
      <c r="G341" s="82" t="s">
        <v>661</v>
      </c>
    </row>
    <row r="342" spans="5:7" s="82" customFormat="1" ht="25.5" hidden="1" customHeight="1" x14ac:dyDescent="0.3">
      <c r="E342" s="82" t="s">
        <v>106</v>
      </c>
      <c r="F342" s="82" t="s">
        <v>112</v>
      </c>
      <c r="G342" s="82" t="s">
        <v>335</v>
      </c>
    </row>
    <row r="343" spans="5:7" s="82" customFormat="1" ht="25.5" hidden="1" customHeight="1" x14ac:dyDescent="0.3">
      <c r="E343" s="82" t="s">
        <v>106</v>
      </c>
      <c r="F343" s="82" t="s">
        <v>209</v>
      </c>
      <c r="G343" s="82" t="s">
        <v>210</v>
      </c>
    </row>
    <row r="344" spans="5:7" s="82" customFormat="1" ht="25.5" hidden="1" customHeight="1" x14ac:dyDescent="0.3">
      <c r="E344" s="82" t="s">
        <v>106</v>
      </c>
      <c r="F344" s="82" t="s">
        <v>209</v>
      </c>
      <c r="G344" s="82" t="s">
        <v>387</v>
      </c>
    </row>
    <row r="345" spans="5:7" s="82" customFormat="1" ht="25.5" hidden="1" customHeight="1" x14ac:dyDescent="0.3">
      <c r="E345" s="82" t="s">
        <v>106</v>
      </c>
      <c r="F345" s="82" t="s">
        <v>209</v>
      </c>
      <c r="G345" s="82" t="s">
        <v>388</v>
      </c>
    </row>
    <row r="346" spans="5:7" s="82" customFormat="1" ht="25.5" hidden="1" customHeight="1" x14ac:dyDescent="0.3">
      <c r="E346" s="82" t="s">
        <v>106</v>
      </c>
      <c r="F346" s="82" t="s">
        <v>209</v>
      </c>
      <c r="G346" s="82" t="s">
        <v>490</v>
      </c>
    </row>
    <row r="347" spans="5:7" s="82" customFormat="1" ht="25.5" hidden="1" customHeight="1" x14ac:dyDescent="0.3">
      <c r="E347" s="82" t="s">
        <v>106</v>
      </c>
      <c r="F347" s="82" t="s">
        <v>143</v>
      </c>
      <c r="G347" s="82" t="s">
        <v>211</v>
      </c>
    </row>
    <row r="348" spans="5:7" s="82" customFormat="1" ht="25.5" hidden="1" customHeight="1" x14ac:dyDescent="0.3">
      <c r="E348" s="82" t="s">
        <v>106</v>
      </c>
      <c r="F348" s="82" t="s">
        <v>143</v>
      </c>
      <c r="G348" s="82" t="s">
        <v>550</v>
      </c>
    </row>
    <row r="349" spans="5:7" s="82" customFormat="1" ht="25.5" hidden="1" customHeight="1" x14ac:dyDescent="0.3">
      <c r="E349" s="82" t="s">
        <v>106</v>
      </c>
      <c r="F349" s="82" t="s">
        <v>143</v>
      </c>
      <c r="G349" s="87" t="s">
        <v>324</v>
      </c>
    </row>
    <row r="350" spans="5:7" s="82" customFormat="1" ht="25.5" hidden="1" customHeight="1" x14ac:dyDescent="0.3">
      <c r="E350" s="82" t="s">
        <v>106</v>
      </c>
      <c r="F350" s="82" t="s">
        <v>143</v>
      </c>
      <c r="G350" s="87" t="s">
        <v>733</v>
      </c>
    </row>
    <row r="351" spans="5:7" s="82" customFormat="1" ht="25.5" hidden="1" customHeight="1" x14ac:dyDescent="0.3">
      <c r="E351" s="82" t="s">
        <v>106</v>
      </c>
      <c r="F351" s="82" t="s">
        <v>143</v>
      </c>
      <c r="G351" s="82" t="s">
        <v>600</v>
      </c>
    </row>
    <row r="352" spans="5:7" s="82" customFormat="1" ht="25.5" hidden="1" customHeight="1" x14ac:dyDescent="0.3">
      <c r="E352" s="82" t="s">
        <v>106</v>
      </c>
      <c r="F352" s="82" t="s">
        <v>143</v>
      </c>
      <c r="G352" s="82" t="s">
        <v>494</v>
      </c>
    </row>
    <row r="353" spans="5:7" s="82" customFormat="1" ht="25.5" hidden="1" customHeight="1" x14ac:dyDescent="0.3">
      <c r="E353" s="82" t="s">
        <v>106</v>
      </c>
      <c r="F353" s="82" t="s">
        <v>143</v>
      </c>
      <c r="G353" s="82" t="s">
        <v>495</v>
      </c>
    </row>
    <row r="354" spans="5:7" s="82" customFormat="1" ht="25.5" hidden="1" customHeight="1" x14ac:dyDescent="0.3">
      <c r="E354" s="82" t="s">
        <v>106</v>
      </c>
      <c r="F354" s="82" t="s">
        <v>212</v>
      </c>
      <c r="G354" s="82" t="s">
        <v>662</v>
      </c>
    </row>
    <row r="355" spans="5:7" s="82" customFormat="1" ht="25.5" hidden="1" customHeight="1" x14ac:dyDescent="0.3">
      <c r="E355" s="82" t="s">
        <v>106</v>
      </c>
      <c r="F355" s="82" t="s">
        <v>213</v>
      </c>
      <c r="G355" s="82" t="s">
        <v>214</v>
      </c>
    </row>
    <row r="356" spans="5:7" s="82" customFormat="1" ht="25.5" hidden="1" customHeight="1" x14ac:dyDescent="0.3">
      <c r="E356" s="82" t="s">
        <v>106</v>
      </c>
      <c r="F356" s="82" t="s">
        <v>213</v>
      </c>
      <c r="G356" s="82" t="s">
        <v>551</v>
      </c>
    </row>
    <row r="357" spans="5:7" s="82" customFormat="1" ht="25.5" hidden="1" customHeight="1" x14ac:dyDescent="0.3"/>
    <row r="358" spans="5:7" s="82" customFormat="1" ht="25.5" hidden="1" customHeight="1" x14ac:dyDescent="0.3">
      <c r="E358" s="82" t="s">
        <v>106</v>
      </c>
      <c r="F358" s="82" t="s">
        <v>213</v>
      </c>
      <c r="G358" s="87" t="s">
        <v>325</v>
      </c>
    </row>
    <row r="359" spans="5:7" s="82" customFormat="1" ht="25.5" hidden="1" customHeight="1" x14ac:dyDescent="0.3">
      <c r="E359" s="82" t="s">
        <v>106</v>
      </c>
      <c r="F359" s="82" t="s">
        <v>213</v>
      </c>
      <c r="G359" s="87" t="s">
        <v>734</v>
      </c>
    </row>
    <row r="360" spans="5:7" s="82" customFormat="1" ht="25.5" hidden="1" customHeight="1" x14ac:dyDescent="0.3">
      <c r="E360" s="82" t="s">
        <v>106</v>
      </c>
      <c r="F360" s="82" t="s">
        <v>213</v>
      </c>
      <c r="G360" s="82" t="s">
        <v>503</v>
      </c>
    </row>
    <row r="361" spans="5:7" s="82" customFormat="1" ht="25.5" hidden="1" customHeight="1" x14ac:dyDescent="0.3"/>
    <row r="362" spans="5:7" s="82" customFormat="1" ht="25.5" hidden="1" customHeight="1" x14ac:dyDescent="0.3">
      <c r="E362" s="82" t="s">
        <v>106</v>
      </c>
      <c r="F362" s="82" t="s">
        <v>215</v>
      </c>
      <c r="G362" s="82" t="s">
        <v>216</v>
      </c>
    </row>
    <row r="363" spans="5:7" s="82" customFormat="1" ht="25.5" hidden="1" customHeight="1" x14ac:dyDescent="0.3">
      <c r="E363" s="82" t="s">
        <v>106</v>
      </c>
      <c r="F363" s="82" t="s">
        <v>215</v>
      </c>
      <c r="G363" s="82" t="s">
        <v>552</v>
      </c>
    </row>
    <row r="364" spans="5:7" s="82" customFormat="1" ht="25.5" hidden="1" customHeight="1" x14ac:dyDescent="0.3">
      <c r="E364" s="82" t="s">
        <v>106</v>
      </c>
      <c r="F364" s="82" t="s">
        <v>215</v>
      </c>
      <c r="G364" s="82" t="s">
        <v>735</v>
      </c>
    </row>
    <row r="365" spans="5:7" s="82" customFormat="1" ht="25.5" hidden="1" customHeight="1" x14ac:dyDescent="0.3">
      <c r="E365" s="82" t="s">
        <v>106</v>
      </c>
      <c r="F365" s="82" t="s">
        <v>215</v>
      </c>
      <c r="G365" s="82" t="s">
        <v>336</v>
      </c>
    </row>
    <row r="366" spans="5:7" s="82" customFormat="1" ht="25.5" hidden="1" customHeight="1" x14ac:dyDescent="0.3">
      <c r="E366" s="82" t="s">
        <v>106</v>
      </c>
      <c r="F366" s="82" t="s">
        <v>217</v>
      </c>
      <c r="G366" s="82" t="s">
        <v>663</v>
      </c>
    </row>
    <row r="367" spans="5:7" s="82" customFormat="1" ht="25.5" hidden="1" customHeight="1" x14ac:dyDescent="0.3">
      <c r="E367" s="82" t="s">
        <v>106</v>
      </c>
      <c r="F367" s="82" t="s">
        <v>217</v>
      </c>
      <c r="G367" s="82" t="s">
        <v>504</v>
      </c>
    </row>
    <row r="368" spans="5:7" s="82" customFormat="1" ht="25.5" hidden="1" customHeight="1" x14ac:dyDescent="0.3">
      <c r="E368" s="82" t="s">
        <v>106</v>
      </c>
      <c r="F368" s="82" t="s">
        <v>217</v>
      </c>
      <c r="G368" s="82" t="s">
        <v>505</v>
      </c>
    </row>
    <row r="369" spans="5:7" s="82" customFormat="1" ht="25.5" hidden="1" customHeight="1" x14ac:dyDescent="0.3"/>
    <row r="370" spans="5:7" s="82" customFormat="1" ht="25.5" hidden="1" customHeight="1" x14ac:dyDescent="0.3">
      <c r="E370" s="82" t="s">
        <v>106</v>
      </c>
      <c r="F370" s="82" t="s">
        <v>145</v>
      </c>
      <c r="G370" s="82" t="s">
        <v>218</v>
      </c>
    </row>
    <row r="371" spans="5:7" s="82" customFormat="1" ht="25.5" hidden="1" customHeight="1" x14ac:dyDescent="0.3">
      <c r="E371" s="82" t="s">
        <v>106</v>
      </c>
      <c r="F371" s="82" t="s">
        <v>145</v>
      </c>
      <c r="G371" s="82" t="s">
        <v>553</v>
      </c>
    </row>
    <row r="372" spans="5:7" s="82" customFormat="1" ht="25.5" hidden="1" customHeight="1" x14ac:dyDescent="0.3">
      <c r="E372" s="82" t="s">
        <v>106</v>
      </c>
      <c r="F372" s="82" t="s">
        <v>145</v>
      </c>
      <c r="G372" s="82" t="s">
        <v>514</v>
      </c>
    </row>
    <row r="373" spans="5:7" s="82" customFormat="1" ht="25.5" hidden="1" customHeight="1" x14ac:dyDescent="0.3"/>
    <row r="374" spans="5:7" s="82" customFormat="1" ht="25.5" hidden="1" customHeight="1" x14ac:dyDescent="0.3"/>
    <row r="375" spans="5:7" s="82" customFormat="1" ht="25.5" hidden="1" customHeight="1" x14ac:dyDescent="0.3">
      <c r="E375" s="82" t="s">
        <v>106</v>
      </c>
      <c r="F375" s="82" t="s">
        <v>146</v>
      </c>
      <c r="G375" s="82" t="s">
        <v>219</v>
      </c>
    </row>
    <row r="376" spans="5:7" s="82" customFormat="1" ht="25.5" hidden="1" customHeight="1" x14ac:dyDescent="0.3">
      <c r="E376" s="82" t="s">
        <v>106</v>
      </c>
      <c r="F376" s="82" t="s">
        <v>146</v>
      </c>
      <c r="G376" s="82" t="s">
        <v>410</v>
      </c>
    </row>
    <row r="377" spans="5:7" s="82" customFormat="1" ht="25.5" hidden="1" customHeight="1" x14ac:dyDescent="0.3">
      <c r="E377" s="82" t="s">
        <v>106</v>
      </c>
      <c r="F377" s="82" t="s">
        <v>146</v>
      </c>
      <c r="G377" s="82" t="s">
        <v>411</v>
      </c>
    </row>
    <row r="378" spans="5:7" s="82" customFormat="1" ht="25.5" hidden="1" customHeight="1" x14ac:dyDescent="0.3"/>
    <row r="379" spans="5:7" s="82" customFormat="1" ht="25.5" hidden="1" customHeight="1" x14ac:dyDescent="0.3">
      <c r="E379" s="82" t="s">
        <v>106</v>
      </c>
      <c r="F379" s="82" t="s">
        <v>114</v>
      </c>
      <c r="G379" s="82" t="s">
        <v>629</v>
      </c>
    </row>
    <row r="380" spans="5:7" s="82" customFormat="1" ht="25.5" hidden="1" customHeight="1" x14ac:dyDescent="0.3">
      <c r="E380" s="82" t="s">
        <v>106</v>
      </c>
      <c r="F380" s="82" t="s">
        <v>114</v>
      </c>
      <c r="G380" s="82" t="s">
        <v>800</v>
      </c>
    </row>
    <row r="381" spans="5:7" s="82" customFormat="1" ht="25.5" hidden="1" customHeight="1" x14ac:dyDescent="0.3">
      <c r="E381" s="82" t="s">
        <v>106</v>
      </c>
      <c r="F381" s="82" t="s">
        <v>114</v>
      </c>
      <c r="G381" s="82" t="s">
        <v>554</v>
      </c>
    </row>
    <row r="382" spans="5:7" s="82" customFormat="1" ht="25.5" hidden="1" customHeight="1" x14ac:dyDescent="0.3">
      <c r="E382" s="82" t="s">
        <v>106</v>
      </c>
      <c r="F382" s="82" t="s">
        <v>220</v>
      </c>
      <c r="G382" s="82" t="s">
        <v>221</v>
      </c>
    </row>
    <row r="383" spans="5:7" s="82" customFormat="1" ht="25.5" hidden="1" customHeight="1" x14ac:dyDescent="0.3">
      <c r="E383" s="82" t="s">
        <v>106</v>
      </c>
      <c r="F383" s="82" t="s">
        <v>220</v>
      </c>
      <c r="G383" s="82" t="s">
        <v>737</v>
      </c>
    </row>
    <row r="384" spans="5:7" s="82" customFormat="1" ht="25.5" hidden="1" customHeight="1" x14ac:dyDescent="0.3">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3">
      <c r="E393" s="82" t="s">
        <v>106</v>
      </c>
      <c r="F393" s="82" t="s">
        <v>114</v>
      </c>
      <c r="G393" s="82" t="s">
        <v>601</v>
      </c>
    </row>
    <row r="394" spans="5:7" s="82" customFormat="1" ht="25.5" hidden="1" customHeight="1" x14ac:dyDescent="0.3">
      <c r="E394" s="82" t="s">
        <v>118</v>
      </c>
      <c r="F394" s="82" t="s">
        <v>148</v>
      </c>
      <c r="G394" s="82" t="s">
        <v>630</v>
      </c>
    </row>
    <row r="395" spans="5:7" s="82" customFormat="1" ht="25.5" hidden="1" customHeight="1" x14ac:dyDescent="0.3">
      <c r="E395" s="82" t="s">
        <v>118</v>
      </c>
      <c r="F395" s="82" t="s">
        <v>148</v>
      </c>
      <c r="G395" s="82" t="s">
        <v>720</v>
      </c>
    </row>
    <row r="396" spans="5:7" s="82" customFormat="1" ht="25.5" hidden="1" customHeight="1" x14ac:dyDescent="0.3">
      <c r="E396" s="82" t="s">
        <v>118</v>
      </c>
      <c r="F396" s="82" t="s">
        <v>148</v>
      </c>
      <c r="G396" s="82" t="s">
        <v>702</v>
      </c>
    </row>
    <row r="397" spans="5:7" s="82" customFormat="1" ht="25.5" hidden="1" customHeight="1" x14ac:dyDescent="0.3">
      <c r="E397" s="82" t="s">
        <v>118</v>
      </c>
      <c r="F397" s="82" t="s">
        <v>148</v>
      </c>
      <c r="G397" s="82" t="s">
        <v>602</v>
      </c>
    </row>
    <row r="398" spans="5:7" s="82" customFormat="1" ht="25.5" hidden="1" customHeight="1" x14ac:dyDescent="0.3">
      <c r="E398" s="82" t="s">
        <v>118</v>
      </c>
      <c r="F398" s="82" t="s">
        <v>148</v>
      </c>
      <c r="G398" s="82" t="s">
        <v>416</v>
      </c>
    </row>
    <row r="399" spans="5:7" s="82" customFormat="1" ht="25.5" hidden="1" customHeight="1" x14ac:dyDescent="0.3">
      <c r="E399" s="82" t="s">
        <v>118</v>
      </c>
      <c r="F399" s="82" t="s">
        <v>148</v>
      </c>
      <c r="G399" s="82" t="s">
        <v>464</v>
      </c>
    </row>
    <row r="400" spans="5:7" s="82" customFormat="1" ht="25.5" hidden="1" customHeight="1" x14ac:dyDescent="0.3">
      <c r="E400" s="82" t="s">
        <v>118</v>
      </c>
      <c r="F400" s="82" t="s">
        <v>148</v>
      </c>
      <c r="G400" s="82" t="s">
        <v>465</v>
      </c>
    </row>
    <row r="401" spans="5:7" s="82" customFormat="1" ht="25.5" hidden="1" customHeight="1" x14ac:dyDescent="0.3">
      <c r="E401" s="82" t="s">
        <v>118</v>
      </c>
      <c r="F401" s="82" t="s">
        <v>119</v>
      </c>
      <c r="G401" s="82" t="s">
        <v>556</v>
      </c>
    </row>
    <row r="402" spans="5:7" s="82" customFormat="1" ht="25.5" hidden="1" customHeight="1" x14ac:dyDescent="0.3">
      <c r="E402" s="82" t="s">
        <v>118</v>
      </c>
      <c r="F402" s="82" t="s">
        <v>222</v>
      </c>
      <c r="G402" s="82" t="s">
        <v>631</v>
      </c>
    </row>
    <row r="403" spans="5:7" s="82" customFormat="1" ht="25.5" hidden="1" customHeight="1" x14ac:dyDescent="0.3">
      <c r="E403" s="82" t="s">
        <v>118</v>
      </c>
      <c r="F403" s="82" t="s">
        <v>222</v>
      </c>
      <c r="G403" s="82" t="s">
        <v>847</v>
      </c>
    </row>
    <row r="404" spans="5:7" s="82" customFormat="1" ht="25.5" hidden="1" customHeight="1" x14ac:dyDescent="0.3">
      <c r="E404" s="82" t="s">
        <v>118</v>
      </c>
      <c r="F404" s="82" t="s">
        <v>222</v>
      </c>
      <c r="G404" s="82" t="s">
        <v>358</v>
      </c>
    </row>
    <row r="405" spans="5:7" s="82" customFormat="1" ht="25.5" hidden="1" customHeight="1" x14ac:dyDescent="0.3">
      <c r="E405" s="82" t="s">
        <v>118</v>
      </c>
      <c r="F405" s="82" t="s">
        <v>222</v>
      </c>
      <c r="G405" s="82" t="s">
        <v>603</v>
      </c>
    </row>
    <row r="406" spans="5:7" s="82" customFormat="1" ht="25.5" hidden="1" customHeight="1" x14ac:dyDescent="0.3">
      <c r="E406" s="82" t="s">
        <v>118</v>
      </c>
      <c r="F406" s="82" t="s">
        <v>222</v>
      </c>
      <c r="G406" s="82" t="s">
        <v>417</v>
      </c>
    </row>
    <row r="407" spans="5:7" s="82" customFormat="1" ht="25.5" hidden="1" customHeight="1" x14ac:dyDescent="0.3">
      <c r="E407" s="82" t="s">
        <v>118</v>
      </c>
      <c r="F407" s="82" t="s">
        <v>120</v>
      </c>
      <c r="G407" s="82" t="s">
        <v>557</v>
      </c>
    </row>
    <row r="408" spans="5:7" s="82" customFormat="1" ht="25.5" hidden="1" customHeight="1" x14ac:dyDescent="0.3">
      <c r="E408" s="82" t="s">
        <v>118</v>
      </c>
      <c r="F408" s="82" t="s">
        <v>223</v>
      </c>
      <c r="G408" s="82" t="s">
        <v>664</v>
      </c>
    </row>
    <row r="409" spans="5:7" s="82" customFormat="1" ht="25.5" hidden="1" customHeight="1" x14ac:dyDescent="0.3">
      <c r="E409" s="82" t="s">
        <v>118</v>
      </c>
      <c r="F409" s="82" t="s">
        <v>224</v>
      </c>
      <c r="G409" s="82" t="s">
        <v>632</v>
      </c>
    </row>
    <row r="410" spans="5:7" s="82" customFormat="1" ht="25.5" hidden="1" customHeight="1" x14ac:dyDescent="0.3">
      <c r="E410" s="82" t="s">
        <v>118</v>
      </c>
      <c r="F410" s="82" t="s">
        <v>224</v>
      </c>
      <c r="G410" s="82" t="s">
        <v>357</v>
      </c>
    </row>
    <row r="411" spans="5:7" s="82" customFormat="1" ht="25.5" hidden="1" customHeight="1" x14ac:dyDescent="0.3">
      <c r="E411" s="82" t="s">
        <v>118</v>
      </c>
      <c r="F411" s="82" t="s">
        <v>224</v>
      </c>
      <c r="G411" s="82" t="s">
        <v>418</v>
      </c>
    </row>
    <row r="412" spans="5:7" s="82" customFormat="1" ht="25.5" hidden="1" customHeight="1" x14ac:dyDescent="0.3">
      <c r="E412" s="82" t="s">
        <v>118</v>
      </c>
      <c r="F412" s="82" t="s">
        <v>224</v>
      </c>
      <c r="G412" s="82" t="s">
        <v>481</v>
      </c>
    </row>
    <row r="413" spans="5:7" s="82" customFormat="1" ht="25.5" hidden="1" customHeight="1" x14ac:dyDescent="0.3">
      <c r="E413" s="82" t="s">
        <v>118</v>
      </c>
      <c r="F413" s="82" t="s">
        <v>224</v>
      </c>
      <c r="G413" s="82" t="s">
        <v>482</v>
      </c>
    </row>
    <row r="414" spans="5:7" s="82" customFormat="1" ht="25.5" hidden="1" customHeight="1" x14ac:dyDescent="0.3">
      <c r="E414" s="82" t="s">
        <v>118</v>
      </c>
      <c r="F414" s="82" t="s">
        <v>224</v>
      </c>
      <c r="G414" s="82" t="s">
        <v>483</v>
      </c>
    </row>
    <row r="415" spans="5:7" s="82" customFormat="1" ht="25.5" hidden="1" customHeight="1" x14ac:dyDescent="0.3">
      <c r="E415" s="82" t="s">
        <v>118</v>
      </c>
      <c r="F415" s="82" t="s">
        <v>149</v>
      </c>
      <c r="G415" s="82" t="s">
        <v>225</v>
      </c>
    </row>
    <row r="416" spans="5:7" s="82" customFormat="1" ht="25.5" hidden="1" customHeight="1" x14ac:dyDescent="0.3">
      <c r="E416" s="82" t="s">
        <v>118</v>
      </c>
      <c r="F416" s="82" t="s">
        <v>149</v>
      </c>
      <c r="G416" s="82" t="s">
        <v>337</v>
      </c>
    </row>
    <row r="417" spans="5:7" s="82" customFormat="1" ht="25.5" hidden="1" customHeight="1" x14ac:dyDescent="0.3">
      <c r="E417" s="82" t="s">
        <v>118</v>
      </c>
      <c r="F417" s="82" t="s">
        <v>149</v>
      </c>
      <c r="G417" s="82" t="s">
        <v>711</v>
      </c>
    </row>
    <row r="418" spans="5:7" s="82" customFormat="1" ht="25.5" hidden="1" customHeight="1" x14ac:dyDescent="0.3">
      <c r="E418" s="82" t="s">
        <v>118</v>
      </c>
      <c r="F418" s="82" t="s">
        <v>149</v>
      </c>
      <c r="G418" s="82" t="s">
        <v>558</v>
      </c>
    </row>
    <row r="419" spans="5:7" s="82" customFormat="1" ht="25.5" hidden="1" customHeight="1" x14ac:dyDescent="0.3">
      <c r="E419" s="82" t="s">
        <v>118</v>
      </c>
      <c r="F419" s="82" t="s">
        <v>149</v>
      </c>
      <c r="G419" s="82" t="s">
        <v>604</v>
      </c>
    </row>
    <row r="420" spans="5:7" s="82" customFormat="1" ht="25.5" hidden="1" customHeight="1" x14ac:dyDescent="0.3">
      <c r="E420" s="82" t="s">
        <v>118</v>
      </c>
      <c r="F420" s="82" t="s">
        <v>149</v>
      </c>
      <c r="G420" s="82" t="s">
        <v>419</v>
      </c>
    </row>
    <row r="421" spans="5:7" s="82" customFormat="1" ht="25.5" hidden="1" customHeight="1" x14ac:dyDescent="0.3">
      <c r="E421" s="82" t="s">
        <v>118</v>
      </c>
      <c r="F421" s="82" t="s">
        <v>149</v>
      </c>
      <c r="G421" s="82" t="s">
        <v>480</v>
      </c>
    </row>
    <row r="422" spans="5:7" s="82" customFormat="1" ht="25.5" hidden="1" customHeight="1" x14ac:dyDescent="0.3">
      <c r="E422" s="82" t="s">
        <v>118</v>
      </c>
      <c r="F422" s="82" t="s">
        <v>118</v>
      </c>
      <c r="G422" s="82" t="s">
        <v>226</v>
      </c>
    </row>
    <row r="423" spans="5:7" s="82" customFormat="1" ht="25.5" hidden="1" customHeight="1" x14ac:dyDescent="0.3">
      <c r="E423" s="82" t="s">
        <v>118</v>
      </c>
      <c r="F423" s="82" t="s">
        <v>118</v>
      </c>
      <c r="G423" s="82" t="s">
        <v>665</v>
      </c>
    </row>
    <row r="424" spans="5:7" s="82" customFormat="1" ht="25.5" hidden="1" customHeight="1" x14ac:dyDescent="0.3">
      <c r="E424" s="82" t="s">
        <v>118</v>
      </c>
      <c r="F424" s="82" t="s">
        <v>118</v>
      </c>
      <c r="G424" s="82" t="s">
        <v>559</v>
      </c>
    </row>
    <row r="425" spans="5:7" s="82" customFormat="1" ht="25.5" hidden="1" customHeight="1" x14ac:dyDescent="0.3">
      <c r="E425" s="82" t="s">
        <v>118</v>
      </c>
      <c r="F425" s="82" t="s">
        <v>227</v>
      </c>
      <c r="G425" s="82" t="s">
        <v>633</v>
      </c>
    </row>
    <row r="426" spans="5:7" s="82" customFormat="1" ht="25.5" hidden="1" customHeight="1" x14ac:dyDescent="0.3">
      <c r="E426" s="82" t="s">
        <v>118</v>
      </c>
      <c r="F426" s="82" t="s">
        <v>118</v>
      </c>
      <c r="G426" s="82" t="s">
        <v>338</v>
      </c>
    </row>
    <row r="427" spans="5:7" s="82" customFormat="1" ht="25.5" hidden="1" customHeight="1" x14ac:dyDescent="0.3">
      <c r="E427" s="82" t="s">
        <v>118</v>
      </c>
      <c r="F427" s="82" t="s">
        <v>227</v>
      </c>
      <c r="G427" s="82" t="s">
        <v>317</v>
      </c>
    </row>
    <row r="428" spans="5:7" s="82" customFormat="1" ht="25.5" hidden="1" customHeight="1" x14ac:dyDescent="0.3">
      <c r="E428" s="82" t="s">
        <v>118</v>
      </c>
      <c r="F428" s="82" t="s">
        <v>227</v>
      </c>
      <c r="G428" s="82" t="s">
        <v>420</v>
      </c>
    </row>
    <row r="429" spans="5:7" s="82" customFormat="1" ht="25.5" hidden="1" customHeight="1" x14ac:dyDescent="0.3">
      <c r="E429" s="82" t="s">
        <v>118</v>
      </c>
      <c r="F429" s="82" t="s">
        <v>227</v>
      </c>
      <c r="G429" s="82" t="s">
        <v>484</v>
      </c>
    </row>
    <row r="430" spans="5:7" s="82" customFormat="1" ht="25.5" hidden="1" customHeight="1" x14ac:dyDescent="0.3">
      <c r="E430" s="82" t="s">
        <v>118</v>
      </c>
      <c r="F430" s="82" t="s">
        <v>227</v>
      </c>
      <c r="G430" s="82" t="s">
        <v>485</v>
      </c>
    </row>
    <row r="431" spans="5:7" s="82" customFormat="1" ht="25.5" hidden="1" customHeight="1" x14ac:dyDescent="0.3">
      <c r="E431" s="82" t="s">
        <v>118</v>
      </c>
      <c r="F431" s="82" t="s">
        <v>121</v>
      </c>
      <c r="G431" s="82" t="s">
        <v>560</v>
      </c>
    </row>
    <row r="432" spans="5:7" s="82" customFormat="1" ht="25.5" hidden="1" customHeight="1" x14ac:dyDescent="0.3">
      <c r="E432" s="82" t="s">
        <v>118</v>
      </c>
      <c r="F432" s="82" t="s">
        <v>228</v>
      </c>
      <c r="G432" s="82" t="s">
        <v>634</v>
      </c>
    </row>
    <row r="433" spans="5:7" s="82" customFormat="1" ht="25.5" hidden="1" customHeight="1" x14ac:dyDescent="0.3">
      <c r="E433" s="82" t="s">
        <v>118</v>
      </c>
      <c r="F433" s="82" t="s">
        <v>228</v>
      </c>
      <c r="G433" s="82" t="s">
        <v>732</v>
      </c>
    </row>
    <row r="434" spans="5:7" s="82" customFormat="1" ht="25.5" hidden="1" customHeight="1" x14ac:dyDescent="0.3">
      <c r="E434" s="82" t="s">
        <v>118</v>
      </c>
      <c r="F434" s="82" t="s">
        <v>121</v>
      </c>
      <c r="G434" s="82" t="s">
        <v>561</v>
      </c>
    </row>
    <row r="435" spans="5:7" s="82" customFormat="1" ht="25.5" hidden="1" customHeight="1" x14ac:dyDescent="0.3">
      <c r="E435" s="82" t="s">
        <v>118</v>
      </c>
      <c r="F435" s="82" t="s">
        <v>121</v>
      </c>
      <c r="G435" s="82" t="s">
        <v>359</v>
      </c>
    </row>
    <row r="436" spans="5:7" s="82" customFormat="1" ht="25.5" hidden="1" customHeight="1" x14ac:dyDescent="0.3">
      <c r="E436" s="82" t="s">
        <v>118</v>
      </c>
      <c r="F436" s="82" t="s">
        <v>121</v>
      </c>
      <c r="G436" s="82" t="s">
        <v>421</v>
      </c>
    </row>
    <row r="437" spans="5:7" s="82" customFormat="1" ht="25.5" hidden="1" customHeight="1" x14ac:dyDescent="0.3">
      <c r="E437" s="82" t="s">
        <v>118</v>
      </c>
      <c r="F437" s="82" t="s">
        <v>150</v>
      </c>
      <c r="G437" s="82" t="s">
        <v>635</v>
      </c>
    </row>
    <row r="438" spans="5:7" s="82" customFormat="1" ht="25.5" hidden="1" customHeight="1" x14ac:dyDescent="0.3">
      <c r="E438" s="82" t="s">
        <v>118</v>
      </c>
      <c r="F438" s="82" t="s">
        <v>150</v>
      </c>
      <c r="G438" s="82" t="s">
        <v>562</v>
      </c>
    </row>
    <row r="439" spans="5:7" s="82" customFormat="1" ht="25.5" hidden="1" customHeight="1" x14ac:dyDescent="0.3">
      <c r="E439" s="82" t="s">
        <v>118</v>
      </c>
      <c r="F439" s="82" t="s">
        <v>150</v>
      </c>
      <c r="G439" s="82" t="s">
        <v>489</v>
      </c>
    </row>
    <row r="440" spans="5:7" s="82" customFormat="1" ht="25.5" hidden="1" customHeight="1" x14ac:dyDescent="0.3"/>
    <row r="441" spans="5:7" s="82" customFormat="1" ht="25.5" hidden="1" customHeight="1" x14ac:dyDescent="0.3"/>
    <row r="442" spans="5:7" s="82" customFormat="1" ht="25.5" hidden="1" customHeight="1" x14ac:dyDescent="0.3">
      <c r="E442" s="82" t="s">
        <v>118</v>
      </c>
      <c r="F442" s="82" t="s">
        <v>151</v>
      </c>
      <c r="G442" s="82" t="s">
        <v>636</v>
      </c>
    </row>
    <row r="443" spans="5:7" s="82" customFormat="1" ht="25.5" hidden="1" customHeight="1" x14ac:dyDescent="0.3">
      <c r="E443" s="82" t="s">
        <v>118</v>
      </c>
      <c r="F443" s="82" t="s">
        <v>151</v>
      </c>
      <c r="G443" s="82" t="s">
        <v>846</v>
      </c>
    </row>
    <row r="444" spans="5:7" s="82" customFormat="1" ht="25.5" hidden="1" customHeight="1" x14ac:dyDescent="0.3">
      <c r="E444" s="82" t="s">
        <v>118</v>
      </c>
      <c r="F444" s="82" t="s">
        <v>151</v>
      </c>
      <c r="G444" s="82" t="s">
        <v>339</v>
      </c>
    </row>
    <row r="445" spans="5:7" s="82" customFormat="1" ht="25.5" hidden="1" customHeight="1" x14ac:dyDescent="0.3">
      <c r="E445" s="82" t="s">
        <v>118</v>
      </c>
      <c r="F445" s="82" t="s">
        <v>151</v>
      </c>
      <c r="G445" s="82" t="s">
        <v>491</v>
      </c>
    </row>
    <row r="446" spans="5:7" s="82" customFormat="1" ht="25.5" hidden="1" customHeight="1" x14ac:dyDescent="0.3"/>
    <row r="447" spans="5:7" s="82" customFormat="1" ht="25.5" hidden="1" customHeight="1" x14ac:dyDescent="0.3">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3">
      <c r="E449" s="82" t="s">
        <v>118</v>
      </c>
      <c r="F449" s="82" t="s">
        <v>152</v>
      </c>
      <c r="G449" s="82" t="s">
        <v>502</v>
      </c>
    </row>
    <row r="450" spans="5:7" s="82" customFormat="1" ht="25.5" hidden="1" customHeight="1" x14ac:dyDescent="0.3"/>
    <row r="451" spans="5:7" s="82" customFormat="1" ht="25.5" hidden="1" customHeight="1" x14ac:dyDescent="0.3">
      <c r="E451" s="82" t="s">
        <v>118</v>
      </c>
      <c r="F451" s="82" t="s">
        <v>122</v>
      </c>
      <c r="G451" s="82" t="s">
        <v>563</v>
      </c>
    </row>
    <row r="452" spans="5:7" s="82" customFormat="1" ht="25.5" hidden="1" customHeight="1" x14ac:dyDescent="0.3">
      <c r="E452" s="82" t="s">
        <v>118</v>
      </c>
      <c r="F452" s="82" t="s">
        <v>231</v>
      </c>
      <c r="G452" s="82" t="s">
        <v>637</v>
      </c>
    </row>
    <row r="453" spans="5:7" s="82" customFormat="1" ht="25.5" hidden="1" customHeight="1" x14ac:dyDescent="0.3">
      <c r="E453" s="82" t="s">
        <v>118</v>
      </c>
      <c r="F453" s="82" t="s">
        <v>122</v>
      </c>
      <c r="G453" s="82" t="s">
        <v>356</v>
      </c>
    </row>
    <row r="454" spans="5:7" s="82" customFormat="1" ht="25.5" hidden="1" customHeight="1" x14ac:dyDescent="0.3">
      <c r="E454" s="82" t="s">
        <v>118</v>
      </c>
      <c r="F454" s="82" t="s">
        <v>122</v>
      </c>
      <c r="G454" s="82" t="s">
        <v>605</v>
      </c>
    </row>
    <row r="455" spans="5:7" s="82" customFormat="1" ht="25.5" hidden="1" customHeight="1" x14ac:dyDescent="0.3">
      <c r="E455" s="82" t="s">
        <v>118</v>
      </c>
      <c r="F455" s="82" t="s">
        <v>122</v>
      </c>
      <c r="G455" s="82" t="s">
        <v>519</v>
      </c>
    </row>
    <row r="456" spans="5:7" s="82" customFormat="1" ht="25.5" hidden="1" customHeight="1" x14ac:dyDescent="0.3">
      <c r="E456" s="82" t="s">
        <v>118</v>
      </c>
      <c r="F456" s="82" t="s">
        <v>122</v>
      </c>
      <c r="G456" s="82" t="s">
        <v>520</v>
      </c>
    </row>
    <row r="457" spans="5:7" s="82" customFormat="1" ht="25.5" hidden="1" customHeight="1" x14ac:dyDescent="0.3">
      <c r="E457" s="82" t="s">
        <v>118</v>
      </c>
      <c r="F457" s="82" t="s">
        <v>122</v>
      </c>
      <c r="G457" s="82" t="s">
        <v>521</v>
      </c>
    </row>
    <row r="458" spans="5:7" s="82" customFormat="1" ht="25.5" hidden="1" customHeight="1" x14ac:dyDescent="0.3">
      <c r="E458" s="82" t="s">
        <v>118</v>
      </c>
      <c r="F458" s="82" t="s">
        <v>122</v>
      </c>
      <c r="G458" s="82" t="s">
        <v>422</v>
      </c>
    </row>
    <row r="459" spans="5:7" s="82" customFormat="1" ht="25.5" hidden="1" customHeight="1" x14ac:dyDescent="0.3">
      <c r="E459" s="82" t="s">
        <v>117</v>
      </c>
      <c r="F459" s="82" t="s">
        <v>141</v>
      </c>
      <c r="G459" s="82" t="s">
        <v>638</v>
      </c>
    </row>
    <row r="460" spans="5:7" s="82" customFormat="1" ht="25.5" hidden="1" customHeight="1" x14ac:dyDescent="0.3">
      <c r="E460" s="82" t="s">
        <v>117</v>
      </c>
      <c r="F460" s="82" t="s">
        <v>141</v>
      </c>
      <c r="G460" s="82" t="s">
        <v>564</v>
      </c>
    </row>
    <row r="461" spans="5:7" s="82" customFormat="1" ht="25.5" hidden="1" customHeight="1" x14ac:dyDescent="0.3">
      <c r="E461" s="82" t="s">
        <v>117</v>
      </c>
      <c r="F461" s="82" t="s">
        <v>141</v>
      </c>
      <c r="G461" s="82" t="s">
        <v>784</v>
      </c>
    </row>
    <row r="462" spans="5:7" s="82" customFormat="1" ht="25.5" hidden="1" customHeight="1" x14ac:dyDescent="0.3">
      <c r="E462" s="82" t="s">
        <v>117</v>
      </c>
      <c r="F462" s="82" t="s">
        <v>141</v>
      </c>
      <c r="G462" s="82" t="s">
        <v>423</v>
      </c>
    </row>
    <row r="463" spans="5:7" s="82" customFormat="1" ht="25.5" hidden="1" customHeight="1" x14ac:dyDescent="0.3">
      <c r="E463" s="82" t="s">
        <v>117</v>
      </c>
      <c r="F463" s="82" t="s">
        <v>141</v>
      </c>
      <c r="G463" s="82" t="s">
        <v>801</v>
      </c>
    </row>
    <row r="464" spans="5:7" s="82" customFormat="1" ht="25.5" hidden="1" customHeight="1" x14ac:dyDescent="0.3">
      <c r="E464" s="82" t="s">
        <v>117</v>
      </c>
      <c r="F464" s="82" t="s">
        <v>141</v>
      </c>
      <c r="G464" s="82" t="s">
        <v>777</v>
      </c>
    </row>
    <row r="465" spans="5:7" s="82" customFormat="1" ht="25.5" hidden="1" customHeight="1" x14ac:dyDescent="0.3">
      <c r="E465" s="82" t="s">
        <v>117</v>
      </c>
      <c r="F465" s="82" t="s">
        <v>141</v>
      </c>
      <c r="G465" s="82" t="s">
        <v>707</v>
      </c>
    </row>
    <row r="466" spans="5:7" s="82" customFormat="1" ht="25.5" hidden="1" customHeight="1" x14ac:dyDescent="0.3">
      <c r="E466" s="82" t="s">
        <v>117</v>
      </c>
      <c r="F466" s="82" t="s">
        <v>141</v>
      </c>
      <c r="G466" s="82" t="s">
        <v>479</v>
      </c>
    </row>
    <row r="467" spans="5:7" s="82" customFormat="1" ht="25.5" hidden="1" customHeight="1" x14ac:dyDescent="0.3"/>
    <row r="468" spans="5:7" s="82" customFormat="1" ht="25.5" hidden="1" customHeight="1" x14ac:dyDescent="0.3">
      <c r="E468" s="82" t="s">
        <v>265</v>
      </c>
      <c r="F468" s="82" t="s">
        <v>265</v>
      </c>
      <c r="G468" s="82" t="s">
        <v>666</v>
      </c>
    </row>
    <row r="469" spans="5:7" s="82" customFormat="1" ht="25.5" hidden="1" customHeight="1" x14ac:dyDescent="0.3">
      <c r="E469" s="82" t="s">
        <v>117</v>
      </c>
      <c r="F469" s="82" t="s">
        <v>117</v>
      </c>
      <c r="G469" s="82" t="s">
        <v>565</v>
      </c>
    </row>
    <row r="470" spans="5:7" s="82" customFormat="1" ht="25.5" hidden="1" customHeight="1" x14ac:dyDescent="0.3">
      <c r="E470" s="82" t="s">
        <v>117</v>
      </c>
      <c r="F470" s="82" t="s">
        <v>232</v>
      </c>
      <c r="G470" s="82" t="s">
        <v>233</v>
      </c>
    </row>
    <row r="471" spans="5:7" s="82" customFormat="1" ht="25.5" hidden="1" customHeight="1" x14ac:dyDescent="0.3">
      <c r="E471" s="82" t="s">
        <v>117</v>
      </c>
      <c r="F471" s="82" t="s">
        <v>117</v>
      </c>
      <c r="G471" s="82" t="s">
        <v>343</v>
      </c>
    </row>
    <row r="472" spans="5:7" s="82" customFormat="1" ht="25.5" hidden="1" customHeight="1" x14ac:dyDescent="0.3">
      <c r="E472" s="82" t="s">
        <v>117</v>
      </c>
      <c r="F472" s="82" t="s">
        <v>232</v>
      </c>
      <c r="G472" s="82" t="s">
        <v>234</v>
      </c>
    </row>
    <row r="473" spans="5:7" s="82" customFormat="1" ht="25.5" hidden="1" customHeight="1" x14ac:dyDescent="0.3">
      <c r="E473" s="82" t="s">
        <v>117</v>
      </c>
      <c r="F473" s="82" t="s">
        <v>232</v>
      </c>
      <c r="G473" s="82" t="s">
        <v>731</v>
      </c>
    </row>
    <row r="474" spans="5:7" s="82" customFormat="1" ht="25.5" hidden="1" customHeight="1" x14ac:dyDescent="0.3">
      <c r="E474" s="82" t="s">
        <v>117</v>
      </c>
      <c r="F474" s="82" t="s">
        <v>117</v>
      </c>
      <c r="G474" s="82" t="s">
        <v>349</v>
      </c>
    </row>
    <row r="475" spans="5:7" s="82" customFormat="1" ht="25.5" hidden="1" customHeight="1" x14ac:dyDescent="0.3">
      <c r="E475" s="82" t="s">
        <v>117</v>
      </c>
      <c r="F475" s="82" t="s">
        <v>117</v>
      </c>
      <c r="G475" s="82" t="s">
        <v>424</v>
      </c>
    </row>
    <row r="476" spans="5:7" s="82" customFormat="1" ht="25.5" hidden="1" customHeight="1" x14ac:dyDescent="0.3">
      <c r="E476" s="82" t="s">
        <v>117</v>
      </c>
      <c r="F476" s="82" t="s">
        <v>117</v>
      </c>
      <c r="G476" s="82" t="s">
        <v>496</v>
      </c>
    </row>
    <row r="477" spans="5:7" s="82" customFormat="1" ht="25.5" hidden="1" customHeight="1" x14ac:dyDescent="0.3">
      <c r="E477" s="82" t="s">
        <v>117</v>
      </c>
      <c r="F477" s="82" t="s">
        <v>117</v>
      </c>
      <c r="G477" s="82" t="s">
        <v>804</v>
      </c>
    </row>
    <row r="478" spans="5:7" s="82" customFormat="1" ht="25.5" hidden="1" customHeight="1" x14ac:dyDescent="0.3">
      <c r="E478" s="82" t="s">
        <v>117</v>
      </c>
      <c r="F478" s="82" t="s">
        <v>117</v>
      </c>
      <c r="G478" s="82" t="s">
        <v>497</v>
      </c>
    </row>
    <row r="479" spans="5:7" s="82" customFormat="1" ht="25.5" hidden="1" customHeight="1" x14ac:dyDescent="0.3">
      <c r="E479" s="82" t="s">
        <v>117</v>
      </c>
      <c r="F479" s="82" t="s">
        <v>117</v>
      </c>
      <c r="G479" s="82" t="s">
        <v>498</v>
      </c>
    </row>
    <row r="480" spans="5:7" s="82" customFormat="1" ht="25.5" hidden="1" customHeight="1" x14ac:dyDescent="0.3">
      <c r="E480" s="82" t="s">
        <v>117</v>
      </c>
      <c r="F480" s="82" t="s">
        <v>117</v>
      </c>
      <c r="G480" s="82" t="s">
        <v>499</v>
      </c>
    </row>
    <row r="481" spans="5:7" s="82" customFormat="1" ht="25.5" hidden="1" customHeight="1" x14ac:dyDescent="0.3">
      <c r="E481" s="82" t="s">
        <v>117</v>
      </c>
      <c r="F481" s="82" t="s">
        <v>117</v>
      </c>
      <c r="G481" s="82" t="s">
        <v>500</v>
      </c>
    </row>
    <row r="482" spans="5:7" s="82" customFormat="1" ht="25.5" hidden="1" customHeight="1" x14ac:dyDescent="0.3"/>
    <row r="483" spans="5:7" s="82" customFormat="1" ht="25.5" hidden="1" customHeight="1" x14ac:dyDescent="0.3"/>
    <row r="484" spans="5:7" s="82" customFormat="1" ht="25.5" hidden="1" customHeight="1" x14ac:dyDescent="0.3"/>
    <row r="485" spans="5:7" s="82" customFormat="1" ht="25.5" hidden="1" customHeight="1" x14ac:dyDescent="0.3">
      <c r="E485" s="82" t="s">
        <v>117</v>
      </c>
      <c r="F485" s="82" t="s">
        <v>235</v>
      </c>
      <c r="G485" s="82" t="s">
        <v>236</v>
      </c>
    </row>
    <row r="486" spans="5:7" s="82" customFormat="1" ht="25.5" hidden="1" customHeight="1" x14ac:dyDescent="0.3">
      <c r="E486" s="82" t="s">
        <v>117</v>
      </c>
      <c r="F486" s="82" t="s">
        <v>237</v>
      </c>
      <c r="G486" s="82" t="s">
        <v>566</v>
      </c>
    </row>
    <row r="487" spans="5:7" s="82" customFormat="1" ht="25.5" hidden="1" customHeight="1" x14ac:dyDescent="0.3">
      <c r="E487" s="82" t="s">
        <v>117</v>
      </c>
      <c r="F487" s="82" t="s">
        <v>237</v>
      </c>
      <c r="G487" s="82" t="s">
        <v>351</v>
      </c>
    </row>
    <row r="488" spans="5:7" s="82" customFormat="1" ht="25.5" hidden="1" customHeight="1" x14ac:dyDescent="0.3">
      <c r="E488" s="82" t="s">
        <v>117</v>
      </c>
      <c r="F488" s="82" t="s">
        <v>237</v>
      </c>
      <c r="G488" s="82" t="s">
        <v>606</v>
      </c>
    </row>
    <row r="489" spans="5:7" s="82" customFormat="1" ht="25.5" hidden="1" customHeight="1" x14ac:dyDescent="0.3">
      <c r="E489" s="82" t="s">
        <v>117</v>
      </c>
      <c r="F489" s="82" t="s">
        <v>237</v>
      </c>
      <c r="G489" s="82" t="s">
        <v>508</v>
      </c>
    </row>
    <row r="490" spans="5:7" s="82" customFormat="1" ht="25.5" hidden="1" customHeight="1" x14ac:dyDescent="0.3">
      <c r="E490" s="82" t="s">
        <v>117</v>
      </c>
      <c r="F490" s="82" t="s">
        <v>237</v>
      </c>
      <c r="G490" s="82" t="s">
        <v>509</v>
      </c>
    </row>
    <row r="491" spans="5:7" s="82" customFormat="1" ht="25.5" hidden="1" customHeight="1" x14ac:dyDescent="0.3">
      <c r="E491" s="82" t="s">
        <v>117</v>
      </c>
      <c r="F491" s="82" t="s">
        <v>237</v>
      </c>
      <c r="G491" s="82" t="s">
        <v>798</v>
      </c>
    </row>
    <row r="492" spans="5:7" s="82" customFormat="1" ht="25.5" hidden="1" customHeight="1" x14ac:dyDescent="0.3">
      <c r="E492" s="82" t="s">
        <v>117</v>
      </c>
      <c r="F492" s="82" t="s">
        <v>237</v>
      </c>
      <c r="G492" s="82" t="s">
        <v>510</v>
      </c>
    </row>
    <row r="493" spans="5:7" s="82" customFormat="1" ht="25.5" hidden="1" customHeight="1" x14ac:dyDescent="0.3">
      <c r="E493" s="82" t="s">
        <v>117</v>
      </c>
      <c r="F493" s="82" t="s">
        <v>237</v>
      </c>
      <c r="G493" s="82" t="s">
        <v>768</v>
      </c>
    </row>
    <row r="494" spans="5:7" s="82" customFormat="1" ht="25.5" hidden="1" customHeight="1" x14ac:dyDescent="0.3">
      <c r="E494" s="82" t="s">
        <v>117</v>
      </c>
      <c r="F494" s="82" t="s">
        <v>237</v>
      </c>
      <c r="G494" s="82" t="s">
        <v>714</v>
      </c>
    </row>
    <row r="495" spans="5:7" s="82" customFormat="1" ht="25.5" hidden="1" customHeight="1" x14ac:dyDescent="0.3">
      <c r="E495" s="82" t="s">
        <v>117</v>
      </c>
      <c r="F495" s="82" t="s">
        <v>237</v>
      </c>
      <c r="G495" s="82" t="s">
        <v>425</v>
      </c>
    </row>
    <row r="496" spans="5:7" s="82" customFormat="1" ht="25.5" hidden="1" customHeight="1" x14ac:dyDescent="0.3">
      <c r="E496" s="82" t="s">
        <v>117</v>
      </c>
      <c r="F496" s="82" t="s">
        <v>147</v>
      </c>
      <c r="G496" s="82" t="s">
        <v>238</v>
      </c>
    </row>
    <row r="497" spans="5:7" s="82" customFormat="1" ht="25.5" hidden="1" customHeight="1" x14ac:dyDescent="0.3">
      <c r="E497" s="82" t="s">
        <v>117</v>
      </c>
      <c r="F497" s="82" t="s">
        <v>147</v>
      </c>
      <c r="G497" s="82" t="s">
        <v>567</v>
      </c>
    </row>
    <row r="498" spans="5:7" s="82" customFormat="1" ht="25.5" hidden="1" customHeight="1" x14ac:dyDescent="0.3">
      <c r="E498" s="82" t="s">
        <v>117</v>
      </c>
      <c r="F498" s="82" t="s">
        <v>147</v>
      </c>
      <c r="G498" s="82" t="s">
        <v>350</v>
      </c>
    </row>
    <row r="499" spans="5:7" s="82" customFormat="1" ht="25.5" hidden="1" customHeight="1" x14ac:dyDescent="0.3">
      <c r="E499" s="82" t="s">
        <v>117</v>
      </c>
      <c r="F499" s="82" t="s">
        <v>147</v>
      </c>
      <c r="G499" s="82" t="s">
        <v>607</v>
      </c>
    </row>
    <row r="500" spans="5:7" s="82" customFormat="1" ht="25.5" hidden="1" customHeight="1" x14ac:dyDescent="0.3">
      <c r="E500" s="82" t="s">
        <v>117</v>
      </c>
      <c r="F500" s="82" t="s">
        <v>147</v>
      </c>
      <c r="G500" s="82" t="s">
        <v>522</v>
      </c>
    </row>
    <row r="501" spans="5:7" s="82" customFormat="1" ht="25.5" hidden="1" customHeight="1" x14ac:dyDescent="0.3">
      <c r="E501" s="82" t="s">
        <v>117</v>
      </c>
      <c r="F501" s="82" t="s">
        <v>147</v>
      </c>
      <c r="G501" s="82" t="s">
        <v>523</v>
      </c>
    </row>
    <row r="502" spans="5:7" s="82" customFormat="1" ht="25.5" hidden="1" customHeight="1" x14ac:dyDescent="0.3">
      <c r="E502" s="82" t="s">
        <v>123</v>
      </c>
      <c r="F502" s="82" t="s">
        <v>124</v>
      </c>
      <c r="G502" s="82" t="s">
        <v>568</v>
      </c>
    </row>
    <row r="503" spans="5:7" s="82" customFormat="1" ht="25.5" hidden="1" customHeight="1" x14ac:dyDescent="0.3">
      <c r="E503" s="82" t="s">
        <v>123</v>
      </c>
      <c r="F503" s="82" t="s">
        <v>239</v>
      </c>
      <c r="G503" s="82" t="s">
        <v>667</v>
      </c>
    </row>
    <row r="504" spans="5:7" s="82" customFormat="1" ht="25.5" hidden="1" customHeight="1" x14ac:dyDescent="0.3">
      <c r="E504" s="82" t="s">
        <v>123</v>
      </c>
      <c r="F504" s="82" t="s">
        <v>240</v>
      </c>
      <c r="G504" s="82" t="s">
        <v>639</v>
      </c>
    </row>
    <row r="505" spans="5:7" s="82" customFormat="1" ht="25.5" hidden="1" customHeight="1" x14ac:dyDescent="0.3">
      <c r="E505" s="82" t="s">
        <v>123</v>
      </c>
      <c r="F505" s="82" t="s">
        <v>240</v>
      </c>
      <c r="G505" s="82" t="s">
        <v>715</v>
      </c>
    </row>
    <row r="506" spans="5:7" s="82" customFormat="1" ht="25.5" hidden="1" customHeight="1" x14ac:dyDescent="0.3">
      <c r="E506" s="82" t="s">
        <v>123</v>
      </c>
      <c r="F506" s="82" t="s">
        <v>124</v>
      </c>
      <c r="G506" s="82" t="s">
        <v>327</v>
      </c>
    </row>
    <row r="507" spans="5:7" s="82" customFormat="1" ht="25.5" hidden="1" customHeight="1" x14ac:dyDescent="0.3">
      <c r="E507" s="82" t="s">
        <v>123</v>
      </c>
      <c r="F507" s="82" t="s">
        <v>124</v>
      </c>
      <c r="G507" s="82" t="s">
        <v>844</v>
      </c>
    </row>
    <row r="508" spans="5:7" s="82" customFormat="1" ht="25.5" hidden="1" customHeight="1" x14ac:dyDescent="0.3">
      <c r="E508" s="82" t="s">
        <v>123</v>
      </c>
      <c r="F508" s="82" t="s">
        <v>124</v>
      </c>
      <c r="G508" s="82" t="s">
        <v>771</v>
      </c>
    </row>
    <row r="509" spans="5:7" s="82" customFormat="1" ht="25.5" hidden="1" customHeight="1" x14ac:dyDescent="0.3">
      <c r="E509" s="82" t="s">
        <v>123</v>
      </c>
      <c r="F509" s="82" t="s">
        <v>124</v>
      </c>
      <c r="G509" s="82" t="s">
        <v>772</v>
      </c>
    </row>
    <row r="510" spans="5:7" s="82" customFormat="1" ht="25.5" hidden="1" customHeight="1" x14ac:dyDescent="0.3">
      <c r="E510" s="82" t="s">
        <v>123</v>
      </c>
      <c r="F510" s="82" t="s">
        <v>124</v>
      </c>
      <c r="G510" s="82" t="s">
        <v>773</v>
      </c>
    </row>
    <row r="511" spans="5:7" s="82" customFormat="1" ht="25.5" hidden="1" customHeight="1" x14ac:dyDescent="0.3">
      <c r="E511" s="82" t="s">
        <v>123</v>
      </c>
      <c r="F511" s="82" t="s">
        <v>124</v>
      </c>
      <c r="G511" s="82" t="s">
        <v>774</v>
      </c>
    </row>
    <row r="512" spans="5:7" s="82" customFormat="1" ht="25.5" hidden="1" customHeight="1" x14ac:dyDescent="0.3">
      <c r="E512" s="82" t="s">
        <v>123</v>
      </c>
      <c r="F512" s="82" t="s">
        <v>124</v>
      </c>
      <c r="G512" s="82" t="s">
        <v>775</v>
      </c>
    </row>
    <row r="513" spans="5:7" s="82" customFormat="1" ht="25.5" hidden="1" customHeight="1" x14ac:dyDescent="0.3">
      <c r="E513" s="82" t="s">
        <v>123</v>
      </c>
      <c r="F513" s="82" t="s">
        <v>124</v>
      </c>
      <c r="G513" s="82" t="s">
        <v>466</v>
      </c>
    </row>
    <row r="514" spans="5:7" s="82" customFormat="1" ht="25.5" hidden="1" customHeight="1" x14ac:dyDescent="0.3">
      <c r="E514" s="82" t="s">
        <v>123</v>
      </c>
      <c r="F514" s="82" t="s">
        <v>124</v>
      </c>
      <c r="G514" s="82" t="s">
        <v>467</v>
      </c>
    </row>
    <row r="515" spans="5:7" s="82" customFormat="1" ht="25.5" hidden="1" customHeight="1" x14ac:dyDescent="0.3">
      <c r="E515" s="82" t="s">
        <v>123</v>
      </c>
      <c r="F515" s="82" t="s">
        <v>124</v>
      </c>
      <c r="G515" s="82" t="s">
        <v>468</v>
      </c>
    </row>
    <row r="516" spans="5:7" s="82" customFormat="1" ht="25.5" hidden="1" customHeight="1" x14ac:dyDescent="0.3">
      <c r="E516" s="82" t="s">
        <v>123</v>
      </c>
      <c r="F516" s="82" t="s">
        <v>124</v>
      </c>
      <c r="G516" s="82" t="s">
        <v>469</v>
      </c>
    </row>
    <row r="517" spans="5:7" s="82" customFormat="1" ht="25.5" hidden="1" customHeight="1" x14ac:dyDescent="0.3">
      <c r="E517" s="82" t="s">
        <v>123</v>
      </c>
      <c r="F517" s="82" t="s">
        <v>154</v>
      </c>
      <c r="G517" s="82" t="s">
        <v>640</v>
      </c>
    </row>
    <row r="518" spans="5:7" s="82" customFormat="1" ht="25.5" hidden="1" customHeight="1" x14ac:dyDescent="0.3">
      <c r="E518" s="82" t="s">
        <v>123</v>
      </c>
      <c r="F518" s="82" t="s">
        <v>154</v>
      </c>
      <c r="G518" s="82" t="s">
        <v>569</v>
      </c>
    </row>
    <row r="519" spans="5:7" s="82" customFormat="1" ht="25.5" hidden="1" customHeight="1" x14ac:dyDescent="0.3">
      <c r="E519" s="82" t="s">
        <v>123</v>
      </c>
      <c r="F519" s="82" t="s">
        <v>154</v>
      </c>
      <c r="G519" s="82" t="s">
        <v>780</v>
      </c>
    </row>
    <row r="520" spans="5:7" s="82" customFormat="1" ht="25.5" hidden="1" customHeight="1" x14ac:dyDescent="0.3">
      <c r="E520" s="82" t="s">
        <v>123</v>
      </c>
      <c r="F520" s="82" t="s">
        <v>154</v>
      </c>
      <c r="G520" s="82" t="s">
        <v>730</v>
      </c>
    </row>
    <row r="521" spans="5:7" s="82" customFormat="1" ht="25.5" hidden="1" customHeight="1" x14ac:dyDescent="0.3">
      <c r="E521" s="82" t="s">
        <v>123</v>
      </c>
      <c r="F521" s="82" t="s">
        <v>154</v>
      </c>
      <c r="G521" s="87" t="s">
        <v>326</v>
      </c>
    </row>
    <row r="522" spans="5:7" s="82" customFormat="1" ht="25.5" hidden="1" customHeight="1" x14ac:dyDescent="0.3">
      <c r="E522" s="82" t="s">
        <v>123</v>
      </c>
      <c r="F522" s="82" t="s">
        <v>154</v>
      </c>
      <c r="G522" s="82" t="s">
        <v>608</v>
      </c>
    </row>
    <row r="523" spans="5:7" s="82" customFormat="1" ht="25.5" hidden="1" customHeight="1" x14ac:dyDescent="0.3"/>
    <row r="524" spans="5:7" s="82" customFormat="1" ht="25.5" hidden="1" customHeight="1" x14ac:dyDescent="0.3">
      <c r="E524" s="82" t="s">
        <v>123</v>
      </c>
      <c r="F524" s="82" t="s">
        <v>241</v>
      </c>
      <c r="G524" s="82" t="s">
        <v>242</v>
      </c>
    </row>
    <row r="525" spans="5:7" s="82" customFormat="1" ht="25.5" hidden="1" customHeight="1" x14ac:dyDescent="0.3">
      <c r="E525" s="82" t="s">
        <v>123</v>
      </c>
      <c r="F525" s="82" t="s">
        <v>241</v>
      </c>
      <c r="G525" s="82" t="s">
        <v>716</v>
      </c>
    </row>
    <row r="526" spans="5:7" s="82" customFormat="1" ht="25.5" hidden="1" customHeight="1" x14ac:dyDescent="0.3">
      <c r="E526" s="82" t="s">
        <v>123</v>
      </c>
      <c r="F526" s="82" t="s">
        <v>241</v>
      </c>
      <c r="G526" s="82" t="s">
        <v>570</v>
      </c>
    </row>
    <row r="527" spans="5:7" s="82" customFormat="1" ht="25.5" hidden="1" customHeight="1" x14ac:dyDescent="0.3">
      <c r="E527" s="82" t="s">
        <v>123</v>
      </c>
      <c r="F527" s="82" t="s">
        <v>241</v>
      </c>
      <c r="G527" s="82" t="s">
        <v>427</v>
      </c>
    </row>
    <row r="528" spans="5:7" s="82" customFormat="1" ht="25.5" hidden="1" customHeight="1" x14ac:dyDescent="0.3"/>
    <row r="529" spans="5:7" s="82" customFormat="1" ht="25.5" hidden="1" customHeight="1" x14ac:dyDescent="0.3"/>
    <row r="530" spans="5:7" s="82" customFormat="1" ht="25.5" hidden="1" customHeight="1" x14ac:dyDescent="0.3">
      <c r="E530" s="82" t="s">
        <v>123</v>
      </c>
      <c r="F530" s="82" t="s">
        <v>153</v>
      </c>
      <c r="G530" s="82" t="s">
        <v>243</v>
      </c>
    </row>
    <row r="531" spans="5:7" s="82" customFormat="1" ht="25.5" hidden="1" customHeight="1" x14ac:dyDescent="0.3">
      <c r="E531" s="82" t="s">
        <v>123</v>
      </c>
      <c r="F531" s="82" t="s">
        <v>153</v>
      </c>
      <c r="G531" s="82" t="s">
        <v>571</v>
      </c>
    </row>
    <row r="532" spans="5:7" s="82" customFormat="1" ht="25.5" hidden="1" customHeight="1" x14ac:dyDescent="0.3">
      <c r="E532" s="82" t="s">
        <v>123</v>
      </c>
      <c r="F532" s="82" t="s">
        <v>153</v>
      </c>
      <c r="G532" s="82" t="s">
        <v>783</v>
      </c>
    </row>
    <row r="533" spans="5:7" s="82" customFormat="1" ht="25.5" hidden="1" customHeight="1" x14ac:dyDescent="0.3">
      <c r="E533" s="82" t="s">
        <v>123</v>
      </c>
      <c r="F533" s="82" t="s">
        <v>153</v>
      </c>
      <c r="G533" s="82" t="s">
        <v>713</v>
      </c>
    </row>
    <row r="534" spans="5:7" s="82" customFormat="1" ht="25.5" hidden="1" customHeight="1" x14ac:dyDescent="0.3">
      <c r="E534" s="82" t="s">
        <v>123</v>
      </c>
      <c r="F534" s="82" t="s">
        <v>153</v>
      </c>
      <c r="G534" s="82" t="s">
        <v>393</v>
      </c>
    </row>
    <row r="535" spans="5:7" s="82" customFormat="1" ht="25.5" hidden="1" customHeight="1" x14ac:dyDescent="0.3">
      <c r="E535" s="82" t="s">
        <v>123</v>
      </c>
      <c r="F535" s="82" t="s">
        <v>153</v>
      </c>
      <c r="G535" s="82" t="s">
        <v>428</v>
      </c>
    </row>
    <row r="536" spans="5:7" s="82" customFormat="1" ht="25.5" hidden="1" customHeight="1" x14ac:dyDescent="0.3">
      <c r="E536" s="82" t="s">
        <v>123</v>
      </c>
      <c r="F536" s="82" t="s">
        <v>153</v>
      </c>
      <c r="G536" s="82" t="s">
        <v>501</v>
      </c>
    </row>
    <row r="537" spans="5:7" s="82" customFormat="1" ht="25.5" hidden="1" customHeight="1" x14ac:dyDescent="0.3">
      <c r="E537" s="82" t="s">
        <v>123</v>
      </c>
      <c r="F537" s="82" t="s">
        <v>125</v>
      </c>
      <c r="G537" s="82" t="s">
        <v>572</v>
      </c>
    </row>
    <row r="538" spans="5:7" s="82" customFormat="1" ht="25.5" hidden="1" customHeight="1" x14ac:dyDescent="0.3">
      <c r="E538" s="82" t="s">
        <v>123</v>
      </c>
      <c r="F538" s="82" t="s">
        <v>125</v>
      </c>
      <c r="G538" s="82" t="s">
        <v>795</v>
      </c>
    </row>
    <row r="539" spans="5:7" s="82" customFormat="1" ht="25.5" hidden="1" customHeight="1" x14ac:dyDescent="0.3">
      <c r="E539" s="82" t="s">
        <v>123</v>
      </c>
      <c r="F539" s="82" t="s">
        <v>244</v>
      </c>
      <c r="G539" s="82" t="s">
        <v>641</v>
      </c>
    </row>
    <row r="540" spans="5:7" s="82" customFormat="1" ht="25.5" hidden="1" customHeight="1" x14ac:dyDescent="0.3">
      <c r="E540" s="82" t="s">
        <v>123</v>
      </c>
      <c r="F540" s="82" t="s">
        <v>244</v>
      </c>
      <c r="G540" s="82" t="s">
        <v>770</v>
      </c>
    </row>
    <row r="541" spans="5:7" s="82" customFormat="1" ht="25.5" hidden="1" customHeight="1" x14ac:dyDescent="0.3">
      <c r="E541" s="82" t="s">
        <v>123</v>
      </c>
      <c r="F541" s="82" t="s">
        <v>244</v>
      </c>
      <c r="G541" s="82" t="s">
        <v>729</v>
      </c>
    </row>
    <row r="542" spans="5:7" s="82" customFormat="1" ht="25.5" hidden="1" customHeight="1" x14ac:dyDescent="0.3">
      <c r="E542" s="82" t="s">
        <v>123</v>
      </c>
      <c r="F542" s="82" t="s">
        <v>125</v>
      </c>
      <c r="G542" s="82" t="s">
        <v>320</v>
      </c>
    </row>
    <row r="543" spans="5:7" s="82" customFormat="1" ht="25.5" hidden="1" customHeight="1" x14ac:dyDescent="0.3">
      <c r="E543" s="82" t="s">
        <v>123</v>
      </c>
      <c r="F543" s="82" t="s">
        <v>125</v>
      </c>
      <c r="G543" s="82" t="s">
        <v>506</v>
      </c>
    </row>
    <row r="544" spans="5:7" s="82" customFormat="1" ht="25.5" hidden="1" customHeight="1" x14ac:dyDescent="0.3">
      <c r="E544" s="82" t="s">
        <v>123</v>
      </c>
      <c r="F544" s="82" t="s">
        <v>125</v>
      </c>
      <c r="G544" s="82" t="s">
        <v>705</v>
      </c>
    </row>
    <row r="545" spans="5:7" s="82" customFormat="1" ht="25.5" hidden="1" customHeight="1" x14ac:dyDescent="0.3">
      <c r="E545" s="82" t="s">
        <v>123</v>
      </c>
      <c r="F545" s="82" t="s">
        <v>125</v>
      </c>
      <c r="G545" s="82" t="s">
        <v>507</v>
      </c>
    </row>
    <row r="546" spans="5:7" s="82" customFormat="1" ht="25.5" hidden="1" customHeight="1" x14ac:dyDescent="0.3">
      <c r="E546" s="82" t="s">
        <v>123</v>
      </c>
      <c r="F546" s="82" t="s">
        <v>127</v>
      </c>
      <c r="G546" s="82" t="s">
        <v>573</v>
      </c>
    </row>
    <row r="547" spans="5:7" s="82" customFormat="1" ht="25.5" hidden="1" customHeight="1" x14ac:dyDescent="0.3">
      <c r="E547" s="82" t="s">
        <v>123</v>
      </c>
      <c r="F547" s="82" t="s">
        <v>127</v>
      </c>
      <c r="G547" s="82" t="s">
        <v>791</v>
      </c>
    </row>
    <row r="548" spans="5:7" s="82" customFormat="1" ht="25.5" hidden="1" customHeight="1" x14ac:dyDescent="0.3">
      <c r="E548" s="82" t="s">
        <v>123</v>
      </c>
      <c r="F548" s="82" t="s">
        <v>127</v>
      </c>
      <c r="G548" s="82" t="s">
        <v>792</v>
      </c>
    </row>
    <row r="549" spans="5:7" s="82" customFormat="1" ht="25.5" hidden="1" customHeight="1" x14ac:dyDescent="0.3">
      <c r="E549" s="82" t="s">
        <v>123</v>
      </c>
      <c r="F549" s="82" t="s">
        <v>127</v>
      </c>
      <c r="G549" s="82" t="s">
        <v>793</v>
      </c>
    </row>
    <row r="550" spans="5:7" s="82" customFormat="1" ht="25.5" hidden="1" customHeight="1" x14ac:dyDescent="0.3">
      <c r="E550" s="82" t="s">
        <v>123</v>
      </c>
      <c r="F550" s="82" t="s">
        <v>127</v>
      </c>
      <c r="G550" s="82" t="s">
        <v>345</v>
      </c>
    </row>
    <row r="551" spans="5:7" s="82" customFormat="1" ht="25.5" hidden="1" customHeight="1" x14ac:dyDescent="0.3">
      <c r="E551" s="82" t="s">
        <v>123</v>
      </c>
      <c r="F551" s="82" t="s">
        <v>127</v>
      </c>
      <c r="G551" s="82" t="s">
        <v>728</v>
      </c>
    </row>
    <row r="552" spans="5:7" s="82" customFormat="1" ht="25.5" hidden="1" customHeight="1" x14ac:dyDescent="0.3">
      <c r="E552" s="82" t="s">
        <v>123</v>
      </c>
      <c r="F552" s="82" t="s">
        <v>245</v>
      </c>
      <c r="G552" s="82" t="s">
        <v>126</v>
      </c>
    </row>
    <row r="553" spans="5:7" s="82" customFormat="1" ht="25.5" hidden="1" customHeight="1" x14ac:dyDescent="0.3">
      <c r="E553" s="82" t="s">
        <v>123</v>
      </c>
      <c r="F553" s="82" t="s">
        <v>245</v>
      </c>
      <c r="G553" s="82" t="s">
        <v>429</v>
      </c>
    </row>
    <row r="554" spans="5:7" s="82" customFormat="1" ht="25.5" hidden="1" customHeight="1" x14ac:dyDescent="0.3">
      <c r="E554" s="82" t="s">
        <v>123</v>
      </c>
      <c r="F554" s="82" t="s">
        <v>245</v>
      </c>
      <c r="G554" s="82" t="s">
        <v>512</v>
      </c>
    </row>
    <row r="555" spans="5:7" s="82" customFormat="1" ht="25.5" hidden="1" customHeight="1" x14ac:dyDescent="0.3">
      <c r="E555" s="82" t="s">
        <v>123</v>
      </c>
      <c r="F555" s="82" t="s">
        <v>245</v>
      </c>
      <c r="G555" s="82" t="s">
        <v>513</v>
      </c>
    </row>
    <row r="556" spans="5:7" s="82" customFormat="1" ht="25.5" hidden="1" customHeight="1" x14ac:dyDescent="0.3">
      <c r="E556" s="82" t="s">
        <v>123</v>
      </c>
      <c r="F556" s="82" t="s">
        <v>123</v>
      </c>
      <c r="G556" s="82" t="s">
        <v>246</v>
      </c>
    </row>
    <row r="557" spans="5:7" s="82" customFormat="1" ht="25.5" hidden="1" customHeight="1" x14ac:dyDescent="0.3">
      <c r="E557" s="82" t="s">
        <v>123</v>
      </c>
      <c r="F557" s="82" t="s">
        <v>123</v>
      </c>
      <c r="G557" s="82" t="s">
        <v>668</v>
      </c>
    </row>
    <row r="558" spans="5:7" s="82" customFormat="1" ht="25.5" hidden="1" customHeight="1" x14ac:dyDescent="0.3">
      <c r="E558" s="82" t="s">
        <v>123</v>
      </c>
      <c r="F558" s="82" t="s">
        <v>247</v>
      </c>
      <c r="G558" s="82" t="s">
        <v>248</v>
      </c>
    </row>
    <row r="559" spans="5:7" s="82" customFormat="1" ht="25.5" hidden="1" customHeight="1" x14ac:dyDescent="0.3">
      <c r="E559" s="82" t="s">
        <v>123</v>
      </c>
      <c r="F559" s="82" t="s">
        <v>247</v>
      </c>
      <c r="G559" s="82" t="s">
        <v>721</v>
      </c>
    </row>
    <row r="560" spans="5:7" s="82" customFormat="1" ht="25.5" hidden="1" customHeight="1" x14ac:dyDescent="0.3">
      <c r="E560" s="82" t="s">
        <v>123</v>
      </c>
      <c r="F560" s="82" t="s">
        <v>247</v>
      </c>
      <c r="G560" s="82" t="s">
        <v>786</v>
      </c>
    </row>
    <row r="561" spans="5:7" s="82" customFormat="1" ht="25.5" hidden="1" customHeight="1" x14ac:dyDescent="0.3">
      <c r="E561" s="82" t="s">
        <v>123</v>
      </c>
      <c r="F561" s="82" t="s">
        <v>247</v>
      </c>
      <c r="G561" s="82" t="s">
        <v>805</v>
      </c>
    </row>
    <row r="562" spans="5:7" s="82" customFormat="1" ht="25.5" hidden="1" customHeight="1" x14ac:dyDescent="0.3">
      <c r="E562" s="82" t="s">
        <v>123</v>
      </c>
      <c r="F562" s="82" t="s">
        <v>247</v>
      </c>
      <c r="G562" s="82" t="s">
        <v>708</v>
      </c>
    </row>
    <row r="563" spans="5:7" s="82" customFormat="1" ht="25.5" hidden="1" customHeight="1" x14ac:dyDescent="0.3">
      <c r="E563" s="82" t="s">
        <v>123</v>
      </c>
      <c r="F563" s="82" t="s">
        <v>247</v>
      </c>
      <c r="G563" s="82" t="s">
        <v>426</v>
      </c>
    </row>
    <row r="564" spans="5:7" s="82" customFormat="1" ht="25.5" hidden="1" customHeight="1" x14ac:dyDescent="0.3">
      <c r="E564" s="82" t="s">
        <v>123</v>
      </c>
      <c r="F564" s="82" t="s">
        <v>247</v>
      </c>
      <c r="G564" s="82" t="s">
        <v>515</v>
      </c>
    </row>
    <row r="565" spans="5:7" s="82" customFormat="1" ht="25.5" hidden="1" customHeight="1" x14ac:dyDescent="0.3">
      <c r="E565" s="82" t="s">
        <v>123</v>
      </c>
      <c r="F565" s="82" t="s">
        <v>247</v>
      </c>
      <c r="G565" s="82" t="s">
        <v>516</v>
      </c>
    </row>
    <row r="566" spans="5:7" s="82" customFormat="1" ht="25.5" hidden="1" customHeight="1" x14ac:dyDescent="0.3">
      <c r="E566" s="82" t="s">
        <v>123</v>
      </c>
      <c r="F566" s="82" t="s">
        <v>247</v>
      </c>
      <c r="G566" s="82" t="s">
        <v>517</v>
      </c>
    </row>
    <row r="567" spans="5:7" s="82" customFormat="1" ht="25.5" hidden="1" customHeight="1" x14ac:dyDescent="0.3">
      <c r="E567" s="82" t="s">
        <v>123</v>
      </c>
      <c r="F567" s="82" t="s">
        <v>128</v>
      </c>
      <c r="G567" s="82" t="s">
        <v>642</v>
      </c>
    </row>
    <row r="568" spans="5:7" s="82" customFormat="1" ht="25.5" hidden="1" customHeight="1" x14ac:dyDescent="0.3">
      <c r="E568" s="82" t="s">
        <v>123</v>
      </c>
      <c r="F568" s="82" t="s">
        <v>128</v>
      </c>
      <c r="G568" s="82" t="s">
        <v>727</v>
      </c>
    </row>
    <row r="569" spans="5:7" s="82" customFormat="1" ht="25.5" hidden="1" customHeight="1" x14ac:dyDescent="0.3">
      <c r="E569" s="82" t="s">
        <v>123</v>
      </c>
      <c r="F569" s="82" t="s">
        <v>128</v>
      </c>
      <c r="G569" s="82" t="s">
        <v>574</v>
      </c>
    </row>
    <row r="570" spans="5:7" s="82" customFormat="1" ht="25.5" hidden="1" customHeight="1" x14ac:dyDescent="0.3">
      <c r="E570" s="82" t="s">
        <v>123</v>
      </c>
      <c r="F570" s="82" t="s">
        <v>128</v>
      </c>
      <c r="G570" s="82" t="s">
        <v>776</v>
      </c>
    </row>
    <row r="571" spans="5:7" s="82" customFormat="1" ht="25.5" hidden="1" customHeight="1" x14ac:dyDescent="0.3">
      <c r="E571" s="82" t="s">
        <v>123</v>
      </c>
      <c r="F571" s="82" t="s">
        <v>249</v>
      </c>
      <c r="G571" s="82" t="s">
        <v>328</v>
      </c>
    </row>
    <row r="572" spans="5:7" s="82" customFormat="1" ht="25.5" hidden="1" customHeight="1" x14ac:dyDescent="0.3">
      <c r="E572" s="82" t="s">
        <v>123</v>
      </c>
      <c r="F572" s="82" t="s">
        <v>249</v>
      </c>
      <c r="G572" s="82" t="s">
        <v>781</v>
      </c>
    </row>
    <row r="573" spans="5:7" s="82" customFormat="1" ht="25.5" hidden="1" customHeight="1" x14ac:dyDescent="0.3">
      <c r="E573" s="82" t="s">
        <v>123</v>
      </c>
      <c r="F573" s="82" t="s">
        <v>249</v>
      </c>
      <c r="G573" s="82" t="s">
        <v>524</v>
      </c>
    </row>
    <row r="574" spans="5:7" s="82" customFormat="1" ht="25.5" hidden="1" customHeight="1" x14ac:dyDescent="0.3">
      <c r="E574" s="82" t="s">
        <v>123</v>
      </c>
      <c r="F574" s="82" t="s">
        <v>249</v>
      </c>
      <c r="G574" s="82" t="s">
        <v>748</v>
      </c>
    </row>
    <row r="575" spans="5:7" s="82" customFormat="1" ht="25.5" hidden="1" customHeight="1" x14ac:dyDescent="0.3">
      <c r="E575" s="82" t="s">
        <v>123</v>
      </c>
      <c r="F575" s="82" t="s">
        <v>249</v>
      </c>
      <c r="G575" s="82" t="s">
        <v>525</v>
      </c>
    </row>
    <row r="576" spans="5:7" s="82" customFormat="1" ht="25.5" hidden="1" customHeight="1" x14ac:dyDescent="0.3"/>
    <row r="577" spans="5:7" s="82" customFormat="1" ht="25.5" hidden="1" customHeight="1" x14ac:dyDescent="0.3">
      <c r="E577" s="82" t="s">
        <v>129</v>
      </c>
      <c r="F577" s="82" t="s">
        <v>155</v>
      </c>
      <c r="G577" s="82" t="s">
        <v>643</v>
      </c>
    </row>
    <row r="578" spans="5:7" s="82" customFormat="1" ht="25.5" hidden="1" customHeight="1" x14ac:dyDescent="0.3">
      <c r="E578" s="82" t="s">
        <v>129</v>
      </c>
      <c r="F578" s="82" t="s">
        <v>155</v>
      </c>
      <c r="G578" s="82" t="s">
        <v>669</v>
      </c>
    </row>
    <row r="579" spans="5:7" s="82" customFormat="1" ht="25.5" hidden="1" customHeight="1" x14ac:dyDescent="0.3">
      <c r="E579" s="82" t="s">
        <v>129</v>
      </c>
      <c r="F579" s="82" t="s">
        <v>155</v>
      </c>
      <c r="G579" s="82" t="s">
        <v>782</v>
      </c>
    </row>
    <row r="580" spans="5:7" s="82" customFormat="1" ht="25.5" hidden="1" customHeight="1" x14ac:dyDescent="0.3">
      <c r="E580" s="82" t="s">
        <v>129</v>
      </c>
      <c r="F580" s="82" t="s">
        <v>155</v>
      </c>
      <c r="G580" s="82" t="s">
        <v>575</v>
      </c>
    </row>
    <row r="581" spans="5:7" s="82" customFormat="1" ht="25.5" hidden="1" customHeight="1" x14ac:dyDescent="0.3">
      <c r="E581" s="82" t="s">
        <v>129</v>
      </c>
      <c r="F581" s="82" t="s">
        <v>155</v>
      </c>
      <c r="G581" s="82" t="s">
        <v>789</v>
      </c>
    </row>
    <row r="582" spans="5:7" s="82" customFormat="1" ht="25.5" hidden="1" customHeight="1" x14ac:dyDescent="0.3">
      <c r="E582" s="82" t="s">
        <v>129</v>
      </c>
      <c r="F582" s="82" t="s">
        <v>155</v>
      </c>
      <c r="G582" s="82" t="s">
        <v>312</v>
      </c>
    </row>
    <row r="583" spans="5:7" s="82" customFormat="1" ht="25.5" hidden="1" customHeight="1" x14ac:dyDescent="0.3">
      <c r="E583" s="82" t="s">
        <v>129</v>
      </c>
      <c r="F583" s="82" t="s">
        <v>155</v>
      </c>
      <c r="G583" s="82" t="s">
        <v>361</v>
      </c>
    </row>
    <row r="584" spans="5:7" s="82" customFormat="1" ht="25.5" hidden="1" customHeight="1" x14ac:dyDescent="0.3">
      <c r="E584" s="82" t="s">
        <v>129</v>
      </c>
      <c r="F584" s="82" t="s">
        <v>155</v>
      </c>
      <c r="G584" s="82" t="s">
        <v>723</v>
      </c>
    </row>
    <row r="585" spans="5:7" s="82" customFormat="1" ht="25.5" hidden="1" customHeight="1" x14ac:dyDescent="0.3">
      <c r="E585" s="82" t="s">
        <v>129</v>
      </c>
      <c r="F585" s="82" t="s">
        <v>155</v>
      </c>
      <c r="G585" s="82" t="s">
        <v>397</v>
      </c>
    </row>
    <row r="586" spans="5:7" s="82" customFormat="1" ht="25.5" hidden="1" customHeight="1" x14ac:dyDescent="0.3">
      <c r="E586" s="82" t="s">
        <v>129</v>
      </c>
      <c r="F586" s="82" t="s">
        <v>155</v>
      </c>
      <c r="G586" s="82" t="s">
        <v>398</v>
      </c>
    </row>
    <row r="587" spans="5:7" s="82" customFormat="1" ht="25.5" hidden="1" customHeight="1" x14ac:dyDescent="0.3">
      <c r="E587" s="82" t="s">
        <v>129</v>
      </c>
      <c r="F587" s="82" t="s">
        <v>155</v>
      </c>
      <c r="G587" s="82" t="s">
        <v>430</v>
      </c>
    </row>
    <row r="588" spans="5:7" s="82" customFormat="1" ht="25.5" hidden="1" customHeight="1" x14ac:dyDescent="0.3">
      <c r="E588" s="82" t="s">
        <v>129</v>
      </c>
      <c r="F588" s="82" t="s">
        <v>155</v>
      </c>
      <c r="G588" s="82" t="s">
        <v>471</v>
      </c>
    </row>
    <row r="589" spans="5:7" s="82" customFormat="1" ht="25.5" hidden="1" customHeight="1" x14ac:dyDescent="0.3">
      <c r="E589" s="82" t="s">
        <v>129</v>
      </c>
      <c r="F589" s="82" t="s">
        <v>130</v>
      </c>
      <c r="G589" s="82" t="s">
        <v>576</v>
      </c>
    </row>
    <row r="590" spans="5:7" s="82" customFormat="1" ht="25.5" hidden="1" customHeight="1" x14ac:dyDescent="0.3">
      <c r="E590" s="82" t="s">
        <v>129</v>
      </c>
      <c r="F590" s="82" t="s">
        <v>341</v>
      </c>
      <c r="G590" s="82" t="s">
        <v>342</v>
      </c>
    </row>
    <row r="591" spans="5:7" s="82" customFormat="1" ht="25.5" hidden="1" customHeight="1" x14ac:dyDescent="0.3">
      <c r="E591" s="82" t="s">
        <v>129</v>
      </c>
      <c r="F591" s="82" t="s">
        <v>250</v>
      </c>
      <c r="G591" s="82" t="s">
        <v>644</v>
      </c>
    </row>
    <row r="592" spans="5:7" s="82" customFormat="1" ht="25.5" hidden="1" customHeight="1" x14ac:dyDescent="0.3">
      <c r="E592" s="82" t="s">
        <v>129</v>
      </c>
      <c r="F592" s="82" t="s">
        <v>250</v>
      </c>
      <c r="G592" s="82" t="s">
        <v>360</v>
      </c>
    </row>
    <row r="593" spans="5:7" s="82" customFormat="1" ht="25.5" hidden="1" customHeight="1" x14ac:dyDescent="0.3">
      <c r="E593" s="82" t="s">
        <v>129</v>
      </c>
      <c r="F593" s="82" t="s">
        <v>250</v>
      </c>
      <c r="G593" s="82" t="s">
        <v>794</v>
      </c>
    </row>
    <row r="594" spans="5:7" s="82" customFormat="1" ht="25.5" hidden="1" customHeight="1" x14ac:dyDescent="0.3">
      <c r="E594" s="82" t="s">
        <v>129</v>
      </c>
      <c r="F594" s="82" t="s">
        <v>250</v>
      </c>
      <c r="G594" s="82" t="s">
        <v>787</v>
      </c>
    </row>
    <row r="595" spans="5:7" s="82" customFormat="1" ht="25.5" hidden="1" customHeight="1" x14ac:dyDescent="0.3">
      <c r="E595" s="82" t="s">
        <v>129</v>
      </c>
      <c r="F595" s="82" t="s">
        <v>250</v>
      </c>
      <c r="G595" s="82" t="s">
        <v>609</v>
      </c>
    </row>
    <row r="596" spans="5:7" s="82" customFormat="1" ht="25.5" hidden="1" customHeight="1" x14ac:dyDescent="0.3">
      <c r="E596" s="82" t="s">
        <v>129</v>
      </c>
      <c r="F596" s="82" t="s">
        <v>250</v>
      </c>
      <c r="G596" s="82" t="s">
        <v>475</v>
      </c>
    </row>
    <row r="597" spans="5:7" s="82" customFormat="1" ht="25.5" hidden="1" customHeight="1" x14ac:dyDescent="0.3">
      <c r="E597" s="82" t="s">
        <v>129</v>
      </c>
      <c r="F597" s="82" t="s">
        <v>250</v>
      </c>
      <c r="G597" s="82" t="s">
        <v>476</v>
      </c>
    </row>
    <row r="598" spans="5:7" s="82" customFormat="1" ht="25.5" hidden="1" customHeight="1" x14ac:dyDescent="0.3">
      <c r="E598" s="82" t="s">
        <v>129</v>
      </c>
      <c r="F598" s="82" t="s">
        <v>131</v>
      </c>
      <c r="G598" s="82" t="s">
        <v>577</v>
      </c>
    </row>
    <row r="599" spans="5:7" s="82" customFormat="1" ht="25.5" hidden="1" customHeight="1" x14ac:dyDescent="0.3">
      <c r="E599" s="82" t="s">
        <v>129</v>
      </c>
      <c r="F599" s="82" t="s">
        <v>251</v>
      </c>
      <c r="G599" s="82" t="s">
        <v>645</v>
      </c>
    </row>
    <row r="600" spans="5:7" s="82" customFormat="1" ht="25.5" hidden="1" customHeight="1" x14ac:dyDescent="0.3">
      <c r="E600" s="82" t="s">
        <v>129</v>
      </c>
      <c r="F600" s="82" t="s">
        <v>251</v>
      </c>
      <c r="G600" s="82" t="s">
        <v>712</v>
      </c>
    </row>
    <row r="601" spans="5:7" s="82" customFormat="1" ht="25.5" hidden="1" customHeight="1" x14ac:dyDescent="0.3">
      <c r="E601" s="82" t="s">
        <v>129</v>
      </c>
      <c r="F601" s="82" t="s">
        <v>251</v>
      </c>
      <c r="G601" s="82" t="s">
        <v>394</v>
      </c>
    </row>
    <row r="602" spans="5:7" s="82" customFormat="1" ht="25.5" hidden="1" customHeight="1" x14ac:dyDescent="0.3">
      <c r="E602" s="82" t="s">
        <v>129</v>
      </c>
      <c r="F602" s="82" t="s">
        <v>251</v>
      </c>
      <c r="G602" s="82" t="s">
        <v>431</v>
      </c>
    </row>
    <row r="603" spans="5:7" s="82" customFormat="1" ht="25.5" hidden="1" customHeight="1" x14ac:dyDescent="0.3">
      <c r="E603" s="82" t="s">
        <v>129</v>
      </c>
      <c r="F603" s="82" t="s">
        <v>251</v>
      </c>
      <c r="G603" s="82" t="s">
        <v>487</v>
      </c>
    </row>
    <row r="604" spans="5:7" s="82" customFormat="1" ht="25.5" hidden="1" customHeight="1" x14ac:dyDescent="0.3">
      <c r="E604" s="82" t="s">
        <v>129</v>
      </c>
      <c r="F604" s="82" t="s">
        <v>156</v>
      </c>
      <c r="G604" s="82" t="s">
        <v>252</v>
      </c>
    </row>
    <row r="605" spans="5:7" s="82" customFormat="1" ht="25.5" hidden="1" customHeight="1" x14ac:dyDescent="0.3">
      <c r="E605" s="82" t="s">
        <v>129</v>
      </c>
      <c r="F605" s="82" t="s">
        <v>156</v>
      </c>
      <c r="G605" s="82" t="s">
        <v>578</v>
      </c>
    </row>
    <row r="606" spans="5:7" s="82" customFormat="1" ht="25.5" hidden="1" customHeight="1" x14ac:dyDescent="0.3">
      <c r="E606" s="82" t="s">
        <v>129</v>
      </c>
      <c r="F606" s="82" t="s">
        <v>156</v>
      </c>
      <c r="G606" s="82" t="s">
        <v>432</v>
      </c>
    </row>
    <row r="607" spans="5:7" s="82" customFormat="1" ht="25.5" hidden="1" customHeight="1" x14ac:dyDescent="0.3">
      <c r="E607" s="82" t="s">
        <v>129</v>
      </c>
      <c r="F607" s="82" t="s">
        <v>156</v>
      </c>
      <c r="G607" s="82" t="s">
        <v>488</v>
      </c>
    </row>
    <row r="608" spans="5:7" s="82" customFormat="1" ht="25.5" hidden="1" customHeight="1" x14ac:dyDescent="0.3"/>
    <row r="609" spans="5:7" s="82" customFormat="1" ht="25.5" hidden="1" customHeight="1" x14ac:dyDescent="0.3">
      <c r="E609" s="82" t="s">
        <v>129</v>
      </c>
      <c r="F609" s="82" t="s">
        <v>157</v>
      </c>
      <c r="G609" s="82" t="s">
        <v>253</v>
      </c>
    </row>
    <row r="610" spans="5:7" s="82" customFormat="1" ht="25.5" hidden="1" customHeight="1" x14ac:dyDescent="0.3">
      <c r="E610" s="82" t="s">
        <v>129</v>
      </c>
      <c r="F610" s="82" t="s">
        <v>157</v>
      </c>
      <c r="G610" s="82" t="s">
        <v>717</v>
      </c>
    </row>
    <row r="611" spans="5:7" s="82" customFormat="1" ht="25.5" hidden="1" customHeight="1" x14ac:dyDescent="0.3">
      <c r="E611" s="82" t="s">
        <v>129</v>
      </c>
      <c r="F611" s="82" t="s">
        <v>157</v>
      </c>
      <c r="G611" s="82" t="s">
        <v>778</v>
      </c>
    </row>
    <row r="612" spans="5:7" s="82" customFormat="1" ht="25.5" hidden="1" customHeight="1" x14ac:dyDescent="0.3">
      <c r="E612" s="82" t="s">
        <v>129</v>
      </c>
      <c r="F612" s="82" t="s">
        <v>157</v>
      </c>
      <c r="G612" s="82" t="s">
        <v>779</v>
      </c>
    </row>
    <row r="613" spans="5:7" s="82" customFormat="1" ht="25.5" hidden="1" customHeight="1" x14ac:dyDescent="0.3">
      <c r="E613" s="82" t="s">
        <v>129</v>
      </c>
      <c r="F613" s="82" t="s">
        <v>157</v>
      </c>
      <c r="G613" s="82" t="s">
        <v>579</v>
      </c>
    </row>
    <row r="614" spans="5:7" s="82" customFormat="1" ht="25.5" hidden="1" customHeight="1" x14ac:dyDescent="0.3">
      <c r="E614" s="82" t="s">
        <v>129</v>
      </c>
      <c r="F614" s="82" t="s">
        <v>157</v>
      </c>
      <c r="G614" s="82" t="s">
        <v>610</v>
      </c>
    </row>
    <row r="615" spans="5:7" s="82" customFormat="1" ht="25.5" hidden="1" customHeight="1" x14ac:dyDescent="0.3">
      <c r="E615" s="82" t="s">
        <v>129</v>
      </c>
      <c r="F615" s="82" t="s">
        <v>157</v>
      </c>
      <c r="G615" s="82" t="s">
        <v>395</v>
      </c>
    </row>
    <row r="616" spans="5:7" s="82" customFormat="1" ht="25.5" hidden="1" customHeight="1" x14ac:dyDescent="0.3">
      <c r="E616" s="82" t="s">
        <v>129</v>
      </c>
      <c r="F616" s="82" t="s">
        <v>157</v>
      </c>
      <c r="G616" s="82" t="s">
        <v>433</v>
      </c>
    </row>
    <row r="617" spans="5:7" s="82" customFormat="1" ht="25.5" hidden="1" customHeight="1" x14ac:dyDescent="0.3">
      <c r="E617" s="82" t="s">
        <v>129</v>
      </c>
      <c r="F617" s="82" t="s">
        <v>158</v>
      </c>
      <c r="G617" s="82" t="s">
        <v>254</v>
      </c>
    </row>
    <row r="618" spans="5:7" s="82" customFormat="1" ht="25.5" hidden="1" customHeight="1" x14ac:dyDescent="0.3">
      <c r="E618" s="82" t="s">
        <v>129</v>
      </c>
      <c r="F618" s="82" t="s">
        <v>158</v>
      </c>
      <c r="G618" s="82" t="s">
        <v>749</v>
      </c>
    </row>
    <row r="619" spans="5:7" s="82" customFormat="1" ht="25.5" hidden="1" customHeight="1" x14ac:dyDescent="0.3">
      <c r="E619" s="82" t="s">
        <v>129</v>
      </c>
      <c r="F619" s="82" t="s">
        <v>158</v>
      </c>
      <c r="G619" s="82" t="s">
        <v>725</v>
      </c>
    </row>
    <row r="620" spans="5:7" s="82" customFormat="1" ht="25.5" hidden="1" customHeight="1" x14ac:dyDescent="0.3">
      <c r="E620" s="82" t="s">
        <v>129</v>
      </c>
      <c r="F620" s="82" t="s">
        <v>158</v>
      </c>
      <c r="G620" s="82" t="s">
        <v>580</v>
      </c>
    </row>
    <row r="621" spans="5:7" s="82" customFormat="1" ht="25.5" hidden="1" customHeight="1" x14ac:dyDescent="0.3">
      <c r="E621" s="82" t="s">
        <v>129</v>
      </c>
      <c r="F621" s="82" t="s">
        <v>158</v>
      </c>
      <c r="G621" s="82" t="s">
        <v>396</v>
      </c>
    </row>
    <row r="622" spans="5:7" s="82" customFormat="1" ht="25.5" hidden="1" customHeight="1" x14ac:dyDescent="0.3"/>
    <row r="623" spans="5:7" s="82" customFormat="1" ht="25.5" hidden="1" customHeight="1" x14ac:dyDescent="0.3">
      <c r="E623" s="82" t="s">
        <v>129</v>
      </c>
      <c r="F623" s="82" t="s">
        <v>255</v>
      </c>
      <c r="G623" s="82" t="s">
        <v>646</v>
      </c>
    </row>
    <row r="624" spans="5:7" s="82" customFormat="1" ht="25.5" hidden="1" customHeight="1" x14ac:dyDescent="0.3">
      <c r="E624" s="82" t="s">
        <v>129</v>
      </c>
      <c r="F624" s="82" t="s">
        <v>129</v>
      </c>
      <c r="G624" s="82" t="s">
        <v>256</v>
      </c>
    </row>
    <row r="625" spans="5:7" s="82" customFormat="1" ht="25.5" hidden="1" customHeight="1" x14ac:dyDescent="0.3">
      <c r="E625" s="82" t="s">
        <v>129</v>
      </c>
      <c r="F625" s="82" t="s">
        <v>129</v>
      </c>
      <c r="G625" s="82" t="s">
        <v>790</v>
      </c>
    </row>
    <row r="626" spans="5:7" s="82" customFormat="1" ht="25.5" hidden="1" customHeight="1" x14ac:dyDescent="0.3">
      <c r="E626" s="82" t="s">
        <v>129</v>
      </c>
      <c r="F626" s="82" t="s">
        <v>129</v>
      </c>
      <c r="G626" s="82" t="s">
        <v>722</v>
      </c>
    </row>
    <row r="627" spans="5:7" s="82" customFormat="1" ht="25.5" hidden="1" customHeight="1" x14ac:dyDescent="0.3">
      <c r="E627" s="82" t="s">
        <v>129</v>
      </c>
      <c r="F627" s="82" t="s">
        <v>129</v>
      </c>
      <c r="G627" s="82" t="s">
        <v>785</v>
      </c>
    </row>
    <row r="628" spans="5:7" s="82" customFormat="1" ht="25.5" hidden="1" customHeight="1" x14ac:dyDescent="0.3">
      <c r="E628" s="82" t="s">
        <v>129</v>
      </c>
      <c r="F628" s="82" t="s">
        <v>129</v>
      </c>
      <c r="G628" s="82" t="s">
        <v>340</v>
      </c>
    </row>
    <row r="629" spans="5:7" s="82" customFormat="1" ht="25.5" hidden="1" customHeight="1" x14ac:dyDescent="0.3">
      <c r="E629" s="82" t="s">
        <v>129</v>
      </c>
      <c r="F629" s="82" t="s">
        <v>129</v>
      </c>
      <c r="G629" s="82" t="s">
        <v>611</v>
      </c>
    </row>
    <row r="630" spans="5:7" s="82" customFormat="1" ht="25.5" hidden="1" customHeight="1" x14ac:dyDescent="0.3">
      <c r="E630" s="82" t="s">
        <v>129</v>
      </c>
      <c r="F630" s="82" t="s">
        <v>129</v>
      </c>
      <c r="G630" s="82" t="s">
        <v>434</v>
      </c>
    </row>
    <row r="631" spans="5:7" s="82" customFormat="1" ht="25.5" hidden="1" customHeight="1" x14ac:dyDescent="0.3">
      <c r="E631" s="82" t="s">
        <v>129</v>
      </c>
      <c r="F631" s="82" t="s">
        <v>129</v>
      </c>
      <c r="G631" s="82" t="s">
        <v>518</v>
      </c>
    </row>
    <row r="632" spans="5:7" s="82" customFormat="1" ht="25.5" hidden="1" customHeight="1" x14ac:dyDescent="0.3">
      <c r="E632" s="82" t="s">
        <v>129</v>
      </c>
      <c r="F632" s="82" t="s">
        <v>159</v>
      </c>
      <c r="G632" s="82" t="s">
        <v>581</v>
      </c>
    </row>
    <row r="633" spans="5:7" s="82" customFormat="1" ht="25.5" hidden="1" customHeight="1" x14ac:dyDescent="0.3">
      <c r="E633" s="82" t="s">
        <v>129</v>
      </c>
      <c r="F633" s="82" t="s">
        <v>159</v>
      </c>
      <c r="G633" s="82" t="s">
        <v>647</v>
      </c>
    </row>
    <row r="634" spans="5:7" s="82" customFormat="1" ht="25.5" hidden="1" customHeight="1" x14ac:dyDescent="0.3">
      <c r="E634" s="82" t="s">
        <v>129</v>
      </c>
      <c r="F634" s="82" t="s">
        <v>159</v>
      </c>
      <c r="G634" s="82" t="s">
        <v>724</v>
      </c>
    </row>
    <row r="635" spans="5:7" s="82" customFormat="1" ht="25.5" hidden="1" customHeight="1" x14ac:dyDescent="0.3">
      <c r="E635" s="82" t="s">
        <v>129</v>
      </c>
      <c r="F635" s="82" t="s">
        <v>159</v>
      </c>
      <c r="G635" s="82" t="s">
        <v>612</v>
      </c>
    </row>
    <row r="636" spans="5:7" s="82" customFormat="1" ht="25.5" hidden="1" customHeight="1" x14ac:dyDescent="0.3">
      <c r="E636" s="82" t="s">
        <v>129</v>
      </c>
      <c r="F636" s="82" t="s">
        <v>159</v>
      </c>
      <c r="G636" s="82" t="s">
        <v>435</v>
      </c>
    </row>
    <row r="637" spans="5:7" s="82" customFormat="1" ht="25.5" hidden="1" customHeight="1" x14ac:dyDescent="0.3">
      <c r="E637" s="82" t="s">
        <v>129</v>
      </c>
      <c r="F637" s="82" t="s">
        <v>159</v>
      </c>
      <c r="G637" s="82" t="s">
        <v>671</v>
      </c>
    </row>
    <row r="638" spans="5:7" s="82" customFormat="1" ht="25.5" hidden="1" customHeight="1" x14ac:dyDescent="0.3">
      <c r="E638" s="82" t="s">
        <v>132</v>
      </c>
      <c r="F638" s="82" t="s">
        <v>133</v>
      </c>
      <c r="G638" s="82" t="s">
        <v>582</v>
      </c>
    </row>
    <row r="639" spans="5:7" s="82" customFormat="1" ht="25.5" hidden="1" customHeight="1" x14ac:dyDescent="0.3">
      <c r="E639" s="82" t="s">
        <v>132</v>
      </c>
      <c r="F639" s="82" t="s">
        <v>133</v>
      </c>
      <c r="G639" s="82" t="s">
        <v>346</v>
      </c>
    </row>
    <row r="640" spans="5:7" s="82" customFormat="1" ht="25.5" hidden="1" customHeight="1" x14ac:dyDescent="0.3">
      <c r="E640" s="82" t="s">
        <v>132</v>
      </c>
      <c r="F640" s="82" t="s">
        <v>257</v>
      </c>
      <c r="G640" s="82" t="s">
        <v>258</v>
      </c>
    </row>
    <row r="641" spans="5:7" s="82" customFormat="1" ht="25.5" hidden="1" customHeight="1" x14ac:dyDescent="0.3">
      <c r="E641" s="82" t="s">
        <v>132</v>
      </c>
      <c r="F641" s="82" t="s">
        <v>257</v>
      </c>
      <c r="G641" s="82" t="s">
        <v>726</v>
      </c>
    </row>
    <row r="642" spans="5:7" s="82" customFormat="1" ht="25.5" hidden="1" customHeight="1" x14ac:dyDescent="0.3">
      <c r="E642" s="82" t="s">
        <v>132</v>
      </c>
      <c r="F642" s="82" t="s">
        <v>257</v>
      </c>
      <c r="G642" s="82" t="s">
        <v>374</v>
      </c>
    </row>
    <row r="643" spans="5:7" s="82" customFormat="1" ht="25.5" hidden="1" customHeight="1" x14ac:dyDescent="0.3">
      <c r="E643" s="82" t="s">
        <v>132</v>
      </c>
      <c r="F643" s="82" t="s">
        <v>257</v>
      </c>
      <c r="G643" s="82" t="s">
        <v>386</v>
      </c>
    </row>
    <row r="644" spans="5:7" s="82" customFormat="1" ht="25.5" hidden="1" customHeight="1" x14ac:dyDescent="0.3">
      <c r="E644" s="82" t="s">
        <v>132</v>
      </c>
      <c r="F644" s="82" t="s">
        <v>257</v>
      </c>
      <c r="G644" s="82" t="s">
        <v>613</v>
      </c>
    </row>
    <row r="645" spans="5:7" s="82" customFormat="1" ht="25.5" hidden="1" customHeight="1" x14ac:dyDescent="0.3">
      <c r="E645" s="82" t="s">
        <v>132</v>
      </c>
      <c r="F645" s="82" t="s">
        <v>257</v>
      </c>
      <c r="G645" s="82" t="s">
        <v>436</v>
      </c>
    </row>
    <row r="646" spans="5:7" s="82" customFormat="1" ht="25.5" hidden="1" customHeight="1" x14ac:dyDescent="0.3">
      <c r="E646" s="82" t="s">
        <v>132</v>
      </c>
      <c r="F646" s="82" t="s">
        <v>257</v>
      </c>
      <c r="G646" s="82" t="s">
        <v>437</v>
      </c>
    </row>
    <row r="647" spans="5:7" s="82" customFormat="1" ht="25.5" hidden="1" customHeight="1" x14ac:dyDescent="0.3"/>
    <row r="648" spans="5:7" s="82" customFormat="1" ht="25.5" hidden="1" customHeight="1" x14ac:dyDescent="0.3"/>
    <row r="649" spans="5:7" s="82" customFormat="1" ht="25.5" hidden="1" customHeight="1" x14ac:dyDescent="0.3">
      <c r="E649" s="82" t="s">
        <v>132</v>
      </c>
      <c r="F649" s="82" t="s">
        <v>160</v>
      </c>
      <c r="G649" s="82" t="s">
        <v>259</v>
      </c>
    </row>
    <row r="650" spans="5:7" s="82" customFormat="1" ht="25.5" hidden="1" customHeight="1" x14ac:dyDescent="0.3">
      <c r="E650" s="82" t="s">
        <v>132</v>
      </c>
      <c r="F650" s="82" t="s">
        <v>160</v>
      </c>
      <c r="G650" s="82" t="s">
        <v>347</v>
      </c>
    </row>
    <row r="651" spans="5:7" s="82" customFormat="1" ht="25.5" hidden="1" customHeight="1" x14ac:dyDescent="0.3">
      <c r="E651" s="82" t="s">
        <v>132</v>
      </c>
      <c r="F651" s="82" t="s">
        <v>260</v>
      </c>
      <c r="G651" s="82" t="s">
        <v>261</v>
      </c>
    </row>
    <row r="652" spans="5:7" s="82" customFormat="1" ht="25.5" hidden="1" customHeight="1" x14ac:dyDescent="0.3">
      <c r="E652" s="82" t="s">
        <v>132</v>
      </c>
      <c r="F652" s="82" t="s">
        <v>260</v>
      </c>
      <c r="G652" s="82" t="s">
        <v>364</v>
      </c>
    </row>
    <row r="653" spans="5:7" s="82" customFormat="1" ht="25.5" hidden="1" customHeight="1" x14ac:dyDescent="0.3">
      <c r="E653" s="82" t="s">
        <v>132</v>
      </c>
      <c r="F653" s="82" t="s">
        <v>260</v>
      </c>
      <c r="G653" s="82" t="s">
        <v>614</v>
      </c>
    </row>
    <row r="654" spans="5:7" s="82" customFormat="1" ht="25.5" hidden="1" customHeight="1" x14ac:dyDescent="0.3">
      <c r="E654" s="82" t="s">
        <v>132</v>
      </c>
      <c r="F654" s="82" t="s">
        <v>260</v>
      </c>
      <c r="G654" s="82" t="s">
        <v>492</v>
      </c>
    </row>
    <row r="655" spans="5:7" s="82" customFormat="1" ht="25.5" hidden="1" customHeight="1" x14ac:dyDescent="0.3">
      <c r="E655" s="82" t="s">
        <v>132</v>
      </c>
      <c r="F655" s="82" t="s">
        <v>260</v>
      </c>
      <c r="G655" s="82" t="s">
        <v>493</v>
      </c>
    </row>
    <row r="656" spans="5:7" s="82" customFormat="1" ht="25.5" hidden="1" customHeight="1" x14ac:dyDescent="0.3">
      <c r="E656" s="82" t="s">
        <v>132</v>
      </c>
      <c r="F656" s="82" t="s">
        <v>134</v>
      </c>
      <c r="G656" s="82" t="s">
        <v>583</v>
      </c>
    </row>
    <row r="657" spans="5:7" s="82" customFormat="1" ht="25.5" hidden="1" customHeight="1" x14ac:dyDescent="0.3">
      <c r="E657" s="82" t="s">
        <v>132</v>
      </c>
      <c r="F657" s="82" t="s">
        <v>134</v>
      </c>
      <c r="G657" s="82" t="s">
        <v>348</v>
      </c>
    </row>
    <row r="658" spans="5:7" s="82" customFormat="1" ht="25.5" hidden="1" customHeight="1" x14ac:dyDescent="0.3">
      <c r="E658" s="82" t="s">
        <v>132</v>
      </c>
      <c r="F658" s="82" t="s">
        <v>262</v>
      </c>
      <c r="G658" s="82" t="s">
        <v>648</v>
      </c>
    </row>
    <row r="659" spans="5:7" s="82" customFormat="1" ht="25.5" hidden="1" customHeight="1" x14ac:dyDescent="0.3">
      <c r="E659" s="82" t="s">
        <v>132</v>
      </c>
      <c r="F659" s="82" t="s">
        <v>262</v>
      </c>
      <c r="G659" s="82" t="s">
        <v>363</v>
      </c>
    </row>
    <row r="660" spans="5:7" s="82" customFormat="1" ht="25.5" hidden="1" customHeight="1" x14ac:dyDescent="0.3">
      <c r="E660" s="82" t="s">
        <v>132</v>
      </c>
      <c r="F660" s="82" t="s">
        <v>262</v>
      </c>
      <c r="G660" s="82" t="s">
        <v>808</v>
      </c>
    </row>
    <row r="661" spans="5:7" s="82" customFormat="1" ht="25.5" hidden="1" customHeight="1" x14ac:dyDescent="0.3">
      <c r="E661" s="82" t="s">
        <v>132</v>
      </c>
      <c r="F661" s="82" t="s">
        <v>262</v>
      </c>
      <c r="G661" s="82" t="s">
        <v>615</v>
      </c>
    </row>
    <row r="662" spans="5:7" s="82" customFormat="1" ht="25.5" hidden="1" customHeight="1" x14ac:dyDescent="0.3">
      <c r="E662" s="82" t="s">
        <v>132</v>
      </c>
      <c r="F662" s="82" t="s">
        <v>262</v>
      </c>
      <c r="G662" s="82" t="s">
        <v>526</v>
      </c>
    </row>
    <row r="663" spans="5:7" s="82" customFormat="1" ht="25.5" hidden="1" customHeight="1" x14ac:dyDescent="0.3">
      <c r="E663" s="82" t="s">
        <v>132</v>
      </c>
      <c r="F663" s="82" t="s">
        <v>262</v>
      </c>
      <c r="G663" s="82" t="s">
        <v>527</v>
      </c>
    </row>
    <row r="664" spans="5:7" s="82" customFormat="1" ht="25.5" hidden="1" customHeight="1" x14ac:dyDescent="0.3">
      <c r="E664" s="82" t="s">
        <v>132</v>
      </c>
      <c r="F664" s="82" t="s">
        <v>262</v>
      </c>
      <c r="G664" s="82" t="s">
        <v>438</v>
      </c>
    </row>
    <row r="665" spans="5:7" s="82" customFormat="1" ht="25.5" hidden="1" customHeight="1" x14ac:dyDescent="0.3">
      <c r="E665" s="82" t="s">
        <v>132</v>
      </c>
      <c r="F665" s="82" t="s">
        <v>132</v>
      </c>
      <c r="G665" s="82" t="s">
        <v>263</v>
      </c>
    </row>
    <row r="666" spans="5:7" s="82" customFormat="1" ht="25.5" hidden="1" customHeight="1" x14ac:dyDescent="0.3">
      <c r="E666" s="82" t="s">
        <v>132</v>
      </c>
      <c r="F666" s="82" t="s">
        <v>132</v>
      </c>
      <c r="G666" s="82" t="s">
        <v>670</v>
      </c>
    </row>
    <row r="667" spans="5:7" s="82" customFormat="1" ht="25.5" hidden="1" customHeight="1" x14ac:dyDescent="0.3">
      <c r="E667" s="82" t="s">
        <v>132</v>
      </c>
      <c r="F667" s="82" t="s">
        <v>132</v>
      </c>
      <c r="G667" s="82" t="s">
        <v>584</v>
      </c>
    </row>
    <row r="668" spans="5:7" s="82" customFormat="1" ht="25.5" hidden="1" customHeight="1" x14ac:dyDescent="0.3">
      <c r="E668" s="82" t="s">
        <v>132</v>
      </c>
      <c r="F668" s="82" t="s">
        <v>264</v>
      </c>
      <c r="G668" s="82" t="s">
        <v>135</v>
      </c>
    </row>
    <row r="669" spans="5:7" s="82" customFormat="1" ht="25.5" hidden="1" customHeight="1" x14ac:dyDescent="0.3">
      <c r="E669" s="82" t="s">
        <v>132</v>
      </c>
      <c r="F669" s="82" t="s">
        <v>132</v>
      </c>
      <c r="G669" s="82" t="s">
        <v>362</v>
      </c>
    </row>
    <row r="670" spans="5:7" s="82" customFormat="1" ht="25.5" hidden="1" customHeight="1" x14ac:dyDescent="0.3">
      <c r="E670" s="82" t="s">
        <v>132</v>
      </c>
      <c r="F670" s="82" t="s">
        <v>132</v>
      </c>
      <c r="G670" s="82" t="s">
        <v>810</v>
      </c>
    </row>
    <row r="671" spans="5:7" s="82" customFormat="1" ht="25.5" hidden="1" customHeight="1" x14ac:dyDescent="0.3">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3">
      <c r="E673" s="82" t="s">
        <v>132</v>
      </c>
      <c r="F673" s="82" t="s">
        <v>264</v>
      </c>
      <c r="G673" s="82" t="s">
        <v>389</v>
      </c>
    </row>
    <row r="674" spans="5:7" s="82" customFormat="1" ht="25.5" hidden="1" customHeight="1" x14ac:dyDescent="0.3">
      <c r="E674" s="82" t="s">
        <v>132</v>
      </c>
      <c r="F674" s="82" t="s">
        <v>264</v>
      </c>
      <c r="G674" s="82" t="s">
        <v>439</v>
      </c>
    </row>
    <row r="675" spans="5:7" s="82" customFormat="1" ht="25.5" hidden="1" customHeight="1" x14ac:dyDescent="0.3">
      <c r="E675" s="82" t="s">
        <v>132</v>
      </c>
      <c r="F675" s="82" t="s">
        <v>264</v>
      </c>
      <c r="G675" s="82" t="s">
        <v>528</v>
      </c>
    </row>
    <row r="676" spans="5:7" s="82" customFormat="1" ht="25.5" hidden="1" customHeight="1" x14ac:dyDescent="0.3">
      <c r="E676" s="82" t="s">
        <v>132</v>
      </c>
      <c r="F676" s="82" t="s">
        <v>264</v>
      </c>
      <c r="G676" s="82" t="s">
        <v>529</v>
      </c>
    </row>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s="82" customFormat="1" ht="25.5" hidden="1" customHeight="1" x14ac:dyDescent="0.3"/>
    <row r="775" s="82" customFormat="1" ht="25.5" hidden="1" customHeight="1" x14ac:dyDescent="0.3"/>
    <row r="776" s="82" customFormat="1"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customHeight="1" x14ac:dyDescent="0.3"/>
    <row r="1023" ht="25.5" customHeight="1" x14ac:dyDescent="0.3"/>
    <row r="1024" ht="25.5" customHeight="1" x14ac:dyDescent="0.3"/>
    <row r="1025" ht="25.5" customHeight="1" x14ac:dyDescent="0.3"/>
    <row r="1026" ht="25.5" customHeight="1" x14ac:dyDescent="0.3"/>
    <row r="1027" ht="25.5" customHeight="1" x14ac:dyDescent="0.3"/>
    <row r="1028" ht="25.5" customHeight="1" x14ac:dyDescent="0.3"/>
    <row r="1029" ht="25.5" customHeight="1" x14ac:dyDescent="0.3"/>
    <row r="1030" ht="25.5" customHeight="1" x14ac:dyDescent="0.3"/>
    <row r="1031" ht="25.5" customHeight="1" x14ac:dyDescent="0.3"/>
    <row r="1032" ht="25.5" customHeight="1" x14ac:dyDescent="0.3"/>
    <row r="1033" ht="25.5" customHeight="1" x14ac:dyDescent="0.3"/>
    <row r="1034" ht="25.5" customHeight="1" x14ac:dyDescent="0.3"/>
    <row r="1035" ht="25.5" customHeight="1" x14ac:dyDescent="0.3"/>
    <row r="1036" ht="25.5" customHeight="1" x14ac:dyDescent="0.3"/>
    <row r="1037" ht="25.5" customHeight="1" x14ac:dyDescent="0.3"/>
    <row r="1038" ht="25.5" customHeight="1" x14ac:dyDescent="0.3"/>
    <row r="1039" ht="25.5" customHeight="1" x14ac:dyDescent="0.3"/>
    <row r="1040" ht="25.5" customHeight="1" x14ac:dyDescent="0.3"/>
    <row r="1041" ht="25.5" customHeight="1" x14ac:dyDescent="0.3"/>
    <row r="1042" ht="25.5" customHeight="1" x14ac:dyDescent="0.3"/>
    <row r="1043" ht="25.5" customHeight="1" x14ac:dyDescent="0.3"/>
    <row r="1044" ht="25.5" customHeight="1" x14ac:dyDescent="0.3"/>
    <row r="1045" ht="25.5" customHeight="1" x14ac:dyDescent="0.3"/>
    <row r="1046" ht="25.5" customHeight="1" x14ac:dyDescent="0.3"/>
    <row r="1047" ht="25.5" customHeight="1" x14ac:dyDescent="0.3"/>
    <row r="1048" ht="25.5" customHeight="1" x14ac:dyDescent="0.3"/>
    <row r="1049" ht="25.5" customHeight="1" x14ac:dyDescent="0.3"/>
    <row r="1050" ht="25.5" customHeight="1" x14ac:dyDescent="0.3"/>
    <row r="1051" ht="25.5" customHeight="1" x14ac:dyDescent="0.3"/>
    <row r="1052" ht="25.5" customHeight="1" x14ac:dyDescent="0.3"/>
    <row r="1053" ht="25.5" customHeight="1" x14ac:dyDescent="0.3"/>
    <row r="1054" ht="25.5" customHeight="1" x14ac:dyDescent="0.3"/>
    <row r="1055" ht="25.5" customHeight="1" x14ac:dyDescent="0.3"/>
    <row r="1056" ht="25.5" customHeight="1" x14ac:dyDescent="0.3"/>
    <row r="1057" ht="25.5" customHeight="1" x14ac:dyDescent="0.3"/>
    <row r="1058" ht="25.5" customHeight="1" x14ac:dyDescent="0.3"/>
    <row r="1059" ht="25.5" customHeight="1" x14ac:dyDescent="0.3"/>
    <row r="1060" ht="25.5" customHeight="1" x14ac:dyDescent="0.3"/>
    <row r="1061" ht="25.5" customHeight="1" x14ac:dyDescent="0.3"/>
    <row r="1062" ht="25.5" customHeight="1" x14ac:dyDescent="0.3"/>
    <row r="1063" ht="25.5" customHeight="1" x14ac:dyDescent="0.3"/>
    <row r="1064" ht="25.5" customHeight="1" x14ac:dyDescent="0.3"/>
    <row r="1065" ht="25.5" customHeight="1" x14ac:dyDescent="0.3"/>
    <row r="1066" ht="25.5" customHeight="1" x14ac:dyDescent="0.3"/>
    <row r="1067" ht="25.5" customHeight="1" x14ac:dyDescent="0.3"/>
    <row r="1068" ht="25.5" customHeight="1" x14ac:dyDescent="0.3"/>
    <row r="1069" ht="25.5" customHeight="1" x14ac:dyDescent="0.3"/>
    <row r="1070" ht="25.5" customHeight="1" x14ac:dyDescent="0.3"/>
    <row r="1071" ht="25.5" customHeight="1" x14ac:dyDescent="0.3"/>
    <row r="1072" ht="25.5" customHeight="1" x14ac:dyDescent="0.3"/>
    <row r="1073" ht="25.5" customHeight="1" x14ac:dyDescent="0.3"/>
    <row r="1074" ht="25.5" customHeight="1" x14ac:dyDescent="0.3"/>
    <row r="1075" ht="25.5" customHeight="1" x14ac:dyDescent="0.3"/>
    <row r="1076" ht="25.5" customHeight="1" x14ac:dyDescent="0.3"/>
    <row r="1077" ht="25.5" customHeight="1" x14ac:dyDescent="0.3"/>
    <row r="1078" ht="25.5" customHeight="1" x14ac:dyDescent="0.3"/>
    <row r="1079" ht="25.5" customHeight="1" x14ac:dyDescent="0.3"/>
    <row r="1080" ht="25.5" customHeight="1" x14ac:dyDescent="0.3"/>
    <row r="1081" ht="25.5" customHeight="1" x14ac:dyDescent="0.3"/>
    <row r="1082" ht="25.5" customHeight="1" x14ac:dyDescent="0.3"/>
    <row r="1083" ht="25.5" customHeight="1" x14ac:dyDescent="0.3"/>
    <row r="1084" ht="25.5" customHeight="1" x14ac:dyDescent="0.3"/>
    <row r="1085" ht="25.5" customHeight="1" x14ac:dyDescent="0.3"/>
    <row r="1086" ht="25.5" customHeight="1" x14ac:dyDescent="0.3"/>
    <row r="1087" ht="25.5" customHeight="1" x14ac:dyDescent="0.3"/>
    <row r="1088" ht="25.5" customHeight="1" x14ac:dyDescent="0.3"/>
    <row r="1089" ht="25.5" customHeight="1" x14ac:dyDescent="0.3"/>
    <row r="1090" ht="25.5" customHeight="1" x14ac:dyDescent="0.3"/>
    <row r="1091" ht="25.5" customHeight="1" x14ac:dyDescent="0.3"/>
    <row r="1092" ht="25.5" customHeight="1" x14ac:dyDescent="0.3"/>
    <row r="1093" ht="25.5" customHeight="1" x14ac:dyDescent="0.3"/>
    <row r="1094" ht="25.5" customHeight="1" x14ac:dyDescent="0.3"/>
    <row r="1095" ht="25.5" customHeight="1" x14ac:dyDescent="0.3"/>
    <row r="1096" ht="25.5" customHeight="1" x14ac:dyDescent="0.3"/>
    <row r="1097" ht="25.5" customHeight="1" x14ac:dyDescent="0.3"/>
    <row r="1098" ht="25.5" customHeight="1" x14ac:dyDescent="0.3"/>
    <row r="1099" ht="25.5" customHeight="1" x14ac:dyDescent="0.3"/>
    <row r="1100" ht="25.5" customHeight="1" x14ac:dyDescent="0.3"/>
    <row r="1101" ht="25.5" customHeight="1" x14ac:dyDescent="0.3"/>
    <row r="1102" ht="25.5" customHeight="1" x14ac:dyDescent="0.3"/>
    <row r="1103" ht="25.5" customHeight="1" x14ac:dyDescent="0.3"/>
    <row r="1104" ht="25.5" customHeight="1" x14ac:dyDescent="0.3"/>
    <row r="1105" ht="25.5" customHeight="1" x14ac:dyDescent="0.3"/>
    <row r="1106" ht="25.5"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row r="1115" ht="25.5" customHeight="1" x14ac:dyDescent="0.3"/>
    <row r="1116" ht="25.5" customHeight="1" x14ac:dyDescent="0.3"/>
    <row r="1117" ht="25.5" customHeight="1" x14ac:dyDescent="0.3"/>
  </sheetData>
  <mergeCells count="153">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C30:C32"/>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xr:uid="{00000000-0002-0000-0000-000000000000}"/>
    <dataValidation type="whole" allowBlank="1" showInputMessage="1" showErrorMessage="1" sqref="E27:L35 M41:U43 O27:O35 R27:R35 B27:C35 B40:D45" xr:uid="{00000000-0002-0000-0000-000001000000}">
      <formula1>0</formula1>
      <formula2>999999</formula2>
    </dataValidation>
    <dataValidation type="whole" allowBlank="1" showInputMessage="1" showErrorMessage="1" prompt="Fill the following Others (Specify) table to get the number automatically " sqref="S27:T35" xr:uid="{00000000-0002-0000-0000-000002000000}">
      <formula1>0</formula1>
      <formula2>999999</formula2>
    </dataValidation>
    <dataValidation type="list" allowBlank="1" showInputMessage="1" showErrorMessage="1" prompt="Select from drop down list" sqref="C6:G6" xr:uid="{00000000-0002-0000-0000-000003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4000000}">
      <formula1>INDIRECT($C$6)</formula1>
    </dataValidation>
    <dataValidation type="list" allowBlank="1" showInputMessage="1" showErrorMessage="1" prompt="Select from drop down list" sqref="C8:G8" xr:uid="{00000000-0002-0000-0000-000005000000}">
      <formula1>INDIRECT($C$7)</formula1>
    </dataValidation>
    <dataValidation type="list" allowBlank="1" showInputMessage="1" showErrorMessage="1" prompt="Select from drop down list" sqref="C9:G9" xr:uid="{00000000-0002-0000-0000-000006000000}">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WE1114"/>
  <sheetViews>
    <sheetView showGridLines="0" view="pageBreakPreview" topLeftCell="C1" zoomScaleSheetLayoutView="100" workbookViewId="0">
      <selection activeCell="L6" sqref="L6:S6"/>
    </sheetView>
  </sheetViews>
  <sheetFormatPr defaultColWidth="9.28515625" defaultRowHeight="16.5" x14ac:dyDescent="0.3"/>
  <cols>
    <col min="1" max="1" width="18.7109375" style="37" customWidth="1"/>
    <col min="2" max="2" width="11.7109375" style="37" customWidth="1"/>
    <col min="3" max="4" width="11.42578125" style="37" customWidth="1"/>
    <col min="5" max="5" width="14.42578125" style="37" customWidth="1"/>
    <col min="6" max="6" width="9.7109375" style="37" customWidth="1"/>
    <col min="7" max="7" width="11.7109375" style="37" customWidth="1"/>
    <col min="8" max="8" width="12.28515625" style="37" bestFit="1" customWidth="1"/>
    <col min="9" max="9" width="7.5703125" style="37" customWidth="1"/>
    <col min="10" max="11" width="9" style="37" customWidth="1"/>
    <col min="12" max="12" width="9.7109375" style="37" customWidth="1"/>
    <col min="13" max="13" width="8.42578125" style="37" customWidth="1"/>
    <col min="14" max="15" width="6.7109375" style="37" customWidth="1"/>
    <col min="16" max="16" width="11.5703125" style="37" customWidth="1"/>
    <col min="17" max="17" width="6.5703125" style="37" customWidth="1"/>
    <col min="18" max="18" width="7.28515625" style="37" customWidth="1"/>
    <col min="19" max="19" width="6.7109375" style="37" customWidth="1"/>
    <col min="20" max="20" width="11.7109375" style="37" customWidth="1"/>
    <col min="21" max="21" width="13" style="37" customWidth="1"/>
    <col min="22" max="22" width="8.28515625" style="37" customWidth="1"/>
    <col min="23" max="23" width="16.7109375" style="37" customWidth="1"/>
    <col min="24" max="24" width="10.28515625" style="37" customWidth="1"/>
    <col min="25" max="28" width="9.28515625" style="37"/>
    <col min="29" max="29" width="13.28515625" style="37" customWidth="1"/>
    <col min="30" max="16384" width="9.28515625" style="37"/>
  </cols>
  <sheetData>
    <row r="1" spans="1:603" ht="13.9" customHeight="1" x14ac:dyDescent="0.3">
      <c r="A1" s="233" t="s">
        <v>807</v>
      </c>
      <c r="B1" s="233"/>
      <c r="C1" s="233"/>
      <c r="D1" s="233"/>
      <c r="E1" s="233"/>
      <c r="F1" s="233"/>
      <c r="G1" s="233"/>
      <c r="H1" s="233"/>
      <c r="I1" s="233"/>
      <c r="J1" s="233"/>
      <c r="K1" s="233"/>
      <c r="L1" s="233"/>
      <c r="M1" s="233"/>
      <c r="N1" s="233"/>
      <c r="O1" s="233"/>
      <c r="P1" s="233"/>
      <c r="Q1" s="233"/>
      <c r="R1" s="233"/>
      <c r="S1" s="1" t="s">
        <v>66</v>
      </c>
      <c r="T1" s="1"/>
      <c r="U1" s="1"/>
      <c r="V1" s="36"/>
      <c r="W1" s="1"/>
      <c r="X1" s="1"/>
    </row>
    <row r="2" spans="1:603" ht="13.9" customHeight="1" x14ac:dyDescent="0.3">
      <c r="A2" s="233" t="s">
        <v>63</v>
      </c>
      <c r="B2" s="233"/>
      <c r="C2" s="233"/>
      <c r="D2" s="233"/>
      <c r="E2" s="233"/>
      <c r="F2" s="233"/>
      <c r="G2" s="233"/>
      <c r="H2" s="233"/>
      <c r="I2" s="233"/>
      <c r="J2" s="233"/>
      <c r="K2" s="233"/>
      <c r="L2" s="233"/>
      <c r="M2" s="233"/>
      <c r="N2" s="233"/>
      <c r="O2" s="233"/>
      <c r="P2" s="233"/>
      <c r="Q2" s="233"/>
      <c r="R2" s="233"/>
      <c r="S2" s="233"/>
      <c r="T2" s="233"/>
      <c r="U2" s="233"/>
      <c r="V2" s="38"/>
      <c r="W2" s="1"/>
      <c r="X2" s="1"/>
    </row>
    <row r="3" spans="1:603" ht="13.9" customHeight="1" x14ac:dyDescent="0.3">
      <c r="A3" s="233" t="s">
        <v>74</v>
      </c>
      <c r="B3" s="233"/>
      <c r="C3" s="233"/>
      <c r="D3" s="233"/>
      <c r="E3" s="233"/>
      <c r="F3" s="233"/>
      <c r="G3" s="233"/>
      <c r="H3" s="233"/>
      <c r="I3" s="233"/>
      <c r="J3" s="233"/>
      <c r="K3" s="233"/>
      <c r="L3" s="233"/>
      <c r="M3" s="233"/>
      <c r="N3" s="233"/>
      <c r="O3" s="233"/>
      <c r="P3" s="233"/>
      <c r="Q3" s="233"/>
      <c r="R3" s="233"/>
      <c r="S3" s="39"/>
      <c r="T3" s="39"/>
      <c r="U3" s="39"/>
      <c r="V3" s="38"/>
      <c r="W3" s="1"/>
      <c r="X3" s="1"/>
    </row>
    <row r="4" spans="1:603" ht="13.9" customHeight="1" x14ac:dyDescent="0.3">
      <c r="A4" s="235" t="s">
        <v>839</v>
      </c>
      <c r="B4" s="235"/>
      <c r="C4" s="235"/>
      <c r="D4" s="235"/>
      <c r="E4" s="235"/>
      <c r="F4" s="235"/>
      <c r="G4" s="235"/>
      <c r="H4" s="235"/>
      <c r="I4" s="235"/>
      <c r="J4" s="235"/>
      <c r="K4" s="235"/>
      <c r="L4" s="235"/>
      <c r="M4" s="235"/>
      <c r="N4" s="235"/>
      <c r="O4" s="235"/>
      <c r="P4" s="235"/>
      <c r="Q4" s="235"/>
      <c r="R4" s="235"/>
      <c r="S4" s="235"/>
      <c r="T4" s="235"/>
      <c r="U4" s="235"/>
      <c r="V4" s="35"/>
      <c r="W4" s="2"/>
      <c r="X4" s="2"/>
    </row>
    <row r="5" spans="1:603" ht="30" customHeight="1" x14ac:dyDescent="0.3">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89">
        <f>'DR-TB 10A (Sputum &amp; EP Sample)'!C6:G6</f>
        <v>0</v>
      </c>
      <c r="D6" s="289"/>
      <c r="E6" s="289"/>
      <c r="F6" s="289"/>
      <c r="G6" s="289"/>
      <c r="I6" s="1"/>
      <c r="J6" s="41" t="s">
        <v>14</v>
      </c>
      <c r="L6" s="177" t="str">
        <f>'DR-TB 10A (Sputum &amp; EP Sample)'!L6</f>
        <v>&lt;Dates&gt;</v>
      </c>
      <c r="M6" s="177"/>
      <c r="N6" s="177"/>
      <c r="O6" s="177"/>
      <c r="P6" s="177"/>
      <c r="Q6" s="177"/>
      <c r="R6" s="177"/>
      <c r="S6" s="266"/>
    </row>
    <row r="7" spans="1:603" ht="15.75" customHeight="1" x14ac:dyDescent="0.3">
      <c r="A7" s="40" t="s">
        <v>9</v>
      </c>
      <c r="B7" s="40"/>
      <c r="C7" s="286">
        <f>'DR-TB 10A (Sputum &amp; EP Sample)'!C7:G7</f>
        <v>0</v>
      </c>
      <c r="D7" s="286"/>
      <c r="E7" s="286"/>
      <c r="F7" s="286"/>
      <c r="G7" s="286"/>
      <c r="I7" s="42"/>
      <c r="J7" s="43" t="s">
        <v>65</v>
      </c>
      <c r="K7" s="43"/>
      <c r="L7" s="43"/>
      <c r="M7" s="43"/>
      <c r="N7" s="287">
        <f>'DR-TB 10A (Sputum &amp; EP Sample)'!N7</f>
        <v>0</v>
      </c>
      <c r="O7" s="287"/>
      <c r="P7" s="287"/>
      <c r="Q7" s="287"/>
      <c r="R7" s="287"/>
      <c r="S7" s="287"/>
      <c r="V7" s="36"/>
    </row>
    <row r="8" spans="1:603" ht="15.75" customHeight="1" x14ac:dyDescent="0.3">
      <c r="A8" s="40" t="s">
        <v>10</v>
      </c>
      <c r="B8" s="40"/>
      <c r="C8" s="286">
        <f>'DR-TB 10A (Sputum &amp; EP Sample)'!C8:G8</f>
        <v>0</v>
      </c>
      <c r="D8" s="286"/>
      <c r="E8" s="286"/>
      <c r="F8" s="286"/>
      <c r="G8" s="286"/>
      <c r="I8" s="42"/>
      <c r="J8" s="43" t="s">
        <v>64</v>
      </c>
      <c r="K8" s="43"/>
      <c r="L8" s="43"/>
      <c r="M8" s="287">
        <f>'DR-TB 10A (Sputum &amp; EP Sample)'!M8</f>
        <v>0</v>
      </c>
      <c r="N8" s="287"/>
      <c r="O8" s="287"/>
      <c r="P8" s="287"/>
      <c r="Q8" s="287"/>
      <c r="R8" s="287"/>
      <c r="S8" s="287"/>
      <c r="V8" s="36"/>
    </row>
    <row r="9" spans="1:603" ht="15.75" customHeight="1" x14ac:dyDescent="0.3">
      <c r="A9" s="40" t="s">
        <v>763</v>
      </c>
      <c r="C9" s="173"/>
      <c r="D9" s="173"/>
      <c r="E9" s="173"/>
      <c r="F9" s="173"/>
      <c r="G9" s="173"/>
      <c r="J9" s="43" t="s">
        <v>11</v>
      </c>
      <c r="K9" s="43"/>
      <c r="L9" s="43"/>
      <c r="M9" s="288">
        <f>'DR-TB 10A (Sputum &amp; EP Sample)'!M9</f>
        <v>0</v>
      </c>
      <c r="N9" s="288"/>
      <c r="O9" s="44"/>
      <c r="P9" s="9"/>
      <c r="V9" s="36"/>
    </row>
    <row r="10" spans="1:603" ht="15.75" customHeight="1" x14ac:dyDescent="0.3">
      <c r="J10" s="45" t="s">
        <v>69</v>
      </c>
      <c r="K10" s="290">
        <f>'DR-TB 10A (Sputum &amp; EP Sample)'!K10:L10</f>
        <v>0</v>
      </c>
      <c r="L10" s="290"/>
      <c r="M10" s="45"/>
      <c r="N10" s="46"/>
      <c r="O10" s="43"/>
      <c r="P10" s="37" t="s">
        <v>845</v>
      </c>
      <c r="Q10" s="291">
        <f>'DR-TB 10A (Sputum &amp; EP Sample)'!Q10:S10</f>
        <v>0</v>
      </c>
      <c r="R10" s="292"/>
      <c r="S10" s="292"/>
      <c r="V10" s="36"/>
    </row>
    <row r="11" spans="1:603" s="46" customFormat="1" ht="14.25" customHeight="1" thickBot="1" x14ac:dyDescent="0.35">
      <c r="A11" s="1" t="s">
        <v>0</v>
      </c>
      <c r="B11" s="47"/>
      <c r="C11" s="47"/>
      <c r="D11" s="47"/>
      <c r="E11" s="47"/>
      <c r="F11" s="37"/>
      <c r="V11" s="48"/>
    </row>
    <row r="12" spans="1:603" s="49" customFormat="1" ht="13.9" customHeight="1" x14ac:dyDescent="0.2">
      <c r="A12" s="212" t="s">
        <v>68</v>
      </c>
      <c r="B12" s="213"/>
      <c r="C12" s="214"/>
      <c r="D12" s="206" t="s">
        <v>77</v>
      </c>
      <c r="E12" s="206"/>
      <c r="F12" s="206"/>
      <c r="G12" s="206"/>
      <c r="H12" s="10">
        <f>D27+E40</f>
        <v>0</v>
      </c>
      <c r="I12" s="46"/>
      <c r="J12" s="240" t="s">
        <v>752</v>
      </c>
      <c r="K12" s="241"/>
      <c r="L12" s="241"/>
      <c r="M12" s="242"/>
      <c r="N12" s="240" t="s">
        <v>753</v>
      </c>
      <c r="O12" s="241"/>
      <c r="P12" s="241"/>
      <c r="Q12" s="241"/>
      <c r="R12" s="241"/>
      <c r="S12" s="241"/>
      <c r="T12" s="241"/>
      <c r="U12" s="242"/>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2">
      <c r="A13" s="215"/>
      <c r="B13" s="216"/>
      <c r="C13" s="217"/>
      <c r="D13" s="207" t="s">
        <v>71</v>
      </c>
      <c r="E13" s="207"/>
      <c r="F13" s="207"/>
      <c r="G13" s="207"/>
      <c r="H13" s="11">
        <f>U27</f>
        <v>0</v>
      </c>
      <c r="J13" s="166" t="s">
        <v>699</v>
      </c>
      <c r="K13" s="166"/>
      <c r="L13" s="166"/>
      <c r="M13" s="140">
        <f>'DR-TB 10A (Sputum &amp; EP Sample)'!M13</f>
        <v>0</v>
      </c>
      <c r="N13" s="51" t="s">
        <v>754</v>
      </c>
      <c r="O13" s="51"/>
      <c r="P13" s="51"/>
      <c r="Q13" s="140">
        <f>'DR-TB 10A (Sputum &amp; EP Sample)'!Q13</f>
        <v>0</v>
      </c>
      <c r="R13" s="276" t="s">
        <v>755</v>
      </c>
      <c r="S13" s="276"/>
      <c r="T13" s="276"/>
      <c r="U13" s="140">
        <f>'DR-TB 10A (Sputum &amp; EP Sample)'!U13</f>
        <v>0</v>
      </c>
      <c r="V13" s="48"/>
    </row>
    <row r="14" spans="1:603" s="46" customFormat="1" ht="12.75" customHeight="1" thickBot="1" x14ac:dyDescent="0.25">
      <c r="A14" s="218"/>
      <c r="B14" s="219"/>
      <c r="C14" s="220"/>
      <c r="D14" s="208" t="s">
        <v>3</v>
      </c>
      <c r="E14" s="208"/>
      <c r="F14" s="208"/>
      <c r="G14" s="208"/>
      <c r="H14" s="12">
        <f>H12+H13</f>
        <v>0</v>
      </c>
      <c r="J14" s="166" t="s">
        <v>701</v>
      </c>
      <c r="K14" s="166"/>
      <c r="L14" s="166"/>
      <c r="M14" s="140">
        <f>'DR-TB 10A (Sputum &amp; EP Sample)'!M14</f>
        <v>0</v>
      </c>
      <c r="N14" s="51" t="s">
        <v>756</v>
      </c>
      <c r="O14" s="51"/>
      <c r="P14" s="51"/>
      <c r="Q14" s="140">
        <f>'DR-TB 10A (Sputum &amp; EP Sample)'!Q14</f>
        <v>0</v>
      </c>
      <c r="R14" s="276" t="s">
        <v>757</v>
      </c>
      <c r="S14" s="276"/>
      <c r="T14" s="276"/>
      <c r="U14" s="140">
        <f>'DR-TB 10A (Sputum &amp; EP Sample)'!U14</f>
        <v>0</v>
      </c>
      <c r="V14" s="48"/>
    </row>
    <row r="15" spans="1:603" s="49" customFormat="1" ht="17.25" thickBot="1" x14ac:dyDescent="0.35">
      <c r="A15" s="3"/>
      <c r="B15" s="47"/>
      <c r="C15" s="47"/>
      <c r="D15" s="47"/>
      <c r="E15" s="47"/>
      <c r="F15" s="37"/>
      <c r="G15" s="46"/>
      <c r="H15" s="46"/>
      <c r="I15" s="46"/>
      <c r="J15" s="234" t="s">
        <v>700</v>
      </c>
      <c r="K15" s="234"/>
      <c r="L15" s="234"/>
      <c r="M15" s="140">
        <f>'DR-TB 10A (Sputum &amp; EP Sample)'!M15</f>
        <v>0</v>
      </c>
      <c r="N15" s="52" t="s">
        <v>758</v>
      </c>
      <c r="O15" s="52"/>
      <c r="P15" s="52"/>
      <c r="Q15" s="140">
        <f>'DR-TB 10A (Sputum &amp; EP Sample)'!Q15</f>
        <v>0</v>
      </c>
      <c r="R15" s="277" t="s">
        <v>759</v>
      </c>
      <c r="S15" s="277"/>
      <c r="T15" s="277"/>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2">
      <c r="A16" s="230" t="s">
        <v>59</v>
      </c>
      <c r="B16" s="231"/>
      <c r="C16" s="232"/>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2">
      <c r="A17" s="171" t="s">
        <v>60</v>
      </c>
      <c r="B17" s="171"/>
      <c r="C17" s="171"/>
      <c r="D17" s="13">
        <f>D30+E42-D33-E44</f>
        <v>0</v>
      </c>
      <c r="E17" s="13">
        <f>+U30-U33</f>
        <v>0</v>
      </c>
      <c r="F17" s="14">
        <f>+E17+D17</f>
        <v>0</v>
      </c>
      <c r="G17" s="127"/>
      <c r="H17" s="128"/>
      <c r="I17" s="284" t="s">
        <v>820</v>
      </c>
      <c r="J17" s="285" t="s">
        <v>75</v>
      </c>
      <c r="K17" s="285"/>
      <c r="L17" s="285"/>
      <c r="M17" s="283" t="s">
        <v>67</v>
      </c>
      <c r="N17" s="283"/>
      <c r="O17" s="283"/>
      <c r="P17" s="283" t="s">
        <v>3</v>
      </c>
      <c r="Q17" s="172"/>
      <c r="R17" s="167" t="s">
        <v>760</v>
      </c>
      <c r="S17" s="167"/>
      <c r="T17" s="167"/>
      <c r="U17" s="141">
        <f>'DR-TB 10A (Sputum &amp; EP Sample)'!U17</f>
        <v>0</v>
      </c>
    </row>
    <row r="18" spans="1:22" s="46" customFormat="1" ht="17.649999999999999" customHeight="1" x14ac:dyDescent="0.2">
      <c r="A18" s="171" t="s">
        <v>61</v>
      </c>
      <c r="B18" s="171"/>
      <c r="C18" s="171"/>
      <c r="D18" s="15">
        <f>D33+E44</f>
        <v>0</v>
      </c>
      <c r="E18" s="16">
        <f>U33</f>
        <v>0</v>
      </c>
      <c r="F18" s="14">
        <f>+E18+D18</f>
        <v>0</v>
      </c>
      <c r="G18" s="127"/>
      <c r="H18" s="128"/>
      <c r="I18" s="284"/>
      <c r="J18" s="136" t="s">
        <v>817</v>
      </c>
      <c r="K18" s="136" t="s">
        <v>818</v>
      </c>
      <c r="L18" s="136" t="s">
        <v>819</v>
      </c>
      <c r="M18" s="136" t="s">
        <v>817</v>
      </c>
      <c r="N18" s="136" t="s">
        <v>818</v>
      </c>
      <c r="O18" s="136" t="s">
        <v>819</v>
      </c>
      <c r="P18" s="283"/>
      <c r="Q18" s="172"/>
      <c r="R18" s="167" t="s">
        <v>761</v>
      </c>
      <c r="S18" s="167"/>
      <c r="T18" s="167"/>
      <c r="U18" s="141">
        <f>'DR-TB 10A (Sputum &amp; EP Sample)'!U18</f>
        <v>0</v>
      </c>
    </row>
    <row r="19" spans="1:22" s="46" customFormat="1" ht="13.9" customHeight="1" x14ac:dyDescent="0.25">
      <c r="A19" s="171" t="s">
        <v>62</v>
      </c>
      <c r="B19" s="171"/>
      <c r="C19" s="171"/>
      <c r="D19" s="6"/>
      <c r="E19" s="8"/>
      <c r="F19" s="14">
        <f>+E19+D19</f>
        <v>0</v>
      </c>
      <c r="G19" s="127"/>
      <c r="H19" s="128"/>
      <c r="I19" s="131" t="s">
        <v>815</v>
      </c>
      <c r="J19" s="134"/>
      <c r="K19" s="134"/>
      <c r="L19" s="134"/>
      <c r="M19" s="134"/>
      <c r="N19" s="134"/>
      <c r="O19" s="134"/>
      <c r="P19" s="132">
        <f>J19+K19+L19+M19+N19+O19</f>
        <v>0</v>
      </c>
      <c r="Q19" s="130"/>
      <c r="R19" s="167" t="s">
        <v>762</v>
      </c>
      <c r="S19" s="167"/>
      <c r="T19" s="167"/>
      <c r="U19" s="141">
        <f>'DR-TB 10A (Sputum &amp; EP Sample)'!U19</f>
        <v>0</v>
      </c>
    </row>
    <row r="20" spans="1:22" s="46" customFormat="1" ht="13.9" customHeight="1" x14ac:dyDescent="0.25">
      <c r="A20" s="171" t="s">
        <v>814</v>
      </c>
      <c r="B20" s="171"/>
      <c r="C20" s="171"/>
      <c r="D20" s="124"/>
      <c r="E20" s="125"/>
      <c r="F20" s="14">
        <f>+E20+D20</f>
        <v>0</v>
      </c>
      <c r="I20" s="131" t="s">
        <v>816</v>
      </c>
      <c r="J20" s="134"/>
      <c r="K20" s="134"/>
      <c r="L20" s="134"/>
      <c r="M20" s="134"/>
      <c r="N20" s="134"/>
      <c r="O20" s="134"/>
      <c r="P20" s="132">
        <f>J20+K20+L20+M20+N20+O20</f>
        <v>0</v>
      </c>
      <c r="Q20" s="130"/>
      <c r="T20" s="129"/>
      <c r="U20" s="126"/>
    </row>
    <row r="21" spans="1:22" s="46" customFormat="1" ht="13.9" customHeight="1" thickBot="1" x14ac:dyDescent="0.25">
      <c r="A21" s="171" t="s">
        <v>813</v>
      </c>
      <c r="B21" s="171"/>
      <c r="C21" s="171"/>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7.2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 customHeight="1" thickBot="1" x14ac:dyDescent="0.35">
      <c r="A23" s="1" t="s">
        <v>8</v>
      </c>
      <c r="B23" s="1"/>
      <c r="C23" s="1"/>
      <c r="D23" s="1"/>
      <c r="E23" s="60"/>
      <c r="V23" s="36"/>
    </row>
    <row r="24" spans="1:22" ht="13.9" customHeight="1" x14ac:dyDescent="0.3">
      <c r="A24" s="227" t="s">
        <v>1</v>
      </c>
      <c r="B24" s="224" t="s">
        <v>78</v>
      </c>
      <c r="C24" s="225"/>
      <c r="D24" s="226"/>
      <c r="E24" s="158" t="s">
        <v>15</v>
      </c>
      <c r="F24" s="159"/>
      <c r="G24" s="159"/>
      <c r="H24" s="159"/>
      <c r="I24" s="159"/>
      <c r="J24" s="159"/>
      <c r="K24" s="159"/>
      <c r="L24" s="159"/>
      <c r="M24" s="159"/>
      <c r="N24" s="159"/>
      <c r="O24" s="159"/>
      <c r="P24" s="159"/>
      <c r="Q24" s="159"/>
      <c r="R24" s="159"/>
      <c r="S24" s="159"/>
      <c r="T24" s="159"/>
      <c r="U24" s="181" t="s">
        <v>764</v>
      </c>
      <c r="V24" s="36"/>
    </row>
    <row r="25" spans="1:22" ht="76.5" customHeight="1" x14ac:dyDescent="0.3">
      <c r="A25" s="228"/>
      <c r="B25" s="21" t="s">
        <v>43</v>
      </c>
      <c r="C25" s="4" t="s">
        <v>44</v>
      </c>
      <c r="D25" s="222" t="s">
        <v>765</v>
      </c>
      <c r="E25" s="61" t="s">
        <v>18</v>
      </c>
      <c r="F25" s="62" t="s">
        <v>19</v>
      </c>
      <c r="G25" s="62" t="s">
        <v>20</v>
      </c>
      <c r="H25" s="62" t="s">
        <v>22</v>
      </c>
      <c r="I25" s="62" t="s">
        <v>24</v>
      </c>
      <c r="J25" s="62" t="s">
        <v>26</v>
      </c>
      <c r="K25" s="62" t="s">
        <v>28</v>
      </c>
      <c r="L25" s="62" t="s">
        <v>30</v>
      </c>
      <c r="M25" s="164" t="s">
        <v>32</v>
      </c>
      <c r="N25" s="164"/>
      <c r="O25" s="164"/>
      <c r="P25" s="164" t="s">
        <v>34</v>
      </c>
      <c r="Q25" s="164"/>
      <c r="R25" s="164"/>
      <c r="S25" s="275" t="s">
        <v>766</v>
      </c>
      <c r="T25" s="275"/>
      <c r="U25" s="182"/>
      <c r="V25" s="36"/>
    </row>
    <row r="26" spans="1:22" ht="22.5" customHeight="1" thickBot="1" x14ac:dyDescent="0.35">
      <c r="A26" s="229"/>
      <c r="B26" s="63" t="s">
        <v>16</v>
      </c>
      <c r="C26" s="64" t="s">
        <v>17</v>
      </c>
      <c r="D26" s="223"/>
      <c r="E26" s="63" t="s">
        <v>21</v>
      </c>
      <c r="F26" s="64" t="s">
        <v>23</v>
      </c>
      <c r="G26" s="64" t="s">
        <v>25</v>
      </c>
      <c r="H26" s="64" t="s">
        <v>27</v>
      </c>
      <c r="I26" s="64" t="s">
        <v>29</v>
      </c>
      <c r="J26" s="64" t="s">
        <v>31</v>
      </c>
      <c r="K26" s="64" t="s">
        <v>33</v>
      </c>
      <c r="L26" s="64" t="s">
        <v>35</v>
      </c>
      <c r="M26" s="165" t="s">
        <v>36</v>
      </c>
      <c r="N26" s="165"/>
      <c r="O26" s="165"/>
      <c r="P26" s="165" t="s">
        <v>72</v>
      </c>
      <c r="Q26" s="165"/>
      <c r="R26" s="165"/>
      <c r="S26" s="165" t="s">
        <v>73</v>
      </c>
      <c r="T26" s="165"/>
      <c r="U26" s="183"/>
      <c r="V26" s="36"/>
    </row>
    <row r="27" spans="1:22" ht="13.9" customHeight="1" x14ac:dyDescent="0.3">
      <c r="A27" s="236" t="s">
        <v>70</v>
      </c>
      <c r="B27" s="245"/>
      <c r="C27" s="273"/>
      <c r="D27" s="268">
        <f>B27+C27</f>
        <v>0</v>
      </c>
      <c r="E27" s="203"/>
      <c r="F27" s="160"/>
      <c r="G27" s="160"/>
      <c r="H27" s="160"/>
      <c r="I27" s="160"/>
      <c r="J27" s="160"/>
      <c r="K27" s="160"/>
      <c r="L27" s="160"/>
      <c r="M27" s="193" t="s">
        <v>37</v>
      </c>
      <c r="N27" s="194"/>
      <c r="O27" s="65"/>
      <c r="P27" s="193" t="s">
        <v>37</v>
      </c>
      <c r="Q27" s="194"/>
      <c r="R27" s="65"/>
      <c r="S27" s="169">
        <f>M41+M42+M43+N41+N42+N43+O41+O42</f>
        <v>0</v>
      </c>
      <c r="T27" s="169"/>
      <c r="U27" s="184">
        <f>E27+F27+G27+H27+I27+J27+K27+L27+O27+O28+O29+R27+R28+R29+S27</f>
        <v>0</v>
      </c>
      <c r="V27" s="36"/>
    </row>
    <row r="28" spans="1:22" ht="13.9" customHeight="1" x14ac:dyDescent="0.3">
      <c r="A28" s="237"/>
      <c r="B28" s="246"/>
      <c r="C28" s="200"/>
      <c r="D28" s="269"/>
      <c r="E28" s="204"/>
      <c r="F28" s="161"/>
      <c r="G28" s="161"/>
      <c r="H28" s="161"/>
      <c r="I28" s="161"/>
      <c r="J28" s="161"/>
      <c r="K28" s="161"/>
      <c r="L28" s="161"/>
      <c r="M28" s="162" t="s">
        <v>13</v>
      </c>
      <c r="N28" s="163"/>
      <c r="O28" s="66"/>
      <c r="P28" s="162" t="s">
        <v>13</v>
      </c>
      <c r="Q28" s="163"/>
      <c r="R28" s="66"/>
      <c r="S28" s="170"/>
      <c r="T28" s="170"/>
      <c r="U28" s="185"/>
      <c r="V28" s="36"/>
    </row>
    <row r="29" spans="1:22" ht="13.9" customHeight="1" x14ac:dyDescent="0.3">
      <c r="A29" s="237"/>
      <c r="B29" s="247"/>
      <c r="C29" s="201"/>
      <c r="D29" s="270"/>
      <c r="E29" s="204"/>
      <c r="F29" s="161"/>
      <c r="G29" s="161"/>
      <c r="H29" s="161"/>
      <c r="I29" s="161"/>
      <c r="J29" s="161"/>
      <c r="K29" s="161"/>
      <c r="L29" s="161"/>
      <c r="M29" s="162" t="s">
        <v>46</v>
      </c>
      <c r="N29" s="163"/>
      <c r="O29" s="66"/>
      <c r="P29" s="162" t="s">
        <v>46</v>
      </c>
      <c r="Q29" s="163"/>
      <c r="R29" s="66"/>
      <c r="S29" s="170"/>
      <c r="T29" s="170"/>
      <c r="U29" s="185"/>
      <c r="V29" s="36"/>
    </row>
    <row r="30" spans="1:22" ht="13.9" customHeight="1" x14ac:dyDescent="0.3">
      <c r="A30" s="237" t="s">
        <v>4</v>
      </c>
      <c r="B30" s="248"/>
      <c r="C30" s="199"/>
      <c r="D30" s="271">
        <f>B30+C30</f>
        <v>0</v>
      </c>
      <c r="E30" s="204"/>
      <c r="F30" s="161"/>
      <c r="G30" s="161"/>
      <c r="H30" s="161"/>
      <c r="I30" s="161"/>
      <c r="J30" s="161"/>
      <c r="K30" s="161"/>
      <c r="L30" s="161"/>
      <c r="M30" s="162" t="s">
        <v>37</v>
      </c>
      <c r="N30" s="163"/>
      <c r="O30" s="66"/>
      <c r="P30" s="162" t="s">
        <v>37</v>
      </c>
      <c r="Q30" s="163"/>
      <c r="R30" s="66"/>
      <c r="S30" s="170">
        <f>P41+P42+P43+Q41+Q42+Q43+R41+R42</f>
        <v>0</v>
      </c>
      <c r="T30" s="170"/>
      <c r="U30" s="185">
        <f>E30+F30+G30+H30+I30+J30+K30+L30+O30+O31+O32+R30+R31+R32+S30</f>
        <v>0</v>
      </c>
      <c r="V30" s="36"/>
    </row>
    <row r="31" spans="1:22" ht="13.9" customHeight="1" x14ac:dyDescent="0.3">
      <c r="A31" s="237"/>
      <c r="B31" s="246"/>
      <c r="C31" s="200"/>
      <c r="D31" s="269"/>
      <c r="E31" s="204"/>
      <c r="F31" s="161"/>
      <c r="G31" s="161"/>
      <c r="H31" s="161"/>
      <c r="I31" s="161"/>
      <c r="J31" s="161"/>
      <c r="K31" s="161"/>
      <c r="L31" s="161"/>
      <c r="M31" s="162" t="s">
        <v>13</v>
      </c>
      <c r="N31" s="163"/>
      <c r="O31" s="66"/>
      <c r="P31" s="162" t="s">
        <v>13</v>
      </c>
      <c r="Q31" s="163"/>
      <c r="R31" s="66"/>
      <c r="S31" s="170"/>
      <c r="T31" s="170"/>
      <c r="U31" s="185"/>
      <c r="V31" s="36"/>
    </row>
    <row r="32" spans="1:22" ht="13.9" customHeight="1" x14ac:dyDescent="0.3">
      <c r="A32" s="237"/>
      <c r="B32" s="247"/>
      <c r="C32" s="201"/>
      <c r="D32" s="270"/>
      <c r="E32" s="204"/>
      <c r="F32" s="161"/>
      <c r="G32" s="161"/>
      <c r="H32" s="161"/>
      <c r="I32" s="161"/>
      <c r="J32" s="161"/>
      <c r="K32" s="161"/>
      <c r="L32" s="161"/>
      <c r="M32" s="162" t="s">
        <v>46</v>
      </c>
      <c r="N32" s="163"/>
      <c r="O32" s="66"/>
      <c r="P32" s="162" t="s">
        <v>46</v>
      </c>
      <c r="Q32" s="163"/>
      <c r="R32" s="66"/>
      <c r="S32" s="170"/>
      <c r="T32" s="170"/>
      <c r="U32" s="185"/>
      <c r="V32" s="36"/>
    </row>
    <row r="33" spans="1:24" ht="13.9" customHeight="1" x14ac:dyDescent="0.3">
      <c r="A33" s="237" t="s">
        <v>5</v>
      </c>
      <c r="B33" s="248"/>
      <c r="C33" s="199"/>
      <c r="D33" s="271">
        <f>B33+C33</f>
        <v>0</v>
      </c>
      <c r="E33" s="204"/>
      <c r="F33" s="161"/>
      <c r="G33" s="161"/>
      <c r="H33" s="161"/>
      <c r="I33" s="161"/>
      <c r="J33" s="161"/>
      <c r="K33" s="161"/>
      <c r="L33" s="161"/>
      <c r="M33" s="162" t="s">
        <v>37</v>
      </c>
      <c r="N33" s="163"/>
      <c r="O33" s="66"/>
      <c r="P33" s="162" t="s">
        <v>37</v>
      </c>
      <c r="Q33" s="163"/>
      <c r="R33" s="66"/>
      <c r="S33" s="170">
        <f>S41+S42+S43+T41+T42+T43+U41+U42</f>
        <v>0</v>
      </c>
      <c r="T33" s="170"/>
      <c r="U33" s="185">
        <f>E33+F33+G33+H33+I33+J33+K33+L33+O33+O34+O35+R33+R34+R35+S33</f>
        <v>0</v>
      </c>
      <c r="V33" s="36"/>
    </row>
    <row r="34" spans="1:24" ht="13.9" customHeight="1" x14ac:dyDescent="0.3">
      <c r="A34" s="237"/>
      <c r="B34" s="246"/>
      <c r="C34" s="200"/>
      <c r="D34" s="269"/>
      <c r="E34" s="204"/>
      <c r="F34" s="161"/>
      <c r="G34" s="161"/>
      <c r="H34" s="161"/>
      <c r="I34" s="161"/>
      <c r="J34" s="161"/>
      <c r="K34" s="161"/>
      <c r="L34" s="161"/>
      <c r="M34" s="162" t="s">
        <v>13</v>
      </c>
      <c r="N34" s="163"/>
      <c r="O34" s="66"/>
      <c r="P34" s="162" t="s">
        <v>13</v>
      </c>
      <c r="Q34" s="163"/>
      <c r="R34" s="66"/>
      <c r="S34" s="170"/>
      <c r="T34" s="170"/>
      <c r="U34" s="185"/>
      <c r="V34" s="36"/>
    </row>
    <row r="35" spans="1:24" ht="13.9" customHeight="1" thickBot="1" x14ac:dyDescent="0.35">
      <c r="A35" s="238"/>
      <c r="B35" s="249"/>
      <c r="C35" s="202"/>
      <c r="D35" s="272"/>
      <c r="E35" s="239"/>
      <c r="F35" s="192"/>
      <c r="G35" s="192"/>
      <c r="H35" s="192"/>
      <c r="I35" s="192"/>
      <c r="J35" s="192"/>
      <c r="K35" s="192"/>
      <c r="L35" s="192"/>
      <c r="M35" s="156" t="s">
        <v>46</v>
      </c>
      <c r="N35" s="157"/>
      <c r="O35" s="67"/>
      <c r="P35" s="156" t="s">
        <v>46</v>
      </c>
      <c r="Q35" s="157"/>
      <c r="R35" s="67"/>
      <c r="S35" s="274"/>
      <c r="T35" s="274"/>
      <c r="U35" s="186"/>
      <c r="V35" s="36"/>
    </row>
    <row r="36" spans="1:24" ht="4.9000000000000004" customHeight="1" x14ac:dyDescent="0.3">
      <c r="V36" s="36"/>
    </row>
    <row r="37" spans="1:24" ht="13.9" customHeight="1" thickBot="1" x14ac:dyDescent="0.35">
      <c r="A37" s="1" t="s">
        <v>38</v>
      </c>
      <c r="B37" s="1"/>
      <c r="C37" s="1"/>
      <c r="D37" s="1"/>
      <c r="V37" s="36"/>
    </row>
    <row r="38" spans="1:24" ht="11.25" customHeight="1" x14ac:dyDescent="0.3">
      <c r="A38" s="209" t="s">
        <v>42</v>
      </c>
      <c r="B38" s="210"/>
      <c r="C38" s="210"/>
      <c r="D38" s="210"/>
      <c r="E38" s="211"/>
      <c r="F38" s="68"/>
      <c r="G38" s="279" t="s">
        <v>821</v>
      </c>
      <c r="H38" s="280" t="s">
        <v>822</v>
      </c>
      <c r="J38" s="195" t="s">
        <v>47</v>
      </c>
      <c r="K38" s="196"/>
      <c r="L38" s="196"/>
      <c r="M38" s="196"/>
      <c r="N38" s="196"/>
      <c r="O38" s="196"/>
      <c r="P38" s="196"/>
      <c r="Q38" s="196"/>
      <c r="R38" s="196"/>
      <c r="S38" s="196"/>
      <c r="T38" s="196"/>
      <c r="U38" s="197"/>
      <c r="V38" s="36"/>
    </row>
    <row r="39" spans="1:24" ht="12.75" customHeight="1" x14ac:dyDescent="0.3">
      <c r="A39" s="69"/>
      <c r="B39" s="70" t="s">
        <v>43</v>
      </c>
      <c r="C39" s="70" t="s">
        <v>44</v>
      </c>
      <c r="D39" s="70" t="s">
        <v>45</v>
      </c>
      <c r="E39" s="71" t="s">
        <v>3</v>
      </c>
      <c r="G39" s="279"/>
      <c r="H39" s="281"/>
      <c r="J39" s="254" t="s">
        <v>2</v>
      </c>
      <c r="K39" s="255"/>
      <c r="L39" s="256"/>
      <c r="M39" s="198" t="s">
        <v>6</v>
      </c>
      <c r="N39" s="198"/>
      <c r="O39" s="198"/>
      <c r="P39" s="198" t="s">
        <v>4</v>
      </c>
      <c r="Q39" s="198"/>
      <c r="R39" s="198"/>
      <c r="S39" s="198" t="s">
        <v>5</v>
      </c>
      <c r="T39" s="198"/>
      <c r="U39" s="278"/>
      <c r="V39" s="36"/>
    </row>
    <row r="40" spans="1:24" ht="15.6" customHeight="1" x14ac:dyDescent="0.3">
      <c r="A40" s="221" t="s">
        <v>39</v>
      </c>
      <c r="B40" s="187"/>
      <c r="C40" s="187"/>
      <c r="D40" s="187"/>
      <c r="E40" s="189">
        <f>B40+C40+D40</f>
        <v>0</v>
      </c>
      <c r="F40" s="191"/>
      <c r="G40" s="279"/>
      <c r="H40" s="281"/>
      <c r="J40" s="257"/>
      <c r="K40" s="258"/>
      <c r="L40" s="259"/>
      <c r="M40" s="70" t="s">
        <v>48</v>
      </c>
      <c r="N40" s="70" t="s">
        <v>7</v>
      </c>
      <c r="O40" s="70" t="s">
        <v>49</v>
      </c>
      <c r="P40" s="70" t="s">
        <v>48</v>
      </c>
      <c r="Q40" s="70" t="s">
        <v>7</v>
      </c>
      <c r="R40" s="70" t="s">
        <v>49</v>
      </c>
      <c r="S40" s="70" t="s">
        <v>48</v>
      </c>
      <c r="T40" s="70" t="s">
        <v>7</v>
      </c>
      <c r="U40" s="71" t="s">
        <v>49</v>
      </c>
      <c r="V40" s="36"/>
    </row>
    <row r="41" spans="1:24" ht="15" customHeight="1" x14ac:dyDescent="0.3">
      <c r="A41" s="221"/>
      <c r="B41" s="205"/>
      <c r="C41" s="205"/>
      <c r="D41" s="205"/>
      <c r="E41" s="189"/>
      <c r="F41" s="191"/>
      <c r="G41" s="279"/>
      <c r="H41" s="282"/>
      <c r="J41" s="260" t="s">
        <v>50</v>
      </c>
      <c r="K41" s="261"/>
      <c r="L41" s="262"/>
      <c r="M41" s="72"/>
      <c r="N41" s="72"/>
      <c r="O41" s="72"/>
      <c r="P41" s="72"/>
      <c r="Q41" s="72"/>
      <c r="R41" s="72"/>
      <c r="S41" s="72"/>
      <c r="T41" s="72"/>
      <c r="U41" s="73"/>
      <c r="V41" s="36"/>
    </row>
    <row r="42" spans="1:24" ht="13.9" customHeight="1" x14ac:dyDescent="0.3">
      <c r="A42" s="221" t="s">
        <v>40</v>
      </c>
      <c r="B42" s="187"/>
      <c r="C42" s="187"/>
      <c r="D42" s="187"/>
      <c r="E42" s="189">
        <f>B42+C42+D42</f>
        <v>0</v>
      </c>
      <c r="F42" s="191"/>
      <c r="G42" s="252">
        <f>F18+E17</f>
        <v>0</v>
      </c>
      <c r="H42" s="253"/>
      <c r="J42" s="260" t="s">
        <v>51</v>
      </c>
      <c r="K42" s="261"/>
      <c r="L42" s="262"/>
      <c r="M42" s="72"/>
      <c r="N42" s="72"/>
      <c r="O42" s="72"/>
      <c r="P42" s="72"/>
      <c r="Q42" s="72"/>
      <c r="R42" s="72"/>
      <c r="S42" s="72"/>
      <c r="T42" s="72"/>
      <c r="U42" s="73"/>
      <c r="V42" s="36"/>
    </row>
    <row r="43" spans="1:24" ht="13.9" customHeight="1" thickBot="1" x14ac:dyDescent="0.35">
      <c r="A43" s="221"/>
      <c r="B43" s="205"/>
      <c r="C43" s="205"/>
      <c r="D43" s="205"/>
      <c r="E43" s="189"/>
      <c r="F43" s="191"/>
      <c r="G43" s="252"/>
      <c r="H43" s="253"/>
      <c r="J43" s="263" t="s">
        <v>52</v>
      </c>
      <c r="K43" s="264"/>
      <c r="L43" s="265"/>
      <c r="M43" s="74"/>
      <c r="N43" s="74"/>
      <c r="O43" s="75"/>
      <c r="P43" s="74"/>
      <c r="Q43" s="74"/>
      <c r="R43" s="75"/>
      <c r="S43" s="74"/>
      <c r="T43" s="74"/>
      <c r="U43" s="76"/>
      <c r="V43" s="36"/>
    </row>
    <row r="44" spans="1:24" ht="10.5" customHeight="1" x14ac:dyDescent="0.3">
      <c r="A44" s="221" t="s">
        <v>41</v>
      </c>
      <c r="B44" s="187"/>
      <c r="C44" s="187"/>
      <c r="D44" s="187"/>
      <c r="E44" s="189">
        <f>B44+C44+D44</f>
        <v>0</v>
      </c>
      <c r="F44" s="191"/>
      <c r="G44" s="191"/>
      <c r="H44" s="191"/>
      <c r="J44" s="77" t="s">
        <v>53</v>
      </c>
      <c r="K44" s="78"/>
      <c r="L44" s="78"/>
      <c r="M44" s="78"/>
      <c r="N44" s="78"/>
      <c r="O44" s="78"/>
      <c r="P44" s="78"/>
      <c r="Q44" s="78"/>
      <c r="R44" s="78"/>
      <c r="S44" s="78"/>
      <c r="T44" s="78"/>
      <c r="U44" s="78"/>
      <c r="V44" s="79"/>
      <c r="W44" s="78"/>
      <c r="X44" s="78"/>
    </row>
    <row r="45" spans="1:24" ht="13.9" customHeight="1" thickBot="1" x14ac:dyDescent="0.35">
      <c r="A45" s="251"/>
      <c r="B45" s="188"/>
      <c r="C45" s="188"/>
      <c r="D45" s="188"/>
      <c r="E45" s="190"/>
      <c r="F45" s="191"/>
      <c r="G45" s="191"/>
      <c r="H45" s="191"/>
      <c r="V45" s="36"/>
    </row>
    <row r="46" spans="1:24" ht="15" customHeight="1" x14ac:dyDescent="0.3">
      <c r="A46" s="1"/>
      <c r="B46" s="1"/>
      <c r="C46" s="1"/>
      <c r="D46" s="1"/>
      <c r="F46" s="244" t="s">
        <v>672</v>
      </c>
      <c r="G46" s="244"/>
      <c r="H46" s="244"/>
      <c r="L46" s="78" t="s">
        <v>54</v>
      </c>
      <c r="M46" s="78"/>
      <c r="N46" s="78"/>
      <c r="O46" s="78"/>
      <c r="P46" s="78"/>
      <c r="Q46" s="176"/>
      <c r="R46" s="176"/>
      <c r="S46" s="176"/>
      <c r="T46" s="176"/>
      <c r="U46" s="176"/>
      <c r="V46" s="36"/>
    </row>
    <row r="47" spans="1:24" ht="13.9" customHeight="1" x14ac:dyDescent="0.3">
      <c r="A47" s="250"/>
      <c r="B47" s="80"/>
      <c r="C47" s="80"/>
      <c r="D47" s="80"/>
      <c r="E47" s="243"/>
      <c r="F47" s="243"/>
      <c r="G47" s="243"/>
      <c r="H47" s="243"/>
      <c r="I47" s="243"/>
      <c r="J47" s="243"/>
      <c r="K47" s="78"/>
      <c r="L47" s="78" t="s">
        <v>55</v>
      </c>
      <c r="M47" s="176"/>
      <c r="N47" s="176"/>
      <c r="O47" s="176"/>
      <c r="P47" s="176"/>
      <c r="Q47" s="78"/>
      <c r="R47" s="78"/>
      <c r="V47" s="36"/>
    </row>
    <row r="48" spans="1:24" ht="13.9" customHeight="1" x14ac:dyDescent="0.3">
      <c r="A48" s="250"/>
      <c r="B48" s="80"/>
      <c r="C48" s="80"/>
      <c r="D48" s="80"/>
      <c r="E48" s="243"/>
      <c r="F48" s="243"/>
      <c r="G48" s="243"/>
      <c r="H48" s="243"/>
      <c r="I48" s="243"/>
      <c r="J48" s="243"/>
      <c r="K48" s="78"/>
      <c r="L48" s="78" t="s">
        <v>56</v>
      </c>
      <c r="M48" s="175"/>
      <c r="N48" s="175"/>
      <c r="O48" s="175"/>
      <c r="P48" s="175"/>
      <c r="Q48" s="78"/>
      <c r="R48" s="81" t="s">
        <v>57</v>
      </c>
      <c r="S48" s="174"/>
      <c r="T48" s="174"/>
      <c r="V48" s="36"/>
    </row>
    <row r="49" spans="1:22" ht="13.9" customHeight="1" x14ac:dyDescent="0.3">
      <c r="A49" s="191"/>
      <c r="B49" s="31"/>
      <c r="C49" s="31"/>
      <c r="D49" s="31"/>
      <c r="E49" s="243"/>
      <c r="F49" s="243"/>
      <c r="G49" s="243"/>
      <c r="H49" s="243"/>
      <c r="I49" s="243"/>
      <c r="J49" s="243"/>
      <c r="K49" s="78"/>
      <c r="L49" s="78" t="s">
        <v>58</v>
      </c>
      <c r="M49" s="267"/>
      <c r="N49" s="267"/>
      <c r="O49" s="267"/>
      <c r="P49" s="267"/>
      <c r="Q49" s="78"/>
      <c r="R49" s="78"/>
      <c r="V49" s="36"/>
    </row>
    <row r="50" spans="1:22" ht="13.9" customHeight="1" x14ac:dyDescent="0.3">
      <c r="A50" s="191"/>
      <c r="B50" s="31"/>
      <c r="C50" s="31"/>
      <c r="D50" s="31"/>
      <c r="E50" s="243"/>
      <c r="F50" s="243"/>
      <c r="G50" s="243"/>
      <c r="H50" s="243"/>
      <c r="I50" s="243"/>
      <c r="J50" s="243"/>
      <c r="K50" s="78"/>
      <c r="V50" s="36"/>
    </row>
    <row r="99" spans="1:8" hidden="1" x14ac:dyDescent="0.3"/>
    <row r="100" spans="1:8" hidden="1" x14ac:dyDescent="0.3"/>
    <row r="101" spans="1:8" s="82" customFormat="1" ht="25.5" hidden="1" customHeight="1" x14ac:dyDescent="0.3">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3">
      <c r="E268" s="82" t="s">
        <v>106</v>
      </c>
      <c r="F268" s="82" t="s">
        <v>193</v>
      </c>
      <c r="G268" s="82" t="s">
        <v>105</v>
      </c>
    </row>
    <row r="269" spans="5:7" s="82" customFormat="1" ht="25.5" hidden="1" customHeight="1" x14ac:dyDescent="0.3">
      <c r="E269" s="82" t="s">
        <v>106</v>
      </c>
      <c r="F269" s="82" t="s">
        <v>193</v>
      </c>
      <c r="G269" s="82" t="s">
        <v>195</v>
      </c>
    </row>
    <row r="270" spans="5:7" s="82" customFormat="1" ht="25.5" hidden="1" customHeight="1" x14ac:dyDescent="0.3">
      <c r="E270" s="82" t="s">
        <v>106</v>
      </c>
      <c r="F270" s="82" t="s">
        <v>193</v>
      </c>
      <c r="G270" s="82" t="s">
        <v>196</v>
      </c>
    </row>
    <row r="271" spans="5:7" s="82" customFormat="1" ht="25.5" hidden="1" customHeight="1" x14ac:dyDescent="0.3">
      <c r="E271" s="82" t="s">
        <v>106</v>
      </c>
      <c r="F271" s="82" t="s">
        <v>193</v>
      </c>
      <c r="G271" s="82" t="s">
        <v>197</v>
      </c>
    </row>
    <row r="272" spans="5:7" s="82" customFormat="1" ht="25.5" hidden="1" customHeight="1" x14ac:dyDescent="0.3">
      <c r="E272" s="82" t="s">
        <v>106</v>
      </c>
      <c r="F272" s="82" t="s">
        <v>193</v>
      </c>
      <c r="G272" s="82" t="s">
        <v>626</v>
      </c>
    </row>
    <row r="273" spans="5:7" s="82" customFormat="1" ht="25.5" hidden="1" customHeight="1" x14ac:dyDescent="0.3">
      <c r="E273" s="82" t="s">
        <v>106</v>
      </c>
      <c r="F273" s="82" t="s">
        <v>193</v>
      </c>
      <c r="G273" s="82" t="s">
        <v>198</v>
      </c>
    </row>
    <row r="274" spans="5:7" s="82" customFormat="1" ht="25.5" hidden="1" customHeight="1" x14ac:dyDescent="0.3">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3">
      <c r="E276" s="82" t="s">
        <v>106</v>
      </c>
      <c r="F276" s="82" t="s">
        <v>106</v>
      </c>
      <c r="G276" s="82" t="s">
        <v>307</v>
      </c>
    </row>
    <row r="277" spans="5:7" s="82" customFormat="1" ht="25.5" hidden="1" customHeight="1" x14ac:dyDescent="0.3">
      <c r="E277" s="82" t="s">
        <v>106</v>
      </c>
      <c r="F277" s="82" t="s">
        <v>106</v>
      </c>
      <c r="G277" s="82" t="s">
        <v>309</v>
      </c>
    </row>
    <row r="278" spans="5:7" s="82" customFormat="1" ht="25.5" hidden="1" customHeight="1" x14ac:dyDescent="0.3">
      <c r="E278" s="82" t="s">
        <v>106</v>
      </c>
      <c r="F278" s="82" t="s">
        <v>106</v>
      </c>
      <c r="G278" s="82" t="s">
        <v>310</v>
      </c>
    </row>
    <row r="279" spans="5:7" s="82" customFormat="1" ht="25.5" hidden="1" customHeight="1" x14ac:dyDescent="0.3">
      <c r="E279" s="82" t="s">
        <v>106</v>
      </c>
      <c r="F279" s="82" t="s">
        <v>106</v>
      </c>
      <c r="G279" s="82" t="s">
        <v>594</v>
      </c>
    </row>
    <row r="280" spans="5:7" s="82" customFormat="1" ht="25.5" hidden="1" customHeight="1" x14ac:dyDescent="0.3">
      <c r="E280" s="82" t="s">
        <v>106</v>
      </c>
      <c r="F280" s="82" t="s">
        <v>106</v>
      </c>
      <c r="G280" s="82" t="s">
        <v>595</v>
      </c>
    </row>
    <row r="281" spans="5:7" s="82" customFormat="1" ht="25.5" hidden="1" customHeight="1" x14ac:dyDescent="0.3">
      <c r="E281" s="82" t="s">
        <v>106</v>
      </c>
      <c r="F281" s="82" t="s">
        <v>106</v>
      </c>
      <c r="G281" s="82" t="s">
        <v>313</v>
      </c>
    </row>
    <row r="282" spans="5:7" s="82" customFormat="1" ht="25.5" hidden="1" customHeight="1" x14ac:dyDescent="0.3">
      <c r="E282" s="82" t="s">
        <v>106</v>
      </c>
      <c r="F282" s="82" t="s">
        <v>106</v>
      </c>
      <c r="G282" s="82" t="s">
        <v>596</v>
      </c>
    </row>
    <row r="283" spans="5:7" s="82" customFormat="1" ht="25.5" hidden="1" customHeight="1" x14ac:dyDescent="0.3">
      <c r="E283" s="82" t="s">
        <v>106</v>
      </c>
      <c r="F283" s="82" t="s">
        <v>106</v>
      </c>
      <c r="G283" s="82" t="s">
        <v>315</v>
      </c>
    </row>
    <row r="284" spans="5:7" s="82" customFormat="1" ht="25.5" hidden="1" customHeight="1" x14ac:dyDescent="0.3">
      <c r="E284" s="82" t="s">
        <v>106</v>
      </c>
      <c r="F284" s="82" t="s">
        <v>106</v>
      </c>
      <c r="G284" s="82" t="s">
        <v>316</v>
      </c>
    </row>
    <row r="285" spans="5:7" s="82" customFormat="1" ht="25.5" hidden="1" customHeight="1" x14ac:dyDescent="0.3">
      <c r="E285" s="82" t="s">
        <v>106</v>
      </c>
      <c r="F285" s="82" t="s">
        <v>106</v>
      </c>
      <c r="G285" s="82" t="s">
        <v>314</v>
      </c>
    </row>
    <row r="286" spans="5:7" s="82" customFormat="1" ht="25.5" hidden="1" customHeight="1" x14ac:dyDescent="0.3">
      <c r="E286" s="82" t="s">
        <v>106</v>
      </c>
      <c r="F286" s="82" t="s">
        <v>106</v>
      </c>
      <c r="G286" s="88" t="s">
        <v>676</v>
      </c>
    </row>
    <row r="287" spans="5:7" s="82" customFormat="1" ht="25.5" hidden="1" customHeight="1" x14ac:dyDescent="0.3">
      <c r="E287" s="82" t="s">
        <v>106</v>
      </c>
      <c r="F287" s="82" t="s">
        <v>106</v>
      </c>
      <c r="G287" s="88" t="s">
        <v>677</v>
      </c>
    </row>
    <row r="288" spans="5:7" s="82" customFormat="1" ht="25.5" hidden="1" customHeight="1" x14ac:dyDescent="0.3">
      <c r="E288" s="82" t="s">
        <v>106</v>
      </c>
      <c r="F288" s="82" t="s">
        <v>106</v>
      </c>
      <c r="G288" s="87" t="s">
        <v>322</v>
      </c>
    </row>
    <row r="289" spans="5:7" s="82" customFormat="1" ht="25.5" hidden="1" customHeight="1" x14ac:dyDescent="0.3">
      <c r="E289" s="82" t="s">
        <v>106</v>
      </c>
      <c r="F289" s="82" t="s">
        <v>106</v>
      </c>
      <c r="G289" s="87" t="s">
        <v>334</v>
      </c>
    </row>
    <row r="290" spans="5:7" s="82" customFormat="1" ht="25.5" hidden="1" customHeight="1" x14ac:dyDescent="0.3">
      <c r="E290" s="82" t="s">
        <v>106</v>
      </c>
      <c r="F290" s="82" t="s">
        <v>106</v>
      </c>
      <c r="G290" s="82" t="s">
        <v>318</v>
      </c>
    </row>
    <row r="291" spans="5:7" s="82" customFormat="1" ht="25.5" hidden="1" customHeight="1" x14ac:dyDescent="0.3">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3">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3">
      <c r="E296" s="82" t="s">
        <v>106</v>
      </c>
      <c r="F296" s="82" t="s">
        <v>106</v>
      </c>
      <c r="G296" s="89" t="s">
        <v>470</v>
      </c>
    </row>
    <row r="297" spans="5:7" s="82" customFormat="1" ht="25.5" hidden="1" customHeight="1" x14ac:dyDescent="0.3">
      <c r="E297" s="82" t="s">
        <v>106</v>
      </c>
      <c r="F297" s="82" t="s">
        <v>106</v>
      </c>
    </row>
    <row r="298" spans="5:7" s="82" customFormat="1" ht="25.5" hidden="1" customHeight="1" x14ac:dyDescent="0.3">
      <c r="E298" s="82" t="s">
        <v>106</v>
      </c>
      <c r="F298" s="82" t="s">
        <v>106</v>
      </c>
    </row>
    <row r="299" spans="5:7" s="82" customFormat="1" ht="25.5" hidden="1" customHeight="1" x14ac:dyDescent="0.3">
      <c r="E299" s="82" t="s">
        <v>106</v>
      </c>
      <c r="F299" s="82" t="s">
        <v>106</v>
      </c>
    </row>
    <row r="300" spans="5:7" s="82" customFormat="1" ht="25.5" hidden="1" customHeight="1" x14ac:dyDescent="0.3">
      <c r="E300" s="82" t="s">
        <v>106</v>
      </c>
      <c r="F300" s="82" t="s">
        <v>106</v>
      </c>
    </row>
    <row r="301" spans="5:7" s="82" customFormat="1" ht="25.5" hidden="1" customHeight="1" x14ac:dyDescent="0.3">
      <c r="E301" s="82" t="s">
        <v>106</v>
      </c>
      <c r="F301" s="82" t="s">
        <v>108</v>
      </c>
      <c r="G301" s="82" t="s">
        <v>199</v>
      </c>
    </row>
    <row r="302" spans="5:7" s="82" customFormat="1" ht="25.5" hidden="1" customHeight="1" x14ac:dyDescent="0.3">
      <c r="E302" s="82" t="s">
        <v>106</v>
      </c>
      <c r="F302" s="82" t="s">
        <v>200</v>
      </c>
      <c r="G302" s="82" t="s">
        <v>627</v>
      </c>
    </row>
    <row r="303" spans="5:7" s="82" customFormat="1" ht="25.5" hidden="1" customHeight="1" x14ac:dyDescent="0.3">
      <c r="E303" s="82" t="s">
        <v>106</v>
      </c>
      <c r="F303" s="82" t="s">
        <v>200</v>
      </c>
      <c r="G303" s="82" t="s">
        <v>597</v>
      </c>
    </row>
    <row r="304" spans="5:7" s="82" customFormat="1" ht="25.5" hidden="1" customHeight="1" x14ac:dyDescent="0.3">
      <c r="E304" s="82" t="s">
        <v>106</v>
      </c>
      <c r="F304" s="82" t="s">
        <v>200</v>
      </c>
      <c r="G304" s="82" t="s">
        <v>472</v>
      </c>
    </row>
    <row r="305" spans="5:7" s="82" customFormat="1" ht="25.5" hidden="1" customHeight="1" x14ac:dyDescent="0.3">
      <c r="E305" s="82" t="s">
        <v>106</v>
      </c>
      <c r="F305" s="82" t="s">
        <v>200</v>
      </c>
      <c r="G305" s="82" t="s">
        <v>473</v>
      </c>
    </row>
    <row r="306" spans="5:7" s="82" customFormat="1" ht="25.5" hidden="1" customHeight="1" x14ac:dyDescent="0.3">
      <c r="E306" s="82" t="s">
        <v>106</v>
      </c>
      <c r="F306" s="82" t="s">
        <v>200</v>
      </c>
      <c r="G306" s="82" t="s">
        <v>474</v>
      </c>
    </row>
    <row r="307" spans="5:7" s="82" customFormat="1" ht="25.5" hidden="1" customHeight="1" x14ac:dyDescent="0.3"/>
    <row r="308" spans="5:7" s="82" customFormat="1" ht="25.5" hidden="1" customHeight="1" x14ac:dyDescent="0.3">
      <c r="E308" s="82" t="s">
        <v>106</v>
      </c>
      <c r="F308" s="82" t="s">
        <v>109</v>
      </c>
      <c r="G308" s="82" t="s">
        <v>544</v>
      </c>
    </row>
    <row r="309" spans="5:7" s="82" customFormat="1" ht="25.5" hidden="1" customHeight="1" x14ac:dyDescent="0.3">
      <c r="E309" s="82" t="s">
        <v>106</v>
      </c>
      <c r="F309" s="82" t="s">
        <v>201</v>
      </c>
      <c r="G309" s="82" t="s">
        <v>659</v>
      </c>
    </row>
    <row r="310" spans="5:7" s="82" customFormat="1" ht="25.5" hidden="1" customHeight="1" x14ac:dyDescent="0.3">
      <c r="E310" s="82" t="s">
        <v>106</v>
      </c>
      <c r="F310" s="82" t="s">
        <v>201</v>
      </c>
      <c r="G310" s="82" t="s">
        <v>660</v>
      </c>
    </row>
    <row r="311" spans="5:7" s="82" customFormat="1" ht="25.5" hidden="1" customHeight="1" x14ac:dyDescent="0.3">
      <c r="E311" s="82" t="s">
        <v>106</v>
      </c>
      <c r="F311" s="82" t="s">
        <v>202</v>
      </c>
      <c r="G311" s="82" t="s">
        <v>203</v>
      </c>
    </row>
    <row r="312" spans="5:7" s="82" customFormat="1" ht="25.5" hidden="1" customHeight="1" x14ac:dyDescent="0.3">
      <c r="E312" s="82" t="s">
        <v>106</v>
      </c>
      <c r="F312" s="82" t="s">
        <v>109</v>
      </c>
      <c r="G312" s="82" t="s">
        <v>545</v>
      </c>
    </row>
    <row r="313" spans="5:7" s="82" customFormat="1" ht="25.5" hidden="1" customHeight="1" x14ac:dyDescent="0.3">
      <c r="E313" s="82" t="s">
        <v>106</v>
      </c>
      <c r="F313" s="82" t="s">
        <v>109</v>
      </c>
      <c r="G313" s="87" t="s">
        <v>323</v>
      </c>
    </row>
    <row r="314" spans="5:7" s="82" customFormat="1" ht="25.5" hidden="1" customHeight="1" x14ac:dyDescent="0.3">
      <c r="E314" s="82" t="s">
        <v>106</v>
      </c>
      <c r="F314" s="82" t="s">
        <v>109</v>
      </c>
      <c r="G314" s="82" t="s">
        <v>477</v>
      </c>
    </row>
    <row r="315" spans="5:7" s="82" customFormat="1" ht="25.5" hidden="1" customHeight="1" x14ac:dyDescent="0.3"/>
    <row r="316" spans="5:7" s="82" customFormat="1" ht="25.5" hidden="1" customHeight="1" x14ac:dyDescent="0.3">
      <c r="E316" s="82" t="s">
        <v>106</v>
      </c>
      <c r="F316" s="82" t="s">
        <v>110</v>
      </c>
      <c r="G316" s="82" t="s">
        <v>546</v>
      </c>
    </row>
    <row r="317" spans="5:7" s="82" customFormat="1" ht="25.5" hidden="1" customHeight="1" x14ac:dyDescent="0.3">
      <c r="E317" s="82" t="s">
        <v>106</v>
      </c>
      <c r="F317" s="82" t="s">
        <v>204</v>
      </c>
      <c r="G317" s="82" t="s">
        <v>628</v>
      </c>
    </row>
    <row r="318" spans="5:7" s="82" customFormat="1" ht="25.5" hidden="1" customHeight="1" x14ac:dyDescent="0.3">
      <c r="E318" s="82" t="s">
        <v>106</v>
      </c>
      <c r="F318" s="82" t="s">
        <v>110</v>
      </c>
      <c r="G318" s="82" t="s">
        <v>547</v>
      </c>
    </row>
    <row r="319" spans="5:7" s="82" customFormat="1" ht="25.5" hidden="1" customHeight="1" x14ac:dyDescent="0.3">
      <c r="E319" s="82" t="s">
        <v>106</v>
      </c>
      <c r="F319" s="82" t="s">
        <v>110</v>
      </c>
      <c r="G319" s="82" t="s">
        <v>598</v>
      </c>
    </row>
    <row r="320" spans="5:7" s="82" customFormat="1" ht="25.5" hidden="1" customHeight="1" x14ac:dyDescent="0.3">
      <c r="E320" s="82" t="s">
        <v>106</v>
      </c>
      <c r="F320" s="82" t="s">
        <v>110</v>
      </c>
      <c r="G320" s="82" t="s">
        <v>478</v>
      </c>
    </row>
    <row r="321" spans="5:7" s="82" customFormat="1" ht="25.5" hidden="1" customHeight="1" x14ac:dyDescent="0.3">
      <c r="E321" s="82" t="s">
        <v>106</v>
      </c>
      <c r="F321" s="82" t="s">
        <v>111</v>
      </c>
      <c r="G321" s="82" t="s">
        <v>311</v>
      </c>
    </row>
    <row r="322" spans="5:7" s="82" customFormat="1" ht="25.5" hidden="1" customHeight="1" x14ac:dyDescent="0.3">
      <c r="E322" s="82" t="s">
        <v>106</v>
      </c>
      <c r="F322" s="82" t="s">
        <v>111</v>
      </c>
      <c r="G322" s="82" t="s">
        <v>796</v>
      </c>
    </row>
    <row r="323" spans="5:7" s="82" customFormat="1" ht="25.5" hidden="1" customHeight="1" x14ac:dyDescent="0.3">
      <c r="E323" s="82" t="s">
        <v>106</v>
      </c>
      <c r="F323" s="82" t="s">
        <v>111</v>
      </c>
      <c r="G323" s="82" t="s">
        <v>797</v>
      </c>
    </row>
    <row r="324" spans="5:7" s="82" customFormat="1" ht="25.5" hidden="1" customHeight="1" x14ac:dyDescent="0.3">
      <c r="E324" s="82" t="s">
        <v>106</v>
      </c>
      <c r="F324" s="82" t="s">
        <v>111</v>
      </c>
      <c r="G324" s="82" t="s">
        <v>788</v>
      </c>
    </row>
    <row r="325" spans="5:7" s="82" customFormat="1" ht="25.5" hidden="1" customHeight="1" x14ac:dyDescent="0.3">
      <c r="E325" s="82" t="s">
        <v>106</v>
      </c>
      <c r="F325" s="82" t="s">
        <v>111</v>
      </c>
      <c r="G325" s="82" t="s">
        <v>548</v>
      </c>
    </row>
    <row r="326" spans="5:7" s="82" customFormat="1" ht="25.5" hidden="1" customHeight="1" x14ac:dyDescent="0.3">
      <c r="E326" s="82" t="s">
        <v>106</v>
      </c>
      <c r="F326" s="82" t="s">
        <v>205</v>
      </c>
      <c r="G326" s="82" t="s">
        <v>206</v>
      </c>
    </row>
    <row r="327" spans="5:7" s="82" customFormat="1" ht="25.5" hidden="1" customHeight="1" x14ac:dyDescent="0.3">
      <c r="E327" s="82" t="s">
        <v>106</v>
      </c>
      <c r="F327" s="82" t="s">
        <v>205</v>
      </c>
      <c r="G327" s="82" t="s">
        <v>739</v>
      </c>
    </row>
    <row r="328" spans="5:7" s="82" customFormat="1" ht="25.5" hidden="1" customHeight="1" x14ac:dyDescent="0.3">
      <c r="E328" s="82" t="s">
        <v>106</v>
      </c>
      <c r="F328" s="82" t="s">
        <v>205</v>
      </c>
      <c r="G328" s="82" t="s">
        <v>738</v>
      </c>
    </row>
    <row r="329" spans="5:7" s="82" customFormat="1" ht="25.5" hidden="1" customHeight="1" x14ac:dyDescent="0.3">
      <c r="E329" s="82" t="s">
        <v>106</v>
      </c>
      <c r="F329" s="82" t="s">
        <v>205</v>
      </c>
      <c r="G329" s="82" t="s">
        <v>399</v>
      </c>
    </row>
    <row r="330" spans="5:7" s="82" customFormat="1" ht="25.5" hidden="1" customHeight="1" x14ac:dyDescent="0.3">
      <c r="E330" s="82" t="s">
        <v>106</v>
      </c>
      <c r="F330" s="82" t="s">
        <v>205</v>
      </c>
      <c r="G330" s="82" t="s">
        <v>414</v>
      </c>
    </row>
    <row r="331" spans="5:7" s="82" customFormat="1" ht="25.5" hidden="1" customHeight="1" x14ac:dyDescent="0.3">
      <c r="E331" s="82" t="s">
        <v>106</v>
      </c>
      <c r="F331" s="82" t="s">
        <v>205</v>
      </c>
      <c r="G331" s="82" t="s">
        <v>799</v>
      </c>
    </row>
    <row r="332" spans="5:7" s="82" customFormat="1" ht="25.5" hidden="1" customHeight="1" x14ac:dyDescent="0.3">
      <c r="E332" s="82" t="s">
        <v>106</v>
      </c>
      <c r="F332" s="82" t="s">
        <v>205</v>
      </c>
      <c r="G332" s="82" t="s">
        <v>486</v>
      </c>
    </row>
    <row r="333" spans="5:7" s="82" customFormat="1" ht="25.5" hidden="1" customHeight="1" x14ac:dyDescent="0.3">
      <c r="E333" s="82" t="s">
        <v>106</v>
      </c>
      <c r="F333" s="82" t="s">
        <v>205</v>
      </c>
      <c r="G333" s="82" t="s">
        <v>415</v>
      </c>
    </row>
    <row r="334" spans="5:7" s="82" customFormat="1" ht="25.5" hidden="1" customHeight="1" x14ac:dyDescent="0.3">
      <c r="E334" s="82" t="s">
        <v>106</v>
      </c>
      <c r="F334" s="82" t="s">
        <v>142</v>
      </c>
      <c r="G334" s="82" t="s">
        <v>207</v>
      </c>
    </row>
    <row r="335" spans="5:7" s="82" customFormat="1" ht="25.5" hidden="1" customHeight="1" x14ac:dyDescent="0.3">
      <c r="E335" s="82" t="s">
        <v>106</v>
      </c>
      <c r="F335" s="82" t="s">
        <v>142</v>
      </c>
      <c r="G335" s="82" t="s">
        <v>599</v>
      </c>
    </row>
    <row r="336" spans="5:7" s="82" customFormat="1" ht="25.5" hidden="1" customHeight="1" x14ac:dyDescent="0.3">
      <c r="E336" s="82" t="s">
        <v>106</v>
      </c>
      <c r="F336" s="82" t="s">
        <v>142</v>
      </c>
      <c r="G336" s="82" t="s">
        <v>412</v>
      </c>
    </row>
    <row r="337" spans="5:7" s="82" customFormat="1" ht="25.5" hidden="1" customHeight="1" x14ac:dyDescent="0.3">
      <c r="E337" s="82" t="s">
        <v>106</v>
      </c>
      <c r="F337" s="82" t="s">
        <v>142</v>
      </c>
      <c r="G337" s="82" t="s">
        <v>413</v>
      </c>
    </row>
    <row r="338" spans="5:7" s="82" customFormat="1" ht="25.5" hidden="1" customHeight="1" x14ac:dyDescent="0.3">
      <c r="E338" s="82" t="s">
        <v>106</v>
      </c>
      <c r="F338" s="82" t="s">
        <v>112</v>
      </c>
      <c r="G338" s="82" t="s">
        <v>549</v>
      </c>
    </row>
    <row r="339" spans="5:7" s="82" customFormat="1" ht="25.5" hidden="1" customHeight="1" x14ac:dyDescent="0.3">
      <c r="E339" s="82" t="s">
        <v>106</v>
      </c>
      <c r="F339" s="82" t="s">
        <v>112</v>
      </c>
      <c r="G339" s="82" t="s">
        <v>736</v>
      </c>
    </row>
    <row r="340" spans="5:7" s="82" customFormat="1" ht="25.5" hidden="1" customHeight="1" x14ac:dyDescent="0.3">
      <c r="E340" s="82" t="s">
        <v>106</v>
      </c>
      <c r="F340" s="82" t="s">
        <v>208</v>
      </c>
      <c r="G340" s="82" t="s">
        <v>661</v>
      </c>
    </row>
    <row r="341" spans="5:7" s="82" customFormat="1" ht="25.5" hidden="1" customHeight="1" x14ac:dyDescent="0.3">
      <c r="E341" s="82" t="s">
        <v>106</v>
      </c>
      <c r="F341" s="82" t="s">
        <v>112</v>
      </c>
      <c r="G341" s="82" t="s">
        <v>335</v>
      </c>
    </row>
    <row r="342" spans="5:7" s="82" customFormat="1" ht="25.5" hidden="1" customHeight="1" x14ac:dyDescent="0.3">
      <c r="E342" s="82" t="s">
        <v>106</v>
      </c>
      <c r="F342" s="82" t="s">
        <v>209</v>
      </c>
      <c r="G342" s="82" t="s">
        <v>210</v>
      </c>
    </row>
    <row r="343" spans="5:7" s="82" customFormat="1" ht="25.5" hidden="1" customHeight="1" x14ac:dyDescent="0.3">
      <c r="E343" s="82" t="s">
        <v>106</v>
      </c>
      <c r="F343" s="82" t="s">
        <v>209</v>
      </c>
      <c r="G343" s="82" t="s">
        <v>387</v>
      </c>
    </row>
    <row r="344" spans="5:7" s="82" customFormat="1" ht="25.5" hidden="1" customHeight="1" x14ac:dyDescent="0.3">
      <c r="E344" s="82" t="s">
        <v>106</v>
      </c>
      <c r="F344" s="82" t="s">
        <v>209</v>
      </c>
      <c r="G344" s="82" t="s">
        <v>388</v>
      </c>
    </row>
    <row r="345" spans="5:7" s="82" customFormat="1" ht="25.5" hidden="1" customHeight="1" x14ac:dyDescent="0.3">
      <c r="E345" s="82" t="s">
        <v>106</v>
      </c>
      <c r="F345" s="82" t="s">
        <v>209</v>
      </c>
      <c r="G345" s="82" t="s">
        <v>490</v>
      </c>
    </row>
    <row r="346" spans="5:7" s="82" customFormat="1" ht="25.5" hidden="1" customHeight="1" x14ac:dyDescent="0.3">
      <c r="E346" s="82" t="s">
        <v>106</v>
      </c>
      <c r="F346" s="82" t="s">
        <v>143</v>
      </c>
      <c r="G346" s="82" t="s">
        <v>211</v>
      </c>
    </row>
    <row r="347" spans="5:7" s="82" customFormat="1" ht="25.5" hidden="1" customHeight="1" x14ac:dyDescent="0.3">
      <c r="E347" s="82" t="s">
        <v>106</v>
      </c>
      <c r="F347" s="82" t="s">
        <v>143</v>
      </c>
      <c r="G347" s="82" t="s">
        <v>550</v>
      </c>
    </row>
    <row r="348" spans="5:7" s="82" customFormat="1" ht="25.5" hidden="1" customHeight="1" x14ac:dyDescent="0.3">
      <c r="E348" s="82" t="s">
        <v>106</v>
      </c>
      <c r="F348" s="82" t="s">
        <v>143</v>
      </c>
      <c r="G348" s="87" t="s">
        <v>324</v>
      </c>
    </row>
    <row r="349" spans="5:7" s="82" customFormat="1" ht="25.5" hidden="1" customHeight="1" x14ac:dyDescent="0.3">
      <c r="E349" s="82" t="s">
        <v>106</v>
      </c>
      <c r="F349" s="82" t="s">
        <v>143</v>
      </c>
      <c r="G349" s="87" t="s">
        <v>733</v>
      </c>
    </row>
    <row r="350" spans="5:7" s="82" customFormat="1" ht="25.5" hidden="1" customHeight="1" x14ac:dyDescent="0.3">
      <c r="E350" s="82" t="s">
        <v>106</v>
      </c>
      <c r="F350" s="82" t="s">
        <v>143</v>
      </c>
      <c r="G350" s="82" t="s">
        <v>600</v>
      </c>
    </row>
    <row r="351" spans="5:7" s="82" customFormat="1" ht="25.5" hidden="1" customHeight="1" x14ac:dyDescent="0.3">
      <c r="E351" s="82" t="s">
        <v>106</v>
      </c>
      <c r="F351" s="82" t="s">
        <v>143</v>
      </c>
      <c r="G351" s="82" t="s">
        <v>494</v>
      </c>
    </row>
    <row r="352" spans="5:7" s="82" customFormat="1" ht="25.5" hidden="1" customHeight="1" x14ac:dyDescent="0.3">
      <c r="E352" s="82" t="s">
        <v>106</v>
      </c>
      <c r="F352" s="82" t="s">
        <v>143</v>
      </c>
      <c r="G352" s="82" t="s">
        <v>495</v>
      </c>
    </row>
    <row r="353" spans="5:7" s="82" customFormat="1" ht="25.5" hidden="1" customHeight="1" x14ac:dyDescent="0.3">
      <c r="E353" s="82" t="s">
        <v>106</v>
      </c>
      <c r="F353" s="82" t="s">
        <v>212</v>
      </c>
      <c r="G353" s="82" t="s">
        <v>662</v>
      </c>
    </row>
    <row r="354" spans="5:7" s="82" customFormat="1" ht="25.5" hidden="1" customHeight="1" x14ac:dyDescent="0.3">
      <c r="E354" s="82" t="s">
        <v>106</v>
      </c>
      <c r="F354" s="82" t="s">
        <v>213</v>
      </c>
      <c r="G354" s="82" t="s">
        <v>214</v>
      </c>
    </row>
    <row r="355" spans="5:7" s="82" customFormat="1" ht="25.5" hidden="1" customHeight="1" x14ac:dyDescent="0.3">
      <c r="E355" s="82" t="s">
        <v>106</v>
      </c>
      <c r="F355" s="82" t="s">
        <v>213</v>
      </c>
      <c r="G355" s="82" t="s">
        <v>551</v>
      </c>
    </row>
    <row r="356" spans="5:7" s="82" customFormat="1" ht="25.5" hidden="1" customHeight="1" x14ac:dyDescent="0.3"/>
    <row r="357" spans="5:7" s="82" customFormat="1" ht="25.5" hidden="1" customHeight="1" x14ac:dyDescent="0.3">
      <c r="E357" s="82" t="s">
        <v>106</v>
      </c>
      <c r="F357" s="82" t="s">
        <v>213</v>
      </c>
      <c r="G357" s="87" t="s">
        <v>325</v>
      </c>
    </row>
    <row r="358" spans="5:7" s="82" customFormat="1" ht="25.5" hidden="1" customHeight="1" x14ac:dyDescent="0.3">
      <c r="E358" s="82" t="s">
        <v>106</v>
      </c>
      <c r="F358" s="82" t="s">
        <v>213</v>
      </c>
      <c r="G358" s="87" t="s">
        <v>734</v>
      </c>
    </row>
    <row r="359" spans="5:7" s="82" customFormat="1" ht="25.5" hidden="1" customHeight="1" x14ac:dyDescent="0.3">
      <c r="E359" s="82" t="s">
        <v>106</v>
      </c>
      <c r="F359" s="82" t="s">
        <v>213</v>
      </c>
      <c r="G359" s="82" t="s">
        <v>503</v>
      </c>
    </row>
    <row r="360" spans="5:7" s="82" customFormat="1" ht="25.5" hidden="1" customHeight="1" x14ac:dyDescent="0.3"/>
    <row r="361" spans="5:7" s="82" customFormat="1" ht="25.5" hidden="1" customHeight="1" x14ac:dyDescent="0.3">
      <c r="E361" s="82" t="s">
        <v>106</v>
      </c>
      <c r="F361" s="82" t="s">
        <v>215</v>
      </c>
      <c r="G361" s="82" t="s">
        <v>216</v>
      </c>
    </row>
    <row r="362" spans="5:7" s="82" customFormat="1" ht="25.5" hidden="1" customHeight="1" x14ac:dyDescent="0.3">
      <c r="E362" s="82" t="s">
        <v>106</v>
      </c>
      <c r="F362" s="82" t="s">
        <v>215</v>
      </c>
      <c r="G362" s="82" t="s">
        <v>552</v>
      </c>
    </row>
    <row r="363" spans="5:7" s="82" customFormat="1" ht="25.5" hidden="1" customHeight="1" x14ac:dyDescent="0.3">
      <c r="E363" s="82" t="s">
        <v>106</v>
      </c>
      <c r="F363" s="82" t="s">
        <v>215</v>
      </c>
      <c r="G363" s="82" t="s">
        <v>735</v>
      </c>
    </row>
    <row r="364" spans="5:7" s="82" customFormat="1" ht="25.5" hidden="1" customHeight="1" x14ac:dyDescent="0.3">
      <c r="E364" s="82" t="s">
        <v>106</v>
      </c>
      <c r="F364" s="82" t="s">
        <v>215</v>
      </c>
      <c r="G364" s="82" t="s">
        <v>336</v>
      </c>
    </row>
    <row r="365" spans="5:7" s="82" customFormat="1" ht="25.5" hidden="1" customHeight="1" x14ac:dyDescent="0.3">
      <c r="E365" s="82" t="s">
        <v>106</v>
      </c>
      <c r="F365" s="82" t="s">
        <v>217</v>
      </c>
      <c r="G365" s="82" t="s">
        <v>663</v>
      </c>
    </row>
    <row r="366" spans="5:7" s="82" customFormat="1" ht="25.5" hidden="1" customHeight="1" x14ac:dyDescent="0.3">
      <c r="E366" s="82" t="s">
        <v>106</v>
      </c>
      <c r="F366" s="82" t="s">
        <v>217</v>
      </c>
      <c r="G366" s="82" t="s">
        <v>504</v>
      </c>
    </row>
    <row r="367" spans="5:7" s="82" customFormat="1" ht="25.5" hidden="1" customHeight="1" x14ac:dyDescent="0.3">
      <c r="E367" s="82" t="s">
        <v>106</v>
      </c>
      <c r="F367" s="82" t="s">
        <v>217</v>
      </c>
      <c r="G367" s="82" t="s">
        <v>505</v>
      </c>
    </row>
    <row r="368" spans="5:7" s="82" customFormat="1" ht="25.5" hidden="1" customHeight="1" x14ac:dyDescent="0.3"/>
    <row r="369" spans="5:7" s="82" customFormat="1" ht="25.5" hidden="1" customHeight="1" x14ac:dyDescent="0.3">
      <c r="E369" s="82" t="s">
        <v>106</v>
      </c>
      <c r="F369" s="82" t="s">
        <v>145</v>
      </c>
      <c r="G369" s="82" t="s">
        <v>218</v>
      </c>
    </row>
    <row r="370" spans="5:7" s="82" customFormat="1" ht="25.5" hidden="1" customHeight="1" x14ac:dyDescent="0.3">
      <c r="E370" s="82" t="s">
        <v>106</v>
      </c>
      <c r="F370" s="82" t="s">
        <v>145</v>
      </c>
      <c r="G370" s="82" t="s">
        <v>553</v>
      </c>
    </row>
    <row r="371" spans="5:7" s="82" customFormat="1" ht="25.5" hidden="1" customHeight="1" x14ac:dyDescent="0.3">
      <c r="E371" s="82" t="s">
        <v>106</v>
      </c>
      <c r="F371" s="82" t="s">
        <v>145</v>
      </c>
      <c r="G371" s="82" t="s">
        <v>514</v>
      </c>
    </row>
    <row r="372" spans="5:7" s="82" customFormat="1" ht="25.5" hidden="1" customHeight="1" x14ac:dyDescent="0.3"/>
    <row r="373" spans="5:7" s="82" customFormat="1" ht="25.5" hidden="1" customHeight="1" x14ac:dyDescent="0.3"/>
    <row r="374" spans="5:7" s="82" customFormat="1" ht="25.5" hidden="1" customHeight="1" x14ac:dyDescent="0.3">
      <c r="E374" s="82" t="s">
        <v>106</v>
      </c>
      <c r="F374" s="82" t="s">
        <v>146</v>
      </c>
      <c r="G374" s="82" t="s">
        <v>219</v>
      </c>
    </row>
    <row r="375" spans="5:7" s="82" customFormat="1" ht="25.5" hidden="1" customHeight="1" x14ac:dyDescent="0.3">
      <c r="E375" s="82" t="s">
        <v>106</v>
      </c>
      <c r="F375" s="82" t="s">
        <v>146</v>
      </c>
      <c r="G375" s="82" t="s">
        <v>410</v>
      </c>
    </row>
    <row r="376" spans="5:7" s="82" customFormat="1" ht="25.5" hidden="1" customHeight="1" x14ac:dyDescent="0.3">
      <c r="E376" s="82" t="s">
        <v>106</v>
      </c>
      <c r="F376" s="82" t="s">
        <v>146</v>
      </c>
      <c r="G376" s="82" t="s">
        <v>411</v>
      </c>
    </row>
    <row r="377" spans="5:7" s="82" customFormat="1" ht="25.5" hidden="1" customHeight="1" x14ac:dyDescent="0.3"/>
    <row r="378" spans="5:7" s="82" customFormat="1" ht="25.5" hidden="1" customHeight="1" x14ac:dyDescent="0.3">
      <c r="E378" s="82" t="s">
        <v>106</v>
      </c>
      <c r="F378" s="82" t="s">
        <v>114</v>
      </c>
      <c r="G378" s="82" t="s">
        <v>629</v>
      </c>
    </row>
    <row r="379" spans="5:7" s="82" customFormat="1" ht="25.5" hidden="1" customHeight="1" x14ac:dyDescent="0.3">
      <c r="E379" s="82" t="s">
        <v>106</v>
      </c>
      <c r="F379" s="82" t="s">
        <v>114</v>
      </c>
      <c r="G379" s="82" t="s">
        <v>800</v>
      </c>
    </row>
    <row r="380" spans="5:7" s="82" customFormat="1" ht="25.5" hidden="1" customHeight="1" x14ac:dyDescent="0.3">
      <c r="E380" s="82" t="s">
        <v>106</v>
      </c>
      <c r="F380" s="82" t="s">
        <v>114</v>
      </c>
      <c r="G380" s="82" t="s">
        <v>554</v>
      </c>
    </row>
    <row r="381" spans="5:7" s="82" customFormat="1" ht="25.5" hidden="1" customHeight="1" x14ac:dyDescent="0.3">
      <c r="E381" s="82" t="s">
        <v>106</v>
      </c>
      <c r="F381" s="82" t="s">
        <v>220</v>
      </c>
      <c r="G381" s="82" t="s">
        <v>221</v>
      </c>
    </row>
    <row r="382" spans="5:7" s="82" customFormat="1" ht="25.5" hidden="1" customHeight="1" x14ac:dyDescent="0.3">
      <c r="E382" s="82" t="s">
        <v>106</v>
      </c>
      <c r="F382" s="82" t="s">
        <v>220</v>
      </c>
      <c r="G382" s="82" t="s">
        <v>737</v>
      </c>
    </row>
    <row r="383" spans="5:7" s="82" customFormat="1" ht="25.5" hidden="1" customHeight="1" x14ac:dyDescent="0.3">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3">
      <c r="E392" s="82" t="s">
        <v>106</v>
      </c>
      <c r="F392" s="82" t="s">
        <v>114</v>
      </c>
      <c r="G392" s="82" t="s">
        <v>601</v>
      </c>
    </row>
    <row r="393" spans="5:7" s="82" customFormat="1" ht="25.5" hidden="1" customHeight="1" x14ac:dyDescent="0.3">
      <c r="E393" s="82" t="s">
        <v>118</v>
      </c>
      <c r="F393" s="82" t="s">
        <v>148</v>
      </c>
      <c r="G393" s="82" t="s">
        <v>630</v>
      </c>
    </row>
    <row r="394" spans="5:7" s="82" customFormat="1" ht="25.5" hidden="1" customHeight="1" x14ac:dyDescent="0.3">
      <c r="E394" s="82" t="s">
        <v>118</v>
      </c>
      <c r="F394" s="82" t="s">
        <v>148</v>
      </c>
      <c r="G394" s="82" t="s">
        <v>720</v>
      </c>
    </row>
    <row r="395" spans="5:7" s="82" customFormat="1" ht="25.5" hidden="1" customHeight="1" x14ac:dyDescent="0.3">
      <c r="E395" s="82" t="s">
        <v>118</v>
      </c>
      <c r="F395" s="82" t="s">
        <v>148</v>
      </c>
      <c r="G395" s="82" t="s">
        <v>702</v>
      </c>
    </row>
    <row r="396" spans="5:7" s="82" customFormat="1" ht="25.5" hidden="1" customHeight="1" x14ac:dyDescent="0.3">
      <c r="E396" s="82" t="s">
        <v>118</v>
      </c>
      <c r="F396" s="82" t="s">
        <v>148</v>
      </c>
      <c r="G396" s="82" t="s">
        <v>602</v>
      </c>
    </row>
    <row r="397" spans="5:7" s="82" customFormat="1" ht="25.5" hidden="1" customHeight="1" x14ac:dyDescent="0.3">
      <c r="E397" s="82" t="s">
        <v>118</v>
      </c>
      <c r="F397" s="82" t="s">
        <v>148</v>
      </c>
      <c r="G397" s="82" t="s">
        <v>416</v>
      </c>
    </row>
    <row r="398" spans="5:7" s="82" customFormat="1" ht="25.5" hidden="1" customHeight="1" x14ac:dyDescent="0.3">
      <c r="E398" s="82" t="s">
        <v>118</v>
      </c>
      <c r="F398" s="82" t="s">
        <v>148</v>
      </c>
      <c r="G398" s="82" t="s">
        <v>464</v>
      </c>
    </row>
    <row r="399" spans="5:7" s="82" customFormat="1" ht="25.5" hidden="1" customHeight="1" x14ac:dyDescent="0.3">
      <c r="E399" s="82" t="s">
        <v>118</v>
      </c>
      <c r="F399" s="82" t="s">
        <v>148</v>
      </c>
      <c r="G399" s="82" t="s">
        <v>465</v>
      </c>
    </row>
    <row r="400" spans="5:7" s="82" customFormat="1" ht="25.5" hidden="1" customHeight="1" x14ac:dyDescent="0.3">
      <c r="E400" s="82" t="s">
        <v>118</v>
      </c>
      <c r="F400" s="82" t="s">
        <v>119</v>
      </c>
      <c r="G400" s="82" t="s">
        <v>556</v>
      </c>
    </row>
    <row r="401" spans="5:7" s="82" customFormat="1" ht="25.5" hidden="1" customHeight="1" x14ac:dyDescent="0.3">
      <c r="E401" s="82" t="s">
        <v>118</v>
      </c>
      <c r="F401" s="82" t="s">
        <v>222</v>
      </c>
      <c r="G401" s="82" t="s">
        <v>631</v>
      </c>
    </row>
    <row r="402" spans="5:7" s="82" customFormat="1" ht="25.5" hidden="1" customHeight="1" x14ac:dyDescent="0.3">
      <c r="E402" s="82" t="s">
        <v>118</v>
      </c>
      <c r="F402" s="82" t="s">
        <v>222</v>
      </c>
      <c r="G402" s="82" t="s">
        <v>358</v>
      </c>
    </row>
    <row r="403" spans="5:7" s="82" customFormat="1" ht="25.5" hidden="1" customHeight="1" x14ac:dyDescent="0.3">
      <c r="E403" s="82" t="s">
        <v>118</v>
      </c>
      <c r="F403" s="82" t="s">
        <v>222</v>
      </c>
      <c r="G403" s="82" t="s">
        <v>603</v>
      </c>
    </row>
    <row r="404" spans="5:7" s="82" customFormat="1" ht="25.5" hidden="1" customHeight="1" x14ac:dyDescent="0.3">
      <c r="E404" s="82" t="s">
        <v>118</v>
      </c>
      <c r="F404" s="82" t="s">
        <v>222</v>
      </c>
      <c r="G404" s="82" t="s">
        <v>417</v>
      </c>
    </row>
    <row r="405" spans="5:7" s="82" customFormat="1" ht="25.5" hidden="1" customHeight="1" x14ac:dyDescent="0.3">
      <c r="E405" s="82" t="s">
        <v>118</v>
      </c>
      <c r="F405" s="82" t="s">
        <v>120</v>
      </c>
      <c r="G405" s="82" t="s">
        <v>557</v>
      </c>
    </row>
    <row r="406" spans="5:7" s="82" customFormat="1" ht="25.5" hidden="1" customHeight="1" x14ac:dyDescent="0.3">
      <c r="E406" s="82" t="s">
        <v>118</v>
      </c>
      <c r="F406" s="82" t="s">
        <v>223</v>
      </c>
      <c r="G406" s="82" t="s">
        <v>664</v>
      </c>
    </row>
    <row r="407" spans="5:7" s="82" customFormat="1" ht="25.5" hidden="1" customHeight="1" x14ac:dyDescent="0.3">
      <c r="E407" s="82" t="s">
        <v>118</v>
      </c>
      <c r="F407" s="82" t="s">
        <v>224</v>
      </c>
      <c r="G407" s="82" t="s">
        <v>632</v>
      </c>
    </row>
    <row r="408" spans="5:7" s="82" customFormat="1" ht="25.5" hidden="1" customHeight="1" x14ac:dyDescent="0.3">
      <c r="E408" s="82" t="s">
        <v>118</v>
      </c>
      <c r="F408" s="82" t="s">
        <v>224</v>
      </c>
      <c r="G408" s="82" t="s">
        <v>357</v>
      </c>
    </row>
    <row r="409" spans="5:7" s="82" customFormat="1" ht="25.5" hidden="1" customHeight="1" x14ac:dyDescent="0.3">
      <c r="E409" s="82" t="s">
        <v>118</v>
      </c>
      <c r="F409" s="82" t="s">
        <v>224</v>
      </c>
      <c r="G409" s="82" t="s">
        <v>418</v>
      </c>
    </row>
    <row r="410" spans="5:7" s="82" customFormat="1" ht="25.5" hidden="1" customHeight="1" x14ac:dyDescent="0.3">
      <c r="E410" s="82" t="s">
        <v>118</v>
      </c>
      <c r="F410" s="82" t="s">
        <v>224</v>
      </c>
      <c r="G410" s="82" t="s">
        <v>481</v>
      </c>
    </row>
    <row r="411" spans="5:7" s="82" customFormat="1" ht="25.5" hidden="1" customHeight="1" x14ac:dyDescent="0.3">
      <c r="E411" s="82" t="s">
        <v>118</v>
      </c>
      <c r="F411" s="82" t="s">
        <v>224</v>
      </c>
      <c r="G411" s="82" t="s">
        <v>482</v>
      </c>
    </row>
    <row r="412" spans="5:7" s="82" customFormat="1" ht="25.5" hidden="1" customHeight="1" x14ac:dyDescent="0.3">
      <c r="E412" s="82" t="s">
        <v>118</v>
      </c>
      <c r="F412" s="82" t="s">
        <v>224</v>
      </c>
      <c r="G412" s="82" t="s">
        <v>483</v>
      </c>
    </row>
    <row r="413" spans="5:7" s="82" customFormat="1" ht="25.5" hidden="1" customHeight="1" x14ac:dyDescent="0.3">
      <c r="E413" s="82" t="s">
        <v>118</v>
      </c>
      <c r="F413" s="82" t="s">
        <v>149</v>
      </c>
      <c r="G413" s="82" t="s">
        <v>225</v>
      </c>
    </row>
    <row r="414" spans="5:7" s="82" customFormat="1" ht="25.5" hidden="1" customHeight="1" x14ac:dyDescent="0.3">
      <c r="E414" s="82" t="s">
        <v>118</v>
      </c>
      <c r="F414" s="82" t="s">
        <v>149</v>
      </c>
      <c r="G414" s="82" t="s">
        <v>337</v>
      </c>
    </row>
    <row r="415" spans="5:7" s="82" customFormat="1" ht="25.5" hidden="1" customHeight="1" x14ac:dyDescent="0.3">
      <c r="E415" s="82" t="s">
        <v>118</v>
      </c>
      <c r="F415" s="82" t="s">
        <v>149</v>
      </c>
      <c r="G415" s="82" t="s">
        <v>711</v>
      </c>
    </row>
    <row r="416" spans="5:7" s="82" customFormat="1" ht="25.5" hidden="1" customHeight="1" x14ac:dyDescent="0.3">
      <c r="E416" s="82" t="s">
        <v>118</v>
      </c>
      <c r="F416" s="82" t="s">
        <v>149</v>
      </c>
      <c r="G416" s="82" t="s">
        <v>558</v>
      </c>
    </row>
    <row r="417" spans="5:7" s="82" customFormat="1" ht="25.5" hidden="1" customHeight="1" x14ac:dyDescent="0.3">
      <c r="E417" s="82" t="s">
        <v>118</v>
      </c>
      <c r="F417" s="82" t="s">
        <v>149</v>
      </c>
      <c r="G417" s="82" t="s">
        <v>604</v>
      </c>
    </row>
    <row r="418" spans="5:7" s="82" customFormat="1" ht="25.5" hidden="1" customHeight="1" x14ac:dyDescent="0.3">
      <c r="E418" s="82" t="s">
        <v>118</v>
      </c>
      <c r="F418" s="82" t="s">
        <v>149</v>
      </c>
      <c r="G418" s="82" t="s">
        <v>419</v>
      </c>
    </row>
    <row r="419" spans="5:7" s="82" customFormat="1" ht="25.5" hidden="1" customHeight="1" x14ac:dyDescent="0.3">
      <c r="E419" s="82" t="s">
        <v>118</v>
      </c>
      <c r="F419" s="82" t="s">
        <v>149</v>
      </c>
      <c r="G419" s="82" t="s">
        <v>480</v>
      </c>
    </row>
    <row r="420" spans="5:7" s="82" customFormat="1" ht="25.5" hidden="1" customHeight="1" x14ac:dyDescent="0.3">
      <c r="E420" s="82" t="s">
        <v>118</v>
      </c>
      <c r="F420" s="82" t="s">
        <v>118</v>
      </c>
      <c r="G420" s="82" t="s">
        <v>226</v>
      </c>
    </row>
    <row r="421" spans="5:7" s="82" customFormat="1" ht="25.5" hidden="1" customHeight="1" x14ac:dyDescent="0.3">
      <c r="E421" s="82" t="s">
        <v>118</v>
      </c>
      <c r="F421" s="82" t="s">
        <v>118</v>
      </c>
      <c r="G421" s="82" t="s">
        <v>665</v>
      </c>
    </row>
    <row r="422" spans="5:7" s="82" customFormat="1" ht="25.5" hidden="1" customHeight="1" x14ac:dyDescent="0.3">
      <c r="E422" s="82" t="s">
        <v>118</v>
      </c>
      <c r="F422" s="82" t="s">
        <v>118</v>
      </c>
      <c r="G422" s="82" t="s">
        <v>559</v>
      </c>
    </row>
    <row r="423" spans="5:7" s="82" customFormat="1" ht="25.5" hidden="1" customHeight="1" x14ac:dyDescent="0.3">
      <c r="E423" s="82" t="s">
        <v>118</v>
      </c>
      <c r="F423" s="82" t="s">
        <v>227</v>
      </c>
      <c r="G423" s="82" t="s">
        <v>633</v>
      </c>
    </row>
    <row r="424" spans="5:7" s="82" customFormat="1" ht="25.5" hidden="1" customHeight="1" x14ac:dyDescent="0.3">
      <c r="E424" s="82" t="s">
        <v>118</v>
      </c>
      <c r="F424" s="82" t="s">
        <v>118</v>
      </c>
      <c r="G424" s="82" t="s">
        <v>338</v>
      </c>
    </row>
    <row r="425" spans="5:7" s="82" customFormat="1" ht="25.5" hidden="1" customHeight="1" x14ac:dyDescent="0.3">
      <c r="E425" s="82" t="s">
        <v>118</v>
      </c>
      <c r="F425" s="82" t="s">
        <v>227</v>
      </c>
      <c r="G425" s="82" t="s">
        <v>317</v>
      </c>
    </row>
    <row r="426" spans="5:7" s="82" customFormat="1" ht="25.5" hidden="1" customHeight="1" x14ac:dyDescent="0.3">
      <c r="E426" s="82" t="s">
        <v>118</v>
      </c>
      <c r="F426" s="82" t="s">
        <v>227</v>
      </c>
      <c r="G426" s="82" t="s">
        <v>420</v>
      </c>
    </row>
    <row r="427" spans="5:7" s="82" customFormat="1" ht="25.5" hidden="1" customHeight="1" x14ac:dyDescent="0.3">
      <c r="E427" s="82" t="s">
        <v>118</v>
      </c>
      <c r="F427" s="82" t="s">
        <v>227</v>
      </c>
      <c r="G427" s="82" t="s">
        <v>484</v>
      </c>
    </row>
    <row r="428" spans="5:7" s="82" customFormat="1" ht="25.5" hidden="1" customHeight="1" x14ac:dyDescent="0.3">
      <c r="E428" s="82" t="s">
        <v>118</v>
      </c>
      <c r="F428" s="82" t="s">
        <v>227</v>
      </c>
      <c r="G428" s="82" t="s">
        <v>485</v>
      </c>
    </row>
    <row r="429" spans="5:7" s="82" customFormat="1" ht="25.5" hidden="1" customHeight="1" x14ac:dyDescent="0.3">
      <c r="E429" s="82" t="s">
        <v>118</v>
      </c>
      <c r="F429" s="82" t="s">
        <v>121</v>
      </c>
      <c r="G429" s="82" t="s">
        <v>560</v>
      </c>
    </row>
    <row r="430" spans="5:7" s="82" customFormat="1" ht="25.5" hidden="1" customHeight="1" x14ac:dyDescent="0.3">
      <c r="E430" s="82" t="s">
        <v>118</v>
      </c>
      <c r="F430" s="82" t="s">
        <v>228</v>
      </c>
      <c r="G430" s="82" t="s">
        <v>634</v>
      </c>
    </row>
    <row r="431" spans="5:7" s="82" customFormat="1" ht="25.5" hidden="1" customHeight="1" x14ac:dyDescent="0.3">
      <c r="E431" s="82" t="s">
        <v>118</v>
      </c>
      <c r="F431" s="82" t="s">
        <v>228</v>
      </c>
      <c r="G431" s="82" t="s">
        <v>732</v>
      </c>
    </row>
    <row r="432" spans="5:7" s="82" customFormat="1" ht="25.5" hidden="1" customHeight="1" x14ac:dyDescent="0.3">
      <c r="E432" s="82" t="s">
        <v>118</v>
      </c>
      <c r="F432" s="82" t="s">
        <v>121</v>
      </c>
      <c r="G432" s="82" t="s">
        <v>561</v>
      </c>
    </row>
    <row r="433" spans="5:7" s="82" customFormat="1" ht="25.5" hidden="1" customHeight="1" x14ac:dyDescent="0.3">
      <c r="E433" s="82" t="s">
        <v>118</v>
      </c>
      <c r="F433" s="82" t="s">
        <v>121</v>
      </c>
      <c r="G433" s="82" t="s">
        <v>359</v>
      </c>
    </row>
    <row r="434" spans="5:7" s="82" customFormat="1" ht="25.5" hidden="1" customHeight="1" x14ac:dyDescent="0.3">
      <c r="E434" s="82" t="s">
        <v>118</v>
      </c>
      <c r="F434" s="82" t="s">
        <v>121</v>
      </c>
      <c r="G434" s="82" t="s">
        <v>421</v>
      </c>
    </row>
    <row r="435" spans="5:7" s="82" customFormat="1" ht="25.5" hidden="1" customHeight="1" x14ac:dyDescent="0.3">
      <c r="E435" s="82" t="s">
        <v>118</v>
      </c>
      <c r="F435" s="82" t="s">
        <v>150</v>
      </c>
      <c r="G435" s="82" t="s">
        <v>635</v>
      </c>
    </row>
    <row r="436" spans="5:7" s="82" customFormat="1" ht="25.5" hidden="1" customHeight="1" x14ac:dyDescent="0.3">
      <c r="E436" s="82" t="s">
        <v>118</v>
      </c>
      <c r="F436" s="82" t="s">
        <v>150</v>
      </c>
      <c r="G436" s="82" t="s">
        <v>562</v>
      </c>
    </row>
    <row r="437" spans="5:7" s="82" customFormat="1" ht="25.5" hidden="1" customHeight="1" x14ac:dyDescent="0.3">
      <c r="E437" s="82" t="s">
        <v>118</v>
      </c>
      <c r="F437" s="82" t="s">
        <v>150</v>
      </c>
      <c r="G437" s="82" t="s">
        <v>489</v>
      </c>
    </row>
    <row r="438" spans="5:7" s="82" customFormat="1" ht="25.5" hidden="1" customHeight="1" x14ac:dyDescent="0.3"/>
    <row r="439" spans="5:7" s="82" customFormat="1" ht="25.5" hidden="1" customHeight="1" x14ac:dyDescent="0.3"/>
    <row r="440" spans="5:7" s="82" customFormat="1" ht="25.5" hidden="1" customHeight="1" x14ac:dyDescent="0.3">
      <c r="E440" s="82" t="s">
        <v>118</v>
      </c>
      <c r="F440" s="82" t="s">
        <v>151</v>
      </c>
      <c r="G440" s="82" t="s">
        <v>636</v>
      </c>
    </row>
    <row r="441" spans="5:7" s="82" customFormat="1" ht="25.5" hidden="1" customHeight="1" x14ac:dyDescent="0.3">
      <c r="E441" s="82" t="s">
        <v>118</v>
      </c>
      <c r="F441" s="82" t="s">
        <v>151</v>
      </c>
      <c r="G441" s="82" t="s">
        <v>339</v>
      </c>
    </row>
    <row r="442" spans="5:7" s="82" customFormat="1" ht="25.5" hidden="1" customHeight="1" x14ac:dyDescent="0.3">
      <c r="E442" s="82" t="s">
        <v>118</v>
      </c>
      <c r="F442" s="82" t="s">
        <v>151</v>
      </c>
      <c r="G442" s="82" t="s">
        <v>491</v>
      </c>
    </row>
    <row r="443" spans="5:7" s="82" customFormat="1" ht="25.5" hidden="1" customHeight="1" x14ac:dyDescent="0.3"/>
    <row r="444" spans="5:7" s="82" customFormat="1" ht="25.5" hidden="1" customHeight="1" x14ac:dyDescent="0.3">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3">
      <c r="E446" s="82" t="s">
        <v>118</v>
      </c>
      <c r="F446" s="82" t="s">
        <v>152</v>
      </c>
      <c r="G446" s="82" t="s">
        <v>502</v>
      </c>
    </row>
    <row r="447" spans="5:7" s="82" customFormat="1" ht="25.5" hidden="1" customHeight="1" x14ac:dyDescent="0.3"/>
    <row r="448" spans="5:7" s="82" customFormat="1" ht="25.5" hidden="1" customHeight="1" x14ac:dyDescent="0.3">
      <c r="E448" s="82" t="s">
        <v>118</v>
      </c>
      <c r="F448" s="82" t="s">
        <v>122</v>
      </c>
      <c r="G448" s="82" t="s">
        <v>563</v>
      </c>
    </row>
    <row r="449" spans="5:7" s="82" customFormat="1" ht="25.5" hidden="1" customHeight="1" x14ac:dyDescent="0.3">
      <c r="E449" s="82" t="s">
        <v>118</v>
      </c>
      <c r="F449" s="82" t="s">
        <v>231</v>
      </c>
      <c r="G449" s="82" t="s">
        <v>637</v>
      </c>
    </row>
    <row r="450" spans="5:7" s="82" customFormat="1" ht="25.5" hidden="1" customHeight="1" x14ac:dyDescent="0.3">
      <c r="E450" s="82" t="s">
        <v>118</v>
      </c>
      <c r="F450" s="82" t="s">
        <v>122</v>
      </c>
      <c r="G450" s="82" t="s">
        <v>356</v>
      </c>
    </row>
    <row r="451" spans="5:7" s="82" customFormat="1" ht="25.5" hidden="1" customHeight="1" x14ac:dyDescent="0.3">
      <c r="E451" s="82" t="s">
        <v>118</v>
      </c>
      <c r="F451" s="82" t="s">
        <v>122</v>
      </c>
      <c r="G451" s="82" t="s">
        <v>605</v>
      </c>
    </row>
    <row r="452" spans="5:7" s="82" customFormat="1" ht="25.5" hidden="1" customHeight="1" x14ac:dyDescent="0.3">
      <c r="E452" s="82" t="s">
        <v>118</v>
      </c>
      <c r="F452" s="82" t="s">
        <v>122</v>
      </c>
      <c r="G452" s="82" t="s">
        <v>519</v>
      </c>
    </row>
    <row r="453" spans="5:7" s="82" customFormat="1" ht="25.5" hidden="1" customHeight="1" x14ac:dyDescent="0.3">
      <c r="E453" s="82" t="s">
        <v>118</v>
      </c>
      <c r="F453" s="82" t="s">
        <v>122</v>
      </c>
      <c r="G453" s="82" t="s">
        <v>520</v>
      </c>
    </row>
    <row r="454" spans="5:7" s="82" customFormat="1" ht="25.5" hidden="1" customHeight="1" x14ac:dyDescent="0.3">
      <c r="E454" s="82" t="s">
        <v>118</v>
      </c>
      <c r="F454" s="82" t="s">
        <v>122</v>
      </c>
      <c r="G454" s="82" t="s">
        <v>521</v>
      </c>
    </row>
    <row r="455" spans="5:7" s="82" customFormat="1" ht="25.5" hidden="1" customHeight="1" x14ac:dyDescent="0.3">
      <c r="E455" s="82" t="s">
        <v>118</v>
      </c>
      <c r="F455" s="82" t="s">
        <v>122</v>
      </c>
      <c r="G455" s="82" t="s">
        <v>422</v>
      </c>
    </row>
    <row r="456" spans="5:7" s="82" customFormat="1" ht="25.5" hidden="1" customHeight="1" x14ac:dyDescent="0.3">
      <c r="E456" s="82" t="s">
        <v>117</v>
      </c>
      <c r="F456" s="82" t="s">
        <v>141</v>
      </c>
      <c r="G456" s="82" t="s">
        <v>638</v>
      </c>
    </row>
    <row r="457" spans="5:7" s="82" customFormat="1" ht="25.5" hidden="1" customHeight="1" x14ac:dyDescent="0.3">
      <c r="E457" s="82" t="s">
        <v>117</v>
      </c>
      <c r="F457" s="82" t="s">
        <v>141</v>
      </c>
      <c r="G457" s="82" t="s">
        <v>564</v>
      </c>
    </row>
    <row r="458" spans="5:7" s="82" customFormat="1" ht="25.5" hidden="1" customHeight="1" x14ac:dyDescent="0.3">
      <c r="E458" s="82" t="s">
        <v>117</v>
      </c>
      <c r="F458" s="82" t="s">
        <v>141</v>
      </c>
      <c r="G458" s="82" t="s">
        <v>784</v>
      </c>
    </row>
    <row r="459" spans="5:7" s="82" customFormat="1" ht="25.5" hidden="1" customHeight="1" x14ac:dyDescent="0.3">
      <c r="E459" s="82" t="s">
        <v>117</v>
      </c>
      <c r="F459" s="82" t="s">
        <v>141</v>
      </c>
      <c r="G459" s="82" t="s">
        <v>423</v>
      </c>
    </row>
    <row r="460" spans="5:7" s="82" customFormat="1" ht="25.5" hidden="1" customHeight="1" x14ac:dyDescent="0.3">
      <c r="E460" s="82" t="s">
        <v>117</v>
      </c>
      <c r="F460" s="82" t="s">
        <v>141</v>
      </c>
      <c r="G460" s="82" t="s">
        <v>801</v>
      </c>
    </row>
    <row r="461" spans="5:7" s="82" customFormat="1" ht="25.5" hidden="1" customHeight="1" x14ac:dyDescent="0.3">
      <c r="E461" s="82" t="s">
        <v>117</v>
      </c>
      <c r="F461" s="82" t="s">
        <v>141</v>
      </c>
      <c r="G461" s="82" t="s">
        <v>777</v>
      </c>
    </row>
    <row r="462" spans="5:7" s="82" customFormat="1" ht="25.5" hidden="1" customHeight="1" x14ac:dyDescent="0.3">
      <c r="E462" s="82" t="s">
        <v>117</v>
      </c>
      <c r="F462" s="82" t="s">
        <v>141</v>
      </c>
      <c r="G462" s="82" t="s">
        <v>707</v>
      </c>
    </row>
    <row r="463" spans="5:7" s="82" customFormat="1" ht="25.5" hidden="1" customHeight="1" x14ac:dyDescent="0.3">
      <c r="E463" s="82" t="s">
        <v>117</v>
      </c>
      <c r="F463" s="82" t="s">
        <v>141</v>
      </c>
      <c r="G463" s="82" t="s">
        <v>479</v>
      </c>
    </row>
    <row r="464" spans="5:7" s="82" customFormat="1" ht="25.5" hidden="1" customHeight="1" x14ac:dyDescent="0.3"/>
    <row r="465" spans="5:7" s="82" customFormat="1" ht="25.5" hidden="1" customHeight="1" x14ac:dyDescent="0.3">
      <c r="E465" s="82" t="s">
        <v>265</v>
      </c>
      <c r="F465" s="82" t="s">
        <v>265</v>
      </c>
      <c r="G465" s="82" t="s">
        <v>666</v>
      </c>
    </row>
    <row r="466" spans="5:7" s="82" customFormat="1" ht="25.5" hidden="1" customHeight="1" x14ac:dyDescent="0.3">
      <c r="E466" s="82" t="s">
        <v>117</v>
      </c>
      <c r="F466" s="82" t="s">
        <v>117</v>
      </c>
      <c r="G466" s="82" t="s">
        <v>565</v>
      </c>
    </row>
    <row r="467" spans="5:7" s="82" customFormat="1" ht="25.5" hidden="1" customHeight="1" x14ac:dyDescent="0.3">
      <c r="E467" s="82" t="s">
        <v>117</v>
      </c>
      <c r="F467" s="82" t="s">
        <v>232</v>
      </c>
      <c r="G467" s="82" t="s">
        <v>233</v>
      </c>
    </row>
    <row r="468" spans="5:7" s="82" customFormat="1" ht="25.5" hidden="1" customHeight="1" x14ac:dyDescent="0.3">
      <c r="E468" s="82" t="s">
        <v>117</v>
      </c>
      <c r="F468" s="82" t="s">
        <v>117</v>
      </c>
      <c r="G468" s="82" t="s">
        <v>343</v>
      </c>
    </row>
    <row r="469" spans="5:7" s="82" customFormat="1" ht="25.5" hidden="1" customHeight="1" x14ac:dyDescent="0.3">
      <c r="E469" s="82" t="s">
        <v>117</v>
      </c>
      <c r="F469" s="82" t="s">
        <v>232</v>
      </c>
      <c r="G469" s="82" t="s">
        <v>234</v>
      </c>
    </row>
    <row r="470" spans="5:7" s="82" customFormat="1" ht="25.5" hidden="1" customHeight="1" x14ac:dyDescent="0.3">
      <c r="E470" s="82" t="s">
        <v>117</v>
      </c>
      <c r="F470" s="82" t="s">
        <v>232</v>
      </c>
      <c r="G470" s="82" t="s">
        <v>731</v>
      </c>
    </row>
    <row r="471" spans="5:7" s="82" customFormat="1" ht="25.5" hidden="1" customHeight="1" x14ac:dyDescent="0.3">
      <c r="E471" s="82" t="s">
        <v>117</v>
      </c>
      <c r="F471" s="82" t="s">
        <v>117</v>
      </c>
      <c r="G471" s="82" t="s">
        <v>349</v>
      </c>
    </row>
    <row r="472" spans="5:7" s="82" customFormat="1" ht="25.5" hidden="1" customHeight="1" x14ac:dyDescent="0.3">
      <c r="E472" s="82" t="s">
        <v>117</v>
      </c>
      <c r="F472" s="82" t="s">
        <v>117</v>
      </c>
      <c r="G472" s="82" t="s">
        <v>424</v>
      </c>
    </row>
    <row r="473" spans="5:7" s="82" customFormat="1" ht="25.5" hidden="1" customHeight="1" x14ac:dyDescent="0.3">
      <c r="E473" s="82" t="s">
        <v>117</v>
      </c>
      <c r="F473" s="82" t="s">
        <v>117</v>
      </c>
      <c r="G473" s="82" t="s">
        <v>496</v>
      </c>
    </row>
    <row r="474" spans="5:7" s="82" customFormat="1" ht="25.5" hidden="1" customHeight="1" x14ac:dyDescent="0.3">
      <c r="E474" s="82" t="s">
        <v>117</v>
      </c>
      <c r="F474" s="82" t="s">
        <v>117</v>
      </c>
      <c r="G474" s="82" t="s">
        <v>804</v>
      </c>
    </row>
    <row r="475" spans="5:7" s="82" customFormat="1" ht="25.5" hidden="1" customHeight="1" x14ac:dyDescent="0.3">
      <c r="E475" s="82" t="s">
        <v>117</v>
      </c>
      <c r="F475" s="82" t="s">
        <v>117</v>
      </c>
      <c r="G475" s="82" t="s">
        <v>497</v>
      </c>
    </row>
    <row r="476" spans="5:7" s="82" customFormat="1" ht="25.5" hidden="1" customHeight="1" x14ac:dyDescent="0.3">
      <c r="E476" s="82" t="s">
        <v>117</v>
      </c>
      <c r="F476" s="82" t="s">
        <v>117</v>
      </c>
      <c r="G476" s="82" t="s">
        <v>498</v>
      </c>
    </row>
    <row r="477" spans="5:7" s="82" customFormat="1" ht="25.5" hidden="1" customHeight="1" x14ac:dyDescent="0.3">
      <c r="E477" s="82" t="s">
        <v>117</v>
      </c>
      <c r="F477" s="82" t="s">
        <v>117</v>
      </c>
      <c r="G477" s="82" t="s">
        <v>499</v>
      </c>
    </row>
    <row r="478" spans="5:7" s="82" customFormat="1" ht="25.5" hidden="1" customHeight="1" x14ac:dyDescent="0.3">
      <c r="E478" s="82" t="s">
        <v>117</v>
      </c>
      <c r="F478" s="82" t="s">
        <v>117</v>
      </c>
      <c r="G478" s="82" t="s">
        <v>500</v>
      </c>
    </row>
    <row r="479" spans="5:7" s="82" customFormat="1" ht="25.5" hidden="1" customHeight="1" x14ac:dyDescent="0.3"/>
    <row r="480" spans="5:7" s="82" customFormat="1" ht="25.5" hidden="1" customHeight="1" x14ac:dyDescent="0.3"/>
    <row r="481" spans="5:7" s="82" customFormat="1" ht="25.5" hidden="1" customHeight="1" x14ac:dyDescent="0.3"/>
    <row r="482" spans="5:7" s="82" customFormat="1" ht="25.5" hidden="1" customHeight="1" x14ac:dyDescent="0.3">
      <c r="E482" s="82" t="s">
        <v>117</v>
      </c>
      <c r="F482" s="82" t="s">
        <v>235</v>
      </c>
      <c r="G482" s="82" t="s">
        <v>236</v>
      </c>
    </row>
    <row r="483" spans="5:7" s="82" customFormat="1" ht="25.5" hidden="1" customHeight="1" x14ac:dyDescent="0.3">
      <c r="E483" s="82" t="s">
        <v>117</v>
      </c>
      <c r="F483" s="82" t="s">
        <v>237</v>
      </c>
      <c r="G483" s="82" t="s">
        <v>566</v>
      </c>
    </row>
    <row r="484" spans="5:7" s="82" customFormat="1" ht="25.5" hidden="1" customHeight="1" x14ac:dyDescent="0.3">
      <c r="E484" s="82" t="s">
        <v>117</v>
      </c>
      <c r="F484" s="82" t="s">
        <v>237</v>
      </c>
      <c r="G484" s="82" t="s">
        <v>351</v>
      </c>
    </row>
    <row r="485" spans="5:7" s="82" customFormat="1" ht="25.5" hidden="1" customHeight="1" x14ac:dyDescent="0.3">
      <c r="E485" s="82" t="s">
        <v>117</v>
      </c>
      <c r="F485" s="82" t="s">
        <v>237</v>
      </c>
      <c r="G485" s="82" t="s">
        <v>606</v>
      </c>
    </row>
    <row r="486" spans="5:7" s="82" customFormat="1" ht="25.5" hidden="1" customHeight="1" x14ac:dyDescent="0.3">
      <c r="E486" s="82" t="s">
        <v>117</v>
      </c>
      <c r="F486" s="82" t="s">
        <v>237</v>
      </c>
      <c r="G486" s="82" t="s">
        <v>508</v>
      </c>
    </row>
    <row r="487" spans="5:7" s="82" customFormat="1" ht="25.5" hidden="1" customHeight="1" x14ac:dyDescent="0.3">
      <c r="E487" s="82" t="s">
        <v>117</v>
      </c>
      <c r="F487" s="82" t="s">
        <v>237</v>
      </c>
      <c r="G487" s="82" t="s">
        <v>509</v>
      </c>
    </row>
    <row r="488" spans="5:7" s="82" customFormat="1" ht="25.5" hidden="1" customHeight="1" x14ac:dyDescent="0.3">
      <c r="E488" s="82" t="s">
        <v>117</v>
      </c>
      <c r="F488" s="82" t="s">
        <v>237</v>
      </c>
      <c r="G488" s="82" t="s">
        <v>798</v>
      </c>
    </row>
    <row r="489" spans="5:7" s="82" customFormat="1" ht="25.5" hidden="1" customHeight="1" x14ac:dyDescent="0.3">
      <c r="E489" s="82" t="s">
        <v>117</v>
      </c>
      <c r="F489" s="82" t="s">
        <v>237</v>
      </c>
      <c r="G489" s="82" t="s">
        <v>510</v>
      </c>
    </row>
    <row r="490" spans="5:7" s="82" customFormat="1" ht="25.5" hidden="1" customHeight="1" x14ac:dyDescent="0.3">
      <c r="E490" s="82" t="s">
        <v>117</v>
      </c>
      <c r="F490" s="82" t="s">
        <v>237</v>
      </c>
      <c r="G490" s="82" t="s">
        <v>768</v>
      </c>
    </row>
    <row r="491" spans="5:7" s="82" customFormat="1" ht="25.5" hidden="1" customHeight="1" x14ac:dyDescent="0.3">
      <c r="E491" s="82" t="s">
        <v>117</v>
      </c>
      <c r="F491" s="82" t="s">
        <v>237</v>
      </c>
      <c r="G491" s="82" t="s">
        <v>714</v>
      </c>
    </row>
    <row r="492" spans="5:7" s="82" customFormat="1" ht="25.5" hidden="1" customHeight="1" x14ac:dyDescent="0.3">
      <c r="E492" s="82" t="s">
        <v>117</v>
      </c>
      <c r="F492" s="82" t="s">
        <v>237</v>
      </c>
      <c r="G492" s="82" t="s">
        <v>425</v>
      </c>
    </row>
    <row r="493" spans="5:7" s="82" customFormat="1" ht="25.5" hidden="1" customHeight="1" x14ac:dyDescent="0.3">
      <c r="E493" s="82" t="s">
        <v>117</v>
      </c>
      <c r="F493" s="82" t="s">
        <v>147</v>
      </c>
      <c r="G493" s="82" t="s">
        <v>238</v>
      </c>
    </row>
    <row r="494" spans="5:7" s="82" customFormat="1" ht="25.5" hidden="1" customHeight="1" x14ac:dyDescent="0.3">
      <c r="E494" s="82" t="s">
        <v>117</v>
      </c>
      <c r="F494" s="82" t="s">
        <v>147</v>
      </c>
      <c r="G494" s="82" t="s">
        <v>567</v>
      </c>
    </row>
    <row r="495" spans="5:7" s="82" customFormat="1" ht="25.5" hidden="1" customHeight="1" x14ac:dyDescent="0.3">
      <c r="E495" s="82" t="s">
        <v>117</v>
      </c>
      <c r="F495" s="82" t="s">
        <v>147</v>
      </c>
      <c r="G495" s="82" t="s">
        <v>350</v>
      </c>
    </row>
    <row r="496" spans="5:7" s="82" customFormat="1" ht="25.5" hidden="1" customHeight="1" x14ac:dyDescent="0.3">
      <c r="E496" s="82" t="s">
        <v>117</v>
      </c>
      <c r="F496" s="82" t="s">
        <v>147</v>
      </c>
      <c r="G496" s="82" t="s">
        <v>607</v>
      </c>
    </row>
    <row r="497" spans="5:7" s="82" customFormat="1" ht="25.5" hidden="1" customHeight="1" x14ac:dyDescent="0.3">
      <c r="E497" s="82" t="s">
        <v>117</v>
      </c>
      <c r="F497" s="82" t="s">
        <v>147</v>
      </c>
      <c r="G497" s="82" t="s">
        <v>522</v>
      </c>
    </row>
    <row r="498" spans="5:7" s="82" customFormat="1" ht="25.5" hidden="1" customHeight="1" x14ac:dyDescent="0.3">
      <c r="E498" s="82" t="s">
        <v>117</v>
      </c>
      <c r="F498" s="82" t="s">
        <v>147</v>
      </c>
      <c r="G498" s="82" t="s">
        <v>523</v>
      </c>
    </row>
    <row r="499" spans="5:7" s="82" customFormat="1" ht="25.5" hidden="1" customHeight="1" x14ac:dyDescent="0.3">
      <c r="E499" s="82" t="s">
        <v>123</v>
      </c>
      <c r="F499" s="82" t="s">
        <v>124</v>
      </c>
      <c r="G499" s="82" t="s">
        <v>568</v>
      </c>
    </row>
    <row r="500" spans="5:7" s="82" customFormat="1" ht="25.5" hidden="1" customHeight="1" x14ac:dyDescent="0.3">
      <c r="E500" s="82" t="s">
        <v>123</v>
      </c>
      <c r="F500" s="82" t="s">
        <v>239</v>
      </c>
      <c r="G500" s="82" t="s">
        <v>667</v>
      </c>
    </row>
    <row r="501" spans="5:7" s="82" customFormat="1" ht="25.5" hidden="1" customHeight="1" x14ac:dyDescent="0.3">
      <c r="E501" s="82" t="s">
        <v>123</v>
      </c>
      <c r="F501" s="82" t="s">
        <v>240</v>
      </c>
      <c r="G501" s="82" t="s">
        <v>639</v>
      </c>
    </row>
    <row r="502" spans="5:7" s="82" customFormat="1" ht="25.5" hidden="1" customHeight="1" x14ac:dyDescent="0.3">
      <c r="E502" s="82" t="s">
        <v>123</v>
      </c>
      <c r="F502" s="82" t="s">
        <v>240</v>
      </c>
      <c r="G502" s="82" t="s">
        <v>715</v>
      </c>
    </row>
    <row r="503" spans="5:7" s="82" customFormat="1" ht="25.5" hidden="1" customHeight="1" x14ac:dyDescent="0.3">
      <c r="E503" s="82" t="s">
        <v>123</v>
      </c>
      <c r="F503" s="82" t="s">
        <v>124</v>
      </c>
      <c r="G503" s="82" t="s">
        <v>327</v>
      </c>
    </row>
    <row r="504" spans="5:7" s="82" customFormat="1" ht="25.5" hidden="1" customHeight="1" x14ac:dyDescent="0.3">
      <c r="E504" s="82" t="s">
        <v>123</v>
      </c>
      <c r="F504" s="82" t="s">
        <v>124</v>
      </c>
      <c r="G504" s="82" t="s">
        <v>844</v>
      </c>
    </row>
    <row r="505" spans="5:7" s="82" customFormat="1" ht="25.5" hidden="1" customHeight="1" x14ac:dyDescent="0.3">
      <c r="E505" s="82" t="s">
        <v>123</v>
      </c>
      <c r="F505" s="82" t="s">
        <v>124</v>
      </c>
      <c r="G505" s="82" t="s">
        <v>771</v>
      </c>
    </row>
    <row r="506" spans="5:7" s="82" customFormat="1" ht="25.5" hidden="1" customHeight="1" x14ac:dyDescent="0.3">
      <c r="E506" s="82" t="s">
        <v>123</v>
      </c>
      <c r="F506" s="82" t="s">
        <v>124</v>
      </c>
      <c r="G506" s="82" t="s">
        <v>772</v>
      </c>
    </row>
    <row r="507" spans="5:7" s="82" customFormat="1" ht="25.5" hidden="1" customHeight="1" x14ac:dyDescent="0.3">
      <c r="E507" s="82" t="s">
        <v>123</v>
      </c>
      <c r="F507" s="82" t="s">
        <v>124</v>
      </c>
      <c r="G507" s="82" t="s">
        <v>773</v>
      </c>
    </row>
    <row r="508" spans="5:7" s="82" customFormat="1" ht="25.5" hidden="1" customHeight="1" x14ac:dyDescent="0.3">
      <c r="E508" s="82" t="s">
        <v>123</v>
      </c>
      <c r="F508" s="82" t="s">
        <v>124</v>
      </c>
      <c r="G508" s="82" t="s">
        <v>774</v>
      </c>
    </row>
    <row r="509" spans="5:7" s="82" customFormat="1" ht="25.5" hidden="1" customHeight="1" x14ac:dyDescent="0.3">
      <c r="E509" s="82" t="s">
        <v>123</v>
      </c>
      <c r="F509" s="82" t="s">
        <v>124</v>
      </c>
      <c r="G509" s="82" t="s">
        <v>775</v>
      </c>
    </row>
    <row r="510" spans="5:7" s="82" customFormat="1" ht="25.5" hidden="1" customHeight="1" x14ac:dyDescent="0.3">
      <c r="E510" s="82" t="s">
        <v>123</v>
      </c>
      <c r="F510" s="82" t="s">
        <v>124</v>
      </c>
      <c r="G510" s="82" t="s">
        <v>466</v>
      </c>
    </row>
    <row r="511" spans="5:7" s="82" customFormat="1" ht="25.5" hidden="1" customHeight="1" x14ac:dyDescent="0.3">
      <c r="E511" s="82" t="s">
        <v>123</v>
      </c>
      <c r="F511" s="82" t="s">
        <v>124</v>
      </c>
      <c r="G511" s="82" t="s">
        <v>467</v>
      </c>
    </row>
    <row r="512" spans="5:7" s="82" customFormat="1" ht="25.5" hidden="1" customHeight="1" x14ac:dyDescent="0.3">
      <c r="E512" s="82" t="s">
        <v>123</v>
      </c>
      <c r="F512" s="82" t="s">
        <v>124</v>
      </c>
      <c r="G512" s="82" t="s">
        <v>468</v>
      </c>
    </row>
    <row r="513" spans="5:7" s="82" customFormat="1" ht="25.5" hidden="1" customHeight="1" x14ac:dyDescent="0.3">
      <c r="E513" s="82" t="s">
        <v>123</v>
      </c>
      <c r="F513" s="82" t="s">
        <v>124</v>
      </c>
      <c r="G513" s="82" t="s">
        <v>469</v>
      </c>
    </row>
    <row r="514" spans="5:7" s="82" customFormat="1" ht="25.5" hidden="1" customHeight="1" x14ac:dyDescent="0.3">
      <c r="E514" s="82" t="s">
        <v>123</v>
      </c>
      <c r="F514" s="82" t="s">
        <v>154</v>
      </c>
      <c r="G514" s="82" t="s">
        <v>640</v>
      </c>
    </row>
    <row r="515" spans="5:7" s="82" customFormat="1" ht="25.5" hidden="1" customHeight="1" x14ac:dyDescent="0.3">
      <c r="E515" s="82" t="s">
        <v>123</v>
      </c>
      <c r="F515" s="82" t="s">
        <v>154</v>
      </c>
      <c r="G515" s="82" t="s">
        <v>569</v>
      </c>
    </row>
    <row r="516" spans="5:7" s="82" customFormat="1" ht="25.5" hidden="1" customHeight="1" x14ac:dyDescent="0.3">
      <c r="E516" s="82" t="s">
        <v>123</v>
      </c>
      <c r="F516" s="82" t="s">
        <v>154</v>
      </c>
      <c r="G516" s="82" t="s">
        <v>780</v>
      </c>
    </row>
    <row r="517" spans="5:7" s="82" customFormat="1" ht="25.5" hidden="1" customHeight="1" x14ac:dyDescent="0.3">
      <c r="E517" s="82" t="s">
        <v>123</v>
      </c>
      <c r="F517" s="82" t="s">
        <v>154</v>
      </c>
      <c r="G517" s="82" t="s">
        <v>730</v>
      </c>
    </row>
    <row r="518" spans="5:7" s="82" customFormat="1" ht="25.5" hidden="1" customHeight="1" x14ac:dyDescent="0.3">
      <c r="E518" s="82" t="s">
        <v>123</v>
      </c>
      <c r="F518" s="82" t="s">
        <v>154</v>
      </c>
      <c r="G518" s="87" t="s">
        <v>326</v>
      </c>
    </row>
    <row r="519" spans="5:7" s="82" customFormat="1" ht="25.5" hidden="1" customHeight="1" x14ac:dyDescent="0.3">
      <c r="E519" s="82" t="s">
        <v>123</v>
      </c>
      <c r="F519" s="82" t="s">
        <v>154</v>
      </c>
      <c r="G519" s="82" t="s">
        <v>608</v>
      </c>
    </row>
    <row r="520" spans="5:7" s="82" customFormat="1" ht="25.5" hidden="1" customHeight="1" x14ac:dyDescent="0.3"/>
    <row r="521" spans="5:7" s="82" customFormat="1" ht="25.5" hidden="1" customHeight="1" x14ac:dyDescent="0.3">
      <c r="E521" s="82" t="s">
        <v>123</v>
      </c>
      <c r="F521" s="82" t="s">
        <v>241</v>
      </c>
      <c r="G521" s="82" t="s">
        <v>242</v>
      </c>
    </row>
    <row r="522" spans="5:7" s="82" customFormat="1" ht="25.5" hidden="1" customHeight="1" x14ac:dyDescent="0.3">
      <c r="E522" s="82" t="s">
        <v>123</v>
      </c>
      <c r="F522" s="82" t="s">
        <v>241</v>
      </c>
      <c r="G522" s="82" t="s">
        <v>716</v>
      </c>
    </row>
    <row r="523" spans="5:7" s="82" customFormat="1" ht="25.5" hidden="1" customHeight="1" x14ac:dyDescent="0.3">
      <c r="E523" s="82" t="s">
        <v>123</v>
      </c>
      <c r="F523" s="82" t="s">
        <v>241</v>
      </c>
      <c r="G523" s="82" t="s">
        <v>570</v>
      </c>
    </row>
    <row r="524" spans="5:7" s="82" customFormat="1" ht="25.5" hidden="1" customHeight="1" x14ac:dyDescent="0.3">
      <c r="E524" s="82" t="s">
        <v>123</v>
      </c>
      <c r="F524" s="82" t="s">
        <v>241</v>
      </c>
      <c r="G524" s="82" t="s">
        <v>427</v>
      </c>
    </row>
    <row r="525" spans="5:7" s="82" customFormat="1" ht="25.5" hidden="1" customHeight="1" x14ac:dyDescent="0.3"/>
    <row r="526" spans="5:7" s="82" customFormat="1" ht="25.5" hidden="1" customHeight="1" x14ac:dyDescent="0.3"/>
    <row r="527" spans="5:7" s="82" customFormat="1" ht="25.5" hidden="1" customHeight="1" x14ac:dyDescent="0.3">
      <c r="E527" s="82" t="s">
        <v>123</v>
      </c>
      <c r="F527" s="82" t="s">
        <v>153</v>
      </c>
      <c r="G527" s="82" t="s">
        <v>243</v>
      </c>
    </row>
    <row r="528" spans="5:7" s="82" customFormat="1" ht="25.5" hidden="1" customHeight="1" x14ac:dyDescent="0.3">
      <c r="E528" s="82" t="s">
        <v>123</v>
      </c>
      <c r="F528" s="82" t="s">
        <v>153</v>
      </c>
      <c r="G528" s="82" t="s">
        <v>571</v>
      </c>
    </row>
    <row r="529" spans="5:7" s="82" customFormat="1" ht="25.5" hidden="1" customHeight="1" x14ac:dyDescent="0.3">
      <c r="E529" s="82" t="s">
        <v>123</v>
      </c>
      <c r="F529" s="82" t="s">
        <v>153</v>
      </c>
      <c r="G529" s="82" t="s">
        <v>783</v>
      </c>
    </row>
    <row r="530" spans="5:7" s="82" customFormat="1" ht="25.5" hidden="1" customHeight="1" x14ac:dyDescent="0.3">
      <c r="E530" s="82" t="s">
        <v>123</v>
      </c>
      <c r="F530" s="82" t="s">
        <v>153</v>
      </c>
      <c r="G530" s="82" t="s">
        <v>713</v>
      </c>
    </row>
    <row r="531" spans="5:7" s="82" customFormat="1" ht="25.5" hidden="1" customHeight="1" x14ac:dyDescent="0.3">
      <c r="E531" s="82" t="s">
        <v>123</v>
      </c>
      <c r="F531" s="82" t="s">
        <v>153</v>
      </c>
      <c r="G531" s="82" t="s">
        <v>393</v>
      </c>
    </row>
    <row r="532" spans="5:7" s="82" customFormat="1" ht="25.5" hidden="1" customHeight="1" x14ac:dyDescent="0.3">
      <c r="E532" s="82" t="s">
        <v>123</v>
      </c>
      <c r="F532" s="82" t="s">
        <v>153</v>
      </c>
      <c r="G532" s="82" t="s">
        <v>428</v>
      </c>
    </row>
    <row r="533" spans="5:7" s="82" customFormat="1" ht="25.5" hidden="1" customHeight="1" x14ac:dyDescent="0.3">
      <c r="E533" s="82" t="s">
        <v>123</v>
      </c>
      <c r="F533" s="82" t="s">
        <v>153</v>
      </c>
      <c r="G533" s="82" t="s">
        <v>501</v>
      </c>
    </row>
    <row r="534" spans="5:7" s="82" customFormat="1" ht="25.5" hidden="1" customHeight="1" x14ac:dyDescent="0.3">
      <c r="E534" s="82" t="s">
        <v>123</v>
      </c>
      <c r="F534" s="82" t="s">
        <v>125</v>
      </c>
      <c r="G534" s="82" t="s">
        <v>572</v>
      </c>
    </row>
    <row r="535" spans="5:7" s="82" customFormat="1" ht="25.5" hidden="1" customHeight="1" x14ac:dyDescent="0.3">
      <c r="E535" s="82" t="s">
        <v>123</v>
      </c>
      <c r="F535" s="82" t="s">
        <v>125</v>
      </c>
      <c r="G535" s="82" t="s">
        <v>795</v>
      </c>
    </row>
    <row r="536" spans="5:7" s="82" customFormat="1" ht="25.5" hidden="1" customHeight="1" x14ac:dyDescent="0.3">
      <c r="E536" s="82" t="s">
        <v>123</v>
      </c>
      <c r="F536" s="82" t="s">
        <v>244</v>
      </c>
      <c r="G536" s="82" t="s">
        <v>641</v>
      </c>
    </row>
    <row r="537" spans="5:7" s="82" customFormat="1" ht="25.5" hidden="1" customHeight="1" x14ac:dyDescent="0.3">
      <c r="E537" s="82" t="s">
        <v>123</v>
      </c>
      <c r="F537" s="82" t="s">
        <v>244</v>
      </c>
      <c r="G537" s="82" t="s">
        <v>770</v>
      </c>
    </row>
    <row r="538" spans="5:7" s="82" customFormat="1" ht="25.5" hidden="1" customHeight="1" x14ac:dyDescent="0.3">
      <c r="E538" s="82" t="s">
        <v>123</v>
      </c>
      <c r="F538" s="82" t="s">
        <v>244</v>
      </c>
      <c r="G538" s="82" t="s">
        <v>729</v>
      </c>
    </row>
    <row r="539" spans="5:7" s="82" customFormat="1" ht="25.5" hidden="1" customHeight="1" x14ac:dyDescent="0.3">
      <c r="E539" s="82" t="s">
        <v>123</v>
      </c>
      <c r="F539" s="82" t="s">
        <v>125</v>
      </c>
      <c r="G539" s="82" t="s">
        <v>320</v>
      </c>
    </row>
    <row r="540" spans="5:7" s="82" customFormat="1" ht="25.5" hidden="1" customHeight="1" x14ac:dyDescent="0.3">
      <c r="E540" s="82" t="s">
        <v>123</v>
      </c>
      <c r="F540" s="82" t="s">
        <v>125</v>
      </c>
      <c r="G540" s="82" t="s">
        <v>506</v>
      </c>
    </row>
    <row r="541" spans="5:7" s="82" customFormat="1" ht="25.5" hidden="1" customHeight="1" x14ac:dyDescent="0.3">
      <c r="E541" s="82" t="s">
        <v>123</v>
      </c>
      <c r="F541" s="82" t="s">
        <v>125</v>
      </c>
      <c r="G541" s="82" t="s">
        <v>705</v>
      </c>
    </row>
    <row r="542" spans="5:7" s="82" customFormat="1" ht="25.5" hidden="1" customHeight="1" x14ac:dyDescent="0.3">
      <c r="E542" s="82" t="s">
        <v>123</v>
      </c>
      <c r="F542" s="82" t="s">
        <v>125</v>
      </c>
      <c r="G542" s="82" t="s">
        <v>507</v>
      </c>
    </row>
    <row r="543" spans="5:7" s="82" customFormat="1" ht="25.5" hidden="1" customHeight="1" x14ac:dyDescent="0.3">
      <c r="E543" s="82" t="s">
        <v>123</v>
      </c>
      <c r="F543" s="82" t="s">
        <v>127</v>
      </c>
      <c r="G543" s="82" t="s">
        <v>573</v>
      </c>
    </row>
    <row r="544" spans="5:7" s="82" customFormat="1" ht="25.5" hidden="1" customHeight="1" x14ac:dyDescent="0.3">
      <c r="E544" s="82" t="s">
        <v>123</v>
      </c>
      <c r="F544" s="82" t="s">
        <v>127</v>
      </c>
      <c r="G544" s="82" t="s">
        <v>791</v>
      </c>
    </row>
    <row r="545" spans="5:7" s="82" customFormat="1" ht="25.5" hidden="1" customHeight="1" x14ac:dyDescent="0.3">
      <c r="E545" s="82" t="s">
        <v>123</v>
      </c>
      <c r="F545" s="82" t="s">
        <v>127</v>
      </c>
      <c r="G545" s="82" t="s">
        <v>792</v>
      </c>
    </row>
    <row r="546" spans="5:7" s="82" customFormat="1" ht="25.5" hidden="1" customHeight="1" x14ac:dyDescent="0.3">
      <c r="E546" s="82" t="s">
        <v>123</v>
      </c>
      <c r="F546" s="82" t="s">
        <v>127</v>
      </c>
      <c r="G546" s="82" t="s">
        <v>793</v>
      </c>
    </row>
    <row r="547" spans="5:7" s="82" customFormat="1" ht="25.5" hidden="1" customHeight="1" x14ac:dyDescent="0.3">
      <c r="E547" s="82" t="s">
        <v>123</v>
      </c>
      <c r="F547" s="82" t="s">
        <v>127</v>
      </c>
      <c r="G547" s="82" t="s">
        <v>345</v>
      </c>
    </row>
    <row r="548" spans="5:7" s="82" customFormat="1" ht="25.5" hidden="1" customHeight="1" x14ac:dyDescent="0.3">
      <c r="E548" s="82" t="s">
        <v>123</v>
      </c>
      <c r="F548" s="82" t="s">
        <v>127</v>
      </c>
      <c r="G548" s="82" t="s">
        <v>728</v>
      </c>
    </row>
    <row r="549" spans="5:7" s="82" customFormat="1" ht="25.5" hidden="1" customHeight="1" x14ac:dyDescent="0.3">
      <c r="E549" s="82" t="s">
        <v>123</v>
      </c>
      <c r="F549" s="82" t="s">
        <v>245</v>
      </c>
      <c r="G549" s="82" t="s">
        <v>126</v>
      </c>
    </row>
    <row r="550" spans="5:7" s="82" customFormat="1" ht="25.5" hidden="1" customHeight="1" x14ac:dyDescent="0.3">
      <c r="E550" s="82" t="s">
        <v>123</v>
      </c>
      <c r="F550" s="82" t="s">
        <v>245</v>
      </c>
      <c r="G550" s="82" t="s">
        <v>429</v>
      </c>
    </row>
    <row r="551" spans="5:7" s="82" customFormat="1" ht="25.5" hidden="1" customHeight="1" x14ac:dyDescent="0.3">
      <c r="E551" s="82" t="s">
        <v>123</v>
      </c>
      <c r="F551" s="82" t="s">
        <v>245</v>
      </c>
      <c r="G551" s="82" t="s">
        <v>512</v>
      </c>
    </row>
    <row r="552" spans="5:7" s="82" customFormat="1" ht="25.5" hidden="1" customHeight="1" x14ac:dyDescent="0.3">
      <c r="E552" s="82" t="s">
        <v>123</v>
      </c>
      <c r="F552" s="82" t="s">
        <v>245</v>
      </c>
      <c r="G552" s="82" t="s">
        <v>513</v>
      </c>
    </row>
    <row r="553" spans="5:7" s="82" customFormat="1" ht="25.5" hidden="1" customHeight="1" x14ac:dyDescent="0.3">
      <c r="E553" s="82" t="s">
        <v>123</v>
      </c>
      <c r="F553" s="82" t="s">
        <v>123</v>
      </c>
      <c r="G553" s="82" t="s">
        <v>246</v>
      </c>
    </row>
    <row r="554" spans="5:7" s="82" customFormat="1" ht="25.5" hidden="1" customHeight="1" x14ac:dyDescent="0.3">
      <c r="E554" s="82" t="s">
        <v>123</v>
      </c>
      <c r="F554" s="82" t="s">
        <v>123</v>
      </c>
      <c r="G554" s="82" t="s">
        <v>668</v>
      </c>
    </row>
    <row r="555" spans="5:7" s="82" customFormat="1" ht="25.5" hidden="1" customHeight="1" x14ac:dyDescent="0.3">
      <c r="E555" s="82" t="s">
        <v>123</v>
      </c>
      <c r="F555" s="82" t="s">
        <v>247</v>
      </c>
      <c r="G555" s="82" t="s">
        <v>248</v>
      </c>
    </row>
    <row r="556" spans="5:7" s="82" customFormat="1" ht="25.5" hidden="1" customHeight="1" x14ac:dyDescent="0.3">
      <c r="E556" s="82" t="s">
        <v>123</v>
      </c>
      <c r="F556" s="82" t="s">
        <v>247</v>
      </c>
      <c r="G556" s="82" t="s">
        <v>721</v>
      </c>
    </row>
    <row r="557" spans="5:7" s="82" customFormat="1" ht="25.5" hidden="1" customHeight="1" x14ac:dyDescent="0.3">
      <c r="E557" s="82" t="s">
        <v>123</v>
      </c>
      <c r="F557" s="82" t="s">
        <v>247</v>
      </c>
      <c r="G557" s="82" t="s">
        <v>786</v>
      </c>
    </row>
    <row r="558" spans="5:7" s="82" customFormat="1" ht="25.5" hidden="1" customHeight="1" x14ac:dyDescent="0.3">
      <c r="E558" s="82" t="s">
        <v>123</v>
      </c>
      <c r="F558" s="82" t="s">
        <v>247</v>
      </c>
      <c r="G558" s="82" t="s">
        <v>805</v>
      </c>
    </row>
    <row r="559" spans="5:7" s="82" customFormat="1" ht="25.5" hidden="1" customHeight="1" x14ac:dyDescent="0.3">
      <c r="E559" s="82" t="s">
        <v>123</v>
      </c>
      <c r="F559" s="82" t="s">
        <v>247</v>
      </c>
      <c r="G559" s="82" t="s">
        <v>708</v>
      </c>
    </row>
    <row r="560" spans="5:7" s="82" customFormat="1" ht="25.5" hidden="1" customHeight="1" x14ac:dyDescent="0.3">
      <c r="E560" s="82" t="s">
        <v>123</v>
      </c>
      <c r="F560" s="82" t="s">
        <v>247</v>
      </c>
      <c r="G560" s="82" t="s">
        <v>426</v>
      </c>
    </row>
    <row r="561" spans="5:7" s="82" customFormat="1" ht="25.5" hidden="1" customHeight="1" x14ac:dyDescent="0.3">
      <c r="E561" s="82" t="s">
        <v>123</v>
      </c>
      <c r="F561" s="82" t="s">
        <v>247</v>
      </c>
      <c r="G561" s="82" t="s">
        <v>515</v>
      </c>
    </row>
    <row r="562" spans="5:7" s="82" customFormat="1" ht="25.5" hidden="1" customHeight="1" x14ac:dyDescent="0.3">
      <c r="E562" s="82" t="s">
        <v>123</v>
      </c>
      <c r="F562" s="82" t="s">
        <v>247</v>
      </c>
      <c r="G562" s="82" t="s">
        <v>516</v>
      </c>
    </row>
    <row r="563" spans="5:7" s="82" customFormat="1" ht="25.5" hidden="1" customHeight="1" x14ac:dyDescent="0.3">
      <c r="E563" s="82" t="s">
        <v>123</v>
      </c>
      <c r="F563" s="82" t="s">
        <v>247</v>
      </c>
      <c r="G563" s="82" t="s">
        <v>517</v>
      </c>
    </row>
    <row r="564" spans="5:7" s="82" customFormat="1" ht="25.5" hidden="1" customHeight="1" x14ac:dyDescent="0.3">
      <c r="E564" s="82" t="s">
        <v>123</v>
      </c>
      <c r="F564" s="82" t="s">
        <v>128</v>
      </c>
      <c r="G564" s="82" t="s">
        <v>642</v>
      </c>
    </row>
    <row r="565" spans="5:7" s="82" customFormat="1" ht="25.5" hidden="1" customHeight="1" x14ac:dyDescent="0.3">
      <c r="E565" s="82" t="s">
        <v>123</v>
      </c>
      <c r="F565" s="82" t="s">
        <v>128</v>
      </c>
      <c r="G565" s="82" t="s">
        <v>727</v>
      </c>
    </row>
    <row r="566" spans="5:7" s="82" customFormat="1" ht="25.5" hidden="1" customHeight="1" x14ac:dyDescent="0.3">
      <c r="E566" s="82" t="s">
        <v>123</v>
      </c>
      <c r="F566" s="82" t="s">
        <v>128</v>
      </c>
      <c r="G566" s="82" t="s">
        <v>574</v>
      </c>
    </row>
    <row r="567" spans="5:7" s="82" customFormat="1" ht="25.5" hidden="1" customHeight="1" x14ac:dyDescent="0.3">
      <c r="E567" s="82" t="s">
        <v>123</v>
      </c>
      <c r="F567" s="82" t="s">
        <v>128</v>
      </c>
      <c r="G567" s="82" t="s">
        <v>776</v>
      </c>
    </row>
    <row r="568" spans="5:7" s="82" customFormat="1" ht="25.5" hidden="1" customHeight="1" x14ac:dyDescent="0.3">
      <c r="E568" s="82" t="s">
        <v>123</v>
      </c>
      <c r="F568" s="82" t="s">
        <v>249</v>
      </c>
      <c r="G568" s="82" t="s">
        <v>328</v>
      </c>
    </row>
    <row r="569" spans="5:7" s="82" customFormat="1" ht="25.5" hidden="1" customHeight="1" x14ac:dyDescent="0.3">
      <c r="E569" s="82" t="s">
        <v>123</v>
      </c>
      <c r="F569" s="82" t="s">
        <v>249</v>
      </c>
      <c r="G569" s="82" t="s">
        <v>781</v>
      </c>
    </row>
    <row r="570" spans="5:7" s="82" customFormat="1" ht="25.5" hidden="1" customHeight="1" x14ac:dyDescent="0.3">
      <c r="E570" s="82" t="s">
        <v>123</v>
      </c>
      <c r="F570" s="82" t="s">
        <v>249</v>
      </c>
      <c r="G570" s="82" t="s">
        <v>524</v>
      </c>
    </row>
    <row r="571" spans="5:7" s="82" customFormat="1" ht="25.5" hidden="1" customHeight="1" x14ac:dyDescent="0.3">
      <c r="E571" s="82" t="s">
        <v>123</v>
      </c>
      <c r="F571" s="82" t="s">
        <v>249</v>
      </c>
      <c r="G571" s="82" t="s">
        <v>748</v>
      </c>
    </row>
    <row r="572" spans="5:7" s="82" customFormat="1" ht="25.5" hidden="1" customHeight="1" x14ac:dyDescent="0.3">
      <c r="E572" s="82" t="s">
        <v>123</v>
      </c>
      <c r="F572" s="82" t="s">
        <v>249</v>
      </c>
      <c r="G572" s="82" t="s">
        <v>525</v>
      </c>
    </row>
    <row r="573" spans="5:7" s="82" customFormat="1" ht="25.5" hidden="1" customHeight="1" x14ac:dyDescent="0.3"/>
    <row r="574" spans="5:7" s="82" customFormat="1" ht="25.5" hidden="1" customHeight="1" x14ac:dyDescent="0.3">
      <c r="E574" s="82" t="s">
        <v>129</v>
      </c>
      <c r="F574" s="82" t="s">
        <v>155</v>
      </c>
      <c r="G574" s="82" t="s">
        <v>643</v>
      </c>
    </row>
    <row r="575" spans="5:7" s="82" customFormat="1" ht="25.5" hidden="1" customHeight="1" x14ac:dyDescent="0.3">
      <c r="E575" s="82" t="s">
        <v>129</v>
      </c>
      <c r="F575" s="82" t="s">
        <v>155</v>
      </c>
      <c r="G575" s="82" t="s">
        <v>669</v>
      </c>
    </row>
    <row r="576" spans="5:7" s="82" customFormat="1" ht="25.5" hidden="1" customHeight="1" x14ac:dyDescent="0.3">
      <c r="E576" s="82" t="s">
        <v>129</v>
      </c>
      <c r="F576" s="82" t="s">
        <v>155</v>
      </c>
      <c r="G576" s="82" t="s">
        <v>782</v>
      </c>
    </row>
    <row r="577" spans="5:7" s="82" customFormat="1" ht="25.5" hidden="1" customHeight="1" x14ac:dyDescent="0.3">
      <c r="E577" s="82" t="s">
        <v>129</v>
      </c>
      <c r="F577" s="82" t="s">
        <v>155</v>
      </c>
      <c r="G577" s="82" t="s">
        <v>575</v>
      </c>
    </row>
    <row r="578" spans="5:7" s="82" customFormat="1" ht="25.5" hidden="1" customHeight="1" x14ac:dyDescent="0.3">
      <c r="E578" s="82" t="s">
        <v>129</v>
      </c>
      <c r="F578" s="82" t="s">
        <v>155</v>
      </c>
      <c r="G578" s="82" t="s">
        <v>789</v>
      </c>
    </row>
    <row r="579" spans="5:7" s="82" customFormat="1" ht="25.5" hidden="1" customHeight="1" x14ac:dyDescent="0.3">
      <c r="E579" s="82" t="s">
        <v>129</v>
      </c>
      <c r="F579" s="82" t="s">
        <v>155</v>
      </c>
      <c r="G579" s="82" t="s">
        <v>312</v>
      </c>
    </row>
    <row r="580" spans="5:7" s="82" customFormat="1" ht="25.5" hidden="1" customHeight="1" x14ac:dyDescent="0.3">
      <c r="E580" s="82" t="s">
        <v>129</v>
      </c>
      <c r="F580" s="82" t="s">
        <v>155</v>
      </c>
      <c r="G580" s="82" t="s">
        <v>361</v>
      </c>
    </row>
    <row r="581" spans="5:7" s="82" customFormat="1" ht="25.5" hidden="1" customHeight="1" x14ac:dyDescent="0.3">
      <c r="E581" s="82" t="s">
        <v>129</v>
      </c>
      <c r="F581" s="82" t="s">
        <v>155</v>
      </c>
      <c r="G581" s="82" t="s">
        <v>723</v>
      </c>
    </row>
    <row r="582" spans="5:7" s="82" customFormat="1" ht="25.5" hidden="1" customHeight="1" x14ac:dyDescent="0.3">
      <c r="E582" s="82" t="s">
        <v>129</v>
      </c>
      <c r="F582" s="82" t="s">
        <v>155</v>
      </c>
      <c r="G582" s="82" t="s">
        <v>397</v>
      </c>
    </row>
    <row r="583" spans="5:7" s="82" customFormat="1" ht="25.5" hidden="1" customHeight="1" x14ac:dyDescent="0.3">
      <c r="E583" s="82" t="s">
        <v>129</v>
      </c>
      <c r="F583" s="82" t="s">
        <v>155</v>
      </c>
      <c r="G583" s="82" t="s">
        <v>398</v>
      </c>
    </row>
    <row r="584" spans="5:7" s="82" customFormat="1" ht="25.5" hidden="1" customHeight="1" x14ac:dyDescent="0.3">
      <c r="E584" s="82" t="s">
        <v>129</v>
      </c>
      <c r="F584" s="82" t="s">
        <v>155</v>
      </c>
      <c r="G584" s="82" t="s">
        <v>430</v>
      </c>
    </row>
    <row r="585" spans="5:7" s="82" customFormat="1" ht="25.5" hidden="1" customHeight="1" x14ac:dyDescent="0.3">
      <c r="E585" s="82" t="s">
        <v>129</v>
      </c>
      <c r="F585" s="82" t="s">
        <v>155</v>
      </c>
      <c r="G585" s="82" t="s">
        <v>471</v>
      </c>
    </row>
    <row r="586" spans="5:7" s="82" customFormat="1" ht="25.5" hidden="1" customHeight="1" x14ac:dyDescent="0.3">
      <c r="E586" s="82" t="s">
        <v>129</v>
      </c>
      <c r="F586" s="82" t="s">
        <v>130</v>
      </c>
      <c r="G586" s="82" t="s">
        <v>576</v>
      </c>
    </row>
    <row r="587" spans="5:7" s="82" customFormat="1" ht="25.5" hidden="1" customHeight="1" x14ac:dyDescent="0.3">
      <c r="E587" s="82" t="s">
        <v>129</v>
      </c>
      <c r="F587" s="82" t="s">
        <v>341</v>
      </c>
      <c r="G587" s="82" t="s">
        <v>342</v>
      </c>
    </row>
    <row r="588" spans="5:7" s="82" customFormat="1" ht="25.5" hidden="1" customHeight="1" x14ac:dyDescent="0.3">
      <c r="E588" s="82" t="s">
        <v>129</v>
      </c>
      <c r="F588" s="82" t="s">
        <v>250</v>
      </c>
      <c r="G588" s="82" t="s">
        <v>644</v>
      </c>
    </row>
    <row r="589" spans="5:7" s="82" customFormat="1" ht="25.5" hidden="1" customHeight="1" x14ac:dyDescent="0.3">
      <c r="E589" s="82" t="s">
        <v>129</v>
      </c>
      <c r="F589" s="82" t="s">
        <v>250</v>
      </c>
      <c r="G589" s="82" t="s">
        <v>360</v>
      </c>
    </row>
    <row r="590" spans="5:7" s="82" customFormat="1" ht="25.5" hidden="1" customHeight="1" x14ac:dyDescent="0.3">
      <c r="E590" s="82" t="s">
        <v>129</v>
      </c>
      <c r="F590" s="82" t="s">
        <v>250</v>
      </c>
      <c r="G590" s="82" t="s">
        <v>794</v>
      </c>
    </row>
    <row r="591" spans="5:7" s="82" customFormat="1" ht="25.5" hidden="1" customHeight="1" x14ac:dyDescent="0.3">
      <c r="E591" s="82" t="s">
        <v>129</v>
      </c>
      <c r="F591" s="82" t="s">
        <v>250</v>
      </c>
      <c r="G591" s="82" t="s">
        <v>787</v>
      </c>
    </row>
    <row r="592" spans="5:7" s="82" customFormat="1" ht="25.5" hidden="1" customHeight="1" x14ac:dyDescent="0.3">
      <c r="E592" s="82" t="s">
        <v>129</v>
      </c>
      <c r="F592" s="82" t="s">
        <v>250</v>
      </c>
      <c r="G592" s="82" t="s">
        <v>609</v>
      </c>
    </row>
    <row r="593" spans="5:7" s="82" customFormat="1" ht="25.5" hidden="1" customHeight="1" x14ac:dyDescent="0.3">
      <c r="E593" s="82" t="s">
        <v>129</v>
      </c>
      <c r="F593" s="82" t="s">
        <v>250</v>
      </c>
      <c r="G593" s="82" t="s">
        <v>475</v>
      </c>
    </row>
    <row r="594" spans="5:7" s="82" customFormat="1" ht="25.5" hidden="1" customHeight="1" x14ac:dyDescent="0.3">
      <c r="E594" s="82" t="s">
        <v>129</v>
      </c>
      <c r="F594" s="82" t="s">
        <v>250</v>
      </c>
      <c r="G594" s="82" t="s">
        <v>476</v>
      </c>
    </row>
    <row r="595" spans="5:7" s="82" customFormat="1" ht="25.5" hidden="1" customHeight="1" x14ac:dyDescent="0.3">
      <c r="E595" s="82" t="s">
        <v>129</v>
      </c>
      <c r="F595" s="82" t="s">
        <v>131</v>
      </c>
      <c r="G595" s="82" t="s">
        <v>577</v>
      </c>
    </row>
    <row r="596" spans="5:7" s="82" customFormat="1" ht="25.5" hidden="1" customHeight="1" x14ac:dyDescent="0.3">
      <c r="E596" s="82" t="s">
        <v>129</v>
      </c>
      <c r="F596" s="82" t="s">
        <v>251</v>
      </c>
      <c r="G596" s="82" t="s">
        <v>645</v>
      </c>
    </row>
    <row r="597" spans="5:7" s="82" customFormat="1" ht="25.5" hidden="1" customHeight="1" x14ac:dyDescent="0.3">
      <c r="E597" s="82" t="s">
        <v>129</v>
      </c>
      <c r="F597" s="82" t="s">
        <v>251</v>
      </c>
      <c r="G597" s="82" t="s">
        <v>712</v>
      </c>
    </row>
    <row r="598" spans="5:7" s="82" customFormat="1" ht="25.5" hidden="1" customHeight="1" x14ac:dyDescent="0.3">
      <c r="E598" s="82" t="s">
        <v>129</v>
      </c>
      <c r="F598" s="82" t="s">
        <v>251</v>
      </c>
      <c r="G598" s="82" t="s">
        <v>394</v>
      </c>
    </row>
    <row r="599" spans="5:7" s="82" customFormat="1" ht="25.5" hidden="1" customHeight="1" x14ac:dyDescent="0.3">
      <c r="E599" s="82" t="s">
        <v>129</v>
      </c>
      <c r="F599" s="82" t="s">
        <v>251</v>
      </c>
      <c r="G599" s="82" t="s">
        <v>431</v>
      </c>
    </row>
    <row r="600" spans="5:7" s="82" customFormat="1" ht="25.5" hidden="1" customHeight="1" x14ac:dyDescent="0.3">
      <c r="E600" s="82" t="s">
        <v>129</v>
      </c>
      <c r="F600" s="82" t="s">
        <v>251</v>
      </c>
      <c r="G600" s="82" t="s">
        <v>487</v>
      </c>
    </row>
    <row r="601" spans="5:7" s="82" customFormat="1" ht="25.5" hidden="1" customHeight="1" x14ac:dyDescent="0.3">
      <c r="E601" s="82" t="s">
        <v>129</v>
      </c>
      <c r="F601" s="82" t="s">
        <v>156</v>
      </c>
      <c r="G601" s="82" t="s">
        <v>252</v>
      </c>
    </row>
    <row r="602" spans="5:7" s="82" customFormat="1" ht="25.5" hidden="1" customHeight="1" x14ac:dyDescent="0.3">
      <c r="E602" s="82" t="s">
        <v>129</v>
      </c>
      <c r="F602" s="82" t="s">
        <v>156</v>
      </c>
      <c r="G602" s="82" t="s">
        <v>578</v>
      </c>
    </row>
    <row r="603" spans="5:7" s="82" customFormat="1" ht="25.5" hidden="1" customHeight="1" x14ac:dyDescent="0.3">
      <c r="E603" s="82" t="s">
        <v>129</v>
      </c>
      <c r="F603" s="82" t="s">
        <v>156</v>
      </c>
      <c r="G603" s="82" t="s">
        <v>432</v>
      </c>
    </row>
    <row r="604" spans="5:7" s="82" customFormat="1" ht="25.5" hidden="1" customHeight="1" x14ac:dyDescent="0.3">
      <c r="E604" s="82" t="s">
        <v>129</v>
      </c>
      <c r="F604" s="82" t="s">
        <v>156</v>
      </c>
      <c r="G604" s="82" t="s">
        <v>488</v>
      </c>
    </row>
    <row r="605" spans="5:7" s="82" customFormat="1" ht="25.5" hidden="1" customHeight="1" x14ac:dyDescent="0.3"/>
    <row r="606" spans="5:7" s="82" customFormat="1" ht="25.5" hidden="1" customHeight="1" x14ac:dyDescent="0.3">
      <c r="E606" s="82" t="s">
        <v>129</v>
      </c>
      <c r="F606" s="82" t="s">
        <v>157</v>
      </c>
      <c r="G606" s="82" t="s">
        <v>253</v>
      </c>
    </row>
    <row r="607" spans="5:7" s="82" customFormat="1" ht="25.5" hidden="1" customHeight="1" x14ac:dyDescent="0.3">
      <c r="E607" s="82" t="s">
        <v>129</v>
      </c>
      <c r="F607" s="82" t="s">
        <v>157</v>
      </c>
      <c r="G607" s="82" t="s">
        <v>717</v>
      </c>
    </row>
    <row r="608" spans="5:7" s="82" customFormat="1" ht="25.5" hidden="1" customHeight="1" x14ac:dyDescent="0.3">
      <c r="E608" s="82" t="s">
        <v>129</v>
      </c>
      <c r="F608" s="82" t="s">
        <v>157</v>
      </c>
      <c r="G608" s="82" t="s">
        <v>778</v>
      </c>
    </row>
    <row r="609" spans="5:7" s="82" customFormat="1" ht="25.5" hidden="1" customHeight="1" x14ac:dyDescent="0.3">
      <c r="E609" s="82" t="s">
        <v>129</v>
      </c>
      <c r="F609" s="82" t="s">
        <v>157</v>
      </c>
      <c r="G609" s="82" t="s">
        <v>779</v>
      </c>
    </row>
    <row r="610" spans="5:7" s="82" customFormat="1" ht="25.5" hidden="1" customHeight="1" x14ac:dyDescent="0.3">
      <c r="E610" s="82" t="s">
        <v>129</v>
      </c>
      <c r="F610" s="82" t="s">
        <v>157</v>
      </c>
      <c r="G610" s="82" t="s">
        <v>579</v>
      </c>
    </row>
    <row r="611" spans="5:7" s="82" customFormat="1" ht="25.5" hidden="1" customHeight="1" x14ac:dyDescent="0.3">
      <c r="E611" s="82" t="s">
        <v>129</v>
      </c>
      <c r="F611" s="82" t="s">
        <v>157</v>
      </c>
      <c r="G611" s="82" t="s">
        <v>610</v>
      </c>
    </row>
    <row r="612" spans="5:7" s="82" customFormat="1" ht="25.5" hidden="1" customHeight="1" x14ac:dyDescent="0.3">
      <c r="E612" s="82" t="s">
        <v>129</v>
      </c>
      <c r="F612" s="82" t="s">
        <v>157</v>
      </c>
      <c r="G612" s="82" t="s">
        <v>395</v>
      </c>
    </row>
    <row r="613" spans="5:7" s="82" customFormat="1" ht="25.5" hidden="1" customHeight="1" x14ac:dyDescent="0.3">
      <c r="E613" s="82" t="s">
        <v>129</v>
      </c>
      <c r="F613" s="82" t="s">
        <v>157</v>
      </c>
      <c r="G613" s="82" t="s">
        <v>433</v>
      </c>
    </row>
    <row r="614" spans="5:7" s="82" customFormat="1" ht="25.5" hidden="1" customHeight="1" x14ac:dyDescent="0.3">
      <c r="E614" s="82" t="s">
        <v>129</v>
      </c>
      <c r="F614" s="82" t="s">
        <v>158</v>
      </c>
      <c r="G614" s="82" t="s">
        <v>254</v>
      </c>
    </row>
    <row r="615" spans="5:7" s="82" customFormat="1" ht="25.5" hidden="1" customHeight="1" x14ac:dyDescent="0.3">
      <c r="E615" s="82" t="s">
        <v>129</v>
      </c>
      <c r="F615" s="82" t="s">
        <v>158</v>
      </c>
      <c r="G615" s="82" t="s">
        <v>749</v>
      </c>
    </row>
    <row r="616" spans="5:7" s="82" customFormat="1" ht="25.5" hidden="1" customHeight="1" x14ac:dyDescent="0.3">
      <c r="E616" s="82" t="s">
        <v>129</v>
      </c>
      <c r="F616" s="82" t="s">
        <v>158</v>
      </c>
      <c r="G616" s="82" t="s">
        <v>725</v>
      </c>
    </row>
    <row r="617" spans="5:7" s="82" customFormat="1" ht="25.5" hidden="1" customHeight="1" x14ac:dyDescent="0.3">
      <c r="E617" s="82" t="s">
        <v>129</v>
      </c>
      <c r="F617" s="82" t="s">
        <v>158</v>
      </c>
      <c r="G617" s="82" t="s">
        <v>580</v>
      </c>
    </row>
    <row r="618" spans="5:7" s="82" customFormat="1" ht="25.5" hidden="1" customHeight="1" x14ac:dyDescent="0.3">
      <c r="E618" s="82" t="s">
        <v>129</v>
      </c>
      <c r="F618" s="82" t="s">
        <v>158</v>
      </c>
      <c r="G618" s="82" t="s">
        <v>396</v>
      </c>
    </row>
    <row r="619" spans="5:7" s="82" customFormat="1" ht="25.5" hidden="1" customHeight="1" x14ac:dyDescent="0.3"/>
    <row r="620" spans="5:7" s="82" customFormat="1" ht="25.5" hidden="1" customHeight="1" x14ac:dyDescent="0.3">
      <c r="E620" s="82" t="s">
        <v>129</v>
      </c>
      <c r="F620" s="82" t="s">
        <v>255</v>
      </c>
      <c r="G620" s="82" t="s">
        <v>646</v>
      </c>
    </row>
    <row r="621" spans="5:7" s="82" customFormat="1" ht="25.5" hidden="1" customHeight="1" x14ac:dyDescent="0.3">
      <c r="E621" s="82" t="s">
        <v>129</v>
      </c>
      <c r="F621" s="82" t="s">
        <v>129</v>
      </c>
      <c r="G621" s="82" t="s">
        <v>256</v>
      </c>
    </row>
    <row r="622" spans="5:7" s="82" customFormat="1" ht="25.5" hidden="1" customHeight="1" x14ac:dyDescent="0.3">
      <c r="E622" s="82" t="s">
        <v>129</v>
      </c>
      <c r="F622" s="82" t="s">
        <v>129</v>
      </c>
      <c r="G622" s="82" t="s">
        <v>790</v>
      </c>
    </row>
    <row r="623" spans="5:7" s="82" customFormat="1" ht="25.5" hidden="1" customHeight="1" x14ac:dyDescent="0.3">
      <c r="E623" s="82" t="s">
        <v>129</v>
      </c>
      <c r="F623" s="82" t="s">
        <v>129</v>
      </c>
      <c r="G623" s="82" t="s">
        <v>722</v>
      </c>
    </row>
    <row r="624" spans="5:7" s="82" customFormat="1" ht="25.5" hidden="1" customHeight="1" x14ac:dyDescent="0.3">
      <c r="E624" s="82" t="s">
        <v>129</v>
      </c>
      <c r="F624" s="82" t="s">
        <v>129</v>
      </c>
      <c r="G624" s="82" t="s">
        <v>785</v>
      </c>
    </row>
    <row r="625" spans="5:7" s="82" customFormat="1" ht="25.5" hidden="1" customHeight="1" x14ac:dyDescent="0.3">
      <c r="E625" s="82" t="s">
        <v>129</v>
      </c>
      <c r="F625" s="82" t="s">
        <v>129</v>
      </c>
      <c r="G625" s="82" t="s">
        <v>340</v>
      </c>
    </row>
    <row r="626" spans="5:7" s="82" customFormat="1" ht="25.5" hidden="1" customHeight="1" x14ac:dyDescent="0.3">
      <c r="E626" s="82" t="s">
        <v>129</v>
      </c>
      <c r="F626" s="82" t="s">
        <v>129</v>
      </c>
      <c r="G626" s="82" t="s">
        <v>611</v>
      </c>
    </row>
    <row r="627" spans="5:7" s="82" customFormat="1" ht="25.5" hidden="1" customHeight="1" x14ac:dyDescent="0.3">
      <c r="E627" s="82" t="s">
        <v>129</v>
      </c>
      <c r="F627" s="82" t="s">
        <v>129</v>
      </c>
      <c r="G627" s="82" t="s">
        <v>434</v>
      </c>
    </row>
    <row r="628" spans="5:7" s="82" customFormat="1" ht="25.5" hidden="1" customHeight="1" x14ac:dyDescent="0.3">
      <c r="E628" s="82" t="s">
        <v>129</v>
      </c>
      <c r="F628" s="82" t="s">
        <v>129</v>
      </c>
      <c r="G628" s="82" t="s">
        <v>518</v>
      </c>
    </row>
    <row r="629" spans="5:7" s="82" customFormat="1" ht="25.5" hidden="1" customHeight="1" x14ac:dyDescent="0.3">
      <c r="E629" s="82" t="s">
        <v>129</v>
      </c>
      <c r="F629" s="82" t="s">
        <v>159</v>
      </c>
      <c r="G629" s="82" t="s">
        <v>581</v>
      </c>
    </row>
    <row r="630" spans="5:7" s="82" customFormat="1" ht="25.5" hidden="1" customHeight="1" x14ac:dyDescent="0.3">
      <c r="E630" s="82" t="s">
        <v>129</v>
      </c>
      <c r="F630" s="82" t="s">
        <v>159</v>
      </c>
      <c r="G630" s="82" t="s">
        <v>647</v>
      </c>
    </row>
    <row r="631" spans="5:7" s="82" customFormat="1" ht="25.5" hidden="1" customHeight="1" x14ac:dyDescent="0.3">
      <c r="E631" s="82" t="s">
        <v>129</v>
      </c>
      <c r="F631" s="82" t="s">
        <v>159</v>
      </c>
      <c r="G631" s="82" t="s">
        <v>724</v>
      </c>
    </row>
    <row r="632" spans="5:7" s="82" customFormat="1" ht="25.5" hidden="1" customHeight="1" x14ac:dyDescent="0.3">
      <c r="E632" s="82" t="s">
        <v>129</v>
      </c>
      <c r="F632" s="82" t="s">
        <v>159</v>
      </c>
      <c r="G632" s="82" t="s">
        <v>612</v>
      </c>
    </row>
    <row r="633" spans="5:7" s="82" customFormat="1" ht="25.5" hidden="1" customHeight="1" x14ac:dyDescent="0.3">
      <c r="E633" s="82" t="s">
        <v>129</v>
      </c>
      <c r="F633" s="82" t="s">
        <v>159</v>
      </c>
      <c r="G633" s="82" t="s">
        <v>435</v>
      </c>
    </row>
    <row r="634" spans="5:7" s="82" customFormat="1" ht="25.5" hidden="1" customHeight="1" x14ac:dyDescent="0.3">
      <c r="E634" s="82" t="s">
        <v>129</v>
      </c>
      <c r="F634" s="82" t="s">
        <v>159</v>
      </c>
      <c r="G634" s="82" t="s">
        <v>671</v>
      </c>
    </row>
    <row r="635" spans="5:7" s="82" customFormat="1" ht="25.5" hidden="1" customHeight="1" x14ac:dyDescent="0.3">
      <c r="E635" s="82" t="s">
        <v>132</v>
      </c>
      <c r="F635" s="82" t="s">
        <v>133</v>
      </c>
      <c r="G635" s="82" t="s">
        <v>582</v>
      </c>
    </row>
    <row r="636" spans="5:7" s="82" customFormat="1" ht="25.5" hidden="1" customHeight="1" x14ac:dyDescent="0.3">
      <c r="E636" s="82" t="s">
        <v>132</v>
      </c>
      <c r="F636" s="82" t="s">
        <v>133</v>
      </c>
      <c r="G636" s="82" t="s">
        <v>346</v>
      </c>
    </row>
    <row r="637" spans="5:7" s="82" customFormat="1" ht="25.5" hidden="1" customHeight="1" x14ac:dyDescent="0.3">
      <c r="E637" s="82" t="s">
        <v>132</v>
      </c>
      <c r="F637" s="82" t="s">
        <v>257</v>
      </c>
      <c r="G637" s="82" t="s">
        <v>258</v>
      </c>
    </row>
    <row r="638" spans="5:7" s="82" customFormat="1" ht="25.5" hidden="1" customHeight="1" x14ac:dyDescent="0.3">
      <c r="E638" s="82" t="s">
        <v>132</v>
      </c>
      <c r="F638" s="82" t="s">
        <v>257</v>
      </c>
      <c r="G638" s="82" t="s">
        <v>726</v>
      </c>
    </row>
    <row r="639" spans="5:7" s="82" customFormat="1" ht="25.5" hidden="1" customHeight="1" x14ac:dyDescent="0.3">
      <c r="E639" s="82" t="s">
        <v>132</v>
      </c>
      <c r="F639" s="82" t="s">
        <v>257</v>
      </c>
      <c r="G639" s="82" t="s">
        <v>374</v>
      </c>
    </row>
    <row r="640" spans="5:7" s="82" customFormat="1" ht="25.5" hidden="1" customHeight="1" x14ac:dyDescent="0.3">
      <c r="E640" s="82" t="s">
        <v>132</v>
      </c>
      <c r="F640" s="82" t="s">
        <v>257</v>
      </c>
      <c r="G640" s="82" t="s">
        <v>386</v>
      </c>
    </row>
    <row r="641" spans="5:7" s="82" customFormat="1" ht="25.5" hidden="1" customHeight="1" x14ac:dyDescent="0.3">
      <c r="E641" s="82" t="s">
        <v>132</v>
      </c>
      <c r="F641" s="82" t="s">
        <v>257</v>
      </c>
      <c r="G641" s="82" t="s">
        <v>613</v>
      </c>
    </row>
    <row r="642" spans="5:7" s="82" customFormat="1" ht="25.5" hidden="1" customHeight="1" x14ac:dyDescent="0.3">
      <c r="E642" s="82" t="s">
        <v>132</v>
      </c>
      <c r="F642" s="82" t="s">
        <v>257</v>
      </c>
      <c r="G642" s="82" t="s">
        <v>436</v>
      </c>
    </row>
    <row r="643" spans="5:7" s="82" customFormat="1" ht="25.5" hidden="1" customHeight="1" x14ac:dyDescent="0.3">
      <c r="E643" s="82" t="s">
        <v>132</v>
      </c>
      <c r="F643" s="82" t="s">
        <v>257</v>
      </c>
      <c r="G643" s="82" t="s">
        <v>437</v>
      </c>
    </row>
    <row r="644" spans="5:7" s="82" customFormat="1" ht="25.5" hidden="1" customHeight="1" x14ac:dyDescent="0.3"/>
    <row r="645" spans="5:7" s="82" customFormat="1" ht="25.5" hidden="1" customHeight="1" x14ac:dyDescent="0.3"/>
    <row r="646" spans="5:7" s="82" customFormat="1" ht="25.5" hidden="1" customHeight="1" x14ac:dyDescent="0.3">
      <c r="E646" s="82" t="s">
        <v>132</v>
      </c>
      <c r="F646" s="82" t="s">
        <v>160</v>
      </c>
      <c r="G646" s="82" t="s">
        <v>259</v>
      </c>
    </row>
    <row r="647" spans="5:7" s="82" customFormat="1" ht="25.5" hidden="1" customHeight="1" x14ac:dyDescent="0.3">
      <c r="E647" s="82" t="s">
        <v>132</v>
      </c>
      <c r="F647" s="82" t="s">
        <v>160</v>
      </c>
      <c r="G647" s="82" t="s">
        <v>347</v>
      </c>
    </row>
    <row r="648" spans="5:7" s="82" customFormat="1" ht="25.5" hidden="1" customHeight="1" x14ac:dyDescent="0.3">
      <c r="E648" s="82" t="s">
        <v>132</v>
      </c>
      <c r="F648" s="82" t="s">
        <v>260</v>
      </c>
      <c r="G648" s="82" t="s">
        <v>261</v>
      </c>
    </row>
    <row r="649" spans="5:7" s="82" customFormat="1" ht="25.5" hidden="1" customHeight="1" x14ac:dyDescent="0.3">
      <c r="E649" s="82" t="s">
        <v>132</v>
      </c>
      <c r="F649" s="82" t="s">
        <v>260</v>
      </c>
      <c r="G649" s="82" t="s">
        <v>364</v>
      </c>
    </row>
    <row r="650" spans="5:7" s="82" customFormat="1" ht="25.5" hidden="1" customHeight="1" x14ac:dyDescent="0.3">
      <c r="E650" s="82" t="s">
        <v>132</v>
      </c>
      <c r="F650" s="82" t="s">
        <v>260</v>
      </c>
      <c r="G650" s="82" t="s">
        <v>614</v>
      </c>
    </row>
    <row r="651" spans="5:7" s="82" customFormat="1" ht="25.5" hidden="1" customHeight="1" x14ac:dyDescent="0.3">
      <c r="E651" s="82" t="s">
        <v>132</v>
      </c>
      <c r="F651" s="82" t="s">
        <v>260</v>
      </c>
      <c r="G651" s="82" t="s">
        <v>492</v>
      </c>
    </row>
    <row r="652" spans="5:7" s="82" customFormat="1" ht="25.5" hidden="1" customHeight="1" x14ac:dyDescent="0.3">
      <c r="E652" s="82" t="s">
        <v>132</v>
      </c>
      <c r="F652" s="82" t="s">
        <v>260</v>
      </c>
      <c r="G652" s="82" t="s">
        <v>493</v>
      </c>
    </row>
    <row r="653" spans="5:7" s="82" customFormat="1" ht="25.5" hidden="1" customHeight="1" x14ac:dyDescent="0.3">
      <c r="E653" s="82" t="s">
        <v>132</v>
      </c>
      <c r="F653" s="82" t="s">
        <v>134</v>
      </c>
      <c r="G653" s="82" t="s">
        <v>583</v>
      </c>
    </row>
    <row r="654" spans="5:7" s="82" customFormat="1" ht="25.5" hidden="1" customHeight="1" x14ac:dyDescent="0.3">
      <c r="E654" s="82" t="s">
        <v>132</v>
      </c>
      <c r="F654" s="82" t="s">
        <v>134</v>
      </c>
      <c r="G654" s="82" t="s">
        <v>348</v>
      </c>
    </row>
    <row r="655" spans="5:7" s="82" customFormat="1" ht="25.5" hidden="1" customHeight="1" x14ac:dyDescent="0.3">
      <c r="E655" s="82" t="s">
        <v>132</v>
      </c>
      <c r="F655" s="82" t="s">
        <v>262</v>
      </c>
      <c r="G655" s="82" t="s">
        <v>648</v>
      </c>
    </row>
    <row r="656" spans="5:7" s="82" customFormat="1" ht="25.5" hidden="1" customHeight="1" x14ac:dyDescent="0.3">
      <c r="E656" s="82" t="s">
        <v>132</v>
      </c>
      <c r="F656" s="82" t="s">
        <v>262</v>
      </c>
      <c r="G656" s="82" t="s">
        <v>363</v>
      </c>
    </row>
    <row r="657" spans="5:7" s="82" customFormat="1" ht="25.5" hidden="1" customHeight="1" x14ac:dyDescent="0.3">
      <c r="E657" s="82" t="s">
        <v>132</v>
      </c>
      <c r="F657" s="82" t="s">
        <v>262</v>
      </c>
      <c r="G657" s="82" t="s">
        <v>808</v>
      </c>
    </row>
    <row r="658" spans="5:7" s="82" customFormat="1" ht="25.5" hidden="1" customHeight="1" x14ac:dyDescent="0.3">
      <c r="E658" s="82" t="s">
        <v>132</v>
      </c>
      <c r="F658" s="82" t="s">
        <v>262</v>
      </c>
      <c r="G658" s="82" t="s">
        <v>615</v>
      </c>
    </row>
    <row r="659" spans="5:7" s="82" customFormat="1" ht="25.5" hidden="1" customHeight="1" x14ac:dyDescent="0.3">
      <c r="E659" s="82" t="s">
        <v>132</v>
      </c>
      <c r="F659" s="82" t="s">
        <v>262</v>
      </c>
      <c r="G659" s="82" t="s">
        <v>526</v>
      </c>
    </row>
    <row r="660" spans="5:7" s="82" customFormat="1" ht="25.5" hidden="1" customHeight="1" x14ac:dyDescent="0.3">
      <c r="E660" s="82" t="s">
        <v>132</v>
      </c>
      <c r="F660" s="82" t="s">
        <v>262</v>
      </c>
      <c r="G660" s="82" t="s">
        <v>527</v>
      </c>
    </row>
    <row r="661" spans="5:7" s="82" customFormat="1" ht="25.5" hidden="1" customHeight="1" x14ac:dyDescent="0.3">
      <c r="E661" s="82" t="s">
        <v>132</v>
      </c>
      <c r="F661" s="82" t="s">
        <v>262</v>
      </c>
      <c r="G661" s="82" t="s">
        <v>438</v>
      </c>
    </row>
    <row r="662" spans="5:7" s="82" customFormat="1" ht="25.5" hidden="1" customHeight="1" x14ac:dyDescent="0.3">
      <c r="E662" s="82" t="s">
        <v>132</v>
      </c>
      <c r="F662" s="82" t="s">
        <v>132</v>
      </c>
      <c r="G662" s="82" t="s">
        <v>263</v>
      </c>
    </row>
    <row r="663" spans="5:7" s="82" customFormat="1" ht="25.5" hidden="1" customHeight="1" x14ac:dyDescent="0.3">
      <c r="E663" s="82" t="s">
        <v>132</v>
      </c>
      <c r="F663" s="82" t="s">
        <v>132</v>
      </c>
      <c r="G663" s="82" t="s">
        <v>670</v>
      </c>
    </row>
    <row r="664" spans="5:7" s="82" customFormat="1" ht="25.5" hidden="1" customHeight="1" x14ac:dyDescent="0.3">
      <c r="E664" s="82" t="s">
        <v>132</v>
      </c>
      <c r="F664" s="82" t="s">
        <v>132</v>
      </c>
      <c r="G664" s="82" t="s">
        <v>584</v>
      </c>
    </row>
    <row r="665" spans="5:7" s="82" customFormat="1" ht="25.5" hidden="1" customHeight="1" x14ac:dyDescent="0.3">
      <c r="E665" s="82" t="s">
        <v>132</v>
      </c>
      <c r="F665" s="82" t="s">
        <v>264</v>
      </c>
      <c r="G665" s="82" t="s">
        <v>135</v>
      </c>
    </row>
    <row r="666" spans="5:7" s="82" customFormat="1" ht="25.5" hidden="1" customHeight="1" x14ac:dyDescent="0.3">
      <c r="E666" s="82" t="s">
        <v>132</v>
      </c>
      <c r="F666" s="82" t="s">
        <v>132</v>
      </c>
      <c r="G666" s="82" t="s">
        <v>362</v>
      </c>
    </row>
    <row r="667" spans="5:7" s="82" customFormat="1" ht="25.5" hidden="1" customHeight="1" x14ac:dyDescent="0.3">
      <c r="E667" s="82" t="s">
        <v>132</v>
      </c>
      <c r="F667" s="82" t="s">
        <v>132</v>
      </c>
      <c r="G667" s="82" t="s">
        <v>810</v>
      </c>
    </row>
    <row r="668" spans="5:7" s="82" customFormat="1" ht="25.5" hidden="1" customHeight="1" x14ac:dyDescent="0.3">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3">
      <c r="E670" s="82" t="s">
        <v>132</v>
      </c>
      <c r="F670" s="82" t="s">
        <v>264</v>
      </c>
      <c r="G670" s="82" t="s">
        <v>389</v>
      </c>
    </row>
    <row r="671" spans="5:7" s="82" customFormat="1" ht="25.5" hidden="1" customHeight="1" x14ac:dyDescent="0.3">
      <c r="E671" s="82" t="s">
        <v>132</v>
      </c>
      <c r="F671" s="82" t="s">
        <v>264</v>
      </c>
      <c r="G671" s="82" t="s">
        <v>439</v>
      </c>
    </row>
    <row r="672" spans="5:7" s="82" customFormat="1" ht="25.5" hidden="1" customHeight="1" x14ac:dyDescent="0.3">
      <c r="E672" s="82" t="s">
        <v>132</v>
      </c>
      <c r="F672" s="82" t="s">
        <v>264</v>
      </c>
      <c r="G672" s="82" t="s">
        <v>528</v>
      </c>
    </row>
    <row r="673" spans="5:7" s="82" customFormat="1" ht="25.5" hidden="1" customHeight="1" x14ac:dyDescent="0.3">
      <c r="E673" s="82" t="s">
        <v>132</v>
      </c>
      <c r="F673" s="82" t="s">
        <v>264</v>
      </c>
      <c r="G673" s="82" t="s">
        <v>529</v>
      </c>
    </row>
    <row r="674" spans="5:7" s="82" customFormat="1" ht="25.5" hidden="1" customHeight="1" x14ac:dyDescent="0.3"/>
    <row r="675" spans="5:7" s="82" customFormat="1" ht="25.5" hidden="1" customHeight="1" x14ac:dyDescent="0.3"/>
    <row r="676" spans="5:7" s="82" customFormat="1" ht="25.5" hidden="1" customHeight="1" x14ac:dyDescent="0.3"/>
    <row r="677" spans="5:7" s="82" customFormat="1" ht="25.5" hidden="1" customHeight="1" x14ac:dyDescent="0.3"/>
    <row r="678" spans="5:7" s="82" customFormat="1" ht="25.5" hidden="1" customHeight="1" x14ac:dyDescent="0.3"/>
    <row r="679" spans="5:7" s="82" customFormat="1" ht="25.5" hidden="1" customHeight="1" x14ac:dyDescent="0.3"/>
    <row r="680" spans="5:7" s="82" customFormat="1" ht="25.5" hidden="1" customHeight="1" x14ac:dyDescent="0.3"/>
    <row r="681" spans="5:7" s="82" customFormat="1" ht="25.5" hidden="1" customHeight="1" x14ac:dyDescent="0.3"/>
    <row r="682" spans="5:7" s="82" customFormat="1" ht="25.5" hidden="1" customHeight="1" x14ac:dyDescent="0.3"/>
    <row r="683" spans="5:7" s="82" customFormat="1" ht="25.5" hidden="1" customHeight="1" x14ac:dyDescent="0.3"/>
    <row r="684" spans="5:7" s="82" customFormat="1" ht="25.5" hidden="1" customHeight="1" x14ac:dyDescent="0.3"/>
    <row r="685" spans="5:7" s="82" customFormat="1" ht="25.5" hidden="1" customHeight="1" x14ac:dyDescent="0.3"/>
    <row r="686" spans="5:7" s="82" customFormat="1" ht="25.5" hidden="1" customHeight="1" x14ac:dyDescent="0.3"/>
    <row r="687" spans="5:7" s="82" customFormat="1" ht="25.5" hidden="1" customHeight="1" x14ac:dyDescent="0.3"/>
    <row r="688" spans="5:7" s="82" customFormat="1" ht="25.5" hidden="1" customHeight="1" x14ac:dyDescent="0.3"/>
    <row r="689" s="82" customFormat="1" ht="25.5" hidden="1" customHeight="1" x14ac:dyDescent="0.3"/>
    <row r="690" s="82" customFormat="1" ht="25.5" hidden="1" customHeight="1" x14ac:dyDescent="0.3"/>
    <row r="691" s="82" customFormat="1" ht="25.5" hidden="1" customHeight="1" x14ac:dyDescent="0.3"/>
    <row r="692" s="82" customFormat="1" ht="25.5" hidden="1" customHeight="1" x14ac:dyDescent="0.3"/>
    <row r="693" s="82" customFormat="1" ht="25.5" hidden="1" customHeight="1" x14ac:dyDescent="0.3"/>
    <row r="694" s="82" customFormat="1" ht="25.5" hidden="1" customHeight="1" x14ac:dyDescent="0.3"/>
    <row r="695" s="82" customFormat="1" ht="25.5" hidden="1" customHeight="1" x14ac:dyDescent="0.3"/>
    <row r="696" s="82" customFormat="1" ht="25.5" hidden="1" customHeight="1" x14ac:dyDescent="0.3"/>
    <row r="697" s="82" customFormat="1" ht="25.5" hidden="1" customHeight="1" x14ac:dyDescent="0.3"/>
    <row r="698" s="82" customFormat="1" ht="25.5" hidden="1" customHeight="1" x14ac:dyDescent="0.3"/>
    <row r="699" s="82" customFormat="1" ht="25.5" hidden="1" customHeight="1" x14ac:dyDescent="0.3"/>
    <row r="700" s="82" customFormat="1" ht="25.5" hidden="1" customHeight="1" x14ac:dyDescent="0.3"/>
    <row r="701" s="82" customFormat="1" ht="25.5" hidden="1" customHeight="1" x14ac:dyDescent="0.3"/>
    <row r="702" s="82" customFormat="1" ht="25.5" hidden="1" customHeight="1" x14ac:dyDescent="0.3"/>
    <row r="703" s="82" customFormat="1" ht="25.5" hidden="1" customHeight="1" x14ac:dyDescent="0.3"/>
    <row r="704" s="82" customFormat="1" ht="25.5" hidden="1" customHeight="1" x14ac:dyDescent="0.3"/>
    <row r="705" s="82" customFormat="1" ht="25.5" hidden="1" customHeight="1" x14ac:dyDescent="0.3"/>
    <row r="706" s="82" customFormat="1" ht="25.5" hidden="1" customHeight="1" x14ac:dyDescent="0.3"/>
    <row r="707" s="82" customFormat="1" ht="25.5" hidden="1" customHeight="1" x14ac:dyDescent="0.3"/>
    <row r="708" s="82" customFormat="1" ht="25.5" hidden="1" customHeight="1" x14ac:dyDescent="0.3"/>
    <row r="709" s="82" customFormat="1" ht="25.5" hidden="1" customHeight="1" x14ac:dyDescent="0.3"/>
    <row r="710" s="82" customFormat="1" ht="25.5" hidden="1" customHeight="1" x14ac:dyDescent="0.3"/>
    <row r="711" s="82" customFormat="1" ht="25.5" hidden="1" customHeight="1" x14ac:dyDescent="0.3"/>
    <row r="712" s="82" customFormat="1" ht="25.5" hidden="1" customHeight="1" x14ac:dyDescent="0.3"/>
    <row r="713" s="82" customFormat="1" ht="25.5" hidden="1" customHeight="1" x14ac:dyDescent="0.3"/>
    <row r="714" s="82" customFormat="1" ht="25.5" hidden="1" customHeight="1" x14ac:dyDescent="0.3"/>
    <row r="715" s="82" customFormat="1" ht="25.5" hidden="1" customHeight="1" x14ac:dyDescent="0.3"/>
    <row r="716" s="82" customFormat="1" ht="25.5" hidden="1" customHeight="1" x14ac:dyDescent="0.3"/>
    <row r="717" s="82" customFormat="1" ht="25.5" hidden="1" customHeight="1" x14ac:dyDescent="0.3"/>
    <row r="718" s="82" customFormat="1" ht="25.5" hidden="1" customHeight="1" x14ac:dyDescent="0.3"/>
    <row r="719" s="82" customFormat="1" ht="25.5" hidden="1" customHeight="1" x14ac:dyDescent="0.3"/>
    <row r="720" s="82" customFormat="1" ht="25.5" hidden="1" customHeight="1" x14ac:dyDescent="0.3"/>
    <row r="721" s="82" customFormat="1" ht="25.5" hidden="1" customHeight="1" x14ac:dyDescent="0.3"/>
    <row r="722" s="82" customFormat="1" ht="25.5" hidden="1" customHeight="1" x14ac:dyDescent="0.3"/>
    <row r="723" s="82" customFormat="1" ht="25.5" hidden="1" customHeight="1" x14ac:dyDescent="0.3"/>
    <row r="724" s="82" customFormat="1" ht="25.5" hidden="1" customHeight="1" x14ac:dyDescent="0.3"/>
    <row r="725" s="82" customFormat="1" ht="25.5" hidden="1" customHeight="1" x14ac:dyDescent="0.3"/>
    <row r="726" s="82" customFormat="1" ht="25.5" hidden="1" customHeight="1" x14ac:dyDescent="0.3"/>
    <row r="727" s="82" customFormat="1" ht="25.5" hidden="1" customHeight="1" x14ac:dyDescent="0.3"/>
    <row r="728" s="82" customFormat="1" ht="25.5" hidden="1" customHeight="1" x14ac:dyDescent="0.3"/>
    <row r="729" s="82" customFormat="1" ht="25.5" hidden="1" customHeight="1" x14ac:dyDescent="0.3"/>
    <row r="730" s="82" customFormat="1" ht="25.5" hidden="1" customHeight="1" x14ac:dyDescent="0.3"/>
    <row r="731" s="82" customFormat="1" ht="25.5" hidden="1" customHeight="1" x14ac:dyDescent="0.3"/>
    <row r="732" s="82" customFormat="1" ht="25.5" hidden="1" customHeight="1" x14ac:dyDescent="0.3"/>
    <row r="733" s="82" customFormat="1" ht="25.5" hidden="1" customHeight="1" x14ac:dyDescent="0.3"/>
    <row r="734" s="82" customFormat="1" ht="25.5" hidden="1" customHeight="1" x14ac:dyDescent="0.3"/>
    <row r="735" s="82" customFormat="1" ht="25.5" hidden="1" customHeight="1" x14ac:dyDescent="0.3"/>
    <row r="736" s="82" customFormat="1" ht="25.5" hidden="1" customHeight="1" x14ac:dyDescent="0.3"/>
    <row r="737" s="82" customFormat="1" ht="25.5" hidden="1" customHeight="1" x14ac:dyDescent="0.3"/>
    <row r="738" s="82" customFormat="1" ht="25.5" hidden="1" customHeight="1" x14ac:dyDescent="0.3"/>
    <row r="739" s="82" customFormat="1" ht="25.5" hidden="1" customHeight="1" x14ac:dyDescent="0.3"/>
    <row r="740" s="82" customFormat="1" ht="25.5" hidden="1" customHeight="1" x14ac:dyDescent="0.3"/>
    <row r="741" s="82" customFormat="1" ht="25.5" hidden="1" customHeight="1" x14ac:dyDescent="0.3"/>
    <row r="742" s="82" customFormat="1" ht="25.5" hidden="1" customHeight="1" x14ac:dyDescent="0.3"/>
    <row r="743" s="82" customFormat="1" ht="25.5" hidden="1" customHeight="1" x14ac:dyDescent="0.3"/>
    <row r="744" s="82" customFormat="1" ht="25.5" hidden="1" customHeight="1" x14ac:dyDescent="0.3"/>
    <row r="745" s="82" customFormat="1" ht="25.5" hidden="1" customHeight="1" x14ac:dyDescent="0.3"/>
    <row r="746" s="82" customFormat="1" ht="25.5" hidden="1" customHeight="1" x14ac:dyDescent="0.3"/>
    <row r="747" s="82" customFormat="1" ht="25.5" hidden="1" customHeight="1" x14ac:dyDescent="0.3"/>
    <row r="748" s="82" customFormat="1" ht="25.5" hidden="1" customHeight="1" x14ac:dyDescent="0.3"/>
    <row r="749" s="82" customFormat="1" ht="25.5" hidden="1" customHeight="1" x14ac:dyDescent="0.3"/>
    <row r="750" s="82" customFormat="1" ht="25.5" hidden="1" customHeight="1" x14ac:dyDescent="0.3"/>
    <row r="751" s="82" customFormat="1" ht="25.5" hidden="1" customHeight="1" x14ac:dyDescent="0.3"/>
    <row r="752" s="82" customFormat="1" ht="25.5" hidden="1" customHeight="1" x14ac:dyDescent="0.3"/>
    <row r="753" s="82" customFormat="1" ht="25.5" hidden="1" customHeight="1" x14ac:dyDescent="0.3"/>
    <row r="754" s="82" customFormat="1" ht="25.5" hidden="1" customHeight="1" x14ac:dyDescent="0.3"/>
    <row r="755" s="82" customFormat="1" ht="25.5" hidden="1" customHeight="1" x14ac:dyDescent="0.3"/>
    <row r="756" s="82" customFormat="1" ht="25.5" hidden="1" customHeight="1" x14ac:dyDescent="0.3"/>
    <row r="757" s="82" customFormat="1" ht="25.5" hidden="1" customHeight="1" x14ac:dyDescent="0.3"/>
    <row r="758" s="82" customFormat="1" ht="25.5" hidden="1" customHeight="1" x14ac:dyDescent="0.3"/>
    <row r="759" s="82" customFormat="1" ht="25.5" hidden="1" customHeight="1" x14ac:dyDescent="0.3"/>
    <row r="760" s="82" customFormat="1" ht="25.5" hidden="1" customHeight="1" x14ac:dyDescent="0.3"/>
    <row r="761" s="82" customFormat="1" ht="25.5" hidden="1" customHeight="1" x14ac:dyDescent="0.3"/>
    <row r="762" s="82" customFormat="1" ht="25.5" hidden="1" customHeight="1" x14ac:dyDescent="0.3"/>
    <row r="763" s="82" customFormat="1" ht="25.5" hidden="1" customHeight="1" x14ac:dyDescent="0.3"/>
    <row r="764" s="82" customFormat="1" ht="25.5" hidden="1" customHeight="1" x14ac:dyDescent="0.3"/>
    <row r="765" s="82" customFormat="1" ht="25.5" hidden="1" customHeight="1" x14ac:dyDescent="0.3"/>
    <row r="766" s="82" customFormat="1" ht="25.5" hidden="1" customHeight="1" x14ac:dyDescent="0.3"/>
    <row r="767" s="82" customFormat="1" ht="25.5" hidden="1" customHeight="1" x14ac:dyDescent="0.3"/>
    <row r="768" s="82" customFormat="1" ht="25.5" hidden="1" customHeight="1" x14ac:dyDescent="0.3"/>
    <row r="769" s="82" customFormat="1" ht="25.5" hidden="1" customHeight="1" x14ac:dyDescent="0.3"/>
    <row r="770" s="82" customFormat="1" ht="25.5" hidden="1" customHeight="1" x14ac:dyDescent="0.3"/>
    <row r="771" s="82" customFormat="1" ht="25.5" hidden="1" customHeight="1" x14ac:dyDescent="0.3"/>
    <row r="772" s="82" customFormat="1" ht="25.5" hidden="1" customHeight="1" x14ac:dyDescent="0.3"/>
    <row r="773" s="82" customFormat="1" ht="25.5" hidden="1" customHeight="1" x14ac:dyDescent="0.3"/>
    <row r="774" ht="25.5" hidden="1" customHeight="1" x14ac:dyDescent="0.3"/>
    <row r="775" ht="25.5" hidden="1" customHeight="1" x14ac:dyDescent="0.3"/>
    <row r="776" ht="25.5" hidden="1" customHeight="1" x14ac:dyDescent="0.3"/>
    <row r="777" ht="25.5" hidden="1" customHeight="1" x14ac:dyDescent="0.3"/>
    <row r="778" ht="25.5" hidden="1" customHeight="1" x14ac:dyDescent="0.3"/>
    <row r="779" ht="25.5" hidden="1" customHeight="1" x14ac:dyDescent="0.3"/>
    <row r="780" ht="25.5" hidden="1" customHeight="1" x14ac:dyDescent="0.3"/>
    <row r="781" ht="25.5" hidden="1" customHeight="1" x14ac:dyDescent="0.3"/>
    <row r="782" ht="25.5" hidden="1" customHeight="1" x14ac:dyDescent="0.3"/>
    <row r="783" ht="25.5" hidden="1" customHeight="1" x14ac:dyDescent="0.3"/>
    <row r="784" ht="25.5" hidden="1" customHeight="1" x14ac:dyDescent="0.3"/>
    <row r="785" ht="25.5" hidden="1" customHeight="1" x14ac:dyDescent="0.3"/>
    <row r="786" ht="25.5" hidden="1" customHeight="1" x14ac:dyDescent="0.3"/>
    <row r="787" ht="25.5" hidden="1" customHeight="1" x14ac:dyDescent="0.3"/>
    <row r="788" ht="25.5" hidden="1" customHeight="1" x14ac:dyDescent="0.3"/>
    <row r="789" ht="25.5" hidden="1" customHeight="1" x14ac:dyDescent="0.3"/>
    <row r="790" ht="25.5" hidden="1" customHeight="1" x14ac:dyDescent="0.3"/>
    <row r="791" ht="25.5" hidden="1" customHeight="1" x14ac:dyDescent="0.3"/>
    <row r="792" ht="25.5" hidden="1" customHeight="1" x14ac:dyDescent="0.3"/>
    <row r="793" ht="25.5" hidden="1" customHeight="1" x14ac:dyDescent="0.3"/>
    <row r="794" ht="25.5" hidden="1" customHeight="1" x14ac:dyDescent="0.3"/>
    <row r="795" ht="25.5" hidden="1" customHeight="1" x14ac:dyDescent="0.3"/>
    <row r="796" ht="25.5" hidden="1" customHeight="1" x14ac:dyDescent="0.3"/>
    <row r="797" ht="25.5" hidden="1" customHeight="1" x14ac:dyDescent="0.3"/>
    <row r="798" ht="25.5" hidden="1" customHeight="1" x14ac:dyDescent="0.3"/>
    <row r="799" ht="25.5" hidden="1" customHeight="1" x14ac:dyDescent="0.3"/>
    <row r="800" ht="25.5" hidden="1" customHeight="1" x14ac:dyDescent="0.3"/>
    <row r="801" ht="25.5" hidden="1" customHeight="1" x14ac:dyDescent="0.3"/>
    <row r="802" ht="25.5" hidden="1" customHeight="1" x14ac:dyDescent="0.3"/>
    <row r="803" ht="25.5" hidden="1" customHeight="1" x14ac:dyDescent="0.3"/>
    <row r="804" ht="25.5" hidden="1" customHeight="1" x14ac:dyDescent="0.3"/>
    <row r="805" ht="25.5" hidden="1" customHeight="1" x14ac:dyDescent="0.3"/>
    <row r="806" ht="25.5" hidden="1" customHeight="1" x14ac:dyDescent="0.3"/>
    <row r="807" ht="25.5" hidden="1" customHeight="1" x14ac:dyDescent="0.3"/>
    <row r="808" ht="25.5" hidden="1" customHeight="1" x14ac:dyDescent="0.3"/>
    <row r="809" ht="25.5" hidden="1" customHeight="1" x14ac:dyDescent="0.3"/>
    <row r="810" ht="25.5" hidden="1" customHeight="1" x14ac:dyDescent="0.3"/>
    <row r="811" ht="25.5" hidden="1" customHeight="1" x14ac:dyDescent="0.3"/>
    <row r="812" ht="25.5" hidden="1" customHeight="1" x14ac:dyDescent="0.3"/>
    <row r="813" ht="25.5" hidden="1" customHeight="1" x14ac:dyDescent="0.3"/>
    <row r="814" ht="25.5" hidden="1" customHeight="1" x14ac:dyDescent="0.3"/>
    <row r="815" ht="25.5" hidden="1" customHeight="1" x14ac:dyDescent="0.3"/>
    <row r="816" ht="25.5" hidden="1" customHeight="1" x14ac:dyDescent="0.3"/>
    <row r="817" ht="25.5" hidden="1" customHeight="1" x14ac:dyDescent="0.3"/>
    <row r="818" ht="25.5" hidden="1" customHeight="1" x14ac:dyDescent="0.3"/>
    <row r="819" ht="25.5" hidden="1" customHeight="1" x14ac:dyDescent="0.3"/>
    <row r="820" ht="25.5" hidden="1" customHeight="1" x14ac:dyDescent="0.3"/>
    <row r="821" ht="25.5" hidden="1" customHeight="1" x14ac:dyDescent="0.3"/>
    <row r="822" ht="25.5" hidden="1" customHeight="1" x14ac:dyDescent="0.3"/>
    <row r="823" ht="25.5" hidden="1" customHeight="1" x14ac:dyDescent="0.3"/>
    <row r="824" ht="25.5" hidden="1" customHeight="1" x14ac:dyDescent="0.3"/>
    <row r="825" ht="25.5" hidden="1" customHeight="1" x14ac:dyDescent="0.3"/>
    <row r="826" ht="25.5" hidden="1" customHeight="1" x14ac:dyDescent="0.3"/>
    <row r="827" ht="25.5" hidden="1" customHeight="1" x14ac:dyDescent="0.3"/>
    <row r="828" ht="25.5" hidden="1" customHeight="1" x14ac:dyDescent="0.3"/>
    <row r="829" ht="25.5" hidden="1" customHeight="1" x14ac:dyDescent="0.3"/>
    <row r="830" ht="25.5" hidden="1" customHeight="1" x14ac:dyDescent="0.3"/>
    <row r="831" ht="25.5" hidden="1" customHeight="1" x14ac:dyDescent="0.3"/>
    <row r="832" ht="25.5" hidden="1" customHeight="1" x14ac:dyDescent="0.3"/>
    <row r="833" ht="25.5" hidden="1" customHeight="1" x14ac:dyDescent="0.3"/>
    <row r="834" ht="25.5" hidden="1" customHeight="1" x14ac:dyDescent="0.3"/>
    <row r="835" ht="25.5" hidden="1" customHeight="1" x14ac:dyDescent="0.3"/>
    <row r="836" ht="25.5" hidden="1" customHeight="1" x14ac:dyDescent="0.3"/>
    <row r="837" ht="25.5" hidden="1" customHeight="1" x14ac:dyDescent="0.3"/>
    <row r="838" ht="25.5" hidden="1" customHeight="1" x14ac:dyDescent="0.3"/>
    <row r="839" ht="25.5" hidden="1" customHeight="1" x14ac:dyDescent="0.3"/>
    <row r="840" ht="25.5" hidden="1" customHeight="1" x14ac:dyDescent="0.3"/>
    <row r="841" ht="25.5" hidden="1" customHeight="1" x14ac:dyDescent="0.3"/>
    <row r="842" ht="25.5" hidden="1" customHeight="1" x14ac:dyDescent="0.3"/>
    <row r="843" ht="25.5" hidden="1" customHeight="1" x14ac:dyDescent="0.3"/>
    <row r="844" ht="25.5" hidden="1" customHeight="1" x14ac:dyDescent="0.3"/>
    <row r="845" ht="25.5" hidden="1" customHeight="1" x14ac:dyDescent="0.3"/>
    <row r="846" ht="25.5" hidden="1" customHeight="1" x14ac:dyDescent="0.3"/>
    <row r="847" ht="25.5" hidden="1" customHeight="1" x14ac:dyDescent="0.3"/>
    <row r="848" ht="25.5" hidden="1" customHeight="1" x14ac:dyDescent="0.3"/>
    <row r="849" ht="25.5" hidden="1" customHeight="1" x14ac:dyDescent="0.3"/>
    <row r="850" ht="25.5" hidden="1" customHeight="1" x14ac:dyDescent="0.3"/>
    <row r="851" ht="25.5" hidden="1" customHeight="1" x14ac:dyDescent="0.3"/>
    <row r="852" ht="25.5" hidden="1" customHeight="1" x14ac:dyDescent="0.3"/>
    <row r="853" ht="25.5" hidden="1" customHeight="1" x14ac:dyDescent="0.3"/>
    <row r="854" ht="25.5" hidden="1" customHeight="1" x14ac:dyDescent="0.3"/>
    <row r="855" ht="25.5" hidden="1" customHeight="1" x14ac:dyDescent="0.3"/>
    <row r="856" ht="25.5" hidden="1" customHeight="1" x14ac:dyDescent="0.3"/>
    <row r="857" ht="25.5" hidden="1" customHeight="1" x14ac:dyDescent="0.3"/>
    <row r="858" ht="25.5" hidden="1" customHeight="1" x14ac:dyDescent="0.3"/>
    <row r="859" ht="25.5" hidden="1" customHeight="1" x14ac:dyDescent="0.3"/>
    <row r="860" ht="25.5" hidden="1" customHeight="1" x14ac:dyDescent="0.3"/>
    <row r="861" ht="25.5" hidden="1" customHeight="1" x14ac:dyDescent="0.3"/>
    <row r="862" ht="25.5" hidden="1" customHeight="1" x14ac:dyDescent="0.3"/>
    <row r="863" ht="25.5" hidden="1" customHeight="1" x14ac:dyDescent="0.3"/>
    <row r="864" ht="25.5" hidden="1" customHeight="1" x14ac:dyDescent="0.3"/>
    <row r="865" ht="25.5" hidden="1" customHeight="1" x14ac:dyDescent="0.3"/>
    <row r="866" ht="25.5" hidden="1" customHeight="1" x14ac:dyDescent="0.3"/>
    <row r="867" ht="25.5" hidden="1" customHeight="1" x14ac:dyDescent="0.3"/>
    <row r="868" ht="25.5" hidden="1" customHeight="1" x14ac:dyDescent="0.3"/>
    <row r="869" ht="25.5" hidden="1" customHeight="1" x14ac:dyDescent="0.3"/>
    <row r="870" ht="25.5" hidden="1" customHeight="1" x14ac:dyDescent="0.3"/>
    <row r="871" ht="25.5" hidden="1" customHeight="1" x14ac:dyDescent="0.3"/>
    <row r="872" ht="25.5" hidden="1" customHeight="1" x14ac:dyDescent="0.3"/>
    <row r="873" ht="25.5" hidden="1" customHeight="1" x14ac:dyDescent="0.3"/>
    <row r="874" ht="25.5" hidden="1" customHeight="1" x14ac:dyDescent="0.3"/>
    <row r="875" ht="25.5" hidden="1" customHeight="1" x14ac:dyDescent="0.3"/>
    <row r="876" ht="25.5" hidden="1" customHeight="1" x14ac:dyDescent="0.3"/>
    <row r="877" ht="25.5" hidden="1" customHeight="1" x14ac:dyDescent="0.3"/>
    <row r="878" ht="25.5" hidden="1" customHeight="1" x14ac:dyDescent="0.3"/>
    <row r="879" ht="25.5" hidden="1" customHeight="1" x14ac:dyDescent="0.3"/>
    <row r="880" ht="25.5" hidden="1" customHeight="1" x14ac:dyDescent="0.3"/>
    <row r="881" ht="25.5" hidden="1" customHeight="1" x14ac:dyDescent="0.3"/>
    <row r="882" ht="25.5" hidden="1" customHeight="1" x14ac:dyDescent="0.3"/>
    <row r="883" ht="25.5" hidden="1" customHeight="1" x14ac:dyDescent="0.3"/>
    <row r="884" ht="25.5" hidden="1" customHeight="1" x14ac:dyDescent="0.3"/>
    <row r="885" ht="25.5" hidden="1" customHeight="1" x14ac:dyDescent="0.3"/>
    <row r="886" ht="25.5" hidden="1" customHeight="1" x14ac:dyDescent="0.3"/>
    <row r="887" ht="25.5" hidden="1" customHeight="1" x14ac:dyDescent="0.3"/>
    <row r="888" ht="25.5" hidden="1" customHeight="1" x14ac:dyDescent="0.3"/>
    <row r="889" ht="25.5" hidden="1" customHeight="1" x14ac:dyDescent="0.3"/>
    <row r="890" ht="25.5" hidden="1" customHeight="1" x14ac:dyDescent="0.3"/>
    <row r="891" ht="25.5" hidden="1" customHeight="1" x14ac:dyDescent="0.3"/>
    <row r="892" ht="25.5" hidden="1" customHeight="1" x14ac:dyDescent="0.3"/>
    <row r="893" ht="25.5" hidden="1" customHeight="1" x14ac:dyDescent="0.3"/>
    <row r="894" ht="25.5" hidden="1" customHeight="1" x14ac:dyDescent="0.3"/>
    <row r="895" ht="25.5" hidden="1" customHeight="1" x14ac:dyDescent="0.3"/>
    <row r="896" ht="25.5" hidden="1" customHeight="1" x14ac:dyDescent="0.3"/>
    <row r="897" ht="25.5" hidden="1" customHeight="1" x14ac:dyDescent="0.3"/>
    <row r="898" ht="25.5" hidden="1" customHeight="1" x14ac:dyDescent="0.3"/>
    <row r="899" ht="25.5" hidden="1" customHeight="1" x14ac:dyDescent="0.3"/>
    <row r="900" ht="25.5" hidden="1" customHeight="1" x14ac:dyDescent="0.3"/>
    <row r="901" ht="25.5" hidden="1" customHeight="1" x14ac:dyDescent="0.3"/>
    <row r="902" ht="25.5" hidden="1" customHeight="1" x14ac:dyDescent="0.3"/>
    <row r="903" ht="25.5" hidden="1" customHeight="1" x14ac:dyDescent="0.3"/>
    <row r="904" ht="25.5" hidden="1" customHeight="1" x14ac:dyDescent="0.3"/>
    <row r="905" ht="25.5" hidden="1" customHeight="1" x14ac:dyDescent="0.3"/>
    <row r="906" ht="25.5" hidden="1" customHeight="1" x14ac:dyDescent="0.3"/>
    <row r="907" ht="25.5" hidden="1" customHeight="1" x14ac:dyDescent="0.3"/>
    <row r="908" ht="25.5" hidden="1" customHeight="1" x14ac:dyDescent="0.3"/>
    <row r="909" ht="25.5" hidden="1" customHeight="1" x14ac:dyDescent="0.3"/>
    <row r="910" ht="25.5" hidden="1" customHeight="1" x14ac:dyDescent="0.3"/>
    <row r="911" ht="25.5" hidden="1" customHeight="1" x14ac:dyDescent="0.3"/>
    <row r="912" ht="25.5" hidden="1" customHeight="1" x14ac:dyDescent="0.3"/>
    <row r="913" ht="25.5" hidden="1" customHeight="1" x14ac:dyDescent="0.3"/>
    <row r="914" ht="25.5" hidden="1" customHeight="1" x14ac:dyDescent="0.3"/>
    <row r="915" ht="25.5" hidden="1" customHeight="1" x14ac:dyDescent="0.3"/>
    <row r="916" ht="25.5" hidden="1" customHeight="1" x14ac:dyDescent="0.3"/>
    <row r="917" ht="25.5" hidden="1" customHeight="1" x14ac:dyDescent="0.3"/>
    <row r="918" ht="25.5" hidden="1" customHeight="1" x14ac:dyDescent="0.3"/>
    <row r="919" ht="25.5" hidden="1" customHeight="1" x14ac:dyDescent="0.3"/>
    <row r="920" ht="25.5" hidden="1" customHeight="1" x14ac:dyDescent="0.3"/>
    <row r="921" ht="25.5" hidden="1" customHeight="1" x14ac:dyDescent="0.3"/>
    <row r="922" ht="25.5" hidden="1" customHeight="1" x14ac:dyDescent="0.3"/>
    <row r="923" ht="25.5" hidden="1" customHeight="1" x14ac:dyDescent="0.3"/>
    <row r="924" ht="25.5" hidden="1" customHeight="1" x14ac:dyDescent="0.3"/>
    <row r="925" ht="25.5" hidden="1" customHeight="1" x14ac:dyDescent="0.3"/>
    <row r="926" ht="25.5" hidden="1" customHeight="1" x14ac:dyDescent="0.3"/>
    <row r="927" ht="25.5" hidden="1" customHeight="1" x14ac:dyDescent="0.3"/>
    <row r="928" ht="25.5" hidden="1" customHeight="1" x14ac:dyDescent="0.3"/>
    <row r="929" ht="25.5" hidden="1" customHeight="1" x14ac:dyDescent="0.3"/>
    <row r="930" ht="25.5" hidden="1" customHeight="1" x14ac:dyDescent="0.3"/>
    <row r="931" ht="25.5" hidden="1" customHeight="1" x14ac:dyDescent="0.3"/>
    <row r="932" ht="25.5" hidden="1" customHeight="1" x14ac:dyDescent="0.3"/>
    <row r="933" ht="25.5" hidden="1" customHeight="1" x14ac:dyDescent="0.3"/>
    <row r="934" ht="25.5" hidden="1" customHeight="1" x14ac:dyDescent="0.3"/>
    <row r="935" ht="25.5" hidden="1" customHeight="1" x14ac:dyDescent="0.3"/>
    <row r="936" ht="25.5" hidden="1" customHeight="1" x14ac:dyDescent="0.3"/>
    <row r="937" ht="25.5" hidden="1" customHeight="1" x14ac:dyDescent="0.3"/>
    <row r="938" ht="25.5" hidden="1" customHeight="1" x14ac:dyDescent="0.3"/>
    <row r="939" ht="25.5" hidden="1" customHeight="1" x14ac:dyDescent="0.3"/>
    <row r="940" ht="25.5" hidden="1" customHeight="1" x14ac:dyDescent="0.3"/>
    <row r="941" ht="25.5" hidden="1" customHeight="1" x14ac:dyDescent="0.3"/>
    <row r="942" ht="25.5" hidden="1" customHeight="1" x14ac:dyDescent="0.3"/>
    <row r="943" ht="25.5" hidden="1" customHeight="1" x14ac:dyDescent="0.3"/>
    <row r="944" ht="25.5" hidden="1" customHeight="1" x14ac:dyDescent="0.3"/>
    <row r="945" ht="25.5" hidden="1" customHeight="1" x14ac:dyDescent="0.3"/>
    <row r="946" ht="25.5" hidden="1" customHeight="1" x14ac:dyDescent="0.3"/>
    <row r="947" ht="25.5" hidden="1" customHeight="1" x14ac:dyDescent="0.3"/>
    <row r="948" ht="25.5" hidden="1" customHeight="1" x14ac:dyDescent="0.3"/>
    <row r="949" ht="25.5" hidden="1" customHeight="1" x14ac:dyDescent="0.3"/>
    <row r="950" ht="25.5" hidden="1" customHeight="1" x14ac:dyDescent="0.3"/>
    <row r="951" ht="25.5" hidden="1" customHeight="1" x14ac:dyDescent="0.3"/>
    <row r="952" ht="25.5" hidden="1" customHeight="1" x14ac:dyDescent="0.3"/>
    <row r="953" ht="25.5" hidden="1" customHeight="1" x14ac:dyDescent="0.3"/>
    <row r="954" ht="25.5" hidden="1" customHeight="1" x14ac:dyDescent="0.3"/>
    <row r="955" ht="25.5" hidden="1" customHeight="1" x14ac:dyDescent="0.3"/>
    <row r="956" ht="25.5" hidden="1" customHeight="1" x14ac:dyDescent="0.3"/>
    <row r="957" ht="25.5" hidden="1" customHeight="1" x14ac:dyDescent="0.3"/>
    <row r="958" ht="25.5" hidden="1" customHeight="1" x14ac:dyDescent="0.3"/>
    <row r="959" ht="25.5" hidden="1" customHeight="1" x14ac:dyDescent="0.3"/>
    <row r="960" ht="25.5" hidden="1" customHeight="1" x14ac:dyDescent="0.3"/>
    <row r="961" ht="25.5" hidden="1" customHeight="1" x14ac:dyDescent="0.3"/>
    <row r="962" ht="25.5" hidden="1" customHeight="1" x14ac:dyDescent="0.3"/>
    <row r="963" ht="25.5" hidden="1" customHeight="1" x14ac:dyDescent="0.3"/>
    <row r="964" ht="25.5" hidden="1" customHeight="1" x14ac:dyDescent="0.3"/>
    <row r="965" ht="25.5" hidden="1" customHeight="1" x14ac:dyDescent="0.3"/>
    <row r="966" ht="25.5" hidden="1" customHeight="1" x14ac:dyDescent="0.3"/>
    <row r="967" ht="25.5" hidden="1" customHeight="1" x14ac:dyDescent="0.3"/>
    <row r="968" ht="25.5" hidden="1" customHeight="1" x14ac:dyDescent="0.3"/>
    <row r="969" ht="25.5" hidden="1" customHeight="1" x14ac:dyDescent="0.3"/>
    <row r="970" ht="25.5" hidden="1" customHeight="1" x14ac:dyDescent="0.3"/>
    <row r="971" ht="25.5" hidden="1" customHeight="1" x14ac:dyDescent="0.3"/>
    <row r="972" ht="25.5" hidden="1" customHeight="1" x14ac:dyDescent="0.3"/>
    <row r="973" ht="25.5" hidden="1" customHeight="1" x14ac:dyDescent="0.3"/>
    <row r="974" ht="25.5" hidden="1" customHeight="1" x14ac:dyDescent="0.3"/>
    <row r="975" ht="25.5" hidden="1" customHeight="1" x14ac:dyDescent="0.3"/>
    <row r="976" ht="25.5" hidden="1" customHeight="1" x14ac:dyDescent="0.3"/>
    <row r="977" ht="25.5" hidden="1" customHeight="1" x14ac:dyDescent="0.3"/>
    <row r="978" ht="25.5" hidden="1" customHeight="1" x14ac:dyDescent="0.3"/>
    <row r="979" ht="25.5" hidden="1" customHeight="1" x14ac:dyDescent="0.3"/>
    <row r="980" ht="25.5" hidden="1" customHeight="1" x14ac:dyDescent="0.3"/>
    <row r="981" ht="25.5" hidden="1" customHeight="1" x14ac:dyDescent="0.3"/>
    <row r="982" ht="25.5" hidden="1" customHeight="1" x14ac:dyDescent="0.3"/>
    <row r="983" ht="25.5" hidden="1" customHeight="1" x14ac:dyDescent="0.3"/>
    <row r="984" ht="25.5" hidden="1" customHeight="1" x14ac:dyDescent="0.3"/>
    <row r="985" ht="25.5" hidden="1" customHeight="1" x14ac:dyDescent="0.3"/>
    <row r="986" ht="25.5" hidden="1" customHeight="1" x14ac:dyDescent="0.3"/>
    <row r="987" ht="25.5" hidden="1" customHeight="1" x14ac:dyDescent="0.3"/>
    <row r="988" ht="25.5" hidden="1" customHeight="1" x14ac:dyDescent="0.3"/>
    <row r="989" ht="25.5" hidden="1" customHeight="1" x14ac:dyDescent="0.3"/>
    <row r="990" ht="25.5" hidden="1" customHeight="1" x14ac:dyDescent="0.3"/>
    <row r="991" ht="25.5" hidden="1" customHeight="1" x14ac:dyDescent="0.3"/>
    <row r="992" ht="25.5" hidden="1" customHeight="1" x14ac:dyDescent="0.3"/>
    <row r="993" ht="25.5" hidden="1" customHeight="1" x14ac:dyDescent="0.3"/>
    <row r="994" ht="25.5" hidden="1" customHeight="1" x14ac:dyDescent="0.3"/>
    <row r="995" ht="25.5" hidden="1" customHeight="1" x14ac:dyDescent="0.3"/>
    <row r="996" ht="25.5" hidden="1" customHeight="1" x14ac:dyDescent="0.3"/>
    <row r="997" ht="25.5" hidden="1" customHeight="1" x14ac:dyDescent="0.3"/>
    <row r="998" ht="25.5" hidden="1" customHeight="1" x14ac:dyDescent="0.3"/>
    <row r="999" ht="25.5" hidden="1" customHeight="1" x14ac:dyDescent="0.3"/>
    <row r="1000" ht="25.5" hidden="1" customHeight="1" x14ac:dyDescent="0.3"/>
    <row r="1001" ht="25.5" hidden="1" customHeight="1" x14ac:dyDescent="0.3"/>
    <row r="1002" ht="25.5" hidden="1" customHeight="1" x14ac:dyDescent="0.3"/>
    <row r="1003" ht="25.5" hidden="1" customHeight="1" x14ac:dyDescent="0.3"/>
    <row r="1004" ht="25.5" hidden="1" customHeight="1" x14ac:dyDescent="0.3"/>
    <row r="1005" ht="25.5" hidden="1" customHeight="1" x14ac:dyDescent="0.3"/>
    <row r="1006" ht="25.5" hidden="1" customHeight="1" x14ac:dyDescent="0.3"/>
    <row r="1007" ht="25.5" hidden="1" customHeight="1" x14ac:dyDescent="0.3"/>
    <row r="1008" ht="25.5" hidden="1" customHeight="1" x14ac:dyDescent="0.3"/>
    <row r="1009" ht="25.5" hidden="1" customHeight="1" x14ac:dyDescent="0.3"/>
    <row r="1010" ht="25.5" hidden="1" customHeight="1" x14ac:dyDescent="0.3"/>
    <row r="1011" ht="25.5" hidden="1" customHeight="1" x14ac:dyDescent="0.3"/>
    <row r="1012" ht="25.5" hidden="1" customHeight="1" x14ac:dyDescent="0.3"/>
    <row r="1013" ht="25.5" hidden="1" customHeight="1" x14ac:dyDescent="0.3"/>
    <row r="1014" ht="25.5" hidden="1" customHeight="1" x14ac:dyDescent="0.3"/>
    <row r="1015" ht="25.5" hidden="1" customHeight="1" x14ac:dyDescent="0.3"/>
    <row r="1016" ht="25.5" hidden="1" customHeight="1" x14ac:dyDescent="0.3"/>
    <row r="1017" ht="25.5" hidden="1" customHeight="1" x14ac:dyDescent="0.3"/>
    <row r="1018" ht="25.5" hidden="1" customHeight="1" x14ac:dyDescent="0.3"/>
    <row r="1019" ht="25.5" hidden="1" customHeight="1" x14ac:dyDescent="0.3"/>
    <row r="1020" ht="25.5" hidden="1" customHeight="1" x14ac:dyDescent="0.3"/>
    <row r="1021" ht="25.5" hidden="1" customHeight="1" x14ac:dyDescent="0.3"/>
    <row r="1022" ht="25.5" hidden="1" customHeight="1" x14ac:dyDescent="0.3"/>
    <row r="1023" ht="25.5" hidden="1" customHeight="1" x14ac:dyDescent="0.3"/>
    <row r="1024" ht="25.5" hidden="1" customHeight="1" x14ac:dyDescent="0.3"/>
    <row r="1025" ht="25.5" hidden="1" customHeight="1" x14ac:dyDescent="0.3"/>
    <row r="1026" ht="25.5" hidden="1" customHeight="1" x14ac:dyDescent="0.3"/>
    <row r="1027" ht="25.5" hidden="1" customHeight="1" x14ac:dyDescent="0.3"/>
    <row r="1028" ht="25.5" hidden="1" customHeight="1" x14ac:dyDescent="0.3"/>
    <row r="1029" ht="25.5" hidden="1" customHeight="1" x14ac:dyDescent="0.3"/>
    <row r="1030" ht="25.5" hidden="1" customHeight="1" x14ac:dyDescent="0.3"/>
    <row r="1031" ht="25.5" hidden="1" customHeight="1" x14ac:dyDescent="0.3"/>
    <row r="1032" ht="25.5" hidden="1" customHeight="1" x14ac:dyDescent="0.3"/>
    <row r="1033" ht="25.5" hidden="1" customHeight="1" x14ac:dyDescent="0.3"/>
    <row r="1034" ht="25.5" hidden="1" customHeight="1" x14ac:dyDescent="0.3"/>
    <row r="1035" ht="25.5" hidden="1" customHeight="1" x14ac:dyDescent="0.3"/>
    <row r="1036" ht="25.5" hidden="1" customHeight="1" x14ac:dyDescent="0.3"/>
    <row r="1037" ht="25.5" hidden="1" customHeight="1" x14ac:dyDescent="0.3"/>
    <row r="1038" ht="25.5" hidden="1" customHeight="1" x14ac:dyDescent="0.3"/>
    <row r="1039" ht="25.5" hidden="1" customHeight="1" x14ac:dyDescent="0.3"/>
    <row r="1040" ht="25.5" hidden="1" customHeight="1" x14ac:dyDescent="0.3"/>
    <row r="1041" ht="25.5" hidden="1" customHeight="1" x14ac:dyDescent="0.3"/>
    <row r="1042" ht="25.5" hidden="1" customHeight="1" x14ac:dyDescent="0.3"/>
    <row r="1043" ht="25.5" hidden="1" customHeight="1" x14ac:dyDescent="0.3"/>
    <row r="1044" ht="25.5" hidden="1" customHeight="1" x14ac:dyDescent="0.3"/>
    <row r="1045" ht="25.5" hidden="1" customHeight="1" x14ac:dyDescent="0.3"/>
    <row r="1046" ht="25.5" hidden="1" customHeight="1" x14ac:dyDescent="0.3"/>
    <row r="1047" ht="25.5" hidden="1" customHeight="1" x14ac:dyDescent="0.3"/>
    <row r="1048" ht="25.5" hidden="1" customHeight="1" x14ac:dyDescent="0.3"/>
    <row r="1049" ht="25.5" hidden="1" customHeight="1" x14ac:dyDescent="0.3"/>
    <row r="1050" ht="25.5" hidden="1" customHeight="1" x14ac:dyDescent="0.3"/>
    <row r="1051" ht="25.5" hidden="1" customHeight="1" x14ac:dyDescent="0.3"/>
    <row r="1052" ht="25.5" hidden="1" customHeight="1" x14ac:dyDescent="0.3"/>
    <row r="1053" ht="25.5" hidden="1" customHeight="1" x14ac:dyDescent="0.3"/>
    <row r="1054" ht="25.5" hidden="1" customHeight="1" x14ac:dyDescent="0.3"/>
    <row r="1055" ht="25.5" hidden="1" customHeight="1" x14ac:dyDescent="0.3"/>
    <row r="1056" ht="25.5" hidden="1" customHeight="1" x14ac:dyDescent="0.3"/>
    <row r="1057" ht="25.5" hidden="1" customHeight="1" x14ac:dyDescent="0.3"/>
    <row r="1058" ht="25.5" hidden="1" customHeight="1" x14ac:dyDescent="0.3"/>
    <row r="1059" ht="25.5" hidden="1" customHeight="1" x14ac:dyDescent="0.3"/>
    <row r="1060" ht="25.5" hidden="1" customHeight="1" x14ac:dyDescent="0.3"/>
    <row r="1061" ht="25.5" hidden="1" customHeight="1" x14ac:dyDescent="0.3"/>
    <row r="1062" ht="25.5" hidden="1" customHeight="1" x14ac:dyDescent="0.3"/>
    <row r="1063" ht="25.5" hidden="1" customHeight="1" x14ac:dyDescent="0.3"/>
    <row r="1064" ht="25.5" hidden="1" customHeight="1" x14ac:dyDescent="0.3"/>
    <row r="1065" ht="25.5" hidden="1" customHeight="1" x14ac:dyDescent="0.3"/>
    <row r="1066" ht="25.5" hidden="1" customHeight="1" x14ac:dyDescent="0.3"/>
    <row r="1067" ht="25.5" hidden="1" customHeight="1" x14ac:dyDescent="0.3"/>
    <row r="1068" ht="25.5" hidden="1" customHeight="1" x14ac:dyDescent="0.3"/>
    <row r="1069" ht="25.5" hidden="1" customHeight="1" x14ac:dyDescent="0.3"/>
    <row r="1070" ht="25.5" hidden="1" customHeight="1" x14ac:dyDescent="0.3"/>
    <row r="1071" ht="25.5" hidden="1" customHeight="1" x14ac:dyDescent="0.3"/>
    <row r="1072" ht="25.5" hidden="1" customHeight="1" x14ac:dyDescent="0.3"/>
    <row r="1073" ht="25.5" hidden="1" customHeight="1" x14ac:dyDescent="0.3"/>
    <row r="1074" ht="25.5" hidden="1" customHeight="1" x14ac:dyDescent="0.3"/>
    <row r="1075" ht="25.5" hidden="1" customHeight="1" x14ac:dyDescent="0.3"/>
    <row r="1076" ht="25.5" hidden="1" customHeight="1" x14ac:dyDescent="0.3"/>
    <row r="1077" ht="25.5" hidden="1" customHeight="1" x14ac:dyDescent="0.3"/>
    <row r="1078" ht="25.5" hidden="1" customHeight="1" x14ac:dyDescent="0.3"/>
    <row r="1079" ht="25.5" hidden="1" customHeight="1" x14ac:dyDescent="0.3"/>
    <row r="1080" ht="25.5" hidden="1" customHeight="1" x14ac:dyDescent="0.3"/>
    <row r="1081" ht="25.5" hidden="1" customHeight="1" x14ac:dyDescent="0.3"/>
    <row r="1082" ht="25.5" hidden="1" customHeight="1" x14ac:dyDescent="0.3"/>
    <row r="1083" ht="25.5" hidden="1" customHeight="1" x14ac:dyDescent="0.3"/>
    <row r="1084" ht="25.5" hidden="1" customHeight="1" x14ac:dyDescent="0.3"/>
    <row r="1085" ht="25.5" hidden="1" customHeight="1" x14ac:dyDescent="0.3"/>
    <row r="1086" ht="25.5" hidden="1" customHeight="1" x14ac:dyDescent="0.3"/>
    <row r="1087" ht="25.5" hidden="1" customHeight="1" x14ac:dyDescent="0.3"/>
    <row r="1088" ht="25.5" hidden="1" customHeight="1" x14ac:dyDescent="0.3"/>
    <row r="1089" ht="25.5" hidden="1" customHeight="1" x14ac:dyDescent="0.3"/>
    <row r="1090" ht="25.5" hidden="1" customHeight="1" x14ac:dyDescent="0.3"/>
    <row r="1091" ht="25.5" hidden="1" customHeight="1" x14ac:dyDescent="0.3"/>
    <row r="1092" ht="25.5" hidden="1" customHeight="1" x14ac:dyDescent="0.3"/>
    <row r="1093" ht="25.5" hidden="1" customHeight="1" x14ac:dyDescent="0.3"/>
    <row r="1094" ht="25.5" hidden="1" customHeight="1" x14ac:dyDescent="0.3"/>
    <row r="1095" ht="25.5" hidden="1" customHeight="1" x14ac:dyDescent="0.3"/>
    <row r="1096" ht="25.5" hidden="1" customHeight="1" x14ac:dyDescent="0.3"/>
    <row r="1097" ht="25.5" hidden="1" customHeight="1" x14ac:dyDescent="0.3"/>
    <row r="1098" ht="25.5" hidden="1" customHeight="1" x14ac:dyDescent="0.3"/>
    <row r="1099" ht="25.5" hidden="1" customHeight="1" x14ac:dyDescent="0.3"/>
    <row r="1100" ht="25.5" hidden="1" customHeight="1" x14ac:dyDescent="0.3"/>
    <row r="1101" ht="25.5" hidden="1" customHeight="1" x14ac:dyDescent="0.3"/>
    <row r="1102" ht="25.5" hidden="1" customHeight="1" x14ac:dyDescent="0.3"/>
    <row r="1103" ht="25.5" hidden="1" customHeight="1" x14ac:dyDescent="0.3"/>
    <row r="1104" ht="25.5" hidden="1" customHeight="1" x14ac:dyDescent="0.3"/>
    <row r="1105" ht="25.5" hidden="1" customHeight="1" x14ac:dyDescent="0.3"/>
    <row r="1106" ht="25.5" hidden="1" customHeight="1" x14ac:dyDescent="0.3"/>
    <row r="1107" ht="25.5" customHeight="1" x14ac:dyDescent="0.3"/>
    <row r="1108" ht="25.5" customHeight="1" x14ac:dyDescent="0.3"/>
    <row r="1109" ht="25.5" customHeight="1" x14ac:dyDescent="0.3"/>
    <row r="1110" ht="25.5" customHeight="1" x14ac:dyDescent="0.3"/>
    <row r="1111" ht="25.5" customHeight="1" x14ac:dyDescent="0.3"/>
    <row r="1112" ht="25.5" customHeight="1" x14ac:dyDescent="0.3"/>
    <row r="1113" ht="25.5" customHeight="1" x14ac:dyDescent="0.3"/>
    <row r="1114" ht="25.5" customHeight="1" x14ac:dyDescent="0.3"/>
  </sheetData>
  <mergeCells count="15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conditionalFormatting sqref="G42:H43">
    <cfRule type="expression" dxfId="4" priority="1">
      <formula>$G$42&lt;&gt;$H$42</formula>
    </cfRule>
  </conditionalFormatting>
  <dataValidations count="4">
    <dataValidation type="list" allowBlank="1" showInputMessage="1" showErrorMessage="1" prompt="Select from drop down list" sqref="C9:G9" xr:uid="{00000000-0002-0000-0100-000000000000}">
      <formula1>"GeneXpert (Sputum &amp; EP), GeneXpert (Stool), Truenat"</formula1>
    </dataValidation>
    <dataValidation type="whole" allowBlank="1" showInputMessage="1" showErrorMessage="1" prompt="Fill the following Others (Specify) table to get the number automatically " sqref="S27:T35" xr:uid="{00000000-0002-0000-0100-000001000000}">
      <formula1>0</formula1>
      <formula2>999999</formula2>
    </dataValidation>
    <dataValidation type="whole" allowBlank="1" showInputMessage="1" showErrorMessage="1" sqref="E27:L35 M41:U43 O27:O35 R27:R35 B27:C35 B40:D45" xr:uid="{00000000-0002-0000-0100-000002000000}">
      <formula1>0</formula1>
      <formula2>999999</formula2>
    </dataValidation>
    <dataValidation allowBlank="1" showInputMessage="1" showErrorMessage="1" prompt="Date Format:_x000a_DD/MM/YYYY" sqref="S48 P9" xr:uid="{00000000-0002-0000-0100-000003000000}"/>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P17"/>
  <sheetViews>
    <sheetView showGridLines="0" view="pageBreakPreview" zoomScaleSheetLayoutView="100" workbookViewId="0">
      <selection activeCell="E13" sqref="E13"/>
    </sheetView>
  </sheetViews>
  <sheetFormatPr defaultRowHeight="15" x14ac:dyDescent="0.25"/>
  <cols>
    <col min="1" max="1" width="6" style="91" customWidth="1"/>
    <col min="2" max="2" width="17.5703125" style="91" customWidth="1"/>
    <col min="3" max="3" width="5.28515625" style="91" customWidth="1"/>
    <col min="4" max="4" width="5" style="91" customWidth="1"/>
    <col min="5" max="5" width="11.5703125" style="91" bestFit="1" customWidth="1"/>
    <col min="6" max="6" width="19.5703125" style="91" customWidth="1"/>
    <col min="7" max="7" width="14.42578125" style="91" customWidth="1"/>
    <col min="8" max="8" width="10.28515625" style="91" customWidth="1"/>
    <col min="9" max="9" width="15.7109375" style="91" customWidth="1"/>
    <col min="10" max="10" width="10.7109375" style="91" customWidth="1"/>
    <col min="11" max="11" width="12.28515625" style="91" customWidth="1"/>
    <col min="12" max="12" width="7.7109375" style="91" customWidth="1"/>
    <col min="13" max="13" width="8.42578125" style="91" customWidth="1"/>
    <col min="14" max="14" width="7.7109375" style="91" customWidth="1"/>
    <col min="15" max="15" width="9.5703125" style="91" customWidth="1"/>
    <col min="16" max="16" width="7.7109375" style="91" customWidth="1"/>
    <col min="17" max="18" width="8.28515625" style="91" customWidth="1"/>
    <col min="19" max="19" width="14.28515625" style="91" customWidth="1"/>
    <col min="20" max="20" width="9.28515625" style="91" customWidth="1"/>
    <col min="21" max="21" width="10.7109375" style="91" bestFit="1" customWidth="1"/>
    <col min="22" max="22" width="10.28515625" style="91" customWidth="1"/>
    <col min="23" max="23" width="9.28515625" style="91"/>
    <col min="24" max="24" width="13.7109375" style="91" customWidth="1"/>
    <col min="25" max="258" width="9.28515625" style="91"/>
    <col min="259" max="259" width="6" style="91" customWidth="1"/>
    <col min="260" max="260" width="22.28515625" style="91" customWidth="1"/>
    <col min="261" max="261" width="5.42578125" style="91" customWidth="1"/>
    <col min="262" max="262" width="5.28515625" style="91" customWidth="1"/>
    <col min="263" max="263" width="21.28515625" style="91" customWidth="1"/>
    <col min="264" max="264" width="17.28515625" style="91" customWidth="1"/>
    <col min="265" max="265" width="10.28515625" style="91" customWidth="1"/>
    <col min="266" max="266" width="15" style="91" customWidth="1"/>
    <col min="267" max="267" width="10.28515625" style="91" customWidth="1"/>
    <col min="268" max="268" width="15.7109375" style="91" customWidth="1"/>
    <col min="269" max="269" width="9.5703125" style="91" customWidth="1"/>
    <col min="270" max="270" width="11.42578125" style="91" customWidth="1"/>
    <col min="271" max="271" width="12" style="91" customWidth="1"/>
    <col min="272" max="514" width="9.28515625" style="91"/>
    <col min="515" max="515" width="6" style="91" customWidth="1"/>
    <col min="516" max="516" width="22.28515625" style="91" customWidth="1"/>
    <col min="517" max="517" width="5.42578125" style="91" customWidth="1"/>
    <col min="518" max="518" width="5.28515625" style="91" customWidth="1"/>
    <col min="519" max="519" width="21.28515625" style="91" customWidth="1"/>
    <col min="520" max="520" width="17.28515625" style="91" customWidth="1"/>
    <col min="521" max="521" width="10.28515625" style="91" customWidth="1"/>
    <col min="522" max="522" width="15" style="91" customWidth="1"/>
    <col min="523" max="523" width="10.28515625" style="91" customWidth="1"/>
    <col min="524" max="524" width="15.7109375" style="91" customWidth="1"/>
    <col min="525" max="525" width="9.5703125" style="91" customWidth="1"/>
    <col min="526" max="526" width="11.42578125" style="91" customWidth="1"/>
    <col min="527" max="527" width="12" style="91" customWidth="1"/>
    <col min="528" max="770" width="9.28515625" style="91"/>
    <col min="771" max="771" width="6" style="91" customWidth="1"/>
    <col min="772" max="772" width="22.28515625" style="91" customWidth="1"/>
    <col min="773" max="773" width="5.42578125" style="91" customWidth="1"/>
    <col min="774" max="774" width="5.28515625" style="91" customWidth="1"/>
    <col min="775" max="775" width="21.28515625" style="91" customWidth="1"/>
    <col min="776" max="776" width="17.28515625" style="91" customWidth="1"/>
    <col min="777" max="777" width="10.28515625" style="91" customWidth="1"/>
    <col min="778" max="778" width="15" style="91" customWidth="1"/>
    <col min="779" max="779" width="10.28515625" style="91" customWidth="1"/>
    <col min="780" max="780" width="15.7109375" style="91" customWidth="1"/>
    <col min="781" max="781" width="9.5703125" style="91" customWidth="1"/>
    <col min="782" max="782" width="11.42578125" style="91" customWidth="1"/>
    <col min="783" max="783" width="12" style="91" customWidth="1"/>
    <col min="784" max="1026" width="9.28515625" style="91"/>
    <col min="1027" max="1027" width="6" style="91" customWidth="1"/>
    <col min="1028" max="1028" width="22.28515625" style="91" customWidth="1"/>
    <col min="1029" max="1029" width="5.42578125" style="91" customWidth="1"/>
    <col min="1030" max="1030" width="5.28515625" style="91" customWidth="1"/>
    <col min="1031" max="1031" width="21.28515625" style="91" customWidth="1"/>
    <col min="1032" max="1032" width="17.28515625" style="91" customWidth="1"/>
    <col min="1033" max="1033" width="10.28515625" style="91" customWidth="1"/>
    <col min="1034" max="1034" width="15" style="91" customWidth="1"/>
    <col min="1035" max="1035" width="10.28515625" style="91" customWidth="1"/>
    <col min="1036" max="1036" width="15.7109375" style="91" customWidth="1"/>
    <col min="1037" max="1037" width="9.5703125" style="91" customWidth="1"/>
    <col min="1038" max="1038" width="11.42578125" style="91" customWidth="1"/>
    <col min="1039" max="1039" width="12" style="91" customWidth="1"/>
    <col min="1040" max="1282" width="9.28515625" style="91"/>
    <col min="1283" max="1283" width="6" style="91" customWidth="1"/>
    <col min="1284" max="1284" width="22.28515625" style="91" customWidth="1"/>
    <col min="1285" max="1285" width="5.42578125" style="91" customWidth="1"/>
    <col min="1286" max="1286" width="5.28515625" style="91" customWidth="1"/>
    <col min="1287" max="1287" width="21.28515625" style="91" customWidth="1"/>
    <col min="1288" max="1288" width="17.28515625" style="91" customWidth="1"/>
    <col min="1289" max="1289" width="10.28515625" style="91" customWidth="1"/>
    <col min="1290" max="1290" width="15" style="91" customWidth="1"/>
    <col min="1291" max="1291" width="10.28515625" style="91" customWidth="1"/>
    <col min="1292" max="1292" width="15.7109375" style="91" customWidth="1"/>
    <col min="1293" max="1293" width="9.5703125" style="91" customWidth="1"/>
    <col min="1294" max="1294" width="11.42578125" style="91" customWidth="1"/>
    <col min="1295" max="1295" width="12" style="91" customWidth="1"/>
    <col min="1296" max="1538" width="9.28515625" style="91"/>
    <col min="1539" max="1539" width="6" style="91" customWidth="1"/>
    <col min="1540" max="1540" width="22.28515625" style="91" customWidth="1"/>
    <col min="1541" max="1541" width="5.42578125" style="91" customWidth="1"/>
    <col min="1542" max="1542" width="5.28515625" style="91" customWidth="1"/>
    <col min="1543" max="1543" width="21.28515625" style="91" customWidth="1"/>
    <col min="1544" max="1544" width="17.28515625" style="91" customWidth="1"/>
    <col min="1545" max="1545" width="10.28515625" style="91" customWidth="1"/>
    <col min="1546" max="1546" width="15" style="91" customWidth="1"/>
    <col min="1547" max="1547" width="10.28515625" style="91" customWidth="1"/>
    <col min="1548" max="1548" width="15.7109375" style="91" customWidth="1"/>
    <col min="1549" max="1549" width="9.5703125" style="91" customWidth="1"/>
    <col min="1550" max="1550" width="11.42578125" style="91" customWidth="1"/>
    <col min="1551" max="1551" width="12" style="91" customWidth="1"/>
    <col min="1552" max="1794" width="9.28515625" style="91"/>
    <col min="1795" max="1795" width="6" style="91" customWidth="1"/>
    <col min="1796" max="1796" width="22.28515625" style="91" customWidth="1"/>
    <col min="1797" max="1797" width="5.42578125" style="91" customWidth="1"/>
    <col min="1798" max="1798" width="5.28515625" style="91" customWidth="1"/>
    <col min="1799" max="1799" width="21.28515625" style="91" customWidth="1"/>
    <col min="1800" max="1800" width="17.28515625" style="91" customWidth="1"/>
    <col min="1801" max="1801" width="10.28515625" style="91" customWidth="1"/>
    <col min="1802" max="1802" width="15" style="91" customWidth="1"/>
    <col min="1803" max="1803" width="10.28515625" style="91" customWidth="1"/>
    <col min="1804" max="1804" width="15.7109375" style="91" customWidth="1"/>
    <col min="1805" max="1805" width="9.5703125" style="91" customWidth="1"/>
    <col min="1806" max="1806" width="11.42578125" style="91" customWidth="1"/>
    <col min="1807" max="1807" width="12" style="91" customWidth="1"/>
    <col min="1808" max="2050" width="9.28515625" style="91"/>
    <col min="2051" max="2051" width="6" style="91" customWidth="1"/>
    <col min="2052" max="2052" width="22.28515625" style="91" customWidth="1"/>
    <col min="2053" max="2053" width="5.42578125" style="91" customWidth="1"/>
    <col min="2054" max="2054" width="5.28515625" style="91" customWidth="1"/>
    <col min="2055" max="2055" width="21.28515625" style="91" customWidth="1"/>
    <col min="2056" max="2056" width="17.28515625" style="91" customWidth="1"/>
    <col min="2057" max="2057" width="10.28515625" style="91" customWidth="1"/>
    <col min="2058" max="2058" width="15" style="91" customWidth="1"/>
    <col min="2059" max="2059" width="10.28515625" style="91" customWidth="1"/>
    <col min="2060" max="2060" width="15.7109375" style="91" customWidth="1"/>
    <col min="2061" max="2061" width="9.5703125" style="91" customWidth="1"/>
    <col min="2062" max="2062" width="11.42578125" style="91" customWidth="1"/>
    <col min="2063" max="2063" width="12" style="91" customWidth="1"/>
    <col min="2064" max="2306" width="9.28515625" style="91"/>
    <col min="2307" max="2307" width="6" style="91" customWidth="1"/>
    <col min="2308" max="2308" width="22.28515625" style="91" customWidth="1"/>
    <col min="2309" max="2309" width="5.42578125" style="91" customWidth="1"/>
    <col min="2310" max="2310" width="5.28515625" style="91" customWidth="1"/>
    <col min="2311" max="2311" width="21.28515625" style="91" customWidth="1"/>
    <col min="2312" max="2312" width="17.28515625" style="91" customWidth="1"/>
    <col min="2313" max="2313" width="10.28515625" style="91" customWidth="1"/>
    <col min="2314" max="2314" width="15" style="91" customWidth="1"/>
    <col min="2315" max="2315" width="10.28515625" style="91" customWidth="1"/>
    <col min="2316" max="2316" width="15.7109375" style="91" customWidth="1"/>
    <col min="2317" max="2317" width="9.5703125" style="91" customWidth="1"/>
    <col min="2318" max="2318" width="11.42578125" style="91" customWidth="1"/>
    <col min="2319" max="2319" width="12" style="91" customWidth="1"/>
    <col min="2320" max="2562" width="9.28515625" style="91"/>
    <col min="2563" max="2563" width="6" style="91" customWidth="1"/>
    <col min="2564" max="2564" width="22.28515625" style="91" customWidth="1"/>
    <col min="2565" max="2565" width="5.42578125" style="91" customWidth="1"/>
    <col min="2566" max="2566" width="5.28515625" style="91" customWidth="1"/>
    <col min="2567" max="2567" width="21.28515625" style="91" customWidth="1"/>
    <col min="2568" max="2568" width="17.28515625" style="91" customWidth="1"/>
    <col min="2569" max="2569" width="10.28515625" style="91" customWidth="1"/>
    <col min="2570" max="2570" width="15" style="91" customWidth="1"/>
    <col min="2571" max="2571" width="10.28515625" style="91" customWidth="1"/>
    <col min="2572" max="2572" width="15.7109375" style="91" customWidth="1"/>
    <col min="2573" max="2573" width="9.5703125" style="91" customWidth="1"/>
    <col min="2574" max="2574" width="11.42578125" style="91" customWidth="1"/>
    <col min="2575" max="2575" width="12" style="91" customWidth="1"/>
    <col min="2576" max="2818" width="9.28515625" style="91"/>
    <col min="2819" max="2819" width="6" style="91" customWidth="1"/>
    <col min="2820" max="2820" width="22.28515625" style="91" customWidth="1"/>
    <col min="2821" max="2821" width="5.42578125" style="91" customWidth="1"/>
    <col min="2822" max="2822" width="5.28515625" style="91" customWidth="1"/>
    <col min="2823" max="2823" width="21.28515625" style="91" customWidth="1"/>
    <col min="2824" max="2824" width="17.28515625" style="91" customWidth="1"/>
    <col min="2825" max="2825" width="10.28515625" style="91" customWidth="1"/>
    <col min="2826" max="2826" width="15" style="91" customWidth="1"/>
    <col min="2827" max="2827" width="10.28515625" style="91" customWidth="1"/>
    <col min="2828" max="2828" width="15.7109375" style="91" customWidth="1"/>
    <col min="2829" max="2829" width="9.5703125" style="91" customWidth="1"/>
    <col min="2830" max="2830" width="11.42578125" style="91" customWidth="1"/>
    <col min="2831" max="2831" width="12" style="91" customWidth="1"/>
    <col min="2832" max="3074" width="9.28515625" style="91"/>
    <col min="3075" max="3075" width="6" style="91" customWidth="1"/>
    <col min="3076" max="3076" width="22.28515625" style="91" customWidth="1"/>
    <col min="3077" max="3077" width="5.42578125" style="91" customWidth="1"/>
    <col min="3078" max="3078" width="5.28515625" style="91" customWidth="1"/>
    <col min="3079" max="3079" width="21.28515625" style="91" customWidth="1"/>
    <col min="3080" max="3080" width="17.28515625" style="91" customWidth="1"/>
    <col min="3081" max="3081" width="10.28515625" style="91" customWidth="1"/>
    <col min="3082" max="3082" width="15" style="91" customWidth="1"/>
    <col min="3083" max="3083" width="10.28515625" style="91" customWidth="1"/>
    <col min="3084" max="3084" width="15.7109375" style="91" customWidth="1"/>
    <col min="3085" max="3085" width="9.5703125" style="91" customWidth="1"/>
    <col min="3086" max="3086" width="11.42578125" style="91" customWidth="1"/>
    <col min="3087" max="3087" width="12" style="91" customWidth="1"/>
    <col min="3088" max="3330" width="9.28515625" style="91"/>
    <col min="3331" max="3331" width="6" style="91" customWidth="1"/>
    <col min="3332" max="3332" width="22.28515625" style="91" customWidth="1"/>
    <col min="3333" max="3333" width="5.42578125" style="91" customWidth="1"/>
    <col min="3334" max="3334" width="5.28515625" style="91" customWidth="1"/>
    <col min="3335" max="3335" width="21.28515625" style="91" customWidth="1"/>
    <col min="3336" max="3336" width="17.28515625" style="91" customWidth="1"/>
    <col min="3337" max="3337" width="10.28515625" style="91" customWidth="1"/>
    <col min="3338" max="3338" width="15" style="91" customWidth="1"/>
    <col min="3339" max="3339" width="10.28515625" style="91" customWidth="1"/>
    <col min="3340" max="3340" width="15.7109375" style="91" customWidth="1"/>
    <col min="3341" max="3341" width="9.5703125" style="91" customWidth="1"/>
    <col min="3342" max="3342" width="11.42578125" style="91" customWidth="1"/>
    <col min="3343" max="3343" width="12" style="91" customWidth="1"/>
    <col min="3344" max="3586" width="9.28515625" style="91"/>
    <col min="3587" max="3587" width="6" style="91" customWidth="1"/>
    <col min="3588" max="3588" width="22.28515625" style="91" customWidth="1"/>
    <col min="3589" max="3589" width="5.42578125" style="91" customWidth="1"/>
    <col min="3590" max="3590" width="5.28515625" style="91" customWidth="1"/>
    <col min="3591" max="3591" width="21.28515625" style="91" customWidth="1"/>
    <col min="3592" max="3592" width="17.28515625" style="91" customWidth="1"/>
    <col min="3593" max="3593" width="10.28515625" style="91" customWidth="1"/>
    <col min="3594" max="3594" width="15" style="91" customWidth="1"/>
    <col min="3595" max="3595" width="10.28515625" style="91" customWidth="1"/>
    <col min="3596" max="3596" width="15.7109375" style="91" customWidth="1"/>
    <col min="3597" max="3597" width="9.5703125" style="91" customWidth="1"/>
    <col min="3598" max="3598" width="11.42578125" style="91" customWidth="1"/>
    <col min="3599" max="3599" width="12" style="91" customWidth="1"/>
    <col min="3600" max="3842" width="9.28515625" style="91"/>
    <col min="3843" max="3843" width="6" style="91" customWidth="1"/>
    <col min="3844" max="3844" width="22.28515625" style="91" customWidth="1"/>
    <col min="3845" max="3845" width="5.42578125" style="91" customWidth="1"/>
    <col min="3846" max="3846" width="5.28515625" style="91" customWidth="1"/>
    <col min="3847" max="3847" width="21.28515625" style="91" customWidth="1"/>
    <col min="3848" max="3848" width="17.28515625" style="91" customWidth="1"/>
    <col min="3849" max="3849" width="10.28515625" style="91" customWidth="1"/>
    <col min="3850" max="3850" width="15" style="91" customWidth="1"/>
    <col min="3851" max="3851" width="10.28515625" style="91" customWidth="1"/>
    <col min="3852" max="3852" width="15.7109375" style="91" customWidth="1"/>
    <col min="3853" max="3853" width="9.5703125" style="91" customWidth="1"/>
    <col min="3854" max="3854" width="11.42578125" style="91" customWidth="1"/>
    <col min="3855" max="3855" width="12" style="91" customWidth="1"/>
    <col min="3856" max="4098" width="9.28515625" style="91"/>
    <col min="4099" max="4099" width="6" style="91" customWidth="1"/>
    <col min="4100" max="4100" width="22.28515625" style="91" customWidth="1"/>
    <col min="4101" max="4101" width="5.42578125" style="91" customWidth="1"/>
    <col min="4102" max="4102" width="5.28515625" style="91" customWidth="1"/>
    <col min="4103" max="4103" width="21.28515625" style="91" customWidth="1"/>
    <col min="4104" max="4104" width="17.28515625" style="91" customWidth="1"/>
    <col min="4105" max="4105" width="10.28515625" style="91" customWidth="1"/>
    <col min="4106" max="4106" width="15" style="91" customWidth="1"/>
    <col min="4107" max="4107" width="10.28515625" style="91" customWidth="1"/>
    <col min="4108" max="4108" width="15.7109375" style="91" customWidth="1"/>
    <col min="4109" max="4109" width="9.5703125" style="91" customWidth="1"/>
    <col min="4110" max="4110" width="11.42578125" style="91" customWidth="1"/>
    <col min="4111" max="4111" width="12" style="91" customWidth="1"/>
    <col min="4112" max="4354" width="9.28515625" style="91"/>
    <col min="4355" max="4355" width="6" style="91" customWidth="1"/>
    <col min="4356" max="4356" width="22.28515625" style="91" customWidth="1"/>
    <col min="4357" max="4357" width="5.42578125" style="91" customWidth="1"/>
    <col min="4358" max="4358" width="5.28515625" style="91" customWidth="1"/>
    <col min="4359" max="4359" width="21.28515625" style="91" customWidth="1"/>
    <col min="4360" max="4360" width="17.28515625" style="91" customWidth="1"/>
    <col min="4361" max="4361" width="10.28515625" style="91" customWidth="1"/>
    <col min="4362" max="4362" width="15" style="91" customWidth="1"/>
    <col min="4363" max="4363" width="10.28515625" style="91" customWidth="1"/>
    <col min="4364" max="4364" width="15.7109375" style="91" customWidth="1"/>
    <col min="4365" max="4365" width="9.5703125" style="91" customWidth="1"/>
    <col min="4366" max="4366" width="11.42578125" style="91" customWidth="1"/>
    <col min="4367" max="4367" width="12" style="91" customWidth="1"/>
    <col min="4368" max="4610" width="9.28515625" style="91"/>
    <col min="4611" max="4611" width="6" style="91" customWidth="1"/>
    <col min="4612" max="4612" width="22.28515625" style="91" customWidth="1"/>
    <col min="4613" max="4613" width="5.42578125" style="91" customWidth="1"/>
    <col min="4614" max="4614" width="5.28515625" style="91" customWidth="1"/>
    <col min="4615" max="4615" width="21.28515625" style="91" customWidth="1"/>
    <col min="4616" max="4616" width="17.28515625" style="91" customWidth="1"/>
    <col min="4617" max="4617" width="10.28515625" style="91" customWidth="1"/>
    <col min="4618" max="4618" width="15" style="91" customWidth="1"/>
    <col min="4619" max="4619" width="10.28515625" style="91" customWidth="1"/>
    <col min="4620" max="4620" width="15.7109375" style="91" customWidth="1"/>
    <col min="4621" max="4621" width="9.5703125" style="91" customWidth="1"/>
    <col min="4622" max="4622" width="11.42578125" style="91" customWidth="1"/>
    <col min="4623" max="4623" width="12" style="91" customWidth="1"/>
    <col min="4624" max="4866" width="9.28515625" style="91"/>
    <col min="4867" max="4867" width="6" style="91" customWidth="1"/>
    <col min="4868" max="4868" width="22.28515625" style="91" customWidth="1"/>
    <col min="4869" max="4869" width="5.42578125" style="91" customWidth="1"/>
    <col min="4870" max="4870" width="5.28515625" style="91" customWidth="1"/>
    <col min="4871" max="4871" width="21.28515625" style="91" customWidth="1"/>
    <col min="4872" max="4872" width="17.28515625" style="91" customWidth="1"/>
    <col min="4873" max="4873" width="10.28515625" style="91" customWidth="1"/>
    <col min="4874" max="4874" width="15" style="91" customWidth="1"/>
    <col min="4875" max="4875" width="10.28515625" style="91" customWidth="1"/>
    <col min="4876" max="4876" width="15.7109375" style="91" customWidth="1"/>
    <col min="4877" max="4877" width="9.5703125" style="91" customWidth="1"/>
    <col min="4878" max="4878" width="11.42578125" style="91" customWidth="1"/>
    <col min="4879" max="4879" width="12" style="91" customWidth="1"/>
    <col min="4880" max="5122" width="9.28515625" style="91"/>
    <col min="5123" max="5123" width="6" style="91" customWidth="1"/>
    <col min="5124" max="5124" width="22.28515625" style="91" customWidth="1"/>
    <col min="5125" max="5125" width="5.42578125" style="91" customWidth="1"/>
    <col min="5126" max="5126" width="5.28515625" style="91" customWidth="1"/>
    <col min="5127" max="5127" width="21.28515625" style="91" customWidth="1"/>
    <col min="5128" max="5128" width="17.28515625" style="91" customWidth="1"/>
    <col min="5129" max="5129" width="10.28515625" style="91" customWidth="1"/>
    <col min="5130" max="5130" width="15" style="91" customWidth="1"/>
    <col min="5131" max="5131" width="10.28515625" style="91" customWidth="1"/>
    <col min="5132" max="5132" width="15.7109375" style="91" customWidth="1"/>
    <col min="5133" max="5133" width="9.5703125" style="91" customWidth="1"/>
    <col min="5134" max="5134" width="11.42578125" style="91" customWidth="1"/>
    <col min="5135" max="5135" width="12" style="91" customWidth="1"/>
    <col min="5136" max="5378" width="9.28515625" style="91"/>
    <col min="5379" max="5379" width="6" style="91" customWidth="1"/>
    <col min="5380" max="5380" width="22.28515625" style="91" customWidth="1"/>
    <col min="5381" max="5381" width="5.42578125" style="91" customWidth="1"/>
    <col min="5382" max="5382" width="5.28515625" style="91" customWidth="1"/>
    <col min="5383" max="5383" width="21.28515625" style="91" customWidth="1"/>
    <col min="5384" max="5384" width="17.28515625" style="91" customWidth="1"/>
    <col min="5385" max="5385" width="10.28515625" style="91" customWidth="1"/>
    <col min="5386" max="5386" width="15" style="91" customWidth="1"/>
    <col min="5387" max="5387" width="10.28515625" style="91" customWidth="1"/>
    <col min="5388" max="5388" width="15.7109375" style="91" customWidth="1"/>
    <col min="5389" max="5389" width="9.5703125" style="91" customWidth="1"/>
    <col min="5390" max="5390" width="11.42578125" style="91" customWidth="1"/>
    <col min="5391" max="5391" width="12" style="91" customWidth="1"/>
    <col min="5392" max="5634" width="9.28515625" style="91"/>
    <col min="5635" max="5635" width="6" style="91" customWidth="1"/>
    <col min="5636" max="5636" width="22.28515625" style="91" customWidth="1"/>
    <col min="5637" max="5637" width="5.42578125" style="91" customWidth="1"/>
    <col min="5638" max="5638" width="5.28515625" style="91" customWidth="1"/>
    <col min="5639" max="5639" width="21.28515625" style="91" customWidth="1"/>
    <col min="5640" max="5640" width="17.28515625" style="91" customWidth="1"/>
    <col min="5641" max="5641" width="10.28515625" style="91" customWidth="1"/>
    <col min="5642" max="5642" width="15" style="91" customWidth="1"/>
    <col min="5643" max="5643" width="10.28515625" style="91" customWidth="1"/>
    <col min="5644" max="5644" width="15.7109375" style="91" customWidth="1"/>
    <col min="5645" max="5645" width="9.5703125" style="91" customWidth="1"/>
    <col min="5646" max="5646" width="11.42578125" style="91" customWidth="1"/>
    <col min="5647" max="5647" width="12" style="91" customWidth="1"/>
    <col min="5648" max="5890" width="9.28515625" style="91"/>
    <col min="5891" max="5891" width="6" style="91" customWidth="1"/>
    <col min="5892" max="5892" width="22.28515625" style="91" customWidth="1"/>
    <col min="5893" max="5893" width="5.42578125" style="91" customWidth="1"/>
    <col min="5894" max="5894" width="5.28515625" style="91" customWidth="1"/>
    <col min="5895" max="5895" width="21.28515625" style="91" customWidth="1"/>
    <col min="5896" max="5896" width="17.28515625" style="91" customWidth="1"/>
    <col min="5897" max="5897" width="10.28515625" style="91" customWidth="1"/>
    <col min="5898" max="5898" width="15" style="91" customWidth="1"/>
    <col min="5899" max="5899" width="10.28515625" style="91" customWidth="1"/>
    <col min="5900" max="5900" width="15.7109375" style="91" customWidth="1"/>
    <col min="5901" max="5901" width="9.5703125" style="91" customWidth="1"/>
    <col min="5902" max="5902" width="11.42578125" style="91" customWidth="1"/>
    <col min="5903" max="5903" width="12" style="91" customWidth="1"/>
    <col min="5904" max="6146" width="9.28515625" style="91"/>
    <col min="6147" max="6147" width="6" style="91" customWidth="1"/>
    <col min="6148" max="6148" width="22.28515625" style="91" customWidth="1"/>
    <col min="6149" max="6149" width="5.42578125" style="91" customWidth="1"/>
    <col min="6150" max="6150" width="5.28515625" style="91" customWidth="1"/>
    <col min="6151" max="6151" width="21.28515625" style="91" customWidth="1"/>
    <col min="6152" max="6152" width="17.28515625" style="91" customWidth="1"/>
    <col min="6153" max="6153" width="10.28515625" style="91" customWidth="1"/>
    <col min="6154" max="6154" width="15" style="91" customWidth="1"/>
    <col min="6155" max="6155" width="10.28515625" style="91" customWidth="1"/>
    <col min="6156" max="6156" width="15.7109375" style="91" customWidth="1"/>
    <col min="6157" max="6157" width="9.5703125" style="91" customWidth="1"/>
    <col min="6158" max="6158" width="11.42578125" style="91" customWidth="1"/>
    <col min="6159" max="6159" width="12" style="91" customWidth="1"/>
    <col min="6160" max="6402" width="9.28515625" style="91"/>
    <col min="6403" max="6403" width="6" style="91" customWidth="1"/>
    <col min="6404" max="6404" width="22.28515625" style="91" customWidth="1"/>
    <col min="6405" max="6405" width="5.42578125" style="91" customWidth="1"/>
    <col min="6406" max="6406" width="5.28515625" style="91" customWidth="1"/>
    <col min="6407" max="6407" width="21.28515625" style="91" customWidth="1"/>
    <col min="6408" max="6408" width="17.28515625" style="91" customWidth="1"/>
    <col min="6409" max="6409" width="10.28515625" style="91" customWidth="1"/>
    <col min="6410" max="6410" width="15" style="91" customWidth="1"/>
    <col min="6411" max="6411" width="10.28515625" style="91" customWidth="1"/>
    <col min="6412" max="6412" width="15.7109375" style="91" customWidth="1"/>
    <col min="6413" max="6413" width="9.5703125" style="91" customWidth="1"/>
    <col min="6414" max="6414" width="11.42578125" style="91" customWidth="1"/>
    <col min="6415" max="6415" width="12" style="91" customWidth="1"/>
    <col min="6416" max="6658" width="9.28515625" style="91"/>
    <col min="6659" max="6659" width="6" style="91" customWidth="1"/>
    <col min="6660" max="6660" width="22.28515625" style="91" customWidth="1"/>
    <col min="6661" max="6661" width="5.42578125" style="91" customWidth="1"/>
    <col min="6662" max="6662" width="5.28515625" style="91" customWidth="1"/>
    <col min="6663" max="6663" width="21.28515625" style="91" customWidth="1"/>
    <col min="6664" max="6664" width="17.28515625" style="91" customWidth="1"/>
    <col min="6665" max="6665" width="10.28515625" style="91" customWidth="1"/>
    <col min="6666" max="6666" width="15" style="91" customWidth="1"/>
    <col min="6667" max="6667" width="10.28515625" style="91" customWidth="1"/>
    <col min="6668" max="6668" width="15.7109375" style="91" customWidth="1"/>
    <col min="6669" max="6669" width="9.5703125" style="91" customWidth="1"/>
    <col min="6670" max="6670" width="11.42578125" style="91" customWidth="1"/>
    <col min="6671" max="6671" width="12" style="91" customWidth="1"/>
    <col min="6672" max="6914" width="9.28515625" style="91"/>
    <col min="6915" max="6915" width="6" style="91" customWidth="1"/>
    <col min="6916" max="6916" width="22.28515625" style="91" customWidth="1"/>
    <col min="6917" max="6917" width="5.42578125" style="91" customWidth="1"/>
    <col min="6918" max="6918" width="5.28515625" style="91" customWidth="1"/>
    <col min="6919" max="6919" width="21.28515625" style="91" customWidth="1"/>
    <col min="6920" max="6920" width="17.28515625" style="91" customWidth="1"/>
    <col min="6921" max="6921" width="10.28515625" style="91" customWidth="1"/>
    <col min="6922" max="6922" width="15" style="91" customWidth="1"/>
    <col min="6923" max="6923" width="10.28515625" style="91" customWidth="1"/>
    <col min="6924" max="6924" width="15.7109375" style="91" customWidth="1"/>
    <col min="6925" max="6925" width="9.5703125" style="91" customWidth="1"/>
    <col min="6926" max="6926" width="11.42578125" style="91" customWidth="1"/>
    <col min="6927" max="6927" width="12" style="91" customWidth="1"/>
    <col min="6928" max="7170" width="9.28515625" style="91"/>
    <col min="7171" max="7171" width="6" style="91" customWidth="1"/>
    <col min="7172" max="7172" width="22.28515625" style="91" customWidth="1"/>
    <col min="7173" max="7173" width="5.42578125" style="91" customWidth="1"/>
    <col min="7174" max="7174" width="5.28515625" style="91" customWidth="1"/>
    <col min="7175" max="7175" width="21.28515625" style="91" customWidth="1"/>
    <col min="7176" max="7176" width="17.28515625" style="91" customWidth="1"/>
    <col min="7177" max="7177" width="10.28515625" style="91" customWidth="1"/>
    <col min="7178" max="7178" width="15" style="91" customWidth="1"/>
    <col min="7179" max="7179" width="10.28515625" style="91" customWidth="1"/>
    <col min="7180" max="7180" width="15.7109375" style="91" customWidth="1"/>
    <col min="7181" max="7181" width="9.5703125" style="91" customWidth="1"/>
    <col min="7182" max="7182" width="11.42578125" style="91" customWidth="1"/>
    <col min="7183" max="7183" width="12" style="91" customWidth="1"/>
    <col min="7184" max="7426" width="9.28515625" style="91"/>
    <col min="7427" max="7427" width="6" style="91" customWidth="1"/>
    <col min="7428" max="7428" width="22.28515625" style="91" customWidth="1"/>
    <col min="7429" max="7429" width="5.42578125" style="91" customWidth="1"/>
    <col min="7430" max="7430" width="5.28515625" style="91" customWidth="1"/>
    <col min="7431" max="7431" width="21.28515625" style="91" customWidth="1"/>
    <col min="7432" max="7432" width="17.28515625" style="91" customWidth="1"/>
    <col min="7433" max="7433" width="10.28515625" style="91" customWidth="1"/>
    <col min="7434" max="7434" width="15" style="91" customWidth="1"/>
    <col min="7435" max="7435" width="10.28515625" style="91" customWidth="1"/>
    <col min="7436" max="7436" width="15.7109375" style="91" customWidth="1"/>
    <col min="7437" max="7437" width="9.5703125" style="91" customWidth="1"/>
    <col min="7438" max="7438" width="11.42578125" style="91" customWidth="1"/>
    <col min="7439" max="7439" width="12" style="91" customWidth="1"/>
    <col min="7440" max="7682" width="9.28515625" style="91"/>
    <col min="7683" max="7683" width="6" style="91" customWidth="1"/>
    <col min="7684" max="7684" width="22.28515625" style="91" customWidth="1"/>
    <col min="7685" max="7685" width="5.42578125" style="91" customWidth="1"/>
    <col min="7686" max="7686" width="5.28515625" style="91" customWidth="1"/>
    <col min="7687" max="7687" width="21.28515625" style="91" customWidth="1"/>
    <col min="7688" max="7688" width="17.28515625" style="91" customWidth="1"/>
    <col min="7689" max="7689" width="10.28515625" style="91" customWidth="1"/>
    <col min="7690" max="7690" width="15" style="91" customWidth="1"/>
    <col min="7691" max="7691" width="10.28515625" style="91" customWidth="1"/>
    <col min="7692" max="7692" width="15.7109375" style="91" customWidth="1"/>
    <col min="7693" max="7693" width="9.5703125" style="91" customWidth="1"/>
    <col min="7694" max="7694" width="11.42578125" style="91" customWidth="1"/>
    <col min="7695" max="7695" width="12" style="91" customWidth="1"/>
    <col min="7696" max="7938" width="9.28515625" style="91"/>
    <col min="7939" max="7939" width="6" style="91" customWidth="1"/>
    <col min="7940" max="7940" width="22.28515625" style="91" customWidth="1"/>
    <col min="7941" max="7941" width="5.42578125" style="91" customWidth="1"/>
    <col min="7942" max="7942" width="5.28515625" style="91" customWidth="1"/>
    <col min="7943" max="7943" width="21.28515625" style="91" customWidth="1"/>
    <col min="7944" max="7944" width="17.28515625" style="91" customWidth="1"/>
    <col min="7945" max="7945" width="10.28515625" style="91" customWidth="1"/>
    <col min="7946" max="7946" width="15" style="91" customWidth="1"/>
    <col min="7947" max="7947" width="10.28515625" style="91" customWidth="1"/>
    <col min="7948" max="7948" width="15.7109375" style="91" customWidth="1"/>
    <col min="7949" max="7949" width="9.5703125" style="91" customWidth="1"/>
    <col min="7950" max="7950" width="11.42578125" style="91" customWidth="1"/>
    <col min="7951" max="7951" width="12" style="91" customWidth="1"/>
    <col min="7952" max="8194" width="9.28515625" style="91"/>
    <col min="8195" max="8195" width="6" style="91" customWidth="1"/>
    <col min="8196" max="8196" width="22.28515625" style="91" customWidth="1"/>
    <col min="8197" max="8197" width="5.42578125" style="91" customWidth="1"/>
    <col min="8198" max="8198" width="5.28515625" style="91" customWidth="1"/>
    <col min="8199" max="8199" width="21.28515625" style="91" customWidth="1"/>
    <col min="8200" max="8200" width="17.28515625" style="91" customWidth="1"/>
    <col min="8201" max="8201" width="10.28515625" style="91" customWidth="1"/>
    <col min="8202" max="8202" width="15" style="91" customWidth="1"/>
    <col min="8203" max="8203" width="10.28515625" style="91" customWidth="1"/>
    <col min="8204" max="8204" width="15.7109375" style="91" customWidth="1"/>
    <col min="8205" max="8205" width="9.5703125" style="91" customWidth="1"/>
    <col min="8206" max="8206" width="11.42578125" style="91" customWidth="1"/>
    <col min="8207" max="8207" width="12" style="91" customWidth="1"/>
    <col min="8208" max="8450" width="9.28515625" style="91"/>
    <col min="8451" max="8451" width="6" style="91" customWidth="1"/>
    <col min="8452" max="8452" width="22.28515625" style="91" customWidth="1"/>
    <col min="8453" max="8453" width="5.42578125" style="91" customWidth="1"/>
    <col min="8454" max="8454" width="5.28515625" style="91" customWidth="1"/>
    <col min="8455" max="8455" width="21.28515625" style="91" customWidth="1"/>
    <col min="8456" max="8456" width="17.28515625" style="91" customWidth="1"/>
    <col min="8457" max="8457" width="10.28515625" style="91" customWidth="1"/>
    <col min="8458" max="8458" width="15" style="91" customWidth="1"/>
    <col min="8459" max="8459" width="10.28515625" style="91" customWidth="1"/>
    <col min="8460" max="8460" width="15.7109375" style="91" customWidth="1"/>
    <col min="8461" max="8461" width="9.5703125" style="91" customWidth="1"/>
    <col min="8462" max="8462" width="11.42578125" style="91" customWidth="1"/>
    <col min="8463" max="8463" width="12" style="91" customWidth="1"/>
    <col min="8464" max="8706" width="9.28515625" style="91"/>
    <col min="8707" max="8707" width="6" style="91" customWidth="1"/>
    <col min="8708" max="8708" width="22.28515625" style="91" customWidth="1"/>
    <col min="8709" max="8709" width="5.42578125" style="91" customWidth="1"/>
    <col min="8710" max="8710" width="5.28515625" style="91" customWidth="1"/>
    <col min="8711" max="8711" width="21.28515625" style="91" customWidth="1"/>
    <col min="8712" max="8712" width="17.28515625" style="91" customWidth="1"/>
    <col min="8713" max="8713" width="10.28515625" style="91" customWidth="1"/>
    <col min="8714" max="8714" width="15" style="91" customWidth="1"/>
    <col min="8715" max="8715" width="10.28515625" style="91" customWidth="1"/>
    <col min="8716" max="8716" width="15.7109375" style="91" customWidth="1"/>
    <col min="8717" max="8717" width="9.5703125" style="91" customWidth="1"/>
    <col min="8718" max="8718" width="11.42578125" style="91" customWidth="1"/>
    <col min="8719" max="8719" width="12" style="91" customWidth="1"/>
    <col min="8720" max="8962" width="9.28515625" style="91"/>
    <col min="8963" max="8963" width="6" style="91" customWidth="1"/>
    <col min="8964" max="8964" width="22.28515625" style="91" customWidth="1"/>
    <col min="8965" max="8965" width="5.42578125" style="91" customWidth="1"/>
    <col min="8966" max="8966" width="5.28515625" style="91" customWidth="1"/>
    <col min="8967" max="8967" width="21.28515625" style="91" customWidth="1"/>
    <col min="8968" max="8968" width="17.28515625" style="91" customWidth="1"/>
    <col min="8969" max="8969" width="10.28515625" style="91" customWidth="1"/>
    <col min="8970" max="8970" width="15" style="91" customWidth="1"/>
    <col min="8971" max="8971" width="10.28515625" style="91" customWidth="1"/>
    <col min="8972" max="8972" width="15.7109375" style="91" customWidth="1"/>
    <col min="8973" max="8973" width="9.5703125" style="91" customWidth="1"/>
    <col min="8974" max="8974" width="11.42578125" style="91" customWidth="1"/>
    <col min="8975" max="8975" width="12" style="91" customWidth="1"/>
    <col min="8976" max="9218" width="9.28515625" style="91"/>
    <col min="9219" max="9219" width="6" style="91" customWidth="1"/>
    <col min="9220" max="9220" width="22.28515625" style="91" customWidth="1"/>
    <col min="9221" max="9221" width="5.42578125" style="91" customWidth="1"/>
    <col min="9222" max="9222" width="5.28515625" style="91" customWidth="1"/>
    <col min="9223" max="9223" width="21.28515625" style="91" customWidth="1"/>
    <col min="9224" max="9224" width="17.28515625" style="91" customWidth="1"/>
    <col min="9225" max="9225" width="10.28515625" style="91" customWidth="1"/>
    <col min="9226" max="9226" width="15" style="91" customWidth="1"/>
    <col min="9227" max="9227" width="10.28515625" style="91" customWidth="1"/>
    <col min="9228" max="9228" width="15.7109375" style="91" customWidth="1"/>
    <col min="9229" max="9229" width="9.5703125" style="91" customWidth="1"/>
    <col min="9230" max="9230" width="11.42578125" style="91" customWidth="1"/>
    <col min="9231" max="9231" width="12" style="91" customWidth="1"/>
    <col min="9232" max="9474" width="9.28515625" style="91"/>
    <col min="9475" max="9475" width="6" style="91" customWidth="1"/>
    <col min="9476" max="9476" width="22.28515625" style="91" customWidth="1"/>
    <col min="9477" max="9477" width="5.42578125" style="91" customWidth="1"/>
    <col min="9478" max="9478" width="5.28515625" style="91" customWidth="1"/>
    <col min="9479" max="9479" width="21.28515625" style="91" customWidth="1"/>
    <col min="9480" max="9480" width="17.28515625" style="91" customWidth="1"/>
    <col min="9481" max="9481" width="10.28515625" style="91" customWidth="1"/>
    <col min="9482" max="9482" width="15" style="91" customWidth="1"/>
    <col min="9483" max="9483" width="10.28515625" style="91" customWidth="1"/>
    <col min="9484" max="9484" width="15.7109375" style="91" customWidth="1"/>
    <col min="9485" max="9485" width="9.5703125" style="91" customWidth="1"/>
    <col min="9486" max="9486" width="11.42578125" style="91" customWidth="1"/>
    <col min="9487" max="9487" width="12" style="91" customWidth="1"/>
    <col min="9488" max="9730" width="9.28515625" style="91"/>
    <col min="9731" max="9731" width="6" style="91" customWidth="1"/>
    <col min="9732" max="9732" width="22.28515625" style="91" customWidth="1"/>
    <col min="9733" max="9733" width="5.42578125" style="91" customWidth="1"/>
    <col min="9734" max="9734" width="5.28515625" style="91" customWidth="1"/>
    <col min="9735" max="9735" width="21.28515625" style="91" customWidth="1"/>
    <col min="9736" max="9736" width="17.28515625" style="91" customWidth="1"/>
    <col min="9737" max="9737" width="10.28515625" style="91" customWidth="1"/>
    <col min="9738" max="9738" width="15" style="91" customWidth="1"/>
    <col min="9739" max="9739" width="10.28515625" style="91" customWidth="1"/>
    <col min="9740" max="9740" width="15.7109375" style="91" customWidth="1"/>
    <col min="9741" max="9741" width="9.5703125" style="91" customWidth="1"/>
    <col min="9742" max="9742" width="11.42578125" style="91" customWidth="1"/>
    <col min="9743" max="9743" width="12" style="91" customWidth="1"/>
    <col min="9744" max="9986" width="9.28515625" style="91"/>
    <col min="9987" max="9987" width="6" style="91" customWidth="1"/>
    <col min="9988" max="9988" width="22.28515625" style="91" customWidth="1"/>
    <col min="9989" max="9989" width="5.42578125" style="91" customWidth="1"/>
    <col min="9990" max="9990" width="5.28515625" style="91" customWidth="1"/>
    <col min="9991" max="9991" width="21.28515625" style="91" customWidth="1"/>
    <col min="9992" max="9992" width="17.28515625" style="91" customWidth="1"/>
    <col min="9993" max="9993" width="10.28515625" style="91" customWidth="1"/>
    <col min="9994" max="9994" width="15" style="91" customWidth="1"/>
    <col min="9995" max="9995" width="10.28515625" style="91" customWidth="1"/>
    <col min="9996" max="9996" width="15.7109375" style="91" customWidth="1"/>
    <col min="9997" max="9997" width="9.5703125" style="91" customWidth="1"/>
    <col min="9998" max="9998" width="11.42578125" style="91" customWidth="1"/>
    <col min="9999" max="9999" width="12" style="91" customWidth="1"/>
    <col min="10000" max="10242" width="9.28515625" style="91"/>
    <col min="10243" max="10243" width="6" style="91" customWidth="1"/>
    <col min="10244" max="10244" width="22.28515625" style="91" customWidth="1"/>
    <col min="10245" max="10245" width="5.42578125" style="91" customWidth="1"/>
    <col min="10246" max="10246" width="5.28515625" style="91" customWidth="1"/>
    <col min="10247" max="10247" width="21.28515625" style="91" customWidth="1"/>
    <col min="10248" max="10248" width="17.28515625" style="91" customWidth="1"/>
    <col min="10249" max="10249" width="10.28515625" style="91" customWidth="1"/>
    <col min="10250" max="10250" width="15" style="91" customWidth="1"/>
    <col min="10251" max="10251" width="10.28515625" style="91" customWidth="1"/>
    <col min="10252" max="10252" width="15.7109375" style="91" customWidth="1"/>
    <col min="10253" max="10253" width="9.5703125" style="91" customWidth="1"/>
    <col min="10254" max="10254" width="11.42578125" style="91" customWidth="1"/>
    <col min="10255" max="10255" width="12" style="91" customWidth="1"/>
    <col min="10256" max="10498" width="9.28515625" style="91"/>
    <col min="10499" max="10499" width="6" style="91" customWidth="1"/>
    <col min="10500" max="10500" width="22.28515625" style="91" customWidth="1"/>
    <col min="10501" max="10501" width="5.42578125" style="91" customWidth="1"/>
    <col min="10502" max="10502" width="5.28515625" style="91" customWidth="1"/>
    <col min="10503" max="10503" width="21.28515625" style="91" customWidth="1"/>
    <col min="10504" max="10504" width="17.28515625" style="91" customWidth="1"/>
    <col min="10505" max="10505" width="10.28515625" style="91" customWidth="1"/>
    <col min="10506" max="10506" width="15" style="91" customWidth="1"/>
    <col min="10507" max="10507" width="10.28515625" style="91" customWidth="1"/>
    <col min="10508" max="10508" width="15.7109375" style="91" customWidth="1"/>
    <col min="10509" max="10509" width="9.5703125" style="91" customWidth="1"/>
    <col min="10510" max="10510" width="11.42578125" style="91" customWidth="1"/>
    <col min="10511" max="10511" width="12" style="91" customWidth="1"/>
    <col min="10512" max="10754" width="9.28515625" style="91"/>
    <col min="10755" max="10755" width="6" style="91" customWidth="1"/>
    <col min="10756" max="10756" width="22.28515625" style="91" customWidth="1"/>
    <col min="10757" max="10757" width="5.42578125" style="91" customWidth="1"/>
    <col min="10758" max="10758" width="5.28515625" style="91" customWidth="1"/>
    <col min="10759" max="10759" width="21.28515625" style="91" customWidth="1"/>
    <col min="10760" max="10760" width="17.28515625" style="91" customWidth="1"/>
    <col min="10761" max="10761" width="10.28515625" style="91" customWidth="1"/>
    <col min="10762" max="10762" width="15" style="91" customWidth="1"/>
    <col min="10763" max="10763" width="10.28515625" style="91" customWidth="1"/>
    <col min="10764" max="10764" width="15.7109375" style="91" customWidth="1"/>
    <col min="10765" max="10765" width="9.5703125" style="91" customWidth="1"/>
    <col min="10766" max="10766" width="11.42578125" style="91" customWidth="1"/>
    <col min="10767" max="10767" width="12" style="91" customWidth="1"/>
    <col min="10768" max="11010" width="9.28515625" style="91"/>
    <col min="11011" max="11011" width="6" style="91" customWidth="1"/>
    <col min="11012" max="11012" width="22.28515625" style="91" customWidth="1"/>
    <col min="11013" max="11013" width="5.42578125" style="91" customWidth="1"/>
    <col min="11014" max="11014" width="5.28515625" style="91" customWidth="1"/>
    <col min="11015" max="11015" width="21.28515625" style="91" customWidth="1"/>
    <col min="11016" max="11016" width="17.28515625" style="91" customWidth="1"/>
    <col min="11017" max="11017" width="10.28515625" style="91" customWidth="1"/>
    <col min="11018" max="11018" width="15" style="91" customWidth="1"/>
    <col min="11019" max="11019" width="10.28515625" style="91" customWidth="1"/>
    <col min="11020" max="11020" width="15.7109375" style="91" customWidth="1"/>
    <col min="11021" max="11021" width="9.5703125" style="91" customWidth="1"/>
    <col min="11022" max="11022" width="11.42578125" style="91" customWidth="1"/>
    <col min="11023" max="11023" width="12" style="91" customWidth="1"/>
    <col min="11024" max="11266" width="9.28515625" style="91"/>
    <col min="11267" max="11267" width="6" style="91" customWidth="1"/>
    <col min="11268" max="11268" width="22.28515625" style="91" customWidth="1"/>
    <col min="11269" max="11269" width="5.42578125" style="91" customWidth="1"/>
    <col min="11270" max="11270" width="5.28515625" style="91" customWidth="1"/>
    <col min="11271" max="11271" width="21.28515625" style="91" customWidth="1"/>
    <col min="11272" max="11272" width="17.28515625" style="91" customWidth="1"/>
    <col min="11273" max="11273" width="10.28515625" style="91" customWidth="1"/>
    <col min="11274" max="11274" width="15" style="91" customWidth="1"/>
    <col min="11275" max="11275" width="10.28515625" style="91" customWidth="1"/>
    <col min="11276" max="11276" width="15.7109375" style="91" customWidth="1"/>
    <col min="11277" max="11277" width="9.5703125" style="91" customWidth="1"/>
    <col min="11278" max="11278" width="11.42578125" style="91" customWidth="1"/>
    <col min="11279" max="11279" width="12" style="91" customWidth="1"/>
    <col min="11280" max="11522" width="9.28515625" style="91"/>
    <col min="11523" max="11523" width="6" style="91" customWidth="1"/>
    <col min="11524" max="11524" width="22.28515625" style="91" customWidth="1"/>
    <col min="11525" max="11525" width="5.42578125" style="91" customWidth="1"/>
    <col min="11526" max="11526" width="5.28515625" style="91" customWidth="1"/>
    <col min="11527" max="11527" width="21.28515625" style="91" customWidth="1"/>
    <col min="11528" max="11528" width="17.28515625" style="91" customWidth="1"/>
    <col min="11529" max="11529" width="10.28515625" style="91" customWidth="1"/>
    <col min="11530" max="11530" width="15" style="91" customWidth="1"/>
    <col min="11531" max="11531" width="10.28515625" style="91" customWidth="1"/>
    <col min="11532" max="11532" width="15.7109375" style="91" customWidth="1"/>
    <col min="11533" max="11533" width="9.5703125" style="91" customWidth="1"/>
    <col min="11534" max="11534" width="11.42578125" style="91" customWidth="1"/>
    <col min="11535" max="11535" width="12" style="91" customWidth="1"/>
    <col min="11536" max="11778" width="9.28515625" style="91"/>
    <col min="11779" max="11779" width="6" style="91" customWidth="1"/>
    <col min="11780" max="11780" width="22.28515625" style="91" customWidth="1"/>
    <col min="11781" max="11781" width="5.42578125" style="91" customWidth="1"/>
    <col min="11782" max="11782" width="5.28515625" style="91" customWidth="1"/>
    <col min="11783" max="11783" width="21.28515625" style="91" customWidth="1"/>
    <col min="11784" max="11784" width="17.28515625" style="91" customWidth="1"/>
    <col min="11785" max="11785" width="10.28515625" style="91" customWidth="1"/>
    <col min="11786" max="11786" width="15" style="91" customWidth="1"/>
    <col min="11787" max="11787" width="10.28515625" style="91" customWidth="1"/>
    <col min="11788" max="11788" width="15.7109375" style="91" customWidth="1"/>
    <col min="11789" max="11789" width="9.5703125" style="91" customWidth="1"/>
    <col min="11790" max="11790" width="11.42578125" style="91" customWidth="1"/>
    <col min="11791" max="11791" width="12" style="91" customWidth="1"/>
    <col min="11792" max="12034" width="9.28515625" style="91"/>
    <col min="12035" max="12035" width="6" style="91" customWidth="1"/>
    <col min="12036" max="12036" width="22.28515625" style="91" customWidth="1"/>
    <col min="12037" max="12037" width="5.42578125" style="91" customWidth="1"/>
    <col min="12038" max="12038" width="5.28515625" style="91" customWidth="1"/>
    <col min="12039" max="12039" width="21.28515625" style="91" customWidth="1"/>
    <col min="12040" max="12040" width="17.28515625" style="91" customWidth="1"/>
    <col min="12041" max="12041" width="10.28515625" style="91" customWidth="1"/>
    <col min="12042" max="12042" width="15" style="91" customWidth="1"/>
    <col min="12043" max="12043" width="10.28515625" style="91" customWidth="1"/>
    <col min="12044" max="12044" width="15.7109375" style="91" customWidth="1"/>
    <col min="12045" max="12045" width="9.5703125" style="91" customWidth="1"/>
    <col min="12046" max="12046" width="11.42578125" style="91" customWidth="1"/>
    <col min="12047" max="12047" width="12" style="91" customWidth="1"/>
    <col min="12048" max="12290" width="9.28515625" style="91"/>
    <col min="12291" max="12291" width="6" style="91" customWidth="1"/>
    <col min="12292" max="12292" width="22.28515625" style="91" customWidth="1"/>
    <col min="12293" max="12293" width="5.42578125" style="91" customWidth="1"/>
    <col min="12294" max="12294" width="5.28515625" style="91" customWidth="1"/>
    <col min="12295" max="12295" width="21.28515625" style="91" customWidth="1"/>
    <col min="12296" max="12296" width="17.28515625" style="91" customWidth="1"/>
    <col min="12297" max="12297" width="10.28515625" style="91" customWidth="1"/>
    <col min="12298" max="12298" width="15" style="91" customWidth="1"/>
    <col min="12299" max="12299" width="10.28515625" style="91" customWidth="1"/>
    <col min="12300" max="12300" width="15.7109375" style="91" customWidth="1"/>
    <col min="12301" max="12301" width="9.5703125" style="91" customWidth="1"/>
    <col min="12302" max="12302" width="11.42578125" style="91" customWidth="1"/>
    <col min="12303" max="12303" width="12" style="91" customWidth="1"/>
    <col min="12304" max="12546" width="9.28515625" style="91"/>
    <col min="12547" max="12547" width="6" style="91" customWidth="1"/>
    <col min="12548" max="12548" width="22.28515625" style="91" customWidth="1"/>
    <col min="12549" max="12549" width="5.42578125" style="91" customWidth="1"/>
    <col min="12550" max="12550" width="5.28515625" style="91" customWidth="1"/>
    <col min="12551" max="12551" width="21.28515625" style="91" customWidth="1"/>
    <col min="12552" max="12552" width="17.28515625" style="91" customWidth="1"/>
    <col min="12553" max="12553" width="10.28515625" style="91" customWidth="1"/>
    <col min="12554" max="12554" width="15" style="91" customWidth="1"/>
    <col min="12555" max="12555" width="10.28515625" style="91" customWidth="1"/>
    <col min="12556" max="12556" width="15.7109375" style="91" customWidth="1"/>
    <col min="12557" max="12557" width="9.5703125" style="91" customWidth="1"/>
    <col min="12558" max="12558" width="11.42578125" style="91" customWidth="1"/>
    <col min="12559" max="12559" width="12" style="91" customWidth="1"/>
    <col min="12560" max="12802" width="9.28515625" style="91"/>
    <col min="12803" max="12803" width="6" style="91" customWidth="1"/>
    <col min="12804" max="12804" width="22.28515625" style="91" customWidth="1"/>
    <col min="12805" max="12805" width="5.42578125" style="91" customWidth="1"/>
    <col min="12806" max="12806" width="5.28515625" style="91" customWidth="1"/>
    <col min="12807" max="12807" width="21.28515625" style="91" customWidth="1"/>
    <col min="12808" max="12808" width="17.28515625" style="91" customWidth="1"/>
    <col min="12809" max="12809" width="10.28515625" style="91" customWidth="1"/>
    <col min="12810" max="12810" width="15" style="91" customWidth="1"/>
    <col min="12811" max="12811" width="10.28515625" style="91" customWidth="1"/>
    <col min="12812" max="12812" width="15.7109375" style="91" customWidth="1"/>
    <col min="12813" max="12813" width="9.5703125" style="91" customWidth="1"/>
    <col min="12814" max="12814" width="11.42578125" style="91" customWidth="1"/>
    <col min="12815" max="12815" width="12" style="91" customWidth="1"/>
    <col min="12816" max="13058" width="9.28515625" style="91"/>
    <col min="13059" max="13059" width="6" style="91" customWidth="1"/>
    <col min="13060" max="13060" width="22.28515625" style="91" customWidth="1"/>
    <col min="13061" max="13061" width="5.42578125" style="91" customWidth="1"/>
    <col min="13062" max="13062" width="5.28515625" style="91" customWidth="1"/>
    <col min="13063" max="13063" width="21.28515625" style="91" customWidth="1"/>
    <col min="13064" max="13064" width="17.28515625" style="91" customWidth="1"/>
    <col min="13065" max="13065" width="10.28515625" style="91" customWidth="1"/>
    <col min="13066" max="13066" width="15" style="91" customWidth="1"/>
    <col min="13067" max="13067" width="10.28515625" style="91" customWidth="1"/>
    <col min="13068" max="13068" width="15.7109375" style="91" customWidth="1"/>
    <col min="13069" max="13069" width="9.5703125" style="91" customWidth="1"/>
    <col min="13070" max="13070" width="11.42578125" style="91" customWidth="1"/>
    <col min="13071" max="13071" width="12" style="91" customWidth="1"/>
    <col min="13072" max="13314" width="9.28515625" style="91"/>
    <col min="13315" max="13315" width="6" style="91" customWidth="1"/>
    <col min="13316" max="13316" width="22.28515625" style="91" customWidth="1"/>
    <col min="13317" max="13317" width="5.42578125" style="91" customWidth="1"/>
    <col min="13318" max="13318" width="5.28515625" style="91" customWidth="1"/>
    <col min="13319" max="13319" width="21.28515625" style="91" customWidth="1"/>
    <col min="13320" max="13320" width="17.28515625" style="91" customWidth="1"/>
    <col min="13321" max="13321" width="10.28515625" style="91" customWidth="1"/>
    <col min="13322" max="13322" width="15" style="91" customWidth="1"/>
    <col min="13323" max="13323" width="10.28515625" style="91" customWidth="1"/>
    <col min="13324" max="13324" width="15.7109375" style="91" customWidth="1"/>
    <col min="13325" max="13325" width="9.5703125" style="91" customWidth="1"/>
    <col min="13326" max="13326" width="11.42578125" style="91" customWidth="1"/>
    <col min="13327" max="13327" width="12" style="91" customWidth="1"/>
    <col min="13328" max="13570" width="9.28515625" style="91"/>
    <col min="13571" max="13571" width="6" style="91" customWidth="1"/>
    <col min="13572" max="13572" width="22.28515625" style="91" customWidth="1"/>
    <col min="13573" max="13573" width="5.42578125" style="91" customWidth="1"/>
    <col min="13574" max="13574" width="5.28515625" style="91" customWidth="1"/>
    <col min="13575" max="13575" width="21.28515625" style="91" customWidth="1"/>
    <col min="13576" max="13576" width="17.28515625" style="91" customWidth="1"/>
    <col min="13577" max="13577" width="10.28515625" style="91" customWidth="1"/>
    <col min="13578" max="13578" width="15" style="91" customWidth="1"/>
    <col min="13579" max="13579" width="10.28515625" style="91" customWidth="1"/>
    <col min="13580" max="13580" width="15.7109375" style="91" customWidth="1"/>
    <col min="13581" max="13581" width="9.5703125" style="91" customWidth="1"/>
    <col min="13582" max="13582" width="11.42578125" style="91" customWidth="1"/>
    <col min="13583" max="13583" width="12" style="91" customWidth="1"/>
    <col min="13584" max="13826" width="9.28515625" style="91"/>
    <col min="13827" max="13827" width="6" style="91" customWidth="1"/>
    <col min="13828" max="13828" width="22.28515625" style="91" customWidth="1"/>
    <col min="13829" max="13829" width="5.42578125" style="91" customWidth="1"/>
    <col min="13830" max="13830" width="5.28515625" style="91" customWidth="1"/>
    <col min="13831" max="13831" width="21.28515625" style="91" customWidth="1"/>
    <col min="13832" max="13832" width="17.28515625" style="91" customWidth="1"/>
    <col min="13833" max="13833" width="10.28515625" style="91" customWidth="1"/>
    <col min="13834" max="13834" width="15" style="91" customWidth="1"/>
    <col min="13835" max="13835" width="10.28515625" style="91" customWidth="1"/>
    <col min="13836" max="13836" width="15.7109375" style="91" customWidth="1"/>
    <col min="13837" max="13837" width="9.5703125" style="91" customWidth="1"/>
    <col min="13838" max="13838" width="11.42578125" style="91" customWidth="1"/>
    <col min="13839" max="13839" width="12" style="91" customWidth="1"/>
    <col min="13840" max="14082" width="9.28515625" style="91"/>
    <col min="14083" max="14083" width="6" style="91" customWidth="1"/>
    <col min="14084" max="14084" width="22.28515625" style="91" customWidth="1"/>
    <col min="14085" max="14085" width="5.42578125" style="91" customWidth="1"/>
    <col min="14086" max="14086" width="5.28515625" style="91" customWidth="1"/>
    <col min="14087" max="14087" width="21.28515625" style="91" customWidth="1"/>
    <col min="14088" max="14088" width="17.28515625" style="91" customWidth="1"/>
    <col min="14089" max="14089" width="10.28515625" style="91" customWidth="1"/>
    <col min="14090" max="14090" width="15" style="91" customWidth="1"/>
    <col min="14091" max="14091" width="10.28515625" style="91" customWidth="1"/>
    <col min="14092" max="14092" width="15.7109375" style="91" customWidth="1"/>
    <col min="14093" max="14093" width="9.5703125" style="91" customWidth="1"/>
    <col min="14094" max="14094" width="11.42578125" style="91" customWidth="1"/>
    <col min="14095" max="14095" width="12" style="91" customWidth="1"/>
    <col min="14096" max="14338" width="9.28515625" style="91"/>
    <col min="14339" max="14339" width="6" style="91" customWidth="1"/>
    <col min="14340" max="14340" width="22.28515625" style="91" customWidth="1"/>
    <col min="14341" max="14341" width="5.42578125" style="91" customWidth="1"/>
    <col min="14342" max="14342" width="5.28515625" style="91" customWidth="1"/>
    <col min="14343" max="14343" width="21.28515625" style="91" customWidth="1"/>
    <col min="14344" max="14344" width="17.28515625" style="91" customWidth="1"/>
    <col min="14345" max="14345" width="10.28515625" style="91" customWidth="1"/>
    <col min="14346" max="14346" width="15" style="91" customWidth="1"/>
    <col min="14347" max="14347" width="10.28515625" style="91" customWidth="1"/>
    <col min="14348" max="14348" width="15.7109375" style="91" customWidth="1"/>
    <col min="14349" max="14349" width="9.5703125" style="91" customWidth="1"/>
    <col min="14350" max="14350" width="11.42578125" style="91" customWidth="1"/>
    <col min="14351" max="14351" width="12" style="91" customWidth="1"/>
    <col min="14352" max="14594" width="9.28515625" style="91"/>
    <col min="14595" max="14595" width="6" style="91" customWidth="1"/>
    <col min="14596" max="14596" width="22.28515625" style="91" customWidth="1"/>
    <col min="14597" max="14597" width="5.42578125" style="91" customWidth="1"/>
    <col min="14598" max="14598" width="5.28515625" style="91" customWidth="1"/>
    <col min="14599" max="14599" width="21.28515625" style="91" customWidth="1"/>
    <col min="14600" max="14600" width="17.28515625" style="91" customWidth="1"/>
    <col min="14601" max="14601" width="10.28515625" style="91" customWidth="1"/>
    <col min="14602" max="14602" width="15" style="91" customWidth="1"/>
    <col min="14603" max="14603" width="10.28515625" style="91" customWidth="1"/>
    <col min="14604" max="14604" width="15.7109375" style="91" customWidth="1"/>
    <col min="14605" max="14605" width="9.5703125" style="91" customWidth="1"/>
    <col min="14606" max="14606" width="11.42578125" style="91" customWidth="1"/>
    <col min="14607" max="14607" width="12" style="91" customWidth="1"/>
    <col min="14608" max="14850" width="9.28515625" style="91"/>
    <col min="14851" max="14851" width="6" style="91" customWidth="1"/>
    <col min="14852" max="14852" width="22.28515625" style="91" customWidth="1"/>
    <col min="14853" max="14853" width="5.42578125" style="91" customWidth="1"/>
    <col min="14854" max="14854" width="5.28515625" style="91" customWidth="1"/>
    <col min="14855" max="14855" width="21.28515625" style="91" customWidth="1"/>
    <col min="14856" max="14856" width="17.28515625" style="91" customWidth="1"/>
    <col min="14857" max="14857" width="10.28515625" style="91" customWidth="1"/>
    <col min="14858" max="14858" width="15" style="91" customWidth="1"/>
    <col min="14859" max="14859" width="10.28515625" style="91" customWidth="1"/>
    <col min="14860" max="14860" width="15.7109375" style="91" customWidth="1"/>
    <col min="14861" max="14861" width="9.5703125" style="91" customWidth="1"/>
    <col min="14862" max="14862" width="11.42578125" style="91" customWidth="1"/>
    <col min="14863" max="14863" width="12" style="91" customWidth="1"/>
    <col min="14864" max="15106" width="9.28515625" style="91"/>
    <col min="15107" max="15107" width="6" style="91" customWidth="1"/>
    <col min="15108" max="15108" width="22.28515625" style="91" customWidth="1"/>
    <col min="15109" max="15109" width="5.42578125" style="91" customWidth="1"/>
    <col min="15110" max="15110" width="5.28515625" style="91" customWidth="1"/>
    <col min="15111" max="15111" width="21.28515625" style="91" customWidth="1"/>
    <col min="15112" max="15112" width="17.28515625" style="91" customWidth="1"/>
    <col min="15113" max="15113" width="10.28515625" style="91" customWidth="1"/>
    <col min="15114" max="15114" width="15" style="91" customWidth="1"/>
    <col min="15115" max="15115" width="10.28515625" style="91" customWidth="1"/>
    <col min="15116" max="15116" width="15.7109375" style="91" customWidth="1"/>
    <col min="15117" max="15117" width="9.5703125" style="91" customWidth="1"/>
    <col min="15118" max="15118" width="11.42578125" style="91" customWidth="1"/>
    <col min="15119" max="15119" width="12" style="91" customWidth="1"/>
    <col min="15120" max="15362" width="9.28515625" style="91"/>
    <col min="15363" max="15363" width="6" style="91" customWidth="1"/>
    <col min="15364" max="15364" width="22.28515625" style="91" customWidth="1"/>
    <col min="15365" max="15365" width="5.42578125" style="91" customWidth="1"/>
    <col min="15366" max="15366" width="5.28515625" style="91" customWidth="1"/>
    <col min="15367" max="15367" width="21.28515625" style="91" customWidth="1"/>
    <col min="15368" max="15368" width="17.28515625" style="91" customWidth="1"/>
    <col min="15369" max="15369" width="10.28515625" style="91" customWidth="1"/>
    <col min="15370" max="15370" width="15" style="91" customWidth="1"/>
    <col min="15371" max="15371" width="10.28515625" style="91" customWidth="1"/>
    <col min="15372" max="15372" width="15.7109375" style="91" customWidth="1"/>
    <col min="15373" max="15373" width="9.5703125" style="91" customWidth="1"/>
    <col min="15374" max="15374" width="11.42578125" style="91" customWidth="1"/>
    <col min="15375" max="15375" width="12" style="91" customWidth="1"/>
    <col min="15376" max="15618" width="9.28515625" style="91"/>
    <col min="15619" max="15619" width="6" style="91" customWidth="1"/>
    <col min="15620" max="15620" width="22.28515625" style="91" customWidth="1"/>
    <col min="15621" max="15621" width="5.42578125" style="91" customWidth="1"/>
    <col min="15622" max="15622" width="5.28515625" style="91" customWidth="1"/>
    <col min="15623" max="15623" width="21.28515625" style="91" customWidth="1"/>
    <col min="15624" max="15624" width="17.28515625" style="91" customWidth="1"/>
    <col min="15625" max="15625" width="10.28515625" style="91" customWidth="1"/>
    <col min="15626" max="15626" width="15" style="91" customWidth="1"/>
    <col min="15627" max="15627" width="10.28515625" style="91" customWidth="1"/>
    <col min="15628" max="15628" width="15.7109375" style="91" customWidth="1"/>
    <col min="15629" max="15629" width="9.5703125" style="91" customWidth="1"/>
    <col min="15630" max="15630" width="11.42578125" style="91" customWidth="1"/>
    <col min="15631" max="15631" width="12" style="91" customWidth="1"/>
    <col min="15632" max="15874" width="9.28515625" style="91"/>
    <col min="15875" max="15875" width="6" style="91" customWidth="1"/>
    <col min="15876" max="15876" width="22.28515625" style="91" customWidth="1"/>
    <col min="15877" max="15877" width="5.42578125" style="91" customWidth="1"/>
    <col min="15878" max="15878" width="5.28515625" style="91" customWidth="1"/>
    <col min="15879" max="15879" width="21.28515625" style="91" customWidth="1"/>
    <col min="15880" max="15880" width="17.28515625" style="91" customWidth="1"/>
    <col min="15881" max="15881" width="10.28515625" style="91" customWidth="1"/>
    <col min="15882" max="15882" width="15" style="91" customWidth="1"/>
    <col min="15883" max="15883" width="10.28515625" style="91" customWidth="1"/>
    <col min="15884" max="15884" width="15.7109375" style="91" customWidth="1"/>
    <col min="15885" max="15885" width="9.5703125" style="91" customWidth="1"/>
    <col min="15886" max="15886" width="11.42578125" style="91" customWidth="1"/>
    <col min="15887" max="15887" width="12" style="91" customWidth="1"/>
    <col min="15888" max="16130" width="9.28515625" style="91"/>
    <col min="16131" max="16131" width="6" style="91" customWidth="1"/>
    <col min="16132" max="16132" width="22.28515625" style="91" customWidth="1"/>
    <col min="16133" max="16133" width="5.42578125" style="91" customWidth="1"/>
    <col min="16134" max="16134" width="5.28515625" style="91" customWidth="1"/>
    <col min="16135" max="16135" width="21.28515625" style="91" customWidth="1"/>
    <col min="16136" max="16136" width="17.28515625" style="91" customWidth="1"/>
    <col min="16137" max="16137" width="10.28515625" style="91" customWidth="1"/>
    <col min="16138" max="16138" width="15" style="91" customWidth="1"/>
    <col min="16139" max="16139" width="10.28515625" style="91" customWidth="1"/>
    <col min="16140" max="16140" width="15.7109375" style="91" customWidth="1"/>
    <col min="16141" max="16141" width="9.5703125" style="91" customWidth="1"/>
    <col min="16142" max="16142" width="11.42578125" style="91" customWidth="1"/>
    <col min="16143" max="16143" width="12" style="91" customWidth="1"/>
    <col min="16144" max="16384" width="9.28515625" style="91"/>
  </cols>
  <sheetData>
    <row r="1" spans="1:42" ht="15.75" x14ac:dyDescent="0.25">
      <c r="A1" s="297" t="s">
        <v>266</v>
      </c>
      <c r="B1" s="297"/>
      <c r="C1" s="297"/>
      <c r="D1" s="297"/>
      <c r="E1" s="297"/>
      <c r="F1" s="297"/>
      <c r="G1" s="297"/>
      <c r="H1" s="297"/>
      <c r="I1" s="297"/>
      <c r="J1" s="297"/>
      <c r="K1" s="297"/>
      <c r="L1" s="297"/>
      <c r="M1" s="297"/>
      <c r="N1" s="297"/>
      <c r="O1" s="297"/>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row>
    <row r="2" spans="1:42" ht="15.75" x14ac:dyDescent="0.25">
      <c r="A2" s="297" t="s">
        <v>267</v>
      </c>
      <c r="B2" s="297"/>
      <c r="C2" s="297"/>
      <c r="D2" s="297"/>
      <c r="E2" s="297"/>
      <c r="F2" s="297"/>
      <c r="G2" s="297"/>
      <c r="H2" s="297"/>
      <c r="I2" s="297"/>
      <c r="J2" s="297"/>
      <c r="K2" s="297"/>
      <c r="L2" s="297"/>
      <c r="M2" s="297"/>
      <c r="N2" s="297"/>
      <c r="O2" s="297"/>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row>
    <row r="3" spans="1:42" ht="15.75" x14ac:dyDescent="0.25">
      <c r="A3" s="297" t="s">
        <v>268</v>
      </c>
      <c r="B3" s="297"/>
      <c r="C3" s="297"/>
      <c r="D3" s="297"/>
      <c r="E3" s="297"/>
      <c r="F3" s="297"/>
      <c r="G3" s="297"/>
      <c r="H3" s="297"/>
      <c r="I3" s="297"/>
      <c r="J3" s="297"/>
      <c r="K3" s="297"/>
      <c r="L3" s="297"/>
      <c r="M3" s="297"/>
      <c r="N3" s="297"/>
      <c r="O3" s="297"/>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row>
    <row r="4" spans="1:42" ht="15.75" x14ac:dyDescent="0.25">
      <c r="A4" s="297" t="s">
        <v>269</v>
      </c>
      <c r="B4" s="297"/>
      <c r="C4" s="297"/>
      <c r="D4" s="297"/>
      <c r="E4" s="297"/>
      <c r="F4" s="297"/>
      <c r="G4" s="297"/>
      <c r="H4" s="297"/>
      <c r="I4" s="297"/>
      <c r="J4" s="297"/>
      <c r="K4" s="297"/>
      <c r="L4" s="297"/>
      <c r="M4" s="297"/>
      <c r="N4" s="297"/>
      <c r="O4" s="297"/>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row>
    <row r="5" spans="1:42" ht="15.75" x14ac:dyDescent="0.25">
      <c r="A5" s="297" t="s">
        <v>832</v>
      </c>
      <c r="B5" s="297"/>
      <c r="C5" s="297"/>
      <c r="D5" s="297"/>
      <c r="E5" s="297"/>
      <c r="F5" s="297"/>
      <c r="G5" s="297"/>
      <c r="H5" s="297"/>
      <c r="I5" s="297"/>
      <c r="J5" s="297"/>
      <c r="K5" s="297"/>
      <c r="L5" s="297"/>
      <c r="M5" s="297"/>
      <c r="N5" s="297"/>
      <c r="O5" s="297"/>
    </row>
    <row r="6" spans="1:42" ht="9.75" customHeight="1" x14ac:dyDescent="0.25"/>
    <row r="7" spans="1:42" x14ac:dyDescent="0.25">
      <c r="A7" s="92" t="s">
        <v>833</v>
      </c>
    </row>
    <row r="8" spans="1:42" ht="17.649999999999999" customHeight="1" x14ac:dyDescent="0.25">
      <c r="A8" s="93" t="s">
        <v>270</v>
      </c>
      <c r="D8" s="298" t="str">
        <f>IF('DR-TB 10A (Sputum &amp; EP Sample)'!C8="","",'DR-TB 10A (Sputum &amp; EP Sample)'!C8)</f>
        <v/>
      </c>
      <c r="E8" s="298"/>
      <c r="F8" s="298"/>
      <c r="H8" s="94" t="s">
        <v>271</v>
      </c>
      <c r="I8" s="177" t="str">
        <f>'DR-TB 10A (Sputum &amp; EP Sample)'!L6</f>
        <v>&lt;Dates&gt;</v>
      </c>
      <c r="J8" s="177"/>
      <c r="K8" s="177"/>
      <c r="L8" s="177"/>
      <c r="M8" s="177"/>
      <c r="N8" s="177"/>
      <c r="O8" s="177"/>
      <c r="P8" s="266"/>
    </row>
    <row r="9" spans="1:42" ht="17.649999999999999" customHeight="1" x14ac:dyDescent="0.25">
      <c r="A9" s="95" t="s">
        <v>834</v>
      </c>
      <c r="F9" s="20">
        <f>'DR-TB 10A (Sputum &amp; EP Sample)'!F18+'DR-TB 10A (Stool)'!F18</f>
        <v>0</v>
      </c>
    </row>
    <row r="10" spans="1:42" ht="24.6" customHeight="1" x14ac:dyDescent="0.25">
      <c r="A10" s="91" t="s">
        <v>866</v>
      </c>
      <c r="B10" s="91">
        <v>2</v>
      </c>
    </row>
    <row r="11" spans="1:42" s="96" customFormat="1" ht="55.15" customHeight="1" x14ac:dyDescent="0.25">
      <c r="A11" s="299" t="s">
        <v>272</v>
      </c>
      <c r="B11" s="293" t="s">
        <v>843</v>
      </c>
      <c r="C11" s="294" t="s">
        <v>273</v>
      </c>
      <c r="D11" s="294" t="s">
        <v>277</v>
      </c>
      <c r="E11" s="294" t="s">
        <v>679</v>
      </c>
      <c r="F11" s="294" t="s">
        <v>274</v>
      </c>
      <c r="G11" s="294" t="s">
        <v>835</v>
      </c>
      <c r="H11" s="294" t="s">
        <v>849</v>
      </c>
      <c r="I11" s="293" t="s">
        <v>842</v>
      </c>
      <c r="J11" s="294" t="s">
        <v>275</v>
      </c>
      <c r="K11" s="294" t="s">
        <v>836</v>
      </c>
      <c r="L11" s="293" t="s">
        <v>823</v>
      </c>
      <c r="M11" s="293"/>
      <c r="N11" s="293"/>
      <c r="O11" s="293"/>
      <c r="P11" s="293"/>
      <c r="Q11" s="293"/>
      <c r="R11" s="293"/>
      <c r="S11" s="294" t="s">
        <v>824</v>
      </c>
      <c r="T11" s="294" t="s">
        <v>278</v>
      </c>
      <c r="U11" s="294" t="s">
        <v>703</v>
      </c>
      <c r="V11" s="294" t="s">
        <v>825</v>
      </c>
      <c r="W11" s="294" t="s">
        <v>838</v>
      </c>
      <c r="X11" s="294" t="s">
        <v>276</v>
      </c>
    </row>
    <row r="12" spans="1:42" s="96" customFormat="1" ht="55.15" customHeight="1" x14ac:dyDescent="0.25">
      <c r="A12" s="299"/>
      <c r="B12" s="293"/>
      <c r="C12" s="295"/>
      <c r="D12" s="295"/>
      <c r="E12" s="295"/>
      <c r="F12" s="295"/>
      <c r="G12" s="295"/>
      <c r="H12" s="295"/>
      <c r="I12" s="293"/>
      <c r="J12" s="295"/>
      <c r="K12" s="295"/>
      <c r="L12" s="154" t="s">
        <v>815</v>
      </c>
      <c r="M12" s="154" t="s">
        <v>826</v>
      </c>
      <c r="N12" s="154" t="s">
        <v>827</v>
      </c>
      <c r="O12" s="154" t="s">
        <v>828</v>
      </c>
      <c r="P12" s="154" t="s">
        <v>829</v>
      </c>
      <c r="Q12" s="154" t="s">
        <v>830</v>
      </c>
      <c r="R12" s="154" t="s">
        <v>831</v>
      </c>
      <c r="S12" s="295"/>
      <c r="T12" s="295"/>
      <c r="U12" s="295"/>
      <c r="V12" s="295"/>
      <c r="W12" s="295"/>
      <c r="X12" s="295"/>
    </row>
    <row r="13" spans="1:42" s="135" customFormat="1" ht="55.15" customHeight="1" x14ac:dyDescent="0.25">
      <c r="A13" s="149" t="s">
        <v>851</v>
      </c>
      <c r="B13" s="149" t="s">
        <v>852</v>
      </c>
      <c r="C13" s="149" t="s">
        <v>853</v>
      </c>
      <c r="D13" s="149" t="s">
        <v>854</v>
      </c>
      <c r="E13" s="149" t="s">
        <v>855</v>
      </c>
      <c r="F13" s="150" t="s">
        <v>856</v>
      </c>
      <c r="G13" s="150" t="s">
        <v>857</v>
      </c>
      <c r="H13" s="151" t="s">
        <v>858</v>
      </c>
      <c r="I13" s="137" t="s">
        <v>867</v>
      </c>
      <c r="J13" s="149" t="s">
        <v>859</v>
      </c>
      <c r="K13" s="149" t="s">
        <v>860</v>
      </c>
      <c r="L13" s="153" t="s">
        <v>868</v>
      </c>
      <c r="M13" s="153" t="s">
        <v>869</v>
      </c>
      <c r="N13" s="153" t="s">
        <v>870</v>
      </c>
      <c r="O13" s="153" t="s">
        <v>871</v>
      </c>
      <c r="P13" s="153" t="s">
        <v>872</v>
      </c>
      <c r="Q13" s="153" t="s">
        <v>873</v>
      </c>
      <c r="R13" s="153" t="s">
        <v>874</v>
      </c>
      <c r="S13" s="149" t="s">
        <v>861</v>
      </c>
      <c r="T13" s="149" t="s">
        <v>862</v>
      </c>
      <c r="U13" s="149" t="s">
        <v>863</v>
      </c>
      <c r="V13" s="142" t="s">
        <v>859</v>
      </c>
      <c r="W13" s="149" t="s">
        <v>864</v>
      </c>
      <c r="X13" s="152" t="s">
        <v>865</v>
      </c>
    </row>
    <row r="14" spans="1:42" hidden="1" x14ac:dyDescent="0.25">
      <c r="C14" s="97"/>
      <c r="I14" s="137"/>
    </row>
    <row r="15" spans="1:42" x14ac:dyDescent="0.25">
      <c r="C15" s="97"/>
      <c r="I15" s="148"/>
    </row>
    <row r="16" spans="1:42" ht="54.75" customHeight="1" x14ac:dyDescent="0.25">
      <c r="A16" s="296" t="s">
        <v>767</v>
      </c>
      <c r="B16" s="296"/>
      <c r="C16" s="296"/>
      <c r="D16" s="296"/>
      <c r="E16" s="296"/>
      <c r="F16" s="296"/>
      <c r="G16" s="296"/>
      <c r="H16" s="296"/>
      <c r="I16" s="296"/>
      <c r="J16" s="296"/>
      <c r="K16" s="296"/>
      <c r="L16" s="296"/>
      <c r="M16" s="296"/>
      <c r="N16" s="296"/>
      <c r="O16" s="296"/>
    </row>
    <row r="17" spans="1:15" ht="16.5" customHeight="1" x14ac:dyDescent="0.25">
      <c r="A17" s="19" t="s">
        <v>837</v>
      </c>
      <c r="B17" s="98"/>
      <c r="C17" s="98"/>
      <c r="D17" s="98"/>
      <c r="E17" s="98"/>
      <c r="F17" s="98"/>
      <c r="G17" s="98"/>
      <c r="H17" s="98"/>
      <c r="I17" s="98"/>
      <c r="J17" s="98"/>
      <c r="K17" s="98"/>
      <c r="L17" s="98"/>
      <c r="M17" s="98"/>
      <c r="N17" s="98"/>
      <c r="O17" s="98"/>
    </row>
  </sheetData>
  <sheetProtection insertRows="0" deleteRows="0"/>
  <mergeCells count="26">
    <mergeCell ref="I8:P8"/>
    <mergeCell ref="A16:O16"/>
    <mergeCell ref="A1:O1"/>
    <mergeCell ref="A2:O2"/>
    <mergeCell ref="A3:O3"/>
    <mergeCell ref="A4:O4"/>
    <mergeCell ref="A5:O5"/>
    <mergeCell ref="D8:F8"/>
    <mergeCell ref="A11:A12"/>
    <mergeCell ref="B11:B12"/>
    <mergeCell ref="C11:C12"/>
    <mergeCell ref="D11:D12"/>
    <mergeCell ref="E11:E12"/>
    <mergeCell ref="F11:F12"/>
    <mergeCell ref="G11:G12"/>
    <mergeCell ref="H11:H12"/>
    <mergeCell ref="I11:I12"/>
    <mergeCell ref="U11:U12"/>
    <mergeCell ref="V11:V12"/>
    <mergeCell ref="W11:W12"/>
    <mergeCell ref="X11:X12"/>
    <mergeCell ref="J11:J12"/>
    <mergeCell ref="K11:K12"/>
    <mergeCell ref="L11:R11"/>
    <mergeCell ref="S11:S12"/>
    <mergeCell ref="T11:T12"/>
  </mergeCells>
  <dataValidations count="8">
    <dataValidation type="list" allowBlank="1" showInputMessage="1" showErrorMessage="1" sqref="WVT983044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K65540 JH65540 TD65540 ACZ65540 AMV65540 AWR65540 BGN65540 BQJ65540 CAF65540 CKB65540 CTX65540 DDT65540 DNP65540 DXL65540 EHH65540 ERD65540 FAZ65540 FKV65540 FUR65540 GEN65540 GOJ65540 GYF65540 HIB65540 HRX65540 IBT65540 ILP65540 IVL65540 JFH65540 JPD65540 JYZ65540 KIV65540 KSR65540 LCN65540 LMJ65540 LWF65540 MGB65540 MPX65540 MZT65540 NJP65540 NTL65540 ODH65540 OND65540 OWZ65540 PGV65540 PQR65540 QAN65540 QKJ65540 QUF65540 REB65540 RNX65540 RXT65540 SHP65540 SRL65540 TBH65540 TLD65540 TUZ65540 UEV65540 UOR65540 UYN65540 VIJ65540 VSF65540 WCB65540 WLX65540 WVT65540 K131076 JH131076 TD131076 ACZ131076 AMV131076 AWR131076 BGN131076 BQJ131076 CAF131076 CKB131076 CTX131076 DDT131076 DNP131076 DXL131076 EHH131076 ERD131076 FAZ131076 FKV131076 FUR131076 GEN131076 GOJ131076 GYF131076 HIB131076 HRX131076 IBT131076 ILP131076 IVL131076 JFH131076 JPD131076 JYZ131076 KIV131076 KSR131076 LCN131076 LMJ131076 LWF131076 MGB131076 MPX131076 MZT131076 NJP131076 NTL131076 ODH131076 OND131076 OWZ131076 PGV131076 PQR131076 QAN131076 QKJ131076 QUF131076 REB131076 RNX131076 RXT131076 SHP131076 SRL131076 TBH131076 TLD131076 TUZ131076 UEV131076 UOR131076 UYN131076 VIJ131076 VSF131076 WCB131076 WLX131076 WVT131076 K196612 JH196612 TD196612 ACZ196612 AMV196612 AWR196612 BGN196612 BQJ196612 CAF196612 CKB196612 CTX196612 DDT196612 DNP196612 DXL196612 EHH196612 ERD196612 FAZ196612 FKV196612 FUR196612 GEN196612 GOJ196612 GYF196612 HIB196612 HRX196612 IBT196612 ILP196612 IVL196612 JFH196612 JPD196612 JYZ196612 KIV196612 KSR196612 LCN196612 LMJ196612 LWF196612 MGB196612 MPX196612 MZT196612 NJP196612 NTL196612 ODH196612 OND196612 OWZ196612 PGV196612 PQR196612 QAN196612 QKJ196612 QUF196612 REB196612 RNX196612 RXT196612 SHP196612 SRL196612 TBH196612 TLD196612 TUZ196612 UEV196612 UOR196612 UYN196612 VIJ196612 VSF196612 WCB196612 WLX196612 WVT196612 K262148 JH262148 TD262148 ACZ262148 AMV262148 AWR262148 BGN262148 BQJ262148 CAF262148 CKB262148 CTX262148 DDT262148 DNP262148 DXL262148 EHH262148 ERD262148 FAZ262148 FKV262148 FUR262148 GEN262148 GOJ262148 GYF262148 HIB262148 HRX262148 IBT262148 ILP262148 IVL262148 JFH262148 JPD262148 JYZ262148 KIV262148 KSR262148 LCN262148 LMJ262148 LWF262148 MGB262148 MPX262148 MZT262148 NJP262148 NTL262148 ODH262148 OND262148 OWZ262148 PGV262148 PQR262148 QAN262148 QKJ262148 QUF262148 REB262148 RNX262148 RXT262148 SHP262148 SRL262148 TBH262148 TLD262148 TUZ262148 UEV262148 UOR262148 UYN262148 VIJ262148 VSF262148 WCB262148 WLX262148 WVT262148 K327684 JH327684 TD327684 ACZ327684 AMV327684 AWR327684 BGN327684 BQJ327684 CAF327684 CKB327684 CTX327684 DDT327684 DNP327684 DXL327684 EHH327684 ERD327684 FAZ327684 FKV327684 FUR327684 GEN327684 GOJ327684 GYF327684 HIB327684 HRX327684 IBT327684 ILP327684 IVL327684 JFH327684 JPD327684 JYZ327684 KIV327684 KSR327684 LCN327684 LMJ327684 LWF327684 MGB327684 MPX327684 MZT327684 NJP327684 NTL327684 ODH327684 OND327684 OWZ327684 PGV327684 PQR327684 QAN327684 QKJ327684 QUF327684 REB327684 RNX327684 RXT327684 SHP327684 SRL327684 TBH327684 TLD327684 TUZ327684 UEV327684 UOR327684 UYN327684 VIJ327684 VSF327684 WCB327684 WLX327684 WVT327684 K393220 JH393220 TD393220 ACZ393220 AMV393220 AWR393220 BGN393220 BQJ393220 CAF393220 CKB393220 CTX393220 DDT393220 DNP393220 DXL393220 EHH393220 ERD393220 FAZ393220 FKV393220 FUR393220 GEN393220 GOJ393220 GYF393220 HIB393220 HRX393220 IBT393220 ILP393220 IVL393220 JFH393220 JPD393220 JYZ393220 KIV393220 KSR393220 LCN393220 LMJ393220 LWF393220 MGB393220 MPX393220 MZT393220 NJP393220 NTL393220 ODH393220 OND393220 OWZ393220 PGV393220 PQR393220 QAN393220 QKJ393220 QUF393220 REB393220 RNX393220 RXT393220 SHP393220 SRL393220 TBH393220 TLD393220 TUZ393220 UEV393220 UOR393220 UYN393220 VIJ393220 VSF393220 WCB393220 WLX393220 WVT393220 K458756 JH458756 TD458756 ACZ458756 AMV458756 AWR458756 BGN458756 BQJ458756 CAF458756 CKB458756 CTX458756 DDT458756 DNP458756 DXL458756 EHH458756 ERD458756 FAZ458756 FKV458756 FUR458756 GEN458756 GOJ458756 GYF458756 HIB458756 HRX458756 IBT458756 ILP458756 IVL458756 JFH458756 JPD458756 JYZ458756 KIV458756 KSR458756 LCN458756 LMJ458756 LWF458756 MGB458756 MPX458756 MZT458756 NJP458756 NTL458756 ODH458756 OND458756 OWZ458756 PGV458756 PQR458756 QAN458756 QKJ458756 QUF458756 REB458756 RNX458756 RXT458756 SHP458756 SRL458756 TBH458756 TLD458756 TUZ458756 UEV458756 UOR458756 UYN458756 VIJ458756 VSF458756 WCB458756 WLX458756 WVT458756 K524292 JH524292 TD524292 ACZ524292 AMV524292 AWR524292 BGN524292 BQJ524292 CAF524292 CKB524292 CTX524292 DDT524292 DNP524292 DXL524292 EHH524292 ERD524292 FAZ524292 FKV524292 FUR524292 GEN524292 GOJ524292 GYF524292 HIB524292 HRX524292 IBT524292 ILP524292 IVL524292 JFH524292 JPD524292 JYZ524292 KIV524292 KSR524292 LCN524292 LMJ524292 LWF524292 MGB524292 MPX524292 MZT524292 NJP524292 NTL524292 ODH524292 OND524292 OWZ524292 PGV524292 PQR524292 QAN524292 QKJ524292 QUF524292 REB524292 RNX524292 RXT524292 SHP524292 SRL524292 TBH524292 TLD524292 TUZ524292 UEV524292 UOR524292 UYN524292 VIJ524292 VSF524292 WCB524292 WLX524292 WVT524292 K589828 JH589828 TD589828 ACZ589828 AMV589828 AWR589828 BGN589828 BQJ589828 CAF589828 CKB589828 CTX589828 DDT589828 DNP589828 DXL589828 EHH589828 ERD589828 FAZ589828 FKV589828 FUR589828 GEN589828 GOJ589828 GYF589828 HIB589828 HRX589828 IBT589828 ILP589828 IVL589828 JFH589828 JPD589828 JYZ589828 KIV589828 KSR589828 LCN589828 LMJ589828 LWF589828 MGB589828 MPX589828 MZT589828 NJP589828 NTL589828 ODH589828 OND589828 OWZ589828 PGV589828 PQR589828 QAN589828 QKJ589828 QUF589828 REB589828 RNX589828 RXT589828 SHP589828 SRL589828 TBH589828 TLD589828 TUZ589828 UEV589828 UOR589828 UYN589828 VIJ589828 VSF589828 WCB589828 WLX589828 WVT589828 K655364 JH655364 TD655364 ACZ655364 AMV655364 AWR655364 BGN655364 BQJ655364 CAF655364 CKB655364 CTX655364 DDT655364 DNP655364 DXL655364 EHH655364 ERD655364 FAZ655364 FKV655364 FUR655364 GEN655364 GOJ655364 GYF655364 HIB655364 HRX655364 IBT655364 ILP655364 IVL655364 JFH655364 JPD655364 JYZ655364 KIV655364 KSR655364 LCN655364 LMJ655364 LWF655364 MGB655364 MPX655364 MZT655364 NJP655364 NTL655364 ODH655364 OND655364 OWZ655364 PGV655364 PQR655364 QAN655364 QKJ655364 QUF655364 REB655364 RNX655364 RXT655364 SHP655364 SRL655364 TBH655364 TLD655364 TUZ655364 UEV655364 UOR655364 UYN655364 VIJ655364 VSF655364 WCB655364 WLX655364 WVT655364 K720900 JH720900 TD720900 ACZ720900 AMV720900 AWR720900 BGN720900 BQJ720900 CAF720900 CKB720900 CTX720900 DDT720900 DNP720900 DXL720900 EHH720900 ERD720900 FAZ720900 FKV720900 FUR720900 GEN720900 GOJ720900 GYF720900 HIB720900 HRX720900 IBT720900 ILP720900 IVL720900 JFH720900 JPD720900 JYZ720900 KIV720900 KSR720900 LCN720900 LMJ720900 LWF720900 MGB720900 MPX720900 MZT720900 NJP720900 NTL720900 ODH720900 OND720900 OWZ720900 PGV720900 PQR720900 QAN720900 QKJ720900 QUF720900 REB720900 RNX720900 RXT720900 SHP720900 SRL720900 TBH720900 TLD720900 TUZ720900 UEV720900 UOR720900 UYN720900 VIJ720900 VSF720900 WCB720900 WLX720900 WVT720900 K786436 JH786436 TD786436 ACZ786436 AMV786436 AWR786436 BGN786436 BQJ786436 CAF786436 CKB786436 CTX786436 DDT786436 DNP786436 DXL786436 EHH786436 ERD786436 FAZ786436 FKV786436 FUR786436 GEN786436 GOJ786436 GYF786436 HIB786436 HRX786436 IBT786436 ILP786436 IVL786436 JFH786436 JPD786436 JYZ786436 KIV786436 KSR786436 LCN786436 LMJ786436 LWF786436 MGB786436 MPX786436 MZT786436 NJP786436 NTL786436 ODH786436 OND786436 OWZ786436 PGV786436 PQR786436 QAN786436 QKJ786436 QUF786436 REB786436 RNX786436 RXT786436 SHP786436 SRL786436 TBH786436 TLD786436 TUZ786436 UEV786436 UOR786436 UYN786436 VIJ786436 VSF786436 WCB786436 WLX786436 WVT786436 K851972 JH851972 TD851972 ACZ851972 AMV851972 AWR851972 BGN851972 BQJ851972 CAF851972 CKB851972 CTX851972 DDT851972 DNP851972 DXL851972 EHH851972 ERD851972 FAZ851972 FKV851972 FUR851972 GEN851972 GOJ851972 GYF851972 HIB851972 HRX851972 IBT851972 ILP851972 IVL851972 JFH851972 JPD851972 JYZ851972 KIV851972 KSR851972 LCN851972 LMJ851972 LWF851972 MGB851972 MPX851972 MZT851972 NJP851972 NTL851972 ODH851972 OND851972 OWZ851972 PGV851972 PQR851972 QAN851972 QKJ851972 QUF851972 REB851972 RNX851972 RXT851972 SHP851972 SRL851972 TBH851972 TLD851972 TUZ851972 UEV851972 UOR851972 UYN851972 VIJ851972 VSF851972 WCB851972 WLX851972 WVT851972 K917508 JH917508 TD917508 ACZ917508 AMV917508 AWR917508 BGN917508 BQJ917508 CAF917508 CKB917508 CTX917508 DDT917508 DNP917508 DXL917508 EHH917508 ERD917508 FAZ917508 FKV917508 FUR917508 GEN917508 GOJ917508 GYF917508 HIB917508 HRX917508 IBT917508 ILP917508 IVL917508 JFH917508 JPD917508 JYZ917508 KIV917508 KSR917508 LCN917508 LMJ917508 LWF917508 MGB917508 MPX917508 MZT917508 NJP917508 NTL917508 ODH917508 OND917508 OWZ917508 PGV917508 PQR917508 QAN917508 QKJ917508 QUF917508 REB917508 RNX917508 RXT917508 SHP917508 SRL917508 TBH917508 TLD917508 TUZ917508 UEV917508 UOR917508 UYN917508 VIJ917508 VSF917508 WCB917508 WLX917508 WVT917508 K983044 JH983044 TD983044 ACZ983044 AMV983044 AWR983044 BGN983044 BQJ983044 CAF983044 CKB983044 CTX983044 DDT983044 DNP983044 DXL983044 EHH983044 ERD983044 FAZ983044 FKV983044 FUR983044 GEN983044 GOJ983044 GYF983044 HIB983044 HRX983044 IBT983044 ILP983044 IVL983044 JFH983044 JPD983044 JYZ983044 KIV983044 KSR983044 LCN983044 LMJ983044 LWF983044 MGB983044 MPX983044 MZT983044 NJP983044 NTL983044 ODH983044 OND983044 OWZ983044 PGV983044 PQR983044 QAN983044 QKJ983044 QUF983044 REB983044 RNX983044 RXT983044 SHP983044 SRL983044 TBH983044 TLD983044 TUZ983044 UEV983044 UOR983044 UYN983044 VIJ983044 VSF983044 WCB983044 WLX983044" xr:uid="{00000000-0002-0000-0200-000000000000}">
      <formula1>"1st Quarter, 2nd Quarter, 3rd Quarter, 4th Quarter, All Quarter"</formula1>
    </dataValidation>
    <dataValidation type="list" allowBlank="1" showInputMessage="1" showErrorMessage="1" sqref="WVR983044:WVS983044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I65540:J65540 JF65540:JG65540 TB65540:TC65540 ACX65540:ACY65540 AMT65540:AMU65540 AWP65540:AWQ65540 BGL65540:BGM65540 BQH65540:BQI65540 CAD65540:CAE65540 CJZ65540:CKA65540 CTV65540:CTW65540 DDR65540:DDS65540 DNN65540:DNO65540 DXJ65540:DXK65540 EHF65540:EHG65540 ERB65540:ERC65540 FAX65540:FAY65540 FKT65540:FKU65540 FUP65540:FUQ65540 GEL65540:GEM65540 GOH65540:GOI65540 GYD65540:GYE65540 HHZ65540:HIA65540 HRV65540:HRW65540 IBR65540:IBS65540 ILN65540:ILO65540 IVJ65540:IVK65540 JFF65540:JFG65540 JPB65540:JPC65540 JYX65540:JYY65540 KIT65540:KIU65540 KSP65540:KSQ65540 LCL65540:LCM65540 LMH65540:LMI65540 LWD65540:LWE65540 MFZ65540:MGA65540 MPV65540:MPW65540 MZR65540:MZS65540 NJN65540:NJO65540 NTJ65540:NTK65540 ODF65540:ODG65540 ONB65540:ONC65540 OWX65540:OWY65540 PGT65540:PGU65540 PQP65540:PQQ65540 QAL65540:QAM65540 QKH65540:QKI65540 QUD65540:QUE65540 RDZ65540:REA65540 RNV65540:RNW65540 RXR65540:RXS65540 SHN65540:SHO65540 SRJ65540:SRK65540 TBF65540:TBG65540 TLB65540:TLC65540 TUX65540:TUY65540 UET65540:UEU65540 UOP65540:UOQ65540 UYL65540:UYM65540 VIH65540:VII65540 VSD65540:VSE65540 WBZ65540:WCA65540 WLV65540:WLW65540 WVR65540:WVS65540 I131076:J131076 JF131076:JG131076 TB131076:TC131076 ACX131076:ACY131076 AMT131076:AMU131076 AWP131076:AWQ131076 BGL131076:BGM131076 BQH131076:BQI131076 CAD131076:CAE131076 CJZ131076:CKA131076 CTV131076:CTW131076 DDR131076:DDS131076 DNN131076:DNO131076 DXJ131076:DXK131076 EHF131076:EHG131076 ERB131076:ERC131076 FAX131076:FAY131076 FKT131076:FKU131076 FUP131076:FUQ131076 GEL131076:GEM131076 GOH131076:GOI131076 GYD131076:GYE131076 HHZ131076:HIA131076 HRV131076:HRW131076 IBR131076:IBS131076 ILN131076:ILO131076 IVJ131076:IVK131076 JFF131076:JFG131076 JPB131076:JPC131076 JYX131076:JYY131076 KIT131076:KIU131076 KSP131076:KSQ131076 LCL131076:LCM131076 LMH131076:LMI131076 LWD131076:LWE131076 MFZ131076:MGA131076 MPV131076:MPW131076 MZR131076:MZS131076 NJN131076:NJO131076 NTJ131076:NTK131076 ODF131076:ODG131076 ONB131076:ONC131076 OWX131076:OWY131076 PGT131076:PGU131076 PQP131076:PQQ131076 QAL131076:QAM131076 QKH131076:QKI131076 QUD131076:QUE131076 RDZ131076:REA131076 RNV131076:RNW131076 RXR131076:RXS131076 SHN131076:SHO131076 SRJ131076:SRK131076 TBF131076:TBG131076 TLB131076:TLC131076 TUX131076:TUY131076 UET131076:UEU131076 UOP131076:UOQ131076 UYL131076:UYM131076 VIH131076:VII131076 VSD131076:VSE131076 WBZ131076:WCA131076 WLV131076:WLW131076 WVR131076:WVS131076 I196612:J196612 JF196612:JG196612 TB196612:TC196612 ACX196612:ACY196612 AMT196612:AMU196612 AWP196612:AWQ196612 BGL196612:BGM196612 BQH196612:BQI196612 CAD196612:CAE196612 CJZ196612:CKA196612 CTV196612:CTW196612 DDR196612:DDS196612 DNN196612:DNO196612 DXJ196612:DXK196612 EHF196612:EHG196612 ERB196612:ERC196612 FAX196612:FAY196612 FKT196612:FKU196612 FUP196612:FUQ196612 GEL196612:GEM196612 GOH196612:GOI196612 GYD196612:GYE196612 HHZ196612:HIA196612 HRV196612:HRW196612 IBR196612:IBS196612 ILN196612:ILO196612 IVJ196612:IVK196612 JFF196612:JFG196612 JPB196612:JPC196612 JYX196612:JYY196612 KIT196612:KIU196612 KSP196612:KSQ196612 LCL196612:LCM196612 LMH196612:LMI196612 LWD196612:LWE196612 MFZ196612:MGA196612 MPV196612:MPW196612 MZR196612:MZS196612 NJN196612:NJO196612 NTJ196612:NTK196612 ODF196612:ODG196612 ONB196612:ONC196612 OWX196612:OWY196612 PGT196612:PGU196612 PQP196612:PQQ196612 QAL196612:QAM196612 QKH196612:QKI196612 QUD196612:QUE196612 RDZ196612:REA196612 RNV196612:RNW196612 RXR196612:RXS196612 SHN196612:SHO196612 SRJ196612:SRK196612 TBF196612:TBG196612 TLB196612:TLC196612 TUX196612:TUY196612 UET196612:UEU196612 UOP196612:UOQ196612 UYL196612:UYM196612 VIH196612:VII196612 VSD196612:VSE196612 WBZ196612:WCA196612 WLV196612:WLW196612 WVR196612:WVS196612 I262148:J262148 JF262148:JG262148 TB262148:TC262148 ACX262148:ACY262148 AMT262148:AMU262148 AWP262148:AWQ262148 BGL262148:BGM262148 BQH262148:BQI262148 CAD262148:CAE262148 CJZ262148:CKA262148 CTV262148:CTW262148 DDR262148:DDS262148 DNN262148:DNO262148 DXJ262148:DXK262148 EHF262148:EHG262148 ERB262148:ERC262148 FAX262148:FAY262148 FKT262148:FKU262148 FUP262148:FUQ262148 GEL262148:GEM262148 GOH262148:GOI262148 GYD262148:GYE262148 HHZ262148:HIA262148 HRV262148:HRW262148 IBR262148:IBS262148 ILN262148:ILO262148 IVJ262148:IVK262148 JFF262148:JFG262148 JPB262148:JPC262148 JYX262148:JYY262148 KIT262148:KIU262148 KSP262148:KSQ262148 LCL262148:LCM262148 LMH262148:LMI262148 LWD262148:LWE262148 MFZ262148:MGA262148 MPV262148:MPW262148 MZR262148:MZS262148 NJN262148:NJO262148 NTJ262148:NTK262148 ODF262148:ODG262148 ONB262148:ONC262148 OWX262148:OWY262148 PGT262148:PGU262148 PQP262148:PQQ262148 QAL262148:QAM262148 QKH262148:QKI262148 QUD262148:QUE262148 RDZ262148:REA262148 RNV262148:RNW262148 RXR262148:RXS262148 SHN262148:SHO262148 SRJ262148:SRK262148 TBF262148:TBG262148 TLB262148:TLC262148 TUX262148:TUY262148 UET262148:UEU262148 UOP262148:UOQ262148 UYL262148:UYM262148 VIH262148:VII262148 VSD262148:VSE262148 WBZ262148:WCA262148 WLV262148:WLW262148 WVR262148:WVS262148 I327684:J327684 JF327684:JG327684 TB327684:TC327684 ACX327684:ACY327684 AMT327684:AMU327684 AWP327684:AWQ327684 BGL327684:BGM327684 BQH327684:BQI327684 CAD327684:CAE327684 CJZ327684:CKA327684 CTV327684:CTW327684 DDR327684:DDS327684 DNN327684:DNO327684 DXJ327684:DXK327684 EHF327684:EHG327684 ERB327684:ERC327684 FAX327684:FAY327684 FKT327684:FKU327684 FUP327684:FUQ327684 GEL327684:GEM327684 GOH327684:GOI327684 GYD327684:GYE327684 HHZ327684:HIA327684 HRV327684:HRW327684 IBR327684:IBS327684 ILN327684:ILO327684 IVJ327684:IVK327684 JFF327684:JFG327684 JPB327684:JPC327684 JYX327684:JYY327684 KIT327684:KIU327684 KSP327684:KSQ327684 LCL327684:LCM327684 LMH327684:LMI327684 LWD327684:LWE327684 MFZ327684:MGA327684 MPV327684:MPW327684 MZR327684:MZS327684 NJN327684:NJO327684 NTJ327684:NTK327684 ODF327684:ODG327684 ONB327684:ONC327684 OWX327684:OWY327684 PGT327684:PGU327684 PQP327684:PQQ327684 QAL327684:QAM327684 QKH327684:QKI327684 QUD327684:QUE327684 RDZ327684:REA327684 RNV327684:RNW327684 RXR327684:RXS327684 SHN327684:SHO327684 SRJ327684:SRK327684 TBF327684:TBG327684 TLB327684:TLC327684 TUX327684:TUY327684 UET327684:UEU327684 UOP327684:UOQ327684 UYL327684:UYM327684 VIH327684:VII327684 VSD327684:VSE327684 WBZ327684:WCA327684 WLV327684:WLW327684 WVR327684:WVS327684 I393220:J393220 JF393220:JG393220 TB393220:TC393220 ACX393220:ACY393220 AMT393220:AMU393220 AWP393220:AWQ393220 BGL393220:BGM393220 BQH393220:BQI393220 CAD393220:CAE393220 CJZ393220:CKA393220 CTV393220:CTW393220 DDR393220:DDS393220 DNN393220:DNO393220 DXJ393220:DXK393220 EHF393220:EHG393220 ERB393220:ERC393220 FAX393220:FAY393220 FKT393220:FKU393220 FUP393220:FUQ393220 GEL393220:GEM393220 GOH393220:GOI393220 GYD393220:GYE393220 HHZ393220:HIA393220 HRV393220:HRW393220 IBR393220:IBS393220 ILN393220:ILO393220 IVJ393220:IVK393220 JFF393220:JFG393220 JPB393220:JPC393220 JYX393220:JYY393220 KIT393220:KIU393220 KSP393220:KSQ393220 LCL393220:LCM393220 LMH393220:LMI393220 LWD393220:LWE393220 MFZ393220:MGA393220 MPV393220:MPW393220 MZR393220:MZS393220 NJN393220:NJO393220 NTJ393220:NTK393220 ODF393220:ODG393220 ONB393220:ONC393220 OWX393220:OWY393220 PGT393220:PGU393220 PQP393220:PQQ393220 QAL393220:QAM393220 QKH393220:QKI393220 QUD393220:QUE393220 RDZ393220:REA393220 RNV393220:RNW393220 RXR393220:RXS393220 SHN393220:SHO393220 SRJ393220:SRK393220 TBF393220:TBG393220 TLB393220:TLC393220 TUX393220:TUY393220 UET393220:UEU393220 UOP393220:UOQ393220 UYL393220:UYM393220 VIH393220:VII393220 VSD393220:VSE393220 WBZ393220:WCA393220 WLV393220:WLW393220 WVR393220:WVS393220 I458756:J458756 JF458756:JG458756 TB458756:TC458756 ACX458756:ACY458756 AMT458756:AMU458756 AWP458756:AWQ458756 BGL458756:BGM458756 BQH458756:BQI458756 CAD458756:CAE458756 CJZ458756:CKA458756 CTV458756:CTW458756 DDR458756:DDS458756 DNN458756:DNO458756 DXJ458756:DXK458756 EHF458756:EHG458756 ERB458756:ERC458756 FAX458756:FAY458756 FKT458756:FKU458756 FUP458756:FUQ458756 GEL458756:GEM458756 GOH458756:GOI458756 GYD458756:GYE458756 HHZ458756:HIA458756 HRV458756:HRW458756 IBR458756:IBS458756 ILN458756:ILO458756 IVJ458756:IVK458756 JFF458756:JFG458756 JPB458756:JPC458756 JYX458756:JYY458756 KIT458756:KIU458756 KSP458756:KSQ458756 LCL458756:LCM458756 LMH458756:LMI458756 LWD458756:LWE458756 MFZ458756:MGA458756 MPV458756:MPW458756 MZR458756:MZS458756 NJN458756:NJO458756 NTJ458756:NTK458756 ODF458756:ODG458756 ONB458756:ONC458756 OWX458756:OWY458756 PGT458756:PGU458756 PQP458756:PQQ458756 QAL458756:QAM458756 QKH458756:QKI458756 QUD458756:QUE458756 RDZ458756:REA458756 RNV458756:RNW458756 RXR458756:RXS458756 SHN458756:SHO458756 SRJ458756:SRK458756 TBF458756:TBG458756 TLB458756:TLC458756 TUX458756:TUY458756 UET458756:UEU458756 UOP458756:UOQ458756 UYL458756:UYM458756 VIH458756:VII458756 VSD458756:VSE458756 WBZ458756:WCA458756 WLV458756:WLW458756 WVR458756:WVS458756 I524292:J524292 JF524292:JG524292 TB524292:TC524292 ACX524292:ACY524292 AMT524292:AMU524292 AWP524292:AWQ524292 BGL524292:BGM524292 BQH524292:BQI524292 CAD524292:CAE524292 CJZ524292:CKA524292 CTV524292:CTW524292 DDR524292:DDS524292 DNN524292:DNO524292 DXJ524292:DXK524292 EHF524292:EHG524292 ERB524292:ERC524292 FAX524292:FAY524292 FKT524292:FKU524292 FUP524292:FUQ524292 GEL524292:GEM524292 GOH524292:GOI524292 GYD524292:GYE524292 HHZ524292:HIA524292 HRV524292:HRW524292 IBR524292:IBS524292 ILN524292:ILO524292 IVJ524292:IVK524292 JFF524292:JFG524292 JPB524292:JPC524292 JYX524292:JYY524292 KIT524292:KIU524292 KSP524292:KSQ524292 LCL524292:LCM524292 LMH524292:LMI524292 LWD524292:LWE524292 MFZ524292:MGA524292 MPV524292:MPW524292 MZR524292:MZS524292 NJN524292:NJO524292 NTJ524292:NTK524292 ODF524292:ODG524292 ONB524292:ONC524292 OWX524292:OWY524292 PGT524292:PGU524292 PQP524292:PQQ524292 QAL524292:QAM524292 QKH524292:QKI524292 QUD524292:QUE524292 RDZ524292:REA524292 RNV524292:RNW524292 RXR524292:RXS524292 SHN524292:SHO524292 SRJ524292:SRK524292 TBF524292:TBG524292 TLB524292:TLC524292 TUX524292:TUY524292 UET524292:UEU524292 UOP524292:UOQ524292 UYL524292:UYM524292 VIH524292:VII524292 VSD524292:VSE524292 WBZ524292:WCA524292 WLV524292:WLW524292 WVR524292:WVS524292 I589828:J589828 JF589828:JG589828 TB589828:TC589828 ACX589828:ACY589828 AMT589828:AMU589828 AWP589828:AWQ589828 BGL589828:BGM589828 BQH589828:BQI589828 CAD589828:CAE589828 CJZ589828:CKA589828 CTV589828:CTW589828 DDR589828:DDS589828 DNN589828:DNO589828 DXJ589828:DXK589828 EHF589828:EHG589828 ERB589828:ERC589828 FAX589828:FAY589828 FKT589828:FKU589828 FUP589828:FUQ589828 GEL589828:GEM589828 GOH589828:GOI589828 GYD589828:GYE589828 HHZ589828:HIA589828 HRV589828:HRW589828 IBR589828:IBS589828 ILN589828:ILO589828 IVJ589828:IVK589828 JFF589828:JFG589828 JPB589828:JPC589828 JYX589828:JYY589828 KIT589828:KIU589828 KSP589828:KSQ589828 LCL589828:LCM589828 LMH589828:LMI589828 LWD589828:LWE589828 MFZ589828:MGA589828 MPV589828:MPW589828 MZR589828:MZS589828 NJN589828:NJO589828 NTJ589828:NTK589828 ODF589828:ODG589828 ONB589828:ONC589828 OWX589828:OWY589828 PGT589828:PGU589828 PQP589828:PQQ589828 QAL589828:QAM589828 QKH589828:QKI589828 QUD589828:QUE589828 RDZ589828:REA589828 RNV589828:RNW589828 RXR589828:RXS589828 SHN589828:SHO589828 SRJ589828:SRK589828 TBF589828:TBG589828 TLB589828:TLC589828 TUX589828:TUY589828 UET589828:UEU589828 UOP589828:UOQ589828 UYL589828:UYM589828 VIH589828:VII589828 VSD589828:VSE589828 WBZ589828:WCA589828 WLV589828:WLW589828 WVR589828:WVS589828 I655364:J655364 JF655364:JG655364 TB655364:TC655364 ACX655364:ACY655364 AMT655364:AMU655364 AWP655364:AWQ655364 BGL655364:BGM655364 BQH655364:BQI655364 CAD655364:CAE655364 CJZ655364:CKA655364 CTV655364:CTW655364 DDR655364:DDS655364 DNN655364:DNO655364 DXJ655364:DXK655364 EHF655364:EHG655364 ERB655364:ERC655364 FAX655364:FAY655364 FKT655364:FKU655364 FUP655364:FUQ655364 GEL655364:GEM655364 GOH655364:GOI655364 GYD655364:GYE655364 HHZ655364:HIA655364 HRV655364:HRW655364 IBR655364:IBS655364 ILN655364:ILO655364 IVJ655364:IVK655364 JFF655364:JFG655364 JPB655364:JPC655364 JYX655364:JYY655364 KIT655364:KIU655364 KSP655364:KSQ655364 LCL655364:LCM655364 LMH655364:LMI655364 LWD655364:LWE655364 MFZ655364:MGA655364 MPV655364:MPW655364 MZR655364:MZS655364 NJN655364:NJO655364 NTJ655364:NTK655364 ODF655364:ODG655364 ONB655364:ONC655364 OWX655364:OWY655364 PGT655364:PGU655364 PQP655364:PQQ655364 QAL655364:QAM655364 QKH655364:QKI655364 QUD655364:QUE655364 RDZ655364:REA655364 RNV655364:RNW655364 RXR655364:RXS655364 SHN655364:SHO655364 SRJ655364:SRK655364 TBF655364:TBG655364 TLB655364:TLC655364 TUX655364:TUY655364 UET655364:UEU655364 UOP655364:UOQ655364 UYL655364:UYM655364 VIH655364:VII655364 VSD655364:VSE655364 WBZ655364:WCA655364 WLV655364:WLW655364 WVR655364:WVS655364 I720900:J720900 JF720900:JG720900 TB720900:TC720900 ACX720900:ACY720900 AMT720900:AMU720900 AWP720900:AWQ720900 BGL720900:BGM720900 BQH720900:BQI720900 CAD720900:CAE720900 CJZ720900:CKA720900 CTV720900:CTW720900 DDR720900:DDS720900 DNN720900:DNO720900 DXJ720900:DXK720900 EHF720900:EHG720900 ERB720900:ERC720900 FAX720900:FAY720900 FKT720900:FKU720900 FUP720900:FUQ720900 GEL720900:GEM720900 GOH720900:GOI720900 GYD720900:GYE720900 HHZ720900:HIA720900 HRV720900:HRW720900 IBR720900:IBS720900 ILN720900:ILO720900 IVJ720900:IVK720900 JFF720900:JFG720900 JPB720900:JPC720900 JYX720900:JYY720900 KIT720900:KIU720900 KSP720900:KSQ720900 LCL720900:LCM720900 LMH720900:LMI720900 LWD720900:LWE720900 MFZ720900:MGA720900 MPV720900:MPW720900 MZR720900:MZS720900 NJN720900:NJO720900 NTJ720900:NTK720900 ODF720900:ODG720900 ONB720900:ONC720900 OWX720900:OWY720900 PGT720900:PGU720900 PQP720900:PQQ720900 QAL720900:QAM720900 QKH720900:QKI720900 QUD720900:QUE720900 RDZ720900:REA720900 RNV720900:RNW720900 RXR720900:RXS720900 SHN720900:SHO720900 SRJ720900:SRK720900 TBF720900:TBG720900 TLB720900:TLC720900 TUX720900:TUY720900 UET720900:UEU720900 UOP720900:UOQ720900 UYL720900:UYM720900 VIH720900:VII720900 VSD720900:VSE720900 WBZ720900:WCA720900 WLV720900:WLW720900 WVR720900:WVS720900 I786436:J786436 JF786436:JG786436 TB786436:TC786436 ACX786436:ACY786436 AMT786436:AMU786436 AWP786436:AWQ786436 BGL786436:BGM786436 BQH786436:BQI786436 CAD786436:CAE786436 CJZ786436:CKA786436 CTV786436:CTW786436 DDR786436:DDS786436 DNN786436:DNO786436 DXJ786436:DXK786436 EHF786436:EHG786436 ERB786436:ERC786436 FAX786436:FAY786436 FKT786436:FKU786436 FUP786436:FUQ786436 GEL786436:GEM786436 GOH786436:GOI786436 GYD786436:GYE786436 HHZ786436:HIA786436 HRV786436:HRW786436 IBR786436:IBS786436 ILN786436:ILO786436 IVJ786436:IVK786436 JFF786436:JFG786436 JPB786436:JPC786436 JYX786436:JYY786436 KIT786436:KIU786436 KSP786436:KSQ786436 LCL786436:LCM786436 LMH786436:LMI786436 LWD786436:LWE786436 MFZ786436:MGA786436 MPV786436:MPW786436 MZR786436:MZS786436 NJN786436:NJO786436 NTJ786436:NTK786436 ODF786436:ODG786436 ONB786436:ONC786436 OWX786436:OWY786436 PGT786436:PGU786436 PQP786436:PQQ786436 QAL786436:QAM786436 QKH786436:QKI786436 QUD786436:QUE786436 RDZ786436:REA786436 RNV786436:RNW786436 RXR786436:RXS786436 SHN786436:SHO786436 SRJ786436:SRK786436 TBF786436:TBG786436 TLB786436:TLC786436 TUX786436:TUY786436 UET786436:UEU786436 UOP786436:UOQ786436 UYL786436:UYM786436 VIH786436:VII786436 VSD786436:VSE786436 WBZ786436:WCA786436 WLV786436:WLW786436 WVR786436:WVS786436 I851972:J851972 JF851972:JG851972 TB851972:TC851972 ACX851972:ACY851972 AMT851972:AMU851972 AWP851972:AWQ851972 BGL851972:BGM851972 BQH851972:BQI851972 CAD851972:CAE851972 CJZ851972:CKA851972 CTV851972:CTW851972 DDR851972:DDS851972 DNN851972:DNO851972 DXJ851972:DXK851972 EHF851972:EHG851972 ERB851972:ERC851972 FAX851972:FAY851972 FKT851972:FKU851972 FUP851972:FUQ851972 GEL851972:GEM851972 GOH851972:GOI851972 GYD851972:GYE851972 HHZ851972:HIA851972 HRV851972:HRW851972 IBR851972:IBS851972 ILN851972:ILO851972 IVJ851972:IVK851972 JFF851972:JFG851972 JPB851972:JPC851972 JYX851972:JYY851972 KIT851972:KIU851972 KSP851972:KSQ851972 LCL851972:LCM851972 LMH851972:LMI851972 LWD851972:LWE851972 MFZ851972:MGA851972 MPV851972:MPW851972 MZR851972:MZS851972 NJN851972:NJO851972 NTJ851972:NTK851972 ODF851972:ODG851972 ONB851972:ONC851972 OWX851972:OWY851972 PGT851972:PGU851972 PQP851972:PQQ851972 QAL851972:QAM851972 QKH851972:QKI851972 QUD851972:QUE851972 RDZ851972:REA851972 RNV851972:RNW851972 RXR851972:RXS851972 SHN851972:SHO851972 SRJ851972:SRK851972 TBF851972:TBG851972 TLB851972:TLC851972 TUX851972:TUY851972 UET851972:UEU851972 UOP851972:UOQ851972 UYL851972:UYM851972 VIH851972:VII851972 VSD851972:VSE851972 WBZ851972:WCA851972 WLV851972:WLW851972 WVR851972:WVS851972 I917508:J917508 JF917508:JG917508 TB917508:TC917508 ACX917508:ACY917508 AMT917508:AMU917508 AWP917508:AWQ917508 BGL917508:BGM917508 BQH917508:BQI917508 CAD917508:CAE917508 CJZ917508:CKA917508 CTV917508:CTW917508 DDR917508:DDS917508 DNN917508:DNO917508 DXJ917508:DXK917508 EHF917508:EHG917508 ERB917508:ERC917508 FAX917508:FAY917508 FKT917508:FKU917508 FUP917508:FUQ917508 GEL917508:GEM917508 GOH917508:GOI917508 GYD917508:GYE917508 HHZ917508:HIA917508 HRV917508:HRW917508 IBR917508:IBS917508 ILN917508:ILO917508 IVJ917508:IVK917508 JFF917508:JFG917508 JPB917508:JPC917508 JYX917508:JYY917508 KIT917508:KIU917508 KSP917508:KSQ917508 LCL917508:LCM917508 LMH917508:LMI917508 LWD917508:LWE917508 MFZ917508:MGA917508 MPV917508:MPW917508 MZR917508:MZS917508 NJN917508:NJO917508 NTJ917508:NTK917508 ODF917508:ODG917508 ONB917508:ONC917508 OWX917508:OWY917508 PGT917508:PGU917508 PQP917508:PQQ917508 QAL917508:QAM917508 QKH917508:QKI917508 QUD917508:QUE917508 RDZ917508:REA917508 RNV917508:RNW917508 RXR917508:RXS917508 SHN917508:SHO917508 SRJ917508:SRK917508 TBF917508:TBG917508 TLB917508:TLC917508 TUX917508:TUY917508 UET917508:UEU917508 UOP917508:UOQ917508 UYL917508:UYM917508 VIH917508:VII917508 VSD917508:VSE917508 WBZ917508:WCA917508 WLV917508:WLW917508 WVR917508:WVS917508 I983044:J983044 JF983044:JG983044 TB983044:TC983044 ACX983044:ACY983044 AMT983044:AMU983044 AWP983044:AWQ983044 BGL983044:BGM983044 BQH983044:BQI983044 CAD983044:CAE983044 CJZ983044:CKA983044 CTV983044:CTW983044 DDR983044:DDS983044 DNN983044:DNO983044 DXJ983044:DXK983044 EHF983044:EHG983044 ERB983044:ERC983044 FAX983044:FAY983044 FKT983044:FKU983044 FUP983044:FUQ983044 GEL983044:GEM983044 GOH983044:GOI983044 GYD983044:GYE983044 HHZ983044:HIA983044 HRV983044:HRW983044 IBR983044:IBS983044 ILN983044:ILO983044 IVJ983044:IVK983044 JFF983044:JFG983044 JPB983044:JPC983044 JYX983044:JYY983044 KIT983044:KIU983044 KSP983044:KSQ983044 LCL983044:LCM983044 LMH983044:LMI983044 LWD983044:LWE983044 MFZ983044:MGA983044 MPV983044:MPW983044 MZR983044:MZS983044 NJN983044:NJO983044 NTJ983044:NTK983044 ODF983044:ODG983044 ONB983044:ONC983044 OWX983044:OWY983044 PGT983044:PGU983044 PQP983044:PQQ983044 QAL983044:QAM983044 QKH983044:QKI983044 QUD983044:QUE983044 RDZ983044:REA983044 RNV983044:RNW983044 RXR983044:RXS983044 SHN983044:SHO983044 SRJ983044:SRK983044 TBF983044:TBG983044 TLB983044:TLC983044 TUX983044:TUY983044 UET983044:UEU983044 UOP983044:UOQ983044 UYL983044:UYM983044 VIH983044:VII983044 VSD983044:VSE983044 WBZ983044:WCA983044 WLV983044:WLW983044" xr:uid="{00000000-0002-0000-0200-000001000000}">
      <formula1>"January, February, March, Jan-Mar, April, May, June, Apr-June, July, August, September, Jul-Sep, October, November, December, Oct-Dec, Janu-Dec"</formula1>
    </dataValidation>
    <dataValidation type="list" allowBlank="1" showInputMessage="1" showErrorMessage="1" sqref="WVW983044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O65540 JK65540 TG65540 ADC65540 AMY65540 AWU65540 BGQ65540 BQM65540 CAI65540 CKE65540 CUA65540 DDW65540 DNS65540 DXO65540 EHK65540 ERG65540 FBC65540 FKY65540 FUU65540 GEQ65540 GOM65540 GYI65540 HIE65540 HSA65540 IBW65540 ILS65540 IVO65540 JFK65540 JPG65540 JZC65540 KIY65540 KSU65540 LCQ65540 LMM65540 LWI65540 MGE65540 MQA65540 MZW65540 NJS65540 NTO65540 ODK65540 ONG65540 OXC65540 PGY65540 PQU65540 QAQ65540 QKM65540 QUI65540 REE65540 ROA65540 RXW65540 SHS65540 SRO65540 TBK65540 TLG65540 TVC65540 UEY65540 UOU65540 UYQ65540 VIM65540 VSI65540 WCE65540 WMA65540 WVW65540 O131076 JK131076 TG131076 ADC131076 AMY131076 AWU131076 BGQ131076 BQM131076 CAI131076 CKE131076 CUA131076 DDW131076 DNS131076 DXO131076 EHK131076 ERG131076 FBC131076 FKY131076 FUU131076 GEQ131076 GOM131076 GYI131076 HIE131076 HSA131076 IBW131076 ILS131076 IVO131076 JFK131076 JPG131076 JZC131076 KIY131076 KSU131076 LCQ131076 LMM131076 LWI131076 MGE131076 MQA131076 MZW131076 NJS131076 NTO131076 ODK131076 ONG131076 OXC131076 PGY131076 PQU131076 QAQ131076 QKM131076 QUI131076 REE131076 ROA131076 RXW131076 SHS131076 SRO131076 TBK131076 TLG131076 TVC131076 UEY131076 UOU131076 UYQ131076 VIM131076 VSI131076 WCE131076 WMA131076 WVW131076 O196612 JK196612 TG196612 ADC196612 AMY196612 AWU196612 BGQ196612 BQM196612 CAI196612 CKE196612 CUA196612 DDW196612 DNS196612 DXO196612 EHK196612 ERG196612 FBC196612 FKY196612 FUU196612 GEQ196612 GOM196612 GYI196612 HIE196612 HSA196612 IBW196612 ILS196612 IVO196612 JFK196612 JPG196612 JZC196612 KIY196612 KSU196612 LCQ196612 LMM196612 LWI196612 MGE196612 MQA196612 MZW196612 NJS196612 NTO196612 ODK196612 ONG196612 OXC196612 PGY196612 PQU196612 QAQ196612 QKM196612 QUI196612 REE196612 ROA196612 RXW196612 SHS196612 SRO196612 TBK196612 TLG196612 TVC196612 UEY196612 UOU196612 UYQ196612 VIM196612 VSI196612 WCE196612 WMA196612 WVW196612 O262148 JK262148 TG262148 ADC262148 AMY262148 AWU262148 BGQ262148 BQM262148 CAI262148 CKE262148 CUA262148 DDW262148 DNS262148 DXO262148 EHK262148 ERG262148 FBC262148 FKY262148 FUU262148 GEQ262148 GOM262148 GYI262148 HIE262148 HSA262148 IBW262148 ILS262148 IVO262148 JFK262148 JPG262148 JZC262148 KIY262148 KSU262148 LCQ262148 LMM262148 LWI262148 MGE262148 MQA262148 MZW262148 NJS262148 NTO262148 ODK262148 ONG262148 OXC262148 PGY262148 PQU262148 QAQ262148 QKM262148 QUI262148 REE262148 ROA262148 RXW262148 SHS262148 SRO262148 TBK262148 TLG262148 TVC262148 UEY262148 UOU262148 UYQ262148 VIM262148 VSI262148 WCE262148 WMA262148 WVW262148 O327684 JK327684 TG327684 ADC327684 AMY327684 AWU327684 BGQ327684 BQM327684 CAI327684 CKE327684 CUA327684 DDW327684 DNS327684 DXO327684 EHK327684 ERG327684 FBC327684 FKY327684 FUU327684 GEQ327684 GOM327684 GYI327684 HIE327684 HSA327684 IBW327684 ILS327684 IVO327684 JFK327684 JPG327684 JZC327684 KIY327684 KSU327684 LCQ327684 LMM327684 LWI327684 MGE327684 MQA327684 MZW327684 NJS327684 NTO327684 ODK327684 ONG327684 OXC327684 PGY327684 PQU327684 QAQ327684 QKM327684 QUI327684 REE327684 ROA327684 RXW327684 SHS327684 SRO327684 TBK327684 TLG327684 TVC327684 UEY327684 UOU327684 UYQ327684 VIM327684 VSI327684 WCE327684 WMA327684 WVW327684 O393220 JK393220 TG393220 ADC393220 AMY393220 AWU393220 BGQ393220 BQM393220 CAI393220 CKE393220 CUA393220 DDW393220 DNS393220 DXO393220 EHK393220 ERG393220 FBC393220 FKY393220 FUU393220 GEQ393220 GOM393220 GYI393220 HIE393220 HSA393220 IBW393220 ILS393220 IVO393220 JFK393220 JPG393220 JZC393220 KIY393220 KSU393220 LCQ393220 LMM393220 LWI393220 MGE393220 MQA393220 MZW393220 NJS393220 NTO393220 ODK393220 ONG393220 OXC393220 PGY393220 PQU393220 QAQ393220 QKM393220 QUI393220 REE393220 ROA393220 RXW393220 SHS393220 SRO393220 TBK393220 TLG393220 TVC393220 UEY393220 UOU393220 UYQ393220 VIM393220 VSI393220 WCE393220 WMA393220 WVW393220 O458756 JK458756 TG458756 ADC458756 AMY458756 AWU458756 BGQ458756 BQM458756 CAI458756 CKE458756 CUA458756 DDW458756 DNS458756 DXO458756 EHK458756 ERG458756 FBC458756 FKY458756 FUU458756 GEQ458756 GOM458756 GYI458756 HIE458756 HSA458756 IBW458756 ILS458756 IVO458756 JFK458756 JPG458756 JZC458756 KIY458756 KSU458756 LCQ458756 LMM458756 LWI458756 MGE458756 MQA458756 MZW458756 NJS458756 NTO458756 ODK458756 ONG458756 OXC458756 PGY458756 PQU458756 QAQ458756 QKM458756 QUI458756 REE458756 ROA458756 RXW458756 SHS458756 SRO458756 TBK458756 TLG458756 TVC458756 UEY458756 UOU458756 UYQ458756 VIM458756 VSI458756 WCE458756 WMA458756 WVW458756 O524292 JK524292 TG524292 ADC524292 AMY524292 AWU524292 BGQ524292 BQM524292 CAI524292 CKE524292 CUA524292 DDW524292 DNS524292 DXO524292 EHK524292 ERG524292 FBC524292 FKY524292 FUU524292 GEQ524292 GOM524292 GYI524292 HIE524292 HSA524292 IBW524292 ILS524292 IVO524292 JFK524292 JPG524292 JZC524292 KIY524292 KSU524292 LCQ524292 LMM524292 LWI524292 MGE524292 MQA524292 MZW524292 NJS524292 NTO524292 ODK524292 ONG524292 OXC524292 PGY524292 PQU524292 QAQ524292 QKM524292 QUI524292 REE524292 ROA524292 RXW524292 SHS524292 SRO524292 TBK524292 TLG524292 TVC524292 UEY524292 UOU524292 UYQ524292 VIM524292 VSI524292 WCE524292 WMA524292 WVW524292 O589828 JK589828 TG589828 ADC589828 AMY589828 AWU589828 BGQ589828 BQM589828 CAI589828 CKE589828 CUA589828 DDW589828 DNS589828 DXO589828 EHK589828 ERG589828 FBC589828 FKY589828 FUU589828 GEQ589828 GOM589828 GYI589828 HIE589828 HSA589828 IBW589828 ILS589828 IVO589828 JFK589828 JPG589828 JZC589828 KIY589828 KSU589828 LCQ589828 LMM589828 LWI589828 MGE589828 MQA589828 MZW589828 NJS589828 NTO589828 ODK589828 ONG589828 OXC589828 PGY589828 PQU589828 QAQ589828 QKM589828 QUI589828 REE589828 ROA589828 RXW589828 SHS589828 SRO589828 TBK589828 TLG589828 TVC589828 UEY589828 UOU589828 UYQ589828 VIM589828 VSI589828 WCE589828 WMA589828 WVW589828 O655364 JK655364 TG655364 ADC655364 AMY655364 AWU655364 BGQ655364 BQM655364 CAI655364 CKE655364 CUA655364 DDW655364 DNS655364 DXO655364 EHK655364 ERG655364 FBC655364 FKY655364 FUU655364 GEQ655364 GOM655364 GYI655364 HIE655364 HSA655364 IBW655364 ILS655364 IVO655364 JFK655364 JPG655364 JZC655364 KIY655364 KSU655364 LCQ655364 LMM655364 LWI655364 MGE655364 MQA655364 MZW655364 NJS655364 NTO655364 ODK655364 ONG655364 OXC655364 PGY655364 PQU655364 QAQ655364 QKM655364 QUI655364 REE655364 ROA655364 RXW655364 SHS655364 SRO655364 TBK655364 TLG655364 TVC655364 UEY655364 UOU655364 UYQ655364 VIM655364 VSI655364 WCE655364 WMA655364 WVW655364 O720900 JK720900 TG720900 ADC720900 AMY720900 AWU720900 BGQ720900 BQM720900 CAI720900 CKE720900 CUA720900 DDW720900 DNS720900 DXO720900 EHK720900 ERG720900 FBC720900 FKY720900 FUU720900 GEQ720900 GOM720900 GYI720900 HIE720900 HSA720900 IBW720900 ILS720900 IVO720900 JFK720900 JPG720900 JZC720900 KIY720900 KSU720900 LCQ720900 LMM720900 LWI720900 MGE720900 MQA720900 MZW720900 NJS720900 NTO720900 ODK720900 ONG720900 OXC720900 PGY720900 PQU720900 QAQ720900 QKM720900 QUI720900 REE720900 ROA720900 RXW720900 SHS720900 SRO720900 TBK720900 TLG720900 TVC720900 UEY720900 UOU720900 UYQ720900 VIM720900 VSI720900 WCE720900 WMA720900 WVW720900 O786436 JK786436 TG786436 ADC786436 AMY786436 AWU786436 BGQ786436 BQM786436 CAI786436 CKE786436 CUA786436 DDW786436 DNS786436 DXO786436 EHK786436 ERG786436 FBC786436 FKY786436 FUU786436 GEQ786436 GOM786436 GYI786436 HIE786436 HSA786436 IBW786436 ILS786436 IVO786436 JFK786436 JPG786436 JZC786436 KIY786436 KSU786436 LCQ786436 LMM786436 LWI786436 MGE786436 MQA786436 MZW786436 NJS786436 NTO786436 ODK786436 ONG786436 OXC786436 PGY786436 PQU786436 QAQ786436 QKM786436 QUI786436 REE786436 ROA786436 RXW786436 SHS786436 SRO786436 TBK786436 TLG786436 TVC786436 UEY786436 UOU786436 UYQ786436 VIM786436 VSI786436 WCE786436 WMA786436 WVW786436 O851972 JK851972 TG851972 ADC851972 AMY851972 AWU851972 BGQ851972 BQM851972 CAI851972 CKE851972 CUA851972 DDW851972 DNS851972 DXO851972 EHK851972 ERG851972 FBC851972 FKY851972 FUU851972 GEQ851972 GOM851972 GYI851972 HIE851972 HSA851972 IBW851972 ILS851972 IVO851972 JFK851972 JPG851972 JZC851972 KIY851972 KSU851972 LCQ851972 LMM851972 LWI851972 MGE851972 MQA851972 MZW851972 NJS851972 NTO851972 ODK851972 ONG851972 OXC851972 PGY851972 PQU851972 QAQ851972 QKM851972 QUI851972 REE851972 ROA851972 RXW851972 SHS851972 SRO851972 TBK851972 TLG851972 TVC851972 UEY851972 UOU851972 UYQ851972 VIM851972 VSI851972 WCE851972 WMA851972 WVW851972 O917508 JK917508 TG917508 ADC917508 AMY917508 AWU917508 BGQ917508 BQM917508 CAI917508 CKE917508 CUA917508 DDW917508 DNS917508 DXO917508 EHK917508 ERG917508 FBC917508 FKY917508 FUU917508 GEQ917508 GOM917508 GYI917508 HIE917508 HSA917508 IBW917508 ILS917508 IVO917508 JFK917508 JPG917508 JZC917508 KIY917508 KSU917508 LCQ917508 LMM917508 LWI917508 MGE917508 MQA917508 MZW917508 NJS917508 NTO917508 ODK917508 ONG917508 OXC917508 PGY917508 PQU917508 QAQ917508 QKM917508 QUI917508 REE917508 ROA917508 RXW917508 SHS917508 SRO917508 TBK917508 TLG917508 TVC917508 UEY917508 UOU917508 UYQ917508 VIM917508 VSI917508 WCE917508 WMA917508 WVW917508 O983044 JK983044 TG983044 ADC983044 AMY983044 AWU983044 BGQ983044 BQM983044 CAI983044 CKE983044 CUA983044 DDW983044 DNS983044 DXO983044 EHK983044 ERG983044 FBC983044 FKY983044 FUU983044 GEQ983044 GOM983044 GYI983044 HIE983044 HSA983044 IBW983044 ILS983044 IVO983044 JFK983044 JPG983044 JZC983044 KIY983044 KSU983044 LCQ983044 LMM983044 LWI983044 MGE983044 MQA983044 MZW983044 NJS983044 NTO983044 ODK983044 ONG983044 OXC983044 PGY983044 PQU983044 QAQ983044 QKM983044 QUI983044 REE983044 ROA983044 RXW983044 SHS983044 SRO983044 TBK983044 TLG983044 TVC983044 UEY983044 UOU983044 UYQ983044 VIM983044 VSI983044 WCE983044 WMA983044" xr:uid="{00000000-0002-0000-0200-000002000000}">
      <formula1>"2015, 2016,2017,2018,2019, 2020"</formula1>
    </dataValidation>
    <dataValidation type="list" allowBlank="1" showInputMessage="1" showErrorMessage="1" sqref="R13" xr:uid="{00000000-0002-0000-0200-000003000000}">
      <formula1>"Not Detected, Resistance, Invalid, Error, No result"</formula1>
    </dataValidation>
    <dataValidation type="list" allowBlank="1" showInputMessage="1" showErrorMessage="1" sqref="O13:Q13" xr:uid="{00000000-0002-0000-0200-000004000000}">
      <formula1>"Not Detected, Resistance, Indeterminate, Error, Invalid, No Result"</formula1>
    </dataValidation>
    <dataValidation type="list" allowBlank="1" showInputMessage="1" showErrorMessage="1" sqref="M13:N13" xr:uid="{00000000-0002-0000-0200-000005000000}">
      <formula1>"Not Detected, Resistance, Low Resistance, Indeterminate, Error, Invalid, No Result"</formula1>
    </dataValidation>
    <dataValidation type="list" allowBlank="1" showInputMessage="1" showErrorMessage="1" sqref="L13" xr:uid="{00000000-0002-0000-0200-000006000000}">
      <formula1>"Detected, Not Detected"</formula1>
    </dataValidation>
    <dataValidation type="list" allowBlank="1" showInputMessage="1" showErrorMessage="1" sqref="I13:I15" xr:uid="{00000000-0002-0000-0200-000007000000}">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3"/>
  <sheetViews>
    <sheetView workbookViewId="0">
      <selection activeCell="K11" sqref="K11:L11"/>
    </sheetView>
  </sheetViews>
  <sheetFormatPr defaultColWidth="9.28515625" defaultRowHeight="15" x14ac:dyDescent="0.25"/>
  <cols>
    <col min="1" max="1" width="11" style="101" customWidth="1"/>
    <col min="2" max="2" width="9.28515625" style="101"/>
    <col min="3" max="3" width="11.7109375" style="101" customWidth="1"/>
    <col min="4" max="4" width="9.28515625" style="101"/>
    <col min="5" max="5" width="10.7109375" style="101" customWidth="1"/>
    <col min="6" max="16384" width="9.28515625" style="101"/>
  </cols>
  <sheetData>
    <row r="1" spans="1:21" s="100" customFormat="1" ht="18" x14ac:dyDescent="0.25">
      <c r="A1" s="325" t="s">
        <v>698</v>
      </c>
      <c r="B1" s="325"/>
      <c r="C1" s="325"/>
      <c r="D1" s="325"/>
      <c r="E1" s="325"/>
      <c r="F1" s="325"/>
      <c r="G1" s="325"/>
      <c r="H1" s="325"/>
      <c r="I1" s="325"/>
      <c r="J1" s="325"/>
      <c r="K1" s="325"/>
      <c r="L1" s="325"/>
      <c r="M1" s="325"/>
      <c r="N1" s="325"/>
      <c r="O1" s="325"/>
      <c r="P1" s="325" t="s">
        <v>697</v>
      </c>
      <c r="Q1" s="325"/>
      <c r="R1" s="325"/>
      <c r="S1" s="325"/>
      <c r="T1" s="99"/>
      <c r="U1" s="99"/>
    </row>
    <row r="2" spans="1:21" s="100" customFormat="1" ht="18" x14ac:dyDescent="0.25">
      <c r="A2" s="325" t="s">
        <v>63</v>
      </c>
      <c r="B2" s="325"/>
      <c r="C2" s="325"/>
      <c r="D2" s="325"/>
      <c r="E2" s="325"/>
      <c r="F2" s="325"/>
      <c r="G2" s="325"/>
      <c r="H2" s="325"/>
      <c r="I2" s="325"/>
      <c r="J2" s="325"/>
      <c r="K2" s="325"/>
      <c r="L2" s="325"/>
      <c r="M2" s="325"/>
      <c r="N2" s="325"/>
      <c r="O2" s="325"/>
      <c r="P2" s="325"/>
      <c r="Q2" s="325"/>
      <c r="R2" s="325"/>
      <c r="S2" s="325"/>
      <c r="T2" s="325"/>
      <c r="U2" s="325"/>
    </row>
    <row r="3" spans="1:21" s="100" customFormat="1" ht="18" x14ac:dyDescent="0.25">
      <c r="A3" s="325" t="s">
        <v>680</v>
      </c>
      <c r="B3" s="325"/>
      <c r="C3" s="325"/>
      <c r="D3" s="325"/>
      <c r="E3" s="325"/>
      <c r="F3" s="325"/>
      <c r="G3" s="325"/>
      <c r="H3" s="325"/>
      <c r="I3" s="325"/>
      <c r="J3" s="325"/>
      <c r="K3" s="325"/>
      <c r="L3" s="325"/>
      <c r="M3" s="325"/>
      <c r="N3" s="325"/>
      <c r="O3" s="325"/>
      <c r="P3" s="325"/>
      <c r="Q3" s="325"/>
      <c r="R3" s="325"/>
      <c r="S3" s="34"/>
      <c r="T3" s="34"/>
      <c r="U3" s="34"/>
    </row>
    <row r="4" spans="1:21" s="100" customFormat="1" ht="18" x14ac:dyDescent="0.25">
      <c r="A4" s="34"/>
      <c r="B4" s="34"/>
      <c r="C4" s="34"/>
      <c r="D4" s="34"/>
      <c r="E4" s="34"/>
      <c r="F4" s="34"/>
      <c r="G4" s="34"/>
      <c r="H4" s="34"/>
      <c r="I4" s="34"/>
      <c r="J4" s="34"/>
      <c r="K4" s="34"/>
      <c r="L4" s="34"/>
      <c r="M4" s="34"/>
      <c r="N4" s="34"/>
      <c r="O4" s="34"/>
      <c r="P4" s="34"/>
      <c r="Q4" s="34"/>
      <c r="R4" s="34"/>
      <c r="S4" s="34"/>
      <c r="T4" s="34"/>
      <c r="U4" s="34"/>
    </row>
    <row r="5" spans="1:21" s="100" customFormat="1" ht="18" x14ac:dyDescent="0.25">
      <c r="A5" s="325" t="s">
        <v>681</v>
      </c>
      <c r="B5" s="325"/>
      <c r="C5" s="325"/>
      <c r="D5" s="325"/>
      <c r="E5" s="325"/>
      <c r="F5" s="325"/>
      <c r="G5" s="325"/>
      <c r="H5" s="325"/>
      <c r="I5" s="325"/>
      <c r="J5" s="325"/>
      <c r="K5" s="325"/>
      <c r="L5" s="325"/>
      <c r="M5" s="325"/>
      <c r="N5" s="325"/>
      <c r="O5" s="325"/>
      <c r="P5" s="325"/>
      <c r="Q5" s="325"/>
      <c r="R5" s="325"/>
      <c r="S5" s="325"/>
      <c r="T5" s="325"/>
      <c r="U5" s="325"/>
    </row>
    <row r="6" spans="1:21" ht="15.75" x14ac:dyDescent="0.25">
      <c r="A6" s="2"/>
      <c r="B6" s="2"/>
      <c r="C6" s="2"/>
      <c r="D6" s="2"/>
      <c r="E6" s="2"/>
      <c r="F6" s="2"/>
      <c r="G6" s="2"/>
      <c r="H6" s="2"/>
      <c r="I6" s="2"/>
      <c r="J6" s="2"/>
      <c r="K6" s="2"/>
      <c r="L6" s="2"/>
      <c r="M6" s="2"/>
      <c r="N6" s="2"/>
      <c r="O6" s="2"/>
      <c r="P6" s="2"/>
      <c r="Q6" s="2"/>
      <c r="R6" s="2"/>
      <c r="S6" s="2"/>
      <c r="T6" s="2"/>
      <c r="U6" s="2"/>
    </row>
    <row r="7" spans="1:21" ht="15.75" x14ac:dyDescent="0.25">
      <c r="A7" s="2" t="s">
        <v>136</v>
      </c>
      <c r="B7" s="2"/>
      <c r="C7" s="326">
        <f>'DR-TB 10A (Sputum &amp; EP Sample)'!C6:G6</f>
        <v>0</v>
      </c>
      <c r="D7" s="326"/>
      <c r="E7" s="326"/>
      <c r="F7" s="326"/>
      <c r="G7" s="326"/>
      <c r="I7" s="2"/>
      <c r="J7" s="25" t="s">
        <v>14</v>
      </c>
      <c r="K7" s="100"/>
      <c r="L7" s="28" t="str">
        <f>'DR-TB 10A (Sputum &amp; EP Sample)'!L6</f>
        <v>&lt;Dates&gt;</v>
      </c>
    </row>
    <row r="8" spans="1:21" ht="17.25" x14ac:dyDescent="0.25">
      <c r="A8" s="2" t="s">
        <v>9</v>
      </c>
      <c r="B8" s="2"/>
      <c r="C8" s="319">
        <f>'DR-TB 10A (Sputum &amp; EP Sample)'!C7:G7</f>
        <v>0</v>
      </c>
      <c r="D8" s="319"/>
      <c r="E8" s="319"/>
      <c r="F8" s="319"/>
      <c r="G8" s="319"/>
      <c r="I8" s="102"/>
      <c r="J8" s="1" t="s">
        <v>682</v>
      </c>
      <c r="K8" s="24"/>
      <c r="L8" s="24"/>
      <c r="M8" s="24"/>
      <c r="N8" s="328">
        <f>'DR-TB 10A (Sputum &amp; EP Sample)'!N7:S7</f>
        <v>0</v>
      </c>
      <c r="O8" s="328"/>
      <c r="P8" s="328"/>
      <c r="Q8" s="328"/>
      <c r="R8" s="328"/>
      <c r="S8" s="328"/>
    </row>
    <row r="9" spans="1:21" ht="17.25" x14ac:dyDescent="0.25">
      <c r="A9" s="2" t="s">
        <v>10</v>
      </c>
      <c r="B9" s="2"/>
      <c r="C9" s="319">
        <f>'DR-TB 10A (Sputum &amp; EP Sample)'!C8:G8</f>
        <v>0</v>
      </c>
      <c r="D9" s="319"/>
      <c r="E9" s="319"/>
      <c r="F9" s="319"/>
      <c r="G9" s="319"/>
      <c r="I9" s="102"/>
      <c r="J9" s="102" t="s">
        <v>64</v>
      </c>
      <c r="K9" s="102"/>
      <c r="L9" s="102"/>
      <c r="M9" s="328">
        <f>'DR-TB 10A (Sputum &amp; EP Sample)'!M8:S8</f>
        <v>0</v>
      </c>
      <c r="N9" s="328"/>
      <c r="O9" s="328"/>
      <c r="P9" s="328"/>
      <c r="Q9" s="328"/>
      <c r="R9" s="328"/>
      <c r="S9" s="328"/>
    </row>
    <row r="10" spans="1:21" ht="17.25" x14ac:dyDescent="0.25">
      <c r="J10" s="102" t="s">
        <v>11</v>
      </c>
      <c r="K10" s="102"/>
      <c r="L10" s="102"/>
      <c r="M10" s="329">
        <f>'DR-TB 10A (Sputum &amp; EP Sample)'!M9:N9</f>
        <v>0</v>
      </c>
      <c r="N10" s="329"/>
      <c r="O10" s="103"/>
      <c r="P10" s="22"/>
    </row>
    <row r="11" spans="1:21" ht="17.25" x14ac:dyDescent="0.3">
      <c r="J11" s="104" t="s">
        <v>69</v>
      </c>
      <c r="K11" s="330">
        <f>'DR-TB 10A (Sputum &amp; EP Sample)'!K10:L10</f>
        <v>0</v>
      </c>
      <c r="L11" s="330"/>
      <c r="M11" s="104"/>
      <c r="N11" s="105"/>
      <c r="O11" s="102" t="s">
        <v>12</v>
      </c>
      <c r="Q11" s="331">
        <f>'DR-TB 10A (Sputum &amp; EP Sample)'!Q10:S10</f>
        <v>0</v>
      </c>
      <c r="R11" s="332"/>
      <c r="S11" s="332"/>
      <c r="T11" s="106"/>
    </row>
    <row r="12" spans="1:21" ht="16.5" thickBot="1" x14ac:dyDescent="0.3">
      <c r="J12" s="104"/>
      <c r="K12" s="107"/>
      <c r="L12" s="107"/>
      <c r="M12" s="104"/>
      <c r="N12" s="105"/>
      <c r="O12" s="102"/>
      <c r="Q12" s="27"/>
      <c r="R12" s="27"/>
      <c r="S12" s="27"/>
      <c r="T12" s="106"/>
    </row>
    <row r="13" spans="1:21" ht="18" thickBot="1" x14ac:dyDescent="0.35">
      <c r="A13" s="300" t="s">
        <v>683</v>
      </c>
      <c r="B13" s="320" t="s">
        <v>684</v>
      </c>
      <c r="C13" s="320"/>
      <c r="D13" s="320" t="s">
        <v>685</v>
      </c>
      <c r="E13" s="320"/>
      <c r="H13" s="303" t="s">
        <v>686</v>
      </c>
      <c r="I13" s="304"/>
      <c r="J13" s="304"/>
      <c r="K13" s="305"/>
      <c r="L13" s="309" t="s">
        <v>687</v>
      </c>
      <c r="M13" s="309"/>
      <c r="N13" s="309"/>
      <c r="O13" s="310" t="s">
        <v>3</v>
      </c>
      <c r="P13" s="311"/>
      <c r="Q13" s="106"/>
    </row>
    <row r="14" spans="1:21" ht="17.25" thickBot="1" x14ac:dyDescent="0.3">
      <c r="A14" s="301"/>
      <c r="B14" s="321"/>
      <c r="C14" s="322"/>
      <c r="D14" s="321"/>
      <c r="E14" s="322"/>
      <c r="H14" s="306"/>
      <c r="I14" s="307"/>
      <c r="J14" s="307"/>
      <c r="K14" s="308"/>
      <c r="L14" s="108"/>
      <c r="M14" s="109"/>
      <c r="N14" s="110"/>
      <c r="O14" s="312">
        <f>L14+M14+N14</f>
        <v>0</v>
      </c>
      <c r="P14" s="313"/>
      <c r="Q14" s="106"/>
    </row>
    <row r="15" spans="1:21" ht="15.75" x14ac:dyDescent="0.25">
      <c r="A15" s="2"/>
      <c r="B15" s="111"/>
      <c r="C15" s="111"/>
      <c r="D15" s="111"/>
      <c r="E15" s="111"/>
      <c r="F15" s="106"/>
      <c r="G15" s="105"/>
      <c r="H15" s="105"/>
      <c r="I15" s="105"/>
      <c r="J15" s="105"/>
      <c r="K15" s="105"/>
      <c r="L15" s="105"/>
      <c r="M15" s="105"/>
      <c r="N15" s="105"/>
      <c r="O15" s="105"/>
      <c r="P15" s="105"/>
      <c r="Q15" s="105"/>
      <c r="R15" s="105"/>
      <c r="S15" s="105"/>
      <c r="T15" s="105"/>
      <c r="U15" s="105"/>
    </row>
    <row r="16" spans="1:21" ht="15.75" x14ac:dyDescent="0.25">
      <c r="A16" s="112"/>
      <c r="B16" s="111"/>
      <c r="C16" s="111"/>
      <c r="D16" s="111"/>
      <c r="E16" s="111"/>
      <c r="F16" s="111"/>
      <c r="G16" s="111"/>
      <c r="H16" s="111"/>
      <c r="I16" s="106"/>
      <c r="J16" s="105"/>
      <c r="K16" s="105"/>
      <c r="L16" s="105"/>
      <c r="M16" s="105"/>
      <c r="N16" s="105"/>
      <c r="O16" s="105"/>
      <c r="P16" s="105"/>
      <c r="Q16" s="105"/>
      <c r="R16" s="105"/>
      <c r="S16" s="105"/>
      <c r="T16" s="105"/>
      <c r="U16" s="113"/>
    </row>
    <row r="17" spans="1:21" ht="15.75" x14ac:dyDescent="0.25">
      <c r="A17" s="314"/>
      <c r="B17" s="314"/>
      <c r="C17" s="314" t="s">
        <v>688</v>
      </c>
      <c r="D17" s="314"/>
      <c r="E17" s="314"/>
      <c r="F17" s="324" t="s">
        <v>689</v>
      </c>
      <c r="G17" s="324"/>
      <c r="H17" s="324"/>
      <c r="I17" s="324"/>
      <c r="J17" s="324"/>
      <c r="K17" s="324"/>
      <c r="L17" s="314" t="s">
        <v>690</v>
      </c>
      <c r="M17" s="314"/>
      <c r="N17" s="314"/>
      <c r="O17" s="314"/>
      <c r="P17" s="314"/>
      <c r="Q17" s="314"/>
      <c r="U17" s="327"/>
    </row>
    <row r="18" spans="1:21" x14ac:dyDescent="0.25">
      <c r="A18" s="314"/>
      <c r="B18" s="314"/>
      <c r="C18" s="302" t="s">
        <v>691</v>
      </c>
      <c r="D18" s="302" t="s">
        <v>692</v>
      </c>
      <c r="E18" s="302" t="s">
        <v>3</v>
      </c>
      <c r="F18" s="324" t="s">
        <v>691</v>
      </c>
      <c r="G18" s="324"/>
      <c r="H18" s="324" t="s">
        <v>692</v>
      </c>
      <c r="I18" s="324"/>
      <c r="J18" s="324" t="s">
        <v>3</v>
      </c>
      <c r="K18" s="324"/>
      <c r="L18" s="314" t="s">
        <v>691</v>
      </c>
      <c r="M18" s="314"/>
      <c r="N18" s="314" t="s">
        <v>692</v>
      </c>
      <c r="O18" s="314"/>
      <c r="P18" s="302" t="s">
        <v>3</v>
      </c>
      <c r="Q18" s="302"/>
      <c r="U18" s="327"/>
    </row>
    <row r="19" spans="1:21" x14ac:dyDescent="0.25">
      <c r="A19" s="314"/>
      <c r="B19" s="314"/>
      <c r="C19" s="302"/>
      <c r="D19" s="302"/>
      <c r="E19" s="302"/>
      <c r="F19" s="324"/>
      <c r="G19" s="324"/>
      <c r="H19" s="324"/>
      <c r="I19" s="324"/>
      <c r="J19" s="324"/>
      <c r="K19" s="324"/>
      <c r="L19" s="314"/>
      <c r="M19" s="314"/>
      <c r="N19" s="314"/>
      <c r="O19" s="314"/>
      <c r="P19" s="302"/>
      <c r="Q19" s="302"/>
      <c r="U19" s="327"/>
    </row>
    <row r="20" spans="1:21" ht="15" customHeight="1" x14ac:dyDescent="0.25">
      <c r="A20" s="314" t="s">
        <v>693</v>
      </c>
      <c r="B20" s="314"/>
      <c r="C20" s="318"/>
      <c r="D20" s="318"/>
      <c r="E20" s="302">
        <f>C20+D20</f>
        <v>0</v>
      </c>
      <c r="F20" s="316"/>
      <c r="G20" s="316"/>
      <c r="H20" s="317"/>
      <c r="I20" s="317"/>
      <c r="J20" s="315">
        <f>F20+H20</f>
        <v>0</v>
      </c>
      <c r="K20" s="315"/>
      <c r="L20" s="302">
        <f>C20+F20</f>
        <v>0</v>
      </c>
      <c r="M20" s="302"/>
      <c r="N20" s="302">
        <f>D20+H20</f>
        <v>0</v>
      </c>
      <c r="O20" s="302"/>
      <c r="P20" s="302">
        <f>L20+N20</f>
        <v>0</v>
      </c>
      <c r="Q20" s="302"/>
      <c r="U20" s="323"/>
    </row>
    <row r="21" spans="1:21" ht="15" customHeight="1" x14ac:dyDescent="0.25">
      <c r="A21" s="314"/>
      <c r="B21" s="314"/>
      <c r="C21" s="318"/>
      <c r="D21" s="318"/>
      <c r="E21" s="302"/>
      <c r="F21" s="316"/>
      <c r="G21" s="316"/>
      <c r="H21" s="317"/>
      <c r="I21" s="317"/>
      <c r="J21" s="315"/>
      <c r="K21" s="315"/>
      <c r="L21" s="302"/>
      <c r="M21" s="302"/>
      <c r="N21" s="302"/>
      <c r="O21" s="302"/>
      <c r="P21" s="302"/>
      <c r="Q21" s="302"/>
      <c r="U21" s="323"/>
    </row>
    <row r="22" spans="1:21" ht="15" customHeight="1" x14ac:dyDescent="0.25">
      <c r="A22" s="314"/>
      <c r="B22" s="314"/>
      <c r="C22" s="318"/>
      <c r="D22" s="318"/>
      <c r="E22" s="302"/>
      <c r="F22" s="316"/>
      <c r="G22" s="316"/>
      <c r="H22" s="317"/>
      <c r="I22" s="317"/>
      <c r="J22" s="315"/>
      <c r="K22" s="315"/>
      <c r="L22" s="302"/>
      <c r="M22" s="302"/>
      <c r="N22" s="302"/>
      <c r="O22" s="302"/>
      <c r="P22" s="302"/>
      <c r="Q22" s="302"/>
      <c r="U22" s="323"/>
    </row>
    <row r="23" spans="1:21" ht="15.75" x14ac:dyDescent="0.25">
      <c r="A23" s="314" t="s">
        <v>694</v>
      </c>
      <c r="B23" s="314"/>
      <c r="C23" s="318"/>
      <c r="D23" s="318"/>
      <c r="E23" s="302">
        <f t="shared" ref="E23" si="0">C23+D23</f>
        <v>0</v>
      </c>
      <c r="F23" s="316"/>
      <c r="G23" s="316"/>
      <c r="H23" s="317"/>
      <c r="I23" s="317"/>
      <c r="J23" s="315">
        <f t="shared" ref="J23" si="1">F23+H23</f>
        <v>0</v>
      </c>
      <c r="K23" s="315"/>
      <c r="L23" s="302">
        <f t="shared" ref="L23" si="2">C23+F23</f>
        <v>0</v>
      </c>
      <c r="M23" s="302"/>
      <c r="N23" s="302">
        <f t="shared" ref="N23" si="3">D23+H23</f>
        <v>0</v>
      </c>
      <c r="O23" s="302"/>
      <c r="P23" s="302">
        <f t="shared" ref="P23" si="4">L23+N23</f>
        <v>0</v>
      </c>
      <c r="Q23" s="302"/>
      <c r="U23" s="33"/>
    </row>
    <row r="24" spans="1:21" ht="15.75" x14ac:dyDescent="0.25">
      <c r="A24" s="314"/>
      <c r="B24" s="314"/>
      <c r="C24" s="318"/>
      <c r="D24" s="318"/>
      <c r="E24" s="302"/>
      <c r="F24" s="316"/>
      <c r="G24" s="316"/>
      <c r="H24" s="317"/>
      <c r="I24" s="317"/>
      <c r="J24" s="315"/>
      <c r="K24" s="315"/>
      <c r="L24" s="302"/>
      <c r="M24" s="302"/>
      <c r="N24" s="302"/>
      <c r="O24" s="302"/>
      <c r="P24" s="302"/>
      <c r="Q24" s="302"/>
      <c r="U24" s="33"/>
    </row>
    <row r="25" spans="1:21" ht="15.75" x14ac:dyDescent="0.25">
      <c r="A25" s="314"/>
      <c r="B25" s="314"/>
      <c r="C25" s="318"/>
      <c r="D25" s="318"/>
      <c r="E25" s="302"/>
      <c r="F25" s="316"/>
      <c r="G25" s="316"/>
      <c r="H25" s="317"/>
      <c r="I25" s="317"/>
      <c r="J25" s="315"/>
      <c r="K25" s="315"/>
      <c r="L25" s="302"/>
      <c r="M25" s="302"/>
      <c r="N25" s="302"/>
      <c r="O25" s="302"/>
      <c r="P25" s="302"/>
      <c r="Q25" s="302"/>
      <c r="U25" s="33"/>
    </row>
    <row r="26" spans="1:21" ht="15.75" x14ac:dyDescent="0.25">
      <c r="A26" s="314" t="s">
        <v>695</v>
      </c>
      <c r="B26" s="314"/>
      <c r="C26" s="318"/>
      <c r="D26" s="318"/>
      <c r="E26" s="302">
        <f t="shared" ref="E26" si="5">C26+D26</f>
        <v>0</v>
      </c>
      <c r="F26" s="316"/>
      <c r="G26" s="316"/>
      <c r="H26" s="317"/>
      <c r="I26" s="317"/>
      <c r="J26" s="315">
        <f t="shared" ref="J26" si="6">F26+H26</f>
        <v>0</v>
      </c>
      <c r="K26" s="315"/>
      <c r="L26" s="302">
        <f t="shared" ref="L26" si="7">C26+F26</f>
        <v>0</v>
      </c>
      <c r="M26" s="302"/>
      <c r="N26" s="302">
        <f t="shared" ref="N26" si="8">D26+H26</f>
        <v>0</v>
      </c>
      <c r="O26" s="302"/>
      <c r="P26" s="302">
        <f t="shared" ref="P26" si="9">L26+N26</f>
        <v>0</v>
      </c>
      <c r="Q26" s="302"/>
      <c r="R26" s="32"/>
      <c r="S26" s="33"/>
      <c r="T26" s="33"/>
      <c r="U26" s="33"/>
    </row>
    <row r="27" spans="1:21" ht="15.75" x14ac:dyDescent="0.25">
      <c r="A27" s="314"/>
      <c r="B27" s="314"/>
      <c r="C27" s="318"/>
      <c r="D27" s="318"/>
      <c r="E27" s="302"/>
      <c r="F27" s="316"/>
      <c r="G27" s="316"/>
      <c r="H27" s="317"/>
      <c r="I27" s="317"/>
      <c r="J27" s="315"/>
      <c r="K27" s="315"/>
      <c r="L27" s="302"/>
      <c r="M27" s="302"/>
      <c r="N27" s="302"/>
      <c r="O27" s="302"/>
      <c r="P27" s="302"/>
      <c r="Q27" s="302"/>
      <c r="R27" s="32"/>
      <c r="S27" s="33"/>
      <c r="T27" s="33"/>
      <c r="U27" s="33"/>
    </row>
    <row r="28" spans="1:21" ht="15.75" x14ac:dyDescent="0.25">
      <c r="A28" s="314"/>
      <c r="B28" s="314"/>
      <c r="C28" s="318"/>
      <c r="D28" s="318"/>
      <c r="E28" s="302"/>
      <c r="F28" s="316"/>
      <c r="G28" s="316"/>
      <c r="H28" s="317"/>
      <c r="I28" s="317"/>
      <c r="J28" s="315"/>
      <c r="K28" s="315"/>
      <c r="L28" s="302"/>
      <c r="M28" s="302"/>
      <c r="N28" s="302"/>
      <c r="O28" s="302"/>
      <c r="P28" s="302"/>
      <c r="Q28" s="302"/>
      <c r="R28" s="32"/>
      <c r="S28" s="33"/>
      <c r="T28" s="33"/>
      <c r="U28" s="33"/>
    </row>
    <row r="29" spans="1:21" ht="15.75" x14ac:dyDescent="0.25">
      <c r="A29" s="32"/>
      <c r="B29" s="32"/>
      <c r="C29" s="32"/>
      <c r="D29" s="32"/>
      <c r="E29" s="23"/>
      <c r="F29" s="33"/>
      <c r="G29" s="33"/>
      <c r="H29" s="23"/>
      <c r="I29" s="23"/>
      <c r="J29" s="33"/>
      <c r="K29" s="33"/>
      <c r="L29" s="23"/>
      <c r="M29" s="23"/>
      <c r="N29" s="23"/>
      <c r="O29" s="23"/>
      <c r="P29" s="23"/>
      <c r="Q29" s="23"/>
      <c r="R29" s="32"/>
      <c r="S29" s="33"/>
      <c r="T29" s="33"/>
      <c r="U29" s="33"/>
    </row>
    <row r="30" spans="1:21" ht="17.25" x14ac:dyDescent="0.25">
      <c r="A30" s="2"/>
      <c r="B30" s="2"/>
      <c r="C30" s="2"/>
      <c r="D30" s="2"/>
      <c r="H30" s="106" t="s">
        <v>696</v>
      </c>
      <c r="I30" s="106"/>
      <c r="J30" s="106"/>
      <c r="K30" s="106"/>
      <c r="L30" s="106"/>
      <c r="M30" s="333"/>
      <c r="N30" s="333"/>
      <c r="O30" s="333"/>
      <c r="P30" s="333"/>
      <c r="Q30" s="333"/>
      <c r="R30" s="333"/>
      <c r="S30" s="333"/>
    </row>
    <row r="31" spans="1:21" ht="17.25" x14ac:dyDescent="0.25">
      <c r="A31" s="114"/>
      <c r="B31" s="114"/>
      <c r="C31" s="114"/>
      <c r="D31" s="114"/>
      <c r="E31" s="26"/>
      <c r="F31" s="26"/>
      <c r="G31" s="25"/>
      <c r="H31" s="106" t="s">
        <v>56</v>
      </c>
      <c r="I31" s="336"/>
      <c r="J31" s="336"/>
      <c r="K31" s="336"/>
      <c r="L31" s="336"/>
      <c r="N31" s="115" t="s">
        <v>57</v>
      </c>
      <c r="O31" s="334"/>
      <c r="P31" s="334"/>
      <c r="Q31" s="334"/>
    </row>
    <row r="32" spans="1:21" ht="17.25" x14ac:dyDescent="0.25">
      <c r="A32" s="25"/>
      <c r="B32" s="23"/>
      <c r="C32" s="23"/>
      <c r="D32" s="23"/>
      <c r="E32" s="25"/>
      <c r="F32" s="25"/>
      <c r="G32" s="26"/>
      <c r="H32" s="106" t="s">
        <v>58</v>
      </c>
      <c r="I32" s="335"/>
      <c r="J32" s="335"/>
      <c r="K32" s="335"/>
      <c r="L32" s="335"/>
      <c r="M32" s="335"/>
    </row>
    <row r="33" spans="1:8" ht="15.75" x14ac:dyDescent="0.25">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U20:U22"/>
    <mergeCell ref="J23:K25"/>
    <mergeCell ref="F18:G19"/>
    <mergeCell ref="H18:I19"/>
    <mergeCell ref="J18:K19"/>
    <mergeCell ref="L18:M19"/>
    <mergeCell ref="P18:Q19"/>
    <mergeCell ref="L20:M22"/>
    <mergeCell ref="L23:M25"/>
    <mergeCell ref="N20:O22"/>
    <mergeCell ref="N23:O25"/>
    <mergeCell ref="P20:Q22"/>
    <mergeCell ref="P23:Q25"/>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P13"/>
  <sheetViews>
    <sheetView zoomScaleNormal="100" workbookViewId="0">
      <selection sqref="A1:A3"/>
    </sheetView>
  </sheetViews>
  <sheetFormatPr defaultColWidth="9.28515625" defaultRowHeight="15" x14ac:dyDescent="0.25"/>
  <cols>
    <col min="1" max="1" width="14.42578125" style="101" customWidth="1"/>
    <col min="2" max="2" width="9.7109375" style="101" customWidth="1"/>
    <col min="3" max="3" width="13.42578125" style="101" customWidth="1"/>
    <col min="4" max="7" width="9.28515625" style="101"/>
    <col min="8" max="8" width="11.28515625" style="138" bestFit="1" customWidth="1"/>
    <col min="9" max="9" width="14.28515625" style="101" customWidth="1"/>
    <col min="10" max="10" width="18" style="101" customWidth="1"/>
    <col min="11" max="16" width="9.28515625" style="101"/>
    <col min="17" max="17" width="12.7109375" style="101" bestFit="1" customWidth="1"/>
    <col min="18" max="18" width="11.7109375" style="101" bestFit="1" customWidth="1"/>
    <col min="19" max="23" width="9.28515625" style="101"/>
    <col min="24" max="24" width="11.28515625" style="138" bestFit="1" customWidth="1"/>
    <col min="25" max="30" width="9.28515625" style="101"/>
    <col min="31" max="31" width="10.28515625" style="101" bestFit="1" customWidth="1"/>
    <col min="32" max="32" width="9.28515625" style="101"/>
    <col min="33" max="33" width="10.28515625" style="101" bestFit="1" customWidth="1"/>
    <col min="34" max="64" width="9.28515625" style="101"/>
    <col min="65" max="65" width="19.5703125" style="101" customWidth="1"/>
    <col min="66" max="84" width="9.28515625" style="101"/>
    <col min="85" max="85" width="10.28515625" style="101" customWidth="1"/>
    <col min="86" max="88" width="9.28515625" style="101"/>
    <col min="89" max="89" width="10" style="101" customWidth="1"/>
    <col min="90" max="90" width="9.7109375" style="101" customWidth="1"/>
    <col min="91" max="16384" width="9.28515625" style="101"/>
  </cols>
  <sheetData>
    <row r="1" spans="1:146" s="100" customFormat="1" ht="29.25" customHeight="1" x14ac:dyDescent="0.25">
      <c r="A1" s="347" t="s">
        <v>161</v>
      </c>
      <c r="B1" s="347" t="s">
        <v>280</v>
      </c>
      <c r="C1" s="347" t="s">
        <v>806</v>
      </c>
      <c r="D1" s="348"/>
      <c r="E1" s="351" t="s">
        <v>281</v>
      </c>
      <c r="F1" s="351"/>
      <c r="G1" s="351"/>
      <c r="H1" s="353" t="s">
        <v>282</v>
      </c>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t="s">
        <v>283</v>
      </c>
      <c r="AH1" s="353"/>
      <c r="AI1" s="353"/>
      <c r="AJ1" s="353"/>
      <c r="AK1" s="354" t="s">
        <v>284</v>
      </c>
      <c r="AL1" s="354" t="s">
        <v>285</v>
      </c>
      <c r="AM1" s="354" t="s">
        <v>286</v>
      </c>
      <c r="AN1" s="354" t="s">
        <v>287</v>
      </c>
      <c r="AO1" s="354"/>
      <c r="AP1" s="354"/>
      <c r="AQ1" s="354"/>
      <c r="AR1" s="354" t="s">
        <v>288</v>
      </c>
      <c r="AS1" s="361" t="s">
        <v>289</v>
      </c>
      <c r="AT1" s="362"/>
      <c r="AU1" s="362"/>
      <c r="AV1" s="363"/>
      <c r="AW1" s="375" t="s">
        <v>290</v>
      </c>
      <c r="AX1" s="354" t="s">
        <v>291</v>
      </c>
      <c r="AY1" s="354"/>
      <c r="AZ1" s="354"/>
      <c r="BA1" s="354"/>
      <c r="BB1" s="375" t="s">
        <v>292</v>
      </c>
      <c r="BC1" s="339" t="s">
        <v>820</v>
      </c>
      <c r="BD1" s="359" t="s">
        <v>75</v>
      </c>
      <c r="BE1" s="359"/>
      <c r="BF1" s="359"/>
      <c r="BG1" s="359" t="s">
        <v>67</v>
      </c>
      <c r="BH1" s="359"/>
      <c r="BI1" s="359"/>
      <c r="BJ1" s="359" t="s">
        <v>3</v>
      </c>
      <c r="BK1" s="345" t="str">
        <f>'DR-TB 10A (Sputum &amp; EP Sample)'!J7</f>
        <v>Name of the person completing the report :</v>
      </c>
      <c r="BL1" s="345" t="str">
        <f>'DR-TB 10A (Sputum &amp; EP Sample)'!J8</f>
        <v>Designation and organization :</v>
      </c>
      <c r="BM1" s="345" t="str">
        <f>'DR-TB 10A (Sputum &amp; EP Sample)'!O10</f>
        <v>Cell Number :</v>
      </c>
      <c r="BN1" s="337" t="str">
        <f>'COVID19 Reporting Form'!B13</f>
        <v>Cartridges Received</v>
      </c>
      <c r="BO1" s="337" t="str">
        <f>'COVID19 Reporting Form'!D13</f>
        <v>Cartridges in Hand</v>
      </c>
      <c r="BP1" s="337" t="str">
        <f>'COVID19 Reporting Form'!C17</f>
        <v>Type of test : New</v>
      </c>
      <c r="BQ1" s="337"/>
      <c r="BR1" s="337"/>
      <c r="BS1" s="337"/>
      <c r="BT1" s="337"/>
      <c r="BU1" s="337"/>
      <c r="BV1" s="337" t="str">
        <f>'COVID19 Reporting Form'!F17</f>
        <v xml:space="preserve">Type of Test : Follow up </v>
      </c>
      <c r="BW1" s="337"/>
      <c r="BX1" s="337"/>
      <c r="BY1" s="337"/>
      <c r="BZ1" s="337"/>
      <c r="CA1" s="337"/>
      <c r="CB1" s="337" t="s">
        <v>686</v>
      </c>
      <c r="CC1" s="337"/>
      <c r="CD1" s="337"/>
      <c r="CE1" s="341" t="str">
        <f>'DR-TB 10A (Sputum &amp; EP Sample)'!J12</f>
        <v>For Xpert</v>
      </c>
      <c r="CF1" s="342"/>
      <c r="CG1" s="343"/>
      <c r="CH1" s="341" t="str">
        <f>'DR-TB 10A (Sputum &amp; EP Sample)'!N12</f>
        <v>For Truenat</v>
      </c>
      <c r="CI1" s="342"/>
      <c r="CJ1" s="342"/>
      <c r="CK1" s="342"/>
      <c r="CL1" s="342"/>
      <c r="CM1" s="342"/>
      <c r="CN1" s="342"/>
      <c r="CO1" s="342"/>
      <c r="CP1" s="343"/>
      <c r="CQ1" s="337" t="str">
        <f>'DR-TB 10A (Sputum &amp; EP Sample)'!G38</f>
        <v>Eligible for XDR Testing</v>
      </c>
      <c r="CR1" s="337" t="str">
        <f>'DR-TB 10A (Sputum &amp; EP Sample)'!H38</f>
        <v>Tested by XDR Cartridge</v>
      </c>
      <c r="CS1" s="351" t="s">
        <v>281</v>
      </c>
      <c r="CT1" s="351"/>
      <c r="CU1" s="351"/>
      <c r="CV1" s="353" t="s">
        <v>282</v>
      </c>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t="s">
        <v>283</v>
      </c>
      <c r="DV1" s="353"/>
      <c r="DW1" s="353"/>
      <c r="DX1" s="353"/>
      <c r="DY1" s="354" t="s">
        <v>284</v>
      </c>
      <c r="DZ1" s="354" t="s">
        <v>285</v>
      </c>
      <c r="EA1" s="354" t="s">
        <v>286</v>
      </c>
      <c r="EB1" s="354" t="s">
        <v>287</v>
      </c>
      <c r="EC1" s="354"/>
      <c r="ED1" s="354"/>
      <c r="EE1" s="354"/>
      <c r="EF1" s="354" t="s">
        <v>288</v>
      </c>
      <c r="EG1" s="361" t="s">
        <v>289</v>
      </c>
      <c r="EH1" s="362"/>
      <c r="EI1" s="362"/>
      <c r="EJ1" s="363"/>
      <c r="EK1" s="375" t="s">
        <v>290</v>
      </c>
      <c r="EL1" s="354" t="s">
        <v>291</v>
      </c>
      <c r="EM1" s="354"/>
      <c r="EN1" s="354"/>
      <c r="EO1" s="354"/>
      <c r="EP1" s="375" t="s">
        <v>292</v>
      </c>
    </row>
    <row r="2" spans="1:146" s="100" customFormat="1" ht="33.75" customHeight="1" x14ac:dyDescent="0.25">
      <c r="A2" s="347"/>
      <c r="B2" s="347"/>
      <c r="C2" s="347"/>
      <c r="D2" s="349"/>
      <c r="E2" s="370" t="s">
        <v>43</v>
      </c>
      <c r="F2" s="372" t="s">
        <v>44</v>
      </c>
      <c r="G2" s="373" t="s">
        <v>304</v>
      </c>
      <c r="H2" s="374" t="s">
        <v>18</v>
      </c>
      <c r="I2" s="352" t="s">
        <v>19</v>
      </c>
      <c r="J2" s="352" t="s">
        <v>20</v>
      </c>
      <c r="K2" s="352" t="s">
        <v>22</v>
      </c>
      <c r="L2" s="352" t="s">
        <v>24</v>
      </c>
      <c r="M2" s="352" t="s">
        <v>26</v>
      </c>
      <c r="N2" s="352" t="s">
        <v>28</v>
      </c>
      <c r="O2" s="352" t="s">
        <v>30</v>
      </c>
      <c r="P2" s="352" t="s">
        <v>32</v>
      </c>
      <c r="Q2" s="352"/>
      <c r="R2" s="352"/>
      <c r="S2" s="352" t="s">
        <v>34</v>
      </c>
      <c r="T2" s="352"/>
      <c r="U2" s="352"/>
      <c r="V2" s="352" t="s">
        <v>293</v>
      </c>
      <c r="W2" s="352"/>
      <c r="X2" s="352"/>
      <c r="Y2" s="352" t="s">
        <v>294</v>
      </c>
      <c r="Z2" s="352"/>
      <c r="AA2" s="352"/>
      <c r="AB2" s="352" t="s">
        <v>295</v>
      </c>
      <c r="AC2" s="352"/>
      <c r="AD2" s="352"/>
      <c r="AE2" s="379" t="s">
        <v>296</v>
      </c>
      <c r="AF2" s="353" t="s">
        <v>3</v>
      </c>
      <c r="AG2" s="352" t="s">
        <v>43</v>
      </c>
      <c r="AH2" s="352" t="s">
        <v>44</v>
      </c>
      <c r="AI2" s="352" t="s">
        <v>297</v>
      </c>
      <c r="AJ2" s="353" t="s">
        <v>3</v>
      </c>
      <c r="AK2" s="354"/>
      <c r="AL2" s="354"/>
      <c r="AM2" s="354"/>
      <c r="AN2" s="354" t="s">
        <v>298</v>
      </c>
      <c r="AO2" s="354" t="s">
        <v>299</v>
      </c>
      <c r="AP2" s="354" t="s">
        <v>300</v>
      </c>
      <c r="AQ2" s="360" t="s">
        <v>840</v>
      </c>
      <c r="AR2" s="354"/>
      <c r="AS2" s="354" t="s">
        <v>298</v>
      </c>
      <c r="AT2" s="354" t="s">
        <v>299</v>
      </c>
      <c r="AU2" s="354" t="s">
        <v>300</v>
      </c>
      <c r="AV2" s="360" t="s">
        <v>840</v>
      </c>
      <c r="AW2" s="376"/>
      <c r="AX2" s="355" t="s">
        <v>298</v>
      </c>
      <c r="AY2" s="355" t="s">
        <v>299</v>
      </c>
      <c r="AZ2" s="355" t="s">
        <v>300</v>
      </c>
      <c r="BA2" s="360" t="s">
        <v>840</v>
      </c>
      <c r="BB2" s="376"/>
      <c r="BC2" s="378"/>
      <c r="BD2" s="359"/>
      <c r="BE2" s="359"/>
      <c r="BF2" s="359"/>
      <c r="BG2" s="359"/>
      <c r="BH2" s="359"/>
      <c r="BI2" s="359"/>
      <c r="BJ2" s="359"/>
      <c r="BK2" s="345"/>
      <c r="BL2" s="345"/>
      <c r="BM2" s="345"/>
      <c r="BN2" s="337"/>
      <c r="BO2" s="337"/>
      <c r="BP2" s="337" t="str">
        <f>'COVID19 Reporting Form'!A20</f>
        <v>Number Of COVID19 Test</v>
      </c>
      <c r="BQ2" s="337"/>
      <c r="BR2" s="337" t="str">
        <f>'COVID19 Reporting Form'!A23</f>
        <v>Number of COVID 19 Positive Detected</v>
      </c>
      <c r="BS2" s="337"/>
      <c r="BT2" s="337" t="str">
        <f>'COVID19 Reporting Form'!A26</f>
        <v>Number of COVID 19 Negative Detected</v>
      </c>
      <c r="BU2" s="337"/>
      <c r="BV2" s="337" t="str">
        <f>'COVID19 Reporting Form'!A20</f>
        <v>Number Of COVID19 Test</v>
      </c>
      <c r="BW2" s="337"/>
      <c r="BX2" s="337" t="str">
        <f>'COVID19 Reporting Form'!A23</f>
        <v>Number of COVID 19 Positive Detected</v>
      </c>
      <c r="BY2" s="337"/>
      <c r="BZ2" s="337" t="str">
        <f>'COVID19 Reporting Form'!A26</f>
        <v>Number of COVID 19 Negative Detected</v>
      </c>
      <c r="CA2" s="337"/>
      <c r="CB2" s="337"/>
      <c r="CC2" s="337"/>
      <c r="CD2" s="337"/>
      <c r="CE2" s="339" t="str">
        <f>'DR-TB 10A (Sputum &amp; EP Sample)'!J13</f>
        <v>Number of Gene Xpert Machine:</v>
      </c>
      <c r="CF2" s="339" t="str">
        <f>'DR-TB 10A (Sputum &amp; EP Sample)'!J14</f>
        <v>Total Number Of Module:</v>
      </c>
      <c r="CG2" s="339" t="str">
        <f>'DR-TB 10A (Sputum &amp; EP Sample)'!J15</f>
        <v>Number of Module Functional:</v>
      </c>
      <c r="CH2" s="339" t="str">
        <f>'DR-TB 10A (Sputum &amp; EP Sample)'!N13</f>
        <v>No. of TruePrep Device</v>
      </c>
      <c r="CI2" s="339" t="str">
        <f>'DR-TB 10A (Sputum &amp; EP Sample)'!N14</f>
        <v>No.of TrueLab Device</v>
      </c>
      <c r="CJ2" s="339" t="str">
        <f>'DR-TB 10A (Sputum &amp; EP Sample)'!N15</f>
        <v>Total No. of Chip Ports</v>
      </c>
      <c r="CK2" s="339" t="str">
        <f>'DR-TB 10A (Sputum &amp; EP Sample)'!R13</f>
        <v>Functional TruePrep Device</v>
      </c>
      <c r="CL2" s="339" t="str">
        <f>'DR-TB 10A (Sputum &amp; EP Sample)'!R14</f>
        <v>Functional TrueLab Device</v>
      </c>
      <c r="CM2" s="339" t="str">
        <f>'DR-TB 10A (Sputum &amp; EP Sample)'!R15</f>
        <v>Total functional Chip Ports</v>
      </c>
      <c r="CN2" s="339" t="str">
        <f>'DR-TB 10A (Sputum &amp; EP Sample)'!R17</f>
        <v>No. of Truenat Cartriage Used</v>
      </c>
      <c r="CO2" s="339" t="str">
        <f>'DR-TB 10A (Sputum &amp; EP Sample)'!R18</f>
        <v>No. of Truenat MTB Chip Used</v>
      </c>
      <c r="CP2" s="339" t="str">
        <f>'DR-TB 10A (Sputum &amp; EP Sample)'!R19</f>
        <v>No. of Truenat RIF Dx Chip Used</v>
      </c>
      <c r="CQ2" s="337"/>
      <c r="CR2" s="337"/>
      <c r="CS2" s="370" t="s">
        <v>43</v>
      </c>
      <c r="CT2" s="372" t="s">
        <v>44</v>
      </c>
      <c r="CU2" s="373" t="s">
        <v>304</v>
      </c>
      <c r="CV2" s="374" t="s">
        <v>18</v>
      </c>
      <c r="CW2" s="352" t="s">
        <v>19</v>
      </c>
      <c r="CX2" s="352" t="s">
        <v>20</v>
      </c>
      <c r="CY2" s="352" t="s">
        <v>22</v>
      </c>
      <c r="CZ2" s="352" t="s">
        <v>24</v>
      </c>
      <c r="DA2" s="352" t="s">
        <v>26</v>
      </c>
      <c r="DB2" s="352" t="s">
        <v>28</v>
      </c>
      <c r="DC2" s="352" t="s">
        <v>30</v>
      </c>
      <c r="DD2" s="352" t="s">
        <v>32</v>
      </c>
      <c r="DE2" s="352"/>
      <c r="DF2" s="352"/>
      <c r="DG2" s="352" t="s">
        <v>34</v>
      </c>
      <c r="DH2" s="352"/>
      <c r="DI2" s="352"/>
      <c r="DJ2" s="352" t="s">
        <v>293</v>
      </c>
      <c r="DK2" s="352"/>
      <c r="DL2" s="352"/>
      <c r="DM2" s="352" t="s">
        <v>294</v>
      </c>
      <c r="DN2" s="352"/>
      <c r="DO2" s="352"/>
      <c r="DP2" s="352" t="s">
        <v>295</v>
      </c>
      <c r="DQ2" s="352"/>
      <c r="DR2" s="352"/>
      <c r="DS2" s="379" t="s">
        <v>296</v>
      </c>
      <c r="DT2" s="353" t="s">
        <v>3</v>
      </c>
      <c r="DU2" s="352" t="s">
        <v>43</v>
      </c>
      <c r="DV2" s="352" t="s">
        <v>44</v>
      </c>
      <c r="DW2" s="352" t="s">
        <v>297</v>
      </c>
      <c r="DX2" s="353" t="s">
        <v>3</v>
      </c>
      <c r="DY2" s="354"/>
      <c r="DZ2" s="354"/>
      <c r="EA2" s="354"/>
      <c r="EB2" s="354" t="s">
        <v>298</v>
      </c>
      <c r="EC2" s="354" t="s">
        <v>299</v>
      </c>
      <c r="ED2" s="354" t="s">
        <v>300</v>
      </c>
      <c r="EE2" s="360" t="s">
        <v>840</v>
      </c>
      <c r="EF2" s="354"/>
      <c r="EG2" s="354" t="s">
        <v>298</v>
      </c>
      <c r="EH2" s="354" t="s">
        <v>299</v>
      </c>
      <c r="EI2" s="354" t="s">
        <v>300</v>
      </c>
      <c r="EJ2" s="360" t="s">
        <v>840</v>
      </c>
      <c r="EK2" s="376"/>
      <c r="EL2" s="355" t="s">
        <v>298</v>
      </c>
      <c r="EM2" s="355" t="s">
        <v>299</v>
      </c>
      <c r="EN2" s="355" t="s">
        <v>300</v>
      </c>
      <c r="EO2" s="360" t="s">
        <v>840</v>
      </c>
      <c r="EP2" s="376"/>
    </row>
    <row r="3" spans="1:146" s="100" customFormat="1" ht="75.75" customHeight="1" x14ac:dyDescent="0.25">
      <c r="A3" s="347"/>
      <c r="B3" s="347"/>
      <c r="C3" s="347"/>
      <c r="D3" s="350"/>
      <c r="E3" s="371"/>
      <c r="F3" s="372"/>
      <c r="G3" s="373"/>
      <c r="H3" s="374"/>
      <c r="I3" s="352"/>
      <c r="J3" s="352"/>
      <c r="K3" s="352"/>
      <c r="L3" s="352"/>
      <c r="M3" s="352"/>
      <c r="N3" s="352"/>
      <c r="O3" s="352"/>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80"/>
      <c r="AF3" s="353"/>
      <c r="AG3" s="352"/>
      <c r="AH3" s="352"/>
      <c r="AI3" s="352"/>
      <c r="AJ3" s="353"/>
      <c r="AK3" s="354"/>
      <c r="AL3" s="354"/>
      <c r="AM3" s="354"/>
      <c r="AN3" s="354"/>
      <c r="AO3" s="354"/>
      <c r="AP3" s="354"/>
      <c r="AQ3" s="360"/>
      <c r="AR3" s="354"/>
      <c r="AS3" s="354"/>
      <c r="AT3" s="354"/>
      <c r="AU3" s="354"/>
      <c r="AV3" s="360"/>
      <c r="AW3" s="377"/>
      <c r="AX3" s="354"/>
      <c r="AY3" s="354"/>
      <c r="AZ3" s="354"/>
      <c r="BA3" s="360"/>
      <c r="BB3" s="377"/>
      <c r="BC3" s="340"/>
      <c r="BD3" s="133" t="s">
        <v>817</v>
      </c>
      <c r="BE3" s="133" t="s">
        <v>841</v>
      </c>
      <c r="BF3" s="133" t="s">
        <v>819</v>
      </c>
      <c r="BG3" s="133" t="s">
        <v>817</v>
      </c>
      <c r="BH3" s="133" t="s">
        <v>841</v>
      </c>
      <c r="BI3" s="133" t="s">
        <v>819</v>
      </c>
      <c r="BJ3" s="359"/>
      <c r="BK3" s="345"/>
      <c r="BL3" s="345"/>
      <c r="BM3" s="345"/>
      <c r="BN3" s="337"/>
      <c r="BO3" s="337"/>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37"/>
      <c r="CC3" s="337"/>
      <c r="CD3" s="337"/>
      <c r="CE3" s="340"/>
      <c r="CF3" s="340"/>
      <c r="CG3" s="340"/>
      <c r="CH3" s="340"/>
      <c r="CI3" s="340"/>
      <c r="CJ3" s="340"/>
      <c r="CK3" s="340"/>
      <c r="CL3" s="340"/>
      <c r="CM3" s="340"/>
      <c r="CN3" s="340"/>
      <c r="CO3" s="340"/>
      <c r="CP3" s="340"/>
      <c r="CQ3" s="337"/>
      <c r="CR3" s="337"/>
      <c r="CS3" s="371"/>
      <c r="CT3" s="372"/>
      <c r="CU3" s="373"/>
      <c r="CV3" s="374"/>
      <c r="CW3" s="352"/>
      <c r="CX3" s="352"/>
      <c r="CY3" s="352"/>
      <c r="CZ3" s="352"/>
      <c r="DA3" s="352"/>
      <c r="DB3" s="352"/>
      <c r="DC3" s="352"/>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80"/>
      <c r="DT3" s="353"/>
      <c r="DU3" s="352"/>
      <c r="DV3" s="352"/>
      <c r="DW3" s="352"/>
      <c r="DX3" s="353"/>
      <c r="DY3" s="354"/>
      <c r="DZ3" s="354"/>
      <c r="EA3" s="354"/>
      <c r="EB3" s="354"/>
      <c r="EC3" s="354"/>
      <c r="ED3" s="354"/>
      <c r="EE3" s="360"/>
      <c r="EF3" s="354"/>
      <c r="EG3" s="354"/>
      <c r="EH3" s="354"/>
      <c r="EI3" s="354"/>
      <c r="EJ3" s="360"/>
      <c r="EK3" s="377"/>
      <c r="EL3" s="354"/>
      <c r="EM3" s="354"/>
      <c r="EN3" s="354"/>
      <c r="EO3" s="360"/>
      <c r="EP3" s="377"/>
    </row>
    <row r="4" spans="1:146" s="100" customFormat="1" ht="27.75" customHeight="1" x14ac:dyDescent="0.25">
      <c r="A4" s="364">
        <f>'DR-TB 10A (Sputum &amp; EP Sample)'!$C6</f>
        <v>0</v>
      </c>
      <c r="B4" s="364">
        <f>'DR-TB 10A (Sputum &amp; EP Sample)'!$C7</f>
        <v>0</v>
      </c>
      <c r="C4" s="364">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67">
        <f>'DR-TB 10A (Sputum &amp; EP Sample)'!$H12</f>
        <v>0</v>
      </c>
      <c r="AL4" s="367">
        <f>'DR-TB 10A (Sputum &amp; EP Sample)'!$H13</f>
        <v>0</v>
      </c>
      <c r="AM4" s="367">
        <f>'DR-TB 10A (Sputum &amp; EP Sample)'!$H14</f>
        <v>0</v>
      </c>
      <c r="AN4" s="383">
        <f>'DR-TB 10A (Sputum &amp; EP Sample)'!$D17</f>
        <v>0</v>
      </c>
      <c r="AO4" s="383">
        <f>'DR-TB 10A (Sputum &amp; EP Sample)'!$D18</f>
        <v>0</v>
      </c>
      <c r="AP4" s="356">
        <f>'DR-TB 10A (Sputum &amp; EP Sample)'!$D19</f>
        <v>0</v>
      </c>
      <c r="AQ4" s="356">
        <f>'DR-TB 10A (Sputum &amp; EP Sample)'!$D20</f>
        <v>0</v>
      </c>
      <c r="AR4" s="383">
        <f>'DR-TB 10A (Sputum &amp; EP Sample)'!$D21</f>
        <v>0</v>
      </c>
      <c r="AS4" s="383">
        <f>'DR-TB 10A (Sputum &amp; EP Sample)'!$E17</f>
        <v>0</v>
      </c>
      <c r="AT4" s="383">
        <f>'DR-TB 10A (Sputum &amp; EP Sample)'!$E18</f>
        <v>0</v>
      </c>
      <c r="AU4" s="356">
        <f>'DR-TB 10A (Sputum &amp; EP Sample)'!$E19</f>
        <v>0</v>
      </c>
      <c r="AV4" s="356">
        <f>'DR-TB 10A (Sputum &amp; EP Sample)'!$E20</f>
        <v>0</v>
      </c>
      <c r="AW4" s="383">
        <f>'DR-TB 10A (Sputum &amp; EP Sample)'!$E21</f>
        <v>0</v>
      </c>
      <c r="AX4" s="383">
        <f>'DR-TB 10A (Sputum &amp; EP Sample)'!$F17</f>
        <v>0</v>
      </c>
      <c r="AY4" s="383">
        <f>'DR-TB 10A (Sputum &amp; EP Sample)'!$F18</f>
        <v>0</v>
      </c>
      <c r="AZ4" s="356">
        <f>'DR-TB 10A (Sputum &amp; EP Sample)'!$F19</f>
        <v>0</v>
      </c>
      <c r="BA4" s="356">
        <f>'DR-TB 10A (Sputum &amp; EP Sample)'!$F20</f>
        <v>0</v>
      </c>
      <c r="BB4" s="383">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44">
        <f>'DR-TB 10A (Sputum &amp; EP Sample)'!N7</f>
        <v>0</v>
      </c>
      <c r="BL4" s="344">
        <f>'DR-TB 10A (Sputum &amp; EP Sample)'!M8</f>
        <v>0</v>
      </c>
      <c r="BM4" s="346">
        <f>'DR-TB 10A (Sputum &amp; EP Sample)'!Q10</f>
        <v>0</v>
      </c>
      <c r="BN4" s="338">
        <f>'COVID19 Reporting Form'!B14</f>
        <v>0</v>
      </c>
      <c r="BO4" s="338">
        <f>'COVID19 Reporting Form'!D14</f>
        <v>0</v>
      </c>
      <c r="BP4" s="338">
        <f>'COVID19 Reporting Form'!C20</f>
        <v>0</v>
      </c>
      <c r="BQ4" s="338">
        <f>'COVID19 Reporting Form'!D20</f>
        <v>0</v>
      </c>
      <c r="BR4" s="338">
        <f>'COVID19 Reporting Form'!C23</f>
        <v>0</v>
      </c>
      <c r="BS4" s="338">
        <f>'COVID19 Reporting Form'!D23</f>
        <v>0</v>
      </c>
      <c r="BT4" s="338">
        <f>'COVID19 Reporting Form'!C26</f>
        <v>0</v>
      </c>
      <c r="BU4" s="338">
        <f>'COVID19 Reporting Form'!D26</f>
        <v>0</v>
      </c>
      <c r="BV4" s="338">
        <f>'COVID19 Reporting Form'!F20</f>
        <v>0</v>
      </c>
      <c r="BW4" s="338">
        <f>'COVID19 Reporting Form'!H20</f>
        <v>0</v>
      </c>
      <c r="BX4" s="338">
        <f>'COVID19 Reporting Form'!F23</f>
        <v>0</v>
      </c>
      <c r="BY4" s="338">
        <f>'COVID19 Reporting Form'!H23</f>
        <v>0</v>
      </c>
      <c r="BZ4" s="338">
        <f>'COVID19 Reporting Form'!F26</f>
        <v>0</v>
      </c>
      <c r="CA4" s="338">
        <f>'COVID19 Reporting Form'!H26</f>
        <v>0</v>
      </c>
      <c r="CB4" s="338">
        <f>'COVID19 Reporting Form'!L14</f>
        <v>0</v>
      </c>
      <c r="CC4" s="338">
        <f>'COVID19 Reporting Form'!M14</f>
        <v>0</v>
      </c>
      <c r="CD4" s="338">
        <f>'COVID19 Reporting Form'!N14</f>
        <v>0</v>
      </c>
      <c r="CE4" s="338">
        <f>'DR-TB 10A (Sputum &amp; EP Sample)'!M13</f>
        <v>0</v>
      </c>
      <c r="CF4" s="338">
        <f>'DR-TB 10A (Sputum &amp; EP Sample)'!M14</f>
        <v>0</v>
      </c>
      <c r="CG4" s="338">
        <f>'DR-TB 10A (Sputum &amp; EP Sample)'!M15</f>
        <v>0</v>
      </c>
      <c r="CH4" s="338">
        <f>'DR-TB 10A (Sputum &amp; EP Sample)'!Q13</f>
        <v>0</v>
      </c>
      <c r="CI4" s="338">
        <f>'DR-TB 10A (Sputum &amp; EP Sample)'!Q14</f>
        <v>0</v>
      </c>
      <c r="CJ4" s="338">
        <f>'DR-TB 10A (Sputum &amp; EP Sample)'!Q15</f>
        <v>0</v>
      </c>
      <c r="CK4" s="338">
        <f>'DR-TB 10A (Sputum &amp; EP Sample)'!U13</f>
        <v>0</v>
      </c>
      <c r="CL4" s="338">
        <f>'DR-TB 10A (Sputum &amp; EP Sample)'!U14</f>
        <v>0</v>
      </c>
      <c r="CM4" s="338">
        <f>'DR-TB 10A (Sputum &amp; EP Sample)'!U15</f>
        <v>0</v>
      </c>
      <c r="CN4" s="338">
        <f>'DR-TB 10A (Sputum &amp; EP Sample)'!U17</f>
        <v>0</v>
      </c>
      <c r="CO4" s="338">
        <f>'DR-TB 10A (Sputum &amp; EP Sample)'!U18</f>
        <v>0</v>
      </c>
      <c r="CP4" s="338">
        <f>'DR-TB 10A (Sputum &amp; EP Sample)'!U19</f>
        <v>0</v>
      </c>
      <c r="CQ4" s="344">
        <f>'DR-TB 10A (Sputum &amp; EP Sample)'!G42</f>
        <v>0</v>
      </c>
      <c r="CR4" s="344">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67">
        <f>'DR-TB 10A (Stool)'!$H12</f>
        <v>0</v>
      </c>
      <c r="DZ4" s="367">
        <f>'DR-TB 10A (Stool)'!$H13</f>
        <v>0</v>
      </c>
      <c r="EA4" s="367">
        <f>'DR-TB 10A (Stool)'!$H14</f>
        <v>0</v>
      </c>
      <c r="EB4" s="383">
        <f>'DR-TB 10A (Stool)'!$D17</f>
        <v>0</v>
      </c>
      <c r="EC4" s="383">
        <f>'DR-TB 10A (Stool)'!$D18</f>
        <v>0</v>
      </c>
      <c r="ED4" s="356">
        <f>'DR-TB 10A (Stool)'!$D19</f>
        <v>0</v>
      </c>
      <c r="EE4" s="356">
        <f>'DR-TB 10A (Stool)'!$D20</f>
        <v>0</v>
      </c>
      <c r="EF4" s="383">
        <f>'DR-TB 10A (Stool)'!$D21</f>
        <v>0</v>
      </c>
      <c r="EG4" s="383">
        <f>'DR-TB 10A (Stool)'!$E17</f>
        <v>0</v>
      </c>
      <c r="EH4" s="383">
        <f>'DR-TB 10A (Stool)'!$E18</f>
        <v>0</v>
      </c>
      <c r="EI4" s="356">
        <f>'DR-TB 10A (Stool)'!$E19</f>
        <v>0</v>
      </c>
      <c r="EJ4" s="356">
        <f>'DR-TB 10A (Stool)'!$E20</f>
        <v>0</v>
      </c>
      <c r="EK4" s="383">
        <f>'DR-TB 10A (Stool)'!$E21</f>
        <v>0</v>
      </c>
      <c r="EL4" s="383">
        <f>'DR-TB 10A (Stool)'!$F17</f>
        <v>0</v>
      </c>
      <c r="EM4" s="383">
        <f>'DR-TB 10A (Stool)'!$F18</f>
        <v>0</v>
      </c>
      <c r="EN4" s="356">
        <f>'DR-TB 10A (Stool)'!$F19</f>
        <v>0</v>
      </c>
      <c r="EO4" s="356">
        <f>'DR-TB 10A (Stool)'!$F20</f>
        <v>0</v>
      </c>
      <c r="EP4" s="383">
        <f>'DR-TB 10A (Stool)'!$F21</f>
        <v>0</v>
      </c>
    </row>
    <row r="5" spans="1:146" s="100" customFormat="1" ht="26.65" customHeight="1" x14ac:dyDescent="0.25">
      <c r="A5" s="365"/>
      <c r="B5" s="365"/>
      <c r="C5" s="365"/>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68"/>
      <c r="AL5" s="368"/>
      <c r="AM5" s="368"/>
      <c r="AN5" s="384"/>
      <c r="AO5" s="384"/>
      <c r="AP5" s="357"/>
      <c r="AQ5" s="357"/>
      <c r="AR5" s="384"/>
      <c r="AS5" s="384"/>
      <c r="AT5" s="384"/>
      <c r="AU5" s="357"/>
      <c r="AV5" s="357"/>
      <c r="AW5" s="384"/>
      <c r="AX5" s="384"/>
      <c r="AY5" s="384"/>
      <c r="AZ5" s="357"/>
      <c r="BA5" s="357"/>
      <c r="BB5" s="384"/>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44"/>
      <c r="BL5" s="344"/>
      <c r="BM5" s="346"/>
      <c r="BN5" s="338"/>
      <c r="BO5" s="338"/>
      <c r="BP5" s="338"/>
      <c r="BQ5" s="338"/>
      <c r="BR5" s="338"/>
      <c r="BS5" s="338"/>
      <c r="BT5" s="338"/>
      <c r="BU5" s="338"/>
      <c r="BV5" s="338"/>
      <c r="BW5" s="338"/>
      <c r="BX5" s="338"/>
      <c r="BY5" s="338"/>
      <c r="BZ5" s="338"/>
      <c r="CA5" s="338"/>
      <c r="CB5" s="338"/>
      <c r="CC5" s="338"/>
      <c r="CD5" s="338"/>
      <c r="CE5" s="338"/>
      <c r="CF5" s="338"/>
      <c r="CG5" s="338"/>
      <c r="CH5" s="338"/>
      <c r="CI5" s="338"/>
      <c r="CJ5" s="338"/>
      <c r="CK5" s="338"/>
      <c r="CL5" s="338"/>
      <c r="CM5" s="338"/>
      <c r="CN5" s="338"/>
      <c r="CO5" s="338"/>
      <c r="CP5" s="338"/>
      <c r="CQ5" s="344"/>
      <c r="CR5" s="344"/>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68"/>
      <c r="DZ5" s="368"/>
      <c r="EA5" s="368"/>
      <c r="EB5" s="384"/>
      <c r="EC5" s="384"/>
      <c r="ED5" s="357"/>
      <c r="EE5" s="357"/>
      <c r="EF5" s="384"/>
      <c r="EG5" s="384"/>
      <c r="EH5" s="384"/>
      <c r="EI5" s="357"/>
      <c r="EJ5" s="357"/>
      <c r="EK5" s="384"/>
      <c r="EL5" s="384"/>
      <c r="EM5" s="384"/>
      <c r="EN5" s="357"/>
      <c r="EO5" s="357"/>
      <c r="EP5" s="384"/>
    </row>
    <row r="6" spans="1:146" s="100" customFormat="1" ht="28.5" customHeight="1" x14ac:dyDescent="0.25">
      <c r="A6" s="366"/>
      <c r="B6" s="366"/>
      <c r="C6" s="366"/>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69"/>
      <c r="AL6" s="369"/>
      <c r="AM6" s="369"/>
      <c r="AN6" s="385"/>
      <c r="AO6" s="385"/>
      <c r="AP6" s="358"/>
      <c r="AQ6" s="358"/>
      <c r="AR6" s="385"/>
      <c r="AS6" s="385"/>
      <c r="AT6" s="385"/>
      <c r="AU6" s="358"/>
      <c r="AV6" s="358"/>
      <c r="AW6" s="385"/>
      <c r="AX6" s="385"/>
      <c r="AY6" s="385"/>
      <c r="AZ6" s="358"/>
      <c r="BA6" s="358"/>
      <c r="BB6" s="385"/>
      <c r="BC6" s="85"/>
      <c r="BD6" s="85"/>
      <c r="BE6" s="85"/>
      <c r="BF6" s="85"/>
      <c r="BG6" s="85"/>
      <c r="BH6" s="85"/>
      <c r="BI6" s="85"/>
      <c r="BJ6" s="85"/>
      <c r="BK6" s="344"/>
      <c r="BL6" s="344"/>
      <c r="BM6" s="346"/>
      <c r="BN6" s="338"/>
      <c r="BO6" s="338"/>
      <c r="BP6" s="338"/>
      <c r="BQ6" s="338"/>
      <c r="BR6" s="338"/>
      <c r="BS6" s="338"/>
      <c r="BT6" s="338"/>
      <c r="BU6" s="338"/>
      <c r="BV6" s="338"/>
      <c r="BW6" s="338"/>
      <c r="BX6" s="338"/>
      <c r="BY6" s="338"/>
      <c r="BZ6" s="338"/>
      <c r="CA6" s="338"/>
      <c r="CB6" s="338"/>
      <c r="CC6" s="338"/>
      <c r="CD6" s="338"/>
      <c r="CE6" s="338"/>
      <c r="CF6" s="338"/>
      <c r="CG6" s="338"/>
      <c r="CH6" s="338"/>
      <c r="CI6" s="338"/>
      <c r="CJ6" s="338"/>
      <c r="CK6" s="338"/>
      <c r="CL6" s="338"/>
      <c r="CM6" s="338"/>
      <c r="CN6" s="338"/>
      <c r="CO6" s="338"/>
      <c r="CP6" s="338"/>
      <c r="CQ6" s="344"/>
      <c r="CR6" s="344"/>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69"/>
      <c r="DZ6" s="369"/>
      <c r="EA6" s="369"/>
      <c r="EB6" s="385"/>
      <c r="EC6" s="385"/>
      <c r="ED6" s="358"/>
      <c r="EE6" s="358"/>
      <c r="EF6" s="385"/>
      <c r="EG6" s="385"/>
      <c r="EH6" s="385"/>
      <c r="EI6" s="358"/>
      <c r="EJ6" s="358"/>
      <c r="EK6" s="385"/>
      <c r="EL6" s="385"/>
      <c r="EM6" s="385"/>
      <c r="EN6" s="358"/>
      <c r="EO6" s="358"/>
      <c r="EP6" s="385"/>
    </row>
    <row r="10" spans="1:146" ht="140.25" customHeight="1" x14ac:dyDescent="0.25">
      <c r="A10" s="381" t="s">
        <v>161</v>
      </c>
      <c r="B10" s="381" t="s">
        <v>280</v>
      </c>
      <c r="C10" s="381" t="s">
        <v>806</v>
      </c>
      <c r="D10" s="381" t="str">
        <f>'DR-TB 10B'!A11</f>
        <v>Sl.              No</v>
      </c>
      <c r="E10" s="381" t="str">
        <f>'DR-TB 10B'!B11</f>
        <v>Name of the RR                                                                                                                               patient</v>
      </c>
      <c r="F10" s="381" t="str">
        <f>'DR-TB 10B'!C11</f>
        <v>Age</v>
      </c>
      <c r="G10" s="381" t="str">
        <f>'DR-TB 10B'!D11</f>
        <v>Sex
(M/F)</v>
      </c>
      <c r="H10" s="381" t="str">
        <f>'DR-TB 10B'!F11</f>
        <v>Address and                                        cell number</v>
      </c>
      <c r="I10" s="381" t="str">
        <f>'DR-TB 10B'!G11</f>
        <v>Name &amp; address          of the referring unit                                                and cell number</v>
      </c>
      <c r="J10" s="381" t="str">
        <f>'DR-TB 10B'!H11</f>
        <v>* Type of patient</v>
      </c>
      <c r="K10" s="381" t="str">
        <f>'DR-TB 10B'!J11</f>
        <v>Current and previous (if any)  TB registration number</v>
      </c>
      <c r="L10" s="381" t="str">
        <f>'DR-TB 10B'!K11</f>
        <v>Result of Xpert/Truenat MTB/RIF</v>
      </c>
      <c r="M10" s="381" t="str">
        <f>'DR-TB 10B'!S11</f>
        <v>Name and address of the hospital/ treatment                initiation center            for enrollment of DR TB treatment</v>
      </c>
      <c r="N10" s="381" t="str">
        <f>'DR-TB 10B'!T11</f>
        <v>Enrollment status                   (Y/N)</v>
      </c>
      <c r="O10" s="381" t="str">
        <f>'DR-TB 10B'!W11</f>
        <v>** Current status of the patient</v>
      </c>
      <c r="P10" s="381" t="str">
        <f>'DR-TB 10B'!X11</f>
        <v>Remarks</v>
      </c>
      <c r="Q10" s="381" t="str">
        <f>'DR-TB 10B'!E11</f>
        <v>Date of Diagnosis</v>
      </c>
      <c r="R10" s="381" t="str">
        <f>'DR-TB 10B'!U11</f>
        <v>Date Of Enrollment</v>
      </c>
      <c r="S10" s="381" t="str">
        <f>'DR-TB 10B'!V11</f>
        <v>eTB/ DR TB Registration Number</v>
      </c>
      <c r="T10" s="381" t="str">
        <f>'DR-TB 10B'!I11</f>
        <v>Type Of Sample</v>
      </c>
      <c r="U10" s="382" t="str">
        <f>'DR-TB 10B'!L11</f>
        <v>Result Of MTB/XDR</v>
      </c>
      <c r="V10" s="382"/>
      <c r="W10" s="382"/>
      <c r="X10" s="382"/>
      <c r="Y10" s="382"/>
      <c r="Z10" s="382"/>
      <c r="AA10" s="382"/>
    </row>
    <row r="11" spans="1:146" ht="140.25" customHeight="1" x14ac:dyDescent="0.25">
      <c r="A11" s="381"/>
      <c r="B11" s="381"/>
      <c r="C11" s="381"/>
      <c r="D11" s="381"/>
      <c r="E11" s="381"/>
      <c r="F11" s="381"/>
      <c r="G11" s="381"/>
      <c r="H11" s="381"/>
      <c r="I11" s="381"/>
      <c r="J11" s="381"/>
      <c r="K11" s="381"/>
      <c r="L11" s="381"/>
      <c r="M11" s="381"/>
      <c r="N11" s="381"/>
      <c r="O11" s="381"/>
      <c r="P11" s="381"/>
      <c r="Q11" s="381"/>
      <c r="R11" s="381"/>
      <c r="S11" s="381"/>
      <c r="T11" s="381"/>
      <c r="U11" s="29" t="str">
        <f>'DR-TB 10B'!L12</f>
        <v>MTB</v>
      </c>
      <c r="V11" s="29" t="str">
        <f>'DR-TB 10B'!M12</f>
        <v>INH</v>
      </c>
      <c r="W11" s="29" t="str">
        <f>'DR-TB 10B'!N12</f>
        <v>FLQ</v>
      </c>
      <c r="X11" s="29" t="str">
        <f>'DR-TB 10B'!O12</f>
        <v>AMK</v>
      </c>
      <c r="Y11" s="29" t="str">
        <f>'DR-TB 10B'!P12</f>
        <v>KAN</v>
      </c>
      <c r="Z11" s="29" t="str">
        <f>'DR-TB 10B'!Q12</f>
        <v>CAP</v>
      </c>
      <c r="AA11" s="29" t="str">
        <f>'DR-TB 10B'!R12</f>
        <v>ETH</v>
      </c>
    </row>
    <row r="12" spans="1:146" ht="15" customHeight="1" x14ac:dyDescent="0.25">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&lt;typeOfPatient&gt;</v>
      </c>
      <c r="K12" s="87" t="str">
        <f>'DR-TB 10B'!J13</f>
        <v>&lt;tbRegistrationNumber&gt;</v>
      </c>
      <c r="L12" s="87" t="str">
        <f>'DR-TB 10B'!K13</f>
        <v>&lt;resultMtbRif&gt;</v>
      </c>
      <c r="M12" s="87" t="str">
        <f>'DR-TB 10B'!S13</f>
        <v>&lt;hospitalTreatmentDRTB&gt;</v>
      </c>
      <c r="N12" s="87" t="str">
        <f>'DR-TB 10B'!T13</f>
        <v>&lt;enrollmentStatus&gt;</v>
      </c>
      <c r="O12" s="87" t="str">
        <f>'DR-TB 10B'!W13</f>
        <v>&lt;patientStatus&gt;</v>
      </c>
      <c r="P12" s="87" t="str">
        <f>'DR-TB 10B'!X13</f>
        <v>&lt;remarks&gt;</v>
      </c>
      <c r="Q12" s="143" t="str">
        <f>'DR-TB 10B'!E13</f>
        <v>&lt;dateOfDiagnosis&gt;</v>
      </c>
      <c r="R12" s="143" t="str">
        <f>'DR-TB 10B'!U13</f>
        <v>&lt;enrollmentDate&gt;</v>
      </c>
      <c r="S12" s="87" t="str">
        <f>'DR-TB 10B'!V13</f>
        <v>&lt;tbRegistrationNumber&gt;</v>
      </c>
      <c r="T12" s="87" t="str">
        <f>'DR-TB 10B'!I13</f>
        <v>&lt;sampleType&gt;</v>
      </c>
      <c r="U12" s="87" t="str">
        <f>'DR-TB 10B'!L13</f>
        <v>&lt;mtbDetected&gt;</v>
      </c>
      <c r="V12" s="87" t="str">
        <f>'DR-TB 10B'!M13</f>
        <v>&lt;inhDetected&gt;</v>
      </c>
      <c r="W12" s="87" t="str">
        <f>'DR-TB 10B'!N13</f>
        <v>&lt;flqDetected&gt;</v>
      </c>
      <c r="X12" s="87" t="str">
        <f>'DR-TB 10B'!O13</f>
        <v>&lt;amkDetected&gt;</v>
      </c>
      <c r="Y12" s="87" t="str">
        <f>'DR-TB 10B'!P13</f>
        <v>&lt;kanDetected&gt;</v>
      </c>
      <c r="Z12" s="87" t="str">
        <f>'DR-TB 10B'!Q13</f>
        <v>&lt;capDetected&gt;</v>
      </c>
      <c r="AA12" s="87" t="str">
        <f>'DR-TB 10B'!R13</f>
        <v>&lt;ethDetected&gt;</v>
      </c>
    </row>
    <row r="13" spans="1:146" x14ac:dyDescent="0.25">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2:AV3"/>
    <mergeCell ref="AV4:AV6"/>
    <mergeCell ref="AS1:AV1"/>
    <mergeCell ref="AX1:BA1"/>
    <mergeCell ref="BA2:BA3"/>
    <mergeCell ref="BA4:BA6"/>
    <mergeCell ref="AZ4:AZ6"/>
    <mergeCell ref="AX2:AX3"/>
    <mergeCell ref="AS2:AS3"/>
    <mergeCell ref="AT2:AT3"/>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CG4:CG6"/>
    <mergeCell ref="CB1:CD3"/>
    <mergeCell ref="CB4:CB6"/>
    <mergeCell ref="CC4:CC6"/>
    <mergeCell ref="CD4:CD6"/>
    <mergeCell ref="CE4:CE6"/>
    <mergeCell ref="CE2:CE3"/>
    <mergeCell ref="CF2:CF3"/>
    <mergeCell ref="CG2:CG3"/>
    <mergeCell ref="CE1:CG1"/>
    <mergeCell ref="BX2:BY2"/>
    <mergeCell ref="BZ2:CA2"/>
    <mergeCell ref="BV4:BV6"/>
    <mergeCell ref="BW4:BW6"/>
    <mergeCell ref="BX4:BX6"/>
    <mergeCell ref="BY4:BY6"/>
    <mergeCell ref="BZ4:BZ6"/>
    <mergeCell ref="CA4:CA6"/>
    <mergeCell ref="CF4:CF6"/>
    <mergeCell ref="BV2:BW2"/>
  </mergeCells>
  <conditionalFormatting sqref="AE4:AF6">
    <cfRule type="cellIs" dxfId="3" priority="4" stopIfTrue="1" operator="notEqual">
      <formula>SUM(V4:AC4)</formula>
    </cfRule>
  </conditionalFormatting>
  <conditionalFormatting sqref="DS4:DT6">
    <cfRule type="cellIs" dxfId="1"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xr:uid="{00000000-0002-0000-04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2023-03-20T06:59:22Z</cp:lastPrinted>
  <dcterms:created xsi:type="dcterms:W3CDTF">2014-06-08T20:03:38Z</dcterms:created>
  <dcterms:modified xsi:type="dcterms:W3CDTF">2023-11-20T23:21:32Z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