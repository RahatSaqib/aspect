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D:\PROJECTS_2020\SystemOne\aspect-3\api\templates\results_10a_10b_covid\"/>
    </mc:Choice>
  </mc:AlternateContent>
  <bookViews>
    <workbookView xWindow="-120" yWindow="-120" windowWidth="29040" windowHeight="15720" activeTab="4"/>
  </bookViews>
  <sheets>
    <sheet name="DR-TB 10A (Sputum &amp; EP Sample)" sheetId="3" r:id="rId1"/>
    <sheet name="DR-TB 10A (Stool)" sheetId="7" r:id="rId2"/>
    <sheet name="DR-TB 10B" sheetId="4" r:id="rId3"/>
    <sheet name="COVID19 Reporting Form" sheetId="6" r:id="rId4"/>
    <sheet name="For NTP Use" sheetId="5" r:id="rId5"/>
  </sheets>
  <externalReferences>
    <externalReference r:id="rId6"/>
  </externalReferences>
  <definedNames>
    <definedName name="Bagerhat" localSheetId="1">'DR-TB 10A (Stool)'!$G$393:$G$399</definedName>
    <definedName name="Bagerhat">'DR-TB 10A (Sputum &amp; EP Sample)'!$G$394:$G$400</definedName>
    <definedName name="Bandarban" localSheetId="1">'DR-TB 10A (Stool)'!$G$150:$G$153</definedName>
    <definedName name="Bandarban">'DR-TB 10A (Sputum &amp; EP Sample)'!$G$150:$G$153</definedName>
    <definedName name="Barguna" localSheetId="1">'DR-TB 10A (Stool)'!$G$102:$G$106</definedName>
    <definedName name="Barguna">'DR-TB 10A (Sputum &amp; EP Sample)'!$G$102:$G$106</definedName>
    <definedName name="Barisal" localSheetId="1">'DR-TB 10A (Stool)'!$G$107:$G$119</definedName>
    <definedName name="Barisal">'DR-TB 10A (Sputum &amp; EP Sample)'!$G$107:$G$119</definedName>
    <definedName name="Barisal_Division" localSheetId="1">'DR-TB 10A (Stool)'!$D$102:$D$107</definedName>
    <definedName name="Barisal_Division">'DR-TB 10A (Sputum &amp; EP Sample)'!$D$102:$D$107</definedName>
    <definedName name="Bhola" localSheetId="1">'DR-TB 10A (Stool)'!$G$120:$G$126</definedName>
    <definedName name="Bhola">'DR-TB 10A (Sputum &amp; EP Sample)'!$G$120:$G$126</definedName>
    <definedName name="Bogra" localSheetId="1">'DR-TB 10A (Stool)'!$G$499:$G$513</definedName>
    <definedName name="Bogra">'DR-TB 10A (Sputum &amp; EP Sample)'!$G$502:$G$516</definedName>
    <definedName name="Brahmanbaria" localSheetId="1">'DR-TB 10A (Stool)'!$G$154:$G$162</definedName>
    <definedName name="Brahmanbaria">'DR-TB 10A (Sputum &amp; EP Sample)'!$G$154:$G$162</definedName>
    <definedName name="Chandpur" localSheetId="1">'DR-TB 10A (Stool)'!$G$163:$G$168</definedName>
    <definedName name="Chandpur">'DR-TB 10A (Sputum &amp; EP Sample)'!$G$163:$G$168</definedName>
    <definedName name="Chattogram" localSheetId="1">'DR-TB 10A (Stool)'!$G$169:$G$196</definedName>
    <definedName name="Chattogram">'DR-TB 10A (Sputum &amp; EP Sample)'!$G$169:$G$196</definedName>
    <definedName name="Chattogram_Division" localSheetId="1">'DR-TB 10A (Stool)'!$D$108:$D$118</definedName>
    <definedName name="Chattogram_Division">'DR-TB 10A (Sputum &amp; EP Sample)'!$D$108:$D$118</definedName>
    <definedName name="Chuadanga" localSheetId="1">'DR-TB 10A (Stool)'!$G$400:$G$404</definedName>
    <definedName name="Chuadanga">'DR-TB 10A (Sputum &amp; EP Sample)'!$G$401:$G$406</definedName>
    <definedName name="Comilla" localSheetId="1">'DR-TB 10A (Stool)'!$G$197:$G$211</definedName>
    <definedName name="Comilla">'DR-TB 10A (Sputum &amp; EP Sample)'!$G$197:$G$211</definedName>
    <definedName name="Coxs_Bazar" localSheetId="1">'DR-TB 10A (Stool)'!$G$213:$G$224</definedName>
    <definedName name="Coxs_Bazar">'DR-TB 10A (Sputum &amp; EP Sample)'!$G$213:$G$224</definedName>
    <definedName name="Dhaka" localSheetId="1">'DR-TB 10A (Stool)'!$G$254:$G$300</definedName>
    <definedName name="Dhaka">'DR-TB 10A (Sputum &amp; EP Sample)'!$G$254:$G$300</definedName>
    <definedName name="Dhaka_Division" localSheetId="1">'DR-TB 10A (Stool)'!$D$119:$D$131</definedName>
    <definedName name="Dhaka_Division">'DR-TB 10A (Sputum &amp; EP Sample)'!$D$119:$D$131</definedName>
    <definedName name="Dinajpur" localSheetId="1">'DR-TB 10A (Stool)'!$G$574:$G$585</definedName>
    <definedName name="Dinajpur">'DR-TB 10A (Sputum &amp; EP Sample)'!$G$577:$G$588</definedName>
    <definedName name="Faridpur" localSheetId="1">'DR-TB 10A (Stool)'!$G$301:$G$306</definedName>
    <definedName name="Faridpur">'DR-TB 10A (Sputum &amp; EP Sample)'!$G$301:$G$306</definedName>
    <definedName name="Feni" localSheetId="1">'DR-TB 10A (Stool)'!$G$225:$G$230</definedName>
    <definedName name="Feni">'DR-TB 10A (Sputum &amp; EP Sample)'!$G$225:$G$230</definedName>
    <definedName name="Gaibandha" localSheetId="1">'DR-TB 10A (Stool)'!$G$586:$G$594</definedName>
    <definedName name="Gaibandha">'DR-TB 10A (Sputum &amp; EP Sample)'!$G$589:$G$597</definedName>
    <definedName name="Gazipur" localSheetId="1">'DR-TB 10A (Stool)'!$G$308:$G$315</definedName>
    <definedName name="Gazipur">'DR-TB 10A (Sputum &amp; EP Sample)'!$G$308:$G$316</definedName>
    <definedName name="Gopalganj" localSheetId="1">'DR-TB 10A (Stool)'!$G$316:$G$320</definedName>
    <definedName name="Gopalganj">'DR-TB 10A (Sputum &amp; EP Sample)'!$G$317:$G$321</definedName>
    <definedName name="Habiganj" localSheetId="1">'DR-TB 10A (Stool)'!$G$635:$G$645</definedName>
    <definedName name="Habiganj">'DR-TB 10A (Sputum &amp; EP Sample)'!$G$638:$G$648</definedName>
    <definedName name="Jamalpur" localSheetId="1">'DR-TB 10A (Stool)'!$G$456:$G$464</definedName>
    <definedName name="Jamalpur">'DR-TB 10A (Sputum &amp; EP Sample)'!$G$459:$G$467</definedName>
    <definedName name="Jessore" localSheetId="1">'DR-TB 10A (Stool)'!$G$405:$G$412</definedName>
    <definedName name="Jessore">'DR-TB 10A (Sputum &amp; EP Sample)'!$G$407:$G$414</definedName>
    <definedName name="Jhalakathi" localSheetId="1">'DR-TB 10A (Stool)'!$G$132:$G$135</definedName>
    <definedName name="Jhalakathi">'DR-TB 10A (Sputum &amp; EP Sample)'!$G$132:$G$135</definedName>
    <definedName name="Jhenaidah" localSheetId="1">'DR-TB 10A (Stool)'!$G$413:$G$419</definedName>
    <definedName name="Jhenaidah">'DR-TB 10A (Sputum &amp; EP Sample)'!$G$415:$G$421</definedName>
    <definedName name="Joypurhat" localSheetId="1">'DR-TB 10A (Stool)'!$G$521:$G$526</definedName>
    <definedName name="Joypurhat">'DR-TB 10A (Sputum &amp; EP Sample)'!$G$524:$G$529</definedName>
    <definedName name="Khagrachari" localSheetId="1">'DR-TB 10A (Stool)'!$G$231:$G$234</definedName>
    <definedName name="Khagrachari">'DR-TB 10A (Sputum &amp; EP Sample)'!$G$231:$G$234</definedName>
    <definedName name="Khulna" localSheetId="1">'DR-TB 10A (Stool)'!$G$420:$G$428</definedName>
    <definedName name="Khulna">'DR-TB 10A (Sputum &amp; EP Sample)'!$G$422:$G$430</definedName>
    <definedName name="Khulna_Division" localSheetId="1">'DR-TB 10A (Stool)'!$D$132:$D$141</definedName>
    <definedName name="Khulna_Division">'DR-TB 10A (Sputum &amp; EP Sample)'!$D$132:$D$141</definedName>
    <definedName name="Kishoreganj" localSheetId="1">'DR-TB 10A (Stool)'!$G$321:$G$333</definedName>
    <definedName name="Kishoreganj">'DR-TB 10A (Sputum &amp; EP Sample)'!$G$322:$G$334</definedName>
    <definedName name="Kurigram" localSheetId="1">'DR-TB 10A (Stool)'!$G$595:$G$600</definedName>
    <definedName name="Kurigram">'DR-TB 10A (Sputum &amp; EP Sample)'!$G$598:$G$603</definedName>
    <definedName name="Kushtia" localSheetId="1">'DR-TB 10A (Stool)'!$G$429:$G$434</definedName>
    <definedName name="Kushtia">'DR-TB 10A (Sputum &amp; EP Sample)'!$G$431:$G$436</definedName>
    <definedName name="Lalmonirhat" localSheetId="1">'DR-TB 10A (Stool)'!$G$601:$G$605</definedName>
    <definedName name="Lalmonirhat">'DR-TB 10A (Sputum &amp; EP Sample)'!$G$604:$G$608</definedName>
    <definedName name="Laxmipur" localSheetId="1">'DR-TB 10A (Stool)'!$G$235:$G$240</definedName>
    <definedName name="Laxmipur">'DR-TB 10A (Sputum &amp; EP Sample)'!$G$235:$G$240</definedName>
    <definedName name="Madaripur" localSheetId="1">'DR-TB 10A (Stool)'!$G$334:$G$337</definedName>
    <definedName name="Madaripur">'DR-TB 10A (Sputum &amp; EP Sample)'!$G$335:$G$338</definedName>
    <definedName name="Magura" localSheetId="1">'DR-TB 10A (Stool)'!$G$435:$G$439</definedName>
    <definedName name="Magura">'DR-TB 10A (Sputum &amp; EP Sample)'!$G$437:$G$441</definedName>
    <definedName name="Manikganj" localSheetId="1">'DR-TB 10A (Stool)'!$G$338:$G$345</definedName>
    <definedName name="Manikganj">'DR-TB 10A (Sputum &amp; EP Sample)'!$G$339:$G$346</definedName>
    <definedName name="Meherpur" localSheetId="1">'DR-TB 10A (Stool)'!$G$440:$G$443</definedName>
    <definedName name="Meherpur">'DR-TB 10A (Sputum &amp; EP Sample)'!$G$442:$G$446</definedName>
    <definedName name="Moulvibazar" localSheetId="1">'DR-TB 10A (Stool)'!$G$646:$G$652</definedName>
    <definedName name="Moulvibazar">'DR-TB 10A (Sputum &amp; EP Sample)'!$G$649:$G$655</definedName>
    <definedName name="Munshiganj" localSheetId="1">'DR-TB 10A (Stool)'!$G$346:$G$352</definedName>
    <definedName name="Munshiganj">'DR-TB 10A (Sputum &amp; EP Sample)'!$G$347:$G$353</definedName>
    <definedName name="Mymensingh" localSheetId="1">'DR-TB 10A (Stool)'!$G$465:$G$481</definedName>
    <definedName name="Mymensingh">'DR-TB 10A (Sputum &amp; EP Sample)'!$G$468:$G$484</definedName>
    <definedName name="Mymensingh_Division" localSheetId="1">'DR-TB 10A (Stool)'!$D$142:$D$145</definedName>
    <definedName name="Mymensingh_Division">'DR-TB 10A (Sputum &amp; EP Sample)'!$D$142:$D$145</definedName>
    <definedName name="Naogaon" localSheetId="1">'DR-TB 10A (Stool)'!$G$527:$G$533</definedName>
    <definedName name="Naogaon">'DR-TB 10A (Sputum &amp; EP Sample)'!$G$530:$G$536</definedName>
    <definedName name="Narail" localSheetId="1">'DR-TB 10A (Stool)'!$G$444:$G$447</definedName>
    <definedName name="Narail">'DR-TB 10A (Sputum &amp; EP Sample)'!$G$447:$G$450</definedName>
    <definedName name="Narayanganj" localSheetId="1">'DR-TB 10A (Stool)'!$G$353:$G$360</definedName>
    <definedName name="Narayanganj">'DR-TB 10A (Sputum &amp; EP Sample)'!$G$354:$G$361</definedName>
    <definedName name="Narsingdi" localSheetId="1">'DR-TB 10A (Stool)'!$G$361:$G$368</definedName>
    <definedName name="Narsingdi">'DR-TB 10A (Sputum &amp; EP Sample)'!$G$362:$G$369</definedName>
    <definedName name="Natore" localSheetId="1">'DR-TB 10A (Stool)'!$G$534:$G$542</definedName>
    <definedName name="Natore">'DR-TB 10A (Sputum &amp; EP Sample)'!$G$537:$G$545</definedName>
    <definedName name="Nawabganj" localSheetId="1">'DR-TB 10A (Stool)'!$G$514:$G$520</definedName>
    <definedName name="Nawabganj">'DR-TB 10A (Sputum &amp; EP Sample)'!$G$517:$G$523</definedName>
    <definedName name="Netrakona" localSheetId="1">'DR-TB 10A (Stool)'!$G$482:$G$492</definedName>
    <definedName name="Netrakona">'DR-TB 10A (Sputum &amp; EP Sample)'!$G$485:$G$495</definedName>
    <definedName name="Nilphamari" localSheetId="1">'DR-TB 10A (Stool)'!$G$606:$G$613</definedName>
    <definedName name="Nilphamari">'DR-TB 10A (Sputum &amp; EP Sample)'!$G$609:$G$616</definedName>
    <definedName name="Noakhali" localSheetId="1">'DR-TB 10A (Stool)'!$G$241:$G$249</definedName>
    <definedName name="Noakhali">'DR-TB 10A (Sputum &amp; EP Sample)'!$G$241:$G$249</definedName>
    <definedName name="Pabna" localSheetId="1">'DR-TB 10A (Stool)'!$G$543:$G$552</definedName>
    <definedName name="Pabna">'DR-TB 10A (Sputum &amp; EP Sample)'!$G$546:$G$555</definedName>
    <definedName name="Panchagarh" localSheetId="1">'DR-TB 10A (Stool)'!$G$614:$G$619</definedName>
    <definedName name="Panchagarh">'DR-TB 10A (Sputum &amp; EP Sample)'!$G$617:$G$622</definedName>
    <definedName name="Patuakhali" localSheetId="1">'DR-TB 10A (Stool)'!$G$136:$G$142</definedName>
    <definedName name="Patuakhali">'DR-TB 10A (Sputum &amp; EP Sample)'!$G$136:$G$142</definedName>
    <definedName name="Pirojpur" localSheetId="1">'DR-TB 10A (Stool)'!$G$143:$G$149</definedName>
    <definedName name="Pirojpur">'DR-TB 10A (Sputum &amp; EP Sample)'!$G$143:$G$149</definedName>
    <definedName name="_xlnm.Print_Area" localSheetId="0">'DR-TB 10A (Sputum &amp; EP Sample)'!$A$1:$U$50</definedName>
    <definedName name="_xlnm.Print_Area" localSheetId="1">'DR-TB 10A (Stool)'!$A$1:$U$50</definedName>
    <definedName name="_xlnm.Print_Area" localSheetId="2">'DR-TB 10B'!$A$1:$Y$17</definedName>
    <definedName name="_xlnm.Print_Titles" localSheetId="2">'DR-TB 10B'!$1:$10</definedName>
    <definedName name="Rajbari" localSheetId="1">'DR-TB 10A (Stool)'!$G$369:$G$373</definedName>
    <definedName name="Rajbari">'DR-TB 10A (Sputum &amp; EP Sample)'!$G$370:$G$374</definedName>
    <definedName name="Rajshahi" localSheetId="1">'DR-TB 10A (Stool)'!$G$553:$G$563</definedName>
    <definedName name="Rajshahi">'DR-TB 10A (Sputum &amp; EP Sample)'!$G$556:$G$566</definedName>
    <definedName name="Rajshahi_Division" localSheetId="1">'DR-TB 10A (Stool)'!$D$146:$D$153</definedName>
    <definedName name="Rajshahi_Division">'DR-TB 10A (Sputum &amp; EP Sample)'!$D$146:$D$153</definedName>
    <definedName name="Rangamati" localSheetId="1">'DR-TB 10A (Stool)'!$G$250:$G$253</definedName>
    <definedName name="Rangamati">'DR-TB 10A (Sputum &amp; EP Sample)'!$G$250:$G$253</definedName>
    <definedName name="Rangpur" localSheetId="1">'DR-TB 10A (Stool)'!$G$620:$G$628</definedName>
    <definedName name="Rangpur">'DR-TB 10A (Sputum &amp; EP Sample)'!$G$623:$G$631</definedName>
    <definedName name="Rangpur_Division" localSheetId="1">'DR-TB 10A (Stool)'!$D$154:$D$161</definedName>
    <definedName name="Rangpur_Division">'DR-TB 10A (Sputum &amp; EP Sample)'!$D$154:$D$161</definedName>
    <definedName name="Satkhira" localSheetId="1">'DR-TB 10A (Stool)'!$G$448:$G$455</definedName>
    <definedName name="Satkhira">'DR-TB 10A (Sputum &amp; EP Sample)'!$G$451:$G$458</definedName>
    <definedName name="Shariatpur" localSheetId="1">'DR-TB 10A (Stool)'!$G$374:$G$377</definedName>
    <definedName name="Shariatpur">'DR-TB 10A (Sputum &amp; EP Sample)'!$G$375:$G$378</definedName>
    <definedName name="Sherpur" localSheetId="1">'DR-TB 10A (Stool)'!$G$493:$G$498</definedName>
    <definedName name="Sherpur">'DR-TB 10A (Sputum &amp; EP Sample)'!$G$496:$G$501</definedName>
    <definedName name="Sirajganj" localSheetId="1">'DR-TB 10A (Stool)'!$G$564:$G$573</definedName>
    <definedName name="Sirajganj">'DR-TB 10A (Sputum &amp; EP Sample)'!$G$567:$G$576</definedName>
    <definedName name="Sunamganj" localSheetId="1">'DR-TB 10A (Stool)'!$G$653:$G$661</definedName>
    <definedName name="Sunamganj">'DR-TB 10A (Sputum &amp; EP Sample)'!$G$656:$G$664</definedName>
    <definedName name="Sylhet" localSheetId="1">'DR-TB 10A (Stool)'!$G$662:$G$674</definedName>
    <definedName name="Sylhet">'DR-TB 10A (Sputum &amp; EP Sample)'!$G$665:$G$677</definedName>
    <definedName name="Sylhet_Division" localSheetId="1">'DR-TB 10A (Stool)'!$D$162:$D$165</definedName>
    <definedName name="Sylhet_Division">'DR-TB 10A (Sputum &amp; EP Sample)'!$D$162:$D$165</definedName>
    <definedName name="Tangail" localSheetId="1">'DR-TB 10A (Stool)'!$G$378:$G$392</definedName>
    <definedName name="Tangail">'DR-TB 10A (Sputum &amp; EP Sample)'!$G$379:$G$393</definedName>
    <definedName name="Thakurgaon" localSheetId="1">'DR-TB 10A (Stool)'!$G$629:$G$634</definedName>
    <definedName name="Thakurgaon">'DR-TB 10A (Sputum &amp; EP Sample)'!$G$632:$G$637</definedName>
  </definedNames>
  <calcPr calcId="162913"/>
</workbook>
</file>

<file path=xl/calcChain.xml><?xml version="1.0" encoding="utf-8"?>
<calcChain xmlns="http://schemas.openxmlformats.org/spreadsheetml/2006/main">
  <c r="C12" i="5" l="1"/>
  <c r="B12" i="5"/>
  <c r="A12" i="5"/>
  <c r="L12" i="5"/>
  <c r="L10" i="5"/>
  <c r="AC12" i="5" l="1"/>
  <c r="CQ4" i="5"/>
  <c r="CQ2" i="5"/>
  <c r="CR2" i="5"/>
  <c r="ES4" i="5"/>
  <c r="ER4" i="5"/>
  <c r="EQ4" i="5"/>
  <c r="ET4" i="5"/>
  <c r="H40" i="3" l="1"/>
  <c r="H40" i="7"/>
  <c r="F20" i="3" l="1"/>
  <c r="E20" i="3"/>
  <c r="D20" i="3"/>
  <c r="L6" i="7"/>
  <c r="I8" i="4"/>
  <c r="L7" i="6"/>
  <c r="R12" i="5" l="1"/>
  <c r="S12" i="5"/>
  <c r="C7" i="6"/>
  <c r="Q11" i="6"/>
  <c r="Q10" i="7"/>
  <c r="K11" i="6"/>
  <c r="M10" i="6"/>
  <c r="M9" i="6"/>
  <c r="N8" i="6"/>
  <c r="C6" i="7"/>
  <c r="C8" i="7"/>
  <c r="C7" i="7"/>
  <c r="K10" i="7"/>
  <c r="M9" i="7"/>
  <c r="M8" i="7"/>
  <c r="N7" i="7"/>
  <c r="U18" i="7"/>
  <c r="U19" i="7"/>
  <c r="U17" i="7"/>
  <c r="U14" i="7"/>
  <c r="U15" i="7"/>
  <c r="U13" i="7"/>
  <c r="Q14" i="7"/>
  <c r="Q15" i="7"/>
  <c r="Q13" i="7"/>
  <c r="M14" i="7"/>
  <c r="M15" i="7"/>
  <c r="M13" i="7"/>
  <c r="W12" i="5"/>
  <c r="X12" i="5"/>
  <c r="Y12" i="5"/>
  <c r="Z12" i="5"/>
  <c r="AA12" i="5"/>
  <c r="AB12" i="5"/>
  <c r="V12" i="5"/>
  <c r="J12" i="5"/>
  <c r="U12" i="5"/>
  <c r="T12" i="5"/>
  <c r="Q12" i="5"/>
  <c r="P12" i="5"/>
  <c r="O12" i="5"/>
  <c r="N12" i="5"/>
  <c r="M12" i="5"/>
  <c r="K12" i="5"/>
  <c r="I12" i="5"/>
  <c r="H12" i="5"/>
  <c r="E12" i="5"/>
  <c r="F12" i="5"/>
  <c r="G12" i="5"/>
  <c r="D12" i="5"/>
  <c r="M10" i="5"/>
  <c r="N10" i="5"/>
  <c r="O10" i="5"/>
  <c r="P10" i="5"/>
  <c r="Q10" i="5"/>
  <c r="R10" i="5"/>
  <c r="S10" i="5"/>
  <c r="T10" i="5"/>
  <c r="U10" i="5"/>
  <c r="DW6" i="5"/>
  <c r="DV6" i="5"/>
  <c r="DU6" i="5"/>
  <c r="DQ6" i="5"/>
  <c r="DP6" i="5"/>
  <c r="DO6" i="5"/>
  <c r="DN6" i="5"/>
  <c r="DM6" i="5"/>
  <c r="DL6" i="5"/>
  <c r="DK6" i="5"/>
  <c r="DJ6" i="5"/>
  <c r="DI6" i="5"/>
  <c r="DH6" i="5"/>
  <c r="DG6" i="5"/>
  <c r="DF6" i="5"/>
  <c r="DE6" i="5"/>
  <c r="DD6" i="5"/>
  <c r="DC6" i="5"/>
  <c r="DB6" i="5"/>
  <c r="DA6" i="5"/>
  <c r="CZ6" i="5"/>
  <c r="CY6" i="5"/>
  <c r="CX6" i="5"/>
  <c r="CW6" i="5"/>
  <c r="CV6" i="5"/>
  <c r="CT6" i="5"/>
  <c r="CS6" i="5"/>
  <c r="DW5" i="5"/>
  <c r="DV5" i="5"/>
  <c r="DU5" i="5"/>
  <c r="DQ5" i="5"/>
  <c r="DP5" i="5"/>
  <c r="DO5" i="5"/>
  <c r="DN5" i="5"/>
  <c r="DM5" i="5"/>
  <c r="DL5" i="5"/>
  <c r="DK5" i="5"/>
  <c r="DJ5" i="5"/>
  <c r="DI5" i="5"/>
  <c r="DH5" i="5"/>
  <c r="DG5" i="5"/>
  <c r="DF5" i="5"/>
  <c r="DE5" i="5"/>
  <c r="DD5" i="5"/>
  <c r="DC5" i="5"/>
  <c r="DB5" i="5"/>
  <c r="DA5" i="5"/>
  <c r="CZ5" i="5"/>
  <c r="CY5" i="5"/>
  <c r="CX5" i="5"/>
  <c r="CW5" i="5"/>
  <c r="CV5" i="5"/>
  <c r="CT5" i="5"/>
  <c r="CS5" i="5"/>
  <c r="EJ4" i="5"/>
  <c r="EI4" i="5"/>
  <c r="EE4" i="5"/>
  <c r="ED4" i="5"/>
  <c r="DW4" i="5"/>
  <c r="DV4" i="5"/>
  <c r="DU4" i="5"/>
  <c r="DQ4" i="5"/>
  <c r="DP4" i="5"/>
  <c r="DO4" i="5"/>
  <c r="DN4" i="5"/>
  <c r="DM4" i="5"/>
  <c r="DL4" i="5"/>
  <c r="DK4" i="5"/>
  <c r="DJ4" i="5"/>
  <c r="DI4" i="5"/>
  <c r="DH4" i="5"/>
  <c r="DG4" i="5"/>
  <c r="DF4" i="5"/>
  <c r="DE4" i="5"/>
  <c r="DD4" i="5"/>
  <c r="DC4" i="5"/>
  <c r="DB4" i="5"/>
  <c r="DA4" i="5"/>
  <c r="CZ4" i="5"/>
  <c r="CY4" i="5"/>
  <c r="CX4" i="5"/>
  <c r="CW4" i="5"/>
  <c r="CV4" i="5"/>
  <c r="CT4" i="5"/>
  <c r="CS4" i="5"/>
  <c r="E44" i="7"/>
  <c r="DX6" i="5" s="1"/>
  <c r="E42" i="7"/>
  <c r="DX5" i="5" s="1"/>
  <c r="E40" i="7"/>
  <c r="DX4" i="5" s="1"/>
  <c r="S33" i="7"/>
  <c r="DS6" i="5" s="1"/>
  <c r="U33" i="7"/>
  <c r="E18" i="7" s="1"/>
  <c r="D33" i="7"/>
  <c r="CU6" i="5" s="1"/>
  <c r="S30" i="7"/>
  <c r="DS5" i="5" s="1"/>
  <c r="U30" i="7"/>
  <c r="E17" i="7" s="1"/>
  <c r="D30" i="7"/>
  <c r="D17" i="7" s="1"/>
  <c r="EB4" i="5" s="1"/>
  <c r="CU5" i="5"/>
  <c r="S27" i="7"/>
  <c r="U27" i="7" s="1"/>
  <c r="D27" i="7"/>
  <c r="P20" i="7"/>
  <c r="F20" i="7"/>
  <c r="EO4" i="5"/>
  <c r="P19" i="7"/>
  <c r="F19" i="7"/>
  <c r="EN4" i="5" s="1"/>
  <c r="P19" i="3"/>
  <c r="F19" i="3"/>
  <c r="AZ4" i="5" s="1"/>
  <c r="BD5" i="5"/>
  <c r="BE5" i="5"/>
  <c r="BF5" i="5"/>
  <c r="BG5" i="5"/>
  <c r="BH5" i="5"/>
  <c r="BI5" i="5"/>
  <c r="BE4" i="5"/>
  <c r="BF4" i="5"/>
  <c r="BG4" i="5"/>
  <c r="BH4" i="5"/>
  <c r="BI4" i="5"/>
  <c r="BD4" i="5"/>
  <c r="AV4" i="5"/>
  <c r="AQ4" i="5"/>
  <c r="AP4" i="5"/>
  <c r="CR4" i="5"/>
  <c r="CQ1" i="5"/>
  <c r="W11" i="5"/>
  <c r="X11" i="5"/>
  <c r="Y11" i="5"/>
  <c r="Z11" i="5"/>
  <c r="AA11" i="5"/>
  <c r="AB11" i="5"/>
  <c r="V11" i="5"/>
  <c r="V10" i="5"/>
  <c r="D10" i="5"/>
  <c r="E10" i="5"/>
  <c r="F10" i="5"/>
  <c r="G10" i="5"/>
  <c r="H10" i="5"/>
  <c r="I10" i="5"/>
  <c r="J10" i="5"/>
  <c r="K10" i="5"/>
  <c r="BA4" i="5"/>
  <c r="P20" i="3"/>
  <c r="BJ5" i="5" s="1"/>
  <c r="BJ4" i="5"/>
  <c r="CE4" i="5"/>
  <c r="CF4" i="5"/>
  <c r="CG4" i="5"/>
  <c r="CH4" i="5"/>
  <c r="CI4" i="5"/>
  <c r="CJ4" i="5"/>
  <c r="CK4" i="5"/>
  <c r="CL4" i="5"/>
  <c r="CM4" i="5"/>
  <c r="CN4" i="5"/>
  <c r="CO4" i="5"/>
  <c r="CP4" i="5"/>
  <c r="CG2" i="5"/>
  <c r="CF2" i="5"/>
  <c r="CE2" i="5"/>
  <c r="CP2" i="5"/>
  <c r="CO2" i="5"/>
  <c r="CN2" i="5"/>
  <c r="CM2" i="5"/>
  <c r="CL2" i="5"/>
  <c r="CK2" i="5"/>
  <c r="CJ2" i="5"/>
  <c r="CI2" i="5"/>
  <c r="CH2" i="5"/>
  <c r="CH1" i="5"/>
  <c r="CE1" i="5"/>
  <c r="N23" i="6"/>
  <c r="N26" i="6"/>
  <c r="N20" i="6"/>
  <c r="CC4" i="5"/>
  <c r="CD4" i="5"/>
  <c r="CB4" i="5"/>
  <c r="CA4" i="5"/>
  <c r="BZ4" i="5"/>
  <c r="BY4" i="5"/>
  <c r="BX4" i="5"/>
  <c r="BW4" i="5"/>
  <c r="BV4" i="5"/>
  <c r="BU4" i="5"/>
  <c r="BT4" i="5"/>
  <c r="BS4" i="5"/>
  <c r="BR4" i="5"/>
  <c r="BQ4" i="5"/>
  <c r="BP4" i="5"/>
  <c r="BO4" i="5"/>
  <c r="BN4" i="5"/>
  <c r="BT3" i="5"/>
  <c r="BZ2" i="5"/>
  <c r="BX2" i="5"/>
  <c r="BV2" i="5"/>
  <c r="BV1" i="5"/>
  <c r="BP1" i="5"/>
  <c r="BT2" i="5"/>
  <c r="BR2" i="5"/>
  <c r="BP2" i="5"/>
  <c r="BU3" i="5"/>
  <c r="BS3" i="5"/>
  <c r="BR3" i="5"/>
  <c r="BQ3" i="5"/>
  <c r="BP3" i="5"/>
  <c r="BO1" i="5"/>
  <c r="BN1" i="5"/>
  <c r="O14" i="6"/>
  <c r="L23" i="6"/>
  <c r="L26" i="6"/>
  <c r="P26" i="6" s="1"/>
  <c r="L20" i="6"/>
  <c r="P20" i="6" s="1"/>
  <c r="J23" i="6"/>
  <c r="J26" i="6"/>
  <c r="J20" i="6"/>
  <c r="E23" i="6"/>
  <c r="E26" i="6"/>
  <c r="E20" i="6"/>
  <c r="C9" i="6"/>
  <c r="C8" i="6"/>
  <c r="BM4" i="5"/>
  <c r="BM1" i="5"/>
  <c r="BL4" i="5"/>
  <c r="BL1" i="5"/>
  <c r="BK4" i="5"/>
  <c r="BK1" i="5"/>
  <c r="P23" i="6"/>
  <c r="AI6" i="5"/>
  <c r="AH6" i="5"/>
  <c r="AG6" i="5"/>
  <c r="AC6" i="5"/>
  <c r="AB6" i="5"/>
  <c r="AA6" i="5"/>
  <c r="Z6" i="5"/>
  <c r="Y6" i="5"/>
  <c r="X6" i="5"/>
  <c r="W6" i="5"/>
  <c r="V6" i="5"/>
  <c r="U6" i="5"/>
  <c r="T6" i="5"/>
  <c r="S6" i="5"/>
  <c r="R6" i="5"/>
  <c r="Q6" i="5"/>
  <c r="P6" i="5"/>
  <c r="O6" i="5"/>
  <c r="N6" i="5"/>
  <c r="M6" i="5"/>
  <c r="L6" i="5"/>
  <c r="K6" i="5"/>
  <c r="J6" i="5"/>
  <c r="I6" i="5"/>
  <c r="H6" i="5"/>
  <c r="F6" i="5"/>
  <c r="E6" i="5"/>
  <c r="AI5" i="5"/>
  <c r="AH5" i="5"/>
  <c r="AG5" i="5"/>
  <c r="AC5" i="5"/>
  <c r="AB5" i="5"/>
  <c r="AA5" i="5"/>
  <c r="Z5" i="5"/>
  <c r="Y5" i="5"/>
  <c r="X5" i="5"/>
  <c r="W5" i="5"/>
  <c r="V5" i="5"/>
  <c r="U5" i="5"/>
  <c r="T5" i="5"/>
  <c r="S5" i="5"/>
  <c r="R5" i="5"/>
  <c r="Q5" i="5"/>
  <c r="P5" i="5"/>
  <c r="O5" i="5"/>
  <c r="N5" i="5"/>
  <c r="M5" i="5"/>
  <c r="L5" i="5"/>
  <c r="K5" i="5"/>
  <c r="J5" i="5"/>
  <c r="I5" i="5"/>
  <c r="H5" i="5"/>
  <c r="F5" i="5"/>
  <c r="E5" i="5"/>
  <c r="AU4" i="5"/>
  <c r="AI4" i="5"/>
  <c r="AH4" i="5"/>
  <c r="AG4" i="5"/>
  <c r="AC4" i="5"/>
  <c r="AB4" i="5"/>
  <c r="AA4" i="5"/>
  <c r="Z4" i="5"/>
  <c r="Y4" i="5"/>
  <c r="X4" i="5"/>
  <c r="W4" i="5"/>
  <c r="V4" i="5"/>
  <c r="U4" i="5"/>
  <c r="T4" i="5"/>
  <c r="S4" i="5"/>
  <c r="R4" i="5"/>
  <c r="Q4" i="5"/>
  <c r="P4" i="5"/>
  <c r="O4" i="5"/>
  <c r="N4" i="5"/>
  <c r="M4" i="5"/>
  <c r="L4" i="5"/>
  <c r="K4" i="5"/>
  <c r="J4" i="5"/>
  <c r="I4" i="5"/>
  <c r="H4" i="5"/>
  <c r="F4" i="5"/>
  <c r="E4" i="5"/>
  <c r="C4" i="5"/>
  <c r="B4" i="5"/>
  <c r="A4" i="5"/>
  <c r="D8" i="4"/>
  <c r="E44" i="3"/>
  <c r="AJ6" i="5" s="1"/>
  <c r="E42" i="3"/>
  <c r="AJ5" i="5" s="1"/>
  <c r="E40" i="3"/>
  <c r="AJ4" i="5" s="1"/>
  <c r="D33" i="3"/>
  <c r="G6" i="5" s="1"/>
  <c r="D30" i="3"/>
  <c r="G5" i="5" s="1"/>
  <c r="D27" i="3"/>
  <c r="G4" i="5"/>
  <c r="S33" i="3"/>
  <c r="U33" i="3" s="1"/>
  <c r="E18" i="3" s="1"/>
  <c r="S30" i="3"/>
  <c r="AE5" i="5" s="1"/>
  <c r="S27" i="3"/>
  <c r="U27" i="3"/>
  <c r="H13" i="3" s="1"/>
  <c r="AE4" i="5"/>
  <c r="DT5" i="5" l="1"/>
  <c r="H12" i="7"/>
  <c r="DS4" i="5"/>
  <c r="AL4" i="5"/>
  <c r="AF4" i="5"/>
  <c r="H12" i="3"/>
  <c r="D21" i="3" s="1"/>
  <c r="AR4" i="5" s="1"/>
  <c r="AE6" i="5"/>
  <c r="U30" i="3"/>
  <c r="AF5" i="5" s="1"/>
  <c r="DY4" i="5"/>
  <c r="D21" i="7"/>
  <c r="EF4" i="5" s="1"/>
  <c r="EH4" i="5"/>
  <c r="DT4" i="5"/>
  <c r="H13" i="7"/>
  <c r="F17" i="7"/>
  <c r="EL4" i="5" s="1"/>
  <c r="EG4" i="5"/>
  <c r="AT4" i="5"/>
  <c r="AK4" i="5"/>
  <c r="D18" i="3"/>
  <c r="AO4" i="5" s="1"/>
  <c r="CU4" i="5"/>
  <c r="DT6" i="5"/>
  <c r="D18" i="7"/>
  <c r="EC4" i="5" s="1"/>
  <c r="AF6" i="5"/>
  <c r="D17" i="3"/>
  <c r="AN4" i="5" s="1"/>
  <c r="F18" i="7" l="1"/>
  <c r="E17" i="3"/>
  <c r="H14" i="3"/>
  <c r="AM4" i="5" s="1"/>
  <c r="E21" i="3"/>
  <c r="E21" i="7"/>
  <c r="DZ4" i="5"/>
  <c r="EM4" i="5"/>
  <c r="AS4" i="5"/>
  <c r="F17" i="3"/>
  <c r="AX4" i="5" s="1"/>
  <c r="F18" i="3"/>
  <c r="H14" i="7"/>
  <c r="EA4" i="5" s="1"/>
  <c r="F21" i="3" l="1"/>
  <c r="BB4" i="5" s="1"/>
  <c r="AW4" i="5"/>
  <c r="F9" i="4"/>
  <c r="AY4" i="5"/>
  <c r="EK4" i="5"/>
  <c r="F21" i="7"/>
  <c r="EP4" i="5" s="1"/>
</calcChain>
</file>

<file path=xl/sharedStrings.xml><?xml version="1.0" encoding="utf-8"?>
<sst xmlns="http://schemas.openxmlformats.org/spreadsheetml/2006/main" count="4001" uniqueCount="883">
  <si>
    <t>Block 1:</t>
  </si>
  <si>
    <t>Number of :</t>
  </si>
  <si>
    <t>Type of Patient</t>
  </si>
  <si>
    <t>Total</t>
  </si>
  <si>
    <t>MTB detected</t>
  </si>
  <si>
    <t>RR TB detected</t>
  </si>
  <si>
    <t>Presumptive DR TB cases</t>
  </si>
  <si>
    <t>N</t>
  </si>
  <si>
    <t>Block 2:</t>
  </si>
  <si>
    <t xml:space="preserve">District : </t>
  </si>
  <si>
    <t>Name of the reporting unit :</t>
  </si>
  <si>
    <t>Date of completion of the form :</t>
  </si>
  <si>
    <t>Cell Number :</t>
  </si>
  <si>
    <t>New:</t>
  </si>
  <si>
    <t xml:space="preserve">Reporting period : </t>
  </si>
  <si>
    <t>Type of Patient : Presumptive DR TB Cases</t>
  </si>
  <si>
    <t>Column (1)</t>
  </si>
  <si>
    <t>Column (2)</t>
  </si>
  <si>
    <t>Failures of CAT I (remain positive at month 5 or later/ Smear negative patients become smear positive at month 2)</t>
  </si>
  <si>
    <t>Failures of CAT II (remain positive at month 5 or 8)</t>
  </si>
  <si>
    <t>Non converters of CAT I (remain positive at month 2)</t>
  </si>
  <si>
    <t>Column (3)</t>
  </si>
  <si>
    <t>Non converters of CAT II (remain positive at month 3)</t>
  </si>
  <si>
    <t>Column (4)</t>
  </si>
  <si>
    <t>Relapses (CAT I)</t>
  </si>
  <si>
    <t>Column (5)</t>
  </si>
  <si>
    <t>Relapses (CAT II)</t>
  </si>
  <si>
    <t>Column (6)</t>
  </si>
  <si>
    <t>Treatment after loss to follow up (CAT I)</t>
  </si>
  <si>
    <t>Column (7)</t>
  </si>
  <si>
    <t>Treatment after loss to follow up (CAT II)</t>
  </si>
  <si>
    <t>Column (8)</t>
  </si>
  <si>
    <t>Close contacts of DR TB patient with symptoms</t>
  </si>
  <si>
    <t>Column (9)</t>
  </si>
  <si>
    <t>HIV infected person with TB S/S</t>
  </si>
  <si>
    <t>Column (10)</t>
  </si>
  <si>
    <t>Column (11)</t>
  </si>
  <si>
    <t>Unknown history:</t>
  </si>
  <si>
    <t>Block 3:</t>
  </si>
  <si>
    <t>Presumptive Sm. Neg cases tested by Xpert MTB/RIF</t>
  </si>
  <si>
    <t>MTB Detected</t>
  </si>
  <si>
    <t>RR TB Detected</t>
  </si>
  <si>
    <t>Number of Presumptive smear negative TB cases</t>
  </si>
  <si>
    <t>Unknown History</t>
  </si>
  <si>
    <t>New</t>
  </si>
  <si>
    <t>Prev. Treated</t>
  </si>
  <si>
    <t>Prev. treated:</t>
  </si>
  <si>
    <t>*Others (Specify)</t>
  </si>
  <si>
    <t>Un. His.</t>
  </si>
  <si>
    <t>Prev. Tr.</t>
  </si>
  <si>
    <t>i) Pulmonary clinically diagnosed</t>
  </si>
  <si>
    <t>ii) Extra Pulmonary</t>
  </si>
  <si>
    <t>iii) Pulmonary bacteriologically confirmed</t>
  </si>
  <si>
    <t>Un. His. = Unknown History, N = New, Prev. Tr. = Previously Treated</t>
  </si>
  <si>
    <t>Name and disignation of Coordinator/ authority of the center:</t>
  </si>
  <si>
    <t>Organization:</t>
  </si>
  <si>
    <t>Signature:</t>
  </si>
  <si>
    <t>Date:</t>
  </si>
  <si>
    <t xml:space="preserve">Cell number: </t>
  </si>
  <si>
    <t>Results:</t>
  </si>
  <si>
    <t>A) Number of MTB detected, Rif Resistance not detected (T):</t>
  </si>
  <si>
    <t>B) Number of MTB detected, Rif Resistance detected (RR):</t>
  </si>
  <si>
    <t>C) Number of MTB detected, Rif Resistance indeterminate (TI):</t>
  </si>
  <si>
    <t xml:space="preserve">                                                                  National TB Control Programme                                                                      </t>
  </si>
  <si>
    <t>Designation and organization :</t>
  </si>
  <si>
    <t>Name of the person completing the report :</t>
  </si>
  <si>
    <t>Form DR TB 10 A</t>
  </si>
  <si>
    <t>Presumptive DR-TB</t>
  </si>
  <si>
    <t>Number of total Cases Tested</t>
  </si>
  <si>
    <t xml:space="preserve">Signature : </t>
  </si>
  <si>
    <t>Presumptive cases tested by Xpert MTB/RIF</t>
  </si>
  <si>
    <t xml:space="preserve"> Presumptive DR TB Cases(Total)</t>
  </si>
  <si>
    <t>Column (12)</t>
  </si>
  <si>
    <t>Column (13)</t>
  </si>
  <si>
    <t xml:space="preserve">                                                               Programmatic Management of Drug Resistant Tuberculosis (PMDT)</t>
  </si>
  <si>
    <t>Presumptive  TB</t>
  </si>
  <si>
    <t>Presumptive   TB</t>
  </si>
  <si>
    <t xml:space="preserve"> Presumptive  TB Cases(Total)</t>
  </si>
  <si>
    <t>Type of Patient : Presumptive  TB Cases</t>
  </si>
  <si>
    <t>February</t>
  </si>
  <si>
    <t>January</t>
  </si>
  <si>
    <t>1st</t>
  </si>
  <si>
    <t>Barisal</t>
  </si>
  <si>
    <t>Bhola</t>
  </si>
  <si>
    <t>March</t>
  </si>
  <si>
    <t>Patuakhali</t>
  </si>
  <si>
    <t>April</t>
  </si>
  <si>
    <t>2nd</t>
  </si>
  <si>
    <t>Bandarban Sadar Hospital</t>
  </si>
  <si>
    <t>Bandarban</t>
  </si>
  <si>
    <t>May</t>
  </si>
  <si>
    <t>Brahmanbaria</t>
  </si>
  <si>
    <t>June</t>
  </si>
  <si>
    <t>Chandpur</t>
  </si>
  <si>
    <t>July</t>
  </si>
  <si>
    <t>3rd</t>
  </si>
  <si>
    <t>August</t>
  </si>
  <si>
    <t>September</t>
  </si>
  <si>
    <t>Comilla</t>
  </si>
  <si>
    <t>October</t>
  </si>
  <si>
    <t>4th</t>
  </si>
  <si>
    <t>November</t>
  </si>
  <si>
    <t>Noakhali</t>
  </si>
  <si>
    <t>December</t>
  </si>
  <si>
    <t>Rangamati</t>
  </si>
  <si>
    <t>AFIP, Dhaka Cantonment</t>
  </si>
  <si>
    <t>Dhaka</t>
  </si>
  <si>
    <t>NTRL, NIDCH</t>
  </si>
  <si>
    <t>Faridpur</t>
  </si>
  <si>
    <t>Gazipur</t>
  </si>
  <si>
    <t>Gopalganj</t>
  </si>
  <si>
    <t>Kishoreganj</t>
  </si>
  <si>
    <t>Manikganj</t>
  </si>
  <si>
    <t>Narayanganj</t>
  </si>
  <si>
    <t>Tangail</t>
  </si>
  <si>
    <t>ICDDR,B: Golapbagh</t>
  </si>
  <si>
    <t>ICDDR,B: Mohakhali</t>
  </si>
  <si>
    <t>Mymensingh</t>
  </si>
  <si>
    <t>Khulna</t>
  </si>
  <si>
    <t>Chuadanga</t>
  </si>
  <si>
    <t>Jessore</t>
  </si>
  <si>
    <t>Kushtia</t>
  </si>
  <si>
    <t>Satkhira</t>
  </si>
  <si>
    <t>Rajshahi</t>
  </si>
  <si>
    <t>Bogra</t>
  </si>
  <si>
    <t>Natore</t>
  </si>
  <si>
    <t>CDH Pabna</t>
  </si>
  <si>
    <t>Pabna</t>
  </si>
  <si>
    <t>Sirajganj</t>
  </si>
  <si>
    <t>Rangpur</t>
  </si>
  <si>
    <t>Gaibandha</t>
  </si>
  <si>
    <t>Kurigram</t>
  </si>
  <si>
    <t>Sylhet</t>
  </si>
  <si>
    <t>Habiganj</t>
  </si>
  <si>
    <t>Sunamganj</t>
  </si>
  <si>
    <t>CDH Sylhet</t>
  </si>
  <si>
    <t>Division :</t>
  </si>
  <si>
    <t>Barguna</t>
  </si>
  <si>
    <t>Pirojpur</t>
  </si>
  <si>
    <t>Feni</t>
  </si>
  <si>
    <t>Khagrachari</t>
  </si>
  <si>
    <t>Jamalpur</t>
  </si>
  <si>
    <t>Madaripur</t>
  </si>
  <si>
    <t>Munshiganj</t>
  </si>
  <si>
    <t>Netrakona</t>
  </si>
  <si>
    <t>Rajbari</t>
  </si>
  <si>
    <t>Shariatpur</t>
  </si>
  <si>
    <t>Sherpur</t>
  </si>
  <si>
    <t>Bagerhat</t>
  </si>
  <si>
    <t>Jhenaidah</t>
  </si>
  <si>
    <t>Magura</t>
  </si>
  <si>
    <t>Meherpur</t>
  </si>
  <si>
    <t>Narail</t>
  </si>
  <si>
    <t>Naogaon</t>
  </si>
  <si>
    <t>Nawabganj</t>
  </si>
  <si>
    <t>Dinajpur</t>
  </si>
  <si>
    <t>Lalmonirhat</t>
  </si>
  <si>
    <t>Nilphamari</t>
  </si>
  <si>
    <t>Panchagarh</t>
  </si>
  <si>
    <t>Thakurgaon</t>
  </si>
  <si>
    <t>Moulvibazar</t>
  </si>
  <si>
    <t>Division</t>
  </si>
  <si>
    <t>District</t>
  </si>
  <si>
    <t>Name of GeneXpert Site</t>
  </si>
  <si>
    <t>Sadar Hospital, Barguna</t>
  </si>
  <si>
    <t xml:space="preserve">Bhola </t>
  </si>
  <si>
    <t>Jhalakathi</t>
  </si>
  <si>
    <t>Sadar Hospital, Jhalakathi</t>
  </si>
  <si>
    <t xml:space="preserve">Patuakhali   </t>
  </si>
  <si>
    <t xml:space="preserve">Bandarban  </t>
  </si>
  <si>
    <t>Brahamanbaria</t>
  </si>
  <si>
    <t xml:space="preserve">Brahmanbaria  </t>
  </si>
  <si>
    <t>CDC B.Baria</t>
  </si>
  <si>
    <t xml:space="preserve">Chandpur  </t>
  </si>
  <si>
    <t>Comilla Medical College Hospital, Comilla</t>
  </si>
  <si>
    <t xml:space="preserve">Comilla  </t>
  </si>
  <si>
    <t>Cox's Bazar</t>
  </si>
  <si>
    <t xml:space="preserve">Cox's Bazar  </t>
  </si>
  <si>
    <t>Sadar Hospital, Khagrachari</t>
  </si>
  <si>
    <t>Laxmipur</t>
  </si>
  <si>
    <t>Sadar Hospital, Laxmipur</t>
  </si>
  <si>
    <t xml:space="preserve">Noakhali  </t>
  </si>
  <si>
    <t xml:space="preserve">Rangamati  </t>
  </si>
  <si>
    <t>ICDDR,B: Bondortila</t>
  </si>
  <si>
    <t>ICDDR,B: Golpahar</t>
  </si>
  <si>
    <t xml:space="preserve">Cox’s Bazar </t>
  </si>
  <si>
    <t xml:space="preserve">Noakhali </t>
  </si>
  <si>
    <t xml:space="preserve">Dhaka </t>
  </si>
  <si>
    <t>ICDDR,B: Mirpur</t>
  </si>
  <si>
    <t>ICDDR,B: Rampura</t>
  </si>
  <si>
    <t>ICDDR,B: Uttara</t>
  </si>
  <si>
    <t>National Medical College Hospital, Dhaka</t>
  </si>
  <si>
    <t>Shahid Sarwardi Medical College, Dhaka</t>
  </si>
  <si>
    <t xml:space="preserve">Dhaka  </t>
  </si>
  <si>
    <t>250 Beded TB Hospital, Shyamoli</t>
  </si>
  <si>
    <t>BIRDEM Hospital,  Dhaka</t>
  </si>
  <si>
    <t>BSMMU Hospital, Dhaka</t>
  </si>
  <si>
    <t>Capt. Monsur Ali  Medical College Hospital</t>
  </si>
  <si>
    <t>Dhaka Medical College Hospital</t>
  </si>
  <si>
    <t>Faridpur Medical College Hospital, Faridpur</t>
  </si>
  <si>
    <t xml:space="preserve">Faridpur  </t>
  </si>
  <si>
    <t xml:space="preserve">Gazipur </t>
  </si>
  <si>
    <t xml:space="preserve">Gazipur  </t>
  </si>
  <si>
    <t>Taj Uddin Ahmed Medical College, Hospital</t>
  </si>
  <si>
    <t xml:space="preserve">Gopalganj  </t>
  </si>
  <si>
    <t xml:space="preserve">Kishoreganj  </t>
  </si>
  <si>
    <t>Kishorganj Chest Disease, Clinic</t>
  </si>
  <si>
    <t>Sadar Hospital, Madaripur</t>
  </si>
  <si>
    <t xml:space="preserve">Manikganj </t>
  </si>
  <si>
    <t xml:space="preserve">Manikganj  </t>
  </si>
  <si>
    <t>250 Bed Sadar Hospital, Manikganj</t>
  </si>
  <si>
    <t>Sadar Hospital, Munshiganj</t>
  </si>
  <si>
    <t xml:space="preserve">Narayanganj </t>
  </si>
  <si>
    <t xml:space="preserve">Narayanganj  </t>
  </si>
  <si>
    <t>General Hospital(Victoria), Narayanganj</t>
  </si>
  <si>
    <t>Narsingdi</t>
  </si>
  <si>
    <t>Sadar Hospital, Narsingdi</t>
  </si>
  <si>
    <t xml:space="preserve">Narsingdi </t>
  </si>
  <si>
    <t>Sadar Hospital, Rajbari</t>
  </si>
  <si>
    <t>Sadar Hospital, Shariatpur</t>
  </si>
  <si>
    <t xml:space="preserve">Tangail  </t>
  </si>
  <si>
    <t>Jalchatra Hospital, Tangail</t>
  </si>
  <si>
    <t xml:space="preserve">Chuadanga  </t>
  </si>
  <si>
    <t xml:space="preserve">Jessore </t>
  </si>
  <si>
    <t xml:space="preserve">Jessore  </t>
  </si>
  <si>
    <t>Sadar Hospital, Jhenaidah</t>
  </si>
  <si>
    <t>Khulna Medical College Hospital, Khulna</t>
  </si>
  <si>
    <t xml:space="preserve">Khulna  </t>
  </si>
  <si>
    <t xml:space="preserve">Kushtia  </t>
  </si>
  <si>
    <t xml:space="preserve">Narail </t>
  </si>
  <si>
    <t>Sadar Hospital, Narail</t>
  </si>
  <si>
    <t xml:space="preserve">Satkhira  </t>
  </si>
  <si>
    <t xml:space="preserve">Mymensingh  </t>
  </si>
  <si>
    <t>Mymensingh Medical  Colege Hospital</t>
  </si>
  <si>
    <t>Shambhugonj Hospital, Mymensingh</t>
  </si>
  <si>
    <t xml:space="preserve">Netrakona  </t>
  </si>
  <si>
    <t>Anantapur TB Hospital, Netrokona</t>
  </si>
  <si>
    <t>Netrokona</t>
  </si>
  <si>
    <t>Sadar Hospital, Sherpur</t>
  </si>
  <si>
    <t xml:space="preserve">Bogra </t>
  </si>
  <si>
    <t xml:space="preserve">Bogra  </t>
  </si>
  <si>
    <t>Joypurhat</t>
  </si>
  <si>
    <t>Mordanlized District Hospital, Joypurhat</t>
  </si>
  <si>
    <t>Sadar Hospital, Naogaon</t>
  </si>
  <si>
    <t xml:space="preserve">Natore  </t>
  </si>
  <si>
    <t xml:space="preserve">Pabna  </t>
  </si>
  <si>
    <t>Rajshahi Medical College Hospital, Rajshahi</t>
  </si>
  <si>
    <t xml:space="preserve">Rajshahi  </t>
  </si>
  <si>
    <t xml:space="preserve">CDH Rajshahi </t>
  </si>
  <si>
    <t xml:space="preserve">Sirajganj  </t>
  </si>
  <si>
    <t xml:space="preserve">Gaibandha  </t>
  </si>
  <si>
    <t xml:space="preserve">Kurigram  </t>
  </si>
  <si>
    <t>Sadar Hospital, Lalmonirhat</t>
  </si>
  <si>
    <t>Sadar Hospital, Nilphamari</t>
  </si>
  <si>
    <t>Sadar Hospital, Panchagarh</t>
  </si>
  <si>
    <t xml:space="preserve">Rangpur  </t>
  </si>
  <si>
    <t>Rangpur Medical College, Rangpur</t>
  </si>
  <si>
    <t xml:space="preserve">Habiganj  </t>
  </si>
  <si>
    <t>Sadar Hospital, Habiganj</t>
  </si>
  <si>
    <t>Sadar Hospital, Moulvibazar</t>
  </si>
  <si>
    <t xml:space="preserve">Moulvibazar  </t>
  </si>
  <si>
    <t>UHC Sreemongol</t>
  </si>
  <si>
    <t xml:space="preserve">Sunamganj  </t>
  </si>
  <si>
    <t>M.A.G Osmani Medical College Hospital, Sylhet</t>
  </si>
  <si>
    <t xml:space="preserve">Sylhet  </t>
  </si>
  <si>
    <t xml:space="preserve">Mymensingh </t>
  </si>
  <si>
    <t>Government of the People's Republic of Bangladesh</t>
  </si>
  <si>
    <t>National TB Control Program</t>
  </si>
  <si>
    <t>Programmatic Management of Drug Resistant Tuberculosis (PMDT)</t>
  </si>
  <si>
    <t xml:space="preserve">Monthly Report of Enrolment status of Detected </t>
  </si>
  <si>
    <t>Name and address of the reporting Unit:</t>
  </si>
  <si>
    <t>Reporting period:</t>
  </si>
  <si>
    <t>Sl.              No</t>
  </si>
  <si>
    <t>Age</t>
  </si>
  <si>
    <t>Address and                                        cell number</t>
  </si>
  <si>
    <t>Current and previous (if any)  TB registration number</t>
  </si>
  <si>
    <t>Remarks</t>
  </si>
  <si>
    <t>Sex
(M/F)</t>
  </si>
  <si>
    <t>Enrollment status                   (Y/N)</t>
  </si>
  <si>
    <t>ICDDR,B: Dhanmondi</t>
  </si>
  <si>
    <t>District / Area</t>
  </si>
  <si>
    <t>Presumptive DS TB Cases</t>
  </si>
  <si>
    <t>Presumptive DR TB Cases</t>
  </si>
  <si>
    <t>Presumptive Smear Negative TB Cases</t>
  </si>
  <si>
    <t>Total Presumptive TB Cases Tested</t>
  </si>
  <si>
    <t>Total Presumptive DR-TB Cases Tested</t>
  </si>
  <si>
    <t>Total Presumptive Tested</t>
  </si>
  <si>
    <t>Number of MTB detected-DS TB</t>
  </si>
  <si>
    <t>Number of MTB not detected (N)- DS TB</t>
  </si>
  <si>
    <t>Number of MTB detected-DR TB</t>
  </si>
  <si>
    <t>Number of MTB not detected (N)- DR TB</t>
  </si>
  <si>
    <t>Number of MTB detected-Total</t>
  </si>
  <si>
    <t>Number of MTB not detected -Total</t>
  </si>
  <si>
    <t>Others (Pulmonary clinically diagnosed)</t>
  </si>
  <si>
    <t>Others (Extra Pulmonary)</t>
  </si>
  <si>
    <t>Others (Pulmonary bacteriologically confirmed)</t>
  </si>
  <si>
    <t>Others (Total)</t>
  </si>
  <si>
    <t>Previously Treated</t>
  </si>
  <si>
    <t>Rif Resistance not detected (T)</t>
  </si>
  <si>
    <t>Rif Resistance detected (RR)</t>
  </si>
  <si>
    <t>Rif Resistance indeterminate (TI)</t>
  </si>
  <si>
    <t>Unknown history</t>
  </si>
  <si>
    <t>Prev. treated</t>
  </si>
  <si>
    <t>Tested by Xpert MTB/RIF</t>
  </si>
  <si>
    <t xml:space="preserve">Total
</t>
  </si>
  <si>
    <t>ICDDR,B: Rikabi Bazar</t>
  </si>
  <si>
    <t>ICDDR,B: Old Dhaka</t>
  </si>
  <si>
    <t>Dhaka Sishu Hospital, Sher-E-Bangla Nagar, Dhaka.</t>
  </si>
  <si>
    <t xml:space="preserve">Sher-e-Bangla Medical College &amp; Hospital, Barisal, </t>
  </si>
  <si>
    <t xml:space="preserve">Kurmitola General Hospital, Dhaka </t>
  </si>
  <si>
    <t>Bangladesh Central Police Hospital, Rajarbag, Dhaka</t>
  </si>
  <si>
    <t>Jahurul Islam Medical C &amp; H, Bhagalpur, Bajitpur, Kishoreganj</t>
  </si>
  <si>
    <t>M. Abdur Rahim Medical College, Dinajpur</t>
  </si>
  <si>
    <t>Child &amp; Mother health institute, Matuail, Dhaka</t>
  </si>
  <si>
    <t>Sir Salimullah Medical College, Dhaka</t>
  </si>
  <si>
    <t>Mugda Medical College Hospital, Dhaka</t>
  </si>
  <si>
    <t>Center for Medical Biotechnology, Mohakhali, Dhaka</t>
  </si>
  <si>
    <t>Chest Disease Hospital, Khulna</t>
  </si>
  <si>
    <t>BSMMU (Virology), Dhaka</t>
  </si>
  <si>
    <t>UHC Tazimuddin, Bhola</t>
  </si>
  <si>
    <t>UHC Gurudaspur, Natore</t>
  </si>
  <si>
    <t>UHC Muradnagar, Comilla</t>
  </si>
  <si>
    <t>UHC Dhamrai, Dhaka</t>
  </si>
  <si>
    <t>UHC Kapasia, Gazipur</t>
  </si>
  <si>
    <t>UHC Sreenagar, Munshiganj</t>
  </si>
  <si>
    <t>UHC Araihazar, Narayanganj</t>
  </si>
  <si>
    <t>UHC Shipganj, Chapainawabganj</t>
  </si>
  <si>
    <t>UHC Sherpur, Bogra</t>
  </si>
  <si>
    <t>UHC Shahajadpur, Sirajganj</t>
  </si>
  <si>
    <t>UHC Chakoria, Cox's Bazar</t>
  </si>
  <si>
    <t>UHC Raipur, Laxmipur</t>
  </si>
  <si>
    <t>UHC Chowddagram, Comilla</t>
  </si>
  <si>
    <t>UHC Sarail, B.Baria</t>
  </si>
  <si>
    <t>UHC Charfession, Bhola</t>
  </si>
  <si>
    <t>UHC Nawabganj, Dhaka</t>
  </si>
  <si>
    <t>UHC Singair, Manikganj</t>
  </si>
  <si>
    <t xml:space="preserve">UHC Monohardi, Narsingdi </t>
  </si>
  <si>
    <t>UHC Moheshpur, Jhenaidah</t>
  </si>
  <si>
    <t>UHC Dumuria, Khulna</t>
  </si>
  <si>
    <t>UHC Gangni, Meherpur</t>
  </si>
  <si>
    <t>UHC Mithapukur, Rangpur</t>
  </si>
  <si>
    <t>Gaibandh</t>
  </si>
  <si>
    <t>UHC Sundarganj, Gaibandha</t>
  </si>
  <si>
    <t>UHC Fulpur, Mymensingh</t>
  </si>
  <si>
    <t>UHC Mehendiganj, Barisal</t>
  </si>
  <si>
    <t>UHC Iswardi, Pabna</t>
  </si>
  <si>
    <t>UHC Nabiganj, Habiganj</t>
  </si>
  <si>
    <t>UHC Kamalganj, Moulvibazar</t>
  </si>
  <si>
    <t>UHC Taherpur, Sunamganj</t>
  </si>
  <si>
    <t>UHC Trishal, Mymensingh</t>
  </si>
  <si>
    <t>UHC Nalitabari, Sherpur</t>
  </si>
  <si>
    <t>UHC Kendua, Netrokona</t>
  </si>
  <si>
    <t>UHC Galachipa, Patuakhali</t>
  </si>
  <si>
    <t>UHC Kalapara, Patuakhali</t>
  </si>
  <si>
    <t>UHC Amtali, Barguna</t>
  </si>
  <si>
    <t>UHC Mothbaria, Pirojpur</t>
  </si>
  <si>
    <t>UHC Kaliganj, Satkhira</t>
  </si>
  <si>
    <t>UHC Sharsha, Jessore</t>
  </si>
  <si>
    <t>UHC Damurhuda, Chuadanga</t>
  </si>
  <si>
    <t>UHC Mirpur, Kushtia</t>
  </si>
  <si>
    <t>UHC Sadullapur, Gaibandha</t>
  </si>
  <si>
    <t>UHC Parbatipur, Dinajpur</t>
  </si>
  <si>
    <t>UHC Golapganj, Sylhet</t>
  </si>
  <si>
    <t>UHC Dowarabazar, Sunamganj</t>
  </si>
  <si>
    <t>UHC Kulaura, Moulvibazar</t>
  </si>
  <si>
    <t>UHC Lohagara,Narail</t>
  </si>
  <si>
    <t>Chattogram</t>
  </si>
  <si>
    <t>Medical College Hospital, Chattogram</t>
  </si>
  <si>
    <t>BITID, Chattogram</t>
  </si>
  <si>
    <t>RTRL Chattogram</t>
  </si>
  <si>
    <t>UHC Banskhali, Chattogram</t>
  </si>
  <si>
    <t>UHC Patiya, Chattogram</t>
  </si>
  <si>
    <t>UHC Fatikchari, Chattogram</t>
  </si>
  <si>
    <t>UHC Hathazari, Chattogram</t>
  </si>
  <si>
    <t>UHC Bahubal, Habiganj</t>
  </si>
  <si>
    <t>UHC Daganbhuiyan, Feni</t>
  </si>
  <si>
    <t>UHC Matiranga, Khagrachari</t>
  </si>
  <si>
    <t>UHC Kamalnagar, Laxmipur</t>
  </si>
  <si>
    <t>UHC Hatiya, Noakhali</t>
  </si>
  <si>
    <t>UHC Sonaimuri, Noakhali</t>
  </si>
  <si>
    <t>UHC Subarnachar, Noakhali</t>
  </si>
  <si>
    <t>UHC Baghaichari, Rangamati</t>
  </si>
  <si>
    <t>UHC Mirsarai, Chattogram</t>
  </si>
  <si>
    <t>UHC Sitakundu, Chattogram</t>
  </si>
  <si>
    <t>UHC Raujan, Chattogram</t>
  </si>
  <si>
    <t>250 Beded General Hospital, Tangail</t>
  </si>
  <si>
    <t>UHC Ajmeriganj, Habiganj</t>
  </si>
  <si>
    <t>UHC Shibalaya, Manikganj</t>
  </si>
  <si>
    <t>UHC Saturia, Manikganj</t>
  </si>
  <si>
    <t>UHC Kanaighat, Sylhet</t>
  </si>
  <si>
    <t>UHC Rangunia, Chattogram</t>
  </si>
  <si>
    <t>UHC Bhandaria, Pirojpur</t>
  </si>
  <si>
    <t>UHC Shahrasti, Chandpur</t>
  </si>
  <si>
    <t>UHC Dhamoirhat, Naogaon</t>
  </si>
  <si>
    <t>UHC Ulipur, Kurigram</t>
  </si>
  <si>
    <t>UHC Domar, Nilphamari</t>
  </si>
  <si>
    <t>UHC Boda, Panchagar</t>
  </si>
  <si>
    <t xml:space="preserve">UHC Fulbari, Dinajpur </t>
  </si>
  <si>
    <t xml:space="preserve">UHC Birol, Dinajpur </t>
  </si>
  <si>
    <t>UHC Kuliarchar, Kishoreganj</t>
  </si>
  <si>
    <t>UHC Pathorghata, Barguna</t>
  </si>
  <si>
    <t>UHC Gournodi, Barisal</t>
  </si>
  <si>
    <t>UHC Khathalia, Jhalakathi</t>
  </si>
  <si>
    <t>UHC Najirpur, Pirojpur</t>
  </si>
  <si>
    <t>UHC Nabinagar, Brahmanbaria</t>
  </si>
  <si>
    <t>UHC Satkania, Chittagong</t>
  </si>
  <si>
    <t xml:space="preserve">UHC Matlab south, Chandpur  </t>
  </si>
  <si>
    <t>UHC Langolkot, Comilla</t>
  </si>
  <si>
    <t>UHC Ramgoti, Laxmipur</t>
  </si>
  <si>
    <t xml:space="preserve">UHC Senbag, Noakhali </t>
  </si>
  <si>
    <t>UHC Bhedergonj, Sariatpur</t>
  </si>
  <si>
    <t>UHC Zanjira, Sariatpur</t>
  </si>
  <si>
    <t>UHC Kalkini, Madaripur</t>
  </si>
  <si>
    <t>UHC Shibchar, Madaripur</t>
  </si>
  <si>
    <t>UHC Kotiadi, Kishoreganj</t>
  </si>
  <si>
    <t>UHC Pakundia, Kishoreganj</t>
  </si>
  <si>
    <t>UHC Mongla, Bagerhat</t>
  </si>
  <si>
    <t>UHC Jibon Nagar, Chuadanga</t>
  </si>
  <si>
    <t>UHC Abhoynagar, Jessore</t>
  </si>
  <si>
    <t>UHC Horinakunda, Jhenaidah</t>
  </si>
  <si>
    <t>UHC Koyra, Khulna</t>
  </si>
  <si>
    <t>UHC Kumarkhali, Kushtia</t>
  </si>
  <si>
    <t>UHC Kolaroa, Satkhira</t>
  </si>
  <si>
    <t>UHC Bokshigonj, Jamalpur</t>
  </si>
  <si>
    <t>UHC Gaforgaon, Mymensingh</t>
  </si>
  <si>
    <t>UHC Mohongonj, Netrokona</t>
  </si>
  <si>
    <t>UHC Bagmara, Rajshahi</t>
  </si>
  <si>
    <t>UHC Panchbibi, Joypurhat</t>
  </si>
  <si>
    <t>UHC Manda, Naogaon</t>
  </si>
  <si>
    <t>UHC Santhiya, Pabna</t>
  </si>
  <si>
    <t>UHC Birgonj, Dinajpur</t>
  </si>
  <si>
    <t xml:space="preserve">UHC Bhurangamari, Kurigram  </t>
  </si>
  <si>
    <t>UHC Kaligonj, Lalmonirhat</t>
  </si>
  <si>
    <t>UHC Jaldhaka, Nilphamari</t>
  </si>
  <si>
    <t>UHC Pirgonj, Rangpur</t>
  </si>
  <si>
    <t xml:space="preserve">UHC Baliadangi, Thakurgaon  </t>
  </si>
  <si>
    <t>UHC Madhabpur, Habiganj</t>
  </si>
  <si>
    <t>UHC Baniarchong, Habiganj</t>
  </si>
  <si>
    <t xml:space="preserve">UHC Jagannathpur, Sunamganj  </t>
  </si>
  <si>
    <t>UHC Jaintapur, Sylhet</t>
  </si>
  <si>
    <t>UHC Agoiljhara</t>
  </si>
  <si>
    <t>UHC Babugonj, Barisal</t>
  </si>
  <si>
    <t>UHC Hizla, Barisal</t>
  </si>
  <si>
    <t>UHC Muladi, Barisal</t>
  </si>
  <si>
    <t>UHC Uzirpur, Barisal</t>
  </si>
  <si>
    <t>UHC Daulatkhan</t>
  </si>
  <si>
    <t>UHC Rajapur, Jhalakathi</t>
  </si>
  <si>
    <t>UHC Nalchiti, Jhalakathi</t>
  </si>
  <si>
    <t>UHC Dashmina, Patuakhali</t>
  </si>
  <si>
    <t>UHC Nesarabad, Pirojpur</t>
  </si>
  <si>
    <t xml:space="preserve">UHC Lama, Bandarban </t>
  </si>
  <si>
    <t>UHC Bancharampur, Brahmanbaria</t>
  </si>
  <si>
    <t>UHC Ashugonj, Brahmanbaria</t>
  </si>
  <si>
    <t>UHC Kashba, Brahmanbaria</t>
  </si>
  <si>
    <t xml:space="preserve">UHC Faridgonj, Chandpur  </t>
  </si>
  <si>
    <t xml:space="preserve">UHC Anwara, Chittagong </t>
  </si>
  <si>
    <t xml:space="preserve">UHC Boalkhali, Chittagong </t>
  </si>
  <si>
    <t>UHC Barura, Comilla</t>
  </si>
  <si>
    <t>UHC Daudkandi, Comilla</t>
  </si>
  <si>
    <t>UHC Chandina, Comilla</t>
  </si>
  <si>
    <t>UHC Homna, Comilla</t>
  </si>
  <si>
    <t>UHC Burichong, Comilla</t>
  </si>
  <si>
    <t>UHC Monohargonj, Comilla</t>
  </si>
  <si>
    <t>UHC Laksam, Comilla</t>
  </si>
  <si>
    <t>UHC Fakirhat, Bagerhat</t>
  </si>
  <si>
    <t>UHC Rampal, Bagerhat</t>
  </si>
  <si>
    <t>UHC Gabtali, Bogra</t>
  </si>
  <si>
    <t>UHC Dhunot, Bogra</t>
  </si>
  <si>
    <t>UHC Shariakandi, Bogra</t>
  </si>
  <si>
    <t>UHC Sibganj, Bogra</t>
  </si>
  <si>
    <t>UHC Dohar, Dhaka</t>
  </si>
  <si>
    <t>UHC Nawabganj, Dinajpur</t>
  </si>
  <si>
    <t>UHC Boalmari, Faridpur</t>
  </si>
  <si>
    <t>UHC Nagarkanda, Faridpur</t>
  </si>
  <si>
    <t>UHC Modhukhali, Faridpur</t>
  </si>
  <si>
    <t>UHC Gobindagonj, Gaibandha</t>
  </si>
  <si>
    <t>UHC Saghata, Gaibandha</t>
  </si>
  <si>
    <t>UHC Kaligonj, Gazipur</t>
  </si>
  <si>
    <t>UHC Moksudpur, Gopalganj</t>
  </si>
  <si>
    <t>UHC Dewangonj, Jamalpur</t>
  </si>
  <si>
    <t>UHC Kaligonj, Jehenaidaha</t>
  </si>
  <si>
    <t>UHC Keshobpur, Jessore</t>
  </si>
  <si>
    <t>UHC Chougacha, Jessore</t>
  </si>
  <si>
    <t>UHC Jhikorgacha, Jessore</t>
  </si>
  <si>
    <t>UHC Dacope, Khulna</t>
  </si>
  <si>
    <t>UHC Digholia, Khulna</t>
  </si>
  <si>
    <t>UHC Bajitpur, Kishoreganj</t>
  </si>
  <si>
    <t>UHC Rowmari, Kurigram</t>
  </si>
  <si>
    <t>UHC Aditmari, Lalmonirhat</t>
  </si>
  <si>
    <t>UHC Mohammadpur, Magura</t>
  </si>
  <si>
    <t>UHC Horirampur, Manikganj</t>
  </si>
  <si>
    <t>UHC Mujibnagar, Meherpur</t>
  </si>
  <si>
    <t>UHC Baralekha, Moulvibazar</t>
  </si>
  <si>
    <t>UHC Rajnagar, Moulvibazar</t>
  </si>
  <si>
    <t>UHC Louhojong, Munshiganj</t>
  </si>
  <si>
    <t>UHC Gazaria, Munshiganj</t>
  </si>
  <si>
    <t>UHC Fulbaria, Mymensingh</t>
  </si>
  <si>
    <t>UHC Haluaghat, Mymensingh</t>
  </si>
  <si>
    <t>UHC Ishwarganj, Mymensingh</t>
  </si>
  <si>
    <t>UHC Muktagacha, Mymensingh</t>
  </si>
  <si>
    <t>UHC Nandail, Mymensingh</t>
  </si>
  <si>
    <t>UHC Shapahar, Naogaon</t>
  </si>
  <si>
    <t>UHC Kalia, Narail</t>
  </si>
  <si>
    <t>UHC Bandar, Narayangonj</t>
  </si>
  <si>
    <t>UHC Belabo, Narsingdi</t>
  </si>
  <si>
    <t>UHC Shibpur, Narsingdi</t>
  </si>
  <si>
    <t>UHC Singra, Natore</t>
  </si>
  <si>
    <t>UHC Lalpur, Natore</t>
  </si>
  <si>
    <t>UHC Kalmakanda, Netrokona</t>
  </si>
  <si>
    <t>UHC Modan, Netrokona</t>
  </si>
  <si>
    <t>UHC Khaliajuri, Netrokona</t>
  </si>
  <si>
    <t xml:space="preserve">UHC Begumganj, Noakhali </t>
  </si>
  <si>
    <t>UHC Sujanagar, Pabna</t>
  </si>
  <si>
    <t>UHC Bera, Pabna</t>
  </si>
  <si>
    <t>UHC Baliakandi, Rajbari</t>
  </si>
  <si>
    <t>UHC Tanore, Rajshahi</t>
  </si>
  <si>
    <t>UHC Puthia, Rajshahi</t>
  </si>
  <si>
    <t>UHC Godagari, Rajshahi</t>
  </si>
  <si>
    <t>UHC Gangachara, Rangpur</t>
  </si>
  <si>
    <t>UHC Ashasoni, Satkhira</t>
  </si>
  <si>
    <t>UHC Tala, Satkhira</t>
  </si>
  <si>
    <t>UHC Debhata, Satkhira</t>
  </si>
  <si>
    <t>UHC Jhinaigati, Sherpur</t>
  </si>
  <si>
    <t>UHC Nakla, Sherpur</t>
  </si>
  <si>
    <t>UHC Kazipur, Sirajganj</t>
  </si>
  <si>
    <t>UHC Ullahpara, Sirajganj</t>
  </si>
  <si>
    <t>UHC Dirai, Sunamganj</t>
  </si>
  <si>
    <t>UHC Dharampasha, Sunamganj</t>
  </si>
  <si>
    <t>UHC Bishwnath, Sylhet</t>
  </si>
  <si>
    <t>UHC Gowainghat, Sylhet</t>
  </si>
  <si>
    <t>UHC Bhuapur, Tangail</t>
  </si>
  <si>
    <t>UHC Nagorpur, Tangail</t>
  </si>
  <si>
    <t>UHC Ghatail, Tangail</t>
  </si>
  <si>
    <t>UHC Gopalpur, Tangail</t>
  </si>
  <si>
    <t>UHC- Bakerganj, Barisal</t>
  </si>
  <si>
    <t>UHC- Lalmohon, Bhola</t>
  </si>
  <si>
    <t>UHC- Bauphal, Patuakhali</t>
  </si>
  <si>
    <t>UHC- Nasirnagar, Barahamanbaria</t>
  </si>
  <si>
    <t>UHC- Hajiganj, Chandpur</t>
  </si>
  <si>
    <t>UHC- Debiddar, Comilla</t>
  </si>
  <si>
    <t>UHC- Teknaf, Coxsbazar</t>
  </si>
  <si>
    <t>UHC- Ukhia, CoxsBazar</t>
  </si>
  <si>
    <t>UHC- Sonagazi, Feni</t>
  </si>
  <si>
    <t>UHC- Ramganj, Laxmipur</t>
  </si>
  <si>
    <t>UHC- Kaliakoir, Gazipur</t>
  </si>
  <si>
    <t>UHC-Sreepur, Gazipur</t>
  </si>
  <si>
    <t>UHC- Tungipara, Gopalganj</t>
  </si>
  <si>
    <t>UHC- Kashiani, Gopalganj</t>
  </si>
  <si>
    <t>UHC- Bhoirab, Kishoreganj</t>
  </si>
  <si>
    <t>UHC- Daulatpur, Manikganj</t>
  </si>
  <si>
    <t>UHC- Sirajdikhan, Munshiganj</t>
  </si>
  <si>
    <t>UHC- Rupganj, Narayanganj</t>
  </si>
  <si>
    <t>UHC- Raipura, Narsingdi</t>
  </si>
  <si>
    <t>UHC- Pangsha, Rajbari</t>
  </si>
  <si>
    <t>UHC- Mirjapur, Tangail</t>
  </si>
  <si>
    <t>UHC Shakhipur, Tangail</t>
  </si>
  <si>
    <t>UHC-  Alamdanga, Chuadanga</t>
  </si>
  <si>
    <t>UHC- Monirampur, Jessore</t>
  </si>
  <si>
    <t>UHC- Shailakupa, Jhenaidah</t>
  </si>
  <si>
    <t>UHC- Paikgacha, Khulna</t>
  </si>
  <si>
    <t>UHC- Daulatpur, Kushtia</t>
  </si>
  <si>
    <t>UHC-Veramara, Kushtia</t>
  </si>
  <si>
    <t>UHC- Shalikha, Magura</t>
  </si>
  <si>
    <t>UHC- Shaymnagar, Satkhira</t>
  </si>
  <si>
    <t>UHC- Islampur, Jamalpur</t>
  </si>
  <si>
    <t>UHC- Bhaluka, Mymensingh</t>
  </si>
  <si>
    <t>UHC- Durgapur, Netrokona</t>
  </si>
  <si>
    <t>UHC- Sreebordi, Sherpur</t>
  </si>
  <si>
    <t>UHC- Dhupchachia, Bogra</t>
  </si>
  <si>
    <t>UHC- Gomostapur, Chapainawabganj</t>
  </si>
  <si>
    <t>UHC- Akkelpur, Joypurhat</t>
  </si>
  <si>
    <t>UHC- Patnitala, Naogaon</t>
  </si>
  <si>
    <t>UHC- Baraigram, Natore</t>
  </si>
  <si>
    <t>UHC- Chatmohar, Pabna</t>
  </si>
  <si>
    <t>UHC- Belkuchi, Sirajganj</t>
  </si>
  <si>
    <t>UHC- Birampur, Dinajpur</t>
  </si>
  <si>
    <t>UHC- Palasbari, Gaibandha</t>
  </si>
  <si>
    <t>UHC- Nageshwari, Kurigram</t>
  </si>
  <si>
    <t>UHC- Hatibanda, Lalmonirhat</t>
  </si>
  <si>
    <t>UHC- Dimla, Nilphamari</t>
  </si>
  <si>
    <t>UHC- Tetulia, Panchagarh</t>
  </si>
  <si>
    <t>UHC- Ranishankail, Thakurgaon</t>
  </si>
  <si>
    <t>UHC- Chunarughat, Habiganj</t>
  </si>
  <si>
    <t>UHC- Chatak, Sunamganj</t>
  </si>
  <si>
    <t>UHC- Banibazar, Sylhet</t>
  </si>
  <si>
    <t>TDC, BRAC, Barguna</t>
  </si>
  <si>
    <t>TDC, BRAC, Bhola</t>
  </si>
  <si>
    <t>TDC, BRAC, Pirojpur</t>
  </si>
  <si>
    <t>TDC, BRAC, Brahmanbaria</t>
  </si>
  <si>
    <t>TDC, BRAC, Oxygen More, Chattogram</t>
  </si>
  <si>
    <t>TDC, BRAC, Bandar, Chattogram</t>
  </si>
  <si>
    <t>TDC, BRAC, Feni</t>
  </si>
  <si>
    <t>TDC, BRAC, Khagrachari</t>
  </si>
  <si>
    <t>TDC, BRAC, Laxmipur</t>
  </si>
  <si>
    <t>TDC, BRAC, Mohammadpur, Dhaka</t>
  </si>
  <si>
    <t>TDC, BRAC, Khilgaon, Dhaka</t>
  </si>
  <si>
    <t>TDC, BRAC, Lalbag, Dhaka</t>
  </si>
  <si>
    <t>TDC, BRAC, Faridpur</t>
  </si>
  <si>
    <t>TDC, BRAC, Gopalganj</t>
  </si>
  <si>
    <t>TDC, BRAC, Madaripur</t>
  </si>
  <si>
    <t>TDC, BRAC, Munshiganj</t>
  </si>
  <si>
    <t>TDC, BRAC, Tangail</t>
  </si>
  <si>
    <t>TDC, BRAC, Bagerhat</t>
  </si>
  <si>
    <t>TDC, BRAC, Chuadanga</t>
  </si>
  <si>
    <t>TDC, BRAC, Jhenaidah</t>
  </si>
  <si>
    <t>TDC, BRAC, Satkhira</t>
  </si>
  <si>
    <t>TDC, BRAC, Netrokona</t>
  </si>
  <si>
    <t>TDC, BRAC, Sherpur</t>
  </si>
  <si>
    <t>TDC, BRAC, Chapainawabganj</t>
  </si>
  <si>
    <t>TDC, BRAC, Gaibandha</t>
  </si>
  <si>
    <t>TDC, BRAC, Nilphamari</t>
  </si>
  <si>
    <t>TDC, BRAC, Rangpur</t>
  </si>
  <si>
    <t>TDC, BRAC, Thakurgaon</t>
  </si>
  <si>
    <t>TDC, BRAC, Habiganj</t>
  </si>
  <si>
    <t>TDC, BRAC, Moulvibazar</t>
  </si>
  <si>
    <t>TDC, BRAC, Sunamganj</t>
  </si>
  <si>
    <t>CDC Barishal</t>
  </si>
  <si>
    <t>CDC, Bhola</t>
  </si>
  <si>
    <t>CDC, Patuakhali</t>
  </si>
  <si>
    <t>CDC, Perojpur</t>
  </si>
  <si>
    <t>CDC Chandpur</t>
  </si>
  <si>
    <t>CDC Comilla</t>
  </si>
  <si>
    <t>CDC Cox's Bazar</t>
  </si>
  <si>
    <t>CDC- Feni</t>
  </si>
  <si>
    <t>CDC, Noakhali</t>
  </si>
  <si>
    <t>CDC Rangamati</t>
  </si>
  <si>
    <t xml:space="preserve">CDC, Chankharpul </t>
  </si>
  <si>
    <t xml:space="preserve">CDC, Faridpur </t>
  </si>
  <si>
    <t>CDC, Gopalgonj</t>
  </si>
  <si>
    <t>CDC, Tangail</t>
  </si>
  <si>
    <t>CDC, Bagerhat</t>
  </si>
  <si>
    <t>CDC Chuadanga</t>
  </si>
  <si>
    <t>CDC Jessore</t>
  </si>
  <si>
    <t>CDC Khulna</t>
  </si>
  <si>
    <t>CDC Kustia</t>
  </si>
  <si>
    <t>CDC, Magura</t>
  </si>
  <si>
    <t>CDC, Meherpur</t>
  </si>
  <si>
    <t>CDC, Satkhira</t>
  </si>
  <si>
    <t>CDC, Jamalpur</t>
  </si>
  <si>
    <t>CDC Bogra</t>
  </si>
  <si>
    <t>CDC, Chapainawabganj</t>
  </si>
  <si>
    <t>CDC Natore</t>
  </si>
  <si>
    <t>CDC, Sirajganj</t>
  </si>
  <si>
    <t>CDC, Dinajpur</t>
  </si>
  <si>
    <t>CDC, Gaibandha</t>
  </si>
  <si>
    <t>CDC, Kurigram</t>
  </si>
  <si>
    <t>CDC, Rangpur</t>
  </si>
  <si>
    <t>CDC, Thakurgaon</t>
  </si>
  <si>
    <t>CDC, Sunamgonj</t>
  </si>
  <si>
    <t xml:space="preserve">TDC , BRAC, Barisal </t>
  </si>
  <si>
    <t>TDC , BRAC, Bakulia, Chattogram</t>
  </si>
  <si>
    <t>TDC , BRAC, Comilla</t>
  </si>
  <si>
    <t>TDC , BRAC, Cox's Bazar</t>
  </si>
  <si>
    <t>TDC , BRAC, Noakhali</t>
  </si>
  <si>
    <t>TDC , BRAC, Keranigonj,Dhaka</t>
  </si>
  <si>
    <t>TDC , BRAC, Savar,Dhaka</t>
  </si>
  <si>
    <t>TDC , BRAC, Badda, Dhaka</t>
  </si>
  <si>
    <t xml:space="preserve">TDC , BRAC, Matuail, Dhaka </t>
  </si>
  <si>
    <t xml:space="preserve">TDC , BRAC, Mirpur-1, Dhaka </t>
  </si>
  <si>
    <t>TDC , BRAC, Gazipur</t>
  </si>
  <si>
    <t>TDC , BRAC, Tongi, Gazipur</t>
  </si>
  <si>
    <t>TDC , BRAC, Manikgonj</t>
  </si>
  <si>
    <t>TDC , BRAC, Narayangonj</t>
  </si>
  <si>
    <t>TDC , BRAC, Narsingdi</t>
  </si>
  <si>
    <t>TDC , BRAC, Jessore</t>
  </si>
  <si>
    <t>TDC , BRAC, Khulna</t>
  </si>
  <si>
    <t xml:space="preserve">TDC , BRAC, Mymensingh </t>
  </si>
  <si>
    <t>TDC , BRAC, Bogra</t>
  </si>
  <si>
    <t>TDC , BRAC, Rajshahi</t>
  </si>
  <si>
    <t>TDC , BRAC, Dinajpur</t>
  </si>
  <si>
    <t>TDC , BRAC, Sylhet</t>
  </si>
  <si>
    <t>UHC Pirgonj, Thakurgaon</t>
  </si>
  <si>
    <t>Comments</t>
  </si>
  <si>
    <t>20 Beded Hospital, Bhasanchar, Hatiya</t>
  </si>
  <si>
    <t>Mobial X-ray Van-1, Kutupalong, Ukhiya Cox's Bazar (FDMN)</t>
  </si>
  <si>
    <t>Mobial X-ray Van-4,Teknaf, Cox's Bazar (FDMN)</t>
  </si>
  <si>
    <t>Mobial X-ray Van-2, Dhaka-Urban</t>
  </si>
  <si>
    <t>Mobial X-ray Van-3, Dhaka and Nearby Districts</t>
  </si>
  <si>
    <t>Coxs_Bazar</t>
  </si>
  <si>
    <t>Date of Diagnosis</t>
  </si>
  <si>
    <t xml:space="preserve">                                               Directorate General of Health Services</t>
  </si>
  <si>
    <t>Monthly Report on Xpert COVID19 Results</t>
  </si>
  <si>
    <t>Name of the person reporting</t>
  </si>
  <si>
    <t>Cartridge information</t>
  </si>
  <si>
    <t>Cartridges Received</t>
  </si>
  <si>
    <t>Cartridges in Hand</t>
  </si>
  <si>
    <t xml:space="preserve"> Number of invalid / no result / error: </t>
  </si>
  <si>
    <t>COVID19 Test</t>
  </si>
  <si>
    <t>Type of test : New</t>
  </si>
  <si>
    <t xml:space="preserve">Type of Test : Follow up </t>
  </si>
  <si>
    <t>Grand Total</t>
  </si>
  <si>
    <t>Male</t>
  </si>
  <si>
    <t>Female</t>
  </si>
  <si>
    <t>Number Of COVID19 Test</t>
  </si>
  <si>
    <t>Number of COVID 19 Positive Detected</t>
  </si>
  <si>
    <t>Number of COVID 19 Negative Detected</t>
  </si>
  <si>
    <t>Name and designation of Coordinator/ authority :</t>
  </si>
  <si>
    <t>COVID19 Test Reporting Form</t>
  </si>
  <si>
    <t xml:space="preserve">                                                                                       Government of the People's Republic of Bangladesh</t>
  </si>
  <si>
    <t>Number of Gene Xpert Machine:</t>
  </si>
  <si>
    <t>Number of Module Functional:</t>
  </si>
  <si>
    <t>Total Number Of Module:</t>
  </si>
  <si>
    <t>UHC- Morrelganj, Bagerhat</t>
  </si>
  <si>
    <t>Date Of Enrollment</t>
  </si>
  <si>
    <t>Air Port (Hazi Camp)</t>
  </si>
  <si>
    <t>UHC Natore Sadar</t>
  </si>
  <si>
    <t>PM Office ,Dhaka</t>
  </si>
  <si>
    <t>UHC sarishabari, Jamalpur</t>
  </si>
  <si>
    <t>ICDDRB: Lokkhipur</t>
  </si>
  <si>
    <t>CDH Fouzdarhat, Chattogram</t>
  </si>
  <si>
    <t>UHC Betagi, Barguna</t>
  </si>
  <si>
    <t>UHC Kotchandpur, Jhenaidha</t>
  </si>
  <si>
    <t>UHC Fulbari, Kurigram</t>
  </si>
  <si>
    <t>UHC Atrai, Naogaon</t>
  </si>
  <si>
    <t>UHC Purbadhala, Netrokona</t>
  </si>
  <si>
    <t>UHC Nandi, Bogra</t>
  </si>
  <si>
    <t>UHC Kalai, Joypurhat</t>
  </si>
  <si>
    <t>UHC Saidpur, Nilphamari</t>
  </si>
  <si>
    <t>UHC Mirzaganj, Patuakhali</t>
  </si>
  <si>
    <t>UHC Dumki, Patuakhali</t>
  </si>
  <si>
    <t>UHC Chitalmari, Bagerhat</t>
  </si>
  <si>
    <t>UHC Charghat, Rajshahi</t>
  </si>
  <si>
    <t>UHC Taraganj, Rangpur</t>
  </si>
  <si>
    <t>UHC Gharahat, Dinajpur</t>
  </si>
  <si>
    <t>UHC Haripur, Thakurgaon</t>
  </si>
  <si>
    <t>UHC Atwari, Panchagarh</t>
  </si>
  <si>
    <t>UHC Lakhai, Habiganj</t>
  </si>
  <si>
    <t>UHC Raiganj, Sirajganj</t>
  </si>
  <si>
    <t>UHC Atghoria, Pabna</t>
  </si>
  <si>
    <t>UHC Baghatipara, Natore</t>
  </si>
  <si>
    <t>UHC Nachole, Chapainawabganj</t>
  </si>
  <si>
    <t>UHC Dhubaura, Mymensingh</t>
  </si>
  <si>
    <t>UHC Khoksha, Kushtia</t>
  </si>
  <si>
    <t>UHC Tongibari, Munshiganj</t>
  </si>
  <si>
    <t>UHC Sonargoan, Narayanganj</t>
  </si>
  <si>
    <t>UHC Palash, Narsingdi</t>
  </si>
  <si>
    <t>UHC Ghior, Manikganj</t>
  </si>
  <si>
    <t>UHC Dhanbari, Tangail</t>
  </si>
  <si>
    <t>UHC Mithamoin, Kishoreganj</t>
  </si>
  <si>
    <t>UHC Austogram, Kishoreganj</t>
  </si>
  <si>
    <t>UHC Sandip, Chattogram</t>
  </si>
  <si>
    <t>UHC Chandanaish, Chattogram</t>
  </si>
  <si>
    <t>UHC Chaygolnaya, Feni</t>
  </si>
  <si>
    <t xml:space="preserve">UHC Matlab North, Chandpur  </t>
  </si>
  <si>
    <t>UHC Borhanuddin, Bhola</t>
  </si>
  <si>
    <t>UHC Banaripara, Barisal</t>
  </si>
  <si>
    <t>UHC Brahmanpara, Comilla</t>
  </si>
  <si>
    <t>Surjer Hasi Clinic (Aftabnagar)</t>
  </si>
  <si>
    <t>Sirajganj 250 Bed Sadar Hospital</t>
  </si>
  <si>
    <t>UHC Panchagar</t>
  </si>
  <si>
    <t>DNCC,Mohakhali</t>
  </si>
  <si>
    <t>BGB Head Quarter, Pilkhana, Dhaka (BGB Hospital)</t>
  </si>
  <si>
    <t>For Xpert</t>
  </si>
  <si>
    <t>For Truenat</t>
  </si>
  <si>
    <t>No. of TruePrep Device</t>
  </si>
  <si>
    <t>Functional TruePrep Device</t>
  </si>
  <si>
    <t>No.of TrueLab Device</t>
  </si>
  <si>
    <t>Functional TrueLab Device</t>
  </si>
  <si>
    <t>Total No. of Chip Ports</t>
  </si>
  <si>
    <t>Total functional Chip Ports</t>
  </si>
  <si>
    <t>No. of Truenat Cartriage Used</t>
  </si>
  <si>
    <t>No. of Truenat MTB Chip Used</t>
  </si>
  <si>
    <t>No. of Truenat RIF Dx Chip Used</t>
  </si>
  <si>
    <t>Monthly reporting on :</t>
  </si>
  <si>
    <r>
      <t xml:space="preserve">Total
</t>
    </r>
    <r>
      <rPr>
        <b/>
        <sz val="6"/>
        <color indexed="63"/>
        <rFont val="Arial Narrow"/>
        <family val="2"/>
      </rPr>
      <t>(Column 3- Column 13)</t>
    </r>
  </si>
  <si>
    <r>
      <t xml:space="preserve">Total
</t>
    </r>
    <r>
      <rPr>
        <b/>
        <sz val="6"/>
        <color indexed="63"/>
        <rFont val="Arial Narrow"/>
        <family val="2"/>
      </rPr>
      <t>(Column 1- Column 2)</t>
    </r>
  </si>
  <si>
    <r>
      <t xml:space="preserve">Others (Specify)*                               </t>
    </r>
    <r>
      <rPr>
        <b/>
        <sz val="6.5"/>
        <color indexed="63"/>
        <rFont val="Arial Narrow"/>
        <family val="2"/>
      </rPr>
      <t>i) Pulmonary clinically diagnosed
ii) Extra Pulmonary
iii) Pulmonary bacteriologically confirmed</t>
    </r>
    <r>
      <rPr>
        <b/>
        <sz val="6"/>
        <color indexed="63"/>
        <rFont val="Arial Narrow"/>
        <family val="2"/>
      </rPr>
      <t xml:space="preserve">
</t>
    </r>
  </si>
  <si>
    <t xml:space="preserve">*Type of patient (Code): 1, Failures of Category I (remain positive at month 5 or later and / Smear negative patients become smear positive at month 2); 2, Failures of Category II (remain positive at month 5 or 8); 3, Non Converters of CAT II (remain positive at month 3); 4, Non Converters of Category I (remain positive at month 2) ; 5, Relapse - a) Category I, b) Category II; 6, Treatment after loss to follow up - a) Category I, b) Category II ; 7, Close contacts of DR-TB patient with symptoms, a) Unknown history b) New c) Prev. treated; 8,  HIV infected person with TB S/S, a) Unknown history b) New c) Prev. treated; 9, Others (Specify) i) Pulmonary, clinically diagnosed, a) Unknown history b) New c) Prev. treated, ii) Extra Pulmonary, a) Unknown history b) New c) Prev. treated, iii) Pulmonary, bacteriologically confirmed, a) Unknown history b) New; 10, Presumptive Pulmonary Smear Negative cases  a) Unknown history b) New c) Prev. treated. </t>
  </si>
  <si>
    <t xml:space="preserve"> Nondikhila Community Clinic</t>
  </si>
  <si>
    <t xml:space="preserve"> Elenga UP 2nd Microscopy Centre</t>
  </si>
  <si>
    <t xml:space="preserve"> Kaligong Sub-Health Cente</t>
  </si>
  <si>
    <t xml:space="preserve"> Bamunia Peripharal Lab</t>
  </si>
  <si>
    <t xml:space="preserve"> Chonka Peripharal Lab</t>
  </si>
  <si>
    <t xml:space="preserve"> Ganganagar Peripharal Lab </t>
  </si>
  <si>
    <t xml:space="preserve"> Gossainbari FWC</t>
  </si>
  <si>
    <t xml:space="preserve"> Zorgacha FWC</t>
  </si>
  <si>
    <t xml:space="preserve"> Khukni Pheferipal Lab</t>
  </si>
  <si>
    <t xml:space="preserve"> Sanandabari USC (2ND LAB)</t>
  </si>
  <si>
    <t xml:space="preserve"> Chilahati P/L</t>
  </si>
  <si>
    <t xml:space="preserve"> Dalia P/L</t>
  </si>
  <si>
    <t xml:space="preserve"> Shibganj 2nd Lab</t>
  </si>
  <si>
    <t xml:space="preserve"> 31 Beded Hospital , Bagbati</t>
  </si>
  <si>
    <t xml:space="preserve"> Jharbari Peripheral Lab</t>
  </si>
  <si>
    <t xml:space="preserve"> Nindoin Community Clinic </t>
  </si>
  <si>
    <t xml:space="preserve"> Digpaith 2nd Laboratory </t>
  </si>
  <si>
    <t xml:space="preserve"> Balarhat Brac Office</t>
  </si>
  <si>
    <t xml:space="preserve"> Naowhata H &amp; FWC</t>
  </si>
  <si>
    <t xml:space="preserve"> Kamdia Health &amp; FWC </t>
  </si>
  <si>
    <t xml:space="preserve"> Kaliachapra USC</t>
  </si>
  <si>
    <t xml:space="preserve"> Kalirhat FWC</t>
  </si>
  <si>
    <t xml:space="preserve"> Khalahpir Brac Office</t>
  </si>
  <si>
    <t>PL Aowtapara UP</t>
  </si>
  <si>
    <t xml:space="preserve"> PL Handial FWC</t>
  </si>
  <si>
    <t xml:space="preserve"> Pl Natiabari RD</t>
  </si>
  <si>
    <t>Shreepur FWC PL</t>
  </si>
  <si>
    <t xml:space="preserve"> Nashratpur FWC PL</t>
  </si>
  <si>
    <t xml:space="preserve"> Karimganj UHC</t>
  </si>
  <si>
    <t xml:space="preserve"> Hossainpur UHC</t>
  </si>
  <si>
    <t xml:space="preserve"> Atpara UHC</t>
  </si>
  <si>
    <t xml:space="preserve"> Tarail UHC</t>
  </si>
  <si>
    <t xml:space="preserve"> Basail UHC</t>
  </si>
  <si>
    <t xml:space="preserve">Nandina TB clinic </t>
  </si>
  <si>
    <t xml:space="preserve"> Mirzapur Kumudini Hospital </t>
  </si>
  <si>
    <t xml:space="preserve"> UHC Delduar</t>
  </si>
  <si>
    <t xml:space="preserve"> Gauripur UHC</t>
  </si>
  <si>
    <t xml:space="preserve"> Hatkhujipur-FWC</t>
  </si>
  <si>
    <t>Name of GeneXpert/Truenat Site</t>
  </si>
  <si>
    <t xml:space="preserve">                                                                Government of the People's Republic of Bangladesh</t>
  </si>
  <si>
    <t>UHC Jamalganj, Sunamganj</t>
  </si>
  <si>
    <t>UHC Jakiganj, Sylhet</t>
  </si>
  <si>
    <t>UHC South Surma, Sylhet</t>
  </si>
  <si>
    <t>Mobial X-ray Van-5, Ramu, Cox's Bazar</t>
  </si>
  <si>
    <t>Mobial X-ray Van-6, Pekua, Cox's Bazar</t>
  </si>
  <si>
    <t>E) Number of MTB not detected (N):</t>
  </si>
  <si>
    <t>D) Number of MTB Trace detected (TT):</t>
  </si>
  <si>
    <t>MTB</t>
  </si>
  <si>
    <t>XDR</t>
  </si>
  <si>
    <t>Invalid</t>
  </si>
  <si>
    <t>No result</t>
  </si>
  <si>
    <t>Error</t>
  </si>
  <si>
    <t>Type Of Cartridge</t>
  </si>
  <si>
    <t>Eligible for XDR Testing</t>
  </si>
  <si>
    <t>Result Of MTB/XDR</t>
  </si>
  <si>
    <t>Name and address of the hospital/ treatment                initiation center            for enrollment of DR TB treatment</t>
  </si>
  <si>
    <t>eTB/ DR TB Registration Number</t>
  </si>
  <si>
    <t>INH</t>
  </si>
  <si>
    <t>FLQ</t>
  </si>
  <si>
    <t>AMK</t>
  </si>
  <si>
    <t>KAN</t>
  </si>
  <si>
    <t>CAP</t>
  </si>
  <si>
    <t>ETH</t>
  </si>
  <si>
    <t>Drug Resistant Cases by Xpert/Truenat</t>
  </si>
  <si>
    <t>Fill this format as per total DR TB detected cases during the reporting month reported in the form DR TB 10 A</t>
  </si>
  <si>
    <t xml:space="preserve">Number of total DR TB detected in the reporting month: </t>
  </si>
  <si>
    <t>Name &amp; address          of the referring unit                                                and cell number</t>
  </si>
  <si>
    <t>**Example: died(With Date), absconded/Lost to follow up, under treatment etc.</t>
  </si>
  <si>
    <t>** Current status of the patient</t>
  </si>
  <si>
    <t>Monthly Report on Truenat/Xpert Results</t>
  </si>
  <si>
    <t xml:space="preserve"> Number of MTB Trace detected (TT):</t>
  </si>
  <si>
    <t>No Result</t>
  </si>
  <si>
    <t>Type Of Sample</t>
  </si>
  <si>
    <t>Name of the RR                                                                                                                               patient</t>
  </si>
  <si>
    <t>Shaheed Ziaur Rahman Medical College &amp; Hospital, Bogra (HTC/ART Center Saheed Zia Medical College Hospital, Bogura)</t>
  </si>
  <si>
    <t xml:space="preserve">Cell Number: </t>
  </si>
  <si>
    <t>Sadar Hospital, Meherpur</t>
  </si>
  <si>
    <t>Sadar Hospital, Chuadanga</t>
  </si>
  <si>
    <t>Sheikh Fazilatunnesa Mujib Memorial Specialized Hospital &amp; Nursing College</t>
  </si>
  <si>
    <t>* Type of patient</t>
  </si>
  <si>
    <t>&lt;Dates&gt;</t>
  </si>
  <si>
    <t>&lt;#&gt;</t>
  </si>
  <si>
    <t>&lt;patientName&gt;</t>
  </si>
  <si>
    <t>&lt;patientAge&gt;</t>
  </si>
  <si>
    <t>&lt;gender&gt;</t>
  </si>
  <si>
    <t>&lt;dateOfDiagnosis&gt;</t>
  </si>
  <si>
    <t>&lt;patientAddressAndCell&gt;</t>
  </si>
  <si>
    <t>&lt;referringAddressAndCell&gt;</t>
  </si>
  <si>
    <t>&lt;tbRegistrationNumber&gt;</t>
  </si>
  <si>
    <t>&lt;resultMtbRif&gt;</t>
  </si>
  <si>
    <t>&lt;hospitalTreatmentDRTB&gt;</t>
  </si>
  <si>
    <t>&lt;enrollmentStatus&gt;</t>
  </si>
  <si>
    <t>&lt;enrollmentDate&gt;</t>
  </si>
  <si>
    <t>&lt;patientStatus&gt;</t>
  </si>
  <si>
    <t>&lt;remarks&gt;</t>
  </si>
  <si>
    <t>&lt;Table&gt;</t>
  </si>
  <si>
    <t>&lt;sampleType&gt;</t>
  </si>
  <si>
    <t>&lt;mtbDetected&gt;</t>
  </si>
  <si>
    <t>&lt;inhDetected&gt;</t>
  </si>
  <si>
    <t>&lt;flqDetected&gt;</t>
  </si>
  <si>
    <t>&lt;amkDetected&gt;</t>
  </si>
  <si>
    <t>&lt;kanDetected&gt;</t>
  </si>
  <si>
    <t>&lt;capDetected&gt;</t>
  </si>
  <si>
    <t>&lt;ethDetected&gt;</t>
  </si>
  <si>
    <t>&lt;patientType&gt;</t>
  </si>
  <si>
    <t>Bacterial Load</t>
  </si>
  <si>
    <t>&lt;bacterialLoad&gt;</t>
  </si>
  <si>
    <t>Result of Xpert/Truenat MTB/RIF/Ultra</t>
  </si>
  <si>
    <t>Number of Xpert XDR Assay</t>
  </si>
  <si>
    <t>Tested from Eligible</t>
  </si>
  <si>
    <t>No. of Total Tests</t>
  </si>
  <si>
    <t>GeneXpert (Sputum &amp; EP)</t>
  </si>
  <si>
    <t>GeneXpert (Stool)</t>
  </si>
  <si>
    <t>Site of Xpert/Truenat MTB/RIF Test</t>
  </si>
  <si>
    <t>Number Of Xpert XDR Assay From  Sputum &amp; EP 10A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</si>
</sst>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quot;$&quot;* #,##0.00_);_(&quot;$&quot;* \(#,##0.00\);_(&quot;$&quot;* &quot;-&quot;??_);_(@_)"/>
    <numFmt numFmtId="165" formatCode="dd\/mm\/yyyy"/>
    <numFmt numFmtId="166" formatCode="[$-409]General"/>
    <numFmt numFmtId="167" formatCode="[$$-409]#,##0.00;[Red]&quot;-&quot;[$$-409]#,##0.00"/>
  </numFmts>
  <fonts count="53"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charset val="1"/>
    </font>
    <font>
      <b/>
      <sz val="11"/>
      <color indexed="63"/>
      <name val="Arial Narrow"/>
      <family val="2"/>
    </font>
    <font>
      <b/>
      <sz val="8"/>
      <color indexed="63"/>
      <name val="Arial Narrow"/>
      <family val="2"/>
    </font>
    <font>
      <b/>
      <sz val="12"/>
      <color indexed="63"/>
      <name val="Arial Narrow"/>
      <family val="2"/>
    </font>
    <font>
      <b/>
      <sz val="10"/>
      <color indexed="63"/>
      <name val="Arial Narrow"/>
      <family val="2"/>
    </font>
    <font>
      <b/>
      <sz val="11"/>
      <color indexed="8"/>
      <name val="Arial Narrow"/>
      <family val="2"/>
    </font>
    <font>
      <sz val="11"/>
      <color theme="1"/>
      <name val="Calibri"/>
      <family val="2"/>
      <scheme val="minor"/>
    </font>
    <font>
      <b/>
      <sz val="11"/>
      <color theme="1"/>
      <name val="Arial Narrow"/>
      <family val="2"/>
    </font>
    <font>
      <b/>
      <sz val="6"/>
      <color indexed="63"/>
      <name val="Arial Narrow"/>
      <family val="2"/>
    </font>
    <font>
      <b/>
      <sz val="7"/>
      <color indexed="63"/>
      <name val="Arial Narrow"/>
      <family val="2"/>
    </font>
    <font>
      <b/>
      <sz val="8"/>
      <color theme="1"/>
      <name val="Arial Narrow"/>
      <family val="2"/>
    </font>
    <font>
      <b/>
      <sz val="9"/>
      <color indexed="63"/>
      <name val="Arial Narrow"/>
      <family val="2"/>
    </font>
    <font>
      <b/>
      <sz val="6"/>
      <color indexed="8"/>
      <name val="Arial Narrow"/>
      <family val="2"/>
    </font>
    <font>
      <b/>
      <sz val="12"/>
      <color indexed="8"/>
      <name val="Arial Narrow"/>
      <family val="2"/>
    </font>
    <font>
      <b/>
      <sz val="10"/>
      <color indexed="8"/>
      <name val="Arial Narrow"/>
      <family val="2"/>
    </font>
    <font>
      <b/>
      <sz val="10"/>
      <color theme="1"/>
      <name val="Arial Narrow"/>
      <family val="2"/>
    </font>
    <font>
      <sz val="11"/>
      <color rgb="FF000000"/>
      <name val="Calibri"/>
      <family val="2"/>
    </font>
    <font>
      <b/>
      <sz val="10"/>
      <color indexed="8"/>
      <name val="Arial"/>
      <family val="2"/>
    </font>
    <font>
      <b/>
      <sz val="10"/>
      <color indexed="8"/>
      <name val="Calibri"/>
      <family val="2"/>
    </font>
    <font>
      <b/>
      <sz val="11"/>
      <color rgb="FF000000"/>
      <name val="Calibri"/>
      <family val="2"/>
    </font>
    <font>
      <b/>
      <sz val="10"/>
      <name val="Arial Narrow"/>
      <family val="2"/>
    </font>
    <font>
      <b/>
      <sz val="11"/>
      <name val="Arial Narrow"/>
      <family val="2"/>
    </font>
    <font>
      <b/>
      <sz val="11"/>
      <color theme="1"/>
      <name val="Calibri"/>
      <family val="2"/>
      <scheme val="minor"/>
    </font>
    <font>
      <b/>
      <sz val="11"/>
      <color theme="1"/>
      <name val="Arial"/>
      <family val="2"/>
    </font>
    <font>
      <sz val="11"/>
      <color theme="1"/>
      <name val="Arial"/>
      <family val="2"/>
    </font>
    <font>
      <sz val="11"/>
      <color theme="1"/>
      <name val="Calibri"/>
      <family val="2"/>
      <charset val="1"/>
      <scheme val="minor"/>
    </font>
    <font>
      <b/>
      <i/>
      <sz val="16"/>
      <color theme="1"/>
      <name val="Arial"/>
      <family val="2"/>
    </font>
    <font>
      <b/>
      <i/>
      <u/>
      <sz val="11"/>
      <color theme="1"/>
      <name val="Arial"/>
      <family val="2"/>
    </font>
    <font>
      <b/>
      <sz val="12"/>
      <color theme="1"/>
      <name val="Arial Narrow"/>
      <family val="2"/>
    </font>
    <font>
      <b/>
      <sz val="14"/>
      <color indexed="63"/>
      <name val="Arial Narrow"/>
      <family val="2"/>
    </font>
    <font>
      <b/>
      <sz val="13"/>
      <color theme="1"/>
      <name val="Arial Narrow"/>
      <family val="2"/>
    </font>
    <font>
      <b/>
      <sz val="13"/>
      <color indexed="8"/>
      <name val="Arial Narrow"/>
      <family val="2"/>
    </font>
    <font>
      <b/>
      <sz val="11"/>
      <name val="Calibri"/>
      <family val="2"/>
      <scheme val="minor"/>
    </font>
    <font>
      <b/>
      <sz val="6.5"/>
      <color indexed="63"/>
      <name val="Arial Narrow"/>
      <family val="2"/>
    </font>
    <font>
      <b/>
      <sz val="7"/>
      <color theme="1"/>
      <name val="Arial Narrow"/>
      <family val="2"/>
    </font>
    <font>
      <b/>
      <sz val="11"/>
      <color theme="1"/>
      <name val="Calibri"/>
      <family val="2"/>
      <charset val="1"/>
      <scheme val="minor"/>
    </font>
    <font>
      <b/>
      <sz val="12"/>
      <color indexed="8"/>
      <name val="Arial"/>
      <family val="2"/>
    </font>
    <font>
      <b/>
      <sz val="11"/>
      <color indexed="8"/>
      <name val="Symbol"/>
      <family val="1"/>
      <charset val="2"/>
    </font>
    <font>
      <b/>
      <sz val="13"/>
      <color indexed="63"/>
      <name val="Arial Narrow"/>
      <family val="2"/>
    </font>
    <font>
      <b/>
      <sz val="11"/>
      <color indexed="8"/>
      <name val="Times New Roman"/>
      <family val="1"/>
    </font>
    <font>
      <b/>
      <sz val="9"/>
      <color indexed="8"/>
      <name val="Arial Narrow"/>
      <family val="2"/>
    </font>
    <font>
      <sz val="10"/>
      <color theme="1"/>
      <name val="Arial Narrow"/>
      <family val="2"/>
    </font>
    <font>
      <sz val="11"/>
      <color theme="1"/>
      <name val="Arial Narrow"/>
      <family val="2"/>
    </font>
    <font>
      <sz val="11"/>
      <name val="Calibri"/>
      <family val="2"/>
    </font>
    <font>
      <sz val="9"/>
      <name val="Calibri"/>
      <family val="2"/>
      <scheme val="minor"/>
    </font>
    <font>
      <sz val="11"/>
      <color theme="1"/>
      <name val="Calibri"/>
      <family val="2"/>
    </font>
    <font>
      <b/>
      <sz val="9"/>
      <color theme="1"/>
      <name val="Arial Narrow"/>
      <family val="2"/>
    </font>
    <font>
      <sz val="9"/>
      <color theme="1"/>
      <name val="Calibri"/>
      <family val="2"/>
      <charset val="1"/>
      <scheme val="minor"/>
    </font>
    <font>
      <b/>
      <sz val="10"/>
      <color theme="1"/>
      <name val="Arial"/>
      <family val="2"/>
    </font>
  </fonts>
  <fills count="12">
    <fill>
      <patternFill patternType="none"/>
    </fill>
    <fill>
      <patternFill patternType="gray125"/>
    </fill>
    <fill>
      <patternFill patternType="solid">
        <fgColor theme="1" tint="0.499984740745262"/>
        <bgColor indexed="64"/>
      </patternFill>
    </fill>
    <fill>
      <patternFill patternType="solid">
        <fgColor rgb="FFFFFFCC"/>
        <bgColor indexed="64"/>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bgColor indexed="64"/>
      </patternFill>
    </fill>
    <fill>
      <patternFill patternType="solid">
        <fgColor theme="9" tint="0.39997558519241921"/>
        <bgColor indexed="64"/>
      </patternFill>
    </fill>
  </fills>
  <borders count="7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ashed">
        <color indexed="64"/>
      </left>
      <right style="thin">
        <color indexed="64"/>
      </right>
      <top style="dashed">
        <color indexed="64"/>
      </top>
      <bottom style="dashed">
        <color indexed="64"/>
      </bottom>
      <diagonal/>
    </border>
    <border>
      <left style="dashed">
        <color indexed="64"/>
      </left>
      <right style="thin">
        <color indexed="64"/>
      </right>
      <top style="dashed">
        <color indexed="64"/>
      </top>
      <bottom style="medium">
        <color indexed="64"/>
      </bottom>
      <diagonal/>
    </border>
    <border>
      <left/>
      <right/>
      <top style="dashed">
        <color indexed="64"/>
      </top>
      <bottom style="dashed">
        <color indexed="64"/>
      </bottom>
      <diagonal/>
    </border>
    <border>
      <left/>
      <right/>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bottom style="dotted">
        <color auto="1"/>
      </bottom>
      <diagonal/>
    </border>
    <border>
      <left/>
      <right/>
      <top style="dotted">
        <color auto="1"/>
      </top>
      <bottom/>
      <diagonal/>
    </border>
    <border>
      <left/>
      <right/>
      <top style="dotted">
        <color auto="1"/>
      </top>
      <bottom style="dotted">
        <color auto="1"/>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s>
  <cellStyleXfs count="27">
    <xf numFmtId="0" fontId="0" fillId="0" borderId="0"/>
    <xf numFmtId="0" fontId="10" fillId="0" borderId="0"/>
    <xf numFmtId="0" fontId="20" fillId="0" borderId="0"/>
    <xf numFmtId="0" fontId="3" fillId="0" borderId="0"/>
    <xf numFmtId="0" fontId="29" fillId="0" borderId="0"/>
    <xf numFmtId="0" fontId="28" fillId="0" borderId="0"/>
    <xf numFmtId="166" fontId="20" fillId="0" borderId="0"/>
    <xf numFmtId="0" fontId="30" fillId="0" borderId="0">
      <alignment horizontal="center"/>
    </xf>
    <xf numFmtId="0" fontId="30" fillId="0" borderId="0">
      <alignment horizontal="center" textRotation="90"/>
    </xf>
    <xf numFmtId="0" fontId="3" fillId="0" borderId="0"/>
    <xf numFmtId="166" fontId="20" fillId="0" borderId="0"/>
    <xf numFmtId="166" fontId="20" fillId="0" borderId="0"/>
    <xf numFmtId="0" fontId="28" fillId="0" borderId="0"/>
    <xf numFmtId="0" fontId="31" fillId="0" borderId="0"/>
    <xf numFmtId="167" fontId="31" fillId="0" borderId="0"/>
    <xf numFmtId="0" fontId="2" fillId="0" borderId="0"/>
    <xf numFmtId="0" fontId="2" fillId="0" borderId="0"/>
    <xf numFmtId="0" fontId="2"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404">
    <xf numFmtId="0" fontId="0" fillId="0" borderId="0" xfId="0"/>
    <xf numFmtId="0" fontId="5" fillId="0" borderId="0" xfId="0" applyFont="1" applyAlignment="1" applyProtection="1">
      <alignment vertical="center"/>
      <protection hidden="1"/>
    </xf>
    <xf numFmtId="0" fontId="7" fillId="0" borderId="0" xfId="0" applyFont="1" applyAlignment="1" applyProtection="1">
      <alignment vertical="center"/>
      <protection hidden="1"/>
    </xf>
    <xf numFmtId="0" fontId="8" fillId="0" borderId="4" xfId="0" applyFont="1" applyBorder="1" applyAlignment="1" applyProtection="1">
      <alignment horizontal="left" vertical="center"/>
      <protection hidden="1"/>
    </xf>
    <xf numFmtId="0" fontId="15" fillId="0" borderId="41" xfId="0" applyFont="1" applyBorder="1" applyAlignment="1" applyProtection="1">
      <alignment horizontal="center" vertical="center" wrapText="1"/>
      <protection hidden="1"/>
    </xf>
    <xf numFmtId="0" fontId="12" fillId="0" borderId="21" xfId="0" applyFont="1" applyBorder="1" applyAlignment="1" applyProtection="1">
      <alignment horizontal="center" vertical="center" wrapText="1"/>
      <protection hidden="1"/>
    </xf>
    <xf numFmtId="0" fontId="8" fillId="0" borderId="9" xfId="0" applyFont="1" applyBorder="1" applyAlignment="1" applyProtection="1">
      <alignment horizontal="center" vertical="center"/>
      <protection locked="0"/>
    </xf>
    <xf numFmtId="0" fontId="16" fillId="0" borderId="22" xfId="0" applyFont="1" applyBorder="1" applyAlignment="1" applyProtection="1">
      <alignment horizontal="center" vertical="center"/>
      <protection hidden="1"/>
    </xf>
    <xf numFmtId="0" fontId="19" fillId="0" borderId="9" xfId="0" applyFont="1" applyBorder="1" applyAlignment="1" applyProtection="1">
      <alignment horizontal="center" vertical="center"/>
      <protection locked="0"/>
    </xf>
    <xf numFmtId="165" fontId="5" fillId="0" borderId="57" xfId="0" applyNumberFormat="1" applyFont="1" applyBorder="1" applyAlignment="1" applyProtection="1">
      <alignment horizontal="center" vertical="center"/>
      <protection hidden="1"/>
    </xf>
    <xf numFmtId="0" fontId="9" fillId="3" borderId="22" xfId="0" applyFont="1" applyFill="1" applyBorder="1" applyAlignment="1">
      <alignment horizontal="center" vertical="center"/>
    </xf>
    <xf numFmtId="0" fontId="9" fillId="3" borderId="11" xfId="0" applyFont="1" applyFill="1" applyBorder="1" applyAlignment="1">
      <alignment horizontal="center" vertical="center"/>
    </xf>
    <xf numFmtId="0" fontId="17" fillId="3" borderId="13" xfId="0" applyFont="1" applyFill="1" applyBorder="1" applyAlignment="1">
      <alignment horizontal="center" vertical="center"/>
    </xf>
    <xf numFmtId="0" fontId="18" fillId="3" borderId="9" xfId="0" applyFont="1" applyFill="1" applyBorder="1" applyAlignment="1">
      <alignment horizontal="center" vertical="center"/>
    </xf>
    <xf numFmtId="0" fontId="17" fillId="3" borderId="11" xfId="0" applyFont="1" applyFill="1" applyBorder="1" applyAlignment="1">
      <alignment horizontal="center" vertical="center"/>
    </xf>
    <xf numFmtId="0" fontId="8" fillId="3" borderId="9" xfId="0" applyFont="1" applyFill="1" applyBorder="1" applyAlignment="1">
      <alignment horizontal="center" vertical="center"/>
    </xf>
    <xf numFmtId="0" fontId="19" fillId="3" borderId="9" xfId="0" applyFont="1" applyFill="1" applyBorder="1" applyAlignment="1">
      <alignment horizontal="center" vertical="center"/>
    </xf>
    <xf numFmtId="0" fontId="8" fillId="3" borderId="12" xfId="0" applyFont="1" applyFill="1" applyBorder="1" applyAlignment="1">
      <alignment horizontal="center" vertical="center"/>
    </xf>
    <xf numFmtId="0" fontId="19" fillId="3" borderId="12" xfId="0" applyFont="1" applyFill="1" applyBorder="1" applyAlignment="1">
      <alignment horizontal="center" vertical="center"/>
    </xf>
    <xf numFmtId="0" fontId="15" fillId="0" borderId="0" xfId="2" applyFont="1" applyProtection="1">
      <protection hidden="1"/>
    </xf>
    <xf numFmtId="0" fontId="23" fillId="0" borderId="0" xfId="2" applyFont="1" applyAlignment="1" applyProtection="1">
      <alignment horizontal="left"/>
      <protection hidden="1"/>
    </xf>
    <xf numFmtId="0" fontId="14" fillId="0" borderId="10" xfId="0" applyFont="1" applyBorder="1" applyAlignment="1" applyProtection="1">
      <alignment horizontal="center" vertical="center" wrapText="1"/>
      <protection hidden="1"/>
    </xf>
    <xf numFmtId="165" fontId="7" fillId="0" borderId="57" xfId="0" applyNumberFormat="1" applyFont="1" applyBorder="1" applyAlignment="1" applyProtection="1">
      <alignment horizontal="center" vertical="center"/>
      <protection hidden="1"/>
    </xf>
    <xf numFmtId="0" fontId="32" fillId="0" borderId="0" xfId="0" applyFont="1" applyAlignment="1" applyProtection="1">
      <alignment horizontal="center" vertical="center"/>
      <protection hidden="1"/>
    </xf>
    <xf numFmtId="0" fontId="5" fillId="0" borderId="0" xfId="0" applyFont="1" applyAlignment="1" applyProtection="1">
      <alignment vertical="center" wrapText="1"/>
      <protection hidden="1"/>
    </xf>
    <xf numFmtId="0" fontId="32" fillId="0" borderId="0" xfId="0" applyFont="1" applyAlignment="1" applyProtection="1">
      <alignment vertical="center"/>
      <protection hidden="1"/>
    </xf>
    <xf numFmtId="0" fontId="32" fillId="0" borderId="0" xfId="0" applyFont="1" applyAlignment="1" applyProtection="1">
      <alignment vertical="center" wrapText="1"/>
      <protection hidden="1"/>
    </xf>
    <xf numFmtId="49" fontId="17" fillId="0" borderId="0" xfId="0" applyNumberFormat="1" applyFont="1" applyAlignment="1" applyProtection="1">
      <alignment horizontal="left" shrinkToFit="1"/>
      <protection hidden="1"/>
    </xf>
    <xf numFmtId="0" fontId="32" fillId="0" borderId="56" xfId="0" applyFont="1" applyBorder="1" applyAlignment="1" applyProtection="1">
      <alignment horizontal="center" shrinkToFit="1"/>
      <protection hidden="1"/>
    </xf>
    <xf numFmtId="0" fontId="21" fillId="5" borderId="9" xfId="2" applyFont="1" applyFill="1" applyBorder="1" applyAlignment="1" applyProtection="1">
      <alignment horizontal="center" vertical="center" wrapText="1"/>
      <protection hidden="1"/>
    </xf>
    <xf numFmtId="0" fontId="36" fillId="0" borderId="9" xfId="18" applyFont="1" applyBorder="1"/>
    <xf numFmtId="0" fontId="11" fillId="0" borderId="0" xfId="0" applyFont="1" applyAlignment="1" applyProtection="1">
      <alignment horizontal="center" vertical="center"/>
      <protection hidden="1"/>
    </xf>
    <xf numFmtId="0" fontId="7" fillId="0" borderId="0" xfId="0" applyFont="1" applyAlignment="1" applyProtection="1">
      <alignment horizontal="center" vertical="center" wrapText="1"/>
      <protection hidden="1"/>
    </xf>
    <xf numFmtId="0" fontId="17" fillId="0" borderId="0" xfId="0" applyFont="1" applyAlignment="1" applyProtection="1">
      <alignment horizontal="center" vertical="center" wrapText="1"/>
      <protection hidden="1"/>
    </xf>
    <xf numFmtId="0" fontId="33" fillId="0" borderId="0" xfId="0" applyFont="1" applyAlignment="1" applyProtection="1">
      <alignment horizontal="center" vertical="center"/>
      <protection hidden="1"/>
    </xf>
    <xf numFmtId="0" fontId="7" fillId="4" borderId="0" xfId="0" applyFont="1" applyFill="1" applyAlignment="1" applyProtection="1">
      <alignment vertical="center"/>
      <protection hidden="1"/>
    </xf>
    <xf numFmtId="0" fontId="11" fillId="4" borderId="0" xfId="0" applyFont="1" applyFill="1" applyProtection="1">
      <protection hidden="1"/>
    </xf>
    <xf numFmtId="0" fontId="11" fillId="0" borderId="0" xfId="0" applyFont="1" applyProtection="1">
      <protection hidden="1"/>
    </xf>
    <xf numFmtId="0" fontId="5" fillId="4" borderId="0" xfId="0" applyFont="1" applyFill="1" applyAlignment="1" applyProtection="1">
      <alignment vertical="center"/>
      <protection hidden="1"/>
    </xf>
    <xf numFmtId="0" fontId="5" fillId="0" borderId="0" xfId="0" applyFont="1" applyAlignment="1" applyProtection="1">
      <alignment horizontal="center" vertical="center"/>
      <protection hidden="1"/>
    </xf>
    <xf numFmtId="0" fontId="8" fillId="0" borderId="0" xfId="0" applyFont="1" applyAlignment="1" applyProtection="1">
      <alignment vertical="center"/>
      <protection hidden="1"/>
    </xf>
    <xf numFmtId="0" fontId="19" fillId="0" borderId="0" xfId="0" applyFont="1" applyAlignment="1" applyProtection="1">
      <alignment vertical="center"/>
      <protection hidden="1"/>
    </xf>
    <xf numFmtId="0" fontId="5" fillId="0" borderId="0" xfId="0" applyFont="1" applyAlignment="1" applyProtection="1">
      <alignment horizontal="left" vertical="center"/>
      <protection hidden="1"/>
    </xf>
    <xf numFmtId="0" fontId="8" fillId="0" borderId="0" xfId="0" applyFont="1" applyAlignment="1" applyProtection="1">
      <alignment horizontal="left" vertical="center"/>
      <protection hidden="1"/>
    </xf>
    <xf numFmtId="0" fontId="8" fillId="0" borderId="57" xfId="0" applyFont="1" applyBorder="1" applyAlignment="1" applyProtection="1">
      <alignment vertical="center"/>
      <protection hidden="1"/>
    </xf>
    <xf numFmtId="0" fontId="8" fillId="0" borderId="0" xfId="0" applyFont="1" applyProtection="1">
      <protection hidden="1"/>
    </xf>
    <xf numFmtId="0" fontId="18" fillId="0" borderId="0" xfId="0" applyFont="1" applyProtection="1">
      <protection hidden="1"/>
    </xf>
    <xf numFmtId="0" fontId="8" fillId="0" borderId="0" xfId="0" applyFont="1" applyAlignment="1" applyProtection="1">
      <alignment horizontal="left"/>
      <protection hidden="1"/>
    </xf>
    <xf numFmtId="0" fontId="18" fillId="4" borderId="0" xfId="0" applyFont="1" applyFill="1" applyProtection="1">
      <protection hidden="1"/>
    </xf>
    <xf numFmtId="0" fontId="18" fillId="0" borderId="34" xfId="0" applyFont="1" applyBorder="1" applyProtection="1">
      <protection hidden="1"/>
    </xf>
    <xf numFmtId="0" fontId="18" fillId="0" borderId="9" xfId="0" applyFont="1" applyBorder="1" applyAlignment="1" applyProtection="1">
      <alignment horizontal="center" vertical="center"/>
      <protection locked="0" hidden="1"/>
    </xf>
    <xf numFmtId="0" fontId="18" fillId="11" borderId="9" xfId="0" applyFont="1" applyFill="1" applyBorder="1" applyAlignment="1" applyProtection="1">
      <alignment horizontal="left"/>
      <protection hidden="1"/>
    </xf>
    <xf numFmtId="0" fontId="18" fillId="11" borderId="9" xfId="0" applyFont="1" applyFill="1" applyBorder="1" applyAlignment="1" applyProtection="1">
      <alignment horizontal="left" vertical="center"/>
      <protection hidden="1"/>
    </xf>
    <xf numFmtId="0" fontId="18" fillId="0" borderId="2" xfId="0" applyFont="1" applyBorder="1" applyProtection="1">
      <protection hidden="1"/>
    </xf>
    <xf numFmtId="0" fontId="18" fillId="0" borderId="3" xfId="0" applyFont="1" applyBorder="1" applyProtection="1">
      <protection hidden="1"/>
    </xf>
    <xf numFmtId="0" fontId="18" fillId="0" borderId="7" xfId="0" applyFont="1" applyBorder="1" applyProtection="1">
      <protection hidden="1"/>
    </xf>
    <xf numFmtId="0" fontId="18" fillId="0" borderId="8" xfId="0" applyFont="1" applyBorder="1" applyProtection="1">
      <protection hidden="1"/>
    </xf>
    <xf numFmtId="0" fontId="8" fillId="0" borderId="6" xfId="0" applyFont="1" applyBorder="1" applyAlignment="1" applyProtection="1">
      <alignment horizontal="left"/>
      <protection hidden="1"/>
    </xf>
    <xf numFmtId="0" fontId="8" fillId="0" borderId="7" xfId="0" applyFont="1" applyBorder="1" applyAlignment="1" applyProtection="1">
      <alignment horizontal="left"/>
      <protection hidden="1"/>
    </xf>
    <xf numFmtId="0" fontId="11" fillId="0" borderId="7" xfId="0" applyFont="1" applyBorder="1" applyProtection="1">
      <protection hidden="1"/>
    </xf>
    <xf numFmtId="0" fontId="13" fillId="0" borderId="0" xfId="0" applyFont="1" applyProtection="1">
      <protection hidden="1"/>
    </xf>
    <xf numFmtId="0" fontId="13" fillId="0" borderId="10"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3" fillId="0" borderId="23"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8" fillId="0" borderId="67"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wrapText="1"/>
      <protection locked="0"/>
    </xf>
    <xf numFmtId="0" fontId="8" fillId="0" borderId="15" xfId="0" applyFont="1" applyBorder="1" applyAlignment="1" applyProtection="1">
      <alignment horizontal="center" vertical="center" wrapText="1"/>
      <protection locked="0"/>
    </xf>
    <xf numFmtId="0" fontId="11" fillId="0" borderId="0" xfId="0" applyFont="1" applyAlignment="1" applyProtection="1">
      <alignment vertical="center"/>
      <protection hidden="1"/>
    </xf>
    <xf numFmtId="0" fontId="14" fillId="0" borderId="10" xfId="0" applyFont="1" applyBorder="1" applyAlignment="1" applyProtection="1">
      <alignment vertical="center"/>
      <protection hidden="1"/>
    </xf>
    <xf numFmtId="0" fontId="14" fillId="0" borderId="9" xfId="0" applyFont="1" applyBorder="1" applyAlignment="1" applyProtection="1">
      <alignment horizontal="center" vertical="center"/>
      <protection hidden="1"/>
    </xf>
    <xf numFmtId="0" fontId="14" fillId="0" borderId="11" xfId="0" applyFont="1" applyBorder="1" applyAlignment="1" applyProtection="1">
      <alignment horizontal="center" vertical="center"/>
      <protection hidden="1"/>
    </xf>
    <xf numFmtId="0" fontId="19" fillId="0" borderId="9" xfId="0" applyFont="1" applyBorder="1" applyAlignment="1" applyProtection="1">
      <alignment horizontal="center" vertical="center" shrinkToFit="1"/>
      <protection locked="0"/>
    </xf>
    <xf numFmtId="0" fontId="19" fillId="0" borderId="11" xfId="0"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shrinkToFit="1"/>
      <protection locked="0"/>
    </xf>
    <xf numFmtId="0" fontId="19" fillId="2" borderId="12" xfId="0" applyFont="1" applyFill="1" applyBorder="1" applyAlignment="1" applyProtection="1">
      <alignment horizontal="center" vertical="center" shrinkToFit="1"/>
      <protection hidden="1"/>
    </xf>
    <xf numFmtId="0" fontId="19" fillId="2" borderId="13" xfId="0" applyFont="1" applyFill="1" applyBorder="1" applyAlignment="1" applyProtection="1">
      <alignment horizontal="center" vertical="center" shrinkToFit="1"/>
      <protection hidden="1"/>
    </xf>
    <xf numFmtId="0" fontId="38" fillId="0" borderId="0" xfId="0" applyFont="1" applyProtection="1">
      <protection hidden="1"/>
    </xf>
    <xf numFmtId="0" fontId="14" fillId="0" borderId="0" xfId="0" applyFont="1" applyProtection="1">
      <protection hidden="1"/>
    </xf>
    <xf numFmtId="0" fontId="14" fillId="4" borderId="0" xfId="0" applyFont="1" applyFill="1" applyProtection="1">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right"/>
      <protection hidden="1"/>
    </xf>
    <xf numFmtId="0" fontId="11" fillId="0" borderId="9" xfId="0" applyFont="1" applyBorder="1" applyProtection="1">
      <protection hidden="1"/>
    </xf>
    <xf numFmtId="0" fontId="19" fillId="0" borderId="9" xfId="0" applyFont="1" applyBorder="1" applyProtection="1">
      <protection hidden="1"/>
    </xf>
    <xf numFmtId="0" fontId="39" fillId="0" borderId="9" xfId="0" applyFont="1" applyBorder="1"/>
    <xf numFmtId="0" fontId="39" fillId="0" borderId="9" xfId="0" applyFont="1" applyBorder="1" applyProtection="1">
      <protection hidden="1"/>
    </xf>
    <xf numFmtId="0" fontId="24" fillId="0" borderId="9" xfId="0" applyFont="1" applyBorder="1" applyProtection="1">
      <protection hidden="1"/>
    </xf>
    <xf numFmtId="0" fontId="39" fillId="0" borderId="9" xfId="0" applyFont="1" applyBorder="1" applyAlignment="1">
      <alignment vertical="center"/>
    </xf>
    <xf numFmtId="0" fontId="39" fillId="6" borderId="9" xfId="0" applyFont="1" applyFill="1" applyBorder="1" applyAlignment="1">
      <alignment vertical="center"/>
    </xf>
    <xf numFmtId="0" fontId="25" fillId="0" borderId="9" xfId="0" applyFont="1" applyBorder="1" applyProtection="1">
      <protection hidden="1"/>
    </xf>
    <xf numFmtId="0" fontId="40" fillId="0" borderId="0" xfId="2" applyFont="1" applyProtection="1">
      <protection hidden="1"/>
    </xf>
    <xf numFmtId="0" fontId="23" fillId="0" borderId="0" xfId="2" applyFont="1" applyProtection="1">
      <protection hidden="1"/>
    </xf>
    <xf numFmtId="0" fontId="21" fillId="0" borderId="0" xfId="2" applyFont="1" applyProtection="1">
      <protection hidden="1"/>
    </xf>
    <xf numFmtId="0" fontId="21" fillId="0" borderId="0" xfId="2" applyFont="1" applyAlignment="1" applyProtection="1">
      <alignment vertical="center"/>
      <protection hidden="1"/>
    </xf>
    <xf numFmtId="0" fontId="23" fillId="0" borderId="0" xfId="2" applyFont="1" applyAlignment="1" applyProtection="1">
      <alignment horizontal="right"/>
      <protection hidden="1"/>
    </xf>
    <xf numFmtId="0" fontId="18" fillId="0" borderId="0" xfId="2" applyFont="1" applyProtection="1">
      <protection hidden="1"/>
    </xf>
    <xf numFmtId="0" fontId="23" fillId="0" borderId="0" xfId="2" applyFont="1" applyAlignment="1" applyProtection="1">
      <alignment vertical="top"/>
      <protection locked="0"/>
    </xf>
    <xf numFmtId="0" fontId="41" fillId="0" borderId="0" xfId="2" applyFont="1" applyProtection="1">
      <protection hidden="1"/>
    </xf>
    <xf numFmtId="0" fontId="8" fillId="0" borderId="0" xfId="2" applyFont="1" applyAlignment="1" applyProtection="1">
      <alignment vertical="center"/>
      <protection hidden="1"/>
    </xf>
    <xf numFmtId="0" fontId="33" fillId="0" borderId="0" xfId="0" applyFont="1" applyAlignment="1" applyProtection="1">
      <alignment vertical="center"/>
      <protection hidden="1"/>
    </xf>
    <xf numFmtId="0" fontId="39" fillId="0" borderId="0" xfId="0" applyFont="1" applyProtection="1">
      <protection hidden="1"/>
    </xf>
    <xf numFmtId="0" fontId="39" fillId="0" borderId="0" xfId="0" applyFont="1"/>
    <xf numFmtId="0" fontId="7" fillId="0" borderId="0" xfId="0" applyFont="1" applyAlignment="1" applyProtection="1">
      <alignment horizontal="left" vertical="center"/>
      <protection hidden="1"/>
    </xf>
    <xf numFmtId="0" fontId="7" fillId="0" borderId="57" xfId="0" applyFont="1" applyBorder="1" applyAlignment="1" applyProtection="1">
      <alignment vertical="center"/>
      <protection hidden="1"/>
    </xf>
    <xf numFmtId="0" fontId="7" fillId="0" borderId="0" xfId="0" applyFont="1" applyProtection="1">
      <protection hidden="1"/>
    </xf>
    <xf numFmtId="0" fontId="17" fillId="0" borderId="0" xfId="0" applyFont="1" applyProtection="1">
      <protection hidden="1"/>
    </xf>
    <xf numFmtId="0" fontId="32" fillId="0" borderId="0" xfId="0" applyFont="1" applyProtection="1">
      <protection hidden="1"/>
    </xf>
    <xf numFmtId="0" fontId="7" fillId="0" borderId="0" xfId="0" applyFont="1" applyAlignment="1" applyProtection="1">
      <alignment horizontal="left" shrinkToFit="1"/>
      <protection hidden="1"/>
    </xf>
    <xf numFmtId="0" fontId="9" fillId="0" borderId="29" xfId="0" applyFont="1" applyBorder="1" applyAlignment="1" applyProtection="1">
      <alignment horizontal="center" vertical="center" shrinkToFit="1"/>
      <protection locked="0" hidden="1"/>
    </xf>
    <xf numFmtId="0" fontId="9" fillId="0" borderId="12" xfId="0" applyFont="1" applyBorder="1" applyAlignment="1" applyProtection="1">
      <alignment horizontal="center" vertical="center" shrinkToFit="1"/>
      <protection locked="0" hidden="1"/>
    </xf>
    <xf numFmtId="0" fontId="9" fillId="0" borderId="55" xfId="0" applyFont="1" applyBorder="1" applyAlignment="1" applyProtection="1">
      <alignment horizontal="center" vertical="center" shrinkToFit="1"/>
      <protection locked="0" hidden="1"/>
    </xf>
    <xf numFmtId="0" fontId="7" fillId="0" borderId="0" xfId="0" applyFont="1" applyAlignment="1" applyProtection="1">
      <alignment horizontal="left"/>
      <protection hidden="1"/>
    </xf>
    <xf numFmtId="0" fontId="7" fillId="0" borderId="4" xfId="0" applyFont="1" applyBorder="1" applyAlignment="1" applyProtection="1">
      <alignment horizontal="left"/>
      <protection hidden="1"/>
    </xf>
    <xf numFmtId="0" fontId="17" fillId="0" borderId="5" xfId="0" applyFont="1" applyBorder="1" applyProtection="1">
      <protection hidden="1"/>
    </xf>
    <xf numFmtId="0" fontId="32" fillId="0" borderId="0" xfId="0" applyFont="1" applyAlignment="1" applyProtection="1">
      <alignment horizontal="center" vertical="center" wrapText="1"/>
      <protection hidden="1"/>
    </xf>
    <xf numFmtId="0" fontId="32" fillId="0" borderId="0" xfId="0" applyFont="1" applyAlignment="1" applyProtection="1">
      <alignment horizontal="right"/>
      <protection hidden="1"/>
    </xf>
    <xf numFmtId="0" fontId="37" fillId="5" borderId="9" xfId="0" applyFont="1" applyFill="1" applyBorder="1" applyAlignment="1" applyProtection="1">
      <alignment horizontal="center" vertical="center" wrapText="1"/>
      <protection hidden="1"/>
    </xf>
    <xf numFmtId="0" fontId="39" fillId="8" borderId="9" xfId="0" applyFont="1" applyFill="1" applyBorder="1" applyAlignment="1" applyProtection="1">
      <alignment vertical="center"/>
      <protection hidden="1"/>
    </xf>
    <xf numFmtId="0" fontId="6" fillId="0" borderId="9" xfId="0" applyFont="1" applyBorder="1" applyAlignment="1" applyProtection="1">
      <alignment vertical="center" wrapText="1"/>
      <protection hidden="1"/>
    </xf>
    <xf numFmtId="0" fontId="6" fillId="0" borderId="24" xfId="0" applyFont="1" applyBorder="1" applyAlignment="1" applyProtection="1">
      <alignment vertical="center" wrapText="1"/>
      <protection hidden="1"/>
    </xf>
    <xf numFmtId="0" fontId="37" fillId="0" borderId="9" xfId="0" applyFont="1" applyBorder="1" applyAlignment="1" applyProtection="1">
      <alignment horizontal="center" vertical="center" wrapText="1"/>
      <protection locked="0"/>
    </xf>
    <xf numFmtId="0" fontId="37" fillId="0" borderId="9" xfId="0" applyFont="1" applyBorder="1" applyAlignment="1" applyProtection="1">
      <alignment horizontal="center" vertical="center" wrapText="1"/>
      <protection hidden="1"/>
    </xf>
    <xf numFmtId="0" fontId="43" fillId="0" borderId="9"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protection locked="0" hidden="1"/>
    </xf>
    <xf numFmtId="0" fontId="8" fillId="0" borderId="18" xfId="0"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18" fillId="4" borderId="0" xfId="0" applyFont="1" applyFill="1" applyAlignment="1" applyProtection="1">
      <alignment horizontal="center" vertical="center"/>
      <protection locked="0" hidden="1"/>
    </xf>
    <xf numFmtId="0" fontId="18" fillId="0" borderId="4" xfId="0" applyFont="1" applyBorder="1" applyAlignment="1" applyProtection="1">
      <alignment vertical="center"/>
      <protection hidden="1"/>
    </xf>
    <xf numFmtId="0" fontId="18" fillId="0" borderId="0" xfId="0" applyFont="1" applyAlignment="1" applyProtection="1">
      <alignment vertical="center"/>
      <protection hidden="1"/>
    </xf>
    <xf numFmtId="0" fontId="18" fillId="0" borderId="0" xfId="0" applyFont="1" applyAlignment="1" applyProtection="1">
      <alignment horizontal="left"/>
      <protection hidden="1"/>
    </xf>
    <xf numFmtId="0" fontId="17" fillId="0" borderId="0" xfId="0" applyFont="1" applyAlignment="1">
      <alignment horizontal="center" vertical="center"/>
    </xf>
    <xf numFmtId="0" fontId="44" fillId="0" borderId="9" xfId="0" applyFont="1" applyBorder="1" applyProtection="1">
      <protection hidden="1"/>
    </xf>
    <xf numFmtId="0" fontId="44" fillId="3" borderId="9" xfId="0" applyFont="1" applyFill="1" applyBorder="1" applyAlignment="1">
      <alignment horizontal="center" vertical="center"/>
    </xf>
    <xf numFmtId="0" fontId="39" fillId="8" borderId="9" xfId="0" applyFont="1" applyFill="1" applyBorder="1" applyAlignment="1" applyProtection="1">
      <alignment horizontal="center" vertical="center"/>
      <protection hidden="1"/>
    </xf>
    <xf numFmtId="0" fontId="44" fillId="0" borderId="9" xfId="0" applyFont="1" applyBorder="1" applyProtection="1">
      <protection locked="0"/>
    </xf>
    <xf numFmtId="0" fontId="23" fillId="0" borderId="0" xfId="2" applyFont="1" applyAlignment="1" applyProtection="1">
      <alignment vertical="top"/>
      <protection locked="0" hidden="1"/>
    </xf>
    <xf numFmtId="0" fontId="44" fillId="0" borderId="9" xfId="0" applyFont="1" applyBorder="1" applyAlignment="1" applyProtection="1">
      <alignment horizontal="center" vertical="center" shrinkToFit="1"/>
      <protection hidden="1"/>
    </xf>
    <xf numFmtId="0" fontId="0" fillId="0" borderId="9" xfId="0" applyBorder="1" applyAlignment="1" applyProtection="1">
      <alignment wrapText="1"/>
      <protection locked="0" hidden="1"/>
    </xf>
    <xf numFmtId="14" fontId="39" fillId="0" borderId="0" xfId="0" applyNumberFormat="1" applyFont="1"/>
    <xf numFmtId="14" fontId="37" fillId="5" borderId="9" xfId="0" applyNumberFormat="1" applyFont="1" applyFill="1" applyBorder="1" applyAlignment="1" applyProtection="1">
      <alignment horizontal="center" vertical="center" wrapText="1"/>
      <protection hidden="1"/>
    </xf>
    <xf numFmtId="0" fontId="18" fillId="0" borderId="9" xfId="0" applyFont="1" applyBorder="1" applyAlignment="1" applyProtection="1">
      <alignment horizontal="center" vertical="center"/>
      <protection hidden="1"/>
    </xf>
    <xf numFmtId="0" fontId="18" fillId="4" borderId="9" xfId="0" applyFont="1" applyFill="1" applyBorder="1" applyAlignment="1" applyProtection="1">
      <alignment horizontal="center" vertical="center"/>
      <protection hidden="1"/>
    </xf>
    <xf numFmtId="49" fontId="0" fillId="0" borderId="9" xfId="0" applyNumberFormat="1" applyBorder="1" applyProtection="1">
      <protection locked="0" hidden="1"/>
    </xf>
    <xf numFmtId="14" fontId="39" fillId="0" borderId="9" xfId="0" applyNumberFormat="1" applyFont="1" applyBorder="1" applyAlignment="1">
      <alignment vertical="center"/>
    </xf>
    <xf numFmtId="0" fontId="39" fillId="0" borderId="0" xfId="0" applyFont="1" applyAlignment="1">
      <alignment vertical="center"/>
    </xf>
    <xf numFmtId="0" fontId="39" fillId="0" borderId="9" xfId="0" applyFont="1" applyBorder="1" applyAlignment="1">
      <alignment horizontal="center" vertical="center" wrapText="1"/>
    </xf>
    <xf numFmtId="0" fontId="45" fillId="0" borderId="0" xfId="0" applyFont="1" applyAlignment="1" applyProtection="1">
      <alignment vertical="center"/>
      <protection hidden="1"/>
    </xf>
    <xf numFmtId="0" fontId="46" fillId="0" borderId="0" xfId="0" applyFont="1" applyProtection="1">
      <protection hidden="1"/>
    </xf>
    <xf numFmtId="0" fontId="0" fillId="0" borderId="0" xfId="0" applyAlignment="1" applyProtection="1">
      <alignment wrapText="1"/>
      <protection locked="0" hidden="1"/>
    </xf>
    <xf numFmtId="0" fontId="47" fillId="0" borderId="9" xfId="2" applyFont="1" applyBorder="1" applyAlignment="1" applyProtection="1">
      <alignment horizontal="center" vertical="center" wrapText="1"/>
      <protection locked="0"/>
    </xf>
    <xf numFmtId="0" fontId="47" fillId="0" borderId="9" xfId="2" applyFont="1" applyBorder="1" applyAlignment="1" applyProtection="1">
      <alignment horizontal="left" vertical="center" wrapText="1"/>
      <protection locked="0"/>
    </xf>
    <xf numFmtId="0" fontId="47" fillId="4" borderId="9" xfId="2" applyFont="1" applyFill="1" applyBorder="1" applyAlignment="1" applyProtection="1">
      <alignment horizontal="center" vertical="center" wrapText="1"/>
      <protection locked="0"/>
    </xf>
    <xf numFmtId="0" fontId="48" fillId="0" borderId="9" xfId="2" applyFont="1" applyBorder="1" applyAlignment="1" applyProtection="1">
      <alignment horizontal="center" vertical="center" wrapText="1"/>
      <protection locked="0"/>
    </xf>
    <xf numFmtId="0" fontId="49" fillId="0" borderId="72" xfId="0" applyFont="1" applyBorder="1" applyAlignment="1">
      <alignment wrapText="1"/>
    </xf>
    <xf numFmtId="0" fontId="22" fillId="0" borderId="9" xfId="2" applyFont="1" applyBorder="1" applyAlignment="1" applyProtection="1">
      <alignment horizontal="center" vertical="center" wrapText="1"/>
      <protection hidden="1"/>
    </xf>
    <xf numFmtId="0" fontId="44" fillId="0" borderId="9" xfId="0" applyFont="1" applyBorder="1" applyAlignment="1">
      <alignment horizontal="center" vertical="center"/>
    </xf>
    <xf numFmtId="0" fontId="39" fillId="0" borderId="0" xfId="0" applyFont="1"/>
    <xf numFmtId="0" fontId="39" fillId="8" borderId="68" xfId="0" applyFont="1" applyFill="1" applyBorder="1" applyAlignment="1" applyProtection="1">
      <alignment horizontal="center" vertical="center" wrapText="1"/>
    </xf>
    <xf numFmtId="0" fontId="39" fillId="0" borderId="9" xfId="0" applyFont="1" applyBorder="1" applyAlignment="1" applyProtection="1">
      <alignment vertical="center"/>
    </xf>
    <xf numFmtId="49" fontId="11" fillId="0" borderId="16" xfId="0" applyNumberFormat="1" applyFont="1" applyBorder="1" applyAlignment="1" applyProtection="1">
      <alignment horizontal="left" vertical="center" shrinkToFit="1"/>
      <protection locked="0"/>
    </xf>
    <xf numFmtId="0" fontId="7" fillId="3" borderId="61" xfId="0" applyFont="1" applyFill="1" applyBorder="1" applyAlignment="1">
      <alignment horizontal="center" vertical="center" wrapText="1"/>
    </xf>
    <xf numFmtId="0" fontId="7" fillId="3" borderId="51"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7" fillId="3" borderId="44" xfId="0" applyFont="1" applyFill="1" applyBorder="1" applyAlignment="1">
      <alignment horizontal="center" vertical="center" wrapText="1"/>
    </xf>
    <xf numFmtId="0" fontId="7" fillId="3" borderId="59" xfId="0" applyFont="1" applyFill="1" applyBorder="1" applyAlignment="1">
      <alignment horizontal="center" vertical="center" wrapText="1"/>
    </xf>
    <xf numFmtId="0" fontId="8" fillId="0" borderId="69" xfId="0" applyFont="1" applyBorder="1" applyAlignment="1" applyProtection="1">
      <alignment horizontal="center" vertical="center" wrapText="1"/>
      <protection locked="0"/>
    </xf>
    <xf numFmtId="0" fontId="8" fillId="0" borderId="47" xfId="0" applyFont="1" applyBorder="1" applyAlignment="1" applyProtection="1">
      <alignment horizontal="center" vertical="center" wrapText="1"/>
      <protection locked="0"/>
    </xf>
    <xf numFmtId="0" fontId="8" fillId="0" borderId="24" xfId="0" applyFont="1" applyBorder="1" applyAlignment="1" applyProtection="1">
      <alignment horizontal="center" vertical="center" wrapText="1"/>
      <protection locked="0"/>
    </xf>
    <xf numFmtId="0" fontId="18" fillId="3" borderId="9"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13" fillId="0" borderId="9" xfId="0" applyFont="1" applyBorder="1" applyAlignment="1" applyProtection="1">
      <alignment horizontal="left" vertical="top" wrapText="1"/>
      <protection hidden="1"/>
    </xf>
    <xf numFmtId="0" fontId="18" fillId="11" borderId="9" xfId="0" applyFont="1" applyFill="1" applyBorder="1" applyAlignment="1" applyProtection="1">
      <alignment horizontal="left"/>
      <protection hidden="1"/>
    </xf>
    <xf numFmtId="0" fontId="18" fillId="11" borderId="9" xfId="0" applyFont="1" applyFill="1" applyBorder="1" applyAlignment="1" applyProtection="1">
      <alignment horizontal="left" vertical="center"/>
      <protection hidden="1"/>
    </xf>
    <xf numFmtId="0" fontId="14" fillId="0" borderId="9" xfId="0" applyFont="1" applyBorder="1" applyAlignment="1" applyProtection="1">
      <alignment horizontal="center" vertical="center"/>
      <protection hidden="1"/>
    </xf>
    <xf numFmtId="0" fontId="14" fillId="0" borderId="11" xfId="0" applyFont="1" applyBorder="1" applyAlignment="1" applyProtection="1">
      <alignment horizontal="center" vertical="center"/>
      <protection hidden="1"/>
    </xf>
    <xf numFmtId="0" fontId="18" fillId="0" borderId="9" xfId="0" applyFont="1" applyBorder="1" applyAlignment="1" applyProtection="1">
      <alignment horizontal="center" vertical="center" wrapText="1"/>
      <protection locked="0"/>
    </xf>
    <xf numFmtId="0" fontId="18" fillId="0" borderId="12" xfId="0" applyFont="1" applyBorder="1" applyAlignment="1" applyProtection="1">
      <alignment horizontal="center" vertical="center" wrapText="1"/>
      <protection locked="0"/>
    </xf>
    <xf numFmtId="0" fontId="18" fillId="0" borderId="21"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hidden="1"/>
    </xf>
    <xf numFmtId="0" fontId="44" fillId="0" borderId="9" xfId="0" applyFont="1" applyBorder="1" applyAlignment="1" applyProtection="1">
      <alignment horizontal="center" vertical="center" wrapText="1"/>
      <protection hidden="1"/>
    </xf>
    <xf numFmtId="0" fontId="44" fillId="0" borderId="9" xfId="0" applyFont="1" applyBorder="1" applyAlignment="1" applyProtection="1">
      <alignment horizontal="center" vertical="center"/>
      <protection hidden="1"/>
    </xf>
    <xf numFmtId="0" fontId="18" fillId="11" borderId="9" xfId="0" applyFont="1" applyFill="1" applyBorder="1" applyAlignment="1" applyProtection="1">
      <alignment vertical="center"/>
      <protection hidden="1"/>
    </xf>
    <xf numFmtId="0" fontId="15" fillId="0" borderId="9" xfId="0" applyFont="1" applyBorder="1" applyAlignment="1" applyProtection="1">
      <alignment horizontal="left" vertical="center"/>
      <protection hidden="1"/>
    </xf>
    <xf numFmtId="0" fontId="14" fillId="0" borderId="9" xfId="0" applyFont="1" applyBorder="1" applyAlignment="1" applyProtection="1">
      <alignment horizontal="center" vertical="center" wrapText="1"/>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center" vertical="center"/>
      <protection hidden="1"/>
    </xf>
    <xf numFmtId="0" fontId="50" fillId="0" borderId="47" xfId="0" applyFont="1" applyBorder="1" applyAlignment="1" applyProtection="1">
      <alignment horizontal="left" vertical="center" wrapText="1"/>
      <protection hidden="1"/>
    </xf>
    <xf numFmtId="0" fontId="51" fillId="0" borderId="24" xfId="0" applyFont="1" applyBorder="1" applyAlignment="1">
      <alignment horizontal="left" vertical="center" wrapText="1"/>
    </xf>
    <xf numFmtId="0" fontId="19" fillId="0" borderId="18" xfId="0" applyFont="1" applyBorder="1" applyAlignment="1" applyProtection="1">
      <alignment horizontal="center" vertical="center" wrapText="1"/>
      <protection hidden="1"/>
    </xf>
    <xf numFmtId="0" fontId="19" fillId="0" borderId="24" xfId="0" applyFont="1" applyBorder="1" applyAlignment="1" applyProtection="1">
      <alignment horizontal="center" vertical="center" wrapText="1"/>
      <protection hidden="1"/>
    </xf>
    <xf numFmtId="0" fontId="14" fillId="0" borderId="10" xfId="0" applyFont="1" applyBorder="1" applyAlignment="1" applyProtection="1">
      <alignment horizontal="left" vertical="center" wrapText="1"/>
      <protection hidden="1"/>
    </xf>
    <xf numFmtId="0" fontId="14" fillId="0" borderId="23" xfId="0" applyFont="1" applyBorder="1" applyAlignment="1" applyProtection="1">
      <alignment horizontal="left" vertical="center" wrapText="1"/>
      <protection hidden="1"/>
    </xf>
    <xf numFmtId="0" fontId="11" fillId="3" borderId="11" xfId="0" applyFont="1" applyFill="1" applyBorder="1" applyAlignment="1">
      <alignment horizontal="center" vertical="center"/>
    </xf>
    <xf numFmtId="0" fontId="19" fillId="0" borderId="18" xfId="0" applyFont="1" applyBorder="1" applyAlignment="1" applyProtection="1">
      <alignment horizontal="center" vertical="center" wrapText="1"/>
      <protection locked="0"/>
    </xf>
    <xf numFmtId="0" fontId="19" fillId="0" borderId="19" xfId="0" applyFont="1" applyBorder="1" applyAlignment="1" applyProtection="1">
      <alignment horizontal="center" vertical="center" wrapText="1"/>
      <protection locked="0"/>
    </xf>
    <xf numFmtId="0" fontId="11" fillId="3" borderId="13" xfId="0" applyFont="1" applyFill="1" applyBorder="1" applyAlignment="1">
      <alignment horizontal="center" vertical="center"/>
    </xf>
    <xf numFmtId="0" fontId="19" fillId="0" borderId="24" xfId="0" applyFont="1" applyBorder="1" applyAlignment="1" applyProtection="1">
      <alignment horizontal="center" vertical="center" wrapText="1"/>
      <protection locked="0"/>
    </xf>
    <xf numFmtId="0" fontId="11" fillId="0" borderId="30" xfId="0" applyFont="1" applyBorder="1" applyAlignment="1" applyProtection="1">
      <alignment horizontal="center" vertical="center"/>
      <protection hidden="1"/>
    </xf>
    <xf numFmtId="0" fontId="11" fillId="0" borderId="31" xfId="0" applyFont="1" applyBorder="1" applyAlignment="1" applyProtection="1">
      <alignment horizontal="center" vertical="center"/>
      <protection hidden="1"/>
    </xf>
    <xf numFmtId="0" fontId="11" fillId="0" borderId="32" xfId="0" applyFont="1" applyBorder="1" applyAlignment="1" applyProtection="1">
      <alignment horizontal="center" vertical="center"/>
      <protection hidden="1"/>
    </xf>
    <xf numFmtId="0" fontId="8" fillId="0" borderId="60" xfId="0" applyFont="1" applyBorder="1" applyAlignment="1" applyProtection="1">
      <alignment horizontal="center" vertical="center" wrapText="1"/>
      <protection locked="0"/>
    </xf>
    <xf numFmtId="0" fontId="8" fillId="0" borderId="50" xfId="0" applyFont="1" applyBorder="1" applyAlignment="1" applyProtection="1">
      <alignment horizontal="center" vertical="center" wrapText="1"/>
      <protection locked="0"/>
    </xf>
    <xf numFmtId="0" fontId="8" fillId="0" borderId="52" xfId="0" applyFont="1" applyBorder="1" applyAlignment="1" applyProtection="1">
      <alignment horizontal="center" vertical="center" wrapText="1"/>
      <protection locked="0"/>
    </xf>
    <xf numFmtId="0" fontId="8" fillId="0" borderId="49" xfId="0" applyFont="1" applyBorder="1" applyAlignment="1" applyProtection="1">
      <alignment horizontal="center" vertical="center" wrapText="1"/>
      <protection locked="0"/>
    </xf>
    <xf numFmtId="0" fontId="8" fillId="0" borderId="53"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hidden="1"/>
    </xf>
    <xf numFmtId="0" fontId="18" fillId="0" borderId="20" xfId="0" applyFont="1" applyBorder="1" applyAlignment="1" applyProtection="1">
      <alignment horizontal="center" vertical="center" wrapText="1"/>
      <protection locked="0"/>
    </xf>
    <xf numFmtId="0" fontId="18" fillId="0" borderId="10" xfId="0" applyFont="1" applyBorder="1" applyAlignment="1" applyProtection="1">
      <alignment horizontal="center" vertical="center" wrapText="1"/>
      <protection locked="0"/>
    </xf>
    <xf numFmtId="0" fontId="5" fillId="0" borderId="0" xfId="0" applyFont="1" applyAlignment="1" applyProtection="1">
      <alignment horizontal="center" vertical="center"/>
      <protection hidden="1"/>
    </xf>
    <xf numFmtId="0" fontId="18" fillId="10" borderId="9" xfId="0" applyFont="1" applyFill="1" applyBorder="1" applyAlignment="1" applyProtection="1">
      <alignment horizontal="left" vertical="center"/>
      <protection hidden="1"/>
    </xf>
    <xf numFmtId="0" fontId="7" fillId="0" borderId="0" xfId="0" applyFont="1" applyAlignment="1" applyProtection="1">
      <alignment horizontal="center" vertical="center"/>
      <protection hidden="1"/>
    </xf>
    <xf numFmtId="0" fontId="6" fillId="0" borderId="62" xfId="0" applyFont="1" applyBorder="1" applyAlignment="1" applyProtection="1">
      <alignment horizontal="left" vertical="center" wrapText="1"/>
      <protection hidden="1"/>
    </xf>
    <xf numFmtId="0" fontId="6" fillId="0" borderId="63" xfId="0" applyFont="1" applyBorder="1" applyAlignment="1" applyProtection="1">
      <alignment horizontal="left" vertical="center" wrapText="1"/>
      <protection hidden="1"/>
    </xf>
    <xf numFmtId="0" fontId="6" fillId="0" borderId="64" xfId="0" applyFont="1" applyBorder="1" applyAlignment="1" applyProtection="1">
      <alignment horizontal="left" vertical="center" wrapText="1"/>
      <protection hidden="1"/>
    </xf>
    <xf numFmtId="0" fontId="18" fillId="0" borderId="23" xfId="0" applyFont="1" applyBorder="1" applyAlignment="1" applyProtection="1">
      <alignment horizontal="center" vertical="center" wrapText="1"/>
      <protection locked="0"/>
    </xf>
    <xf numFmtId="0" fontId="18" fillId="10" borderId="9" xfId="0" applyFont="1" applyFill="1" applyBorder="1" applyAlignment="1" applyProtection="1">
      <alignment horizontal="left"/>
      <protection hidden="1"/>
    </xf>
    <xf numFmtId="0" fontId="8" fillId="0" borderId="58" xfId="0" applyFont="1" applyBorder="1" applyAlignment="1" applyProtection="1">
      <alignment horizontal="left" vertical="center" shrinkToFit="1"/>
      <protection locked="0"/>
    </xf>
    <xf numFmtId="0" fontId="37" fillId="0" borderId="25" xfId="0" applyFont="1" applyBorder="1" applyAlignment="1" applyProtection="1">
      <alignment horizontal="left" vertical="center" wrapText="1"/>
      <protection hidden="1"/>
    </xf>
    <xf numFmtId="0" fontId="37" fillId="0" borderId="26" xfId="0" applyFont="1" applyBorder="1" applyAlignment="1" applyProtection="1">
      <alignment horizontal="left" vertical="center" wrapText="1"/>
      <protection hidden="1"/>
    </xf>
    <xf numFmtId="0" fontId="18" fillId="0" borderId="68" xfId="0" applyFont="1" applyBorder="1" applyAlignment="1" applyProtection="1">
      <alignment horizontal="center" vertical="center"/>
      <protection hidden="1"/>
    </xf>
    <xf numFmtId="0" fontId="18" fillId="0" borderId="40" xfId="0" applyFont="1" applyBorder="1" applyAlignment="1" applyProtection="1">
      <alignment horizontal="center" vertical="center"/>
      <protection hidden="1"/>
    </xf>
    <xf numFmtId="0" fontId="18" fillId="0" borderId="41" xfId="0" applyFont="1" applyBorder="1" applyAlignment="1" applyProtection="1">
      <alignment horizontal="center" vertical="center"/>
      <protection hidden="1"/>
    </xf>
    <xf numFmtId="0" fontId="13" fillId="0" borderId="44" xfId="0" applyFont="1" applyBorder="1" applyAlignment="1" applyProtection="1">
      <alignment horizontal="center" vertical="center" wrapText="1"/>
      <protection hidden="1"/>
    </xf>
    <xf numFmtId="0" fontId="13" fillId="0" borderId="59" xfId="0" applyFont="1" applyBorder="1" applyAlignment="1" applyProtection="1">
      <alignment horizontal="center" vertical="center" wrapText="1"/>
      <protection hidden="1"/>
    </xf>
    <xf numFmtId="0" fontId="8" fillId="0" borderId="30" xfId="0" applyFont="1" applyBorder="1" applyAlignment="1" applyProtection="1">
      <alignment horizontal="center" vertical="center" wrapText="1"/>
      <protection hidden="1"/>
    </xf>
    <xf numFmtId="0" fontId="8" fillId="0" borderId="31" xfId="0" applyFont="1" applyBorder="1" applyAlignment="1" applyProtection="1">
      <alignment horizontal="center" vertical="center" wrapText="1"/>
      <protection hidden="1"/>
    </xf>
    <xf numFmtId="0" fontId="8" fillId="0" borderId="32" xfId="0" applyFont="1" applyBorder="1" applyAlignment="1" applyProtection="1">
      <alignment horizontal="center" vertical="center" wrapText="1"/>
      <protection hidden="1"/>
    </xf>
    <xf numFmtId="0" fontId="15" fillId="0" borderId="62" xfId="0" applyFont="1" applyBorder="1" applyAlignment="1" applyProtection="1">
      <alignment horizontal="center" vertical="center" wrapText="1"/>
      <protection hidden="1"/>
    </xf>
    <xf numFmtId="0" fontId="15" fillId="0" borderId="63" xfId="0" applyFont="1" applyBorder="1" applyAlignment="1" applyProtection="1">
      <alignment horizontal="center" vertical="center" wrapText="1"/>
      <protection hidden="1"/>
    </xf>
    <xf numFmtId="0" fontId="15" fillId="0" borderId="64" xfId="0" applyFont="1" applyBorder="1" applyAlignment="1" applyProtection="1">
      <alignment horizontal="center" vertical="center" wrapText="1"/>
      <protection hidden="1"/>
    </xf>
    <xf numFmtId="0" fontId="7" fillId="0" borderId="68" xfId="0" applyFont="1" applyBorder="1" applyAlignment="1" applyProtection="1">
      <alignment horizontal="center" vertical="center"/>
      <protection hidden="1"/>
    </xf>
    <xf numFmtId="0" fontId="7" fillId="0" borderId="40" xfId="0" applyFont="1" applyBorder="1" applyAlignment="1" applyProtection="1">
      <alignment horizontal="center" vertical="center"/>
      <protection hidden="1"/>
    </xf>
    <xf numFmtId="0" fontId="7" fillId="0" borderId="41" xfId="0" applyFont="1" applyBorder="1" applyAlignment="1" applyProtection="1">
      <alignment horizontal="center" vertical="center"/>
      <protection hidden="1"/>
    </xf>
    <xf numFmtId="0" fontId="19" fillId="0" borderId="73" xfId="0" applyFont="1" applyBorder="1" applyAlignment="1" applyProtection="1">
      <alignment horizontal="center" vertical="center" wrapText="1"/>
      <protection hidden="1"/>
    </xf>
    <xf numFmtId="0" fontId="0" fillId="0" borderId="35" xfId="0" applyBorder="1" applyAlignment="1">
      <alignment horizontal="center" vertical="center" wrapText="1"/>
    </xf>
    <xf numFmtId="0" fontId="0" fillId="0" borderId="74" xfId="0" applyBorder="1" applyAlignment="1">
      <alignment horizontal="center" vertical="center" wrapText="1"/>
    </xf>
    <xf numFmtId="0" fontId="0" fillId="0" borderId="38" xfId="0" applyBorder="1" applyAlignment="1">
      <alignment horizontal="center" vertical="center" wrapText="1"/>
    </xf>
    <xf numFmtId="0" fontId="8" fillId="0" borderId="20" xfId="0" applyFont="1" applyBorder="1" applyAlignment="1" applyProtection="1">
      <alignment horizontal="center" vertical="center" wrapText="1"/>
      <protection hidden="1"/>
    </xf>
    <xf numFmtId="0" fontId="8" fillId="0" borderId="21"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4" fillId="0" borderId="33" xfId="0" applyFont="1" applyBorder="1" applyAlignment="1" applyProtection="1">
      <alignment horizontal="center" vertical="center"/>
      <protection hidden="1"/>
    </xf>
    <xf numFmtId="0" fontId="14" fillId="0" borderId="34" xfId="0" applyFont="1" applyBorder="1" applyAlignment="1" applyProtection="1">
      <alignment horizontal="center" vertical="center"/>
      <protection hidden="1"/>
    </xf>
    <xf numFmtId="0" fontId="14" fillId="0" borderId="35" xfId="0" applyFont="1" applyBorder="1" applyAlignment="1" applyProtection="1">
      <alignment horizontal="center" vertical="center"/>
      <protection hidden="1"/>
    </xf>
    <xf numFmtId="0" fontId="14" fillId="0" borderId="36" xfId="0" applyFont="1" applyBorder="1" applyAlignment="1" applyProtection="1">
      <alignment horizontal="center" vertical="center"/>
      <protection hidden="1"/>
    </xf>
    <xf numFmtId="0" fontId="14" fillId="0" borderId="37" xfId="0" applyFont="1" applyBorder="1" applyAlignment="1" applyProtection="1">
      <alignment horizontal="center" vertical="center"/>
      <protection hidden="1"/>
    </xf>
    <xf numFmtId="0" fontId="14" fillId="0" borderId="38" xfId="0" applyFont="1" applyBorder="1" applyAlignment="1" applyProtection="1">
      <alignment horizontal="center" vertical="center"/>
      <protection hidden="1"/>
    </xf>
    <xf numFmtId="0" fontId="14" fillId="0" borderId="39" xfId="0" applyFont="1" applyBorder="1" applyAlignment="1" applyProtection="1">
      <alignment horizontal="left"/>
      <protection hidden="1"/>
    </xf>
    <xf numFmtId="0" fontId="14" fillId="0" borderId="40" xfId="0" applyFont="1" applyBorder="1" applyAlignment="1" applyProtection="1">
      <alignment horizontal="left"/>
      <protection hidden="1"/>
    </xf>
    <xf numFmtId="0" fontId="14" fillId="0" borderId="41" xfId="0" applyFont="1" applyBorder="1" applyAlignment="1" applyProtection="1">
      <alignment horizontal="left"/>
      <protection hidden="1"/>
    </xf>
    <xf numFmtId="0" fontId="14" fillId="0" borderId="27" xfId="0" applyFont="1" applyBorder="1" applyAlignment="1" applyProtection="1">
      <alignment horizontal="left"/>
      <protection hidden="1"/>
    </xf>
    <xf numFmtId="0" fontId="14" fillId="0" borderId="28" xfId="0" applyFont="1" applyBorder="1" applyAlignment="1" applyProtection="1">
      <alignment horizontal="left"/>
      <protection hidden="1"/>
    </xf>
    <xf numFmtId="0" fontId="14" fillId="0" borderId="29" xfId="0" applyFont="1" applyBorder="1" applyAlignment="1" applyProtection="1">
      <alignment horizontal="left"/>
      <protection hidden="1"/>
    </xf>
    <xf numFmtId="0" fontId="37" fillId="0" borderId="65" xfId="0" applyFont="1" applyBorder="1" applyAlignment="1" applyProtection="1">
      <alignment horizontal="left" vertical="center" wrapText="1"/>
      <protection hidden="1"/>
    </xf>
    <xf numFmtId="0" fontId="37" fillId="0" borderId="66" xfId="0" applyFont="1" applyBorder="1" applyAlignment="1" applyProtection="1">
      <alignment horizontal="left" vertical="center" wrapText="1"/>
      <protection hidden="1"/>
    </xf>
    <xf numFmtId="0" fontId="37" fillId="0" borderId="42" xfId="0" applyFont="1" applyBorder="1" applyAlignment="1" applyProtection="1">
      <alignment horizontal="left" vertical="center" wrapText="1"/>
      <protection hidden="1"/>
    </xf>
    <xf numFmtId="0" fontId="37" fillId="0" borderId="43" xfId="0" applyFont="1" applyBorder="1" applyAlignment="1" applyProtection="1">
      <alignment horizontal="left" vertical="center" wrapText="1"/>
      <protection hidden="1"/>
    </xf>
    <xf numFmtId="0" fontId="11" fillId="0" borderId="20" xfId="0" applyFont="1" applyBorder="1" applyAlignment="1" applyProtection="1">
      <alignment horizontal="center" vertical="center"/>
      <protection hidden="1"/>
    </xf>
    <xf numFmtId="0" fontId="11" fillId="0" borderId="21" xfId="0" applyFont="1" applyBorder="1" applyAlignment="1" applyProtection="1">
      <alignment horizontal="center" vertical="center"/>
      <protection hidden="1"/>
    </xf>
    <xf numFmtId="0" fontId="11" fillId="0" borderId="22" xfId="0" applyFont="1" applyBorder="1" applyAlignment="1" applyProtection="1">
      <alignment horizontal="center" vertical="center"/>
      <protection hidden="1"/>
    </xf>
    <xf numFmtId="165" fontId="11" fillId="0" borderId="17" xfId="0" applyNumberFormat="1" applyFont="1" applyBorder="1" applyAlignment="1" applyProtection="1">
      <alignment horizontal="left" vertical="center" shrinkToFit="1"/>
      <protection locked="0"/>
    </xf>
    <xf numFmtId="0" fontId="11" fillId="0" borderId="16" xfId="0" applyFont="1" applyBorder="1" applyAlignment="1" applyProtection="1">
      <alignment horizontal="left" vertical="center" shrinkToFit="1"/>
      <protection locked="0"/>
    </xf>
    <xf numFmtId="0" fontId="11" fillId="0" borderId="17" xfId="0" applyFont="1" applyBorder="1" applyAlignment="1" applyProtection="1">
      <alignment horizontal="left" vertical="center" shrinkToFit="1"/>
      <protection locked="0"/>
    </xf>
    <xf numFmtId="0" fontId="5" fillId="0" borderId="56" xfId="0" applyFont="1" applyBorder="1" applyAlignment="1" applyProtection="1">
      <alignment horizontal="center" vertical="center" shrinkToFit="1"/>
      <protection locked="0"/>
    </xf>
    <xf numFmtId="14" fontId="5" fillId="0" borderId="58" xfId="0" applyNumberFormat="1" applyFont="1" applyBorder="1" applyAlignment="1" applyProtection="1">
      <alignment horizontal="center" vertical="center" shrinkToFit="1"/>
      <protection locked="0"/>
    </xf>
    <xf numFmtId="0" fontId="5" fillId="0" borderId="56" xfId="0" applyFont="1" applyBorder="1" applyAlignment="1" applyProtection="1">
      <alignment horizontal="left" shrinkToFit="1"/>
      <protection locked="0"/>
    </xf>
    <xf numFmtId="49" fontId="9" fillId="0" borderId="56" xfId="0" applyNumberFormat="1" applyFont="1" applyBorder="1" applyAlignment="1" applyProtection="1">
      <alignment horizontal="center" shrinkToFit="1"/>
      <protection locked="0"/>
    </xf>
    <xf numFmtId="0" fontId="6" fillId="0" borderId="22" xfId="0" applyFont="1" applyBorder="1" applyAlignment="1" applyProtection="1">
      <alignment horizontal="center" vertical="center" wrapText="1"/>
      <protection hidden="1"/>
    </xf>
    <xf numFmtId="0" fontId="6" fillId="0" borderId="11" xfId="0" applyFont="1" applyBorder="1" applyAlignment="1" applyProtection="1">
      <alignment horizontal="center" vertical="center" wrapText="1"/>
      <protection hidden="1"/>
    </xf>
    <xf numFmtId="0" fontId="6" fillId="0" borderId="13" xfId="0" applyFont="1" applyBorder="1" applyAlignment="1" applyProtection="1">
      <alignment horizontal="center" vertical="center" wrapText="1"/>
      <protection hidden="1"/>
    </xf>
    <xf numFmtId="0" fontId="17" fillId="3" borderId="22"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8" fillId="0" borderId="56" xfId="0" applyFont="1" applyBorder="1" applyAlignment="1" applyProtection="1">
      <alignment horizontal="left" vertical="center" shrinkToFit="1"/>
      <protection locked="0"/>
    </xf>
    <xf numFmtId="0" fontId="18" fillId="3" borderId="21" xfId="0" applyFont="1" applyFill="1" applyBorder="1" applyAlignment="1">
      <alignment horizontal="center" vertical="center" wrapText="1"/>
    </xf>
    <xf numFmtId="0" fontId="13" fillId="0" borderId="0" xfId="0" applyFont="1" applyAlignment="1" applyProtection="1">
      <alignment horizontal="center" vertical="center" wrapText="1"/>
      <protection hidden="1"/>
    </xf>
    <xf numFmtId="0" fontId="8" fillId="0" borderId="21" xfId="0" applyFont="1" applyBorder="1" applyAlignment="1" applyProtection="1">
      <alignment horizontal="center" vertical="center"/>
      <protection hidden="1"/>
    </xf>
    <xf numFmtId="0" fontId="8" fillId="0" borderId="9" xfId="0" applyFont="1" applyBorder="1" applyAlignment="1" applyProtection="1">
      <alignment horizontal="center" vertical="center"/>
      <protection hidden="1"/>
    </xf>
    <xf numFmtId="0" fontId="8" fillId="0" borderId="12" xfId="0" applyFont="1" applyBorder="1" applyAlignment="1" applyProtection="1">
      <alignment horizontal="center" vertical="center" wrapText="1"/>
      <protection hidden="1"/>
    </xf>
    <xf numFmtId="0" fontId="8" fillId="0" borderId="1" xfId="0" applyFont="1" applyBorder="1" applyAlignment="1" applyProtection="1">
      <alignment horizontal="center" vertical="center" wrapText="1"/>
      <protection hidden="1"/>
    </xf>
    <xf numFmtId="0" fontId="8" fillId="0" borderId="2" xfId="0" applyFont="1" applyBorder="1" applyAlignment="1" applyProtection="1">
      <alignment horizontal="center" vertical="center" wrapText="1"/>
      <protection hidden="1"/>
    </xf>
    <xf numFmtId="0" fontId="8" fillId="0" borderId="54" xfId="0" applyFont="1" applyBorder="1" applyAlignment="1" applyProtection="1">
      <alignment horizontal="center" vertical="center" wrapText="1"/>
      <protection hidden="1"/>
    </xf>
    <xf numFmtId="0" fontId="8" fillId="0" borderId="4" xfId="0" applyFont="1" applyBorder="1" applyAlignment="1" applyProtection="1">
      <alignment horizontal="center" vertical="center" wrapText="1"/>
      <protection hidden="1"/>
    </xf>
    <xf numFmtId="0" fontId="8" fillId="0" borderId="0" xfId="0" applyFont="1" applyAlignment="1" applyProtection="1">
      <alignment horizontal="center" vertical="center" wrapText="1"/>
      <protection hidden="1"/>
    </xf>
    <xf numFmtId="0" fontId="8" fillId="0" borderId="48" xfId="0" applyFont="1" applyBorder="1" applyAlignment="1" applyProtection="1">
      <alignment horizontal="center" vertical="center" wrapText="1"/>
      <protection hidden="1"/>
    </xf>
    <xf numFmtId="0" fontId="8" fillId="0" borderId="6" xfId="0" applyFont="1" applyBorder="1" applyAlignment="1" applyProtection="1">
      <alignment horizontal="center" vertical="center" wrapText="1"/>
      <protection hidden="1"/>
    </xf>
    <xf numFmtId="0" fontId="8" fillId="0" borderId="7" xfId="0" applyFont="1" applyBorder="1" applyAlignment="1" applyProtection="1">
      <alignment horizontal="center" vertical="center" wrapText="1"/>
      <protection hidden="1"/>
    </xf>
    <xf numFmtId="0" fontId="8" fillId="0" borderId="46" xfId="0" applyFont="1" applyBorder="1" applyAlignment="1" applyProtection="1">
      <alignment horizontal="center" vertical="center" wrapText="1"/>
      <protection hidden="1"/>
    </xf>
    <xf numFmtId="0" fontId="8" fillId="0" borderId="18" xfId="0" applyFont="1" applyBorder="1" applyAlignment="1" applyProtection="1">
      <alignment horizontal="center" vertical="center" wrapText="1"/>
      <protection locked="0"/>
    </xf>
    <xf numFmtId="0" fontId="8" fillId="0" borderId="19" xfId="0" applyFont="1" applyBorder="1" applyAlignment="1" applyProtection="1">
      <alignment horizontal="center" vertical="center" wrapText="1"/>
      <protection locked="0"/>
    </xf>
    <xf numFmtId="0" fontId="0" fillId="0" borderId="56" xfId="0" applyBorder="1"/>
    <xf numFmtId="0" fontId="5" fillId="0" borderId="56" xfId="0" applyFont="1" applyBorder="1" applyAlignment="1">
      <alignment horizontal="left" shrinkToFit="1"/>
    </xf>
    <xf numFmtId="49" fontId="9" fillId="0" borderId="0" xfId="0" applyNumberFormat="1" applyFont="1" applyAlignment="1">
      <alignment horizontal="center" shrinkToFit="1"/>
    </xf>
    <xf numFmtId="0" fontId="9" fillId="0" borderId="0" xfId="0" applyFont="1" applyAlignment="1">
      <alignment horizontal="center" shrinkToFit="1"/>
    </xf>
    <xf numFmtId="0" fontId="8" fillId="0" borderId="58" xfId="0" applyFont="1" applyBorder="1" applyAlignment="1">
      <alignment horizontal="left" vertical="center" shrinkToFit="1"/>
    </xf>
    <xf numFmtId="0" fontId="5" fillId="0" borderId="56" xfId="0" applyFont="1" applyBorder="1" applyAlignment="1">
      <alignment horizontal="center" vertical="center" shrinkToFit="1"/>
    </xf>
    <xf numFmtId="14" fontId="5" fillId="0" borderId="58" xfId="0" applyNumberFormat="1" applyFont="1" applyBorder="1" applyAlignment="1">
      <alignment horizontal="center" vertical="center" shrinkToFit="1"/>
    </xf>
    <xf numFmtId="0" fontId="8" fillId="0" borderId="56" xfId="0" applyFont="1" applyBorder="1" applyAlignment="1">
      <alignment horizontal="left" vertical="center" shrinkToFit="1"/>
    </xf>
    <xf numFmtId="0" fontId="15" fillId="0" borderId="0" xfId="2" applyFont="1" applyAlignment="1" applyProtection="1">
      <alignment horizontal="left" vertical="center" wrapText="1"/>
      <protection hidden="1"/>
    </xf>
    <xf numFmtId="0" fontId="40" fillId="0" borderId="0" xfId="2" applyFont="1" applyAlignment="1" applyProtection="1">
      <alignment horizontal="center"/>
      <protection hidden="1"/>
    </xf>
    <xf numFmtId="0" fontId="24" fillId="0" borderId="56" xfId="2" applyFont="1" applyBorder="1" applyAlignment="1" applyProtection="1">
      <alignment horizontal="center" vertical="center" shrinkToFit="1"/>
      <protection hidden="1"/>
    </xf>
    <xf numFmtId="0" fontId="21" fillId="0" borderId="9" xfId="2" applyFont="1" applyBorder="1" applyAlignment="1" applyProtection="1">
      <alignment horizontal="center" vertical="center" wrapText="1"/>
      <protection hidden="1"/>
    </xf>
    <xf numFmtId="0" fontId="22" fillId="0" borderId="9" xfId="2" applyFont="1" applyBorder="1" applyAlignment="1" applyProtection="1">
      <alignment horizontal="center" vertical="center" wrapText="1"/>
      <protection hidden="1"/>
    </xf>
    <xf numFmtId="0" fontId="22" fillId="0" borderId="18" xfId="2" applyFont="1" applyBorder="1" applyAlignment="1" applyProtection="1">
      <alignment horizontal="center" vertical="center" wrapText="1"/>
      <protection hidden="1"/>
    </xf>
    <xf numFmtId="0" fontId="22" fillId="0" borderId="24" xfId="2" applyFont="1" applyBorder="1" applyAlignment="1" applyProtection="1">
      <alignment horizontal="center" vertical="center" wrapText="1"/>
      <protection hidden="1"/>
    </xf>
    <xf numFmtId="49" fontId="34" fillId="0" borderId="37" xfId="0" applyNumberFormat="1" applyFont="1" applyBorder="1" applyAlignment="1" applyProtection="1">
      <alignment horizontal="center" vertical="center" shrinkToFit="1"/>
      <protection locked="0" hidden="1"/>
    </xf>
    <xf numFmtId="0" fontId="32" fillId="0" borderId="37" xfId="0" applyFont="1" applyBorder="1" applyAlignment="1" applyProtection="1">
      <alignment horizontal="center"/>
      <protection locked="0" hidden="1"/>
    </xf>
    <xf numFmtId="0" fontId="32" fillId="7" borderId="9" xfId="0" applyFont="1" applyFill="1" applyBorder="1" applyAlignment="1" applyProtection="1">
      <alignment horizontal="center" vertical="center"/>
      <protection locked="0" hidden="1"/>
    </xf>
    <xf numFmtId="0" fontId="17" fillId="7" borderId="9" xfId="0" applyFont="1" applyFill="1" applyBorder="1" applyAlignment="1" applyProtection="1">
      <alignment horizontal="center" vertical="center" wrapText="1"/>
      <protection hidden="1"/>
    </xf>
    <xf numFmtId="0" fontId="33" fillId="0" borderId="0" xfId="0" applyFont="1" applyAlignment="1" applyProtection="1">
      <alignment horizontal="center" vertical="center"/>
      <protection hidden="1"/>
    </xf>
    <xf numFmtId="0" fontId="32" fillId="0" borderId="68" xfId="0" applyFont="1" applyBorder="1" applyAlignment="1" applyProtection="1">
      <alignment horizontal="center"/>
      <protection locked="0" hidden="1"/>
    </xf>
    <xf numFmtId="0" fontId="32" fillId="0" borderId="41" xfId="0" applyFont="1" applyBorder="1" applyAlignment="1" applyProtection="1">
      <alignment horizontal="center"/>
      <protection locked="0" hidden="1"/>
    </xf>
    <xf numFmtId="0" fontId="34" fillId="0" borderId="37" xfId="0" applyFont="1" applyBorder="1" applyAlignment="1" applyProtection="1">
      <alignment horizontal="center" vertical="center" shrinkToFit="1"/>
      <protection locked="0" hidden="1"/>
    </xf>
    <xf numFmtId="165" fontId="34" fillId="0" borderId="40" xfId="0" applyNumberFormat="1" applyFont="1" applyBorder="1" applyAlignment="1" applyProtection="1">
      <alignment horizontal="center" vertical="center" shrinkToFit="1"/>
      <protection locked="0" hidden="1"/>
    </xf>
    <xf numFmtId="0" fontId="32" fillId="0" borderId="9" xfId="0" applyFont="1" applyBorder="1" applyAlignment="1" applyProtection="1">
      <alignment horizontal="center" vertical="center"/>
      <protection hidden="1"/>
    </xf>
    <xf numFmtId="0" fontId="7" fillId="0" borderId="9" xfId="0" applyFont="1" applyBorder="1" applyAlignment="1" applyProtection="1">
      <alignment horizontal="center" vertical="center" wrapText="1"/>
      <protection hidden="1"/>
    </xf>
    <xf numFmtId="0" fontId="7" fillId="0" borderId="9" xfId="0" applyFont="1" applyBorder="1" applyAlignment="1" applyProtection="1">
      <alignment horizontal="center" vertical="center" wrapText="1"/>
      <protection locked="0" hidden="1"/>
    </xf>
    <xf numFmtId="0" fontId="17" fillId="7" borderId="9" xfId="0" applyFont="1" applyFill="1" applyBorder="1" applyAlignment="1" applyProtection="1">
      <alignment horizontal="center" vertical="center" wrapText="1"/>
      <protection locked="0" hidden="1"/>
    </xf>
    <xf numFmtId="0" fontId="7" fillId="0" borderId="56" xfId="0" applyFont="1" applyBorder="1" applyAlignment="1" applyProtection="1">
      <alignment horizontal="left" vertical="center" shrinkToFit="1"/>
      <protection hidden="1"/>
    </xf>
    <xf numFmtId="0" fontId="7" fillId="0" borderId="0" xfId="0" applyFont="1" applyAlignment="1" applyProtection="1">
      <alignment horizontal="center" vertical="center" wrapText="1"/>
      <protection hidden="1"/>
    </xf>
    <xf numFmtId="0" fontId="7" fillId="7" borderId="9" xfId="0" applyFont="1" applyFill="1" applyBorder="1" applyAlignment="1" applyProtection="1">
      <alignment horizontal="center" vertical="center" wrapText="1"/>
      <protection hidden="1"/>
    </xf>
    <xf numFmtId="0" fontId="42" fillId="0" borderId="56" xfId="0" applyFont="1" applyBorder="1" applyAlignment="1" applyProtection="1">
      <alignment horizontal="left" vertical="center" shrinkToFit="1"/>
      <protection hidden="1"/>
    </xf>
    <xf numFmtId="14" fontId="42" fillId="0" borderId="58" xfId="0" applyNumberFormat="1" applyFont="1" applyBorder="1" applyAlignment="1" applyProtection="1">
      <alignment horizontal="center" vertical="center" shrinkToFit="1"/>
      <protection hidden="1"/>
    </xf>
    <xf numFmtId="0" fontId="42" fillId="0" borderId="56" xfId="0" applyFont="1" applyBorder="1" applyAlignment="1" applyProtection="1">
      <alignment horizontal="left" shrinkToFit="1"/>
      <protection hidden="1"/>
    </xf>
    <xf numFmtId="49" fontId="35" fillId="0" borderId="56" xfId="0" applyNumberFormat="1" applyFont="1" applyBorder="1" applyAlignment="1" applyProtection="1">
      <alignment horizontal="left" shrinkToFit="1"/>
      <protection hidden="1"/>
    </xf>
    <xf numFmtId="0" fontId="35" fillId="0" borderId="56" xfId="0" applyFont="1" applyBorder="1" applyAlignment="1" applyProtection="1">
      <alignment horizontal="left" shrinkToFit="1"/>
      <protection hidden="1"/>
    </xf>
    <xf numFmtId="0" fontId="7" fillId="0" borderId="58" xfId="0" applyFont="1" applyBorder="1" applyAlignment="1" applyProtection="1">
      <alignment horizontal="left" vertical="center" shrinkToFit="1"/>
      <protection hidden="1"/>
    </xf>
    <xf numFmtId="0" fontId="17" fillId="0" borderId="0" xfId="0" applyFont="1" applyAlignment="1" applyProtection="1">
      <alignment horizontal="center" vertical="center" wrapText="1"/>
      <protection hidden="1"/>
    </xf>
    <xf numFmtId="0" fontId="34" fillId="0" borderId="9" xfId="0" applyFont="1" applyBorder="1" applyAlignment="1" applyProtection="1">
      <alignment horizontal="center"/>
      <protection hidden="1"/>
    </xf>
    <xf numFmtId="0" fontId="32" fillId="0" borderId="18" xfId="0" applyFont="1" applyBorder="1" applyAlignment="1" applyProtection="1">
      <alignment horizontal="center" vertical="center" wrapText="1"/>
      <protection hidden="1"/>
    </xf>
    <xf numFmtId="0" fontId="32" fillId="0" borderId="24" xfId="0" applyFont="1" applyBorder="1" applyAlignment="1" applyProtection="1">
      <alignment horizontal="center" vertical="center" wrapText="1"/>
      <protection hidden="1"/>
    </xf>
    <xf numFmtId="0" fontId="18" fillId="0" borderId="20" xfId="0" applyFont="1" applyBorder="1" applyAlignment="1" applyProtection="1">
      <alignment horizontal="center" vertical="center"/>
      <protection hidden="1"/>
    </xf>
    <xf numFmtId="0" fontId="18" fillId="0" borderId="21" xfId="0" applyFont="1" applyBorder="1" applyAlignment="1" applyProtection="1">
      <alignment horizontal="center" vertical="center"/>
      <protection hidden="1"/>
    </xf>
    <xf numFmtId="0" fontId="18" fillId="0" borderId="22" xfId="0" applyFont="1" applyBorder="1" applyAlignment="1" applyProtection="1">
      <alignment horizontal="center" vertical="center"/>
      <protection hidden="1"/>
    </xf>
    <xf numFmtId="0" fontId="18" fillId="0" borderId="23" xfId="0" applyFont="1" applyBorder="1" applyAlignment="1" applyProtection="1">
      <alignment horizontal="center" vertical="center"/>
      <protection hidden="1"/>
    </xf>
    <xf numFmtId="0" fontId="18" fillId="0" borderId="12" xfId="0" applyFont="1" applyBorder="1" applyAlignment="1" applyProtection="1">
      <alignment horizontal="center" vertical="center"/>
      <protection hidden="1"/>
    </xf>
    <xf numFmtId="0" fontId="18" fillId="0" borderId="13" xfId="0" applyFont="1" applyBorder="1" applyAlignment="1" applyProtection="1">
      <alignment horizontal="center" vertical="center"/>
      <protection hidden="1"/>
    </xf>
    <xf numFmtId="0" fontId="9" fillId="0" borderId="31" xfId="0" applyFont="1" applyBorder="1" applyAlignment="1" applyProtection="1">
      <alignment horizontal="center" vertical="center"/>
      <protection hidden="1"/>
    </xf>
    <xf numFmtId="0" fontId="5" fillId="0" borderId="70" xfId="0" applyFont="1" applyBorder="1" applyAlignment="1" applyProtection="1">
      <alignment horizontal="center" vertical="center" wrapText="1"/>
      <protection hidden="1"/>
    </xf>
    <xf numFmtId="0" fontId="5" fillId="0" borderId="71" xfId="0" applyFont="1" applyBorder="1" applyAlignment="1" applyProtection="1">
      <alignment horizontal="center" vertical="center" wrapText="1"/>
      <protection hidden="1"/>
    </xf>
    <xf numFmtId="0" fontId="9" fillId="3" borderId="6" xfId="0" applyFont="1" applyFill="1" applyBorder="1" applyAlignment="1" applyProtection="1">
      <alignment horizontal="center" vertical="center"/>
      <protection hidden="1"/>
    </xf>
    <xf numFmtId="0" fontId="9" fillId="3" borderId="8" xfId="0" applyFont="1" applyFill="1" applyBorder="1" applyAlignment="1" applyProtection="1">
      <alignment horizontal="center" vertical="center"/>
      <protection hidden="1"/>
    </xf>
    <xf numFmtId="0" fontId="39" fillId="8" borderId="18" xfId="0" applyFont="1" applyFill="1" applyBorder="1" applyAlignment="1" applyProtection="1">
      <alignment horizontal="center" vertical="center" wrapText="1"/>
      <protection hidden="1"/>
    </xf>
    <xf numFmtId="0" fontId="0" fillId="0" borderId="24" xfId="0" applyBorder="1" applyAlignment="1">
      <alignment horizontal="center" vertical="center" wrapText="1"/>
    </xf>
    <xf numFmtId="0" fontId="39" fillId="8" borderId="68" xfId="0" applyFont="1" applyFill="1" applyBorder="1" applyAlignment="1" applyProtection="1">
      <alignment horizontal="center" vertical="center" wrapText="1"/>
      <protection hidden="1"/>
    </xf>
    <xf numFmtId="0" fontId="0" fillId="0" borderId="41" xfId="0" applyBorder="1" applyAlignment="1">
      <alignment horizontal="center" vertical="center" wrapText="1"/>
    </xf>
    <xf numFmtId="0" fontId="27" fillId="5" borderId="9" xfId="0" applyFont="1" applyFill="1" applyBorder="1" applyAlignment="1" applyProtection="1">
      <alignment horizontal="center" vertical="center" wrapText="1"/>
    </xf>
    <xf numFmtId="0" fontId="39" fillId="0" borderId="9" xfId="0" applyFont="1" applyBorder="1" applyAlignment="1" applyProtection="1">
      <alignment horizontal="center" vertical="center" wrapText="1"/>
    </xf>
    <xf numFmtId="0" fontId="39" fillId="8" borderId="18" xfId="0" applyFont="1" applyFill="1" applyBorder="1" applyAlignment="1" applyProtection="1">
      <alignment horizontal="center" vertical="center" wrapText="1"/>
    </xf>
    <xf numFmtId="0" fontId="39" fillId="8" borderId="24" xfId="0" applyFont="1" applyFill="1" applyBorder="1" applyAlignment="1" applyProtection="1">
      <alignment horizontal="center" vertical="center" wrapText="1"/>
    </xf>
    <xf numFmtId="0" fontId="39" fillId="0" borderId="9" xfId="0" applyFont="1" applyBorder="1" applyAlignment="1" applyProtection="1">
      <alignment horizontal="center" vertical="center"/>
    </xf>
    <xf numFmtId="0" fontId="39" fillId="5" borderId="68" xfId="0" applyFont="1" applyFill="1" applyBorder="1" applyAlignment="1" applyProtection="1">
      <alignment horizontal="center" vertical="center" wrapText="1"/>
    </xf>
    <xf numFmtId="0" fontId="39" fillId="5" borderId="40" xfId="0" applyFont="1" applyFill="1" applyBorder="1" applyAlignment="1" applyProtection="1">
      <alignment horizontal="center" vertical="center" wrapText="1"/>
    </xf>
    <xf numFmtId="0" fontId="39" fillId="5" borderId="41" xfId="0" applyFont="1" applyFill="1" applyBorder="1" applyAlignment="1" applyProtection="1">
      <alignment horizontal="center" vertical="center" wrapText="1"/>
    </xf>
    <xf numFmtId="0" fontId="39" fillId="5" borderId="18" xfId="0" applyFont="1" applyFill="1" applyBorder="1" applyAlignment="1" applyProtection="1">
      <alignment horizontal="center" vertical="center" wrapText="1"/>
    </xf>
    <xf numFmtId="0" fontId="39" fillId="5" borderId="24" xfId="0" applyFont="1" applyFill="1" applyBorder="1" applyAlignment="1" applyProtection="1">
      <alignment horizontal="center" vertical="center" wrapText="1"/>
    </xf>
    <xf numFmtId="0" fontId="39" fillId="0" borderId="18" xfId="0" applyFont="1" applyBorder="1" applyAlignment="1" applyProtection="1">
      <alignment horizontal="center" vertical="center"/>
      <protection hidden="1"/>
    </xf>
    <xf numFmtId="0" fontId="39" fillId="0" borderId="47" xfId="0" applyFont="1" applyBorder="1" applyAlignment="1" applyProtection="1">
      <alignment horizontal="center" vertical="center"/>
      <protection hidden="1"/>
    </xf>
    <xf numFmtId="0" fontId="39" fillId="0" borderId="24" xfId="0" applyFont="1" applyBorder="1" applyAlignment="1" applyProtection="1">
      <alignment horizontal="center" vertical="center"/>
      <protection hidden="1"/>
    </xf>
    <xf numFmtId="0" fontId="27" fillId="5" borderId="9" xfId="0" applyFont="1" applyFill="1" applyBorder="1" applyAlignment="1" applyProtection="1">
      <alignment horizontal="center" vertical="center" wrapText="1"/>
      <protection hidden="1"/>
    </xf>
    <xf numFmtId="0" fontId="26" fillId="5" borderId="24" xfId="0" applyFont="1" applyFill="1" applyBorder="1" applyAlignment="1" applyProtection="1">
      <alignment horizontal="center" vertical="center" wrapText="1"/>
      <protection hidden="1"/>
    </xf>
    <xf numFmtId="0" fontId="26" fillId="5" borderId="9" xfId="0" applyFont="1" applyFill="1" applyBorder="1" applyAlignment="1" applyProtection="1">
      <alignment horizontal="center" vertical="center" wrapText="1"/>
      <protection hidden="1"/>
    </xf>
    <xf numFmtId="0" fontId="26" fillId="5" borderId="9" xfId="0" applyFont="1" applyFill="1" applyBorder="1" applyAlignment="1" applyProtection="1">
      <alignment horizontal="center" wrapText="1"/>
      <protection hidden="1"/>
    </xf>
    <xf numFmtId="0" fontId="26" fillId="0" borderId="18" xfId="0" applyFont="1" applyBorder="1" applyAlignment="1" applyProtection="1">
      <alignment horizontal="center" vertical="center"/>
      <protection hidden="1"/>
    </xf>
    <xf numFmtId="0" fontId="26" fillId="0" borderId="47" xfId="0" applyFont="1" applyBorder="1" applyAlignment="1" applyProtection="1">
      <alignment horizontal="center" vertical="center"/>
      <protection hidden="1"/>
    </xf>
    <xf numFmtId="0" fontId="26" fillId="0" borderId="24" xfId="0" applyFont="1" applyBorder="1" applyAlignment="1" applyProtection="1">
      <alignment horizontal="center" vertical="center"/>
      <protection hidden="1"/>
    </xf>
    <xf numFmtId="0" fontId="39" fillId="0" borderId="18" xfId="0" applyFont="1" applyBorder="1" applyAlignment="1" applyProtection="1">
      <alignment horizontal="center" vertical="center"/>
      <protection locked="0"/>
    </xf>
    <xf numFmtId="0" fontId="39" fillId="0" borderId="47" xfId="0" applyFont="1" applyBorder="1" applyAlignment="1" applyProtection="1">
      <alignment horizontal="center" vertical="center"/>
      <protection locked="0"/>
    </xf>
    <xf numFmtId="0" fontId="39" fillId="0" borderId="24" xfId="0" applyFont="1" applyBorder="1" applyAlignment="1" applyProtection="1">
      <alignment horizontal="center" vertical="center"/>
      <protection locked="0"/>
    </xf>
    <xf numFmtId="0" fontId="26" fillId="5" borderId="35" xfId="0" applyFont="1" applyFill="1" applyBorder="1" applyAlignment="1" applyProtection="1">
      <alignment horizontal="center" vertical="center" wrapText="1"/>
      <protection hidden="1"/>
    </xf>
    <xf numFmtId="0" fontId="26" fillId="5" borderId="48" xfId="0" applyFont="1" applyFill="1" applyBorder="1" applyAlignment="1" applyProtection="1">
      <alignment horizontal="center" vertical="center" wrapText="1"/>
      <protection hidden="1"/>
    </xf>
    <xf numFmtId="0" fontId="26" fillId="5" borderId="38" xfId="0" applyFont="1" applyFill="1" applyBorder="1" applyAlignment="1" applyProtection="1">
      <alignment horizontal="center" vertical="center" wrapText="1"/>
      <protection hidden="1"/>
    </xf>
    <xf numFmtId="0" fontId="14" fillId="5" borderId="18" xfId="2" applyFont="1" applyFill="1" applyBorder="1" applyAlignment="1" applyProtection="1">
      <alignment horizontal="center" vertical="center" wrapText="1"/>
      <protection hidden="1"/>
    </xf>
    <xf numFmtId="0" fontId="14" fillId="5" borderId="24" xfId="2" applyFont="1" applyFill="1" applyBorder="1" applyAlignment="1" applyProtection="1">
      <alignment horizontal="center" vertical="center" wrapText="1"/>
      <protection hidden="1"/>
    </xf>
    <xf numFmtId="0" fontId="15" fillId="5" borderId="9" xfId="2" applyFont="1" applyFill="1" applyBorder="1" applyAlignment="1" applyProtection="1">
      <alignment horizontal="center" vertical="center" wrapText="1"/>
      <protection hidden="1"/>
    </xf>
    <xf numFmtId="0" fontId="13" fillId="5" borderId="9" xfId="2" applyFont="1" applyFill="1" applyBorder="1" applyAlignment="1" applyProtection="1">
      <alignment horizontal="center" vertical="center" wrapText="1"/>
      <protection hidden="1"/>
    </xf>
    <xf numFmtId="14" fontId="13" fillId="5" borderId="9" xfId="0" applyNumberFormat="1" applyFont="1" applyFill="1" applyBorder="1" applyAlignment="1" applyProtection="1">
      <alignment horizontal="center" vertical="center" wrapText="1"/>
      <protection hidden="1"/>
    </xf>
    <xf numFmtId="0" fontId="13" fillId="5" borderId="9" xfId="0" applyFont="1" applyFill="1" applyBorder="1" applyAlignment="1" applyProtection="1">
      <alignment horizontal="center" vertical="center" wrapText="1"/>
      <protection hidden="1"/>
    </xf>
    <xf numFmtId="0" fontId="13" fillId="5" borderId="18" xfId="0" applyFont="1" applyFill="1" applyBorder="1" applyAlignment="1" applyProtection="1">
      <alignment horizontal="center" vertical="center" wrapText="1"/>
      <protection hidden="1"/>
    </xf>
    <xf numFmtId="0" fontId="13" fillId="5" borderId="24" xfId="0" applyFont="1" applyFill="1" applyBorder="1" applyAlignment="1" applyProtection="1">
      <alignment horizontal="center" vertical="center" wrapText="1"/>
      <protection hidden="1"/>
    </xf>
    <xf numFmtId="0" fontId="7" fillId="5" borderId="9" xfId="0" applyFont="1" applyFill="1" applyBorder="1" applyAlignment="1" applyProtection="1">
      <alignment horizontal="center" vertical="center" wrapText="1"/>
      <protection hidden="1"/>
    </xf>
    <xf numFmtId="0" fontId="39" fillId="5" borderId="9" xfId="0" applyFont="1" applyFill="1" applyBorder="1" applyAlignment="1" applyProtection="1">
      <alignment horizontal="center"/>
      <protection hidden="1"/>
    </xf>
    <xf numFmtId="0" fontId="26" fillId="5" borderId="68" xfId="0" applyFont="1" applyFill="1" applyBorder="1" applyAlignment="1" applyProtection="1">
      <alignment horizontal="center" vertical="center" wrapText="1"/>
      <protection hidden="1"/>
    </xf>
    <xf numFmtId="0" fontId="26" fillId="5" borderId="40" xfId="0" applyFont="1" applyFill="1" applyBorder="1" applyAlignment="1" applyProtection="1">
      <alignment horizontal="center" vertical="center" wrapText="1"/>
      <protection hidden="1"/>
    </xf>
    <xf numFmtId="0" fontId="26" fillId="5" borderId="41" xfId="0" applyFont="1" applyFill="1" applyBorder="1" applyAlignment="1" applyProtection="1">
      <alignment horizontal="center" vertical="center" wrapText="1"/>
      <protection hidden="1"/>
    </xf>
    <xf numFmtId="0" fontId="39" fillId="0" borderId="9" xfId="0" applyFont="1" applyBorder="1" applyAlignment="1" applyProtection="1">
      <alignment horizontal="center" vertical="center" wrapText="1"/>
      <protection hidden="1"/>
    </xf>
    <xf numFmtId="0" fontId="39" fillId="0" borderId="9" xfId="0" applyFont="1" applyBorder="1" applyAlignment="1" applyProtection="1">
      <alignment horizontal="center" vertical="center"/>
      <protection hidden="1"/>
    </xf>
    <xf numFmtId="0" fontId="21" fillId="5" borderId="9" xfId="2" applyFont="1" applyFill="1" applyBorder="1" applyAlignment="1" applyProtection="1">
      <alignment horizontal="center" vertical="center" wrapText="1"/>
      <protection hidden="1"/>
    </xf>
    <xf numFmtId="0" fontId="39" fillId="8" borderId="9" xfId="0" applyFont="1" applyFill="1" applyBorder="1" applyAlignment="1" applyProtection="1">
      <alignment horizontal="center" vertical="center"/>
      <protection hidden="1"/>
    </xf>
    <xf numFmtId="0" fontId="39" fillId="8" borderId="47" xfId="0" applyFont="1" applyFill="1" applyBorder="1" applyAlignment="1" applyProtection="1">
      <alignment horizontal="center" vertical="center" wrapText="1"/>
      <protection hidden="1"/>
    </xf>
    <xf numFmtId="0" fontId="39" fillId="8" borderId="24" xfId="0" applyFont="1" applyFill="1" applyBorder="1" applyAlignment="1" applyProtection="1">
      <alignment horizontal="center" vertical="center" wrapText="1"/>
      <protection hidden="1"/>
    </xf>
    <xf numFmtId="0" fontId="39" fillId="8" borderId="40" xfId="0" applyFont="1" applyFill="1" applyBorder="1" applyAlignment="1" applyProtection="1">
      <alignment horizontal="center" vertical="center" wrapText="1"/>
      <protection hidden="1"/>
    </xf>
    <xf numFmtId="0" fontId="39" fillId="8" borderId="41" xfId="0" applyFont="1" applyFill="1" applyBorder="1" applyAlignment="1" applyProtection="1">
      <alignment horizontal="center" vertical="center" wrapText="1"/>
      <protection hidden="1"/>
    </xf>
    <xf numFmtId="0" fontId="39" fillId="5" borderId="9" xfId="0" applyFont="1" applyFill="1" applyBorder="1" applyAlignment="1" applyProtection="1">
      <alignment horizontal="center" vertical="center" wrapText="1"/>
      <protection hidden="1"/>
    </xf>
    <xf numFmtId="0" fontId="39" fillId="8" borderId="9" xfId="0" applyFont="1" applyFill="1" applyBorder="1" applyAlignment="1" applyProtection="1">
      <alignment horizontal="center" vertical="center" wrapText="1"/>
      <protection hidden="1"/>
    </xf>
    <xf numFmtId="0" fontId="27" fillId="0" borderId="18" xfId="0" applyFont="1" applyBorder="1" applyAlignment="1" applyProtection="1">
      <alignment horizontal="center" vertical="center" wrapText="1"/>
      <protection locked="0"/>
    </xf>
    <xf numFmtId="0" fontId="27" fillId="0" borderId="47" xfId="0" applyFont="1" applyBorder="1" applyAlignment="1" applyProtection="1">
      <alignment horizontal="center" vertical="center" wrapText="1"/>
      <protection locked="0"/>
    </xf>
    <xf numFmtId="0" fontId="27" fillId="0" borderId="24" xfId="0" applyFont="1" applyBorder="1" applyAlignment="1" applyProtection="1">
      <alignment horizontal="center" vertical="center" wrapText="1"/>
      <protection locked="0"/>
    </xf>
    <xf numFmtId="49" fontId="39" fillId="0" borderId="9" xfId="0" applyNumberFormat="1" applyFont="1" applyBorder="1" applyAlignment="1" applyProtection="1">
      <alignment horizontal="center" vertical="center" wrapText="1"/>
      <protection hidden="1"/>
    </xf>
    <xf numFmtId="0" fontId="27" fillId="9" borderId="9" xfId="0" applyFont="1" applyFill="1" applyBorder="1" applyAlignment="1" applyProtection="1">
      <alignment horizontal="center" vertical="center" wrapText="1"/>
      <protection hidden="1"/>
    </xf>
    <xf numFmtId="0" fontId="15" fillId="9" borderId="18" xfId="0" applyFont="1" applyFill="1" applyBorder="1" applyAlignment="1" applyProtection="1">
      <alignment horizontal="center" vertical="center" wrapText="1"/>
      <protection hidden="1"/>
    </xf>
    <xf numFmtId="0" fontId="15" fillId="9" borderId="47" xfId="0" applyFont="1" applyFill="1" applyBorder="1" applyAlignment="1" applyProtection="1">
      <alignment horizontal="center" vertical="center" wrapText="1"/>
      <protection hidden="1"/>
    </xf>
    <xf numFmtId="0" fontId="15" fillId="9" borderId="24" xfId="0" applyFont="1" applyFill="1" applyBorder="1" applyAlignment="1" applyProtection="1">
      <alignment horizontal="center" vertical="center" wrapText="1"/>
      <protection hidden="1"/>
    </xf>
    <xf numFmtId="0" fontId="52" fillId="5" borderId="9" xfId="0" applyFont="1" applyFill="1" applyBorder="1" applyAlignment="1" applyProtection="1">
      <alignment horizontal="center" vertical="center" wrapText="1"/>
      <protection hidden="1"/>
    </xf>
  </cellXfs>
  <cellStyles count="27">
    <cellStyle name="ConditionalStyle_1" xfId="5"/>
    <cellStyle name="Currency 2" xfId="19"/>
    <cellStyle name="Excel Built-in Normal" xfId="6"/>
    <cellStyle name="Heading" xfId="7"/>
    <cellStyle name="Heading1" xfId="8"/>
    <cellStyle name="Normal" xfId="0" builtinId="0"/>
    <cellStyle name="Normal 2" xfId="1"/>
    <cellStyle name="Normal 2 2" xfId="10"/>
    <cellStyle name="Normal 2 2 2" xfId="16"/>
    <cellStyle name="Normal 2 2 2 2" xfId="25"/>
    <cellStyle name="Normal 2 3" xfId="9"/>
    <cellStyle name="Normal 2 3 2" xfId="23"/>
    <cellStyle name="Normal 2 4" xfId="15"/>
    <cellStyle name="Normal 2 4 2" xfId="24"/>
    <cellStyle name="Normal 2 5" xfId="21"/>
    <cellStyle name="Normal 3" xfId="2"/>
    <cellStyle name="Normal 3 2" xfId="11"/>
    <cellStyle name="Normal 4" xfId="4"/>
    <cellStyle name="Normal 4 2" xfId="17"/>
    <cellStyle name="Normal 4 2 2" xfId="26"/>
    <cellStyle name="Normal 5" xfId="12"/>
    <cellStyle name="Normal 6" xfId="3"/>
    <cellStyle name="Normal 6 2" xfId="22"/>
    <cellStyle name="Normal 7" xfId="18"/>
    <cellStyle name="Percent 2" xfId="20"/>
    <cellStyle name="Result" xfId="13"/>
    <cellStyle name="Result2" xfId="14"/>
  </cellStyles>
  <dxfs count="6">
    <dxf>
      <font>
        <b/>
        <i val="0"/>
        <color rgb="FFFF0000"/>
      </font>
    </dxf>
    <dxf>
      <font>
        <b/>
        <i val="0"/>
        <color rgb="FFFF0000"/>
      </font>
    </dxf>
    <dxf>
      <font>
        <b/>
        <i val="0"/>
        <color rgb="FFFF0000"/>
      </font>
    </dxf>
    <dxf>
      <font>
        <b/>
        <i val="0"/>
        <color rgb="FFFF0000"/>
      </font>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5"/>
      <tableStyleElement type="headerRow" dxfId="4"/>
    </tableStyle>
  </tableStyles>
  <colors>
    <mruColors>
      <color rgb="FFFFFFFF"/>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12</xdr:col>
      <xdr:colOff>186690</xdr:colOff>
      <xdr:row>0</xdr:row>
      <xdr:rowOff>114300</xdr:rowOff>
    </xdr:from>
    <xdr:to>
      <xdr:col>15</xdr:col>
      <xdr:colOff>396240</xdr:colOff>
      <xdr:row>2</xdr:row>
      <xdr:rowOff>9525</xdr:rowOff>
    </xdr:to>
    <xdr:sp macro="" textlink="">
      <xdr:nvSpPr>
        <xdr:cNvPr id="2" name="Text Box 118">
          <a:extLst>
            <a:ext uri="{FF2B5EF4-FFF2-40B4-BE49-F238E27FC236}">
              <a16:creationId xmlns:a16="http://schemas.microsoft.com/office/drawing/2014/main" id="{00000000-0008-0000-0100-000002000000}"/>
            </a:ext>
          </a:extLst>
        </xdr:cNvPr>
        <xdr:cNvSpPr txBox="1">
          <a:spLocks noChangeArrowheads="1"/>
        </xdr:cNvSpPr>
      </xdr:nvSpPr>
      <xdr:spPr bwMode="auto">
        <a:xfrm>
          <a:off x="8759190" y="114300"/>
          <a:ext cx="1609725" cy="295275"/>
        </a:xfrm>
        <a:prstGeom prst="rect">
          <a:avLst/>
        </a:prstGeom>
        <a:solidFill>
          <a:srgbClr val="FFFFFF"/>
        </a:solidFill>
        <a:ln>
          <a:noFill/>
        </a:ln>
      </xdr:spPr>
      <xdr:txBody>
        <a:bodyPr vertOverflow="clip" wrap="square" lIns="91440" tIns="45720" rIns="91440" bIns="45720" anchor="t" upright="1"/>
        <a:lstStyle/>
        <a:p>
          <a:pPr algn="ctr" rtl="0">
            <a:defRPr sz="1000"/>
          </a:pPr>
          <a:r>
            <a:rPr lang="en-US" sz="1100" b="1" i="0" u="none" strike="noStrike" baseline="0">
              <a:solidFill>
                <a:srgbClr val="000000"/>
              </a:solidFill>
              <a:latin typeface="Arial Narrow" panose="020B0606020202030204" pitchFamily="34" charset="0"/>
              <a:cs typeface="Arial"/>
            </a:rPr>
            <a:t>Form DR TB 10B</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amp;E%20Activities\Junk\Gene%20Xpert%20Reporting%20national\# Monthly GeneXpert data 2017 (Natio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Menu"/>
      <sheetName val="February"/>
      <sheetName val="March"/>
      <sheetName val="1st Q (Jan-Mar)"/>
      <sheetName val="April"/>
      <sheetName val="May"/>
      <sheetName val="June"/>
      <sheetName val="2nd Q (Apr-Jun)"/>
      <sheetName val="July"/>
      <sheetName val="August"/>
      <sheetName val="September"/>
      <sheetName val="3rd Q (Jul-Sep)"/>
      <sheetName val="October"/>
      <sheetName val="November"/>
      <sheetName val="December"/>
      <sheetName val="4th Q (Oct-Dec)"/>
      <sheetName val="Annual (Jan-D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E1117"/>
  <sheetViews>
    <sheetView showGridLines="0" view="pageBreakPreview" zoomScaleSheetLayoutView="100" workbookViewId="0">
      <selection sqref="A1:R1"/>
    </sheetView>
  </sheetViews>
  <sheetFormatPr defaultColWidth="9.33203125" defaultRowHeight="13.8" x14ac:dyDescent="0.25"/>
  <cols>
    <col min="1" max="1" width="18.6640625" style="37" customWidth="1"/>
    <col min="2" max="2" width="11.6640625" style="37" customWidth="1"/>
    <col min="3" max="4" width="11.44140625" style="37" customWidth="1"/>
    <col min="5" max="5" width="14.44140625" style="37" customWidth="1"/>
    <col min="6" max="6" width="9.6640625" style="37" customWidth="1"/>
    <col min="7" max="7" width="11.6640625" style="37" customWidth="1"/>
    <col min="8" max="8" width="12.33203125" style="37" bestFit="1" customWidth="1"/>
    <col min="9" max="9" width="7.5546875" style="37" customWidth="1"/>
    <col min="10" max="11" width="9" style="37" customWidth="1"/>
    <col min="12" max="12" width="9.6640625" style="37" customWidth="1"/>
    <col min="13" max="13" width="8.44140625" style="37" customWidth="1"/>
    <col min="14" max="15" width="6.6640625" style="37" customWidth="1"/>
    <col min="16" max="16" width="11.5546875" style="37" customWidth="1"/>
    <col min="17" max="17" width="6.5546875" style="37" customWidth="1"/>
    <col min="18" max="18" width="7.33203125" style="37" customWidth="1"/>
    <col min="19" max="19" width="6.6640625" style="37" customWidth="1"/>
    <col min="20" max="20" width="11.6640625" style="37" customWidth="1"/>
    <col min="21" max="21" width="13" style="37" customWidth="1"/>
    <col min="22" max="22" width="8.33203125" style="37" customWidth="1"/>
    <col min="23" max="23" width="16.6640625" style="37" customWidth="1"/>
    <col min="24" max="24" width="10.33203125" style="37" customWidth="1"/>
    <col min="25" max="28" width="9.33203125" style="37"/>
    <col min="29" max="29" width="13.33203125" style="37" customWidth="1"/>
    <col min="30" max="16384" width="9.33203125" style="37"/>
  </cols>
  <sheetData>
    <row r="1" spans="1:603" ht="13.95" customHeight="1" x14ac:dyDescent="0.25">
      <c r="A1" s="208" t="s">
        <v>807</v>
      </c>
      <c r="B1" s="208"/>
      <c r="C1" s="208"/>
      <c r="D1" s="208"/>
      <c r="E1" s="208"/>
      <c r="F1" s="208"/>
      <c r="G1" s="208"/>
      <c r="H1" s="208"/>
      <c r="I1" s="208"/>
      <c r="J1" s="208"/>
      <c r="K1" s="208"/>
      <c r="L1" s="208"/>
      <c r="M1" s="208"/>
      <c r="N1" s="208"/>
      <c r="O1" s="208"/>
      <c r="P1" s="208"/>
      <c r="Q1" s="208"/>
      <c r="R1" s="208"/>
      <c r="S1" s="1" t="s">
        <v>66</v>
      </c>
      <c r="T1" s="1"/>
      <c r="U1" s="1"/>
      <c r="V1" s="36"/>
      <c r="W1" s="1"/>
      <c r="X1" s="1"/>
    </row>
    <row r="2" spans="1:603" ht="13.95" customHeight="1" x14ac:dyDescent="0.25">
      <c r="A2" s="208" t="s">
        <v>63</v>
      </c>
      <c r="B2" s="208"/>
      <c r="C2" s="208"/>
      <c r="D2" s="208"/>
      <c r="E2" s="208"/>
      <c r="F2" s="208"/>
      <c r="G2" s="208"/>
      <c r="H2" s="208"/>
      <c r="I2" s="208"/>
      <c r="J2" s="208"/>
      <c r="K2" s="208"/>
      <c r="L2" s="208"/>
      <c r="M2" s="208"/>
      <c r="N2" s="208"/>
      <c r="O2" s="208"/>
      <c r="P2" s="208"/>
      <c r="Q2" s="208"/>
      <c r="R2" s="208"/>
      <c r="S2" s="208"/>
      <c r="T2" s="208"/>
      <c r="U2" s="208"/>
      <c r="V2" s="38"/>
      <c r="W2" s="1"/>
      <c r="X2" s="1"/>
    </row>
    <row r="3" spans="1:603" ht="13.95" customHeight="1" x14ac:dyDescent="0.25">
      <c r="A3" s="208" t="s">
        <v>74</v>
      </c>
      <c r="B3" s="208"/>
      <c r="C3" s="208"/>
      <c r="D3" s="208"/>
      <c r="E3" s="208"/>
      <c r="F3" s="208"/>
      <c r="G3" s="208"/>
      <c r="H3" s="208"/>
      <c r="I3" s="208"/>
      <c r="J3" s="208"/>
      <c r="K3" s="208"/>
      <c r="L3" s="208"/>
      <c r="M3" s="208"/>
      <c r="N3" s="208"/>
      <c r="O3" s="208"/>
      <c r="P3" s="208"/>
      <c r="Q3" s="208"/>
      <c r="R3" s="208"/>
      <c r="S3" s="39"/>
      <c r="T3" s="39"/>
      <c r="U3" s="39"/>
      <c r="V3" s="38"/>
      <c r="W3" s="1"/>
      <c r="X3" s="1"/>
    </row>
    <row r="4" spans="1:603" ht="13.95" customHeight="1" x14ac:dyDescent="0.25">
      <c r="A4" s="210" t="s">
        <v>837</v>
      </c>
      <c r="B4" s="210"/>
      <c r="C4" s="210"/>
      <c r="D4" s="210"/>
      <c r="E4" s="210"/>
      <c r="F4" s="210"/>
      <c r="G4" s="210"/>
      <c r="H4" s="210"/>
      <c r="I4" s="210"/>
      <c r="J4" s="210"/>
      <c r="K4" s="210"/>
      <c r="L4" s="210"/>
      <c r="M4" s="210"/>
      <c r="N4" s="210"/>
      <c r="O4" s="210"/>
      <c r="P4" s="210"/>
      <c r="Q4" s="210"/>
      <c r="R4" s="210"/>
      <c r="S4" s="210"/>
      <c r="T4" s="210"/>
      <c r="U4" s="210"/>
      <c r="V4" s="35"/>
      <c r="W4" s="2"/>
      <c r="X4" s="2"/>
    </row>
    <row r="5" spans="1:603" ht="30" customHeight="1" x14ac:dyDescent="0.25">
      <c r="A5" s="2"/>
      <c r="B5" s="2"/>
      <c r="C5" s="2"/>
      <c r="D5" s="2"/>
      <c r="E5" s="2"/>
      <c r="F5" s="2"/>
      <c r="G5" s="2"/>
      <c r="H5" s="2"/>
      <c r="I5" s="2"/>
      <c r="J5" s="146"/>
      <c r="K5" s="147"/>
      <c r="M5" s="2"/>
      <c r="N5" s="2"/>
      <c r="O5" s="2"/>
      <c r="P5" s="2"/>
      <c r="Q5" s="2"/>
      <c r="R5" s="2"/>
      <c r="S5" s="2"/>
      <c r="T5" s="2"/>
      <c r="U5" s="2"/>
      <c r="V5" s="35"/>
      <c r="W5" s="2"/>
      <c r="X5" s="2"/>
    </row>
    <row r="6" spans="1:603" ht="15.75" customHeight="1" x14ac:dyDescent="0.3">
      <c r="A6" s="40" t="s">
        <v>136</v>
      </c>
      <c r="B6" s="40"/>
      <c r="C6" s="273"/>
      <c r="D6" s="273"/>
      <c r="E6" s="273"/>
      <c r="F6" s="273"/>
      <c r="G6" s="273"/>
      <c r="I6" s="1"/>
      <c r="J6" s="41" t="s">
        <v>14</v>
      </c>
      <c r="L6" s="263" t="s">
        <v>848</v>
      </c>
      <c r="M6" s="263"/>
      <c r="N6" s="263"/>
      <c r="O6" s="263"/>
      <c r="P6" s="263"/>
      <c r="Q6" s="263"/>
      <c r="R6" s="263"/>
      <c r="S6" s="290"/>
    </row>
    <row r="7" spans="1:603" ht="15.75" customHeight="1" x14ac:dyDescent="0.25">
      <c r="A7" s="40" t="s">
        <v>9</v>
      </c>
      <c r="B7" s="40"/>
      <c r="C7" s="216"/>
      <c r="D7" s="216"/>
      <c r="E7" s="216"/>
      <c r="F7" s="216"/>
      <c r="G7" s="216"/>
      <c r="I7" s="42"/>
      <c r="J7" s="43" t="s">
        <v>65</v>
      </c>
      <c r="K7" s="43"/>
      <c r="L7" s="43"/>
      <c r="M7" s="43"/>
      <c r="N7" s="263"/>
      <c r="O7" s="263"/>
      <c r="P7" s="263"/>
      <c r="Q7" s="263"/>
      <c r="R7" s="263"/>
      <c r="S7" s="263"/>
      <c r="V7" s="36"/>
    </row>
    <row r="8" spans="1:603" ht="15.75" customHeight="1" x14ac:dyDescent="0.25">
      <c r="A8" s="40" t="s">
        <v>10</v>
      </c>
      <c r="B8" s="40"/>
      <c r="C8" s="216"/>
      <c r="D8" s="216"/>
      <c r="E8" s="216"/>
      <c r="F8" s="216"/>
      <c r="G8" s="216"/>
      <c r="I8" s="42"/>
      <c r="J8" s="43" t="s">
        <v>64</v>
      </c>
      <c r="K8" s="43"/>
      <c r="L8" s="43"/>
      <c r="M8" s="263"/>
      <c r="N8" s="263"/>
      <c r="O8" s="263"/>
      <c r="P8" s="263"/>
      <c r="Q8" s="263"/>
      <c r="R8" s="263"/>
      <c r="S8" s="263"/>
      <c r="V8" s="36"/>
    </row>
    <row r="9" spans="1:603" ht="15.75" customHeight="1" x14ac:dyDescent="0.25">
      <c r="A9" s="40" t="s">
        <v>763</v>
      </c>
      <c r="C9" s="216" t="s">
        <v>879</v>
      </c>
      <c r="D9" s="216"/>
      <c r="E9" s="216"/>
      <c r="F9" s="216"/>
      <c r="G9" s="216"/>
      <c r="J9" s="43" t="s">
        <v>11</v>
      </c>
      <c r="K9" s="43"/>
      <c r="L9" s="43"/>
      <c r="M9" s="264"/>
      <c r="N9" s="264"/>
      <c r="O9" s="44"/>
      <c r="P9" s="9"/>
      <c r="V9" s="36"/>
    </row>
    <row r="10" spans="1:603" ht="15.75" customHeight="1" x14ac:dyDescent="0.3">
      <c r="J10" s="45" t="s">
        <v>69</v>
      </c>
      <c r="K10" s="265"/>
      <c r="L10" s="265"/>
      <c r="M10" s="45"/>
      <c r="N10" s="46"/>
      <c r="O10" s="43" t="s">
        <v>12</v>
      </c>
      <c r="Q10" s="266"/>
      <c r="R10" s="266"/>
      <c r="S10" s="266"/>
      <c r="V10" s="36"/>
    </row>
    <row r="11" spans="1:603" s="46" customFormat="1" ht="14.25" customHeight="1" thickBot="1" x14ac:dyDescent="0.35">
      <c r="A11" s="1" t="s">
        <v>0</v>
      </c>
      <c r="B11" s="47"/>
      <c r="C11" s="47"/>
      <c r="D11" s="47"/>
      <c r="E11" s="47"/>
      <c r="F11" s="37"/>
      <c r="V11" s="48"/>
    </row>
    <row r="12" spans="1:603" s="49" customFormat="1" ht="13.95" customHeight="1" x14ac:dyDescent="0.3">
      <c r="A12" s="279" t="s">
        <v>68</v>
      </c>
      <c r="B12" s="280"/>
      <c r="C12" s="281"/>
      <c r="D12" s="276" t="s">
        <v>77</v>
      </c>
      <c r="E12" s="276"/>
      <c r="F12" s="276"/>
      <c r="G12" s="276"/>
      <c r="H12" s="10">
        <f>D27+E40</f>
        <v>0</v>
      </c>
      <c r="I12" s="46"/>
      <c r="J12" s="219" t="s">
        <v>752</v>
      </c>
      <c r="K12" s="220"/>
      <c r="L12" s="220"/>
      <c r="M12" s="221"/>
      <c r="N12" s="219" t="s">
        <v>753</v>
      </c>
      <c r="O12" s="220"/>
      <c r="P12" s="220"/>
      <c r="Q12" s="220"/>
      <c r="R12" s="220"/>
      <c r="S12" s="220"/>
      <c r="T12" s="220"/>
      <c r="U12" s="221"/>
      <c r="V12" s="48"/>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row>
    <row r="13" spans="1:603" s="46" customFormat="1" ht="16.5" customHeight="1" x14ac:dyDescent="0.3">
      <c r="A13" s="282"/>
      <c r="B13" s="283"/>
      <c r="C13" s="284"/>
      <c r="D13" s="277" t="s">
        <v>71</v>
      </c>
      <c r="E13" s="277"/>
      <c r="F13" s="277"/>
      <c r="G13" s="277"/>
      <c r="H13" s="11">
        <f>U27</f>
        <v>0</v>
      </c>
      <c r="J13" s="215" t="s">
        <v>699</v>
      </c>
      <c r="K13" s="215"/>
      <c r="L13" s="215"/>
      <c r="M13" s="50"/>
      <c r="N13" s="51" t="s">
        <v>754</v>
      </c>
      <c r="O13" s="51"/>
      <c r="P13" s="51"/>
      <c r="Q13" s="50"/>
      <c r="R13" s="171" t="s">
        <v>755</v>
      </c>
      <c r="S13" s="171"/>
      <c r="T13" s="171"/>
      <c r="U13" s="50"/>
      <c r="V13" s="48"/>
    </row>
    <row r="14" spans="1:603" s="46" customFormat="1" ht="12.75" customHeight="1" thickBot="1" x14ac:dyDescent="0.35">
      <c r="A14" s="285"/>
      <c r="B14" s="286"/>
      <c r="C14" s="287"/>
      <c r="D14" s="278" t="s">
        <v>3</v>
      </c>
      <c r="E14" s="278"/>
      <c r="F14" s="278"/>
      <c r="G14" s="278"/>
      <c r="H14" s="12">
        <f>H12+H13</f>
        <v>0</v>
      </c>
      <c r="J14" s="215" t="s">
        <v>701</v>
      </c>
      <c r="K14" s="215"/>
      <c r="L14" s="215"/>
      <c r="M14" s="50"/>
      <c r="N14" s="51" t="s">
        <v>756</v>
      </c>
      <c r="O14" s="51"/>
      <c r="P14" s="51"/>
      <c r="Q14" s="50"/>
      <c r="R14" s="171" t="s">
        <v>757</v>
      </c>
      <c r="S14" s="171"/>
      <c r="T14" s="171"/>
      <c r="U14" s="50"/>
      <c r="V14" s="48"/>
    </row>
    <row r="15" spans="1:603" s="49" customFormat="1" ht="15" thickBot="1" x14ac:dyDescent="0.35">
      <c r="A15" s="3"/>
      <c r="B15" s="47"/>
      <c r="C15" s="47"/>
      <c r="D15" s="47"/>
      <c r="E15" s="47"/>
      <c r="F15" s="37"/>
      <c r="G15" s="46"/>
      <c r="H15" s="46"/>
      <c r="I15" s="46"/>
      <c r="J15" s="209" t="s">
        <v>700</v>
      </c>
      <c r="K15" s="209"/>
      <c r="L15" s="209"/>
      <c r="M15" s="50"/>
      <c r="N15" s="52" t="s">
        <v>758</v>
      </c>
      <c r="O15" s="52"/>
      <c r="P15" s="52"/>
      <c r="Q15" s="50"/>
      <c r="R15" s="172" t="s">
        <v>759</v>
      </c>
      <c r="S15" s="172"/>
      <c r="T15" s="172"/>
      <c r="U15" s="50"/>
      <c r="V15" s="48"/>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c r="MA15" s="46"/>
      <c r="MB15" s="46"/>
      <c r="MC15" s="46"/>
      <c r="MD15" s="46"/>
      <c r="ME15" s="46"/>
      <c r="MF15" s="46"/>
      <c r="MG15" s="46"/>
      <c r="MH15" s="46"/>
      <c r="MI15" s="46"/>
      <c r="MJ15" s="46"/>
      <c r="MK15" s="46"/>
      <c r="ML15" s="46"/>
      <c r="MM15" s="46"/>
      <c r="MN15" s="46"/>
      <c r="MO15" s="46"/>
      <c r="MP15" s="46"/>
      <c r="MQ15" s="46"/>
      <c r="MR15" s="46"/>
      <c r="MS15" s="46"/>
      <c r="MT15" s="46"/>
      <c r="MU15" s="46"/>
      <c r="MV15" s="46"/>
      <c r="MW15" s="46"/>
      <c r="MX15" s="46"/>
      <c r="MY15" s="46"/>
      <c r="MZ15" s="46"/>
      <c r="NA15" s="46"/>
      <c r="NB15" s="46"/>
      <c r="NC15" s="46"/>
      <c r="ND15" s="46"/>
      <c r="NE15" s="46"/>
      <c r="NF15" s="46"/>
      <c r="NG15" s="46"/>
      <c r="NH15" s="46"/>
      <c r="NI15" s="46"/>
      <c r="NJ15" s="46"/>
      <c r="NK15" s="46"/>
      <c r="NL15" s="46"/>
      <c r="NM15" s="46"/>
      <c r="NN15" s="46"/>
      <c r="NO15" s="46"/>
      <c r="NP15" s="46"/>
      <c r="NQ15" s="46"/>
      <c r="NR15" s="46"/>
      <c r="NS15" s="46"/>
      <c r="NT15" s="46"/>
      <c r="NU15" s="46"/>
      <c r="NV15" s="46"/>
      <c r="NW15" s="46"/>
      <c r="NX15" s="46"/>
      <c r="NY15" s="46"/>
      <c r="NZ15" s="46"/>
      <c r="OA15" s="46"/>
      <c r="OB15" s="46"/>
      <c r="OC15" s="46"/>
      <c r="OD15" s="46"/>
      <c r="OE15" s="46"/>
      <c r="OF15" s="46"/>
      <c r="OG15" s="46"/>
      <c r="OH15" s="46"/>
      <c r="OI15" s="46"/>
      <c r="OJ15" s="46"/>
      <c r="OK15" s="46"/>
      <c r="OL15" s="46"/>
      <c r="OM15" s="46"/>
      <c r="ON15" s="46"/>
      <c r="OO15" s="46"/>
      <c r="OP15" s="46"/>
      <c r="OQ15" s="46"/>
      <c r="OR15" s="46"/>
      <c r="OS15" s="46"/>
      <c r="OT15" s="46"/>
      <c r="OU15" s="46"/>
      <c r="OV15" s="46"/>
      <c r="OW15" s="46"/>
      <c r="OX15" s="46"/>
      <c r="OY15" s="46"/>
      <c r="OZ15" s="46"/>
      <c r="PA15" s="46"/>
      <c r="PB15" s="46"/>
      <c r="PC15" s="46"/>
      <c r="PD15" s="46"/>
      <c r="PE15" s="46"/>
      <c r="PF15" s="46"/>
      <c r="PG15" s="46"/>
      <c r="PH15" s="46"/>
      <c r="PI15" s="46"/>
      <c r="PJ15" s="46"/>
      <c r="PK15" s="46"/>
      <c r="PL15" s="46"/>
      <c r="PM15" s="46"/>
      <c r="PN15" s="46"/>
      <c r="PO15" s="46"/>
      <c r="PP15" s="46"/>
      <c r="PQ15" s="46"/>
      <c r="PR15" s="46"/>
      <c r="PS15" s="46"/>
      <c r="PT15" s="46"/>
      <c r="PU15" s="46"/>
      <c r="PV15" s="46"/>
      <c r="PW15" s="46"/>
      <c r="PX15" s="46"/>
      <c r="PY15" s="46"/>
      <c r="PZ15" s="46"/>
      <c r="QA15" s="46"/>
      <c r="QB15" s="46"/>
      <c r="QC15" s="46"/>
      <c r="QD15" s="46"/>
      <c r="QE15" s="46"/>
      <c r="QF15" s="46"/>
      <c r="QG15" s="46"/>
      <c r="QH15" s="46"/>
      <c r="QI15" s="46"/>
      <c r="QJ15" s="46"/>
      <c r="QK15" s="46"/>
      <c r="QL15" s="46"/>
      <c r="QM15" s="46"/>
      <c r="QN15" s="46"/>
      <c r="QO15" s="46"/>
      <c r="QP15" s="46"/>
      <c r="QQ15" s="46"/>
      <c r="QR15" s="46"/>
      <c r="QS15" s="46"/>
      <c r="QT15" s="46"/>
      <c r="QU15" s="46"/>
      <c r="QV15" s="46"/>
      <c r="QW15" s="46"/>
      <c r="QX15" s="46"/>
      <c r="QY15" s="46"/>
      <c r="QZ15" s="46"/>
      <c r="RA15" s="46"/>
      <c r="RB15" s="46"/>
      <c r="RC15" s="46"/>
      <c r="RD15" s="46"/>
      <c r="RE15" s="46"/>
      <c r="RF15" s="46"/>
      <c r="RG15" s="46"/>
      <c r="RH15" s="46"/>
      <c r="RI15" s="46"/>
      <c r="RJ15" s="46"/>
      <c r="RK15" s="46"/>
      <c r="RL15" s="46"/>
      <c r="RM15" s="46"/>
      <c r="RN15" s="46"/>
      <c r="RO15" s="46"/>
      <c r="RP15" s="46"/>
      <c r="RQ15" s="46"/>
      <c r="RR15" s="46"/>
      <c r="RS15" s="46"/>
      <c r="RT15" s="46"/>
      <c r="RU15" s="46"/>
      <c r="RV15" s="46"/>
      <c r="RW15" s="46"/>
      <c r="RX15" s="46"/>
      <c r="RY15" s="46"/>
      <c r="RZ15" s="46"/>
      <c r="SA15" s="46"/>
      <c r="SB15" s="46"/>
      <c r="SC15" s="46"/>
      <c r="SD15" s="46"/>
      <c r="SE15" s="46"/>
      <c r="SF15" s="46"/>
      <c r="SG15" s="46"/>
      <c r="SH15" s="46"/>
      <c r="SI15" s="46"/>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c r="TY15" s="46"/>
      <c r="TZ15" s="46"/>
      <c r="UA15" s="46"/>
      <c r="UB15" s="46"/>
      <c r="UC15" s="46"/>
      <c r="UD15" s="46"/>
      <c r="UE15" s="46"/>
      <c r="UF15" s="46"/>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row>
    <row r="16" spans="1:603" s="46" customFormat="1" ht="15" customHeight="1" x14ac:dyDescent="0.3">
      <c r="A16" s="230" t="s">
        <v>59</v>
      </c>
      <c r="B16" s="231"/>
      <c r="C16" s="232"/>
      <c r="D16" s="5" t="s">
        <v>76</v>
      </c>
      <c r="E16" s="5" t="s">
        <v>67</v>
      </c>
      <c r="F16" s="7" t="s">
        <v>3</v>
      </c>
      <c r="G16" s="53"/>
      <c r="H16" s="53"/>
      <c r="I16" s="53"/>
      <c r="J16" s="53"/>
      <c r="K16" s="53"/>
      <c r="L16" s="53"/>
      <c r="M16" s="53"/>
      <c r="N16" s="53"/>
      <c r="O16" s="53"/>
      <c r="P16" s="53"/>
      <c r="Q16" s="53"/>
      <c r="R16" s="53"/>
      <c r="S16" s="53"/>
      <c r="T16" s="53"/>
      <c r="U16" s="54"/>
      <c r="V16" s="48"/>
    </row>
    <row r="17" spans="1:22" s="46" customFormat="1" ht="15.75" customHeight="1" x14ac:dyDescent="0.3">
      <c r="A17" s="182" t="s">
        <v>60</v>
      </c>
      <c r="B17" s="182"/>
      <c r="C17" s="182"/>
      <c r="D17" s="13">
        <f>D30+E42-D33-E44</f>
        <v>0</v>
      </c>
      <c r="E17" s="13">
        <f>+U30-U33</f>
        <v>0</v>
      </c>
      <c r="F17" s="14">
        <f>+E17+D17</f>
        <v>0</v>
      </c>
      <c r="G17" s="127"/>
      <c r="H17" s="128"/>
      <c r="I17" s="179" t="s">
        <v>820</v>
      </c>
      <c r="J17" s="180" t="s">
        <v>75</v>
      </c>
      <c r="K17" s="180"/>
      <c r="L17" s="180"/>
      <c r="M17" s="178" t="s">
        <v>67</v>
      </c>
      <c r="N17" s="178"/>
      <c r="O17" s="178"/>
      <c r="P17" s="178" t="s">
        <v>3</v>
      </c>
      <c r="Q17" s="275"/>
      <c r="R17" s="181" t="s">
        <v>760</v>
      </c>
      <c r="S17" s="181"/>
      <c r="T17" s="181"/>
      <c r="U17" s="123"/>
    </row>
    <row r="18" spans="1:22" s="46" customFormat="1" ht="17.7" customHeight="1" x14ac:dyDescent="0.3">
      <c r="A18" s="182" t="s">
        <v>61</v>
      </c>
      <c r="B18" s="182"/>
      <c r="C18" s="182"/>
      <c r="D18" s="15">
        <f>D33+E44</f>
        <v>0</v>
      </c>
      <c r="E18" s="16">
        <f>U33</f>
        <v>0</v>
      </c>
      <c r="F18" s="14">
        <f>+E18+D18</f>
        <v>0</v>
      </c>
      <c r="G18" s="127"/>
      <c r="H18" s="128"/>
      <c r="I18" s="179"/>
      <c r="J18" s="136" t="s">
        <v>817</v>
      </c>
      <c r="K18" s="136" t="s">
        <v>818</v>
      </c>
      <c r="L18" s="136" t="s">
        <v>819</v>
      </c>
      <c r="M18" s="136" t="s">
        <v>817</v>
      </c>
      <c r="N18" s="136" t="s">
        <v>818</v>
      </c>
      <c r="O18" s="136" t="s">
        <v>819</v>
      </c>
      <c r="P18" s="178"/>
      <c r="Q18" s="275"/>
      <c r="R18" s="181" t="s">
        <v>761</v>
      </c>
      <c r="S18" s="181"/>
      <c r="T18" s="181"/>
      <c r="U18" s="123"/>
    </row>
    <row r="19" spans="1:22" s="46" customFormat="1" ht="13.95" customHeight="1" x14ac:dyDescent="0.3">
      <c r="A19" s="182" t="s">
        <v>62</v>
      </c>
      <c r="B19" s="182"/>
      <c r="C19" s="182"/>
      <c r="D19" s="6"/>
      <c r="E19" s="8"/>
      <c r="F19" s="14">
        <f>+E19+D19</f>
        <v>0</v>
      </c>
      <c r="G19" s="127"/>
      <c r="H19" s="128"/>
      <c r="I19" s="131" t="s">
        <v>815</v>
      </c>
      <c r="J19" s="134"/>
      <c r="K19" s="134"/>
      <c r="L19" s="134"/>
      <c r="M19" s="134"/>
      <c r="N19" s="134"/>
      <c r="O19" s="134"/>
      <c r="P19" s="155">
        <f>J19+K19+L19+M19+N19+O19</f>
        <v>0</v>
      </c>
      <c r="Q19" s="130"/>
      <c r="R19" s="181" t="s">
        <v>762</v>
      </c>
      <c r="S19" s="181"/>
      <c r="T19" s="181"/>
      <c r="U19" s="123"/>
    </row>
    <row r="20" spans="1:22" s="46" customFormat="1" ht="13.95" customHeight="1" x14ac:dyDescent="0.3">
      <c r="A20" s="182" t="s">
        <v>814</v>
      </c>
      <c r="B20" s="182"/>
      <c r="C20" s="182"/>
      <c r="D20" s="16">
        <f>T35</f>
        <v>0</v>
      </c>
      <c r="E20" s="16">
        <f>U35</f>
        <v>0</v>
      </c>
      <c r="F20" s="14">
        <f>+E20+D20</f>
        <v>0</v>
      </c>
      <c r="I20" s="131" t="s">
        <v>816</v>
      </c>
      <c r="J20" s="134"/>
      <c r="K20" s="134"/>
      <c r="L20" s="134"/>
      <c r="M20" s="134"/>
      <c r="N20" s="134"/>
      <c r="O20" s="134"/>
      <c r="P20" s="155">
        <f>J20+K20+L20+M20+N20+O20</f>
        <v>0</v>
      </c>
      <c r="Q20" s="130"/>
      <c r="T20" s="129"/>
      <c r="U20" s="126"/>
    </row>
    <row r="21" spans="1:22" s="46" customFormat="1" ht="13.95" customHeight="1" thickBot="1" x14ac:dyDescent="0.35">
      <c r="A21" s="182" t="s">
        <v>813</v>
      </c>
      <c r="B21" s="182"/>
      <c r="C21" s="182"/>
      <c r="D21" s="17">
        <f>H12-D30-E42</f>
        <v>0</v>
      </c>
      <c r="E21" s="18">
        <f>H13-U30</f>
        <v>0</v>
      </c>
      <c r="F21" s="14">
        <f t="shared" ref="F21" si="0">+E21+D21</f>
        <v>0</v>
      </c>
      <c r="G21" s="55"/>
      <c r="H21" s="55"/>
      <c r="I21" s="55"/>
      <c r="J21" s="55"/>
      <c r="K21" s="55"/>
      <c r="L21" s="55"/>
      <c r="M21" s="55"/>
      <c r="N21" s="55"/>
      <c r="O21" s="55"/>
      <c r="P21" s="55"/>
      <c r="Q21" s="55"/>
      <c r="R21" s="55"/>
      <c r="S21" s="55"/>
      <c r="T21" s="55"/>
      <c r="U21" s="56"/>
      <c r="V21" s="48"/>
    </row>
    <row r="22" spans="1:22" s="46" customFormat="1" ht="15" thickBot="1" x14ac:dyDescent="0.35">
      <c r="A22" s="57"/>
      <c r="B22" s="58"/>
      <c r="C22" s="58"/>
      <c r="D22" s="58"/>
      <c r="E22" s="58"/>
      <c r="F22" s="58"/>
      <c r="G22" s="58"/>
      <c r="H22" s="58"/>
      <c r="I22" s="59"/>
      <c r="J22" s="55"/>
      <c r="K22" s="55"/>
      <c r="L22" s="55"/>
      <c r="M22" s="55"/>
      <c r="N22" s="55"/>
      <c r="O22" s="55"/>
      <c r="P22" s="55"/>
      <c r="Q22" s="55"/>
      <c r="R22" s="55"/>
      <c r="S22" s="55"/>
      <c r="T22" s="55"/>
      <c r="U22" s="56"/>
      <c r="V22" s="48"/>
    </row>
    <row r="23" spans="1:22" ht="12.45" customHeight="1" thickBot="1" x14ac:dyDescent="0.3">
      <c r="A23" s="1" t="s">
        <v>8</v>
      </c>
      <c r="B23" s="1"/>
      <c r="C23" s="1"/>
      <c r="D23" s="1"/>
      <c r="E23" s="60"/>
      <c r="V23" s="36"/>
    </row>
    <row r="24" spans="1:22" ht="13.95" customHeight="1" x14ac:dyDescent="0.25">
      <c r="A24" s="227" t="s">
        <v>1</v>
      </c>
      <c r="B24" s="224" t="s">
        <v>78</v>
      </c>
      <c r="C24" s="225"/>
      <c r="D24" s="226"/>
      <c r="E24" s="237" t="s">
        <v>15</v>
      </c>
      <c r="F24" s="238"/>
      <c r="G24" s="238"/>
      <c r="H24" s="238"/>
      <c r="I24" s="238"/>
      <c r="J24" s="238"/>
      <c r="K24" s="238"/>
      <c r="L24" s="238"/>
      <c r="M24" s="238"/>
      <c r="N24" s="238"/>
      <c r="O24" s="238"/>
      <c r="P24" s="238"/>
      <c r="Q24" s="238"/>
      <c r="R24" s="238"/>
      <c r="S24" s="238"/>
      <c r="T24" s="238"/>
      <c r="U24" s="267" t="s">
        <v>764</v>
      </c>
      <c r="V24" s="36"/>
    </row>
    <row r="25" spans="1:22" ht="76.5" customHeight="1" x14ac:dyDescent="0.25">
      <c r="A25" s="228"/>
      <c r="B25" s="21" t="s">
        <v>43</v>
      </c>
      <c r="C25" s="4" t="s">
        <v>44</v>
      </c>
      <c r="D25" s="222" t="s">
        <v>765</v>
      </c>
      <c r="E25" s="61" t="s">
        <v>18</v>
      </c>
      <c r="F25" s="62" t="s">
        <v>19</v>
      </c>
      <c r="G25" s="62" t="s">
        <v>20</v>
      </c>
      <c r="H25" s="62" t="s">
        <v>22</v>
      </c>
      <c r="I25" s="62" t="s">
        <v>24</v>
      </c>
      <c r="J25" s="62" t="s">
        <v>26</v>
      </c>
      <c r="K25" s="62" t="s">
        <v>28</v>
      </c>
      <c r="L25" s="62" t="s">
        <v>30</v>
      </c>
      <c r="M25" s="239" t="s">
        <v>32</v>
      </c>
      <c r="N25" s="239"/>
      <c r="O25" s="239"/>
      <c r="P25" s="239" t="s">
        <v>34</v>
      </c>
      <c r="Q25" s="239"/>
      <c r="R25" s="239"/>
      <c r="S25" s="170" t="s">
        <v>766</v>
      </c>
      <c r="T25" s="170"/>
      <c r="U25" s="268"/>
      <c r="V25" s="36"/>
    </row>
    <row r="26" spans="1:22" ht="22.5" customHeight="1" thickBot="1" x14ac:dyDescent="0.3">
      <c r="A26" s="229"/>
      <c r="B26" s="63" t="s">
        <v>16</v>
      </c>
      <c r="C26" s="64" t="s">
        <v>17</v>
      </c>
      <c r="D26" s="223"/>
      <c r="E26" s="63" t="s">
        <v>21</v>
      </c>
      <c r="F26" s="64" t="s">
        <v>23</v>
      </c>
      <c r="G26" s="64" t="s">
        <v>25</v>
      </c>
      <c r="H26" s="64" t="s">
        <v>27</v>
      </c>
      <c r="I26" s="64" t="s">
        <v>29</v>
      </c>
      <c r="J26" s="64" t="s">
        <v>31</v>
      </c>
      <c r="K26" s="64" t="s">
        <v>33</v>
      </c>
      <c r="L26" s="64" t="s">
        <v>35</v>
      </c>
      <c r="M26" s="240" t="s">
        <v>36</v>
      </c>
      <c r="N26" s="240"/>
      <c r="O26" s="240"/>
      <c r="P26" s="240" t="s">
        <v>72</v>
      </c>
      <c r="Q26" s="240"/>
      <c r="R26" s="240"/>
      <c r="S26" s="240" t="s">
        <v>73</v>
      </c>
      <c r="T26" s="240"/>
      <c r="U26" s="269"/>
      <c r="V26" s="36"/>
    </row>
    <row r="27" spans="1:22" ht="13.95" customHeight="1" x14ac:dyDescent="0.25">
      <c r="A27" s="211" t="s">
        <v>70</v>
      </c>
      <c r="B27" s="200"/>
      <c r="C27" s="165"/>
      <c r="D27" s="160">
        <f>B27+C27</f>
        <v>0</v>
      </c>
      <c r="E27" s="206"/>
      <c r="F27" s="177"/>
      <c r="G27" s="177"/>
      <c r="H27" s="177"/>
      <c r="I27" s="177"/>
      <c r="J27" s="177"/>
      <c r="K27" s="177"/>
      <c r="L27" s="177"/>
      <c r="M27" s="253" t="s">
        <v>37</v>
      </c>
      <c r="N27" s="254"/>
      <c r="O27" s="65"/>
      <c r="P27" s="253" t="s">
        <v>37</v>
      </c>
      <c r="Q27" s="254"/>
      <c r="R27" s="65"/>
      <c r="S27" s="274">
        <f>M41+M42+M43+N41+N42+N43+O41+O42</f>
        <v>0</v>
      </c>
      <c r="T27" s="274"/>
      <c r="U27" s="270">
        <f>E27+F27+G27+H27+I27+J27+K27+L27+O27+O28+O29+R27+R28+R29+S27</f>
        <v>0</v>
      </c>
      <c r="V27" s="36"/>
    </row>
    <row r="28" spans="1:22" ht="13.95" customHeight="1" x14ac:dyDescent="0.25">
      <c r="A28" s="212"/>
      <c r="B28" s="201"/>
      <c r="C28" s="166"/>
      <c r="D28" s="161"/>
      <c r="E28" s="207"/>
      <c r="F28" s="175"/>
      <c r="G28" s="175"/>
      <c r="H28" s="175"/>
      <c r="I28" s="175"/>
      <c r="J28" s="175"/>
      <c r="K28" s="175"/>
      <c r="L28" s="175"/>
      <c r="M28" s="217" t="s">
        <v>13</v>
      </c>
      <c r="N28" s="218"/>
      <c r="O28" s="66"/>
      <c r="P28" s="217" t="s">
        <v>13</v>
      </c>
      <c r="Q28" s="218"/>
      <c r="R28" s="66"/>
      <c r="S28" s="168"/>
      <c r="T28" s="168"/>
      <c r="U28" s="271"/>
      <c r="V28" s="36"/>
    </row>
    <row r="29" spans="1:22" ht="13.95" customHeight="1" x14ac:dyDescent="0.25">
      <c r="A29" s="212"/>
      <c r="B29" s="202"/>
      <c r="C29" s="167"/>
      <c r="D29" s="162"/>
      <c r="E29" s="207"/>
      <c r="F29" s="175"/>
      <c r="G29" s="175"/>
      <c r="H29" s="175"/>
      <c r="I29" s="175"/>
      <c r="J29" s="175"/>
      <c r="K29" s="175"/>
      <c r="L29" s="175"/>
      <c r="M29" s="217" t="s">
        <v>46</v>
      </c>
      <c r="N29" s="218"/>
      <c r="O29" s="66"/>
      <c r="P29" s="217" t="s">
        <v>46</v>
      </c>
      <c r="Q29" s="218"/>
      <c r="R29" s="66"/>
      <c r="S29" s="168"/>
      <c r="T29" s="168"/>
      <c r="U29" s="271"/>
      <c r="V29" s="36"/>
    </row>
    <row r="30" spans="1:22" ht="13.95" customHeight="1" x14ac:dyDescent="0.25">
      <c r="A30" s="212" t="s">
        <v>4</v>
      </c>
      <c r="B30" s="203"/>
      <c r="C30" s="288"/>
      <c r="D30" s="163">
        <f>B30+C30</f>
        <v>0</v>
      </c>
      <c r="E30" s="207"/>
      <c r="F30" s="175"/>
      <c r="G30" s="175"/>
      <c r="H30" s="175"/>
      <c r="I30" s="175"/>
      <c r="J30" s="175"/>
      <c r="K30" s="175"/>
      <c r="L30" s="175"/>
      <c r="M30" s="217" t="s">
        <v>37</v>
      </c>
      <c r="N30" s="218"/>
      <c r="O30" s="66"/>
      <c r="P30" s="217" t="s">
        <v>37</v>
      </c>
      <c r="Q30" s="218"/>
      <c r="R30" s="66"/>
      <c r="S30" s="168">
        <f>P41+P42+P43+Q41+Q42+Q43+R41+R42</f>
        <v>0</v>
      </c>
      <c r="T30" s="168"/>
      <c r="U30" s="271">
        <f>E30+F30+G30+H30+I30+J30+K30+L30+O30+O31+O32+R30+R31+R32+S30</f>
        <v>0</v>
      </c>
      <c r="V30" s="36"/>
    </row>
    <row r="31" spans="1:22" ht="13.95" customHeight="1" x14ac:dyDescent="0.25">
      <c r="A31" s="212"/>
      <c r="B31" s="201"/>
      <c r="C31" s="166"/>
      <c r="D31" s="161"/>
      <c r="E31" s="207"/>
      <c r="F31" s="175"/>
      <c r="G31" s="175"/>
      <c r="H31" s="175"/>
      <c r="I31" s="175"/>
      <c r="J31" s="175"/>
      <c r="K31" s="175"/>
      <c r="L31" s="175"/>
      <c r="M31" s="217" t="s">
        <v>13</v>
      </c>
      <c r="N31" s="218"/>
      <c r="O31" s="66"/>
      <c r="P31" s="217" t="s">
        <v>13</v>
      </c>
      <c r="Q31" s="218"/>
      <c r="R31" s="66"/>
      <c r="S31" s="168"/>
      <c r="T31" s="168"/>
      <c r="U31" s="271"/>
      <c r="V31" s="36"/>
    </row>
    <row r="32" spans="1:22" ht="13.95" customHeight="1" x14ac:dyDescent="0.25">
      <c r="A32" s="212"/>
      <c r="B32" s="202"/>
      <c r="C32" s="167"/>
      <c r="D32" s="162"/>
      <c r="E32" s="207"/>
      <c r="F32" s="175"/>
      <c r="G32" s="175"/>
      <c r="H32" s="175"/>
      <c r="I32" s="175"/>
      <c r="J32" s="175"/>
      <c r="K32" s="175"/>
      <c r="L32" s="175"/>
      <c r="M32" s="217" t="s">
        <v>46</v>
      </c>
      <c r="N32" s="218"/>
      <c r="O32" s="66"/>
      <c r="P32" s="217" t="s">
        <v>46</v>
      </c>
      <c r="Q32" s="218"/>
      <c r="R32" s="66"/>
      <c r="S32" s="168"/>
      <c r="T32" s="168"/>
      <c r="U32" s="271"/>
      <c r="V32" s="36"/>
    </row>
    <row r="33" spans="1:24" ht="13.95" customHeight="1" x14ac:dyDescent="0.25">
      <c r="A33" s="212" t="s">
        <v>5</v>
      </c>
      <c r="B33" s="203"/>
      <c r="C33" s="288"/>
      <c r="D33" s="163">
        <f>B33+C33</f>
        <v>0</v>
      </c>
      <c r="E33" s="207"/>
      <c r="F33" s="175"/>
      <c r="G33" s="175"/>
      <c r="H33" s="175"/>
      <c r="I33" s="175"/>
      <c r="J33" s="175"/>
      <c r="K33" s="175"/>
      <c r="L33" s="175"/>
      <c r="M33" s="217" t="s">
        <v>37</v>
      </c>
      <c r="N33" s="218"/>
      <c r="O33" s="66"/>
      <c r="P33" s="217" t="s">
        <v>37</v>
      </c>
      <c r="Q33" s="218"/>
      <c r="R33" s="66"/>
      <c r="S33" s="168">
        <f>S41+S42+S43+T41+T42+T43+U41+U42</f>
        <v>0</v>
      </c>
      <c r="T33" s="168"/>
      <c r="U33" s="271">
        <f>E33+F33+G33+H33+I33+J33+K33+L33+O33+O34+O35+R33+R34+R35+S33</f>
        <v>0</v>
      </c>
      <c r="V33" s="36"/>
    </row>
    <row r="34" spans="1:24" ht="13.95" customHeight="1" x14ac:dyDescent="0.25">
      <c r="A34" s="212"/>
      <c r="B34" s="201"/>
      <c r="C34" s="166"/>
      <c r="D34" s="161"/>
      <c r="E34" s="207"/>
      <c r="F34" s="175"/>
      <c r="G34" s="175"/>
      <c r="H34" s="175"/>
      <c r="I34" s="175"/>
      <c r="J34" s="175"/>
      <c r="K34" s="175"/>
      <c r="L34" s="175"/>
      <c r="M34" s="217" t="s">
        <v>13</v>
      </c>
      <c r="N34" s="218"/>
      <c r="O34" s="66"/>
      <c r="P34" s="217" t="s">
        <v>13</v>
      </c>
      <c r="Q34" s="218"/>
      <c r="R34" s="66"/>
      <c r="S34" s="168"/>
      <c r="T34" s="168"/>
      <c r="U34" s="271"/>
      <c r="V34" s="36"/>
    </row>
    <row r="35" spans="1:24" ht="13.95" customHeight="1" thickBot="1" x14ac:dyDescent="0.3">
      <c r="A35" s="213"/>
      <c r="B35" s="204"/>
      <c r="C35" s="289"/>
      <c r="D35" s="164"/>
      <c r="E35" s="214"/>
      <c r="F35" s="176"/>
      <c r="G35" s="176"/>
      <c r="H35" s="176"/>
      <c r="I35" s="176"/>
      <c r="J35" s="176"/>
      <c r="K35" s="176"/>
      <c r="L35" s="176"/>
      <c r="M35" s="255" t="s">
        <v>46</v>
      </c>
      <c r="N35" s="256"/>
      <c r="O35" s="67"/>
      <c r="P35" s="255" t="s">
        <v>46</v>
      </c>
      <c r="Q35" s="256"/>
      <c r="R35" s="67"/>
      <c r="S35" s="169"/>
      <c r="T35" s="169"/>
      <c r="U35" s="272"/>
      <c r="V35" s="36"/>
    </row>
    <row r="36" spans="1:24" ht="4.95" customHeight="1" x14ac:dyDescent="0.25">
      <c r="V36" s="36"/>
    </row>
    <row r="37" spans="1:24" ht="13.95" customHeight="1" thickBot="1" x14ac:dyDescent="0.3">
      <c r="A37" s="1" t="s">
        <v>38</v>
      </c>
      <c r="B37" s="1"/>
      <c r="C37" s="1"/>
      <c r="D37" s="1"/>
      <c r="V37" s="36"/>
    </row>
    <row r="38" spans="1:24" ht="11.25" customHeight="1" x14ac:dyDescent="0.25">
      <c r="A38" s="257" t="s">
        <v>42</v>
      </c>
      <c r="B38" s="258"/>
      <c r="C38" s="258"/>
      <c r="D38" s="258"/>
      <c r="E38" s="259"/>
      <c r="F38" s="68"/>
      <c r="G38" s="233" t="s">
        <v>876</v>
      </c>
      <c r="H38" s="234"/>
      <c r="J38" s="197" t="s">
        <v>47</v>
      </c>
      <c r="K38" s="198"/>
      <c r="L38" s="198"/>
      <c r="M38" s="198"/>
      <c r="N38" s="198"/>
      <c r="O38" s="198"/>
      <c r="P38" s="198"/>
      <c r="Q38" s="198"/>
      <c r="R38" s="198"/>
      <c r="S38" s="198"/>
      <c r="T38" s="198"/>
      <c r="U38" s="199"/>
      <c r="V38" s="36"/>
    </row>
    <row r="39" spans="1:24" ht="12.75" customHeight="1" x14ac:dyDescent="0.25">
      <c r="A39" s="69"/>
      <c r="B39" s="70" t="s">
        <v>43</v>
      </c>
      <c r="C39" s="70" t="s">
        <v>44</v>
      </c>
      <c r="D39" s="70" t="s">
        <v>45</v>
      </c>
      <c r="E39" s="71" t="s">
        <v>3</v>
      </c>
      <c r="G39" s="235"/>
      <c r="H39" s="236"/>
      <c r="J39" s="241" t="s">
        <v>2</v>
      </c>
      <c r="K39" s="242"/>
      <c r="L39" s="243"/>
      <c r="M39" s="173" t="s">
        <v>6</v>
      </c>
      <c r="N39" s="173"/>
      <c r="O39" s="173"/>
      <c r="P39" s="173" t="s">
        <v>4</v>
      </c>
      <c r="Q39" s="173"/>
      <c r="R39" s="173"/>
      <c r="S39" s="173" t="s">
        <v>5</v>
      </c>
      <c r="T39" s="173"/>
      <c r="U39" s="174"/>
      <c r="V39" s="36"/>
    </row>
    <row r="40" spans="1:24" ht="15.6" customHeight="1" x14ac:dyDescent="0.25">
      <c r="A40" s="190" t="s">
        <v>39</v>
      </c>
      <c r="B40" s="193"/>
      <c r="C40" s="193"/>
      <c r="D40" s="193"/>
      <c r="E40" s="192">
        <f>B40+C40+D40</f>
        <v>0</v>
      </c>
      <c r="F40" s="185"/>
      <c r="G40" s="186" t="s">
        <v>821</v>
      </c>
      <c r="H40" s="188">
        <f>$E$17+$F$18</f>
        <v>0</v>
      </c>
      <c r="J40" s="244"/>
      <c r="K40" s="245"/>
      <c r="L40" s="246"/>
      <c r="M40" s="70" t="s">
        <v>48</v>
      </c>
      <c r="N40" s="70" t="s">
        <v>7</v>
      </c>
      <c r="O40" s="70" t="s">
        <v>49</v>
      </c>
      <c r="P40" s="70" t="s">
        <v>48</v>
      </c>
      <c r="Q40" s="70" t="s">
        <v>7</v>
      </c>
      <c r="R40" s="70" t="s">
        <v>49</v>
      </c>
      <c r="S40" s="70" t="s">
        <v>48</v>
      </c>
      <c r="T40" s="70" t="s">
        <v>7</v>
      </c>
      <c r="U40" s="71" t="s">
        <v>49</v>
      </c>
      <c r="V40" s="36"/>
    </row>
    <row r="41" spans="1:24" ht="15" customHeight="1" x14ac:dyDescent="0.25">
      <c r="A41" s="190"/>
      <c r="B41" s="196"/>
      <c r="C41" s="196"/>
      <c r="D41" s="196"/>
      <c r="E41" s="192"/>
      <c r="F41" s="185"/>
      <c r="G41" s="187"/>
      <c r="H41" s="189"/>
      <c r="J41" s="247" t="s">
        <v>50</v>
      </c>
      <c r="K41" s="248"/>
      <c r="L41" s="249"/>
      <c r="M41" s="72"/>
      <c r="N41" s="72"/>
      <c r="O41" s="72"/>
      <c r="P41" s="72"/>
      <c r="Q41" s="72"/>
      <c r="R41" s="72"/>
      <c r="S41" s="72"/>
      <c r="T41" s="72"/>
      <c r="U41" s="73"/>
      <c r="V41" s="36"/>
    </row>
    <row r="42" spans="1:24" ht="13.95" customHeight="1" x14ac:dyDescent="0.25">
      <c r="A42" s="190" t="s">
        <v>40</v>
      </c>
      <c r="B42" s="193"/>
      <c r="C42" s="193"/>
      <c r="D42" s="193"/>
      <c r="E42" s="192">
        <f>B42+C42+D42</f>
        <v>0</v>
      </c>
      <c r="F42" s="185"/>
      <c r="G42" s="186" t="s">
        <v>877</v>
      </c>
      <c r="H42" s="188"/>
      <c r="J42" s="247" t="s">
        <v>51</v>
      </c>
      <c r="K42" s="248"/>
      <c r="L42" s="249"/>
      <c r="M42" s="72"/>
      <c r="N42" s="72"/>
      <c r="O42" s="72"/>
      <c r="P42" s="72"/>
      <c r="Q42" s="72"/>
      <c r="R42" s="72"/>
      <c r="S42" s="72"/>
      <c r="T42" s="72"/>
      <c r="U42" s="73"/>
      <c r="V42" s="36"/>
    </row>
    <row r="43" spans="1:24" ht="13.95" customHeight="1" thickBot="1" x14ac:dyDescent="0.3">
      <c r="A43" s="190"/>
      <c r="B43" s="196"/>
      <c r="C43" s="196"/>
      <c r="D43" s="196"/>
      <c r="E43" s="192"/>
      <c r="F43" s="185"/>
      <c r="G43" s="187"/>
      <c r="H43" s="189"/>
      <c r="J43" s="250" t="s">
        <v>52</v>
      </c>
      <c r="K43" s="251"/>
      <c r="L43" s="252"/>
      <c r="M43" s="74"/>
      <c r="N43" s="74"/>
      <c r="O43" s="75"/>
      <c r="P43" s="74"/>
      <c r="Q43" s="74"/>
      <c r="R43" s="75"/>
      <c r="S43" s="74"/>
      <c r="T43" s="74"/>
      <c r="U43" s="76"/>
      <c r="V43" s="36"/>
    </row>
    <row r="44" spans="1:24" ht="10.5" customHeight="1" x14ac:dyDescent="0.25">
      <c r="A44" s="190" t="s">
        <v>41</v>
      </c>
      <c r="B44" s="193"/>
      <c r="C44" s="193"/>
      <c r="D44" s="193"/>
      <c r="E44" s="192">
        <f>B44+C44+D44</f>
        <v>0</v>
      </c>
      <c r="F44" s="185"/>
      <c r="G44" s="186" t="s">
        <v>878</v>
      </c>
      <c r="H44" s="188"/>
      <c r="J44" s="77" t="s">
        <v>53</v>
      </c>
      <c r="K44" s="78"/>
      <c r="L44" s="78"/>
      <c r="M44" s="78"/>
      <c r="N44" s="78"/>
      <c r="O44" s="78"/>
      <c r="P44" s="78"/>
      <c r="Q44" s="78"/>
      <c r="R44" s="78"/>
      <c r="S44" s="78"/>
      <c r="T44" s="78"/>
      <c r="U44" s="78"/>
      <c r="V44" s="79"/>
      <c r="W44" s="78"/>
      <c r="X44" s="78"/>
    </row>
    <row r="45" spans="1:24" ht="13.95" customHeight="1" thickBot="1" x14ac:dyDescent="0.3">
      <c r="A45" s="191"/>
      <c r="B45" s="194"/>
      <c r="C45" s="194"/>
      <c r="D45" s="194"/>
      <c r="E45" s="195"/>
      <c r="F45" s="185"/>
      <c r="G45" s="187"/>
      <c r="H45" s="189"/>
      <c r="V45" s="36"/>
    </row>
    <row r="46" spans="1:24" ht="15" customHeight="1" x14ac:dyDescent="0.25">
      <c r="A46" s="1"/>
      <c r="B46" s="1"/>
      <c r="C46" s="1"/>
      <c r="D46" s="1"/>
      <c r="F46" s="184" t="s">
        <v>672</v>
      </c>
      <c r="G46" s="184"/>
      <c r="H46" s="184"/>
      <c r="L46" s="78" t="s">
        <v>54</v>
      </c>
      <c r="M46" s="78"/>
      <c r="N46" s="78"/>
      <c r="O46" s="78"/>
      <c r="P46" s="78"/>
      <c r="Q46" s="262"/>
      <c r="R46" s="262"/>
      <c r="S46" s="262"/>
      <c r="T46" s="262"/>
      <c r="U46" s="262"/>
      <c r="V46" s="36"/>
    </row>
    <row r="47" spans="1:24" ht="13.95" customHeight="1" x14ac:dyDescent="0.25">
      <c r="A47" s="205"/>
      <c r="B47" s="80"/>
      <c r="C47" s="80"/>
      <c r="D47" s="80"/>
      <c r="E47" s="183"/>
      <c r="F47" s="183"/>
      <c r="G47" s="183"/>
      <c r="H47" s="183"/>
      <c r="I47" s="183"/>
      <c r="J47" s="183"/>
      <c r="K47" s="78"/>
      <c r="L47" s="78" t="s">
        <v>55</v>
      </c>
      <c r="M47" s="262"/>
      <c r="N47" s="262"/>
      <c r="O47" s="262"/>
      <c r="P47" s="262"/>
      <c r="Q47" s="78"/>
      <c r="R47" s="78"/>
      <c r="V47" s="36"/>
    </row>
    <row r="48" spans="1:24" ht="13.95" customHeight="1" x14ac:dyDescent="0.25">
      <c r="A48" s="205"/>
      <c r="B48" s="80"/>
      <c r="C48" s="80"/>
      <c r="D48" s="80"/>
      <c r="E48" s="183"/>
      <c r="F48" s="183"/>
      <c r="G48" s="183"/>
      <c r="H48" s="183"/>
      <c r="I48" s="183"/>
      <c r="J48" s="183"/>
      <c r="K48" s="78"/>
      <c r="L48" s="78" t="s">
        <v>56</v>
      </c>
      <c r="M48" s="261"/>
      <c r="N48" s="261"/>
      <c r="O48" s="261"/>
      <c r="P48" s="261"/>
      <c r="Q48" s="78"/>
      <c r="R48" s="81" t="s">
        <v>57</v>
      </c>
      <c r="S48" s="260"/>
      <c r="T48" s="260"/>
      <c r="V48" s="36"/>
    </row>
    <row r="49" spans="1:22" ht="13.95" customHeight="1" x14ac:dyDescent="0.25">
      <c r="A49" s="185"/>
      <c r="B49" s="31"/>
      <c r="C49" s="31"/>
      <c r="D49" s="31"/>
      <c r="E49" s="183"/>
      <c r="F49" s="183"/>
      <c r="G49" s="183"/>
      <c r="H49" s="183"/>
      <c r="I49" s="183"/>
      <c r="J49" s="183"/>
      <c r="K49" s="78"/>
      <c r="L49" s="78" t="s">
        <v>58</v>
      </c>
      <c r="M49" s="159"/>
      <c r="N49" s="159"/>
      <c r="O49" s="159"/>
      <c r="P49" s="159"/>
      <c r="Q49" s="78"/>
      <c r="R49" s="78"/>
      <c r="V49" s="36"/>
    </row>
    <row r="50" spans="1:22" ht="13.95" customHeight="1" x14ac:dyDescent="0.25">
      <c r="A50" s="185"/>
      <c r="B50" s="31"/>
      <c r="C50" s="31"/>
      <c r="D50" s="31"/>
      <c r="E50" s="183"/>
      <c r="F50" s="183"/>
      <c r="G50" s="183"/>
      <c r="H50" s="183"/>
      <c r="I50" s="183"/>
      <c r="J50" s="183"/>
      <c r="K50" s="78"/>
      <c r="V50" s="36"/>
    </row>
    <row r="98" spans="1:8" hidden="1" x14ac:dyDescent="0.25"/>
    <row r="99" spans="1:8" hidden="1" x14ac:dyDescent="0.25"/>
    <row r="100" spans="1:8" hidden="1" x14ac:dyDescent="0.25"/>
    <row r="101" spans="1:8" s="82" customFormat="1" ht="25.5" hidden="1" customHeight="1" x14ac:dyDescent="0.25">
      <c r="E101" s="82" t="s">
        <v>161</v>
      </c>
      <c r="F101" s="82" t="s">
        <v>162</v>
      </c>
      <c r="G101" s="82" t="s">
        <v>163</v>
      </c>
    </row>
    <row r="102" spans="1:8" s="82" customFormat="1" ht="25.5" hidden="1" customHeight="1" x14ac:dyDescent="0.3">
      <c r="A102" s="82" t="s">
        <v>80</v>
      </c>
      <c r="B102" s="82" t="s">
        <v>81</v>
      </c>
      <c r="C102" s="82" t="s">
        <v>82</v>
      </c>
      <c r="D102" s="82" t="s">
        <v>137</v>
      </c>
      <c r="E102" s="83" t="s">
        <v>82</v>
      </c>
      <c r="F102" s="83" t="s">
        <v>137</v>
      </c>
      <c r="G102" s="83" t="s">
        <v>164</v>
      </c>
      <c r="H102" s="84"/>
    </row>
    <row r="103" spans="1:8" s="82" customFormat="1" ht="25.5" hidden="1" customHeight="1" x14ac:dyDescent="0.3">
      <c r="A103" s="82" t="s">
        <v>79</v>
      </c>
      <c r="B103" s="82" t="s">
        <v>81</v>
      </c>
      <c r="C103" s="82" t="s">
        <v>82</v>
      </c>
      <c r="D103" s="82" t="s">
        <v>82</v>
      </c>
      <c r="E103" s="83" t="s">
        <v>82</v>
      </c>
      <c r="F103" s="83" t="s">
        <v>137</v>
      </c>
      <c r="G103" s="83" t="s">
        <v>354</v>
      </c>
      <c r="H103" s="84"/>
    </row>
    <row r="104" spans="1:8" s="82" customFormat="1" ht="25.5" hidden="1" customHeight="1" x14ac:dyDescent="0.3">
      <c r="A104" s="82" t="s">
        <v>84</v>
      </c>
      <c r="B104" s="82" t="s">
        <v>81</v>
      </c>
      <c r="C104" s="82" t="s">
        <v>82</v>
      </c>
      <c r="D104" s="82" t="s">
        <v>83</v>
      </c>
      <c r="E104" s="83" t="s">
        <v>82</v>
      </c>
      <c r="F104" s="83" t="s">
        <v>137</v>
      </c>
      <c r="G104" s="83" t="s">
        <v>710</v>
      </c>
      <c r="H104" s="84"/>
    </row>
    <row r="105" spans="1:8" s="82" customFormat="1" ht="25.5" hidden="1" customHeight="1" x14ac:dyDescent="0.3">
      <c r="A105" s="82" t="s">
        <v>86</v>
      </c>
      <c r="B105" s="82" t="s">
        <v>87</v>
      </c>
      <c r="C105" s="82" t="s">
        <v>82</v>
      </c>
      <c r="D105" s="82" t="s">
        <v>166</v>
      </c>
      <c r="E105" s="83" t="s">
        <v>82</v>
      </c>
      <c r="F105" s="83" t="s">
        <v>137</v>
      </c>
      <c r="G105" s="83" t="s">
        <v>585</v>
      </c>
      <c r="H105" s="84"/>
    </row>
    <row r="106" spans="1:8" s="82" customFormat="1" ht="25.5" hidden="1" customHeight="1" x14ac:dyDescent="0.3">
      <c r="A106" s="82" t="s">
        <v>90</v>
      </c>
      <c r="B106" s="82" t="s">
        <v>87</v>
      </c>
      <c r="C106" s="82" t="s">
        <v>82</v>
      </c>
      <c r="D106" s="82" t="s">
        <v>85</v>
      </c>
      <c r="E106" s="83" t="s">
        <v>82</v>
      </c>
      <c r="F106" s="83" t="s">
        <v>137</v>
      </c>
      <c r="G106" s="83" t="s">
        <v>400</v>
      </c>
      <c r="H106" s="84"/>
    </row>
    <row r="107" spans="1:8" s="82" customFormat="1" ht="25.5" hidden="1" customHeight="1" x14ac:dyDescent="0.3">
      <c r="A107" s="82" t="s">
        <v>92</v>
      </c>
      <c r="B107" s="82" t="s">
        <v>87</v>
      </c>
      <c r="C107" s="82" t="s">
        <v>82</v>
      </c>
      <c r="D107" s="82" t="s">
        <v>138</v>
      </c>
      <c r="E107" s="83" t="s">
        <v>82</v>
      </c>
      <c r="F107" s="83" t="s">
        <v>82</v>
      </c>
      <c r="G107" s="83" t="s">
        <v>616</v>
      </c>
      <c r="H107" s="84"/>
    </row>
    <row r="108" spans="1:8" s="82" customFormat="1" ht="25.5" hidden="1" customHeight="1" x14ac:dyDescent="0.3">
      <c r="A108" s="82" t="s">
        <v>94</v>
      </c>
      <c r="B108" s="82" t="s">
        <v>95</v>
      </c>
      <c r="C108" s="83" t="s">
        <v>366</v>
      </c>
      <c r="D108" s="82" t="s">
        <v>89</v>
      </c>
      <c r="E108" s="83" t="s">
        <v>82</v>
      </c>
      <c r="F108" s="83" t="s">
        <v>82</v>
      </c>
      <c r="G108" s="83" t="s">
        <v>649</v>
      </c>
      <c r="H108" s="84"/>
    </row>
    <row r="109" spans="1:8" s="82" customFormat="1" ht="25.5" hidden="1" customHeight="1" x14ac:dyDescent="0.3">
      <c r="A109" s="82" t="s">
        <v>96</v>
      </c>
      <c r="B109" s="82" t="s">
        <v>95</v>
      </c>
      <c r="C109" s="83" t="s">
        <v>366</v>
      </c>
      <c r="D109" s="82" t="s">
        <v>91</v>
      </c>
      <c r="E109" s="83" t="s">
        <v>82</v>
      </c>
      <c r="F109" s="83" t="s">
        <v>82</v>
      </c>
      <c r="G109" s="83" t="s">
        <v>534</v>
      </c>
      <c r="H109" s="84"/>
    </row>
    <row r="110" spans="1:8" s="82" customFormat="1" ht="25.5" hidden="1" customHeight="1" x14ac:dyDescent="0.3">
      <c r="A110" s="82" t="s">
        <v>97</v>
      </c>
      <c r="B110" s="82" t="s">
        <v>95</v>
      </c>
      <c r="C110" s="83" t="s">
        <v>366</v>
      </c>
      <c r="D110" s="82" t="s">
        <v>93</v>
      </c>
      <c r="E110" s="83" t="s">
        <v>82</v>
      </c>
      <c r="F110" s="83" t="s">
        <v>82</v>
      </c>
      <c r="G110" s="83" t="s">
        <v>308</v>
      </c>
      <c r="H110" s="84"/>
    </row>
    <row r="111" spans="1:8" s="82" customFormat="1" ht="25.5" hidden="1" customHeight="1" x14ac:dyDescent="0.3">
      <c r="A111" s="82" t="s">
        <v>99</v>
      </c>
      <c r="B111" s="82" t="s">
        <v>100</v>
      </c>
      <c r="C111" s="83" t="s">
        <v>366</v>
      </c>
      <c r="D111" s="83" t="s">
        <v>366</v>
      </c>
      <c r="E111" s="83" t="s">
        <v>82</v>
      </c>
      <c r="F111" s="83" t="s">
        <v>82</v>
      </c>
      <c r="G111" s="83" t="s">
        <v>344</v>
      </c>
      <c r="H111" s="84"/>
    </row>
    <row r="112" spans="1:8" s="82" customFormat="1" ht="25.5" hidden="1" customHeight="1" x14ac:dyDescent="0.3">
      <c r="A112" s="82" t="s">
        <v>101</v>
      </c>
      <c r="B112" s="82" t="s">
        <v>100</v>
      </c>
      <c r="C112" s="83" t="s">
        <v>366</v>
      </c>
      <c r="D112" s="82" t="s">
        <v>98</v>
      </c>
      <c r="E112" s="83" t="s">
        <v>82</v>
      </c>
      <c r="F112" s="83" t="s">
        <v>82</v>
      </c>
      <c r="G112" s="83" t="s">
        <v>401</v>
      </c>
      <c r="H112" s="84"/>
    </row>
    <row r="113" spans="1:8" s="82" customFormat="1" ht="25.5" hidden="1" customHeight="1" x14ac:dyDescent="0.3">
      <c r="A113" s="82" t="s">
        <v>103</v>
      </c>
      <c r="B113" s="82" t="s">
        <v>100</v>
      </c>
      <c r="C113" s="83" t="s">
        <v>366</v>
      </c>
      <c r="D113" s="85" t="s">
        <v>678</v>
      </c>
      <c r="E113" s="83" t="s">
        <v>82</v>
      </c>
      <c r="F113" s="83" t="s">
        <v>82</v>
      </c>
      <c r="G113" s="83" t="s">
        <v>440</v>
      </c>
      <c r="H113" s="84"/>
    </row>
    <row r="114" spans="1:8" s="82" customFormat="1" ht="25.5" hidden="1" customHeight="1" x14ac:dyDescent="0.3">
      <c r="C114" s="83" t="s">
        <v>366</v>
      </c>
      <c r="D114" s="85" t="s">
        <v>139</v>
      </c>
      <c r="E114" s="83" t="s">
        <v>82</v>
      </c>
      <c r="F114" s="83" t="s">
        <v>82</v>
      </c>
      <c r="G114" s="83" t="s">
        <v>441</v>
      </c>
      <c r="H114" s="84"/>
    </row>
    <row r="115" spans="1:8" s="82" customFormat="1" ht="25.5" hidden="1" customHeight="1" x14ac:dyDescent="0.3">
      <c r="A115" s="85"/>
      <c r="B115" s="85"/>
      <c r="C115" s="83" t="s">
        <v>366</v>
      </c>
      <c r="D115" s="85" t="s">
        <v>140</v>
      </c>
      <c r="E115" s="83" t="s">
        <v>82</v>
      </c>
      <c r="F115" s="83" t="s">
        <v>82</v>
      </c>
      <c r="G115" s="83" t="s">
        <v>442</v>
      </c>
      <c r="H115" s="84"/>
    </row>
    <row r="116" spans="1:8" s="82" customFormat="1" ht="25.5" hidden="1" customHeight="1" x14ac:dyDescent="0.3">
      <c r="A116" s="85"/>
      <c r="B116" s="85"/>
      <c r="C116" s="83" t="s">
        <v>366</v>
      </c>
      <c r="D116" s="85" t="s">
        <v>179</v>
      </c>
      <c r="E116" s="83" t="s">
        <v>82</v>
      </c>
      <c r="F116" s="83" t="s">
        <v>82</v>
      </c>
      <c r="G116" s="83" t="s">
        <v>745</v>
      </c>
      <c r="H116" s="84"/>
    </row>
    <row r="117" spans="1:8" s="82" customFormat="1" ht="25.5" hidden="1" customHeight="1" x14ac:dyDescent="0.3">
      <c r="A117" s="85"/>
      <c r="B117" s="85"/>
      <c r="C117" s="83" t="s">
        <v>366</v>
      </c>
      <c r="D117" s="85" t="s">
        <v>102</v>
      </c>
      <c r="E117" s="83" t="s">
        <v>82</v>
      </c>
      <c r="F117" s="83" t="s">
        <v>82</v>
      </c>
      <c r="G117" s="83" t="s">
        <v>443</v>
      </c>
      <c r="H117" s="84"/>
    </row>
    <row r="118" spans="1:8" s="82" customFormat="1" ht="25.5" hidden="1" customHeight="1" x14ac:dyDescent="0.3">
      <c r="A118" s="85"/>
      <c r="B118" s="85"/>
      <c r="C118" s="83" t="s">
        <v>366</v>
      </c>
      <c r="D118" s="85" t="s">
        <v>104</v>
      </c>
      <c r="E118" s="83" t="s">
        <v>82</v>
      </c>
      <c r="F118" s="83" t="s">
        <v>82</v>
      </c>
      <c r="G118" s="83" t="s">
        <v>444</v>
      </c>
      <c r="H118" s="84"/>
    </row>
    <row r="119" spans="1:8" s="82" customFormat="1" ht="25.5" hidden="1" customHeight="1" x14ac:dyDescent="0.3">
      <c r="A119" s="85"/>
      <c r="B119" s="85"/>
      <c r="C119" s="85" t="s">
        <v>106</v>
      </c>
      <c r="D119" s="85" t="s">
        <v>106</v>
      </c>
      <c r="E119" s="83"/>
      <c r="F119" s="83"/>
      <c r="G119" s="83"/>
      <c r="H119" s="84"/>
    </row>
    <row r="120" spans="1:8" s="82" customFormat="1" ht="25.5" hidden="1" customHeight="1" x14ac:dyDescent="0.3">
      <c r="A120" s="85"/>
      <c r="B120" s="85"/>
      <c r="C120" s="85" t="s">
        <v>106</v>
      </c>
      <c r="D120" s="85" t="s">
        <v>108</v>
      </c>
      <c r="E120" s="83" t="s">
        <v>82</v>
      </c>
      <c r="F120" s="83" t="s">
        <v>83</v>
      </c>
      <c r="G120" s="83" t="s">
        <v>535</v>
      </c>
      <c r="H120" s="84"/>
    </row>
    <row r="121" spans="1:8" s="82" customFormat="1" ht="25.5" hidden="1" customHeight="1" x14ac:dyDescent="0.3">
      <c r="A121" s="85"/>
      <c r="B121" s="85"/>
      <c r="C121" s="85" t="s">
        <v>106</v>
      </c>
      <c r="D121" s="85" t="s">
        <v>109</v>
      </c>
      <c r="E121" s="83" t="s">
        <v>82</v>
      </c>
      <c r="F121" s="83" t="s">
        <v>165</v>
      </c>
      <c r="G121" s="83" t="s">
        <v>617</v>
      </c>
      <c r="H121" s="84"/>
    </row>
    <row r="122" spans="1:8" s="82" customFormat="1" ht="25.5" hidden="1" customHeight="1" x14ac:dyDescent="0.3">
      <c r="A122" s="85"/>
      <c r="B122" s="85"/>
      <c r="C122" s="85" t="s">
        <v>106</v>
      </c>
      <c r="D122" s="85" t="s">
        <v>110</v>
      </c>
      <c r="E122" s="83" t="s">
        <v>82</v>
      </c>
      <c r="F122" s="83" t="s">
        <v>165</v>
      </c>
      <c r="G122" s="83" t="s">
        <v>744</v>
      </c>
      <c r="H122" s="84"/>
    </row>
    <row r="123" spans="1:8" s="82" customFormat="1" ht="25.5" hidden="1" customHeight="1" x14ac:dyDescent="0.3">
      <c r="A123" s="85"/>
      <c r="B123" s="85"/>
      <c r="C123" s="85" t="s">
        <v>106</v>
      </c>
      <c r="D123" s="85" t="s">
        <v>111</v>
      </c>
      <c r="E123" s="83" t="s">
        <v>82</v>
      </c>
      <c r="F123" s="83" t="s">
        <v>83</v>
      </c>
      <c r="G123" s="83" t="s">
        <v>445</v>
      </c>
      <c r="H123" s="84"/>
    </row>
    <row r="124" spans="1:8" s="82" customFormat="1" ht="25.5" hidden="1" customHeight="1" x14ac:dyDescent="0.3">
      <c r="A124" s="85"/>
      <c r="B124" s="85"/>
      <c r="C124" s="85" t="s">
        <v>106</v>
      </c>
      <c r="D124" s="85" t="s">
        <v>142</v>
      </c>
      <c r="E124" s="83" t="s">
        <v>82</v>
      </c>
      <c r="F124" s="83" t="s">
        <v>83</v>
      </c>
      <c r="G124" s="83" t="s">
        <v>319</v>
      </c>
      <c r="H124" s="84"/>
    </row>
    <row r="125" spans="1:8" s="82" customFormat="1" ht="25.5" hidden="1" customHeight="1" x14ac:dyDescent="0.3">
      <c r="A125" s="85"/>
      <c r="B125" s="85"/>
      <c r="C125" s="85" t="s">
        <v>106</v>
      </c>
      <c r="D125" s="85" t="s">
        <v>112</v>
      </c>
      <c r="E125" s="83" t="s">
        <v>82</v>
      </c>
      <c r="F125" s="83" t="s">
        <v>83</v>
      </c>
      <c r="G125" s="83" t="s">
        <v>333</v>
      </c>
      <c r="H125" s="84"/>
    </row>
    <row r="126" spans="1:8" s="82" customFormat="1" ht="25.5" hidden="1" customHeight="1" x14ac:dyDescent="0.3">
      <c r="A126" s="85"/>
      <c r="B126" s="85"/>
      <c r="C126" s="85" t="s">
        <v>106</v>
      </c>
      <c r="D126" s="85" t="s">
        <v>143</v>
      </c>
      <c r="E126" s="83" t="s">
        <v>82</v>
      </c>
      <c r="F126" s="83" t="s">
        <v>83</v>
      </c>
      <c r="G126" s="83" t="s">
        <v>586</v>
      </c>
      <c r="H126" s="84"/>
    </row>
    <row r="127" spans="1:8" s="82" customFormat="1" ht="25.5" hidden="1" customHeight="1" x14ac:dyDescent="0.3">
      <c r="A127" s="85"/>
      <c r="B127" s="85"/>
      <c r="C127" s="85" t="s">
        <v>106</v>
      </c>
      <c r="D127" s="85" t="s">
        <v>113</v>
      </c>
      <c r="H127" s="84"/>
    </row>
    <row r="128" spans="1:8" s="82" customFormat="1" ht="25.5" hidden="1" customHeight="1" x14ac:dyDescent="0.3">
      <c r="A128" s="85"/>
      <c r="B128" s="85"/>
      <c r="C128" s="85" t="s">
        <v>106</v>
      </c>
      <c r="D128" s="85" t="s">
        <v>215</v>
      </c>
      <c r="H128" s="84"/>
    </row>
    <row r="129" spans="1:8" s="82" customFormat="1" ht="25.5" hidden="1" customHeight="1" x14ac:dyDescent="0.3">
      <c r="A129" s="85"/>
      <c r="B129" s="85"/>
      <c r="C129" s="85" t="s">
        <v>106</v>
      </c>
      <c r="D129" s="85" t="s">
        <v>145</v>
      </c>
      <c r="E129" s="83"/>
      <c r="F129" s="83"/>
      <c r="G129" s="83"/>
      <c r="H129" s="84"/>
    </row>
    <row r="130" spans="1:8" s="82" customFormat="1" ht="25.5" hidden="1" customHeight="1" x14ac:dyDescent="0.3">
      <c r="A130" s="85"/>
      <c r="B130" s="85"/>
      <c r="C130" s="85" t="s">
        <v>106</v>
      </c>
      <c r="D130" s="85" t="s">
        <v>146</v>
      </c>
      <c r="E130" s="83"/>
      <c r="F130" s="83"/>
      <c r="G130" s="83"/>
      <c r="H130" s="84"/>
    </row>
    <row r="131" spans="1:8" s="82" customFormat="1" ht="25.5" hidden="1" customHeight="1" x14ac:dyDescent="0.3">
      <c r="A131" s="85"/>
      <c r="B131" s="85"/>
      <c r="C131" s="85" t="s">
        <v>106</v>
      </c>
      <c r="D131" s="85" t="s">
        <v>114</v>
      </c>
      <c r="E131" s="83"/>
      <c r="F131" s="83"/>
      <c r="G131" s="83"/>
      <c r="H131" s="84"/>
    </row>
    <row r="132" spans="1:8" s="82" customFormat="1" ht="25.5" hidden="1" customHeight="1" x14ac:dyDescent="0.3">
      <c r="A132" s="85"/>
      <c r="B132" s="85"/>
      <c r="C132" s="85" t="s">
        <v>118</v>
      </c>
      <c r="D132" s="85" t="s">
        <v>148</v>
      </c>
      <c r="E132" s="83" t="s">
        <v>82</v>
      </c>
      <c r="F132" s="83" t="s">
        <v>166</v>
      </c>
      <c r="G132" s="83" t="s">
        <v>167</v>
      </c>
      <c r="H132" s="84"/>
    </row>
    <row r="133" spans="1:8" s="82" customFormat="1" ht="25.5" hidden="1" customHeight="1" x14ac:dyDescent="0.3">
      <c r="A133" s="85"/>
      <c r="B133" s="85"/>
      <c r="C133" s="85" t="s">
        <v>118</v>
      </c>
      <c r="D133" s="85" t="s">
        <v>119</v>
      </c>
      <c r="E133" s="83" t="s">
        <v>82</v>
      </c>
      <c r="F133" s="83" t="s">
        <v>166</v>
      </c>
      <c r="G133" s="83" t="s">
        <v>402</v>
      </c>
      <c r="H133" s="84"/>
    </row>
    <row r="134" spans="1:8" s="82" customFormat="1" ht="25.5" hidden="1" customHeight="1" x14ac:dyDescent="0.3">
      <c r="A134" s="85"/>
      <c r="B134" s="85"/>
      <c r="C134" s="85" t="s">
        <v>118</v>
      </c>
      <c r="D134" s="85" t="s">
        <v>120</v>
      </c>
      <c r="E134" s="83" t="s">
        <v>82</v>
      </c>
      <c r="F134" s="83" t="s">
        <v>166</v>
      </c>
      <c r="G134" s="83" t="s">
        <v>446</v>
      </c>
      <c r="H134" s="84"/>
    </row>
    <row r="135" spans="1:8" s="82" customFormat="1" ht="25.5" hidden="1" customHeight="1" x14ac:dyDescent="0.3">
      <c r="A135" s="85"/>
      <c r="B135" s="85"/>
      <c r="C135" s="85" t="s">
        <v>118</v>
      </c>
      <c r="D135" s="85" t="s">
        <v>149</v>
      </c>
      <c r="E135" s="83" t="s">
        <v>82</v>
      </c>
      <c r="F135" s="83" t="s">
        <v>166</v>
      </c>
      <c r="G135" s="83" t="s">
        <v>447</v>
      </c>
      <c r="H135" s="84"/>
    </row>
    <row r="136" spans="1:8" s="82" customFormat="1" ht="25.5" hidden="1" customHeight="1" x14ac:dyDescent="0.3">
      <c r="A136" s="85"/>
      <c r="B136" s="85"/>
      <c r="C136" s="85" t="s">
        <v>118</v>
      </c>
      <c r="D136" s="85" t="s">
        <v>118</v>
      </c>
      <c r="E136" s="83" t="s">
        <v>82</v>
      </c>
      <c r="F136" s="83" t="s">
        <v>85</v>
      </c>
      <c r="G136" s="83" t="s">
        <v>536</v>
      </c>
      <c r="H136" s="84"/>
    </row>
    <row r="137" spans="1:8" s="82" customFormat="1" ht="25.5" hidden="1" customHeight="1" x14ac:dyDescent="0.3">
      <c r="A137" s="85"/>
      <c r="B137" s="85"/>
      <c r="C137" s="85" t="s">
        <v>118</v>
      </c>
      <c r="D137" s="85" t="s">
        <v>121</v>
      </c>
      <c r="E137" s="83" t="s">
        <v>82</v>
      </c>
      <c r="F137" s="83" t="s">
        <v>168</v>
      </c>
      <c r="G137" s="83" t="s">
        <v>618</v>
      </c>
      <c r="H137" s="84"/>
    </row>
    <row r="138" spans="1:8" s="82" customFormat="1" ht="25.5" hidden="1" customHeight="1" x14ac:dyDescent="0.3">
      <c r="A138" s="85"/>
      <c r="B138" s="85"/>
      <c r="C138" s="85" t="s">
        <v>118</v>
      </c>
      <c r="D138" s="85" t="s">
        <v>150</v>
      </c>
      <c r="E138" s="83" t="s">
        <v>82</v>
      </c>
      <c r="F138" s="83" t="s">
        <v>168</v>
      </c>
      <c r="G138" s="83" t="s">
        <v>718</v>
      </c>
      <c r="H138" s="84"/>
    </row>
    <row r="139" spans="1:8" s="82" customFormat="1" ht="25.5" hidden="1" customHeight="1" x14ac:dyDescent="0.3">
      <c r="A139" s="85"/>
      <c r="B139" s="85"/>
      <c r="C139" s="85" t="s">
        <v>118</v>
      </c>
      <c r="D139" s="85" t="s">
        <v>151</v>
      </c>
      <c r="E139" s="83" t="s">
        <v>82</v>
      </c>
      <c r="F139" s="83" t="s">
        <v>168</v>
      </c>
      <c r="G139" s="83" t="s">
        <v>719</v>
      </c>
      <c r="H139" s="84"/>
    </row>
    <row r="140" spans="1:8" s="82" customFormat="1" ht="25.5" hidden="1" customHeight="1" x14ac:dyDescent="0.3">
      <c r="A140" s="85"/>
      <c r="B140" s="85"/>
      <c r="C140" s="85" t="s">
        <v>118</v>
      </c>
      <c r="D140" s="85" t="s">
        <v>152</v>
      </c>
      <c r="E140" s="83" t="s">
        <v>82</v>
      </c>
      <c r="F140" s="83" t="s">
        <v>168</v>
      </c>
      <c r="G140" s="83" t="s">
        <v>352</v>
      </c>
      <c r="H140" s="84"/>
    </row>
    <row r="141" spans="1:8" s="82" customFormat="1" ht="25.5" hidden="1" customHeight="1" x14ac:dyDescent="0.3">
      <c r="A141" s="85"/>
      <c r="B141" s="85"/>
      <c r="C141" s="85" t="s">
        <v>118</v>
      </c>
      <c r="D141" s="85" t="s">
        <v>122</v>
      </c>
      <c r="E141" s="83" t="s">
        <v>82</v>
      </c>
      <c r="F141" s="83" t="s">
        <v>168</v>
      </c>
      <c r="G141" s="83" t="s">
        <v>353</v>
      </c>
      <c r="H141" s="84"/>
    </row>
    <row r="142" spans="1:8" s="82" customFormat="1" ht="25.5" hidden="1" customHeight="1" x14ac:dyDescent="0.3">
      <c r="A142" s="85"/>
      <c r="B142" s="85"/>
      <c r="C142" s="85" t="s">
        <v>117</v>
      </c>
      <c r="D142" s="85" t="s">
        <v>141</v>
      </c>
      <c r="E142" s="83" t="s">
        <v>82</v>
      </c>
      <c r="F142" s="83" t="s">
        <v>168</v>
      </c>
      <c r="G142" s="83" t="s">
        <v>448</v>
      </c>
      <c r="H142" s="84"/>
    </row>
    <row r="143" spans="1:8" s="82" customFormat="1" ht="25.5" hidden="1" customHeight="1" x14ac:dyDescent="0.3">
      <c r="A143" s="85"/>
      <c r="B143" s="85"/>
      <c r="C143" s="85" t="s">
        <v>117</v>
      </c>
      <c r="D143" s="85" t="s">
        <v>117</v>
      </c>
      <c r="E143" s="83" t="s">
        <v>82</v>
      </c>
      <c r="F143" s="83" t="s">
        <v>138</v>
      </c>
      <c r="G143" s="83" t="s">
        <v>619</v>
      </c>
      <c r="H143" s="84"/>
    </row>
    <row r="144" spans="1:8" s="82" customFormat="1" ht="25.5" hidden="1" customHeight="1" x14ac:dyDescent="0.3">
      <c r="A144" s="85"/>
      <c r="B144" s="85"/>
      <c r="C144" s="85" t="s">
        <v>117</v>
      </c>
      <c r="D144" s="85" t="s">
        <v>144</v>
      </c>
      <c r="E144" s="83" t="s">
        <v>82</v>
      </c>
      <c r="F144" s="83" t="s">
        <v>138</v>
      </c>
      <c r="G144" s="83" t="s">
        <v>355</v>
      </c>
      <c r="H144" s="84"/>
    </row>
    <row r="145" spans="1:8" s="82" customFormat="1" ht="25.5" hidden="1" customHeight="1" x14ac:dyDescent="0.3">
      <c r="A145" s="85"/>
      <c r="B145" s="85"/>
      <c r="C145" s="85" t="s">
        <v>117</v>
      </c>
      <c r="D145" s="85" t="s">
        <v>147</v>
      </c>
      <c r="E145" s="83" t="s">
        <v>82</v>
      </c>
      <c r="F145" s="83" t="s">
        <v>138</v>
      </c>
      <c r="G145" s="83" t="s">
        <v>587</v>
      </c>
      <c r="H145" s="84"/>
    </row>
    <row r="146" spans="1:8" s="82" customFormat="1" ht="25.5" hidden="1" customHeight="1" x14ac:dyDescent="0.3">
      <c r="A146" s="85"/>
      <c r="B146" s="85"/>
      <c r="C146" s="82" t="s">
        <v>123</v>
      </c>
      <c r="D146" s="85" t="s">
        <v>124</v>
      </c>
      <c r="E146" s="83" t="s">
        <v>82</v>
      </c>
      <c r="F146" s="83" t="s">
        <v>138</v>
      </c>
      <c r="G146" s="83" t="s">
        <v>391</v>
      </c>
      <c r="H146" s="84"/>
    </row>
    <row r="147" spans="1:8" s="82" customFormat="1" ht="25.5" hidden="1" customHeight="1" x14ac:dyDescent="0.3">
      <c r="A147" s="85"/>
      <c r="B147" s="85"/>
      <c r="C147" s="82" t="s">
        <v>123</v>
      </c>
      <c r="D147" s="85" t="s">
        <v>241</v>
      </c>
      <c r="E147" s="83" t="s">
        <v>82</v>
      </c>
      <c r="F147" s="83" t="s">
        <v>138</v>
      </c>
      <c r="G147" s="83" t="s">
        <v>403</v>
      </c>
      <c r="H147" s="84"/>
    </row>
    <row r="148" spans="1:8" s="82" customFormat="1" ht="25.5" hidden="1" customHeight="1" x14ac:dyDescent="0.3">
      <c r="A148" s="85"/>
      <c r="B148" s="85"/>
      <c r="C148" s="82" t="s">
        <v>123</v>
      </c>
      <c r="D148" s="85" t="s">
        <v>153</v>
      </c>
      <c r="E148" s="83" t="s">
        <v>82</v>
      </c>
      <c r="F148" s="83" t="s">
        <v>138</v>
      </c>
      <c r="G148" s="83" t="s">
        <v>449</v>
      </c>
      <c r="H148" s="84"/>
    </row>
    <row r="149" spans="1:8" s="82" customFormat="1" ht="25.5" hidden="1" customHeight="1" x14ac:dyDescent="0.3">
      <c r="A149" s="85"/>
      <c r="B149" s="85"/>
      <c r="C149" s="82" t="s">
        <v>123</v>
      </c>
      <c r="D149" s="82" t="s">
        <v>125</v>
      </c>
      <c r="E149" s="83"/>
      <c r="F149" s="83"/>
      <c r="G149" s="83"/>
      <c r="H149" s="84"/>
    </row>
    <row r="150" spans="1:8" s="82" customFormat="1" ht="25.5" hidden="1" customHeight="1" x14ac:dyDescent="0.3">
      <c r="A150" s="85"/>
      <c r="B150" s="85"/>
      <c r="C150" s="82" t="s">
        <v>123</v>
      </c>
      <c r="D150" s="82" t="s">
        <v>154</v>
      </c>
      <c r="E150" s="83" t="s">
        <v>366</v>
      </c>
      <c r="F150" s="86" t="s">
        <v>169</v>
      </c>
      <c r="G150" s="86" t="s">
        <v>88</v>
      </c>
      <c r="H150" s="84"/>
    </row>
    <row r="151" spans="1:8" s="82" customFormat="1" ht="25.5" hidden="1" customHeight="1" x14ac:dyDescent="0.3">
      <c r="A151" s="85"/>
      <c r="B151" s="85"/>
      <c r="C151" s="82" t="s">
        <v>123</v>
      </c>
      <c r="D151" s="82" t="s">
        <v>127</v>
      </c>
      <c r="E151" s="83" t="s">
        <v>366</v>
      </c>
      <c r="F151" s="86" t="s">
        <v>169</v>
      </c>
      <c r="G151" s="86" t="s">
        <v>450</v>
      </c>
      <c r="H151" s="84"/>
    </row>
    <row r="152" spans="1:8" s="82" customFormat="1" ht="25.5" hidden="1" customHeight="1" x14ac:dyDescent="0.3">
      <c r="A152" s="85"/>
      <c r="B152" s="85"/>
      <c r="C152" s="82" t="s">
        <v>123</v>
      </c>
      <c r="D152" s="82" t="s">
        <v>123</v>
      </c>
      <c r="E152" s="86"/>
      <c r="F152" s="86"/>
      <c r="G152" s="86"/>
      <c r="H152" s="84"/>
    </row>
    <row r="153" spans="1:8" s="82" customFormat="1" ht="25.5" hidden="1" customHeight="1" x14ac:dyDescent="0.3">
      <c r="A153" s="85"/>
      <c r="B153" s="85"/>
      <c r="C153" s="82" t="s">
        <v>123</v>
      </c>
      <c r="D153" s="82" t="s">
        <v>128</v>
      </c>
      <c r="E153" s="86"/>
      <c r="F153" s="86"/>
      <c r="G153" s="86"/>
      <c r="H153" s="84"/>
    </row>
    <row r="154" spans="1:8" s="82" customFormat="1" ht="25.5" hidden="1" customHeight="1" x14ac:dyDescent="0.3">
      <c r="A154" s="85"/>
      <c r="B154" s="85"/>
      <c r="C154" s="82" t="s">
        <v>129</v>
      </c>
      <c r="D154" s="82" t="s">
        <v>155</v>
      </c>
      <c r="E154" s="83" t="s">
        <v>366</v>
      </c>
      <c r="F154" s="83" t="s">
        <v>170</v>
      </c>
      <c r="G154" s="83" t="s">
        <v>537</v>
      </c>
      <c r="H154" s="84"/>
    </row>
    <row r="155" spans="1:8" s="82" customFormat="1" ht="25.5" hidden="1" customHeight="1" x14ac:dyDescent="0.3">
      <c r="A155" s="85"/>
      <c r="B155" s="85"/>
      <c r="C155" s="82" t="s">
        <v>129</v>
      </c>
      <c r="D155" s="82" t="s">
        <v>130</v>
      </c>
      <c r="E155" s="83" t="s">
        <v>366</v>
      </c>
      <c r="F155" s="83" t="s">
        <v>171</v>
      </c>
      <c r="G155" s="83" t="s">
        <v>172</v>
      </c>
      <c r="H155" s="84"/>
    </row>
    <row r="156" spans="1:8" s="82" customFormat="1" ht="25.5" hidden="1" customHeight="1" x14ac:dyDescent="0.3">
      <c r="A156" s="85"/>
      <c r="B156" s="85"/>
      <c r="C156" s="82" t="s">
        <v>129</v>
      </c>
      <c r="D156" s="82" t="s">
        <v>131</v>
      </c>
      <c r="E156" s="83" t="s">
        <v>366</v>
      </c>
      <c r="F156" s="83" t="s">
        <v>171</v>
      </c>
      <c r="G156" s="83" t="s">
        <v>332</v>
      </c>
      <c r="H156" s="84"/>
    </row>
    <row r="157" spans="1:8" s="82" customFormat="1" ht="25.5" hidden="1" customHeight="1" x14ac:dyDescent="0.3">
      <c r="A157" s="85"/>
      <c r="B157" s="85"/>
      <c r="C157" s="82" t="s">
        <v>129</v>
      </c>
      <c r="D157" s="82" t="s">
        <v>156</v>
      </c>
      <c r="E157" s="83" t="s">
        <v>366</v>
      </c>
      <c r="F157" s="83" t="s">
        <v>171</v>
      </c>
      <c r="G157" s="83" t="s">
        <v>588</v>
      </c>
      <c r="H157" s="84"/>
    </row>
    <row r="158" spans="1:8" s="82" customFormat="1" ht="25.5" hidden="1" customHeight="1" x14ac:dyDescent="0.3">
      <c r="A158" s="85"/>
      <c r="B158" s="85"/>
      <c r="C158" s="82" t="s">
        <v>129</v>
      </c>
      <c r="D158" s="82" t="s">
        <v>157</v>
      </c>
      <c r="E158" s="83" t="s">
        <v>366</v>
      </c>
      <c r="F158" s="83" t="s">
        <v>171</v>
      </c>
      <c r="G158" s="83" t="s">
        <v>404</v>
      </c>
      <c r="H158" s="84"/>
    </row>
    <row r="159" spans="1:8" s="82" customFormat="1" ht="25.5" hidden="1" customHeight="1" x14ac:dyDescent="0.3">
      <c r="A159" s="85"/>
      <c r="B159" s="85"/>
      <c r="C159" s="82" t="s">
        <v>129</v>
      </c>
      <c r="D159" s="82" t="s">
        <v>158</v>
      </c>
      <c r="E159" s="83" t="s">
        <v>366</v>
      </c>
      <c r="F159" s="83" t="s">
        <v>171</v>
      </c>
      <c r="G159" s="83" t="s">
        <v>451</v>
      </c>
      <c r="H159" s="84"/>
    </row>
    <row r="160" spans="1:8" s="82" customFormat="1" ht="25.5" hidden="1" customHeight="1" x14ac:dyDescent="0.3">
      <c r="A160" s="85"/>
      <c r="B160" s="85"/>
      <c r="C160" s="82" t="s">
        <v>129</v>
      </c>
      <c r="D160" s="82" t="s">
        <v>129</v>
      </c>
      <c r="E160" s="83" t="s">
        <v>366</v>
      </c>
      <c r="F160" s="83" t="s">
        <v>171</v>
      </c>
      <c r="G160" s="83" t="s">
        <v>452</v>
      </c>
      <c r="H160" s="84"/>
    </row>
    <row r="161" spans="1:8" s="82" customFormat="1" ht="25.5" hidden="1" customHeight="1" x14ac:dyDescent="0.3">
      <c r="A161" s="85"/>
      <c r="B161" s="85"/>
      <c r="C161" s="82" t="s">
        <v>129</v>
      </c>
      <c r="D161" s="82" t="s">
        <v>159</v>
      </c>
      <c r="E161" s="83" t="s">
        <v>366</v>
      </c>
      <c r="F161" s="83" t="s">
        <v>171</v>
      </c>
      <c r="G161" s="83" t="s">
        <v>453</v>
      </c>
      <c r="H161" s="84"/>
    </row>
    <row r="162" spans="1:8" s="82" customFormat="1" ht="25.5" hidden="1" customHeight="1" x14ac:dyDescent="0.3">
      <c r="A162" s="85"/>
      <c r="B162" s="85"/>
      <c r="C162" s="82" t="s">
        <v>132</v>
      </c>
      <c r="D162" s="82" t="s">
        <v>133</v>
      </c>
      <c r="E162" s="83"/>
      <c r="F162" s="83"/>
      <c r="G162" s="83"/>
      <c r="H162" s="84"/>
    </row>
    <row r="163" spans="1:8" s="82" customFormat="1" ht="25.5" hidden="1" customHeight="1" x14ac:dyDescent="0.3">
      <c r="C163" s="82" t="s">
        <v>132</v>
      </c>
      <c r="D163" s="82" t="s">
        <v>160</v>
      </c>
      <c r="E163" s="83" t="s">
        <v>366</v>
      </c>
      <c r="F163" s="83" t="s">
        <v>93</v>
      </c>
      <c r="G163" s="83" t="s">
        <v>538</v>
      </c>
    </row>
    <row r="164" spans="1:8" s="82" customFormat="1" ht="25.5" hidden="1" customHeight="1" x14ac:dyDescent="0.3">
      <c r="C164" s="82" t="s">
        <v>132</v>
      </c>
      <c r="D164" s="82" t="s">
        <v>134</v>
      </c>
      <c r="E164" s="83" t="s">
        <v>366</v>
      </c>
      <c r="F164" s="83" t="s">
        <v>173</v>
      </c>
      <c r="G164" s="83" t="s">
        <v>620</v>
      </c>
    </row>
    <row r="165" spans="1:8" s="82" customFormat="1" ht="25.5" hidden="1" customHeight="1" x14ac:dyDescent="0.3">
      <c r="C165" s="82" t="s">
        <v>132</v>
      </c>
      <c r="D165" s="82" t="s">
        <v>132</v>
      </c>
      <c r="E165" s="83" t="s">
        <v>366</v>
      </c>
      <c r="F165" s="83" t="s">
        <v>173</v>
      </c>
      <c r="G165" s="83" t="s">
        <v>392</v>
      </c>
    </row>
    <row r="166" spans="1:8" s="82" customFormat="1" ht="25.5" hidden="1" customHeight="1" x14ac:dyDescent="0.3">
      <c r="E166" s="83" t="s">
        <v>366</v>
      </c>
      <c r="F166" s="83" t="s">
        <v>173</v>
      </c>
      <c r="G166" s="83" t="s">
        <v>743</v>
      </c>
    </row>
    <row r="167" spans="1:8" s="82" customFormat="1" ht="25.5" hidden="1" customHeight="1" x14ac:dyDescent="0.3">
      <c r="E167" s="83" t="s">
        <v>366</v>
      </c>
      <c r="F167" s="83" t="s">
        <v>173</v>
      </c>
      <c r="G167" s="83" t="s">
        <v>406</v>
      </c>
    </row>
    <row r="168" spans="1:8" s="82" customFormat="1" ht="25.5" hidden="1" customHeight="1" x14ac:dyDescent="0.3">
      <c r="E168" s="83" t="s">
        <v>366</v>
      </c>
      <c r="F168" s="83" t="s">
        <v>173</v>
      </c>
      <c r="G168" s="83" t="s">
        <v>454</v>
      </c>
    </row>
    <row r="169" spans="1:8" s="82" customFormat="1" ht="25.5" hidden="1" customHeight="1" x14ac:dyDescent="0.3">
      <c r="E169" s="83" t="s">
        <v>366</v>
      </c>
      <c r="F169" s="83" t="s">
        <v>366</v>
      </c>
      <c r="G169" s="83" t="s">
        <v>367</v>
      </c>
    </row>
    <row r="170" spans="1:8" s="82" customFormat="1" ht="25.5" hidden="1" customHeight="1" x14ac:dyDescent="0.3">
      <c r="E170" s="83" t="s">
        <v>366</v>
      </c>
      <c r="F170" s="83" t="s">
        <v>366</v>
      </c>
      <c r="G170" s="83" t="s">
        <v>368</v>
      </c>
    </row>
    <row r="171" spans="1:8" s="82" customFormat="1" ht="25.5" hidden="1" customHeight="1" x14ac:dyDescent="0.3">
      <c r="E171" s="83" t="s">
        <v>366</v>
      </c>
      <c r="F171" s="83" t="s">
        <v>366</v>
      </c>
      <c r="G171" s="83" t="s">
        <v>369</v>
      </c>
    </row>
    <row r="172" spans="1:8" s="82" customFormat="1" ht="25.5" hidden="1" customHeight="1" x14ac:dyDescent="0.3">
      <c r="E172" s="83" t="s">
        <v>366</v>
      </c>
      <c r="F172" s="83" t="s">
        <v>366</v>
      </c>
      <c r="G172" s="83" t="s">
        <v>183</v>
      </c>
    </row>
    <row r="173" spans="1:8" s="82" customFormat="1" ht="25.5" hidden="1" customHeight="1" x14ac:dyDescent="0.3">
      <c r="E173" s="83" t="s">
        <v>366</v>
      </c>
      <c r="F173" s="83" t="s">
        <v>366</v>
      </c>
      <c r="G173" s="83" t="s">
        <v>184</v>
      </c>
    </row>
    <row r="174" spans="1:8" s="82" customFormat="1" ht="25.5" hidden="1" customHeight="1" x14ac:dyDescent="0.3">
      <c r="E174" s="83" t="s">
        <v>366</v>
      </c>
      <c r="F174" s="83" t="s">
        <v>366</v>
      </c>
      <c r="G174" s="83" t="s">
        <v>650</v>
      </c>
    </row>
    <row r="175" spans="1:8" s="82" customFormat="1" ht="25.5" hidden="1" customHeight="1" x14ac:dyDescent="0.3">
      <c r="E175" s="83" t="s">
        <v>366</v>
      </c>
      <c r="F175" s="83" t="s">
        <v>366</v>
      </c>
      <c r="G175" s="83" t="s">
        <v>589</v>
      </c>
    </row>
    <row r="176" spans="1:8" s="82" customFormat="1" ht="25.5" hidden="1" customHeight="1" x14ac:dyDescent="0.3">
      <c r="E176" s="83" t="s">
        <v>366</v>
      </c>
      <c r="F176" s="83" t="s">
        <v>366</v>
      </c>
      <c r="G176" s="83" t="s">
        <v>590</v>
      </c>
    </row>
    <row r="177" spans="5:7" s="82" customFormat="1" ht="25.5" hidden="1" customHeight="1" x14ac:dyDescent="0.3">
      <c r="E177" s="83" t="s">
        <v>366</v>
      </c>
      <c r="F177" s="83" t="s">
        <v>366</v>
      </c>
      <c r="G177" s="83" t="s">
        <v>370</v>
      </c>
    </row>
    <row r="178" spans="5:7" s="82" customFormat="1" ht="25.5" hidden="1" customHeight="1" x14ac:dyDescent="0.3">
      <c r="E178" s="83" t="s">
        <v>366</v>
      </c>
      <c r="F178" s="83" t="s">
        <v>366</v>
      </c>
      <c r="G178" s="83" t="s">
        <v>371</v>
      </c>
    </row>
    <row r="179" spans="5:7" s="82" customFormat="1" ht="25.5" hidden="1" customHeight="1" x14ac:dyDescent="0.3">
      <c r="E179" s="83" t="s">
        <v>366</v>
      </c>
      <c r="F179" s="83" t="s">
        <v>366</v>
      </c>
      <c r="G179" s="83" t="s">
        <v>741</v>
      </c>
    </row>
    <row r="180" spans="5:7" s="82" customFormat="1" ht="25.5" hidden="1" customHeight="1" x14ac:dyDescent="0.3">
      <c r="E180" s="83" t="s">
        <v>366</v>
      </c>
      <c r="F180" s="83" t="s">
        <v>366</v>
      </c>
      <c r="G180" s="83" t="s">
        <v>740</v>
      </c>
    </row>
    <row r="181" spans="5:7" s="82" customFormat="1" ht="25.5" hidden="1" customHeight="1" x14ac:dyDescent="0.3">
      <c r="E181" s="83" t="s">
        <v>366</v>
      </c>
      <c r="F181" s="83" t="s">
        <v>366</v>
      </c>
      <c r="G181" s="83" t="s">
        <v>372</v>
      </c>
    </row>
    <row r="182" spans="5:7" s="82" customFormat="1" ht="25.5" hidden="1" customHeight="1" x14ac:dyDescent="0.3">
      <c r="E182" s="83" t="s">
        <v>366</v>
      </c>
      <c r="F182" s="83" t="s">
        <v>366</v>
      </c>
      <c r="G182" s="83" t="s">
        <v>373</v>
      </c>
    </row>
    <row r="183" spans="5:7" s="82" customFormat="1" ht="25.5" hidden="1" customHeight="1" x14ac:dyDescent="0.3">
      <c r="E183" s="83" t="s">
        <v>366</v>
      </c>
      <c r="F183" s="83" t="s">
        <v>366</v>
      </c>
      <c r="G183" s="83" t="s">
        <v>382</v>
      </c>
    </row>
    <row r="184" spans="5:7" s="82" customFormat="1" ht="25.5" hidden="1" customHeight="1" x14ac:dyDescent="0.3">
      <c r="E184" s="83" t="s">
        <v>366</v>
      </c>
      <c r="F184" s="83" t="s">
        <v>366</v>
      </c>
      <c r="G184" s="83" t="s">
        <v>383</v>
      </c>
    </row>
    <row r="185" spans="5:7" s="82" customFormat="1" ht="25.5" hidden="1" customHeight="1" x14ac:dyDescent="0.3">
      <c r="E185" s="83" t="s">
        <v>366</v>
      </c>
      <c r="F185" s="83" t="s">
        <v>366</v>
      </c>
      <c r="G185" s="83" t="s">
        <v>709</v>
      </c>
    </row>
    <row r="186" spans="5:7" s="82" customFormat="1" ht="25.5" hidden="1" customHeight="1" x14ac:dyDescent="0.3">
      <c r="E186" s="83" t="s">
        <v>366</v>
      </c>
      <c r="F186" s="83" t="s">
        <v>366</v>
      </c>
      <c r="G186" s="83" t="s">
        <v>384</v>
      </c>
    </row>
    <row r="187" spans="5:7" s="82" customFormat="1" ht="25.5" hidden="1" customHeight="1" x14ac:dyDescent="0.3">
      <c r="E187" s="83" t="s">
        <v>366</v>
      </c>
      <c r="F187" s="83" t="s">
        <v>366</v>
      </c>
      <c r="G187" s="83" t="s">
        <v>390</v>
      </c>
    </row>
    <row r="188" spans="5:7" s="82" customFormat="1" ht="25.5" hidden="1" customHeight="1" x14ac:dyDescent="0.3">
      <c r="E188" s="83" t="s">
        <v>366</v>
      </c>
      <c r="F188" s="83" t="s">
        <v>366</v>
      </c>
      <c r="G188" s="83" t="s">
        <v>405</v>
      </c>
    </row>
    <row r="189" spans="5:7" s="82" customFormat="1" ht="25.5" hidden="1" customHeight="1" x14ac:dyDescent="0.3">
      <c r="E189" s="83" t="s">
        <v>366</v>
      </c>
      <c r="F189" s="83" t="s">
        <v>366</v>
      </c>
      <c r="G189" s="83" t="s">
        <v>455</v>
      </c>
    </row>
    <row r="190" spans="5:7" s="82" customFormat="1" ht="25.5" hidden="1" customHeight="1" x14ac:dyDescent="0.3">
      <c r="E190" s="83" t="s">
        <v>366</v>
      </c>
      <c r="F190" s="83" t="s">
        <v>366</v>
      </c>
      <c r="G190" s="83" t="s">
        <v>456</v>
      </c>
    </row>
    <row r="191" spans="5:7" s="82" customFormat="1" ht="25.5" hidden="1" customHeight="1" x14ac:dyDescent="0.3">
      <c r="E191" s="83"/>
      <c r="F191" s="83"/>
      <c r="G191" s="83"/>
    </row>
    <row r="192" spans="5:7" s="82" customFormat="1" ht="25.5" hidden="1" customHeight="1" x14ac:dyDescent="0.3">
      <c r="E192" s="83"/>
      <c r="F192" s="83"/>
      <c r="G192" s="83"/>
    </row>
    <row r="193" spans="5:7" s="82" customFormat="1" ht="25.5" hidden="1" customHeight="1" x14ac:dyDescent="0.3">
      <c r="E193" s="83"/>
      <c r="F193" s="83"/>
      <c r="G193" s="83"/>
    </row>
    <row r="194" spans="5:7" s="82" customFormat="1" ht="25.5" hidden="1" customHeight="1" x14ac:dyDescent="0.3">
      <c r="E194" s="83"/>
      <c r="F194" s="83"/>
      <c r="G194" s="83"/>
    </row>
    <row r="195" spans="5:7" s="82" customFormat="1" ht="25.5" hidden="1" customHeight="1" x14ac:dyDescent="0.3">
      <c r="E195" s="83"/>
      <c r="F195" s="83"/>
      <c r="G195" s="83"/>
    </row>
    <row r="196" spans="5:7" s="82" customFormat="1" ht="25.5" hidden="1" customHeight="1" x14ac:dyDescent="0.3">
      <c r="E196" s="83"/>
      <c r="F196" s="83"/>
      <c r="G196" s="83"/>
    </row>
    <row r="197" spans="5:7" s="82" customFormat="1" ht="25.5" hidden="1" customHeight="1" x14ac:dyDescent="0.3">
      <c r="E197" s="83" t="s">
        <v>366</v>
      </c>
      <c r="F197" s="83" t="s">
        <v>98</v>
      </c>
      <c r="G197" s="83" t="s">
        <v>174</v>
      </c>
    </row>
    <row r="198" spans="5:7" s="82" customFormat="1" ht="25.5" hidden="1" customHeight="1" x14ac:dyDescent="0.3">
      <c r="E198" s="83" t="s">
        <v>366</v>
      </c>
      <c r="F198" s="83" t="s">
        <v>98</v>
      </c>
      <c r="G198" s="83" t="s">
        <v>651</v>
      </c>
    </row>
    <row r="199" spans="5:7" s="82" customFormat="1" ht="25.5" hidden="1" customHeight="1" x14ac:dyDescent="0.3">
      <c r="E199" s="83" t="s">
        <v>366</v>
      </c>
      <c r="F199" s="83" t="s">
        <v>98</v>
      </c>
      <c r="G199" s="83" t="s">
        <v>539</v>
      </c>
    </row>
    <row r="200" spans="5:7" s="82" customFormat="1" ht="25.5" hidden="1" customHeight="1" x14ac:dyDescent="0.3">
      <c r="E200" s="83" t="s">
        <v>366</v>
      </c>
      <c r="F200" s="83" t="s">
        <v>175</v>
      </c>
      <c r="G200" s="83" t="s">
        <v>621</v>
      </c>
    </row>
    <row r="201" spans="5:7" s="82" customFormat="1" ht="25.5" hidden="1" customHeight="1" x14ac:dyDescent="0.3">
      <c r="E201" s="83" t="s">
        <v>366</v>
      </c>
      <c r="F201" s="83" t="s">
        <v>175</v>
      </c>
      <c r="G201" s="87" t="s">
        <v>321</v>
      </c>
    </row>
    <row r="202" spans="5:7" s="82" customFormat="1" ht="25.5" hidden="1" customHeight="1" x14ac:dyDescent="0.3">
      <c r="E202" s="83" t="s">
        <v>366</v>
      </c>
      <c r="F202" s="83" t="s">
        <v>98</v>
      </c>
      <c r="G202" s="83" t="s">
        <v>331</v>
      </c>
    </row>
    <row r="203" spans="5:7" s="82" customFormat="1" ht="25.5" hidden="1" customHeight="1" x14ac:dyDescent="0.3">
      <c r="E203" s="83" t="s">
        <v>366</v>
      </c>
      <c r="F203" s="83" t="s">
        <v>98</v>
      </c>
      <c r="G203" s="83" t="s">
        <v>407</v>
      </c>
    </row>
    <row r="204" spans="5:7" s="82" customFormat="1" ht="25.5" hidden="1" customHeight="1" x14ac:dyDescent="0.3">
      <c r="E204" s="83" t="s">
        <v>366</v>
      </c>
      <c r="F204" s="83" t="s">
        <v>98</v>
      </c>
      <c r="G204" s="83" t="s">
        <v>457</v>
      </c>
    </row>
    <row r="205" spans="5:7" s="82" customFormat="1" ht="25.5" hidden="1" customHeight="1" x14ac:dyDescent="0.3">
      <c r="E205" s="83" t="s">
        <v>366</v>
      </c>
      <c r="F205" s="83" t="s">
        <v>98</v>
      </c>
      <c r="G205" s="83" t="s">
        <v>458</v>
      </c>
    </row>
    <row r="206" spans="5:7" s="82" customFormat="1" ht="25.5" hidden="1" customHeight="1" x14ac:dyDescent="0.3">
      <c r="E206" s="83" t="s">
        <v>366</v>
      </c>
      <c r="F206" s="83" t="s">
        <v>98</v>
      </c>
      <c r="G206" s="83" t="s">
        <v>746</v>
      </c>
    </row>
    <row r="207" spans="5:7" s="82" customFormat="1" ht="25.5" hidden="1" customHeight="1" x14ac:dyDescent="0.3">
      <c r="E207" s="83" t="s">
        <v>366</v>
      </c>
      <c r="F207" s="83" t="s">
        <v>98</v>
      </c>
      <c r="G207" s="83" t="s">
        <v>459</v>
      </c>
    </row>
    <row r="208" spans="5:7" s="82" customFormat="1" ht="25.5" hidden="1" customHeight="1" x14ac:dyDescent="0.3">
      <c r="E208" s="83" t="s">
        <v>366</v>
      </c>
      <c r="F208" s="83" t="s">
        <v>98</v>
      </c>
      <c r="G208" s="83" t="s">
        <v>460</v>
      </c>
    </row>
    <row r="209" spans="5:7" s="82" customFormat="1" ht="25.5" hidden="1" customHeight="1" x14ac:dyDescent="0.3">
      <c r="E209" s="83" t="s">
        <v>366</v>
      </c>
      <c r="F209" s="83" t="s">
        <v>98</v>
      </c>
      <c r="G209" s="83" t="s">
        <v>461</v>
      </c>
    </row>
    <row r="210" spans="5:7" s="82" customFormat="1" ht="25.5" hidden="1" customHeight="1" x14ac:dyDescent="0.3">
      <c r="E210" s="83" t="s">
        <v>366</v>
      </c>
      <c r="F210" s="83" t="s">
        <v>98</v>
      </c>
      <c r="G210" s="83" t="s">
        <v>462</v>
      </c>
    </row>
    <row r="211" spans="5:7" s="82" customFormat="1" ht="25.5" hidden="1" customHeight="1" x14ac:dyDescent="0.3">
      <c r="E211" s="83" t="s">
        <v>366</v>
      </c>
      <c r="F211" s="83" t="s">
        <v>98</v>
      </c>
      <c r="G211" s="83" t="s">
        <v>463</v>
      </c>
    </row>
    <row r="212" spans="5:7" s="82" customFormat="1" ht="25.5" hidden="1" customHeight="1" x14ac:dyDescent="0.3">
      <c r="E212" s="83"/>
      <c r="F212" s="83"/>
      <c r="G212" s="83"/>
    </row>
    <row r="213" spans="5:7" s="82" customFormat="1" ht="25.5" hidden="1" customHeight="1" x14ac:dyDescent="0.3">
      <c r="E213" s="83" t="s">
        <v>366</v>
      </c>
      <c r="F213" s="83" t="s">
        <v>176</v>
      </c>
      <c r="G213" s="83" t="s">
        <v>540</v>
      </c>
    </row>
    <row r="214" spans="5:7" s="82" customFormat="1" ht="25.5" hidden="1" customHeight="1" x14ac:dyDescent="0.3">
      <c r="E214" s="83" t="s">
        <v>366</v>
      </c>
      <c r="F214" s="83" t="s">
        <v>176</v>
      </c>
      <c r="G214" s="83" t="s">
        <v>541</v>
      </c>
    </row>
    <row r="215" spans="5:7" s="82" customFormat="1" ht="25.5" hidden="1" customHeight="1" x14ac:dyDescent="0.3">
      <c r="E215" s="83" t="s">
        <v>366</v>
      </c>
      <c r="F215" s="83" t="s">
        <v>177</v>
      </c>
      <c r="G215" s="83" t="s">
        <v>622</v>
      </c>
    </row>
    <row r="216" spans="5:7" s="82" customFormat="1" ht="25.5" hidden="1" customHeight="1" x14ac:dyDescent="0.3">
      <c r="E216" s="83" t="s">
        <v>366</v>
      </c>
      <c r="F216" s="83" t="s">
        <v>185</v>
      </c>
      <c r="G216" s="83" t="s">
        <v>652</v>
      </c>
    </row>
    <row r="217" spans="5:7" s="82" customFormat="1" ht="25.5" hidden="1" customHeight="1" x14ac:dyDescent="0.3">
      <c r="E217" s="83" t="s">
        <v>366</v>
      </c>
      <c r="F217" s="83" t="s">
        <v>185</v>
      </c>
      <c r="G217" s="83" t="s">
        <v>811</v>
      </c>
    </row>
    <row r="218" spans="5:7" s="82" customFormat="1" ht="25.5" hidden="1" customHeight="1" x14ac:dyDescent="0.3">
      <c r="E218" s="83" t="s">
        <v>366</v>
      </c>
      <c r="F218" s="83" t="s">
        <v>185</v>
      </c>
      <c r="G218" s="83" t="s">
        <v>812</v>
      </c>
    </row>
    <row r="219" spans="5:7" s="82" customFormat="1" ht="25.5" hidden="1" customHeight="1" x14ac:dyDescent="0.3">
      <c r="E219" s="83" t="s">
        <v>366</v>
      </c>
      <c r="F219" s="83" t="s">
        <v>185</v>
      </c>
      <c r="G219" s="88" t="s">
        <v>674</v>
      </c>
    </row>
    <row r="220" spans="5:7" s="82" customFormat="1" ht="25.5" hidden="1" customHeight="1" x14ac:dyDescent="0.3">
      <c r="E220" s="83" t="s">
        <v>366</v>
      </c>
      <c r="F220" s="83" t="s">
        <v>185</v>
      </c>
      <c r="G220" s="88" t="s">
        <v>675</v>
      </c>
    </row>
    <row r="221" spans="5:7" s="82" customFormat="1" ht="25.5" hidden="1" customHeight="1" x14ac:dyDescent="0.3">
      <c r="E221" s="83" t="s">
        <v>366</v>
      </c>
      <c r="F221" s="83" t="s">
        <v>176</v>
      </c>
      <c r="G221" s="87" t="s">
        <v>329</v>
      </c>
    </row>
    <row r="222" spans="5:7" s="82" customFormat="1" ht="25.5" hidden="1" customHeight="1" x14ac:dyDescent="0.3">
      <c r="E222" s="83"/>
      <c r="F222" s="83"/>
      <c r="G222" s="87"/>
    </row>
    <row r="223" spans="5:7" s="82" customFormat="1" ht="25.5" hidden="1" customHeight="1" x14ac:dyDescent="0.3">
      <c r="E223" s="83"/>
      <c r="F223" s="83"/>
      <c r="G223" s="88"/>
    </row>
    <row r="224" spans="5:7" s="82" customFormat="1" ht="25.5" hidden="1" customHeight="1" x14ac:dyDescent="0.3">
      <c r="E224" s="83"/>
      <c r="F224" s="83"/>
      <c r="G224" s="83"/>
    </row>
    <row r="225" spans="5:7" s="82" customFormat="1" ht="25.5" hidden="1" customHeight="1" x14ac:dyDescent="0.3">
      <c r="E225" s="83" t="s">
        <v>366</v>
      </c>
      <c r="F225" s="83" t="s">
        <v>139</v>
      </c>
      <c r="G225" s="83" t="s">
        <v>623</v>
      </c>
    </row>
    <row r="226" spans="5:7" s="82" customFormat="1" ht="25.5" hidden="1" customHeight="1" x14ac:dyDescent="0.3">
      <c r="E226" s="83" t="s">
        <v>366</v>
      </c>
      <c r="F226" s="83" t="s">
        <v>139</v>
      </c>
      <c r="G226" s="83" t="s">
        <v>742</v>
      </c>
    </row>
    <row r="227" spans="5:7" s="82" customFormat="1" ht="25.5" hidden="1" customHeight="1" x14ac:dyDescent="0.3">
      <c r="E227" s="83" t="s">
        <v>366</v>
      </c>
      <c r="F227" s="83" t="s">
        <v>139</v>
      </c>
      <c r="G227" s="83" t="s">
        <v>542</v>
      </c>
    </row>
    <row r="228" spans="5:7" s="82" customFormat="1" ht="25.5" hidden="1" customHeight="1" x14ac:dyDescent="0.3">
      <c r="E228" s="83" t="s">
        <v>366</v>
      </c>
      <c r="F228" s="83" t="s">
        <v>139</v>
      </c>
      <c r="G228" s="83" t="s">
        <v>375</v>
      </c>
    </row>
    <row r="229" spans="5:7" s="82" customFormat="1" ht="25.5" hidden="1" customHeight="1" x14ac:dyDescent="0.3">
      <c r="E229" s="83" t="s">
        <v>366</v>
      </c>
      <c r="F229" s="83" t="s">
        <v>139</v>
      </c>
      <c r="G229" s="83" t="s">
        <v>591</v>
      </c>
    </row>
    <row r="230" spans="5:7" s="82" customFormat="1" ht="25.5" hidden="1" customHeight="1" x14ac:dyDescent="0.3">
      <c r="E230" s="83"/>
      <c r="F230" s="83"/>
      <c r="G230" s="83"/>
    </row>
    <row r="231" spans="5:7" s="82" customFormat="1" ht="25.5" hidden="1" customHeight="1" x14ac:dyDescent="0.3">
      <c r="E231" s="83" t="s">
        <v>366</v>
      </c>
      <c r="F231" s="83" t="s">
        <v>140</v>
      </c>
      <c r="G231" s="83" t="s">
        <v>178</v>
      </c>
    </row>
    <row r="232" spans="5:7" s="82" customFormat="1" ht="25.5" hidden="1" customHeight="1" x14ac:dyDescent="0.3">
      <c r="E232" s="83" t="s">
        <v>366</v>
      </c>
      <c r="F232" s="83" t="s">
        <v>140</v>
      </c>
      <c r="G232" s="83" t="s">
        <v>376</v>
      </c>
    </row>
    <row r="233" spans="5:7" s="82" customFormat="1" ht="25.5" hidden="1" customHeight="1" x14ac:dyDescent="0.3">
      <c r="E233" s="83" t="s">
        <v>366</v>
      </c>
      <c r="F233" s="83" t="s">
        <v>140</v>
      </c>
      <c r="G233" s="83" t="s">
        <v>592</v>
      </c>
    </row>
    <row r="234" spans="5:7" s="82" customFormat="1" ht="25.5" hidden="1" customHeight="1" x14ac:dyDescent="0.3">
      <c r="E234" s="83"/>
      <c r="F234" s="83"/>
      <c r="G234" s="83"/>
    </row>
    <row r="235" spans="5:7" s="82" customFormat="1" ht="25.5" hidden="1" customHeight="1" x14ac:dyDescent="0.3">
      <c r="E235" s="83" t="s">
        <v>366</v>
      </c>
      <c r="F235" s="83" t="s">
        <v>179</v>
      </c>
      <c r="G235" s="83" t="s">
        <v>180</v>
      </c>
    </row>
    <row r="236" spans="5:7" s="82" customFormat="1" ht="25.5" hidden="1" customHeight="1" x14ac:dyDescent="0.3">
      <c r="E236" s="83" t="s">
        <v>366</v>
      </c>
      <c r="F236" s="83" t="s">
        <v>179</v>
      </c>
      <c r="G236" s="83" t="s">
        <v>330</v>
      </c>
    </row>
    <row r="237" spans="5:7" s="82" customFormat="1" ht="25.5" hidden="1" customHeight="1" x14ac:dyDescent="0.3">
      <c r="E237" s="83" t="s">
        <v>366</v>
      </c>
      <c r="F237" s="83" t="s">
        <v>179</v>
      </c>
      <c r="G237" s="83" t="s">
        <v>543</v>
      </c>
    </row>
    <row r="238" spans="5:7" s="82" customFormat="1" ht="25.5" hidden="1" customHeight="1" x14ac:dyDescent="0.3">
      <c r="E238" s="83" t="s">
        <v>366</v>
      </c>
      <c r="F238" s="83" t="s">
        <v>179</v>
      </c>
      <c r="G238" s="83" t="s">
        <v>377</v>
      </c>
    </row>
    <row r="239" spans="5:7" s="82" customFormat="1" ht="25.5" hidden="1" customHeight="1" x14ac:dyDescent="0.3">
      <c r="E239" s="83" t="s">
        <v>366</v>
      </c>
      <c r="F239" s="83" t="s">
        <v>179</v>
      </c>
      <c r="G239" s="83" t="s">
        <v>593</v>
      </c>
    </row>
    <row r="240" spans="5:7" s="82" customFormat="1" ht="25.5" hidden="1" customHeight="1" x14ac:dyDescent="0.3">
      <c r="E240" s="83" t="s">
        <v>366</v>
      </c>
      <c r="F240" s="83" t="s">
        <v>179</v>
      </c>
      <c r="G240" s="83" t="s">
        <v>408</v>
      </c>
    </row>
    <row r="241" spans="5:7" s="82" customFormat="1" ht="25.5" hidden="1" customHeight="1" x14ac:dyDescent="0.3">
      <c r="E241" s="83" t="s">
        <v>366</v>
      </c>
      <c r="F241" s="83" t="s">
        <v>181</v>
      </c>
      <c r="G241" s="83" t="s">
        <v>624</v>
      </c>
    </row>
    <row r="242" spans="5:7" s="82" customFormat="1" ht="25.5" hidden="1" customHeight="1" x14ac:dyDescent="0.3">
      <c r="E242" s="83" t="s">
        <v>366</v>
      </c>
      <c r="F242" s="83" t="s">
        <v>186</v>
      </c>
      <c r="G242" s="83" t="s">
        <v>653</v>
      </c>
    </row>
    <row r="243" spans="5:7" s="82" customFormat="1" ht="25.5" hidden="1" customHeight="1" x14ac:dyDescent="0.3">
      <c r="E243" s="83" t="s">
        <v>366</v>
      </c>
      <c r="F243" s="83" t="s">
        <v>186</v>
      </c>
      <c r="G243" s="83" t="s">
        <v>378</v>
      </c>
    </row>
    <row r="244" spans="5:7" s="82" customFormat="1" ht="25.5" hidden="1" customHeight="1" x14ac:dyDescent="0.3">
      <c r="E244" s="83" t="s">
        <v>366</v>
      </c>
      <c r="F244" s="83" t="s">
        <v>186</v>
      </c>
      <c r="G244" s="83" t="s">
        <v>379</v>
      </c>
    </row>
    <row r="245" spans="5:7" s="82" customFormat="1" ht="25.5" hidden="1" customHeight="1" x14ac:dyDescent="0.3">
      <c r="E245" s="83" t="s">
        <v>366</v>
      </c>
      <c r="F245" s="83" t="s">
        <v>186</v>
      </c>
      <c r="G245" s="83" t="s">
        <v>380</v>
      </c>
    </row>
    <row r="246" spans="5:7" s="82" customFormat="1" ht="25.5" hidden="1" customHeight="1" x14ac:dyDescent="0.3">
      <c r="E246" s="83" t="s">
        <v>366</v>
      </c>
      <c r="F246" s="83" t="s">
        <v>186</v>
      </c>
      <c r="G246" s="83" t="s">
        <v>409</v>
      </c>
    </row>
    <row r="247" spans="5:7" s="82" customFormat="1" ht="25.5" hidden="1" customHeight="1" x14ac:dyDescent="0.3">
      <c r="E247" s="83" t="s">
        <v>366</v>
      </c>
      <c r="F247" s="83" t="s">
        <v>186</v>
      </c>
      <c r="G247" s="83" t="s">
        <v>511</v>
      </c>
    </row>
    <row r="248" spans="5:7" s="82" customFormat="1" ht="25.5" hidden="1" customHeight="1" x14ac:dyDescent="0.3">
      <c r="E248" s="83" t="s">
        <v>366</v>
      </c>
      <c r="F248" s="83" t="s">
        <v>186</v>
      </c>
      <c r="G248" s="83" t="s">
        <v>673</v>
      </c>
    </row>
    <row r="249" spans="5:7" s="82" customFormat="1" ht="25.5" hidden="1" customHeight="1" x14ac:dyDescent="0.3">
      <c r="E249" s="83"/>
      <c r="F249" s="83"/>
      <c r="G249" s="83"/>
    </row>
    <row r="250" spans="5:7" s="82" customFormat="1" ht="25.5" hidden="1" customHeight="1" x14ac:dyDescent="0.3">
      <c r="E250" s="83" t="s">
        <v>366</v>
      </c>
      <c r="F250" s="83" t="s">
        <v>182</v>
      </c>
      <c r="G250" s="83" t="s">
        <v>625</v>
      </c>
    </row>
    <row r="251" spans="5:7" s="82" customFormat="1" ht="25.5" hidden="1" customHeight="1" x14ac:dyDescent="0.3">
      <c r="E251" s="83" t="s">
        <v>366</v>
      </c>
      <c r="F251" s="83" t="s">
        <v>182</v>
      </c>
      <c r="G251" s="83" t="s">
        <v>381</v>
      </c>
    </row>
    <row r="252" spans="5:7" s="82" customFormat="1" ht="25.5" hidden="1" customHeight="1" x14ac:dyDescent="0.3">
      <c r="E252" s="83"/>
      <c r="F252" s="83"/>
      <c r="G252" s="83"/>
    </row>
    <row r="253" spans="5:7" s="82" customFormat="1" ht="25.5" hidden="1" customHeight="1" x14ac:dyDescent="0.3">
      <c r="E253" s="83"/>
      <c r="F253" s="83"/>
      <c r="G253" s="83"/>
    </row>
    <row r="254" spans="5:7" s="82" customFormat="1" ht="25.5" hidden="1" customHeight="1" x14ac:dyDescent="0.3">
      <c r="E254" s="83" t="s">
        <v>106</v>
      </c>
      <c r="F254" s="83" t="s">
        <v>187</v>
      </c>
      <c r="G254" s="83" t="s">
        <v>279</v>
      </c>
    </row>
    <row r="255" spans="5:7" s="82" customFormat="1" ht="25.5" hidden="1" customHeight="1" x14ac:dyDescent="0.3">
      <c r="E255" s="83" t="s">
        <v>106</v>
      </c>
      <c r="F255" s="83" t="s">
        <v>187</v>
      </c>
      <c r="G255" s="83" t="s">
        <v>115</v>
      </c>
    </row>
    <row r="256" spans="5:7" s="82" customFormat="1" ht="25.5" hidden="1" customHeight="1" x14ac:dyDescent="0.3">
      <c r="E256" s="83" t="s">
        <v>106</v>
      </c>
      <c r="F256" s="83" t="s">
        <v>187</v>
      </c>
      <c r="G256" s="83" t="s">
        <v>116</v>
      </c>
    </row>
    <row r="257" spans="5:7" s="82" customFormat="1" ht="25.5" hidden="1" customHeight="1" x14ac:dyDescent="0.3">
      <c r="E257" s="83" t="s">
        <v>106</v>
      </c>
      <c r="F257" s="83" t="s">
        <v>106</v>
      </c>
      <c r="G257" s="83" t="s">
        <v>188</v>
      </c>
    </row>
    <row r="258" spans="5:7" s="82" customFormat="1" ht="25.5" hidden="1" customHeight="1" x14ac:dyDescent="0.3">
      <c r="E258" s="83" t="s">
        <v>106</v>
      </c>
      <c r="F258" s="83" t="s">
        <v>106</v>
      </c>
      <c r="G258" s="83" t="s">
        <v>189</v>
      </c>
    </row>
    <row r="259" spans="5:7" s="82" customFormat="1" ht="25.5" hidden="1" customHeight="1" x14ac:dyDescent="0.3">
      <c r="E259" s="83" t="s">
        <v>106</v>
      </c>
      <c r="F259" s="83" t="s">
        <v>106</v>
      </c>
      <c r="G259" s="83" t="s">
        <v>190</v>
      </c>
    </row>
    <row r="260" spans="5:7" s="82" customFormat="1" ht="25.5" hidden="1" customHeight="1" x14ac:dyDescent="0.3">
      <c r="E260" s="83" t="s">
        <v>106</v>
      </c>
      <c r="F260" s="83" t="s">
        <v>106</v>
      </c>
      <c r="G260" s="83" t="s">
        <v>191</v>
      </c>
    </row>
    <row r="261" spans="5:7" s="82" customFormat="1" ht="25.5" hidden="1" customHeight="1" x14ac:dyDescent="0.3">
      <c r="E261" s="83" t="s">
        <v>106</v>
      </c>
      <c r="F261" s="83" t="s">
        <v>106</v>
      </c>
      <c r="G261" s="83" t="s">
        <v>192</v>
      </c>
    </row>
    <row r="262" spans="5:7" s="82" customFormat="1" ht="25.5" hidden="1" customHeight="1" x14ac:dyDescent="0.3">
      <c r="E262" s="83" t="s">
        <v>106</v>
      </c>
      <c r="F262" s="83" t="s">
        <v>106</v>
      </c>
      <c r="G262" s="83" t="s">
        <v>654</v>
      </c>
    </row>
    <row r="263" spans="5:7" s="82" customFormat="1" ht="25.5" hidden="1" customHeight="1" x14ac:dyDescent="0.3">
      <c r="E263" s="83" t="s">
        <v>106</v>
      </c>
      <c r="F263" s="83" t="s">
        <v>106</v>
      </c>
      <c r="G263" s="83" t="s">
        <v>655</v>
      </c>
    </row>
    <row r="264" spans="5:7" s="82" customFormat="1" ht="25.5" hidden="1" customHeight="1" x14ac:dyDescent="0.3">
      <c r="E264" s="83" t="s">
        <v>106</v>
      </c>
      <c r="F264" s="83" t="s">
        <v>187</v>
      </c>
      <c r="G264" s="83" t="s">
        <v>656</v>
      </c>
    </row>
    <row r="265" spans="5:7" s="82" customFormat="1" ht="25.5" hidden="1" customHeight="1" x14ac:dyDescent="0.3">
      <c r="E265" s="83" t="s">
        <v>106</v>
      </c>
      <c r="F265" s="83" t="s">
        <v>187</v>
      </c>
      <c r="G265" s="83" t="s">
        <v>657</v>
      </c>
    </row>
    <row r="266" spans="5:7" s="82" customFormat="1" ht="25.5" hidden="1" customHeight="1" x14ac:dyDescent="0.3">
      <c r="E266" s="83" t="s">
        <v>106</v>
      </c>
      <c r="F266" s="83" t="s">
        <v>187</v>
      </c>
      <c r="G266" s="83" t="s">
        <v>658</v>
      </c>
    </row>
    <row r="267" spans="5:7" s="82" customFormat="1" ht="25.5" hidden="1" customHeight="1" x14ac:dyDescent="0.3">
      <c r="E267" s="83" t="s">
        <v>106</v>
      </c>
      <c r="F267" s="83" t="s">
        <v>193</v>
      </c>
      <c r="G267" s="83" t="s">
        <v>194</v>
      </c>
    </row>
    <row r="268" spans="5:7" s="82" customFormat="1" ht="25.5" hidden="1" customHeight="1" x14ac:dyDescent="0.25">
      <c r="E268" s="82" t="s">
        <v>106</v>
      </c>
      <c r="F268" s="82" t="s">
        <v>193</v>
      </c>
      <c r="G268" s="82" t="s">
        <v>105</v>
      </c>
    </row>
    <row r="269" spans="5:7" s="82" customFormat="1" ht="25.5" hidden="1" customHeight="1" x14ac:dyDescent="0.25">
      <c r="E269" s="82" t="s">
        <v>106</v>
      </c>
      <c r="F269" s="82" t="s">
        <v>193</v>
      </c>
      <c r="G269" s="82" t="s">
        <v>195</v>
      </c>
    </row>
    <row r="270" spans="5:7" s="82" customFormat="1" ht="25.5" hidden="1" customHeight="1" x14ac:dyDescent="0.25">
      <c r="E270" s="82" t="s">
        <v>106</v>
      </c>
      <c r="F270" s="82" t="s">
        <v>193</v>
      </c>
      <c r="G270" s="82" t="s">
        <v>196</v>
      </c>
    </row>
    <row r="271" spans="5:7" s="82" customFormat="1" ht="25.5" hidden="1" customHeight="1" x14ac:dyDescent="0.25">
      <c r="E271" s="82" t="s">
        <v>106</v>
      </c>
      <c r="F271" s="82" t="s">
        <v>193</v>
      </c>
      <c r="G271" s="82" t="s">
        <v>197</v>
      </c>
    </row>
    <row r="272" spans="5:7" s="82" customFormat="1" ht="25.5" hidden="1" customHeight="1" x14ac:dyDescent="0.25">
      <c r="E272" s="82" t="s">
        <v>106</v>
      </c>
      <c r="F272" s="82" t="s">
        <v>193</v>
      </c>
      <c r="G272" s="82" t="s">
        <v>626</v>
      </c>
    </row>
    <row r="273" spans="5:7" s="82" customFormat="1" ht="25.5" hidden="1" customHeight="1" x14ac:dyDescent="0.25">
      <c r="E273" s="82" t="s">
        <v>106</v>
      </c>
      <c r="F273" s="82" t="s">
        <v>193</v>
      </c>
      <c r="G273" s="82" t="s">
        <v>198</v>
      </c>
    </row>
    <row r="274" spans="5:7" s="82" customFormat="1" ht="25.5" hidden="1" customHeight="1" x14ac:dyDescent="0.25">
      <c r="E274" s="82" t="s">
        <v>106</v>
      </c>
      <c r="F274" s="82" t="s">
        <v>193</v>
      </c>
      <c r="G274" s="82" t="s">
        <v>107</v>
      </c>
    </row>
    <row r="275" spans="5:7" s="82" customFormat="1" ht="25.5" hidden="1" customHeight="1" x14ac:dyDescent="0.3">
      <c r="E275" s="82" t="s">
        <v>106</v>
      </c>
      <c r="F275" s="82" t="s">
        <v>193</v>
      </c>
      <c r="G275" s="83" t="s">
        <v>306</v>
      </c>
    </row>
    <row r="276" spans="5:7" s="82" customFormat="1" ht="25.5" hidden="1" customHeight="1" x14ac:dyDescent="0.25">
      <c r="E276" s="82" t="s">
        <v>106</v>
      </c>
      <c r="F276" s="82" t="s">
        <v>106</v>
      </c>
      <c r="G276" s="82" t="s">
        <v>307</v>
      </c>
    </row>
    <row r="277" spans="5:7" s="82" customFormat="1" ht="25.5" hidden="1" customHeight="1" x14ac:dyDescent="0.25">
      <c r="E277" s="82" t="s">
        <v>106</v>
      </c>
      <c r="F277" s="82" t="s">
        <v>106</v>
      </c>
      <c r="G277" s="82" t="s">
        <v>309</v>
      </c>
    </row>
    <row r="278" spans="5:7" s="82" customFormat="1" ht="25.5" hidden="1" customHeight="1" x14ac:dyDescent="0.25">
      <c r="E278" s="82" t="s">
        <v>106</v>
      </c>
      <c r="F278" s="82" t="s">
        <v>106</v>
      </c>
      <c r="G278" s="82" t="s">
        <v>310</v>
      </c>
    </row>
    <row r="279" spans="5:7" s="82" customFormat="1" ht="25.5" hidden="1" customHeight="1" x14ac:dyDescent="0.25">
      <c r="E279" s="82" t="s">
        <v>106</v>
      </c>
      <c r="F279" s="82" t="s">
        <v>106</v>
      </c>
      <c r="G279" s="82" t="s">
        <v>594</v>
      </c>
    </row>
    <row r="280" spans="5:7" s="82" customFormat="1" ht="25.5" hidden="1" customHeight="1" x14ac:dyDescent="0.25">
      <c r="E280" s="82" t="s">
        <v>106</v>
      </c>
      <c r="F280" s="82" t="s">
        <v>106</v>
      </c>
      <c r="G280" s="82" t="s">
        <v>595</v>
      </c>
    </row>
    <row r="281" spans="5:7" s="82" customFormat="1" ht="25.5" hidden="1" customHeight="1" x14ac:dyDescent="0.25">
      <c r="E281" s="82" t="s">
        <v>106</v>
      </c>
      <c r="F281" s="82" t="s">
        <v>106</v>
      </c>
      <c r="G281" s="82" t="s">
        <v>313</v>
      </c>
    </row>
    <row r="282" spans="5:7" s="82" customFormat="1" ht="25.5" hidden="1" customHeight="1" x14ac:dyDescent="0.25">
      <c r="E282" s="82" t="s">
        <v>106</v>
      </c>
      <c r="F282" s="82" t="s">
        <v>106</v>
      </c>
      <c r="G282" s="82" t="s">
        <v>596</v>
      </c>
    </row>
    <row r="283" spans="5:7" s="82" customFormat="1" ht="25.5" hidden="1" customHeight="1" x14ac:dyDescent="0.25">
      <c r="E283" s="82" t="s">
        <v>106</v>
      </c>
      <c r="F283" s="82" t="s">
        <v>106</v>
      </c>
      <c r="G283" s="82" t="s">
        <v>315</v>
      </c>
    </row>
    <row r="284" spans="5:7" s="82" customFormat="1" ht="25.5" hidden="1" customHeight="1" x14ac:dyDescent="0.25">
      <c r="E284" s="82" t="s">
        <v>106</v>
      </c>
      <c r="F284" s="82" t="s">
        <v>106</v>
      </c>
      <c r="G284" s="82" t="s">
        <v>316</v>
      </c>
    </row>
    <row r="285" spans="5:7" s="82" customFormat="1" ht="25.5" hidden="1" customHeight="1" x14ac:dyDescent="0.25">
      <c r="E285" s="82" t="s">
        <v>106</v>
      </c>
      <c r="F285" s="82" t="s">
        <v>106</v>
      </c>
      <c r="G285" s="82" t="s">
        <v>314</v>
      </c>
    </row>
    <row r="286" spans="5:7" s="82" customFormat="1" ht="25.5" hidden="1" customHeight="1" x14ac:dyDescent="0.25">
      <c r="E286" s="82" t="s">
        <v>106</v>
      </c>
      <c r="F286" s="82" t="s">
        <v>106</v>
      </c>
      <c r="G286" s="88" t="s">
        <v>676</v>
      </c>
    </row>
    <row r="287" spans="5:7" s="82" customFormat="1" ht="25.5" hidden="1" customHeight="1" x14ac:dyDescent="0.25">
      <c r="E287" s="82" t="s">
        <v>106</v>
      </c>
      <c r="F287" s="82" t="s">
        <v>106</v>
      </c>
      <c r="G287" s="88" t="s">
        <v>677</v>
      </c>
    </row>
    <row r="288" spans="5:7" s="82" customFormat="1" ht="25.5" hidden="1" customHeight="1" x14ac:dyDescent="0.25">
      <c r="E288" s="82" t="s">
        <v>106</v>
      </c>
      <c r="F288" s="82" t="s">
        <v>106</v>
      </c>
      <c r="G288" s="87" t="s">
        <v>322</v>
      </c>
    </row>
    <row r="289" spans="5:7" s="82" customFormat="1" ht="25.5" hidden="1" customHeight="1" x14ac:dyDescent="0.25">
      <c r="E289" s="82" t="s">
        <v>106</v>
      </c>
      <c r="F289" s="82" t="s">
        <v>106</v>
      </c>
      <c r="G289" s="87" t="s">
        <v>334</v>
      </c>
    </row>
    <row r="290" spans="5:7" s="82" customFormat="1" ht="25.5" hidden="1" customHeight="1" x14ac:dyDescent="0.25">
      <c r="E290" s="82" t="s">
        <v>106</v>
      </c>
      <c r="F290" s="82" t="s">
        <v>106</v>
      </c>
      <c r="G290" s="82" t="s">
        <v>318</v>
      </c>
    </row>
    <row r="291" spans="5:7" s="82" customFormat="1" ht="25.5" hidden="1" customHeight="1" x14ac:dyDescent="0.25">
      <c r="E291" s="82" t="s">
        <v>106</v>
      </c>
      <c r="F291" s="82" t="s">
        <v>106</v>
      </c>
      <c r="G291" s="82" t="s">
        <v>751</v>
      </c>
    </row>
    <row r="292" spans="5:7" s="82" customFormat="1" ht="25.5" hidden="1" customHeight="1" x14ac:dyDescent="0.3">
      <c r="E292" s="82" t="s">
        <v>106</v>
      </c>
      <c r="F292" s="82" t="s">
        <v>106</v>
      </c>
      <c r="G292" s="30" t="s">
        <v>704</v>
      </c>
    </row>
    <row r="293" spans="5:7" s="82" customFormat="1" ht="25.5" hidden="1" customHeight="1" x14ac:dyDescent="0.25">
      <c r="E293" s="82" t="s">
        <v>106</v>
      </c>
      <c r="F293" s="82" t="s">
        <v>106</v>
      </c>
      <c r="G293" s="82" t="s">
        <v>706</v>
      </c>
    </row>
    <row r="294" spans="5:7" s="82" customFormat="1" ht="25.5" hidden="1" customHeight="1" x14ac:dyDescent="0.3">
      <c r="E294" s="82" t="s">
        <v>106</v>
      </c>
      <c r="F294" s="82" t="s">
        <v>106</v>
      </c>
      <c r="G294" s="30" t="s">
        <v>750</v>
      </c>
    </row>
    <row r="295" spans="5:7" s="82" customFormat="1" ht="25.5" hidden="1" customHeight="1" x14ac:dyDescent="0.3">
      <c r="E295" s="82" t="s">
        <v>106</v>
      </c>
      <c r="F295" s="82" t="s">
        <v>106</v>
      </c>
      <c r="G295" s="30" t="s">
        <v>747</v>
      </c>
    </row>
    <row r="296" spans="5:7" s="82" customFormat="1" ht="25.5" hidden="1" customHeight="1" x14ac:dyDescent="0.25">
      <c r="E296" s="82" t="s">
        <v>106</v>
      </c>
      <c r="F296" s="82" t="s">
        <v>106</v>
      </c>
      <c r="G296" s="89" t="s">
        <v>470</v>
      </c>
    </row>
    <row r="297" spans="5:7" s="82" customFormat="1" ht="25.5" hidden="1" customHeight="1" x14ac:dyDescent="0.25">
      <c r="E297" s="82" t="s">
        <v>106</v>
      </c>
      <c r="F297" s="82" t="s">
        <v>106</v>
      </c>
    </row>
    <row r="298" spans="5:7" s="82" customFormat="1" ht="25.5" hidden="1" customHeight="1" x14ac:dyDescent="0.25">
      <c r="E298" s="82" t="s">
        <v>106</v>
      </c>
      <c r="F298" s="82" t="s">
        <v>106</v>
      </c>
    </row>
    <row r="299" spans="5:7" s="82" customFormat="1" ht="25.5" hidden="1" customHeight="1" x14ac:dyDescent="0.25">
      <c r="E299" s="82" t="s">
        <v>106</v>
      </c>
      <c r="F299" s="82" t="s">
        <v>106</v>
      </c>
    </row>
    <row r="300" spans="5:7" s="82" customFormat="1" ht="25.5" hidden="1" customHeight="1" x14ac:dyDescent="0.25">
      <c r="E300" s="82" t="s">
        <v>106</v>
      </c>
      <c r="F300" s="82" t="s">
        <v>106</v>
      </c>
    </row>
    <row r="301" spans="5:7" s="82" customFormat="1" ht="25.5" hidden="1" customHeight="1" x14ac:dyDescent="0.25">
      <c r="E301" s="82" t="s">
        <v>106</v>
      </c>
      <c r="F301" s="82" t="s">
        <v>108</v>
      </c>
      <c r="G301" s="82" t="s">
        <v>199</v>
      </c>
    </row>
    <row r="302" spans="5:7" s="82" customFormat="1" ht="25.5" hidden="1" customHeight="1" x14ac:dyDescent="0.25">
      <c r="E302" s="82" t="s">
        <v>106</v>
      </c>
      <c r="F302" s="82" t="s">
        <v>200</v>
      </c>
      <c r="G302" s="82" t="s">
        <v>627</v>
      </c>
    </row>
    <row r="303" spans="5:7" s="82" customFormat="1" ht="25.5" hidden="1" customHeight="1" x14ac:dyDescent="0.25">
      <c r="E303" s="82" t="s">
        <v>106</v>
      </c>
      <c r="F303" s="82" t="s">
        <v>200</v>
      </c>
      <c r="G303" s="82" t="s">
        <v>597</v>
      </c>
    </row>
    <row r="304" spans="5:7" s="82" customFormat="1" ht="25.5" hidden="1" customHeight="1" x14ac:dyDescent="0.25">
      <c r="E304" s="82" t="s">
        <v>106</v>
      </c>
      <c r="F304" s="82" t="s">
        <v>200</v>
      </c>
      <c r="G304" s="82" t="s">
        <v>472</v>
      </c>
    </row>
    <row r="305" spans="5:7" s="82" customFormat="1" ht="25.5" hidden="1" customHeight="1" x14ac:dyDescent="0.25">
      <c r="E305" s="82" t="s">
        <v>106</v>
      </c>
      <c r="F305" s="82" t="s">
        <v>200</v>
      </c>
      <c r="G305" s="82" t="s">
        <v>473</v>
      </c>
    </row>
    <row r="306" spans="5:7" s="82" customFormat="1" ht="25.5" hidden="1" customHeight="1" x14ac:dyDescent="0.25">
      <c r="E306" s="82" t="s">
        <v>106</v>
      </c>
      <c r="F306" s="82" t="s">
        <v>200</v>
      </c>
      <c r="G306" s="82" t="s">
        <v>474</v>
      </c>
    </row>
    <row r="307" spans="5:7" s="82" customFormat="1" ht="25.5" hidden="1" customHeight="1" x14ac:dyDescent="0.25"/>
    <row r="308" spans="5:7" s="82" customFormat="1" ht="25.5" hidden="1" customHeight="1" x14ac:dyDescent="0.25">
      <c r="E308" s="82" t="s">
        <v>106</v>
      </c>
      <c r="F308" s="82" t="s">
        <v>109</v>
      </c>
      <c r="G308" s="82" t="s">
        <v>544</v>
      </c>
    </row>
    <row r="309" spans="5:7" s="82" customFormat="1" ht="25.5" hidden="1" customHeight="1" x14ac:dyDescent="0.25">
      <c r="E309" s="82" t="s">
        <v>106</v>
      </c>
      <c r="F309" s="82" t="s">
        <v>201</v>
      </c>
      <c r="G309" s="82" t="s">
        <v>659</v>
      </c>
    </row>
    <row r="310" spans="5:7" s="82" customFormat="1" ht="25.5" hidden="1" customHeight="1" x14ac:dyDescent="0.25">
      <c r="E310" s="82" t="s">
        <v>106</v>
      </c>
      <c r="F310" s="82" t="s">
        <v>201</v>
      </c>
      <c r="G310" s="82" t="s">
        <v>660</v>
      </c>
    </row>
    <row r="311" spans="5:7" s="82" customFormat="1" ht="25.5" hidden="1" customHeight="1" x14ac:dyDescent="0.25">
      <c r="E311" s="82" t="s">
        <v>106</v>
      </c>
      <c r="F311" s="82" t="s">
        <v>202</v>
      </c>
      <c r="G311" s="82" t="s">
        <v>203</v>
      </c>
    </row>
    <row r="312" spans="5:7" s="82" customFormat="1" ht="25.5" hidden="1" customHeight="1" x14ac:dyDescent="0.25">
      <c r="E312" s="82" t="s">
        <v>106</v>
      </c>
      <c r="F312" s="82" t="s">
        <v>109</v>
      </c>
      <c r="G312" s="82" t="s">
        <v>545</v>
      </c>
    </row>
    <row r="313" spans="5:7" s="82" customFormat="1" ht="25.5" hidden="1" customHeight="1" x14ac:dyDescent="0.25">
      <c r="E313" s="82" t="s">
        <v>106</v>
      </c>
      <c r="F313" s="82" t="s">
        <v>109</v>
      </c>
      <c r="G313" s="87" t="s">
        <v>323</v>
      </c>
    </row>
    <row r="314" spans="5:7" s="82" customFormat="1" ht="25.5" hidden="1" customHeight="1" x14ac:dyDescent="0.25">
      <c r="E314" s="82" t="s">
        <v>106</v>
      </c>
      <c r="F314" s="82" t="s">
        <v>109</v>
      </c>
      <c r="G314" s="87" t="s">
        <v>846</v>
      </c>
    </row>
    <row r="315" spans="5:7" s="82" customFormat="1" ht="25.5" hidden="1" customHeight="1" x14ac:dyDescent="0.25">
      <c r="E315" s="82" t="s">
        <v>106</v>
      </c>
      <c r="F315" s="82" t="s">
        <v>109</v>
      </c>
      <c r="G315" s="82" t="s">
        <v>477</v>
      </c>
    </row>
    <row r="316" spans="5:7" s="82" customFormat="1" ht="25.5" hidden="1" customHeight="1" x14ac:dyDescent="0.25"/>
    <row r="317" spans="5:7" s="82" customFormat="1" ht="25.5" hidden="1" customHeight="1" x14ac:dyDescent="0.25">
      <c r="E317" s="82" t="s">
        <v>106</v>
      </c>
      <c r="F317" s="82" t="s">
        <v>110</v>
      </c>
      <c r="G317" s="82" t="s">
        <v>546</v>
      </c>
    </row>
    <row r="318" spans="5:7" s="82" customFormat="1" ht="25.5" hidden="1" customHeight="1" x14ac:dyDescent="0.25">
      <c r="E318" s="82" t="s">
        <v>106</v>
      </c>
      <c r="F318" s="82" t="s">
        <v>204</v>
      </c>
      <c r="G318" s="82" t="s">
        <v>628</v>
      </c>
    </row>
    <row r="319" spans="5:7" s="82" customFormat="1" ht="25.5" hidden="1" customHeight="1" x14ac:dyDescent="0.25">
      <c r="E319" s="82" t="s">
        <v>106</v>
      </c>
      <c r="F319" s="82" t="s">
        <v>110</v>
      </c>
      <c r="G319" s="82" t="s">
        <v>547</v>
      </c>
    </row>
    <row r="320" spans="5:7" s="82" customFormat="1" ht="25.5" hidden="1" customHeight="1" x14ac:dyDescent="0.25">
      <c r="E320" s="82" t="s">
        <v>106</v>
      </c>
      <c r="F320" s="82" t="s">
        <v>110</v>
      </c>
      <c r="G320" s="82" t="s">
        <v>598</v>
      </c>
    </row>
    <row r="321" spans="5:7" s="82" customFormat="1" ht="25.5" hidden="1" customHeight="1" x14ac:dyDescent="0.25">
      <c r="E321" s="82" t="s">
        <v>106</v>
      </c>
      <c r="F321" s="82" t="s">
        <v>110</v>
      </c>
      <c r="G321" s="82" t="s">
        <v>478</v>
      </c>
    </row>
    <row r="322" spans="5:7" s="82" customFormat="1" ht="25.5" hidden="1" customHeight="1" x14ac:dyDescent="0.25">
      <c r="E322" s="82" t="s">
        <v>106</v>
      </c>
      <c r="F322" s="82" t="s">
        <v>111</v>
      </c>
      <c r="G322" s="82" t="s">
        <v>311</v>
      </c>
    </row>
    <row r="323" spans="5:7" s="82" customFormat="1" ht="25.5" hidden="1" customHeight="1" x14ac:dyDescent="0.25">
      <c r="E323" s="82" t="s">
        <v>106</v>
      </c>
      <c r="F323" s="82" t="s">
        <v>111</v>
      </c>
      <c r="G323" s="82" t="s">
        <v>796</v>
      </c>
    </row>
    <row r="324" spans="5:7" s="82" customFormat="1" ht="25.5" hidden="1" customHeight="1" x14ac:dyDescent="0.25">
      <c r="E324" s="82" t="s">
        <v>106</v>
      </c>
      <c r="F324" s="82" t="s">
        <v>111</v>
      </c>
      <c r="G324" s="82" t="s">
        <v>797</v>
      </c>
    </row>
    <row r="325" spans="5:7" s="82" customFormat="1" ht="25.5" hidden="1" customHeight="1" x14ac:dyDescent="0.25">
      <c r="E325" s="82" t="s">
        <v>106</v>
      </c>
      <c r="F325" s="82" t="s">
        <v>111</v>
      </c>
      <c r="G325" s="82" t="s">
        <v>788</v>
      </c>
    </row>
    <row r="326" spans="5:7" s="82" customFormat="1" ht="25.5" hidden="1" customHeight="1" x14ac:dyDescent="0.25">
      <c r="E326" s="82" t="s">
        <v>106</v>
      </c>
      <c r="F326" s="82" t="s">
        <v>111</v>
      </c>
      <c r="G326" s="82" t="s">
        <v>548</v>
      </c>
    </row>
    <row r="327" spans="5:7" s="82" customFormat="1" ht="25.5" hidden="1" customHeight="1" x14ac:dyDescent="0.25">
      <c r="E327" s="82" t="s">
        <v>106</v>
      </c>
      <c r="F327" s="82" t="s">
        <v>205</v>
      </c>
      <c r="G327" s="82" t="s">
        <v>206</v>
      </c>
    </row>
    <row r="328" spans="5:7" s="82" customFormat="1" ht="25.5" hidden="1" customHeight="1" x14ac:dyDescent="0.25">
      <c r="E328" s="82" t="s">
        <v>106</v>
      </c>
      <c r="F328" s="82" t="s">
        <v>205</v>
      </c>
      <c r="G328" s="82" t="s">
        <v>739</v>
      </c>
    </row>
    <row r="329" spans="5:7" s="82" customFormat="1" ht="25.5" hidden="1" customHeight="1" x14ac:dyDescent="0.25">
      <c r="E329" s="82" t="s">
        <v>106</v>
      </c>
      <c r="F329" s="82" t="s">
        <v>205</v>
      </c>
      <c r="G329" s="82" t="s">
        <v>738</v>
      </c>
    </row>
    <row r="330" spans="5:7" s="82" customFormat="1" ht="25.5" hidden="1" customHeight="1" x14ac:dyDescent="0.25">
      <c r="E330" s="82" t="s">
        <v>106</v>
      </c>
      <c r="F330" s="82" t="s">
        <v>205</v>
      </c>
      <c r="G330" s="82" t="s">
        <v>399</v>
      </c>
    </row>
    <row r="331" spans="5:7" s="82" customFormat="1" ht="25.5" hidden="1" customHeight="1" x14ac:dyDescent="0.25">
      <c r="E331" s="82" t="s">
        <v>106</v>
      </c>
      <c r="F331" s="82" t="s">
        <v>205</v>
      </c>
      <c r="G331" s="82" t="s">
        <v>414</v>
      </c>
    </row>
    <row r="332" spans="5:7" s="82" customFormat="1" ht="25.5" hidden="1" customHeight="1" x14ac:dyDescent="0.25">
      <c r="E332" s="82" t="s">
        <v>106</v>
      </c>
      <c r="F332" s="82" t="s">
        <v>205</v>
      </c>
      <c r="G332" s="82" t="s">
        <v>799</v>
      </c>
    </row>
    <row r="333" spans="5:7" s="82" customFormat="1" ht="25.5" hidden="1" customHeight="1" x14ac:dyDescent="0.25">
      <c r="E333" s="82" t="s">
        <v>106</v>
      </c>
      <c r="F333" s="82" t="s">
        <v>205</v>
      </c>
      <c r="G333" s="82" t="s">
        <v>486</v>
      </c>
    </row>
    <row r="334" spans="5:7" s="82" customFormat="1" ht="25.5" hidden="1" customHeight="1" x14ac:dyDescent="0.25">
      <c r="E334" s="82" t="s">
        <v>106</v>
      </c>
      <c r="F334" s="82" t="s">
        <v>205</v>
      </c>
      <c r="G334" s="82" t="s">
        <v>415</v>
      </c>
    </row>
    <row r="335" spans="5:7" s="82" customFormat="1" ht="25.5" hidden="1" customHeight="1" x14ac:dyDescent="0.25">
      <c r="E335" s="82" t="s">
        <v>106</v>
      </c>
      <c r="F335" s="82" t="s">
        <v>142</v>
      </c>
      <c r="G335" s="82" t="s">
        <v>207</v>
      </c>
    </row>
    <row r="336" spans="5:7" s="82" customFormat="1" ht="25.5" hidden="1" customHeight="1" x14ac:dyDescent="0.25">
      <c r="E336" s="82" t="s">
        <v>106</v>
      </c>
      <c r="F336" s="82" t="s">
        <v>142</v>
      </c>
      <c r="G336" s="82" t="s">
        <v>599</v>
      </c>
    </row>
    <row r="337" spans="5:7" s="82" customFormat="1" ht="25.5" hidden="1" customHeight="1" x14ac:dyDescent="0.25">
      <c r="E337" s="82" t="s">
        <v>106</v>
      </c>
      <c r="F337" s="82" t="s">
        <v>142</v>
      </c>
      <c r="G337" s="82" t="s">
        <v>412</v>
      </c>
    </row>
    <row r="338" spans="5:7" s="82" customFormat="1" ht="25.5" hidden="1" customHeight="1" x14ac:dyDescent="0.25">
      <c r="E338" s="82" t="s">
        <v>106</v>
      </c>
      <c r="F338" s="82" t="s">
        <v>142</v>
      </c>
      <c r="G338" s="82" t="s">
        <v>413</v>
      </c>
    </row>
    <row r="339" spans="5:7" s="82" customFormat="1" ht="25.5" hidden="1" customHeight="1" x14ac:dyDescent="0.25">
      <c r="E339" s="82" t="s">
        <v>106</v>
      </c>
      <c r="F339" s="82" t="s">
        <v>112</v>
      </c>
      <c r="G339" s="82" t="s">
        <v>549</v>
      </c>
    </row>
    <row r="340" spans="5:7" s="82" customFormat="1" ht="25.5" hidden="1" customHeight="1" x14ac:dyDescent="0.25">
      <c r="E340" s="82" t="s">
        <v>106</v>
      </c>
      <c r="F340" s="82" t="s">
        <v>112</v>
      </c>
      <c r="G340" s="82" t="s">
        <v>736</v>
      </c>
    </row>
    <row r="341" spans="5:7" s="82" customFormat="1" ht="25.5" hidden="1" customHeight="1" x14ac:dyDescent="0.25">
      <c r="E341" s="82" t="s">
        <v>106</v>
      </c>
      <c r="F341" s="82" t="s">
        <v>208</v>
      </c>
      <c r="G341" s="82" t="s">
        <v>661</v>
      </c>
    </row>
    <row r="342" spans="5:7" s="82" customFormat="1" ht="25.5" hidden="1" customHeight="1" x14ac:dyDescent="0.25">
      <c r="E342" s="82" t="s">
        <v>106</v>
      </c>
      <c r="F342" s="82" t="s">
        <v>112</v>
      </c>
      <c r="G342" s="82" t="s">
        <v>335</v>
      </c>
    </row>
    <row r="343" spans="5:7" s="82" customFormat="1" ht="25.5" hidden="1" customHeight="1" x14ac:dyDescent="0.25">
      <c r="E343" s="82" t="s">
        <v>106</v>
      </c>
      <c r="F343" s="82" t="s">
        <v>209</v>
      </c>
      <c r="G343" s="82" t="s">
        <v>210</v>
      </c>
    </row>
    <row r="344" spans="5:7" s="82" customFormat="1" ht="25.5" hidden="1" customHeight="1" x14ac:dyDescent="0.25">
      <c r="E344" s="82" t="s">
        <v>106</v>
      </c>
      <c r="F344" s="82" t="s">
        <v>209</v>
      </c>
      <c r="G344" s="82" t="s">
        <v>387</v>
      </c>
    </row>
    <row r="345" spans="5:7" s="82" customFormat="1" ht="25.5" hidden="1" customHeight="1" x14ac:dyDescent="0.25">
      <c r="E345" s="82" t="s">
        <v>106</v>
      </c>
      <c r="F345" s="82" t="s">
        <v>209</v>
      </c>
      <c r="G345" s="82" t="s">
        <v>388</v>
      </c>
    </row>
    <row r="346" spans="5:7" s="82" customFormat="1" ht="25.5" hidden="1" customHeight="1" x14ac:dyDescent="0.25">
      <c r="E346" s="82" t="s">
        <v>106</v>
      </c>
      <c r="F346" s="82" t="s">
        <v>209</v>
      </c>
      <c r="G346" s="82" t="s">
        <v>490</v>
      </c>
    </row>
    <row r="347" spans="5:7" s="82" customFormat="1" ht="25.5" hidden="1" customHeight="1" x14ac:dyDescent="0.25">
      <c r="E347" s="82" t="s">
        <v>106</v>
      </c>
      <c r="F347" s="82" t="s">
        <v>143</v>
      </c>
      <c r="G347" s="82" t="s">
        <v>211</v>
      </c>
    </row>
    <row r="348" spans="5:7" s="82" customFormat="1" ht="25.5" hidden="1" customHeight="1" x14ac:dyDescent="0.25">
      <c r="E348" s="82" t="s">
        <v>106</v>
      </c>
      <c r="F348" s="82" t="s">
        <v>143</v>
      </c>
      <c r="G348" s="82" t="s">
        <v>550</v>
      </c>
    </row>
    <row r="349" spans="5:7" s="82" customFormat="1" ht="25.5" hidden="1" customHeight="1" x14ac:dyDescent="0.25">
      <c r="E349" s="82" t="s">
        <v>106</v>
      </c>
      <c r="F349" s="82" t="s">
        <v>143</v>
      </c>
      <c r="G349" s="87" t="s">
        <v>324</v>
      </c>
    </row>
    <row r="350" spans="5:7" s="82" customFormat="1" ht="25.5" hidden="1" customHeight="1" x14ac:dyDescent="0.25">
      <c r="E350" s="82" t="s">
        <v>106</v>
      </c>
      <c r="F350" s="82" t="s">
        <v>143</v>
      </c>
      <c r="G350" s="87" t="s">
        <v>733</v>
      </c>
    </row>
    <row r="351" spans="5:7" s="82" customFormat="1" ht="25.5" hidden="1" customHeight="1" x14ac:dyDescent="0.25">
      <c r="E351" s="82" t="s">
        <v>106</v>
      </c>
      <c r="F351" s="82" t="s">
        <v>143</v>
      </c>
      <c r="G351" s="82" t="s">
        <v>600</v>
      </c>
    </row>
    <row r="352" spans="5:7" s="82" customFormat="1" ht="25.5" hidden="1" customHeight="1" x14ac:dyDescent="0.25">
      <c r="E352" s="82" t="s">
        <v>106</v>
      </c>
      <c r="F352" s="82" t="s">
        <v>143</v>
      </c>
      <c r="G352" s="82" t="s">
        <v>494</v>
      </c>
    </row>
    <row r="353" spans="5:7" s="82" customFormat="1" ht="25.5" hidden="1" customHeight="1" x14ac:dyDescent="0.25">
      <c r="E353" s="82" t="s">
        <v>106</v>
      </c>
      <c r="F353" s="82" t="s">
        <v>143</v>
      </c>
      <c r="G353" s="82" t="s">
        <v>495</v>
      </c>
    </row>
    <row r="354" spans="5:7" s="82" customFormat="1" ht="25.5" hidden="1" customHeight="1" x14ac:dyDescent="0.25">
      <c r="E354" s="82" t="s">
        <v>106</v>
      </c>
      <c r="F354" s="82" t="s">
        <v>212</v>
      </c>
      <c r="G354" s="82" t="s">
        <v>662</v>
      </c>
    </row>
    <row r="355" spans="5:7" s="82" customFormat="1" ht="25.5" hidden="1" customHeight="1" x14ac:dyDescent="0.25">
      <c r="E355" s="82" t="s">
        <v>106</v>
      </c>
      <c r="F355" s="82" t="s">
        <v>213</v>
      </c>
      <c r="G355" s="82" t="s">
        <v>214</v>
      </c>
    </row>
    <row r="356" spans="5:7" s="82" customFormat="1" ht="25.5" hidden="1" customHeight="1" x14ac:dyDescent="0.25">
      <c r="E356" s="82" t="s">
        <v>106</v>
      </c>
      <c r="F356" s="82" t="s">
        <v>213</v>
      </c>
      <c r="G356" s="82" t="s">
        <v>551</v>
      </c>
    </row>
    <row r="357" spans="5:7" s="82" customFormat="1" ht="25.5" hidden="1" customHeight="1" x14ac:dyDescent="0.25"/>
    <row r="358" spans="5:7" s="82" customFormat="1" ht="25.5" hidden="1" customHeight="1" x14ac:dyDescent="0.25">
      <c r="E358" s="82" t="s">
        <v>106</v>
      </c>
      <c r="F358" s="82" t="s">
        <v>213</v>
      </c>
      <c r="G358" s="87" t="s">
        <v>325</v>
      </c>
    </row>
    <row r="359" spans="5:7" s="82" customFormat="1" ht="25.5" hidden="1" customHeight="1" x14ac:dyDescent="0.25">
      <c r="E359" s="82" t="s">
        <v>106</v>
      </c>
      <c r="F359" s="82" t="s">
        <v>213</v>
      </c>
      <c r="G359" s="87" t="s">
        <v>734</v>
      </c>
    </row>
    <row r="360" spans="5:7" s="82" customFormat="1" ht="25.5" hidden="1" customHeight="1" x14ac:dyDescent="0.25">
      <c r="E360" s="82" t="s">
        <v>106</v>
      </c>
      <c r="F360" s="82" t="s">
        <v>213</v>
      </c>
      <c r="G360" s="82" t="s">
        <v>503</v>
      </c>
    </row>
    <row r="361" spans="5:7" s="82" customFormat="1" ht="25.5" hidden="1" customHeight="1" x14ac:dyDescent="0.25"/>
    <row r="362" spans="5:7" s="82" customFormat="1" ht="25.5" hidden="1" customHeight="1" x14ac:dyDescent="0.25">
      <c r="E362" s="82" t="s">
        <v>106</v>
      </c>
      <c r="F362" s="82" t="s">
        <v>215</v>
      </c>
      <c r="G362" s="82" t="s">
        <v>216</v>
      </c>
    </row>
    <row r="363" spans="5:7" s="82" customFormat="1" ht="25.5" hidden="1" customHeight="1" x14ac:dyDescent="0.25">
      <c r="E363" s="82" t="s">
        <v>106</v>
      </c>
      <c r="F363" s="82" t="s">
        <v>215</v>
      </c>
      <c r="G363" s="82" t="s">
        <v>552</v>
      </c>
    </row>
    <row r="364" spans="5:7" s="82" customFormat="1" ht="25.5" hidden="1" customHeight="1" x14ac:dyDescent="0.25">
      <c r="E364" s="82" t="s">
        <v>106</v>
      </c>
      <c r="F364" s="82" t="s">
        <v>215</v>
      </c>
      <c r="G364" s="82" t="s">
        <v>735</v>
      </c>
    </row>
    <row r="365" spans="5:7" s="82" customFormat="1" ht="25.5" hidden="1" customHeight="1" x14ac:dyDescent="0.25">
      <c r="E365" s="82" t="s">
        <v>106</v>
      </c>
      <c r="F365" s="82" t="s">
        <v>215</v>
      </c>
      <c r="G365" s="82" t="s">
        <v>336</v>
      </c>
    </row>
    <row r="366" spans="5:7" s="82" customFormat="1" ht="25.5" hidden="1" customHeight="1" x14ac:dyDescent="0.25">
      <c r="E366" s="82" t="s">
        <v>106</v>
      </c>
      <c r="F366" s="82" t="s">
        <v>217</v>
      </c>
      <c r="G366" s="82" t="s">
        <v>663</v>
      </c>
    </row>
    <row r="367" spans="5:7" s="82" customFormat="1" ht="25.5" hidden="1" customHeight="1" x14ac:dyDescent="0.25">
      <c r="E367" s="82" t="s">
        <v>106</v>
      </c>
      <c r="F367" s="82" t="s">
        <v>217</v>
      </c>
      <c r="G367" s="82" t="s">
        <v>504</v>
      </c>
    </row>
    <row r="368" spans="5:7" s="82" customFormat="1" ht="25.5" hidden="1" customHeight="1" x14ac:dyDescent="0.25">
      <c r="E368" s="82" t="s">
        <v>106</v>
      </c>
      <c r="F368" s="82" t="s">
        <v>217</v>
      </c>
      <c r="G368" s="82" t="s">
        <v>505</v>
      </c>
    </row>
    <row r="369" spans="5:7" s="82" customFormat="1" ht="25.5" hidden="1" customHeight="1" x14ac:dyDescent="0.25"/>
    <row r="370" spans="5:7" s="82" customFormat="1" ht="25.5" hidden="1" customHeight="1" x14ac:dyDescent="0.25">
      <c r="E370" s="82" t="s">
        <v>106</v>
      </c>
      <c r="F370" s="82" t="s">
        <v>145</v>
      </c>
      <c r="G370" s="82" t="s">
        <v>218</v>
      </c>
    </row>
    <row r="371" spans="5:7" s="82" customFormat="1" ht="25.5" hidden="1" customHeight="1" x14ac:dyDescent="0.25">
      <c r="E371" s="82" t="s">
        <v>106</v>
      </c>
      <c r="F371" s="82" t="s">
        <v>145</v>
      </c>
      <c r="G371" s="82" t="s">
        <v>553</v>
      </c>
    </row>
    <row r="372" spans="5:7" s="82" customFormat="1" ht="25.5" hidden="1" customHeight="1" x14ac:dyDescent="0.25">
      <c r="E372" s="82" t="s">
        <v>106</v>
      </c>
      <c r="F372" s="82" t="s">
        <v>145</v>
      </c>
      <c r="G372" s="82" t="s">
        <v>514</v>
      </c>
    </row>
    <row r="373" spans="5:7" s="82" customFormat="1" ht="25.5" hidden="1" customHeight="1" x14ac:dyDescent="0.25"/>
    <row r="374" spans="5:7" s="82" customFormat="1" ht="25.5" hidden="1" customHeight="1" x14ac:dyDescent="0.25"/>
    <row r="375" spans="5:7" s="82" customFormat="1" ht="25.5" hidden="1" customHeight="1" x14ac:dyDescent="0.25">
      <c r="E375" s="82" t="s">
        <v>106</v>
      </c>
      <c r="F375" s="82" t="s">
        <v>146</v>
      </c>
      <c r="G375" s="82" t="s">
        <v>219</v>
      </c>
    </row>
    <row r="376" spans="5:7" s="82" customFormat="1" ht="25.5" hidden="1" customHeight="1" x14ac:dyDescent="0.25">
      <c r="E376" s="82" t="s">
        <v>106</v>
      </c>
      <c r="F376" s="82" t="s">
        <v>146</v>
      </c>
      <c r="G376" s="82" t="s">
        <v>410</v>
      </c>
    </row>
    <row r="377" spans="5:7" s="82" customFormat="1" ht="25.5" hidden="1" customHeight="1" x14ac:dyDescent="0.25">
      <c r="E377" s="82" t="s">
        <v>106</v>
      </c>
      <c r="F377" s="82" t="s">
        <v>146</v>
      </c>
      <c r="G377" s="82" t="s">
        <v>411</v>
      </c>
    </row>
    <row r="378" spans="5:7" s="82" customFormat="1" ht="25.5" hidden="1" customHeight="1" x14ac:dyDescent="0.25"/>
    <row r="379" spans="5:7" s="82" customFormat="1" ht="25.5" hidden="1" customHeight="1" x14ac:dyDescent="0.25">
      <c r="E379" s="82" t="s">
        <v>106</v>
      </c>
      <c r="F379" s="82" t="s">
        <v>114</v>
      </c>
      <c r="G379" s="82" t="s">
        <v>629</v>
      </c>
    </row>
    <row r="380" spans="5:7" s="82" customFormat="1" ht="25.5" hidden="1" customHeight="1" x14ac:dyDescent="0.25">
      <c r="E380" s="82" t="s">
        <v>106</v>
      </c>
      <c r="F380" s="82" t="s">
        <v>114</v>
      </c>
      <c r="G380" s="82" t="s">
        <v>800</v>
      </c>
    </row>
    <row r="381" spans="5:7" s="82" customFormat="1" ht="25.5" hidden="1" customHeight="1" x14ac:dyDescent="0.25">
      <c r="E381" s="82" t="s">
        <v>106</v>
      </c>
      <c r="F381" s="82" t="s">
        <v>114</v>
      </c>
      <c r="G381" s="82" t="s">
        <v>554</v>
      </c>
    </row>
    <row r="382" spans="5:7" s="82" customFormat="1" ht="25.5" hidden="1" customHeight="1" x14ac:dyDescent="0.25">
      <c r="E382" s="82" t="s">
        <v>106</v>
      </c>
      <c r="F382" s="82" t="s">
        <v>220</v>
      </c>
      <c r="G382" s="82" t="s">
        <v>221</v>
      </c>
    </row>
    <row r="383" spans="5:7" s="82" customFormat="1" ht="25.5" hidden="1" customHeight="1" x14ac:dyDescent="0.25">
      <c r="E383" s="82" t="s">
        <v>106</v>
      </c>
      <c r="F383" s="82" t="s">
        <v>220</v>
      </c>
      <c r="G383" s="82" t="s">
        <v>737</v>
      </c>
    </row>
    <row r="384" spans="5:7" s="82" customFormat="1" ht="25.5" hidden="1" customHeight="1" x14ac:dyDescent="0.25">
      <c r="E384" s="82" t="s">
        <v>106</v>
      </c>
      <c r="F384" s="82" t="s">
        <v>114</v>
      </c>
      <c r="G384" s="82" t="s">
        <v>555</v>
      </c>
    </row>
    <row r="385" spans="5:7" s="82" customFormat="1" ht="25.5" hidden="1" customHeight="1" x14ac:dyDescent="0.3">
      <c r="E385" s="82" t="s">
        <v>106</v>
      </c>
      <c r="F385" s="82" t="s">
        <v>114</v>
      </c>
      <c r="G385" s="83" t="s">
        <v>385</v>
      </c>
    </row>
    <row r="386" spans="5:7" s="82" customFormat="1" ht="25.5" hidden="1" customHeight="1" x14ac:dyDescent="0.3">
      <c r="E386" s="82" t="s">
        <v>106</v>
      </c>
      <c r="F386" s="82" t="s">
        <v>114</v>
      </c>
      <c r="G386" s="83" t="s">
        <v>802</v>
      </c>
    </row>
    <row r="387" spans="5:7" s="82" customFormat="1" ht="25.5" hidden="1" customHeight="1" x14ac:dyDescent="0.3">
      <c r="E387" s="82" t="s">
        <v>106</v>
      </c>
      <c r="F387" s="82" t="s">
        <v>114</v>
      </c>
      <c r="G387" s="83" t="s">
        <v>803</v>
      </c>
    </row>
    <row r="388" spans="5:7" s="82" customFormat="1" ht="25.5" hidden="1" customHeight="1" x14ac:dyDescent="0.3">
      <c r="E388" s="82" t="s">
        <v>106</v>
      </c>
      <c r="F388" s="82" t="s">
        <v>114</v>
      </c>
      <c r="G388" s="83" t="s">
        <v>530</v>
      </c>
    </row>
    <row r="389" spans="5:7" s="82" customFormat="1" ht="25.5" hidden="1" customHeight="1" x14ac:dyDescent="0.3">
      <c r="E389" s="82" t="s">
        <v>106</v>
      </c>
      <c r="F389" s="82" t="s">
        <v>114</v>
      </c>
      <c r="G389" s="83" t="s">
        <v>531</v>
      </c>
    </row>
    <row r="390" spans="5:7" s="82" customFormat="1" ht="25.5" hidden="1" customHeight="1" x14ac:dyDescent="0.3">
      <c r="E390" s="82" t="s">
        <v>106</v>
      </c>
      <c r="F390" s="82" t="s">
        <v>114</v>
      </c>
      <c r="G390" s="83" t="s">
        <v>532</v>
      </c>
    </row>
    <row r="391" spans="5:7" s="82" customFormat="1" ht="25.5" hidden="1" customHeight="1" x14ac:dyDescent="0.3">
      <c r="E391" s="82" t="s">
        <v>106</v>
      </c>
      <c r="F391" s="82" t="s">
        <v>114</v>
      </c>
      <c r="G391" s="83" t="s">
        <v>769</v>
      </c>
    </row>
    <row r="392" spans="5:7" s="82" customFormat="1" ht="25.5" hidden="1" customHeight="1" x14ac:dyDescent="0.3">
      <c r="E392" s="82" t="s">
        <v>106</v>
      </c>
      <c r="F392" s="82" t="s">
        <v>114</v>
      </c>
      <c r="G392" s="83" t="s">
        <v>533</v>
      </c>
    </row>
    <row r="393" spans="5:7" s="82" customFormat="1" ht="25.5" hidden="1" customHeight="1" x14ac:dyDescent="0.25">
      <c r="E393" s="82" t="s">
        <v>106</v>
      </c>
      <c r="F393" s="82" t="s">
        <v>114</v>
      </c>
      <c r="G393" s="82" t="s">
        <v>601</v>
      </c>
    </row>
    <row r="394" spans="5:7" s="82" customFormat="1" ht="25.5" hidden="1" customHeight="1" x14ac:dyDescent="0.25">
      <c r="E394" s="82" t="s">
        <v>118</v>
      </c>
      <c r="F394" s="82" t="s">
        <v>148</v>
      </c>
      <c r="G394" s="82" t="s">
        <v>630</v>
      </c>
    </row>
    <row r="395" spans="5:7" s="82" customFormat="1" ht="25.5" hidden="1" customHeight="1" x14ac:dyDescent="0.25">
      <c r="E395" s="82" t="s">
        <v>118</v>
      </c>
      <c r="F395" s="82" t="s">
        <v>148</v>
      </c>
      <c r="G395" s="82" t="s">
        <v>720</v>
      </c>
    </row>
    <row r="396" spans="5:7" s="82" customFormat="1" ht="25.5" hidden="1" customHeight="1" x14ac:dyDescent="0.25">
      <c r="E396" s="82" t="s">
        <v>118</v>
      </c>
      <c r="F396" s="82" t="s">
        <v>148</v>
      </c>
      <c r="G396" s="82" t="s">
        <v>702</v>
      </c>
    </row>
    <row r="397" spans="5:7" s="82" customFormat="1" ht="25.5" hidden="1" customHeight="1" x14ac:dyDescent="0.25">
      <c r="E397" s="82" t="s">
        <v>118</v>
      </c>
      <c r="F397" s="82" t="s">
        <v>148</v>
      </c>
      <c r="G397" s="82" t="s">
        <v>602</v>
      </c>
    </row>
    <row r="398" spans="5:7" s="82" customFormat="1" ht="25.5" hidden="1" customHeight="1" x14ac:dyDescent="0.25">
      <c r="E398" s="82" t="s">
        <v>118</v>
      </c>
      <c r="F398" s="82" t="s">
        <v>148</v>
      </c>
      <c r="G398" s="82" t="s">
        <v>416</v>
      </c>
    </row>
    <row r="399" spans="5:7" s="82" customFormat="1" ht="25.5" hidden="1" customHeight="1" x14ac:dyDescent="0.25">
      <c r="E399" s="82" t="s">
        <v>118</v>
      </c>
      <c r="F399" s="82" t="s">
        <v>148</v>
      </c>
      <c r="G399" s="82" t="s">
        <v>464</v>
      </c>
    </row>
    <row r="400" spans="5:7" s="82" customFormat="1" ht="25.5" hidden="1" customHeight="1" x14ac:dyDescent="0.25">
      <c r="E400" s="82" t="s">
        <v>118</v>
      </c>
      <c r="F400" s="82" t="s">
        <v>148</v>
      </c>
      <c r="G400" s="82" t="s">
        <v>465</v>
      </c>
    </row>
    <row r="401" spans="5:7" s="82" customFormat="1" ht="25.5" hidden="1" customHeight="1" x14ac:dyDescent="0.25">
      <c r="E401" s="82" t="s">
        <v>118</v>
      </c>
      <c r="F401" s="82" t="s">
        <v>119</v>
      </c>
      <c r="G401" s="82" t="s">
        <v>556</v>
      </c>
    </row>
    <row r="402" spans="5:7" s="82" customFormat="1" ht="25.5" hidden="1" customHeight="1" x14ac:dyDescent="0.25">
      <c r="E402" s="82" t="s">
        <v>118</v>
      </c>
      <c r="F402" s="82" t="s">
        <v>222</v>
      </c>
      <c r="G402" s="82" t="s">
        <v>631</v>
      </c>
    </row>
    <row r="403" spans="5:7" s="82" customFormat="1" ht="25.5" hidden="1" customHeight="1" x14ac:dyDescent="0.25">
      <c r="E403" s="82" t="s">
        <v>118</v>
      </c>
      <c r="F403" s="82" t="s">
        <v>222</v>
      </c>
      <c r="G403" s="82" t="s">
        <v>845</v>
      </c>
    </row>
    <row r="404" spans="5:7" s="82" customFormat="1" ht="25.5" hidden="1" customHeight="1" x14ac:dyDescent="0.25">
      <c r="E404" s="82" t="s">
        <v>118</v>
      </c>
      <c r="F404" s="82" t="s">
        <v>222</v>
      </c>
      <c r="G404" s="82" t="s">
        <v>358</v>
      </c>
    </row>
    <row r="405" spans="5:7" s="82" customFormat="1" ht="25.5" hidden="1" customHeight="1" x14ac:dyDescent="0.25">
      <c r="E405" s="82" t="s">
        <v>118</v>
      </c>
      <c r="F405" s="82" t="s">
        <v>222</v>
      </c>
      <c r="G405" s="82" t="s">
        <v>603</v>
      </c>
    </row>
    <row r="406" spans="5:7" s="82" customFormat="1" ht="25.5" hidden="1" customHeight="1" x14ac:dyDescent="0.25">
      <c r="E406" s="82" t="s">
        <v>118</v>
      </c>
      <c r="F406" s="82" t="s">
        <v>222</v>
      </c>
      <c r="G406" s="82" t="s">
        <v>417</v>
      </c>
    </row>
    <row r="407" spans="5:7" s="82" customFormat="1" ht="25.5" hidden="1" customHeight="1" x14ac:dyDescent="0.25">
      <c r="E407" s="82" t="s">
        <v>118</v>
      </c>
      <c r="F407" s="82" t="s">
        <v>120</v>
      </c>
      <c r="G407" s="82" t="s">
        <v>557</v>
      </c>
    </row>
    <row r="408" spans="5:7" s="82" customFormat="1" ht="25.5" hidden="1" customHeight="1" x14ac:dyDescent="0.25">
      <c r="E408" s="82" t="s">
        <v>118</v>
      </c>
      <c r="F408" s="82" t="s">
        <v>223</v>
      </c>
      <c r="G408" s="82" t="s">
        <v>664</v>
      </c>
    </row>
    <row r="409" spans="5:7" s="82" customFormat="1" ht="25.5" hidden="1" customHeight="1" x14ac:dyDescent="0.25">
      <c r="E409" s="82" t="s">
        <v>118</v>
      </c>
      <c r="F409" s="82" t="s">
        <v>224</v>
      </c>
      <c r="G409" s="82" t="s">
        <v>632</v>
      </c>
    </row>
    <row r="410" spans="5:7" s="82" customFormat="1" ht="25.5" hidden="1" customHeight="1" x14ac:dyDescent="0.25">
      <c r="E410" s="82" t="s">
        <v>118</v>
      </c>
      <c r="F410" s="82" t="s">
        <v>224</v>
      </c>
      <c r="G410" s="82" t="s">
        <v>357</v>
      </c>
    </row>
    <row r="411" spans="5:7" s="82" customFormat="1" ht="25.5" hidden="1" customHeight="1" x14ac:dyDescent="0.25">
      <c r="E411" s="82" t="s">
        <v>118</v>
      </c>
      <c r="F411" s="82" t="s">
        <v>224</v>
      </c>
      <c r="G411" s="82" t="s">
        <v>418</v>
      </c>
    </row>
    <row r="412" spans="5:7" s="82" customFormat="1" ht="25.5" hidden="1" customHeight="1" x14ac:dyDescent="0.25">
      <c r="E412" s="82" t="s">
        <v>118</v>
      </c>
      <c r="F412" s="82" t="s">
        <v>224</v>
      </c>
      <c r="G412" s="82" t="s">
        <v>481</v>
      </c>
    </row>
    <row r="413" spans="5:7" s="82" customFormat="1" ht="25.5" hidden="1" customHeight="1" x14ac:dyDescent="0.25">
      <c r="E413" s="82" t="s">
        <v>118</v>
      </c>
      <c r="F413" s="82" t="s">
        <v>224</v>
      </c>
      <c r="G413" s="82" t="s">
        <v>482</v>
      </c>
    </row>
    <row r="414" spans="5:7" s="82" customFormat="1" ht="25.5" hidden="1" customHeight="1" x14ac:dyDescent="0.25">
      <c r="E414" s="82" t="s">
        <v>118</v>
      </c>
      <c r="F414" s="82" t="s">
        <v>224</v>
      </c>
      <c r="G414" s="82" t="s">
        <v>483</v>
      </c>
    </row>
    <row r="415" spans="5:7" s="82" customFormat="1" ht="25.5" hidden="1" customHeight="1" x14ac:dyDescent="0.25">
      <c r="E415" s="82" t="s">
        <v>118</v>
      </c>
      <c r="F415" s="82" t="s">
        <v>149</v>
      </c>
      <c r="G415" s="82" t="s">
        <v>225</v>
      </c>
    </row>
    <row r="416" spans="5:7" s="82" customFormat="1" ht="25.5" hidden="1" customHeight="1" x14ac:dyDescent="0.25">
      <c r="E416" s="82" t="s">
        <v>118</v>
      </c>
      <c r="F416" s="82" t="s">
        <v>149</v>
      </c>
      <c r="G416" s="82" t="s">
        <v>337</v>
      </c>
    </row>
    <row r="417" spans="5:7" s="82" customFormat="1" ht="25.5" hidden="1" customHeight="1" x14ac:dyDescent="0.25">
      <c r="E417" s="82" t="s">
        <v>118</v>
      </c>
      <c r="F417" s="82" t="s">
        <v>149</v>
      </c>
      <c r="G417" s="82" t="s">
        <v>711</v>
      </c>
    </row>
    <row r="418" spans="5:7" s="82" customFormat="1" ht="25.5" hidden="1" customHeight="1" x14ac:dyDescent="0.25">
      <c r="E418" s="82" t="s">
        <v>118</v>
      </c>
      <c r="F418" s="82" t="s">
        <v>149</v>
      </c>
      <c r="G418" s="82" t="s">
        <v>558</v>
      </c>
    </row>
    <row r="419" spans="5:7" s="82" customFormat="1" ht="25.5" hidden="1" customHeight="1" x14ac:dyDescent="0.25">
      <c r="E419" s="82" t="s">
        <v>118</v>
      </c>
      <c r="F419" s="82" t="s">
        <v>149</v>
      </c>
      <c r="G419" s="82" t="s">
        <v>604</v>
      </c>
    </row>
    <row r="420" spans="5:7" s="82" customFormat="1" ht="25.5" hidden="1" customHeight="1" x14ac:dyDescent="0.25">
      <c r="E420" s="82" t="s">
        <v>118</v>
      </c>
      <c r="F420" s="82" t="s">
        <v>149</v>
      </c>
      <c r="G420" s="82" t="s">
        <v>419</v>
      </c>
    </row>
    <row r="421" spans="5:7" s="82" customFormat="1" ht="25.5" hidden="1" customHeight="1" x14ac:dyDescent="0.25">
      <c r="E421" s="82" t="s">
        <v>118</v>
      </c>
      <c r="F421" s="82" t="s">
        <v>149</v>
      </c>
      <c r="G421" s="82" t="s">
        <v>480</v>
      </c>
    </row>
    <row r="422" spans="5:7" s="82" customFormat="1" ht="25.5" hidden="1" customHeight="1" x14ac:dyDescent="0.25">
      <c r="E422" s="82" t="s">
        <v>118</v>
      </c>
      <c r="F422" s="82" t="s">
        <v>118</v>
      </c>
      <c r="G422" s="82" t="s">
        <v>226</v>
      </c>
    </row>
    <row r="423" spans="5:7" s="82" customFormat="1" ht="25.5" hidden="1" customHeight="1" x14ac:dyDescent="0.25">
      <c r="E423" s="82" t="s">
        <v>118</v>
      </c>
      <c r="F423" s="82" t="s">
        <v>118</v>
      </c>
      <c r="G423" s="82" t="s">
        <v>665</v>
      </c>
    </row>
    <row r="424" spans="5:7" s="82" customFormat="1" ht="25.5" hidden="1" customHeight="1" x14ac:dyDescent="0.25">
      <c r="E424" s="82" t="s">
        <v>118</v>
      </c>
      <c r="F424" s="82" t="s">
        <v>118</v>
      </c>
      <c r="G424" s="82" t="s">
        <v>559</v>
      </c>
    </row>
    <row r="425" spans="5:7" s="82" customFormat="1" ht="25.5" hidden="1" customHeight="1" x14ac:dyDescent="0.25">
      <c r="E425" s="82" t="s">
        <v>118</v>
      </c>
      <c r="F425" s="82" t="s">
        <v>227</v>
      </c>
      <c r="G425" s="82" t="s">
        <v>633</v>
      </c>
    </row>
    <row r="426" spans="5:7" s="82" customFormat="1" ht="25.5" hidden="1" customHeight="1" x14ac:dyDescent="0.25">
      <c r="E426" s="82" t="s">
        <v>118</v>
      </c>
      <c r="F426" s="82" t="s">
        <v>118</v>
      </c>
      <c r="G426" s="82" t="s">
        <v>338</v>
      </c>
    </row>
    <row r="427" spans="5:7" s="82" customFormat="1" ht="25.5" hidden="1" customHeight="1" x14ac:dyDescent="0.25">
      <c r="E427" s="82" t="s">
        <v>118</v>
      </c>
      <c r="F427" s="82" t="s">
        <v>227</v>
      </c>
      <c r="G427" s="82" t="s">
        <v>317</v>
      </c>
    </row>
    <row r="428" spans="5:7" s="82" customFormat="1" ht="25.5" hidden="1" customHeight="1" x14ac:dyDescent="0.25">
      <c r="E428" s="82" t="s">
        <v>118</v>
      </c>
      <c r="F428" s="82" t="s">
        <v>227</v>
      </c>
      <c r="G428" s="82" t="s">
        <v>420</v>
      </c>
    </row>
    <row r="429" spans="5:7" s="82" customFormat="1" ht="25.5" hidden="1" customHeight="1" x14ac:dyDescent="0.25">
      <c r="E429" s="82" t="s">
        <v>118</v>
      </c>
      <c r="F429" s="82" t="s">
        <v>227</v>
      </c>
      <c r="G429" s="82" t="s">
        <v>484</v>
      </c>
    </row>
    <row r="430" spans="5:7" s="82" customFormat="1" ht="25.5" hidden="1" customHeight="1" x14ac:dyDescent="0.25">
      <c r="E430" s="82" t="s">
        <v>118</v>
      </c>
      <c r="F430" s="82" t="s">
        <v>227</v>
      </c>
      <c r="G430" s="82" t="s">
        <v>485</v>
      </c>
    </row>
    <row r="431" spans="5:7" s="82" customFormat="1" ht="25.5" hidden="1" customHeight="1" x14ac:dyDescent="0.25">
      <c r="E431" s="82" t="s">
        <v>118</v>
      </c>
      <c r="F431" s="82" t="s">
        <v>121</v>
      </c>
      <c r="G431" s="82" t="s">
        <v>560</v>
      </c>
    </row>
    <row r="432" spans="5:7" s="82" customFormat="1" ht="25.5" hidden="1" customHeight="1" x14ac:dyDescent="0.25">
      <c r="E432" s="82" t="s">
        <v>118</v>
      </c>
      <c r="F432" s="82" t="s">
        <v>228</v>
      </c>
      <c r="G432" s="82" t="s">
        <v>634</v>
      </c>
    </row>
    <row r="433" spans="5:7" s="82" customFormat="1" ht="25.5" hidden="1" customHeight="1" x14ac:dyDescent="0.25">
      <c r="E433" s="82" t="s">
        <v>118</v>
      </c>
      <c r="F433" s="82" t="s">
        <v>228</v>
      </c>
      <c r="G433" s="82" t="s">
        <v>732</v>
      </c>
    </row>
    <row r="434" spans="5:7" s="82" customFormat="1" ht="25.5" hidden="1" customHeight="1" x14ac:dyDescent="0.25">
      <c r="E434" s="82" t="s">
        <v>118</v>
      </c>
      <c r="F434" s="82" t="s">
        <v>121</v>
      </c>
      <c r="G434" s="82" t="s">
        <v>561</v>
      </c>
    </row>
    <row r="435" spans="5:7" s="82" customFormat="1" ht="25.5" hidden="1" customHeight="1" x14ac:dyDescent="0.25">
      <c r="E435" s="82" t="s">
        <v>118</v>
      </c>
      <c r="F435" s="82" t="s">
        <v>121</v>
      </c>
      <c r="G435" s="82" t="s">
        <v>359</v>
      </c>
    </row>
    <row r="436" spans="5:7" s="82" customFormat="1" ht="25.5" hidden="1" customHeight="1" x14ac:dyDescent="0.25">
      <c r="E436" s="82" t="s">
        <v>118</v>
      </c>
      <c r="F436" s="82" t="s">
        <v>121</v>
      </c>
      <c r="G436" s="82" t="s">
        <v>421</v>
      </c>
    </row>
    <row r="437" spans="5:7" s="82" customFormat="1" ht="25.5" hidden="1" customHeight="1" x14ac:dyDescent="0.25">
      <c r="E437" s="82" t="s">
        <v>118</v>
      </c>
      <c r="F437" s="82" t="s">
        <v>150</v>
      </c>
      <c r="G437" s="82" t="s">
        <v>635</v>
      </c>
    </row>
    <row r="438" spans="5:7" s="82" customFormat="1" ht="25.5" hidden="1" customHeight="1" x14ac:dyDescent="0.25">
      <c r="E438" s="82" t="s">
        <v>118</v>
      </c>
      <c r="F438" s="82" t="s">
        <v>150</v>
      </c>
      <c r="G438" s="82" t="s">
        <v>562</v>
      </c>
    </row>
    <row r="439" spans="5:7" s="82" customFormat="1" ht="25.5" hidden="1" customHeight="1" x14ac:dyDescent="0.25">
      <c r="E439" s="82" t="s">
        <v>118</v>
      </c>
      <c r="F439" s="82" t="s">
        <v>150</v>
      </c>
      <c r="G439" s="82" t="s">
        <v>489</v>
      </c>
    </row>
    <row r="440" spans="5:7" s="82" customFormat="1" ht="25.5" hidden="1" customHeight="1" x14ac:dyDescent="0.25"/>
    <row r="441" spans="5:7" s="82" customFormat="1" ht="25.5" hidden="1" customHeight="1" x14ac:dyDescent="0.25"/>
    <row r="442" spans="5:7" s="82" customFormat="1" ht="25.5" hidden="1" customHeight="1" x14ac:dyDescent="0.25">
      <c r="E442" s="82" t="s">
        <v>118</v>
      </c>
      <c r="F442" s="82" t="s">
        <v>151</v>
      </c>
      <c r="G442" s="82" t="s">
        <v>636</v>
      </c>
    </row>
    <row r="443" spans="5:7" s="82" customFormat="1" ht="25.5" hidden="1" customHeight="1" x14ac:dyDescent="0.25">
      <c r="E443" s="82" t="s">
        <v>118</v>
      </c>
      <c r="F443" s="82" t="s">
        <v>151</v>
      </c>
      <c r="G443" s="82" t="s">
        <v>844</v>
      </c>
    </row>
    <row r="444" spans="5:7" s="82" customFormat="1" ht="25.5" hidden="1" customHeight="1" x14ac:dyDescent="0.25">
      <c r="E444" s="82" t="s">
        <v>118</v>
      </c>
      <c r="F444" s="82" t="s">
        <v>151</v>
      </c>
      <c r="G444" s="82" t="s">
        <v>339</v>
      </c>
    </row>
    <row r="445" spans="5:7" s="82" customFormat="1" ht="25.5" hidden="1" customHeight="1" x14ac:dyDescent="0.25">
      <c r="E445" s="82" t="s">
        <v>118</v>
      </c>
      <c r="F445" s="82" t="s">
        <v>151</v>
      </c>
      <c r="G445" s="82" t="s">
        <v>491</v>
      </c>
    </row>
    <row r="446" spans="5:7" s="82" customFormat="1" ht="25.5" hidden="1" customHeight="1" x14ac:dyDescent="0.25"/>
    <row r="447" spans="5:7" s="82" customFormat="1" ht="25.5" hidden="1" customHeight="1" x14ac:dyDescent="0.25">
      <c r="E447" s="82" t="s">
        <v>118</v>
      </c>
      <c r="F447" s="82" t="s">
        <v>229</v>
      </c>
      <c r="G447" s="82" t="s">
        <v>230</v>
      </c>
    </row>
    <row r="448" spans="5:7" s="82" customFormat="1" ht="25.5" hidden="1" customHeight="1" x14ac:dyDescent="0.3">
      <c r="E448" s="82" t="s">
        <v>118</v>
      </c>
      <c r="F448" s="82" t="s">
        <v>152</v>
      </c>
      <c r="G448" s="83" t="s">
        <v>365</v>
      </c>
    </row>
    <row r="449" spans="5:7" s="82" customFormat="1" ht="25.5" hidden="1" customHeight="1" x14ac:dyDescent="0.25">
      <c r="E449" s="82" t="s">
        <v>118</v>
      </c>
      <c r="F449" s="82" t="s">
        <v>152</v>
      </c>
      <c r="G449" s="82" t="s">
        <v>502</v>
      </c>
    </row>
    <row r="450" spans="5:7" s="82" customFormat="1" ht="25.5" hidden="1" customHeight="1" x14ac:dyDescent="0.25"/>
    <row r="451" spans="5:7" s="82" customFormat="1" ht="25.5" hidden="1" customHeight="1" x14ac:dyDescent="0.25">
      <c r="E451" s="82" t="s">
        <v>118</v>
      </c>
      <c r="F451" s="82" t="s">
        <v>122</v>
      </c>
      <c r="G451" s="82" t="s">
        <v>563</v>
      </c>
    </row>
    <row r="452" spans="5:7" s="82" customFormat="1" ht="25.5" hidden="1" customHeight="1" x14ac:dyDescent="0.25">
      <c r="E452" s="82" t="s">
        <v>118</v>
      </c>
      <c r="F452" s="82" t="s">
        <v>231</v>
      </c>
      <c r="G452" s="82" t="s">
        <v>637</v>
      </c>
    </row>
    <row r="453" spans="5:7" s="82" customFormat="1" ht="25.5" hidden="1" customHeight="1" x14ac:dyDescent="0.25">
      <c r="E453" s="82" t="s">
        <v>118</v>
      </c>
      <c r="F453" s="82" t="s">
        <v>122</v>
      </c>
      <c r="G453" s="82" t="s">
        <v>356</v>
      </c>
    </row>
    <row r="454" spans="5:7" s="82" customFormat="1" ht="25.5" hidden="1" customHeight="1" x14ac:dyDescent="0.25">
      <c r="E454" s="82" t="s">
        <v>118</v>
      </c>
      <c r="F454" s="82" t="s">
        <v>122</v>
      </c>
      <c r="G454" s="82" t="s">
        <v>605</v>
      </c>
    </row>
    <row r="455" spans="5:7" s="82" customFormat="1" ht="25.5" hidden="1" customHeight="1" x14ac:dyDescent="0.25">
      <c r="E455" s="82" t="s">
        <v>118</v>
      </c>
      <c r="F455" s="82" t="s">
        <v>122</v>
      </c>
      <c r="G455" s="82" t="s">
        <v>519</v>
      </c>
    </row>
    <row r="456" spans="5:7" s="82" customFormat="1" ht="25.5" hidden="1" customHeight="1" x14ac:dyDescent="0.25">
      <c r="E456" s="82" t="s">
        <v>118</v>
      </c>
      <c r="F456" s="82" t="s">
        <v>122</v>
      </c>
      <c r="G456" s="82" t="s">
        <v>520</v>
      </c>
    </row>
    <row r="457" spans="5:7" s="82" customFormat="1" ht="25.5" hidden="1" customHeight="1" x14ac:dyDescent="0.25">
      <c r="E457" s="82" t="s">
        <v>118</v>
      </c>
      <c r="F457" s="82" t="s">
        <v>122</v>
      </c>
      <c r="G457" s="82" t="s">
        <v>521</v>
      </c>
    </row>
    <row r="458" spans="5:7" s="82" customFormat="1" ht="25.5" hidden="1" customHeight="1" x14ac:dyDescent="0.25">
      <c r="E458" s="82" t="s">
        <v>118</v>
      </c>
      <c r="F458" s="82" t="s">
        <v>122</v>
      </c>
      <c r="G458" s="82" t="s">
        <v>422</v>
      </c>
    </row>
    <row r="459" spans="5:7" s="82" customFormat="1" ht="25.5" hidden="1" customHeight="1" x14ac:dyDescent="0.25">
      <c r="E459" s="82" t="s">
        <v>117</v>
      </c>
      <c r="F459" s="82" t="s">
        <v>141</v>
      </c>
      <c r="G459" s="82" t="s">
        <v>638</v>
      </c>
    </row>
    <row r="460" spans="5:7" s="82" customFormat="1" ht="25.5" hidden="1" customHeight="1" x14ac:dyDescent="0.25">
      <c r="E460" s="82" t="s">
        <v>117</v>
      </c>
      <c r="F460" s="82" t="s">
        <v>141</v>
      </c>
      <c r="G460" s="82" t="s">
        <v>564</v>
      </c>
    </row>
    <row r="461" spans="5:7" s="82" customFormat="1" ht="25.5" hidden="1" customHeight="1" x14ac:dyDescent="0.25">
      <c r="E461" s="82" t="s">
        <v>117</v>
      </c>
      <c r="F461" s="82" t="s">
        <v>141</v>
      </c>
      <c r="G461" s="82" t="s">
        <v>784</v>
      </c>
    </row>
    <row r="462" spans="5:7" s="82" customFormat="1" ht="25.5" hidden="1" customHeight="1" x14ac:dyDescent="0.25">
      <c r="E462" s="82" t="s">
        <v>117</v>
      </c>
      <c r="F462" s="82" t="s">
        <v>141</v>
      </c>
      <c r="G462" s="82" t="s">
        <v>423</v>
      </c>
    </row>
    <row r="463" spans="5:7" s="82" customFormat="1" ht="25.5" hidden="1" customHeight="1" x14ac:dyDescent="0.25">
      <c r="E463" s="82" t="s">
        <v>117</v>
      </c>
      <c r="F463" s="82" t="s">
        <v>141</v>
      </c>
      <c r="G463" s="82" t="s">
        <v>801</v>
      </c>
    </row>
    <row r="464" spans="5:7" s="82" customFormat="1" ht="25.5" hidden="1" customHeight="1" x14ac:dyDescent="0.25">
      <c r="E464" s="82" t="s">
        <v>117</v>
      </c>
      <c r="F464" s="82" t="s">
        <v>141</v>
      </c>
      <c r="G464" s="82" t="s">
        <v>777</v>
      </c>
    </row>
    <row r="465" spans="5:7" s="82" customFormat="1" ht="25.5" hidden="1" customHeight="1" x14ac:dyDescent="0.25">
      <c r="E465" s="82" t="s">
        <v>117</v>
      </c>
      <c r="F465" s="82" t="s">
        <v>141</v>
      </c>
      <c r="G465" s="82" t="s">
        <v>707</v>
      </c>
    </row>
    <row r="466" spans="5:7" s="82" customFormat="1" ht="25.5" hidden="1" customHeight="1" x14ac:dyDescent="0.25">
      <c r="E466" s="82" t="s">
        <v>117</v>
      </c>
      <c r="F466" s="82" t="s">
        <v>141</v>
      </c>
      <c r="G466" s="82" t="s">
        <v>479</v>
      </c>
    </row>
    <row r="467" spans="5:7" s="82" customFormat="1" ht="25.5" hidden="1" customHeight="1" x14ac:dyDescent="0.25"/>
    <row r="468" spans="5:7" s="82" customFormat="1" ht="25.5" hidden="1" customHeight="1" x14ac:dyDescent="0.25">
      <c r="E468" s="82" t="s">
        <v>265</v>
      </c>
      <c r="F468" s="82" t="s">
        <v>265</v>
      </c>
      <c r="G468" s="82" t="s">
        <v>666</v>
      </c>
    </row>
    <row r="469" spans="5:7" s="82" customFormat="1" ht="25.5" hidden="1" customHeight="1" x14ac:dyDescent="0.25">
      <c r="E469" s="82" t="s">
        <v>117</v>
      </c>
      <c r="F469" s="82" t="s">
        <v>117</v>
      </c>
      <c r="G469" s="82" t="s">
        <v>565</v>
      </c>
    </row>
    <row r="470" spans="5:7" s="82" customFormat="1" ht="25.5" hidden="1" customHeight="1" x14ac:dyDescent="0.25">
      <c r="E470" s="82" t="s">
        <v>117</v>
      </c>
      <c r="F470" s="82" t="s">
        <v>232</v>
      </c>
      <c r="G470" s="82" t="s">
        <v>233</v>
      </c>
    </row>
    <row r="471" spans="5:7" s="82" customFormat="1" ht="25.5" hidden="1" customHeight="1" x14ac:dyDescent="0.25">
      <c r="E471" s="82" t="s">
        <v>117</v>
      </c>
      <c r="F471" s="82" t="s">
        <v>117</v>
      </c>
      <c r="G471" s="82" t="s">
        <v>343</v>
      </c>
    </row>
    <row r="472" spans="5:7" s="82" customFormat="1" ht="25.5" hidden="1" customHeight="1" x14ac:dyDescent="0.25">
      <c r="E472" s="82" t="s">
        <v>117</v>
      </c>
      <c r="F472" s="82" t="s">
        <v>232</v>
      </c>
      <c r="G472" s="82" t="s">
        <v>234</v>
      </c>
    </row>
    <row r="473" spans="5:7" s="82" customFormat="1" ht="25.5" hidden="1" customHeight="1" x14ac:dyDescent="0.25">
      <c r="E473" s="82" t="s">
        <v>117</v>
      </c>
      <c r="F473" s="82" t="s">
        <v>232</v>
      </c>
      <c r="G473" s="82" t="s">
        <v>731</v>
      </c>
    </row>
    <row r="474" spans="5:7" s="82" customFormat="1" ht="25.5" hidden="1" customHeight="1" x14ac:dyDescent="0.25">
      <c r="E474" s="82" t="s">
        <v>117</v>
      </c>
      <c r="F474" s="82" t="s">
        <v>117</v>
      </c>
      <c r="G474" s="82" t="s">
        <v>349</v>
      </c>
    </row>
    <row r="475" spans="5:7" s="82" customFormat="1" ht="25.5" hidden="1" customHeight="1" x14ac:dyDescent="0.25">
      <c r="E475" s="82" t="s">
        <v>117</v>
      </c>
      <c r="F475" s="82" t="s">
        <v>117</v>
      </c>
      <c r="G475" s="82" t="s">
        <v>424</v>
      </c>
    </row>
    <row r="476" spans="5:7" s="82" customFormat="1" ht="25.5" hidden="1" customHeight="1" x14ac:dyDescent="0.25">
      <c r="E476" s="82" t="s">
        <v>117</v>
      </c>
      <c r="F476" s="82" t="s">
        <v>117</v>
      </c>
      <c r="G476" s="82" t="s">
        <v>496</v>
      </c>
    </row>
    <row r="477" spans="5:7" s="82" customFormat="1" ht="25.5" hidden="1" customHeight="1" x14ac:dyDescent="0.25">
      <c r="E477" s="82" t="s">
        <v>117</v>
      </c>
      <c r="F477" s="82" t="s">
        <v>117</v>
      </c>
      <c r="G477" s="82" t="s">
        <v>804</v>
      </c>
    </row>
    <row r="478" spans="5:7" s="82" customFormat="1" ht="25.5" hidden="1" customHeight="1" x14ac:dyDescent="0.25">
      <c r="E478" s="82" t="s">
        <v>117</v>
      </c>
      <c r="F478" s="82" t="s">
        <v>117</v>
      </c>
      <c r="G478" s="82" t="s">
        <v>497</v>
      </c>
    </row>
    <row r="479" spans="5:7" s="82" customFormat="1" ht="25.5" hidden="1" customHeight="1" x14ac:dyDescent="0.25">
      <c r="E479" s="82" t="s">
        <v>117</v>
      </c>
      <c r="F479" s="82" t="s">
        <v>117</v>
      </c>
      <c r="G479" s="82" t="s">
        <v>498</v>
      </c>
    </row>
    <row r="480" spans="5:7" s="82" customFormat="1" ht="25.5" hidden="1" customHeight="1" x14ac:dyDescent="0.25">
      <c r="E480" s="82" t="s">
        <v>117</v>
      </c>
      <c r="F480" s="82" t="s">
        <v>117</v>
      </c>
      <c r="G480" s="82" t="s">
        <v>499</v>
      </c>
    </row>
    <row r="481" spans="5:7" s="82" customFormat="1" ht="25.5" hidden="1" customHeight="1" x14ac:dyDescent="0.25">
      <c r="E481" s="82" t="s">
        <v>117</v>
      </c>
      <c r="F481" s="82" t="s">
        <v>117</v>
      </c>
      <c r="G481" s="82" t="s">
        <v>500</v>
      </c>
    </row>
    <row r="482" spans="5:7" s="82" customFormat="1" ht="25.5" hidden="1" customHeight="1" x14ac:dyDescent="0.25"/>
    <row r="483" spans="5:7" s="82" customFormat="1" ht="25.5" hidden="1" customHeight="1" x14ac:dyDescent="0.25"/>
    <row r="484" spans="5:7" s="82" customFormat="1" ht="25.5" hidden="1" customHeight="1" x14ac:dyDescent="0.25"/>
    <row r="485" spans="5:7" s="82" customFormat="1" ht="25.5" hidden="1" customHeight="1" x14ac:dyDescent="0.25">
      <c r="E485" s="82" t="s">
        <v>117</v>
      </c>
      <c r="F485" s="82" t="s">
        <v>235</v>
      </c>
      <c r="G485" s="82" t="s">
        <v>236</v>
      </c>
    </row>
    <row r="486" spans="5:7" s="82" customFormat="1" ht="25.5" hidden="1" customHeight="1" x14ac:dyDescent="0.25">
      <c r="E486" s="82" t="s">
        <v>117</v>
      </c>
      <c r="F486" s="82" t="s">
        <v>237</v>
      </c>
      <c r="G486" s="82" t="s">
        <v>566</v>
      </c>
    </row>
    <row r="487" spans="5:7" s="82" customFormat="1" ht="25.5" hidden="1" customHeight="1" x14ac:dyDescent="0.25">
      <c r="E487" s="82" t="s">
        <v>117</v>
      </c>
      <c r="F487" s="82" t="s">
        <v>237</v>
      </c>
      <c r="G487" s="82" t="s">
        <v>351</v>
      </c>
    </row>
    <row r="488" spans="5:7" s="82" customFormat="1" ht="25.5" hidden="1" customHeight="1" x14ac:dyDescent="0.25">
      <c r="E488" s="82" t="s">
        <v>117</v>
      </c>
      <c r="F488" s="82" t="s">
        <v>237</v>
      </c>
      <c r="G488" s="82" t="s">
        <v>606</v>
      </c>
    </row>
    <row r="489" spans="5:7" s="82" customFormat="1" ht="25.5" hidden="1" customHeight="1" x14ac:dyDescent="0.25">
      <c r="E489" s="82" t="s">
        <v>117</v>
      </c>
      <c r="F489" s="82" t="s">
        <v>237</v>
      </c>
      <c r="G489" s="82" t="s">
        <v>508</v>
      </c>
    </row>
    <row r="490" spans="5:7" s="82" customFormat="1" ht="25.5" hidden="1" customHeight="1" x14ac:dyDescent="0.25">
      <c r="E490" s="82" t="s">
        <v>117</v>
      </c>
      <c r="F490" s="82" t="s">
        <v>237</v>
      </c>
      <c r="G490" s="82" t="s">
        <v>509</v>
      </c>
    </row>
    <row r="491" spans="5:7" s="82" customFormat="1" ht="25.5" hidden="1" customHeight="1" x14ac:dyDescent="0.25">
      <c r="E491" s="82" t="s">
        <v>117</v>
      </c>
      <c r="F491" s="82" t="s">
        <v>237</v>
      </c>
      <c r="G491" s="82" t="s">
        <v>798</v>
      </c>
    </row>
    <row r="492" spans="5:7" s="82" customFormat="1" ht="25.5" hidden="1" customHeight="1" x14ac:dyDescent="0.25">
      <c r="E492" s="82" t="s">
        <v>117</v>
      </c>
      <c r="F492" s="82" t="s">
        <v>237</v>
      </c>
      <c r="G492" s="82" t="s">
        <v>510</v>
      </c>
    </row>
    <row r="493" spans="5:7" s="82" customFormat="1" ht="25.5" hidden="1" customHeight="1" x14ac:dyDescent="0.25">
      <c r="E493" s="82" t="s">
        <v>117</v>
      </c>
      <c r="F493" s="82" t="s">
        <v>237</v>
      </c>
      <c r="G493" s="82" t="s">
        <v>768</v>
      </c>
    </row>
    <row r="494" spans="5:7" s="82" customFormat="1" ht="25.5" hidden="1" customHeight="1" x14ac:dyDescent="0.25">
      <c r="E494" s="82" t="s">
        <v>117</v>
      </c>
      <c r="F494" s="82" t="s">
        <v>237</v>
      </c>
      <c r="G494" s="82" t="s">
        <v>714</v>
      </c>
    </row>
    <row r="495" spans="5:7" s="82" customFormat="1" ht="25.5" hidden="1" customHeight="1" x14ac:dyDescent="0.25">
      <c r="E495" s="82" t="s">
        <v>117</v>
      </c>
      <c r="F495" s="82" t="s">
        <v>237</v>
      </c>
      <c r="G495" s="82" t="s">
        <v>425</v>
      </c>
    </row>
    <row r="496" spans="5:7" s="82" customFormat="1" ht="25.5" hidden="1" customHeight="1" x14ac:dyDescent="0.25">
      <c r="E496" s="82" t="s">
        <v>117</v>
      </c>
      <c r="F496" s="82" t="s">
        <v>147</v>
      </c>
      <c r="G496" s="82" t="s">
        <v>238</v>
      </c>
    </row>
    <row r="497" spans="5:7" s="82" customFormat="1" ht="25.5" hidden="1" customHeight="1" x14ac:dyDescent="0.25">
      <c r="E497" s="82" t="s">
        <v>117</v>
      </c>
      <c r="F497" s="82" t="s">
        <v>147</v>
      </c>
      <c r="G497" s="82" t="s">
        <v>567</v>
      </c>
    </row>
    <row r="498" spans="5:7" s="82" customFormat="1" ht="25.5" hidden="1" customHeight="1" x14ac:dyDescent="0.25">
      <c r="E498" s="82" t="s">
        <v>117</v>
      </c>
      <c r="F498" s="82" t="s">
        <v>147</v>
      </c>
      <c r="G498" s="82" t="s">
        <v>350</v>
      </c>
    </row>
    <row r="499" spans="5:7" s="82" customFormat="1" ht="25.5" hidden="1" customHeight="1" x14ac:dyDescent="0.25">
      <c r="E499" s="82" t="s">
        <v>117</v>
      </c>
      <c r="F499" s="82" t="s">
        <v>147</v>
      </c>
      <c r="G499" s="82" t="s">
        <v>607</v>
      </c>
    </row>
    <row r="500" spans="5:7" s="82" customFormat="1" ht="25.5" hidden="1" customHeight="1" x14ac:dyDescent="0.25">
      <c r="E500" s="82" t="s">
        <v>117</v>
      </c>
      <c r="F500" s="82" t="s">
        <v>147</v>
      </c>
      <c r="G500" s="82" t="s">
        <v>522</v>
      </c>
    </row>
    <row r="501" spans="5:7" s="82" customFormat="1" ht="25.5" hidden="1" customHeight="1" x14ac:dyDescent="0.25">
      <c r="E501" s="82" t="s">
        <v>117</v>
      </c>
      <c r="F501" s="82" t="s">
        <v>147</v>
      </c>
      <c r="G501" s="82" t="s">
        <v>523</v>
      </c>
    </row>
    <row r="502" spans="5:7" s="82" customFormat="1" ht="25.5" hidden="1" customHeight="1" x14ac:dyDescent="0.25">
      <c r="E502" s="82" t="s">
        <v>123</v>
      </c>
      <c r="F502" s="82" t="s">
        <v>124</v>
      </c>
      <c r="G502" s="82" t="s">
        <v>568</v>
      </c>
    </row>
    <row r="503" spans="5:7" s="82" customFormat="1" ht="25.5" hidden="1" customHeight="1" x14ac:dyDescent="0.25">
      <c r="E503" s="82" t="s">
        <v>123</v>
      </c>
      <c r="F503" s="82" t="s">
        <v>239</v>
      </c>
      <c r="G503" s="82" t="s">
        <v>667</v>
      </c>
    </row>
    <row r="504" spans="5:7" s="82" customFormat="1" ht="25.5" hidden="1" customHeight="1" x14ac:dyDescent="0.25">
      <c r="E504" s="82" t="s">
        <v>123</v>
      </c>
      <c r="F504" s="82" t="s">
        <v>240</v>
      </c>
      <c r="G504" s="82" t="s">
        <v>639</v>
      </c>
    </row>
    <row r="505" spans="5:7" s="82" customFormat="1" ht="25.5" hidden="1" customHeight="1" x14ac:dyDescent="0.25">
      <c r="E505" s="82" t="s">
        <v>123</v>
      </c>
      <c r="F505" s="82" t="s">
        <v>240</v>
      </c>
      <c r="G505" s="82" t="s">
        <v>715</v>
      </c>
    </row>
    <row r="506" spans="5:7" s="82" customFormat="1" ht="25.5" hidden="1" customHeight="1" x14ac:dyDescent="0.25">
      <c r="E506" s="82" t="s">
        <v>123</v>
      </c>
      <c r="F506" s="82" t="s">
        <v>124</v>
      </c>
      <c r="G506" s="82" t="s">
        <v>327</v>
      </c>
    </row>
    <row r="507" spans="5:7" s="82" customFormat="1" ht="25.5" hidden="1" customHeight="1" x14ac:dyDescent="0.25">
      <c r="E507" s="82" t="s">
        <v>123</v>
      </c>
      <c r="F507" s="82" t="s">
        <v>124</v>
      </c>
      <c r="G507" s="82" t="s">
        <v>842</v>
      </c>
    </row>
    <row r="508" spans="5:7" s="82" customFormat="1" ht="25.5" hidden="1" customHeight="1" x14ac:dyDescent="0.25">
      <c r="E508" s="82" t="s">
        <v>123</v>
      </c>
      <c r="F508" s="82" t="s">
        <v>124</v>
      </c>
      <c r="G508" s="82" t="s">
        <v>771</v>
      </c>
    </row>
    <row r="509" spans="5:7" s="82" customFormat="1" ht="25.5" hidden="1" customHeight="1" x14ac:dyDescent="0.25">
      <c r="E509" s="82" t="s">
        <v>123</v>
      </c>
      <c r="F509" s="82" t="s">
        <v>124</v>
      </c>
      <c r="G509" s="82" t="s">
        <v>772</v>
      </c>
    </row>
    <row r="510" spans="5:7" s="82" customFormat="1" ht="25.5" hidden="1" customHeight="1" x14ac:dyDescent="0.25">
      <c r="E510" s="82" t="s">
        <v>123</v>
      </c>
      <c r="F510" s="82" t="s">
        <v>124</v>
      </c>
      <c r="G510" s="82" t="s">
        <v>773</v>
      </c>
    </row>
    <row r="511" spans="5:7" s="82" customFormat="1" ht="25.5" hidden="1" customHeight="1" x14ac:dyDescent="0.25">
      <c r="E511" s="82" t="s">
        <v>123</v>
      </c>
      <c r="F511" s="82" t="s">
        <v>124</v>
      </c>
      <c r="G511" s="82" t="s">
        <v>774</v>
      </c>
    </row>
    <row r="512" spans="5:7" s="82" customFormat="1" ht="25.5" hidden="1" customHeight="1" x14ac:dyDescent="0.25">
      <c r="E512" s="82" t="s">
        <v>123</v>
      </c>
      <c r="F512" s="82" t="s">
        <v>124</v>
      </c>
      <c r="G512" s="82" t="s">
        <v>775</v>
      </c>
    </row>
    <row r="513" spans="5:7" s="82" customFormat="1" ht="25.5" hidden="1" customHeight="1" x14ac:dyDescent="0.25">
      <c r="E513" s="82" t="s">
        <v>123</v>
      </c>
      <c r="F513" s="82" t="s">
        <v>124</v>
      </c>
      <c r="G513" s="82" t="s">
        <v>466</v>
      </c>
    </row>
    <row r="514" spans="5:7" s="82" customFormat="1" ht="25.5" hidden="1" customHeight="1" x14ac:dyDescent="0.25">
      <c r="E514" s="82" t="s">
        <v>123</v>
      </c>
      <c r="F514" s="82" t="s">
        <v>124</v>
      </c>
      <c r="G514" s="82" t="s">
        <v>467</v>
      </c>
    </row>
    <row r="515" spans="5:7" s="82" customFormat="1" ht="25.5" hidden="1" customHeight="1" x14ac:dyDescent="0.25">
      <c r="E515" s="82" t="s">
        <v>123</v>
      </c>
      <c r="F515" s="82" t="s">
        <v>124</v>
      </c>
      <c r="G515" s="82" t="s">
        <v>468</v>
      </c>
    </row>
    <row r="516" spans="5:7" s="82" customFormat="1" ht="25.5" hidden="1" customHeight="1" x14ac:dyDescent="0.25">
      <c r="E516" s="82" t="s">
        <v>123</v>
      </c>
      <c r="F516" s="82" t="s">
        <v>124</v>
      </c>
      <c r="G516" s="82" t="s">
        <v>469</v>
      </c>
    </row>
    <row r="517" spans="5:7" s="82" customFormat="1" ht="25.5" hidden="1" customHeight="1" x14ac:dyDescent="0.25">
      <c r="E517" s="82" t="s">
        <v>123</v>
      </c>
      <c r="F517" s="82" t="s">
        <v>154</v>
      </c>
      <c r="G517" s="82" t="s">
        <v>640</v>
      </c>
    </row>
    <row r="518" spans="5:7" s="82" customFormat="1" ht="25.5" hidden="1" customHeight="1" x14ac:dyDescent="0.25">
      <c r="E518" s="82" t="s">
        <v>123</v>
      </c>
      <c r="F518" s="82" t="s">
        <v>154</v>
      </c>
      <c r="G518" s="82" t="s">
        <v>569</v>
      </c>
    </row>
    <row r="519" spans="5:7" s="82" customFormat="1" ht="25.5" hidden="1" customHeight="1" x14ac:dyDescent="0.25">
      <c r="E519" s="82" t="s">
        <v>123</v>
      </c>
      <c r="F519" s="82" t="s">
        <v>154</v>
      </c>
      <c r="G519" s="82" t="s">
        <v>780</v>
      </c>
    </row>
    <row r="520" spans="5:7" s="82" customFormat="1" ht="25.5" hidden="1" customHeight="1" x14ac:dyDescent="0.25">
      <c r="E520" s="82" t="s">
        <v>123</v>
      </c>
      <c r="F520" s="82" t="s">
        <v>154</v>
      </c>
      <c r="G520" s="82" t="s">
        <v>730</v>
      </c>
    </row>
    <row r="521" spans="5:7" s="82" customFormat="1" ht="25.5" hidden="1" customHeight="1" x14ac:dyDescent="0.25">
      <c r="E521" s="82" t="s">
        <v>123</v>
      </c>
      <c r="F521" s="82" t="s">
        <v>154</v>
      </c>
      <c r="G521" s="87" t="s">
        <v>326</v>
      </c>
    </row>
    <row r="522" spans="5:7" s="82" customFormat="1" ht="25.5" hidden="1" customHeight="1" x14ac:dyDescent="0.25">
      <c r="E522" s="82" t="s">
        <v>123</v>
      </c>
      <c r="F522" s="82" t="s">
        <v>154</v>
      </c>
      <c r="G522" s="82" t="s">
        <v>608</v>
      </c>
    </row>
    <row r="523" spans="5:7" s="82" customFormat="1" ht="25.5" hidden="1" customHeight="1" x14ac:dyDescent="0.25"/>
    <row r="524" spans="5:7" s="82" customFormat="1" ht="25.5" hidden="1" customHeight="1" x14ac:dyDescent="0.25">
      <c r="E524" s="82" t="s">
        <v>123</v>
      </c>
      <c r="F524" s="82" t="s">
        <v>241</v>
      </c>
      <c r="G524" s="82" t="s">
        <v>242</v>
      </c>
    </row>
    <row r="525" spans="5:7" s="82" customFormat="1" ht="25.5" hidden="1" customHeight="1" x14ac:dyDescent="0.25">
      <c r="E525" s="82" t="s">
        <v>123</v>
      </c>
      <c r="F525" s="82" t="s">
        <v>241</v>
      </c>
      <c r="G525" s="82" t="s">
        <v>716</v>
      </c>
    </row>
    <row r="526" spans="5:7" s="82" customFormat="1" ht="25.5" hidden="1" customHeight="1" x14ac:dyDescent="0.25">
      <c r="E526" s="82" t="s">
        <v>123</v>
      </c>
      <c r="F526" s="82" t="s">
        <v>241</v>
      </c>
      <c r="G526" s="82" t="s">
        <v>570</v>
      </c>
    </row>
    <row r="527" spans="5:7" s="82" customFormat="1" ht="25.5" hidden="1" customHeight="1" x14ac:dyDescent="0.25">
      <c r="E527" s="82" t="s">
        <v>123</v>
      </c>
      <c r="F527" s="82" t="s">
        <v>241</v>
      </c>
      <c r="G527" s="82" t="s">
        <v>427</v>
      </c>
    </row>
    <row r="528" spans="5:7" s="82" customFormat="1" ht="25.5" hidden="1" customHeight="1" x14ac:dyDescent="0.25"/>
    <row r="529" spans="5:7" s="82" customFormat="1" ht="25.5" hidden="1" customHeight="1" x14ac:dyDescent="0.25"/>
    <row r="530" spans="5:7" s="82" customFormat="1" ht="25.5" hidden="1" customHeight="1" x14ac:dyDescent="0.25">
      <c r="E530" s="82" t="s">
        <v>123</v>
      </c>
      <c r="F530" s="82" t="s">
        <v>153</v>
      </c>
      <c r="G530" s="82" t="s">
        <v>243</v>
      </c>
    </row>
    <row r="531" spans="5:7" s="82" customFormat="1" ht="25.5" hidden="1" customHeight="1" x14ac:dyDescent="0.25">
      <c r="E531" s="82" t="s">
        <v>123</v>
      </c>
      <c r="F531" s="82" t="s">
        <v>153</v>
      </c>
      <c r="G531" s="82" t="s">
        <v>571</v>
      </c>
    </row>
    <row r="532" spans="5:7" s="82" customFormat="1" ht="25.5" hidden="1" customHeight="1" x14ac:dyDescent="0.25">
      <c r="E532" s="82" t="s">
        <v>123</v>
      </c>
      <c r="F532" s="82" t="s">
        <v>153</v>
      </c>
      <c r="G532" s="82" t="s">
        <v>783</v>
      </c>
    </row>
    <row r="533" spans="5:7" s="82" customFormat="1" ht="25.5" hidden="1" customHeight="1" x14ac:dyDescent="0.25">
      <c r="E533" s="82" t="s">
        <v>123</v>
      </c>
      <c r="F533" s="82" t="s">
        <v>153</v>
      </c>
      <c r="G533" s="82" t="s">
        <v>713</v>
      </c>
    </row>
    <row r="534" spans="5:7" s="82" customFormat="1" ht="25.5" hidden="1" customHeight="1" x14ac:dyDescent="0.25">
      <c r="E534" s="82" t="s">
        <v>123</v>
      </c>
      <c r="F534" s="82" t="s">
        <v>153</v>
      </c>
      <c r="G534" s="82" t="s">
        <v>393</v>
      </c>
    </row>
    <row r="535" spans="5:7" s="82" customFormat="1" ht="25.5" hidden="1" customHeight="1" x14ac:dyDescent="0.25">
      <c r="E535" s="82" t="s">
        <v>123</v>
      </c>
      <c r="F535" s="82" t="s">
        <v>153</v>
      </c>
      <c r="G535" s="82" t="s">
        <v>428</v>
      </c>
    </row>
    <row r="536" spans="5:7" s="82" customFormat="1" ht="25.5" hidden="1" customHeight="1" x14ac:dyDescent="0.25">
      <c r="E536" s="82" t="s">
        <v>123</v>
      </c>
      <c r="F536" s="82" t="s">
        <v>153</v>
      </c>
      <c r="G536" s="82" t="s">
        <v>501</v>
      </c>
    </row>
    <row r="537" spans="5:7" s="82" customFormat="1" ht="25.5" hidden="1" customHeight="1" x14ac:dyDescent="0.25">
      <c r="E537" s="82" t="s">
        <v>123</v>
      </c>
      <c r="F537" s="82" t="s">
        <v>125</v>
      </c>
      <c r="G537" s="82" t="s">
        <v>572</v>
      </c>
    </row>
    <row r="538" spans="5:7" s="82" customFormat="1" ht="25.5" hidden="1" customHeight="1" x14ac:dyDescent="0.25">
      <c r="E538" s="82" t="s">
        <v>123</v>
      </c>
      <c r="F538" s="82" t="s">
        <v>125</v>
      </c>
      <c r="G538" s="82" t="s">
        <v>795</v>
      </c>
    </row>
    <row r="539" spans="5:7" s="82" customFormat="1" ht="25.5" hidden="1" customHeight="1" x14ac:dyDescent="0.25">
      <c r="E539" s="82" t="s">
        <v>123</v>
      </c>
      <c r="F539" s="82" t="s">
        <v>244</v>
      </c>
      <c r="G539" s="82" t="s">
        <v>641</v>
      </c>
    </row>
    <row r="540" spans="5:7" s="82" customFormat="1" ht="25.5" hidden="1" customHeight="1" x14ac:dyDescent="0.25">
      <c r="E540" s="82" t="s">
        <v>123</v>
      </c>
      <c r="F540" s="82" t="s">
        <v>244</v>
      </c>
      <c r="G540" s="82" t="s">
        <v>770</v>
      </c>
    </row>
    <row r="541" spans="5:7" s="82" customFormat="1" ht="25.5" hidden="1" customHeight="1" x14ac:dyDescent="0.25">
      <c r="E541" s="82" t="s">
        <v>123</v>
      </c>
      <c r="F541" s="82" t="s">
        <v>244</v>
      </c>
      <c r="G541" s="82" t="s">
        <v>729</v>
      </c>
    </row>
    <row r="542" spans="5:7" s="82" customFormat="1" ht="25.5" hidden="1" customHeight="1" x14ac:dyDescent="0.25">
      <c r="E542" s="82" t="s">
        <v>123</v>
      </c>
      <c r="F542" s="82" t="s">
        <v>125</v>
      </c>
      <c r="G542" s="82" t="s">
        <v>320</v>
      </c>
    </row>
    <row r="543" spans="5:7" s="82" customFormat="1" ht="25.5" hidden="1" customHeight="1" x14ac:dyDescent="0.25">
      <c r="E543" s="82" t="s">
        <v>123</v>
      </c>
      <c r="F543" s="82" t="s">
        <v>125</v>
      </c>
      <c r="G543" s="82" t="s">
        <v>506</v>
      </c>
    </row>
    <row r="544" spans="5:7" s="82" customFormat="1" ht="25.5" hidden="1" customHeight="1" x14ac:dyDescent="0.25">
      <c r="E544" s="82" t="s">
        <v>123</v>
      </c>
      <c r="F544" s="82" t="s">
        <v>125</v>
      </c>
      <c r="G544" s="82" t="s">
        <v>705</v>
      </c>
    </row>
    <row r="545" spans="5:7" s="82" customFormat="1" ht="25.5" hidden="1" customHeight="1" x14ac:dyDescent="0.25">
      <c r="E545" s="82" t="s">
        <v>123</v>
      </c>
      <c r="F545" s="82" t="s">
        <v>125</v>
      </c>
      <c r="G545" s="82" t="s">
        <v>507</v>
      </c>
    </row>
    <row r="546" spans="5:7" s="82" customFormat="1" ht="25.5" hidden="1" customHeight="1" x14ac:dyDescent="0.25">
      <c r="E546" s="82" t="s">
        <v>123</v>
      </c>
      <c r="F546" s="82" t="s">
        <v>127</v>
      </c>
      <c r="G546" s="82" t="s">
        <v>573</v>
      </c>
    </row>
    <row r="547" spans="5:7" s="82" customFormat="1" ht="25.5" hidden="1" customHeight="1" x14ac:dyDescent="0.25">
      <c r="E547" s="82" t="s">
        <v>123</v>
      </c>
      <c r="F547" s="82" t="s">
        <v>127</v>
      </c>
      <c r="G547" s="82" t="s">
        <v>791</v>
      </c>
    </row>
    <row r="548" spans="5:7" s="82" customFormat="1" ht="25.5" hidden="1" customHeight="1" x14ac:dyDescent="0.25">
      <c r="E548" s="82" t="s">
        <v>123</v>
      </c>
      <c r="F548" s="82" t="s">
        <v>127</v>
      </c>
      <c r="G548" s="82" t="s">
        <v>792</v>
      </c>
    </row>
    <row r="549" spans="5:7" s="82" customFormat="1" ht="25.5" hidden="1" customHeight="1" x14ac:dyDescent="0.25">
      <c r="E549" s="82" t="s">
        <v>123</v>
      </c>
      <c r="F549" s="82" t="s">
        <v>127</v>
      </c>
      <c r="G549" s="82" t="s">
        <v>793</v>
      </c>
    </row>
    <row r="550" spans="5:7" s="82" customFormat="1" ht="25.5" hidden="1" customHeight="1" x14ac:dyDescent="0.25">
      <c r="E550" s="82" t="s">
        <v>123</v>
      </c>
      <c r="F550" s="82" t="s">
        <v>127</v>
      </c>
      <c r="G550" s="82" t="s">
        <v>345</v>
      </c>
    </row>
    <row r="551" spans="5:7" s="82" customFormat="1" ht="25.5" hidden="1" customHeight="1" x14ac:dyDescent="0.25">
      <c r="E551" s="82" t="s">
        <v>123</v>
      </c>
      <c r="F551" s="82" t="s">
        <v>127</v>
      </c>
      <c r="G551" s="82" t="s">
        <v>728</v>
      </c>
    </row>
    <row r="552" spans="5:7" s="82" customFormat="1" ht="25.5" hidden="1" customHeight="1" x14ac:dyDescent="0.25">
      <c r="E552" s="82" t="s">
        <v>123</v>
      </c>
      <c r="F552" s="82" t="s">
        <v>245</v>
      </c>
      <c r="G552" s="82" t="s">
        <v>126</v>
      </c>
    </row>
    <row r="553" spans="5:7" s="82" customFormat="1" ht="25.5" hidden="1" customHeight="1" x14ac:dyDescent="0.25">
      <c r="E553" s="82" t="s">
        <v>123</v>
      </c>
      <c r="F553" s="82" t="s">
        <v>245</v>
      </c>
      <c r="G553" s="82" t="s">
        <v>429</v>
      </c>
    </row>
    <row r="554" spans="5:7" s="82" customFormat="1" ht="25.5" hidden="1" customHeight="1" x14ac:dyDescent="0.25">
      <c r="E554" s="82" t="s">
        <v>123</v>
      </c>
      <c r="F554" s="82" t="s">
        <v>245</v>
      </c>
      <c r="G554" s="82" t="s">
        <v>512</v>
      </c>
    </row>
    <row r="555" spans="5:7" s="82" customFormat="1" ht="25.5" hidden="1" customHeight="1" x14ac:dyDescent="0.25">
      <c r="E555" s="82" t="s">
        <v>123</v>
      </c>
      <c r="F555" s="82" t="s">
        <v>245</v>
      </c>
      <c r="G555" s="82" t="s">
        <v>513</v>
      </c>
    </row>
    <row r="556" spans="5:7" s="82" customFormat="1" ht="25.5" hidden="1" customHeight="1" x14ac:dyDescent="0.25">
      <c r="E556" s="82" t="s">
        <v>123</v>
      </c>
      <c r="F556" s="82" t="s">
        <v>123</v>
      </c>
      <c r="G556" s="82" t="s">
        <v>246</v>
      </c>
    </row>
    <row r="557" spans="5:7" s="82" customFormat="1" ht="25.5" hidden="1" customHeight="1" x14ac:dyDescent="0.25">
      <c r="E557" s="82" t="s">
        <v>123</v>
      </c>
      <c r="F557" s="82" t="s">
        <v>123</v>
      </c>
      <c r="G557" s="82" t="s">
        <v>668</v>
      </c>
    </row>
    <row r="558" spans="5:7" s="82" customFormat="1" ht="25.5" hidden="1" customHeight="1" x14ac:dyDescent="0.25">
      <c r="E558" s="82" t="s">
        <v>123</v>
      </c>
      <c r="F558" s="82" t="s">
        <v>247</v>
      </c>
      <c r="G558" s="82" t="s">
        <v>248</v>
      </c>
    </row>
    <row r="559" spans="5:7" s="82" customFormat="1" ht="25.5" hidden="1" customHeight="1" x14ac:dyDescent="0.25">
      <c r="E559" s="82" t="s">
        <v>123</v>
      </c>
      <c r="F559" s="82" t="s">
        <v>247</v>
      </c>
      <c r="G559" s="82" t="s">
        <v>721</v>
      </c>
    </row>
    <row r="560" spans="5:7" s="82" customFormat="1" ht="25.5" hidden="1" customHeight="1" x14ac:dyDescent="0.25">
      <c r="E560" s="82" t="s">
        <v>123</v>
      </c>
      <c r="F560" s="82" t="s">
        <v>247</v>
      </c>
      <c r="G560" s="82" t="s">
        <v>786</v>
      </c>
    </row>
    <row r="561" spans="5:7" s="82" customFormat="1" ht="25.5" hidden="1" customHeight="1" x14ac:dyDescent="0.25">
      <c r="E561" s="82" t="s">
        <v>123</v>
      </c>
      <c r="F561" s="82" t="s">
        <v>247</v>
      </c>
      <c r="G561" s="82" t="s">
        <v>805</v>
      </c>
    </row>
    <row r="562" spans="5:7" s="82" customFormat="1" ht="25.5" hidden="1" customHeight="1" x14ac:dyDescent="0.25">
      <c r="E562" s="82" t="s">
        <v>123</v>
      </c>
      <c r="F562" s="82" t="s">
        <v>247</v>
      </c>
      <c r="G562" s="82" t="s">
        <v>708</v>
      </c>
    </row>
    <row r="563" spans="5:7" s="82" customFormat="1" ht="25.5" hidden="1" customHeight="1" x14ac:dyDescent="0.25">
      <c r="E563" s="82" t="s">
        <v>123</v>
      </c>
      <c r="F563" s="82" t="s">
        <v>247</v>
      </c>
      <c r="G563" s="82" t="s">
        <v>426</v>
      </c>
    </row>
    <row r="564" spans="5:7" s="82" customFormat="1" ht="25.5" hidden="1" customHeight="1" x14ac:dyDescent="0.25">
      <c r="E564" s="82" t="s">
        <v>123</v>
      </c>
      <c r="F564" s="82" t="s">
        <v>247</v>
      </c>
      <c r="G564" s="82" t="s">
        <v>515</v>
      </c>
    </row>
    <row r="565" spans="5:7" s="82" customFormat="1" ht="25.5" hidden="1" customHeight="1" x14ac:dyDescent="0.25">
      <c r="E565" s="82" t="s">
        <v>123</v>
      </c>
      <c r="F565" s="82" t="s">
        <v>247</v>
      </c>
      <c r="G565" s="82" t="s">
        <v>516</v>
      </c>
    </row>
    <row r="566" spans="5:7" s="82" customFormat="1" ht="25.5" hidden="1" customHeight="1" x14ac:dyDescent="0.25">
      <c r="E566" s="82" t="s">
        <v>123</v>
      </c>
      <c r="F566" s="82" t="s">
        <v>247</v>
      </c>
      <c r="G566" s="82" t="s">
        <v>517</v>
      </c>
    </row>
    <row r="567" spans="5:7" s="82" customFormat="1" ht="25.5" hidden="1" customHeight="1" x14ac:dyDescent="0.25">
      <c r="E567" s="82" t="s">
        <v>123</v>
      </c>
      <c r="F567" s="82" t="s">
        <v>128</v>
      </c>
      <c r="G567" s="82" t="s">
        <v>642</v>
      </c>
    </row>
    <row r="568" spans="5:7" s="82" customFormat="1" ht="25.5" hidden="1" customHeight="1" x14ac:dyDescent="0.25">
      <c r="E568" s="82" t="s">
        <v>123</v>
      </c>
      <c r="F568" s="82" t="s">
        <v>128</v>
      </c>
      <c r="G568" s="82" t="s">
        <v>727</v>
      </c>
    </row>
    <row r="569" spans="5:7" s="82" customFormat="1" ht="25.5" hidden="1" customHeight="1" x14ac:dyDescent="0.25">
      <c r="E569" s="82" t="s">
        <v>123</v>
      </c>
      <c r="F569" s="82" t="s">
        <v>128</v>
      </c>
      <c r="G569" s="82" t="s">
        <v>574</v>
      </c>
    </row>
    <row r="570" spans="5:7" s="82" customFormat="1" ht="25.5" hidden="1" customHeight="1" x14ac:dyDescent="0.25">
      <c r="E570" s="82" t="s">
        <v>123</v>
      </c>
      <c r="F570" s="82" t="s">
        <v>128</v>
      </c>
      <c r="G570" s="82" t="s">
        <v>776</v>
      </c>
    </row>
    <row r="571" spans="5:7" s="82" customFormat="1" ht="25.5" hidden="1" customHeight="1" x14ac:dyDescent="0.25">
      <c r="E571" s="82" t="s">
        <v>123</v>
      </c>
      <c r="F571" s="82" t="s">
        <v>249</v>
      </c>
      <c r="G571" s="82" t="s">
        <v>328</v>
      </c>
    </row>
    <row r="572" spans="5:7" s="82" customFormat="1" ht="25.5" hidden="1" customHeight="1" x14ac:dyDescent="0.25">
      <c r="E572" s="82" t="s">
        <v>123</v>
      </c>
      <c r="F572" s="82" t="s">
        <v>249</v>
      </c>
      <c r="G572" s="82" t="s">
        <v>781</v>
      </c>
    </row>
    <row r="573" spans="5:7" s="82" customFormat="1" ht="25.5" hidden="1" customHeight="1" x14ac:dyDescent="0.25">
      <c r="E573" s="82" t="s">
        <v>123</v>
      </c>
      <c r="F573" s="82" t="s">
        <v>249</v>
      </c>
      <c r="G573" s="82" t="s">
        <v>524</v>
      </c>
    </row>
    <row r="574" spans="5:7" s="82" customFormat="1" ht="25.5" hidden="1" customHeight="1" x14ac:dyDescent="0.25">
      <c r="E574" s="82" t="s">
        <v>123</v>
      </c>
      <c r="F574" s="82" t="s">
        <v>249</v>
      </c>
      <c r="G574" s="82" t="s">
        <v>748</v>
      </c>
    </row>
    <row r="575" spans="5:7" s="82" customFormat="1" ht="25.5" hidden="1" customHeight="1" x14ac:dyDescent="0.25">
      <c r="E575" s="82" t="s">
        <v>123</v>
      </c>
      <c r="F575" s="82" t="s">
        <v>249</v>
      </c>
      <c r="G575" s="82" t="s">
        <v>525</v>
      </c>
    </row>
    <row r="576" spans="5:7" s="82" customFormat="1" ht="25.5" hidden="1" customHeight="1" x14ac:dyDescent="0.25"/>
    <row r="577" spans="5:7" s="82" customFormat="1" ht="25.5" hidden="1" customHeight="1" x14ac:dyDescent="0.25">
      <c r="E577" s="82" t="s">
        <v>129</v>
      </c>
      <c r="F577" s="82" t="s">
        <v>155</v>
      </c>
      <c r="G577" s="82" t="s">
        <v>643</v>
      </c>
    </row>
    <row r="578" spans="5:7" s="82" customFormat="1" ht="25.5" hidden="1" customHeight="1" x14ac:dyDescent="0.25">
      <c r="E578" s="82" t="s">
        <v>129</v>
      </c>
      <c r="F578" s="82" t="s">
        <v>155</v>
      </c>
      <c r="G578" s="82" t="s">
        <v>669</v>
      </c>
    </row>
    <row r="579" spans="5:7" s="82" customFormat="1" ht="25.5" hidden="1" customHeight="1" x14ac:dyDescent="0.25">
      <c r="E579" s="82" t="s">
        <v>129</v>
      </c>
      <c r="F579" s="82" t="s">
        <v>155</v>
      </c>
      <c r="G579" s="82" t="s">
        <v>782</v>
      </c>
    </row>
    <row r="580" spans="5:7" s="82" customFormat="1" ht="25.5" hidden="1" customHeight="1" x14ac:dyDescent="0.25">
      <c r="E580" s="82" t="s">
        <v>129</v>
      </c>
      <c r="F580" s="82" t="s">
        <v>155</v>
      </c>
      <c r="G580" s="82" t="s">
        <v>575</v>
      </c>
    </row>
    <row r="581" spans="5:7" s="82" customFormat="1" ht="25.5" hidden="1" customHeight="1" x14ac:dyDescent="0.25">
      <c r="E581" s="82" t="s">
        <v>129</v>
      </c>
      <c r="F581" s="82" t="s">
        <v>155</v>
      </c>
      <c r="G581" s="82" t="s">
        <v>789</v>
      </c>
    </row>
    <row r="582" spans="5:7" s="82" customFormat="1" ht="25.5" hidden="1" customHeight="1" x14ac:dyDescent="0.25">
      <c r="E582" s="82" t="s">
        <v>129</v>
      </c>
      <c r="F582" s="82" t="s">
        <v>155</v>
      </c>
      <c r="G582" s="82" t="s">
        <v>312</v>
      </c>
    </row>
    <row r="583" spans="5:7" s="82" customFormat="1" ht="25.5" hidden="1" customHeight="1" x14ac:dyDescent="0.25">
      <c r="E583" s="82" t="s">
        <v>129</v>
      </c>
      <c r="F583" s="82" t="s">
        <v>155</v>
      </c>
      <c r="G583" s="82" t="s">
        <v>361</v>
      </c>
    </row>
    <row r="584" spans="5:7" s="82" customFormat="1" ht="25.5" hidden="1" customHeight="1" x14ac:dyDescent="0.25">
      <c r="E584" s="82" t="s">
        <v>129</v>
      </c>
      <c r="F584" s="82" t="s">
        <v>155</v>
      </c>
      <c r="G584" s="82" t="s">
        <v>723</v>
      </c>
    </row>
    <row r="585" spans="5:7" s="82" customFormat="1" ht="25.5" hidden="1" customHeight="1" x14ac:dyDescent="0.25">
      <c r="E585" s="82" t="s">
        <v>129</v>
      </c>
      <c r="F585" s="82" t="s">
        <v>155</v>
      </c>
      <c r="G585" s="82" t="s">
        <v>397</v>
      </c>
    </row>
    <row r="586" spans="5:7" s="82" customFormat="1" ht="25.5" hidden="1" customHeight="1" x14ac:dyDescent="0.25">
      <c r="E586" s="82" t="s">
        <v>129</v>
      </c>
      <c r="F586" s="82" t="s">
        <v>155</v>
      </c>
      <c r="G586" s="82" t="s">
        <v>398</v>
      </c>
    </row>
    <row r="587" spans="5:7" s="82" customFormat="1" ht="25.5" hidden="1" customHeight="1" x14ac:dyDescent="0.25">
      <c r="E587" s="82" t="s">
        <v>129</v>
      </c>
      <c r="F587" s="82" t="s">
        <v>155</v>
      </c>
      <c r="G587" s="82" t="s">
        <v>430</v>
      </c>
    </row>
    <row r="588" spans="5:7" s="82" customFormat="1" ht="25.5" hidden="1" customHeight="1" x14ac:dyDescent="0.25">
      <c r="E588" s="82" t="s">
        <v>129</v>
      </c>
      <c r="F588" s="82" t="s">
        <v>155</v>
      </c>
      <c r="G588" s="82" t="s">
        <v>471</v>
      </c>
    </row>
    <row r="589" spans="5:7" s="82" customFormat="1" ht="25.5" hidden="1" customHeight="1" x14ac:dyDescent="0.25">
      <c r="E589" s="82" t="s">
        <v>129</v>
      </c>
      <c r="F589" s="82" t="s">
        <v>130</v>
      </c>
      <c r="G589" s="82" t="s">
        <v>576</v>
      </c>
    </row>
    <row r="590" spans="5:7" s="82" customFormat="1" ht="25.5" hidden="1" customHeight="1" x14ac:dyDescent="0.25">
      <c r="E590" s="82" t="s">
        <v>129</v>
      </c>
      <c r="F590" s="82" t="s">
        <v>341</v>
      </c>
      <c r="G590" s="82" t="s">
        <v>342</v>
      </c>
    </row>
    <row r="591" spans="5:7" s="82" customFormat="1" ht="25.5" hidden="1" customHeight="1" x14ac:dyDescent="0.25">
      <c r="E591" s="82" t="s">
        <v>129</v>
      </c>
      <c r="F591" s="82" t="s">
        <v>250</v>
      </c>
      <c r="G591" s="82" t="s">
        <v>644</v>
      </c>
    </row>
    <row r="592" spans="5:7" s="82" customFormat="1" ht="25.5" hidden="1" customHeight="1" x14ac:dyDescent="0.25">
      <c r="E592" s="82" t="s">
        <v>129</v>
      </c>
      <c r="F592" s="82" t="s">
        <v>250</v>
      </c>
      <c r="G592" s="82" t="s">
        <v>360</v>
      </c>
    </row>
    <row r="593" spans="5:7" s="82" customFormat="1" ht="25.5" hidden="1" customHeight="1" x14ac:dyDescent="0.25">
      <c r="E593" s="82" t="s">
        <v>129</v>
      </c>
      <c r="F593" s="82" t="s">
        <v>250</v>
      </c>
      <c r="G593" s="82" t="s">
        <v>794</v>
      </c>
    </row>
    <row r="594" spans="5:7" s="82" customFormat="1" ht="25.5" hidden="1" customHeight="1" x14ac:dyDescent="0.25">
      <c r="E594" s="82" t="s">
        <v>129</v>
      </c>
      <c r="F594" s="82" t="s">
        <v>250</v>
      </c>
      <c r="G594" s="82" t="s">
        <v>787</v>
      </c>
    </row>
    <row r="595" spans="5:7" s="82" customFormat="1" ht="25.5" hidden="1" customHeight="1" x14ac:dyDescent="0.25">
      <c r="E595" s="82" t="s">
        <v>129</v>
      </c>
      <c r="F595" s="82" t="s">
        <v>250</v>
      </c>
      <c r="G595" s="82" t="s">
        <v>609</v>
      </c>
    </row>
    <row r="596" spans="5:7" s="82" customFormat="1" ht="25.5" hidden="1" customHeight="1" x14ac:dyDescent="0.25">
      <c r="E596" s="82" t="s">
        <v>129</v>
      </c>
      <c r="F596" s="82" t="s">
        <v>250</v>
      </c>
      <c r="G596" s="82" t="s">
        <v>475</v>
      </c>
    </row>
    <row r="597" spans="5:7" s="82" customFormat="1" ht="25.5" hidden="1" customHeight="1" x14ac:dyDescent="0.25">
      <c r="E597" s="82" t="s">
        <v>129</v>
      </c>
      <c r="F597" s="82" t="s">
        <v>250</v>
      </c>
      <c r="G597" s="82" t="s">
        <v>476</v>
      </c>
    </row>
    <row r="598" spans="5:7" s="82" customFormat="1" ht="25.5" hidden="1" customHeight="1" x14ac:dyDescent="0.25">
      <c r="E598" s="82" t="s">
        <v>129</v>
      </c>
      <c r="F598" s="82" t="s">
        <v>131</v>
      </c>
      <c r="G598" s="82" t="s">
        <v>577</v>
      </c>
    </row>
    <row r="599" spans="5:7" s="82" customFormat="1" ht="25.5" hidden="1" customHeight="1" x14ac:dyDescent="0.25">
      <c r="E599" s="82" t="s">
        <v>129</v>
      </c>
      <c r="F599" s="82" t="s">
        <v>251</v>
      </c>
      <c r="G599" s="82" t="s">
        <v>645</v>
      </c>
    </row>
    <row r="600" spans="5:7" s="82" customFormat="1" ht="25.5" hidden="1" customHeight="1" x14ac:dyDescent="0.25">
      <c r="E600" s="82" t="s">
        <v>129</v>
      </c>
      <c r="F600" s="82" t="s">
        <v>251</v>
      </c>
      <c r="G600" s="82" t="s">
        <v>712</v>
      </c>
    </row>
    <row r="601" spans="5:7" s="82" customFormat="1" ht="25.5" hidden="1" customHeight="1" x14ac:dyDescent="0.25">
      <c r="E601" s="82" t="s">
        <v>129</v>
      </c>
      <c r="F601" s="82" t="s">
        <v>251</v>
      </c>
      <c r="G601" s="82" t="s">
        <v>394</v>
      </c>
    </row>
    <row r="602" spans="5:7" s="82" customFormat="1" ht="25.5" hidden="1" customHeight="1" x14ac:dyDescent="0.25">
      <c r="E602" s="82" t="s">
        <v>129</v>
      </c>
      <c r="F602" s="82" t="s">
        <v>251</v>
      </c>
      <c r="G602" s="82" t="s">
        <v>431</v>
      </c>
    </row>
    <row r="603" spans="5:7" s="82" customFormat="1" ht="25.5" hidden="1" customHeight="1" x14ac:dyDescent="0.25">
      <c r="E603" s="82" t="s">
        <v>129</v>
      </c>
      <c r="F603" s="82" t="s">
        <v>251</v>
      </c>
      <c r="G603" s="82" t="s">
        <v>487</v>
      </c>
    </row>
    <row r="604" spans="5:7" s="82" customFormat="1" ht="25.5" hidden="1" customHeight="1" x14ac:dyDescent="0.25">
      <c r="E604" s="82" t="s">
        <v>129</v>
      </c>
      <c r="F604" s="82" t="s">
        <v>156</v>
      </c>
      <c r="G604" s="82" t="s">
        <v>252</v>
      </c>
    </row>
    <row r="605" spans="5:7" s="82" customFormat="1" ht="25.5" hidden="1" customHeight="1" x14ac:dyDescent="0.25">
      <c r="E605" s="82" t="s">
        <v>129</v>
      </c>
      <c r="F605" s="82" t="s">
        <v>156</v>
      </c>
      <c r="G605" s="82" t="s">
        <v>578</v>
      </c>
    </row>
    <row r="606" spans="5:7" s="82" customFormat="1" ht="25.5" hidden="1" customHeight="1" x14ac:dyDescent="0.25">
      <c r="E606" s="82" t="s">
        <v>129</v>
      </c>
      <c r="F606" s="82" t="s">
        <v>156</v>
      </c>
      <c r="G606" s="82" t="s">
        <v>432</v>
      </c>
    </row>
    <row r="607" spans="5:7" s="82" customFormat="1" ht="25.5" hidden="1" customHeight="1" x14ac:dyDescent="0.25">
      <c r="E607" s="82" t="s">
        <v>129</v>
      </c>
      <c r="F607" s="82" t="s">
        <v>156</v>
      </c>
      <c r="G607" s="82" t="s">
        <v>488</v>
      </c>
    </row>
    <row r="608" spans="5:7" s="82" customFormat="1" ht="25.5" hidden="1" customHeight="1" x14ac:dyDescent="0.25"/>
    <row r="609" spans="5:7" s="82" customFormat="1" ht="25.5" hidden="1" customHeight="1" x14ac:dyDescent="0.25">
      <c r="E609" s="82" t="s">
        <v>129</v>
      </c>
      <c r="F609" s="82" t="s">
        <v>157</v>
      </c>
      <c r="G609" s="82" t="s">
        <v>253</v>
      </c>
    </row>
    <row r="610" spans="5:7" s="82" customFormat="1" ht="25.5" hidden="1" customHeight="1" x14ac:dyDescent="0.25">
      <c r="E610" s="82" t="s">
        <v>129</v>
      </c>
      <c r="F610" s="82" t="s">
        <v>157</v>
      </c>
      <c r="G610" s="82" t="s">
        <v>717</v>
      </c>
    </row>
    <row r="611" spans="5:7" s="82" customFormat="1" ht="25.5" hidden="1" customHeight="1" x14ac:dyDescent="0.25">
      <c r="E611" s="82" t="s">
        <v>129</v>
      </c>
      <c r="F611" s="82" t="s">
        <v>157</v>
      </c>
      <c r="G611" s="82" t="s">
        <v>778</v>
      </c>
    </row>
    <row r="612" spans="5:7" s="82" customFormat="1" ht="25.5" hidden="1" customHeight="1" x14ac:dyDescent="0.25">
      <c r="E612" s="82" t="s">
        <v>129</v>
      </c>
      <c r="F612" s="82" t="s">
        <v>157</v>
      </c>
      <c r="G612" s="82" t="s">
        <v>779</v>
      </c>
    </row>
    <row r="613" spans="5:7" s="82" customFormat="1" ht="25.5" hidden="1" customHeight="1" x14ac:dyDescent="0.25">
      <c r="E613" s="82" t="s">
        <v>129</v>
      </c>
      <c r="F613" s="82" t="s">
        <v>157</v>
      </c>
      <c r="G613" s="82" t="s">
        <v>579</v>
      </c>
    </row>
    <row r="614" spans="5:7" s="82" customFormat="1" ht="25.5" hidden="1" customHeight="1" x14ac:dyDescent="0.25">
      <c r="E614" s="82" t="s">
        <v>129</v>
      </c>
      <c r="F614" s="82" t="s">
        <v>157</v>
      </c>
      <c r="G614" s="82" t="s">
        <v>610</v>
      </c>
    </row>
    <row r="615" spans="5:7" s="82" customFormat="1" ht="25.5" hidden="1" customHeight="1" x14ac:dyDescent="0.25">
      <c r="E615" s="82" t="s">
        <v>129</v>
      </c>
      <c r="F615" s="82" t="s">
        <v>157</v>
      </c>
      <c r="G615" s="82" t="s">
        <v>395</v>
      </c>
    </row>
    <row r="616" spans="5:7" s="82" customFormat="1" ht="25.5" hidden="1" customHeight="1" x14ac:dyDescent="0.25">
      <c r="E616" s="82" t="s">
        <v>129</v>
      </c>
      <c r="F616" s="82" t="s">
        <v>157</v>
      </c>
      <c r="G616" s="82" t="s">
        <v>433</v>
      </c>
    </row>
    <row r="617" spans="5:7" s="82" customFormat="1" ht="25.5" hidden="1" customHeight="1" x14ac:dyDescent="0.25">
      <c r="E617" s="82" t="s">
        <v>129</v>
      </c>
      <c r="F617" s="82" t="s">
        <v>158</v>
      </c>
      <c r="G617" s="82" t="s">
        <v>254</v>
      </c>
    </row>
    <row r="618" spans="5:7" s="82" customFormat="1" ht="25.5" hidden="1" customHeight="1" x14ac:dyDescent="0.25">
      <c r="E618" s="82" t="s">
        <v>129</v>
      </c>
      <c r="F618" s="82" t="s">
        <v>158</v>
      </c>
      <c r="G618" s="82" t="s">
        <v>749</v>
      </c>
    </row>
    <row r="619" spans="5:7" s="82" customFormat="1" ht="25.5" hidden="1" customHeight="1" x14ac:dyDescent="0.25">
      <c r="E619" s="82" t="s">
        <v>129</v>
      </c>
      <c r="F619" s="82" t="s">
        <v>158</v>
      </c>
      <c r="G619" s="82" t="s">
        <v>725</v>
      </c>
    </row>
    <row r="620" spans="5:7" s="82" customFormat="1" ht="25.5" hidden="1" customHeight="1" x14ac:dyDescent="0.25">
      <c r="E620" s="82" t="s">
        <v>129</v>
      </c>
      <c r="F620" s="82" t="s">
        <v>158</v>
      </c>
      <c r="G620" s="82" t="s">
        <v>580</v>
      </c>
    </row>
    <row r="621" spans="5:7" s="82" customFormat="1" ht="25.5" hidden="1" customHeight="1" x14ac:dyDescent="0.25">
      <c r="E621" s="82" t="s">
        <v>129</v>
      </c>
      <c r="F621" s="82" t="s">
        <v>158</v>
      </c>
      <c r="G621" s="82" t="s">
        <v>396</v>
      </c>
    </row>
    <row r="622" spans="5:7" s="82" customFormat="1" ht="25.5" hidden="1" customHeight="1" x14ac:dyDescent="0.25"/>
    <row r="623" spans="5:7" s="82" customFormat="1" ht="25.5" hidden="1" customHeight="1" x14ac:dyDescent="0.25">
      <c r="E623" s="82" t="s">
        <v>129</v>
      </c>
      <c r="F623" s="82" t="s">
        <v>255</v>
      </c>
      <c r="G623" s="82" t="s">
        <v>646</v>
      </c>
    </row>
    <row r="624" spans="5:7" s="82" customFormat="1" ht="25.5" hidden="1" customHeight="1" x14ac:dyDescent="0.25">
      <c r="E624" s="82" t="s">
        <v>129</v>
      </c>
      <c r="F624" s="82" t="s">
        <v>129</v>
      </c>
      <c r="G624" s="82" t="s">
        <v>256</v>
      </c>
    </row>
    <row r="625" spans="5:7" s="82" customFormat="1" ht="25.5" hidden="1" customHeight="1" x14ac:dyDescent="0.25">
      <c r="E625" s="82" t="s">
        <v>129</v>
      </c>
      <c r="F625" s="82" t="s">
        <v>129</v>
      </c>
      <c r="G625" s="82" t="s">
        <v>790</v>
      </c>
    </row>
    <row r="626" spans="5:7" s="82" customFormat="1" ht="25.5" hidden="1" customHeight="1" x14ac:dyDescent="0.25">
      <c r="E626" s="82" t="s">
        <v>129</v>
      </c>
      <c r="F626" s="82" t="s">
        <v>129</v>
      </c>
      <c r="G626" s="82" t="s">
        <v>722</v>
      </c>
    </row>
    <row r="627" spans="5:7" s="82" customFormat="1" ht="25.5" hidden="1" customHeight="1" x14ac:dyDescent="0.25">
      <c r="E627" s="82" t="s">
        <v>129</v>
      </c>
      <c r="F627" s="82" t="s">
        <v>129</v>
      </c>
      <c r="G627" s="82" t="s">
        <v>785</v>
      </c>
    </row>
    <row r="628" spans="5:7" s="82" customFormat="1" ht="25.5" hidden="1" customHeight="1" x14ac:dyDescent="0.25">
      <c r="E628" s="82" t="s">
        <v>129</v>
      </c>
      <c r="F628" s="82" t="s">
        <v>129</v>
      </c>
      <c r="G628" s="82" t="s">
        <v>340</v>
      </c>
    </row>
    <row r="629" spans="5:7" s="82" customFormat="1" ht="25.5" hidden="1" customHeight="1" x14ac:dyDescent="0.25">
      <c r="E629" s="82" t="s">
        <v>129</v>
      </c>
      <c r="F629" s="82" t="s">
        <v>129</v>
      </c>
      <c r="G629" s="82" t="s">
        <v>611</v>
      </c>
    </row>
    <row r="630" spans="5:7" s="82" customFormat="1" ht="25.5" hidden="1" customHeight="1" x14ac:dyDescent="0.25">
      <c r="E630" s="82" t="s">
        <v>129</v>
      </c>
      <c r="F630" s="82" t="s">
        <v>129</v>
      </c>
      <c r="G630" s="82" t="s">
        <v>434</v>
      </c>
    </row>
    <row r="631" spans="5:7" s="82" customFormat="1" ht="25.5" hidden="1" customHeight="1" x14ac:dyDescent="0.25">
      <c r="E631" s="82" t="s">
        <v>129</v>
      </c>
      <c r="F631" s="82" t="s">
        <v>129</v>
      </c>
      <c r="G631" s="82" t="s">
        <v>518</v>
      </c>
    </row>
    <row r="632" spans="5:7" s="82" customFormat="1" ht="25.5" hidden="1" customHeight="1" x14ac:dyDescent="0.25">
      <c r="E632" s="82" t="s">
        <v>129</v>
      </c>
      <c r="F632" s="82" t="s">
        <v>159</v>
      </c>
      <c r="G632" s="82" t="s">
        <v>581</v>
      </c>
    </row>
    <row r="633" spans="5:7" s="82" customFormat="1" ht="25.5" hidden="1" customHeight="1" x14ac:dyDescent="0.25">
      <c r="E633" s="82" t="s">
        <v>129</v>
      </c>
      <c r="F633" s="82" t="s">
        <v>159</v>
      </c>
      <c r="G633" s="82" t="s">
        <v>647</v>
      </c>
    </row>
    <row r="634" spans="5:7" s="82" customFormat="1" ht="25.5" hidden="1" customHeight="1" x14ac:dyDescent="0.25">
      <c r="E634" s="82" t="s">
        <v>129</v>
      </c>
      <c r="F634" s="82" t="s">
        <v>159</v>
      </c>
      <c r="G634" s="82" t="s">
        <v>724</v>
      </c>
    </row>
    <row r="635" spans="5:7" s="82" customFormat="1" ht="25.5" hidden="1" customHeight="1" x14ac:dyDescent="0.25">
      <c r="E635" s="82" t="s">
        <v>129</v>
      </c>
      <c r="F635" s="82" t="s">
        <v>159</v>
      </c>
      <c r="G635" s="82" t="s">
        <v>612</v>
      </c>
    </row>
    <row r="636" spans="5:7" s="82" customFormat="1" ht="25.5" hidden="1" customHeight="1" x14ac:dyDescent="0.25">
      <c r="E636" s="82" t="s">
        <v>129</v>
      </c>
      <c r="F636" s="82" t="s">
        <v>159</v>
      </c>
      <c r="G636" s="82" t="s">
        <v>435</v>
      </c>
    </row>
    <row r="637" spans="5:7" s="82" customFormat="1" ht="25.5" hidden="1" customHeight="1" x14ac:dyDescent="0.25">
      <c r="E637" s="82" t="s">
        <v>129</v>
      </c>
      <c r="F637" s="82" t="s">
        <v>159</v>
      </c>
      <c r="G637" s="82" t="s">
        <v>671</v>
      </c>
    </row>
    <row r="638" spans="5:7" s="82" customFormat="1" ht="25.5" hidden="1" customHeight="1" x14ac:dyDescent="0.25">
      <c r="E638" s="82" t="s">
        <v>132</v>
      </c>
      <c r="F638" s="82" t="s">
        <v>133</v>
      </c>
      <c r="G638" s="82" t="s">
        <v>582</v>
      </c>
    </row>
    <row r="639" spans="5:7" s="82" customFormat="1" ht="25.5" hidden="1" customHeight="1" x14ac:dyDescent="0.25">
      <c r="E639" s="82" t="s">
        <v>132</v>
      </c>
      <c r="F639" s="82" t="s">
        <v>133</v>
      </c>
      <c r="G639" s="82" t="s">
        <v>346</v>
      </c>
    </row>
    <row r="640" spans="5:7" s="82" customFormat="1" ht="25.5" hidden="1" customHeight="1" x14ac:dyDescent="0.25">
      <c r="E640" s="82" t="s">
        <v>132</v>
      </c>
      <c r="F640" s="82" t="s">
        <v>257</v>
      </c>
      <c r="G640" s="82" t="s">
        <v>258</v>
      </c>
    </row>
    <row r="641" spans="5:7" s="82" customFormat="1" ht="25.5" hidden="1" customHeight="1" x14ac:dyDescent="0.25">
      <c r="E641" s="82" t="s">
        <v>132</v>
      </c>
      <c r="F641" s="82" t="s">
        <v>257</v>
      </c>
      <c r="G641" s="82" t="s">
        <v>726</v>
      </c>
    </row>
    <row r="642" spans="5:7" s="82" customFormat="1" ht="25.5" hidden="1" customHeight="1" x14ac:dyDescent="0.25">
      <c r="E642" s="82" t="s">
        <v>132</v>
      </c>
      <c r="F642" s="82" t="s">
        <v>257</v>
      </c>
      <c r="G642" s="82" t="s">
        <v>374</v>
      </c>
    </row>
    <row r="643" spans="5:7" s="82" customFormat="1" ht="25.5" hidden="1" customHeight="1" x14ac:dyDescent="0.25">
      <c r="E643" s="82" t="s">
        <v>132</v>
      </c>
      <c r="F643" s="82" t="s">
        <v>257</v>
      </c>
      <c r="G643" s="82" t="s">
        <v>386</v>
      </c>
    </row>
    <row r="644" spans="5:7" s="82" customFormat="1" ht="25.5" hidden="1" customHeight="1" x14ac:dyDescent="0.25">
      <c r="E644" s="82" t="s">
        <v>132</v>
      </c>
      <c r="F644" s="82" t="s">
        <v>257</v>
      </c>
      <c r="G644" s="82" t="s">
        <v>613</v>
      </c>
    </row>
    <row r="645" spans="5:7" s="82" customFormat="1" ht="25.5" hidden="1" customHeight="1" x14ac:dyDescent="0.25">
      <c r="E645" s="82" t="s">
        <v>132</v>
      </c>
      <c r="F645" s="82" t="s">
        <v>257</v>
      </c>
      <c r="G645" s="82" t="s">
        <v>436</v>
      </c>
    </row>
    <row r="646" spans="5:7" s="82" customFormat="1" ht="25.5" hidden="1" customHeight="1" x14ac:dyDescent="0.25">
      <c r="E646" s="82" t="s">
        <v>132</v>
      </c>
      <c r="F646" s="82" t="s">
        <v>257</v>
      </c>
      <c r="G646" s="82" t="s">
        <v>437</v>
      </c>
    </row>
    <row r="647" spans="5:7" s="82" customFormat="1" ht="25.5" hidden="1" customHeight="1" x14ac:dyDescent="0.25"/>
    <row r="648" spans="5:7" s="82" customFormat="1" ht="25.5" hidden="1" customHeight="1" x14ac:dyDescent="0.25"/>
    <row r="649" spans="5:7" s="82" customFormat="1" ht="25.5" hidden="1" customHeight="1" x14ac:dyDescent="0.25">
      <c r="E649" s="82" t="s">
        <v>132</v>
      </c>
      <c r="F649" s="82" t="s">
        <v>160</v>
      </c>
      <c r="G649" s="82" t="s">
        <v>259</v>
      </c>
    </row>
    <row r="650" spans="5:7" s="82" customFormat="1" ht="25.5" hidden="1" customHeight="1" x14ac:dyDescent="0.25">
      <c r="E650" s="82" t="s">
        <v>132</v>
      </c>
      <c r="F650" s="82" t="s">
        <v>160</v>
      </c>
      <c r="G650" s="82" t="s">
        <v>347</v>
      </c>
    </row>
    <row r="651" spans="5:7" s="82" customFormat="1" ht="25.5" hidden="1" customHeight="1" x14ac:dyDescent="0.25">
      <c r="E651" s="82" t="s">
        <v>132</v>
      </c>
      <c r="F651" s="82" t="s">
        <v>260</v>
      </c>
      <c r="G651" s="82" t="s">
        <v>261</v>
      </c>
    </row>
    <row r="652" spans="5:7" s="82" customFormat="1" ht="25.5" hidden="1" customHeight="1" x14ac:dyDescent="0.25">
      <c r="E652" s="82" t="s">
        <v>132</v>
      </c>
      <c r="F652" s="82" t="s">
        <v>260</v>
      </c>
      <c r="G652" s="82" t="s">
        <v>364</v>
      </c>
    </row>
    <row r="653" spans="5:7" s="82" customFormat="1" ht="25.5" hidden="1" customHeight="1" x14ac:dyDescent="0.25">
      <c r="E653" s="82" t="s">
        <v>132</v>
      </c>
      <c r="F653" s="82" t="s">
        <v>260</v>
      </c>
      <c r="G653" s="82" t="s">
        <v>614</v>
      </c>
    </row>
    <row r="654" spans="5:7" s="82" customFormat="1" ht="25.5" hidden="1" customHeight="1" x14ac:dyDescent="0.25">
      <c r="E654" s="82" t="s">
        <v>132</v>
      </c>
      <c r="F654" s="82" t="s">
        <v>260</v>
      </c>
      <c r="G654" s="82" t="s">
        <v>492</v>
      </c>
    </row>
    <row r="655" spans="5:7" s="82" customFormat="1" ht="25.5" hidden="1" customHeight="1" x14ac:dyDescent="0.25">
      <c r="E655" s="82" t="s">
        <v>132</v>
      </c>
      <c r="F655" s="82" t="s">
        <v>260</v>
      </c>
      <c r="G655" s="82" t="s">
        <v>493</v>
      </c>
    </row>
    <row r="656" spans="5:7" s="82" customFormat="1" ht="25.5" hidden="1" customHeight="1" x14ac:dyDescent="0.25">
      <c r="E656" s="82" t="s">
        <v>132</v>
      </c>
      <c r="F656" s="82" t="s">
        <v>134</v>
      </c>
      <c r="G656" s="82" t="s">
        <v>583</v>
      </c>
    </row>
    <row r="657" spans="5:7" s="82" customFormat="1" ht="25.5" hidden="1" customHeight="1" x14ac:dyDescent="0.25">
      <c r="E657" s="82" t="s">
        <v>132</v>
      </c>
      <c r="F657" s="82" t="s">
        <v>134</v>
      </c>
      <c r="G657" s="82" t="s">
        <v>348</v>
      </c>
    </row>
    <row r="658" spans="5:7" s="82" customFormat="1" ht="25.5" hidden="1" customHeight="1" x14ac:dyDescent="0.25">
      <c r="E658" s="82" t="s">
        <v>132</v>
      </c>
      <c r="F658" s="82" t="s">
        <v>262</v>
      </c>
      <c r="G658" s="82" t="s">
        <v>648</v>
      </c>
    </row>
    <row r="659" spans="5:7" s="82" customFormat="1" ht="25.5" hidden="1" customHeight="1" x14ac:dyDescent="0.25">
      <c r="E659" s="82" t="s">
        <v>132</v>
      </c>
      <c r="F659" s="82" t="s">
        <v>262</v>
      </c>
      <c r="G659" s="82" t="s">
        <v>363</v>
      </c>
    </row>
    <row r="660" spans="5:7" s="82" customFormat="1" ht="25.5" hidden="1" customHeight="1" x14ac:dyDescent="0.25">
      <c r="E660" s="82" t="s">
        <v>132</v>
      </c>
      <c r="F660" s="82" t="s">
        <v>262</v>
      </c>
      <c r="G660" s="82" t="s">
        <v>808</v>
      </c>
    </row>
    <row r="661" spans="5:7" s="82" customFormat="1" ht="25.5" hidden="1" customHeight="1" x14ac:dyDescent="0.25">
      <c r="E661" s="82" t="s">
        <v>132</v>
      </c>
      <c r="F661" s="82" t="s">
        <v>262</v>
      </c>
      <c r="G661" s="82" t="s">
        <v>615</v>
      </c>
    </row>
    <row r="662" spans="5:7" s="82" customFormat="1" ht="25.5" hidden="1" customHeight="1" x14ac:dyDescent="0.25">
      <c r="E662" s="82" t="s">
        <v>132</v>
      </c>
      <c r="F662" s="82" t="s">
        <v>262</v>
      </c>
      <c r="G662" s="82" t="s">
        <v>526</v>
      </c>
    </row>
    <row r="663" spans="5:7" s="82" customFormat="1" ht="25.5" hidden="1" customHeight="1" x14ac:dyDescent="0.25">
      <c r="E663" s="82" t="s">
        <v>132</v>
      </c>
      <c r="F663" s="82" t="s">
        <v>262</v>
      </c>
      <c r="G663" s="82" t="s">
        <v>527</v>
      </c>
    </row>
    <row r="664" spans="5:7" s="82" customFormat="1" ht="25.5" hidden="1" customHeight="1" x14ac:dyDescent="0.25">
      <c r="E664" s="82" t="s">
        <v>132</v>
      </c>
      <c r="F664" s="82" t="s">
        <v>262</v>
      </c>
      <c r="G664" s="82" t="s">
        <v>438</v>
      </c>
    </row>
    <row r="665" spans="5:7" s="82" customFormat="1" ht="25.5" hidden="1" customHeight="1" x14ac:dyDescent="0.25">
      <c r="E665" s="82" t="s">
        <v>132</v>
      </c>
      <c r="F665" s="82" t="s">
        <v>132</v>
      </c>
      <c r="G665" s="82" t="s">
        <v>263</v>
      </c>
    </row>
    <row r="666" spans="5:7" s="82" customFormat="1" ht="25.5" hidden="1" customHeight="1" x14ac:dyDescent="0.25">
      <c r="E666" s="82" t="s">
        <v>132</v>
      </c>
      <c r="F666" s="82" t="s">
        <v>132</v>
      </c>
      <c r="G666" s="82" t="s">
        <v>670</v>
      </c>
    </row>
    <row r="667" spans="5:7" s="82" customFormat="1" ht="25.5" hidden="1" customHeight="1" x14ac:dyDescent="0.25">
      <c r="E667" s="82" t="s">
        <v>132</v>
      </c>
      <c r="F667" s="82" t="s">
        <v>132</v>
      </c>
      <c r="G667" s="82" t="s">
        <v>584</v>
      </c>
    </row>
    <row r="668" spans="5:7" s="82" customFormat="1" ht="25.5" hidden="1" customHeight="1" x14ac:dyDescent="0.25">
      <c r="E668" s="82" t="s">
        <v>132</v>
      </c>
      <c r="F668" s="82" t="s">
        <v>264</v>
      </c>
      <c r="G668" s="82" t="s">
        <v>135</v>
      </c>
    </row>
    <row r="669" spans="5:7" s="82" customFormat="1" ht="25.5" hidden="1" customHeight="1" x14ac:dyDescent="0.25">
      <c r="E669" s="82" t="s">
        <v>132</v>
      </c>
      <c r="F669" s="82" t="s">
        <v>132</v>
      </c>
      <c r="G669" s="82" t="s">
        <v>362</v>
      </c>
    </row>
    <row r="670" spans="5:7" s="82" customFormat="1" ht="25.5" hidden="1" customHeight="1" x14ac:dyDescent="0.25">
      <c r="E670" s="82" t="s">
        <v>132</v>
      </c>
      <c r="F670" s="82" t="s">
        <v>132</v>
      </c>
      <c r="G670" s="82" t="s">
        <v>810</v>
      </c>
    </row>
    <row r="671" spans="5:7" s="82" customFormat="1" ht="25.5" hidden="1" customHeight="1" x14ac:dyDescent="0.25">
      <c r="E671" s="82" t="s">
        <v>132</v>
      </c>
      <c r="F671" s="82" t="s">
        <v>132</v>
      </c>
      <c r="G671" s="82" t="s">
        <v>809</v>
      </c>
    </row>
    <row r="672" spans="5:7" s="82" customFormat="1" ht="25.5" hidden="1" customHeight="1" x14ac:dyDescent="0.3">
      <c r="E672" s="82" t="s">
        <v>132</v>
      </c>
      <c r="F672" s="82" t="s">
        <v>264</v>
      </c>
      <c r="G672" s="83" t="s">
        <v>305</v>
      </c>
    </row>
    <row r="673" spans="5:7" s="82" customFormat="1" ht="25.5" hidden="1" customHeight="1" x14ac:dyDescent="0.25">
      <c r="E673" s="82" t="s">
        <v>132</v>
      </c>
      <c r="F673" s="82" t="s">
        <v>264</v>
      </c>
      <c r="G673" s="82" t="s">
        <v>389</v>
      </c>
    </row>
    <row r="674" spans="5:7" s="82" customFormat="1" ht="25.5" hidden="1" customHeight="1" x14ac:dyDescent="0.25">
      <c r="E674" s="82" t="s">
        <v>132</v>
      </c>
      <c r="F674" s="82" t="s">
        <v>264</v>
      </c>
      <c r="G674" s="82" t="s">
        <v>439</v>
      </c>
    </row>
    <row r="675" spans="5:7" s="82" customFormat="1" ht="25.5" hidden="1" customHeight="1" x14ac:dyDescent="0.25">
      <c r="E675" s="82" t="s">
        <v>132</v>
      </c>
      <c r="F675" s="82" t="s">
        <v>264</v>
      </c>
      <c r="G675" s="82" t="s">
        <v>528</v>
      </c>
    </row>
    <row r="676" spans="5:7" s="82" customFormat="1" ht="25.5" hidden="1" customHeight="1" x14ac:dyDescent="0.25">
      <c r="E676" s="82" t="s">
        <v>132</v>
      </c>
      <c r="F676" s="82" t="s">
        <v>264</v>
      </c>
      <c r="G676" s="82" t="s">
        <v>529</v>
      </c>
    </row>
    <row r="677" spans="5:7" s="82" customFormat="1" ht="25.5" hidden="1" customHeight="1" x14ac:dyDescent="0.25"/>
    <row r="678" spans="5:7" s="82" customFormat="1" ht="25.5" hidden="1" customHeight="1" x14ac:dyDescent="0.25"/>
    <row r="679" spans="5:7" s="82" customFormat="1" ht="25.5" hidden="1" customHeight="1" x14ac:dyDescent="0.25"/>
    <row r="680" spans="5:7" s="82" customFormat="1" ht="25.5" hidden="1" customHeight="1" x14ac:dyDescent="0.25"/>
    <row r="681" spans="5:7" s="82" customFormat="1" ht="25.5" hidden="1" customHeight="1" x14ac:dyDescent="0.25"/>
    <row r="682" spans="5:7" s="82" customFormat="1" ht="25.5" hidden="1" customHeight="1" x14ac:dyDescent="0.25"/>
    <row r="683" spans="5:7" s="82" customFormat="1" ht="25.5" hidden="1" customHeight="1" x14ac:dyDescent="0.25"/>
    <row r="684" spans="5:7" s="82" customFormat="1" ht="25.5" hidden="1" customHeight="1" x14ac:dyDescent="0.25"/>
    <row r="685" spans="5:7" s="82" customFormat="1" ht="25.5" hidden="1" customHeight="1" x14ac:dyDescent="0.25"/>
    <row r="686" spans="5:7" s="82" customFormat="1" ht="25.5" hidden="1" customHeight="1" x14ac:dyDescent="0.25"/>
    <row r="687" spans="5:7" s="82" customFormat="1" ht="25.5" hidden="1" customHeight="1" x14ac:dyDescent="0.25"/>
    <row r="688" spans="5:7" s="82" customFormat="1" ht="25.5" hidden="1" customHeight="1" x14ac:dyDescent="0.25"/>
    <row r="689" s="82" customFormat="1" ht="25.5" hidden="1" customHeight="1" x14ac:dyDescent="0.25"/>
    <row r="690" s="82" customFormat="1" ht="25.5" hidden="1" customHeight="1" x14ac:dyDescent="0.25"/>
    <row r="691" s="82" customFormat="1" ht="25.5" hidden="1" customHeight="1" x14ac:dyDescent="0.25"/>
    <row r="692" s="82" customFormat="1" ht="25.5" hidden="1" customHeight="1" x14ac:dyDescent="0.25"/>
    <row r="693" s="82" customFormat="1" ht="25.5" hidden="1" customHeight="1" x14ac:dyDescent="0.25"/>
    <row r="694" s="82" customFormat="1" ht="25.5" hidden="1" customHeight="1" x14ac:dyDescent="0.25"/>
    <row r="695" s="82" customFormat="1" ht="25.5" hidden="1" customHeight="1" x14ac:dyDescent="0.25"/>
    <row r="696" s="82" customFormat="1" ht="25.5" hidden="1" customHeight="1" x14ac:dyDescent="0.25"/>
    <row r="697" s="82" customFormat="1" ht="25.5" hidden="1" customHeight="1" x14ac:dyDescent="0.25"/>
    <row r="698" s="82" customFormat="1" ht="25.5" hidden="1" customHeight="1" x14ac:dyDescent="0.25"/>
    <row r="699" s="82" customFormat="1" ht="25.5" hidden="1" customHeight="1" x14ac:dyDescent="0.25"/>
    <row r="700" s="82" customFormat="1" ht="25.5" hidden="1" customHeight="1" x14ac:dyDescent="0.25"/>
    <row r="701" s="82" customFormat="1" ht="25.5" hidden="1" customHeight="1" x14ac:dyDescent="0.25"/>
    <row r="702" s="82" customFormat="1" ht="25.5" hidden="1" customHeight="1" x14ac:dyDescent="0.25"/>
    <row r="703" s="82" customFormat="1" ht="25.5" hidden="1" customHeight="1" x14ac:dyDescent="0.25"/>
    <row r="704" s="82" customFormat="1" ht="25.5" hidden="1" customHeight="1" x14ac:dyDescent="0.25"/>
    <row r="705" s="82" customFormat="1" ht="25.5" hidden="1" customHeight="1" x14ac:dyDescent="0.25"/>
    <row r="706" s="82" customFormat="1" ht="25.5" hidden="1" customHeight="1" x14ac:dyDescent="0.25"/>
    <row r="707" s="82" customFormat="1" ht="25.5" hidden="1" customHeight="1" x14ac:dyDescent="0.25"/>
    <row r="708" s="82" customFormat="1" ht="25.5" hidden="1" customHeight="1" x14ac:dyDescent="0.25"/>
    <row r="709" s="82" customFormat="1" ht="25.5" hidden="1" customHeight="1" x14ac:dyDescent="0.25"/>
    <row r="710" s="82" customFormat="1" ht="25.5" hidden="1" customHeight="1" x14ac:dyDescent="0.25"/>
    <row r="711" s="82" customFormat="1" ht="25.5" hidden="1" customHeight="1" x14ac:dyDescent="0.25"/>
    <row r="712" s="82" customFormat="1" ht="25.5" hidden="1" customHeight="1" x14ac:dyDescent="0.25"/>
    <row r="713" s="82" customFormat="1" ht="25.5" hidden="1" customHeight="1" x14ac:dyDescent="0.25"/>
    <row r="714" s="82" customFormat="1" ht="25.5" hidden="1" customHeight="1" x14ac:dyDescent="0.25"/>
    <row r="715" s="82" customFormat="1" ht="25.5" hidden="1" customHeight="1" x14ac:dyDescent="0.25"/>
    <row r="716" s="82" customFormat="1" ht="25.5" hidden="1" customHeight="1" x14ac:dyDescent="0.25"/>
    <row r="717" s="82" customFormat="1" ht="25.5" hidden="1" customHeight="1" x14ac:dyDescent="0.25"/>
    <row r="718" s="82" customFormat="1" ht="25.5" hidden="1" customHeight="1" x14ac:dyDescent="0.25"/>
    <row r="719" s="82" customFormat="1" ht="25.5" hidden="1" customHeight="1" x14ac:dyDescent="0.25"/>
    <row r="720" s="82" customFormat="1" ht="25.5" hidden="1" customHeight="1" x14ac:dyDescent="0.25"/>
    <row r="721" s="82" customFormat="1" ht="25.5" hidden="1" customHeight="1" x14ac:dyDescent="0.25"/>
    <row r="722" s="82" customFormat="1" ht="25.5" hidden="1" customHeight="1" x14ac:dyDescent="0.25"/>
    <row r="723" s="82" customFormat="1" ht="25.5" hidden="1" customHeight="1" x14ac:dyDescent="0.25"/>
    <row r="724" s="82" customFormat="1" ht="25.5" hidden="1" customHeight="1" x14ac:dyDescent="0.25"/>
    <row r="725" s="82" customFormat="1" ht="25.5" hidden="1" customHeight="1" x14ac:dyDescent="0.25"/>
    <row r="726" s="82" customFormat="1" ht="25.5" hidden="1" customHeight="1" x14ac:dyDescent="0.25"/>
    <row r="727" s="82" customFormat="1" ht="25.5" hidden="1" customHeight="1" x14ac:dyDescent="0.25"/>
    <row r="728" s="82" customFormat="1" ht="25.5" hidden="1" customHeight="1" x14ac:dyDescent="0.25"/>
    <row r="729" s="82" customFormat="1" ht="25.5" hidden="1" customHeight="1" x14ac:dyDescent="0.25"/>
    <row r="730" s="82" customFormat="1" ht="25.5" hidden="1" customHeight="1" x14ac:dyDescent="0.25"/>
    <row r="731" s="82" customFormat="1" ht="25.5" hidden="1" customHeight="1" x14ac:dyDescent="0.25"/>
    <row r="732" s="82" customFormat="1" ht="25.5" hidden="1" customHeight="1" x14ac:dyDescent="0.25"/>
    <row r="733" s="82" customFormat="1" ht="25.5" hidden="1" customHeight="1" x14ac:dyDescent="0.25"/>
    <row r="734" s="82" customFormat="1" ht="25.5" hidden="1" customHeight="1" x14ac:dyDescent="0.25"/>
    <row r="735" s="82" customFormat="1" ht="25.5" hidden="1" customHeight="1" x14ac:dyDescent="0.25"/>
    <row r="736" s="82" customFormat="1" ht="25.5" hidden="1" customHeight="1" x14ac:dyDescent="0.25"/>
    <row r="737" s="82" customFormat="1" ht="25.5" hidden="1" customHeight="1" x14ac:dyDescent="0.25"/>
    <row r="738" s="82" customFormat="1" ht="25.5" hidden="1" customHeight="1" x14ac:dyDescent="0.25"/>
    <row r="739" s="82" customFormat="1" ht="25.5" hidden="1" customHeight="1" x14ac:dyDescent="0.25"/>
    <row r="740" s="82" customFormat="1" ht="25.5" hidden="1" customHeight="1" x14ac:dyDescent="0.25"/>
    <row r="741" s="82" customFormat="1" ht="25.5" hidden="1" customHeight="1" x14ac:dyDescent="0.25"/>
    <row r="742" s="82" customFormat="1" ht="25.5" hidden="1" customHeight="1" x14ac:dyDescent="0.25"/>
    <row r="743" s="82" customFormat="1" ht="25.5" hidden="1" customHeight="1" x14ac:dyDescent="0.25"/>
    <row r="744" s="82" customFormat="1" ht="25.5" hidden="1" customHeight="1" x14ac:dyDescent="0.25"/>
    <row r="745" s="82" customFormat="1" ht="25.5" hidden="1" customHeight="1" x14ac:dyDescent="0.25"/>
    <row r="746" s="82" customFormat="1" ht="25.5" hidden="1" customHeight="1" x14ac:dyDescent="0.25"/>
    <row r="747" s="82" customFormat="1" ht="25.5" hidden="1" customHeight="1" x14ac:dyDescent="0.25"/>
    <row r="748" s="82" customFormat="1" ht="25.5" hidden="1" customHeight="1" x14ac:dyDescent="0.25"/>
    <row r="749" s="82" customFormat="1" ht="25.5" hidden="1" customHeight="1" x14ac:dyDescent="0.25"/>
    <row r="750" s="82" customFormat="1" ht="25.5" hidden="1" customHeight="1" x14ac:dyDescent="0.25"/>
    <row r="751" s="82" customFormat="1" ht="25.5" hidden="1" customHeight="1" x14ac:dyDescent="0.25"/>
    <row r="752" s="82" customFormat="1" ht="25.5" hidden="1" customHeight="1" x14ac:dyDescent="0.25"/>
    <row r="753" s="82" customFormat="1" ht="25.5" hidden="1" customHeight="1" x14ac:dyDescent="0.25"/>
    <row r="754" s="82" customFormat="1" ht="25.5" hidden="1" customHeight="1" x14ac:dyDescent="0.25"/>
    <row r="755" s="82" customFormat="1" ht="25.5" hidden="1" customHeight="1" x14ac:dyDescent="0.25"/>
    <row r="756" s="82" customFormat="1" ht="25.5" hidden="1" customHeight="1" x14ac:dyDescent="0.25"/>
    <row r="757" s="82" customFormat="1" ht="25.5" hidden="1" customHeight="1" x14ac:dyDescent="0.25"/>
    <row r="758" s="82" customFormat="1" ht="25.5" hidden="1" customHeight="1" x14ac:dyDescent="0.25"/>
    <row r="759" s="82" customFormat="1" ht="25.5" hidden="1" customHeight="1" x14ac:dyDescent="0.25"/>
    <row r="760" s="82" customFormat="1" ht="25.5" hidden="1" customHeight="1" x14ac:dyDescent="0.25"/>
    <row r="761" s="82" customFormat="1" ht="25.5" hidden="1" customHeight="1" x14ac:dyDescent="0.25"/>
    <row r="762" s="82" customFormat="1" ht="25.5" hidden="1" customHeight="1" x14ac:dyDescent="0.25"/>
    <row r="763" s="82" customFormat="1" ht="25.5" hidden="1" customHeight="1" x14ac:dyDescent="0.25"/>
    <row r="764" s="82" customFormat="1" ht="25.5" hidden="1" customHeight="1" x14ac:dyDescent="0.25"/>
    <row r="765" s="82" customFormat="1" ht="25.5" hidden="1" customHeight="1" x14ac:dyDescent="0.25"/>
    <row r="766" s="82" customFormat="1" ht="25.5" hidden="1" customHeight="1" x14ac:dyDescent="0.25"/>
    <row r="767" s="82" customFormat="1" ht="25.5" hidden="1" customHeight="1" x14ac:dyDescent="0.25"/>
    <row r="768" s="82" customFormat="1" ht="25.5" hidden="1" customHeight="1" x14ac:dyDescent="0.25"/>
    <row r="769" s="82" customFormat="1" ht="25.5" hidden="1" customHeight="1" x14ac:dyDescent="0.25"/>
    <row r="770" s="82" customFormat="1" ht="25.5" hidden="1" customHeight="1" x14ac:dyDescent="0.25"/>
    <row r="771" s="82" customFormat="1" ht="25.5" hidden="1" customHeight="1" x14ac:dyDescent="0.25"/>
    <row r="772" s="82" customFormat="1" ht="25.5" hidden="1" customHeight="1" x14ac:dyDescent="0.25"/>
    <row r="773" s="82" customFormat="1" ht="25.5" hidden="1" customHeight="1" x14ac:dyDescent="0.25"/>
    <row r="774" s="82" customFormat="1" ht="25.5" hidden="1" customHeight="1" x14ac:dyDescent="0.25"/>
    <row r="775" s="82" customFormat="1" ht="25.5" hidden="1" customHeight="1" x14ac:dyDescent="0.25"/>
    <row r="776" s="82" customFormat="1" ht="25.5" hidden="1" customHeight="1" x14ac:dyDescent="0.25"/>
    <row r="777" ht="25.5" hidden="1" customHeight="1" x14ac:dyDescent="0.25"/>
    <row r="778" ht="25.5" hidden="1" customHeight="1" x14ac:dyDescent="0.25"/>
    <row r="779" ht="25.5" hidden="1" customHeight="1" x14ac:dyDescent="0.25"/>
    <row r="780" ht="25.5" hidden="1" customHeight="1" x14ac:dyDescent="0.25"/>
    <row r="781" ht="25.5" hidden="1" customHeight="1" x14ac:dyDescent="0.25"/>
    <row r="782" ht="25.5" hidden="1" customHeight="1" x14ac:dyDescent="0.25"/>
    <row r="783" ht="25.5" hidden="1" customHeight="1" x14ac:dyDescent="0.25"/>
    <row r="784" ht="25.5" hidden="1" customHeight="1" x14ac:dyDescent="0.25"/>
    <row r="785" ht="25.5" hidden="1" customHeight="1" x14ac:dyDescent="0.25"/>
    <row r="786" ht="25.5" hidden="1" customHeight="1" x14ac:dyDescent="0.25"/>
    <row r="787" ht="25.5" hidden="1" customHeight="1" x14ac:dyDescent="0.25"/>
    <row r="788" ht="25.5" hidden="1" customHeight="1" x14ac:dyDescent="0.25"/>
    <row r="789" ht="25.5" hidden="1" customHeight="1" x14ac:dyDescent="0.25"/>
    <row r="790" ht="25.5" hidden="1" customHeight="1" x14ac:dyDescent="0.25"/>
    <row r="791" ht="25.5" hidden="1" customHeight="1" x14ac:dyDescent="0.25"/>
    <row r="792" ht="25.5" hidden="1" customHeight="1" x14ac:dyDescent="0.25"/>
    <row r="793" ht="25.5" hidden="1" customHeight="1" x14ac:dyDescent="0.25"/>
    <row r="794" ht="25.5" hidden="1" customHeight="1" x14ac:dyDescent="0.25"/>
    <row r="795" ht="25.5" hidden="1" customHeight="1" x14ac:dyDescent="0.25"/>
    <row r="796" ht="25.5" hidden="1" customHeight="1" x14ac:dyDescent="0.25"/>
    <row r="797" ht="25.5" hidden="1" customHeight="1" x14ac:dyDescent="0.25"/>
    <row r="798" ht="25.5" hidden="1" customHeight="1" x14ac:dyDescent="0.25"/>
    <row r="799" ht="25.5" hidden="1" customHeight="1" x14ac:dyDescent="0.25"/>
    <row r="800" ht="25.5" hidden="1" customHeight="1" x14ac:dyDescent="0.25"/>
    <row r="801" ht="25.5" hidden="1" customHeight="1" x14ac:dyDescent="0.25"/>
    <row r="802" ht="25.5" hidden="1" customHeight="1" x14ac:dyDescent="0.25"/>
    <row r="803" ht="25.5" hidden="1" customHeight="1" x14ac:dyDescent="0.25"/>
    <row r="804" ht="25.5" hidden="1" customHeight="1" x14ac:dyDescent="0.25"/>
    <row r="805" ht="25.5" hidden="1" customHeight="1" x14ac:dyDescent="0.25"/>
    <row r="806" ht="25.5" hidden="1" customHeight="1" x14ac:dyDescent="0.25"/>
    <row r="807" ht="25.5" hidden="1" customHeight="1" x14ac:dyDescent="0.25"/>
    <row r="808" ht="25.5" hidden="1" customHeight="1" x14ac:dyDescent="0.25"/>
    <row r="809" ht="25.5" hidden="1" customHeight="1" x14ac:dyDescent="0.25"/>
    <row r="810" ht="25.5" hidden="1" customHeight="1" x14ac:dyDescent="0.25"/>
    <row r="811" ht="25.5" hidden="1" customHeight="1" x14ac:dyDescent="0.25"/>
    <row r="812" ht="25.5" hidden="1" customHeight="1" x14ac:dyDescent="0.25"/>
    <row r="813" ht="25.5" hidden="1" customHeight="1" x14ac:dyDescent="0.25"/>
    <row r="814" ht="25.5" hidden="1" customHeight="1" x14ac:dyDescent="0.25"/>
    <row r="815" ht="25.5" hidden="1" customHeight="1" x14ac:dyDescent="0.25"/>
    <row r="816" ht="25.5" hidden="1" customHeight="1" x14ac:dyDescent="0.25"/>
    <row r="817" ht="25.5" hidden="1" customHeight="1" x14ac:dyDescent="0.25"/>
    <row r="818" ht="25.5" hidden="1" customHeight="1" x14ac:dyDescent="0.25"/>
    <row r="819" ht="25.5" hidden="1" customHeight="1" x14ac:dyDescent="0.25"/>
    <row r="820" ht="25.5" hidden="1" customHeight="1" x14ac:dyDescent="0.25"/>
    <row r="821" ht="25.5" hidden="1" customHeight="1" x14ac:dyDescent="0.25"/>
    <row r="822" ht="25.5" hidden="1" customHeight="1" x14ac:dyDescent="0.25"/>
    <row r="823" ht="25.5" hidden="1" customHeight="1" x14ac:dyDescent="0.25"/>
    <row r="824" ht="25.5" hidden="1" customHeight="1" x14ac:dyDescent="0.25"/>
    <row r="825" ht="25.5" hidden="1" customHeight="1" x14ac:dyDescent="0.25"/>
    <row r="826" ht="25.5" hidden="1" customHeight="1" x14ac:dyDescent="0.25"/>
    <row r="827" ht="25.5" hidden="1" customHeight="1" x14ac:dyDescent="0.25"/>
    <row r="828" ht="25.5" hidden="1" customHeight="1" x14ac:dyDescent="0.25"/>
    <row r="829" ht="25.5" hidden="1" customHeight="1" x14ac:dyDescent="0.25"/>
    <row r="830" ht="25.5" hidden="1" customHeight="1" x14ac:dyDescent="0.25"/>
    <row r="831" ht="25.5" hidden="1" customHeight="1" x14ac:dyDescent="0.25"/>
    <row r="832" ht="25.5" hidden="1" customHeight="1" x14ac:dyDescent="0.25"/>
    <row r="833" ht="25.5" hidden="1" customHeight="1" x14ac:dyDescent="0.25"/>
    <row r="834" ht="25.5" hidden="1" customHeight="1" x14ac:dyDescent="0.25"/>
    <row r="835" ht="25.5" hidden="1" customHeight="1" x14ac:dyDescent="0.25"/>
    <row r="836" ht="25.5" hidden="1" customHeight="1" x14ac:dyDescent="0.25"/>
    <row r="837" ht="25.5" hidden="1" customHeight="1" x14ac:dyDescent="0.25"/>
    <row r="838" ht="25.5" hidden="1" customHeight="1" x14ac:dyDescent="0.25"/>
    <row r="839" ht="25.5" hidden="1" customHeight="1" x14ac:dyDescent="0.25"/>
    <row r="840" ht="25.5" hidden="1" customHeight="1" x14ac:dyDescent="0.25"/>
    <row r="841" ht="25.5" hidden="1" customHeight="1" x14ac:dyDescent="0.25"/>
    <row r="842" ht="25.5" hidden="1" customHeight="1" x14ac:dyDescent="0.25"/>
    <row r="843" ht="25.5" hidden="1" customHeight="1" x14ac:dyDescent="0.25"/>
    <row r="844" ht="25.5" hidden="1" customHeight="1" x14ac:dyDescent="0.25"/>
    <row r="845" ht="25.5" hidden="1" customHeight="1" x14ac:dyDescent="0.25"/>
    <row r="846" ht="25.5" hidden="1" customHeight="1" x14ac:dyDescent="0.25"/>
    <row r="847" ht="25.5" hidden="1" customHeight="1" x14ac:dyDescent="0.25"/>
    <row r="848" ht="25.5" hidden="1" customHeight="1" x14ac:dyDescent="0.25"/>
    <row r="849" ht="25.5" hidden="1" customHeight="1" x14ac:dyDescent="0.25"/>
    <row r="850" ht="25.5" hidden="1" customHeight="1" x14ac:dyDescent="0.25"/>
    <row r="851" ht="25.5" hidden="1" customHeight="1" x14ac:dyDescent="0.25"/>
    <row r="852" ht="25.5" hidden="1" customHeight="1" x14ac:dyDescent="0.25"/>
    <row r="853" ht="25.5" hidden="1" customHeight="1" x14ac:dyDescent="0.25"/>
    <row r="854" ht="25.5" hidden="1" customHeight="1" x14ac:dyDescent="0.25"/>
    <row r="855" ht="25.5" hidden="1" customHeight="1" x14ac:dyDescent="0.25"/>
    <row r="856" ht="25.5" hidden="1" customHeight="1" x14ac:dyDescent="0.25"/>
    <row r="857" ht="25.5" hidden="1" customHeight="1" x14ac:dyDescent="0.25"/>
    <row r="858" ht="25.5" hidden="1" customHeight="1" x14ac:dyDescent="0.25"/>
    <row r="859" ht="25.5" hidden="1" customHeight="1" x14ac:dyDescent="0.25"/>
    <row r="860" ht="25.5" hidden="1" customHeight="1" x14ac:dyDescent="0.25"/>
    <row r="861" ht="25.5" hidden="1" customHeight="1" x14ac:dyDescent="0.25"/>
    <row r="862" ht="25.5" hidden="1" customHeight="1" x14ac:dyDescent="0.25"/>
    <row r="863" ht="25.5" hidden="1" customHeight="1" x14ac:dyDescent="0.25"/>
    <row r="864" ht="25.5" hidden="1" customHeight="1" x14ac:dyDescent="0.25"/>
    <row r="865" ht="25.5" hidden="1" customHeight="1" x14ac:dyDescent="0.25"/>
    <row r="866" ht="25.5" hidden="1" customHeight="1" x14ac:dyDescent="0.25"/>
    <row r="867" ht="25.5" hidden="1" customHeight="1" x14ac:dyDescent="0.25"/>
    <row r="868" ht="25.5" hidden="1" customHeight="1" x14ac:dyDescent="0.25"/>
    <row r="869" ht="25.5" hidden="1" customHeight="1" x14ac:dyDescent="0.25"/>
    <row r="870" ht="25.5" hidden="1" customHeight="1" x14ac:dyDescent="0.25"/>
    <row r="871" ht="25.5" hidden="1" customHeight="1" x14ac:dyDescent="0.25"/>
    <row r="872" ht="25.5" hidden="1" customHeight="1" x14ac:dyDescent="0.25"/>
    <row r="873" ht="25.5" hidden="1" customHeight="1" x14ac:dyDescent="0.25"/>
    <row r="874" ht="25.5" hidden="1" customHeight="1" x14ac:dyDescent="0.25"/>
    <row r="875" ht="25.5" hidden="1" customHeight="1" x14ac:dyDescent="0.25"/>
    <row r="876" ht="25.5" hidden="1" customHeight="1" x14ac:dyDescent="0.25"/>
    <row r="877" ht="25.5" hidden="1" customHeight="1" x14ac:dyDescent="0.25"/>
    <row r="878" ht="25.5" hidden="1" customHeight="1" x14ac:dyDescent="0.25"/>
    <row r="879" ht="25.5" hidden="1" customHeight="1" x14ac:dyDescent="0.25"/>
    <row r="880" ht="25.5" hidden="1" customHeight="1" x14ac:dyDescent="0.25"/>
    <row r="881" ht="25.5" hidden="1" customHeight="1" x14ac:dyDescent="0.25"/>
    <row r="882" ht="25.5" hidden="1" customHeight="1" x14ac:dyDescent="0.25"/>
    <row r="883" ht="25.5" hidden="1" customHeight="1" x14ac:dyDescent="0.25"/>
    <row r="884" ht="25.5" hidden="1" customHeight="1" x14ac:dyDescent="0.25"/>
    <row r="885" ht="25.5" hidden="1" customHeight="1" x14ac:dyDescent="0.25"/>
    <row r="886" ht="25.5" hidden="1" customHeight="1" x14ac:dyDescent="0.25"/>
    <row r="887" ht="25.5" hidden="1" customHeight="1" x14ac:dyDescent="0.25"/>
    <row r="888" ht="25.5" hidden="1" customHeight="1" x14ac:dyDescent="0.25"/>
    <row r="889" ht="25.5" hidden="1" customHeight="1" x14ac:dyDescent="0.25"/>
    <row r="890" ht="25.5" hidden="1" customHeight="1" x14ac:dyDescent="0.25"/>
    <row r="891" ht="25.5" hidden="1" customHeight="1" x14ac:dyDescent="0.25"/>
    <row r="892" ht="25.5" hidden="1" customHeight="1" x14ac:dyDescent="0.25"/>
    <row r="893" ht="25.5" hidden="1" customHeight="1" x14ac:dyDescent="0.25"/>
    <row r="894" ht="25.5" hidden="1" customHeight="1" x14ac:dyDescent="0.25"/>
    <row r="895" ht="25.5" hidden="1" customHeight="1" x14ac:dyDescent="0.25"/>
    <row r="896" ht="25.5" hidden="1" customHeight="1" x14ac:dyDescent="0.25"/>
    <row r="897" ht="25.5" hidden="1" customHeight="1" x14ac:dyDescent="0.25"/>
    <row r="898" ht="25.5" hidden="1" customHeight="1" x14ac:dyDescent="0.25"/>
    <row r="899" ht="25.5" hidden="1" customHeight="1" x14ac:dyDescent="0.25"/>
    <row r="900" ht="25.5" hidden="1" customHeight="1" x14ac:dyDescent="0.25"/>
    <row r="901" ht="25.5" hidden="1" customHeight="1" x14ac:dyDescent="0.25"/>
    <row r="902" ht="25.5" hidden="1" customHeight="1" x14ac:dyDescent="0.25"/>
    <row r="903" ht="25.5" hidden="1" customHeight="1" x14ac:dyDescent="0.25"/>
    <row r="904" ht="25.5" hidden="1" customHeight="1" x14ac:dyDescent="0.25"/>
    <row r="905" ht="25.5" hidden="1" customHeight="1" x14ac:dyDescent="0.25"/>
    <row r="906" ht="25.5" hidden="1" customHeight="1" x14ac:dyDescent="0.25"/>
    <row r="907" ht="25.5" hidden="1" customHeight="1" x14ac:dyDescent="0.25"/>
    <row r="908" ht="25.5" hidden="1" customHeight="1" x14ac:dyDescent="0.25"/>
    <row r="909" ht="25.5" hidden="1" customHeight="1" x14ac:dyDescent="0.25"/>
    <row r="910" ht="25.5" hidden="1" customHeight="1" x14ac:dyDescent="0.25"/>
    <row r="911" ht="25.5" hidden="1" customHeight="1" x14ac:dyDescent="0.25"/>
    <row r="912" ht="25.5" hidden="1" customHeight="1" x14ac:dyDescent="0.25"/>
    <row r="913" ht="25.5" hidden="1" customHeight="1" x14ac:dyDescent="0.25"/>
    <row r="914" ht="25.5" hidden="1" customHeight="1" x14ac:dyDescent="0.25"/>
    <row r="915" ht="25.5" hidden="1" customHeight="1" x14ac:dyDescent="0.25"/>
    <row r="916" ht="25.5" hidden="1" customHeight="1" x14ac:dyDescent="0.25"/>
    <row r="917" ht="25.5" hidden="1" customHeight="1" x14ac:dyDescent="0.25"/>
    <row r="918" ht="25.5" hidden="1" customHeight="1" x14ac:dyDescent="0.25"/>
    <row r="919" ht="25.5" hidden="1" customHeight="1" x14ac:dyDescent="0.25"/>
    <row r="920" ht="25.5" hidden="1" customHeight="1" x14ac:dyDescent="0.25"/>
    <row r="921" ht="25.5" hidden="1" customHeight="1" x14ac:dyDescent="0.25"/>
    <row r="922" ht="25.5" hidden="1" customHeight="1" x14ac:dyDescent="0.25"/>
    <row r="923" ht="25.5" hidden="1" customHeight="1" x14ac:dyDescent="0.25"/>
    <row r="924" ht="25.5" hidden="1" customHeight="1" x14ac:dyDescent="0.25"/>
    <row r="925" ht="25.5" hidden="1" customHeight="1" x14ac:dyDescent="0.25"/>
    <row r="926" ht="25.5" hidden="1" customHeight="1" x14ac:dyDescent="0.25"/>
    <row r="927" ht="25.5" hidden="1" customHeight="1" x14ac:dyDescent="0.25"/>
    <row r="928" ht="25.5" hidden="1" customHeight="1" x14ac:dyDescent="0.25"/>
    <row r="929" ht="25.5" hidden="1" customHeight="1" x14ac:dyDescent="0.25"/>
    <row r="930" ht="25.5" hidden="1" customHeight="1" x14ac:dyDescent="0.25"/>
    <row r="931" ht="25.5" hidden="1" customHeight="1" x14ac:dyDescent="0.25"/>
    <row r="932" ht="25.5" hidden="1" customHeight="1" x14ac:dyDescent="0.25"/>
    <row r="933" ht="25.5" hidden="1" customHeight="1" x14ac:dyDescent="0.25"/>
    <row r="934" ht="25.5" hidden="1" customHeight="1" x14ac:dyDescent="0.25"/>
    <row r="935" ht="25.5" hidden="1" customHeight="1" x14ac:dyDescent="0.25"/>
    <row r="936" ht="25.5" hidden="1" customHeight="1" x14ac:dyDescent="0.25"/>
    <row r="937" ht="25.5" hidden="1" customHeight="1" x14ac:dyDescent="0.25"/>
    <row r="938" ht="25.5" hidden="1" customHeight="1" x14ac:dyDescent="0.25"/>
    <row r="939" ht="25.5" hidden="1" customHeight="1" x14ac:dyDescent="0.25"/>
    <row r="940" ht="25.5" hidden="1" customHeight="1" x14ac:dyDescent="0.25"/>
    <row r="941" ht="25.5" hidden="1" customHeight="1" x14ac:dyDescent="0.25"/>
    <row r="942" ht="25.5" hidden="1" customHeight="1" x14ac:dyDescent="0.25"/>
    <row r="943" ht="25.5" hidden="1" customHeight="1" x14ac:dyDescent="0.25"/>
    <row r="944" ht="25.5" hidden="1" customHeight="1" x14ac:dyDescent="0.25"/>
    <row r="945" ht="25.5" hidden="1" customHeight="1" x14ac:dyDescent="0.25"/>
    <row r="946" ht="25.5" hidden="1" customHeight="1" x14ac:dyDescent="0.25"/>
    <row r="947" ht="25.5" hidden="1" customHeight="1" x14ac:dyDescent="0.25"/>
    <row r="948" ht="25.5" hidden="1" customHeight="1" x14ac:dyDescent="0.25"/>
    <row r="949" ht="25.5" hidden="1" customHeight="1" x14ac:dyDescent="0.25"/>
    <row r="950" ht="25.5" hidden="1" customHeight="1" x14ac:dyDescent="0.25"/>
    <row r="951" ht="25.5" hidden="1" customHeight="1" x14ac:dyDescent="0.25"/>
    <row r="952" ht="25.5" hidden="1" customHeight="1" x14ac:dyDescent="0.25"/>
    <row r="953" ht="25.5" hidden="1" customHeight="1" x14ac:dyDescent="0.25"/>
    <row r="954" ht="25.5" hidden="1" customHeight="1" x14ac:dyDescent="0.25"/>
    <row r="955" ht="25.5" hidden="1" customHeight="1" x14ac:dyDescent="0.25"/>
    <row r="956" ht="25.5" hidden="1" customHeight="1" x14ac:dyDescent="0.25"/>
    <row r="957" ht="25.5" hidden="1" customHeight="1" x14ac:dyDescent="0.25"/>
    <row r="958" ht="25.5" hidden="1" customHeight="1" x14ac:dyDescent="0.25"/>
    <row r="959" ht="25.5" hidden="1" customHeight="1" x14ac:dyDescent="0.25"/>
    <row r="960" ht="25.5" hidden="1" customHeight="1" x14ac:dyDescent="0.25"/>
    <row r="961" ht="25.5" hidden="1" customHeight="1" x14ac:dyDescent="0.25"/>
    <row r="962" ht="25.5" hidden="1" customHeight="1" x14ac:dyDescent="0.25"/>
    <row r="963" ht="25.5" hidden="1" customHeight="1" x14ac:dyDescent="0.25"/>
    <row r="964" ht="25.5" hidden="1" customHeight="1" x14ac:dyDescent="0.25"/>
    <row r="965" ht="25.5" hidden="1" customHeight="1" x14ac:dyDescent="0.25"/>
    <row r="966" ht="25.5" hidden="1" customHeight="1" x14ac:dyDescent="0.25"/>
    <row r="967" ht="25.5" hidden="1" customHeight="1" x14ac:dyDescent="0.25"/>
    <row r="968" ht="25.5" hidden="1" customHeight="1" x14ac:dyDescent="0.25"/>
    <row r="969" ht="25.5" hidden="1" customHeight="1" x14ac:dyDescent="0.25"/>
    <row r="970" ht="25.5" hidden="1" customHeight="1" x14ac:dyDescent="0.25"/>
    <row r="971" ht="25.5" hidden="1" customHeight="1" x14ac:dyDescent="0.25"/>
    <row r="972" ht="25.5" hidden="1" customHeight="1" x14ac:dyDescent="0.25"/>
    <row r="973" ht="25.5" hidden="1" customHeight="1" x14ac:dyDescent="0.25"/>
    <row r="974" ht="25.5" hidden="1" customHeight="1" x14ac:dyDescent="0.25"/>
    <row r="975" ht="25.5" hidden="1" customHeight="1" x14ac:dyDescent="0.25"/>
    <row r="976" ht="25.5" hidden="1" customHeight="1" x14ac:dyDescent="0.25"/>
    <row r="977" ht="25.5" hidden="1" customHeight="1" x14ac:dyDescent="0.25"/>
    <row r="978" ht="25.5" hidden="1" customHeight="1" x14ac:dyDescent="0.25"/>
    <row r="979" ht="25.5" hidden="1" customHeight="1" x14ac:dyDescent="0.25"/>
    <row r="980" ht="25.5" hidden="1" customHeight="1" x14ac:dyDescent="0.25"/>
    <row r="981" ht="25.5" hidden="1" customHeight="1" x14ac:dyDescent="0.25"/>
    <row r="982" ht="25.5" hidden="1" customHeight="1" x14ac:dyDescent="0.25"/>
    <row r="983" ht="25.5" hidden="1" customHeight="1" x14ac:dyDescent="0.25"/>
    <row r="984" ht="25.5" hidden="1" customHeight="1" x14ac:dyDescent="0.25"/>
    <row r="985" ht="25.5" hidden="1" customHeight="1" x14ac:dyDescent="0.25"/>
    <row r="986" ht="25.5" hidden="1" customHeight="1" x14ac:dyDescent="0.25"/>
    <row r="987" ht="25.5" hidden="1" customHeight="1" x14ac:dyDescent="0.25"/>
    <row r="988" ht="25.5" hidden="1" customHeight="1" x14ac:dyDescent="0.25"/>
    <row r="989" ht="25.5" hidden="1" customHeight="1" x14ac:dyDescent="0.25"/>
    <row r="990" ht="25.5" hidden="1" customHeight="1" x14ac:dyDescent="0.25"/>
    <row r="991" ht="25.5" hidden="1" customHeight="1" x14ac:dyDescent="0.25"/>
    <row r="992" ht="25.5" hidden="1" customHeight="1" x14ac:dyDescent="0.25"/>
    <row r="993" ht="25.5" hidden="1" customHeight="1" x14ac:dyDescent="0.25"/>
    <row r="994" ht="25.5" hidden="1" customHeight="1" x14ac:dyDescent="0.25"/>
    <row r="995" ht="25.5" hidden="1" customHeight="1" x14ac:dyDescent="0.25"/>
    <row r="996" ht="25.5" hidden="1" customHeight="1" x14ac:dyDescent="0.25"/>
    <row r="997" ht="25.5" hidden="1" customHeight="1" x14ac:dyDescent="0.25"/>
    <row r="998" ht="25.5" hidden="1" customHeight="1" x14ac:dyDescent="0.25"/>
    <row r="999" ht="25.5" hidden="1" customHeight="1" x14ac:dyDescent="0.25"/>
    <row r="1000" ht="25.5" hidden="1" customHeight="1" x14ac:dyDescent="0.25"/>
    <row r="1001" ht="25.5" hidden="1" customHeight="1" x14ac:dyDescent="0.25"/>
    <row r="1002" ht="25.5" hidden="1" customHeight="1" x14ac:dyDescent="0.25"/>
    <row r="1003" ht="25.5" hidden="1" customHeight="1" x14ac:dyDescent="0.25"/>
    <row r="1004" ht="25.5" hidden="1" customHeight="1" x14ac:dyDescent="0.25"/>
    <row r="1005" ht="25.5" hidden="1" customHeight="1" x14ac:dyDescent="0.25"/>
    <row r="1006" ht="25.5" hidden="1" customHeight="1" x14ac:dyDescent="0.25"/>
    <row r="1007" ht="25.5" hidden="1" customHeight="1" x14ac:dyDescent="0.25"/>
    <row r="1008" ht="25.5" hidden="1" customHeight="1" x14ac:dyDescent="0.25"/>
    <row r="1009" ht="25.5" hidden="1" customHeight="1" x14ac:dyDescent="0.25"/>
    <row r="1010" ht="25.5" hidden="1" customHeight="1" x14ac:dyDescent="0.25"/>
    <row r="1011" ht="25.5" hidden="1" customHeight="1" x14ac:dyDescent="0.25"/>
    <row r="1012" ht="25.5" hidden="1" customHeight="1" x14ac:dyDescent="0.25"/>
    <row r="1013" ht="25.5" hidden="1" customHeight="1" x14ac:dyDescent="0.25"/>
    <row r="1014" ht="25.5" hidden="1" customHeight="1" x14ac:dyDescent="0.25"/>
    <row r="1015" ht="25.5" hidden="1" customHeight="1" x14ac:dyDescent="0.25"/>
    <row r="1016" ht="25.5" hidden="1" customHeight="1" x14ac:dyDescent="0.25"/>
    <row r="1017" ht="25.5" hidden="1" customHeight="1" x14ac:dyDescent="0.25"/>
    <row r="1018" ht="25.5" hidden="1" customHeight="1" x14ac:dyDescent="0.25"/>
    <row r="1019" ht="25.5" hidden="1" customHeight="1" x14ac:dyDescent="0.25"/>
    <row r="1020" ht="25.5" hidden="1" customHeight="1" x14ac:dyDescent="0.25"/>
    <row r="1021" ht="25.5" hidden="1" customHeight="1" x14ac:dyDescent="0.25"/>
    <row r="1022" ht="25.5" customHeight="1" x14ac:dyDescent="0.25"/>
    <row r="1023" ht="25.5" customHeight="1" x14ac:dyDescent="0.25"/>
    <row r="1024" ht="25.5" customHeight="1" x14ac:dyDescent="0.25"/>
    <row r="1025" ht="25.5" customHeight="1" x14ac:dyDescent="0.25"/>
    <row r="1026" ht="25.5" customHeight="1" x14ac:dyDescent="0.25"/>
    <row r="1027" ht="25.5" customHeight="1" x14ac:dyDescent="0.25"/>
    <row r="1028" ht="25.5" customHeight="1" x14ac:dyDescent="0.25"/>
    <row r="1029" ht="25.5" customHeight="1" x14ac:dyDescent="0.25"/>
    <row r="1030" ht="25.5" customHeight="1" x14ac:dyDescent="0.25"/>
    <row r="1031" ht="25.5" customHeight="1" x14ac:dyDescent="0.25"/>
    <row r="1032" ht="25.5" customHeight="1" x14ac:dyDescent="0.25"/>
    <row r="1033" ht="25.5" customHeight="1" x14ac:dyDescent="0.25"/>
    <row r="1034" ht="25.5" customHeight="1" x14ac:dyDescent="0.25"/>
    <row r="1035" ht="25.5" customHeight="1" x14ac:dyDescent="0.25"/>
    <row r="1036" ht="25.5" customHeight="1" x14ac:dyDescent="0.25"/>
    <row r="1037" ht="25.5" customHeight="1" x14ac:dyDescent="0.25"/>
    <row r="1038" ht="25.5" customHeight="1" x14ac:dyDescent="0.25"/>
    <row r="1039" ht="25.5" customHeight="1" x14ac:dyDescent="0.25"/>
    <row r="1040" ht="25.5" customHeight="1" x14ac:dyDescent="0.25"/>
    <row r="1041" ht="25.5" customHeight="1" x14ac:dyDescent="0.25"/>
    <row r="1042" ht="25.5" customHeight="1" x14ac:dyDescent="0.25"/>
    <row r="1043" ht="25.5" customHeight="1" x14ac:dyDescent="0.25"/>
    <row r="1044" ht="25.5" customHeight="1" x14ac:dyDescent="0.25"/>
    <row r="1045" ht="25.5" customHeight="1" x14ac:dyDescent="0.25"/>
    <row r="1046" ht="25.5" customHeight="1" x14ac:dyDescent="0.25"/>
    <row r="1047" ht="25.5" customHeight="1" x14ac:dyDescent="0.25"/>
    <row r="1048" ht="25.5" customHeight="1" x14ac:dyDescent="0.25"/>
    <row r="1049" ht="25.5" customHeight="1" x14ac:dyDescent="0.25"/>
    <row r="1050" ht="25.5" customHeight="1" x14ac:dyDescent="0.25"/>
    <row r="1051" ht="25.5" customHeight="1" x14ac:dyDescent="0.25"/>
    <row r="1052" ht="25.5" customHeight="1" x14ac:dyDescent="0.25"/>
    <row r="1053" ht="25.5" customHeight="1" x14ac:dyDescent="0.25"/>
    <row r="1054" ht="25.5" customHeight="1" x14ac:dyDescent="0.25"/>
    <row r="1055" ht="25.5" customHeight="1" x14ac:dyDescent="0.25"/>
    <row r="1056" ht="25.5" customHeight="1" x14ac:dyDescent="0.25"/>
    <row r="1057" ht="25.5" customHeight="1" x14ac:dyDescent="0.25"/>
    <row r="1058" ht="25.5" customHeight="1" x14ac:dyDescent="0.25"/>
    <row r="1059" ht="25.5" customHeight="1" x14ac:dyDescent="0.25"/>
    <row r="1060" ht="25.5" customHeight="1" x14ac:dyDescent="0.25"/>
    <row r="1061" ht="25.5" customHeight="1" x14ac:dyDescent="0.25"/>
    <row r="1062" ht="25.5" customHeight="1" x14ac:dyDescent="0.25"/>
    <row r="1063" ht="25.5" customHeight="1" x14ac:dyDescent="0.25"/>
    <row r="1064" ht="25.5" customHeight="1" x14ac:dyDescent="0.25"/>
    <row r="1065" ht="25.5" customHeight="1" x14ac:dyDescent="0.25"/>
    <row r="1066" ht="25.5" customHeight="1" x14ac:dyDescent="0.25"/>
    <row r="1067" ht="25.5" customHeight="1" x14ac:dyDescent="0.25"/>
    <row r="1068" ht="25.5" customHeight="1" x14ac:dyDescent="0.25"/>
    <row r="1069" ht="25.5" customHeight="1" x14ac:dyDescent="0.25"/>
    <row r="1070" ht="25.5" customHeight="1" x14ac:dyDescent="0.25"/>
    <row r="1071" ht="25.5" customHeight="1" x14ac:dyDescent="0.25"/>
    <row r="1072" ht="25.5" customHeight="1" x14ac:dyDescent="0.25"/>
    <row r="1073" ht="25.5" customHeight="1" x14ac:dyDescent="0.25"/>
    <row r="1074" ht="25.5" customHeight="1" x14ac:dyDescent="0.25"/>
    <row r="1075" ht="25.5" customHeight="1" x14ac:dyDescent="0.25"/>
    <row r="1076" ht="25.5" customHeight="1" x14ac:dyDescent="0.25"/>
    <row r="1077" ht="25.5" customHeight="1" x14ac:dyDescent="0.25"/>
    <row r="1078" ht="25.5" customHeight="1" x14ac:dyDescent="0.25"/>
    <row r="1079" ht="25.5" customHeight="1" x14ac:dyDescent="0.25"/>
    <row r="1080" ht="25.5" customHeight="1" x14ac:dyDescent="0.25"/>
    <row r="1081" ht="25.5" customHeight="1" x14ac:dyDescent="0.25"/>
    <row r="1082" ht="25.5" customHeight="1" x14ac:dyDescent="0.25"/>
    <row r="1083" ht="25.5" customHeight="1" x14ac:dyDescent="0.25"/>
    <row r="1084" ht="25.5" customHeight="1" x14ac:dyDescent="0.25"/>
    <row r="1085" ht="25.5" customHeight="1" x14ac:dyDescent="0.25"/>
    <row r="1086" ht="25.5" customHeight="1" x14ac:dyDescent="0.25"/>
    <row r="1087" ht="25.5" customHeight="1" x14ac:dyDescent="0.25"/>
    <row r="1088" ht="25.5" customHeight="1" x14ac:dyDescent="0.25"/>
    <row r="1089" ht="25.5" customHeight="1" x14ac:dyDescent="0.25"/>
    <row r="1090" ht="25.5" customHeight="1" x14ac:dyDescent="0.25"/>
    <row r="1091" ht="25.5" customHeight="1" x14ac:dyDescent="0.25"/>
    <row r="1092" ht="25.5" customHeight="1" x14ac:dyDescent="0.25"/>
    <row r="1093" ht="25.5" customHeight="1" x14ac:dyDescent="0.25"/>
    <row r="1094" ht="25.5" customHeight="1" x14ac:dyDescent="0.25"/>
    <row r="1095" ht="25.5" customHeight="1" x14ac:dyDescent="0.25"/>
    <row r="1096" ht="25.5" customHeight="1" x14ac:dyDescent="0.25"/>
    <row r="1097" ht="25.5" customHeight="1" x14ac:dyDescent="0.25"/>
    <row r="1098" ht="25.5" customHeight="1" x14ac:dyDescent="0.25"/>
    <row r="1099" ht="25.5" customHeight="1" x14ac:dyDescent="0.25"/>
    <row r="1100" ht="25.5" customHeight="1" x14ac:dyDescent="0.25"/>
    <row r="1101" ht="25.5" customHeight="1" x14ac:dyDescent="0.25"/>
    <row r="1102" ht="25.5" customHeight="1" x14ac:dyDescent="0.25"/>
    <row r="1103" ht="25.5" customHeight="1" x14ac:dyDescent="0.25"/>
    <row r="1104" ht="25.5" customHeight="1" x14ac:dyDescent="0.25"/>
    <row r="1105" ht="25.5" customHeight="1" x14ac:dyDescent="0.25"/>
    <row r="1106" ht="25.5" customHeight="1" x14ac:dyDescent="0.25"/>
    <row r="1107" ht="25.5" customHeight="1" x14ac:dyDescent="0.25"/>
    <row r="1108" ht="25.5" customHeight="1" x14ac:dyDescent="0.25"/>
    <row r="1109" ht="25.5" customHeight="1" x14ac:dyDescent="0.25"/>
    <row r="1110" ht="25.5" customHeight="1" x14ac:dyDescent="0.25"/>
    <row r="1111" ht="25.5" customHeight="1" x14ac:dyDescent="0.25"/>
    <row r="1112" ht="25.5" customHeight="1" x14ac:dyDescent="0.25"/>
    <row r="1113" ht="25.5" customHeight="1" x14ac:dyDescent="0.25"/>
    <row r="1114" ht="25.5" customHeight="1" x14ac:dyDescent="0.25"/>
    <row r="1115" ht="25.5" customHeight="1" x14ac:dyDescent="0.25"/>
    <row r="1116" ht="25.5" customHeight="1" x14ac:dyDescent="0.25"/>
    <row r="1117" ht="25.5" customHeight="1" x14ac:dyDescent="0.25"/>
  </sheetData>
  <mergeCells count="154">
    <mergeCell ref="C33:C35"/>
    <mergeCell ref="L6:S6"/>
    <mergeCell ref="C6:G6"/>
    <mergeCell ref="S27:T29"/>
    <mergeCell ref="A20:C20"/>
    <mergeCell ref="Q17:Q18"/>
    <mergeCell ref="H27:H29"/>
    <mergeCell ref="H30:H32"/>
    <mergeCell ref="C7:G7"/>
    <mergeCell ref="D12:G12"/>
    <mergeCell ref="D13:G13"/>
    <mergeCell ref="D14:G14"/>
    <mergeCell ref="A12:C14"/>
    <mergeCell ref="A21:C21"/>
    <mergeCell ref="C30:C32"/>
    <mergeCell ref="A38:E38"/>
    <mergeCell ref="A40:A41"/>
    <mergeCell ref="S48:T48"/>
    <mergeCell ref="M48:P48"/>
    <mergeCell ref="M47:P47"/>
    <mergeCell ref="Q46:U46"/>
    <mergeCell ref="N7:S7"/>
    <mergeCell ref="M8:S8"/>
    <mergeCell ref="M9:N9"/>
    <mergeCell ref="K10:L10"/>
    <mergeCell ref="Q10:S10"/>
    <mergeCell ref="U24:U26"/>
    <mergeCell ref="U27:U29"/>
    <mergeCell ref="U30:U32"/>
    <mergeCell ref="U33:U35"/>
    <mergeCell ref="L27:L29"/>
    <mergeCell ref="L30:L32"/>
    <mergeCell ref="M34:N34"/>
    <mergeCell ref="J14:L14"/>
    <mergeCell ref="M25:O25"/>
    <mergeCell ref="M26:O26"/>
    <mergeCell ref="P26:R26"/>
    <mergeCell ref="R17:T17"/>
    <mergeCell ref="P33:Q33"/>
    <mergeCell ref="P27:Q27"/>
    <mergeCell ref="P34:Q34"/>
    <mergeCell ref="K33:K35"/>
    <mergeCell ref="F33:F35"/>
    <mergeCell ref="G30:G32"/>
    <mergeCell ref="I27:I29"/>
    <mergeCell ref="P28:Q28"/>
    <mergeCell ref="L33:L35"/>
    <mergeCell ref="P32:Q32"/>
    <mergeCell ref="I30:I32"/>
    <mergeCell ref="I33:I35"/>
    <mergeCell ref="M28:N28"/>
    <mergeCell ref="M27:N27"/>
    <mergeCell ref="P29:Q29"/>
    <mergeCell ref="P30:Q30"/>
    <mergeCell ref="M29:N29"/>
    <mergeCell ref="M35:N35"/>
    <mergeCell ref="K27:K29"/>
    <mergeCell ref="M33:N33"/>
    <mergeCell ref="P35:Q35"/>
    <mergeCell ref="P31:Q31"/>
    <mergeCell ref="J39:L40"/>
    <mergeCell ref="J41:L41"/>
    <mergeCell ref="J42:L42"/>
    <mergeCell ref="F40:F41"/>
    <mergeCell ref="E42:E43"/>
    <mergeCell ref="J43:L43"/>
    <mergeCell ref="C40:C41"/>
    <mergeCell ref="D40:D41"/>
    <mergeCell ref="C44:C45"/>
    <mergeCell ref="M30:N30"/>
    <mergeCell ref="M31:N31"/>
    <mergeCell ref="M32:N32"/>
    <mergeCell ref="C9:G9"/>
    <mergeCell ref="J12:M12"/>
    <mergeCell ref="N12:U12"/>
    <mergeCell ref="S30:T32"/>
    <mergeCell ref="A18:C18"/>
    <mergeCell ref="A42:A43"/>
    <mergeCell ref="A19:C19"/>
    <mergeCell ref="D25:D26"/>
    <mergeCell ref="B24:D24"/>
    <mergeCell ref="A24:A26"/>
    <mergeCell ref="B40:B41"/>
    <mergeCell ref="A16:C16"/>
    <mergeCell ref="B42:B43"/>
    <mergeCell ref="G38:H39"/>
    <mergeCell ref="G40:G41"/>
    <mergeCell ref="H40:H41"/>
    <mergeCell ref="H33:H35"/>
    <mergeCell ref="F30:F32"/>
    <mergeCell ref="E24:T24"/>
    <mergeCell ref="P25:R25"/>
    <mergeCell ref="S26:T26"/>
    <mergeCell ref="J38:U38"/>
    <mergeCell ref="M39:O39"/>
    <mergeCell ref="P39:R39"/>
    <mergeCell ref="B27:B29"/>
    <mergeCell ref="B30:B32"/>
    <mergeCell ref="B33:B35"/>
    <mergeCell ref="A47:A48"/>
    <mergeCell ref="E27:E29"/>
    <mergeCell ref="A1:R1"/>
    <mergeCell ref="J15:L15"/>
    <mergeCell ref="A4:U4"/>
    <mergeCell ref="A2:U2"/>
    <mergeCell ref="A3:R3"/>
    <mergeCell ref="A27:A29"/>
    <mergeCell ref="A30:A32"/>
    <mergeCell ref="A33:A35"/>
    <mergeCell ref="E30:E32"/>
    <mergeCell ref="E33:E35"/>
    <mergeCell ref="F27:F29"/>
    <mergeCell ref="G33:G35"/>
    <mergeCell ref="J30:J32"/>
    <mergeCell ref="K30:K32"/>
    <mergeCell ref="J13:L13"/>
    <mergeCell ref="C8:G8"/>
    <mergeCell ref="G44:G45"/>
    <mergeCell ref="H44:H45"/>
    <mergeCell ref="A44:A45"/>
    <mergeCell ref="E40:E41"/>
    <mergeCell ref="F42:F43"/>
    <mergeCell ref="G42:G43"/>
    <mergeCell ref="H42:H43"/>
    <mergeCell ref="B44:B45"/>
    <mergeCell ref="D44:D45"/>
    <mergeCell ref="E44:E45"/>
    <mergeCell ref="F44:F45"/>
    <mergeCell ref="C42:C43"/>
    <mergeCell ref="D42:D43"/>
    <mergeCell ref="M49:P49"/>
    <mergeCell ref="D27:D29"/>
    <mergeCell ref="D30:D32"/>
    <mergeCell ref="D33:D35"/>
    <mergeCell ref="C27:C29"/>
    <mergeCell ref="S33:T35"/>
    <mergeCell ref="S25:T25"/>
    <mergeCell ref="R13:T13"/>
    <mergeCell ref="R14:T14"/>
    <mergeCell ref="R15:T15"/>
    <mergeCell ref="S39:U39"/>
    <mergeCell ref="J33:J35"/>
    <mergeCell ref="G27:G29"/>
    <mergeCell ref="J27:J29"/>
    <mergeCell ref="P17:P18"/>
    <mergeCell ref="I17:I18"/>
    <mergeCell ref="J17:L17"/>
    <mergeCell ref="M17:O17"/>
    <mergeCell ref="R18:T18"/>
    <mergeCell ref="R19:T19"/>
    <mergeCell ref="A17:C17"/>
    <mergeCell ref="E47:J50"/>
    <mergeCell ref="F46:H46"/>
    <mergeCell ref="A49:A50"/>
  </mergeCells>
  <phoneticPr fontId="4" type="noConversion"/>
  <dataValidations count="7">
    <dataValidation allowBlank="1" showInputMessage="1" showErrorMessage="1" prompt="Date Format:_x000a_DD/MM/YYYY" sqref="S48 P9"/>
    <dataValidation type="whole" allowBlank="1" showInputMessage="1" showErrorMessage="1" sqref="E27:L35 M41:U43 O27:O35 R27:R35 B27:C35 B40:D45">
      <formula1>0</formula1>
      <formula2>999999</formula2>
    </dataValidation>
    <dataValidation type="whole" allowBlank="1" showInputMessage="1" showErrorMessage="1" prompt="Fill the following Others (Specify) table to get the number automatically " sqref="S27:T35">
      <formula1>0</formula1>
      <formula2>999999</formula2>
    </dataValidation>
    <dataValidation type="list" allowBlank="1" showInputMessage="1" showErrorMessage="1" prompt="Select from drop down list" sqref="C6:G6">
      <formula1>"Barisal_Division, Chattogram_Division, Dhaka_Division, Khulna_Division, Mymensingh_Division, Rajshahi_Division, Rangpur_Division, Sylhet_Division"</formula1>
    </dataValidation>
    <dataValidation type="list" allowBlank="1" showInputMessage="1" showErrorMessage="1" prompt="Select from drop down list" sqref="C7:G7">
      <formula1>INDIRECT($C$6)</formula1>
    </dataValidation>
    <dataValidation type="list" allowBlank="1" showInputMessage="1" showErrorMessage="1" prompt="Select from drop down list" sqref="C8:G8">
      <formula1>INDIRECT($C$7)</formula1>
    </dataValidation>
    <dataValidation type="list" allowBlank="1" showInputMessage="1" showErrorMessage="1" prompt="Select from drop down list" sqref="C9:G9">
      <formula1>"GeneXpert (Sputum &amp; EP), GeneXpert (Stool), Truenat"</formula1>
    </dataValidation>
  </dataValidations>
  <pageMargins left="0.21" right="0.17" top="0.47" bottom="0.22" header="0.23" footer="0.16"/>
  <pageSetup paperSize="9" scale="6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WE1114"/>
  <sheetViews>
    <sheetView showGridLines="0" view="pageBreakPreview" topLeftCell="A25" zoomScaleSheetLayoutView="100" workbookViewId="0">
      <selection activeCell="H44" sqref="H44:H45"/>
    </sheetView>
  </sheetViews>
  <sheetFormatPr defaultColWidth="9.33203125" defaultRowHeight="13.8" x14ac:dyDescent="0.25"/>
  <cols>
    <col min="1" max="1" width="18.6640625" style="37" customWidth="1"/>
    <col min="2" max="2" width="11.6640625" style="37" customWidth="1"/>
    <col min="3" max="4" width="11.44140625" style="37" customWidth="1"/>
    <col min="5" max="5" width="14.44140625" style="37" customWidth="1"/>
    <col min="6" max="6" width="9.6640625" style="37" customWidth="1"/>
    <col min="7" max="7" width="11.6640625" style="37" customWidth="1"/>
    <col min="8" max="8" width="12.33203125" style="37" bestFit="1" customWidth="1"/>
    <col min="9" max="9" width="7.5546875" style="37" customWidth="1"/>
    <col min="10" max="11" width="9" style="37" customWidth="1"/>
    <col min="12" max="12" width="9.6640625" style="37" customWidth="1"/>
    <col min="13" max="13" width="8.44140625" style="37" customWidth="1"/>
    <col min="14" max="15" width="6.6640625" style="37" customWidth="1"/>
    <col min="16" max="16" width="11.5546875" style="37" customWidth="1"/>
    <col min="17" max="17" width="6.5546875" style="37" customWidth="1"/>
    <col min="18" max="18" width="7.33203125" style="37" customWidth="1"/>
    <col min="19" max="19" width="6.6640625" style="37" customWidth="1"/>
    <col min="20" max="20" width="11.6640625" style="37" customWidth="1"/>
    <col min="21" max="21" width="13" style="37" customWidth="1"/>
    <col min="22" max="22" width="8.33203125" style="37" customWidth="1"/>
    <col min="23" max="23" width="16.6640625" style="37" customWidth="1"/>
    <col min="24" max="24" width="10.33203125" style="37" customWidth="1"/>
    <col min="25" max="28" width="9.33203125" style="37"/>
    <col min="29" max="29" width="13.33203125" style="37" customWidth="1"/>
    <col min="30" max="16384" width="9.33203125" style="37"/>
  </cols>
  <sheetData>
    <row r="1" spans="1:603" ht="13.95" customHeight="1" x14ac:dyDescent="0.25">
      <c r="A1" s="208" t="s">
        <v>807</v>
      </c>
      <c r="B1" s="208"/>
      <c r="C1" s="208"/>
      <c r="D1" s="208"/>
      <c r="E1" s="208"/>
      <c r="F1" s="208"/>
      <c r="G1" s="208"/>
      <c r="H1" s="208"/>
      <c r="I1" s="208"/>
      <c r="J1" s="208"/>
      <c r="K1" s="208"/>
      <c r="L1" s="208"/>
      <c r="M1" s="208"/>
      <c r="N1" s="208"/>
      <c r="O1" s="208"/>
      <c r="P1" s="208"/>
      <c r="Q1" s="208"/>
      <c r="R1" s="208"/>
      <c r="S1" s="1" t="s">
        <v>66</v>
      </c>
      <c r="T1" s="1"/>
      <c r="U1" s="1"/>
      <c r="V1" s="36"/>
      <c r="W1" s="1"/>
      <c r="X1" s="1"/>
    </row>
    <row r="2" spans="1:603" ht="13.95" customHeight="1" x14ac:dyDescent="0.25">
      <c r="A2" s="208" t="s">
        <v>63</v>
      </c>
      <c r="B2" s="208"/>
      <c r="C2" s="208"/>
      <c r="D2" s="208"/>
      <c r="E2" s="208"/>
      <c r="F2" s="208"/>
      <c r="G2" s="208"/>
      <c r="H2" s="208"/>
      <c r="I2" s="208"/>
      <c r="J2" s="208"/>
      <c r="K2" s="208"/>
      <c r="L2" s="208"/>
      <c r="M2" s="208"/>
      <c r="N2" s="208"/>
      <c r="O2" s="208"/>
      <c r="P2" s="208"/>
      <c r="Q2" s="208"/>
      <c r="R2" s="208"/>
      <c r="S2" s="208"/>
      <c r="T2" s="208"/>
      <c r="U2" s="208"/>
      <c r="V2" s="38"/>
      <c r="W2" s="1"/>
      <c r="X2" s="1"/>
    </row>
    <row r="3" spans="1:603" ht="13.95" customHeight="1" x14ac:dyDescent="0.25">
      <c r="A3" s="208" t="s">
        <v>74</v>
      </c>
      <c r="B3" s="208"/>
      <c r="C3" s="208"/>
      <c r="D3" s="208"/>
      <c r="E3" s="208"/>
      <c r="F3" s="208"/>
      <c r="G3" s="208"/>
      <c r="H3" s="208"/>
      <c r="I3" s="208"/>
      <c r="J3" s="208"/>
      <c r="K3" s="208"/>
      <c r="L3" s="208"/>
      <c r="M3" s="208"/>
      <c r="N3" s="208"/>
      <c r="O3" s="208"/>
      <c r="P3" s="208"/>
      <c r="Q3" s="208"/>
      <c r="R3" s="208"/>
      <c r="S3" s="39"/>
      <c r="T3" s="39"/>
      <c r="U3" s="39"/>
      <c r="V3" s="38"/>
      <c r="W3" s="1"/>
      <c r="X3" s="1"/>
    </row>
    <row r="4" spans="1:603" ht="13.95" customHeight="1" x14ac:dyDescent="0.25">
      <c r="A4" s="210" t="s">
        <v>837</v>
      </c>
      <c r="B4" s="210"/>
      <c r="C4" s="210"/>
      <c r="D4" s="210"/>
      <c r="E4" s="210"/>
      <c r="F4" s="210"/>
      <c r="G4" s="210"/>
      <c r="H4" s="210"/>
      <c r="I4" s="210"/>
      <c r="J4" s="210"/>
      <c r="K4" s="210"/>
      <c r="L4" s="210"/>
      <c r="M4" s="210"/>
      <c r="N4" s="210"/>
      <c r="O4" s="210"/>
      <c r="P4" s="210"/>
      <c r="Q4" s="210"/>
      <c r="R4" s="210"/>
      <c r="S4" s="210"/>
      <c r="T4" s="210"/>
      <c r="U4" s="210"/>
      <c r="V4" s="35"/>
      <c r="W4" s="2"/>
      <c r="X4" s="2"/>
    </row>
    <row r="5" spans="1:603" ht="30" customHeight="1" x14ac:dyDescent="0.25">
      <c r="A5" s="2"/>
      <c r="B5" s="2"/>
      <c r="C5" s="2"/>
      <c r="D5" s="2"/>
      <c r="E5" s="2"/>
      <c r="F5" s="2"/>
      <c r="G5" s="2"/>
      <c r="H5" s="2"/>
      <c r="I5" s="2"/>
      <c r="J5" s="2"/>
      <c r="K5" s="2"/>
      <c r="L5" s="2"/>
      <c r="M5" s="2"/>
      <c r="N5" s="2"/>
      <c r="O5" s="2"/>
      <c r="P5" s="2"/>
      <c r="Q5" s="2"/>
      <c r="R5" s="2"/>
      <c r="S5" s="2"/>
      <c r="T5" s="2"/>
      <c r="U5" s="2"/>
      <c r="V5" s="35"/>
      <c r="W5" s="2"/>
      <c r="X5" s="2"/>
    </row>
    <row r="6" spans="1:603" ht="15.75" customHeight="1" x14ac:dyDescent="0.3">
      <c r="A6" s="40" t="s">
        <v>136</v>
      </c>
      <c r="B6" s="40"/>
      <c r="C6" s="297">
        <f>'DR-TB 10A (Sputum &amp; EP Sample)'!C6:G6</f>
        <v>0</v>
      </c>
      <c r="D6" s="297"/>
      <c r="E6" s="297"/>
      <c r="F6" s="297"/>
      <c r="G6" s="297"/>
      <c r="I6" s="1"/>
      <c r="J6" s="41" t="s">
        <v>14</v>
      </c>
      <c r="L6" s="263" t="str">
        <f>'DR-TB 10A (Sputum &amp; EP Sample)'!L6</f>
        <v>&lt;Dates&gt;</v>
      </c>
      <c r="M6" s="263"/>
      <c r="N6" s="263"/>
      <c r="O6" s="263"/>
      <c r="P6" s="263"/>
      <c r="Q6" s="263"/>
      <c r="R6" s="263"/>
      <c r="S6" s="290"/>
    </row>
    <row r="7" spans="1:603" ht="15.75" customHeight="1" x14ac:dyDescent="0.25">
      <c r="A7" s="40" t="s">
        <v>9</v>
      </c>
      <c r="B7" s="40"/>
      <c r="C7" s="294">
        <f>'DR-TB 10A (Sputum &amp; EP Sample)'!C7:G7</f>
        <v>0</v>
      </c>
      <c r="D7" s="294"/>
      <c r="E7" s="294"/>
      <c r="F7" s="294"/>
      <c r="G7" s="294"/>
      <c r="I7" s="42"/>
      <c r="J7" s="43" t="s">
        <v>65</v>
      </c>
      <c r="K7" s="43"/>
      <c r="L7" s="43"/>
      <c r="M7" s="43"/>
      <c r="N7" s="295">
        <f>'DR-TB 10A (Sputum &amp; EP Sample)'!N7</f>
        <v>0</v>
      </c>
      <c r="O7" s="295"/>
      <c r="P7" s="295"/>
      <c r="Q7" s="295"/>
      <c r="R7" s="295"/>
      <c r="S7" s="295"/>
      <c r="V7" s="36"/>
    </row>
    <row r="8" spans="1:603" ht="15.75" customHeight="1" x14ac:dyDescent="0.25">
      <c r="A8" s="40" t="s">
        <v>10</v>
      </c>
      <c r="B8" s="40"/>
      <c r="C8" s="294">
        <f>'DR-TB 10A (Sputum &amp; EP Sample)'!C8:G8</f>
        <v>0</v>
      </c>
      <c r="D8" s="294"/>
      <c r="E8" s="294"/>
      <c r="F8" s="294"/>
      <c r="G8" s="294"/>
      <c r="I8" s="42"/>
      <c r="J8" s="43" t="s">
        <v>64</v>
      </c>
      <c r="K8" s="43"/>
      <c r="L8" s="43"/>
      <c r="M8" s="295">
        <f>'DR-TB 10A (Sputum &amp; EP Sample)'!M8</f>
        <v>0</v>
      </c>
      <c r="N8" s="295"/>
      <c r="O8" s="295"/>
      <c r="P8" s="295"/>
      <c r="Q8" s="295"/>
      <c r="R8" s="295"/>
      <c r="S8" s="295"/>
      <c r="V8" s="36"/>
    </row>
    <row r="9" spans="1:603" ht="15.75" customHeight="1" x14ac:dyDescent="0.25">
      <c r="A9" s="40" t="s">
        <v>763</v>
      </c>
      <c r="C9" s="216" t="s">
        <v>880</v>
      </c>
      <c r="D9" s="216"/>
      <c r="E9" s="216"/>
      <c r="F9" s="216"/>
      <c r="G9" s="216"/>
      <c r="J9" s="43" t="s">
        <v>11</v>
      </c>
      <c r="K9" s="43"/>
      <c r="L9" s="43"/>
      <c r="M9" s="296">
        <f>'DR-TB 10A (Sputum &amp; EP Sample)'!M9</f>
        <v>0</v>
      </c>
      <c r="N9" s="296"/>
      <c r="O9" s="44"/>
      <c r="P9" s="9"/>
      <c r="V9" s="36"/>
    </row>
    <row r="10" spans="1:603" ht="15.75" customHeight="1" x14ac:dyDescent="0.3">
      <c r="J10" s="45" t="s">
        <v>69</v>
      </c>
      <c r="K10" s="291">
        <f>'DR-TB 10A (Sputum &amp; EP Sample)'!K10:L10</f>
        <v>0</v>
      </c>
      <c r="L10" s="291"/>
      <c r="M10" s="45"/>
      <c r="N10" s="46"/>
      <c r="O10" s="43"/>
      <c r="P10" s="37" t="s">
        <v>843</v>
      </c>
      <c r="Q10" s="292">
        <f>'DR-TB 10A (Sputum &amp; EP Sample)'!Q10:S10</f>
        <v>0</v>
      </c>
      <c r="R10" s="293"/>
      <c r="S10" s="293"/>
      <c r="V10" s="36"/>
    </row>
    <row r="11" spans="1:603" s="46" customFormat="1" ht="14.25" customHeight="1" thickBot="1" x14ac:dyDescent="0.35">
      <c r="A11" s="1" t="s">
        <v>0</v>
      </c>
      <c r="B11" s="47"/>
      <c r="C11" s="47"/>
      <c r="D11" s="47"/>
      <c r="E11" s="47"/>
      <c r="F11" s="37"/>
      <c r="V11" s="48"/>
    </row>
    <row r="12" spans="1:603" s="49" customFormat="1" ht="13.95" customHeight="1" x14ac:dyDescent="0.3">
      <c r="A12" s="279" t="s">
        <v>68</v>
      </c>
      <c r="B12" s="280"/>
      <c r="C12" s="281"/>
      <c r="D12" s="276" t="s">
        <v>77</v>
      </c>
      <c r="E12" s="276"/>
      <c r="F12" s="276"/>
      <c r="G12" s="276"/>
      <c r="H12" s="10">
        <f>D27+E40</f>
        <v>0</v>
      </c>
      <c r="I12" s="46"/>
      <c r="J12" s="219" t="s">
        <v>752</v>
      </c>
      <c r="K12" s="220"/>
      <c r="L12" s="220"/>
      <c r="M12" s="221"/>
      <c r="N12" s="219" t="s">
        <v>753</v>
      </c>
      <c r="O12" s="220"/>
      <c r="P12" s="220"/>
      <c r="Q12" s="220"/>
      <c r="R12" s="220"/>
      <c r="S12" s="220"/>
      <c r="T12" s="220"/>
      <c r="U12" s="221"/>
      <c r="V12" s="48"/>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D12" s="46"/>
      <c r="KE12" s="46"/>
      <c r="KF12" s="46"/>
      <c r="KG12" s="46"/>
      <c r="KH12" s="46"/>
      <c r="KI12" s="46"/>
      <c r="KJ12" s="46"/>
      <c r="KK12" s="46"/>
      <c r="KL12" s="46"/>
      <c r="KM12" s="46"/>
      <c r="KN12" s="46"/>
      <c r="KO12" s="46"/>
      <c r="KP12" s="46"/>
      <c r="KQ12" s="46"/>
      <c r="KR12" s="46"/>
      <c r="KS12" s="46"/>
      <c r="KT12" s="46"/>
      <c r="KU12" s="46"/>
      <c r="KV12" s="46"/>
      <c r="KW12" s="46"/>
      <c r="KX12" s="46"/>
      <c r="KY12" s="46"/>
      <c r="KZ12" s="46"/>
      <c r="LA12" s="46"/>
      <c r="LB12" s="46"/>
      <c r="LC12" s="46"/>
      <c r="LD12" s="46"/>
      <c r="LE12" s="46"/>
      <c r="LF12" s="46"/>
      <c r="LG12" s="46"/>
      <c r="LH12" s="46"/>
      <c r="LI12" s="46"/>
      <c r="LJ12" s="46"/>
      <c r="LK12" s="46"/>
      <c r="LL12" s="46"/>
      <c r="LM12" s="46"/>
      <c r="LN12" s="46"/>
      <c r="LO12" s="46"/>
      <c r="LP12" s="46"/>
      <c r="LQ12" s="46"/>
      <c r="LR12" s="46"/>
      <c r="LS12" s="46"/>
      <c r="LT12" s="46"/>
      <c r="LU12" s="46"/>
      <c r="LV12" s="46"/>
      <c r="LW12" s="46"/>
      <c r="LX12" s="46"/>
      <c r="LY12" s="46"/>
      <c r="LZ12" s="46"/>
      <c r="MA12" s="46"/>
      <c r="MB12" s="46"/>
      <c r="MC12" s="46"/>
      <c r="MD12" s="46"/>
      <c r="ME12" s="46"/>
      <c r="MF12" s="46"/>
      <c r="MG12" s="46"/>
      <c r="MH12" s="46"/>
      <c r="MI12" s="46"/>
      <c r="MJ12" s="46"/>
      <c r="MK12" s="46"/>
      <c r="ML12" s="46"/>
      <c r="MM12" s="46"/>
      <c r="MN12" s="46"/>
      <c r="MO12" s="46"/>
      <c r="MP12" s="46"/>
      <c r="MQ12" s="46"/>
      <c r="MR12" s="46"/>
      <c r="MS12" s="46"/>
      <c r="MT12" s="46"/>
      <c r="MU12" s="46"/>
      <c r="MV12" s="46"/>
      <c r="MW12" s="46"/>
      <c r="MX12" s="46"/>
      <c r="MY12" s="46"/>
      <c r="MZ12" s="46"/>
      <c r="NA12" s="46"/>
      <c r="NB12" s="46"/>
      <c r="NC12" s="46"/>
      <c r="ND12" s="46"/>
      <c r="NE12" s="46"/>
      <c r="NF12" s="46"/>
      <c r="NG12" s="46"/>
      <c r="NH12" s="46"/>
      <c r="NI12" s="46"/>
      <c r="NJ12" s="46"/>
      <c r="NK12" s="46"/>
      <c r="NL12" s="46"/>
      <c r="NM12" s="46"/>
      <c r="NN12" s="46"/>
      <c r="NO12" s="46"/>
      <c r="NP12" s="46"/>
      <c r="NQ12" s="46"/>
      <c r="NR12" s="46"/>
      <c r="NS12" s="46"/>
      <c r="NT12" s="46"/>
      <c r="NU12" s="46"/>
      <c r="NV12" s="46"/>
      <c r="NW12" s="46"/>
      <c r="NX12" s="46"/>
      <c r="NY12" s="46"/>
      <c r="NZ12" s="46"/>
      <c r="OA12" s="46"/>
      <c r="OB12" s="46"/>
      <c r="OC12" s="46"/>
      <c r="OD12" s="46"/>
      <c r="OE12" s="46"/>
      <c r="OF12" s="46"/>
      <c r="OG12" s="46"/>
      <c r="OH12" s="46"/>
      <c r="OI12" s="46"/>
      <c r="OJ12" s="46"/>
      <c r="OK12" s="46"/>
      <c r="OL12" s="46"/>
      <c r="OM12" s="46"/>
      <c r="ON12" s="46"/>
      <c r="OO12" s="46"/>
      <c r="OP12" s="46"/>
      <c r="OQ12" s="46"/>
      <c r="OR12" s="46"/>
      <c r="OS12" s="46"/>
      <c r="OT12" s="46"/>
      <c r="OU12" s="46"/>
      <c r="OV12" s="46"/>
      <c r="OW12" s="46"/>
      <c r="OX12" s="46"/>
      <c r="OY12" s="46"/>
      <c r="OZ12" s="46"/>
      <c r="PA12" s="46"/>
      <c r="PB12" s="46"/>
      <c r="PC12" s="46"/>
      <c r="PD12" s="46"/>
      <c r="PE12" s="46"/>
      <c r="PF12" s="46"/>
      <c r="PG12" s="46"/>
      <c r="PH12" s="46"/>
      <c r="PI12" s="46"/>
      <c r="PJ12" s="46"/>
      <c r="PK12" s="46"/>
      <c r="PL12" s="46"/>
      <c r="PM12" s="46"/>
      <c r="PN12" s="46"/>
      <c r="PO12" s="46"/>
      <c r="PP12" s="46"/>
      <c r="PQ12" s="46"/>
      <c r="PR12" s="46"/>
      <c r="PS12" s="46"/>
      <c r="PT12" s="46"/>
      <c r="PU12" s="46"/>
      <c r="PV12" s="46"/>
      <c r="PW12" s="46"/>
      <c r="PX12" s="46"/>
      <c r="PY12" s="46"/>
      <c r="PZ12" s="46"/>
      <c r="QA12" s="46"/>
      <c r="QB12" s="46"/>
      <c r="QC12" s="46"/>
      <c r="QD12" s="46"/>
      <c r="QE12" s="46"/>
      <c r="QF12" s="46"/>
      <c r="QG12" s="46"/>
      <c r="QH12" s="46"/>
      <c r="QI12" s="46"/>
      <c r="QJ12" s="46"/>
      <c r="QK12" s="46"/>
      <c r="QL12" s="46"/>
      <c r="QM12" s="46"/>
      <c r="QN12" s="46"/>
      <c r="QO12" s="46"/>
      <c r="QP12" s="46"/>
      <c r="QQ12" s="46"/>
      <c r="QR12" s="46"/>
      <c r="QS12" s="46"/>
      <c r="QT12" s="46"/>
      <c r="QU12" s="46"/>
      <c r="QV12" s="46"/>
      <c r="QW12" s="46"/>
      <c r="QX12" s="46"/>
      <c r="QY12" s="46"/>
      <c r="QZ12" s="46"/>
      <c r="RA12" s="46"/>
      <c r="RB12" s="46"/>
      <c r="RC12" s="46"/>
      <c r="RD12" s="46"/>
      <c r="RE12" s="46"/>
      <c r="RF12" s="46"/>
      <c r="RG12" s="46"/>
      <c r="RH12" s="46"/>
      <c r="RI12" s="46"/>
      <c r="RJ12" s="46"/>
      <c r="RK12" s="46"/>
      <c r="RL12" s="46"/>
      <c r="RM12" s="46"/>
      <c r="RN12" s="46"/>
      <c r="RO12" s="46"/>
      <c r="RP12" s="46"/>
      <c r="RQ12" s="46"/>
      <c r="RR12" s="46"/>
      <c r="RS12" s="46"/>
      <c r="RT12" s="46"/>
      <c r="RU12" s="46"/>
      <c r="RV12" s="46"/>
      <c r="RW12" s="46"/>
      <c r="RX12" s="46"/>
      <c r="RY12" s="46"/>
      <c r="RZ12" s="46"/>
      <c r="SA12" s="46"/>
      <c r="SB12" s="46"/>
      <c r="SC12" s="46"/>
      <c r="SD12" s="46"/>
      <c r="SE12" s="46"/>
      <c r="SF12" s="46"/>
      <c r="SG12" s="46"/>
      <c r="SH12" s="46"/>
      <c r="SI12" s="46"/>
      <c r="SJ12" s="46"/>
      <c r="SK12" s="46"/>
      <c r="SL12" s="46"/>
      <c r="SM12" s="46"/>
      <c r="SN12" s="46"/>
      <c r="SO12" s="46"/>
      <c r="SP12" s="46"/>
      <c r="SQ12" s="46"/>
      <c r="SR12" s="46"/>
      <c r="SS12" s="46"/>
      <c r="ST12" s="46"/>
      <c r="SU12" s="46"/>
      <c r="SV12" s="46"/>
      <c r="SW12" s="46"/>
      <c r="SX12" s="46"/>
      <c r="SY12" s="46"/>
      <c r="SZ12" s="46"/>
      <c r="TA12" s="46"/>
      <c r="TB12" s="46"/>
      <c r="TC12" s="46"/>
      <c r="TD12" s="46"/>
      <c r="TE12" s="46"/>
      <c r="TF12" s="46"/>
      <c r="TG12" s="46"/>
      <c r="TH12" s="46"/>
      <c r="TI12" s="46"/>
      <c r="TJ12" s="46"/>
      <c r="TK12" s="46"/>
      <c r="TL12" s="46"/>
      <c r="TM12" s="46"/>
      <c r="TN12" s="46"/>
      <c r="TO12" s="46"/>
      <c r="TP12" s="46"/>
      <c r="TQ12" s="46"/>
      <c r="TR12" s="46"/>
      <c r="TS12" s="46"/>
      <c r="TT12" s="46"/>
      <c r="TU12" s="46"/>
      <c r="TV12" s="46"/>
      <c r="TW12" s="46"/>
      <c r="TX12" s="46"/>
      <c r="TY12" s="46"/>
      <c r="TZ12" s="46"/>
      <c r="UA12" s="46"/>
      <c r="UB12" s="46"/>
      <c r="UC12" s="46"/>
      <c r="UD12" s="46"/>
      <c r="UE12" s="46"/>
      <c r="UF12" s="46"/>
      <c r="UG12" s="46"/>
      <c r="UH12" s="46"/>
      <c r="UI12" s="46"/>
      <c r="UJ12" s="46"/>
      <c r="UK12" s="46"/>
      <c r="UL12" s="46"/>
      <c r="UM12" s="46"/>
      <c r="UN12" s="46"/>
      <c r="UO12" s="46"/>
      <c r="UP12" s="46"/>
      <c r="UQ12" s="46"/>
      <c r="UR12" s="46"/>
      <c r="US12" s="46"/>
      <c r="UT12" s="46"/>
      <c r="UU12" s="46"/>
      <c r="UV12" s="46"/>
      <c r="UW12" s="46"/>
      <c r="UX12" s="46"/>
      <c r="UY12" s="46"/>
      <c r="UZ12" s="46"/>
      <c r="VA12" s="46"/>
      <c r="VB12" s="46"/>
      <c r="VC12" s="46"/>
      <c r="VD12" s="46"/>
      <c r="VE12" s="46"/>
      <c r="VF12" s="46"/>
      <c r="VG12" s="46"/>
      <c r="VH12" s="46"/>
      <c r="VI12" s="46"/>
      <c r="VJ12" s="46"/>
      <c r="VK12" s="46"/>
      <c r="VL12" s="46"/>
      <c r="VM12" s="46"/>
      <c r="VN12" s="46"/>
      <c r="VO12" s="46"/>
      <c r="VP12" s="46"/>
      <c r="VQ12" s="46"/>
      <c r="VR12" s="46"/>
      <c r="VS12" s="46"/>
      <c r="VT12" s="46"/>
      <c r="VU12" s="46"/>
      <c r="VV12" s="46"/>
      <c r="VW12" s="46"/>
      <c r="VX12" s="46"/>
      <c r="VY12" s="46"/>
      <c r="VZ12" s="46"/>
      <c r="WA12" s="46"/>
      <c r="WB12" s="46"/>
      <c r="WC12" s="46"/>
      <c r="WD12" s="46"/>
      <c r="WE12" s="46"/>
    </row>
    <row r="13" spans="1:603" s="46" customFormat="1" ht="16.5" customHeight="1" x14ac:dyDescent="0.3">
      <c r="A13" s="282"/>
      <c r="B13" s="283"/>
      <c r="C13" s="284"/>
      <c r="D13" s="277" t="s">
        <v>71</v>
      </c>
      <c r="E13" s="277"/>
      <c r="F13" s="277"/>
      <c r="G13" s="277"/>
      <c r="H13" s="11">
        <f>U27</f>
        <v>0</v>
      </c>
      <c r="J13" s="215" t="s">
        <v>699</v>
      </c>
      <c r="K13" s="215"/>
      <c r="L13" s="215"/>
      <c r="M13" s="140">
        <f>'DR-TB 10A (Sputum &amp; EP Sample)'!M13</f>
        <v>0</v>
      </c>
      <c r="N13" s="51" t="s">
        <v>754</v>
      </c>
      <c r="O13" s="51"/>
      <c r="P13" s="51"/>
      <c r="Q13" s="140">
        <f>'DR-TB 10A (Sputum &amp; EP Sample)'!Q13</f>
        <v>0</v>
      </c>
      <c r="R13" s="171" t="s">
        <v>755</v>
      </c>
      <c r="S13" s="171"/>
      <c r="T13" s="171"/>
      <c r="U13" s="140">
        <f>'DR-TB 10A (Sputum &amp; EP Sample)'!U13</f>
        <v>0</v>
      </c>
      <c r="V13" s="48"/>
    </row>
    <row r="14" spans="1:603" s="46" customFormat="1" ht="12.75" customHeight="1" thickBot="1" x14ac:dyDescent="0.35">
      <c r="A14" s="285"/>
      <c r="B14" s="286"/>
      <c r="C14" s="287"/>
      <c r="D14" s="278" t="s">
        <v>3</v>
      </c>
      <c r="E14" s="278"/>
      <c r="F14" s="278"/>
      <c r="G14" s="278"/>
      <c r="H14" s="12">
        <f>H12+H13</f>
        <v>0</v>
      </c>
      <c r="J14" s="215" t="s">
        <v>701</v>
      </c>
      <c r="K14" s="215"/>
      <c r="L14" s="215"/>
      <c r="M14" s="140">
        <f>'DR-TB 10A (Sputum &amp; EP Sample)'!M14</f>
        <v>0</v>
      </c>
      <c r="N14" s="51" t="s">
        <v>756</v>
      </c>
      <c r="O14" s="51"/>
      <c r="P14" s="51"/>
      <c r="Q14" s="140">
        <f>'DR-TB 10A (Sputum &amp; EP Sample)'!Q14</f>
        <v>0</v>
      </c>
      <c r="R14" s="171" t="s">
        <v>757</v>
      </c>
      <c r="S14" s="171"/>
      <c r="T14" s="171"/>
      <c r="U14" s="140">
        <f>'DR-TB 10A (Sputum &amp; EP Sample)'!U14</f>
        <v>0</v>
      </c>
      <c r="V14" s="48"/>
    </row>
    <row r="15" spans="1:603" s="49" customFormat="1" ht="15" thickBot="1" x14ac:dyDescent="0.35">
      <c r="A15" s="3"/>
      <c r="B15" s="47"/>
      <c r="C15" s="47"/>
      <c r="D15" s="47"/>
      <c r="E15" s="47"/>
      <c r="F15" s="37"/>
      <c r="G15" s="46"/>
      <c r="H15" s="46"/>
      <c r="I15" s="46"/>
      <c r="J15" s="209" t="s">
        <v>700</v>
      </c>
      <c r="K15" s="209"/>
      <c r="L15" s="209"/>
      <c r="M15" s="140">
        <f>'DR-TB 10A (Sputum &amp; EP Sample)'!M15</f>
        <v>0</v>
      </c>
      <c r="N15" s="52" t="s">
        <v>758</v>
      </c>
      <c r="O15" s="52"/>
      <c r="P15" s="52"/>
      <c r="Q15" s="140">
        <f>'DR-TB 10A (Sputum &amp; EP Sample)'!Q15</f>
        <v>0</v>
      </c>
      <c r="R15" s="172" t="s">
        <v>759</v>
      </c>
      <c r="S15" s="172"/>
      <c r="T15" s="172"/>
      <c r="U15" s="140">
        <f>'DR-TB 10A (Sputum &amp; EP Sample)'!U15</f>
        <v>0</v>
      </c>
      <c r="V15" s="48"/>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D15" s="46"/>
      <c r="KE15" s="46"/>
      <c r="KF15" s="46"/>
      <c r="KG15" s="46"/>
      <c r="KH15" s="46"/>
      <c r="KI15" s="46"/>
      <c r="KJ15" s="46"/>
      <c r="KK15" s="46"/>
      <c r="KL15" s="46"/>
      <c r="KM15" s="46"/>
      <c r="KN15" s="46"/>
      <c r="KO15" s="46"/>
      <c r="KP15" s="46"/>
      <c r="KQ15" s="46"/>
      <c r="KR15" s="46"/>
      <c r="KS15" s="46"/>
      <c r="KT15" s="46"/>
      <c r="KU15" s="46"/>
      <c r="KV15" s="46"/>
      <c r="KW15" s="46"/>
      <c r="KX15" s="46"/>
      <c r="KY15" s="46"/>
      <c r="KZ15" s="46"/>
      <c r="LA15" s="46"/>
      <c r="LB15" s="46"/>
      <c r="LC15" s="46"/>
      <c r="LD15" s="46"/>
      <c r="LE15" s="46"/>
      <c r="LF15" s="46"/>
      <c r="LG15" s="46"/>
      <c r="LH15" s="46"/>
      <c r="LI15" s="46"/>
      <c r="LJ15" s="46"/>
      <c r="LK15" s="46"/>
      <c r="LL15" s="46"/>
      <c r="LM15" s="46"/>
      <c r="LN15" s="46"/>
      <c r="LO15" s="46"/>
      <c r="LP15" s="46"/>
      <c r="LQ15" s="46"/>
      <c r="LR15" s="46"/>
      <c r="LS15" s="46"/>
      <c r="LT15" s="46"/>
      <c r="LU15" s="46"/>
      <c r="LV15" s="46"/>
      <c r="LW15" s="46"/>
      <c r="LX15" s="46"/>
      <c r="LY15" s="46"/>
      <c r="LZ15" s="46"/>
      <c r="MA15" s="46"/>
      <c r="MB15" s="46"/>
      <c r="MC15" s="46"/>
      <c r="MD15" s="46"/>
      <c r="ME15" s="46"/>
      <c r="MF15" s="46"/>
      <c r="MG15" s="46"/>
      <c r="MH15" s="46"/>
      <c r="MI15" s="46"/>
      <c r="MJ15" s="46"/>
      <c r="MK15" s="46"/>
      <c r="ML15" s="46"/>
      <c r="MM15" s="46"/>
      <c r="MN15" s="46"/>
      <c r="MO15" s="46"/>
      <c r="MP15" s="46"/>
      <c r="MQ15" s="46"/>
      <c r="MR15" s="46"/>
      <c r="MS15" s="46"/>
      <c r="MT15" s="46"/>
      <c r="MU15" s="46"/>
      <c r="MV15" s="46"/>
      <c r="MW15" s="46"/>
      <c r="MX15" s="46"/>
      <c r="MY15" s="46"/>
      <c r="MZ15" s="46"/>
      <c r="NA15" s="46"/>
      <c r="NB15" s="46"/>
      <c r="NC15" s="46"/>
      <c r="ND15" s="46"/>
      <c r="NE15" s="46"/>
      <c r="NF15" s="46"/>
      <c r="NG15" s="46"/>
      <c r="NH15" s="46"/>
      <c r="NI15" s="46"/>
      <c r="NJ15" s="46"/>
      <c r="NK15" s="46"/>
      <c r="NL15" s="46"/>
      <c r="NM15" s="46"/>
      <c r="NN15" s="46"/>
      <c r="NO15" s="46"/>
      <c r="NP15" s="46"/>
      <c r="NQ15" s="46"/>
      <c r="NR15" s="46"/>
      <c r="NS15" s="46"/>
      <c r="NT15" s="46"/>
      <c r="NU15" s="46"/>
      <c r="NV15" s="46"/>
      <c r="NW15" s="46"/>
      <c r="NX15" s="46"/>
      <c r="NY15" s="46"/>
      <c r="NZ15" s="46"/>
      <c r="OA15" s="46"/>
      <c r="OB15" s="46"/>
      <c r="OC15" s="46"/>
      <c r="OD15" s="46"/>
      <c r="OE15" s="46"/>
      <c r="OF15" s="46"/>
      <c r="OG15" s="46"/>
      <c r="OH15" s="46"/>
      <c r="OI15" s="46"/>
      <c r="OJ15" s="46"/>
      <c r="OK15" s="46"/>
      <c r="OL15" s="46"/>
      <c r="OM15" s="46"/>
      <c r="ON15" s="46"/>
      <c r="OO15" s="46"/>
      <c r="OP15" s="46"/>
      <c r="OQ15" s="46"/>
      <c r="OR15" s="46"/>
      <c r="OS15" s="46"/>
      <c r="OT15" s="46"/>
      <c r="OU15" s="46"/>
      <c r="OV15" s="46"/>
      <c r="OW15" s="46"/>
      <c r="OX15" s="46"/>
      <c r="OY15" s="46"/>
      <c r="OZ15" s="46"/>
      <c r="PA15" s="46"/>
      <c r="PB15" s="46"/>
      <c r="PC15" s="46"/>
      <c r="PD15" s="46"/>
      <c r="PE15" s="46"/>
      <c r="PF15" s="46"/>
      <c r="PG15" s="46"/>
      <c r="PH15" s="46"/>
      <c r="PI15" s="46"/>
      <c r="PJ15" s="46"/>
      <c r="PK15" s="46"/>
      <c r="PL15" s="46"/>
      <c r="PM15" s="46"/>
      <c r="PN15" s="46"/>
      <c r="PO15" s="46"/>
      <c r="PP15" s="46"/>
      <c r="PQ15" s="46"/>
      <c r="PR15" s="46"/>
      <c r="PS15" s="46"/>
      <c r="PT15" s="46"/>
      <c r="PU15" s="46"/>
      <c r="PV15" s="46"/>
      <c r="PW15" s="46"/>
      <c r="PX15" s="46"/>
      <c r="PY15" s="46"/>
      <c r="PZ15" s="46"/>
      <c r="QA15" s="46"/>
      <c r="QB15" s="46"/>
      <c r="QC15" s="46"/>
      <c r="QD15" s="46"/>
      <c r="QE15" s="46"/>
      <c r="QF15" s="46"/>
      <c r="QG15" s="46"/>
      <c r="QH15" s="46"/>
      <c r="QI15" s="46"/>
      <c r="QJ15" s="46"/>
      <c r="QK15" s="46"/>
      <c r="QL15" s="46"/>
      <c r="QM15" s="46"/>
      <c r="QN15" s="46"/>
      <c r="QO15" s="46"/>
      <c r="QP15" s="46"/>
      <c r="QQ15" s="46"/>
      <c r="QR15" s="46"/>
      <c r="QS15" s="46"/>
      <c r="QT15" s="46"/>
      <c r="QU15" s="46"/>
      <c r="QV15" s="46"/>
      <c r="QW15" s="46"/>
      <c r="QX15" s="46"/>
      <c r="QY15" s="46"/>
      <c r="QZ15" s="46"/>
      <c r="RA15" s="46"/>
      <c r="RB15" s="46"/>
      <c r="RC15" s="46"/>
      <c r="RD15" s="46"/>
      <c r="RE15" s="46"/>
      <c r="RF15" s="46"/>
      <c r="RG15" s="46"/>
      <c r="RH15" s="46"/>
      <c r="RI15" s="46"/>
      <c r="RJ15" s="46"/>
      <c r="RK15" s="46"/>
      <c r="RL15" s="46"/>
      <c r="RM15" s="46"/>
      <c r="RN15" s="46"/>
      <c r="RO15" s="46"/>
      <c r="RP15" s="46"/>
      <c r="RQ15" s="46"/>
      <c r="RR15" s="46"/>
      <c r="RS15" s="46"/>
      <c r="RT15" s="46"/>
      <c r="RU15" s="46"/>
      <c r="RV15" s="46"/>
      <c r="RW15" s="46"/>
      <c r="RX15" s="46"/>
      <c r="RY15" s="46"/>
      <c r="RZ15" s="46"/>
      <c r="SA15" s="46"/>
      <c r="SB15" s="46"/>
      <c r="SC15" s="46"/>
      <c r="SD15" s="46"/>
      <c r="SE15" s="46"/>
      <c r="SF15" s="46"/>
      <c r="SG15" s="46"/>
      <c r="SH15" s="46"/>
      <c r="SI15" s="46"/>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c r="TY15" s="46"/>
      <c r="TZ15" s="46"/>
      <c r="UA15" s="46"/>
      <c r="UB15" s="46"/>
      <c r="UC15" s="46"/>
      <c r="UD15" s="46"/>
      <c r="UE15" s="46"/>
      <c r="UF15" s="46"/>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row>
    <row r="16" spans="1:603" s="46" customFormat="1" ht="15" customHeight="1" x14ac:dyDescent="0.3">
      <c r="A16" s="230" t="s">
        <v>59</v>
      </c>
      <c r="B16" s="231"/>
      <c r="C16" s="232"/>
      <c r="D16" s="5" t="s">
        <v>76</v>
      </c>
      <c r="E16" s="5" t="s">
        <v>67</v>
      </c>
      <c r="F16" s="7" t="s">
        <v>3</v>
      </c>
      <c r="G16" s="53"/>
      <c r="H16" s="53"/>
      <c r="I16" s="53"/>
      <c r="J16" s="53"/>
      <c r="K16" s="53"/>
      <c r="L16" s="53"/>
      <c r="M16" s="53"/>
      <c r="N16" s="53"/>
      <c r="O16" s="53"/>
      <c r="P16" s="53"/>
      <c r="Q16" s="53"/>
      <c r="R16" s="53"/>
      <c r="S16" s="53"/>
      <c r="T16" s="53"/>
      <c r="U16" s="54"/>
      <c r="V16" s="48"/>
    </row>
    <row r="17" spans="1:22" s="46" customFormat="1" ht="15.75" customHeight="1" x14ac:dyDescent="0.3">
      <c r="A17" s="182" t="s">
        <v>60</v>
      </c>
      <c r="B17" s="182"/>
      <c r="C17" s="182"/>
      <c r="D17" s="13">
        <f>D30+E42-D33-E44</f>
        <v>0</v>
      </c>
      <c r="E17" s="13">
        <f>+U30-U33</f>
        <v>0</v>
      </c>
      <c r="F17" s="14">
        <f>+E17+D17</f>
        <v>0</v>
      </c>
      <c r="G17" s="127"/>
      <c r="H17" s="128"/>
      <c r="I17" s="179" t="s">
        <v>820</v>
      </c>
      <c r="J17" s="180" t="s">
        <v>75</v>
      </c>
      <c r="K17" s="180"/>
      <c r="L17" s="180"/>
      <c r="M17" s="178" t="s">
        <v>67</v>
      </c>
      <c r="N17" s="178"/>
      <c r="O17" s="178"/>
      <c r="P17" s="178" t="s">
        <v>3</v>
      </c>
      <c r="Q17" s="275"/>
      <c r="R17" s="181" t="s">
        <v>760</v>
      </c>
      <c r="S17" s="181"/>
      <c r="T17" s="181"/>
      <c r="U17" s="141">
        <f>'DR-TB 10A (Sputum &amp; EP Sample)'!U17</f>
        <v>0</v>
      </c>
    </row>
    <row r="18" spans="1:22" s="46" customFormat="1" ht="17.7" customHeight="1" x14ac:dyDescent="0.3">
      <c r="A18" s="182" t="s">
        <v>61</v>
      </c>
      <c r="B18" s="182"/>
      <c r="C18" s="182"/>
      <c r="D18" s="15">
        <f>D33+E44</f>
        <v>0</v>
      </c>
      <c r="E18" s="16">
        <f>U33</f>
        <v>0</v>
      </c>
      <c r="F18" s="14">
        <f>+E18+D18</f>
        <v>0</v>
      </c>
      <c r="G18" s="127"/>
      <c r="H18" s="128"/>
      <c r="I18" s="179"/>
      <c r="J18" s="136" t="s">
        <v>817</v>
      </c>
      <c r="K18" s="136" t="s">
        <v>818</v>
      </c>
      <c r="L18" s="136" t="s">
        <v>819</v>
      </c>
      <c r="M18" s="136" t="s">
        <v>817</v>
      </c>
      <c r="N18" s="136" t="s">
        <v>818</v>
      </c>
      <c r="O18" s="136" t="s">
        <v>819</v>
      </c>
      <c r="P18" s="178"/>
      <c r="Q18" s="275"/>
      <c r="R18" s="181" t="s">
        <v>761</v>
      </c>
      <c r="S18" s="181"/>
      <c r="T18" s="181"/>
      <c r="U18" s="141">
        <f>'DR-TB 10A (Sputum &amp; EP Sample)'!U18</f>
        <v>0</v>
      </c>
    </row>
    <row r="19" spans="1:22" s="46" customFormat="1" ht="13.95" customHeight="1" x14ac:dyDescent="0.3">
      <c r="A19" s="182" t="s">
        <v>62</v>
      </c>
      <c r="B19" s="182"/>
      <c r="C19" s="182"/>
      <c r="D19" s="6"/>
      <c r="E19" s="8"/>
      <c r="F19" s="14">
        <f>+E19+D19</f>
        <v>0</v>
      </c>
      <c r="G19" s="127"/>
      <c r="H19" s="128"/>
      <c r="I19" s="131" t="s">
        <v>815</v>
      </c>
      <c r="J19" s="134"/>
      <c r="K19" s="134"/>
      <c r="L19" s="134"/>
      <c r="M19" s="134"/>
      <c r="N19" s="134"/>
      <c r="O19" s="134"/>
      <c r="P19" s="132">
        <f>J19+K19+L19+M19+N19+O19</f>
        <v>0</v>
      </c>
      <c r="Q19" s="130"/>
      <c r="R19" s="181" t="s">
        <v>762</v>
      </c>
      <c r="S19" s="181"/>
      <c r="T19" s="181"/>
      <c r="U19" s="141">
        <f>'DR-TB 10A (Sputum &amp; EP Sample)'!U19</f>
        <v>0</v>
      </c>
    </row>
    <row r="20" spans="1:22" s="46" customFormat="1" ht="13.95" customHeight="1" x14ac:dyDescent="0.3">
      <c r="A20" s="182" t="s">
        <v>814</v>
      </c>
      <c r="B20" s="182"/>
      <c r="C20" s="182"/>
      <c r="D20" s="124"/>
      <c r="E20" s="125"/>
      <c r="F20" s="14">
        <f>+E20+D20</f>
        <v>0</v>
      </c>
      <c r="I20" s="131" t="s">
        <v>816</v>
      </c>
      <c r="J20" s="134"/>
      <c r="K20" s="134"/>
      <c r="L20" s="134"/>
      <c r="M20" s="134"/>
      <c r="N20" s="134"/>
      <c r="O20" s="134"/>
      <c r="P20" s="132">
        <f>J20+K20+L20+M20+N20+O20</f>
        <v>0</v>
      </c>
      <c r="Q20" s="130"/>
      <c r="T20" s="129"/>
      <c r="U20" s="126"/>
    </row>
    <row r="21" spans="1:22" s="46" customFormat="1" ht="13.95" customHeight="1" thickBot="1" x14ac:dyDescent="0.35">
      <c r="A21" s="182" t="s">
        <v>813</v>
      </c>
      <c r="B21" s="182"/>
      <c r="C21" s="182"/>
      <c r="D21" s="17">
        <f>H12-D30-E42</f>
        <v>0</v>
      </c>
      <c r="E21" s="18">
        <f>H13-U30</f>
        <v>0</v>
      </c>
      <c r="F21" s="14">
        <f t="shared" ref="F21" si="0">+E21+D21</f>
        <v>0</v>
      </c>
      <c r="G21" s="55"/>
      <c r="H21" s="55"/>
      <c r="I21" s="55"/>
      <c r="J21" s="55"/>
      <c r="K21" s="55"/>
      <c r="L21" s="55"/>
      <c r="M21" s="55"/>
      <c r="N21" s="55"/>
      <c r="O21" s="55"/>
      <c r="P21" s="55"/>
      <c r="Q21" s="55"/>
      <c r="R21" s="55"/>
      <c r="S21" s="55"/>
      <c r="T21" s="55"/>
      <c r="U21" s="56"/>
      <c r="V21" s="48"/>
    </row>
    <row r="22" spans="1:22" s="46" customFormat="1" ht="15" thickBot="1" x14ac:dyDescent="0.35">
      <c r="A22" s="57"/>
      <c r="B22" s="58"/>
      <c r="C22" s="58"/>
      <c r="D22" s="58"/>
      <c r="E22" s="58"/>
      <c r="F22" s="58"/>
      <c r="G22" s="58"/>
      <c r="H22" s="58"/>
      <c r="I22" s="59"/>
      <c r="J22" s="55"/>
      <c r="K22" s="55"/>
      <c r="L22" s="55"/>
      <c r="M22" s="55"/>
      <c r="N22" s="55"/>
      <c r="O22" s="55"/>
      <c r="P22" s="55"/>
      <c r="Q22" s="55"/>
      <c r="R22" s="55"/>
      <c r="S22" s="55"/>
      <c r="T22" s="55"/>
      <c r="U22" s="56"/>
      <c r="V22" s="48"/>
    </row>
    <row r="23" spans="1:22" ht="12.45" customHeight="1" thickBot="1" x14ac:dyDescent="0.3">
      <c r="A23" s="1" t="s">
        <v>8</v>
      </c>
      <c r="B23" s="1"/>
      <c r="C23" s="1"/>
      <c r="D23" s="1"/>
      <c r="E23" s="60"/>
      <c r="V23" s="36"/>
    </row>
    <row r="24" spans="1:22" ht="13.95" customHeight="1" x14ac:dyDescent="0.25">
      <c r="A24" s="227" t="s">
        <v>1</v>
      </c>
      <c r="B24" s="224" t="s">
        <v>78</v>
      </c>
      <c r="C24" s="225"/>
      <c r="D24" s="226"/>
      <c r="E24" s="237" t="s">
        <v>15</v>
      </c>
      <c r="F24" s="238"/>
      <c r="G24" s="238"/>
      <c r="H24" s="238"/>
      <c r="I24" s="238"/>
      <c r="J24" s="238"/>
      <c r="K24" s="238"/>
      <c r="L24" s="238"/>
      <c r="M24" s="238"/>
      <c r="N24" s="238"/>
      <c r="O24" s="238"/>
      <c r="P24" s="238"/>
      <c r="Q24" s="238"/>
      <c r="R24" s="238"/>
      <c r="S24" s="238"/>
      <c r="T24" s="238"/>
      <c r="U24" s="267" t="s">
        <v>764</v>
      </c>
      <c r="V24" s="36"/>
    </row>
    <row r="25" spans="1:22" ht="76.5" customHeight="1" x14ac:dyDescent="0.25">
      <c r="A25" s="228"/>
      <c r="B25" s="21" t="s">
        <v>43</v>
      </c>
      <c r="C25" s="4" t="s">
        <v>44</v>
      </c>
      <c r="D25" s="222" t="s">
        <v>765</v>
      </c>
      <c r="E25" s="61" t="s">
        <v>18</v>
      </c>
      <c r="F25" s="62" t="s">
        <v>19</v>
      </c>
      <c r="G25" s="62" t="s">
        <v>20</v>
      </c>
      <c r="H25" s="62" t="s">
        <v>22</v>
      </c>
      <c r="I25" s="62" t="s">
        <v>24</v>
      </c>
      <c r="J25" s="62" t="s">
        <v>26</v>
      </c>
      <c r="K25" s="62" t="s">
        <v>28</v>
      </c>
      <c r="L25" s="62" t="s">
        <v>30</v>
      </c>
      <c r="M25" s="239" t="s">
        <v>32</v>
      </c>
      <c r="N25" s="239"/>
      <c r="O25" s="239"/>
      <c r="P25" s="239" t="s">
        <v>34</v>
      </c>
      <c r="Q25" s="239"/>
      <c r="R25" s="239"/>
      <c r="S25" s="170" t="s">
        <v>766</v>
      </c>
      <c r="T25" s="170"/>
      <c r="U25" s="268"/>
      <c r="V25" s="36"/>
    </row>
    <row r="26" spans="1:22" ht="22.5" customHeight="1" thickBot="1" x14ac:dyDescent="0.3">
      <c r="A26" s="229"/>
      <c r="B26" s="63" t="s">
        <v>16</v>
      </c>
      <c r="C26" s="64" t="s">
        <v>17</v>
      </c>
      <c r="D26" s="223"/>
      <c r="E26" s="63" t="s">
        <v>21</v>
      </c>
      <c r="F26" s="64" t="s">
        <v>23</v>
      </c>
      <c r="G26" s="64" t="s">
        <v>25</v>
      </c>
      <c r="H26" s="64" t="s">
        <v>27</v>
      </c>
      <c r="I26" s="64" t="s">
        <v>29</v>
      </c>
      <c r="J26" s="64" t="s">
        <v>31</v>
      </c>
      <c r="K26" s="64" t="s">
        <v>33</v>
      </c>
      <c r="L26" s="64" t="s">
        <v>35</v>
      </c>
      <c r="M26" s="240" t="s">
        <v>36</v>
      </c>
      <c r="N26" s="240"/>
      <c r="O26" s="240"/>
      <c r="P26" s="240" t="s">
        <v>72</v>
      </c>
      <c r="Q26" s="240"/>
      <c r="R26" s="240"/>
      <c r="S26" s="240" t="s">
        <v>73</v>
      </c>
      <c r="T26" s="240"/>
      <c r="U26" s="269"/>
      <c r="V26" s="36"/>
    </row>
    <row r="27" spans="1:22" ht="13.95" customHeight="1" x14ac:dyDescent="0.25">
      <c r="A27" s="211" t="s">
        <v>70</v>
      </c>
      <c r="B27" s="200"/>
      <c r="C27" s="165"/>
      <c r="D27" s="160">
        <f>B27+C27</f>
        <v>0</v>
      </c>
      <c r="E27" s="206"/>
      <c r="F27" s="177"/>
      <c r="G27" s="177"/>
      <c r="H27" s="177"/>
      <c r="I27" s="177"/>
      <c r="J27" s="177"/>
      <c r="K27" s="177"/>
      <c r="L27" s="177"/>
      <c r="M27" s="253" t="s">
        <v>37</v>
      </c>
      <c r="N27" s="254"/>
      <c r="O27" s="65"/>
      <c r="P27" s="253" t="s">
        <v>37</v>
      </c>
      <c r="Q27" s="254"/>
      <c r="R27" s="65"/>
      <c r="S27" s="274">
        <f>M41+M42+M43+N41+N42+N43+O41+O42</f>
        <v>0</v>
      </c>
      <c r="T27" s="274"/>
      <c r="U27" s="270">
        <f>E27+F27+G27+H27+I27+J27+K27+L27+O27+O28+O29+R27+R28+R29+S27</f>
        <v>0</v>
      </c>
      <c r="V27" s="36"/>
    </row>
    <row r="28" spans="1:22" ht="13.95" customHeight="1" x14ac:dyDescent="0.25">
      <c r="A28" s="212"/>
      <c r="B28" s="201"/>
      <c r="C28" s="166"/>
      <c r="D28" s="161"/>
      <c r="E28" s="207"/>
      <c r="F28" s="175"/>
      <c r="G28" s="175"/>
      <c r="H28" s="175"/>
      <c r="I28" s="175"/>
      <c r="J28" s="175"/>
      <c r="K28" s="175"/>
      <c r="L28" s="175"/>
      <c r="M28" s="217" t="s">
        <v>13</v>
      </c>
      <c r="N28" s="218"/>
      <c r="O28" s="66"/>
      <c r="P28" s="217" t="s">
        <v>13</v>
      </c>
      <c r="Q28" s="218"/>
      <c r="R28" s="66"/>
      <c r="S28" s="168"/>
      <c r="T28" s="168"/>
      <c r="U28" s="271"/>
      <c r="V28" s="36"/>
    </row>
    <row r="29" spans="1:22" ht="13.95" customHeight="1" x14ac:dyDescent="0.25">
      <c r="A29" s="212"/>
      <c r="B29" s="202"/>
      <c r="C29" s="167"/>
      <c r="D29" s="162"/>
      <c r="E29" s="207"/>
      <c r="F29" s="175"/>
      <c r="G29" s="175"/>
      <c r="H29" s="175"/>
      <c r="I29" s="175"/>
      <c r="J29" s="175"/>
      <c r="K29" s="175"/>
      <c r="L29" s="175"/>
      <c r="M29" s="217" t="s">
        <v>46</v>
      </c>
      <c r="N29" s="218"/>
      <c r="O29" s="66"/>
      <c r="P29" s="217" t="s">
        <v>46</v>
      </c>
      <c r="Q29" s="218"/>
      <c r="R29" s="66"/>
      <c r="S29" s="168"/>
      <c r="T29" s="168"/>
      <c r="U29" s="271"/>
      <c r="V29" s="36"/>
    </row>
    <row r="30" spans="1:22" ht="13.95" customHeight="1" x14ac:dyDescent="0.25">
      <c r="A30" s="212" t="s">
        <v>4</v>
      </c>
      <c r="B30" s="203"/>
      <c r="C30" s="288"/>
      <c r="D30" s="163">
        <f>B30+C30</f>
        <v>0</v>
      </c>
      <c r="E30" s="207"/>
      <c r="F30" s="175"/>
      <c r="G30" s="175"/>
      <c r="H30" s="175"/>
      <c r="I30" s="175"/>
      <c r="J30" s="175"/>
      <c r="K30" s="175"/>
      <c r="L30" s="175"/>
      <c r="M30" s="217" t="s">
        <v>37</v>
      </c>
      <c r="N30" s="218"/>
      <c r="O30" s="66"/>
      <c r="P30" s="217" t="s">
        <v>37</v>
      </c>
      <c r="Q30" s="218"/>
      <c r="R30" s="66"/>
      <c r="S30" s="168">
        <f>P41+P42+P43+Q41+Q42+Q43+R41+R42</f>
        <v>0</v>
      </c>
      <c r="T30" s="168"/>
      <c r="U30" s="271">
        <f>E30+F30+G30+H30+I30+J30+K30+L30+O30+O31+O32+R30+R31+R32+S30</f>
        <v>0</v>
      </c>
      <c r="V30" s="36"/>
    </row>
    <row r="31" spans="1:22" ht="13.95" customHeight="1" x14ac:dyDescent="0.25">
      <c r="A31" s="212"/>
      <c r="B31" s="201"/>
      <c r="C31" s="166"/>
      <c r="D31" s="161"/>
      <c r="E31" s="207"/>
      <c r="F31" s="175"/>
      <c r="G31" s="175"/>
      <c r="H31" s="175"/>
      <c r="I31" s="175"/>
      <c r="J31" s="175"/>
      <c r="K31" s="175"/>
      <c r="L31" s="175"/>
      <c r="M31" s="217" t="s">
        <v>13</v>
      </c>
      <c r="N31" s="218"/>
      <c r="O31" s="66"/>
      <c r="P31" s="217" t="s">
        <v>13</v>
      </c>
      <c r="Q31" s="218"/>
      <c r="R31" s="66"/>
      <c r="S31" s="168"/>
      <c r="T31" s="168"/>
      <c r="U31" s="271"/>
      <c r="V31" s="36"/>
    </row>
    <row r="32" spans="1:22" ht="13.95" customHeight="1" x14ac:dyDescent="0.25">
      <c r="A32" s="212"/>
      <c r="B32" s="202"/>
      <c r="C32" s="167"/>
      <c r="D32" s="162"/>
      <c r="E32" s="207"/>
      <c r="F32" s="175"/>
      <c r="G32" s="175"/>
      <c r="H32" s="175"/>
      <c r="I32" s="175"/>
      <c r="J32" s="175"/>
      <c r="K32" s="175"/>
      <c r="L32" s="175"/>
      <c r="M32" s="217" t="s">
        <v>46</v>
      </c>
      <c r="N32" s="218"/>
      <c r="O32" s="66"/>
      <c r="P32" s="217" t="s">
        <v>46</v>
      </c>
      <c r="Q32" s="218"/>
      <c r="R32" s="66"/>
      <c r="S32" s="168"/>
      <c r="T32" s="168"/>
      <c r="U32" s="271"/>
      <c r="V32" s="36"/>
    </row>
    <row r="33" spans="1:24" ht="13.95" customHeight="1" x14ac:dyDescent="0.25">
      <c r="A33" s="212" t="s">
        <v>5</v>
      </c>
      <c r="B33" s="203"/>
      <c r="C33" s="288"/>
      <c r="D33" s="163">
        <f>B33+C33</f>
        <v>0</v>
      </c>
      <c r="E33" s="207"/>
      <c r="F33" s="175"/>
      <c r="G33" s="175"/>
      <c r="H33" s="175"/>
      <c r="I33" s="175"/>
      <c r="J33" s="175"/>
      <c r="K33" s="175"/>
      <c r="L33" s="175"/>
      <c r="M33" s="217" t="s">
        <v>37</v>
      </c>
      <c r="N33" s="218"/>
      <c r="O33" s="66"/>
      <c r="P33" s="217" t="s">
        <v>37</v>
      </c>
      <c r="Q33" s="218"/>
      <c r="R33" s="66"/>
      <c r="S33" s="168">
        <f>S41+S42+S43+T41+T42+T43+U41+U42</f>
        <v>0</v>
      </c>
      <c r="T33" s="168"/>
      <c r="U33" s="271">
        <f>E33+F33+G33+H33+I33+J33+K33+L33+O33+O34+O35+R33+R34+R35+S33</f>
        <v>0</v>
      </c>
      <c r="V33" s="36"/>
    </row>
    <row r="34" spans="1:24" ht="13.95" customHeight="1" x14ac:dyDescent="0.25">
      <c r="A34" s="212"/>
      <c r="B34" s="201"/>
      <c r="C34" s="166"/>
      <c r="D34" s="161"/>
      <c r="E34" s="207"/>
      <c r="F34" s="175"/>
      <c r="G34" s="175"/>
      <c r="H34" s="175"/>
      <c r="I34" s="175"/>
      <c r="J34" s="175"/>
      <c r="K34" s="175"/>
      <c r="L34" s="175"/>
      <c r="M34" s="217" t="s">
        <v>13</v>
      </c>
      <c r="N34" s="218"/>
      <c r="O34" s="66"/>
      <c r="P34" s="217" t="s">
        <v>13</v>
      </c>
      <c r="Q34" s="218"/>
      <c r="R34" s="66"/>
      <c r="S34" s="168"/>
      <c r="T34" s="168"/>
      <c r="U34" s="271"/>
      <c r="V34" s="36"/>
    </row>
    <row r="35" spans="1:24" ht="13.95" customHeight="1" thickBot="1" x14ac:dyDescent="0.3">
      <c r="A35" s="213"/>
      <c r="B35" s="204"/>
      <c r="C35" s="289"/>
      <c r="D35" s="164"/>
      <c r="E35" s="214"/>
      <c r="F35" s="176"/>
      <c r="G35" s="176"/>
      <c r="H35" s="176"/>
      <c r="I35" s="176"/>
      <c r="J35" s="176"/>
      <c r="K35" s="176"/>
      <c r="L35" s="176"/>
      <c r="M35" s="255" t="s">
        <v>46</v>
      </c>
      <c r="N35" s="256"/>
      <c r="O35" s="67"/>
      <c r="P35" s="255" t="s">
        <v>46</v>
      </c>
      <c r="Q35" s="256"/>
      <c r="R35" s="67"/>
      <c r="S35" s="169"/>
      <c r="T35" s="169"/>
      <c r="U35" s="272"/>
      <c r="V35" s="36"/>
    </row>
    <row r="36" spans="1:24" ht="4.95" customHeight="1" x14ac:dyDescent="0.25">
      <c r="V36" s="36"/>
    </row>
    <row r="37" spans="1:24" ht="13.95" customHeight="1" thickBot="1" x14ac:dyDescent="0.3">
      <c r="A37" s="1" t="s">
        <v>38</v>
      </c>
      <c r="B37" s="1"/>
      <c r="C37" s="1"/>
      <c r="D37" s="1"/>
      <c r="V37" s="36"/>
    </row>
    <row r="38" spans="1:24" ht="11.25" customHeight="1" x14ac:dyDescent="0.25">
      <c r="A38" s="257" t="s">
        <v>42</v>
      </c>
      <c r="B38" s="258"/>
      <c r="C38" s="258"/>
      <c r="D38" s="258"/>
      <c r="E38" s="259"/>
      <c r="F38" s="68"/>
      <c r="G38" s="233" t="s">
        <v>876</v>
      </c>
      <c r="H38" s="234"/>
      <c r="J38" s="197" t="s">
        <v>47</v>
      </c>
      <c r="K38" s="198"/>
      <c r="L38" s="198"/>
      <c r="M38" s="198"/>
      <c r="N38" s="198"/>
      <c r="O38" s="198"/>
      <c r="P38" s="198"/>
      <c r="Q38" s="198"/>
      <c r="R38" s="198"/>
      <c r="S38" s="198"/>
      <c r="T38" s="198"/>
      <c r="U38" s="199"/>
      <c r="V38" s="36"/>
    </row>
    <row r="39" spans="1:24" ht="12.75" customHeight="1" x14ac:dyDescent="0.25">
      <c r="A39" s="69"/>
      <c r="B39" s="70" t="s">
        <v>43</v>
      </c>
      <c r="C39" s="70" t="s">
        <v>44</v>
      </c>
      <c r="D39" s="70" t="s">
        <v>45</v>
      </c>
      <c r="E39" s="71" t="s">
        <v>3</v>
      </c>
      <c r="G39" s="235"/>
      <c r="H39" s="236"/>
      <c r="J39" s="241" t="s">
        <v>2</v>
      </c>
      <c r="K39" s="242"/>
      <c r="L39" s="243"/>
      <c r="M39" s="173" t="s">
        <v>6</v>
      </c>
      <c r="N39" s="173"/>
      <c r="O39" s="173"/>
      <c r="P39" s="173" t="s">
        <v>4</v>
      </c>
      <c r="Q39" s="173"/>
      <c r="R39" s="173"/>
      <c r="S39" s="173" t="s">
        <v>5</v>
      </c>
      <c r="T39" s="173"/>
      <c r="U39" s="174"/>
      <c r="V39" s="36"/>
    </row>
    <row r="40" spans="1:24" ht="15.6" customHeight="1" x14ac:dyDescent="0.25">
      <c r="A40" s="190" t="s">
        <v>39</v>
      </c>
      <c r="B40" s="193"/>
      <c r="C40" s="193"/>
      <c r="D40" s="193"/>
      <c r="E40" s="192">
        <f>B40+C40+D40</f>
        <v>0</v>
      </c>
      <c r="F40" s="185"/>
      <c r="G40" s="186" t="s">
        <v>821</v>
      </c>
      <c r="H40" s="188">
        <f>$E$17+$F$18</f>
        <v>0</v>
      </c>
      <c r="J40" s="244"/>
      <c r="K40" s="245"/>
      <c r="L40" s="246"/>
      <c r="M40" s="70" t="s">
        <v>48</v>
      </c>
      <c r="N40" s="70" t="s">
        <v>7</v>
      </c>
      <c r="O40" s="70" t="s">
        <v>49</v>
      </c>
      <c r="P40" s="70" t="s">
        <v>48</v>
      </c>
      <c r="Q40" s="70" t="s">
        <v>7</v>
      </c>
      <c r="R40" s="70" t="s">
        <v>49</v>
      </c>
      <c r="S40" s="70" t="s">
        <v>48</v>
      </c>
      <c r="T40" s="70" t="s">
        <v>7</v>
      </c>
      <c r="U40" s="71" t="s">
        <v>49</v>
      </c>
      <c r="V40" s="36"/>
    </row>
    <row r="41" spans="1:24" ht="15" customHeight="1" x14ac:dyDescent="0.25">
      <c r="A41" s="190"/>
      <c r="B41" s="196"/>
      <c r="C41" s="196"/>
      <c r="D41" s="196"/>
      <c r="E41" s="192"/>
      <c r="F41" s="185"/>
      <c r="G41" s="187"/>
      <c r="H41" s="189"/>
      <c r="J41" s="247" t="s">
        <v>50</v>
      </c>
      <c r="K41" s="248"/>
      <c r="L41" s="249"/>
      <c r="M41" s="72"/>
      <c r="N41" s="72"/>
      <c r="O41" s="72"/>
      <c r="P41" s="72"/>
      <c r="Q41" s="72"/>
      <c r="R41" s="72"/>
      <c r="S41" s="72"/>
      <c r="T41" s="72"/>
      <c r="U41" s="73"/>
      <c r="V41" s="36"/>
    </row>
    <row r="42" spans="1:24" ht="13.95" customHeight="1" x14ac:dyDescent="0.25">
      <c r="A42" s="190" t="s">
        <v>40</v>
      </c>
      <c r="B42" s="193"/>
      <c r="C42" s="193"/>
      <c r="D42" s="193"/>
      <c r="E42" s="192">
        <f>B42+C42+D42</f>
        <v>0</v>
      </c>
      <c r="F42" s="185"/>
      <c r="G42" s="186" t="s">
        <v>877</v>
      </c>
      <c r="H42" s="188"/>
      <c r="J42" s="247" t="s">
        <v>51</v>
      </c>
      <c r="K42" s="248"/>
      <c r="L42" s="249"/>
      <c r="M42" s="72"/>
      <c r="N42" s="72"/>
      <c r="O42" s="72"/>
      <c r="P42" s="72"/>
      <c r="Q42" s="72"/>
      <c r="R42" s="72"/>
      <c r="S42" s="72"/>
      <c r="T42" s="72"/>
      <c r="U42" s="73"/>
      <c r="V42" s="36"/>
    </row>
    <row r="43" spans="1:24" ht="13.95" customHeight="1" thickBot="1" x14ac:dyDescent="0.3">
      <c r="A43" s="190"/>
      <c r="B43" s="196"/>
      <c r="C43" s="196"/>
      <c r="D43" s="196"/>
      <c r="E43" s="192"/>
      <c r="F43" s="185"/>
      <c r="G43" s="187"/>
      <c r="H43" s="189"/>
      <c r="J43" s="250" t="s">
        <v>52</v>
      </c>
      <c r="K43" s="251"/>
      <c r="L43" s="252"/>
      <c r="M43" s="74"/>
      <c r="N43" s="74"/>
      <c r="O43" s="75"/>
      <c r="P43" s="74"/>
      <c r="Q43" s="74"/>
      <c r="R43" s="75"/>
      <c r="S43" s="74"/>
      <c r="T43" s="74"/>
      <c r="U43" s="76"/>
      <c r="V43" s="36"/>
    </row>
    <row r="44" spans="1:24" ht="10.5" customHeight="1" x14ac:dyDescent="0.25">
      <c r="A44" s="190" t="s">
        <v>41</v>
      </c>
      <c r="B44" s="193"/>
      <c r="C44" s="193"/>
      <c r="D44" s="193"/>
      <c r="E44" s="192">
        <f>B44+C44+D44</f>
        <v>0</v>
      </c>
      <c r="F44" s="185"/>
      <c r="G44" s="186" t="s">
        <v>878</v>
      </c>
      <c r="H44" s="188"/>
      <c r="J44" s="77" t="s">
        <v>53</v>
      </c>
      <c r="K44" s="78"/>
      <c r="L44" s="78"/>
      <c r="M44" s="78"/>
      <c r="N44" s="78"/>
      <c r="O44" s="78"/>
      <c r="P44" s="78"/>
      <c r="Q44" s="78"/>
      <c r="R44" s="78"/>
      <c r="S44" s="78"/>
      <c r="T44" s="78"/>
      <c r="U44" s="78"/>
      <c r="V44" s="79"/>
      <c r="W44" s="78"/>
      <c r="X44" s="78"/>
    </row>
    <row r="45" spans="1:24" ht="13.95" customHeight="1" thickBot="1" x14ac:dyDescent="0.3">
      <c r="A45" s="191"/>
      <c r="B45" s="194"/>
      <c r="C45" s="194"/>
      <c r="D45" s="194"/>
      <c r="E45" s="195"/>
      <c r="F45" s="185"/>
      <c r="G45" s="187"/>
      <c r="H45" s="189"/>
      <c r="V45" s="36"/>
    </row>
    <row r="46" spans="1:24" ht="15" customHeight="1" x14ac:dyDescent="0.25">
      <c r="A46" s="1"/>
      <c r="B46" s="1"/>
      <c r="C46" s="1"/>
      <c r="D46" s="1"/>
      <c r="F46" s="184" t="s">
        <v>672</v>
      </c>
      <c r="G46" s="184"/>
      <c r="H46" s="184"/>
      <c r="L46" s="78" t="s">
        <v>54</v>
      </c>
      <c r="M46" s="78"/>
      <c r="N46" s="78"/>
      <c r="O46" s="78"/>
      <c r="P46" s="78"/>
      <c r="Q46" s="262"/>
      <c r="R46" s="262"/>
      <c r="S46" s="262"/>
      <c r="T46" s="262"/>
      <c r="U46" s="262"/>
      <c r="V46" s="36"/>
    </row>
    <row r="47" spans="1:24" ht="13.95" customHeight="1" x14ac:dyDescent="0.25">
      <c r="A47" s="205"/>
      <c r="B47" s="80"/>
      <c r="C47" s="80"/>
      <c r="D47" s="80"/>
      <c r="E47" s="183"/>
      <c r="F47" s="183"/>
      <c r="G47" s="183"/>
      <c r="H47" s="183"/>
      <c r="I47" s="183"/>
      <c r="J47" s="183"/>
      <c r="K47" s="78"/>
      <c r="L47" s="78" t="s">
        <v>55</v>
      </c>
      <c r="M47" s="262"/>
      <c r="N47" s="262"/>
      <c r="O47" s="262"/>
      <c r="P47" s="262"/>
      <c r="Q47" s="78"/>
      <c r="R47" s="78"/>
      <c r="V47" s="36"/>
    </row>
    <row r="48" spans="1:24" ht="13.95" customHeight="1" x14ac:dyDescent="0.25">
      <c r="A48" s="205"/>
      <c r="B48" s="80"/>
      <c r="C48" s="80"/>
      <c r="D48" s="80"/>
      <c r="E48" s="183"/>
      <c r="F48" s="183"/>
      <c r="G48" s="183"/>
      <c r="H48" s="183"/>
      <c r="I48" s="183"/>
      <c r="J48" s="183"/>
      <c r="K48" s="78"/>
      <c r="L48" s="78" t="s">
        <v>56</v>
      </c>
      <c r="M48" s="261"/>
      <c r="N48" s="261"/>
      <c r="O48" s="261"/>
      <c r="P48" s="261"/>
      <c r="Q48" s="78"/>
      <c r="R48" s="81" t="s">
        <v>57</v>
      </c>
      <c r="S48" s="260"/>
      <c r="T48" s="260"/>
      <c r="V48" s="36"/>
    </row>
    <row r="49" spans="1:22" ht="13.95" customHeight="1" x14ac:dyDescent="0.25">
      <c r="A49" s="185"/>
      <c r="B49" s="31"/>
      <c r="C49" s="31"/>
      <c r="D49" s="31"/>
      <c r="E49" s="183"/>
      <c r="F49" s="183"/>
      <c r="G49" s="183"/>
      <c r="H49" s="183"/>
      <c r="I49" s="183"/>
      <c r="J49" s="183"/>
      <c r="K49" s="78"/>
      <c r="L49" s="78" t="s">
        <v>58</v>
      </c>
      <c r="M49" s="159"/>
      <c r="N49" s="159"/>
      <c r="O49" s="159"/>
      <c r="P49" s="159"/>
      <c r="Q49" s="78"/>
      <c r="R49" s="78"/>
      <c r="V49" s="36"/>
    </row>
    <row r="50" spans="1:22" ht="13.95" customHeight="1" x14ac:dyDescent="0.25">
      <c r="A50" s="185"/>
      <c r="B50" s="31"/>
      <c r="C50" s="31"/>
      <c r="D50" s="31"/>
      <c r="E50" s="183"/>
      <c r="F50" s="183"/>
      <c r="G50" s="183"/>
      <c r="H50" s="183"/>
      <c r="I50" s="183"/>
      <c r="J50" s="183"/>
      <c r="K50" s="78"/>
      <c r="V50" s="36"/>
    </row>
    <row r="99" spans="1:8" hidden="1" x14ac:dyDescent="0.25"/>
    <row r="100" spans="1:8" hidden="1" x14ac:dyDescent="0.25"/>
    <row r="101" spans="1:8" s="82" customFormat="1" ht="25.5" hidden="1" customHeight="1" x14ac:dyDescent="0.25">
      <c r="E101" s="82" t="s">
        <v>161</v>
      </c>
      <c r="F101" s="82" t="s">
        <v>162</v>
      </c>
      <c r="G101" s="82" t="s">
        <v>163</v>
      </c>
    </row>
    <row r="102" spans="1:8" s="82" customFormat="1" ht="25.5" hidden="1" customHeight="1" x14ac:dyDescent="0.3">
      <c r="A102" s="82" t="s">
        <v>80</v>
      </c>
      <c r="B102" s="82" t="s">
        <v>81</v>
      </c>
      <c r="C102" s="82" t="s">
        <v>82</v>
      </c>
      <c r="D102" s="82" t="s">
        <v>137</v>
      </c>
      <c r="E102" s="83" t="s">
        <v>82</v>
      </c>
      <c r="F102" s="83" t="s">
        <v>137</v>
      </c>
      <c r="G102" s="83" t="s">
        <v>164</v>
      </c>
      <c r="H102" s="84"/>
    </row>
    <row r="103" spans="1:8" s="82" customFormat="1" ht="25.5" hidden="1" customHeight="1" x14ac:dyDescent="0.3">
      <c r="A103" s="82" t="s">
        <v>79</v>
      </c>
      <c r="B103" s="82" t="s">
        <v>81</v>
      </c>
      <c r="C103" s="82" t="s">
        <v>82</v>
      </c>
      <c r="D103" s="82" t="s">
        <v>82</v>
      </c>
      <c r="E103" s="83" t="s">
        <v>82</v>
      </c>
      <c r="F103" s="83" t="s">
        <v>137</v>
      </c>
      <c r="G103" s="83" t="s">
        <v>354</v>
      </c>
      <c r="H103" s="84"/>
    </row>
    <row r="104" spans="1:8" s="82" customFormat="1" ht="25.5" hidden="1" customHeight="1" x14ac:dyDescent="0.3">
      <c r="A104" s="82" t="s">
        <v>84</v>
      </c>
      <c r="B104" s="82" t="s">
        <v>81</v>
      </c>
      <c r="C104" s="82" t="s">
        <v>82</v>
      </c>
      <c r="D104" s="82" t="s">
        <v>83</v>
      </c>
      <c r="E104" s="83" t="s">
        <v>82</v>
      </c>
      <c r="F104" s="83" t="s">
        <v>137</v>
      </c>
      <c r="G104" s="83" t="s">
        <v>710</v>
      </c>
      <c r="H104" s="84"/>
    </row>
    <row r="105" spans="1:8" s="82" customFormat="1" ht="25.5" hidden="1" customHeight="1" x14ac:dyDescent="0.3">
      <c r="A105" s="82" t="s">
        <v>86</v>
      </c>
      <c r="B105" s="82" t="s">
        <v>87</v>
      </c>
      <c r="C105" s="82" t="s">
        <v>82</v>
      </c>
      <c r="D105" s="82" t="s">
        <v>166</v>
      </c>
      <c r="E105" s="83" t="s">
        <v>82</v>
      </c>
      <c r="F105" s="83" t="s">
        <v>137</v>
      </c>
      <c r="G105" s="83" t="s">
        <v>585</v>
      </c>
      <c r="H105" s="84"/>
    </row>
    <row r="106" spans="1:8" s="82" customFormat="1" ht="25.5" hidden="1" customHeight="1" x14ac:dyDescent="0.3">
      <c r="A106" s="82" t="s">
        <v>90</v>
      </c>
      <c r="B106" s="82" t="s">
        <v>87</v>
      </c>
      <c r="C106" s="82" t="s">
        <v>82</v>
      </c>
      <c r="D106" s="82" t="s">
        <v>85</v>
      </c>
      <c r="E106" s="83" t="s">
        <v>82</v>
      </c>
      <c r="F106" s="83" t="s">
        <v>137</v>
      </c>
      <c r="G106" s="83" t="s">
        <v>400</v>
      </c>
      <c r="H106" s="84"/>
    </row>
    <row r="107" spans="1:8" s="82" customFormat="1" ht="25.5" hidden="1" customHeight="1" x14ac:dyDescent="0.3">
      <c r="A107" s="82" t="s">
        <v>92</v>
      </c>
      <c r="B107" s="82" t="s">
        <v>87</v>
      </c>
      <c r="C107" s="82" t="s">
        <v>82</v>
      </c>
      <c r="D107" s="82" t="s">
        <v>138</v>
      </c>
      <c r="E107" s="83" t="s">
        <v>82</v>
      </c>
      <c r="F107" s="83" t="s">
        <v>82</v>
      </c>
      <c r="G107" s="83" t="s">
        <v>616</v>
      </c>
      <c r="H107" s="84"/>
    </row>
    <row r="108" spans="1:8" s="82" customFormat="1" ht="25.5" hidden="1" customHeight="1" x14ac:dyDescent="0.3">
      <c r="A108" s="82" t="s">
        <v>94</v>
      </c>
      <c r="B108" s="82" t="s">
        <v>95</v>
      </c>
      <c r="C108" s="83" t="s">
        <v>366</v>
      </c>
      <c r="D108" s="82" t="s">
        <v>89</v>
      </c>
      <c r="E108" s="83" t="s">
        <v>82</v>
      </c>
      <c r="F108" s="83" t="s">
        <v>82</v>
      </c>
      <c r="G108" s="83" t="s">
        <v>649</v>
      </c>
      <c r="H108" s="84"/>
    </row>
    <row r="109" spans="1:8" s="82" customFormat="1" ht="25.5" hidden="1" customHeight="1" x14ac:dyDescent="0.3">
      <c r="A109" s="82" t="s">
        <v>96</v>
      </c>
      <c r="B109" s="82" t="s">
        <v>95</v>
      </c>
      <c r="C109" s="83" t="s">
        <v>366</v>
      </c>
      <c r="D109" s="82" t="s">
        <v>91</v>
      </c>
      <c r="E109" s="83" t="s">
        <v>82</v>
      </c>
      <c r="F109" s="83" t="s">
        <v>82</v>
      </c>
      <c r="G109" s="83" t="s">
        <v>534</v>
      </c>
      <c r="H109" s="84"/>
    </row>
    <row r="110" spans="1:8" s="82" customFormat="1" ht="25.5" hidden="1" customHeight="1" x14ac:dyDescent="0.3">
      <c r="A110" s="82" t="s">
        <v>97</v>
      </c>
      <c r="B110" s="82" t="s">
        <v>95</v>
      </c>
      <c r="C110" s="83" t="s">
        <v>366</v>
      </c>
      <c r="D110" s="82" t="s">
        <v>93</v>
      </c>
      <c r="E110" s="83" t="s">
        <v>82</v>
      </c>
      <c r="F110" s="83" t="s">
        <v>82</v>
      </c>
      <c r="G110" s="83" t="s">
        <v>308</v>
      </c>
      <c r="H110" s="84"/>
    </row>
    <row r="111" spans="1:8" s="82" customFormat="1" ht="25.5" hidden="1" customHeight="1" x14ac:dyDescent="0.3">
      <c r="A111" s="82" t="s">
        <v>99</v>
      </c>
      <c r="B111" s="82" t="s">
        <v>100</v>
      </c>
      <c r="C111" s="83" t="s">
        <v>366</v>
      </c>
      <c r="D111" s="83" t="s">
        <v>366</v>
      </c>
      <c r="E111" s="83" t="s">
        <v>82</v>
      </c>
      <c r="F111" s="83" t="s">
        <v>82</v>
      </c>
      <c r="G111" s="83" t="s">
        <v>344</v>
      </c>
      <c r="H111" s="84"/>
    </row>
    <row r="112" spans="1:8" s="82" customFormat="1" ht="25.5" hidden="1" customHeight="1" x14ac:dyDescent="0.3">
      <c r="A112" s="82" t="s">
        <v>101</v>
      </c>
      <c r="B112" s="82" t="s">
        <v>100</v>
      </c>
      <c r="C112" s="83" t="s">
        <v>366</v>
      </c>
      <c r="D112" s="82" t="s">
        <v>98</v>
      </c>
      <c r="E112" s="83" t="s">
        <v>82</v>
      </c>
      <c r="F112" s="83" t="s">
        <v>82</v>
      </c>
      <c r="G112" s="83" t="s">
        <v>401</v>
      </c>
      <c r="H112" s="84"/>
    </row>
    <row r="113" spans="1:8" s="82" customFormat="1" ht="25.5" hidden="1" customHeight="1" x14ac:dyDescent="0.3">
      <c r="A113" s="82" t="s">
        <v>103</v>
      </c>
      <c r="B113" s="82" t="s">
        <v>100</v>
      </c>
      <c r="C113" s="83" t="s">
        <v>366</v>
      </c>
      <c r="D113" s="85" t="s">
        <v>678</v>
      </c>
      <c r="E113" s="83" t="s">
        <v>82</v>
      </c>
      <c r="F113" s="83" t="s">
        <v>82</v>
      </c>
      <c r="G113" s="83" t="s">
        <v>440</v>
      </c>
      <c r="H113" s="84"/>
    </row>
    <row r="114" spans="1:8" s="82" customFormat="1" ht="25.5" hidden="1" customHeight="1" x14ac:dyDescent="0.3">
      <c r="C114" s="83" t="s">
        <v>366</v>
      </c>
      <c r="D114" s="85" t="s">
        <v>139</v>
      </c>
      <c r="E114" s="83" t="s">
        <v>82</v>
      </c>
      <c r="F114" s="83" t="s">
        <v>82</v>
      </c>
      <c r="G114" s="83" t="s">
        <v>441</v>
      </c>
      <c r="H114" s="84"/>
    </row>
    <row r="115" spans="1:8" s="82" customFormat="1" ht="25.5" hidden="1" customHeight="1" x14ac:dyDescent="0.3">
      <c r="A115" s="85"/>
      <c r="B115" s="85"/>
      <c r="C115" s="83" t="s">
        <v>366</v>
      </c>
      <c r="D115" s="85" t="s">
        <v>140</v>
      </c>
      <c r="E115" s="83" t="s">
        <v>82</v>
      </c>
      <c r="F115" s="83" t="s">
        <v>82</v>
      </c>
      <c r="G115" s="83" t="s">
        <v>442</v>
      </c>
      <c r="H115" s="84"/>
    </row>
    <row r="116" spans="1:8" s="82" customFormat="1" ht="25.5" hidden="1" customHeight="1" x14ac:dyDescent="0.3">
      <c r="A116" s="85"/>
      <c r="B116" s="85"/>
      <c r="C116" s="83" t="s">
        <v>366</v>
      </c>
      <c r="D116" s="85" t="s">
        <v>179</v>
      </c>
      <c r="E116" s="83" t="s">
        <v>82</v>
      </c>
      <c r="F116" s="83" t="s">
        <v>82</v>
      </c>
      <c r="G116" s="83" t="s">
        <v>745</v>
      </c>
      <c r="H116" s="84"/>
    </row>
    <row r="117" spans="1:8" s="82" customFormat="1" ht="25.5" hidden="1" customHeight="1" x14ac:dyDescent="0.3">
      <c r="A117" s="85"/>
      <c r="B117" s="85"/>
      <c r="C117" s="83" t="s">
        <v>366</v>
      </c>
      <c r="D117" s="85" t="s">
        <v>102</v>
      </c>
      <c r="E117" s="83" t="s">
        <v>82</v>
      </c>
      <c r="F117" s="83" t="s">
        <v>82</v>
      </c>
      <c r="G117" s="83" t="s">
        <v>443</v>
      </c>
      <c r="H117" s="84"/>
    </row>
    <row r="118" spans="1:8" s="82" customFormat="1" ht="25.5" hidden="1" customHeight="1" x14ac:dyDescent="0.3">
      <c r="A118" s="85"/>
      <c r="B118" s="85"/>
      <c r="C118" s="83" t="s">
        <v>366</v>
      </c>
      <c r="D118" s="85" t="s">
        <v>104</v>
      </c>
      <c r="E118" s="83" t="s">
        <v>82</v>
      </c>
      <c r="F118" s="83" t="s">
        <v>82</v>
      </c>
      <c r="G118" s="83" t="s">
        <v>444</v>
      </c>
      <c r="H118" s="84"/>
    </row>
    <row r="119" spans="1:8" s="82" customFormat="1" ht="25.5" hidden="1" customHeight="1" x14ac:dyDescent="0.3">
      <c r="A119" s="85"/>
      <c r="B119" s="85"/>
      <c r="C119" s="85" t="s">
        <v>106</v>
      </c>
      <c r="D119" s="85" t="s">
        <v>106</v>
      </c>
      <c r="E119" s="83"/>
      <c r="F119" s="83"/>
      <c r="G119" s="83"/>
      <c r="H119" s="84"/>
    </row>
    <row r="120" spans="1:8" s="82" customFormat="1" ht="25.5" hidden="1" customHeight="1" x14ac:dyDescent="0.3">
      <c r="A120" s="85"/>
      <c r="B120" s="85"/>
      <c r="C120" s="85" t="s">
        <v>106</v>
      </c>
      <c r="D120" s="85" t="s">
        <v>108</v>
      </c>
      <c r="E120" s="83" t="s">
        <v>82</v>
      </c>
      <c r="F120" s="83" t="s">
        <v>83</v>
      </c>
      <c r="G120" s="83" t="s">
        <v>535</v>
      </c>
      <c r="H120" s="84"/>
    </row>
    <row r="121" spans="1:8" s="82" customFormat="1" ht="25.5" hidden="1" customHeight="1" x14ac:dyDescent="0.3">
      <c r="A121" s="85"/>
      <c r="B121" s="85"/>
      <c r="C121" s="85" t="s">
        <v>106</v>
      </c>
      <c r="D121" s="85" t="s">
        <v>109</v>
      </c>
      <c r="E121" s="83" t="s">
        <v>82</v>
      </c>
      <c r="F121" s="83" t="s">
        <v>165</v>
      </c>
      <c r="G121" s="83" t="s">
        <v>617</v>
      </c>
      <c r="H121" s="84"/>
    </row>
    <row r="122" spans="1:8" s="82" customFormat="1" ht="25.5" hidden="1" customHeight="1" x14ac:dyDescent="0.3">
      <c r="A122" s="85"/>
      <c r="B122" s="85"/>
      <c r="C122" s="85" t="s">
        <v>106</v>
      </c>
      <c r="D122" s="85" t="s">
        <v>110</v>
      </c>
      <c r="E122" s="83" t="s">
        <v>82</v>
      </c>
      <c r="F122" s="83" t="s">
        <v>165</v>
      </c>
      <c r="G122" s="83" t="s">
        <v>744</v>
      </c>
      <c r="H122" s="84"/>
    </row>
    <row r="123" spans="1:8" s="82" customFormat="1" ht="25.5" hidden="1" customHeight="1" x14ac:dyDescent="0.3">
      <c r="A123" s="85"/>
      <c r="B123" s="85"/>
      <c r="C123" s="85" t="s">
        <v>106</v>
      </c>
      <c r="D123" s="85" t="s">
        <v>111</v>
      </c>
      <c r="E123" s="83" t="s">
        <v>82</v>
      </c>
      <c r="F123" s="83" t="s">
        <v>83</v>
      </c>
      <c r="G123" s="83" t="s">
        <v>445</v>
      </c>
      <c r="H123" s="84"/>
    </row>
    <row r="124" spans="1:8" s="82" customFormat="1" ht="25.5" hidden="1" customHeight="1" x14ac:dyDescent="0.3">
      <c r="A124" s="85"/>
      <c r="B124" s="85"/>
      <c r="C124" s="85" t="s">
        <v>106</v>
      </c>
      <c r="D124" s="85" t="s">
        <v>142</v>
      </c>
      <c r="E124" s="83" t="s">
        <v>82</v>
      </c>
      <c r="F124" s="83" t="s">
        <v>83</v>
      </c>
      <c r="G124" s="83" t="s">
        <v>319</v>
      </c>
      <c r="H124" s="84"/>
    </row>
    <row r="125" spans="1:8" s="82" customFormat="1" ht="25.5" hidden="1" customHeight="1" x14ac:dyDescent="0.3">
      <c r="A125" s="85"/>
      <c r="B125" s="85"/>
      <c r="C125" s="85" t="s">
        <v>106</v>
      </c>
      <c r="D125" s="85" t="s">
        <v>112</v>
      </c>
      <c r="E125" s="83" t="s">
        <v>82</v>
      </c>
      <c r="F125" s="83" t="s">
        <v>83</v>
      </c>
      <c r="G125" s="83" t="s">
        <v>333</v>
      </c>
      <c r="H125" s="84"/>
    </row>
    <row r="126" spans="1:8" s="82" customFormat="1" ht="25.5" hidden="1" customHeight="1" x14ac:dyDescent="0.3">
      <c r="A126" s="85"/>
      <c r="B126" s="85"/>
      <c r="C126" s="85" t="s">
        <v>106</v>
      </c>
      <c r="D126" s="85" t="s">
        <v>143</v>
      </c>
      <c r="E126" s="83" t="s">
        <v>82</v>
      </c>
      <c r="F126" s="83" t="s">
        <v>83</v>
      </c>
      <c r="G126" s="83" t="s">
        <v>586</v>
      </c>
      <c r="H126" s="84"/>
    </row>
    <row r="127" spans="1:8" s="82" customFormat="1" ht="25.5" hidden="1" customHeight="1" x14ac:dyDescent="0.3">
      <c r="A127" s="85"/>
      <c r="B127" s="85"/>
      <c r="C127" s="85" t="s">
        <v>106</v>
      </c>
      <c r="D127" s="85" t="s">
        <v>113</v>
      </c>
      <c r="H127" s="84"/>
    </row>
    <row r="128" spans="1:8" s="82" customFormat="1" ht="25.5" hidden="1" customHeight="1" x14ac:dyDescent="0.3">
      <c r="A128" s="85"/>
      <c r="B128" s="85"/>
      <c r="C128" s="85" t="s">
        <v>106</v>
      </c>
      <c r="D128" s="85" t="s">
        <v>215</v>
      </c>
      <c r="H128" s="84"/>
    </row>
    <row r="129" spans="1:8" s="82" customFormat="1" ht="25.5" hidden="1" customHeight="1" x14ac:dyDescent="0.3">
      <c r="A129" s="85"/>
      <c r="B129" s="85"/>
      <c r="C129" s="85" t="s">
        <v>106</v>
      </c>
      <c r="D129" s="85" t="s">
        <v>145</v>
      </c>
      <c r="E129" s="83"/>
      <c r="F129" s="83"/>
      <c r="G129" s="83"/>
      <c r="H129" s="84"/>
    </row>
    <row r="130" spans="1:8" s="82" customFormat="1" ht="25.5" hidden="1" customHeight="1" x14ac:dyDescent="0.3">
      <c r="A130" s="85"/>
      <c r="B130" s="85"/>
      <c r="C130" s="85" t="s">
        <v>106</v>
      </c>
      <c r="D130" s="85" t="s">
        <v>146</v>
      </c>
      <c r="E130" s="83"/>
      <c r="F130" s="83"/>
      <c r="G130" s="83"/>
      <c r="H130" s="84"/>
    </row>
    <row r="131" spans="1:8" s="82" customFormat="1" ht="25.5" hidden="1" customHeight="1" x14ac:dyDescent="0.3">
      <c r="A131" s="85"/>
      <c r="B131" s="85"/>
      <c r="C131" s="85" t="s">
        <v>106</v>
      </c>
      <c r="D131" s="85" t="s">
        <v>114</v>
      </c>
      <c r="E131" s="83"/>
      <c r="F131" s="83"/>
      <c r="G131" s="83"/>
      <c r="H131" s="84"/>
    </row>
    <row r="132" spans="1:8" s="82" customFormat="1" ht="25.5" hidden="1" customHeight="1" x14ac:dyDescent="0.3">
      <c r="A132" s="85"/>
      <c r="B132" s="85"/>
      <c r="C132" s="85" t="s">
        <v>118</v>
      </c>
      <c r="D132" s="85" t="s">
        <v>148</v>
      </c>
      <c r="E132" s="83" t="s">
        <v>82</v>
      </c>
      <c r="F132" s="83" t="s">
        <v>166</v>
      </c>
      <c r="G132" s="83" t="s">
        <v>167</v>
      </c>
      <c r="H132" s="84"/>
    </row>
    <row r="133" spans="1:8" s="82" customFormat="1" ht="25.5" hidden="1" customHeight="1" x14ac:dyDescent="0.3">
      <c r="A133" s="85"/>
      <c r="B133" s="85"/>
      <c r="C133" s="85" t="s">
        <v>118</v>
      </c>
      <c r="D133" s="85" t="s">
        <v>119</v>
      </c>
      <c r="E133" s="83" t="s">
        <v>82</v>
      </c>
      <c r="F133" s="83" t="s">
        <v>166</v>
      </c>
      <c r="G133" s="83" t="s">
        <v>402</v>
      </c>
      <c r="H133" s="84"/>
    </row>
    <row r="134" spans="1:8" s="82" customFormat="1" ht="25.5" hidden="1" customHeight="1" x14ac:dyDescent="0.3">
      <c r="A134" s="85"/>
      <c r="B134" s="85"/>
      <c r="C134" s="85" t="s">
        <v>118</v>
      </c>
      <c r="D134" s="85" t="s">
        <v>120</v>
      </c>
      <c r="E134" s="83" t="s">
        <v>82</v>
      </c>
      <c r="F134" s="83" t="s">
        <v>166</v>
      </c>
      <c r="G134" s="83" t="s">
        <v>446</v>
      </c>
      <c r="H134" s="84"/>
    </row>
    <row r="135" spans="1:8" s="82" customFormat="1" ht="25.5" hidden="1" customHeight="1" x14ac:dyDescent="0.3">
      <c r="A135" s="85"/>
      <c r="B135" s="85"/>
      <c r="C135" s="85" t="s">
        <v>118</v>
      </c>
      <c r="D135" s="85" t="s">
        <v>149</v>
      </c>
      <c r="E135" s="83" t="s">
        <v>82</v>
      </c>
      <c r="F135" s="83" t="s">
        <v>166</v>
      </c>
      <c r="G135" s="83" t="s">
        <v>447</v>
      </c>
      <c r="H135" s="84"/>
    </row>
    <row r="136" spans="1:8" s="82" customFormat="1" ht="25.5" hidden="1" customHeight="1" x14ac:dyDescent="0.3">
      <c r="A136" s="85"/>
      <c r="B136" s="85"/>
      <c r="C136" s="85" t="s">
        <v>118</v>
      </c>
      <c r="D136" s="85" t="s">
        <v>118</v>
      </c>
      <c r="E136" s="83" t="s">
        <v>82</v>
      </c>
      <c r="F136" s="83" t="s">
        <v>85</v>
      </c>
      <c r="G136" s="83" t="s">
        <v>536</v>
      </c>
      <c r="H136" s="84"/>
    </row>
    <row r="137" spans="1:8" s="82" customFormat="1" ht="25.5" hidden="1" customHeight="1" x14ac:dyDescent="0.3">
      <c r="A137" s="85"/>
      <c r="B137" s="85"/>
      <c r="C137" s="85" t="s">
        <v>118</v>
      </c>
      <c r="D137" s="85" t="s">
        <v>121</v>
      </c>
      <c r="E137" s="83" t="s">
        <v>82</v>
      </c>
      <c r="F137" s="83" t="s">
        <v>168</v>
      </c>
      <c r="G137" s="83" t="s">
        <v>618</v>
      </c>
      <c r="H137" s="84"/>
    </row>
    <row r="138" spans="1:8" s="82" customFormat="1" ht="25.5" hidden="1" customHeight="1" x14ac:dyDescent="0.3">
      <c r="A138" s="85"/>
      <c r="B138" s="85"/>
      <c r="C138" s="85" t="s">
        <v>118</v>
      </c>
      <c r="D138" s="85" t="s">
        <v>150</v>
      </c>
      <c r="E138" s="83" t="s">
        <v>82</v>
      </c>
      <c r="F138" s="83" t="s">
        <v>168</v>
      </c>
      <c r="G138" s="83" t="s">
        <v>718</v>
      </c>
      <c r="H138" s="84"/>
    </row>
    <row r="139" spans="1:8" s="82" customFormat="1" ht="25.5" hidden="1" customHeight="1" x14ac:dyDescent="0.3">
      <c r="A139" s="85"/>
      <c r="B139" s="85"/>
      <c r="C139" s="85" t="s">
        <v>118</v>
      </c>
      <c r="D139" s="85" t="s">
        <v>151</v>
      </c>
      <c r="E139" s="83" t="s">
        <v>82</v>
      </c>
      <c r="F139" s="83" t="s">
        <v>168</v>
      </c>
      <c r="G139" s="83" t="s">
        <v>719</v>
      </c>
      <c r="H139" s="84"/>
    </row>
    <row r="140" spans="1:8" s="82" customFormat="1" ht="25.5" hidden="1" customHeight="1" x14ac:dyDescent="0.3">
      <c r="A140" s="85"/>
      <c r="B140" s="85"/>
      <c r="C140" s="85" t="s">
        <v>118</v>
      </c>
      <c r="D140" s="85" t="s">
        <v>152</v>
      </c>
      <c r="E140" s="83" t="s">
        <v>82</v>
      </c>
      <c r="F140" s="83" t="s">
        <v>168</v>
      </c>
      <c r="G140" s="83" t="s">
        <v>352</v>
      </c>
      <c r="H140" s="84"/>
    </row>
    <row r="141" spans="1:8" s="82" customFormat="1" ht="25.5" hidden="1" customHeight="1" x14ac:dyDescent="0.3">
      <c r="A141" s="85"/>
      <c r="B141" s="85"/>
      <c r="C141" s="85" t="s">
        <v>118</v>
      </c>
      <c r="D141" s="85" t="s">
        <v>122</v>
      </c>
      <c r="E141" s="83" t="s">
        <v>82</v>
      </c>
      <c r="F141" s="83" t="s">
        <v>168</v>
      </c>
      <c r="G141" s="83" t="s">
        <v>353</v>
      </c>
      <c r="H141" s="84"/>
    </row>
    <row r="142" spans="1:8" s="82" customFormat="1" ht="25.5" hidden="1" customHeight="1" x14ac:dyDescent="0.3">
      <c r="A142" s="85"/>
      <c r="B142" s="85"/>
      <c r="C142" s="85" t="s">
        <v>117</v>
      </c>
      <c r="D142" s="85" t="s">
        <v>141</v>
      </c>
      <c r="E142" s="83" t="s">
        <v>82</v>
      </c>
      <c r="F142" s="83" t="s">
        <v>168</v>
      </c>
      <c r="G142" s="83" t="s">
        <v>448</v>
      </c>
      <c r="H142" s="84"/>
    </row>
    <row r="143" spans="1:8" s="82" customFormat="1" ht="25.5" hidden="1" customHeight="1" x14ac:dyDescent="0.3">
      <c r="A143" s="85"/>
      <c r="B143" s="85"/>
      <c r="C143" s="85" t="s">
        <v>117</v>
      </c>
      <c r="D143" s="85" t="s">
        <v>117</v>
      </c>
      <c r="E143" s="83" t="s">
        <v>82</v>
      </c>
      <c r="F143" s="83" t="s">
        <v>138</v>
      </c>
      <c r="G143" s="83" t="s">
        <v>619</v>
      </c>
      <c r="H143" s="84"/>
    </row>
    <row r="144" spans="1:8" s="82" customFormat="1" ht="25.5" hidden="1" customHeight="1" x14ac:dyDescent="0.3">
      <c r="A144" s="85"/>
      <c r="B144" s="85"/>
      <c r="C144" s="85" t="s">
        <v>117</v>
      </c>
      <c r="D144" s="85" t="s">
        <v>144</v>
      </c>
      <c r="E144" s="83" t="s">
        <v>82</v>
      </c>
      <c r="F144" s="83" t="s">
        <v>138</v>
      </c>
      <c r="G144" s="83" t="s">
        <v>355</v>
      </c>
      <c r="H144" s="84"/>
    </row>
    <row r="145" spans="1:8" s="82" customFormat="1" ht="25.5" hidden="1" customHeight="1" x14ac:dyDescent="0.3">
      <c r="A145" s="85"/>
      <c r="B145" s="85"/>
      <c r="C145" s="85" t="s">
        <v>117</v>
      </c>
      <c r="D145" s="85" t="s">
        <v>147</v>
      </c>
      <c r="E145" s="83" t="s">
        <v>82</v>
      </c>
      <c r="F145" s="83" t="s">
        <v>138</v>
      </c>
      <c r="G145" s="83" t="s">
        <v>587</v>
      </c>
      <c r="H145" s="84"/>
    </row>
    <row r="146" spans="1:8" s="82" customFormat="1" ht="25.5" hidden="1" customHeight="1" x14ac:dyDescent="0.3">
      <c r="A146" s="85"/>
      <c r="B146" s="85"/>
      <c r="C146" s="82" t="s">
        <v>123</v>
      </c>
      <c r="D146" s="85" t="s">
        <v>124</v>
      </c>
      <c r="E146" s="83" t="s">
        <v>82</v>
      </c>
      <c r="F146" s="83" t="s">
        <v>138</v>
      </c>
      <c r="G146" s="83" t="s">
        <v>391</v>
      </c>
      <c r="H146" s="84"/>
    </row>
    <row r="147" spans="1:8" s="82" customFormat="1" ht="25.5" hidden="1" customHeight="1" x14ac:dyDescent="0.3">
      <c r="A147" s="85"/>
      <c r="B147" s="85"/>
      <c r="C147" s="82" t="s">
        <v>123</v>
      </c>
      <c r="D147" s="85" t="s">
        <v>241</v>
      </c>
      <c r="E147" s="83" t="s">
        <v>82</v>
      </c>
      <c r="F147" s="83" t="s">
        <v>138</v>
      </c>
      <c r="G147" s="83" t="s">
        <v>403</v>
      </c>
      <c r="H147" s="84"/>
    </row>
    <row r="148" spans="1:8" s="82" customFormat="1" ht="25.5" hidden="1" customHeight="1" x14ac:dyDescent="0.3">
      <c r="A148" s="85"/>
      <c r="B148" s="85"/>
      <c r="C148" s="82" t="s">
        <v>123</v>
      </c>
      <c r="D148" s="85" t="s">
        <v>153</v>
      </c>
      <c r="E148" s="83" t="s">
        <v>82</v>
      </c>
      <c r="F148" s="83" t="s">
        <v>138</v>
      </c>
      <c r="G148" s="83" t="s">
        <v>449</v>
      </c>
      <c r="H148" s="84"/>
    </row>
    <row r="149" spans="1:8" s="82" customFormat="1" ht="25.5" hidden="1" customHeight="1" x14ac:dyDescent="0.3">
      <c r="A149" s="85"/>
      <c r="B149" s="85"/>
      <c r="C149" s="82" t="s">
        <v>123</v>
      </c>
      <c r="D149" s="82" t="s">
        <v>125</v>
      </c>
      <c r="E149" s="83"/>
      <c r="F149" s="83"/>
      <c r="G149" s="83"/>
      <c r="H149" s="84"/>
    </row>
    <row r="150" spans="1:8" s="82" customFormat="1" ht="25.5" hidden="1" customHeight="1" x14ac:dyDescent="0.3">
      <c r="A150" s="85"/>
      <c r="B150" s="85"/>
      <c r="C150" s="82" t="s">
        <v>123</v>
      </c>
      <c r="D150" s="82" t="s">
        <v>154</v>
      </c>
      <c r="E150" s="83" t="s">
        <v>366</v>
      </c>
      <c r="F150" s="86" t="s">
        <v>169</v>
      </c>
      <c r="G150" s="86" t="s">
        <v>88</v>
      </c>
      <c r="H150" s="84"/>
    </row>
    <row r="151" spans="1:8" s="82" customFormat="1" ht="25.5" hidden="1" customHeight="1" x14ac:dyDescent="0.3">
      <c r="A151" s="85"/>
      <c r="B151" s="85"/>
      <c r="C151" s="82" t="s">
        <v>123</v>
      </c>
      <c r="D151" s="82" t="s">
        <v>127</v>
      </c>
      <c r="E151" s="83" t="s">
        <v>366</v>
      </c>
      <c r="F151" s="86" t="s">
        <v>169</v>
      </c>
      <c r="G151" s="86" t="s">
        <v>450</v>
      </c>
      <c r="H151" s="84"/>
    </row>
    <row r="152" spans="1:8" s="82" customFormat="1" ht="25.5" hidden="1" customHeight="1" x14ac:dyDescent="0.3">
      <c r="A152" s="85"/>
      <c r="B152" s="85"/>
      <c r="C152" s="82" t="s">
        <v>123</v>
      </c>
      <c r="D152" s="82" t="s">
        <v>123</v>
      </c>
      <c r="E152" s="86"/>
      <c r="F152" s="86"/>
      <c r="G152" s="86"/>
      <c r="H152" s="84"/>
    </row>
    <row r="153" spans="1:8" s="82" customFormat="1" ht="25.5" hidden="1" customHeight="1" x14ac:dyDescent="0.3">
      <c r="A153" s="85"/>
      <c r="B153" s="85"/>
      <c r="C153" s="82" t="s">
        <v>123</v>
      </c>
      <c r="D153" s="82" t="s">
        <v>128</v>
      </c>
      <c r="E153" s="86"/>
      <c r="F153" s="86"/>
      <c r="G153" s="86"/>
      <c r="H153" s="84"/>
    </row>
    <row r="154" spans="1:8" s="82" customFormat="1" ht="25.5" hidden="1" customHeight="1" x14ac:dyDescent="0.3">
      <c r="A154" s="85"/>
      <c r="B154" s="85"/>
      <c r="C154" s="82" t="s">
        <v>129</v>
      </c>
      <c r="D154" s="82" t="s">
        <v>155</v>
      </c>
      <c r="E154" s="83" t="s">
        <v>366</v>
      </c>
      <c r="F154" s="83" t="s">
        <v>170</v>
      </c>
      <c r="G154" s="83" t="s">
        <v>537</v>
      </c>
      <c r="H154" s="84"/>
    </row>
    <row r="155" spans="1:8" s="82" customFormat="1" ht="25.5" hidden="1" customHeight="1" x14ac:dyDescent="0.3">
      <c r="A155" s="85"/>
      <c r="B155" s="85"/>
      <c r="C155" s="82" t="s">
        <v>129</v>
      </c>
      <c r="D155" s="82" t="s">
        <v>130</v>
      </c>
      <c r="E155" s="83" t="s">
        <v>366</v>
      </c>
      <c r="F155" s="83" t="s">
        <v>171</v>
      </c>
      <c r="G155" s="83" t="s">
        <v>172</v>
      </c>
      <c r="H155" s="84"/>
    </row>
    <row r="156" spans="1:8" s="82" customFormat="1" ht="25.5" hidden="1" customHeight="1" x14ac:dyDescent="0.3">
      <c r="A156" s="85"/>
      <c r="B156" s="85"/>
      <c r="C156" s="82" t="s">
        <v>129</v>
      </c>
      <c r="D156" s="82" t="s">
        <v>131</v>
      </c>
      <c r="E156" s="83" t="s">
        <v>366</v>
      </c>
      <c r="F156" s="83" t="s">
        <v>171</v>
      </c>
      <c r="G156" s="83" t="s">
        <v>332</v>
      </c>
      <c r="H156" s="84"/>
    </row>
    <row r="157" spans="1:8" s="82" customFormat="1" ht="25.5" hidden="1" customHeight="1" x14ac:dyDescent="0.3">
      <c r="A157" s="85"/>
      <c r="B157" s="85"/>
      <c r="C157" s="82" t="s">
        <v>129</v>
      </c>
      <c r="D157" s="82" t="s">
        <v>156</v>
      </c>
      <c r="E157" s="83" t="s">
        <v>366</v>
      </c>
      <c r="F157" s="83" t="s">
        <v>171</v>
      </c>
      <c r="G157" s="83" t="s">
        <v>588</v>
      </c>
      <c r="H157" s="84"/>
    </row>
    <row r="158" spans="1:8" s="82" customFormat="1" ht="25.5" hidden="1" customHeight="1" x14ac:dyDescent="0.3">
      <c r="A158" s="85"/>
      <c r="B158" s="85"/>
      <c r="C158" s="82" t="s">
        <v>129</v>
      </c>
      <c r="D158" s="82" t="s">
        <v>157</v>
      </c>
      <c r="E158" s="83" t="s">
        <v>366</v>
      </c>
      <c r="F158" s="83" t="s">
        <v>171</v>
      </c>
      <c r="G158" s="83" t="s">
        <v>404</v>
      </c>
      <c r="H158" s="84"/>
    </row>
    <row r="159" spans="1:8" s="82" customFormat="1" ht="25.5" hidden="1" customHeight="1" x14ac:dyDescent="0.3">
      <c r="A159" s="85"/>
      <c r="B159" s="85"/>
      <c r="C159" s="82" t="s">
        <v>129</v>
      </c>
      <c r="D159" s="82" t="s">
        <v>158</v>
      </c>
      <c r="E159" s="83" t="s">
        <v>366</v>
      </c>
      <c r="F159" s="83" t="s">
        <v>171</v>
      </c>
      <c r="G159" s="83" t="s">
        <v>451</v>
      </c>
      <c r="H159" s="84"/>
    </row>
    <row r="160" spans="1:8" s="82" customFormat="1" ht="25.5" hidden="1" customHeight="1" x14ac:dyDescent="0.3">
      <c r="A160" s="85"/>
      <c r="B160" s="85"/>
      <c r="C160" s="82" t="s">
        <v>129</v>
      </c>
      <c r="D160" s="82" t="s">
        <v>129</v>
      </c>
      <c r="E160" s="83" t="s">
        <v>366</v>
      </c>
      <c r="F160" s="83" t="s">
        <v>171</v>
      </c>
      <c r="G160" s="83" t="s">
        <v>452</v>
      </c>
      <c r="H160" s="84"/>
    </row>
    <row r="161" spans="1:8" s="82" customFormat="1" ht="25.5" hidden="1" customHeight="1" x14ac:dyDescent="0.3">
      <c r="A161" s="85"/>
      <c r="B161" s="85"/>
      <c r="C161" s="82" t="s">
        <v>129</v>
      </c>
      <c r="D161" s="82" t="s">
        <v>159</v>
      </c>
      <c r="E161" s="83" t="s">
        <v>366</v>
      </c>
      <c r="F161" s="83" t="s">
        <v>171</v>
      </c>
      <c r="G161" s="83" t="s">
        <v>453</v>
      </c>
      <c r="H161" s="84"/>
    </row>
    <row r="162" spans="1:8" s="82" customFormat="1" ht="25.5" hidden="1" customHeight="1" x14ac:dyDescent="0.3">
      <c r="A162" s="85"/>
      <c r="B162" s="85"/>
      <c r="C162" s="82" t="s">
        <v>132</v>
      </c>
      <c r="D162" s="82" t="s">
        <v>133</v>
      </c>
      <c r="E162" s="83"/>
      <c r="F162" s="83"/>
      <c r="G162" s="83"/>
      <c r="H162" s="84"/>
    </row>
    <row r="163" spans="1:8" s="82" customFormat="1" ht="25.5" hidden="1" customHeight="1" x14ac:dyDescent="0.3">
      <c r="C163" s="82" t="s">
        <v>132</v>
      </c>
      <c r="D163" s="82" t="s">
        <v>160</v>
      </c>
      <c r="E163" s="83" t="s">
        <v>366</v>
      </c>
      <c r="F163" s="83" t="s">
        <v>93</v>
      </c>
      <c r="G163" s="83" t="s">
        <v>538</v>
      </c>
    </row>
    <row r="164" spans="1:8" s="82" customFormat="1" ht="25.5" hidden="1" customHeight="1" x14ac:dyDescent="0.3">
      <c r="C164" s="82" t="s">
        <v>132</v>
      </c>
      <c r="D164" s="82" t="s">
        <v>134</v>
      </c>
      <c r="E164" s="83" t="s">
        <v>366</v>
      </c>
      <c r="F164" s="83" t="s">
        <v>173</v>
      </c>
      <c r="G164" s="83" t="s">
        <v>620</v>
      </c>
    </row>
    <row r="165" spans="1:8" s="82" customFormat="1" ht="25.5" hidden="1" customHeight="1" x14ac:dyDescent="0.3">
      <c r="C165" s="82" t="s">
        <v>132</v>
      </c>
      <c r="D165" s="82" t="s">
        <v>132</v>
      </c>
      <c r="E165" s="83" t="s">
        <v>366</v>
      </c>
      <c r="F165" s="83" t="s">
        <v>173</v>
      </c>
      <c r="G165" s="83" t="s">
        <v>392</v>
      </c>
    </row>
    <row r="166" spans="1:8" s="82" customFormat="1" ht="25.5" hidden="1" customHeight="1" x14ac:dyDescent="0.3">
      <c r="E166" s="83" t="s">
        <v>366</v>
      </c>
      <c r="F166" s="83" t="s">
        <v>173</v>
      </c>
      <c r="G166" s="83" t="s">
        <v>743</v>
      </c>
    </row>
    <row r="167" spans="1:8" s="82" customFormat="1" ht="25.5" hidden="1" customHeight="1" x14ac:dyDescent="0.3">
      <c r="E167" s="83" t="s">
        <v>366</v>
      </c>
      <c r="F167" s="83" t="s">
        <v>173</v>
      </c>
      <c r="G167" s="83" t="s">
        <v>406</v>
      </c>
    </row>
    <row r="168" spans="1:8" s="82" customFormat="1" ht="25.5" hidden="1" customHeight="1" x14ac:dyDescent="0.3">
      <c r="E168" s="83" t="s">
        <v>366</v>
      </c>
      <c r="F168" s="83" t="s">
        <v>173</v>
      </c>
      <c r="G168" s="83" t="s">
        <v>454</v>
      </c>
    </row>
    <row r="169" spans="1:8" s="82" customFormat="1" ht="25.5" hidden="1" customHeight="1" x14ac:dyDescent="0.3">
      <c r="E169" s="83" t="s">
        <v>366</v>
      </c>
      <c r="F169" s="83" t="s">
        <v>366</v>
      </c>
      <c r="G169" s="83" t="s">
        <v>367</v>
      </c>
    </row>
    <row r="170" spans="1:8" s="82" customFormat="1" ht="25.5" hidden="1" customHeight="1" x14ac:dyDescent="0.3">
      <c r="E170" s="83" t="s">
        <v>366</v>
      </c>
      <c r="F170" s="83" t="s">
        <v>366</v>
      </c>
      <c r="G170" s="83" t="s">
        <v>368</v>
      </c>
    </row>
    <row r="171" spans="1:8" s="82" customFormat="1" ht="25.5" hidden="1" customHeight="1" x14ac:dyDescent="0.3">
      <c r="E171" s="83" t="s">
        <v>366</v>
      </c>
      <c r="F171" s="83" t="s">
        <v>366</v>
      </c>
      <c r="G171" s="83" t="s">
        <v>369</v>
      </c>
    </row>
    <row r="172" spans="1:8" s="82" customFormat="1" ht="25.5" hidden="1" customHeight="1" x14ac:dyDescent="0.3">
      <c r="E172" s="83" t="s">
        <v>366</v>
      </c>
      <c r="F172" s="83" t="s">
        <v>366</v>
      </c>
      <c r="G172" s="83" t="s">
        <v>183</v>
      </c>
    </row>
    <row r="173" spans="1:8" s="82" customFormat="1" ht="25.5" hidden="1" customHeight="1" x14ac:dyDescent="0.3">
      <c r="E173" s="83" t="s">
        <v>366</v>
      </c>
      <c r="F173" s="83" t="s">
        <v>366</v>
      </c>
      <c r="G173" s="83" t="s">
        <v>184</v>
      </c>
    </row>
    <row r="174" spans="1:8" s="82" customFormat="1" ht="25.5" hidden="1" customHeight="1" x14ac:dyDescent="0.3">
      <c r="E174" s="83" t="s">
        <v>366</v>
      </c>
      <c r="F174" s="83" t="s">
        <v>366</v>
      </c>
      <c r="G174" s="83" t="s">
        <v>650</v>
      </c>
    </row>
    <row r="175" spans="1:8" s="82" customFormat="1" ht="25.5" hidden="1" customHeight="1" x14ac:dyDescent="0.3">
      <c r="E175" s="83" t="s">
        <v>366</v>
      </c>
      <c r="F175" s="83" t="s">
        <v>366</v>
      </c>
      <c r="G175" s="83" t="s">
        <v>589</v>
      </c>
    </row>
    <row r="176" spans="1:8" s="82" customFormat="1" ht="25.5" hidden="1" customHeight="1" x14ac:dyDescent="0.3">
      <c r="E176" s="83" t="s">
        <v>366</v>
      </c>
      <c r="F176" s="83" t="s">
        <v>366</v>
      </c>
      <c r="G176" s="83" t="s">
        <v>590</v>
      </c>
    </row>
    <row r="177" spans="5:7" s="82" customFormat="1" ht="25.5" hidden="1" customHeight="1" x14ac:dyDescent="0.3">
      <c r="E177" s="83" t="s">
        <v>366</v>
      </c>
      <c r="F177" s="83" t="s">
        <v>366</v>
      </c>
      <c r="G177" s="83" t="s">
        <v>370</v>
      </c>
    </row>
    <row r="178" spans="5:7" s="82" customFormat="1" ht="25.5" hidden="1" customHeight="1" x14ac:dyDescent="0.3">
      <c r="E178" s="83" t="s">
        <v>366</v>
      </c>
      <c r="F178" s="83" t="s">
        <v>366</v>
      </c>
      <c r="G178" s="83" t="s">
        <v>371</v>
      </c>
    </row>
    <row r="179" spans="5:7" s="82" customFormat="1" ht="25.5" hidden="1" customHeight="1" x14ac:dyDescent="0.3">
      <c r="E179" s="83" t="s">
        <v>366</v>
      </c>
      <c r="F179" s="83" t="s">
        <v>366</v>
      </c>
      <c r="G179" s="83" t="s">
        <v>741</v>
      </c>
    </row>
    <row r="180" spans="5:7" s="82" customFormat="1" ht="25.5" hidden="1" customHeight="1" x14ac:dyDescent="0.3">
      <c r="E180" s="83" t="s">
        <v>366</v>
      </c>
      <c r="F180" s="83" t="s">
        <v>366</v>
      </c>
      <c r="G180" s="83" t="s">
        <v>740</v>
      </c>
    </row>
    <row r="181" spans="5:7" s="82" customFormat="1" ht="25.5" hidden="1" customHeight="1" x14ac:dyDescent="0.3">
      <c r="E181" s="83" t="s">
        <v>366</v>
      </c>
      <c r="F181" s="83" t="s">
        <v>366</v>
      </c>
      <c r="G181" s="83" t="s">
        <v>372</v>
      </c>
    </row>
    <row r="182" spans="5:7" s="82" customFormat="1" ht="25.5" hidden="1" customHeight="1" x14ac:dyDescent="0.3">
      <c r="E182" s="83" t="s">
        <v>366</v>
      </c>
      <c r="F182" s="83" t="s">
        <v>366</v>
      </c>
      <c r="G182" s="83" t="s">
        <v>373</v>
      </c>
    </row>
    <row r="183" spans="5:7" s="82" customFormat="1" ht="25.5" hidden="1" customHeight="1" x14ac:dyDescent="0.3">
      <c r="E183" s="83" t="s">
        <v>366</v>
      </c>
      <c r="F183" s="83" t="s">
        <v>366</v>
      </c>
      <c r="G183" s="83" t="s">
        <v>382</v>
      </c>
    </row>
    <row r="184" spans="5:7" s="82" customFormat="1" ht="25.5" hidden="1" customHeight="1" x14ac:dyDescent="0.3">
      <c r="E184" s="83" t="s">
        <v>366</v>
      </c>
      <c r="F184" s="83" t="s">
        <v>366</v>
      </c>
      <c r="G184" s="83" t="s">
        <v>383</v>
      </c>
    </row>
    <row r="185" spans="5:7" s="82" customFormat="1" ht="25.5" hidden="1" customHeight="1" x14ac:dyDescent="0.3">
      <c r="E185" s="83" t="s">
        <v>366</v>
      </c>
      <c r="F185" s="83" t="s">
        <v>366</v>
      </c>
      <c r="G185" s="83" t="s">
        <v>709</v>
      </c>
    </row>
    <row r="186" spans="5:7" s="82" customFormat="1" ht="25.5" hidden="1" customHeight="1" x14ac:dyDescent="0.3">
      <c r="E186" s="83" t="s">
        <v>366</v>
      </c>
      <c r="F186" s="83" t="s">
        <v>366</v>
      </c>
      <c r="G186" s="83" t="s">
        <v>384</v>
      </c>
    </row>
    <row r="187" spans="5:7" s="82" customFormat="1" ht="25.5" hidden="1" customHeight="1" x14ac:dyDescent="0.3">
      <c r="E187" s="83" t="s">
        <v>366</v>
      </c>
      <c r="F187" s="83" t="s">
        <v>366</v>
      </c>
      <c r="G187" s="83" t="s">
        <v>390</v>
      </c>
    </row>
    <row r="188" spans="5:7" s="82" customFormat="1" ht="25.5" hidden="1" customHeight="1" x14ac:dyDescent="0.3">
      <c r="E188" s="83" t="s">
        <v>366</v>
      </c>
      <c r="F188" s="83" t="s">
        <v>366</v>
      </c>
      <c r="G188" s="83" t="s">
        <v>405</v>
      </c>
    </row>
    <row r="189" spans="5:7" s="82" customFormat="1" ht="25.5" hidden="1" customHeight="1" x14ac:dyDescent="0.3">
      <c r="E189" s="83" t="s">
        <v>366</v>
      </c>
      <c r="F189" s="83" t="s">
        <v>366</v>
      </c>
      <c r="G189" s="83" t="s">
        <v>455</v>
      </c>
    </row>
    <row r="190" spans="5:7" s="82" customFormat="1" ht="25.5" hidden="1" customHeight="1" x14ac:dyDescent="0.3">
      <c r="E190" s="83" t="s">
        <v>366</v>
      </c>
      <c r="F190" s="83" t="s">
        <v>366</v>
      </c>
      <c r="G190" s="83" t="s">
        <v>456</v>
      </c>
    </row>
    <row r="191" spans="5:7" s="82" customFormat="1" ht="25.5" hidden="1" customHeight="1" x14ac:dyDescent="0.3">
      <c r="E191" s="83"/>
      <c r="F191" s="83"/>
      <c r="G191" s="83"/>
    </row>
    <row r="192" spans="5:7" s="82" customFormat="1" ht="25.5" hidden="1" customHeight="1" x14ac:dyDescent="0.3">
      <c r="E192" s="83"/>
      <c r="F192" s="83"/>
      <c r="G192" s="83"/>
    </row>
    <row r="193" spans="5:7" s="82" customFormat="1" ht="25.5" hidden="1" customHeight="1" x14ac:dyDescent="0.3">
      <c r="E193" s="83"/>
      <c r="F193" s="83"/>
      <c r="G193" s="83"/>
    </row>
    <row r="194" spans="5:7" s="82" customFormat="1" ht="25.5" hidden="1" customHeight="1" x14ac:dyDescent="0.3">
      <c r="E194" s="83"/>
      <c r="F194" s="83"/>
      <c r="G194" s="83"/>
    </row>
    <row r="195" spans="5:7" s="82" customFormat="1" ht="25.5" hidden="1" customHeight="1" x14ac:dyDescent="0.3">
      <c r="E195" s="83"/>
      <c r="F195" s="83"/>
      <c r="G195" s="83"/>
    </row>
    <row r="196" spans="5:7" s="82" customFormat="1" ht="25.5" hidden="1" customHeight="1" x14ac:dyDescent="0.3">
      <c r="E196" s="83"/>
      <c r="F196" s="83"/>
      <c r="G196" s="83"/>
    </row>
    <row r="197" spans="5:7" s="82" customFormat="1" ht="25.5" hidden="1" customHeight="1" x14ac:dyDescent="0.3">
      <c r="E197" s="83" t="s">
        <v>366</v>
      </c>
      <c r="F197" s="83" t="s">
        <v>98</v>
      </c>
      <c r="G197" s="83" t="s">
        <v>174</v>
      </c>
    </row>
    <row r="198" spans="5:7" s="82" customFormat="1" ht="25.5" hidden="1" customHeight="1" x14ac:dyDescent="0.3">
      <c r="E198" s="83" t="s">
        <v>366</v>
      </c>
      <c r="F198" s="83" t="s">
        <v>98</v>
      </c>
      <c r="G198" s="83" t="s">
        <v>651</v>
      </c>
    </row>
    <row r="199" spans="5:7" s="82" customFormat="1" ht="25.5" hidden="1" customHeight="1" x14ac:dyDescent="0.3">
      <c r="E199" s="83" t="s">
        <v>366</v>
      </c>
      <c r="F199" s="83" t="s">
        <v>98</v>
      </c>
      <c r="G199" s="83" t="s">
        <v>539</v>
      </c>
    </row>
    <row r="200" spans="5:7" s="82" customFormat="1" ht="25.5" hidden="1" customHeight="1" x14ac:dyDescent="0.3">
      <c r="E200" s="83" t="s">
        <v>366</v>
      </c>
      <c r="F200" s="83" t="s">
        <v>175</v>
      </c>
      <c r="G200" s="83" t="s">
        <v>621</v>
      </c>
    </row>
    <row r="201" spans="5:7" s="82" customFormat="1" ht="25.5" hidden="1" customHeight="1" x14ac:dyDescent="0.3">
      <c r="E201" s="83" t="s">
        <v>366</v>
      </c>
      <c r="F201" s="83" t="s">
        <v>175</v>
      </c>
      <c r="G201" s="87" t="s">
        <v>321</v>
      </c>
    </row>
    <row r="202" spans="5:7" s="82" customFormat="1" ht="25.5" hidden="1" customHeight="1" x14ac:dyDescent="0.3">
      <c r="E202" s="83" t="s">
        <v>366</v>
      </c>
      <c r="F202" s="83" t="s">
        <v>98</v>
      </c>
      <c r="G202" s="83" t="s">
        <v>331</v>
      </c>
    </row>
    <row r="203" spans="5:7" s="82" customFormat="1" ht="25.5" hidden="1" customHeight="1" x14ac:dyDescent="0.3">
      <c r="E203" s="83" t="s">
        <v>366</v>
      </c>
      <c r="F203" s="83" t="s">
        <v>98</v>
      </c>
      <c r="G203" s="83" t="s">
        <v>407</v>
      </c>
    </row>
    <row r="204" spans="5:7" s="82" customFormat="1" ht="25.5" hidden="1" customHeight="1" x14ac:dyDescent="0.3">
      <c r="E204" s="83" t="s">
        <v>366</v>
      </c>
      <c r="F204" s="83" t="s">
        <v>98</v>
      </c>
      <c r="G204" s="83" t="s">
        <v>457</v>
      </c>
    </row>
    <row r="205" spans="5:7" s="82" customFormat="1" ht="25.5" hidden="1" customHeight="1" x14ac:dyDescent="0.3">
      <c r="E205" s="83" t="s">
        <v>366</v>
      </c>
      <c r="F205" s="83" t="s">
        <v>98</v>
      </c>
      <c r="G205" s="83" t="s">
        <v>458</v>
      </c>
    </row>
    <row r="206" spans="5:7" s="82" customFormat="1" ht="25.5" hidden="1" customHeight="1" x14ac:dyDescent="0.3">
      <c r="E206" s="83" t="s">
        <v>366</v>
      </c>
      <c r="F206" s="83" t="s">
        <v>98</v>
      </c>
      <c r="G206" s="83" t="s">
        <v>746</v>
      </c>
    </row>
    <row r="207" spans="5:7" s="82" customFormat="1" ht="25.5" hidden="1" customHeight="1" x14ac:dyDescent="0.3">
      <c r="E207" s="83" t="s">
        <v>366</v>
      </c>
      <c r="F207" s="83" t="s">
        <v>98</v>
      </c>
      <c r="G207" s="83" t="s">
        <v>459</v>
      </c>
    </row>
    <row r="208" spans="5:7" s="82" customFormat="1" ht="25.5" hidden="1" customHeight="1" x14ac:dyDescent="0.3">
      <c r="E208" s="83" t="s">
        <v>366</v>
      </c>
      <c r="F208" s="83" t="s">
        <v>98</v>
      </c>
      <c r="G208" s="83" t="s">
        <v>460</v>
      </c>
    </row>
    <row r="209" spans="5:7" s="82" customFormat="1" ht="25.5" hidden="1" customHeight="1" x14ac:dyDescent="0.3">
      <c r="E209" s="83" t="s">
        <v>366</v>
      </c>
      <c r="F209" s="83" t="s">
        <v>98</v>
      </c>
      <c r="G209" s="83" t="s">
        <v>461</v>
      </c>
    </row>
    <row r="210" spans="5:7" s="82" customFormat="1" ht="25.5" hidden="1" customHeight="1" x14ac:dyDescent="0.3">
      <c r="E210" s="83" t="s">
        <v>366</v>
      </c>
      <c r="F210" s="83" t="s">
        <v>98</v>
      </c>
      <c r="G210" s="83" t="s">
        <v>462</v>
      </c>
    </row>
    <row r="211" spans="5:7" s="82" customFormat="1" ht="25.5" hidden="1" customHeight="1" x14ac:dyDescent="0.3">
      <c r="E211" s="83" t="s">
        <v>366</v>
      </c>
      <c r="F211" s="83" t="s">
        <v>98</v>
      </c>
      <c r="G211" s="83" t="s">
        <v>463</v>
      </c>
    </row>
    <row r="212" spans="5:7" s="82" customFormat="1" ht="25.5" hidden="1" customHeight="1" x14ac:dyDescent="0.3">
      <c r="E212" s="83"/>
      <c r="F212" s="83"/>
      <c r="G212" s="83"/>
    </row>
    <row r="213" spans="5:7" s="82" customFormat="1" ht="25.5" hidden="1" customHeight="1" x14ac:dyDescent="0.3">
      <c r="E213" s="83" t="s">
        <v>366</v>
      </c>
      <c r="F213" s="83" t="s">
        <v>176</v>
      </c>
      <c r="G213" s="83" t="s">
        <v>540</v>
      </c>
    </row>
    <row r="214" spans="5:7" s="82" customFormat="1" ht="25.5" hidden="1" customHeight="1" x14ac:dyDescent="0.3">
      <c r="E214" s="83" t="s">
        <v>366</v>
      </c>
      <c r="F214" s="83" t="s">
        <v>176</v>
      </c>
      <c r="G214" s="83" t="s">
        <v>541</v>
      </c>
    </row>
    <row r="215" spans="5:7" s="82" customFormat="1" ht="25.5" hidden="1" customHeight="1" x14ac:dyDescent="0.3">
      <c r="E215" s="83" t="s">
        <v>366</v>
      </c>
      <c r="F215" s="83" t="s">
        <v>177</v>
      </c>
      <c r="G215" s="83" t="s">
        <v>622</v>
      </c>
    </row>
    <row r="216" spans="5:7" s="82" customFormat="1" ht="25.5" hidden="1" customHeight="1" x14ac:dyDescent="0.3">
      <c r="E216" s="83" t="s">
        <v>366</v>
      </c>
      <c r="F216" s="83" t="s">
        <v>185</v>
      </c>
      <c r="G216" s="83" t="s">
        <v>652</v>
      </c>
    </row>
    <row r="217" spans="5:7" s="82" customFormat="1" ht="25.5" hidden="1" customHeight="1" x14ac:dyDescent="0.3">
      <c r="E217" s="83" t="s">
        <v>366</v>
      </c>
      <c r="F217" s="83" t="s">
        <v>185</v>
      </c>
      <c r="G217" s="83" t="s">
        <v>811</v>
      </c>
    </row>
    <row r="218" spans="5:7" s="82" customFormat="1" ht="25.5" hidden="1" customHeight="1" x14ac:dyDescent="0.3">
      <c r="E218" s="83" t="s">
        <v>366</v>
      </c>
      <c r="F218" s="83" t="s">
        <v>185</v>
      </c>
      <c r="G218" s="83" t="s">
        <v>812</v>
      </c>
    </row>
    <row r="219" spans="5:7" s="82" customFormat="1" ht="25.5" hidden="1" customHeight="1" x14ac:dyDescent="0.3">
      <c r="E219" s="83" t="s">
        <v>366</v>
      </c>
      <c r="F219" s="83" t="s">
        <v>185</v>
      </c>
      <c r="G219" s="88" t="s">
        <v>674</v>
      </c>
    </row>
    <row r="220" spans="5:7" s="82" customFormat="1" ht="25.5" hidden="1" customHeight="1" x14ac:dyDescent="0.3">
      <c r="E220" s="83" t="s">
        <v>366</v>
      </c>
      <c r="F220" s="83" t="s">
        <v>185</v>
      </c>
      <c r="G220" s="88" t="s">
        <v>675</v>
      </c>
    </row>
    <row r="221" spans="5:7" s="82" customFormat="1" ht="25.5" hidden="1" customHeight="1" x14ac:dyDescent="0.3">
      <c r="E221" s="83" t="s">
        <v>366</v>
      </c>
      <c r="F221" s="83" t="s">
        <v>176</v>
      </c>
      <c r="G221" s="87" t="s">
        <v>329</v>
      </c>
    </row>
    <row r="222" spans="5:7" s="82" customFormat="1" ht="25.5" hidden="1" customHeight="1" x14ac:dyDescent="0.3">
      <c r="E222" s="83"/>
      <c r="F222" s="83"/>
      <c r="G222" s="87"/>
    </row>
    <row r="223" spans="5:7" s="82" customFormat="1" ht="25.5" hidden="1" customHeight="1" x14ac:dyDescent="0.3">
      <c r="E223" s="83"/>
      <c r="F223" s="83"/>
      <c r="G223" s="88"/>
    </row>
    <row r="224" spans="5:7" s="82" customFormat="1" ht="25.5" hidden="1" customHeight="1" x14ac:dyDescent="0.3">
      <c r="E224" s="83"/>
      <c r="F224" s="83"/>
      <c r="G224" s="83"/>
    </row>
    <row r="225" spans="5:7" s="82" customFormat="1" ht="25.5" hidden="1" customHeight="1" x14ac:dyDescent="0.3">
      <c r="E225" s="83" t="s">
        <v>366</v>
      </c>
      <c r="F225" s="83" t="s">
        <v>139</v>
      </c>
      <c r="G225" s="83" t="s">
        <v>623</v>
      </c>
    </row>
    <row r="226" spans="5:7" s="82" customFormat="1" ht="25.5" hidden="1" customHeight="1" x14ac:dyDescent="0.3">
      <c r="E226" s="83" t="s">
        <v>366</v>
      </c>
      <c r="F226" s="83" t="s">
        <v>139</v>
      </c>
      <c r="G226" s="83" t="s">
        <v>742</v>
      </c>
    </row>
    <row r="227" spans="5:7" s="82" customFormat="1" ht="25.5" hidden="1" customHeight="1" x14ac:dyDescent="0.3">
      <c r="E227" s="83" t="s">
        <v>366</v>
      </c>
      <c r="F227" s="83" t="s">
        <v>139</v>
      </c>
      <c r="G227" s="83" t="s">
        <v>542</v>
      </c>
    </row>
    <row r="228" spans="5:7" s="82" customFormat="1" ht="25.5" hidden="1" customHeight="1" x14ac:dyDescent="0.3">
      <c r="E228" s="83" t="s">
        <v>366</v>
      </c>
      <c r="F228" s="83" t="s">
        <v>139</v>
      </c>
      <c r="G228" s="83" t="s">
        <v>375</v>
      </c>
    </row>
    <row r="229" spans="5:7" s="82" customFormat="1" ht="25.5" hidden="1" customHeight="1" x14ac:dyDescent="0.3">
      <c r="E229" s="83" t="s">
        <v>366</v>
      </c>
      <c r="F229" s="83" t="s">
        <v>139</v>
      </c>
      <c r="G229" s="83" t="s">
        <v>591</v>
      </c>
    </row>
    <row r="230" spans="5:7" s="82" customFormat="1" ht="25.5" hidden="1" customHeight="1" x14ac:dyDescent="0.3">
      <c r="E230" s="83"/>
      <c r="F230" s="83"/>
      <c r="G230" s="83"/>
    </row>
    <row r="231" spans="5:7" s="82" customFormat="1" ht="25.5" hidden="1" customHeight="1" x14ac:dyDescent="0.3">
      <c r="E231" s="83" t="s">
        <v>366</v>
      </c>
      <c r="F231" s="83" t="s">
        <v>140</v>
      </c>
      <c r="G231" s="83" t="s">
        <v>178</v>
      </c>
    </row>
    <row r="232" spans="5:7" s="82" customFormat="1" ht="25.5" hidden="1" customHeight="1" x14ac:dyDescent="0.3">
      <c r="E232" s="83" t="s">
        <v>366</v>
      </c>
      <c r="F232" s="83" t="s">
        <v>140</v>
      </c>
      <c r="G232" s="83" t="s">
        <v>376</v>
      </c>
    </row>
    <row r="233" spans="5:7" s="82" customFormat="1" ht="25.5" hidden="1" customHeight="1" x14ac:dyDescent="0.3">
      <c r="E233" s="83" t="s">
        <v>366</v>
      </c>
      <c r="F233" s="83" t="s">
        <v>140</v>
      </c>
      <c r="G233" s="83" t="s">
        <v>592</v>
      </c>
    </row>
    <row r="234" spans="5:7" s="82" customFormat="1" ht="25.5" hidden="1" customHeight="1" x14ac:dyDescent="0.3">
      <c r="E234" s="83"/>
      <c r="F234" s="83"/>
      <c r="G234" s="83"/>
    </row>
    <row r="235" spans="5:7" s="82" customFormat="1" ht="25.5" hidden="1" customHeight="1" x14ac:dyDescent="0.3">
      <c r="E235" s="83" t="s">
        <v>366</v>
      </c>
      <c r="F235" s="83" t="s">
        <v>179</v>
      </c>
      <c r="G235" s="83" t="s">
        <v>180</v>
      </c>
    </row>
    <row r="236" spans="5:7" s="82" customFormat="1" ht="25.5" hidden="1" customHeight="1" x14ac:dyDescent="0.3">
      <c r="E236" s="83" t="s">
        <v>366</v>
      </c>
      <c r="F236" s="83" t="s">
        <v>179</v>
      </c>
      <c r="G236" s="83" t="s">
        <v>330</v>
      </c>
    </row>
    <row r="237" spans="5:7" s="82" customFormat="1" ht="25.5" hidden="1" customHeight="1" x14ac:dyDescent="0.3">
      <c r="E237" s="83" t="s">
        <v>366</v>
      </c>
      <c r="F237" s="83" t="s">
        <v>179</v>
      </c>
      <c r="G237" s="83" t="s">
        <v>543</v>
      </c>
    </row>
    <row r="238" spans="5:7" s="82" customFormat="1" ht="25.5" hidden="1" customHeight="1" x14ac:dyDescent="0.3">
      <c r="E238" s="83" t="s">
        <v>366</v>
      </c>
      <c r="F238" s="83" t="s">
        <v>179</v>
      </c>
      <c r="G238" s="83" t="s">
        <v>377</v>
      </c>
    </row>
    <row r="239" spans="5:7" s="82" customFormat="1" ht="25.5" hidden="1" customHeight="1" x14ac:dyDescent="0.3">
      <c r="E239" s="83" t="s">
        <v>366</v>
      </c>
      <c r="F239" s="83" t="s">
        <v>179</v>
      </c>
      <c r="G239" s="83" t="s">
        <v>593</v>
      </c>
    </row>
    <row r="240" spans="5:7" s="82" customFormat="1" ht="25.5" hidden="1" customHeight="1" x14ac:dyDescent="0.3">
      <c r="E240" s="83" t="s">
        <v>366</v>
      </c>
      <c r="F240" s="83" t="s">
        <v>179</v>
      </c>
      <c r="G240" s="83" t="s">
        <v>408</v>
      </c>
    </row>
    <row r="241" spans="5:7" s="82" customFormat="1" ht="25.5" hidden="1" customHeight="1" x14ac:dyDescent="0.3">
      <c r="E241" s="83" t="s">
        <v>366</v>
      </c>
      <c r="F241" s="83" t="s">
        <v>181</v>
      </c>
      <c r="G241" s="83" t="s">
        <v>624</v>
      </c>
    </row>
    <row r="242" spans="5:7" s="82" customFormat="1" ht="25.5" hidden="1" customHeight="1" x14ac:dyDescent="0.3">
      <c r="E242" s="83" t="s">
        <v>366</v>
      </c>
      <c r="F242" s="83" t="s">
        <v>186</v>
      </c>
      <c r="G242" s="83" t="s">
        <v>653</v>
      </c>
    </row>
    <row r="243" spans="5:7" s="82" customFormat="1" ht="25.5" hidden="1" customHeight="1" x14ac:dyDescent="0.3">
      <c r="E243" s="83" t="s">
        <v>366</v>
      </c>
      <c r="F243" s="83" t="s">
        <v>186</v>
      </c>
      <c r="G243" s="83" t="s">
        <v>378</v>
      </c>
    </row>
    <row r="244" spans="5:7" s="82" customFormat="1" ht="25.5" hidden="1" customHeight="1" x14ac:dyDescent="0.3">
      <c r="E244" s="83" t="s">
        <v>366</v>
      </c>
      <c r="F244" s="83" t="s">
        <v>186</v>
      </c>
      <c r="G244" s="83" t="s">
        <v>379</v>
      </c>
    </row>
    <row r="245" spans="5:7" s="82" customFormat="1" ht="25.5" hidden="1" customHeight="1" x14ac:dyDescent="0.3">
      <c r="E245" s="83" t="s">
        <v>366</v>
      </c>
      <c r="F245" s="83" t="s">
        <v>186</v>
      </c>
      <c r="G245" s="83" t="s">
        <v>380</v>
      </c>
    </row>
    <row r="246" spans="5:7" s="82" customFormat="1" ht="25.5" hidden="1" customHeight="1" x14ac:dyDescent="0.3">
      <c r="E246" s="83" t="s">
        <v>366</v>
      </c>
      <c r="F246" s="83" t="s">
        <v>186</v>
      </c>
      <c r="G246" s="83" t="s">
        <v>409</v>
      </c>
    </row>
    <row r="247" spans="5:7" s="82" customFormat="1" ht="25.5" hidden="1" customHeight="1" x14ac:dyDescent="0.3">
      <c r="E247" s="83" t="s">
        <v>366</v>
      </c>
      <c r="F247" s="83" t="s">
        <v>186</v>
      </c>
      <c r="G247" s="83" t="s">
        <v>511</v>
      </c>
    </row>
    <row r="248" spans="5:7" s="82" customFormat="1" ht="25.5" hidden="1" customHeight="1" x14ac:dyDescent="0.3">
      <c r="E248" s="83" t="s">
        <v>366</v>
      </c>
      <c r="F248" s="83" t="s">
        <v>186</v>
      </c>
      <c r="G248" s="83" t="s">
        <v>673</v>
      </c>
    </row>
    <row r="249" spans="5:7" s="82" customFormat="1" ht="25.5" hidden="1" customHeight="1" x14ac:dyDescent="0.3">
      <c r="E249" s="83"/>
      <c r="F249" s="83"/>
      <c r="G249" s="83"/>
    </row>
    <row r="250" spans="5:7" s="82" customFormat="1" ht="25.5" hidden="1" customHeight="1" x14ac:dyDescent="0.3">
      <c r="E250" s="83" t="s">
        <v>366</v>
      </c>
      <c r="F250" s="83" t="s">
        <v>182</v>
      </c>
      <c r="G250" s="83" t="s">
        <v>625</v>
      </c>
    </row>
    <row r="251" spans="5:7" s="82" customFormat="1" ht="25.5" hidden="1" customHeight="1" x14ac:dyDescent="0.3">
      <c r="E251" s="83" t="s">
        <v>366</v>
      </c>
      <c r="F251" s="83" t="s">
        <v>182</v>
      </c>
      <c r="G251" s="83" t="s">
        <v>381</v>
      </c>
    </row>
    <row r="252" spans="5:7" s="82" customFormat="1" ht="25.5" hidden="1" customHeight="1" x14ac:dyDescent="0.3">
      <c r="E252" s="83"/>
      <c r="F252" s="83"/>
      <c r="G252" s="83"/>
    </row>
    <row r="253" spans="5:7" s="82" customFormat="1" ht="25.5" hidden="1" customHeight="1" x14ac:dyDescent="0.3">
      <c r="E253" s="83"/>
      <c r="F253" s="83"/>
      <c r="G253" s="83"/>
    </row>
    <row r="254" spans="5:7" s="82" customFormat="1" ht="25.5" hidden="1" customHeight="1" x14ac:dyDescent="0.3">
      <c r="E254" s="83" t="s">
        <v>106</v>
      </c>
      <c r="F254" s="83" t="s">
        <v>187</v>
      </c>
      <c r="G254" s="83" t="s">
        <v>279</v>
      </c>
    </row>
    <row r="255" spans="5:7" s="82" customFormat="1" ht="25.5" hidden="1" customHeight="1" x14ac:dyDescent="0.3">
      <c r="E255" s="83" t="s">
        <v>106</v>
      </c>
      <c r="F255" s="83" t="s">
        <v>187</v>
      </c>
      <c r="G255" s="83" t="s">
        <v>115</v>
      </c>
    </row>
    <row r="256" spans="5:7" s="82" customFormat="1" ht="25.5" hidden="1" customHeight="1" x14ac:dyDescent="0.3">
      <c r="E256" s="83" t="s">
        <v>106</v>
      </c>
      <c r="F256" s="83" t="s">
        <v>187</v>
      </c>
      <c r="G256" s="83" t="s">
        <v>116</v>
      </c>
    </row>
    <row r="257" spans="5:7" s="82" customFormat="1" ht="25.5" hidden="1" customHeight="1" x14ac:dyDescent="0.3">
      <c r="E257" s="83" t="s">
        <v>106</v>
      </c>
      <c r="F257" s="83" t="s">
        <v>106</v>
      </c>
      <c r="G257" s="83" t="s">
        <v>188</v>
      </c>
    </row>
    <row r="258" spans="5:7" s="82" customFormat="1" ht="25.5" hidden="1" customHeight="1" x14ac:dyDescent="0.3">
      <c r="E258" s="83" t="s">
        <v>106</v>
      </c>
      <c r="F258" s="83" t="s">
        <v>106</v>
      </c>
      <c r="G258" s="83" t="s">
        <v>189</v>
      </c>
    </row>
    <row r="259" spans="5:7" s="82" customFormat="1" ht="25.5" hidden="1" customHeight="1" x14ac:dyDescent="0.3">
      <c r="E259" s="83" t="s">
        <v>106</v>
      </c>
      <c r="F259" s="83" t="s">
        <v>106</v>
      </c>
      <c r="G259" s="83" t="s">
        <v>190</v>
      </c>
    </row>
    <row r="260" spans="5:7" s="82" customFormat="1" ht="25.5" hidden="1" customHeight="1" x14ac:dyDescent="0.3">
      <c r="E260" s="83" t="s">
        <v>106</v>
      </c>
      <c r="F260" s="83" t="s">
        <v>106</v>
      </c>
      <c r="G260" s="83" t="s">
        <v>191</v>
      </c>
    </row>
    <row r="261" spans="5:7" s="82" customFormat="1" ht="25.5" hidden="1" customHeight="1" x14ac:dyDescent="0.3">
      <c r="E261" s="83" t="s">
        <v>106</v>
      </c>
      <c r="F261" s="83" t="s">
        <v>106</v>
      </c>
      <c r="G261" s="83" t="s">
        <v>192</v>
      </c>
    </row>
    <row r="262" spans="5:7" s="82" customFormat="1" ht="25.5" hidden="1" customHeight="1" x14ac:dyDescent="0.3">
      <c r="E262" s="83" t="s">
        <v>106</v>
      </c>
      <c r="F262" s="83" t="s">
        <v>106</v>
      </c>
      <c r="G262" s="83" t="s">
        <v>654</v>
      </c>
    </row>
    <row r="263" spans="5:7" s="82" customFormat="1" ht="25.5" hidden="1" customHeight="1" x14ac:dyDescent="0.3">
      <c r="E263" s="83" t="s">
        <v>106</v>
      </c>
      <c r="F263" s="83" t="s">
        <v>106</v>
      </c>
      <c r="G263" s="83" t="s">
        <v>655</v>
      </c>
    </row>
    <row r="264" spans="5:7" s="82" customFormat="1" ht="25.5" hidden="1" customHeight="1" x14ac:dyDescent="0.3">
      <c r="E264" s="83" t="s">
        <v>106</v>
      </c>
      <c r="F264" s="83" t="s">
        <v>187</v>
      </c>
      <c r="G264" s="83" t="s">
        <v>656</v>
      </c>
    </row>
    <row r="265" spans="5:7" s="82" customFormat="1" ht="25.5" hidden="1" customHeight="1" x14ac:dyDescent="0.3">
      <c r="E265" s="83" t="s">
        <v>106</v>
      </c>
      <c r="F265" s="83" t="s">
        <v>187</v>
      </c>
      <c r="G265" s="83" t="s">
        <v>657</v>
      </c>
    </row>
    <row r="266" spans="5:7" s="82" customFormat="1" ht="25.5" hidden="1" customHeight="1" x14ac:dyDescent="0.3">
      <c r="E266" s="83" t="s">
        <v>106</v>
      </c>
      <c r="F266" s="83" t="s">
        <v>187</v>
      </c>
      <c r="G266" s="83" t="s">
        <v>658</v>
      </c>
    </row>
    <row r="267" spans="5:7" s="82" customFormat="1" ht="25.5" hidden="1" customHeight="1" x14ac:dyDescent="0.3">
      <c r="E267" s="83" t="s">
        <v>106</v>
      </c>
      <c r="F267" s="83" t="s">
        <v>193</v>
      </c>
      <c r="G267" s="83" t="s">
        <v>194</v>
      </c>
    </row>
    <row r="268" spans="5:7" s="82" customFormat="1" ht="25.5" hidden="1" customHeight="1" x14ac:dyDescent="0.25">
      <c r="E268" s="82" t="s">
        <v>106</v>
      </c>
      <c r="F268" s="82" t="s">
        <v>193</v>
      </c>
      <c r="G268" s="82" t="s">
        <v>105</v>
      </c>
    </row>
    <row r="269" spans="5:7" s="82" customFormat="1" ht="25.5" hidden="1" customHeight="1" x14ac:dyDescent="0.25">
      <c r="E269" s="82" t="s">
        <v>106</v>
      </c>
      <c r="F269" s="82" t="s">
        <v>193</v>
      </c>
      <c r="G269" s="82" t="s">
        <v>195</v>
      </c>
    </row>
    <row r="270" spans="5:7" s="82" customFormat="1" ht="25.5" hidden="1" customHeight="1" x14ac:dyDescent="0.25">
      <c r="E270" s="82" t="s">
        <v>106</v>
      </c>
      <c r="F270" s="82" t="s">
        <v>193</v>
      </c>
      <c r="G270" s="82" t="s">
        <v>196</v>
      </c>
    </row>
    <row r="271" spans="5:7" s="82" customFormat="1" ht="25.5" hidden="1" customHeight="1" x14ac:dyDescent="0.25">
      <c r="E271" s="82" t="s">
        <v>106</v>
      </c>
      <c r="F271" s="82" t="s">
        <v>193</v>
      </c>
      <c r="G271" s="82" t="s">
        <v>197</v>
      </c>
    </row>
    <row r="272" spans="5:7" s="82" customFormat="1" ht="25.5" hidden="1" customHeight="1" x14ac:dyDescent="0.25">
      <c r="E272" s="82" t="s">
        <v>106</v>
      </c>
      <c r="F272" s="82" t="s">
        <v>193</v>
      </c>
      <c r="G272" s="82" t="s">
        <v>626</v>
      </c>
    </row>
    <row r="273" spans="5:7" s="82" customFormat="1" ht="25.5" hidden="1" customHeight="1" x14ac:dyDescent="0.25">
      <c r="E273" s="82" t="s">
        <v>106</v>
      </c>
      <c r="F273" s="82" t="s">
        <v>193</v>
      </c>
      <c r="G273" s="82" t="s">
        <v>198</v>
      </c>
    </row>
    <row r="274" spans="5:7" s="82" customFormat="1" ht="25.5" hidden="1" customHeight="1" x14ac:dyDescent="0.25">
      <c r="E274" s="82" t="s">
        <v>106</v>
      </c>
      <c r="F274" s="82" t="s">
        <v>193</v>
      </c>
      <c r="G274" s="82" t="s">
        <v>107</v>
      </c>
    </row>
    <row r="275" spans="5:7" s="82" customFormat="1" ht="25.5" hidden="1" customHeight="1" x14ac:dyDescent="0.3">
      <c r="E275" s="82" t="s">
        <v>106</v>
      </c>
      <c r="F275" s="82" t="s">
        <v>193</v>
      </c>
      <c r="G275" s="83" t="s">
        <v>306</v>
      </c>
    </row>
    <row r="276" spans="5:7" s="82" customFormat="1" ht="25.5" hidden="1" customHeight="1" x14ac:dyDescent="0.25">
      <c r="E276" s="82" t="s">
        <v>106</v>
      </c>
      <c r="F276" s="82" t="s">
        <v>106</v>
      </c>
      <c r="G276" s="82" t="s">
        <v>307</v>
      </c>
    </row>
    <row r="277" spans="5:7" s="82" customFormat="1" ht="25.5" hidden="1" customHeight="1" x14ac:dyDescent="0.25">
      <c r="E277" s="82" t="s">
        <v>106</v>
      </c>
      <c r="F277" s="82" t="s">
        <v>106</v>
      </c>
      <c r="G277" s="82" t="s">
        <v>309</v>
      </c>
    </row>
    <row r="278" spans="5:7" s="82" customFormat="1" ht="25.5" hidden="1" customHeight="1" x14ac:dyDescent="0.25">
      <c r="E278" s="82" t="s">
        <v>106</v>
      </c>
      <c r="F278" s="82" t="s">
        <v>106</v>
      </c>
      <c r="G278" s="82" t="s">
        <v>310</v>
      </c>
    </row>
    <row r="279" spans="5:7" s="82" customFormat="1" ht="25.5" hidden="1" customHeight="1" x14ac:dyDescent="0.25">
      <c r="E279" s="82" t="s">
        <v>106</v>
      </c>
      <c r="F279" s="82" t="s">
        <v>106</v>
      </c>
      <c r="G279" s="82" t="s">
        <v>594</v>
      </c>
    </row>
    <row r="280" spans="5:7" s="82" customFormat="1" ht="25.5" hidden="1" customHeight="1" x14ac:dyDescent="0.25">
      <c r="E280" s="82" t="s">
        <v>106</v>
      </c>
      <c r="F280" s="82" t="s">
        <v>106</v>
      </c>
      <c r="G280" s="82" t="s">
        <v>595</v>
      </c>
    </row>
    <row r="281" spans="5:7" s="82" customFormat="1" ht="25.5" hidden="1" customHeight="1" x14ac:dyDescent="0.25">
      <c r="E281" s="82" t="s">
        <v>106</v>
      </c>
      <c r="F281" s="82" t="s">
        <v>106</v>
      </c>
      <c r="G281" s="82" t="s">
        <v>313</v>
      </c>
    </row>
    <row r="282" spans="5:7" s="82" customFormat="1" ht="25.5" hidden="1" customHeight="1" x14ac:dyDescent="0.25">
      <c r="E282" s="82" t="s">
        <v>106</v>
      </c>
      <c r="F282" s="82" t="s">
        <v>106</v>
      </c>
      <c r="G282" s="82" t="s">
        <v>596</v>
      </c>
    </row>
    <row r="283" spans="5:7" s="82" customFormat="1" ht="25.5" hidden="1" customHeight="1" x14ac:dyDescent="0.25">
      <c r="E283" s="82" t="s">
        <v>106</v>
      </c>
      <c r="F283" s="82" t="s">
        <v>106</v>
      </c>
      <c r="G283" s="82" t="s">
        <v>315</v>
      </c>
    </row>
    <row r="284" spans="5:7" s="82" customFormat="1" ht="25.5" hidden="1" customHeight="1" x14ac:dyDescent="0.25">
      <c r="E284" s="82" t="s">
        <v>106</v>
      </c>
      <c r="F284" s="82" t="s">
        <v>106</v>
      </c>
      <c r="G284" s="82" t="s">
        <v>316</v>
      </c>
    </row>
    <row r="285" spans="5:7" s="82" customFormat="1" ht="25.5" hidden="1" customHeight="1" x14ac:dyDescent="0.25">
      <c r="E285" s="82" t="s">
        <v>106</v>
      </c>
      <c r="F285" s="82" t="s">
        <v>106</v>
      </c>
      <c r="G285" s="82" t="s">
        <v>314</v>
      </c>
    </row>
    <row r="286" spans="5:7" s="82" customFormat="1" ht="25.5" hidden="1" customHeight="1" x14ac:dyDescent="0.25">
      <c r="E286" s="82" t="s">
        <v>106</v>
      </c>
      <c r="F286" s="82" t="s">
        <v>106</v>
      </c>
      <c r="G286" s="88" t="s">
        <v>676</v>
      </c>
    </row>
    <row r="287" spans="5:7" s="82" customFormat="1" ht="25.5" hidden="1" customHeight="1" x14ac:dyDescent="0.25">
      <c r="E287" s="82" t="s">
        <v>106</v>
      </c>
      <c r="F287" s="82" t="s">
        <v>106</v>
      </c>
      <c r="G287" s="88" t="s">
        <v>677</v>
      </c>
    </row>
    <row r="288" spans="5:7" s="82" customFormat="1" ht="25.5" hidden="1" customHeight="1" x14ac:dyDescent="0.25">
      <c r="E288" s="82" t="s">
        <v>106</v>
      </c>
      <c r="F288" s="82" t="s">
        <v>106</v>
      </c>
      <c r="G288" s="87" t="s">
        <v>322</v>
      </c>
    </row>
    <row r="289" spans="5:7" s="82" customFormat="1" ht="25.5" hidden="1" customHeight="1" x14ac:dyDescent="0.25">
      <c r="E289" s="82" t="s">
        <v>106</v>
      </c>
      <c r="F289" s="82" t="s">
        <v>106</v>
      </c>
      <c r="G289" s="87" t="s">
        <v>334</v>
      </c>
    </row>
    <row r="290" spans="5:7" s="82" customFormat="1" ht="25.5" hidden="1" customHeight="1" x14ac:dyDescent="0.25">
      <c r="E290" s="82" t="s">
        <v>106</v>
      </c>
      <c r="F290" s="82" t="s">
        <v>106</v>
      </c>
      <c r="G290" s="82" t="s">
        <v>318</v>
      </c>
    </row>
    <row r="291" spans="5:7" s="82" customFormat="1" ht="25.5" hidden="1" customHeight="1" x14ac:dyDescent="0.25">
      <c r="E291" s="82" t="s">
        <v>106</v>
      </c>
      <c r="F291" s="82" t="s">
        <v>106</v>
      </c>
      <c r="G291" s="82" t="s">
        <v>751</v>
      </c>
    </row>
    <row r="292" spans="5:7" s="82" customFormat="1" ht="25.5" hidden="1" customHeight="1" x14ac:dyDescent="0.3">
      <c r="E292" s="82" t="s">
        <v>106</v>
      </c>
      <c r="F292" s="82" t="s">
        <v>106</v>
      </c>
      <c r="G292" s="30" t="s">
        <v>704</v>
      </c>
    </row>
    <row r="293" spans="5:7" s="82" customFormat="1" ht="25.5" hidden="1" customHeight="1" x14ac:dyDescent="0.25">
      <c r="E293" s="82" t="s">
        <v>106</v>
      </c>
      <c r="F293" s="82" t="s">
        <v>106</v>
      </c>
      <c r="G293" s="82" t="s">
        <v>706</v>
      </c>
    </row>
    <row r="294" spans="5:7" s="82" customFormat="1" ht="25.5" hidden="1" customHeight="1" x14ac:dyDescent="0.3">
      <c r="E294" s="82" t="s">
        <v>106</v>
      </c>
      <c r="F294" s="82" t="s">
        <v>106</v>
      </c>
      <c r="G294" s="30" t="s">
        <v>750</v>
      </c>
    </row>
    <row r="295" spans="5:7" s="82" customFormat="1" ht="25.5" hidden="1" customHeight="1" x14ac:dyDescent="0.3">
      <c r="E295" s="82" t="s">
        <v>106</v>
      </c>
      <c r="F295" s="82" t="s">
        <v>106</v>
      </c>
      <c r="G295" s="30" t="s">
        <v>747</v>
      </c>
    </row>
    <row r="296" spans="5:7" s="82" customFormat="1" ht="25.5" hidden="1" customHeight="1" x14ac:dyDescent="0.25">
      <c r="E296" s="82" t="s">
        <v>106</v>
      </c>
      <c r="F296" s="82" t="s">
        <v>106</v>
      </c>
      <c r="G296" s="89" t="s">
        <v>470</v>
      </c>
    </row>
    <row r="297" spans="5:7" s="82" customFormat="1" ht="25.5" hidden="1" customHeight="1" x14ac:dyDescent="0.25">
      <c r="E297" s="82" t="s">
        <v>106</v>
      </c>
      <c r="F297" s="82" t="s">
        <v>106</v>
      </c>
    </row>
    <row r="298" spans="5:7" s="82" customFormat="1" ht="25.5" hidden="1" customHeight="1" x14ac:dyDescent="0.25">
      <c r="E298" s="82" t="s">
        <v>106</v>
      </c>
      <c r="F298" s="82" t="s">
        <v>106</v>
      </c>
    </row>
    <row r="299" spans="5:7" s="82" customFormat="1" ht="25.5" hidden="1" customHeight="1" x14ac:dyDescent="0.25">
      <c r="E299" s="82" t="s">
        <v>106</v>
      </c>
      <c r="F299" s="82" t="s">
        <v>106</v>
      </c>
    </row>
    <row r="300" spans="5:7" s="82" customFormat="1" ht="25.5" hidden="1" customHeight="1" x14ac:dyDescent="0.25">
      <c r="E300" s="82" t="s">
        <v>106</v>
      </c>
      <c r="F300" s="82" t="s">
        <v>106</v>
      </c>
    </row>
    <row r="301" spans="5:7" s="82" customFormat="1" ht="25.5" hidden="1" customHeight="1" x14ac:dyDescent="0.25">
      <c r="E301" s="82" t="s">
        <v>106</v>
      </c>
      <c r="F301" s="82" t="s">
        <v>108</v>
      </c>
      <c r="G301" s="82" t="s">
        <v>199</v>
      </c>
    </row>
    <row r="302" spans="5:7" s="82" customFormat="1" ht="25.5" hidden="1" customHeight="1" x14ac:dyDescent="0.25">
      <c r="E302" s="82" t="s">
        <v>106</v>
      </c>
      <c r="F302" s="82" t="s">
        <v>200</v>
      </c>
      <c r="G302" s="82" t="s">
        <v>627</v>
      </c>
    </row>
    <row r="303" spans="5:7" s="82" customFormat="1" ht="25.5" hidden="1" customHeight="1" x14ac:dyDescent="0.25">
      <c r="E303" s="82" t="s">
        <v>106</v>
      </c>
      <c r="F303" s="82" t="s">
        <v>200</v>
      </c>
      <c r="G303" s="82" t="s">
        <v>597</v>
      </c>
    </row>
    <row r="304" spans="5:7" s="82" customFormat="1" ht="25.5" hidden="1" customHeight="1" x14ac:dyDescent="0.25">
      <c r="E304" s="82" t="s">
        <v>106</v>
      </c>
      <c r="F304" s="82" t="s">
        <v>200</v>
      </c>
      <c r="G304" s="82" t="s">
        <v>472</v>
      </c>
    </row>
    <row r="305" spans="5:7" s="82" customFormat="1" ht="25.5" hidden="1" customHeight="1" x14ac:dyDescent="0.25">
      <c r="E305" s="82" t="s">
        <v>106</v>
      </c>
      <c r="F305" s="82" t="s">
        <v>200</v>
      </c>
      <c r="G305" s="82" t="s">
        <v>473</v>
      </c>
    </row>
    <row r="306" spans="5:7" s="82" customFormat="1" ht="25.5" hidden="1" customHeight="1" x14ac:dyDescent="0.25">
      <c r="E306" s="82" t="s">
        <v>106</v>
      </c>
      <c r="F306" s="82" t="s">
        <v>200</v>
      </c>
      <c r="G306" s="82" t="s">
        <v>474</v>
      </c>
    </row>
    <row r="307" spans="5:7" s="82" customFormat="1" ht="25.5" hidden="1" customHeight="1" x14ac:dyDescent="0.25"/>
    <row r="308" spans="5:7" s="82" customFormat="1" ht="25.5" hidden="1" customHeight="1" x14ac:dyDescent="0.25">
      <c r="E308" s="82" t="s">
        <v>106</v>
      </c>
      <c r="F308" s="82" t="s">
        <v>109</v>
      </c>
      <c r="G308" s="82" t="s">
        <v>544</v>
      </c>
    </row>
    <row r="309" spans="5:7" s="82" customFormat="1" ht="25.5" hidden="1" customHeight="1" x14ac:dyDescent="0.25">
      <c r="E309" s="82" t="s">
        <v>106</v>
      </c>
      <c r="F309" s="82" t="s">
        <v>201</v>
      </c>
      <c r="G309" s="82" t="s">
        <v>659</v>
      </c>
    </row>
    <row r="310" spans="5:7" s="82" customFormat="1" ht="25.5" hidden="1" customHeight="1" x14ac:dyDescent="0.25">
      <c r="E310" s="82" t="s">
        <v>106</v>
      </c>
      <c r="F310" s="82" t="s">
        <v>201</v>
      </c>
      <c r="G310" s="82" t="s">
        <v>660</v>
      </c>
    </row>
    <row r="311" spans="5:7" s="82" customFormat="1" ht="25.5" hidden="1" customHeight="1" x14ac:dyDescent="0.25">
      <c r="E311" s="82" t="s">
        <v>106</v>
      </c>
      <c r="F311" s="82" t="s">
        <v>202</v>
      </c>
      <c r="G311" s="82" t="s">
        <v>203</v>
      </c>
    </row>
    <row r="312" spans="5:7" s="82" customFormat="1" ht="25.5" hidden="1" customHeight="1" x14ac:dyDescent="0.25">
      <c r="E312" s="82" t="s">
        <v>106</v>
      </c>
      <c r="F312" s="82" t="s">
        <v>109</v>
      </c>
      <c r="G312" s="82" t="s">
        <v>545</v>
      </c>
    </row>
    <row r="313" spans="5:7" s="82" customFormat="1" ht="25.5" hidden="1" customHeight="1" x14ac:dyDescent="0.25">
      <c r="E313" s="82" t="s">
        <v>106</v>
      </c>
      <c r="F313" s="82" t="s">
        <v>109</v>
      </c>
      <c r="G313" s="87" t="s">
        <v>323</v>
      </c>
    </row>
    <row r="314" spans="5:7" s="82" customFormat="1" ht="25.5" hidden="1" customHeight="1" x14ac:dyDescent="0.25">
      <c r="E314" s="82" t="s">
        <v>106</v>
      </c>
      <c r="F314" s="82" t="s">
        <v>109</v>
      </c>
      <c r="G314" s="82" t="s">
        <v>477</v>
      </c>
    </row>
    <row r="315" spans="5:7" s="82" customFormat="1" ht="25.5" hidden="1" customHeight="1" x14ac:dyDescent="0.25"/>
    <row r="316" spans="5:7" s="82" customFormat="1" ht="25.5" hidden="1" customHeight="1" x14ac:dyDescent="0.25">
      <c r="E316" s="82" t="s">
        <v>106</v>
      </c>
      <c r="F316" s="82" t="s">
        <v>110</v>
      </c>
      <c r="G316" s="82" t="s">
        <v>546</v>
      </c>
    </row>
    <row r="317" spans="5:7" s="82" customFormat="1" ht="25.5" hidden="1" customHeight="1" x14ac:dyDescent="0.25">
      <c r="E317" s="82" t="s">
        <v>106</v>
      </c>
      <c r="F317" s="82" t="s">
        <v>204</v>
      </c>
      <c r="G317" s="82" t="s">
        <v>628</v>
      </c>
    </row>
    <row r="318" spans="5:7" s="82" customFormat="1" ht="25.5" hidden="1" customHeight="1" x14ac:dyDescent="0.25">
      <c r="E318" s="82" t="s">
        <v>106</v>
      </c>
      <c r="F318" s="82" t="s">
        <v>110</v>
      </c>
      <c r="G318" s="82" t="s">
        <v>547</v>
      </c>
    </row>
    <row r="319" spans="5:7" s="82" customFormat="1" ht="25.5" hidden="1" customHeight="1" x14ac:dyDescent="0.25">
      <c r="E319" s="82" t="s">
        <v>106</v>
      </c>
      <c r="F319" s="82" t="s">
        <v>110</v>
      </c>
      <c r="G319" s="82" t="s">
        <v>598</v>
      </c>
    </row>
    <row r="320" spans="5:7" s="82" customFormat="1" ht="25.5" hidden="1" customHeight="1" x14ac:dyDescent="0.25">
      <c r="E320" s="82" t="s">
        <v>106</v>
      </c>
      <c r="F320" s="82" t="s">
        <v>110</v>
      </c>
      <c r="G320" s="82" t="s">
        <v>478</v>
      </c>
    </row>
    <row r="321" spans="5:7" s="82" customFormat="1" ht="25.5" hidden="1" customHeight="1" x14ac:dyDescent="0.25">
      <c r="E321" s="82" t="s">
        <v>106</v>
      </c>
      <c r="F321" s="82" t="s">
        <v>111</v>
      </c>
      <c r="G321" s="82" t="s">
        <v>311</v>
      </c>
    </row>
    <row r="322" spans="5:7" s="82" customFormat="1" ht="25.5" hidden="1" customHeight="1" x14ac:dyDescent="0.25">
      <c r="E322" s="82" t="s">
        <v>106</v>
      </c>
      <c r="F322" s="82" t="s">
        <v>111</v>
      </c>
      <c r="G322" s="82" t="s">
        <v>796</v>
      </c>
    </row>
    <row r="323" spans="5:7" s="82" customFormat="1" ht="25.5" hidden="1" customHeight="1" x14ac:dyDescent="0.25">
      <c r="E323" s="82" t="s">
        <v>106</v>
      </c>
      <c r="F323" s="82" t="s">
        <v>111</v>
      </c>
      <c r="G323" s="82" t="s">
        <v>797</v>
      </c>
    </row>
    <row r="324" spans="5:7" s="82" customFormat="1" ht="25.5" hidden="1" customHeight="1" x14ac:dyDescent="0.25">
      <c r="E324" s="82" t="s">
        <v>106</v>
      </c>
      <c r="F324" s="82" t="s">
        <v>111</v>
      </c>
      <c r="G324" s="82" t="s">
        <v>788</v>
      </c>
    </row>
    <row r="325" spans="5:7" s="82" customFormat="1" ht="25.5" hidden="1" customHeight="1" x14ac:dyDescent="0.25">
      <c r="E325" s="82" t="s">
        <v>106</v>
      </c>
      <c r="F325" s="82" t="s">
        <v>111</v>
      </c>
      <c r="G325" s="82" t="s">
        <v>548</v>
      </c>
    </row>
    <row r="326" spans="5:7" s="82" customFormat="1" ht="25.5" hidden="1" customHeight="1" x14ac:dyDescent="0.25">
      <c r="E326" s="82" t="s">
        <v>106</v>
      </c>
      <c r="F326" s="82" t="s">
        <v>205</v>
      </c>
      <c r="G326" s="82" t="s">
        <v>206</v>
      </c>
    </row>
    <row r="327" spans="5:7" s="82" customFormat="1" ht="25.5" hidden="1" customHeight="1" x14ac:dyDescent="0.25">
      <c r="E327" s="82" t="s">
        <v>106</v>
      </c>
      <c r="F327" s="82" t="s">
        <v>205</v>
      </c>
      <c r="G327" s="82" t="s">
        <v>739</v>
      </c>
    </row>
    <row r="328" spans="5:7" s="82" customFormat="1" ht="25.5" hidden="1" customHeight="1" x14ac:dyDescent="0.25">
      <c r="E328" s="82" t="s">
        <v>106</v>
      </c>
      <c r="F328" s="82" t="s">
        <v>205</v>
      </c>
      <c r="G328" s="82" t="s">
        <v>738</v>
      </c>
    </row>
    <row r="329" spans="5:7" s="82" customFormat="1" ht="25.5" hidden="1" customHeight="1" x14ac:dyDescent="0.25">
      <c r="E329" s="82" t="s">
        <v>106</v>
      </c>
      <c r="F329" s="82" t="s">
        <v>205</v>
      </c>
      <c r="G329" s="82" t="s">
        <v>399</v>
      </c>
    </row>
    <row r="330" spans="5:7" s="82" customFormat="1" ht="25.5" hidden="1" customHeight="1" x14ac:dyDescent="0.25">
      <c r="E330" s="82" t="s">
        <v>106</v>
      </c>
      <c r="F330" s="82" t="s">
        <v>205</v>
      </c>
      <c r="G330" s="82" t="s">
        <v>414</v>
      </c>
    </row>
    <row r="331" spans="5:7" s="82" customFormat="1" ht="25.5" hidden="1" customHeight="1" x14ac:dyDescent="0.25">
      <c r="E331" s="82" t="s">
        <v>106</v>
      </c>
      <c r="F331" s="82" t="s">
        <v>205</v>
      </c>
      <c r="G331" s="82" t="s">
        <v>799</v>
      </c>
    </row>
    <row r="332" spans="5:7" s="82" customFormat="1" ht="25.5" hidden="1" customHeight="1" x14ac:dyDescent="0.25">
      <c r="E332" s="82" t="s">
        <v>106</v>
      </c>
      <c r="F332" s="82" t="s">
        <v>205</v>
      </c>
      <c r="G332" s="82" t="s">
        <v>486</v>
      </c>
    </row>
    <row r="333" spans="5:7" s="82" customFormat="1" ht="25.5" hidden="1" customHeight="1" x14ac:dyDescent="0.25">
      <c r="E333" s="82" t="s">
        <v>106</v>
      </c>
      <c r="F333" s="82" t="s">
        <v>205</v>
      </c>
      <c r="G333" s="82" t="s">
        <v>415</v>
      </c>
    </row>
    <row r="334" spans="5:7" s="82" customFormat="1" ht="25.5" hidden="1" customHeight="1" x14ac:dyDescent="0.25">
      <c r="E334" s="82" t="s">
        <v>106</v>
      </c>
      <c r="F334" s="82" t="s">
        <v>142</v>
      </c>
      <c r="G334" s="82" t="s">
        <v>207</v>
      </c>
    </row>
    <row r="335" spans="5:7" s="82" customFormat="1" ht="25.5" hidden="1" customHeight="1" x14ac:dyDescent="0.25">
      <c r="E335" s="82" t="s">
        <v>106</v>
      </c>
      <c r="F335" s="82" t="s">
        <v>142</v>
      </c>
      <c r="G335" s="82" t="s">
        <v>599</v>
      </c>
    </row>
    <row r="336" spans="5:7" s="82" customFormat="1" ht="25.5" hidden="1" customHeight="1" x14ac:dyDescent="0.25">
      <c r="E336" s="82" t="s">
        <v>106</v>
      </c>
      <c r="F336" s="82" t="s">
        <v>142</v>
      </c>
      <c r="G336" s="82" t="s">
        <v>412</v>
      </c>
    </row>
    <row r="337" spans="5:7" s="82" customFormat="1" ht="25.5" hidden="1" customHeight="1" x14ac:dyDescent="0.25">
      <c r="E337" s="82" t="s">
        <v>106</v>
      </c>
      <c r="F337" s="82" t="s">
        <v>142</v>
      </c>
      <c r="G337" s="82" t="s">
        <v>413</v>
      </c>
    </row>
    <row r="338" spans="5:7" s="82" customFormat="1" ht="25.5" hidden="1" customHeight="1" x14ac:dyDescent="0.25">
      <c r="E338" s="82" t="s">
        <v>106</v>
      </c>
      <c r="F338" s="82" t="s">
        <v>112</v>
      </c>
      <c r="G338" s="82" t="s">
        <v>549</v>
      </c>
    </row>
    <row r="339" spans="5:7" s="82" customFormat="1" ht="25.5" hidden="1" customHeight="1" x14ac:dyDescent="0.25">
      <c r="E339" s="82" t="s">
        <v>106</v>
      </c>
      <c r="F339" s="82" t="s">
        <v>112</v>
      </c>
      <c r="G339" s="82" t="s">
        <v>736</v>
      </c>
    </row>
    <row r="340" spans="5:7" s="82" customFormat="1" ht="25.5" hidden="1" customHeight="1" x14ac:dyDescent="0.25">
      <c r="E340" s="82" t="s">
        <v>106</v>
      </c>
      <c r="F340" s="82" t="s">
        <v>208</v>
      </c>
      <c r="G340" s="82" t="s">
        <v>661</v>
      </c>
    </row>
    <row r="341" spans="5:7" s="82" customFormat="1" ht="25.5" hidden="1" customHeight="1" x14ac:dyDescent="0.25">
      <c r="E341" s="82" t="s">
        <v>106</v>
      </c>
      <c r="F341" s="82" t="s">
        <v>112</v>
      </c>
      <c r="G341" s="82" t="s">
        <v>335</v>
      </c>
    </row>
    <row r="342" spans="5:7" s="82" customFormat="1" ht="25.5" hidden="1" customHeight="1" x14ac:dyDescent="0.25">
      <c r="E342" s="82" t="s">
        <v>106</v>
      </c>
      <c r="F342" s="82" t="s">
        <v>209</v>
      </c>
      <c r="G342" s="82" t="s">
        <v>210</v>
      </c>
    </row>
    <row r="343" spans="5:7" s="82" customFormat="1" ht="25.5" hidden="1" customHeight="1" x14ac:dyDescent="0.25">
      <c r="E343" s="82" t="s">
        <v>106</v>
      </c>
      <c r="F343" s="82" t="s">
        <v>209</v>
      </c>
      <c r="G343" s="82" t="s">
        <v>387</v>
      </c>
    </row>
    <row r="344" spans="5:7" s="82" customFormat="1" ht="25.5" hidden="1" customHeight="1" x14ac:dyDescent="0.25">
      <c r="E344" s="82" t="s">
        <v>106</v>
      </c>
      <c r="F344" s="82" t="s">
        <v>209</v>
      </c>
      <c r="G344" s="82" t="s">
        <v>388</v>
      </c>
    </row>
    <row r="345" spans="5:7" s="82" customFormat="1" ht="25.5" hidden="1" customHeight="1" x14ac:dyDescent="0.25">
      <c r="E345" s="82" t="s">
        <v>106</v>
      </c>
      <c r="F345" s="82" t="s">
        <v>209</v>
      </c>
      <c r="G345" s="82" t="s">
        <v>490</v>
      </c>
    </row>
    <row r="346" spans="5:7" s="82" customFormat="1" ht="25.5" hidden="1" customHeight="1" x14ac:dyDescent="0.25">
      <c r="E346" s="82" t="s">
        <v>106</v>
      </c>
      <c r="F346" s="82" t="s">
        <v>143</v>
      </c>
      <c r="G346" s="82" t="s">
        <v>211</v>
      </c>
    </row>
    <row r="347" spans="5:7" s="82" customFormat="1" ht="25.5" hidden="1" customHeight="1" x14ac:dyDescent="0.25">
      <c r="E347" s="82" t="s">
        <v>106</v>
      </c>
      <c r="F347" s="82" t="s">
        <v>143</v>
      </c>
      <c r="G347" s="82" t="s">
        <v>550</v>
      </c>
    </row>
    <row r="348" spans="5:7" s="82" customFormat="1" ht="25.5" hidden="1" customHeight="1" x14ac:dyDescent="0.25">
      <c r="E348" s="82" t="s">
        <v>106</v>
      </c>
      <c r="F348" s="82" t="s">
        <v>143</v>
      </c>
      <c r="G348" s="87" t="s">
        <v>324</v>
      </c>
    </row>
    <row r="349" spans="5:7" s="82" customFormat="1" ht="25.5" hidden="1" customHeight="1" x14ac:dyDescent="0.25">
      <c r="E349" s="82" t="s">
        <v>106</v>
      </c>
      <c r="F349" s="82" t="s">
        <v>143</v>
      </c>
      <c r="G349" s="87" t="s">
        <v>733</v>
      </c>
    </row>
    <row r="350" spans="5:7" s="82" customFormat="1" ht="25.5" hidden="1" customHeight="1" x14ac:dyDescent="0.25">
      <c r="E350" s="82" t="s">
        <v>106</v>
      </c>
      <c r="F350" s="82" t="s">
        <v>143</v>
      </c>
      <c r="G350" s="82" t="s">
        <v>600</v>
      </c>
    </row>
    <row r="351" spans="5:7" s="82" customFormat="1" ht="25.5" hidden="1" customHeight="1" x14ac:dyDescent="0.25">
      <c r="E351" s="82" t="s">
        <v>106</v>
      </c>
      <c r="F351" s="82" t="s">
        <v>143</v>
      </c>
      <c r="G351" s="82" t="s">
        <v>494</v>
      </c>
    </row>
    <row r="352" spans="5:7" s="82" customFormat="1" ht="25.5" hidden="1" customHeight="1" x14ac:dyDescent="0.25">
      <c r="E352" s="82" t="s">
        <v>106</v>
      </c>
      <c r="F352" s="82" t="s">
        <v>143</v>
      </c>
      <c r="G352" s="82" t="s">
        <v>495</v>
      </c>
    </row>
    <row r="353" spans="5:7" s="82" customFormat="1" ht="25.5" hidden="1" customHeight="1" x14ac:dyDescent="0.25">
      <c r="E353" s="82" t="s">
        <v>106</v>
      </c>
      <c r="F353" s="82" t="s">
        <v>212</v>
      </c>
      <c r="G353" s="82" t="s">
        <v>662</v>
      </c>
    </row>
    <row r="354" spans="5:7" s="82" customFormat="1" ht="25.5" hidden="1" customHeight="1" x14ac:dyDescent="0.25">
      <c r="E354" s="82" t="s">
        <v>106</v>
      </c>
      <c r="F354" s="82" t="s">
        <v>213</v>
      </c>
      <c r="G354" s="82" t="s">
        <v>214</v>
      </c>
    </row>
    <row r="355" spans="5:7" s="82" customFormat="1" ht="25.5" hidden="1" customHeight="1" x14ac:dyDescent="0.25">
      <c r="E355" s="82" t="s">
        <v>106</v>
      </c>
      <c r="F355" s="82" t="s">
        <v>213</v>
      </c>
      <c r="G355" s="82" t="s">
        <v>551</v>
      </c>
    </row>
    <row r="356" spans="5:7" s="82" customFormat="1" ht="25.5" hidden="1" customHeight="1" x14ac:dyDescent="0.25"/>
    <row r="357" spans="5:7" s="82" customFormat="1" ht="25.5" hidden="1" customHeight="1" x14ac:dyDescent="0.25">
      <c r="E357" s="82" t="s">
        <v>106</v>
      </c>
      <c r="F357" s="82" t="s">
        <v>213</v>
      </c>
      <c r="G357" s="87" t="s">
        <v>325</v>
      </c>
    </row>
    <row r="358" spans="5:7" s="82" customFormat="1" ht="25.5" hidden="1" customHeight="1" x14ac:dyDescent="0.25">
      <c r="E358" s="82" t="s">
        <v>106</v>
      </c>
      <c r="F358" s="82" t="s">
        <v>213</v>
      </c>
      <c r="G358" s="87" t="s">
        <v>734</v>
      </c>
    </row>
    <row r="359" spans="5:7" s="82" customFormat="1" ht="25.5" hidden="1" customHeight="1" x14ac:dyDescent="0.25">
      <c r="E359" s="82" t="s">
        <v>106</v>
      </c>
      <c r="F359" s="82" t="s">
        <v>213</v>
      </c>
      <c r="G359" s="82" t="s">
        <v>503</v>
      </c>
    </row>
    <row r="360" spans="5:7" s="82" customFormat="1" ht="25.5" hidden="1" customHeight="1" x14ac:dyDescent="0.25"/>
    <row r="361" spans="5:7" s="82" customFormat="1" ht="25.5" hidden="1" customHeight="1" x14ac:dyDescent="0.25">
      <c r="E361" s="82" t="s">
        <v>106</v>
      </c>
      <c r="F361" s="82" t="s">
        <v>215</v>
      </c>
      <c r="G361" s="82" t="s">
        <v>216</v>
      </c>
    </row>
    <row r="362" spans="5:7" s="82" customFormat="1" ht="25.5" hidden="1" customHeight="1" x14ac:dyDescent="0.25">
      <c r="E362" s="82" t="s">
        <v>106</v>
      </c>
      <c r="F362" s="82" t="s">
        <v>215</v>
      </c>
      <c r="G362" s="82" t="s">
        <v>552</v>
      </c>
    </row>
    <row r="363" spans="5:7" s="82" customFormat="1" ht="25.5" hidden="1" customHeight="1" x14ac:dyDescent="0.25">
      <c r="E363" s="82" t="s">
        <v>106</v>
      </c>
      <c r="F363" s="82" t="s">
        <v>215</v>
      </c>
      <c r="G363" s="82" t="s">
        <v>735</v>
      </c>
    </row>
    <row r="364" spans="5:7" s="82" customFormat="1" ht="25.5" hidden="1" customHeight="1" x14ac:dyDescent="0.25">
      <c r="E364" s="82" t="s">
        <v>106</v>
      </c>
      <c r="F364" s="82" t="s">
        <v>215</v>
      </c>
      <c r="G364" s="82" t="s">
        <v>336</v>
      </c>
    </row>
    <row r="365" spans="5:7" s="82" customFormat="1" ht="25.5" hidden="1" customHeight="1" x14ac:dyDescent="0.25">
      <c r="E365" s="82" t="s">
        <v>106</v>
      </c>
      <c r="F365" s="82" t="s">
        <v>217</v>
      </c>
      <c r="G365" s="82" t="s">
        <v>663</v>
      </c>
    </row>
    <row r="366" spans="5:7" s="82" customFormat="1" ht="25.5" hidden="1" customHeight="1" x14ac:dyDescent="0.25">
      <c r="E366" s="82" t="s">
        <v>106</v>
      </c>
      <c r="F366" s="82" t="s">
        <v>217</v>
      </c>
      <c r="G366" s="82" t="s">
        <v>504</v>
      </c>
    </row>
    <row r="367" spans="5:7" s="82" customFormat="1" ht="25.5" hidden="1" customHeight="1" x14ac:dyDescent="0.25">
      <c r="E367" s="82" t="s">
        <v>106</v>
      </c>
      <c r="F367" s="82" t="s">
        <v>217</v>
      </c>
      <c r="G367" s="82" t="s">
        <v>505</v>
      </c>
    </row>
    <row r="368" spans="5:7" s="82" customFormat="1" ht="25.5" hidden="1" customHeight="1" x14ac:dyDescent="0.25"/>
    <row r="369" spans="5:7" s="82" customFormat="1" ht="25.5" hidden="1" customHeight="1" x14ac:dyDescent="0.25">
      <c r="E369" s="82" t="s">
        <v>106</v>
      </c>
      <c r="F369" s="82" t="s">
        <v>145</v>
      </c>
      <c r="G369" s="82" t="s">
        <v>218</v>
      </c>
    </row>
    <row r="370" spans="5:7" s="82" customFormat="1" ht="25.5" hidden="1" customHeight="1" x14ac:dyDescent="0.25">
      <c r="E370" s="82" t="s">
        <v>106</v>
      </c>
      <c r="F370" s="82" t="s">
        <v>145</v>
      </c>
      <c r="G370" s="82" t="s">
        <v>553</v>
      </c>
    </row>
    <row r="371" spans="5:7" s="82" customFormat="1" ht="25.5" hidden="1" customHeight="1" x14ac:dyDescent="0.25">
      <c r="E371" s="82" t="s">
        <v>106</v>
      </c>
      <c r="F371" s="82" t="s">
        <v>145</v>
      </c>
      <c r="G371" s="82" t="s">
        <v>514</v>
      </c>
    </row>
    <row r="372" spans="5:7" s="82" customFormat="1" ht="25.5" hidden="1" customHeight="1" x14ac:dyDescent="0.25"/>
    <row r="373" spans="5:7" s="82" customFormat="1" ht="25.5" hidden="1" customHeight="1" x14ac:dyDescent="0.25"/>
    <row r="374" spans="5:7" s="82" customFormat="1" ht="25.5" hidden="1" customHeight="1" x14ac:dyDescent="0.25">
      <c r="E374" s="82" t="s">
        <v>106</v>
      </c>
      <c r="F374" s="82" t="s">
        <v>146</v>
      </c>
      <c r="G374" s="82" t="s">
        <v>219</v>
      </c>
    </row>
    <row r="375" spans="5:7" s="82" customFormat="1" ht="25.5" hidden="1" customHeight="1" x14ac:dyDescent="0.25">
      <c r="E375" s="82" t="s">
        <v>106</v>
      </c>
      <c r="F375" s="82" t="s">
        <v>146</v>
      </c>
      <c r="G375" s="82" t="s">
        <v>410</v>
      </c>
    </row>
    <row r="376" spans="5:7" s="82" customFormat="1" ht="25.5" hidden="1" customHeight="1" x14ac:dyDescent="0.25">
      <c r="E376" s="82" t="s">
        <v>106</v>
      </c>
      <c r="F376" s="82" t="s">
        <v>146</v>
      </c>
      <c r="G376" s="82" t="s">
        <v>411</v>
      </c>
    </row>
    <row r="377" spans="5:7" s="82" customFormat="1" ht="25.5" hidden="1" customHeight="1" x14ac:dyDescent="0.25"/>
    <row r="378" spans="5:7" s="82" customFormat="1" ht="25.5" hidden="1" customHeight="1" x14ac:dyDescent="0.25">
      <c r="E378" s="82" t="s">
        <v>106</v>
      </c>
      <c r="F378" s="82" t="s">
        <v>114</v>
      </c>
      <c r="G378" s="82" t="s">
        <v>629</v>
      </c>
    </row>
    <row r="379" spans="5:7" s="82" customFormat="1" ht="25.5" hidden="1" customHeight="1" x14ac:dyDescent="0.25">
      <c r="E379" s="82" t="s">
        <v>106</v>
      </c>
      <c r="F379" s="82" t="s">
        <v>114</v>
      </c>
      <c r="G379" s="82" t="s">
        <v>800</v>
      </c>
    </row>
    <row r="380" spans="5:7" s="82" customFormat="1" ht="25.5" hidden="1" customHeight="1" x14ac:dyDescent="0.25">
      <c r="E380" s="82" t="s">
        <v>106</v>
      </c>
      <c r="F380" s="82" t="s">
        <v>114</v>
      </c>
      <c r="G380" s="82" t="s">
        <v>554</v>
      </c>
    </row>
    <row r="381" spans="5:7" s="82" customFormat="1" ht="25.5" hidden="1" customHeight="1" x14ac:dyDescent="0.25">
      <c r="E381" s="82" t="s">
        <v>106</v>
      </c>
      <c r="F381" s="82" t="s">
        <v>220</v>
      </c>
      <c r="G381" s="82" t="s">
        <v>221</v>
      </c>
    </row>
    <row r="382" spans="5:7" s="82" customFormat="1" ht="25.5" hidden="1" customHeight="1" x14ac:dyDescent="0.25">
      <c r="E382" s="82" t="s">
        <v>106</v>
      </c>
      <c r="F382" s="82" t="s">
        <v>220</v>
      </c>
      <c r="G382" s="82" t="s">
        <v>737</v>
      </c>
    </row>
    <row r="383" spans="5:7" s="82" customFormat="1" ht="25.5" hidden="1" customHeight="1" x14ac:dyDescent="0.25">
      <c r="E383" s="82" t="s">
        <v>106</v>
      </c>
      <c r="F383" s="82" t="s">
        <v>114</v>
      </c>
      <c r="G383" s="82" t="s">
        <v>555</v>
      </c>
    </row>
    <row r="384" spans="5:7" s="82" customFormat="1" ht="25.5" hidden="1" customHeight="1" x14ac:dyDescent="0.3">
      <c r="E384" s="82" t="s">
        <v>106</v>
      </c>
      <c r="F384" s="82" t="s">
        <v>114</v>
      </c>
      <c r="G384" s="83" t="s">
        <v>385</v>
      </c>
    </row>
    <row r="385" spans="5:7" s="82" customFormat="1" ht="25.5" hidden="1" customHeight="1" x14ac:dyDescent="0.3">
      <c r="E385" s="82" t="s">
        <v>106</v>
      </c>
      <c r="F385" s="82" t="s">
        <v>114</v>
      </c>
      <c r="G385" s="83" t="s">
        <v>802</v>
      </c>
    </row>
    <row r="386" spans="5:7" s="82" customFormat="1" ht="25.5" hidden="1" customHeight="1" x14ac:dyDescent="0.3">
      <c r="E386" s="82" t="s">
        <v>106</v>
      </c>
      <c r="F386" s="82" t="s">
        <v>114</v>
      </c>
      <c r="G386" s="83" t="s">
        <v>803</v>
      </c>
    </row>
    <row r="387" spans="5:7" s="82" customFormat="1" ht="25.5" hidden="1" customHeight="1" x14ac:dyDescent="0.3">
      <c r="E387" s="82" t="s">
        <v>106</v>
      </c>
      <c r="F387" s="82" t="s">
        <v>114</v>
      </c>
      <c r="G387" s="83" t="s">
        <v>530</v>
      </c>
    </row>
    <row r="388" spans="5:7" s="82" customFormat="1" ht="25.5" hidden="1" customHeight="1" x14ac:dyDescent="0.3">
      <c r="E388" s="82" t="s">
        <v>106</v>
      </c>
      <c r="F388" s="82" t="s">
        <v>114</v>
      </c>
      <c r="G388" s="83" t="s">
        <v>531</v>
      </c>
    </row>
    <row r="389" spans="5:7" s="82" customFormat="1" ht="25.5" hidden="1" customHeight="1" x14ac:dyDescent="0.3">
      <c r="E389" s="82" t="s">
        <v>106</v>
      </c>
      <c r="F389" s="82" t="s">
        <v>114</v>
      </c>
      <c r="G389" s="83" t="s">
        <v>532</v>
      </c>
    </row>
    <row r="390" spans="5:7" s="82" customFormat="1" ht="25.5" hidden="1" customHeight="1" x14ac:dyDescent="0.3">
      <c r="E390" s="82" t="s">
        <v>106</v>
      </c>
      <c r="F390" s="82" t="s">
        <v>114</v>
      </c>
      <c r="G390" s="83" t="s">
        <v>769</v>
      </c>
    </row>
    <row r="391" spans="5:7" s="82" customFormat="1" ht="25.5" hidden="1" customHeight="1" x14ac:dyDescent="0.3">
      <c r="E391" s="82" t="s">
        <v>106</v>
      </c>
      <c r="F391" s="82" t="s">
        <v>114</v>
      </c>
      <c r="G391" s="83" t="s">
        <v>533</v>
      </c>
    </row>
    <row r="392" spans="5:7" s="82" customFormat="1" ht="25.5" hidden="1" customHeight="1" x14ac:dyDescent="0.25">
      <c r="E392" s="82" t="s">
        <v>106</v>
      </c>
      <c r="F392" s="82" t="s">
        <v>114</v>
      </c>
      <c r="G392" s="82" t="s">
        <v>601</v>
      </c>
    </row>
    <row r="393" spans="5:7" s="82" customFormat="1" ht="25.5" hidden="1" customHeight="1" x14ac:dyDescent="0.25">
      <c r="E393" s="82" t="s">
        <v>118</v>
      </c>
      <c r="F393" s="82" t="s">
        <v>148</v>
      </c>
      <c r="G393" s="82" t="s">
        <v>630</v>
      </c>
    </row>
    <row r="394" spans="5:7" s="82" customFormat="1" ht="25.5" hidden="1" customHeight="1" x14ac:dyDescent="0.25">
      <c r="E394" s="82" t="s">
        <v>118</v>
      </c>
      <c r="F394" s="82" t="s">
        <v>148</v>
      </c>
      <c r="G394" s="82" t="s">
        <v>720</v>
      </c>
    </row>
    <row r="395" spans="5:7" s="82" customFormat="1" ht="25.5" hidden="1" customHeight="1" x14ac:dyDescent="0.25">
      <c r="E395" s="82" t="s">
        <v>118</v>
      </c>
      <c r="F395" s="82" t="s">
        <v>148</v>
      </c>
      <c r="G395" s="82" t="s">
        <v>702</v>
      </c>
    </row>
    <row r="396" spans="5:7" s="82" customFormat="1" ht="25.5" hidden="1" customHeight="1" x14ac:dyDescent="0.25">
      <c r="E396" s="82" t="s">
        <v>118</v>
      </c>
      <c r="F396" s="82" t="s">
        <v>148</v>
      </c>
      <c r="G396" s="82" t="s">
        <v>602</v>
      </c>
    </row>
    <row r="397" spans="5:7" s="82" customFormat="1" ht="25.5" hidden="1" customHeight="1" x14ac:dyDescent="0.25">
      <c r="E397" s="82" t="s">
        <v>118</v>
      </c>
      <c r="F397" s="82" t="s">
        <v>148</v>
      </c>
      <c r="G397" s="82" t="s">
        <v>416</v>
      </c>
    </row>
    <row r="398" spans="5:7" s="82" customFormat="1" ht="25.5" hidden="1" customHeight="1" x14ac:dyDescent="0.25">
      <c r="E398" s="82" t="s">
        <v>118</v>
      </c>
      <c r="F398" s="82" t="s">
        <v>148</v>
      </c>
      <c r="G398" s="82" t="s">
        <v>464</v>
      </c>
    </row>
    <row r="399" spans="5:7" s="82" customFormat="1" ht="25.5" hidden="1" customHeight="1" x14ac:dyDescent="0.25">
      <c r="E399" s="82" t="s">
        <v>118</v>
      </c>
      <c r="F399" s="82" t="s">
        <v>148</v>
      </c>
      <c r="G399" s="82" t="s">
        <v>465</v>
      </c>
    </row>
    <row r="400" spans="5:7" s="82" customFormat="1" ht="25.5" hidden="1" customHeight="1" x14ac:dyDescent="0.25">
      <c r="E400" s="82" t="s">
        <v>118</v>
      </c>
      <c r="F400" s="82" t="s">
        <v>119</v>
      </c>
      <c r="G400" s="82" t="s">
        <v>556</v>
      </c>
    </row>
    <row r="401" spans="5:7" s="82" customFormat="1" ht="25.5" hidden="1" customHeight="1" x14ac:dyDescent="0.25">
      <c r="E401" s="82" t="s">
        <v>118</v>
      </c>
      <c r="F401" s="82" t="s">
        <v>222</v>
      </c>
      <c r="G401" s="82" t="s">
        <v>631</v>
      </c>
    </row>
    <row r="402" spans="5:7" s="82" customFormat="1" ht="25.5" hidden="1" customHeight="1" x14ac:dyDescent="0.25">
      <c r="E402" s="82" t="s">
        <v>118</v>
      </c>
      <c r="F402" s="82" t="s">
        <v>222</v>
      </c>
      <c r="G402" s="82" t="s">
        <v>358</v>
      </c>
    </row>
    <row r="403" spans="5:7" s="82" customFormat="1" ht="25.5" hidden="1" customHeight="1" x14ac:dyDescent="0.25">
      <c r="E403" s="82" t="s">
        <v>118</v>
      </c>
      <c r="F403" s="82" t="s">
        <v>222</v>
      </c>
      <c r="G403" s="82" t="s">
        <v>603</v>
      </c>
    </row>
    <row r="404" spans="5:7" s="82" customFormat="1" ht="25.5" hidden="1" customHeight="1" x14ac:dyDescent="0.25">
      <c r="E404" s="82" t="s">
        <v>118</v>
      </c>
      <c r="F404" s="82" t="s">
        <v>222</v>
      </c>
      <c r="G404" s="82" t="s">
        <v>417</v>
      </c>
    </row>
    <row r="405" spans="5:7" s="82" customFormat="1" ht="25.5" hidden="1" customHeight="1" x14ac:dyDescent="0.25">
      <c r="E405" s="82" t="s">
        <v>118</v>
      </c>
      <c r="F405" s="82" t="s">
        <v>120</v>
      </c>
      <c r="G405" s="82" t="s">
        <v>557</v>
      </c>
    </row>
    <row r="406" spans="5:7" s="82" customFormat="1" ht="25.5" hidden="1" customHeight="1" x14ac:dyDescent="0.25">
      <c r="E406" s="82" t="s">
        <v>118</v>
      </c>
      <c r="F406" s="82" t="s">
        <v>223</v>
      </c>
      <c r="G406" s="82" t="s">
        <v>664</v>
      </c>
    </row>
    <row r="407" spans="5:7" s="82" customFormat="1" ht="25.5" hidden="1" customHeight="1" x14ac:dyDescent="0.25">
      <c r="E407" s="82" t="s">
        <v>118</v>
      </c>
      <c r="F407" s="82" t="s">
        <v>224</v>
      </c>
      <c r="G407" s="82" t="s">
        <v>632</v>
      </c>
    </row>
    <row r="408" spans="5:7" s="82" customFormat="1" ht="25.5" hidden="1" customHeight="1" x14ac:dyDescent="0.25">
      <c r="E408" s="82" t="s">
        <v>118</v>
      </c>
      <c r="F408" s="82" t="s">
        <v>224</v>
      </c>
      <c r="G408" s="82" t="s">
        <v>357</v>
      </c>
    </row>
    <row r="409" spans="5:7" s="82" customFormat="1" ht="25.5" hidden="1" customHeight="1" x14ac:dyDescent="0.25">
      <c r="E409" s="82" t="s">
        <v>118</v>
      </c>
      <c r="F409" s="82" t="s">
        <v>224</v>
      </c>
      <c r="G409" s="82" t="s">
        <v>418</v>
      </c>
    </row>
    <row r="410" spans="5:7" s="82" customFormat="1" ht="25.5" hidden="1" customHeight="1" x14ac:dyDescent="0.25">
      <c r="E410" s="82" t="s">
        <v>118</v>
      </c>
      <c r="F410" s="82" t="s">
        <v>224</v>
      </c>
      <c r="G410" s="82" t="s">
        <v>481</v>
      </c>
    </row>
    <row r="411" spans="5:7" s="82" customFormat="1" ht="25.5" hidden="1" customHeight="1" x14ac:dyDescent="0.25">
      <c r="E411" s="82" t="s">
        <v>118</v>
      </c>
      <c r="F411" s="82" t="s">
        <v>224</v>
      </c>
      <c r="G411" s="82" t="s">
        <v>482</v>
      </c>
    </row>
    <row r="412" spans="5:7" s="82" customFormat="1" ht="25.5" hidden="1" customHeight="1" x14ac:dyDescent="0.25">
      <c r="E412" s="82" t="s">
        <v>118</v>
      </c>
      <c r="F412" s="82" t="s">
        <v>224</v>
      </c>
      <c r="G412" s="82" t="s">
        <v>483</v>
      </c>
    </row>
    <row r="413" spans="5:7" s="82" customFormat="1" ht="25.5" hidden="1" customHeight="1" x14ac:dyDescent="0.25">
      <c r="E413" s="82" t="s">
        <v>118</v>
      </c>
      <c r="F413" s="82" t="s">
        <v>149</v>
      </c>
      <c r="G413" s="82" t="s">
        <v>225</v>
      </c>
    </row>
    <row r="414" spans="5:7" s="82" customFormat="1" ht="25.5" hidden="1" customHeight="1" x14ac:dyDescent="0.25">
      <c r="E414" s="82" t="s">
        <v>118</v>
      </c>
      <c r="F414" s="82" t="s">
        <v>149</v>
      </c>
      <c r="G414" s="82" t="s">
        <v>337</v>
      </c>
    </row>
    <row r="415" spans="5:7" s="82" customFormat="1" ht="25.5" hidden="1" customHeight="1" x14ac:dyDescent="0.25">
      <c r="E415" s="82" t="s">
        <v>118</v>
      </c>
      <c r="F415" s="82" t="s">
        <v>149</v>
      </c>
      <c r="G415" s="82" t="s">
        <v>711</v>
      </c>
    </row>
    <row r="416" spans="5:7" s="82" customFormat="1" ht="25.5" hidden="1" customHeight="1" x14ac:dyDescent="0.25">
      <c r="E416" s="82" t="s">
        <v>118</v>
      </c>
      <c r="F416" s="82" t="s">
        <v>149</v>
      </c>
      <c r="G416" s="82" t="s">
        <v>558</v>
      </c>
    </row>
    <row r="417" spans="5:7" s="82" customFormat="1" ht="25.5" hidden="1" customHeight="1" x14ac:dyDescent="0.25">
      <c r="E417" s="82" t="s">
        <v>118</v>
      </c>
      <c r="F417" s="82" t="s">
        <v>149</v>
      </c>
      <c r="G417" s="82" t="s">
        <v>604</v>
      </c>
    </row>
    <row r="418" spans="5:7" s="82" customFormat="1" ht="25.5" hidden="1" customHeight="1" x14ac:dyDescent="0.25">
      <c r="E418" s="82" t="s">
        <v>118</v>
      </c>
      <c r="F418" s="82" t="s">
        <v>149</v>
      </c>
      <c r="G418" s="82" t="s">
        <v>419</v>
      </c>
    </row>
    <row r="419" spans="5:7" s="82" customFormat="1" ht="25.5" hidden="1" customHeight="1" x14ac:dyDescent="0.25">
      <c r="E419" s="82" t="s">
        <v>118</v>
      </c>
      <c r="F419" s="82" t="s">
        <v>149</v>
      </c>
      <c r="G419" s="82" t="s">
        <v>480</v>
      </c>
    </row>
    <row r="420" spans="5:7" s="82" customFormat="1" ht="25.5" hidden="1" customHeight="1" x14ac:dyDescent="0.25">
      <c r="E420" s="82" t="s">
        <v>118</v>
      </c>
      <c r="F420" s="82" t="s">
        <v>118</v>
      </c>
      <c r="G420" s="82" t="s">
        <v>226</v>
      </c>
    </row>
    <row r="421" spans="5:7" s="82" customFormat="1" ht="25.5" hidden="1" customHeight="1" x14ac:dyDescent="0.25">
      <c r="E421" s="82" t="s">
        <v>118</v>
      </c>
      <c r="F421" s="82" t="s">
        <v>118</v>
      </c>
      <c r="G421" s="82" t="s">
        <v>665</v>
      </c>
    </row>
    <row r="422" spans="5:7" s="82" customFormat="1" ht="25.5" hidden="1" customHeight="1" x14ac:dyDescent="0.25">
      <c r="E422" s="82" t="s">
        <v>118</v>
      </c>
      <c r="F422" s="82" t="s">
        <v>118</v>
      </c>
      <c r="G422" s="82" t="s">
        <v>559</v>
      </c>
    </row>
    <row r="423" spans="5:7" s="82" customFormat="1" ht="25.5" hidden="1" customHeight="1" x14ac:dyDescent="0.25">
      <c r="E423" s="82" t="s">
        <v>118</v>
      </c>
      <c r="F423" s="82" t="s">
        <v>227</v>
      </c>
      <c r="G423" s="82" t="s">
        <v>633</v>
      </c>
    </row>
    <row r="424" spans="5:7" s="82" customFormat="1" ht="25.5" hidden="1" customHeight="1" x14ac:dyDescent="0.25">
      <c r="E424" s="82" t="s">
        <v>118</v>
      </c>
      <c r="F424" s="82" t="s">
        <v>118</v>
      </c>
      <c r="G424" s="82" t="s">
        <v>338</v>
      </c>
    </row>
    <row r="425" spans="5:7" s="82" customFormat="1" ht="25.5" hidden="1" customHeight="1" x14ac:dyDescent="0.25">
      <c r="E425" s="82" t="s">
        <v>118</v>
      </c>
      <c r="F425" s="82" t="s">
        <v>227</v>
      </c>
      <c r="G425" s="82" t="s">
        <v>317</v>
      </c>
    </row>
    <row r="426" spans="5:7" s="82" customFormat="1" ht="25.5" hidden="1" customHeight="1" x14ac:dyDescent="0.25">
      <c r="E426" s="82" t="s">
        <v>118</v>
      </c>
      <c r="F426" s="82" t="s">
        <v>227</v>
      </c>
      <c r="G426" s="82" t="s">
        <v>420</v>
      </c>
    </row>
    <row r="427" spans="5:7" s="82" customFormat="1" ht="25.5" hidden="1" customHeight="1" x14ac:dyDescent="0.25">
      <c r="E427" s="82" t="s">
        <v>118</v>
      </c>
      <c r="F427" s="82" t="s">
        <v>227</v>
      </c>
      <c r="G427" s="82" t="s">
        <v>484</v>
      </c>
    </row>
    <row r="428" spans="5:7" s="82" customFormat="1" ht="25.5" hidden="1" customHeight="1" x14ac:dyDescent="0.25">
      <c r="E428" s="82" t="s">
        <v>118</v>
      </c>
      <c r="F428" s="82" t="s">
        <v>227</v>
      </c>
      <c r="G428" s="82" t="s">
        <v>485</v>
      </c>
    </row>
    <row r="429" spans="5:7" s="82" customFormat="1" ht="25.5" hidden="1" customHeight="1" x14ac:dyDescent="0.25">
      <c r="E429" s="82" t="s">
        <v>118</v>
      </c>
      <c r="F429" s="82" t="s">
        <v>121</v>
      </c>
      <c r="G429" s="82" t="s">
        <v>560</v>
      </c>
    </row>
    <row r="430" spans="5:7" s="82" customFormat="1" ht="25.5" hidden="1" customHeight="1" x14ac:dyDescent="0.25">
      <c r="E430" s="82" t="s">
        <v>118</v>
      </c>
      <c r="F430" s="82" t="s">
        <v>228</v>
      </c>
      <c r="G430" s="82" t="s">
        <v>634</v>
      </c>
    </row>
    <row r="431" spans="5:7" s="82" customFormat="1" ht="25.5" hidden="1" customHeight="1" x14ac:dyDescent="0.25">
      <c r="E431" s="82" t="s">
        <v>118</v>
      </c>
      <c r="F431" s="82" t="s">
        <v>228</v>
      </c>
      <c r="G431" s="82" t="s">
        <v>732</v>
      </c>
    </row>
    <row r="432" spans="5:7" s="82" customFormat="1" ht="25.5" hidden="1" customHeight="1" x14ac:dyDescent="0.25">
      <c r="E432" s="82" t="s">
        <v>118</v>
      </c>
      <c r="F432" s="82" t="s">
        <v>121</v>
      </c>
      <c r="G432" s="82" t="s">
        <v>561</v>
      </c>
    </row>
    <row r="433" spans="5:7" s="82" customFormat="1" ht="25.5" hidden="1" customHeight="1" x14ac:dyDescent="0.25">
      <c r="E433" s="82" t="s">
        <v>118</v>
      </c>
      <c r="F433" s="82" t="s">
        <v>121</v>
      </c>
      <c r="G433" s="82" t="s">
        <v>359</v>
      </c>
    </row>
    <row r="434" spans="5:7" s="82" customFormat="1" ht="25.5" hidden="1" customHeight="1" x14ac:dyDescent="0.25">
      <c r="E434" s="82" t="s">
        <v>118</v>
      </c>
      <c r="F434" s="82" t="s">
        <v>121</v>
      </c>
      <c r="G434" s="82" t="s">
        <v>421</v>
      </c>
    </row>
    <row r="435" spans="5:7" s="82" customFormat="1" ht="25.5" hidden="1" customHeight="1" x14ac:dyDescent="0.25">
      <c r="E435" s="82" t="s">
        <v>118</v>
      </c>
      <c r="F435" s="82" t="s">
        <v>150</v>
      </c>
      <c r="G435" s="82" t="s">
        <v>635</v>
      </c>
    </row>
    <row r="436" spans="5:7" s="82" customFormat="1" ht="25.5" hidden="1" customHeight="1" x14ac:dyDescent="0.25">
      <c r="E436" s="82" t="s">
        <v>118</v>
      </c>
      <c r="F436" s="82" t="s">
        <v>150</v>
      </c>
      <c r="G436" s="82" t="s">
        <v>562</v>
      </c>
    </row>
    <row r="437" spans="5:7" s="82" customFormat="1" ht="25.5" hidden="1" customHeight="1" x14ac:dyDescent="0.25">
      <c r="E437" s="82" t="s">
        <v>118</v>
      </c>
      <c r="F437" s="82" t="s">
        <v>150</v>
      </c>
      <c r="G437" s="82" t="s">
        <v>489</v>
      </c>
    </row>
    <row r="438" spans="5:7" s="82" customFormat="1" ht="25.5" hidden="1" customHeight="1" x14ac:dyDescent="0.25"/>
    <row r="439" spans="5:7" s="82" customFormat="1" ht="25.5" hidden="1" customHeight="1" x14ac:dyDescent="0.25"/>
    <row r="440" spans="5:7" s="82" customFormat="1" ht="25.5" hidden="1" customHeight="1" x14ac:dyDescent="0.25">
      <c r="E440" s="82" t="s">
        <v>118</v>
      </c>
      <c r="F440" s="82" t="s">
        <v>151</v>
      </c>
      <c r="G440" s="82" t="s">
        <v>636</v>
      </c>
    </row>
    <row r="441" spans="5:7" s="82" customFormat="1" ht="25.5" hidden="1" customHeight="1" x14ac:dyDescent="0.25">
      <c r="E441" s="82" t="s">
        <v>118</v>
      </c>
      <c r="F441" s="82" t="s">
        <v>151</v>
      </c>
      <c r="G441" s="82" t="s">
        <v>339</v>
      </c>
    </row>
    <row r="442" spans="5:7" s="82" customFormat="1" ht="25.5" hidden="1" customHeight="1" x14ac:dyDescent="0.25">
      <c r="E442" s="82" t="s">
        <v>118</v>
      </c>
      <c r="F442" s="82" t="s">
        <v>151</v>
      </c>
      <c r="G442" s="82" t="s">
        <v>491</v>
      </c>
    </row>
    <row r="443" spans="5:7" s="82" customFormat="1" ht="25.5" hidden="1" customHeight="1" x14ac:dyDescent="0.25"/>
    <row r="444" spans="5:7" s="82" customFormat="1" ht="25.5" hidden="1" customHeight="1" x14ac:dyDescent="0.25">
      <c r="E444" s="82" t="s">
        <v>118</v>
      </c>
      <c r="F444" s="82" t="s">
        <v>229</v>
      </c>
      <c r="G444" s="82" t="s">
        <v>230</v>
      </c>
    </row>
    <row r="445" spans="5:7" s="82" customFormat="1" ht="25.5" hidden="1" customHeight="1" x14ac:dyDescent="0.3">
      <c r="E445" s="82" t="s">
        <v>118</v>
      </c>
      <c r="F445" s="82" t="s">
        <v>152</v>
      </c>
      <c r="G445" s="83" t="s">
        <v>365</v>
      </c>
    </row>
    <row r="446" spans="5:7" s="82" customFormat="1" ht="25.5" hidden="1" customHeight="1" x14ac:dyDescent="0.25">
      <c r="E446" s="82" t="s">
        <v>118</v>
      </c>
      <c r="F446" s="82" t="s">
        <v>152</v>
      </c>
      <c r="G446" s="82" t="s">
        <v>502</v>
      </c>
    </row>
    <row r="447" spans="5:7" s="82" customFormat="1" ht="25.5" hidden="1" customHeight="1" x14ac:dyDescent="0.25"/>
    <row r="448" spans="5:7" s="82" customFormat="1" ht="25.5" hidden="1" customHeight="1" x14ac:dyDescent="0.25">
      <c r="E448" s="82" t="s">
        <v>118</v>
      </c>
      <c r="F448" s="82" t="s">
        <v>122</v>
      </c>
      <c r="G448" s="82" t="s">
        <v>563</v>
      </c>
    </row>
    <row r="449" spans="5:7" s="82" customFormat="1" ht="25.5" hidden="1" customHeight="1" x14ac:dyDescent="0.25">
      <c r="E449" s="82" t="s">
        <v>118</v>
      </c>
      <c r="F449" s="82" t="s">
        <v>231</v>
      </c>
      <c r="G449" s="82" t="s">
        <v>637</v>
      </c>
    </row>
    <row r="450" spans="5:7" s="82" customFormat="1" ht="25.5" hidden="1" customHeight="1" x14ac:dyDescent="0.25">
      <c r="E450" s="82" t="s">
        <v>118</v>
      </c>
      <c r="F450" s="82" t="s">
        <v>122</v>
      </c>
      <c r="G450" s="82" t="s">
        <v>356</v>
      </c>
    </row>
    <row r="451" spans="5:7" s="82" customFormat="1" ht="25.5" hidden="1" customHeight="1" x14ac:dyDescent="0.25">
      <c r="E451" s="82" t="s">
        <v>118</v>
      </c>
      <c r="F451" s="82" t="s">
        <v>122</v>
      </c>
      <c r="G451" s="82" t="s">
        <v>605</v>
      </c>
    </row>
    <row r="452" spans="5:7" s="82" customFormat="1" ht="25.5" hidden="1" customHeight="1" x14ac:dyDescent="0.25">
      <c r="E452" s="82" t="s">
        <v>118</v>
      </c>
      <c r="F452" s="82" t="s">
        <v>122</v>
      </c>
      <c r="G452" s="82" t="s">
        <v>519</v>
      </c>
    </row>
    <row r="453" spans="5:7" s="82" customFormat="1" ht="25.5" hidden="1" customHeight="1" x14ac:dyDescent="0.25">
      <c r="E453" s="82" t="s">
        <v>118</v>
      </c>
      <c r="F453" s="82" t="s">
        <v>122</v>
      </c>
      <c r="G453" s="82" t="s">
        <v>520</v>
      </c>
    </row>
    <row r="454" spans="5:7" s="82" customFormat="1" ht="25.5" hidden="1" customHeight="1" x14ac:dyDescent="0.25">
      <c r="E454" s="82" t="s">
        <v>118</v>
      </c>
      <c r="F454" s="82" t="s">
        <v>122</v>
      </c>
      <c r="G454" s="82" t="s">
        <v>521</v>
      </c>
    </row>
    <row r="455" spans="5:7" s="82" customFormat="1" ht="25.5" hidden="1" customHeight="1" x14ac:dyDescent="0.25">
      <c r="E455" s="82" t="s">
        <v>118</v>
      </c>
      <c r="F455" s="82" t="s">
        <v>122</v>
      </c>
      <c r="G455" s="82" t="s">
        <v>422</v>
      </c>
    </row>
    <row r="456" spans="5:7" s="82" customFormat="1" ht="25.5" hidden="1" customHeight="1" x14ac:dyDescent="0.25">
      <c r="E456" s="82" t="s">
        <v>117</v>
      </c>
      <c r="F456" s="82" t="s">
        <v>141</v>
      </c>
      <c r="G456" s="82" t="s">
        <v>638</v>
      </c>
    </row>
    <row r="457" spans="5:7" s="82" customFormat="1" ht="25.5" hidden="1" customHeight="1" x14ac:dyDescent="0.25">
      <c r="E457" s="82" t="s">
        <v>117</v>
      </c>
      <c r="F457" s="82" t="s">
        <v>141</v>
      </c>
      <c r="G457" s="82" t="s">
        <v>564</v>
      </c>
    </row>
    <row r="458" spans="5:7" s="82" customFormat="1" ht="25.5" hidden="1" customHeight="1" x14ac:dyDescent="0.25">
      <c r="E458" s="82" t="s">
        <v>117</v>
      </c>
      <c r="F458" s="82" t="s">
        <v>141</v>
      </c>
      <c r="G458" s="82" t="s">
        <v>784</v>
      </c>
    </row>
    <row r="459" spans="5:7" s="82" customFormat="1" ht="25.5" hidden="1" customHeight="1" x14ac:dyDescent="0.25">
      <c r="E459" s="82" t="s">
        <v>117</v>
      </c>
      <c r="F459" s="82" t="s">
        <v>141</v>
      </c>
      <c r="G459" s="82" t="s">
        <v>423</v>
      </c>
    </row>
    <row r="460" spans="5:7" s="82" customFormat="1" ht="25.5" hidden="1" customHeight="1" x14ac:dyDescent="0.25">
      <c r="E460" s="82" t="s">
        <v>117</v>
      </c>
      <c r="F460" s="82" t="s">
        <v>141</v>
      </c>
      <c r="G460" s="82" t="s">
        <v>801</v>
      </c>
    </row>
    <row r="461" spans="5:7" s="82" customFormat="1" ht="25.5" hidden="1" customHeight="1" x14ac:dyDescent="0.25">
      <c r="E461" s="82" t="s">
        <v>117</v>
      </c>
      <c r="F461" s="82" t="s">
        <v>141</v>
      </c>
      <c r="G461" s="82" t="s">
        <v>777</v>
      </c>
    </row>
    <row r="462" spans="5:7" s="82" customFormat="1" ht="25.5" hidden="1" customHeight="1" x14ac:dyDescent="0.25">
      <c r="E462" s="82" t="s">
        <v>117</v>
      </c>
      <c r="F462" s="82" t="s">
        <v>141</v>
      </c>
      <c r="G462" s="82" t="s">
        <v>707</v>
      </c>
    </row>
    <row r="463" spans="5:7" s="82" customFormat="1" ht="25.5" hidden="1" customHeight="1" x14ac:dyDescent="0.25">
      <c r="E463" s="82" t="s">
        <v>117</v>
      </c>
      <c r="F463" s="82" t="s">
        <v>141</v>
      </c>
      <c r="G463" s="82" t="s">
        <v>479</v>
      </c>
    </row>
    <row r="464" spans="5:7" s="82" customFormat="1" ht="25.5" hidden="1" customHeight="1" x14ac:dyDescent="0.25"/>
    <row r="465" spans="5:7" s="82" customFormat="1" ht="25.5" hidden="1" customHeight="1" x14ac:dyDescent="0.25">
      <c r="E465" s="82" t="s">
        <v>265</v>
      </c>
      <c r="F465" s="82" t="s">
        <v>265</v>
      </c>
      <c r="G465" s="82" t="s">
        <v>666</v>
      </c>
    </row>
    <row r="466" spans="5:7" s="82" customFormat="1" ht="25.5" hidden="1" customHeight="1" x14ac:dyDescent="0.25">
      <c r="E466" s="82" t="s">
        <v>117</v>
      </c>
      <c r="F466" s="82" t="s">
        <v>117</v>
      </c>
      <c r="G466" s="82" t="s">
        <v>565</v>
      </c>
    </row>
    <row r="467" spans="5:7" s="82" customFormat="1" ht="25.5" hidden="1" customHeight="1" x14ac:dyDescent="0.25">
      <c r="E467" s="82" t="s">
        <v>117</v>
      </c>
      <c r="F467" s="82" t="s">
        <v>232</v>
      </c>
      <c r="G467" s="82" t="s">
        <v>233</v>
      </c>
    </row>
    <row r="468" spans="5:7" s="82" customFormat="1" ht="25.5" hidden="1" customHeight="1" x14ac:dyDescent="0.25">
      <c r="E468" s="82" t="s">
        <v>117</v>
      </c>
      <c r="F468" s="82" t="s">
        <v>117</v>
      </c>
      <c r="G468" s="82" t="s">
        <v>343</v>
      </c>
    </row>
    <row r="469" spans="5:7" s="82" customFormat="1" ht="25.5" hidden="1" customHeight="1" x14ac:dyDescent="0.25">
      <c r="E469" s="82" t="s">
        <v>117</v>
      </c>
      <c r="F469" s="82" t="s">
        <v>232</v>
      </c>
      <c r="G469" s="82" t="s">
        <v>234</v>
      </c>
    </row>
    <row r="470" spans="5:7" s="82" customFormat="1" ht="25.5" hidden="1" customHeight="1" x14ac:dyDescent="0.25">
      <c r="E470" s="82" t="s">
        <v>117</v>
      </c>
      <c r="F470" s="82" t="s">
        <v>232</v>
      </c>
      <c r="G470" s="82" t="s">
        <v>731</v>
      </c>
    </row>
    <row r="471" spans="5:7" s="82" customFormat="1" ht="25.5" hidden="1" customHeight="1" x14ac:dyDescent="0.25">
      <c r="E471" s="82" t="s">
        <v>117</v>
      </c>
      <c r="F471" s="82" t="s">
        <v>117</v>
      </c>
      <c r="G471" s="82" t="s">
        <v>349</v>
      </c>
    </row>
    <row r="472" spans="5:7" s="82" customFormat="1" ht="25.5" hidden="1" customHeight="1" x14ac:dyDescent="0.25">
      <c r="E472" s="82" t="s">
        <v>117</v>
      </c>
      <c r="F472" s="82" t="s">
        <v>117</v>
      </c>
      <c r="G472" s="82" t="s">
        <v>424</v>
      </c>
    </row>
    <row r="473" spans="5:7" s="82" customFormat="1" ht="25.5" hidden="1" customHeight="1" x14ac:dyDescent="0.25">
      <c r="E473" s="82" t="s">
        <v>117</v>
      </c>
      <c r="F473" s="82" t="s">
        <v>117</v>
      </c>
      <c r="G473" s="82" t="s">
        <v>496</v>
      </c>
    </row>
    <row r="474" spans="5:7" s="82" customFormat="1" ht="25.5" hidden="1" customHeight="1" x14ac:dyDescent="0.25">
      <c r="E474" s="82" t="s">
        <v>117</v>
      </c>
      <c r="F474" s="82" t="s">
        <v>117</v>
      </c>
      <c r="G474" s="82" t="s">
        <v>804</v>
      </c>
    </row>
    <row r="475" spans="5:7" s="82" customFormat="1" ht="25.5" hidden="1" customHeight="1" x14ac:dyDescent="0.25">
      <c r="E475" s="82" t="s">
        <v>117</v>
      </c>
      <c r="F475" s="82" t="s">
        <v>117</v>
      </c>
      <c r="G475" s="82" t="s">
        <v>497</v>
      </c>
    </row>
    <row r="476" spans="5:7" s="82" customFormat="1" ht="25.5" hidden="1" customHeight="1" x14ac:dyDescent="0.25">
      <c r="E476" s="82" t="s">
        <v>117</v>
      </c>
      <c r="F476" s="82" t="s">
        <v>117</v>
      </c>
      <c r="G476" s="82" t="s">
        <v>498</v>
      </c>
    </row>
    <row r="477" spans="5:7" s="82" customFormat="1" ht="25.5" hidden="1" customHeight="1" x14ac:dyDescent="0.25">
      <c r="E477" s="82" t="s">
        <v>117</v>
      </c>
      <c r="F477" s="82" t="s">
        <v>117</v>
      </c>
      <c r="G477" s="82" t="s">
        <v>499</v>
      </c>
    </row>
    <row r="478" spans="5:7" s="82" customFormat="1" ht="25.5" hidden="1" customHeight="1" x14ac:dyDescent="0.25">
      <c r="E478" s="82" t="s">
        <v>117</v>
      </c>
      <c r="F478" s="82" t="s">
        <v>117</v>
      </c>
      <c r="G478" s="82" t="s">
        <v>500</v>
      </c>
    </row>
    <row r="479" spans="5:7" s="82" customFormat="1" ht="25.5" hidden="1" customHeight="1" x14ac:dyDescent="0.25"/>
    <row r="480" spans="5:7" s="82" customFormat="1" ht="25.5" hidden="1" customHeight="1" x14ac:dyDescent="0.25"/>
    <row r="481" spans="5:7" s="82" customFormat="1" ht="25.5" hidden="1" customHeight="1" x14ac:dyDescent="0.25"/>
    <row r="482" spans="5:7" s="82" customFormat="1" ht="25.5" hidden="1" customHeight="1" x14ac:dyDescent="0.25">
      <c r="E482" s="82" t="s">
        <v>117</v>
      </c>
      <c r="F482" s="82" t="s">
        <v>235</v>
      </c>
      <c r="G482" s="82" t="s">
        <v>236</v>
      </c>
    </row>
    <row r="483" spans="5:7" s="82" customFormat="1" ht="25.5" hidden="1" customHeight="1" x14ac:dyDescent="0.25">
      <c r="E483" s="82" t="s">
        <v>117</v>
      </c>
      <c r="F483" s="82" t="s">
        <v>237</v>
      </c>
      <c r="G483" s="82" t="s">
        <v>566</v>
      </c>
    </row>
    <row r="484" spans="5:7" s="82" customFormat="1" ht="25.5" hidden="1" customHeight="1" x14ac:dyDescent="0.25">
      <c r="E484" s="82" t="s">
        <v>117</v>
      </c>
      <c r="F484" s="82" t="s">
        <v>237</v>
      </c>
      <c r="G484" s="82" t="s">
        <v>351</v>
      </c>
    </row>
    <row r="485" spans="5:7" s="82" customFormat="1" ht="25.5" hidden="1" customHeight="1" x14ac:dyDescent="0.25">
      <c r="E485" s="82" t="s">
        <v>117</v>
      </c>
      <c r="F485" s="82" t="s">
        <v>237</v>
      </c>
      <c r="G485" s="82" t="s">
        <v>606</v>
      </c>
    </row>
    <row r="486" spans="5:7" s="82" customFormat="1" ht="25.5" hidden="1" customHeight="1" x14ac:dyDescent="0.25">
      <c r="E486" s="82" t="s">
        <v>117</v>
      </c>
      <c r="F486" s="82" t="s">
        <v>237</v>
      </c>
      <c r="G486" s="82" t="s">
        <v>508</v>
      </c>
    </row>
    <row r="487" spans="5:7" s="82" customFormat="1" ht="25.5" hidden="1" customHeight="1" x14ac:dyDescent="0.25">
      <c r="E487" s="82" t="s">
        <v>117</v>
      </c>
      <c r="F487" s="82" t="s">
        <v>237</v>
      </c>
      <c r="G487" s="82" t="s">
        <v>509</v>
      </c>
    </row>
    <row r="488" spans="5:7" s="82" customFormat="1" ht="25.5" hidden="1" customHeight="1" x14ac:dyDescent="0.25">
      <c r="E488" s="82" t="s">
        <v>117</v>
      </c>
      <c r="F488" s="82" t="s">
        <v>237</v>
      </c>
      <c r="G488" s="82" t="s">
        <v>798</v>
      </c>
    </row>
    <row r="489" spans="5:7" s="82" customFormat="1" ht="25.5" hidden="1" customHeight="1" x14ac:dyDescent="0.25">
      <c r="E489" s="82" t="s">
        <v>117</v>
      </c>
      <c r="F489" s="82" t="s">
        <v>237</v>
      </c>
      <c r="G489" s="82" t="s">
        <v>510</v>
      </c>
    </row>
    <row r="490" spans="5:7" s="82" customFormat="1" ht="25.5" hidden="1" customHeight="1" x14ac:dyDescent="0.25">
      <c r="E490" s="82" t="s">
        <v>117</v>
      </c>
      <c r="F490" s="82" t="s">
        <v>237</v>
      </c>
      <c r="G490" s="82" t="s">
        <v>768</v>
      </c>
    </row>
    <row r="491" spans="5:7" s="82" customFormat="1" ht="25.5" hidden="1" customHeight="1" x14ac:dyDescent="0.25">
      <c r="E491" s="82" t="s">
        <v>117</v>
      </c>
      <c r="F491" s="82" t="s">
        <v>237</v>
      </c>
      <c r="G491" s="82" t="s">
        <v>714</v>
      </c>
    </row>
    <row r="492" spans="5:7" s="82" customFormat="1" ht="25.5" hidden="1" customHeight="1" x14ac:dyDescent="0.25">
      <c r="E492" s="82" t="s">
        <v>117</v>
      </c>
      <c r="F492" s="82" t="s">
        <v>237</v>
      </c>
      <c r="G492" s="82" t="s">
        <v>425</v>
      </c>
    </row>
    <row r="493" spans="5:7" s="82" customFormat="1" ht="25.5" hidden="1" customHeight="1" x14ac:dyDescent="0.25">
      <c r="E493" s="82" t="s">
        <v>117</v>
      </c>
      <c r="F493" s="82" t="s">
        <v>147</v>
      </c>
      <c r="G493" s="82" t="s">
        <v>238</v>
      </c>
    </row>
    <row r="494" spans="5:7" s="82" customFormat="1" ht="25.5" hidden="1" customHeight="1" x14ac:dyDescent="0.25">
      <c r="E494" s="82" t="s">
        <v>117</v>
      </c>
      <c r="F494" s="82" t="s">
        <v>147</v>
      </c>
      <c r="G494" s="82" t="s">
        <v>567</v>
      </c>
    </row>
    <row r="495" spans="5:7" s="82" customFormat="1" ht="25.5" hidden="1" customHeight="1" x14ac:dyDescent="0.25">
      <c r="E495" s="82" t="s">
        <v>117</v>
      </c>
      <c r="F495" s="82" t="s">
        <v>147</v>
      </c>
      <c r="G495" s="82" t="s">
        <v>350</v>
      </c>
    </row>
    <row r="496" spans="5:7" s="82" customFormat="1" ht="25.5" hidden="1" customHeight="1" x14ac:dyDescent="0.25">
      <c r="E496" s="82" t="s">
        <v>117</v>
      </c>
      <c r="F496" s="82" t="s">
        <v>147</v>
      </c>
      <c r="G496" s="82" t="s">
        <v>607</v>
      </c>
    </row>
    <row r="497" spans="5:7" s="82" customFormat="1" ht="25.5" hidden="1" customHeight="1" x14ac:dyDescent="0.25">
      <c r="E497" s="82" t="s">
        <v>117</v>
      </c>
      <c r="F497" s="82" t="s">
        <v>147</v>
      </c>
      <c r="G497" s="82" t="s">
        <v>522</v>
      </c>
    </row>
    <row r="498" spans="5:7" s="82" customFormat="1" ht="25.5" hidden="1" customHeight="1" x14ac:dyDescent="0.25">
      <c r="E498" s="82" t="s">
        <v>117</v>
      </c>
      <c r="F498" s="82" t="s">
        <v>147</v>
      </c>
      <c r="G498" s="82" t="s">
        <v>523</v>
      </c>
    </row>
    <row r="499" spans="5:7" s="82" customFormat="1" ht="25.5" hidden="1" customHeight="1" x14ac:dyDescent="0.25">
      <c r="E499" s="82" t="s">
        <v>123</v>
      </c>
      <c r="F499" s="82" t="s">
        <v>124</v>
      </c>
      <c r="G499" s="82" t="s">
        <v>568</v>
      </c>
    </row>
    <row r="500" spans="5:7" s="82" customFormat="1" ht="25.5" hidden="1" customHeight="1" x14ac:dyDescent="0.25">
      <c r="E500" s="82" t="s">
        <v>123</v>
      </c>
      <c r="F500" s="82" t="s">
        <v>239</v>
      </c>
      <c r="G500" s="82" t="s">
        <v>667</v>
      </c>
    </row>
    <row r="501" spans="5:7" s="82" customFormat="1" ht="25.5" hidden="1" customHeight="1" x14ac:dyDescent="0.25">
      <c r="E501" s="82" t="s">
        <v>123</v>
      </c>
      <c r="F501" s="82" t="s">
        <v>240</v>
      </c>
      <c r="G501" s="82" t="s">
        <v>639</v>
      </c>
    </row>
    <row r="502" spans="5:7" s="82" customFormat="1" ht="25.5" hidden="1" customHeight="1" x14ac:dyDescent="0.25">
      <c r="E502" s="82" t="s">
        <v>123</v>
      </c>
      <c r="F502" s="82" t="s">
        <v>240</v>
      </c>
      <c r="G502" s="82" t="s">
        <v>715</v>
      </c>
    </row>
    <row r="503" spans="5:7" s="82" customFormat="1" ht="25.5" hidden="1" customHeight="1" x14ac:dyDescent="0.25">
      <c r="E503" s="82" t="s">
        <v>123</v>
      </c>
      <c r="F503" s="82" t="s">
        <v>124</v>
      </c>
      <c r="G503" s="82" t="s">
        <v>327</v>
      </c>
    </row>
    <row r="504" spans="5:7" s="82" customFormat="1" ht="25.5" hidden="1" customHeight="1" x14ac:dyDescent="0.25">
      <c r="E504" s="82" t="s">
        <v>123</v>
      </c>
      <c r="F504" s="82" t="s">
        <v>124</v>
      </c>
      <c r="G504" s="82" t="s">
        <v>842</v>
      </c>
    </row>
    <row r="505" spans="5:7" s="82" customFormat="1" ht="25.5" hidden="1" customHeight="1" x14ac:dyDescent="0.25">
      <c r="E505" s="82" t="s">
        <v>123</v>
      </c>
      <c r="F505" s="82" t="s">
        <v>124</v>
      </c>
      <c r="G505" s="82" t="s">
        <v>771</v>
      </c>
    </row>
    <row r="506" spans="5:7" s="82" customFormat="1" ht="25.5" hidden="1" customHeight="1" x14ac:dyDescent="0.25">
      <c r="E506" s="82" t="s">
        <v>123</v>
      </c>
      <c r="F506" s="82" t="s">
        <v>124</v>
      </c>
      <c r="G506" s="82" t="s">
        <v>772</v>
      </c>
    </row>
    <row r="507" spans="5:7" s="82" customFormat="1" ht="25.5" hidden="1" customHeight="1" x14ac:dyDescent="0.25">
      <c r="E507" s="82" t="s">
        <v>123</v>
      </c>
      <c r="F507" s="82" t="s">
        <v>124</v>
      </c>
      <c r="G507" s="82" t="s">
        <v>773</v>
      </c>
    </row>
    <row r="508" spans="5:7" s="82" customFormat="1" ht="25.5" hidden="1" customHeight="1" x14ac:dyDescent="0.25">
      <c r="E508" s="82" t="s">
        <v>123</v>
      </c>
      <c r="F508" s="82" t="s">
        <v>124</v>
      </c>
      <c r="G508" s="82" t="s">
        <v>774</v>
      </c>
    </row>
    <row r="509" spans="5:7" s="82" customFormat="1" ht="25.5" hidden="1" customHeight="1" x14ac:dyDescent="0.25">
      <c r="E509" s="82" t="s">
        <v>123</v>
      </c>
      <c r="F509" s="82" t="s">
        <v>124</v>
      </c>
      <c r="G509" s="82" t="s">
        <v>775</v>
      </c>
    </row>
    <row r="510" spans="5:7" s="82" customFormat="1" ht="25.5" hidden="1" customHeight="1" x14ac:dyDescent="0.25">
      <c r="E510" s="82" t="s">
        <v>123</v>
      </c>
      <c r="F510" s="82" t="s">
        <v>124</v>
      </c>
      <c r="G510" s="82" t="s">
        <v>466</v>
      </c>
    </row>
    <row r="511" spans="5:7" s="82" customFormat="1" ht="25.5" hidden="1" customHeight="1" x14ac:dyDescent="0.25">
      <c r="E511" s="82" t="s">
        <v>123</v>
      </c>
      <c r="F511" s="82" t="s">
        <v>124</v>
      </c>
      <c r="G511" s="82" t="s">
        <v>467</v>
      </c>
    </row>
    <row r="512" spans="5:7" s="82" customFormat="1" ht="25.5" hidden="1" customHeight="1" x14ac:dyDescent="0.25">
      <c r="E512" s="82" t="s">
        <v>123</v>
      </c>
      <c r="F512" s="82" t="s">
        <v>124</v>
      </c>
      <c r="G512" s="82" t="s">
        <v>468</v>
      </c>
    </row>
    <row r="513" spans="5:7" s="82" customFormat="1" ht="25.5" hidden="1" customHeight="1" x14ac:dyDescent="0.25">
      <c r="E513" s="82" t="s">
        <v>123</v>
      </c>
      <c r="F513" s="82" t="s">
        <v>124</v>
      </c>
      <c r="G513" s="82" t="s">
        <v>469</v>
      </c>
    </row>
    <row r="514" spans="5:7" s="82" customFormat="1" ht="25.5" hidden="1" customHeight="1" x14ac:dyDescent="0.25">
      <c r="E514" s="82" t="s">
        <v>123</v>
      </c>
      <c r="F514" s="82" t="s">
        <v>154</v>
      </c>
      <c r="G514" s="82" t="s">
        <v>640</v>
      </c>
    </row>
    <row r="515" spans="5:7" s="82" customFormat="1" ht="25.5" hidden="1" customHeight="1" x14ac:dyDescent="0.25">
      <c r="E515" s="82" t="s">
        <v>123</v>
      </c>
      <c r="F515" s="82" t="s">
        <v>154</v>
      </c>
      <c r="G515" s="82" t="s">
        <v>569</v>
      </c>
    </row>
    <row r="516" spans="5:7" s="82" customFormat="1" ht="25.5" hidden="1" customHeight="1" x14ac:dyDescent="0.25">
      <c r="E516" s="82" t="s">
        <v>123</v>
      </c>
      <c r="F516" s="82" t="s">
        <v>154</v>
      </c>
      <c r="G516" s="82" t="s">
        <v>780</v>
      </c>
    </row>
    <row r="517" spans="5:7" s="82" customFormat="1" ht="25.5" hidden="1" customHeight="1" x14ac:dyDescent="0.25">
      <c r="E517" s="82" t="s">
        <v>123</v>
      </c>
      <c r="F517" s="82" t="s">
        <v>154</v>
      </c>
      <c r="G517" s="82" t="s">
        <v>730</v>
      </c>
    </row>
    <row r="518" spans="5:7" s="82" customFormat="1" ht="25.5" hidden="1" customHeight="1" x14ac:dyDescent="0.25">
      <c r="E518" s="82" t="s">
        <v>123</v>
      </c>
      <c r="F518" s="82" t="s">
        <v>154</v>
      </c>
      <c r="G518" s="87" t="s">
        <v>326</v>
      </c>
    </row>
    <row r="519" spans="5:7" s="82" customFormat="1" ht="25.5" hidden="1" customHeight="1" x14ac:dyDescent="0.25">
      <c r="E519" s="82" t="s">
        <v>123</v>
      </c>
      <c r="F519" s="82" t="s">
        <v>154</v>
      </c>
      <c r="G519" s="82" t="s">
        <v>608</v>
      </c>
    </row>
    <row r="520" spans="5:7" s="82" customFormat="1" ht="25.5" hidden="1" customHeight="1" x14ac:dyDescent="0.25"/>
    <row r="521" spans="5:7" s="82" customFormat="1" ht="25.5" hidden="1" customHeight="1" x14ac:dyDescent="0.25">
      <c r="E521" s="82" t="s">
        <v>123</v>
      </c>
      <c r="F521" s="82" t="s">
        <v>241</v>
      </c>
      <c r="G521" s="82" t="s">
        <v>242</v>
      </c>
    </row>
    <row r="522" spans="5:7" s="82" customFormat="1" ht="25.5" hidden="1" customHeight="1" x14ac:dyDescent="0.25">
      <c r="E522" s="82" t="s">
        <v>123</v>
      </c>
      <c r="F522" s="82" t="s">
        <v>241</v>
      </c>
      <c r="G522" s="82" t="s">
        <v>716</v>
      </c>
    </row>
    <row r="523" spans="5:7" s="82" customFormat="1" ht="25.5" hidden="1" customHeight="1" x14ac:dyDescent="0.25">
      <c r="E523" s="82" t="s">
        <v>123</v>
      </c>
      <c r="F523" s="82" t="s">
        <v>241</v>
      </c>
      <c r="G523" s="82" t="s">
        <v>570</v>
      </c>
    </row>
    <row r="524" spans="5:7" s="82" customFormat="1" ht="25.5" hidden="1" customHeight="1" x14ac:dyDescent="0.25">
      <c r="E524" s="82" t="s">
        <v>123</v>
      </c>
      <c r="F524" s="82" t="s">
        <v>241</v>
      </c>
      <c r="G524" s="82" t="s">
        <v>427</v>
      </c>
    </row>
    <row r="525" spans="5:7" s="82" customFormat="1" ht="25.5" hidden="1" customHeight="1" x14ac:dyDescent="0.25"/>
    <row r="526" spans="5:7" s="82" customFormat="1" ht="25.5" hidden="1" customHeight="1" x14ac:dyDescent="0.25"/>
    <row r="527" spans="5:7" s="82" customFormat="1" ht="25.5" hidden="1" customHeight="1" x14ac:dyDescent="0.25">
      <c r="E527" s="82" t="s">
        <v>123</v>
      </c>
      <c r="F527" s="82" t="s">
        <v>153</v>
      </c>
      <c r="G527" s="82" t="s">
        <v>243</v>
      </c>
    </row>
    <row r="528" spans="5:7" s="82" customFormat="1" ht="25.5" hidden="1" customHeight="1" x14ac:dyDescent="0.25">
      <c r="E528" s="82" t="s">
        <v>123</v>
      </c>
      <c r="F528" s="82" t="s">
        <v>153</v>
      </c>
      <c r="G528" s="82" t="s">
        <v>571</v>
      </c>
    </row>
    <row r="529" spans="5:7" s="82" customFormat="1" ht="25.5" hidden="1" customHeight="1" x14ac:dyDescent="0.25">
      <c r="E529" s="82" t="s">
        <v>123</v>
      </c>
      <c r="F529" s="82" t="s">
        <v>153</v>
      </c>
      <c r="G529" s="82" t="s">
        <v>783</v>
      </c>
    </row>
    <row r="530" spans="5:7" s="82" customFormat="1" ht="25.5" hidden="1" customHeight="1" x14ac:dyDescent="0.25">
      <c r="E530" s="82" t="s">
        <v>123</v>
      </c>
      <c r="F530" s="82" t="s">
        <v>153</v>
      </c>
      <c r="G530" s="82" t="s">
        <v>713</v>
      </c>
    </row>
    <row r="531" spans="5:7" s="82" customFormat="1" ht="25.5" hidden="1" customHeight="1" x14ac:dyDescent="0.25">
      <c r="E531" s="82" t="s">
        <v>123</v>
      </c>
      <c r="F531" s="82" t="s">
        <v>153</v>
      </c>
      <c r="G531" s="82" t="s">
        <v>393</v>
      </c>
    </row>
    <row r="532" spans="5:7" s="82" customFormat="1" ht="25.5" hidden="1" customHeight="1" x14ac:dyDescent="0.25">
      <c r="E532" s="82" t="s">
        <v>123</v>
      </c>
      <c r="F532" s="82" t="s">
        <v>153</v>
      </c>
      <c r="G532" s="82" t="s">
        <v>428</v>
      </c>
    </row>
    <row r="533" spans="5:7" s="82" customFormat="1" ht="25.5" hidden="1" customHeight="1" x14ac:dyDescent="0.25">
      <c r="E533" s="82" t="s">
        <v>123</v>
      </c>
      <c r="F533" s="82" t="s">
        <v>153</v>
      </c>
      <c r="G533" s="82" t="s">
        <v>501</v>
      </c>
    </row>
    <row r="534" spans="5:7" s="82" customFormat="1" ht="25.5" hidden="1" customHeight="1" x14ac:dyDescent="0.25">
      <c r="E534" s="82" t="s">
        <v>123</v>
      </c>
      <c r="F534" s="82" t="s">
        <v>125</v>
      </c>
      <c r="G534" s="82" t="s">
        <v>572</v>
      </c>
    </row>
    <row r="535" spans="5:7" s="82" customFormat="1" ht="25.5" hidden="1" customHeight="1" x14ac:dyDescent="0.25">
      <c r="E535" s="82" t="s">
        <v>123</v>
      </c>
      <c r="F535" s="82" t="s">
        <v>125</v>
      </c>
      <c r="G535" s="82" t="s">
        <v>795</v>
      </c>
    </row>
    <row r="536" spans="5:7" s="82" customFormat="1" ht="25.5" hidden="1" customHeight="1" x14ac:dyDescent="0.25">
      <c r="E536" s="82" t="s">
        <v>123</v>
      </c>
      <c r="F536" s="82" t="s">
        <v>244</v>
      </c>
      <c r="G536" s="82" t="s">
        <v>641</v>
      </c>
    </row>
    <row r="537" spans="5:7" s="82" customFormat="1" ht="25.5" hidden="1" customHeight="1" x14ac:dyDescent="0.25">
      <c r="E537" s="82" t="s">
        <v>123</v>
      </c>
      <c r="F537" s="82" t="s">
        <v>244</v>
      </c>
      <c r="G537" s="82" t="s">
        <v>770</v>
      </c>
    </row>
    <row r="538" spans="5:7" s="82" customFormat="1" ht="25.5" hidden="1" customHeight="1" x14ac:dyDescent="0.25">
      <c r="E538" s="82" t="s">
        <v>123</v>
      </c>
      <c r="F538" s="82" t="s">
        <v>244</v>
      </c>
      <c r="G538" s="82" t="s">
        <v>729</v>
      </c>
    </row>
    <row r="539" spans="5:7" s="82" customFormat="1" ht="25.5" hidden="1" customHeight="1" x14ac:dyDescent="0.25">
      <c r="E539" s="82" t="s">
        <v>123</v>
      </c>
      <c r="F539" s="82" t="s">
        <v>125</v>
      </c>
      <c r="G539" s="82" t="s">
        <v>320</v>
      </c>
    </row>
    <row r="540" spans="5:7" s="82" customFormat="1" ht="25.5" hidden="1" customHeight="1" x14ac:dyDescent="0.25">
      <c r="E540" s="82" t="s">
        <v>123</v>
      </c>
      <c r="F540" s="82" t="s">
        <v>125</v>
      </c>
      <c r="G540" s="82" t="s">
        <v>506</v>
      </c>
    </row>
    <row r="541" spans="5:7" s="82" customFormat="1" ht="25.5" hidden="1" customHeight="1" x14ac:dyDescent="0.25">
      <c r="E541" s="82" t="s">
        <v>123</v>
      </c>
      <c r="F541" s="82" t="s">
        <v>125</v>
      </c>
      <c r="G541" s="82" t="s">
        <v>705</v>
      </c>
    </row>
    <row r="542" spans="5:7" s="82" customFormat="1" ht="25.5" hidden="1" customHeight="1" x14ac:dyDescent="0.25">
      <c r="E542" s="82" t="s">
        <v>123</v>
      </c>
      <c r="F542" s="82" t="s">
        <v>125</v>
      </c>
      <c r="G542" s="82" t="s">
        <v>507</v>
      </c>
    </row>
    <row r="543" spans="5:7" s="82" customFormat="1" ht="25.5" hidden="1" customHeight="1" x14ac:dyDescent="0.25">
      <c r="E543" s="82" t="s">
        <v>123</v>
      </c>
      <c r="F543" s="82" t="s">
        <v>127</v>
      </c>
      <c r="G543" s="82" t="s">
        <v>573</v>
      </c>
    </row>
    <row r="544" spans="5:7" s="82" customFormat="1" ht="25.5" hidden="1" customHeight="1" x14ac:dyDescent="0.25">
      <c r="E544" s="82" t="s">
        <v>123</v>
      </c>
      <c r="F544" s="82" t="s">
        <v>127</v>
      </c>
      <c r="G544" s="82" t="s">
        <v>791</v>
      </c>
    </row>
    <row r="545" spans="5:7" s="82" customFormat="1" ht="25.5" hidden="1" customHeight="1" x14ac:dyDescent="0.25">
      <c r="E545" s="82" t="s">
        <v>123</v>
      </c>
      <c r="F545" s="82" t="s">
        <v>127</v>
      </c>
      <c r="G545" s="82" t="s">
        <v>792</v>
      </c>
    </row>
    <row r="546" spans="5:7" s="82" customFormat="1" ht="25.5" hidden="1" customHeight="1" x14ac:dyDescent="0.25">
      <c r="E546" s="82" t="s">
        <v>123</v>
      </c>
      <c r="F546" s="82" t="s">
        <v>127</v>
      </c>
      <c r="G546" s="82" t="s">
        <v>793</v>
      </c>
    </row>
    <row r="547" spans="5:7" s="82" customFormat="1" ht="25.5" hidden="1" customHeight="1" x14ac:dyDescent="0.25">
      <c r="E547" s="82" t="s">
        <v>123</v>
      </c>
      <c r="F547" s="82" t="s">
        <v>127</v>
      </c>
      <c r="G547" s="82" t="s">
        <v>345</v>
      </c>
    </row>
    <row r="548" spans="5:7" s="82" customFormat="1" ht="25.5" hidden="1" customHeight="1" x14ac:dyDescent="0.25">
      <c r="E548" s="82" t="s">
        <v>123</v>
      </c>
      <c r="F548" s="82" t="s">
        <v>127</v>
      </c>
      <c r="G548" s="82" t="s">
        <v>728</v>
      </c>
    </row>
    <row r="549" spans="5:7" s="82" customFormat="1" ht="25.5" hidden="1" customHeight="1" x14ac:dyDescent="0.25">
      <c r="E549" s="82" t="s">
        <v>123</v>
      </c>
      <c r="F549" s="82" t="s">
        <v>245</v>
      </c>
      <c r="G549" s="82" t="s">
        <v>126</v>
      </c>
    </row>
    <row r="550" spans="5:7" s="82" customFormat="1" ht="25.5" hidden="1" customHeight="1" x14ac:dyDescent="0.25">
      <c r="E550" s="82" t="s">
        <v>123</v>
      </c>
      <c r="F550" s="82" t="s">
        <v>245</v>
      </c>
      <c r="G550" s="82" t="s">
        <v>429</v>
      </c>
    </row>
    <row r="551" spans="5:7" s="82" customFormat="1" ht="25.5" hidden="1" customHeight="1" x14ac:dyDescent="0.25">
      <c r="E551" s="82" t="s">
        <v>123</v>
      </c>
      <c r="F551" s="82" t="s">
        <v>245</v>
      </c>
      <c r="G551" s="82" t="s">
        <v>512</v>
      </c>
    </row>
    <row r="552" spans="5:7" s="82" customFormat="1" ht="25.5" hidden="1" customHeight="1" x14ac:dyDescent="0.25">
      <c r="E552" s="82" t="s">
        <v>123</v>
      </c>
      <c r="F552" s="82" t="s">
        <v>245</v>
      </c>
      <c r="G552" s="82" t="s">
        <v>513</v>
      </c>
    </row>
    <row r="553" spans="5:7" s="82" customFormat="1" ht="25.5" hidden="1" customHeight="1" x14ac:dyDescent="0.25">
      <c r="E553" s="82" t="s">
        <v>123</v>
      </c>
      <c r="F553" s="82" t="s">
        <v>123</v>
      </c>
      <c r="G553" s="82" t="s">
        <v>246</v>
      </c>
    </row>
    <row r="554" spans="5:7" s="82" customFormat="1" ht="25.5" hidden="1" customHeight="1" x14ac:dyDescent="0.25">
      <c r="E554" s="82" t="s">
        <v>123</v>
      </c>
      <c r="F554" s="82" t="s">
        <v>123</v>
      </c>
      <c r="G554" s="82" t="s">
        <v>668</v>
      </c>
    </row>
    <row r="555" spans="5:7" s="82" customFormat="1" ht="25.5" hidden="1" customHeight="1" x14ac:dyDescent="0.25">
      <c r="E555" s="82" t="s">
        <v>123</v>
      </c>
      <c r="F555" s="82" t="s">
        <v>247</v>
      </c>
      <c r="G555" s="82" t="s">
        <v>248</v>
      </c>
    </row>
    <row r="556" spans="5:7" s="82" customFormat="1" ht="25.5" hidden="1" customHeight="1" x14ac:dyDescent="0.25">
      <c r="E556" s="82" t="s">
        <v>123</v>
      </c>
      <c r="F556" s="82" t="s">
        <v>247</v>
      </c>
      <c r="G556" s="82" t="s">
        <v>721</v>
      </c>
    </row>
    <row r="557" spans="5:7" s="82" customFormat="1" ht="25.5" hidden="1" customHeight="1" x14ac:dyDescent="0.25">
      <c r="E557" s="82" t="s">
        <v>123</v>
      </c>
      <c r="F557" s="82" t="s">
        <v>247</v>
      </c>
      <c r="G557" s="82" t="s">
        <v>786</v>
      </c>
    </row>
    <row r="558" spans="5:7" s="82" customFormat="1" ht="25.5" hidden="1" customHeight="1" x14ac:dyDescent="0.25">
      <c r="E558" s="82" t="s">
        <v>123</v>
      </c>
      <c r="F558" s="82" t="s">
        <v>247</v>
      </c>
      <c r="G558" s="82" t="s">
        <v>805</v>
      </c>
    </row>
    <row r="559" spans="5:7" s="82" customFormat="1" ht="25.5" hidden="1" customHeight="1" x14ac:dyDescent="0.25">
      <c r="E559" s="82" t="s">
        <v>123</v>
      </c>
      <c r="F559" s="82" t="s">
        <v>247</v>
      </c>
      <c r="G559" s="82" t="s">
        <v>708</v>
      </c>
    </row>
    <row r="560" spans="5:7" s="82" customFormat="1" ht="25.5" hidden="1" customHeight="1" x14ac:dyDescent="0.25">
      <c r="E560" s="82" t="s">
        <v>123</v>
      </c>
      <c r="F560" s="82" t="s">
        <v>247</v>
      </c>
      <c r="G560" s="82" t="s">
        <v>426</v>
      </c>
    </row>
    <row r="561" spans="5:7" s="82" customFormat="1" ht="25.5" hidden="1" customHeight="1" x14ac:dyDescent="0.25">
      <c r="E561" s="82" t="s">
        <v>123</v>
      </c>
      <c r="F561" s="82" t="s">
        <v>247</v>
      </c>
      <c r="G561" s="82" t="s">
        <v>515</v>
      </c>
    </row>
    <row r="562" spans="5:7" s="82" customFormat="1" ht="25.5" hidden="1" customHeight="1" x14ac:dyDescent="0.25">
      <c r="E562" s="82" t="s">
        <v>123</v>
      </c>
      <c r="F562" s="82" t="s">
        <v>247</v>
      </c>
      <c r="G562" s="82" t="s">
        <v>516</v>
      </c>
    </row>
    <row r="563" spans="5:7" s="82" customFormat="1" ht="25.5" hidden="1" customHeight="1" x14ac:dyDescent="0.25">
      <c r="E563" s="82" t="s">
        <v>123</v>
      </c>
      <c r="F563" s="82" t="s">
        <v>247</v>
      </c>
      <c r="G563" s="82" t="s">
        <v>517</v>
      </c>
    </row>
    <row r="564" spans="5:7" s="82" customFormat="1" ht="25.5" hidden="1" customHeight="1" x14ac:dyDescent="0.25">
      <c r="E564" s="82" t="s">
        <v>123</v>
      </c>
      <c r="F564" s="82" t="s">
        <v>128</v>
      </c>
      <c r="G564" s="82" t="s">
        <v>642</v>
      </c>
    </row>
    <row r="565" spans="5:7" s="82" customFormat="1" ht="25.5" hidden="1" customHeight="1" x14ac:dyDescent="0.25">
      <c r="E565" s="82" t="s">
        <v>123</v>
      </c>
      <c r="F565" s="82" t="s">
        <v>128</v>
      </c>
      <c r="G565" s="82" t="s">
        <v>727</v>
      </c>
    </row>
    <row r="566" spans="5:7" s="82" customFormat="1" ht="25.5" hidden="1" customHeight="1" x14ac:dyDescent="0.25">
      <c r="E566" s="82" t="s">
        <v>123</v>
      </c>
      <c r="F566" s="82" t="s">
        <v>128</v>
      </c>
      <c r="G566" s="82" t="s">
        <v>574</v>
      </c>
    </row>
    <row r="567" spans="5:7" s="82" customFormat="1" ht="25.5" hidden="1" customHeight="1" x14ac:dyDescent="0.25">
      <c r="E567" s="82" t="s">
        <v>123</v>
      </c>
      <c r="F567" s="82" t="s">
        <v>128</v>
      </c>
      <c r="G567" s="82" t="s">
        <v>776</v>
      </c>
    </row>
    <row r="568" spans="5:7" s="82" customFormat="1" ht="25.5" hidden="1" customHeight="1" x14ac:dyDescent="0.25">
      <c r="E568" s="82" t="s">
        <v>123</v>
      </c>
      <c r="F568" s="82" t="s">
        <v>249</v>
      </c>
      <c r="G568" s="82" t="s">
        <v>328</v>
      </c>
    </row>
    <row r="569" spans="5:7" s="82" customFormat="1" ht="25.5" hidden="1" customHeight="1" x14ac:dyDescent="0.25">
      <c r="E569" s="82" t="s">
        <v>123</v>
      </c>
      <c r="F569" s="82" t="s">
        <v>249</v>
      </c>
      <c r="G569" s="82" t="s">
        <v>781</v>
      </c>
    </row>
    <row r="570" spans="5:7" s="82" customFormat="1" ht="25.5" hidden="1" customHeight="1" x14ac:dyDescent="0.25">
      <c r="E570" s="82" t="s">
        <v>123</v>
      </c>
      <c r="F570" s="82" t="s">
        <v>249</v>
      </c>
      <c r="G570" s="82" t="s">
        <v>524</v>
      </c>
    </row>
    <row r="571" spans="5:7" s="82" customFormat="1" ht="25.5" hidden="1" customHeight="1" x14ac:dyDescent="0.25">
      <c r="E571" s="82" t="s">
        <v>123</v>
      </c>
      <c r="F571" s="82" t="s">
        <v>249</v>
      </c>
      <c r="G571" s="82" t="s">
        <v>748</v>
      </c>
    </row>
    <row r="572" spans="5:7" s="82" customFormat="1" ht="25.5" hidden="1" customHeight="1" x14ac:dyDescent="0.25">
      <c r="E572" s="82" t="s">
        <v>123</v>
      </c>
      <c r="F572" s="82" t="s">
        <v>249</v>
      </c>
      <c r="G572" s="82" t="s">
        <v>525</v>
      </c>
    </row>
    <row r="573" spans="5:7" s="82" customFormat="1" ht="25.5" hidden="1" customHeight="1" x14ac:dyDescent="0.25"/>
    <row r="574" spans="5:7" s="82" customFormat="1" ht="25.5" hidden="1" customHeight="1" x14ac:dyDescent="0.25">
      <c r="E574" s="82" t="s">
        <v>129</v>
      </c>
      <c r="F574" s="82" t="s">
        <v>155</v>
      </c>
      <c r="G574" s="82" t="s">
        <v>643</v>
      </c>
    </row>
    <row r="575" spans="5:7" s="82" customFormat="1" ht="25.5" hidden="1" customHeight="1" x14ac:dyDescent="0.25">
      <c r="E575" s="82" t="s">
        <v>129</v>
      </c>
      <c r="F575" s="82" t="s">
        <v>155</v>
      </c>
      <c r="G575" s="82" t="s">
        <v>669</v>
      </c>
    </row>
    <row r="576" spans="5:7" s="82" customFormat="1" ht="25.5" hidden="1" customHeight="1" x14ac:dyDescent="0.25">
      <c r="E576" s="82" t="s">
        <v>129</v>
      </c>
      <c r="F576" s="82" t="s">
        <v>155</v>
      </c>
      <c r="G576" s="82" t="s">
        <v>782</v>
      </c>
    </row>
    <row r="577" spans="5:7" s="82" customFormat="1" ht="25.5" hidden="1" customHeight="1" x14ac:dyDescent="0.25">
      <c r="E577" s="82" t="s">
        <v>129</v>
      </c>
      <c r="F577" s="82" t="s">
        <v>155</v>
      </c>
      <c r="G577" s="82" t="s">
        <v>575</v>
      </c>
    </row>
    <row r="578" spans="5:7" s="82" customFormat="1" ht="25.5" hidden="1" customHeight="1" x14ac:dyDescent="0.25">
      <c r="E578" s="82" t="s">
        <v>129</v>
      </c>
      <c r="F578" s="82" t="s">
        <v>155</v>
      </c>
      <c r="G578" s="82" t="s">
        <v>789</v>
      </c>
    </row>
    <row r="579" spans="5:7" s="82" customFormat="1" ht="25.5" hidden="1" customHeight="1" x14ac:dyDescent="0.25">
      <c r="E579" s="82" t="s">
        <v>129</v>
      </c>
      <c r="F579" s="82" t="s">
        <v>155</v>
      </c>
      <c r="G579" s="82" t="s">
        <v>312</v>
      </c>
    </row>
    <row r="580" spans="5:7" s="82" customFormat="1" ht="25.5" hidden="1" customHeight="1" x14ac:dyDescent="0.25">
      <c r="E580" s="82" t="s">
        <v>129</v>
      </c>
      <c r="F580" s="82" t="s">
        <v>155</v>
      </c>
      <c r="G580" s="82" t="s">
        <v>361</v>
      </c>
    </row>
    <row r="581" spans="5:7" s="82" customFormat="1" ht="25.5" hidden="1" customHeight="1" x14ac:dyDescent="0.25">
      <c r="E581" s="82" t="s">
        <v>129</v>
      </c>
      <c r="F581" s="82" t="s">
        <v>155</v>
      </c>
      <c r="G581" s="82" t="s">
        <v>723</v>
      </c>
    </row>
    <row r="582" spans="5:7" s="82" customFormat="1" ht="25.5" hidden="1" customHeight="1" x14ac:dyDescent="0.25">
      <c r="E582" s="82" t="s">
        <v>129</v>
      </c>
      <c r="F582" s="82" t="s">
        <v>155</v>
      </c>
      <c r="G582" s="82" t="s">
        <v>397</v>
      </c>
    </row>
    <row r="583" spans="5:7" s="82" customFormat="1" ht="25.5" hidden="1" customHeight="1" x14ac:dyDescent="0.25">
      <c r="E583" s="82" t="s">
        <v>129</v>
      </c>
      <c r="F583" s="82" t="s">
        <v>155</v>
      </c>
      <c r="G583" s="82" t="s">
        <v>398</v>
      </c>
    </row>
    <row r="584" spans="5:7" s="82" customFormat="1" ht="25.5" hidden="1" customHeight="1" x14ac:dyDescent="0.25">
      <c r="E584" s="82" t="s">
        <v>129</v>
      </c>
      <c r="F584" s="82" t="s">
        <v>155</v>
      </c>
      <c r="G584" s="82" t="s">
        <v>430</v>
      </c>
    </row>
    <row r="585" spans="5:7" s="82" customFormat="1" ht="25.5" hidden="1" customHeight="1" x14ac:dyDescent="0.25">
      <c r="E585" s="82" t="s">
        <v>129</v>
      </c>
      <c r="F585" s="82" t="s">
        <v>155</v>
      </c>
      <c r="G585" s="82" t="s">
        <v>471</v>
      </c>
    </row>
    <row r="586" spans="5:7" s="82" customFormat="1" ht="25.5" hidden="1" customHeight="1" x14ac:dyDescent="0.25">
      <c r="E586" s="82" t="s">
        <v>129</v>
      </c>
      <c r="F586" s="82" t="s">
        <v>130</v>
      </c>
      <c r="G586" s="82" t="s">
        <v>576</v>
      </c>
    </row>
    <row r="587" spans="5:7" s="82" customFormat="1" ht="25.5" hidden="1" customHeight="1" x14ac:dyDescent="0.25">
      <c r="E587" s="82" t="s">
        <v>129</v>
      </c>
      <c r="F587" s="82" t="s">
        <v>341</v>
      </c>
      <c r="G587" s="82" t="s">
        <v>342</v>
      </c>
    </row>
    <row r="588" spans="5:7" s="82" customFormat="1" ht="25.5" hidden="1" customHeight="1" x14ac:dyDescent="0.25">
      <c r="E588" s="82" t="s">
        <v>129</v>
      </c>
      <c r="F588" s="82" t="s">
        <v>250</v>
      </c>
      <c r="G588" s="82" t="s">
        <v>644</v>
      </c>
    </row>
    <row r="589" spans="5:7" s="82" customFormat="1" ht="25.5" hidden="1" customHeight="1" x14ac:dyDescent="0.25">
      <c r="E589" s="82" t="s">
        <v>129</v>
      </c>
      <c r="F589" s="82" t="s">
        <v>250</v>
      </c>
      <c r="G589" s="82" t="s">
        <v>360</v>
      </c>
    </row>
    <row r="590" spans="5:7" s="82" customFormat="1" ht="25.5" hidden="1" customHeight="1" x14ac:dyDescent="0.25">
      <c r="E590" s="82" t="s">
        <v>129</v>
      </c>
      <c r="F590" s="82" t="s">
        <v>250</v>
      </c>
      <c r="G590" s="82" t="s">
        <v>794</v>
      </c>
    </row>
    <row r="591" spans="5:7" s="82" customFormat="1" ht="25.5" hidden="1" customHeight="1" x14ac:dyDescent="0.25">
      <c r="E591" s="82" t="s">
        <v>129</v>
      </c>
      <c r="F591" s="82" t="s">
        <v>250</v>
      </c>
      <c r="G591" s="82" t="s">
        <v>787</v>
      </c>
    </row>
    <row r="592" spans="5:7" s="82" customFormat="1" ht="25.5" hidden="1" customHeight="1" x14ac:dyDescent="0.25">
      <c r="E592" s="82" t="s">
        <v>129</v>
      </c>
      <c r="F592" s="82" t="s">
        <v>250</v>
      </c>
      <c r="G592" s="82" t="s">
        <v>609</v>
      </c>
    </row>
    <row r="593" spans="5:7" s="82" customFormat="1" ht="25.5" hidden="1" customHeight="1" x14ac:dyDescent="0.25">
      <c r="E593" s="82" t="s">
        <v>129</v>
      </c>
      <c r="F593" s="82" t="s">
        <v>250</v>
      </c>
      <c r="G593" s="82" t="s">
        <v>475</v>
      </c>
    </row>
    <row r="594" spans="5:7" s="82" customFormat="1" ht="25.5" hidden="1" customHeight="1" x14ac:dyDescent="0.25">
      <c r="E594" s="82" t="s">
        <v>129</v>
      </c>
      <c r="F594" s="82" t="s">
        <v>250</v>
      </c>
      <c r="G594" s="82" t="s">
        <v>476</v>
      </c>
    </row>
    <row r="595" spans="5:7" s="82" customFormat="1" ht="25.5" hidden="1" customHeight="1" x14ac:dyDescent="0.25">
      <c r="E595" s="82" t="s">
        <v>129</v>
      </c>
      <c r="F595" s="82" t="s">
        <v>131</v>
      </c>
      <c r="G595" s="82" t="s">
        <v>577</v>
      </c>
    </row>
    <row r="596" spans="5:7" s="82" customFormat="1" ht="25.5" hidden="1" customHeight="1" x14ac:dyDescent="0.25">
      <c r="E596" s="82" t="s">
        <v>129</v>
      </c>
      <c r="F596" s="82" t="s">
        <v>251</v>
      </c>
      <c r="G596" s="82" t="s">
        <v>645</v>
      </c>
    </row>
    <row r="597" spans="5:7" s="82" customFormat="1" ht="25.5" hidden="1" customHeight="1" x14ac:dyDescent="0.25">
      <c r="E597" s="82" t="s">
        <v>129</v>
      </c>
      <c r="F597" s="82" t="s">
        <v>251</v>
      </c>
      <c r="G597" s="82" t="s">
        <v>712</v>
      </c>
    </row>
    <row r="598" spans="5:7" s="82" customFormat="1" ht="25.5" hidden="1" customHeight="1" x14ac:dyDescent="0.25">
      <c r="E598" s="82" t="s">
        <v>129</v>
      </c>
      <c r="F598" s="82" t="s">
        <v>251</v>
      </c>
      <c r="G598" s="82" t="s">
        <v>394</v>
      </c>
    </row>
    <row r="599" spans="5:7" s="82" customFormat="1" ht="25.5" hidden="1" customHeight="1" x14ac:dyDescent="0.25">
      <c r="E599" s="82" t="s">
        <v>129</v>
      </c>
      <c r="F599" s="82" t="s">
        <v>251</v>
      </c>
      <c r="G599" s="82" t="s">
        <v>431</v>
      </c>
    </row>
    <row r="600" spans="5:7" s="82" customFormat="1" ht="25.5" hidden="1" customHeight="1" x14ac:dyDescent="0.25">
      <c r="E600" s="82" t="s">
        <v>129</v>
      </c>
      <c r="F600" s="82" t="s">
        <v>251</v>
      </c>
      <c r="G600" s="82" t="s">
        <v>487</v>
      </c>
    </row>
    <row r="601" spans="5:7" s="82" customFormat="1" ht="25.5" hidden="1" customHeight="1" x14ac:dyDescent="0.25">
      <c r="E601" s="82" t="s">
        <v>129</v>
      </c>
      <c r="F601" s="82" t="s">
        <v>156</v>
      </c>
      <c r="G601" s="82" t="s">
        <v>252</v>
      </c>
    </row>
    <row r="602" spans="5:7" s="82" customFormat="1" ht="25.5" hidden="1" customHeight="1" x14ac:dyDescent="0.25">
      <c r="E602" s="82" t="s">
        <v>129</v>
      </c>
      <c r="F602" s="82" t="s">
        <v>156</v>
      </c>
      <c r="G602" s="82" t="s">
        <v>578</v>
      </c>
    </row>
    <row r="603" spans="5:7" s="82" customFormat="1" ht="25.5" hidden="1" customHeight="1" x14ac:dyDescent="0.25">
      <c r="E603" s="82" t="s">
        <v>129</v>
      </c>
      <c r="F603" s="82" t="s">
        <v>156</v>
      </c>
      <c r="G603" s="82" t="s">
        <v>432</v>
      </c>
    </row>
    <row r="604" spans="5:7" s="82" customFormat="1" ht="25.5" hidden="1" customHeight="1" x14ac:dyDescent="0.25">
      <c r="E604" s="82" t="s">
        <v>129</v>
      </c>
      <c r="F604" s="82" t="s">
        <v>156</v>
      </c>
      <c r="G604" s="82" t="s">
        <v>488</v>
      </c>
    </row>
    <row r="605" spans="5:7" s="82" customFormat="1" ht="25.5" hidden="1" customHeight="1" x14ac:dyDescent="0.25"/>
    <row r="606" spans="5:7" s="82" customFormat="1" ht="25.5" hidden="1" customHeight="1" x14ac:dyDescent="0.25">
      <c r="E606" s="82" t="s">
        <v>129</v>
      </c>
      <c r="F606" s="82" t="s">
        <v>157</v>
      </c>
      <c r="G606" s="82" t="s">
        <v>253</v>
      </c>
    </row>
    <row r="607" spans="5:7" s="82" customFormat="1" ht="25.5" hidden="1" customHeight="1" x14ac:dyDescent="0.25">
      <c r="E607" s="82" t="s">
        <v>129</v>
      </c>
      <c r="F607" s="82" t="s">
        <v>157</v>
      </c>
      <c r="G607" s="82" t="s">
        <v>717</v>
      </c>
    </row>
    <row r="608" spans="5:7" s="82" customFormat="1" ht="25.5" hidden="1" customHeight="1" x14ac:dyDescent="0.25">
      <c r="E608" s="82" t="s">
        <v>129</v>
      </c>
      <c r="F608" s="82" t="s">
        <v>157</v>
      </c>
      <c r="G608" s="82" t="s">
        <v>778</v>
      </c>
    </row>
    <row r="609" spans="5:7" s="82" customFormat="1" ht="25.5" hidden="1" customHeight="1" x14ac:dyDescent="0.25">
      <c r="E609" s="82" t="s">
        <v>129</v>
      </c>
      <c r="F609" s="82" t="s">
        <v>157</v>
      </c>
      <c r="G609" s="82" t="s">
        <v>779</v>
      </c>
    </row>
    <row r="610" spans="5:7" s="82" customFormat="1" ht="25.5" hidden="1" customHeight="1" x14ac:dyDescent="0.25">
      <c r="E610" s="82" t="s">
        <v>129</v>
      </c>
      <c r="F610" s="82" t="s">
        <v>157</v>
      </c>
      <c r="G610" s="82" t="s">
        <v>579</v>
      </c>
    </row>
    <row r="611" spans="5:7" s="82" customFormat="1" ht="25.5" hidden="1" customHeight="1" x14ac:dyDescent="0.25">
      <c r="E611" s="82" t="s">
        <v>129</v>
      </c>
      <c r="F611" s="82" t="s">
        <v>157</v>
      </c>
      <c r="G611" s="82" t="s">
        <v>610</v>
      </c>
    </row>
    <row r="612" spans="5:7" s="82" customFormat="1" ht="25.5" hidden="1" customHeight="1" x14ac:dyDescent="0.25">
      <c r="E612" s="82" t="s">
        <v>129</v>
      </c>
      <c r="F612" s="82" t="s">
        <v>157</v>
      </c>
      <c r="G612" s="82" t="s">
        <v>395</v>
      </c>
    </row>
    <row r="613" spans="5:7" s="82" customFormat="1" ht="25.5" hidden="1" customHeight="1" x14ac:dyDescent="0.25">
      <c r="E613" s="82" t="s">
        <v>129</v>
      </c>
      <c r="F613" s="82" t="s">
        <v>157</v>
      </c>
      <c r="G613" s="82" t="s">
        <v>433</v>
      </c>
    </row>
    <row r="614" spans="5:7" s="82" customFormat="1" ht="25.5" hidden="1" customHeight="1" x14ac:dyDescent="0.25">
      <c r="E614" s="82" t="s">
        <v>129</v>
      </c>
      <c r="F614" s="82" t="s">
        <v>158</v>
      </c>
      <c r="G614" s="82" t="s">
        <v>254</v>
      </c>
    </row>
    <row r="615" spans="5:7" s="82" customFormat="1" ht="25.5" hidden="1" customHeight="1" x14ac:dyDescent="0.25">
      <c r="E615" s="82" t="s">
        <v>129</v>
      </c>
      <c r="F615" s="82" t="s">
        <v>158</v>
      </c>
      <c r="G615" s="82" t="s">
        <v>749</v>
      </c>
    </row>
    <row r="616" spans="5:7" s="82" customFormat="1" ht="25.5" hidden="1" customHeight="1" x14ac:dyDescent="0.25">
      <c r="E616" s="82" t="s">
        <v>129</v>
      </c>
      <c r="F616" s="82" t="s">
        <v>158</v>
      </c>
      <c r="G616" s="82" t="s">
        <v>725</v>
      </c>
    </row>
    <row r="617" spans="5:7" s="82" customFormat="1" ht="25.5" hidden="1" customHeight="1" x14ac:dyDescent="0.25">
      <c r="E617" s="82" t="s">
        <v>129</v>
      </c>
      <c r="F617" s="82" t="s">
        <v>158</v>
      </c>
      <c r="G617" s="82" t="s">
        <v>580</v>
      </c>
    </row>
    <row r="618" spans="5:7" s="82" customFormat="1" ht="25.5" hidden="1" customHeight="1" x14ac:dyDescent="0.25">
      <c r="E618" s="82" t="s">
        <v>129</v>
      </c>
      <c r="F618" s="82" t="s">
        <v>158</v>
      </c>
      <c r="G618" s="82" t="s">
        <v>396</v>
      </c>
    </row>
    <row r="619" spans="5:7" s="82" customFormat="1" ht="25.5" hidden="1" customHeight="1" x14ac:dyDescent="0.25"/>
    <row r="620" spans="5:7" s="82" customFormat="1" ht="25.5" hidden="1" customHeight="1" x14ac:dyDescent="0.25">
      <c r="E620" s="82" t="s">
        <v>129</v>
      </c>
      <c r="F620" s="82" t="s">
        <v>255</v>
      </c>
      <c r="G620" s="82" t="s">
        <v>646</v>
      </c>
    </row>
    <row r="621" spans="5:7" s="82" customFormat="1" ht="25.5" hidden="1" customHeight="1" x14ac:dyDescent="0.25">
      <c r="E621" s="82" t="s">
        <v>129</v>
      </c>
      <c r="F621" s="82" t="s">
        <v>129</v>
      </c>
      <c r="G621" s="82" t="s">
        <v>256</v>
      </c>
    </row>
    <row r="622" spans="5:7" s="82" customFormat="1" ht="25.5" hidden="1" customHeight="1" x14ac:dyDescent="0.25">
      <c r="E622" s="82" t="s">
        <v>129</v>
      </c>
      <c r="F622" s="82" t="s">
        <v>129</v>
      </c>
      <c r="G622" s="82" t="s">
        <v>790</v>
      </c>
    </row>
    <row r="623" spans="5:7" s="82" customFormat="1" ht="25.5" hidden="1" customHeight="1" x14ac:dyDescent="0.25">
      <c r="E623" s="82" t="s">
        <v>129</v>
      </c>
      <c r="F623" s="82" t="s">
        <v>129</v>
      </c>
      <c r="G623" s="82" t="s">
        <v>722</v>
      </c>
    </row>
    <row r="624" spans="5:7" s="82" customFormat="1" ht="25.5" hidden="1" customHeight="1" x14ac:dyDescent="0.25">
      <c r="E624" s="82" t="s">
        <v>129</v>
      </c>
      <c r="F624" s="82" t="s">
        <v>129</v>
      </c>
      <c r="G624" s="82" t="s">
        <v>785</v>
      </c>
    </row>
    <row r="625" spans="5:7" s="82" customFormat="1" ht="25.5" hidden="1" customHeight="1" x14ac:dyDescent="0.25">
      <c r="E625" s="82" t="s">
        <v>129</v>
      </c>
      <c r="F625" s="82" t="s">
        <v>129</v>
      </c>
      <c r="G625" s="82" t="s">
        <v>340</v>
      </c>
    </row>
    <row r="626" spans="5:7" s="82" customFormat="1" ht="25.5" hidden="1" customHeight="1" x14ac:dyDescent="0.25">
      <c r="E626" s="82" t="s">
        <v>129</v>
      </c>
      <c r="F626" s="82" t="s">
        <v>129</v>
      </c>
      <c r="G626" s="82" t="s">
        <v>611</v>
      </c>
    </row>
    <row r="627" spans="5:7" s="82" customFormat="1" ht="25.5" hidden="1" customHeight="1" x14ac:dyDescent="0.25">
      <c r="E627" s="82" t="s">
        <v>129</v>
      </c>
      <c r="F627" s="82" t="s">
        <v>129</v>
      </c>
      <c r="G627" s="82" t="s">
        <v>434</v>
      </c>
    </row>
    <row r="628" spans="5:7" s="82" customFormat="1" ht="25.5" hidden="1" customHeight="1" x14ac:dyDescent="0.25">
      <c r="E628" s="82" t="s">
        <v>129</v>
      </c>
      <c r="F628" s="82" t="s">
        <v>129</v>
      </c>
      <c r="G628" s="82" t="s">
        <v>518</v>
      </c>
    </row>
    <row r="629" spans="5:7" s="82" customFormat="1" ht="25.5" hidden="1" customHeight="1" x14ac:dyDescent="0.25">
      <c r="E629" s="82" t="s">
        <v>129</v>
      </c>
      <c r="F629" s="82" t="s">
        <v>159</v>
      </c>
      <c r="G629" s="82" t="s">
        <v>581</v>
      </c>
    </row>
    <row r="630" spans="5:7" s="82" customFormat="1" ht="25.5" hidden="1" customHeight="1" x14ac:dyDescent="0.25">
      <c r="E630" s="82" t="s">
        <v>129</v>
      </c>
      <c r="F630" s="82" t="s">
        <v>159</v>
      </c>
      <c r="G630" s="82" t="s">
        <v>647</v>
      </c>
    </row>
    <row r="631" spans="5:7" s="82" customFormat="1" ht="25.5" hidden="1" customHeight="1" x14ac:dyDescent="0.25">
      <c r="E631" s="82" t="s">
        <v>129</v>
      </c>
      <c r="F631" s="82" t="s">
        <v>159</v>
      </c>
      <c r="G631" s="82" t="s">
        <v>724</v>
      </c>
    </row>
    <row r="632" spans="5:7" s="82" customFormat="1" ht="25.5" hidden="1" customHeight="1" x14ac:dyDescent="0.25">
      <c r="E632" s="82" t="s">
        <v>129</v>
      </c>
      <c r="F632" s="82" t="s">
        <v>159</v>
      </c>
      <c r="G632" s="82" t="s">
        <v>612</v>
      </c>
    </row>
    <row r="633" spans="5:7" s="82" customFormat="1" ht="25.5" hidden="1" customHeight="1" x14ac:dyDescent="0.25">
      <c r="E633" s="82" t="s">
        <v>129</v>
      </c>
      <c r="F633" s="82" t="s">
        <v>159</v>
      </c>
      <c r="G633" s="82" t="s">
        <v>435</v>
      </c>
    </row>
    <row r="634" spans="5:7" s="82" customFormat="1" ht="25.5" hidden="1" customHeight="1" x14ac:dyDescent="0.25">
      <c r="E634" s="82" t="s">
        <v>129</v>
      </c>
      <c r="F634" s="82" t="s">
        <v>159</v>
      </c>
      <c r="G634" s="82" t="s">
        <v>671</v>
      </c>
    </row>
    <row r="635" spans="5:7" s="82" customFormat="1" ht="25.5" hidden="1" customHeight="1" x14ac:dyDescent="0.25">
      <c r="E635" s="82" t="s">
        <v>132</v>
      </c>
      <c r="F635" s="82" t="s">
        <v>133</v>
      </c>
      <c r="G635" s="82" t="s">
        <v>582</v>
      </c>
    </row>
    <row r="636" spans="5:7" s="82" customFormat="1" ht="25.5" hidden="1" customHeight="1" x14ac:dyDescent="0.25">
      <c r="E636" s="82" t="s">
        <v>132</v>
      </c>
      <c r="F636" s="82" t="s">
        <v>133</v>
      </c>
      <c r="G636" s="82" t="s">
        <v>346</v>
      </c>
    </row>
    <row r="637" spans="5:7" s="82" customFormat="1" ht="25.5" hidden="1" customHeight="1" x14ac:dyDescent="0.25">
      <c r="E637" s="82" t="s">
        <v>132</v>
      </c>
      <c r="F637" s="82" t="s">
        <v>257</v>
      </c>
      <c r="G637" s="82" t="s">
        <v>258</v>
      </c>
    </row>
    <row r="638" spans="5:7" s="82" customFormat="1" ht="25.5" hidden="1" customHeight="1" x14ac:dyDescent="0.25">
      <c r="E638" s="82" t="s">
        <v>132</v>
      </c>
      <c r="F638" s="82" t="s">
        <v>257</v>
      </c>
      <c r="G638" s="82" t="s">
        <v>726</v>
      </c>
    </row>
    <row r="639" spans="5:7" s="82" customFormat="1" ht="25.5" hidden="1" customHeight="1" x14ac:dyDescent="0.25">
      <c r="E639" s="82" t="s">
        <v>132</v>
      </c>
      <c r="F639" s="82" t="s">
        <v>257</v>
      </c>
      <c r="G639" s="82" t="s">
        <v>374</v>
      </c>
    </row>
    <row r="640" spans="5:7" s="82" customFormat="1" ht="25.5" hidden="1" customHeight="1" x14ac:dyDescent="0.25">
      <c r="E640" s="82" t="s">
        <v>132</v>
      </c>
      <c r="F640" s="82" t="s">
        <v>257</v>
      </c>
      <c r="G640" s="82" t="s">
        <v>386</v>
      </c>
    </row>
    <row r="641" spans="5:7" s="82" customFormat="1" ht="25.5" hidden="1" customHeight="1" x14ac:dyDescent="0.25">
      <c r="E641" s="82" t="s">
        <v>132</v>
      </c>
      <c r="F641" s="82" t="s">
        <v>257</v>
      </c>
      <c r="G641" s="82" t="s">
        <v>613</v>
      </c>
    </row>
    <row r="642" spans="5:7" s="82" customFormat="1" ht="25.5" hidden="1" customHeight="1" x14ac:dyDescent="0.25">
      <c r="E642" s="82" t="s">
        <v>132</v>
      </c>
      <c r="F642" s="82" t="s">
        <v>257</v>
      </c>
      <c r="G642" s="82" t="s">
        <v>436</v>
      </c>
    </row>
    <row r="643" spans="5:7" s="82" customFormat="1" ht="25.5" hidden="1" customHeight="1" x14ac:dyDescent="0.25">
      <c r="E643" s="82" t="s">
        <v>132</v>
      </c>
      <c r="F643" s="82" t="s">
        <v>257</v>
      </c>
      <c r="G643" s="82" t="s">
        <v>437</v>
      </c>
    </row>
    <row r="644" spans="5:7" s="82" customFormat="1" ht="25.5" hidden="1" customHeight="1" x14ac:dyDescent="0.25"/>
    <row r="645" spans="5:7" s="82" customFormat="1" ht="25.5" hidden="1" customHeight="1" x14ac:dyDescent="0.25"/>
    <row r="646" spans="5:7" s="82" customFormat="1" ht="25.5" hidden="1" customHeight="1" x14ac:dyDescent="0.25">
      <c r="E646" s="82" t="s">
        <v>132</v>
      </c>
      <c r="F646" s="82" t="s">
        <v>160</v>
      </c>
      <c r="G646" s="82" t="s">
        <v>259</v>
      </c>
    </row>
    <row r="647" spans="5:7" s="82" customFormat="1" ht="25.5" hidden="1" customHeight="1" x14ac:dyDescent="0.25">
      <c r="E647" s="82" t="s">
        <v>132</v>
      </c>
      <c r="F647" s="82" t="s">
        <v>160</v>
      </c>
      <c r="G647" s="82" t="s">
        <v>347</v>
      </c>
    </row>
    <row r="648" spans="5:7" s="82" customFormat="1" ht="25.5" hidden="1" customHeight="1" x14ac:dyDescent="0.25">
      <c r="E648" s="82" t="s">
        <v>132</v>
      </c>
      <c r="F648" s="82" t="s">
        <v>260</v>
      </c>
      <c r="G648" s="82" t="s">
        <v>261</v>
      </c>
    </row>
    <row r="649" spans="5:7" s="82" customFormat="1" ht="25.5" hidden="1" customHeight="1" x14ac:dyDescent="0.25">
      <c r="E649" s="82" t="s">
        <v>132</v>
      </c>
      <c r="F649" s="82" t="s">
        <v>260</v>
      </c>
      <c r="G649" s="82" t="s">
        <v>364</v>
      </c>
    </row>
    <row r="650" spans="5:7" s="82" customFormat="1" ht="25.5" hidden="1" customHeight="1" x14ac:dyDescent="0.25">
      <c r="E650" s="82" t="s">
        <v>132</v>
      </c>
      <c r="F650" s="82" t="s">
        <v>260</v>
      </c>
      <c r="G650" s="82" t="s">
        <v>614</v>
      </c>
    </row>
    <row r="651" spans="5:7" s="82" customFormat="1" ht="25.5" hidden="1" customHeight="1" x14ac:dyDescent="0.25">
      <c r="E651" s="82" t="s">
        <v>132</v>
      </c>
      <c r="F651" s="82" t="s">
        <v>260</v>
      </c>
      <c r="G651" s="82" t="s">
        <v>492</v>
      </c>
    </row>
    <row r="652" spans="5:7" s="82" customFormat="1" ht="25.5" hidden="1" customHeight="1" x14ac:dyDescent="0.25">
      <c r="E652" s="82" t="s">
        <v>132</v>
      </c>
      <c r="F652" s="82" t="s">
        <v>260</v>
      </c>
      <c r="G652" s="82" t="s">
        <v>493</v>
      </c>
    </row>
    <row r="653" spans="5:7" s="82" customFormat="1" ht="25.5" hidden="1" customHeight="1" x14ac:dyDescent="0.25">
      <c r="E653" s="82" t="s">
        <v>132</v>
      </c>
      <c r="F653" s="82" t="s">
        <v>134</v>
      </c>
      <c r="G653" s="82" t="s">
        <v>583</v>
      </c>
    </row>
    <row r="654" spans="5:7" s="82" customFormat="1" ht="25.5" hidden="1" customHeight="1" x14ac:dyDescent="0.25">
      <c r="E654" s="82" t="s">
        <v>132</v>
      </c>
      <c r="F654" s="82" t="s">
        <v>134</v>
      </c>
      <c r="G654" s="82" t="s">
        <v>348</v>
      </c>
    </row>
    <row r="655" spans="5:7" s="82" customFormat="1" ht="25.5" hidden="1" customHeight="1" x14ac:dyDescent="0.25">
      <c r="E655" s="82" t="s">
        <v>132</v>
      </c>
      <c r="F655" s="82" t="s">
        <v>262</v>
      </c>
      <c r="G655" s="82" t="s">
        <v>648</v>
      </c>
    </row>
    <row r="656" spans="5:7" s="82" customFormat="1" ht="25.5" hidden="1" customHeight="1" x14ac:dyDescent="0.25">
      <c r="E656" s="82" t="s">
        <v>132</v>
      </c>
      <c r="F656" s="82" t="s">
        <v>262</v>
      </c>
      <c r="G656" s="82" t="s">
        <v>363</v>
      </c>
    </row>
    <row r="657" spans="5:7" s="82" customFormat="1" ht="25.5" hidden="1" customHeight="1" x14ac:dyDescent="0.25">
      <c r="E657" s="82" t="s">
        <v>132</v>
      </c>
      <c r="F657" s="82" t="s">
        <v>262</v>
      </c>
      <c r="G657" s="82" t="s">
        <v>808</v>
      </c>
    </row>
    <row r="658" spans="5:7" s="82" customFormat="1" ht="25.5" hidden="1" customHeight="1" x14ac:dyDescent="0.25">
      <c r="E658" s="82" t="s">
        <v>132</v>
      </c>
      <c r="F658" s="82" t="s">
        <v>262</v>
      </c>
      <c r="G658" s="82" t="s">
        <v>615</v>
      </c>
    </row>
    <row r="659" spans="5:7" s="82" customFormat="1" ht="25.5" hidden="1" customHeight="1" x14ac:dyDescent="0.25">
      <c r="E659" s="82" t="s">
        <v>132</v>
      </c>
      <c r="F659" s="82" t="s">
        <v>262</v>
      </c>
      <c r="G659" s="82" t="s">
        <v>526</v>
      </c>
    </row>
    <row r="660" spans="5:7" s="82" customFormat="1" ht="25.5" hidden="1" customHeight="1" x14ac:dyDescent="0.25">
      <c r="E660" s="82" t="s">
        <v>132</v>
      </c>
      <c r="F660" s="82" t="s">
        <v>262</v>
      </c>
      <c r="G660" s="82" t="s">
        <v>527</v>
      </c>
    </row>
    <row r="661" spans="5:7" s="82" customFormat="1" ht="25.5" hidden="1" customHeight="1" x14ac:dyDescent="0.25">
      <c r="E661" s="82" t="s">
        <v>132</v>
      </c>
      <c r="F661" s="82" t="s">
        <v>262</v>
      </c>
      <c r="G661" s="82" t="s">
        <v>438</v>
      </c>
    </row>
    <row r="662" spans="5:7" s="82" customFormat="1" ht="25.5" hidden="1" customHeight="1" x14ac:dyDescent="0.25">
      <c r="E662" s="82" t="s">
        <v>132</v>
      </c>
      <c r="F662" s="82" t="s">
        <v>132</v>
      </c>
      <c r="G662" s="82" t="s">
        <v>263</v>
      </c>
    </row>
    <row r="663" spans="5:7" s="82" customFormat="1" ht="25.5" hidden="1" customHeight="1" x14ac:dyDescent="0.25">
      <c r="E663" s="82" t="s">
        <v>132</v>
      </c>
      <c r="F663" s="82" t="s">
        <v>132</v>
      </c>
      <c r="G663" s="82" t="s">
        <v>670</v>
      </c>
    </row>
    <row r="664" spans="5:7" s="82" customFormat="1" ht="25.5" hidden="1" customHeight="1" x14ac:dyDescent="0.25">
      <c r="E664" s="82" t="s">
        <v>132</v>
      </c>
      <c r="F664" s="82" t="s">
        <v>132</v>
      </c>
      <c r="G664" s="82" t="s">
        <v>584</v>
      </c>
    </row>
    <row r="665" spans="5:7" s="82" customFormat="1" ht="25.5" hidden="1" customHeight="1" x14ac:dyDescent="0.25">
      <c r="E665" s="82" t="s">
        <v>132</v>
      </c>
      <c r="F665" s="82" t="s">
        <v>264</v>
      </c>
      <c r="G665" s="82" t="s">
        <v>135</v>
      </c>
    </row>
    <row r="666" spans="5:7" s="82" customFormat="1" ht="25.5" hidden="1" customHeight="1" x14ac:dyDescent="0.25">
      <c r="E666" s="82" t="s">
        <v>132</v>
      </c>
      <c r="F666" s="82" t="s">
        <v>132</v>
      </c>
      <c r="G666" s="82" t="s">
        <v>362</v>
      </c>
    </row>
    <row r="667" spans="5:7" s="82" customFormat="1" ht="25.5" hidden="1" customHeight="1" x14ac:dyDescent="0.25">
      <c r="E667" s="82" t="s">
        <v>132</v>
      </c>
      <c r="F667" s="82" t="s">
        <v>132</v>
      </c>
      <c r="G667" s="82" t="s">
        <v>810</v>
      </c>
    </row>
    <row r="668" spans="5:7" s="82" customFormat="1" ht="25.5" hidden="1" customHeight="1" x14ac:dyDescent="0.25">
      <c r="E668" s="82" t="s">
        <v>132</v>
      </c>
      <c r="F668" s="82" t="s">
        <v>132</v>
      </c>
      <c r="G668" s="82" t="s">
        <v>809</v>
      </c>
    </row>
    <row r="669" spans="5:7" s="82" customFormat="1" ht="25.5" hidden="1" customHeight="1" x14ac:dyDescent="0.3">
      <c r="E669" s="82" t="s">
        <v>132</v>
      </c>
      <c r="F669" s="82" t="s">
        <v>264</v>
      </c>
      <c r="G669" s="83" t="s">
        <v>305</v>
      </c>
    </row>
    <row r="670" spans="5:7" s="82" customFormat="1" ht="25.5" hidden="1" customHeight="1" x14ac:dyDescent="0.25">
      <c r="E670" s="82" t="s">
        <v>132</v>
      </c>
      <c r="F670" s="82" t="s">
        <v>264</v>
      </c>
      <c r="G670" s="82" t="s">
        <v>389</v>
      </c>
    </row>
    <row r="671" spans="5:7" s="82" customFormat="1" ht="25.5" hidden="1" customHeight="1" x14ac:dyDescent="0.25">
      <c r="E671" s="82" t="s">
        <v>132</v>
      </c>
      <c r="F671" s="82" t="s">
        <v>264</v>
      </c>
      <c r="G671" s="82" t="s">
        <v>439</v>
      </c>
    </row>
    <row r="672" spans="5:7" s="82" customFormat="1" ht="25.5" hidden="1" customHeight="1" x14ac:dyDescent="0.25">
      <c r="E672" s="82" t="s">
        <v>132</v>
      </c>
      <c r="F672" s="82" t="s">
        <v>264</v>
      </c>
      <c r="G672" s="82" t="s">
        <v>528</v>
      </c>
    </row>
    <row r="673" spans="5:7" s="82" customFormat="1" ht="25.5" hidden="1" customHeight="1" x14ac:dyDescent="0.25">
      <c r="E673" s="82" t="s">
        <v>132</v>
      </c>
      <c r="F673" s="82" t="s">
        <v>264</v>
      </c>
      <c r="G673" s="82" t="s">
        <v>529</v>
      </c>
    </row>
    <row r="674" spans="5:7" s="82" customFormat="1" ht="25.5" hidden="1" customHeight="1" x14ac:dyDescent="0.25"/>
    <row r="675" spans="5:7" s="82" customFormat="1" ht="25.5" hidden="1" customHeight="1" x14ac:dyDescent="0.25"/>
    <row r="676" spans="5:7" s="82" customFormat="1" ht="25.5" hidden="1" customHeight="1" x14ac:dyDescent="0.25"/>
    <row r="677" spans="5:7" s="82" customFormat="1" ht="25.5" hidden="1" customHeight="1" x14ac:dyDescent="0.25"/>
    <row r="678" spans="5:7" s="82" customFormat="1" ht="25.5" hidden="1" customHeight="1" x14ac:dyDescent="0.25"/>
    <row r="679" spans="5:7" s="82" customFormat="1" ht="25.5" hidden="1" customHeight="1" x14ac:dyDescent="0.25"/>
    <row r="680" spans="5:7" s="82" customFormat="1" ht="25.5" hidden="1" customHeight="1" x14ac:dyDescent="0.25"/>
    <row r="681" spans="5:7" s="82" customFormat="1" ht="25.5" hidden="1" customHeight="1" x14ac:dyDescent="0.25"/>
    <row r="682" spans="5:7" s="82" customFormat="1" ht="25.5" hidden="1" customHeight="1" x14ac:dyDescent="0.25"/>
    <row r="683" spans="5:7" s="82" customFormat="1" ht="25.5" hidden="1" customHeight="1" x14ac:dyDescent="0.25"/>
    <row r="684" spans="5:7" s="82" customFormat="1" ht="25.5" hidden="1" customHeight="1" x14ac:dyDescent="0.25"/>
    <row r="685" spans="5:7" s="82" customFormat="1" ht="25.5" hidden="1" customHeight="1" x14ac:dyDescent="0.25"/>
    <row r="686" spans="5:7" s="82" customFormat="1" ht="25.5" hidden="1" customHeight="1" x14ac:dyDescent="0.25"/>
    <row r="687" spans="5:7" s="82" customFormat="1" ht="25.5" hidden="1" customHeight="1" x14ac:dyDescent="0.25"/>
    <row r="688" spans="5:7" s="82" customFormat="1" ht="25.5" hidden="1" customHeight="1" x14ac:dyDescent="0.25"/>
    <row r="689" s="82" customFormat="1" ht="25.5" hidden="1" customHeight="1" x14ac:dyDescent="0.25"/>
    <row r="690" s="82" customFormat="1" ht="25.5" hidden="1" customHeight="1" x14ac:dyDescent="0.25"/>
    <row r="691" s="82" customFormat="1" ht="25.5" hidden="1" customHeight="1" x14ac:dyDescent="0.25"/>
    <row r="692" s="82" customFormat="1" ht="25.5" hidden="1" customHeight="1" x14ac:dyDescent="0.25"/>
    <row r="693" s="82" customFormat="1" ht="25.5" hidden="1" customHeight="1" x14ac:dyDescent="0.25"/>
    <row r="694" s="82" customFormat="1" ht="25.5" hidden="1" customHeight="1" x14ac:dyDescent="0.25"/>
    <row r="695" s="82" customFormat="1" ht="25.5" hidden="1" customHeight="1" x14ac:dyDescent="0.25"/>
    <row r="696" s="82" customFormat="1" ht="25.5" hidden="1" customHeight="1" x14ac:dyDescent="0.25"/>
    <row r="697" s="82" customFormat="1" ht="25.5" hidden="1" customHeight="1" x14ac:dyDescent="0.25"/>
    <row r="698" s="82" customFormat="1" ht="25.5" hidden="1" customHeight="1" x14ac:dyDescent="0.25"/>
    <row r="699" s="82" customFormat="1" ht="25.5" hidden="1" customHeight="1" x14ac:dyDescent="0.25"/>
    <row r="700" s="82" customFormat="1" ht="25.5" hidden="1" customHeight="1" x14ac:dyDescent="0.25"/>
    <row r="701" s="82" customFormat="1" ht="25.5" hidden="1" customHeight="1" x14ac:dyDescent="0.25"/>
    <row r="702" s="82" customFormat="1" ht="25.5" hidden="1" customHeight="1" x14ac:dyDescent="0.25"/>
    <row r="703" s="82" customFormat="1" ht="25.5" hidden="1" customHeight="1" x14ac:dyDescent="0.25"/>
    <row r="704" s="82" customFormat="1" ht="25.5" hidden="1" customHeight="1" x14ac:dyDescent="0.25"/>
    <row r="705" s="82" customFormat="1" ht="25.5" hidden="1" customHeight="1" x14ac:dyDescent="0.25"/>
    <row r="706" s="82" customFormat="1" ht="25.5" hidden="1" customHeight="1" x14ac:dyDescent="0.25"/>
    <row r="707" s="82" customFormat="1" ht="25.5" hidden="1" customHeight="1" x14ac:dyDescent="0.25"/>
    <row r="708" s="82" customFormat="1" ht="25.5" hidden="1" customHeight="1" x14ac:dyDescent="0.25"/>
    <row r="709" s="82" customFormat="1" ht="25.5" hidden="1" customHeight="1" x14ac:dyDescent="0.25"/>
    <row r="710" s="82" customFormat="1" ht="25.5" hidden="1" customHeight="1" x14ac:dyDescent="0.25"/>
    <row r="711" s="82" customFormat="1" ht="25.5" hidden="1" customHeight="1" x14ac:dyDescent="0.25"/>
    <row r="712" s="82" customFormat="1" ht="25.5" hidden="1" customHeight="1" x14ac:dyDescent="0.25"/>
    <row r="713" s="82" customFormat="1" ht="25.5" hidden="1" customHeight="1" x14ac:dyDescent="0.25"/>
    <row r="714" s="82" customFormat="1" ht="25.5" hidden="1" customHeight="1" x14ac:dyDescent="0.25"/>
    <row r="715" s="82" customFormat="1" ht="25.5" hidden="1" customHeight="1" x14ac:dyDescent="0.25"/>
    <row r="716" s="82" customFormat="1" ht="25.5" hidden="1" customHeight="1" x14ac:dyDescent="0.25"/>
    <row r="717" s="82" customFormat="1" ht="25.5" hidden="1" customHeight="1" x14ac:dyDescent="0.25"/>
    <row r="718" s="82" customFormat="1" ht="25.5" hidden="1" customHeight="1" x14ac:dyDescent="0.25"/>
    <row r="719" s="82" customFormat="1" ht="25.5" hidden="1" customHeight="1" x14ac:dyDescent="0.25"/>
    <row r="720" s="82" customFormat="1" ht="25.5" hidden="1" customHeight="1" x14ac:dyDescent="0.25"/>
    <row r="721" s="82" customFormat="1" ht="25.5" hidden="1" customHeight="1" x14ac:dyDescent="0.25"/>
    <row r="722" s="82" customFormat="1" ht="25.5" hidden="1" customHeight="1" x14ac:dyDescent="0.25"/>
    <row r="723" s="82" customFormat="1" ht="25.5" hidden="1" customHeight="1" x14ac:dyDescent="0.25"/>
    <row r="724" s="82" customFormat="1" ht="25.5" hidden="1" customHeight="1" x14ac:dyDescent="0.25"/>
    <row r="725" s="82" customFormat="1" ht="25.5" hidden="1" customHeight="1" x14ac:dyDescent="0.25"/>
    <row r="726" s="82" customFormat="1" ht="25.5" hidden="1" customHeight="1" x14ac:dyDescent="0.25"/>
    <row r="727" s="82" customFormat="1" ht="25.5" hidden="1" customHeight="1" x14ac:dyDescent="0.25"/>
    <row r="728" s="82" customFormat="1" ht="25.5" hidden="1" customHeight="1" x14ac:dyDescent="0.25"/>
    <row r="729" s="82" customFormat="1" ht="25.5" hidden="1" customHeight="1" x14ac:dyDescent="0.25"/>
    <row r="730" s="82" customFormat="1" ht="25.5" hidden="1" customHeight="1" x14ac:dyDescent="0.25"/>
    <row r="731" s="82" customFormat="1" ht="25.5" hidden="1" customHeight="1" x14ac:dyDescent="0.25"/>
    <row r="732" s="82" customFormat="1" ht="25.5" hidden="1" customHeight="1" x14ac:dyDescent="0.25"/>
    <row r="733" s="82" customFormat="1" ht="25.5" hidden="1" customHeight="1" x14ac:dyDescent="0.25"/>
    <row r="734" s="82" customFormat="1" ht="25.5" hidden="1" customHeight="1" x14ac:dyDescent="0.25"/>
    <row r="735" s="82" customFormat="1" ht="25.5" hidden="1" customHeight="1" x14ac:dyDescent="0.25"/>
    <row r="736" s="82" customFormat="1" ht="25.5" hidden="1" customHeight="1" x14ac:dyDescent="0.25"/>
    <row r="737" s="82" customFormat="1" ht="25.5" hidden="1" customHeight="1" x14ac:dyDescent="0.25"/>
    <row r="738" s="82" customFormat="1" ht="25.5" hidden="1" customHeight="1" x14ac:dyDescent="0.25"/>
    <row r="739" s="82" customFormat="1" ht="25.5" hidden="1" customHeight="1" x14ac:dyDescent="0.25"/>
    <row r="740" s="82" customFormat="1" ht="25.5" hidden="1" customHeight="1" x14ac:dyDescent="0.25"/>
    <row r="741" s="82" customFormat="1" ht="25.5" hidden="1" customHeight="1" x14ac:dyDescent="0.25"/>
    <row r="742" s="82" customFormat="1" ht="25.5" hidden="1" customHeight="1" x14ac:dyDescent="0.25"/>
    <row r="743" s="82" customFormat="1" ht="25.5" hidden="1" customHeight="1" x14ac:dyDescent="0.25"/>
    <row r="744" s="82" customFormat="1" ht="25.5" hidden="1" customHeight="1" x14ac:dyDescent="0.25"/>
    <row r="745" s="82" customFormat="1" ht="25.5" hidden="1" customHeight="1" x14ac:dyDescent="0.25"/>
    <row r="746" s="82" customFormat="1" ht="25.5" hidden="1" customHeight="1" x14ac:dyDescent="0.25"/>
    <row r="747" s="82" customFormat="1" ht="25.5" hidden="1" customHeight="1" x14ac:dyDescent="0.25"/>
    <row r="748" s="82" customFormat="1" ht="25.5" hidden="1" customHeight="1" x14ac:dyDescent="0.25"/>
    <row r="749" s="82" customFormat="1" ht="25.5" hidden="1" customHeight="1" x14ac:dyDescent="0.25"/>
    <row r="750" s="82" customFormat="1" ht="25.5" hidden="1" customHeight="1" x14ac:dyDescent="0.25"/>
    <row r="751" s="82" customFormat="1" ht="25.5" hidden="1" customHeight="1" x14ac:dyDescent="0.25"/>
    <row r="752" s="82" customFormat="1" ht="25.5" hidden="1" customHeight="1" x14ac:dyDescent="0.25"/>
    <row r="753" s="82" customFormat="1" ht="25.5" hidden="1" customHeight="1" x14ac:dyDescent="0.25"/>
    <row r="754" s="82" customFormat="1" ht="25.5" hidden="1" customHeight="1" x14ac:dyDescent="0.25"/>
    <row r="755" s="82" customFormat="1" ht="25.5" hidden="1" customHeight="1" x14ac:dyDescent="0.25"/>
    <row r="756" s="82" customFormat="1" ht="25.5" hidden="1" customHeight="1" x14ac:dyDescent="0.25"/>
    <row r="757" s="82" customFormat="1" ht="25.5" hidden="1" customHeight="1" x14ac:dyDescent="0.25"/>
    <row r="758" s="82" customFormat="1" ht="25.5" hidden="1" customHeight="1" x14ac:dyDescent="0.25"/>
    <row r="759" s="82" customFormat="1" ht="25.5" hidden="1" customHeight="1" x14ac:dyDescent="0.25"/>
    <row r="760" s="82" customFormat="1" ht="25.5" hidden="1" customHeight="1" x14ac:dyDescent="0.25"/>
    <row r="761" s="82" customFormat="1" ht="25.5" hidden="1" customHeight="1" x14ac:dyDescent="0.25"/>
    <row r="762" s="82" customFormat="1" ht="25.5" hidden="1" customHeight="1" x14ac:dyDescent="0.25"/>
    <row r="763" s="82" customFormat="1" ht="25.5" hidden="1" customHeight="1" x14ac:dyDescent="0.25"/>
    <row r="764" s="82" customFormat="1" ht="25.5" hidden="1" customHeight="1" x14ac:dyDescent="0.25"/>
    <row r="765" s="82" customFormat="1" ht="25.5" hidden="1" customHeight="1" x14ac:dyDescent="0.25"/>
    <row r="766" s="82" customFormat="1" ht="25.5" hidden="1" customHeight="1" x14ac:dyDescent="0.25"/>
    <row r="767" s="82" customFormat="1" ht="25.5" hidden="1" customHeight="1" x14ac:dyDescent="0.25"/>
    <row r="768" s="82" customFormat="1" ht="25.5" hidden="1" customHeight="1" x14ac:dyDescent="0.25"/>
    <row r="769" s="82" customFormat="1" ht="25.5" hidden="1" customHeight="1" x14ac:dyDescent="0.25"/>
    <row r="770" s="82" customFormat="1" ht="25.5" hidden="1" customHeight="1" x14ac:dyDescent="0.25"/>
    <row r="771" s="82" customFormat="1" ht="25.5" hidden="1" customHeight="1" x14ac:dyDescent="0.25"/>
    <row r="772" s="82" customFormat="1" ht="25.5" hidden="1" customHeight="1" x14ac:dyDescent="0.25"/>
    <row r="773" s="82" customFormat="1" ht="25.5" hidden="1" customHeight="1" x14ac:dyDescent="0.25"/>
    <row r="774" ht="25.5" hidden="1" customHeight="1" x14ac:dyDescent="0.25"/>
    <row r="775" ht="25.5" hidden="1" customHeight="1" x14ac:dyDescent="0.25"/>
    <row r="776" ht="25.5" hidden="1" customHeight="1" x14ac:dyDescent="0.25"/>
    <row r="777" ht="25.5" hidden="1" customHeight="1" x14ac:dyDescent="0.25"/>
    <row r="778" ht="25.5" hidden="1" customHeight="1" x14ac:dyDescent="0.25"/>
    <row r="779" ht="25.5" hidden="1" customHeight="1" x14ac:dyDescent="0.25"/>
    <row r="780" ht="25.5" hidden="1" customHeight="1" x14ac:dyDescent="0.25"/>
    <row r="781" ht="25.5" hidden="1" customHeight="1" x14ac:dyDescent="0.25"/>
    <row r="782" ht="25.5" hidden="1" customHeight="1" x14ac:dyDescent="0.25"/>
    <row r="783" ht="25.5" hidden="1" customHeight="1" x14ac:dyDescent="0.25"/>
    <row r="784" ht="25.5" hidden="1" customHeight="1" x14ac:dyDescent="0.25"/>
    <row r="785" ht="25.5" hidden="1" customHeight="1" x14ac:dyDescent="0.25"/>
    <row r="786" ht="25.5" hidden="1" customHeight="1" x14ac:dyDescent="0.25"/>
    <row r="787" ht="25.5" hidden="1" customHeight="1" x14ac:dyDescent="0.25"/>
    <row r="788" ht="25.5" hidden="1" customHeight="1" x14ac:dyDescent="0.25"/>
    <row r="789" ht="25.5" hidden="1" customHeight="1" x14ac:dyDescent="0.25"/>
    <row r="790" ht="25.5" hidden="1" customHeight="1" x14ac:dyDescent="0.25"/>
    <row r="791" ht="25.5" hidden="1" customHeight="1" x14ac:dyDescent="0.25"/>
    <row r="792" ht="25.5" hidden="1" customHeight="1" x14ac:dyDescent="0.25"/>
    <row r="793" ht="25.5" hidden="1" customHeight="1" x14ac:dyDescent="0.25"/>
    <row r="794" ht="25.5" hidden="1" customHeight="1" x14ac:dyDescent="0.25"/>
    <row r="795" ht="25.5" hidden="1" customHeight="1" x14ac:dyDescent="0.25"/>
    <row r="796" ht="25.5" hidden="1" customHeight="1" x14ac:dyDescent="0.25"/>
    <row r="797" ht="25.5" hidden="1" customHeight="1" x14ac:dyDescent="0.25"/>
    <row r="798" ht="25.5" hidden="1" customHeight="1" x14ac:dyDescent="0.25"/>
    <row r="799" ht="25.5" hidden="1" customHeight="1" x14ac:dyDescent="0.25"/>
    <row r="800" ht="25.5" hidden="1" customHeight="1" x14ac:dyDescent="0.25"/>
    <row r="801" ht="25.5" hidden="1" customHeight="1" x14ac:dyDescent="0.25"/>
    <row r="802" ht="25.5" hidden="1" customHeight="1" x14ac:dyDescent="0.25"/>
    <row r="803" ht="25.5" hidden="1" customHeight="1" x14ac:dyDescent="0.25"/>
    <row r="804" ht="25.5" hidden="1" customHeight="1" x14ac:dyDescent="0.25"/>
    <row r="805" ht="25.5" hidden="1" customHeight="1" x14ac:dyDescent="0.25"/>
    <row r="806" ht="25.5" hidden="1" customHeight="1" x14ac:dyDescent="0.25"/>
    <row r="807" ht="25.5" hidden="1" customHeight="1" x14ac:dyDescent="0.25"/>
    <row r="808" ht="25.5" hidden="1" customHeight="1" x14ac:dyDescent="0.25"/>
    <row r="809" ht="25.5" hidden="1" customHeight="1" x14ac:dyDescent="0.25"/>
    <row r="810" ht="25.5" hidden="1" customHeight="1" x14ac:dyDescent="0.25"/>
    <row r="811" ht="25.5" hidden="1" customHeight="1" x14ac:dyDescent="0.25"/>
    <row r="812" ht="25.5" hidden="1" customHeight="1" x14ac:dyDescent="0.25"/>
    <row r="813" ht="25.5" hidden="1" customHeight="1" x14ac:dyDescent="0.25"/>
    <row r="814" ht="25.5" hidden="1" customHeight="1" x14ac:dyDescent="0.25"/>
    <row r="815" ht="25.5" hidden="1" customHeight="1" x14ac:dyDescent="0.25"/>
    <row r="816" ht="25.5" hidden="1" customHeight="1" x14ac:dyDescent="0.25"/>
    <row r="817" ht="25.5" hidden="1" customHeight="1" x14ac:dyDescent="0.25"/>
    <row r="818" ht="25.5" hidden="1" customHeight="1" x14ac:dyDescent="0.25"/>
    <row r="819" ht="25.5" hidden="1" customHeight="1" x14ac:dyDescent="0.25"/>
    <row r="820" ht="25.5" hidden="1" customHeight="1" x14ac:dyDescent="0.25"/>
    <row r="821" ht="25.5" hidden="1" customHeight="1" x14ac:dyDescent="0.25"/>
    <row r="822" ht="25.5" hidden="1" customHeight="1" x14ac:dyDescent="0.25"/>
    <row r="823" ht="25.5" hidden="1" customHeight="1" x14ac:dyDescent="0.25"/>
    <row r="824" ht="25.5" hidden="1" customHeight="1" x14ac:dyDescent="0.25"/>
    <row r="825" ht="25.5" hidden="1" customHeight="1" x14ac:dyDescent="0.25"/>
    <row r="826" ht="25.5" hidden="1" customHeight="1" x14ac:dyDescent="0.25"/>
    <row r="827" ht="25.5" hidden="1" customHeight="1" x14ac:dyDescent="0.25"/>
    <row r="828" ht="25.5" hidden="1" customHeight="1" x14ac:dyDescent="0.25"/>
    <row r="829" ht="25.5" hidden="1" customHeight="1" x14ac:dyDescent="0.25"/>
    <row r="830" ht="25.5" hidden="1" customHeight="1" x14ac:dyDescent="0.25"/>
    <row r="831" ht="25.5" hidden="1" customHeight="1" x14ac:dyDescent="0.25"/>
    <row r="832" ht="25.5" hidden="1" customHeight="1" x14ac:dyDescent="0.25"/>
    <row r="833" ht="25.5" hidden="1" customHeight="1" x14ac:dyDescent="0.25"/>
    <row r="834" ht="25.5" hidden="1" customHeight="1" x14ac:dyDescent="0.25"/>
    <row r="835" ht="25.5" hidden="1" customHeight="1" x14ac:dyDescent="0.25"/>
    <row r="836" ht="25.5" hidden="1" customHeight="1" x14ac:dyDescent="0.25"/>
    <row r="837" ht="25.5" hidden="1" customHeight="1" x14ac:dyDescent="0.25"/>
    <row r="838" ht="25.5" hidden="1" customHeight="1" x14ac:dyDescent="0.25"/>
    <row r="839" ht="25.5" hidden="1" customHeight="1" x14ac:dyDescent="0.25"/>
    <row r="840" ht="25.5" hidden="1" customHeight="1" x14ac:dyDescent="0.25"/>
    <row r="841" ht="25.5" hidden="1" customHeight="1" x14ac:dyDescent="0.25"/>
    <row r="842" ht="25.5" hidden="1" customHeight="1" x14ac:dyDescent="0.25"/>
    <row r="843" ht="25.5" hidden="1" customHeight="1" x14ac:dyDescent="0.25"/>
    <row r="844" ht="25.5" hidden="1" customHeight="1" x14ac:dyDescent="0.25"/>
    <row r="845" ht="25.5" hidden="1" customHeight="1" x14ac:dyDescent="0.25"/>
    <row r="846" ht="25.5" hidden="1" customHeight="1" x14ac:dyDescent="0.25"/>
    <row r="847" ht="25.5" hidden="1" customHeight="1" x14ac:dyDescent="0.25"/>
    <row r="848" ht="25.5" hidden="1" customHeight="1" x14ac:dyDescent="0.25"/>
    <row r="849" ht="25.5" hidden="1" customHeight="1" x14ac:dyDescent="0.25"/>
    <row r="850" ht="25.5" hidden="1" customHeight="1" x14ac:dyDescent="0.25"/>
    <row r="851" ht="25.5" hidden="1" customHeight="1" x14ac:dyDescent="0.25"/>
    <row r="852" ht="25.5" hidden="1" customHeight="1" x14ac:dyDescent="0.25"/>
    <row r="853" ht="25.5" hidden="1" customHeight="1" x14ac:dyDescent="0.25"/>
    <row r="854" ht="25.5" hidden="1" customHeight="1" x14ac:dyDescent="0.25"/>
    <row r="855" ht="25.5" hidden="1" customHeight="1" x14ac:dyDescent="0.25"/>
    <row r="856" ht="25.5" hidden="1" customHeight="1" x14ac:dyDescent="0.25"/>
    <row r="857" ht="25.5" hidden="1" customHeight="1" x14ac:dyDescent="0.25"/>
    <row r="858" ht="25.5" hidden="1" customHeight="1" x14ac:dyDescent="0.25"/>
    <row r="859" ht="25.5" hidden="1" customHeight="1" x14ac:dyDescent="0.25"/>
    <row r="860" ht="25.5" hidden="1" customHeight="1" x14ac:dyDescent="0.25"/>
    <row r="861" ht="25.5" hidden="1" customHeight="1" x14ac:dyDescent="0.25"/>
    <row r="862" ht="25.5" hidden="1" customHeight="1" x14ac:dyDescent="0.25"/>
    <row r="863" ht="25.5" hidden="1" customHeight="1" x14ac:dyDescent="0.25"/>
    <row r="864" ht="25.5" hidden="1" customHeight="1" x14ac:dyDescent="0.25"/>
    <row r="865" ht="25.5" hidden="1" customHeight="1" x14ac:dyDescent="0.25"/>
    <row r="866" ht="25.5" hidden="1" customHeight="1" x14ac:dyDescent="0.25"/>
    <row r="867" ht="25.5" hidden="1" customHeight="1" x14ac:dyDescent="0.25"/>
    <row r="868" ht="25.5" hidden="1" customHeight="1" x14ac:dyDescent="0.25"/>
    <row r="869" ht="25.5" hidden="1" customHeight="1" x14ac:dyDescent="0.25"/>
    <row r="870" ht="25.5" hidden="1" customHeight="1" x14ac:dyDescent="0.25"/>
    <row r="871" ht="25.5" hidden="1" customHeight="1" x14ac:dyDescent="0.25"/>
    <row r="872" ht="25.5" hidden="1" customHeight="1" x14ac:dyDescent="0.25"/>
    <row r="873" ht="25.5" hidden="1" customHeight="1" x14ac:dyDescent="0.25"/>
    <row r="874" ht="25.5" hidden="1" customHeight="1" x14ac:dyDescent="0.25"/>
    <row r="875" ht="25.5" hidden="1" customHeight="1" x14ac:dyDescent="0.25"/>
    <row r="876" ht="25.5" hidden="1" customHeight="1" x14ac:dyDescent="0.25"/>
    <row r="877" ht="25.5" hidden="1" customHeight="1" x14ac:dyDescent="0.25"/>
    <row r="878" ht="25.5" hidden="1" customHeight="1" x14ac:dyDescent="0.25"/>
    <row r="879" ht="25.5" hidden="1" customHeight="1" x14ac:dyDescent="0.25"/>
    <row r="880" ht="25.5" hidden="1" customHeight="1" x14ac:dyDescent="0.25"/>
    <row r="881" ht="25.5" hidden="1" customHeight="1" x14ac:dyDescent="0.25"/>
    <row r="882" ht="25.5" hidden="1" customHeight="1" x14ac:dyDescent="0.25"/>
    <row r="883" ht="25.5" hidden="1" customHeight="1" x14ac:dyDescent="0.25"/>
    <row r="884" ht="25.5" hidden="1" customHeight="1" x14ac:dyDescent="0.25"/>
    <row r="885" ht="25.5" hidden="1" customHeight="1" x14ac:dyDescent="0.25"/>
    <row r="886" ht="25.5" hidden="1" customHeight="1" x14ac:dyDescent="0.25"/>
    <row r="887" ht="25.5" hidden="1" customHeight="1" x14ac:dyDescent="0.25"/>
    <row r="888" ht="25.5" hidden="1" customHeight="1" x14ac:dyDescent="0.25"/>
    <row r="889" ht="25.5" hidden="1" customHeight="1" x14ac:dyDescent="0.25"/>
    <row r="890" ht="25.5" hidden="1" customHeight="1" x14ac:dyDescent="0.25"/>
    <row r="891" ht="25.5" hidden="1" customHeight="1" x14ac:dyDescent="0.25"/>
    <row r="892" ht="25.5" hidden="1" customHeight="1" x14ac:dyDescent="0.25"/>
    <row r="893" ht="25.5" hidden="1" customHeight="1" x14ac:dyDescent="0.25"/>
    <row r="894" ht="25.5" hidden="1" customHeight="1" x14ac:dyDescent="0.25"/>
    <row r="895" ht="25.5" hidden="1" customHeight="1" x14ac:dyDescent="0.25"/>
    <row r="896" ht="25.5" hidden="1" customHeight="1" x14ac:dyDescent="0.25"/>
    <row r="897" ht="25.5" hidden="1" customHeight="1" x14ac:dyDescent="0.25"/>
    <row r="898" ht="25.5" hidden="1" customHeight="1" x14ac:dyDescent="0.25"/>
    <row r="899" ht="25.5" hidden="1" customHeight="1" x14ac:dyDescent="0.25"/>
    <row r="900" ht="25.5" hidden="1" customHeight="1" x14ac:dyDescent="0.25"/>
    <row r="901" ht="25.5" hidden="1" customHeight="1" x14ac:dyDescent="0.25"/>
    <row r="902" ht="25.5" hidden="1" customHeight="1" x14ac:dyDescent="0.25"/>
    <row r="903" ht="25.5" hidden="1" customHeight="1" x14ac:dyDescent="0.25"/>
    <row r="904" ht="25.5" hidden="1" customHeight="1" x14ac:dyDescent="0.25"/>
    <row r="905" ht="25.5" hidden="1" customHeight="1" x14ac:dyDescent="0.25"/>
    <row r="906" ht="25.5" hidden="1" customHeight="1" x14ac:dyDescent="0.25"/>
    <row r="907" ht="25.5" hidden="1" customHeight="1" x14ac:dyDescent="0.25"/>
    <row r="908" ht="25.5" hidden="1" customHeight="1" x14ac:dyDescent="0.25"/>
    <row r="909" ht="25.5" hidden="1" customHeight="1" x14ac:dyDescent="0.25"/>
    <row r="910" ht="25.5" hidden="1" customHeight="1" x14ac:dyDescent="0.25"/>
    <row r="911" ht="25.5" hidden="1" customHeight="1" x14ac:dyDescent="0.25"/>
    <row r="912" ht="25.5" hidden="1" customHeight="1" x14ac:dyDescent="0.25"/>
    <row r="913" ht="25.5" hidden="1" customHeight="1" x14ac:dyDescent="0.25"/>
    <row r="914" ht="25.5" hidden="1" customHeight="1" x14ac:dyDescent="0.25"/>
    <row r="915" ht="25.5" hidden="1" customHeight="1" x14ac:dyDescent="0.25"/>
    <row r="916" ht="25.5" hidden="1" customHeight="1" x14ac:dyDescent="0.25"/>
    <row r="917" ht="25.5" hidden="1" customHeight="1" x14ac:dyDescent="0.25"/>
    <row r="918" ht="25.5" hidden="1" customHeight="1" x14ac:dyDescent="0.25"/>
    <row r="919" ht="25.5" hidden="1" customHeight="1" x14ac:dyDescent="0.25"/>
    <row r="920" ht="25.5" hidden="1" customHeight="1" x14ac:dyDescent="0.25"/>
    <row r="921" ht="25.5" hidden="1" customHeight="1" x14ac:dyDescent="0.25"/>
    <row r="922" ht="25.5" hidden="1" customHeight="1" x14ac:dyDescent="0.25"/>
    <row r="923" ht="25.5" hidden="1" customHeight="1" x14ac:dyDescent="0.25"/>
    <row r="924" ht="25.5" hidden="1" customHeight="1" x14ac:dyDescent="0.25"/>
    <row r="925" ht="25.5" hidden="1" customHeight="1" x14ac:dyDescent="0.25"/>
    <row r="926" ht="25.5" hidden="1" customHeight="1" x14ac:dyDescent="0.25"/>
    <row r="927" ht="25.5" hidden="1" customHeight="1" x14ac:dyDescent="0.25"/>
    <row r="928" ht="25.5" hidden="1" customHeight="1" x14ac:dyDescent="0.25"/>
    <row r="929" ht="25.5" hidden="1" customHeight="1" x14ac:dyDescent="0.25"/>
    <row r="930" ht="25.5" hidden="1" customHeight="1" x14ac:dyDescent="0.25"/>
    <row r="931" ht="25.5" hidden="1" customHeight="1" x14ac:dyDescent="0.25"/>
    <row r="932" ht="25.5" hidden="1" customHeight="1" x14ac:dyDescent="0.25"/>
    <row r="933" ht="25.5" hidden="1" customHeight="1" x14ac:dyDescent="0.25"/>
    <row r="934" ht="25.5" hidden="1" customHeight="1" x14ac:dyDescent="0.25"/>
    <row r="935" ht="25.5" hidden="1" customHeight="1" x14ac:dyDescent="0.25"/>
    <row r="936" ht="25.5" hidden="1" customHeight="1" x14ac:dyDescent="0.25"/>
    <row r="937" ht="25.5" hidden="1" customHeight="1" x14ac:dyDescent="0.25"/>
    <row r="938" ht="25.5" hidden="1" customHeight="1" x14ac:dyDescent="0.25"/>
    <row r="939" ht="25.5" hidden="1" customHeight="1" x14ac:dyDescent="0.25"/>
    <row r="940" ht="25.5" hidden="1" customHeight="1" x14ac:dyDescent="0.25"/>
    <row r="941" ht="25.5" hidden="1" customHeight="1" x14ac:dyDescent="0.25"/>
    <row r="942" ht="25.5" hidden="1" customHeight="1" x14ac:dyDescent="0.25"/>
    <row r="943" ht="25.5" hidden="1" customHeight="1" x14ac:dyDescent="0.25"/>
    <row r="944" ht="25.5" hidden="1" customHeight="1" x14ac:dyDescent="0.25"/>
    <row r="945" ht="25.5" hidden="1" customHeight="1" x14ac:dyDescent="0.25"/>
    <row r="946" ht="25.5" hidden="1" customHeight="1" x14ac:dyDescent="0.25"/>
    <row r="947" ht="25.5" hidden="1" customHeight="1" x14ac:dyDescent="0.25"/>
    <row r="948" ht="25.5" hidden="1" customHeight="1" x14ac:dyDescent="0.25"/>
    <row r="949" ht="25.5" hidden="1" customHeight="1" x14ac:dyDescent="0.25"/>
    <row r="950" ht="25.5" hidden="1" customHeight="1" x14ac:dyDescent="0.25"/>
    <row r="951" ht="25.5" hidden="1" customHeight="1" x14ac:dyDescent="0.25"/>
    <row r="952" ht="25.5" hidden="1" customHeight="1" x14ac:dyDescent="0.25"/>
    <row r="953" ht="25.5" hidden="1" customHeight="1" x14ac:dyDescent="0.25"/>
    <row r="954" ht="25.5" hidden="1" customHeight="1" x14ac:dyDescent="0.25"/>
    <row r="955" ht="25.5" hidden="1" customHeight="1" x14ac:dyDescent="0.25"/>
    <row r="956" ht="25.5" hidden="1" customHeight="1" x14ac:dyDescent="0.25"/>
    <row r="957" ht="25.5" hidden="1" customHeight="1" x14ac:dyDescent="0.25"/>
    <row r="958" ht="25.5" hidden="1" customHeight="1" x14ac:dyDescent="0.25"/>
    <row r="959" ht="25.5" hidden="1" customHeight="1" x14ac:dyDescent="0.25"/>
    <row r="960" ht="25.5" hidden="1" customHeight="1" x14ac:dyDescent="0.25"/>
    <row r="961" ht="25.5" hidden="1" customHeight="1" x14ac:dyDescent="0.25"/>
    <row r="962" ht="25.5" hidden="1" customHeight="1" x14ac:dyDescent="0.25"/>
    <row r="963" ht="25.5" hidden="1" customHeight="1" x14ac:dyDescent="0.25"/>
    <row r="964" ht="25.5" hidden="1" customHeight="1" x14ac:dyDescent="0.25"/>
    <row r="965" ht="25.5" hidden="1" customHeight="1" x14ac:dyDescent="0.25"/>
    <row r="966" ht="25.5" hidden="1" customHeight="1" x14ac:dyDescent="0.25"/>
    <row r="967" ht="25.5" hidden="1" customHeight="1" x14ac:dyDescent="0.25"/>
    <row r="968" ht="25.5" hidden="1" customHeight="1" x14ac:dyDescent="0.25"/>
    <row r="969" ht="25.5" hidden="1" customHeight="1" x14ac:dyDescent="0.25"/>
    <row r="970" ht="25.5" hidden="1" customHeight="1" x14ac:dyDescent="0.25"/>
    <row r="971" ht="25.5" hidden="1" customHeight="1" x14ac:dyDescent="0.25"/>
    <row r="972" ht="25.5" hidden="1" customHeight="1" x14ac:dyDescent="0.25"/>
    <row r="973" ht="25.5" hidden="1" customHeight="1" x14ac:dyDescent="0.25"/>
    <row r="974" ht="25.5" hidden="1" customHeight="1" x14ac:dyDescent="0.25"/>
    <row r="975" ht="25.5" hidden="1" customHeight="1" x14ac:dyDescent="0.25"/>
    <row r="976" ht="25.5" hidden="1" customHeight="1" x14ac:dyDescent="0.25"/>
    <row r="977" ht="25.5" hidden="1" customHeight="1" x14ac:dyDescent="0.25"/>
    <row r="978" ht="25.5" hidden="1" customHeight="1" x14ac:dyDescent="0.25"/>
    <row r="979" ht="25.5" hidden="1" customHeight="1" x14ac:dyDescent="0.25"/>
    <row r="980" ht="25.5" hidden="1" customHeight="1" x14ac:dyDescent="0.25"/>
    <row r="981" ht="25.5" hidden="1" customHeight="1" x14ac:dyDescent="0.25"/>
    <row r="982" ht="25.5" hidden="1" customHeight="1" x14ac:dyDescent="0.25"/>
    <row r="983" ht="25.5" hidden="1" customHeight="1" x14ac:dyDescent="0.25"/>
    <row r="984" ht="25.5" hidden="1" customHeight="1" x14ac:dyDescent="0.25"/>
    <row r="985" ht="25.5" hidden="1" customHeight="1" x14ac:dyDescent="0.25"/>
    <row r="986" ht="25.5" hidden="1" customHeight="1" x14ac:dyDescent="0.25"/>
    <row r="987" ht="25.5" hidden="1" customHeight="1" x14ac:dyDescent="0.25"/>
    <row r="988" ht="25.5" hidden="1" customHeight="1" x14ac:dyDescent="0.25"/>
    <row r="989" ht="25.5" hidden="1" customHeight="1" x14ac:dyDescent="0.25"/>
    <row r="990" ht="25.5" hidden="1" customHeight="1" x14ac:dyDescent="0.25"/>
    <row r="991" ht="25.5" hidden="1" customHeight="1" x14ac:dyDescent="0.25"/>
    <row r="992" ht="25.5" hidden="1" customHeight="1" x14ac:dyDescent="0.25"/>
    <row r="993" ht="25.5" hidden="1" customHeight="1" x14ac:dyDescent="0.25"/>
    <row r="994" ht="25.5" hidden="1" customHeight="1" x14ac:dyDescent="0.25"/>
    <row r="995" ht="25.5" hidden="1" customHeight="1" x14ac:dyDescent="0.25"/>
    <row r="996" ht="25.5" hidden="1" customHeight="1" x14ac:dyDescent="0.25"/>
    <row r="997" ht="25.5" hidden="1" customHeight="1" x14ac:dyDescent="0.25"/>
    <row r="998" ht="25.5" hidden="1" customHeight="1" x14ac:dyDescent="0.25"/>
    <row r="999" ht="25.5" hidden="1" customHeight="1" x14ac:dyDescent="0.25"/>
    <row r="1000" ht="25.5" hidden="1" customHeight="1" x14ac:dyDescent="0.25"/>
    <row r="1001" ht="25.5" hidden="1" customHeight="1" x14ac:dyDescent="0.25"/>
    <row r="1002" ht="25.5" hidden="1" customHeight="1" x14ac:dyDescent="0.25"/>
    <row r="1003" ht="25.5" hidden="1" customHeight="1" x14ac:dyDescent="0.25"/>
    <row r="1004" ht="25.5" hidden="1" customHeight="1" x14ac:dyDescent="0.25"/>
    <row r="1005" ht="25.5" hidden="1" customHeight="1" x14ac:dyDescent="0.25"/>
    <row r="1006" ht="25.5" hidden="1" customHeight="1" x14ac:dyDescent="0.25"/>
    <row r="1007" ht="25.5" hidden="1" customHeight="1" x14ac:dyDescent="0.25"/>
    <row r="1008" ht="25.5" hidden="1" customHeight="1" x14ac:dyDescent="0.25"/>
    <row r="1009" ht="25.5" hidden="1" customHeight="1" x14ac:dyDescent="0.25"/>
    <row r="1010" ht="25.5" hidden="1" customHeight="1" x14ac:dyDescent="0.25"/>
    <row r="1011" ht="25.5" hidden="1" customHeight="1" x14ac:dyDescent="0.25"/>
    <row r="1012" ht="25.5" hidden="1" customHeight="1" x14ac:dyDescent="0.25"/>
    <row r="1013" ht="25.5" hidden="1" customHeight="1" x14ac:dyDescent="0.25"/>
    <row r="1014" ht="25.5" hidden="1" customHeight="1" x14ac:dyDescent="0.25"/>
    <row r="1015" ht="25.5" hidden="1" customHeight="1" x14ac:dyDescent="0.25"/>
    <row r="1016" ht="25.5" hidden="1" customHeight="1" x14ac:dyDescent="0.25"/>
    <row r="1017" ht="25.5" hidden="1" customHeight="1" x14ac:dyDescent="0.25"/>
    <row r="1018" ht="25.5" hidden="1" customHeight="1" x14ac:dyDescent="0.25"/>
    <row r="1019" ht="25.5" hidden="1" customHeight="1" x14ac:dyDescent="0.25"/>
    <row r="1020" ht="25.5" hidden="1" customHeight="1" x14ac:dyDescent="0.25"/>
    <row r="1021" ht="25.5" hidden="1" customHeight="1" x14ac:dyDescent="0.25"/>
    <row r="1022" ht="25.5" hidden="1" customHeight="1" x14ac:dyDescent="0.25"/>
    <row r="1023" ht="25.5" hidden="1" customHeight="1" x14ac:dyDescent="0.25"/>
    <row r="1024" ht="25.5" hidden="1" customHeight="1" x14ac:dyDescent="0.25"/>
    <row r="1025" ht="25.5" hidden="1" customHeight="1" x14ac:dyDescent="0.25"/>
    <row r="1026" ht="25.5" hidden="1" customHeight="1" x14ac:dyDescent="0.25"/>
    <row r="1027" ht="25.5" hidden="1" customHeight="1" x14ac:dyDescent="0.25"/>
    <row r="1028" ht="25.5" hidden="1" customHeight="1" x14ac:dyDescent="0.25"/>
    <row r="1029" ht="25.5" hidden="1" customHeight="1" x14ac:dyDescent="0.25"/>
    <row r="1030" ht="25.5" hidden="1" customHeight="1" x14ac:dyDescent="0.25"/>
    <row r="1031" ht="25.5" hidden="1" customHeight="1" x14ac:dyDescent="0.25"/>
    <row r="1032" ht="25.5" hidden="1" customHeight="1" x14ac:dyDescent="0.25"/>
    <row r="1033" ht="25.5" hidden="1" customHeight="1" x14ac:dyDescent="0.25"/>
    <row r="1034" ht="25.5" hidden="1" customHeight="1" x14ac:dyDescent="0.25"/>
    <row r="1035" ht="25.5" hidden="1" customHeight="1" x14ac:dyDescent="0.25"/>
    <row r="1036" ht="25.5" hidden="1" customHeight="1" x14ac:dyDescent="0.25"/>
    <row r="1037" ht="25.5" hidden="1" customHeight="1" x14ac:dyDescent="0.25"/>
    <row r="1038" ht="25.5" hidden="1" customHeight="1" x14ac:dyDescent="0.25"/>
    <row r="1039" ht="25.5" hidden="1" customHeight="1" x14ac:dyDescent="0.25"/>
    <row r="1040" ht="25.5" hidden="1" customHeight="1" x14ac:dyDescent="0.25"/>
    <row r="1041" ht="25.5" hidden="1" customHeight="1" x14ac:dyDescent="0.25"/>
    <row r="1042" ht="25.5" hidden="1" customHeight="1" x14ac:dyDescent="0.25"/>
    <row r="1043" ht="25.5" hidden="1" customHeight="1" x14ac:dyDescent="0.25"/>
    <row r="1044" ht="25.5" hidden="1" customHeight="1" x14ac:dyDescent="0.25"/>
    <row r="1045" ht="25.5" hidden="1" customHeight="1" x14ac:dyDescent="0.25"/>
    <row r="1046" ht="25.5" hidden="1" customHeight="1" x14ac:dyDescent="0.25"/>
    <row r="1047" ht="25.5" hidden="1" customHeight="1" x14ac:dyDescent="0.25"/>
    <row r="1048" ht="25.5" hidden="1" customHeight="1" x14ac:dyDescent="0.25"/>
    <row r="1049" ht="25.5" hidden="1" customHeight="1" x14ac:dyDescent="0.25"/>
    <row r="1050" ht="25.5" hidden="1" customHeight="1" x14ac:dyDescent="0.25"/>
    <row r="1051" ht="25.5" hidden="1" customHeight="1" x14ac:dyDescent="0.25"/>
    <row r="1052" ht="25.5" hidden="1" customHeight="1" x14ac:dyDescent="0.25"/>
    <row r="1053" ht="25.5" hidden="1" customHeight="1" x14ac:dyDescent="0.25"/>
    <row r="1054" ht="25.5" hidden="1" customHeight="1" x14ac:dyDescent="0.25"/>
    <row r="1055" ht="25.5" hidden="1" customHeight="1" x14ac:dyDescent="0.25"/>
    <row r="1056" ht="25.5" hidden="1" customHeight="1" x14ac:dyDescent="0.25"/>
    <row r="1057" ht="25.5" hidden="1" customHeight="1" x14ac:dyDescent="0.25"/>
    <row r="1058" ht="25.5" hidden="1" customHeight="1" x14ac:dyDescent="0.25"/>
    <row r="1059" ht="25.5" hidden="1" customHeight="1" x14ac:dyDescent="0.25"/>
    <row r="1060" ht="25.5" hidden="1" customHeight="1" x14ac:dyDescent="0.25"/>
    <row r="1061" ht="25.5" hidden="1" customHeight="1" x14ac:dyDescent="0.25"/>
    <row r="1062" ht="25.5" hidden="1" customHeight="1" x14ac:dyDescent="0.25"/>
    <row r="1063" ht="25.5" hidden="1" customHeight="1" x14ac:dyDescent="0.25"/>
    <row r="1064" ht="25.5" hidden="1" customHeight="1" x14ac:dyDescent="0.25"/>
    <row r="1065" ht="25.5" hidden="1" customHeight="1" x14ac:dyDescent="0.25"/>
    <row r="1066" ht="25.5" hidden="1" customHeight="1" x14ac:dyDescent="0.25"/>
    <row r="1067" ht="25.5" hidden="1" customHeight="1" x14ac:dyDescent="0.25"/>
    <row r="1068" ht="25.5" hidden="1" customHeight="1" x14ac:dyDescent="0.25"/>
    <row r="1069" ht="25.5" hidden="1" customHeight="1" x14ac:dyDescent="0.25"/>
    <row r="1070" ht="25.5" hidden="1" customHeight="1" x14ac:dyDescent="0.25"/>
    <row r="1071" ht="25.5" hidden="1" customHeight="1" x14ac:dyDescent="0.25"/>
    <row r="1072" ht="25.5" hidden="1" customHeight="1" x14ac:dyDescent="0.25"/>
    <row r="1073" ht="25.5" hidden="1" customHeight="1" x14ac:dyDescent="0.25"/>
    <row r="1074" ht="25.5" hidden="1" customHeight="1" x14ac:dyDescent="0.25"/>
    <row r="1075" ht="25.5" hidden="1" customHeight="1" x14ac:dyDescent="0.25"/>
    <row r="1076" ht="25.5" hidden="1" customHeight="1" x14ac:dyDescent="0.25"/>
    <row r="1077" ht="25.5" hidden="1" customHeight="1" x14ac:dyDescent="0.25"/>
    <row r="1078" ht="25.5" hidden="1" customHeight="1" x14ac:dyDescent="0.25"/>
    <row r="1079" ht="25.5" hidden="1" customHeight="1" x14ac:dyDescent="0.25"/>
    <row r="1080" ht="25.5" hidden="1" customHeight="1" x14ac:dyDescent="0.25"/>
    <row r="1081" ht="25.5" hidden="1" customHeight="1" x14ac:dyDescent="0.25"/>
    <row r="1082" ht="25.5" hidden="1" customHeight="1" x14ac:dyDescent="0.25"/>
    <row r="1083" ht="25.5" hidden="1" customHeight="1" x14ac:dyDescent="0.25"/>
    <row r="1084" ht="25.5" hidden="1" customHeight="1" x14ac:dyDescent="0.25"/>
    <row r="1085" ht="25.5" hidden="1" customHeight="1" x14ac:dyDescent="0.25"/>
    <row r="1086" ht="25.5" hidden="1" customHeight="1" x14ac:dyDescent="0.25"/>
    <row r="1087" ht="25.5" hidden="1" customHeight="1" x14ac:dyDescent="0.25"/>
    <row r="1088" ht="25.5" hidden="1" customHeight="1" x14ac:dyDescent="0.25"/>
    <row r="1089" ht="25.5" hidden="1" customHeight="1" x14ac:dyDescent="0.25"/>
    <row r="1090" ht="25.5" hidden="1" customHeight="1" x14ac:dyDescent="0.25"/>
    <row r="1091" ht="25.5" hidden="1" customHeight="1" x14ac:dyDescent="0.25"/>
    <row r="1092" ht="25.5" hidden="1" customHeight="1" x14ac:dyDescent="0.25"/>
    <row r="1093" ht="25.5" hidden="1" customHeight="1" x14ac:dyDescent="0.25"/>
    <row r="1094" ht="25.5" hidden="1" customHeight="1" x14ac:dyDescent="0.25"/>
    <row r="1095" ht="25.5" hidden="1" customHeight="1" x14ac:dyDescent="0.25"/>
    <row r="1096" ht="25.5" hidden="1" customHeight="1" x14ac:dyDescent="0.25"/>
    <row r="1097" ht="25.5" hidden="1" customHeight="1" x14ac:dyDescent="0.25"/>
    <row r="1098" ht="25.5" hidden="1" customHeight="1" x14ac:dyDescent="0.25"/>
    <row r="1099" ht="25.5" hidden="1" customHeight="1" x14ac:dyDescent="0.25"/>
    <row r="1100" ht="25.5" hidden="1" customHeight="1" x14ac:dyDescent="0.25"/>
    <row r="1101" ht="25.5" hidden="1" customHeight="1" x14ac:dyDescent="0.25"/>
    <row r="1102" ht="25.5" hidden="1" customHeight="1" x14ac:dyDescent="0.25"/>
    <row r="1103" ht="25.5" hidden="1" customHeight="1" x14ac:dyDescent="0.25"/>
    <row r="1104" ht="25.5" hidden="1" customHeight="1" x14ac:dyDescent="0.25"/>
    <row r="1105" ht="25.5" hidden="1" customHeight="1" x14ac:dyDescent="0.25"/>
    <row r="1106" ht="25.5" hidden="1" customHeight="1" x14ac:dyDescent="0.25"/>
    <row r="1107" ht="25.5" customHeight="1" x14ac:dyDescent="0.25"/>
    <row r="1108" ht="25.5" customHeight="1" x14ac:dyDescent="0.25"/>
    <row r="1109" ht="25.5" customHeight="1" x14ac:dyDescent="0.25"/>
    <row r="1110" ht="25.5" customHeight="1" x14ac:dyDescent="0.25"/>
    <row r="1111" ht="25.5" customHeight="1" x14ac:dyDescent="0.25"/>
    <row r="1112" ht="25.5" customHeight="1" x14ac:dyDescent="0.25"/>
    <row r="1113" ht="25.5" customHeight="1" x14ac:dyDescent="0.25"/>
    <row r="1114" ht="25.5" customHeight="1" x14ac:dyDescent="0.25"/>
  </sheetData>
  <mergeCells count="154">
    <mergeCell ref="C7:G7"/>
    <mergeCell ref="N7:S7"/>
    <mergeCell ref="C8:G8"/>
    <mergeCell ref="M8:S8"/>
    <mergeCell ref="C9:G9"/>
    <mergeCell ref="M9:N9"/>
    <mergeCell ref="A1:R1"/>
    <mergeCell ref="A2:U2"/>
    <mergeCell ref="A3:R3"/>
    <mergeCell ref="A4:U4"/>
    <mergeCell ref="C6:G6"/>
    <mergeCell ref="L6:S6"/>
    <mergeCell ref="K10:L10"/>
    <mergeCell ref="Q10:S10"/>
    <mergeCell ref="A12:C14"/>
    <mergeCell ref="D12:G12"/>
    <mergeCell ref="J12:M12"/>
    <mergeCell ref="N12:U12"/>
    <mergeCell ref="D13:G13"/>
    <mergeCell ref="J13:L13"/>
    <mergeCell ref="R13:T13"/>
    <mergeCell ref="D14:G14"/>
    <mergeCell ref="Q17:Q18"/>
    <mergeCell ref="R17:T17"/>
    <mergeCell ref="A18:C18"/>
    <mergeCell ref="R18:T18"/>
    <mergeCell ref="A19:C19"/>
    <mergeCell ref="R19:T19"/>
    <mergeCell ref="J14:L14"/>
    <mergeCell ref="R14:T14"/>
    <mergeCell ref="J15:L15"/>
    <mergeCell ref="R15:T15"/>
    <mergeCell ref="A16:C16"/>
    <mergeCell ref="A17:C17"/>
    <mergeCell ref="I17:I18"/>
    <mergeCell ref="J17:L17"/>
    <mergeCell ref="M17:O17"/>
    <mergeCell ref="P17:P18"/>
    <mergeCell ref="A20:C20"/>
    <mergeCell ref="A21:C21"/>
    <mergeCell ref="A24:A26"/>
    <mergeCell ref="B24:D24"/>
    <mergeCell ref="E24:T24"/>
    <mergeCell ref="U24:U26"/>
    <mergeCell ref="D25:D26"/>
    <mergeCell ref="M25:O25"/>
    <mergeCell ref="P25:R25"/>
    <mergeCell ref="S25:T25"/>
    <mergeCell ref="M26:O26"/>
    <mergeCell ref="P26:R26"/>
    <mergeCell ref="S26:T26"/>
    <mergeCell ref="A27:A29"/>
    <mergeCell ref="B27:B29"/>
    <mergeCell ref="C27:C29"/>
    <mergeCell ref="D27:D29"/>
    <mergeCell ref="E27:E29"/>
    <mergeCell ref="F27:F29"/>
    <mergeCell ref="G27:G29"/>
    <mergeCell ref="P27:Q27"/>
    <mergeCell ref="S27:T29"/>
    <mergeCell ref="U27:U29"/>
    <mergeCell ref="M28:N28"/>
    <mergeCell ref="P28:Q28"/>
    <mergeCell ref="M29:N29"/>
    <mergeCell ref="P29:Q29"/>
    <mergeCell ref="H27:H29"/>
    <mergeCell ref="I27:I29"/>
    <mergeCell ref="J27:J29"/>
    <mergeCell ref="K27:K29"/>
    <mergeCell ref="L27:L29"/>
    <mergeCell ref="M27:N27"/>
    <mergeCell ref="U30:U32"/>
    <mergeCell ref="M31:N31"/>
    <mergeCell ref="P31:Q31"/>
    <mergeCell ref="M32:N32"/>
    <mergeCell ref="P32:Q32"/>
    <mergeCell ref="G30:G32"/>
    <mergeCell ref="H30:H32"/>
    <mergeCell ref="I30:I32"/>
    <mergeCell ref="J30:J32"/>
    <mergeCell ref="K30:K32"/>
    <mergeCell ref="L30:L32"/>
    <mergeCell ref="A33:A35"/>
    <mergeCell ref="B33:B35"/>
    <mergeCell ref="C33:C35"/>
    <mergeCell ref="D33:D35"/>
    <mergeCell ref="E33:E35"/>
    <mergeCell ref="F33:F35"/>
    <mergeCell ref="M30:N30"/>
    <mergeCell ref="P30:Q30"/>
    <mergeCell ref="S30:T32"/>
    <mergeCell ref="A30:A32"/>
    <mergeCell ref="B30:B32"/>
    <mergeCell ref="C30:C32"/>
    <mergeCell ref="D30:D32"/>
    <mergeCell ref="E30:E32"/>
    <mergeCell ref="F30:F32"/>
    <mergeCell ref="M33:N33"/>
    <mergeCell ref="P33:Q33"/>
    <mergeCell ref="S33:T35"/>
    <mergeCell ref="U33:U35"/>
    <mergeCell ref="M34:N34"/>
    <mergeCell ref="P34:Q34"/>
    <mergeCell ref="M35:N35"/>
    <mergeCell ref="P35:Q35"/>
    <mergeCell ref="G33:G35"/>
    <mergeCell ref="H33:H35"/>
    <mergeCell ref="I33:I35"/>
    <mergeCell ref="J33:J35"/>
    <mergeCell ref="K33:K35"/>
    <mergeCell ref="L33:L35"/>
    <mergeCell ref="A38:E38"/>
    <mergeCell ref="J38:U38"/>
    <mergeCell ref="J39:L40"/>
    <mergeCell ref="M39:O39"/>
    <mergeCell ref="P39:R39"/>
    <mergeCell ref="S39:U39"/>
    <mergeCell ref="A40:A41"/>
    <mergeCell ref="B40:B41"/>
    <mergeCell ref="C40:C41"/>
    <mergeCell ref="D40:D41"/>
    <mergeCell ref="E40:E41"/>
    <mergeCell ref="F40:F41"/>
    <mergeCell ref="J41:L41"/>
    <mergeCell ref="G38:H39"/>
    <mergeCell ref="G40:G41"/>
    <mergeCell ref="H40:H41"/>
    <mergeCell ref="A42:A43"/>
    <mergeCell ref="B42:B43"/>
    <mergeCell ref="C42:C43"/>
    <mergeCell ref="D42:D43"/>
    <mergeCell ref="E42:E43"/>
    <mergeCell ref="F42:F43"/>
    <mergeCell ref="G42:G43"/>
    <mergeCell ref="H42:H43"/>
    <mergeCell ref="J42:L42"/>
    <mergeCell ref="J43:L43"/>
    <mergeCell ref="Q46:U46"/>
    <mergeCell ref="A47:A48"/>
    <mergeCell ref="E47:J50"/>
    <mergeCell ref="M47:P47"/>
    <mergeCell ref="M48:P48"/>
    <mergeCell ref="S48:T48"/>
    <mergeCell ref="A44:A45"/>
    <mergeCell ref="B44:B45"/>
    <mergeCell ref="C44:C45"/>
    <mergeCell ref="D44:D45"/>
    <mergeCell ref="E44:E45"/>
    <mergeCell ref="A49:A50"/>
    <mergeCell ref="M49:P49"/>
    <mergeCell ref="F44:F45"/>
    <mergeCell ref="G44:G45"/>
    <mergeCell ref="H44:H45"/>
    <mergeCell ref="F46:H46"/>
  </mergeCells>
  <dataValidations count="4">
    <dataValidation type="list" allowBlank="1" showInputMessage="1" showErrorMessage="1" prompt="Select from drop down list" sqref="C9:G9">
      <formula1>"GeneXpert (Sputum &amp; EP), GeneXpert (Stool), Truenat"</formula1>
    </dataValidation>
    <dataValidation type="whole" allowBlank="1" showInputMessage="1" showErrorMessage="1" prompt="Fill the following Others (Specify) table to get the number automatically " sqref="S27:T35">
      <formula1>0</formula1>
      <formula2>999999</formula2>
    </dataValidation>
    <dataValidation type="whole" allowBlank="1" showInputMessage="1" showErrorMessage="1" sqref="E27:L35 M41:U43 O27:O35 R27:R35 B27:C35 B40:D45">
      <formula1>0</formula1>
      <formula2>999999</formula2>
    </dataValidation>
    <dataValidation allowBlank="1" showInputMessage="1" showErrorMessage="1" prompt="Date Format:_x000a_DD/MM/YYYY" sqref="S48 P9"/>
  </dataValidations>
  <pageMargins left="0.21" right="0.17" top="0.47" bottom="0.22" header="0.23" footer="0.16"/>
  <pageSetup paperSize="9" scale="66"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Q17"/>
  <sheetViews>
    <sheetView showGridLines="0" view="pageBreakPreview" topLeftCell="A7" zoomScaleSheetLayoutView="100" workbookViewId="0">
      <selection activeCell="A10" sqref="A10"/>
    </sheetView>
  </sheetViews>
  <sheetFormatPr defaultRowHeight="14.4" x14ac:dyDescent="0.3"/>
  <cols>
    <col min="1" max="1" width="6" style="91" customWidth="1"/>
    <col min="2" max="2" width="17.5546875" style="91" customWidth="1"/>
    <col min="3" max="3" width="5.33203125" style="91" customWidth="1"/>
    <col min="4" max="4" width="5" style="91" customWidth="1"/>
    <col min="5" max="5" width="11.5546875" style="91" bestFit="1" customWidth="1"/>
    <col min="6" max="6" width="19.5546875" style="91" customWidth="1"/>
    <col min="7" max="7" width="14.44140625" style="91" customWidth="1"/>
    <col min="8" max="8" width="10.33203125" style="91" customWidth="1"/>
    <col min="9" max="9" width="15.6640625" style="91" customWidth="1"/>
    <col min="10" max="11" width="10.6640625" style="91" customWidth="1"/>
    <col min="12" max="12" width="12.33203125" style="91" customWidth="1"/>
    <col min="13" max="13" width="7.6640625" style="91" customWidth="1"/>
    <col min="14" max="14" width="8.44140625" style="91" customWidth="1"/>
    <col min="15" max="15" width="7.6640625" style="91" customWidth="1"/>
    <col min="16" max="16" width="9.5546875" style="91" customWidth="1"/>
    <col min="17" max="17" width="7.6640625" style="91" customWidth="1"/>
    <col min="18" max="19" width="8.33203125" style="91" customWidth="1"/>
    <col min="20" max="20" width="14.33203125" style="91" customWidth="1"/>
    <col min="21" max="21" width="9.33203125" style="91" customWidth="1"/>
    <col min="22" max="22" width="10.6640625" style="91" bestFit="1" customWidth="1"/>
    <col min="23" max="23" width="10.33203125" style="91" customWidth="1"/>
    <col min="24" max="24" width="9.33203125" style="91"/>
    <col min="25" max="25" width="13.6640625" style="91" customWidth="1"/>
    <col min="26" max="259" width="9.33203125" style="91"/>
    <col min="260" max="260" width="6" style="91" customWidth="1"/>
    <col min="261" max="261" width="22.33203125" style="91" customWidth="1"/>
    <col min="262" max="262" width="5.44140625" style="91" customWidth="1"/>
    <col min="263" max="263" width="5.33203125" style="91" customWidth="1"/>
    <col min="264" max="264" width="21.33203125" style="91" customWidth="1"/>
    <col min="265" max="265" width="17.33203125" style="91" customWidth="1"/>
    <col min="266" max="266" width="10.33203125" style="91" customWidth="1"/>
    <col min="267" max="267" width="15" style="91" customWidth="1"/>
    <col min="268" max="268" width="10.33203125" style="91" customWidth="1"/>
    <col min="269" max="269" width="15.6640625" style="91" customWidth="1"/>
    <col min="270" max="270" width="9.5546875" style="91" customWidth="1"/>
    <col min="271" max="271" width="11.44140625" style="91" customWidth="1"/>
    <col min="272" max="272" width="12" style="91" customWidth="1"/>
    <col min="273" max="515" width="9.33203125" style="91"/>
    <col min="516" max="516" width="6" style="91" customWidth="1"/>
    <col min="517" max="517" width="22.33203125" style="91" customWidth="1"/>
    <col min="518" max="518" width="5.44140625" style="91" customWidth="1"/>
    <col min="519" max="519" width="5.33203125" style="91" customWidth="1"/>
    <col min="520" max="520" width="21.33203125" style="91" customWidth="1"/>
    <col min="521" max="521" width="17.33203125" style="91" customWidth="1"/>
    <col min="522" max="522" width="10.33203125" style="91" customWidth="1"/>
    <col min="523" max="523" width="15" style="91" customWidth="1"/>
    <col min="524" max="524" width="10.33203125" style="91" customWidth="1"/>
    <col min="525" max="525" width="15.6640625" style="91" customWidth="1"/>
    <col min="526" max="526" width="9.5546875" style="91" customWidth="1"/>
    <col min="527" max="527" width="11.44140625" style="91" customWidth="1"/>
    <col min="528" max="528" width="12" style="91" customWidth="1"/>
    <col min="529" max="771" width="9.33203125" style="91"/>
    <col min="772" max="772" width="6" style="91" customWidth="1"/>
    <col min="773" max="773" width="22.33203125" style="91" customWidth="1"/>
    <col min="774" max="774" width="5.44140625" style="91" customWidth="1"/>
    <col min="775" max="775" width="5.33203125" style="91" customWidth="1"/>
    <col min="776" max="776" width="21.33203125" style="91" customWidth="1"/>
    <col min="777" max="777" width="17.33203125" style="91" customWidth="1"/>
    <col min="778" max="778" width="10.33203125" style="91" customWidth="1"/>
    <col min="779" max="779" width="15" style="91" customWidth="1"/>
    <col min="780" max="780" width="10.33203125" style="91" customWidth="1"/>
    <col min="781" max="781" width="15.6640625" style="91" customWidth="1"/>
    <col min="782" max="782" width="9.5546875" style="91" customWidth="1"/>
    <col min="783" max="783" width="11.44140625" style="91" customWidth="1"/>
    <col min="784" max="784" width="12" style="91" customWidth="1"/>
    <col min="785" max="1027" width="9.33203125" style="91"/>
    <col min="1028" max="1028" width="6" style="91" customWidth="1"/>
    <col min="1029" max="1029" width="22.33203125" style="91" customWidth="1"/>
    <col min="1030" max="1030" width="5.44140625" style="91" customWidth="1"/>
    <col min="1031" max="1031" width="5.33203125" style="91" customWidth="1"/>
    <col min="1032" max="1032" width="21.33203125" style="91" customWidth="1"/>
    <col min="1033" max="1033" width="17.33203125" style="91" customWidth="1"/>
    <col min="1034" max="1034" width="10.33203125" style="91" customWidth="1"/>
    <col min="1035" max="1035" width="15" style="91" customWidth="1"/>
    <col min="1036" max="1036" width="10.33203125" style="91" customWidth="1"/>
    <col min="1037" max="1037" width="15.6640625" style="91" customWidth="1"/>
    <col min="1038" max="1038" width="9.5546875" style="91" customWidth="1"/>
    <col min="1039" max="1039" width="11.44140625" style="91" customWidth="1"/>
    <col min="1040" max="1040" width="12" style="91" customWidth="1"/>
    <col min="1041" max="1283" width="9.33203125" style="91"/>
    <col min="1284" max="1284" width="6" style="91" customWidth="1"/>
    <col min="1285" max="1285" width="22.33203125" style="91" customWidth="1"/>
    <col min="1286" max="1286" width="5.44140625" style="91" customWidth="1"/>
    <col min="1287" max="1287" width="5.33203125" style="91" customWidth="1"/>
    <col min="1288" max="1288" width="21.33203125" style="91" customWidth="1"/>
    <col min="1289" max="1289" width="17.33203125" style="91" customWidth="1"/>
    <col min="1290" max="1290" width="10.33203125" style="91" customWidth="1"/>
    <col min="1291" max="1291" width="15" style="91" customWidth="1"/>
    <col min="1292" max="1292" width="10.33203125" style="91" customWidth="1"/>
    <col min="1293" max="1293" width="15.6640625" style="91" customWidth="1"/>
    <col min="1294" max="1294" width="9.5546875" style="91" customWidth="1"/>
    <col min="1295" max="1295" width="11.44140625" style="91" customWidth="1"/>
    <col min="1296" max="1296" width="12" style="91" customWidth="1"/>
    <col min="1297" max="1539" width="9.33203125" style="91"/>
    <col min="1540" max="1540" width="6" style="91" customWidth="1"/>
    <col min="1541" max="1541" width="22.33203125" style="91" customWidth="1"/>
    <col min="1542" max="1542" width="5.44140625" style="91" customWidth="1"/>
    <col min="1543" max="1543" width="5.33203125" style="91" customWidth="1"/>
    <col min="1544" max="1544" width="21.33203125" style="91" customWidth="1"/>
    <col min="1545" max="1545" width="17.33203125" style="91" customWidth="1"/>
    <col min="1546" max="1546" width="10.33203125" style="91" customWidth="1"/>
    <col min="1547" max="1547" width="15" style="91" customWidth="1"/>
    <col min="1548" max="1548" width="10.33203125" style="91" customWidth="1"/>
    <col min="1549" max="1549" width="15.6640625" style="91" customWidth="1"/>
    <col min="1550" max="1550" width="9.5546875" style="91" customWidth="1"/>
    <col min="1551" max="1551" width="11.44140625" style="91" customWidth="1"/>
    <col min="1552" max="1552" width="12" style="91" customWidth="1"/>
    <col min="1553" max="1795" width="9.33203125" style="91"/>
    <col min="1796" max="1796" width="6" style="91" customWidth="1"/>
    <col min="1797" max="1797" width="22.33203125" style="91" customWidth="1"/>
    <col min="1798" max="1798" width="5.44140625" style="91" customWidth="1"/>
    <col min="1799" max="1799" width="5.33203125" style="91" customWidth="1"/>
    <col min="1800" max="1800" width="21.33203125" style="91" customWidth="1"/>
    <col min="1801" max="1801" width="17.33203125" style="91" customWidth="1"/>
    <col min="1802" max="1802" width="10.33203125" style="91" customWidth="1"/>
    <col min="1803" max="1803" width="15" style="91" customWidth="1"/>
    <col min="1804" max="1804" width="10.33203125" style="91" customWidth="1"/>
    <col min="1805" max="1805" width="15.6640625" style="91" customWidth="1"/>
    <col min="1806" max="1806" width="9.5546875" style="91" customWidth="1"/>
    <col min="1807" max="1807" width="11.44140625" style="91" customWidth="1"/>
    <col min="1808" max="1808" width="12" style="91" customWidth="1"/>
    <col min="1809" max="2051" width="9.33203125" style="91"/>
    <col min="2052" max="2052" width="6" style="91" customWidth="1"/>
    <col min="2053" max="2053" width="22.33203125" style="91" customWidth="1"/>
    <col min="2054" max="2054" width="5.44140625" style="91" customWidth="1"/>
    <col min="2055" max="2055" width="5.33203125" style="91" customWidth="1"/>
    <col min="2056" max="2056" width="21.33203125" style="91" customWidth="1"/>
    <col min="2057" max="2057" width="17.33203125" style="91" customWidth="1"/>
    <col min="2058" max="2058" width="10.33203125" style="91" customWidth="1"/>
    <col min="2059" max="2059" width="15" style="91" customWidth="1"/>
    <col min="2060" max="2060" width="10.33203125" style="91" customWidth="1"/>
    <col min="2061" max="2061" width="15.6640625" style="91" customWidth="1"/>
    <col min="2062" max="2062" width="9.5546875" style="91" customWidth="1"/>
    <col min="2063" max="2063" width="11.44140625" style="91" customWidth="1"/>
    <col min="2064" max="2064" width="12" style="91" customWidth="1"/>
    <col min="2065" max="2307" width="9.33203125" style="91"/>
    <col min="2308" max="2308" width="6" style="91" customWidth="1"/>
    <col min="2309" max="2309" width="22.33203125" style="91" customWidth="1"/>
    <col min="2310" max="2310" width="5.44140625" style="91" customWidth="1"/>
    <col min="2311" max="2311" width="5.33203125" style="91" customWidth="1"/>
    <col min="2312" max="2312" width="21.33203125" style="91" customWidth="1"/>
    <col min="2313" max="2313" width="17.33203125" style="91" customWidth="1"/>
    <col min="2314" max="2314" width="10.33203125" style="91" customWidth="1"/>
    <col min="2315" max="2315" width="15" style="91" customWidth="1"/>
    <col min="2316" max="2316" width="10.33203125" style="91" customWidth="1"/>
    <col min="2317" max="2317" width="15.6640625" style="91" customWidth="1"/>
    <col min="2318" max="2318" width="9.5546875" style="91" customWidth="1"/>
    <col min="2319" max="2319" width="11.44140625" style="91" customWidth="1"/>
    <col min="2320" max="2320" width="12" style="91" customWidth="1"/>
    <col min="2321" max="2563" width="9.33203125" style="91"/>
    <col min="2564" max="2564" width="6" style="91" customWidth="1"/>
    <col min="2565" max="2565" width="22.33203125" style="91" customWidth="1"/>
    <col min="2566" max="2566" width="5.44140625" style="91" customWidth="1"/>
    <col min="2567" max="2567" width="5.33203125" style="91" customWidth="1"/>
    <col min="2568" max="2568" width="21.33203125" style="91" customWidth="1"/>
    <col min="2569" max="2569" width="17.33203125" style="91" customWidth="1"/>
    <col min="2570" max="2570" width="10.33203125" style="91" customWidth="1"/>
    <col min="2571" max="2571" width="15" style="91" customWidth="1"/>
    <col min="2572" max="2572" width="10.33203125" style="91" customWidth="1"/>
    <col min="2573" max="2573" width="15.6640625" style="91" customWidth="1"/>
    <col min="2574" max="2574" width="9.5546875" style="91" customWidth="1"/>
    <col min="2575" max="2575" width="11.44140625" style="91" customWidth="1"/>
    <col min="2576" max="2576" width="12" style="91" customWidth="1"/>
    <col min="2577" max="2819" width="9.33203125" style="91"/>
    <col min="2820" max="2820" width="6" style="91" customWidth="1"/>
    <col min="2821" max="2821" width="22.33203125" style="91" customWidth="1"/>
    <col min="2822" max="2822" width="5.44140625" style="91" customWidth="1"/>
    <col min="2823" max="2823" width="5.33203125" style="91" customWidth="1"/>
    <col min="2824" max="2824" width="21.33203125" style="91" customWidth="1"/>
    <col min="2825" max="2825" width="17.33203125" style="91" customWidth="1"/>
    <col min="2826" max="2826" width="10.33203125" style="91" customWidth="1"/>
    <col min="2827" max="2827" width="15" style="91" customWidth="1"/>
    <col min="2828" max="2828" width="10.33203125" style="91" customWidth="1"/>
    <col min="2829" max="2829" width="15.6640625" style="91" customWidth="1"/>
    <col min="2830" max="2830" width="9.5546875" style="91" customWidth="1"/>
    <col min="2831" max="2831" width="11.44140625" style="91" customWidth="1"/>
    <col min="2832" max="2832" width="12" style="91" customWidth="1"/>
    <col min="2833" max="3075" width="9.33203125" style="91"/>
    <col min="3076" max="3076" width="6" style="91" customWidth="1"/>
    <col min="3077" max="3077" width="22.33203125" style="91" customWidth="1"/>
    <col min="3078" max="3078" width="5.44140625" style="91" customWidth="1"/>
    <col min="3079" max="3079" width="5.33203125" style="91" customWidth="1"/>
    <col min="3080" max="3080" width="21.33203125" style="91" customWidth="1"/>
    <col min="3081" max="3081" width="17.33203125" style="91" customWidth="1"/>
    <col min="3082" max="3082" width="10.33203125" style="91" customWidth="1"/>
    <col min="3083" max="3083" width="15" style="91" customWidth="1"/>
    <col min="3084" max="3084" width="10.33203125" style="91" customWidth="1"/>
    <col min="3085" max="3085" width="15.6640625" style="91" customWidth="1"/>
    <col min="3086" max="3086" width="9.5546875" style="91" customWidth="1"/>
    <col min="3087" max="3087" width="11.44140625" style="91" customWidth="1"/>
    <col min="3088" max="3088" width="12" style="91" customWidth="1"/>
    <col min="3089" max="3331" width="9.33203125" style="91"/>
    <col min="3332" max="3332" width="6" style="91" customWidth="1"/>
    <col min="3333" max="3333" width="22.33203125" style="91" customWidth="1"/>
    <col min="3334" max="3334" width="5.44140625" style="91" customWidth="1"/>
    <col min="3335" max="3335" width="5.33203125" style="91" customWidth="1"/>
    <col min="3336" max="3336" width="21.33203125" style="91" customWidth="1"/>
    <col min="3337" max="3337" width="17.33203125" style="91" customWidth="1"/>
    <col min="3338" max="3338" width="10.33203125" style="91" customWidth="1"/>
    <col min="3339" max="3339" width="15" style="91" customWidth="1"/>
    <col min="3340" max="3340" width="10.33203125" style="91" customWidth="1"/>
    <col min="3341" max="3341" width="15.6640625" style="91" customWidth="1"/>
    <col min="3342" max="3342" width="9.5546875" style="91" customWidth="1"/>
    <col min="3343" max="3343" width="11.44140625" style="91" customWidth="1"/>
    <col min="3344" max="3344" width="12" style="91" customWidth="1"/>
    <col min="3345" max="3587" width="9.33203125" style="91"/>
    <col min="3588" max="3588" width="6" style="91" customWidth="1"/>
    <col min="3589" max="3589" width="22.33203125" style="91" customWidth="1"/>
    <col min="3590" max="3590" width="5.44140625" style="91" customWidth="1"/>
    <col min="3591" max="3591" width="5.33203125" style="91" customWidth="1"/>
    <col min="3592" max="3592" width="21.33203125" style="91" customWidth="1"/>
    <col min="3593" max="3593" width="17.33203125" style="91" customWidth="1"/>
    <col min="3594" max="3594" width="10.33203125" style="91" customWidth="1"/>
    <col min="3595" max="3595" width="15" style="91" customWidth="1"/>
    <col min="3596" max="3596" width="10.33203125" style="91" customWidth="1"/>
    <col min="3597" max="3597" width="15.6640625" style="91" customWidth="1"/>
    <col min="3598" max="3598" width="9.5546875" style="91" customWidth="1"/>
    <col min="3599" max="3599" width="11.44140625" style="91" customWidth="1"/>
    <col min="3600" max="3600" width="12" style="91" customWidth="1"/>
    <col min="3601" max="3843" width="9.33203125" style="91"/>
    <col min="3844" max="3844" width="6" style="91" customWidth="1"/>
    <col min="3845" max="3845" width="22.33203125" style="91" customWidth="1"/>
    <col min="3846" max="3846" width="5.44140625" style="91" customWidth="1"/>
    <col min="3847" max="3847" width="5.33203125" style="91" customWidth="1"/>
    <col min="3848" max="3848" width="21.33203125" style="91" customWidth="1"/>
    <col min="3849" max="3849" width="17.33203125" style="91" customWidth="1"/>
    <col min="3850" max="3850" width="10.33203125" style="91" customWidth="1"/>
    <col min="3851" max="3851" width="15" style="91" customWidth="1"/>
    <col min="3852" max="3852" width="10.33203125" style="91" customWidth="1"/>
    <col min="3853" max="3853" width="15.6640625" style="91" customWidth="1"/>
    <col min="3854" max="3854" width="9.5546875" style="91" customWidth="1"/>
    <col min="3855" max="3855" width="11.44140625" style="91" customWidth="1"/>
    <col min="3856" max="3856" width="12" style="91" customWidth="1"/>
    <col min="3857" max="4099" width="9.33203125" style="91"/>
    <col min="4100" max="4100" width="6" style="91" customWidth="1"/>
    <col min="4101" max="4101" width="22.33203125" style="91" customWidth="1"/>
    <col min="4102" max="4102" width="5.44140625" style="91" customWidth="1"/>
    <col min="4103" max="4103" width="5.33203125" style="91" customWidth="1"/>
    <col min="4104" max="4104" width="21.33203125" style="91" customWidth="1"/>
    <col min="4105" max="4105" width="17.33203125" style="91" customWidth="1"/>
    <col min="4106" max="4106" width="10.33203125" style="91" customWidth="1"/>
    <col min="4107" max="4107" width="15" style="91" customWidth="1"/>
    <col min="4108" max="4108" width="10.33203125" style="91" customWidth="1"/>
    <col min="4109" max="4109" width="15.6640625" style="91" customWidth="1"/>
    <col min="4110" max="4110" width="9.5546875" style="91" customWidth="1"/>
    <col min="4111" max="4111" width="11.44140625" style="91" customWidth="1"/>
    <col min="4112" max="4112" width="12" style="91" customWidth="1"/>
    <col min="4113" max="4355" width="9.33203125" style="91"/>
    <col min="4356" max="4356" width="6" style="91" customWidth="1"/>
    <col min="4357" max="4357" width="22.33203125" style="91" customWidth="1"/>
    <col min="4358" max="4358" width="5.44140625" style="91" customWidth="1"/>
    <col min="4359" max="4359" width="5.33203125" style="91" customWidth="1"/>
    <col min="4360" max="4360" width="21.33203125" style="91" customWidth="1"/>
    <col min="4361" max="4361" width="17.33203125" style="91" customWidth="1"/>
    <col min="4362" max="4362" width="10.33203125" style="91" customWidth="1"/>
    <col min="4363" max="4363" width="15" style="91" customWidth="1"/>
    <col min="4364" max="4364" width="10.33203125" style="91" customWidth="1"/>
    <col min="4365" max="4365" width="15.6640625" style="91" customWidth="1"/>
    <col min="4366" max="4366" width="9.5546875" style="91" customWidth="1"/>
    <col min="4367" max="4367" width="11.44140625" style="91" customWidth="1"/>
    <col min="4368" max="4368" width="12" style="91" customWidth="1"/>
    <col min="4369" max="4611" width="9.33203125" style="91"/>
    <col min="4612" max="4612" width="6" style="91" customWidth="1"/>
    <col min="4613" max="4613" width="22.33203125" style="91" customWidth="1"/>
    <col min="4614" max="4614" width="5.44140625" style="91" customWidth="1"/>
    <col min="4615" max="4615" width="5.33203125" style="91" customWidth="1"/>
    <col min="4616" max="4616" width="21.33203125" style="91" customWidth="1"/>
    <col min="4617" max="4617" width="17.33203125" style="91" customWidth="1"/>
    <col min="4618" max="4618" width="10.33203125" style="91" customWidth="1"/>
    <col min="4619" max="4619" width="15" style="91" customWidth="1"/>
    <col min="4620" max="4620" width="10.33203125" style="91" customWidth="1"/>
    <col min="4621" max="4621" width="15.6640625" style="91" customWidth="1"/>
    <col min="4622" max="4622" width="9.5546875" style="91" customWidth="1"/>
    <col min="4623" max="4623" width="11.44140625" style="91" customWidth="1"/>
    <col min="4624" max="4624" width="12" style="91" customWidth="1"/>
    <col min="4625" max="4867" width="9.33203125" style="91"/>
    <col min="4868" max="4868" width="6" style="91" customWidth="1"/>
    <col min="4869" max="4869" width="22.33203125" style="91" customWidth="1"/>
    <col min="4870" max="4870" width="5.44140625" style="91" customWidth="1"/>
    <col min="4871" max="4871" width="5.33203125" style="91" customWidth="1"/>
    <col min="4872" max="4872" width="21.33203125" style="91" customWidth="1"/>
    <col min="4873" max="4873" width="17.33203125" style="91" customWidth="1"/>
    <col min="4874" max="4874" width="10.33203125" style="91" customWidth="1"/>
    <col min="4875" max="4875" width="15" style="91" customWidth="1"/>
    <col min="4876" max="4876" width="10.33203125" style="91" customWidth="1"/>
    <col min="4877" max="4877" width="15.6640625" style="91" customWidth="1"/>
    <col min="4878" max="4878" width="9.5546875" style="91" customWidth="1"/>
    <col min="4879" max="4879" width="11.44140625" style="91" customWidth="1"/>
    <col min="4880" max="4880" width="12" style="91" customWidth="1"/>
    <col min="4881" max="5123" width="9.33203125" style="91"/>
    <col min="5124" max="5124" width="6" style="91" customWidth="1"/>
    <col min="5125" max="5125" width="22.33203125" style="91" customWidth="1"/>
    <col min="5126" max="5126" width="5.44140625" style="91" customWidth="1"/>
    <col min="5127" max="5127" width="5.33203125" style="91" customWidth="1"/>
    <col min="5128" max="5128" width="21.33203125" style="91" customWidth="1"/>
    <col min="5129" max="5129" width="17.33203125" style="91" customWidth="1"/>
    <col min="5130" max="5130" width="10.33203125" style="91" customWidth="1"/>
    <col min="5131" max="5131" width="15" style="91" customWidth="1"/>
    <col min="5132" max="5132" width="10.33203125" style="91" customWidth="1"/>
    <col min="5133" max="5133" width="15.6640625" style="91" customWidth="1"/>
    <col min="5134" max="5134" width="9.5546875" style="91" customWidth="1"/>
    <col min="5135" max="5135" width="11.44140625" style="91" customWidth="1"/>
    <col min="5136" max="5136" width="12" style="91" customWidth="1"/>
    <col min="5137" max="5379" width="9.33203125" style="91"/>
    <col min="5380" max="5380" width="6" style="91" customWidth="1"/>
    <col min="5381" max="5381" width="22.33203125" style="91" customWidth="1"/>
    <col min="5382" max="5382" width="5.44140625" style="91" customWidth="1"/>
    <col min="5383" max="5383" width="5.33203125" style="91" customWidth="1"/>
    <col min="5384" max="5384" width="21.33203125" style="91" customWidth="1"/>
    <col min="5385" max="5385" width="17.33203125" style="91" customWidth="1"/>
    <col min="5386" max="5386" width="10.33203125" style="91" customWidth="1"/>
    <col min="5387" max="5387" width="15" style="91" customWidth="1"/>
    <col min="5388" max="5388" width="10.33203125" style="91" customWidth="1"/>
    <col min="5389" max="5389" width="15.6640625" style="91" customWidth="1"/>
    <col min="5390" max="5390" width="9.5546875" style="91" customWidth="1"/>
    <col min="5391" max="5391" width="11.44140625" style="91" customWidth="1"/>
    <col min="5392" max="5392" width="12" style="91" customWidth="1"/>
    <col min="5393" max="5635" width="9.33203125" style="91"/>
    <col min="5636" max="5636" width="6" style="91" customWidth="1"/>
    <col min="5637" max="5637" width="22.33203125" style="91" customWidth="1"/>
    <col min="5638" max="5638" width="5.44140625" style="91" customWidth="1"/>
    <col min="5639" max="5639" width="5.33203125" style="91" customWidth="1"/>
    <col min="5640" max="5640" width="21.33203125" style="91" customWidth="1"/>
    <col min="5641" max="5641" width="17.33203125" style="91" customWidth="1"/>
    <col min="5642" max="5642" width="10.33203125" style="91" customWidth="1"/>
    <col min="5643" max="5643" width="15" style="91" customWidth="1"/>
    <col min="5644" max="5644" width="10.33203125" style="91" customWidth="1"/>
    <col min="5645" max="5645" width="15.6640625" style="91" customWidth="1"/>
    <col min="5646" max="5646" width="9.5546875" style="91" customWidth="1"/>
    <col min="5647" max="5647" width="11.44140625" style="91" customWidth="1"/>
    <col min="5648" max="5648" width="12" style="91" customWidth="1"/>
    <col min="5649" max="5891" width="9.33203125" style="91"/>
    <col min="5892" max="5892" width="6" style="91" customWidth="1"/>
    <col min="5893" max="5893" width="22.33203125" style="91" customWidth="1"/>
    <col min="5894" max="5894" width="5.44140625" style="91" customWidth="1"/>
    <col min="5895" max="5895" width="5.33203125" style="91" customWidth="1"/>
    <col min="5896" max="5896" width="21.33203125" style="91" customWidth="1"/>
    <col min="5897" max="5897" width="17.33203125" style="91" customWidth="1"/>
    <col min="5898" max="5898" width="10.33203125" style="91" customWidth="1"/>
    <col min="5899" max="5899" width="15" style="91" customWidth="1"/>
    <col min="5900" max="5900" width="10.33203125" style="91" customWidth="1"/>
    <col min="5901" max="5901" width="15.6640625" style="91" customWidth="1"/>
    <col min="5902" max="5902" width="9.5546875" style="91" customWidth="1"/>
    <col min="5903" max="5903" width="11.44140625" style="91" customWidth="1"/>
    <col min="5904" max="5904" width="12" style="91" customWidth="1"/>
    <col min="5905" max="6147" width="9.33203125" style="91"/>
    <col min="6148" max="6148" width="6" style="91" customWidth="1"/>
    <col min="6149" max="6149" width="22.33203125" style="91" customWidth="1"/>
    <col min="6150" max="6150" width="5.44140625" style="91" customWidth="1"/>
    <col min="6151" max="6151" width="5.33203125" style="91" customWidth="1"/>
    <col min="6152" max="6152" width="21.33203125" style="91" customWidth="1"/>
    <col min="6153" max="6153" width="17.33203125" style="91" customWidth="1"/>
    <col min="6154" max="6154" width="10.33203125" style="91" customWidth="1"/>
    <col min="6155" max="6155" width="15" style="91" customWidth="1"/>
    <col min="6156" max="6156" width="10.33203125" style="91" customWidth="1"/>
    <col min="6157" max="6157" width="15.6640625" style="91" customWidth="1"/>
    <col min="6158" max="6158" width="9.5546875" style="91" customWidth="1"/>
    <col min="6159" max="6159" width="11.44140625" style="91" customWidth="1"/>
    <col min="6160" max="6160" width="12" style="91" customWidth="1"/>
    <col min="6161" max="6403" width="9.33203125" style="91"/>
    <col min="6404" max="6404" width="6" style="91" customWidth="1"/>
    <col min="6405" max="6405" width="22.33203125" style="91" customWidth="1"/>
    <col min="6406" max="6406" width="5.44140625" style="91" customWidth="1"/>
    <col min="6407" max="6407" width="5.33203125" style="91" customWidth="1"/>
    <col min="6408" max="6408" width="21.33203125" style="91" customWidth="1"/>
    <col min="6409" max="6409" width="17.33203125" style="91" customWidth="1"/>
    <col min="6410" max="6410" width="10.33203125" style="91" customWidth="1"/>
    <col min="6411" max="6411" width="15" style="91" customWidth="1"/>
    <col min="6412" max="6412" width="10.33203125" style="91" customWidth="1"/>
    <col min="6413" max="6413" width="15.6640625" style="91" customWidth="1"/>
    <col min="6414" max="6414" width="9.5546875" style="91" customWidth="1"/>
    <col min="6415" max="6415" width="11.44140625" style="91" customWidth="1"/>
    <col min="6416" max="6416" width="12" style="91" customWidth="1"/>
    <col min="6417" max="6659" width="9.33203125" style="91"/>
    <col min="6660" max="6660" width="6" style="91" customWidth="1"/>
    <col min="6661" max="6661" width="22.33203125" style="91" customWidth="1"/>
    <col min="6662" max="6662" width="5.44140625" style="91" customWidth="1"/>
    <col min="6663" max="6663" width="5.33203125" style="91" customWidth="1"/>
    <col min="6664" max="6664" width="21.33203125" style="91" customWidth="1"/>
    <col min="6665" max="6665" width="17.33203125" style="91" customWidth="1"/>
    <col min="6666" max="6666" width="10.33203125" style="91" customWidth="1"/>
    <col min="6667" max="6667" width="15" style="91" customWidth="1"/>
    <col min="6668" max="6668" width="10.33203125" style="91" customWidth="1"/>
    <col min="6669" max="6669" width="15.6640625" style="91" customWidth="1"/>
    <col min="6670" max="6670" width="9.5546875" style="91" customWidth="1"/>
    <col min="6671" max="6671" width="11.44140625" style="91" customWidth="1"/>
    <col min="6672" max="6672" width="12" style="91" customWidth="1"/>
    <col min="6673" max="6915" width="9.33203125" style="91"/>
    <col min="6916" max="6916" width="6" style="91" customWidth="1"/>
    <col min="6917" max="6917" width="22.33203125" style="91" customWidth="1"/>
    <col min="6918" max="6918" width="5.44140625" style="91" customWidth="1"/>
    <col min="6919" max="6919" width="5.33203125" style="91" customWidth="1"/>
    <col min="6920" max="6920" width="21.33203125" style="91" customWidth="1"/>
    <col min="6921" max="6921" width="17.33203125" style="91" customWidth="1"/>
    <col min="6922" max="6922" width="10.33203125" style="91" customWidth="1"/>
    <col min="6923" max="6923" width="15" style="91" customWidth="1"/>
    <col min="6924" max="6924" width="10.33203125" style="91" customWidth="1"/>
    <col min="6925" max="6925" width="15.6640625" style="91" customWidth="1"/>
    <col min="6926" max="6926" width="9.5546875" style="91" customWidth="1"/>
    <col min="6927" max="6927" width="11.44140625" style="91" customWidth="1"/>
    <col min="6928" max="6928" width="12" style="91" customWidth="1"/>
    <col min="6929" max="7171" width="9.33203125" style="91"/>
    <col min="7172" max="7172" width="6" style="91" customWidth="1"/>
    <col min="7173" max="7173" width="22.33203125" style="91" customWidth="1"/>
    <col min="7174" max="7174" width="5.44140625" style="91" customWidth="1"/>
    <col min="7175" max="7175" width="5.33203125" style="91" customWidth="1"/>
    <col min="7176" max="7176" width="21.33203125" style="91" customWidth="1"/>
    <col min="7177" max="7177" width="17.33203125" style="91" customWidth="1"/>
    <col min="7178" max="7178" width="10.33203125" style="91" customWidth="1"/>
    <col min="7179" max="7179" width="15" style="91" customWidth="1"/>
    <col min="7180" max="7180" width="10.33203125" style="91" customWidth="1"/>
    <col min="7181" max="7181" width="15.6640625" style="91" customWidth="1"/>
    <col min="7182" max="7182" width="9.5546875" style="91" customWidth="1"/>
    <col min="7183" max="7183" width="11.44140625" style="91" customWidth="1"/>
    <col min="7184" max="7184" width="12" style="91" customWidth="1"/>
    <col min="7185" max="7427" width="9.33203125" style="91"/>
    <col min="7428" max="7428" width="6" style="91" customWidth="1"/>
    <col min="7429" max="7429" width="22.33203125" style="91" customWidth="1"/>
    <col min="7430" max="7430" width="5.44140625" style="91" customWidth="1"/>
    <col min="7431" max="7431" width="5.33203125" style="91" customWidth="1"/>
    <col min="7432" max="7432" width="21.33203125" style="91" customWidth="1"/>
    <col min="7433" max="7433" width="17.33203125" style="91" customWidth="1"/>
    <col min="7434" max="7434" width="10.33203125" style="91" customWidth="1"/>
    <col min="7435" max="7435" width="15" style="91" customWidth="1"/>
    <col min="7436" max="7436" width="10.33203125" style="91" customWidth="1"/>
    <col min="7437" max="7437" width="15.6640625" style="91" customWidth="1"/>
    <col min="7438" max="7438" width="9.5546875" style="91" customWidth="1"/>
    <col min="7439" max="7439" width="11.44140625" style="91" customWidth="1"/>
    <col min="7440" max="7440" width="12" style="91" customWidth="1"/>
    <col min="7441" max="7683" width="9.33203125" style="91"/>
    <col min="7684" max="7684" width="6" style="91" customWidth="1"/>
    <col min="7685" max="7685" width="22.33203125" style="91" customWidth="1"/>
    <col min="7686" max="7686" width="5.44140625" style="91" customWidth="1"/>
    <col min="7687" max="7687" width="5.33203125" style="91" customWidth="1"/>
    <col min="7688" max="7688" width="21.33203125" style="91" customWidth="1"/>
    <col min="7689" max="7689" width="17.33203125" style="91" customWidth="1"/>
    <col min="7690" max="7690" width="10.33203125" style="91" customWidth="1"/>
    <col min="7691" max="7691" width="15" style="91" customWidth="1"/>
    <col min="7692" max="7692" width="10.33203125" style="91" customWidth="1"/>
    <col min="7693" max="7693" width="15.6640625" style="91" customWidth="1"/>
    <col min="7694" max="7694" width="9.5546875" style="91" customWidth="1"/>
    <col min="7695" max="7695" width="11.44140625" style="91" customWidth="1"/>
    <col min="7696" max="7696" width="12" style="91" customWidth="1"/>
    <col min="7697" max="7939" width="9.33203125" style="91"/>
    <col min="7940" max="7940" width="6" style="91" customWidth="1"/>
    <col min="7941" max="7941" width="22.33203125" style="91" customWidth="1"/>
    <col min="7942" max="7942" width="5.44140625" style="91" customWidth="1"/>
    <col min="7943" max="7943" width="5.33203125" style="91" customWidth="1"/>
    <col min="7944" max="7944" width="21.33203125" style="91" customWidth="1"/>
    <col min="7945" max="7945" width="17.33203125" style="91" customWidth="1"/>
    <col min="7946" max="7946" width="10.33203125" style="91" customWidth="1"/>
    <col min="7947" max="7947" width="15" style="91" customWidth="1"/>
    <col min="7948" max="7948" width="10.33203125" style="91" customWidth="1"/>
    <col min="7949" max="7949" width="15.6640625" style="91" customWidth="1"/>
    <col min="7950" max="7950" width="9.5546875" style="91" customWidth="1"/>
    <col min="7951" max="7951" width="11.44140625" style="91" customWidth="1"/>
    <col min="7952" max="7952" width="12" style="91" customWidth="1"/>
    <col min="7953" max="8195" width="9.33203125" style="91"/>
    <col min="8196" max="8196" width="6" style="91" customWidth="1"/>
    <col min="8197" max="8197" width="22.33203125" style="91" customWidth="1"/>
    <col min="8198" max="8198" width="5.44140625" style="91" customWidth="1"/>
    <col min="8199" max="8199" width="5.33203125" style="91" customWidth="1"/>
    <col min="8200" max="8200" width="21.33203125" style="91" customWidth="1"/>
    <col min="8201" max="8201" width="17.33203125" style="91" customWidth="1"/>
    <col min="8202" max="8202" width="10.33203125" style="91" customWidth="1"/>
    <col min="8203" max="8203" width="15" style="91" customWidth="1"/>
    <col min="8204" max="8204" width="10.33203125" style="91" customWidth="1"/>
    <col min="8205" max="8205" width="15.6640625" style="91" customWidth="1"/>
    <col min="8206" max="8206" width="9.5546875" style="91" customWidth="1"/>
    <col min="8207" max="8207" width="11.44140625" style="91" customWidth="1"/>
    <col min="8208" max="8208" width="12" style="91" customWidth="1"/>
    <col min="8209" max="8451" width="9.33203125" style="91"/>
    <col min="8452" max="8452" width="6" style="91" customWidth="1"/>
    <col min="8453" max="8453" width="22.33203125" style="91" customWidth="1"/>
    <col min="8454" max="8454" width="5.44140625" style="91" customWidth="1"/>
    <col min="8455" max="8455" width="5.33203125" style="91" customWidth="1"/>
    <col min="8456" max="8456" width="21.33203125" style="91" customWidth="1"/>
    <col min="8457" max="8457" width="17.33203125" style="91" customWidth="1"/>
    <col min="8458" max="8458" width="10.33203125" style="91" customWidth="1"/>
    <col min="8459" max="8459" width="15" style="91" customWidth="1"/>
    <col min="8460" max="8460" width="10.33203125" style="91" customWidth="1"/>
    <col min="8461" max="8461" width="15.6640625" style="91" customWidth="1"/>
    <col min="8462" max="8462" width="9.5546875" style="91" customWidth="1"/>
    <col min="8463" max="8463" width="11.44140625" style="91" customWidth="1"/>
    <col min="8464" max="8464" width="12" style="91" customWidth="1"/>
    <col min="8465" max="8707" width="9.33203125" style="91"/>
    <col min="8708" max="8708" width="6" style="91" customWidth="1"/>
    <col min="8709" max="8709" width="22.33203125" style="91" customWidth="1"/>
    <col min="8710" max="8710" width="5.44140625" style="91" customWidth="1"/>
    <col min="8711" max="8711" width="5.33203125" style="91" customWidth="1"/>
    <col min="8712" max="8712" width="21.33203125" style="91" customWidth="1"/>
    <col min="8713" max="8713" width="17.33203125" style="91" customWidth="1"/>
    <col min="8714" max="8714" width="10.33203125" style="91" customWidth="1"/>
    <col min="8715" max="8715" width="15" style="91" customWidth="1"/>
    <col min="8716" max="8716" width="10.33203125" style="91" customWidth="1"/>
    <col min="8717" max="8717" width="15.6640625" style="91" customWidth="1"/>
    <col min="8718" max="8718" width="9.5546875" style="91" customWidth="1"/>
    <col min="8719" max="8719" width="11.44140625" style="91" customWidth="1"/>
    <col min="8720" max="8720" width="12" style="91" customWidth="1"/>
    <col min="8721" max="8963" width="9.33203125" style="91"/>
    <col min="8964" max="8964" width="6" style="91" customWidth="1"/>
    <col min="8965" max="8965" width="22.33203125" style="91" customWidth="1"/>
    <col min="8966" max="8966" width="5.44140625" style="91" customWidth="1"/>
    <col min="8967" max="8967" width="5.33203125" style="91" customWidth="1"/>
    <col min="8968" max="8968" width="21.33203125" style="91" customWidth="1"/>
    <col min="8969" max="8969" width="17.33203125" style="91" customWidth="1"/>
    <col min="8970" max="8970" width="10.33203125" style="91" customWidth="1"/>
    <col min="8971" max="8971" width="15" style="91" customWidth="1"/>
    <col min="8972" max="8972" width="10.33203125" style="91" customWidth="1"/>
    <col min="8973" max="8973" width="15.6640625" style="91" customWidth="1"/>
    <col min="8974" max="8974" width="9.5546875" style="91" customWidth="1"/>
    <col min="8975" max="8975" width="11.44140625" style="91" customWidth="1"/>
    <col min="8976" max="8976" width="12" style="91" customWidth="1"/>
    <col min="8977" max="9219" width="9.33203125" style="91"/>
    <col min="9220" max="9220" width="6" style="91" customWidth="1"/>
    <col min="9221" max="9221" width="22.33203125" style="91" customWidth="1"/>
    <col min="9222" max="9222" width="5.44140625" style="91" customWidth="1"/>
    <col min="9223" max="9223" width="5.33203125" style="91" customWidth="1"/>
    <col min="9224" max="9224" width="21.33203125" style="91" customWidth="1"/>
    <col min="9225" max="9225" width="17.33203125" style="91" customWidth="1"/>
    <col min="9226" max="9226" width="10.33203125" style="91" customWidth="1"/>
    <col min="9227" max="9227" width="15" style="91" customWidth="1"/>
    <col min="9228" max="9228" width="10.33203125" style="91" customWidth="1"/>
    <col min="9229" max="9229" width="15.6640625" style="91" customWidth="1"/>
    <col min="9230" max="9230" width="9.5546875" style="91" customWidth="1"/>
    <col min="9231" max="9231" width="11.44140625" style="91" customWidth="1"/>
    <col min="9232" max="9232" width="12" style="91" customWidth="1"/>
    <col min="9233" max="9475" width="9.33203125" style="91"/>
    <col min="9476" max="9476" width="6" style="91" customWidth="1"/>
    <col min="9477" max="9477" width="22.33203125" style="91" customWidth="1"/>
    <col min="9478" max="9478" width="5.44140625" style="91" customWidth="1"/>
    <col min="9479" max="9479" width="5.33203125" style="91" customWidth="1"/>
    <col min="9480" max="9480" width="21.33203125" style="91" customWidth="1"/>
    <col min="9481" max="9481" width="17.33203125" style="91" customWidth="1"/>
    <col min="9482" max="9482" width="10.33203125" style="91" customWidth="1"/>
    <col min="9483" max="9483" width="15" style="91" customWidth="1"/>
    <col min="9484" max="9484" width="10.33203125" style="91" customWidth="1"/>
    <col min="9485" max="9485" width="15.6640625" style="91" customWidth="1"/>
    <col min="9486" max="9486" width="9.5546875" style="91" customWidth="1"/>
    <col min="9487" max="9487" width="11.44140625" style="91" customWidth="1"/>
    <col min="9488" max="9488" width="12" style="91" customWidth="1"/>
    <col min="9489" max="9731" width="9.33203125" style="91"/>
    <col min="9732" max="9732" width="6" style="91" customWidth="1"/>
    <col min="9733" max="9733" width="22.33203125" style="91" customWidth="1"/>
    <col min="9734" max="9734" width="5.44140625" style="91" customWidth="1"/>
    <col min="9735" max="9735" width="5.33203125" style="91" customWidth="1"/>
    <col min="9736" max="9736" width="21.33203125" style="91" customWidth="1"/>
    <col min="9737" max="9737" width="17.33203125" style="91" customWidth="1"/>
    <col min="9738" max="9738" width="10.33203125" style="91" customWidth="1"/>
    <col min="9739" max="9739" width="15" style="91" customWidth="1"/>
    <col min="9740" max="9740" width="10.33203125" style="91" customWidth="1"/>
    <col min="9741" max="9741" width="15.6640625" style="91" customWidth="1"/>
    <col min="9742" max="9742" width="9.5546875" style="91" customWidth="1"/>
    <col min="9743" max="9743" width="11.44140625" style="91" customWidth="1"/>
    <col min="9744" max="9744" width="12" style="91" customWidth="1"/>
    <col min="9745" max="9987" width="9.33203125" style="91"/>
    <col min="9988" max="9988" width="6" style="91" customWidth="1"/>
    <col min="9989" max="9989" width="22.33203125" style="91" customWidth="1"/>
    <col min="9990" max="9990" width="5.44140625" style="91" customWidth="1"/>
    <col min="9991" max="9991" width="5.33203125" style="91" customWidth="1"/>
    <col min="9992" max="9992" width="21.33203125" style="91" customWidth="1"/>
    <col min="9993" max="9993" width="17.33203125" style="91" customWidth="1"/>
    <col min="9994" max="9994" width="10.33203125" style="91" customWidth="1"/>
    <col min="9995" max="9995" width="15" style="91" customWidth="1"/>
    <col min="9996" max="9996" width="10.33203125" style="91" customWidth="1"/>
    <col min="9997" max="9997" width="15.6640625" style="91" customWidth="1"/>
    <col min="9998" max="9998" width="9.5546875" style="91" customWidth="1"/>
    <col min="9999" max="9999" width="11.44140625" style="91" customWidth="1"/>
    <col min="10000" max="10000" width="12" style="91" customWidth="1"/>
    <col min="10001" max="10243" width="9.33203125" style="91"/>
    <col min="10244" max="10244" width="6" style="91" customWidth="1"/>
    <col min="10245" max="10245" width="22.33203125" style="91" customWidth="1"/>
    <col min="10246" max="10246" width="5.44140625" style="91" customWidth="1"/>
    <col min="10247" max="10247" width="5.33203125" style="91" customWidth="1"/>
    <col min="10248" max="10248" width="21.33203125" style="91" customWidth="1"/>
    <col min="10249" max="10249" width="17.33203125" style="91" customWidth="1"/>
    <col min="10250" max="10250" width="10.33203125" style="91" customWidth="1"/>
    <col min="10251" max="10251" width="15" style="91" customWidth="1"/>
    <col min="10252" max="10252" width="10.33203125" style="91" customWidth="1"/>
    <col min="10253" max="10253" width="15.6640625" style="91" customWidth="1"/>
    <col min="10254" max="10254" width="9.5546875" style="91" customWidth="1"/>
    <col min="10255" max="10255" width="11.44140625" style="91" customWidth="1"/>
    <col min="10256" max="10256" width="12" style="91" customWidth="1"/>
    <col min="10257" max="10499" width="9.33203125" style="91"/>
    <col min="10500" max="10500" width="6" style="91" customWidth="1"/>
    <col min="10501" max="10501" width="22.33203125" style="91" customWidth="1"/>
    <col min="10502" max="10502" width="5.44140625" style="91" customWidth="1"/>
    <col min="10503" max="10503" width="5.33203125" style="91" customWidth="1"/>
    <col min="10504" max="10504" width="21.33203125" style="91" customWidth="1"/>
    <col min="10505" max="10505" width="17.33203125" style="91" customWidth="1"/>
    <col min="10506" max="10506" width="10.33203125" style="91" customWidth="1"/>
    <col min="10507" max="10507" width="15" style="91" customWidth="1"/>
    <col min="10508" max="10508" width="10.33203125" style="91" customWidth="1"/>
    <col min="10509" max="10509" width="15.6640625" style="91" customWidth="1"/>
    <col min="10510" max="10510" width="9.5546875" style="91" customWidth="1"/>
    <col min="10511" max="10511" width="11.44140625" style="91" customWidth="1"/>
    <col min="10512" max="10512" width="12" style="91" customWidth="1"/>
    <col min="10513" max="10755" width="9.33203125" style="91"/>
    <col min="10756" max="10756" width="6" style="91" customWidth="1"/>
    <col min="10757" max="10757" width="22.33203125" style="91" customWidth="1"/>
    <col min="10758" max="10758" width="5.44140625" style="91" customWidth="1"/>
    <col min="10759" max="10759" width="5.33203125" style="91" customWidth="1"/>
    <col min="10760" max="10760" width="21.33203125" style="91" customWidth="1"/>
    <col min="10761" max="10761" width="17.33203125" style="91" customWidth="1"/>
    <col min="10762" max="10762" width="10.33203125" style="91" customWidth="1"/>
    <col min="10763" max="10763" width="15" style="91" customWidth="1"/>
    <col min="10764" max="10764" width="10.33203125" style="91" customWidth="1"/>
    <col min="10765" max="10765" width="15.6640625" style="91" customWidth="1"/>
    <col min="10766" max="10766" width="9.5546875" style="91" customWidth="1"/>
    <col min="10767" max="10767" width="11.44140625" style="91" customWidth="1"/>
    <col min="10768" max="10768" width="12" style="91" customWidth="1"/>
    <col min="10769" max="11011" width="9.33203125" style="91"/>
    <col min="11012" max="11012" width="6" style="91" customWidth="1"/>
    <col min="11013" max="11013" width="22.33203125" style="91" customWidth="1"/>
    <col min="11014" max="11014" width="5.44140625" style="91" customWidth="1"/>
    <col min="11015" max="11015" width="5.33203125" style="91" customWidth="1"/>
    <col min="11016" max="11016" width="21.33203125" style="91" customWidth="1"/>
    <col min="11017" max="11017" width="17.33203125" style="91" customWidth="1"/>
    <col min="11018" max="11018" width="10.33203125" style="91" customWidth="1"/>
    <col min="11019" max="11019" width="15" style="91" customWidth="1"/>
    <col min="11020" max="11020" width="10.33203125" style="91" customWidth="1"/>
    <col min="11021" max="11021" width="15.6640625" style="91" customWidth="1"/>
    <col min="11022" max="11022" width="9.5546875" style="91" customWidth="1"/>
    <col min="11023" max="11023" width="11.44140625" style="91" customWidth="1"/>
    <col min="11024" max="11024" width="12" style="91" customWidth="1"/>
    <col min="11025" max="11267" width="9.33203125" style="91"/>
    <col min="11268" max="11268" width="6" style="91" customWidth="1"/>
    <col min="11269" max="11269" width="22.33203125" style="91" customWidth="1"/>
    <col min="11270" max="11270" width="5.44140625" style="91" customWidth="1"/>
    <col min="11271" max="11271" width="5.33203125" style="91" customWidth="1"/>
    <col min="11272" max="11272" width="21.33203125" style="91" customWidth="1"/>
    <col min="11273" max="11273" width="17.33203125" style="91" customWidth="1"/>
    <col min="11274" max="11274" width="10.33203125" style="91" customWidth="1"/>
    <col min="11275" max="11275" width="15" style="91" customWidth="1"/>
    <col min="11276" max="11276" width="10.33203125" style="91" customWidth="1"/>
    <col min="11277" max="11277" width="15.6640625" style="91" customWidth="1"/>
    <col min="11278" max="11278" width="9.5546875" style="91" customWidth="1"/>
    <col min="11279" max="11279" width="11.44140625" style="91" customWidth="1"/>
    <col min="11280" max="11280" width="12" style="91" customWidth="1"/>
    <col min="11281" max="11523" width="9.33203125" style="91"/>
    <col min="11524" max="11524" width="6" style="91" customWidth="1"/>
    <col min="11525" max="11525" width="22.33203125" style="91" customWidth="1"/>
    <col min="11526" max="11526" width="5.44140625" style="91" customWidth="1"/>
    <col min="11527" max="11527" width="5.33203125" style="91" customWidth="1"/>
    <col min="11528" max="11528" width="21.33203125" style="91" customWidth="1"/>
    <col min="11529" max="11529" width="17.33203125" style="91" customWidth="1"/>
    <col min="11530" max="11530" width="10.33203125" style="91" customWidth="1"/>
    <col min="11531" max="11531" width="15" style="91" customWidth="1"/>
    <col min="11532" max="11532" width="10.33203125" style="91" customWidth="1"/>
    <col min="11533" max="11533" width="15.6640625" style="91" customWidth="1"/>
    <col min="11534" max="11534" width="9.5546875" style="91" customWidth="1"/>
    <col min="11535" max="11535" width="11.44140625" style="91" customWidth="1"/>
    <col min="11536" max="11536" width="12" style="91" customWidth="1"/>
    <col min="11537" max="11779" width="9.33203125" style="91"/>
    <col min="11780" max="11780" width="6" style="91" customWidth="1"/>
    <col min="11781" max="11781" width="22.33203125" style="91" customWidth="1"/>
    <col min="11782" max="11782" width="5.44140625" style="91" customWidth="1"/>
    <col min="11783" max="11783" width="5.33203125" style="91" customWidth="1"/>
    <col min="11784" max="11784" width="21.33203125" style="91" customWidth="1"/>
    <col min="11785" max="11785" width="17.33203125" style="91" customWidth="1"/>
    <col min="11786" max="11786" width="10.33203125" style="91" customWidth="1"/>
    <col min="11787" max="11787" width="15" style="91" customWidth="1"/>
    <col min="11788" max="11788" width="10.33203125" style="91" customWidth="1"/>
    <col min="11789" max="11789" width="15.6640625" style="91" customWidth="1"/>
    <col min="11790" max="11790" width="9.5546875" style="91" customWidth="1"/>
    <col min="11791" max="11791" width="11.44140625" style="91" customWidth="1"/>
    <col min="11792" max="11792" width="12" style="91" customWidth="1"/>
    <col min="11793" max="12035" width="9.33203125" style="91"/>
    <col min="12036" max="12036" width="6" style="91" customWidth="1"/>
    <col min="12037" max="12037" width="22.33203125" style="91" customWidth="1"/>
    <col min="12038" max="12038" width="5.44140625" style="91" customWidth="1"/>
    <col min="12039" max="12039" width="5.33203125" style="91" customWidth="1"/>
    <col min="12040" max="12040" width="21.33203125" style="91" customWidth="1"/>
    <col min="12041" max="12041" width="17.33203125" style="91" customWidth="1"/>
    <col min="12042" max="12042" width="10.33203125" style="91" customWidth="1"/>
    <col min="12043" max="12043" width="15" style="91" customWidth="1"/>
    <col min="12044" max="12044" width="10.33203125" style="91" customWidth="1"/>
    <col min="12045" max="12045" width="15.6640625" style="91" customWidth="1"/>
    <col min="12046" max="12046" width="9.5546875" style="91" customWidth="1"/>
    <col min="12047" max="12047" width="11.44140625" style="91" customWidth="1"/>
    <col min="12048" max="12048" width="12" style="91" customWidth="1"/>
    <col min="12049" max="12291" width="9.33203125" style="91"/>
    <col min="12292" max="12292" width="6" style="91" customWidth="1"/>
    <col min="12293" max="12293" width="22.33203125" style="91" customWidth="1"/>
    <col min="12294" max="12294" width="5.44140625" style="91" customWidth="1"/>
    <col min="12295" max="12295" width="5.33203125" style="91" customWidth="1"/>
    <col min="12296" max="12296" width="21.33203125" style="91" customWidth="1"/>
    <col min="12297" max="12297" width="17.33203125" style="91" customWidth="1"/>
    <col min="12298" max="12298" width="10.33203125" style="91" customWidth="1"/>
    <col min="12299" max="12299" width="15" style="91" customWidth="1"/>
    <col min="12300" max="12300" width="10.33203125" style="91" customWidth="1"/>
    <col min="12301" max="12301" width="15.6640625" style="91" customWidth="1"/>
    <col min="12302" max="12302" width="9.5546875" style="91" customWidth="1"/>
    <col min="12303" max="12303" width="11.44140625" style="91" customWidth="1"/>
    <col min="12304" max="12304" width="12" style="91" customWidth="1"/>
    <col min="12305" max="12547" width="9.33203125" style="91"/>
    <col min="12548" max="12548" width="6" style="91" customWidth="1"/>
    <col min="12549" max="12549" width="22.33203125" style="91" customWidth="1"/>
    <col min="12550" max="12550" width="5.44140625" style="91" customWidth="1"/>
    <col min="12551" max="12551" width="5.33203125" style="91" customWidth="1"/>
    <col min="12552" max="12552" width="21.33203125" style="91" customWidth="1"/>
    <col min="12553" max="12553" width="17.33203125" style="91" customWidth="1"/>
    <col min="12554" max="12554" width="10.33203125" style="91" customWidth="1"/>
    <col min="12555" max="12555" width="15" style="91" customWidth="1"/>
    <col min="12556" max="12556" width="10.33203125" style="91" customWidth="1"/>
    <col min="12557" max="12557" width="15.6640625" style="91" customWidth="1"/>
    <col min="12558" max="12558" width="9.5546875" style="91" customWidth="1"/>
    <col min="12559" max="12559" width="11.44140625" style="91" customWidth="1"/>
    <col min="12560" max="12560" width="12" style="91" customWidth="1"/>
    <col min="12561" max="12803" width="9.33203125" style="91"/>
    <col min="12804" max="12804" width="6" style="91" customWidth="1"/>
    <col min="12805" max="12805" width="22.33203125" style="91" customWidth="1"/>
    <col min="12806" max="12806" width="5.44140625" style="91" customWidth="1"/>
    <col min="12807" max="12807" width="5.33203125" style="91" customWidth="1"/>
    <col min="12808" max="12808" width="21.33203125" style="91" customWidth="1"/>
    <col min="12809" max="12809" width="17.33203125" style="91" customWidth="1"/>
    <col min="12810" max="12810" width="10.33203125" style="91" customWidth="1"/>
    <col min="12811" max="12811" width="15" style="91" customWidth="1"/>
    <col min="12812" max="12812" width="10.33203125" style="91" customWidth="1"/>
    <col min="12813" max="12813" width="15.6640625" style="91" customWidth="1"/>
    <col min="12814" max="12814" width="9.5546875" style="91" customWidth="1"/>
    <col min="12815" max="12815" width="11.44140625" style="91" customWidth="1"/>
    <col min="12816" max="12816" width="12" style="91" customWidth="1"/>
    <col min="12817" max="13059" width="9.33203125" style="91"/>
    <col min="13060" max="13060" width="6" style="91" customWidth="1"/>
    <col min="13061" max="13061" width="22.33203125" style="91" customWidth="1"/>
    <col min="13062" max="13062" width="5.44140625" style="91" customWidth="1"/>
    <col min="13063" max="13063" width="5.33203125" style="91" customWidth="1"/>
    <col min="13064" max="13064" width="21.33203125" style="91" customWidth="1"/>
    <col min="13065" max="13065" width="17.33203125" style="91" customWidth="1"/>
    <col min="13066" max="13066" width="10.33203125" style="91" customWidth="1"/>
    <col min="13067" max="13067" width="15" style="91" customWidth="1"/>
    <col min="13068" max="13068" width="10.33203125" style="91" customWidth="1"/>
    <col min="13069" max="13069" width="15.6640625" style="91" customWidth="1"/>
    <col min="13070" max="13070" width="9.5546875" style="91" customWidth="1"/>
    <col min="13071" max="13071" width="11.44140625" style="91" customWidth="1"/>
    <col min="13072" max="13072" width="12" style="91" customWidth="1"/>
    <col min="13073" max="13315" width="9.33203125" style="91"/>
    <col min="13316" max="13316" width="6" style="91" customWidth="1"/>
    <col min="13317" max="13317" width="22.33203125" style="91" customWidth="1"/>
    <col min="13318" max="13318" width="5.44140625" style="91" customWidth="1"/>
    <col min="13319" max="13319" width="5.33203125" style="91" customWidth="1"/>
    <col min="13320" max="13320" width="21.33203125" style="91" customWidth="1"/>
    <col min="13321" max="13321" width="17.33203125" style="91" customWidth="1"/>
    <col min="13322" max="13322" width="10.33203125" style="91" customWidth="1"/>
    <col min="13323" max="13323" width="15" style="91" customWidth="1"/>
    <col min="13324" max="13324" width="10.33203125" style="91" customWidth="1"/>
    <col min="13325" max="13325" width="15.6640625" style="91" customWidth="1"/>
    <col min="13326" max="13326" width="9.5546875" style="91" customWidth="1"/>
    <col min="13327" max="13327" width="11.44140625" style="91" customWidth="1"/>
    <col min="13328" max="13328" width="12" style="91" customWidth="1"/>
    <col min="13329" max="13571" width="9.33203125" style="91"/>
    <col min="13572" max="13572" width="6" style="91" customWidth="1"/>
    <col min="13573" max="13573" width="22.33203125" style="91" customWidth="1"/>
    <col min="13574" max="13574" width="5.44140625" style="91" customWidth="1"/>
    <col min="13575" max="13575" width="5.33203125" style="91" customWidth="1"/>
    <col min="13576" max="13576" width="21.33203125" style="91" customWidth="1"/>
    <col min="13577" max="13577" width="17.33203125" style="91" customWidth="1"/>
    <col min="13578" max="13578" width="10.33203125" style="91" customWidth="1"/>
    <col min="13579" max="13579" width="15" style="91" customWidth="1"/>
    <col min="13580" max="13580" width="10.33203125" style="91" customWidth="1"/>
    <col min="13581" max="13581" width="15.6640625" style="91" customWidth="1"/>
    <col min="13582" max="13582" width="9.5546875" style="91" customWidth="1"/>
    <col min="13583" max="13583" width="11.44140625" style="91" customWidth="1"/>
    <col min="13584" max="13584" width="12" style="91" customWidth="1"/>
    <col min="13585" max="13827" width="9.33203125" style="91"/>
    <col min="13828" max="13828" width="6" style="91" customWidth="1"/>
    <col min="13829" max="13829" width="22.33203125" style="91" customWidth="1"/>
    <col min="13830" max="13830" width="5.44140625" style="91" customWidth="1"/>
    <col min="13831" max="13831" width="5.33203125" style="91" customWidth="1"/>
    <col min="13832" max="13832" width="21.33203125" style="91" customWidth="1"/>
    <col min="13833" max="13833" width="17.33203125" style="91" customWidth="1"/>
    <col min="13834" max="13834" width="10.33203125" style="91" customWidth="1"/>
    <col min="13835" max="13835" width="15" style="91" customWidth="1"/>
    <col min="13836" max="13836" width="10.33203125" style="91" customWidth="1"/>
    <col min="13837" max="13837" width="15.6640625" style="91" customWidth="1"/>
    <col min="13838" max="13838" width="9.5546875" style="91" customWidth="1"/>
    <col min="13839" max="13839" width="11.44140625" style="91" customWidth="1"/>
    <col min="13840" max="13840" width="12" style="91" customWidth="1"/>
    <col min="13841" max="14083" width="9.33203125" style="91"/>
    <col min="14084" max="14084" width="6" style="91" customWidth="1"/>
    <col min="14085" max="14085" width="22.33203125" style="91" customWidth="1"/>
    <col min="14086" max="14086" width="5.44140625" style="91" customWidth="1"/>
    <col min="14087" max="14087" width="5.33203125" style="91" customWidth="1"/>
    <col min="14088" max="14088" width="21.33203125" style="91" customWidth="1"/>
    <col min="14089" max="14089" width="17.33203125" style="91" customWidth="1"/>
    <col min="14090" max="14090" width="10.33203125" style="91" customWidth="1"/>
    <col min="14091" max="14091" width="15" style="91" customWidth="1"/>
    <col min="14092" max="14092" width="10.33203125" style="91" customWidth="1"/>
    <col min="14093" max="14093" width="15.6640625" style="91" customWidth="1"/>
    <col min="14094" max="14094" width="9.5546875" style="91" customWidth="1"/>
    <col min="14095" max="14095" width="11.44140625" style="91" customWidth="1"/>
    <col min="14096" max="14096" width="12" style="91" customWidth="1"/>
    <col min="14097" max="14339" width="9.33203125" style="91"/>
    <col min="14340" max="14340" width="6" style="91" customWidth="1"/>
    <col min="14341" max="14341" width="22.33203125" style="91" customWidth="1"/>
    <col min="14342" max="14342" width="5.44140625" style="91" customWidth="1"/>
    <col min="14343" max="14343" width="5.33203125" style="91" customWidth="1"/>
    <col min="14344" max="14344" width="21.33203125" style="91" customWidth="1"/>
    <col min="14345" max="14345" width="17.33203125" style="91" customWidth="1"/>
    <col min="14346" max="14346" width="10.33203125" style="91" customWidth="1"/>
    <col min="14347" max="14347" width="15" style="91" customWidth="1"/>
    <col min="14348" max="14348" width="10.33203125" style="91" customWidth="1"/>
    <col min="14349" max="14349" width="15.6640625" style="91" customWidth="1"/>
    <col min="14350" max="14350" width="9.5546875" style="91" customWidth="1"/>
    <col min="14351" max="14351" width="11.44140625" style="91" customWidth="1"/>
    <col min="14352" max="14352" width="12" style="91" customWidth="1"/>
    <col min="14353" max="14595" width="9.33203125" style="91"/>
    <col min="14596" max="14596" width="6" style="91" customWidth="1"/>
    <col min="14597" max="14597" width="22.33203125" style="91" customWidth="1"/>
    <col min="14598" max="14598" width="5.44140625" style="91" customWidth="1"/>
    <col min="14599" max="14599" width="5.33203125" style="91" customWidth="1"/>
    <col min="14600" max="14600" width="21.33203125" style="91" customWidth="1"/>
    <col min="14601" max="14601" width="17.33203125" style="91" customWidth="1"/>
    <col min="14602" max="14602" width="10.33203125" style="91" customWidth="1"/>
    <col min="14603" max="14603" width="15" style="91" customWidth="1"/>
    <col min="14604" max="14604" width="10.33203125" style="91" customWidth="1"/>
    <col min="14605" max="14605" width="15.6640625" style="91" customWidth="1"/>
    <col min="14606" max="14606" width="9.5546875" style="91" customWidth="1"/>
    <col min="14607" max="14607" width="11.44140625" style="91" customWidth="1"/>
    <col min="14608" max="14608" width="12" style="91" customWidth="1"/>
    <col min="14609" max="14851" width="9.33203125" style="91"/>
    <col min="14852" max="14852" width="6" style="91" customWidth="1"/>
    <col min="14853" max="14853" width="22.33203125" style="91" customWidth="1"/>
    <col min="14854" max="14854" width="5.44140625" style="91" customWidth="1"/>
    <col min="14855" max="14855" width="5.33203125" style="91" customWidth="1"/>
    <col min="14856" max="14856" width="21.33203125" style="91" customWidth="1"/>
    <col min="14857" max="14857" width="17.33203125" style="91" customWidth="1"/>
    <col min="14858" max="14858" width="10.33203125" style="91" customWidth="1"/>
    <col min="14859" max="14859" width="15" style="91" customWidth="1"/>
    <col min="14860" max="14860" width="10.33203125" style="91" customWidth="1"/>
    <col min="14861" max="14861" width="15.6640625" style="91" customWidth="1"/>
    <col min="14862" max="14862" width="9.5546875" style="91" customWidth="1"/>
    <col min="14863" max="14863" width="11.44140625" style="91" customWidth="1"/>
    <col min="14864" max="14864" width="12" style="91" customWidth="1"/>
    <col min="14865" max="15107" width="9.33203125" style="91"/>
    <col min="15108" max="15108" width="6" style="91" customWidth="1"/>
    <col min="15109" max="15109" width="22.33203125" style="91" customWidth="1"/>
    <col min="15110" max="15110" width="5.44140625" style="91" customWidth="1"/>
    <col min="15111" max="15111" width="5.33203125" style="91" customWidth="1"/>
    <col min="15112" max="15112" width="21.33203125" style="91" customWidth="1"/>
    <col min="15113" max="15113" width="17.33203125" style="91" customWidth="1"/>
    <col min="15114" max="15114" width="10.33203125" style="91" customWidth="1"/>
    <col min="15115" max="15115" width="15" style="91" customWidth="1"/>
    <col min="15116" max="15116" width="10.33203125" style="91" customWidth="1"/>
    <col min="15117" max="15117" width="15.6640625" style="91" customWidth="1"/>
    <col min="15118" max="15118" width="9.5546875" style="91" customWidth="1"/>
    <col min="15119" max="15119" width="11.44140625" style="91" customWidth="1"/>
    <col min="15120" max="15120" width="12" style="91" customWidth="1"/>
    <col min="15121" max="15363" width="9.33203125" style="91"/>
    <col min="15364" max="15364" width="6" style="91" customWidth="1"/>
    <col min="15365" max="15365" width="22.33203125" style="91" customWidth="1"/>
    <col min="15366" max="15366" width="5.44140625" style="91" customWidth="1"/>
    <col min="15367" max="15367" width="5.33203125" style="91" customWidth="1"/>
    <col min="15368" max="15368" width="21.33203125" style="91" customWidth="1"/>
    <col min="15369" max="15369" width="17.33203125" style="91" customWidth="1"/>
    <col min="15370" max="15370" width="10.33203125" style="91" customWidth="1"/>
    <col min="15371" max="15371" width="15" style="91" customWidth="1"/>
    <col min="15372" max="15372" width="10.33203125" style="91" customWidth="1"/>
    <col min="15373" max="15373" width="15.6640625" style="91" customWidth="1"/>
    <col min="15374" max="15374" width="9.5546875" style="91" customWidth="1"/>
    <col min="15375" max="15375" width="11.44140625" style="91" customWidth="1"/>
    <col min="15376" max="15376" width="12" style="91" customWidth="1"/>
    <col min="15377" max="15619" width="9.33203125" style="91"/>
    <col min="15620" max="15620" width="6" style="91" customWidth="1"/>
    <col min="15621" max="15621" width="22.33203125" style="91" customWidth="1"/>
    <col min="15622" max="15622" width="5.44140625" style="91" customWidth="1"/>
    <col min="15623" max="15623" width="5.33203125" style="91" customWidth="1"/>
    <col min="15624" max="15624" width="21.33203125" style="91" customWidth="1"/>
    <col min="15625" max="15625" width="17.33203125" style="91" customWidth="1"/>
    <col min="15626" max="15626" width="10.33203125" style="91" customWidth="1"/>
    <col min="15627" max="15627" width="15" style="91" customWidth="1"/>
    <col min="15628" max="15628" width="10.33203125" style="91" customWidth="1"/>
    <col min="15629" max="15629" width="15.6640625" style="91" customWidth="1"/>
    <col min="15630" max="15630" width="9.5546875" style="91" customWidth="1"/>
    <col min="15631" max="15631" width="11.44140625" style="91" customWidth="1"/>
    <col min="15632" max="15632" width="12" style="91" customWidth="1"/>
    <col min="15633" max="15875" width="9.33203125" style="91"/>
    <col min="15876" max="15876" width="6" style="91" customWidth="1"/>
    <col min="15877" max="15877" width="22.33203125" style="91" customWidth="1"/>
    <col min="15878" max="15878" width="5.44140625" style="91" customWidth="1"/>
    <col min="15879" max="15879" width="5.33203125" style="91" customWidth="1"/>
    <col min="15880" max="15880" width="21.33203125" style="91" customWidth="1"/>
    <col min="15881" max="15881" width="17.33203125" style="91" customWidth="1"/>
    <col min="15882" max="15882" width="10.33203125" style="91" customWidth="1"/>
    <col min="15883" max="15883" width="15" style="91" customWidth="1"/>
    <col min="15884" max="15884" width="10.33203125" style="91" customWidth="1"/>
    <col min="15885" max="15885" width="15.6640625" style="91" customWidth="1"/>
    <col min="15886" max="15886" width="9.5546875" style="91" customWidth="1"/>
    <col min="15887" max="15887" width="11.44140625" style="91" customWidth="1"/>
    <col min="15888" max="15888" width="12" style="91" customWidth="1"/>
    <col min="15889" max="16131" width="9.33203125" style="91"/>
    <col min="16132" max="16132" width="6" style="91" customWidth="1"/>
    <col min="16133" max="16133" width="22.33203125" style="91" customWidth="1"/>
    <col min="16134" max="16134" width="5.44140625" style="91" customWidth="1"/>
    <col min="16135" max="16135" width="5.33203125" style="91" customWidth="1"/>
    <col min="16136" max="16136" width="21.33203125" style="91" customWidth="1"/>
    <col min="16137" max="16137" width="17.33203125" style="91" customWidth="1"/>
    <col min="16138" max="16138" width="10.33203125" style="91" customWidth="1"/>
    <col min="16139" max="16139" width="15" style="91" customWidth="1"/>
    <col min="16140" max="16140" width="10.33203125" style="91" customWidth="1"/>
    <col min="16141" max="16141" width="15.6640625" style="91" customWidth="1"/>
    <col min="16142" max="16142" width="9.5546875" style="91" customWidth="1"/>
    <col min="16143" max="16143" width="11.44140625" style="91" customWidth="1"/>
    <col min="16144" max="16144" width="12" style="91" customWidth="1"/>
    <col min="16145" max="16384" width="9.33203125" style="91"/>
  </cols>
  <sheetData>
    <row r="1" spans="1:43" ht="15.6" x14ac:dyDescent="0.3">
      <c r="A1" s="299" t="s">
        <v>266</v>
      </c>
      <c r="B1" s="299"/>
      <c r="C1" s="299"/>
      <c r="D1" s="299"/>
      <c r="E1" s="299"/>
      <c r="F1" s="299"/>
      <c r="G1" s="299"/>
      <c r="H1" s="299"/>
      <c r="I1" s="299"/>
      <c r="J1" s="299"/>
      <c r="K1" s="299"/>
      <c r="L1" s="299"/>
      <c r="M1" s="299"/>
      <c r="N1" s="299"/>
      <c r="O1" s="299"/>
      <c r="P1" s="299"/>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row>
    <row r="2" spans="1:43" ht="15.6" x14ac:dyDescent="0.3">
      <c r="A2" s="299" t="s">
        <v>267</v>
      </c>
      <c r="B2" s="299"/>
      <c r="C2" s="299"/>
      <c r="D2" s="299"/>
      <c r="E2" s="299"/>
      <c r="F2" s="299"/>
      <c r="G2" s="299"/>
      <c r="H2" s="299"/>
      <c r="I2" s="299"/>
      <c r="J2" s="299"/>
      <c r="K2" s="299"/>
      <c r="L2" s="299"/>
      <c r="M2" s="299"/>
      <c r="N2" s="299"/>
      <c r="O2" s="299"/>
      <c r="P2" s="299"/>
      <c r="Q2" s="90"/>
      <c r="R2" s="90"/>
      <c r="S2" s="90"/>
      <c r="T2" s="90"/>
      <c r="U2" s="90"/>
      <c r="V2" s="90"/>
      <c r="W2" s="90"/>
      <c r="X2" s="90"/>
      <c r="Y2" s="90"/>
      <c r="Z2" s="90"/>
      <c r="AA2" s="90"/>
      <c r="AB2" s="90"/>
      <c r="AC2" s="90"/>
      <c r="AD2" s="90"/>
      <c r="AE2" s="90"/>
      <c r="AF2" s="90"/>
      <c r="AG2" s="90"/>
      <c r="AH2" s="90"/>
      <c r="AI2" s="90"/>
      <c r="AJ2" s="90"/>
      <c r="AK2" s="90"/>
      <c r="AL2" s="90"/>
      <c r="AM2" s="90"/>
      <c r="AN2" s="90"/>
      <c r="AO2" s="90"/>
      <c r="AP2" s="90"/>
      <c r="AQ2" s="90"/>
    </row>
    <row r="3" spans="1:43" ht="15.6" x14ac:dyDescent="0.3">
      <c r="A3" s="299" t="s">
        <v>268</v>
      </c>
      <c r="B3" s="299"/>
      <c r="C3" s="299"/>
      <c r="D3" s="299"/>
      <c r="E3" s="299"/>
      <c r="F3" s="299"/>
      <c r="G3" s="299"/>
      <c r="H3" s="299"/>
      <c r="I3" s="299"/>
      <c r="J3" s="299"/>
      <c r="K3" s="299"/>
      <c r="L3" s="299"/>
      <c r="M3" s="299"/>
      <c r="N3" s="299"/>
      <c r="O3" s="299"/>
      <c r="P3" s="299"/>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row>
    <row r="4" spans="1:43" ht="15.6" x14ac:dyDescent="0.3">
      <c r="A4" s="299" t="s">
        <v>269</v>
      </c>
      <c r="B4" s="299"/>
      <c r="C4" s="299"/>
      <c r="D4" s="299"/>
      <c r="E4" s="299"/>
      <c r="F4" s="299"/>
      <c r="G4" s="299"/>
      <c r="H4" s="299"/>
      <c r="I4" s="299"/>
      <c r="J4" s="299"/>
      <c r="K4" s="299"/>
      <c r="L4" s="299"/>
      <c r="M4" s="299"/>
      <c r="N4" s="299"/>
      <c r="O4" s="299"/>
      <c r="P4" s="299"/>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row>
    <row r="5" spans="1:43" ht="15.6" x14ac:dyDescent="0.3">
      <c r="A5" s="299" t="s">
        <v>831</v>
      </c>
      <c r="B5" s="299"/>
      <c r="C5" s="299"/>
      <c r="D5" s="299"/>
      <c r="E5" s="299"/>
      <c r="F5" s="299"/>
      <c r="G5" s="299"/>
      <c r="H5" s="299"/>
      <c r="I5" s="299"/>
      <c r="J5" s="299"/>
      <c r="K5" s="299"/>
      <c r="L5" s="299"/>
      <c r="M5" s="299"/>
      <c r="N5" s="299"/>
      <c r="O5" s="299"/>
      <c r="P5" s="299"/>
    </row>
    <row r="6" spans="1:43" ht="9.75" customHeight="1" x14ac:dyDescent="0.3"/>
    <row r="7" spans="1:43" x14ac:dyDescent="0.3">
      <c r="A7" s="92" t="s">
        <v>832</v>
      </c>
    </row>
    <row r="8" spans="1:43" ht="17.7" customHeight="1" x14ac:dyDescent="0.3">
      <c r="A8" s="93" t="s">
        <v>270</v>
      </c>
      <c r="D8" s="300" t="str">
        <f>IF('DR-TB 10A (Sputum &amp; EP Sample)'!C8="","",'DR-TB 10A (Sputum &amp; EP Sample)'!C8)</f>
        <v/>
      </c>
      <c r="E8" s="300"/>
      <c r="F8" s="300"/>
      <c r="H8" s="94" t="s">
        <v>271</v>
      </c>
      <c r="I8" s="263" t="str">
        <f>'DR-TB 10A (Sputum &amp; EP Sample)'!L6</f>
        <v>&lt;Dates&gt;</v>
      </c>
      <c r="J8" s="263"/>
      <c r="K8" s="263"/>
      <c r="L8" s="263"/>
      <c r="M8" s="263"/>
      <c r="N8" s="263"/>
      <c r="O8" s="263"/>
      <c r="P8" s="263"/>
      <c r="Q8" s="290"/>
    </row>
    <row r="9" spans="1:43" ht="17.7" customHeight="1" x14ac:dyDescent="0.3">
      <c r="A9" s="95" t="s">
        <v>833</v>
      </c>
      <c r="F9" s="20">
        <f>'DR-TB 10A (Sputum &amp; EP Sample)'!F18+'DR-TB 10A (Stool)'!F18</f>
        <v>0</v>
      </c>
    </row>
    <row r="10" spans="1:43" ht="24.6" customHeight="1" x14ac:dyDescent="0.3">
      <c r="A10" s="91" t="s">
        <v>863</v>
      </c>
      <c r="B10" s="91">
        <v>2</v>
      </c>
    </row>
    <row r="11" spans="1:43" s="96" customFormat="1" ht="55.2" customHeight="1" x14ac:dyDescent="0.3">
      <c r="A11" s="301" t="s">
        <v>272</v>
      </c>
      <c r="B11" s="302" t="s">
        <v>841</v>
      </c>
      <c r="C11" s="303" t="s">
        <v>273</v>
      </c>
      <c r="D11" s="303" t="s">
        <v>277</v>
      </c>
      <c r="E11" s="303" t="s">
        <v>679</v>
      </c>
      <c r="F11" s="303" t="s">
        <v>274</v>
      </c>
      <c r="G11" s="303" t="s">
        <v>834</v>
      </c>
      <c r="H11" s="303" t="s">
        <v>847</v>
      </c>
      <c r="I11" s="302" t="s">
        <v>840</v>
      </c>
      <c r="J11" s="303" t="s">
        <v>275</v>
      </c>
      <c r="K11" s="303" t="s">
        <v>875</v>
      </c>
      <c r="L11" s="303" t="s">
        <v>873</v>
      </c>
      <c r="M11" s="302" t="s">
        <v>822</v>
      </c>
      <c r="N11" s="302"/>
      <c r="O11" s="302"/>
      <c r="P11" s="302"/>
      <c r="Q11" s="302"/>
      <c r="R11" s="302"/>
      <c r="S11" s="302"/>
      <c r="T11" s="303" t="s">
        <v>823</v>
      </c>
      <c r="U11" s="303" t="s">
        <v>278</v>
      </c>
      <c r="V11" s="303" t="s">
        <v>703</v>
      </c>
      <c r="W11" s="303" t="s">
        <v>824</v>
      </c>
      <c r="X11" s="303" t="s">
        <v>836</v>
      </c>
      <c r="Y11" s="303" t="s">
        <v>276</v>
      </c>
    </row>
    <row r="12" spans="1:43" s="96" customFormat="1" ht="55.2" customHeight="1" x14ac:dyDescent="0.3">
      <c r="A12" s="301"/>
      <c r="B12" s="302"/>
      <c r="C12" s="304"/>
      <c r="D12" s="304"/>
      <c r="E12" s="304"/>
      <c r="F12" s="304"/>
      <c r="G12" s="304"/>
      <c r="H12" s="304"/>
      <c r="I12" s="302"/>
      <c r="J12" s="304"/>
      <c r="K12" s="304"/>
      <c r="L12" s="304"/>
      <c r="M12" s="154" t="s">
        <v>815</v>
      </c>
      <c r="N12" s="154" t="s">
        <v>825</v>
      </c>
      <c r="O12" s="154" t="s">
        <v>826</v>
      </c>
      <c r="P12" s="154" t="s">
        <v>827</v>
      </c>
      <c r="Q12" s="154" t="s">
        <v>828</v>
      </c>
      <c r="R12" s="154" t="s">
        <v>829</v>
      </c>
      <c r="S12" s="154" t="s">
        <v>830</v>
      </c>
      <c r="T12" s="304"/>
      <c r="U12" s="304"/>
      <c r="V12" s="304"/>
      <c r="W12" s="304"/>
      <c r="X12" s="304"/>
      <c r="Y12" s="304"/>
    </row>
    <row r="13" spans="1:43" s="135" customFormat="1" ht="55.2" customHeight="1" x14ac:dyDescent="0.3">
      <c r="A13" s="149" t="s">
        <v>849</v>
      </c>
      <c r="B13" s="149" t="s">
        <v>850</v>
      </c>
      <c r="C13" s="149" t="s">
        <v>851</v>
      </c>
      <c r="D13" s="149" t="s">
        <v>852</v>
      </c>
      <c r="E13" s="149" t="s">
        <v>853</v>
      </c>
      <c r="F13" s="150" t="s">
        <v>854</v>
      </c>
      <c r="G13" s="150" t="s">
        <v>855</v>
      </c>
      <c r="H13" s="151" t="s">
        <v>872</v>
      </c>
      <c r="I13" s="137" t="s">
        <v>864</v>
      </c>
      <c r="J13" s="149" t="s">
        <v>856</v>
      </c>
      <c r="K13" s="149" t="s">
        <v>857</v>
      </c>
      <c r="L13" s="149" t="s">
        <v>874</v>
      </c>
      <c r="M13" s="153" t="s">
        <v>865</v>
      </c>
      <c r="N13" s="153" t="s">
        <v>866</v>
      </c>
      <c r="O13" s="153" t="s">
        <v>867</v>
      </c>
      <c r="P13" s="153" t="s">
        <v>868</v>
      </c>
      <c r="Q13" s="153" t="s">
        <v>869</v>
      </c>
      <c r="R13" s="153" t="s">
        <v>870</v>
      </c>
      <c r="S13" s="153" t="s">
        <v>871</v>
      </c>
      <c r="T13" s="149" t="s">
        <v>858</v>
      </c>
      <c r="U13" s="149" t="s">
        <v>859</v>
      </c>
      <c r="V13" s="149" t="s">
        <v>860</v>
      </c>
      <c r="W13" s="142" t="s">
        <v>856</v>
      </c>
      <c r="X13" s="149" t="s">
        <v>861</v>
      </c>
      <c r="Y13" s="152" t="s">
        <v>862</v>
      </c>
    </row>
    <row r="14" spans="1:43" hidden="1" x14ac:dyDescent="0.3">
      <c r="C14" s="97"/>
      <c r="I14" s="137"/>
    </row>
    <row r="15" spans="1:43" x14ac:dyDescent="0.3">
      <c r="C15" s="97"/>
      <c r="I15" s="148"/>
    </row>
    <row r="16" spans="1:43" ht="54.75" customHeight="1" x14ac:dyDescent="0.3">
      <c r="A16" s="298" t="s">
        <v>767</v>
      </c>
      <c r="B16" s="298"/>
      <c r="C16" s="298"/>
      <c r="D16" s="298"/>
      <c r="E16" s="298"/>
      <c r="F16" s="298"/>
      <c r="G16" s="298"/>
      <c r="H16" s="298"/>
      <c r="I16" s="298"/>
      <c r="J16" s="298"/>
      <c r="K16" s="298"/>
      <c r="L16" s="298"/>
      <c r="M16" s="298"/>
      <c r="N16" s="298"/>
      <c r="O16" s="298"/>
      <c r="P16" s="298"/>
    </row>
    <row r="17" spans="1:16" ht="16.5" customHeight="1" x14ac:dyDescent="0.3">
      <c r="A17" s="19" t="s">
        <v>835</v>
      </c>
      <c r="B17" s="98"/>
      <c r="C17" s="98"/>
      <c r="D17" s="98"/>
      <c r="E17" s="98"/>
      <c r="F17" s="98"/>
      <c r="G17" s="98"/>
      <c r="H17" s="98"/>
      <c r="I17" s="98"/>
      <c r="J17" s="98"/>
      <c r="K17" s="98"/>
      <c r="L17" s="98"/>
      <c r="M17" s="98"/>
      <c r="N17" s="98"/>
      <c r="O17" s="98"/>
      <c r="P17" s="98"/>
    </row>
  </sheetData>
  <sheetProtection insertRows="0" deleteRows="0"/>
  <mergeCells count="27">
    <mergeCell ref="I11:I12"/>
    <mergeCell ref="V11:V12"/>
    <mergeCell ref="W11:W12"/>
    <mergeCell ref="X11:X12"/>
    <mergeCell ref="Y11:Y12"/>
    <mergeCell ref="J11:J12"/>
    <mergeCell ref="L11:L12"/>
    <mergeCell ref="M11:S11"/>
    <mergeCell ref="T11:T12"/>
    <mergeCell ref="U11:U12"/>
    <mergeCell ref="K11:K12"/>
    <mergeCell ref="I8:Q8"/>
    <mergeCell ref="A16:P16"/>
    <mergeCell ref="A1:P1"/>
    <mergeCell ref="A2:P2"/>
    <mergeCell ref="A3:P3"/>
    <mergeCell ref="A4:P4"/>
    <mergeCell ref="A5:P5"/>
    <mergeCell ref="D8:F8"/>
    <mergeCell ref="A11:A12"/>
    <mergeCell ref="B11:B12"/>
    <mergeCell ref="C11:C12"/>
    <mergeCell ref="D11:D12"/>
    <mergeCell ref="E11:E12"/>
    <mergeCell ref="F11:F12"/>
    <mergeCell ref="G11:G12"/>
    <mergeCell ref="H11:H12"/>
  </mergeCells>
  <dataValidations count="8">
    <dataValidation type="list" allowBlank="1" showInputMessage="1" showErrorMessage="1" sqref="WVU983044 JB8 SX8 ACT8 AMP8 AWL8 BGH8 BQD8 BZZ8 CJV8 CTR8 DDN8 DNJ8 DXF8 EHB8 EQX8 FAT8 FKP8 FUL8 GEH8 GOD8 GXZ8 HHV8 HRR8 IBN8 ILJ8 IVF8 JFB8 JOX8 JYT8 KIP8 KSL8 LCH8 LMD8 LVZ8 MFV8 MPR8 MZN8 NJJ8 NTF8 ODB8 OMX8 OWT8 PGP8 PQL8 QAH8 QKD8 QTZ8 RDV8 RNR8 RXN8 SHJ8 SRF8 TBB8 TKX8 TUT8 UEP8 UOL8 UYH8 VID8 VRZ8 WBV8 WLR8 WVN8 L65540 JI65540 TE65540 ADA65540 AMW65540 AWS65540 BGO65540 BQK65540 CAG65540 CKC65540 CTY65540 DDU65540 DNQ65540 DXM65540 EHI65540 ERE65540 FBA65540 FKW65540 FUS65540 GEO65540 GOK65540 GYG65540 HIC65540 HRY65540 IBU65540 ILQ65540 IVM65540 JFI65540 JPE65540 JZA65540 KIW65540 KSS65540 LCO65540 LMK65540 LWG65540 MGC65540 MPY65540 MZU65540 NJQ65540 NTM65540 ODI65540 ONE65540 OXA65540 PGW65540 PQS65540 QAO65540 QKK65540 QUG65540 REC65540 RNY65540 RXU65540 SHQ65540 SRM65540 TBI65540 TLE65540 TVA65540 UEW65540 UOS65540 UYO65540 VIK65540 VSG65540 WCC65540 WLY65540 WVU65540 L131076 JI131076 TE131076 ADA131076 AMW131076 AWS131076 BGO131076 BQK131076 CAG131076 CKC131076 CTY131076 DDU131076 DNQ131076 DXM131076 EHI131076 ERE131076 FBA131076 FKW131076 FUS131076 GEO131076 GOK131076 GYG131076 HIC131076 HRY131076 IBU131076 ILQ131076 IVM131076 JFI131076 JPE131076 JZA131076 KIW131076 KSS131076 LCO131076 LMK131076 LWG131076 MGC131076 MPY131076 MZU131076 NJQ131076 NTM131076 ODI131076 ONE131076 OXA131076 PGW131076 PQS131076 QAO131076 QKK131076 QUG131076 REC131076 RNY131076 RXU131076 SHQ131076 SRM131076 TBI131076 TLE131076 TVA131076 UEW131076 UOS131076 UYO131076 VIK131076 VSG131076 WCC131076 WLY131076 WVU131076 L196612 JI196612 TE196612 ADA196612 AMW196612 AWS196612 BGO196612 BQK196612 CAG196612 CKC196612 CTY196612 DDU196612 DNQ196612 DXM196612 EHI196612 ERE196612 FBA196612 FKW196612 FUS196612 GEO196612 GOK196612 GYG196612 HIC196612 HRY196612 IBU196612 ILQ196612 IVM196612 JFI196612 JPE196612 JZA196612 KIW196612 KSS196612 LCO196612 LMK196612 LWG196612 MGC196612 MPY196612 MZU196612 NJQ196612 NTM196612 ODI196612 ONE196612 OXA196612 PGW196612 PQS196612 QAO196612 QKK196612 QUG196612 REC196612 RNY196612 RXU196612 SHQ196612 SRM196612 TBI196612 TLE196612 TVA196612 UEW196612 UOS196612 UYO196612 VIK196612 VSG196612 WCC196612 WLY196612 WVU196612 L262148 JI262148 TE262148 ADA262148 AMW262148 AWS262148 BGO262148 BQK262148 CAG262148 CKC262148 CTY262148 DDU262148 DNQ262148 DXM262148 EHI262148 ERE262148 FBA262148 FKW262148 FUS262148 GEO262148 GOK262148 GYG262148 HIC262148 HRY262148 IBU262148 ILQ262148 IVM262148 JFI262148 JPE262148 JZA262148 KIW262148 KSS262148 LCO262148 LMK262148 LWG262148 MGC262148 MPY262148 MZU262148 NJQ262148 NTM262148 ODI262148 ONE262148 OXA262148 PGW262148 PQS262148 QAO262148 QKK262148 QUG262148 REC262148 RNY262148 RXU262148 SHQ262148 SRM262148 TBI262148 TLE262148 TVA262148 UEW262148 UOS262148 UYO262148 VIK262148 VSG262148 WCC262148 WLY262148 WVU262148 L327684 JI327684 TE327684 ADA327684 AMW327684 AWS327684 BGO327684 BQK327684 CAG327684 CKC327684 CTY327684 DDU327684 DNQ327684 DXM327684 EHI327684 ERE327684 FBA327684 FKW327684 FUS327684 GEO327684 GOK327684 GYG327684 HIC327684 HRY327684 IBU327684 ILQ327684 IVM327684 JFI327684 JPE327684 JZA327684 KIW327684 KSS327684 LCO327684 LMK327684 LWG327684 MGC327684 MPY327684 MZU327684 NJQ327684 NTM327684 ODI327684 ONE327684 OXA327684 PGW327684 PQS327684 QAO327684 QKK327684 QUG327684 REC327684 RNY327684 RXU327684 SHQ327684 SRM327684 TBI327684 TLE327684 TVA327684 UEW327684 UOS327684 UYO327684 VIK327684 VSG327684 WCC327684 WLY327684 WVU327684 L393220 JI393220 TE393220 ADA393220 AMW393220 AWS393220 BGO393220 BQK393220 CAG393220 CKC393220 CTY393220 DDU393220 DNQ393220 DXM393220 EHI393220 ERE393220 FBA393220 FKW393220 FUS393220 GEO393220 GOK393220 GYG393220 HIC393220 HRY393220 IBU393220 ILQ393220 IVM393220 JFI393220 JPE393220 JZA393220 KIW393220 KSS393220 LCO393220 LMK393220 LWG393220 MGC393220 MPY393220 MZU393220 NJQ393220 NTM393220 ODI393220 ONE393220 OXA393220 PGW393220 PQS393220 QAO393220 QKK393220 QUG393220 REC393220 RNY393220 RXU393220 SHQ393220 SRM393220 TBI393220 TLE393220 TVA393220 UEW393220 UOS393220 UYO393220 VIK393220 VSG393220 WCC393220 WLY393220 WVU393220 L458756 JI458756 TE458756 ADA458756 AMW458756 AWS458756 BGO458756 BQK458756 CAG458756 CKC458756 CTY458756 DDU458756 DNQ458756 DXM458756 EHI458756 ERE458756 FBA458756 FKW458756 FUS458756 GEO458756 GOK458756 GYG458756 HIC458756 HRY458756 IBU458756 ILQ458756 IVM458756 JFI458756 JPE458756 JZA458756 KIW458756 KSS458756 LCO458756 LMK458756 LWG458756 MGC458756 MPY458756 MZU458756 NJQ458756 NTM458756 ODI458756 ONE458756 OXA458756 PGW458756 PQS458756 QAO458756 QKK458756 QUG458756 REC458756 RNY458756 RXU458756 SHQ458756 SRM458756 TBI458756 TLE458756 TVA458756 UEW458756 UOS458756 UYO458756 VIK458756 VSG458756 WCC458756 WLY458756 WVU458756 L524292 JI524292 TE524292 ADA524292 AMW524292 AWS524292 BGO524292 BQK524292 CAG524292 CKC524292 CTY524292 DDU524292 DNQ524292 DXM524292 EHI524292 ERE524292 FBA524292 FKW524292 FUS524292 GEO524292 GOK524292 GYG524292 HIC524292 HRY524292 IBU524292 ILQ524292 IVM524292 JFI524292 JPE524292 JZA524292 KIW524292 KSS524292 LCO524292 LMK524292 LWG524292 MGC524292 MPY524292 MZU524292 NJQ524292 NTM524292 ODI524292 ONE524292 OXA524292 PGW524292 PQS524292 QAO524292 QKK524292 QUG524292 REC524292 RNY524292 RXU524292 SHQ524292 SRM524292 TBI524292 TLE524292 TVA524292 UEW524292 UOS524292 UYO524292 VIK524292 VSG524292 WCC524292 WLY524292 WVU524292 L589828 JI589828 TE589828 ADA589828 AMW589828 AWS589828 BGO589828 BQK589828 CAG589828 CKC589828 CTY589828 DDU589828 DNQ589828 DXM589828 EHI589828 ERE589828 FBA589828 FKW589828 FUS589828 GEO589828 GOK589828 GYG589828 HIC589828 HRY589828 IBU589828 ILQ589828 IVM589828 JFI589828 JPE589828 JZA589828 KIW589828 KSS589828 LCO589828 LMK589828 LWG589828 MGC589828 MPY589828 MZU589828 NJQ589828 NTM589828 ODI589828 ONE589828 OXA589828 PGW589828 PQS589828 QAO589828 QKK589828 QUG589828 REC589828 RNY589828 RXU589828 SHQ589828 SRM589828 TBI589828 TLE589828 TVA589828 UEW589828 UOS589828 UYO589828 VIK589828 VSG589828 WCC589828 WLY589828 WVU589828 L655364 JI655364 TE655364 ADA655364 AMW655364 AWS655364 BGO655364 BQK655364 CAG655364 CKC655364 CTY655364 DDU655364 DNQ655364 DXM655364 EHI655364 ERE655364 FBA655364 FKW655364 FUS655364 GEO655364 GOK655364 GYG655364 HIC655364 HRY655364 IBU655364 ILQ655364 IVM655364 JFI655364 JPE655364 JZA655364 KIW655364 KSS655364 LCO655364 LMK655364 LWG655364 MGC655364 MPY655364 MZU655364 NJQ655364 NTM655364 ODI655364 ONE655364 OXA655364 PGW655364 PQS655364 QAO655364 QKK655364 QUG655364 REC655364 RNY655364 RXU655364 SHQ655364 SRM655364 TBI655364 TLE655364 TVA655364 UEW655364 UOS655364 UYO655364 VIK655364 VSG655364 WCC655364 WLY655364 WVU655364 L720900 JI720900 TE720900 ADA720900 AMW720900 AWS720900 BGO720900 BQK720900 CAG720900 CKC720900 CTY720900 DDU720900 DNQ720900 DXM720900 EHI720900 ERE720900 FBA720900 FKW720900 FUS720900 GEO720900 GOK720900 GYG720900 HIC720900 HRY720900 IBU720900 ILQ720900 IVM720900 JFI720900 JPE720900 JZA720900 KIW720900 KSS720900 LCO720900 LMK720900 LWG720900 MGC720900 MPY720900 MZU720900 NJQ720900 NTM720900 ODI720900 ONE720900 OXA720900 PGW720900 PQS720900 QAO720900 QKK720900 QUG720900 REC720900 RNY720900 RXU720900 SHQ720900 SRM720900 TBI720900 TLE720900 TVA720900 UEW720900 UOS720900 UYO720900 VIK720900 VSG720900 WCC720900 WLY720900 WVU720900 L786436 JI786436 TE786436 ADA786436 AMW786436 AWS786436 BGO786436 BQK786436 CAG786436 CKC786436 CTY786436 DDU786436 DNQ786436 DXM786436 EHI786436 ERE786436 FBA786436 FKW786436 FUS786436 GEO786436 GOK786436 GYG786436 HIC786436 HRY786436 IBU786436 ILQ786436 IVM786436 JFI786436 JPE786436 JZA786436 KIW786436 KSS786436 LCO786436 LMK786436 LWG786436 MGC786436 MPY786436 MZU786436 NJQ786436 NTM786436 ODI786436 ONE786436 OXA786436 PGW786436 PQS786436 QAO786436 QKK786436 QUG786436 REC786436 RNY786436 RXU786436 SHQ786436 SRM786436 TBI786436 TLE786436 TVA786436 UEW786436 UOS786436 UYO786436 VIK786436 VSG786436 WCC786436 WLY786436 WVU786436 L851972 JI851972 TE851972 ADA851972 AMW851972 AWS851972 BGO851972 BQK851972 CAG851972 CKC851972 CTY851972 DDU851972 DNQ851972 DXM851972 EHI851972 ERE851972 FBA851972 FKW851972 FUS851972 GEO851972 GOK851972 GYG851972 HIC851972 HRY851972 IBU851972 ILQ851972 IVM851972 JFI851972 JPE851972 JZA851972 KIW851972 KSS851972 LCO851972 LMK851972 LWG851972 MGC851972 MPY851972 MZU851972 NJQ851972 NTM851972 ODI851972 ONE851972 OXA851972 PGW851972 PQS851972 QAO851972 QKK851972 QUG851972 REC851972 RNY851972 RXU851972 SHQ851972 SRM851972 TBI851972 TLE851972 TVA851972 UEW851972 UOS851972 UYO851972 VIK851972 VSG851972 WCC851972 WLY851972 WVU851972 L917508 JI917508 TE917508 ADA917508 AMW917508 AWS917508 BGO917508 BQK917508 CAG917508 CKC917508 CTY917508 DDU917508 DNQ917508 DXM917508 EHI917508 ERE917508 FBA917508 FKW917508 FUS917508 GEO917508 GOK917508 GYG917508 HIC917508 HRY917508 IBU917508 ILQ917508 IVM917508 JFI917508 JPE917508 JZA917508 KIW917508 KSS917508 LCO917508 LMK917508 LWG917508 MGC917508 MPY917508 MZU917508 NJQ917508 NTM917508 ODI917508 ONE917508 OXA917508 PGW917508 PQS917508 QAO917508 QKK917508 QUG917508 REC917508 RNY917508 RXU917508 SHQ917508 SRM917508 TBI917508 TLE917508 TVA917508 UEW917508 UOS917508 UYO917508 VIK917508 VSG917508 WCC917508 WLY917508 WVU917508 L983044 JI983044 TE983044 ADA983044 AMW983044 AWS983044 BGO983044 BQK983044 CAG983044 CKC983044 CTY983044 DDU983044 DNQ983044 DXM983044 EHI983044 ERE983044 FBA983044 FKW983044 FUS983044 GEO983044 GOK983044 GYG983044 HIC983044 HRY983044 IBU983044 ILQ983044 IVM983044 JFI983044 JPE983044 JZA983044 KIW983044 KSS983044 LCO983044 LMK983044 LWG983044 MGC983044 MPY983044 MZU983044 NJQ983044 NTM983044 ODI983044 ONE983044 OXA983044 PGW983044 PQS983044 QAO983044 QKK983044 QUG983044 REC983044 RNY983044 RXU983044 SHQ983044 SRM983044 TBI983044 TLE983044 TVA983044 UEW983044 UOS983044 UYO983044 VIK983044 VSG983044 WCC983044 WLY983044">
      <formula1>"1st Quarter, 2nd Quarter, 3rd Quarter, 4th Quarter, All Quarter"</formula1>
    </dataValidation>
    <dataValidation type="list" allowBlank="1" showInputMessage="1" showErrorMessage="1" sqref="WVS983044:WVT983044 IZ8:JA8 SV8:SW8 ACR8:ACS8 AMN8:AMO8 AWJ8:AWK8 BGF8:BGG8 BQB8:BQC8 BZX8:BZY8 CJT8:CJU8 CTP8:CTQ8 DDL8:DDM8 DNH8:DNI8 DXD8:DXE8 EGZ8:EHA8 EQV8:EQW8 FAR8:FAS8 FKN8:FKO8 FUJ8:FUK8 GEF8:GEG8 GOB8:GOC8 GXX8:GXY8 HHT8:HHU8 HRP8:HRQ8 IBL8:IBM8 ILH8:ILI8 IVD8:IVE8 JEZ8:JFA8 JOV8:JOW8 JYR8:JYS8 KIN8:KIO8 KSJ8:KSK8 LCF8:LCG8 LMB8:LMC8 LVX8:LVY8 MFT8:MFU8 MPP8:MPQ8 MZL8:MZM8 NJH8:NJI8 NTD8:NTE8 OCZ8:ODA8 OMV8:OMW8 OWR8:OWS8 PGN8:PGO8 PQJ8:PQK8 QAF8:QAG8 QKB8:QKC8 QTX8:QTY8 RDT8:RDU8 RNP8:RNQ8 RXL8:RXM8 SHH8:SHI8 SRD8:SRE8 TAZ8:TBA8 TKV8:TKW8 TUR8:TUS8 UEN8:UEO8 UOJ8:UOK8 UYF8:UYG8 VIB8:VIC8 VRX8:VRY8 WBT8:WBU8 WLP8:WLQ8 WVL8:WVM8 I65540:K65540 JG65540:JH65540 TC65540:TD65540 ACY65540:ACZ65540 AMU65540:AMV65540 AWQ65540:AWR65540 BGM65540:BGN65540 BQI65540:BQJ65540 CAE65540:CAF65540 CKA65540:CKB65540 CTW65540:CTX65540 DDS65540:DDT65540 DNO65540:DNP65540 DXK65540:DXL65540 EHG65540:EHH65540 ERC65540:ERD65540 FAY65540:FAZ65540 FKU65540:FKV65540 FUQ65540:FUR65540 GEM65540:GEN65540 GOI65540:GOJ65540 GYE65540:GYF65540 HIA65540:HIB65540 HRW65540:HRX65540 IBS65540:IBT65540 ILO65540:ILP65540 IVK65540:IVL65540 JFG65540:JFH65540 JPC65540:JPD65540 JYY65540:JYZ65540 KIU65540:KIV65540 KSQ65540:KSR65540 LCM65540:LCN65540 LMI65540:LMJ65540 LWE65540:LWF65540 MGA65540:MGB65540 MPW65540:MPX65540 MZS65540:MZT65540 NJO65540:NJP65540 NTK65540:NTL65540 ODG65540:ODH65540 ONC65540:OND65540 OWY65540:OWZ65540 PGU65540:PGV65540 PQQ65540:PQR65540 QAM65540:QAN65540 QKI65540:QKJ65540 QUE65540:QUF65540 REA65540:REB65540 RNW65540:RNX65540 RXS65540:RXT65540 SHO65540:SHP65540 SRK65540:SRL65540 TBG65540:TBH65540 TLC65540:TLD65540 TUY65540:TUZ65540 UEU65540:UEV65540 UOQ65540:UOR65540 UYM65540:UYN65540 VII65540:VIJ65540 VSE65540:VSF65540 WCA65540:WCB65540 WLW65540:WLX65540 WVS65540:WVT65540 I131076:K131076 JG131076:JH131076 TC131076:TD131076 ACY131076:ACZ131076 AMU131076:AMV131076 AWQ131076:AWR131076 BGM131076:BGN131076 BQI131076:BQJ131076 CAE131076:CAF131076 CKA131076:CKB131076 CTW131076:CTX131076 DDS131076:DDT131076 DNO131076:DNP131076 DXK131076:DXL131076 EHG131076:EHH131076 ERC131076:ERD131076 FAY131076:FAZ131076 FKU131076:FKV131076 FUQ131076:FUR131076 GEM131076:GEN131076 GOI131076:GOJ131076 GYE131076:GYF131076 HIA131076:HIB131076 HRW131076:HRX131076 IBS131076:IBT131076 ILO131076:ILP131076 IVK131076:IVL131076 JFG131076:JFH131076 JPC131076:JPD131076 JYY131076:JYZ131076 KIU131076:KIV131076 KSQ131076:KSR131076 LCM131076:LCN131076 LMI131076:LMJ131076 LWE131076:LWF131076 MGA131076:MGB131076 MPW131076:MPX131076 MZS131076:MZT131076 NJO131076:NJP131076 NTK131076:NTL131076 ODG131076:ODH131076 ONC131076:OND131076 OWY131076:OWZ131076 PGU131076:PGV131076 PQQ131076:PQR131076 QAM131076:QAN131076 QKI131076:QKJ131076 QUE131076:QUF131076 REA131076:REB131076 RNW131076:RNX131076 RXS131076:RXT131076 SHO131076:SHP131076 SRK131076:SRL131076 TBG131076:TBH131076 TLC131076:TLD131076 TUY131076:TUZ131076 UEU131076:UEV131076 UOQ131076:UOR131076 UYM131076:UYN131076 VII131076:VIJ131076 VSE131076:VSF131076 WCA131076:WCB131076 WLW131076:WLX131076 WVS131076:WVT131076 I196612:K196612 JG196612:JH196612 TC196612:TD196612 ACY196612:ACZ196612 AMU196612:AMV196612 AWQ196612:AWR196612 BGM196612:BGN196612 BQI196612:BQJ196612 CAE196612:CAF196612 CKA196612:CKB196612 CTW196612:CTX196612 DDS196612:DDT196612 DNO196612:DNP196612 DXK196612:DXL196612 EHG196612:EHH196612 ERC196612:ERD196612 FAY196612:FAZ196612 FKU196612:FKV196612 FUQ196612:FUR196612 GEM196612:GEN196612 GOI196612:GOJ196612 GYE196612:GYF196612 HIA196612:HIB196612 HRW196612:HRX196612 IBS196612:IBT196612 ILO196612:ILP196612 IVK196612:IVL196612 JFG196612:JFH196612 JPC196612:JPD196612 JYY196612:JYZ196612 KIU196612:KIV196612 KSQ196612:KSR196612 LCM196612:LCN196612 LMI196612:LMJ196612 LWE196612:LWF196612 MGA196612:MGB196612 MPW196612:MPX196612 MZS196612:MZT196612 NJO196612:NJP196612 NTK196612:NTL196612 ODG196612:ODH196612 ONC196612:OND196612 OWY196612:OWZ196612 PGU196612:PGV196612 PQQ196612:PQR196612 QAM196612:QAN196612 QKI196612:QKJ196612 QUE196612:QUF196612 REA196612:REB196612 RNW196612:RNX196612 RXS196612:RXT196612 SHO196612:SHP196612 SRK196612:SRL196612 TBG196612:TBH196612 TLC196612:TLD196612 TUY196612:TUZ196612 UEU196612:UEV196612 UOQ196612:UOR196612 UYM196612:UYN196612 VII196612:VIJ196612 VSE196612:VSF196612 WCA196612:WCB196612 WLW196612:WLX196612 WVS196612:WVT196612 I262148:K262148 JG262148:JH262148 TC262148:TD262148 ACY262148:ACZ262148 AMU262148:AMV262148 AWQ262148:AWR262148 BGM262148:BGN262148 BQI262148:BQJ262148 CAE262148:CAF262148 CKA262148:CKB262148 CTW262148:CTX262148 DDS262148:DDT262148 DNO262148:DNP262148 DXK262148:DXL262148 EHG262148:EHH262148 ERC262148:ERD262148 FAY262148:FAZ262148 FKU262148:FKV262148 FUQ262148:FUR262148 GEM262148:GEN262148 GOI262148:GOJ262148 GYE262148:GYF262148 HIA262148:HIB262148 HRW262148:HRX262148 IBS262148:IBT262148 ILO262148:ILP262148 IVK262148:IVL262148 JFG262148:JFH262148 JPC262148:JPD262148 JYY262148:JYZ262148 KIU262148:KIV262148 KSQ262148:KSR262148 LCM262148:LCN262148 LMI262148:LMJ262148 LWE262148:LWF262148 MGA262148:MGB262148 MPW262148:MPX262148 MZS262148:MZT262148 NJO262148:NJP262148 NTK262148:NTL262148 ODG262148:ODH262148 ONC262148:OND262148 OWY262148:OWZ262148 PGU262148:PGV262148 PQQ262148:PQR262148 QAM262148:QAN262148 QKI262148:QKJ262148 QUE262148:QUF262148 REA262148:REB262148 RNW262148:RNX262148 RXS262148:RXT262148 SHO262148:SHP262148 SRK262148:SRL262148 TBG262148:TBH262148 TLC262148:TLD262148 TUY262148:TUZ262148 UEU262148:UEV262148 UOQ262148:UOR262148 UYM262148:UYN262148 VII262148:VIJ262148 VSE262148:VSF262148 WCA262148:WCB262148 WLW262148:WLX262148 WVS262148:WVT262148 I327684:K327684 JG327684:JH327684 TC327684:TD327684 ACY327684:ACZ327684 AMU327684:AMV327684 AWQ327684:AWR327684 BGM327684:BGN327684 BQI327684:BQJ327684 CAE327684:CAF327684 CKA327684:CKB327684 CTW327684:CTX327684 DDS327684:DDT327684 DNO327684:DNP327684 DXK327684:DXL327684 EHG327684:EHH327684 ERC327684:ERD327684 FAY327684:FAZ327684 FKU327684:FKV327684 FUQ327684:FUR327684 GEM327684:GEN327684 GOI327684:GOJ327684 GYE327684:GYF327684 HIA327684:HIB327684 HRW327684:HRX327684 IBS327684:IBT327684 ILO327684:ILP327684 IVK327684:IVL327684 JFG327684:JFH327684 JPC327684:JPD327684 JYY327684:JYZ327684 KIU327684:KIV327684 KSQ327684:KSR327684 LCM327684:LCN327684 LMI327684:LMJ327684 LWE327684:LWF327684 MGA327684:MGB327684 MPW327684:MPX327684 MZS327684:MZT327684 NJO327684:NJP327684 NTK327684:NTL327684 ODG327684:ODH327684 ONC327684:OND327684 OWY327684:OWZ327684 PGU327684:PGV327684 PQQ327684:PQR327684 QAM327684:QAN327684 QKI327684:QKJ327684 QUE327684:QUF327684 REA327684:REB327684 RNW327684:RNX327684 RXS327684:RXT327684 SHO327684:SHP327684 SRK327684:SRL327684 TBG327684:TBH327684 TLC327684:TLD327684 TUY327684:TUZ327684 UEU327684:UEV327684 UOQ327684:UOR327684 UYM327684:UYN327684 VII327684:VIJ327684 VSE327684:VSF327684 WCA327684:WCB327684 WLW327684:WLX327684 WVS327684:WVT327684 I393220:K393220 JG393220:JH393220 TC393220:TD393220 ACY393220:ACZ393220 AMU393220:AMV393220 AWQ393220:AWR393220 BGM393220:BGN393220 BQI393220:BQJ393220 CAE393220:CAF393220 CKA393220:CKB393220 CTW393220:CTX393220 DDS393220:DDT393220 DNO393220:DNP393220 DXK393220:DXL393220 EHG393220:EHH393220 ERC393220:ERD393220 FAY393220:FAZ393220 FKU393220:FKV393220 FUQ393220:FUR393220 GEM393220:GEN393220 GOI393220:GOJ393220 GYE393220:GYF393220 HIA393220:HIB393220 HRW393220:HRX393220 IBS393220:IBT393220 ILO393220:ILP393220 IVK393220:IVL393220 JFG393220:JFH393220 JPC393220:JPD393220 JYY393220:JYZ393220 KIU393220:KIV393220 KSQ393220:KSR393220 LCM393220:LCN393220 LMI393220:LMJ393220 LWE393220:LWF393220 MGA393220:MGB393220 MPW393220:MPX393220 MZS393220:MZT393220 NJO393220:NJP393220 NTK393220:NTL393220 ODG393220:ODH393220 ONC393220:OND393220 OWY393220:OWZ393220 PGU393220:PGV393220 PQQ393220:PQR393220 QAM393220:QAN393220 QKI393220:QKJ393220 QUE393220:QUF393220 REA393220:REB393220 RNW393220:RNX393220 RXS393220:RXT393220 SHO393220:SHP393220 SRK393220:SRL393220 TBG393220:TBH393220 TLC393220:TLD393220 TUY393220:TUZ393220 UEU393220:UEV393220 UOQ393220:UOR393220 UYM393220:UYN393220 VII393220:VIJ393220 VSE393220:VSF393220 WCA393220:WCB393220 WLW393220:WLX393220 WVS393220:WVT393220 I458756:K458756 JG458756:JH458756 TC458756:TD458756 ACY458756:ACZ458756 AMU458756:AMV458756 AWQ458756:AWR458756 BGM458756:BGN458756 BQI458756:BQJ458756 CAE458756:CAF458756 CKA458756:CKB458756 CTW458756:CTX458756 DDS458756:DDT458756 DNO458756:DNP458756 DXK458756:DXL458756 EHG458756:EHH458756 ERC458756:ERD458756 FAY458756:FAZ458756 FKU458756:FKV458756 FUQ458756:FUR458756 GEM458756:GEN458756 GOI458756:GOJ458756 GYE458756:GYF458756 HIA458756:HIB458756 HRW458756:HRX458756 IBS458756:IBT458756 ILO458756:ILP458756 IVK458756:IVL458756 JFG458756:JFH458756 JPC458756:JPD458756 JYY458756:JYZ458756 KIU458756:KIV458756 KSQ458756:KSR458756 LCM458756:LCN458756 LMI458756:LMJ458756 LWE458756:LWF458756 MGA458756:MGB458756 MPW458756:MPX458756 MZS458756:MZT458756 NJO458756:NJP458756 NTK458756:NTL458756 ODG458756:ODH458756 ONC458756:OND458756 OWY458756:OWZ458756 PGU458756:PGV458756 PQQ458756:PQR458756 QAM458756:QAN458756 QKI458756:QKJ458756 QUE458756:QUF458756 REA458756:REB458756 RNW458756:RNX458756 RXS458756:RXT458756 SHO458756:SHP458756 SRK458756:SRL458756 TBG458756:TBH458756 TLC458756:TLD458756 TUY458756:TUZ458756 UEU458756:UEV458756 UOQ458756:UOR458756 UYM458756:UYN458756 VII458756:VIJ458756 VSE458756:VSF458756 WCA458756:WCB458756 WLW458756:WLX458756 WVS458756:WVT458756 I524292:K524292 JG524292:JH524292 TC524292:TD524292 ACY524292:ACZ524292 AMU524292:AMV524292 AWQ524292:AWR524292 BGM524292:BGN524292 BQI524292:BQJ524292 CAE524292:CAF524292 CKA524292:CKB524292 CTW524292:CTX524292 DDS524292:DDT524292 DNO524292:DNP524292 DXK524292:DXL524292 EHG524292:EHH524292 ERC524292:ERD524292 FAY524292:FAZ524292 FKU524292:FKV524292 FUQ524292:FUR524292 GEM524292:GEN524292 GOI524292:GOJ524292 GYE524292:GYF524292 HIA524292:HIB524292 HRW524292:HRX524292 IBS524292:IBT524292 ILO524292:ILP524292 IVK524292:IVL524292 JFG524292:JFH524292 JPC524292:JPD524292 JYY524292:JYZ524292 KIU524292:KIV524292 KSQ524292:KSR524292 LCM524292:LCN524292 LMI524292:LMJ524292 LWE524292:LWF524292 MGA524292:MGB524292 MPW524292:MPX524292 MZS524292:MZT524292 NJO524292:NJP524292 NTK524292:NTL524292 ODG524292:ODH524292 ONC524292:OND524292 OWY524292:OWZ524292 PGU524292:PGV524292 PQQ524292:PQR524292 QAM524292:QAN524292 QKI524292:QKJ524292 QUE524292:QUF524292 REA524292:REB524292 RNW524292:RNX524292 RXS524292:RXT524292 SHO524292:SHP524292 SRK524292:SRL524292 TBG524292:TBH524292 TLC524292:TLD524292 TUY524292:TUZ524292 UEU524292:UEV524292 UOQ524292:UOR524292 UYM524292:UYN524292 VII524292:VIJ524292 VSE524292:VSF524292 WCA524292:WCB524292 WLW524292:WLX524292 WVS524292:WVT524292 I589828:K589828 JG589828:JH589828 TC589828:TD589828 ACY589828:ACZ589828 AMU589828:AMV589828 AWQ589828:AWR589828 BGM589828:BGN589828 BQI589828:BQJ589828 CAE589828:CAF589828 CKA589828:CKB589828 CTW589828:CTX589828 DDS589828:DDT589828 DNO589828:DNP589828 DXK589828:DXL589828 EHG589828:EHH589828 ERC589828:ERD589828 FAY589828:FAZ589828 FKU589828:FKV589828 FUQ589828:FUR589828 GEM589828:GEN589828 GOI589828:GOJ589828 GYE589828:GYF589828 HIA589828:HIB589828 HRW589828:HRX589828 IBS589828:IBT589828 ILO589828:ILP589828 IVK589828:IVL589828 JFG589828:JFH589828 JPC589828:JPD589828 JYY589828:JYZ589828 KIU589828:KIV589828 KSQ589828:KSR589828 LCM589828:LCN589828 LMI589828:LMJ589828 LWE589828:LWF589828 MGA589828:MGB589828 MPW589828:MPX589828 MZS589828:MZT589828 NJO589828:NJP589828 NTK589828:NTL589828 ODG589828:ODH589828 ONC589828:OND589828 OWY589828:OWZ589828 PGU589828:PGV589828 PQQ589828:PQR589828 QAM589828:QAN589828 QKI589828:QKJ589828 QUE589828:QUF589828 REA589828:REB589828 RNW589828:RNX589828 RXS589828:RXT589828 SHO589828:SHP589828 SRK589828:SRL589828 TBG589828:TBH589828 TLC589828:TLD589828 TUY589828:TUZ589828 UEU589828:UEV589828 UOQ589828:UOR589828 UYM589828:UYN589828 VII589828:VIJ589828 VSE589828:VSF589828 WCA589828:WCB589828 WLW589828:WLX589828 WVS589828:WVT589828 I655364:K655364 JG655364:JH655364 TC655364:TD655364 ACY655364:ACZ655364 AMU655364:AMV655364 AWQ655364:AWR655364 BGM655364:BGN655364 BQI655364:BQJ655364 CAE655364:CAF655364 CKA655364:CKB655364 CTW655364:CTX655364 DDS655364:DDT655364 DNO655364:DNP655364 DXK655364:DXL655364 EHG655364:EHH655364 ERC655364:ERD655364 FAY655364:FAZ655364 FKU655364:FKV655364 FUQ655364:FUR655364 GEM655364:GEN655364 GOI655364:GOJ655364 GYE655364:GYF655364 HIA655364:HIB655364 HRW655364:HRX655364 IBS655364:IBT655364 ILO655364:ILP655364 IVK655364:IVL655364 JFG655364:JFH655364 JPC655364:JPD655364 JYY655364:JYZ655364 KIU655364:KIV655364 KSQ655364:KSR655364 LCM655364:LCN655364 LMI655364:LMJ655364 LWE655364:LWF655364 MGA655364:MGB655364 MPW655364:MPX655364 MZS655364:MZT655364 NJO655364:NJP655364 NTK655364:NTL655364 ODG655364:ODH655364 ONC655364:OND655364 OWY655364:OWZ655364 PGU655364:PGV655364 PQQ655364:PQR655364 QAM655364:QAN655364 QKI655364:QKJ655364 QUE655364:QUF655364 REA655364:REB655364 RNW655364:RNX655364 RXS655364:RXT655364 SHO655364:SHP655364 SRK655364:SRL655364 TBG655364:TBH655364 TLC655364:TLD655364 TUY655364:TUZ655364 UEU655364:UEV655364 UOQ655364:UOR655364 UYM655364:UYN655364 VII655364:VIJ655364 VSE655364:VSF655364 WCA655364:WCB655364 WLW655364:WLX655364 WVS655364:WVT655364 I720900:K720900 JG720900:JH720900 TC720900:TD720900 ACY720900:ACZ720900 AMU720900:AMV720900 AWQ720900:AWR720900 BGM720900:BGN720900 BQI720900:BQJ720900 CAE720900:CAF720900 CKA720900:CKB720900 CTW720900:CTX720900 DDS720900:DDT720900 DNO720900:DNP720900 DXK720900:DXL720900 EHG720900:EHH720900 ERC720900:ERD720900 FAY720900:FAZ720900 FKU720900:FKV720900 FUQ720900:FUR720900 GEM720900:GEN720900 GOI720900:GOJ720900 GYE720900:GYF720900 HIA720900:HIB720900 HRW720900:HRX720900 IBS720900:IBT720900 ILO720900:ILP720900 IVK720900:IVL720900 JFG720900:JFH720900 JPC720900:JPD720900 JYY720900:JYZ720900 KIU720900:KIV720900 KSQ720900:KSR720900 LCM720900:LCN720900 LMI720900:LMJ720900 LWE720900:LWF720900 MGA720900:MGB720900 MPW720900:MPX720900 MZS720900:MZT720900 NJO720900:NJP720900 NTK720900:NTL720900 ODG720900:ODH720900 ONC720900:OND720900 OWY720900:OWZ720900 PGU720900:PGV720900 PQQ720900:PQR720900 QAM720900:QAN720900 QKI720900:QKJ720900 QUE720900:QUF720900 REA720900:REB720900 RNW720900:RNX720900 RXS720900:RXT720900 SHO720900:SHP720900 SRK720900:SRL720900 TBG720900:TBH720900 TLC720900:TLD720900 TUY720900:TUZ720900 UEU720900:UEV720900 UOQ720900:UOR720900 UYM720900:UYN720900 VII720900:VIJ720900 VSE720900:VSF720900 WCA720900:WCB720900 WLW720900:WLX720900 WVS720900:WVT720900 I786436:K786436 JG786436:JH786436 TC786436:TD786436 ACY786436:ACZ786436 AMU786436:AMV786436 AWQ786436:AWR786436 BGM786436:BGN786436 BQI786436:BQJ786436 CAE786436:CAF786436 CKA786436:CKB786436 CTW786436:CTX786436 DDS786436:DDT786436 DNO786436:DNP786436 DXK786436:DXL786436 EHG786436:EHH786436 ERC786436:ERD786436 FAY786436:FAZ786436 FKU786436:FKV786436 FUQ786436:FUR786436 GEM786436:GEN786436 GOI786436:GOJ786436 GYE786436:GYF786436 HIA786436:HIB786436 HRW786436:HRX786436 IBS786436:IBT786436 ILO786436:ILP786436 IVK786436:IVL786436 JFG786436:JFH786436 JPC786436:JPD786436 JYY786436:JYZ786436 KIU786436:KIV786436 KSQ786436:KSR786436 LCM786436:LCN786436 LMI786436:LMJ786436 LWE786436:LWF786436 MGA786436:MGB786436 MPW786436:MPX786436 MZS786436:MZT786436 NJO786436:NJP786436 NTK786436:NTL786436 ODG786436:ODH786436 ONC786436:OND786436 OWY786436:OWZ786436 PGU786436:PGV786436 PQQ786436:PQR786436 QAM786436:QAN786436 QKI786436:QKJ786436 QUE786436:QUF786436 REA786436:REB786436 RNW786436:RNX786436 RXS786436:RXT786436 SHO786436:SHP786436 SRK786436:SRL786436 TBG786436:TBH786436 TLC786436:TLD786436 TUY786436:TUZ786436 UEU786436:UEV786436 UOQ786436:UOR786436 UYM786436:UYN786436 VII786436:VIJ786436 VSE786436:VSF786436 WCA786436:WCB786436 WLW786436:WLX786436 WVS786436:WVT786436 I851972:K851972 JG851972:JH851972 TC851972:TD851972 ACY851972:ACZ851972 AMU851972:AMV851972 AWQ851972:AWR851972 BGM851972:BGN851972 BQI851972:BQJ851972 CAE851972:CAF851972 CKA851972:CKB851972 CTW851972:CTX851972 DDS851972:DDT851972 DNO851972:DNP851972 DXK851972:DXL851972 EHG851972:EHH851972 ERC851972:ERD851972 FAY851972:FAZ851972 FKU851972:FKV851972 FUQ851972:FUR851972 GEM851972:GEN851972 GOI851972:GOJ851972 GYE851972:GYF851972 HIA851972:HIB851972 HRW851972:HRX851972 IBS851972:IBT851972 ILO851972:ILP851972 IVK851972:IVL851972 JFG851972:JFH851972 JPC851972:JPD851972 JYY851972:JYZ851972 KIU851972:KIV851972 KSQ851972:KSR851972 LCM851972:LCN851972 LMI851972:LMJ851972 LWE851972:LWF851972 MGA851972:MGB851972 MPW851972:MPX851972 MZS851972:MZT851972 NJO851972:NJP851972 NTK851972:NTL851972 ODG851972:ODH851972 ONC851972:OND851972 OWY851972:OWZ851972 PGU851972:PGV851972 PQQ851972:PQR851972 QAM851972:QAN851972 QKI851972:QKJ851972 QUE851972:QUF851972 REA851972:REB851972 RNW851972:RNX851972 RXS851972:RXT851972 SHO851972:SHP851972 SRK851972:SRL851972 TBG851972:TBH851972 TLC851972:TLD851972 TUY851972:TUZ851972 UEU851972:UEV851972 UOQ851972:UOR851972 UYM851972:UYN851972 VII851972:VIJ851972 VSE851972:VSF851972 WCA851972:WCB851972 WLW851972:WLX851972 WVS851972:WVT851972 I917508:K917508 JG917508:JH917508 TC917508:TD917508 ACY917508:ACZ917508 AMU917508:AMV917508 AWQ917508:AWR917508 BGM917508:BGN917508 BQI917508:BQJ917508 CAE917508:CAF917508 CKA917508:CKB917508 CTW917508:CTX917508 DDS917508:DDT917508 DNO917508:DNP917508 DXK917508:DXL917508 EHG917508:EHH917508 ERC917508:ERD917508 FAY917508:FAZ917508 FKU917508:FKV917508 FUQ917508:FUR917508 GEM917508:GEN917508 GOI917508:GOJ917508 GYE917508:GYF917508 HIA917508:HIB917508 HRW917508:HRX917508 IBS917508:IBT917508 ILO917508:ILP917508 IVK917508:IVL917508 JFG917508:JFH917508 JPC917508:JPD917508 JYY917508:JYZ917508 KIU917508:KIV917508 KSQ917508:KSR917508 LCM917508:LCN917508 LMI917508:LMJ917508 LWE917508:LWF917508 MGA917508:MGB917508 MPW917508:MPX917508 MZS917508:MZT917508 NJO917508:NJP917508 NTK917508:NTL917508 ODG917508:ODH917508 ONC917508:OND917508 OWY917508:OWZ917508 PGU917508:PGV917508 PQQ917508:PQR917508 QAM917508:QAN917508 QKI917508:QKJ917508 QUE917508:QUF917508 REA917508:REB917508 RNW917508:RNX917508 RXS917508:RXT917508 SHO917508:SHP917508 SRK917508:SRL917508 TBG917508:TBH917508 TLC917508:TLD917508 TUY917508:TUZ917508 UEU917508:UEV917508 UOQ917508:UOR917508 UYM917508:UYN917508 VII917508:VIJ917508 VSE917508:VSF917508 WCA917508:WCB917508 WLW917508:WLX917508 WVS917508:WVT917508 I983044:K983044 JG983044:JH983044 TC983044:TD983044 ACY983044:ACZ983044 AMU983044:AMV983044 AWQ983044:AWR983044 BGM983044:BGN983044 BQI983044:BQJ983044 CAE983044:CAF983044 CKA983044:CKB983044 CTW983044:CTX983044 DDS983044:DDT983044 DNO983044:DNP983044 DXK983044:DXL983044 EHG983044:EHH983044 ERC983044:ERD983044 FAY983044:FAZ983044 FKU983044:FKV983044 FUQ983044:FUR983044 GEM983044:GEN983044 GOI983044:GOJ983044 GYE983044:GYF983044 HIA983044:HIB983044 HRW983044:HRX983044 IBS983044:IBT983044 ILO983044:ILP983044 IVK983044:IVL983044 JFG983044:JFH983044 JPC983044:JPD983044 JYY983044:JYZ983044 KIU983044:KIV983044 KSQ983044:KSR983044 LCM983044:LCN983044 LMI983044:LMJ983044 LWE983044:LWF983044 MGA983044:MGB983044 MPW983044:MPX983044 MZS983044:MZT983044 NJO983044:NJP983044 NTK983044:NTL983044 ODG983044:ODH983044 ONC983044:OND983044 OWY983044:OWZ983044 PGU983044:PGV983044 PQQ983044:PQR983044 QAM983044:QAN983044 QKI983044:QKJ983044 QUE983044:QUF983044 REA983044:REB983044 RNW983044:RNX983044 RXS983044:RXT983044 SHO983044:SHP983044 SRK983044:SRL983044 TBG983044:TBH983044 TLC983044:TLD983044 TUY983044:TUZ983044 UEU983044:UEV983044 UOQ983044:UOR983044 UYM983044:UYN983044 VII983044:VIJ983044 VSE983044:VSF983044 WCA983044:WCB983044 WLW983044:WLX983044">
      <formula1>"January, February, March, Jan-Mar, April, May, June, Apr-June, July, August, September, Jul-Sep, October, November, December, Oct-Dec, Janu-Dec"</formula1>
    </dataValidation>
    <dataValidation type="list" allowBlank="1" showInputMessage="1" showErrorMessage="1" sqref="WVX983044 JE8 TA8 ACW8 AMS8 AWO8 BGK8 BQG8 CAC8 CJY8 CTU8 DDQ8 DNM8 DXI8 EHE8 ERA8 FAW8 FKS8 FUO8 GEK8 GOG8 GYC8 HHY8 HRU8 IBQ8 ILM8 IVI8 JFE8 JPA8 JYW8 KIS8 KSO8 LCK8 LMG8 LWC8 MFY8 MPU8 MZQ8 NJM8 NTI8 ODE8 ONA8 OWW8 PGS8 PQO8 QAK8 QKG8 QUC8 RDY8 RNU8 RXQ8 SHM8 SRI8 TBE8 TLA8 TUW8 UES8 UOO8 UYK8 VIG8 VSC8 WBY8 WLU8 WVQ8 P65540 JL65540 TH65540 ADD65540 AMZ65540 AWV65540 BGR65540 BQN65540 CAJ65540 CKF65540 CUB65540 DDX65540 DNT65540 DXP65540 EHL65540 ERH65540 FBD65540 FKZ65540 FUV65540 GER65540 GON65540 GYJ65540 HIF65540 HSB65540 IBX65540 ILT65540 IVP65540 JFL65540 JPH65540 JZD65540 KIZ65540 KSV65540 LCR65540 LMN65540 LWJ65540 MGF65540 MQB65540 MZX65540 NJT65540 NTP65540 ODL65540 ONH65540 OXD65540 PGZ65540 PQV65540 QAR65540 QKN65540 QUJ65540 REF65540 ROB65540 RXX65540 SHT65540 SRP65540 TBL65540 TLH65540 TVD65540 UEZ65540 UOV65540 UYR65540 VIN65540 VSJ65540 WCF65540 WMB65540 WVX65540 P131076 JL131076 TH131076 ADD131076 AMZ131076 AWV131076 BGR131076 BQN131076 CAJ131076 CKF131076 CUB131076 DDX131076 DNT131076 DXP131076 EHL131076 ERH131076 FBD131076 FKZ131076 FUV131076 GER131076 GON131076 GYJ131076 HIF131076 HSB131076 IBX131076 ILT131076 IVP131076 JFL131076 JPH131076 JZD131076 KIZ131076 KSV131076 LCR131076 LMN131076 LWJ131076 MGF131076 MQB131076 MZX131076 NJT131076 NTP131076 ODL131076 ONH131076 OXD131076 PGZ131076 PQV131076 QAR131076 QKN131076 QUJ131076 REF131076 ROB131076 RXX131076 SHT131076 SRP131076 TBL131076 TLH131076 TVD131076 UEZ131076 UOV131076 UYR131076 VIN131076 VSJ131076 WCF131076 WMB131076 WVX131076 P196612 JL196612 TH196612 ADD196612 AMZ196612 AWV196612 BGR196612 BQN196612 CAJ196612 CKF196612 CUB196612 DDX196612 DNT196612 DXP196612 EHL196612 ERH196612 FBD196612 FKZ196612 FUV196612 GER196612 GON196612 GYJ196612 HIF196612 HSB196612 IBX196612 ILT196612 IVP196612 JFL196612 JPH196612 JZD196612 KIZ196612 KSV196612 LCR196612 LMN196612 LWJ196612 MGF196612 MQB196612 MZX196612 NJT196612 NTP196612 ODL196612 ONH196612 OXD196612 PGZ196612 PQV196612 QAR196612 QKN196612 QUJ196612 REF196612 ROB196612 RXX196612 SHT196612 SRP196612 TBL196612 TLH196612 TVD196612 UEZ196612 UOV196612 UYR196612 VIN196612 VSJ196612 WCF196612 WMB196612 WVX196612 P262148 JL262148 TH262148 ADD262148 AMZ262148 AWV262148 BGR262148 BQN262148 CAJ262148 CKF262148 CUB262148 DDX262148 DNT262148 DXP262148 EHL262148 ERH262148 FBD262148 FKZ262148 FUV262148 GER262148 GON262148 GYJ262148 HIF262148 HSB262148 IBX262148 ILT262148 IVP262148 JFL262148 JPH262148 JZD262148 KIZ262148 KSV262148 LCR262148 LMN262148 LWJ262148 MGF262148 MQB262148 MZX262148 NJT262148 NTP262148 ODL262148 ONH262148 OXD262148 PGZ262148 PQV262148 QAR262148 QKN262148 QUJ262148 REF262148 ROB262148 RXX262148 SHT262148 SRP262148 TBL262148 TLH262148 TVD262148 UEZ262148 UOV262148 UYR262148 VIN262148 VSJ262148 WCF262148 WMB262148 WVX262148 P327684 JL327684 TH327684 ADD327684 AMZ327684 AWV327684 BGR327684 BQN327684 CAJ327684 CKF327684 CUB327684 DDX327684 DNT327684 DXP327684 EHL327684 ERH327684 FBD327684 FKZ327684 FUV327684 GER327684 GON327684 GYJ327684 HIF327684 HSB327684 IBX327684 ILT327684 IVP327684 JFL327684 JPH327684 JZD327684 KIZ327684 KSV327684 LCR327684 LMN327684 LWJ327684 MGF327684 MQB327684 MZX327684 NJT327684 NTP327684 ODL327684 ONH327684 OXD327684 PGZ327684 PQV327684 QAR327684 QKN327684 QUJ327684 REF327684 ROB327684 RXX327684 SHT327684 SRP327684 TBL327684 TLH327684 TVD327684 UEZ327684 UOV327684 UYR327684 VIN327684 VSJ327684 WCF327684 WMB327684 WVX327684 P393220 JL393220 TH393220 ADD393220 AMZ393220 AWV393220 BGR393220 BQN393220 CAJ393220 CKF393220 CUB393220 DDX393220 DNT393220 DXP393220 EHL393220 ERH393220 FBD393220 FKZ393220 FUV393220 GER393220 GON393220 GYJ393220 HIF393220 HSB393220 IBX393220 ILT393220 IVP393220 JFL393220 JPH393220 JZD393220 KIZ393220 KSV393220 LCR393220 LMN393220 LWJ393220 MGF393220 MQB393220 MZX393220 NJT393220 NTP393220 ODL393220 ONH393220 OXD393220 PGZ393220 PQV393220 QAR393220 QKN393220 QUJ393220 REF393220 ROB393220 RXX393220 SHT393220 SRP393220 TBL393220 TLH393220 TVD393220 UEZ393220 UOV393220 UYR393220 VIN393220 VSJ393220 WCF393220 WMB393220 WVX393220 P458756 JL458756 TH458756 ADD458756 AMZ458756 AWV458756 BGR458756 BQN458756 CAJ458756 CKF458756 CUB458756 DDX458756 DNT458756 DXP458756 EHL458756 ERH458756 FBD458756 FKZ458756 FUV458756 GER458756 GON458756 GYJ458756 HIF458756 HSB458756 IBX458756 ILT458756 IVP458756 JFL458756 JPH458756 JZD458756 KIZ458756 KSV458756 LCR458756 LMN458756 LWJ458756 MGF458756 MQB458756 MZX458756 NJT458756 NTP458756 ODL458756 ONH458756 OXD458756 PGZ458756 PQV458756 QAR458756 QKN458756 QUJ458756 REF458756 ROB458756 RXX458756 SHT458756 SRP458756 TBL458756 TLH458756 TVD458756 UEZ458756 UOV458756 UYR458756 VIN458756 VSJ458756 WCF458756 WMB458756 WVX458756 P524292 JL524292 TH524292 ADD524292 AMZ524292 AWV524292 BGR524292 BQN524292 CAJ524292 CKF524292 CUB524292 DDX524292 DNT524292 DXP524292 EHL524292 ERH524292 FBD524292 FKZ524292 FUV524292 GER524292 GON524292 GYJ524292 HIF524292 HSB524292 IBX524292 ILT524292 IVP524292 JFL524292 JPH524292 JZD524292 KIZ524292 KSV524292 LCR524292 LMN524292 LWJ524292 MGF524292 MQB524292 MZX524292 NJT524292 NTP524292 ODL524292 ONH524292 OXD524292 PGZ524292 PQV524292 QAR524292 QKN524292 QUJ524292 REF524292 ROB524292 RXX524292 SHT524292 SRP524292 TBL524292 TLH524292 TVD524292 UEZ524292 UOV524292 UYR524292 VIN524292 VSJ524292 WCF524292 WMB524292 WVX524292 P589828 JL589828 TH589828 ADD589828 AMZ589828 AWV589828 BGR589828 BQN589828 CAJ589828 CKF589828 CUB589828 DDX589828 DNT589828 DXP589828 EHL589828 ERH589828 FBD589828 FKZ589828 FUV589828 GER589828 GON589828 GYJ589828 HIF589828 HSB589828 IBX589828 ILT589828 IVP589828 JFL589828 JPH589828 JZD589828 KIZ589828 KSV589828 LCR589828 LMN589828 LWJ589828 MGF589828 MQB589828 MZX589828 NJT589828 NTP589828 ODL589828 ONH589828 OXD589828 PGZ589828 PQV589828 QAR589828 QKN589828 QUJ589828 REF589828 ROB589828 RXX589828 SHT589828 SRP589828 TBL589828 TLH589828 TVD589828 UEZ589828 UOV589828 UYR589828 VIN589828 VSJ589828 WCF589828 WMB589828 WVX589828 P655364 JL655364 TH655364 ADD655364 AMZ655364 AWV655364 BGR655364 BQN655364 CAJ655364 CKF655364 CUB655364 DDX655364 DNT655364 DXP655364 EHL655364 ERH655364 FBD655364 FKZ655364 FUV655364 GER655364 GON655364 GYJ655364 HIF655364 HSB655364 IBX655364 ILT655364 IVP655364 JFL655364 JPH655364 JZD655364 KIZ655364 KSV655364 LCR655364 LMN655364 LWJ655364 MGF655364 MQB655364 MZX655364 NJT655364 NTP655364 ODL655364 ONH655364 OXD655364 PGZ655364 PQV655364 QAR655364 QKN655364 QUJ655364 REF655364 ROB655364 RXX655364 SHT655364 SRP655364 TBL655364 TLH655364 TVD655364 UEZ655364 UOV655364 UYR655364 VIN655364 VSJ655364 WCF655364 WMB655364 WVX655364 P720900 JL720900 TH720900 ADD720900 AMZ720900 AWV720900 BGR720900 BQN720900 CAJ720900 CKF720900 CUB720900 DDX720900 DNT720900 DXP720900 EHL720900 ERH720900 FBD720900 FKZ720900 FUV720900 GER720900 GON720900 GYJ720900 HIF720900 HSB720900 IBX720900 ILT720900 IVP720900 JFL720900 JPH720900 JZD720900 KIZ720900 KSV720900 LCR720900 LMN720900 LWJ720900 MGF720900 MQB720900 MZX720900 NJT720900 NTP720900 ODL720900 ONH720900 OXD720900 PGZ720900 PQV720900 QAR720900 QKN720900 QUJ720900 REF720900 ROB720900 RXX720900 SHT720900 SRP720900 TBL720900 TLH720900 TVD720900 UEZ720900 UOV720900 UYR720900 VIN720900 VSJ720900 WCF720900 WMB720900 WVX720900 P786436 JL786436 TH786436 ADD786436 AMZ786436 AWV786436 BGR786436 BQN786436 CAJ786436 CKF786436 CUB786436 DDX786436 DNT786436 DXP786436 EHL786436 ERH786436 FBD786436 FKZ786436 FUV786436 GER786436 GON786436 GYJ786436 HIF786436 HSB786436 IBX786436 ILT786436 IVP786436 JFL786436 JPH786436 JZD786436 KIZ786436 KSV786436 LCR786436 LMN786436 LWJ786436 MGF786436 MQB786436 MZX786436 NJT786436 NTP786436 ODL786436 ONH786436 OXD786436 PGZ786436 PQV786436 QAR786436 QKN786436 QUJ786436 REF786436 ROB786436 RXX786436 SHT786436 SRP786436 TBL786436 TLH786436 TVD786436 UEZ786436 UOV786436 UYR786436 VIN786436 VSJ786436 WCF786436 WMB786436 WVX786436 P851972 JL851972 TH851972 ADD851972 AMZ851972 AWV851972 BGR851972 BQN851972 CAJ851972 CKF851972 CUB851972 DDX851972 DNT851972 DXP851972 EHL851972 ERH851972 FBD851972 FKZ851972 FUV851972 GER851972 GON851972 GYJ851972 HIF851972 HSB851972 IBX851972 ILT851972 IVP851972 JFL851972 JPH851972 JZD851972 KIZ851972 KSV851972 LCR851972 LMN851972 LWJ851972 MGF851972 MQB851972 MZX851972 NJT851972 NTP851972 ODL851972 ONH851972 OXD851972 PGZ851972 PQV851972 QAR851972 QKN851972 QUJ851972 REF851972 ROB851972 RXX851972 SHT851972 SRP851972 TBL851972 TLH851972 TVD851972 UEZ851972 UOV851972 UYR851972 VIN851972 VSJ851972 WCF851972 WMB851972 WVX851972 P917508 JL917508 TH917508 ADD917508 AMZ917508 AWV917508 BGR917508 BQN917508 CAJ917508 CKF917508 CUB917508 DDX917508 DNT917508 DXP917508 EHL917508 ERH917508 FBD917508 FKZ917508 FUV917508 GER917508 GON917508 GYJ917508 HIF917508 HSB917508 IBX917508 ILT917508 IVP917508 JFL917508 JPH917508 JZD917508 KIZ917508 KSV917508 LCR917508 LMN917508 LWJ917508 MGF917508 MQB917508 MZX917508 NJT917508 NTP917508 ODL917508 ONH917508 OXD917508 PGZ917508 PQV917508 QAR917508 QKN917508 QUJ917508 REF917508 ROB917508 RXX917508 SHT917508 SRP917508 TBL917508 TLH917508 TVD917508 UEZ917508 UOV917508 UYR917508 VIN917508 VSJ917508 WCF917508 WMB917508 WVX917508 P983044 JL983044 TH983044 ADD983044 AMZ983044 AWV983044 BGR983044 BQN983044 CAJ983044 CKF983044 CUB983044 DDX983044 DNT983044 DXP983044 EHL983044 ERH983044 FBD983044 FKZ983044 FUV983044 GER983044 GON983044 GYJ983044 HIF983044 HSB983044 IBX983044 ILT983044 IVP983044 JFL983044 JPH983044 JZD983044 KIZ983044 KSV983044 LCR983044 LMN983044 LWJ983044 MGF983044 MQB983044 MZX983044 NJT983044 NTP983044 ODL983044 ONH983044 OXD983044 PGZ983044 PQV983044 QAR983044 QKN983044 QUJ983044 REF983044 ROB983044 RXX983044 SHT983044 SRP983044 TBL983044 TLH983044 TVD983044 UEZ983044 UOV983044 UYR983044 VIN983044 VSJ983044 WCF983044 WMB983044">
      <formula1>"2015, 2016,2017,2018,2019, 2020"</formula1>
    </dataValidation>
    <dataValidation type="list" allowBlank="1" showInputMessage="1" showErrorMessage="1" sqref="S13">
      <formula1>"Not Detected, Resistance, Invalid, Error, No result"</formula1>
    </dataValidation>
    <dataValidation type="list" allowBlank="1" showInputMessage="1" showErrorMessage="1" sqref="P13:R13">
      <formula1>"Not Detected, Resistance, Indeterminate, Error, Invalid, No Result"</formula1>
    </dataValidation>
    <dataValidation type="list" allowBlank="1" showInputMessage="1" showErrorMessage="1" sqref="N13:O13">
      <formula1>"Not Detected, Resistance, Low Resistance, Indeterminate, Error, Invalid, No Result"</formula1>
    </dataValidation>
    <dataValidation type="list" allowBlank="1" showInputMessage="1" showErrorMessage="1" sqref="M13">
      <formula1>"Detected, Not Detected"</formula1>
    </dataValidation>
    <dataValidation type="list" allowBlank="1" showInputMessage="1" showErrorMessage="1" sqref="I13:I15">
      <formula1>"Sputam, Stool, Others"</formula1>
    </dataValidation>
  </dataValidations>
  <printOptions horizontalCentered="1"/>
  <pageMargins left="0.45" right="0.45" top="0.5" bottom="0.5" header="0.3" footer="0.3"/>
  <pageSetup paperSize="9" scale="4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
  <sheetViews>
    <sheetView topLeftCell="A10" workbookViewId="0">
      <selection sqref="A1:O1"/>
    </sheetView>
  </sheetViews>
  <sheetFormatPr defaultColWidth="9.33203125" defaultRowHeight="14.4" x14ac:dyDescent="0.3"/>
  <cols>
    <col min="1" max="1" width="11" style="101" customWidth="1"/>
    <col min="2" max="2" width="9.33203125" style="101"/>
    <col min="3" max="3" width="11.6640625" style="101" customWidth="1"/>
    <col min="4" max="4" width="9.33203125" style="101"/>
    <col min="5" max="5" width="10.6640625" style="101" customWidth="1"/>
    <col min="6" max="16384" width="9.33203125" style="101"/>
  </cols>
  <sheetData>
    <row r="1" spans="1:21" s="100" customFormat="1" ht="18" x14ac:dyDescent="0.3">
      <c r="A1" s="309" t="s">
        <v>698</v>
      </c>
      <c r="B1" s="309"/>
      <c r="C1" s="309"/>
      <c r="D1" s="309"/>
      <c r="E1" s="309"/>
      <c r="F1" s="309"/>
      <c r="G1" s="309"/>
      <c r="H1" s="309"/>
      <c r="I1" s="309"/>
      <c r="J1" s="309"/>
      <c r="K1" s="309"/>
      <c r="L1" s="309"/>
      <c r="M1" s="309"/>
      <c r="N1" s="309"/>
      <c r="O1" s="309"/>
      <c r="P1" s="309" t="s">
        <v>697</v>
      </c>
      <c r="Q1" s="309"/>
      <c r="R1" s="309"/>
      <c r="S1" s="309"/>
      <c r="T1" s="99"/>
      <c r="U1" s="99"/>
    </row>
    <row r="2" spans="1:21" s="100" customFormat="1" ht="18" x14ac:dyDescent="0.3">
      <c r="A2" s="309" t="s">
        <v>63</v>
      </c>
      <c r="B2" s="309"/>
      <c r="C2" s="309"/>
      <c r="D2" s="309"/>
      <c r="E2" s="309"/>
      <c r="F2" s="309"/>
      <c r="G2" s="309"/>
      <c r="H2" s="309"/>
      <c r="I2" s="309"/>
      <c r="J2" s="309"/>
      <c r="K2" s="309"/>
      <c r="L2" s="309"/>
      <c r="M2" s="309"/>
      <c r="N2" s="309"/>
      <c r="O2" s="309"/>
      <c r="P2" s="309"/>
      <c r="Q2" s="309"/>
      <c r="R2" s="309"/>
      <c r="S2" s="309"/>
      <c r="T2" s="309"/>
      <c r="U2" s="309"/>
    </row>
    <row r="3" spans="1:21" s="100" customFormat="1" ht="18" x14ac:dyDescent="0.3">
      <c r="A3" s="309" t="s">
        <v>680</v>
      </c>
      <c r="B3" s="309"/>
      <c r="C3" s="309"/>
      <c r="D3" s="309"/>
      <c r="E3" s="309"/>
      <c r="F3" s="309"/>
      <c r="G3" s="309"/>
      <c r="H3" s="309"/>
      <c r="I3" s="309"/>
      <c r="J3" s="309"/>
      <c r="K3" s="309"/>
      <c r="L3" s="309"/>
      <c r="M3" s="309"/>
      <c r="N3" s="309"/>
      <c r="O3" s="309"/>
      <c r="P3" s="309"/>
      <c r="Q3" s="309"/>
      <c r="R3" s="309"/>
      <c r="S3" s="34"/>
      <c r="T3" s="34"/>
      <c r="U3" s="34"/>
    </row>
    <row r="4" spans="1:21" s="100" customFormat="1" ht="18" x14ac:dyDescent="0.3">
      <c r="A4" s="34"/>
      <c r="B4" s="34"/>
      <c r="C4" s="34"/>
      <c r="D4" s="34"/>
      <c r="E4" s="34"/>
      <c r="F4" s="34"/>
      <c r="G4" s="34"/>
      <c r="H4" s="34"/>
      <c r="I4" s="34"/>
      <c r="J4" s="34"/>
      <c r="K4" s="34"/>
      <c r="L4" s="34"/>
      <c r="M4" s="34"/>
      <c r="N4" s="34"/>
      <c r="O4" s="34"/>
      <c r="P4" s="34"/>
      <c r="Q4" s="34"/>
      <c r="R4" s="34"/>
      <c r="S4" s="34"/>
      <c r="T4" s="34"/>
      <c r="U4" s="34"/>
    </row>
    <row r="5" spans="1:21" s="100" customFormat="1" ht="18" x14ac:dyDescent="0.3">
      <c r="A5" s="309" t="s">
        <v>681</v>
      </c>
      <c r="B5" s="309"/>
      <c r="C5" s="309"/>
      <c r="D5" s="309"/>
      <c r="E5" s="309"/>
      <c r="F5" s="309"/>
      <c r="G5" s="309"/>
      <c r="H5" s="309"/>
      <c r="I5" s="309"/>
      <c r="J5" s="309"/>
      <c r="K5" s="309"/>
      <c r="L5" s="309"/>
      <c r="M5" s="309"/>
      <c r="N5" s="309"/>
      <c r="O5" s="309"/>
      <c r="P5" s="309"/>
      <c r="Q5" s="309"/>
      <c r="R5" s="309"/>
      <c r="S5" s="309"/>
      <c r="T5" s="309"/>
      <c r="U5" s="309"/>
    </row>
    <row r="6" spans="1:21" ht="15.6" x14ac:dyDescent="0.3">
      <c r="A6" s="2"/>
      <c r="B6" s="2"/>
      <c r="C6" s="2"/>
      <c r="D6" s="2"/>
      <c r="E6" s="2"/>
      <c r="F6" s="2"/>
      <c r="G6" s="2"/>
      <c r="H6" s="2"/>
      <c r="I6" s="2"/>
      <c r="J6" s="2"/>
      <c r="K6" s="2"/>
      <c r="L6" s="2"/>
      <c r="M6" s="2"/>
      <c r="N6" s="2"/>
      <c r="O6" s="2"/>
      <c r="P6" s="2"/>
      <c r="Q6" s="2"/>
      <c r="R6" s="2"/>
      <c r="S6" s="2"/>
      <c r="T6" s="2"/>
      <c r="U6" s="2"/>
    </row>
    <row r="7" spans="1:21" ht="15.6" x14ac:dyDescent="0.3">
      <c r="A7" s="2" t="s">
        <v>136</v>
      </c>
      <c r="B7" s="2"/>
      <c r="C7" s="318">
        <f>'DR-TB 10A (Sputum &amp; EP Sample)'!C6:G6</f>
        <v>0</v>
      </c>
      <c r="D7" s="318"/>
      <c r="E7" s="318"/>
      <c r="F7" s="318"/>
      <c r="G7" s="318"/>
      <c r="I7" s="2"/>
      <c r="J7" s="25" t="s">
        <v>14</v>
      </c>
      <c r="K7" s="100"/>
      <c r="L7" s="28" t="str">
        <f>'DR-TB 10A (Sputum &amp; EP Sample)'!L6</f>
        <v>&lt;Dates&gt;</v>
      </c>
    </row>
    <row r="8" spans="1:21" ht="16.8" x14ac:dyDescent="0.3">
      <c r="A8" s="2" t="s">
        <v>9</v>
      </c>
      <c r="B8" s="2"/>
      <c r="C8" s="326">
        <f>'DR-TB 10A (Sputum &amp; EP Sample)'!C7:G7</f>
        <v>0</v>
      </c>
      <c r="D8" s="326"/>
      <c r="E8" s="326"/>
      <c r="F8" s="326"/>
      <c r="G8" s="326"/>
      <c r="I8" s="102"/>
      <c r="J8" s="1" t="s">
        <v>682</v>
      </c>
      <c r="K8" s="24"/>
      <c r="L8" s="24"/>
      <c r="M8" s="24"/>
      <c r="N8" s="321">
        <f>'DR-TB 10A (Sputum &amp; EP Sample)'!N7:S7</f>
        <v>0</v>
      </c>
      <c r="O8" s="321"/>
      <c r="P8" s="321"/>
      <c r="Q8" s="321"/>
      <c r="R8" s="321"/>
      <c r="S8" s="321"/>
    </row>
    <row r="9" spans="1:21" ht="16.8" x14ac:dyDescent="0.3">
      <c r="A9" s="2" t="s">
        <v>10</v>
      </c>
      <c r="B9" s="2"/>
      <c r="C9" s="326">
        <f>'DR-TB 10A (Sputum &amp; EP Sample)'!C8:G8</f>
        <v>0</v>
      </c>
      <c r="D9" s="326"/>
      <c r="E9" s="326"/>
      <c r="F9" s="326"/>
      <c r="G9" s="326"/>
      <c r="I9" s="102"/>
      <c r="J9" s="102" t="s">
        <v>64</v>
      </c>
      <c r="K9" s="102"/>
      <c r="L9" s="102"/>
      <c r="M9" s="321">
        <f>'DR-TB 10A (Sputum &amp; EP Sample)'!M8:S8</f>
        <v>0</v>
      </c>
      <c r="N9" s="321"/>
      <c r="O9" s="321"/>
      <c r="P9" s="321"/>
      <c r="Q9" s="321"/>
      <c r="R9" s="321"/>
      <c r="S9" s="321"/>
    </row>
    <row r="10" spans="1:21" ht="16.8" x14ac:dyDescent="0.3">
      <c r="J10" s="102" t="s">
        <v>11</v>
      </c>
      <c r="K10" s="102"/>
      <c r="L10" s="102"/>
      <c r="M10" s="322">
        <f>'DR-TB 10A (Sputum &amp; EP Sample)'!M9:N9</f>
        <v>0</v>
      </c>
      <c r="N10" s="322"/>
      <c r="O10" s="103"/>
      <c r="P10" s="22"/>
    </row>
    <row r="11" spans="1:21" ht="16.8" x14ac:dyDescent="0.3">
      <c r="J11" s="104" t="s">
        <v>69</v>
      </c>
      <c r="K11" s="323">
        <f>'DR-TB 10A (Sputum &amp; EP Sample)'!K10:L10</f>
        <v>0</v>
      </c>
      <c r="L11" s="323"/>
      <c r="M11" s="104"/>
      <c r="N11" s="105"/>
      <c r="O11" s="102" t="s">
        <v>12</v>
      </c>
      <c r="Q11" s="324">
        <f>'DR-TB 10A (Sputum &amp; EP Sample)'!Q10:S10</f>
        <v>0</v>
      </c>
      <c r="R11" s="325"/>
      <c r="S11" s="325"/>
      <c r="T11" s="106"/>
    </row>
    <row r="12" spans="1:21" ht="16.2" thickBot="1" x14ac:dyDescent="0.35">
      <c r="J12" s="104"/>
      <c r="K12" s="107"/>
      <c r="L12" s="107"/>
      <c r="M12" s="104"/>
      <c r="N12" s="105"/>
      <c r="O12" s="102"/>
      <c r="Q12" s="27"/>
      <c r="R12" s="27"/>
      <c r="S12" s="27"/>
      <c r="T12" s="106"/>
    </row>
    <row r="13" spans="1:21" ht="17.399999999999999" thickBot="1" x14ac:dyDescent="0.35">
      <c r="A13" s="329" t="s">
        <v>683</v>
      </c>
      <c r="B13" s="328" t="s">
        <v>684</v>
      </c>
      <c r="C13" s="328"/>
      <c r="D13" s="328" t="s">
        <v>685</v>
      </c>
      <c r="E13" s="328"/>
      <c r="H13" s="331" t="s">
        <v>686</v>
      </c>
      <c r="I13" s="332"/>
      <c r="J13" s="332"/>
      <c r="K13" s="333"/>
      <c r="L13" s="337" t="s">
        <v>687</v>
      </c>
      <c r="M13" s="337"/>
      <c r="N13" s="337"/>
      <c r="O13" s="338" t="s">
        <v>3</v>
      </c>
      <c r="P13" s="339"/>
      <c r="Q13" s="106"/>
    </row>
    <row r="14" spans="1:21" ht="16.2" thickBot="1" x14ac:dyDescent="0.35">
      <c r="A14" s="330"/>
      <c r="B14" s="310"/>
      <c r="C14" s="311"/>
      <c r="D14" s="310"/>
      <c r="E14" s="311"/>
      <c r="H14" s="334"/>
      <c r="I14" s="335"/>
      <c r="J14" s="335"/>
      <c r="K14" s="336"/>
      <c r="L14" s="108"/>
      <c r="M14" s="109"/>
      <c r="N14" s="110"/>
      <c r="O14" s="340">
        <f>L14+M14+N14</f>
        <v>0</v>
      </c>
      <c r="P14" s="341"/>
      <c r="Q14" s="106"/>
    </row>
    <row r="15" spans="1:21" ht="15.6" x14ac:dyDescent="0.3">
      <c r="A15" s="2"/>
      <c r="B15" s="111"/>
      <c r="C15" s="111"/>
      <c r="D15" s="111"/>
      <c r="E15" s="111"/>
      <c r="F15" s="106"/>
      <c r="G15" s="105"/>
      <c r="H15" s="105"/>
      <c r="I15" s="105"/>
      <c r="J15" s="105"/>
      <c r="K15" s="105"/>
      <c r="L15" s="105"/>
      <c r="M15" s="105"/>
      <c r="N15" s="105"/>
      <c r="O15" s="105"/>
      <c r="P15" s="105"/>
      <c r="Q15" s="105"/>
      <c r="R15" s="105"/>
      <c r="S15" s="105"/>
      <c r="T15" s="105"/>
      <c r="U15" s="105"/>
    </row>
    <row r="16" spans="1:21" ht="15.6" x14ac:dyDescent="0.3">
      <c r="A16" s="112"/>
      <c r="B16" s="111"/>
      <c r="C16" s="111"/>
      <c r="D16" s="111"/>
      <c r="E16" s="111"/>
      <c r="F16" s="111"/>
      <c r="G16" s="111"/>
      <c r="H16" s="111"/>
      <c r="I16" s="106"/>
      <c r="J16" s="105"/>
      <c r="K16" s="105"/>
      <c r="L16" s="105"/>
      <c r="M16" s="105"/>
      <c r="N16" s="105"/>
      <c r="O16" s="105"/>
      <c r="P16" s="105"/>
      <c r="Q16" s="105"/>
      <c r="R16" s="105"/>
      <c r="S16" s="105"/>
      <c r="T16" s="105"/>
      <c r="U16" s="113"/>
    </row>
    <row r="17" spans="1:21" ht="15.6" x14ac:dyDescent="0.3">
      <c r="A17" s="315"/>
      <c r="B17" s="315"/>
      <c r="C17" s="315" t="s">
        <v>688</v>
      </c>
      <c r="D17" s="315"/>
      <c r="E17" s="315"/>
      <c r="F17" s="320" t="s">
        <v>689</v>
      </c>
      <c r="G17" s="320"/>
      <c r="H17" s="320"/>
      <c r="I17" s="320"/>
      <c r="J17" s="320"/>
      <c r="K17" s="320"/>
      <c r="L17" s="315" t="s">
        <v>690</v>
      </c>
      <c r="M17" s="315"/>
      <c r="N17" s="315"/>
      <c r="O17" s="315"/>
      <c r="P17" s="315"/>
      <c r="Q17" s="315"/>
      <c r="U17" s="319"/>
    </row>
    <row r="18" spans="1:21" x14ac:dyDescent="0.3">
      <c r="A18" s="315"/>
      <c r="B18" s="315"/>
      <c r="C18" s="314" t="s">
        <v>691</v>
      </c>
      <c r="D18" s="314" t="s">
        <v>692</v>
      </c>
      <c r="E18" s="314" t="s">
        <v>3</v>
      </c>
      <c r="F18" s="320" t="s">
        <v>691</v>
      </c>
      <c r="G18" s="320"/>
      <c r="H18" s="320" t="s">
        <v>692</v>
      </c>
      <c r="I18" s="320"/>
      <c r="J18" s="320" t="s">
        <v>3</v>
      </c>
      <c r="K18" s="320"/>
      <c r="L18" s="315" t="s">
        <v>691</v>
      </c>
      <c r="M18" s="315"/>
      <c r="N18" s="315" t="s">
        <v>692</v>
      </c>
      <c r="O18" s="315"/>
      <c r="P18" s="314" t="s">
        <v>3</v>
      </c>
      <c r="Q18" s="314"/>
      <c r="U18" s="319"/>
    </row>
    <row r="19" spans="1:21" x14ac:dyDescent="0.3">
      <c r="A19" s="315"/>
      <c r="B19" s="315"/>
      <c r="C19" s="314"/>
      <c r="D19" s="314"/>
      <c r="E19" s="314"/>
      <c r="F19" s="320"/>
      <c r="G19" s="320"/>
      <c r="H19" s="320"/>
      <c r="I19" s="320"/>
      <c r="J19" s="320"/>
      <c r="K19" s="320"/>
      <c r="L19" s="315"/>
      <c r="M19" s="315"/>
      <c r="N19" s="315"/>
      <c r="O19" s="315"/>
      <c r="P19" s="314"/>
      <c r="Q19" s="314"/>
      <c r="U19" s="319"/>
    </row>
    <row r="20" spans="1:21" ht="15" customHeight="1" x14ac:dyDescent="0.3">
      <c r="A20" s="315" t="s">
        <v>693</v>
      </c>
      <c r="B20" s="315"/>
      <c r="C20" s="316"/>
      <c r="D20" s="316"/>
      <c r="E20" s="314">
        <f>C20+D20</f>
        <v>0</v>
      </c>
      <c r="F20" s="317"/>
      <c r="G20" s="317"/>
      <c r="H20" s="307"/>
      <c r="I20" s="307"/>
      <c r="J20" s="308">
        <f>F20+H20</f>
        <v>0</v>
      </c>
      <c r="K20" s="308"/>
      <c r="L20" s="314">
        <f>C20+F20</f>
        <v>0</v>
      </c>
      <c r="M20" s="314"/>
      <c r="N20" s="314">
        <f>D20+H20</f>
        <v>0</v>
      </c>
      <c r="O20" s="314"/>
      <c r="P20" s="314">
        <f>L20+N20</f>
        <v>0</v>
      </c>
      <c r="Q20" s="314"/>
      <c r="U20" s="327"/>
    </row>
    <row r="21" spans="1:21" ht="15" customHeight="1" x14ac:dyDescent="0.3">
      <c r="A21" s="315"/>
      <c r="B21" s="315"/>
      <c r="C21" s="316"/>
      <c r="D21" s="316"/>
      <c r="E21" s="314"/>
      <c r="F21" s="317"/>
      <c r="G21" s="317"/>
      <c r="H21" s="307"/>
      <c r="I21" s="307"/>
      <c r="J21" s="308"/>
      <c r="K21" s="308"/>
      <c r="L21" s="314"/>
      <c r="M21" s="314"/>
      <c r="N21" s="314"/>
      <c r="O21" s="314"/>
      <c r="P21" s="314"/>
      <c r="Q21" s="314"/>
      <c r="U21" s="327"/>
    </row>
    <row r="22" spans="1:21" ht="15" customHeight="1" x14ac:dyDescent="0.3">
      <c r="A22" s="315"/>
      <c r="B22" s="315"/>
      <c r="C22" s="316"/>
      <c r="D22" s="316"/>
      <c r="E22" s="314"/>
      <c r="F22" s="317"/>
      <c r="G22" s="317"/>
      <c r="H22" s="307"/>
      <c r="I22" s="307"/>
      <c r="J22" s="308"/>
      <c r="K22" s="308"/>
      <c r="L22" s="314"/>
      <c r="M22" s="314"/>
      <c r="N22" s="314"/>
      <c r="O22" s="314"/>
      <c r="P22" s="314"/>
      <c r="Q22" s="314"/>
      <c r="U22" s="327"/>
    </row>
    <row r="23" spans="1:21" ht="15.6" x14ac:dyDescent="0.3">
      <c r="A23" s="315" t="s">
        <v>694</v>
      </c>
      <c r="B23" s="315"/>
      <c r="C23" s="316"/>
      <c r="D23" s="316"/>
      <c r="E23" s="314">
        <f t="shared" ref="E23" si="0">C23+D23</f>
        <v>0</v>
      </c>
      <c r="F23" s="317"/>
      <c r="G23" s="317"/>
      <c r="H23" s="307"/>
      <c r="I23" s="307"/>
      <c r="J23" s="308">
        <f t="shared" ref="J23" si="1">F23+H23</f>
        <v>0</v>
      </c>
      <c r="K23" s="308"/>
      <c r="L23" s="314">
        <f t="shared" ref="L23" si="2">C23+F23</f>
        <v>0</v>
      </c>
      <c r="M23" s="314"/>
      <c r="N23" s="314">
        <f t="shared" ref="N23" si="3">D23+H23</f>
        <v>0</v>
      </c>
      <c r="O23" s="314"/>
      <c r="P23" s="314">
        <f t="shared" ref="P23" si="4">L23+N23</f>
        <v>0</v>
      </c>
      <c r="Q23" s="314"/>
      <c r="U23" s="33"/>
    </row>
    <row r="24" spans="1:21" ht="15.6" x14ac:dyDescent="0.3">
      <c r="A24" s="315"/>
      <c r="B24" s="315"/>
      <c r="C24" s="316"/>
      <c r="D24" s="316"/>
      <c r="E24" s="314"/>
      <c r="F24" s="317"/>
      <c r="G24" s="317"/>
      <c r="H24" s="307"/>
      <c r="I24" s="307"/>
      <c r="J24" s="308"/>
      <c r="K24" s="308"/>
      <c r="L24" s="314"/>
      <c r="M24" s="314"/>
      <c r="N24" s="314"/>
      <c r="O24" s="314"/>
      <c r="P24" s="314"/>
      <c r="Q24" s="314"/>
      <c r="U24" s="33"/>
    </row>
    <row r="25" spans="1:21" ht="15.6" x14ac:dyDescent="0.3">
      <c r="A25" s="315"/>
      <c r="B25" s="315"/>
      <c r="C25" s="316"/>
      <c r="D25" s="316"/>
      <c r="E25" s="314"/>
      <c r="F25" s="317"/>
      <c r="G25" s="317"/>
      <c r="H25" s="307"/>
      <c r="I25" s="307"/>
      <c r="J25" s="308"/>
      <c r="K25" s="308"/>
      <c r="L25" s="314"/>
      <c r="M25" s="314"/>
      <c r="N25" s="314"/>
      <c r="O25" s="314"/>
      <c r="P25" s="314"/>
      <c r="Q25" s="314"/>
      <c r="U25" s="33"/>
    </row>
    <row r="26" spans="1:21" ht="15.6" x14ac:dyDescent="0.3">
      <c r="A26" s="315" t="s">
        <v>695</v>
      </c>
      <c r="B26" s="315"/>
      <c r="C26" s="316"/>
      <c r="D26" s="316"/>
      <c r="E26" s="314">
        <f t="shared" ref="E26" si="5">C26+D26</f>
        <v>0</v>
      </c>
      <c r="F26" s="317"/>
      <c r="G26" s="317"/>
      <c r="H26" s="307"/>
      <c r="I26" s="307"/>
      <c r="J26" s="308">
        <f t="shared" ref="J26" si="6">F26+H26</f>
        <v>0</v>
      </c>
      <c r="K26" s="308"/>
      <c r="L26" s="314">
        <f t="shared" ref="L26" si="7">C26+F26</f>
        <v>0</v>
      </c>
      <c r="M26" s="314"/>
      <c r="N26" s="314">
        <f t="shared" ref="N26" si="8">D26+H26</f>
        <v>0</v>
      </c>
      <c r="O26" s="314"/>
      <c r="P26" s="314">
        <f t="shared" ref="P26" si="9">L26+N26</f>
        <v>0</v>
      </c>
      <c r="Q26" s="314"/>
      <c r="R26" s="32"/>
      <c r="S26" s="33"/>
      <c r="T26" s="33"/>
      <c r="U26" s="33"/>
    </row>
    <row r="27" spans="1:21" ht="15.6" x14ac:dyDescent="0.3">
      <c r="A27" s="315"/>
      <c r="B27" s="315"/>
      <c r="C27" s="316"/>
      <c r="D27" s="316"/>
      <c r="E27" s="314"/>
      <c r="F27" s="317"/>
      <c r="G27" s="317"/>
      <c r="H27" s="307"/>
      <c r="I27" s="307"/>
      <c r="J27" s="308"/>
      <c r="K27" s="308"/>
      <c r="L27" s="314"/>
      <c r="M27" s="314"/>
      <c r="N27" s="314"/>
      <c r="O27" s="314"/>
      <c r="P27" s="314"/>
      <c r="Q27" s="314"/>
      <c r="R27" s="32"/>
      <c r="S27" s="33"/>
      <c r="T27" s="33"/>
      <c r="U27" s="33"/>
    </row>
    <row r="28" spans="1:21" ht="15.6" x14ac:dyDescent="0.3">
      <c r="A28" s="315"/>
      <c r="B28" s="315"/>
      <c r="C28" s="316"/>
      <c r="D28" s="316"/>
      <c r="E28" s="314"/>
      <c r="F28" s="317"/>
      <c r="G28" s="317"/>
      <c r="H28" s="307"/>
      <c r="I28" s="307"/>
      <c r="J28" s="308"/>
      <c r="K28" s="308"/>
      <c r="L28" s="314"/>
      <c r="M28" s="314"/>
      <c r="N28" s="314"/>
      <c r="O28" s="314"/>
      <c r="P28" s="314"/>
      <c r="Q28" s="314"/>
      <c r="R28" s="32"/>
      <c r="S28" s="33"/>
      <c r="T28" s="33"/>
      <c r="U28" s="33"/>
    </row>
    <row r="29" spans="1:21" ht="15.6" x14ac:dyDescent="0.3">
      <c r="A29" s="32"/>
      <c r="B29" s="32"/>
      <c r="C29" s="32"/>
      <c r="D29" s="32"/>
      <c r="E29" s="23"/>
      <c r="F29" s="33"/>
      <c r="G29" s="33"/>
      <c r="H29" s="23"/>
      <c r="I29" s="23"/>
      <c r="J29" s="33"/>
      <c r="K29" s="33"/>
      <c r="L29" s="23"/>
      <c r="M29" s="23"/>
      <c r="N29" s="23"/>
      <c r="O29" s="23"/>
      <c r="P29" s="23"/>
      <c r="Q29" s="23"/>
      <c r="R29" s="32"/>
      <c r="S29" s="33"/>
      <c r="T29" s="33"/>
      <c r="U29" s="33"/>
    </row>
    <row r="30" spans="1:21" ht="16.8" x14ac:dyDescent="0.3">
      <c r="A30" s="2"/>
      <c r="B30" s="2"/>
      <c r="C30" s="2"/>
      <c r="D30" s="2"/>
      <c r="H30" s="106" t="s">
        <v>696</v>
      </c>
      <c r="I30" s="106"/>
      <c r="J30" s="106"/>
      <c r="K30" s="106"/>
      <c r="L30" s="106"/>
      <c r="M30" s="312"/>
      <c r="N30" s="312"/>
      <c r="O30" s="312"/>
      <c r="P30" s="312"/>
      <c r="Q30" s="312"/>
      <c r="R30" s="312"/>
      <c r="S30" s="312"/>
    </row>
    <row r="31" spans="1:21" ht="16.8" x14ac:dyDescent="0.3">
      <c r="A31" s="114"/>
      <c r="B31" s="114"/>
      <c r="C31" s="114"/>
      <c r="D31" s="114"/>
      <c r="E31" s="26"/>
      <c r="F31" s="26"/>
      <c r="G31" s="25"/>
      <c r="H31" s="106" t="s">
        <v>56</v>
      </c>
      <c r="I31" s="306"/>
      <c r="J31" s="306"/>
      <c r="K31" s="306"/>
      <c r="L31" s="306"/>
      <c r="N31" s="115" t="s">
        <v>57</v>
      </c>
      <c r="O31" s="313"/>
      <c r="P31" s="313"/>
      <c r="Q31" s="313"/>
    </row>
    <row r="32" spans="1:21" ht="16.8" x14ac:dyDescent="0.3">
      <c r="A32" s="25"/>
      <c r="B32" s="23"/>
      <c r="C32" s="23"/>
      <c r="D32" s="23"/>
      <c r="E32" s="25"/>
      <c r="F32" s="25"/>
      <c r="G32" s="26"/>
      <c r="H32" s="106" t="s">
        <v>58</v>
      </c>
      <c r="I32" s="305"/>
      <c r="J32" s="305"/>
      <c r="K32" s="305"/>
      <c r="L32" s="305"/>
      <c r="M32" s="305"/>
    </row>
    <row r="33" spans="1:8" ht="15.6" x14ac:dyDescent="0.3">
      <c r="A33" s="25"/>
      <c r="B33" s="23"/>
      <c r="C33" s="23"/>
      <c r="D33" s="23"/>
      <c r="E33" s="25"/>
      <c r="F33" s="25"/>
      <c r="G33" s="26"/>
      <c r="H33" s="26"/>
    </row>
  </sheetData>
  <mergeCells count="71">
    <mergeCell ref="A13:A14"/>
    <mergeCell ref="L26:M28"/>
    <mergeCell ref="N26:O28"/>
    <mergeCell ref="P26:Q28"/>
    <mergeCell ref="H13:K14"/>
    <mergeCell ref="L13:N13"/>
    <mergeCell ref="O13:P13"/>
    <mergeCell ref="O14:P14"/>
    <mergeCell ref="N18:O19"/>
    <mergeCell ref="J20:K22"/>
    <mergeCell ref="F26:G28"/>
    <mergeCell ref="H26:I28"/>
    <mergeCell ref="A17:B19"/>
    <mergeCell ref="C20:C22"/>
    <mergeCell ref="D20:D22"/>
    <mergeCell ref="F20:G22"/>
    <mergeCell ref="E18:E19"/>
    <mergeCell ref="C9:G9"/>
    <mergeCell ref="B13:C13"/>
    <mergeCell ref="D13:E13"/>
    <mergeCell ref="B14:C14"/>
    <mergeCell ref="U20:U22"/>
    <mergeCell ref="J23:K25"/>
    <mergeCell ref="F18:G19"/>
    <mergeCell ref="H18:I19"/>
    <mergeCell ref="J18:K19"/>
    <mergeCell ref="L18:M19"/>
    <mergeCell ref="P18:Q19"/>
    <mergeCell ref="L20:M22"/>
    <mergeCell ref="L23:M25"/>
    <mergeCell ref="N20:O22"/>
    <mergeCell ref="N23:O25"/>
    <mergeCell ref="P20:Q22"/>
    <mergeCell ref="P23:Q25"/>
    <mergeCell ref="A5:U5"/>
    <mergeCell ref="A2:U2"/>
    <mergeCell ref="A3:R3"/>
    <mergeCell ref="C7:G7"/>
    <mergeCell ref="U17:U19"/>
    <mergeCell ref="F17:K17"/>
    <mergeCell ref="L17:Q17"/>
    <mergeCell ref="N8:S8"/>
    <mergeCell ref="M9:S9"/>
    <mergeCell ref="M10:N10"/>
    <mergeCell ref="K11:L11"/>
    <mergeCell ref="Q11:S11"/>
    <mergeCell ref="C8:G8"/>
    <mergeCell ref="C17:E17"/>
    <mergeCell ref="C18:C19"/>
    <mergeCell ref="D18:D19"/>
    <mergeCell ref="A1:O1"/>
    <mergeCell ref="P1:S1"/>
    <mergeCell ref="D14:E14"/>
    <mergeCell ref="M30:S30"/>
    <mergeCell ref="O31:Q31"/>
    <mergeCell ref="E20:E22"/>
    <mergeCell ref="A20:B22"/>
    <mergeCell ref="C23:C25"/>
    <mergeCell ref="D23:D25"/>
    <mergeCell ref="E23:E25"/>
    <mergeCell ref="F23:G25"/>
    <mergeCell ref="A26:B28"/>
    <mergeCell ref="C26:C28"/>
    <mergeCell ref="D26:D28"/>
    <mergeCell ref="E26:E28"/>
    <mergeCell ref="A23:B25"/>
    <mergeCell ref="I32:M32"/>
    <mergeCell ref="I31:L31"/>
    <mergeCell ref="H23:I25"/>
    <mergeCell ref="J26:K28"/>
    <mergeCell ref="H20:I22"/>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T13"/>
  <sheetViews>
    <sheetView tabSelected="1" topLeftCell="A7" zoomScaleNormal="100" workbookViewId="0">
      <selection activeCell="A9" sqref="A9"/>
    </sheetView>
  </sheetViews>
  <sheetFormatPr defaultColWidth="9.33203125" defaultRowHeight="14.4" x14ac:dyDescent="0.3"/>
  <cols>
    <col min="1" max="1" width="14.44140625" style="101" customWidth="1"/>
    <col min="2" max="2" width="9.6640625" style="101" customWidth="1"/>
    <col min="3" max="3" width="13.44140625" style="101" customWidth="1"/>
    <col min="4" max="7" width="9.33203125" style="101"/>
    <col min="8" max="8" width="11.33203125" style="138" bestFit="1" customWidth="1"/>
    <col min="9" max="9" width="14.33203125" style="101" customWidth="1"/>
    <col min="10" max="10" width="18" style="101" customWidth="1"/>
    <col min="11" max="16" width="9.33203125" style="101"/>
    <col min="17" max="17" width="12.6640625" style="101" bestFit="1" customWidth="1"/>
    <col min="18" max="18" width="11.6640625" style="101" bestFit="1" customWidth="1"/>
    <col min="19" max="23" width="9.33203125" style="101"/>
    <col min="24" max="24" width="11.33203125" style="138" bestFit="1" customWidth="1"/>
    <col min="25" max="30" width="9.33203125" style="101"/>
    <col min="31" max="31" width="10.33203125" style="101" bestFit="1" customWidth="1"/>
    <col min="32" max="32" width="9.33203125" style="101"/>
    <col min="33" max="33" width="10.33203125" style="101" bestFit="1" customWidth="1"/>
    <col min="34" max="64" width="9.33203125" style="101"/>
    <col min="65" max="65" width="19.5546875" style="101" customWidth="1"/>
    <col min="66" max="84" width="9.33203125" style="101"/>
    <col min="85" max="85" width="10.33203125" style="101" customWidth="1"/>
    <col min="86" max="88" width="9.33203125" style="101"/>
    <col min="89" max="89" width="10" style="101" customWidth="1"/>
    <col min="90" max="90" width="9.6640625" style="101" customWidth="1"/>
    <col min="91" max="149" width="9.33203125" style="101"/>
    <col min="150" max="150" width="24.77734375" style="101" customWidth="1"/>
    <col min="151" max="16384" width="9.33203125" style="101"/>
  </cols>
  <sheetData>
    <row r="1" spans="1:150" s="100" customFormat="1" ht="29.25" customHeight="1" x14ac:dyDescent="0.3">
      <c r="A1" s="399" t="s">
        <v>161</v>
      </c>
      <c r="B1" s="399" t="s">
        <v>280</v>
      </c>
      <c r="C1" s="399" t="s">
        <v>806</v>
      </c>
      <c r="D1" s="400"/>
      <c r="E1" s="381" t="s">
        <v>281</v>
      </c>
      <c r="F1" s="381"/>
      <c r="G1" s="381"/>
      <c r="H1" s="380" t="s">
        <v>282</v>
      </c>
      <c r="I1" s="380"/>
      <c r="J1" s="380"/>
      <c r="K1" s="380"/>
      <c r="L1" s="380"/>
      <c r="M1" s="380"/>
      <c r="N1" s="380"/>
      <c r="O1" s="380"/>
      <c r="P1" s="380"/>
      <c r="Q1" s="380"/>
      <c r="R1" s="380"/>
      <c r="S1" s="380"/>
      <c r="T1" s="380"/>
      <c r="U1" s="380"/>
      <c r="V1" s="380"/>
      <c r="W1" s="380"/>
      <c r="X1" s="380"/>
      <c r="Y1" s="380"/>
      <c r="Z1" s="380"/>
      <c r="AA1" s="380"/>
      <c r="AB1" s="380"/>
      <c r="AC1" s="380"/>
      <c r="AD1" s="380"/>
      <c r="AE1" s="380"/>
      <c r="AF1" s="380"/>
      <c r="AG1" s="380" t="s">
        <v>283</v>
      </c>
      <c r="AH1" s="380"/>
      <c r="AI1" s="380"/>
      <c r="AJ1" s="380"/>
      <c r="AK1" s="361" t="s">
        <v>284</v>
      </c>
      <c r="AL1" s="361" t="s">
        <v>285</v>
      </c>
      <c r="AM1" s="361" t="s">
        <v>286</v>
      </c>
      <c r="AN1" s="361" t="s">
        <v>287</v>
      </c>
      <c r="AO1" s="361"/>
      <c r="AP1" s="361"/>
      <c r="AQ1" s="361"/>
      <c r="AR1" s="361" t="s">
        <v>288</v>
      </c>
      <c r="AS1" s="382" t="s">
        <v>289</v>
      </c>
      <c r="AT1" s="383"/>
      <c r="AU1" s="383"/>
      <c r="AV1" s="384"/>
      <c r="AW1" s="369" t="s">
        <v>290</v>
      </c>
      <c r="AX1" s="361" t="s">
        <v>291</v>
      </c>
      <c r="AY1" s="361"/>
      <c r="AZ1" s="361"/>
      <c r="BA1" s="361"/>
      <c r="BB1" s="369" t="s">
        <v>292</v>
      </c>
      <c r="BC1" s="342" t="s">
        <v>820</v>
      </c>
      <c r="BD1" s="388" t="s">
        <v>75</v>
      </c>
      <c r="BE1" s="388"/>
      <c r="BF1" s="388"/>
      <c r="BG1" s="388" t="s">
        <v>67</v>
      </c>
      <c r="BH1" s="388"/>
      <c r="BI1" s="388"/>
      <c r="BJ1" s="388" t="s">
        <v>3</v>
      </c>
      <c r="BK1" s="393" t="str">
        <f>'DR-TB 10A (Sputum &amp; EP Sample)'!J7</f>
        <v>Name of the person completing the report :</v>
      </c>
      <c r="BL1" s="393" t="str">
        <f>'DR-TB 10A (Sputum &amp; EP Sample)'!J8</f>
        <v>Designation and organization :</v>
      </c>
      <c r="BM1" s="393" t="str">
        <f>'DR-TB 10A (Sputum &amp; EP Sample)'!O10</f>
        <v>Cell Number :</v>
      </c>
      <c r="BN1" s="394" t="str">
        <f>'COVID19 Reporting Form'!B13</f>
        <v>Cartridges Received</v>
      </c>
      <c r="BO1" s="394" t="str">
        <f>'COVID19 Reporting Form'!D13</f>
        <v>Cartridges in Hand</v>
      </c>
      <c r="BP1" s="394" t="str">
        <f>'COVID19 Reporting Form'!C17</f>
        <v>Type of test : New</v>
      </c>
      <c r="BQ1" s="394"/>
      <c r="BR1" s="394"/>
      <c r="BS1" s="394"/>
      <c r="BT1" s="394"/>
      <c r="BU1" s="394"/>
      <c r="BV1" s="394" t="str">
        <f>'COVID19 Reporting Form'!F17</f>
        <v xml:space="preserve">Type of Test : Follow up </v>
      </c>
      <c r="BW1" s="394"/>
      <c r="BX1" s="394"/>
      <c r="BY1" s="394"/>
      <c r="BZ1" s="394"/>
      <c r="CA1" s="394"/>
      <c r="CB1" s="394" t="s">
        <v>686</v>
      </c>
      <c r="CC1" s="394"/>
      <c r="CD1" s="394"/>
      <c r="CE1" s="344" t="str">
        <f>'DR-TB 10A (Sputum &amp; EP Sample)'!J12</f>
        <v>For Xpert</v>
      </c>
      <c r="CF1" s="391"/>
      <c r="CG1" s="392"/>
      <c r="CH1" s="344" t="str">
        <f>'DR-TB 10A (Sputum &amp; EP Sample)'!N12</f>
        <v>For Truenat</v>
      </c>
      <c r="CI1" s="391"/>
      <c r="CJ1" s="391"/>
      <c r="CK1" s="391"/>
      <c r="CL1" s="391"/>
      <c r="CM1" s="391"/>
      <c r="CN1" s="391"/>
      <c r="CO1" s="391"/>
      <c r="CP1" s="392"/>
      <c r="CQ1" s="344" t="str">
        <f>'DR-TB 10A (Sputum &amp; EP Sample)'!G38</f>
        <v>Number of Xpert XDR Assay</v>
      </c>
      <c r="CR1" s="345"/>
      <c r="CS1" s="381" t="s">
        <v>281</v>
      </c>
      <c r="CT1" s="381"/>
      <c r="CU1" s="381"/>
      <c r="CV1" s="380" t="s">
        <v>282</v>
      </c>
      <c r="CW1" s="380"/>
      <c r="CX1" s="380"/>
      <c r="CY1" s="380"/>
      <c r="CZ1" s="380"/>
      <c r="DA1" s="380"/>
      <c r="DB1" s="380"/>
      <c r="DC1" s="380"/>
      <c r="DD1" s="380"/>
      <c r="DE1" s="380"/>
      <c r="DF1" s="380"/>
      <c r="DG1" s="380"/>
      <c r="DH1" s="380"/>
      <c r="DI1" s="380"/>
      <c r="DJ1" s="380"/>
      <c r="DK1" s="380"/>
      <c r="DL1" s="380"/>
      <c r="DM1" s="380"/>
      <c r="DN1" s="380"/>
      <c r="DO1" s="380"/>
      <c r="DP1" s="380"/>
      <c r="DQ1" s="380"/>
      <c r="DR1" s="380"/>
      <c r="DS1" s="380"/>
      <c r="DT1" s="380"/>
      <c r="DU1" s="380" t="s">
        <v>283</v>
      </c>
      <c r="DV1" s="380"/>
      <c r="DW1" s="380"/>
      <c r="DX1" s="380"/>
      <c r="DY1" s="361" t="s">
        <v>284</v>
      </c>
      <c r="DZ1" s="361" t="s">
        <v>285</v>
      </c>
      <c r="EA1" s="361" t="s">
        <v>286</v>
      </c>
      <c r="EB1" s="361" t="s">
        <v>287</v>
      </c>
      <c r="EC1" s="361"/>
      <c r="ED1" s="361"/>
      <c r="EE1" s="361"/>
      <c r="EF1" s="361" t="s">
        <v>288</v>
      </c>
      <c r="EG1" s="382" t="s">
        <v>289</v>
      </c>
      <c r="EH1" s="383"/>
      <c r="EI1" s="383"/>
      <c r="EJ1" s="384"/>
      <c r="EK1" s="369" t="s">
        <v>290</v>
      </c>
      <c r="EL1" s="361" t="s">
        <v>291</v>
      </c>
      <c r="EM1" s="361"/>
      <c r="EN1" s="361"/>
      <c r="EO1" s="361"/>
      <c r="EP1" s="369" t="s">
        <v>292</v>
      </c>
      <c r="EQ1" s="351" t="s">
        <v>876</v>
      </c>
      <c r="ER1" s="352"/>
      <c r="ES1" s="353"/>
      <c r="ET1" s="157" t="s">
        <v>882</v>
      </c>
    </row>
    <row r="2" spans="1:150" s="100" customFormat="1" ht="33.75" customHeight="1" x14ac:dyDescent="0.3">
      <c r="A2" s="399"/>
      <c r="B2" s="399"/>
      <c r="C2" s="399"/>
      <c r="D2" s="401"/>
      <c r="E2" s="372" t="s">
        <v>43</v>
      </c>
      <c r="F2" s="374" t="s">
        <v>44</v>
      </c>
      <c r="G2" s="375" t="s">
        <v>304</v>
      </c>
      <c r="H2" s="376" t="s">
        <v>18</v>
      </c>
      <c r="I2" s="377" t="s">
        <v>19</v>
      </c>
      <c r="J2" s="377" t="s">
        <v>20</v>
      </c>
      <c r="K2" s="377" t="s">
        <v>22</v>
      </c>
      <c r="L2" s="377" t="s">
        <v>24</v>
      </c>
      <c r="M2" s="377" t="s">
        <v>26</v>
      </c>
      <c r="N2" s="377" t="s">
        <v>28</v>
      </c>
      <c r="O2" s="377" t="s">
        <v>30</v>
      </c>
      <c r="P2" s="377" t="s">
        <v>32</v>
      </c>
      <c r="Q2" s="377"/>
      <c r="R2" s="377"/>
      <c r="S2" s="377" t="s">
        <v>34</v>
      </c>
      <c r="T2" s="377"/>
      <c r="U2" s="377"/>
      <c r="V2" s="377" t="s">
        <v>293</v>
      </c>
      <c r="W2" s="377"/>
      <c r="X2" s="377"/>
      <c r="Y2" s="377" t="s">
        <v>294</v>
      </c>
      <c r="Z2" s="377"/>
      <c r="AA2" s="377"/>
      <c r="AB2" s="377" t="s">
        <v>295</v>
      </c>
      <c r="AC2" s="377"/>
      <c r="AD2" s="377"/>
      <c r="AE2" s="378" t="s">
        <v>296</v>
      </c>
      <c r="AF2" s="380" t="s">
        <v>3</v>
      </c>
      <c r="AG2" s="377" t="s">
        <v>43</v>
      </c>
      <c r="AH2" s="377" t="s">
        <v>44</v>
      </c>
      <c r="AI2" s="377" t="s">
        <v>297</v>
      </c>
      <c r="AJ2" s="380" t="s">
        <v>3</v>
      </c>
      <c r="AK2" s="361"/>
      <c r="AL2" s="361"/>
      <c r="AM2" s="361"/>
      <c r="AN2" s="361" t="s">
        <v>298</v>
      </c>
      <c r="AO2" s="361" t="s">
        <v>299</v>
      </c>
      <c r="AP2" s="361" t="s">
        <v>300</v>
      </c>
      <c r="AQ2" s="362" t="s">
        <v>838</v>
      </c>
      <c r="AR2" s="361"/>
      <c r="AS2" s="361" t="s">
        <v>298</v>
      </c>
      <c r="AT2" s="361" t="s">
        <v>299</v>
      </c>
      <c r="AU2" s="361" t="s">
        <v>300</v>
      </c>
      <c r="AV2" s="362" t="s">
        <v>838</v>
      </c>
      <c r="AW2" s="370"/>
      <c r="AX2" s="360" t="s">
        <v>298</v>
      </c>
      <c r="AY2" s="360" t="s">
        <v>299</v>
      </c>
      <c r="AZ2" s="360" t="s">
        <v>300</v>
      </c>
      <c r="BA2" s="362" t="s">
        <v>838</v>
      </c>
      <c r="BB2" s="370"/>
      <c r="BC2" s="389"/>
      <c r="BD2" s="388"/>
      <c r="BE2" s="388"/>
      <c r="BF2" s="388"/>
      <c r="BG2" s="388"/>
      <c r="BH2" s="388"/>
      <c r="BI2" s="388"/>
      <c r="BJ2" s="388"/>
      <c r="BK2" s="393"/>
      <c r="BL2" s="393"/>
      <c r="BM2" s="393"/>
      <c r="BN2" s="394"/>
      <c r="BO2" s="394"/>
      <c r="BP2" s="394" t="str">
        <f>'COVID19 Reporting Form'!A20</f>
        <v>Number Of COVID19 Test</v>
      </c>
      <c r="BQ2" s="394"/>
      <c r="BR2" s="394" t="str">
        <f>'COVID19 Reporting Form'!A23</f>
        <v>Number of COVID 19 Positive Detected</v>
      </c>
      <c r="BS2" s="394"/>
      <c r="BT2" s="394" t="str">
        <f>'COVID19 Reporting Form'!A26</f>
        <v>Number of COVID 19 Negative Detected</v>
      </c>
      <c r="BU2" s="394"/>
      <c r="BV2" s="394" t="str">
        <f>'COVID19 Reporting Form'!A20</f>
        <v>Number Of COVID19 Test</v>
      </c>
      <c r="BW2" s="394"/>
      <c r="BX2" s="394" t="str">
        <f>'COVID19 Reporting Form'!A23</f>
        <v>Number of COVID 19 Positive Detected</v>
      </c>
      <c r="BY2" s="394"/>
      <c r="BZ2" s="394" t="str">
        <f>'COVID19 Reporting Form'!A26</f>
        <v>Number of COVID 19 Negative Detected</v>
      </c>
      <c r="CA2" s="394"/>
      <c r="CB2" s="394"/>
      <c r="CC2" s="394"/>
      <c r="CD2" s="394"/>
      <c r="CE2" s="342" t="str">
        <f>'DR-TB 10A (Sputum &amp; EP Sample)'!J13</f>
        <v>Number of Gene Xpert Machine:</v>
      </c>
      <c r="CF2" s="342" t="str">
        <f>'DR-TB 10A (Sputum &amp; EP Sample)'!J14</f>
        <v>Total Number Of Module:</v>
      </c>
      <c r="CG2" s="342" t="str">
        <f>'DR-TB 10A (Sputum &amp; EP Sample)'!J15</f>
        <v>Number of Module Functional:</v>
      </c>
      <c r="CH2" s="342" t="str">
        <f>'DR-TB 10A (Sputum &amp; EP Sample)'!N13</f>
        <v>No. of TruePrep Device</v>
      </c>
      <c r="CI2" s="342" t="str">
        <f>'DR-TB 10A (Sputum &amp; EP Sample)'!N14</f>
        <v>No.of TrueLab Device</v>
      </c>
      <c r="CJ2" s="342" t="str">
        <f>'DR-TB 10A (Sputum &amp; EP Sample)'!N15</f>
        <v>Total No. of Chip Ports</v>
      </c>
      <c r="CK2" s="342" t="str">
        <f>'DR-TB 10A (Sputum &amp; EP Sample)'!R13</f>
        <v>Functional TruePrep Device</v>
      </c>
      <c r="CL2" s="342" t="str">
        <f>'DR-TB 10A (Sputum &amp; EP Sample)'!R14</f>
        <v>Functional TrueLab Device</v>
      </c>
      <c r="CM2" s="342" t="str">
        <f>'DR-TB 10A (Sputum &amp; EP Sample)'!R15</f>
        <v>Total functional Chip Ports</v>
      </c>
      <c r="CN2" s="342" t="str">
        <f>'DR-TB 10A (Sputum &amp; EP Sample)'!R17</f>
        <v>No. of Truenat Cartriage Used</v>
      </c>
      <c r="CO2" s="342" t="str">
        <f>'DR-TB 10A (Sputum &amp; EP Sample)'!R18</f>
        <v>No. of Truenat MTB Chip Used</v>
      </c>
      <c r="CP2" s="342" t="str">
        <f>'DR-TB 10A (Sputum &amp; EP Sample)'!R19</f>
        <v>No. of Truenat RIF Dx Chip Used</v>
      </c>
      <c r="CQ2" s="342" t="str">
        <f>'DR-TB 10A (Sputum &amp; EP Sample)'!G40</f>
        <v>Eligible for XDR Testing</v>
      </c>
      <c r="CR2" s="342" t="str">
        <f>'DR-TB 10A (Sputum &amp; EP Sample)'!G42</f>
        <v>Tested from Eligible</v>
      </c>
      <c r="CS2" s="372" t="s">
        <v>43</v>
      </c>
      <c r="CT2" s="374" t="s">
        <v>44</v>
      </c>
      <c r="CU2" s="375" t="s">
        <v>304</v>
      </c>
      <c r="CV2" s="376" t="s">
        <v>18</v>
      </c>
      <c r="CW2" s="377" t="s">
        <v>19</v>
      </c>
      <c r="CX2" s="377" t="s">
        <v>20</v>
      </c>
      <c r="CY2" s="377" t="s">
        <v>22</v>
      </c>
      <c r="CZ2" s="377" t="s">
        <v>24</v>
      </c>
      <c r="DA2" s="377" t="s">
        <v>26</v>
      </c>
      <c r="DB2" s="377" t="s">
        <v>28</v>
      </c>
      <c r="DC2" s="377" t="s">
        <v>30</v>
      </c>
      <c r="DD2" s="377" t="s">
        <v>32</v>
      </c>
      <c r="DE2" s="377"/>
      <c r="DF2" s="377"/>
      <c r="DG2" s="377" t="s">
        <v>34</v>
      </c>
      <c r="DH2" s="377"/>
      <c r="DI2" s="377"/>
      <c r="DJ2" s="377" t="s">
        <v>293</v>
      </c>
      <c r="DK2" s="377"/>
      <c r="DL2" s="377"/>
      <c r="DM2" s="377" t="s">
        <v>294</v>
      </c>
      <c r="DN2" s="377"/>
      <c r="DO2" s="377"/>
      <c r="DP2" s="377" t="s">
        <v>295</v>
      </c>
      <c r="DQ2" s="377"/>
      <c r="DR2" s="377"/>
      <c r="DS2" s="378" t="s">
        <v>296</v>
      </c>
      <c r="DT2" s="380" t="s">
        <v>3</v>
      </c>
      <c r="DU2" s="377" t="s">
        <v>43</v>
      </c>
      <c r="DV2" s="377" t="s">
        <v>44</v>
      </c>
      <c r="DW2" s="377" t="s">
        <v>297</v>
      </c>
      <c r="DX2" s="380" t="s">
        <v>3</v>
      </c>
      <c r="DY2" s="361"/>
      <c r="DZ2" s="361"/>
      <c r="EA2" s="361"/>
      <c r="EB2" s="361" t="s">
        <v>298</v>
      </c>
      <c r="EC2" s="361" t="s">
        <v>299</v>
      </c>
      <c r="ED2" s="361" t="s">
        <v>300</v>
      </c>
      <c r="EE2" s="362" t="s">
        <v>838</v>
      </c>
      <c r="EF2" s="361"/>
      <c r="EG2" s="361" t="s">
        <v>298</v>
      </c>
      <c r="EH2" s="361" t="s">
        <v>299</v>
      </c>
      <c r="EI2" s="361" t="s">
        <v>300</v>
      </c>
      <c r="EJ2" s="362" t="s">
        <v>838</v>
      </c>
      <c r="EK2" s="370"/>
      <c r="EL2" s="360" t="s">
        <v>298</v>
      </c>
      <c r="EM2" s="360" t="s">
        <v>299</v>
      </c>
      <c r="EN2" s="360" t="s">
        <v>300</v>
      </c>
      <c r="EO2" s="362" t="s">
        <v>838</v>
      </c>
      <c r="EP2" s="370"/>
      <c r="EQ2" s="354" t="s">
        <v>821</v>
      </c>
      <c r="ER2" s="354" t="s">
        <v>877</v>
      </c>
      <c r="ES2" s="354" t="s">
        <v>878</v>
      </c>
      <c r="ET2" s="348" t="s">
        <v>878</v>
      </c>
    </row>
    <row r="3" spans="1:150" s="100" customFormat="1" ht="75.75" customHeight="1" x14ac:dyDescent="0.3">
      <c r="A3" s="399"/>
      <c r="B3" s="399"/>
      <c r="C3" s="399"/>
      <c r="D3" s="402"/>
      <c r="E3" s="373"/>
      <c r="F3" s="374"/>
      <c r="G3" s="375"/>
      <c r="H3" s="376"/>
      <c r="I3" s="377"/>
      <c r="J3" s="377"/>
      <c r="K3" s="377"/>
      <c r="L3" s="377"/>
      <c r="M3" s="377"/>
      <c r="N3" s="377"/>
      <c r="O3" s="377"/>
      <c r="P3" s="116" t="s">
        <v>301</v>
      </c>
      <c r="Q3" s="116" t="s">
        <v>44</v>
      </c>
      <c r="R3" s="116" t="s">
        <v>302</v>
      </c>
      <c r="S3" s="116" t="s">
        <v>301</v>
      </c>
      <c r="T3" s="116" t="s">
        <v>44</v>
      </c>
      <c r="U3" s="116" t="s">
        <v>302</v>
      </c>
      <c r="V3" s="116" t="s">
        <v>301</v>
      </c>
      <c r="W3" s="116" t="s">
        <v>44</v>
      </c>
      <c r="X3" s="139" t="s">
        <v>302</v>
      </c>
      <c r="Y3" s="116" t="s">
        <v>301</v>
      </c>
      <c r="Z3" s="116" t="s">
        <v>44</v>
      </c>
      <c r="AA3" s="116" t="s">
        <v>302</v>
      </c>
      <c r="AB3" s="116" t="s">
        <v>301</v>
      </c>
      <c r="AC3" s="116" t="s">
        <v>44</v>
      </c>
      <c r="AD3" s="116" t="s">
        <v>302</v>
      </c>
      <c r="AE3" s="379"/>
      <c r="AF3" s="380"/>
      <c r="AG3" s="377"/>
      <c r="AH3" s="377"/>
      <c r="AI3" s="377"/>
      <c r="AJ3" s="380"/>
      <c r="AK3" s="361"/>
      <c r="AL3" s="361"/>
      <c r="AM3" s="361"/>
      <c r="AN3" s="361"/>
      <c r="AO3" s="361"/>
      <c r="AP3" s="361"/>
      <c r="AQ3" s="362"/>
      <c r="AR3" s="361"/>
      <c r="AS3" s="361"/>
      <c r="AT3" s="361"/>
      <c r="AU3" s="361"/>
      <c r="AV3" s="362"/>
      <c r="AW3" s="371"/>
      <c r="AX3" s="361"/>
      <c r="AY3" s="361"/>
      <c r="AZ3" s="361"/>
      <c r="BA3" s="362"/>
      <c r="BB3" s="371"/>
      <c r="BC3" s="390"/>
      <c r="BD3" s="133" t="s">
        <v>817</v>
      </c>
      <c r="BE3" s="133" t="s">
        <v>839</v>
      </c>
      <c r="BF3" s="133" t="s">
        <v>819</v>
      </c>
      <c r="BG3" s="133" t="s">
        <v>817</v>
      </c>
      <c r="BH3" s="133" t="s">
        <v>839</v>
      </c>
      <c r="BI3" s="133" t="s">
        <v>819</v>
      </c>
      <c r="BJ3" s="388"/>
      <c r="BK3" s="393"/>
      <c r="BL3" s="393"/>
      <c r="BM3" s="393"/>
      <c r="BN3" s="394"/>
      <c r="BO3" s="394"/>
      <c r="BP3" s="117" t="str">
        <f>'COVID19 Reporting Form'!C18</f>
        <v>Male</v>
      </c>
      <c r="BQ3" s="117" t="str">
        <f>'COVID19 Reporting Form'!D18</f>
        <v>Female</v>
      </c>
      <c r="BR3" s="117" t="str">
        <f>'COVID19 Reporting Form'!C18</f>
        <v>Male</v>
      </c>
      <c r="BS3" s="117" t="str">
        <f>'COVID19 Reporting Form'!D18</f>
        <v>Female</v>
      </c>
      <c r="BT3" s="117" t="str">
        <f>'COVID19 Reporting Form'!C18</f>
        <v>Male</v>
      </c>
      <c r="BU3" s="117" t="str">
        <f>'COVID19 Reporting Form'!D18</f>
        <v>Female</v>
      </c>
      <c r="BV3" s="117" t="s">
        <v>691</v>
      </c>
      <c r="BW3" s="117" t="s">
        <v>692</v>
      </c>
      <c r="BX3" s="117" t="s">
        <v>691</v>
      </c>
      <c r="BY3" s="117" t="s">
        <v>692</v>
      </c>
      <c r="BZ3" s="117" t="s">
        <v>691</v>
      </c>
      <c r="CA3" s="117" t="s">
        <v>692</v>
      </c>
      <c r="CB3" s="394"/>
      <c r="CC3" s="394"/>
      <c r="CD3" s="394"/>
      <c r="CE3" s="390"/>
      <c r="CF3" s="390"/>
      <c r="CG3" s="390"/>
      <c r="CH3" s="390"/>
      <c r="CI3" s="390"/>
      <c r="CJ3" s="390"/>
      <c r="CK3" s="390"/>
      <c r="CL3" s="390"/>
      <c r="CM3" s="390"/>
      <c r="CN3" s="390"/>
      <c r="CO3" s="390"/>
      <c r="CP3" s="390"/>
      <c r="CQ3" s="343"/>
      <c r="CR3" s="343"/>
      <c r="CS3" s="373"/>
      <c r="CT3" s="374"/>
      <c r="CU3" s="375"/>
      <c r="CV3" s="376"/>
      <c r="CW3" s="377"/>
      <c r="CX3" s="377"/>
      <c r="CY3" s="377"/>
      <c r="CZ3" s="377"/>
      <c r="DA3" s="377"/>
      <c r="DB3" s="377"/>
      <c r="DC3" s="377"/>
      <c r="DD3" s="116" t="s">
        <v>301</v>
      </c>
      <c r="DE3" s="116" t="s">
        <v>44</v>
      </c>
      <c r="DF3" s="116" t="s">
        <v>302</v>
      </c>
      <c r="DG3" s="116" t="s">
        <v>301</v>
      </c>
      <c r="DH3" s="116" t="s">
        <v>44</v>
      </c>
      <c r="DI3" s="116" t="s">
        <v>302</v>
      </c>
      <c r="DJ3" s="116" t="s">
        <v>301</v>
      </c>
      <c r="DK3" s="116" t="s">
        <v>44</v>
      </c>
      <c r="DL3" s="139" t="s">
        <v>302</v>
      </c>
      <c r="DM3" s="116" t="s">
        <v>301</v>
      </c>
      <c r="DN3" s="116" t="s">
        <v>44</v>
      </c>
      <c r="DO3" s="116" t="s">
        <v>302</v>
      </c>
      <c r="DP3" s="116" t="s">
        <v>301</v>
      </c>
      <c r="DQ3" s="116" t="s">
        <v>44</v>
      </c>
      <c r="DR3" s="116" t="s">
        <v>302</v>
      </c>
      <c r="DS3" s="379"/>
      <c r="DT3" s="380"/>
      <c r="DU3" s="377"/>
      <c r="DV3" s="377"/>
      <c r="DW3" s="377"/>
      <c r="DX3" s="380"/>
      <c r="DY3" s="361"/>
      <c r="DZ3" s="361"/>
      <c r="EA3" s="361"/>
      <c r="EB3" s="361"/>
      <c r="EC3" s="361"/>
      <c r="ED3" s="361"/>
      <c r="EE3" s="362"/>
      <c r="EF3" s="361"/>
      <c r="EG3" s="361"/>
      <c r="EH3" s="361"/>
      <c r="EI3" s="361"/>
      <c r="EJ3" s="362"/>
      <c r="EK3" s="371"/>
      <c r="EL3" s="361"/>
      <c r="EM3" s="361"/>
      <c r="EN3" s="361"/>
      <c r="EO3" s="362"/>
      <c r="EP3" s="371"/>
      <c r="EQ3" s="355"/>
      <c r="ER3" s="355"/>
      <c r="ES3" s="355"/>
      <c r="ET3" s="349"/>
    </row>
    <row r="4" spans="1:150" s="100" customFormat="1" ht="27.75" customHeight="1" x14ac:dyDescent="0.3">
      <c r="A4" s="395">
        <f>'DR-TB 10A (Sputum &amp; EP Sample)'!$C6</f>
        <v>0</v>
      </c>
      <c r="B4" s="395">
        <f>'DR-TB 10A (Sputum &amp; EP Sample)'!$C7</f>
        <v>0</v>
      </c>
      <c r="C4" s="395">
        <f>'DR-TB 10A (Sputum &amp; EP Sample)'!$C8</f>
        <v>0</v>
      </c>
      <c r="D4" s="118" t="s">
        <v>303</v>
      </c>
      <c r="E4" s="119">
        <f>'DR-TB 10A (Sputum &amp; EP Sample)'!$B27</f>
        <v>0</v>
      </c>
      <c r="F4" s="119">
        <f>'DR-TB 10A (Sputum &amp; EP Sample)'!$C27</f>
        <v>0</v>
      </c>
      <c r="G4" s="119">
        <f>'DR-TB 10A (Sputum &amp; EP Sample)'!$D27</f>
        <v>0</v>
      </c>
      <c r="H4" s="119">
        <f>'DR-TB 10A (Sputum &amp; EP Sample)'!$E27</f>
        <v>0</v>
      </c>
      <c r="I4" s="119">
        <f>'DR-TB 10A (Sputum &amp; EP Sample)'!$F27</f>
        <v>0</v>
      </c>
      <c r="J4" s="119">
        <f>'DR-TB 10A (Sputum &amp; EP Sample)'!$G27</f>
        <v>0</v>
      </c>
      <c r="K4" s="119">
        <f>'DR-TB 10A (Sputum &amp; EP Sample)'!$H27</f>
        <v>0</v>
      </c>
      <c r="L4" s="119">
        <f>'DR-TB 10A (Sputum &amp; EP Sample)'!$I27</f>
        <v>0</v>
      </c>
      <c r="M4" s="119">
        <f>'DR-TB 10A (Sputum &amp; EP Sample)'!$J27</f>
        <v>0</v>
      </c>
      <c r="N4" s="119">
        <f>'DR-TB 10A (Sputum &amp; EP Sample)'!$K27</f>
        <v>0</v>
      </c>
      <c r="O4" s="119">
        <f>'DR-TB 10A (Sputum &amp; EP Sample)'!$L27</f>
        <v>0</v>
      </c>
      <c r="P4" s="120">
        <f>'DR-TB 10A (Sputum &amp; EP Sample)'!$O27</f>
        <v>0</v>
      </c>
      <c r="Q4" s="120">
        <f>'DR-TB 10A (Sputum &amp; EP Sample)'!$O28</f>
        <v>0</v>
      </c>
      <c r="R4" s="120">
        <f>'DR-TB 10A (Sputum &amp; EP Sample)'!$O29</f>
        <v>0</v>
      </c>
      <c r="S4" s="120">
        <f>'DR-TB 10A (Sputum &amp; EP Sample)'!$R27</f>
        <v>0</v>
      </c>
      <c r="T4" s="120">
        <f>'DR-TB 10A (Sputum &amp; EP Sample)'!$R28</f>
        <v>0</v>
      </c>
      <c r="U4" s="120">
        <f>'DR-TB 10A (Sputum &amp; EP Sample)'!$R29</f>
        <v>0</v>
      </c>
      <c r="V4" s="120">
        <f>'DR-TB 10A (Sputum &amp; EP Sample)'!$M41</f>
        <v>0</v>
      </c>
      <c r="W4" s="120">
        <f>'DR-TB 10A (Sputum &amp; EP Sample)'!$N41</f>
        <v>0</v>
      </c>
      <c r="X4" s="120">
        <f>'DR-TB 10A (Sputum &amp; EP Sample)'!$O41</f>
        <v>0</v>
      </c>
      <c r="Y4" s="120">
        <f>'DR-TB 10A (Sputum &amp; EP Sample)'!$M42</f>
        <v>0</v>
      </c>
      <c r="Z4" s="120">
        <f>'DR-TB 10A (Sputum &amp; EP Sample)'!$N42</f>
        <v>0</v>
      </c>
      <c r="AA4" s="120">
        <f>'DR-TB 10A (Sputum &amp; EP Sample)'!$O42</f>
        <v>0</v>
      </c>
      <c r="AB4" s="120">
        <f>'DR-TB 10A (Sputum &amp; EP Sample)'!$M43</f>
        <v>0</v>
      </c>
      <c r="AC4" s="120">
        <f>'DR-TB 10A (Sputum &amp; EP Sample)'!$N43</f>
        <v>0</v>
      </c>
      <c r="AD4" s="121"/>
      <c r="AE4" s="122">
        <f>'DR-TB 10A (Sputum &amp; EP Sample)'!$S27</f>
        <v>0</v>
      </c>
      <c r="AF4" s="122">
        <f>'DR-TB 10A (Sputum &amp; EP Sample)'!$U27</f>
        <v>0</v>
      </c>
      <c r="AG4" s="122">
        <f>'DR-TB 10A (Sputum &amp; EP Sample)'!$B40</f>
        <v>0</v>
      </c>
      <c r="AH4" s="122">
        <f>'DR-TB 10A (Sputum &amp; EP Sample)'!$C40</f>
        <v>0</v>
      </c>
      <c r="AI4" s="122">
        <f>'DR-TB 10A (Sputum &amp; EP Sample)'!$D40</f>
        <v>0</v>
      </c>
      <c r="AJ4" s="122">
        <f>'DR-TB 10A (Sputum &amp; EP Sample)'!$E40</f>
        <v>0</v>
      </c>
      <c r="AK4" s="363">
        <f>'DR-TB 10A (Sputum &amp; EP Sample)'!$H12</f>
        <v>0</v>
      </c>
      <c r="AL4" s="363">
        <f>'DR-TB 10A (Sputum &amp; EP Sample)'!$H13</f>
        <v>0</v>
      </c>
      <c r="AM4" s="363">
        <f>'DR-TB 10A (Sputum &amp; EP Sample)'!$H14</f>
        <v>0</v>
      </c>
      <c r="AN4" s="356">
        <f>'DR-TB 10A (Sputum &amp; EP Sample)'!$D17</f>
        <v>0</v>
      </c>
      <c r="AO4" s="356">
        <f>'DR-TB 10A (Sputum &amp; EP Sample)'!$D18</f>
        <v>0</v>
      </c>
      <c r="AP4" s="366">
        <f>'DR-TB 10A (Sputum &amp; EP Sample)'!$D19</f>
        <v>0</v>
      </c>
      <c r="AQ4" s="366">
        <f>'DR-TB 10A (Sputum &amp; EP Sample)'!$D20</f>
        <v>0</v>
      </c>
      <c r="AR4" s="356">
        <f>'DR-TB 10A (Sputum &amp; EP Sample)'!$D21</f>
        <v>0</v>
      </c>
      <c r="AS4" s="356">
        <f>'DR-TB 10A (Sputum &amp; EP Sample)'!$E17</f>
        <v>0</v>
      </c>
      <c r="AT4" s="356">
        <f>'DR-TB 10A (Sputum &amp; EP Sample)'!$E18</f>
        <v>0</v>
      </c>
      <c r="AU4" s="366">
        <f>'DR-TB 10A (Sputum &amp; EP Sample)'!$E19</f>
        <v>0</v>
      </c>
      <c r="AV4" s="366">
        <f>'DR-TB 10A (Sputum &amp; EP Sample)'!$E20</f>
        <v>0</v>
      </c>
      <c r="AW4" s="356">
        <f>'DR-TB 10A (Sputum &amp; EP Sample)'!$E21</f>
        <v>0</v>
      </c>
      <c r="AX4" s="356">
        <f>'DR-TB 10A (Sputum &amp; EP Sample)'!$F17</f>
        <v>0</v>
      </c>
      <c r="AY4" s="356">
        <f>'DR-TB 10A (Sputum &amp; EP Sample)'!$F18</f>
        <v>0</v>
      </c>
      <c r="AZ4" s="366">
        <f>'DR-TB 10A (Sputum &amp; EP Sample)'!$F19</f>
        <v>0</v>
      </c>
      <c r="BA4" s="366">
        <f>'DR-TB 10A (Sputum &amp; EP Sample)'!$F20</f>
        <v>0</v>
      </c>
      <c r="BB4" s="356">
        <f>'DR-TB 10A (Sputum &amp; EP Sample)'!$F21</f>
        <v>0</v>
      </c>
      <c r="BC4" s="131" t="s">
        <v>815</v>
      </c>
      <c r="BD4" s="85">
        <f>'DR-TB 10A (Sputum &amp; EP Sample)'!J19</f>
        <v>0</v>
      </c>
      <c r="BE4" s="85">
        <f>'DR-TB 10A (Sputum &amp; EP Sample)'!K19</f>
        <v>0</v>
      </c>
      <c r="BF4" s="85">
        <f>'DR-TB 10A (Sputum &amp; EP Sample)'!L19</f>
        <v>0</v>
      </c>
      <c r="BG4" s="85">
        <f>'DR-TB 10A (Sputum &amp; EP Sample)'!M19</f>
        <v>0</v>
      </c>
      <c r="BH4" s="85">
        <f>'DR-TB 10A (Sputum &amp; EP Sample)'!N19</f>
        <v>0</v>
      </c>
      <c r="BI4" s="85">
        <f>'DR-TB 10A (Sputum &amp; EP Sample)'!O19</f>
        <v>0</v>
      </c>
      <c r="BJ4" s="85">
        <f>'DR-TB 10A (Sputum &amp; EP Sample)'!P19</f>
        <v>0</v>
      </c>
      <c r="BK4" s="385">
        <f>'DR-TB 10A (Sputum &amp; EP Sample)'!N7</f>
        <v>0</v>
      </c>
      <c r="BL4" s="385">
        <f>'DR-TB 10A (Sputum &amp; EP Sample)'!M8</f>
        <v>0</v>
      </c>
      <c r="BM4" s="398">
        <f>'DR-TB 10A (Sputum &amp; EP Sample)'!Q10</f>
        <v>0</v>
      </c>
      <c r="BN4" s="386">
        <f>'COVID19 Reporting Form'!B14</f>
        <v>0</v>
      </c>
      <c r="BO4" s="386">
        <f>'COVID19 Reporting Form'!D14</f>
        <v>0</v>
      </c>
      <c r="BP4" s="386">
        <f>'COVID19 Reporting Form'!C20</f>
        <v>0</v>
      </c>
      <c r="BQ4" s="386">
        <f>'COVID19 Reporting Form'!D20</f>
        <v>0</v>
      </c>
      <c r="BR4" s="386">
        <f>'COVID19 Reporting Form'!C23</f>
        <v>0</v>
      </c>
      <c r="BS4" s="386">
        <f>'COVID19 Reporting Form'!D23</f>
        <v>0</v>
      </c>
      <c r="BT4" s="386">
        <f>'COVID19 Reporting Form'!C26</f>
        <v>0</v>
      </c>
      <c r="BU4" s="386">
        <f>'COVID19 Reporting Form'!D26</f>
        <v>0</v>
      </c>
      <c r="BV4" s="386">
        <f>'COVID19 Reporting Form'!F20</f>
        <v>0</v>
      </c>
      <c r="BW4" s="386">
        <f>'COVID19 Reporting Form'!H20</f>
        <v>0</v>
      </c>
      <c r="BX4" s="386">
        <f>'COVID19 Reporting Form'!F23</f>
        <v>0</v>
      </c>
      <c r="BY4" s="386">
        <f>'COVID19 Reporting Form'!H23</f>
        <v>0</v>
      </c>
      <c r="BZ4" s="386">
        <f>'COVID19 Reporting Form'!F26</f>
        <v>0</v>
      </c>
      <c r="CA4" s="386">
        <f>'COVID19 Reporting Form'!H26</f>
        <v>0</v>
      </c>
      <c r="CB4" s="386">
        <f>'COVID19 Reporting Form'!L14</f>
        <v>0</v>
      </c>
      <c r="CC4" s="386">
        <f>'COVID19 Reporting Form'!M14</f>
        <v>0</v>
      </c>
      <c r="CD4" s="386">
        <f>'COVID19 Reporting Form'!N14</f>
        <v>0</v>
      </c>
      <c r="CE4" s="386">
        <f>'DR-TB 10A (Sputum &amp; EP Sample)'!M13</f>
        <v>0</v>
      </c>
      <c r="CF4" s="386">
        <f>'DR-TB 10A (Sputum &amp; EP Sample)'!M14</f>
        <v>0</v>
      </c>
      <c r="CG4" s="386">
        <f>'DR-TB 10A (Sputum &amp; EP Sample)'!M15</f>
        <v>0</v>
      </c>
      <c r="CH4" s="386">
        <f>'DR-TB 10A (Sputum &amp; EP Sample)'!Q13</f>
        <v>0</v>
      </c>
      <c r="CI4" s="386">
        <f>'DR-TB 10A (Sputum &amp; EP Sample)'!Q14</f>
        <v>0</v>
      </c>
      <c r="CJ4" s="386">
        <f>'DR-TB 10A (Sputum &amp; EP Sample)'!Q15</f>
        <v>0</v>
      </c>
      <c r="CK4" s="386">
        <f>'DR-TB 10A (Sputum &amp; EP Sample)'!U13</f>
        <v>0</v>
      </c>
      <c r="CL4" s="386">
        <f>'DR-TB 10A (Sputum &amp; EP Sample)'!U14</f>
        <v>0</v>
      </c>
      <c r="CM4" s="386">
        <f>'DR-TB 10A (Sputum &amp; EP Sample)'!U15</f>
        <v>0</v>
      </c>
      <c r="CN4" s="386">
        <f>'DR-TB 10A (Sputum &amp; EP Sample)'!U17</f>
        <v>0</v>
      </c>
      <c r="CO4" s="386">
        <f>'DR-TB 10A (Sputum &amp; EP Sample)'!U18</f>
        <v>0</v>
      </c>
      <c r="CP4" s="386">
        <f>'DR-TB 10A (Sputum &amp; EP Sample)'!U19</f>
        <v>0</v>
      </c>
      <c r="CQ4" s="385">
        <f>'DR-TB 10A (Sputum &amp; EP Sample)'!H40</f>
        <v>0</v>
      </c>
      <c r="CR4" s="385">
        <f>'DR-TB 10A (Sputum &amp; EP Sample)'!H42</f>
        <v>0</v>
      </c>
      <c r="CS4" s="119">
        <f>'DR-TB 10A (Stool)'!$B27</f>
        <v>0</v>
      </c>
      <c r="CT4" s="119">
        <f>'DR-TB 10A (Stool)'!$C27</f>
        <v>0</v>
      </c>
      <c r="CU4" s="119">
        <f>'DR-TB 10A (Stool)'!$D27</f>
        <v>0</v>
      </c>
      <c r="CV4" s="119">
        <f>'DR-TB 10A (Stool)'!$E27</f>
        <v>0</v>
      </c>
      <c r="CW4" s="119">
        <f>'DR-TB 10A (Stool)'!$F27</f>
        <v>0</v>
      </c>
      <c r="CX4" s="119">
        <f>'DR-TB 10A (Stool)'!$G27</f>
        <v>0</v>
      </c>
      <c r="CY4" s="119">
        <f>'DR-TB 10A (Stool)'!$H27</f>
        <v>0</v>
      </c>
      <c r="CZ4" s="119">
        <f>'DR-TB 10A (Stool)'!$I27</f>
        <v>0</v>
      </c>
      <c r="DA4" s="119">
        <f>'DR-TB 10A (Stool)'!$J27</f>
        <v>0</v>
      </c>
      <c r="DB4" s="119">
        <f>'DR-TB 10A (Stool)'!$K27</f>
        <v>0</v>
      </c>
      <c r="DC4" s="119">
        <f>'DR-TB 10A (Stool)'!$L27</f>
        <v>0</v>
      </c>
      <c r="DD4" s="120">
        <f>'DR-TB 10A (Stool)'!$O27</f>
        <v>0</v>
      </c>
      <c r="DE4" s="120">
        <f>'DR-TB 10A (Stool)'!$O28</f>
        <v>0</v>
      </c>
      <c r="DF4" s="120">
        <f>'DR-TB 10A (Stool)'!$O29</f>
        <v>0</v>
      </c>
      <c r="DG4" s="120">
        <f>'DR-TB 10A (Stool)'!$R27</f>
        <v>0</v>
      </c>
      <c r="DH4" s="120">
        <f>'DR-TB 10A (Stool)'!$R28</f>
        <v>0</v>
      </c>
      <c r="DI4" s="120">
        <f>'DR-TB 10A (Stool)'!$R29</f>
        <v>0</v>
      </c>
      <c r="DJ4" s="120">
        <f>'DR-TB 10A (Stool)'!$M41</f>
        <v>0</v>
      </c>
      <c r="DK4" s="120">
        <f>'DR-TB 10A (Stool)'!$N41</f>
        <v>0</v>
      </c>
      <c r="DL4" s="120">
        <f>'DR-TB 10A (Stool)'!$O41</f>
        <v>0</v>
      </c>
      <c r="DM4" s="120">
        <f>'DR-TB 10A (Stool)'!$M42</f>
        <v>0</v>
      </c>
      <c r="DN4" s="120">
        <f>'DR-TB 10A (Stool)'!$N42</f>
        <v>0</v>
      </c>
      <c r="DO4" s="120">
        <f>'DR-TB 10A (Stool)'!$O42</f>
        <v>0</v>
      </c>
      <c r="DP4" s="120">
        <f>'DR-TB 10A (Stool)'!$M43</f>
        <v>0</v>
      </c>
      <c r="DQ4" s="120">
        <f>'DR-TB 10A (Stool)'!$N43</f>
        <v>0</v>
      </c>
      <c r="DR4" s="121"/>
      <c r="DS4" s="122">
        <f>'DR-TB 10A (Stool)'!$S27</f>
        <v>0</v>
      </c>
      <c r="DT4" s="122">
        <f>'DR-TB 10A (Stool)'!$U27</f>
        <v>0</v>
      </c>
      <c r="DU4" s="122">
        <f>'DR-TB 10A (Stool)'!$B40</f>
        <v>0</v>
      </c>
      <c r="DV4" s="122">
        <f>'DR-TB 10A (Stool)'!$C40</f>
        <v>0</v>
      </c>
      <c r="DW4" s="122">
        <f>'DR-TB 10A (Stool)'!$D40</f>
        <v>0</v>
      </c>
      <c r="DX4" s="122">
        <f>'DR-TB 10A (Stool)'!$E40</f>
        <v>0</v>
      </c>
      <c r="DY4" s="363">
        <f>'DR-TB 10A (Stool)'!$H12</f>
        <v>0</v>
      </c>
      <c r="DZ4" s="363">
        <f>'DR-TB 10A (Stool)'!$H13</f>
        <v>0</v>
      </c>
      <c r="EA4" s="363">
        <f>'DR-TB 10A (Stool)'!$H14</f>
        <v>0</v>
      </c>
      <c r="EB4" s="356">
        <f>'DR-TB 10A (Stool)'!$D17</f>
        <v>0</v>
      </c>
      <c r="EC4" s="356">
        <f>'DR-TB 10A (Stool)'!$D18</f>
        <v>0</v>
      </c>
      <c r="ED4" s="366">
        <f>'DR-TB 10A (Stool)'!$D19</f>
        <v>0</v>
      </c>
      <c r="EE4" s="366">
        <f>'DR-TB 10A (Stool)'!$D20</f>
        <v>0</v>
      </c>
      <c r="EF4" s="356">
        <f>'DR-TB 10A (Stool)'!$D21</f>
        <v>0</v>
      </c>
      <c r="EG4" s="356">
        <f>'DR-TB 10A (Stool)'!$E17</f>
        <v>0</v>
      </c>
      <c r="EH4" s="356">
        <f>'DR-TB 10A (Stool)'!$E18</f>
        <v>0</v>
      </c>
      <c r="EI4" s="366">
        <f>'DR-TB 10A (Stool)'!$E19</f>
        <v>0</v>
      </c>
      <c r="EJ4" s="366">
        <f>'DR-TB 10A (Stool)'!$E20</f>
        <v>0</v>
      </c>
      <c r="EK4" s="356">
        <f>'DR-TB 10A (Stool)'!$E21</f>
        <v>0</v>
      </c>
      <c r="EL4" s="356">
        <f>'DR-TB 10A (Stool)'!$F17</f>
        <v>0</v>
      </c>
      <c r="EM4" s="356">
        <f>'DR-TB 10A (Stool)'!$F18</f>
        <v>0</v>
      </c>
      <c r="EN4" s="366">
        <f>'DR-TB 10A (Stool)'!$F19</f>
        <v>0</v>
      </c>
      <c r="EO4" s="366">
        <f>'DR-TB 10A (Stool)'!$F20</f>
        <v>0</v>
      </c>
      <c r="EP4" s="356">
        <f>'DR-TB 10A (Stool)'!$F21</f>
        <v>0</v>
      </c>
      <c r="EQ4" s="347">
        <f>'DR-TB 10A (Stool)'!$H40</f>
        <v>0</v>
      </c>
      <c r="ER4" s="347">
        <f>'DR-TB 10A (Stool)'!$H42</f>
        <v>0</v>
      </c>
      <c r="ES4" s="347">
        <f>'DR-TB 10A (Stool)'!$H44</f>
        <v>0</v>
      </c>
      <c r="ET4" s="350">
        <f>'DR-TB 10A (Sputum &amp; EP Sample)'!$H44</f>
        <v>0</v>
      </c>
    </row>
    <row r="5" spans="1:150" s="100" customFormat="1" ht="26.7" customHeight="1" x14ac:dyDescent="0.3">
      <c r="A5" s="396"/>
      <c r="B5" s="396"/>
      <c r="C5" s="396"/>
      <c r="D5" s="118" t="s">
        <v>4</v>
      </c>
      <c r="E5" s="118">
        <f>'DR-TB 10A (Sputum &amp; EP Sample)'!$B30</f>
        <v>0</v>
      </c>
      <c r="F5" s="118">
        <f>'DR-TB 10A (Sputum &amp; EP Sample)'!$C30</f>
        <v>0</v>
      </c>
      <c r="G5" s="118">
        <f>'DR-TB 10A (Sputum &amp; EP Sample)'!$D30</f>
        <v>0</v>
      </c>
      <c r="H5" s="118">
        <f>'DR-TB 10A (Sputum &amp; EP Sample)'!$E30</f>
        <v>0</v>
      </c>
      <c r="I5" s="118">
        <f>'DR-TB 10A (Sputum &amp; EP Sample)'!$F30</f>
        <v>0</v>
      </c>
      <c r="J5" s="118">
        <f>'DR-TB 10A (Sputum &amp; EP Sample)'!$G30</f>
        <v>0</v>
      </c>
      <c r="K5" s="118">
        <f>'DR-TB 10A (Sputum &amp; EP Sample)'!$H30</f>
        <v>0</v>
      </c>
      <c r="L5" s="118">
        <f>'DR-TB 10A (Sputum &amp; EP Sample)'!$I30</f>
        <v>0</v>
      </c>
      <c r="M5" s="118">
        <f>'DR-TB 10A (Sputum &amp; EP Sample)'!$J30</f>
        <v>0</v>
      </c>
      <c r="N5" s="118">
        <f>'DR-TB 10A (Sputum &amp; EP Sample)'!$K30</f>
        <v>0</v>
      </c>
      <c r="O5" s="118">
        <f>'DR-TB 10A (Sputum &amp; EP Sample)'!$L30</f>
        <v>0</v>
      </c>
      <c r="P5" s="120">
        <f>'DR-TB 10A (Sputum &amp; EP Sample)'!$O30</f>
        <v>0</v>
      </c>
      <c r="Q5" s="120">
        <f>'DR-TB 10A (Sputum &amp; EP Sample)'!$O31</f>
        <v>0</v>
      </c>
      <c r="R5" s="120">
        <f>'DR-TB 10A (Sputum &amp; EP Sample)'!$O32</f>
        <v>0</v>
      </c>
      <c r="S5" s="120">
        <f>'DR-TB 10A (Sputum &amp; EP Sample)'!$R30</f>
        <v>0</v>
      </c>
      <c r="T5" s="120">
        <f>'DR-TB 10A (Sputum &amp; EP Sample)'!$R31</f>
        <v>0</v>
      </c>
      <c r="U5" s="120">
        <f>'DR-TB 10A (Sputum &amp; EP Sample)'!$R32</f>
        <v>0</v>
      </c>
      <c r="V5" s="120">
        <f>'DR-TB 10A (Sputum &amp; EP Sample)'!$P41</f>
        <v>0</v>
      </c>
      <c r="W5" s="120">
        <f>'DR-TB 10A (Sputum &amp; EP Sample)'!$Q41</f>
        <v>0</v>
      </c>
      <c r="X5" s="120">
        <f>'DR-TB 10A (Sputum &amp; EP Sample)'!$R41</f>
        <v>0</v>
      </c>
      <c r="Y5" s="120">
        <f>'DR-TB 10A (Sputum &amp; EP Sample)'!$P42</f>
        <v>0</v>
      </c>
      <c r="Z5" s="120">
        <f>'DR-TB 10A (Sputum &amp; EP Sample)'!$Q42</f>
        <v>0</v>
      </c>
      <c r="AA5" s="120">
        <f>'DR-TB 10A (Sputum &amp; EP Sample)'!$R42</f>
        <v>0</v>
      </c>
      <c r="AB5" s="120">
        <f>'DR-TB 10A (Sputum &amp; EP Sample)'!$P43</f>
        <v>0</v>
      </c>
      <c r="AC5" s="120">
        <f>'DR-TB 10A (Sputum &amp; EP Sample)'!$Q43</f>
        <v>0</v>
      </c>
      <c r="AD5" s="121"/>
      <c r="AE5" s="122">
        <f>'DR-TB 10A (Sputum &amp; EP Sample)'!$S30</f>
        <v>0</v>
      </c>
      <c r="AF5" s="122">
        <f>'DR-TB 10A (Sputum &amp; EP Sample)'!$U30</f>
        <v>0</v>
      </c>
      <c r="AG5" s="122">
        <f>'DR-TB 10A (Sputum &amp; EP Sample)'!$B42</f>
        <v>0</v>
      </c>
      <c r="AH5" s="122">
        <f>'DR-TB 10A (Sputum &amp; EP Sample)'!$C42</f>
        <v>0</v>
      </c>
      <c r="AI5" s="122">
        <f>'DR-TB 10A (Sputum &amp; EP Sample)'!$D42</f>
        <v>0</v>
      </c>
      <c r="AJ5" s="122">
        <f>'DR-TB 10A (Sputum &amp; EP Sample)'!$E42</f>
        <v>0</v>
      </c>
      <c r="AK5" s="364"/>
      <c r="AL5" s="364"/>
      <c r="AM5" s="364"/>
      <c r="AN5" s="357"/>
      <c r="AO5" s="357"/>
      <c r="AP5" s="367"/>
      <c r="AQ5" s="367"/>
      <c r="AR5" s="357"/>
      <c r="AS5" s="357"/>
      <c r="AT5" s="357"/>
      <c r="AU5" s="367"/>
      <c r="AV5" s="367"/>
      <c r="AW5" s="357"/>
      <c r="AX5" s="357"/>
      <c r="AY5" s="357"/>
      <c r="AZ5" s="367"/>
      <c r="BA5" s="367"/>
      <c r="BB5" s="357"/>
      <c r="BC5" s="131" t="s">
        <v>816</v>
      </c>
      <c r="BD5" s="85">
        <f>'DR-TB 10A (Sputum &amp; EP Sample)'!J20</f>
        <v>0</v>
      </c>
      <c r="BE5" s="85">
        <f>'DR-TB 10A (Sputum &amp; EP Sample)'!K20</f>
        <v>0</v>
      </c>
      <c r="BF5" s="85">
        <f>'DR-TB 10A (Sputum &amp; EP Sample)'!L20</f>
        <v>0</v>
      </c>
      <c r="BG5" s="85">
        <f>'DR-TB 10A (Sputum &amp; EP Sample)'!M20</f>
        <v>0</v>
      </c>
      <c r="BH5" s="85">
        <f>'DR-TB 10A (Sputum &amp; EP Sample)'!N20</f>
        <v>0</v>
      </c>
      <c r="BI5" s="85">
        <f>'DR-TB 10A (Sputum &amp; EP Sample)'!O20</f>
        <v>0</v>
      </c>
      <c r="BJ5" s="85">
        <f>'DR-TB 10A (Sputum &amp; EP Sample)'!P20</f>
        <v>0</v>
      </c>
      <c r="BK5" s="385"/>
      <c r="BL5" s="385"/>
      <c r="BM5" s="398"/>
      <c r="BN5" s="386"/>
      <c r="BO5" s="386"/>
      <c r="BP5" s="386"/>
      <c r="BQ5" s="386"/>
      <c r="BR5" s="386"/>
      <c r="BS5" s="386"/>
      <c r="BT5" s="386"/>
      <c r="BU5" s="386"/>
      <c r="BV5" s="386"/>
      <c r="BW5" s="386"/>
      <c r="BX5" s="386"/>
      <c r="BY5" s="386"/>
      <c r="BZ5" s="386"/>
      <c r="CA5" s="386"/>
      <c r="CB5" s="386"/>
      <c r="CC5" s="386"/>
      <c r="CD5" s="386"/>
      <c r="CE5" s="386"/>
      <c r="CF5" s="386"/>
      <c r="CG5" s="386"/>
      <c r="CH5" s="386"/>
      <c r="CI5" s="386"/>
      <c r="CJ5" s="386"/>
      <c r="CK5" s="386"/>
      <c r="CL5" s="386"/>
      <c r="CM5" s="386"/>
      <c r="CN5" s="386"/>
      <c r="CO5" s="386"/>
      <c r="CP5" s="386"/>
      <c r="CQ5" s="385"/>
      <c r="CR5" s="385"/>
      <c r="CS5" s="118">
        <f>'DR-TB 10A (Stool)'!$B30</f>
        <v>0</v>
      </c>
      <c r="CT5" s="118">
        <f>'DR-TB 10A (Stool)'!$C30</f>
        <v>0</v>
      </c>
      <c r="CU5" s="118">
        <f>'DR-TB 10A (Stool)'!$D30</f>
        <v>0</v>
      </c>
      <c r="CV5" s="118">
        <f>'DR-TB 10A (Stool)'!$E30</f>
        <v>0</v>
      </c>
      <c r="CW5" s="118">
        <f>'DR-TB 10A (Stool)'!$F30</f>
        <v>0</v>
      </c>
      <c r="CX5" s="118">
        <f>'DR-TB 10A (Stool)'!$G30</f>
        <v>0</v>
      </c>
      <c r="CY5" s="118">
        <f>'DR-TB 10A (Stool)'!$H30</f>
        <v>0</v>
      </c>
      <c r="CZ5" s="118">
        <f>'DR-TB 10A (Stool)'!$I30</f>
        <v>0</v>
      </c>
      <c r="DA5" s="118">
        <f>'DR-TB 10A (Stool)'!$J30</f>
        <v>0</v>
      </c>
      <c r="DB5" s="118">
        <f>'DR-TB 10A (Stool)'!$K30</f>
        <v>0</v>
      </c>
      <c r="DC5" s="118">
        <f>'DR-TB 10A (Stool)'!$L30</f>
        <v>0</v>
      </c>
      <c r="DD5" s="120">
        <f>'DR-TB 10A (Stool)'!$O30</f>
        <v>0</v>
      </c>
      <c r="DE5" s="120">
        <f>'DR-TB 10A (Stool)'!$O31</f>
        <v>0</v>
      </c>
      <c r="DF5" s="120">
        <f>'DR-TB 10A (Stool)'!$O32</f>
        <v>0</v>
      </c>
      <c r="DG5" s="120">
        <f>'DR-TB 10A (Stool)'!$R30</f>
        <v>0</v>
      </c>
      <c r="DH5" s="120">
        <f>'DR-TB 10A (Stool)'!$R31</f>
        <v>0</v>
      </c>
      <c r="DI5" s="120">
        <f>'DR-TB 10A (Stool)'!$R32</f>
        <v>0</v>
      </c>
      <c r="DJ5" s="120">
        <f>'DR-TB 10A (Stool)'!$P41</f>
        <v>0</v>
      </c>
      <c r="DK5" s="120">
        <f>'DR-TB 10A (Stool)'!$Q41</f>
        <v>0</v>
      </c>
      <c r="DL5" s="120">
        <f>'DR-TB 10A (Stool)'!$R41</f>
        <v>0</v>
      </c>
      <c r="DM5" s="120">
        <f>'DR-TB 10A (Stool)'!$P42</f>
        <v>0</v>
      </c>
      <c r="DN5" s="120">
        <f>'DR-TB 10A (Stool)'!$Q42</f>
        <v>0</v>
      </c>
      <c r="DO5" s="120">
        <f>'DR-TB 10A (Stool)'!$R42</f>
        <v>0</v>
      </c>
      <c r="DP5" s="120">
        <f>'DR-TB 10A (Stool)'!$P43</f>
        <v>0</v>
      </c>
      <c r="DQ5" s="120">
        <f>'DR-TB 10A (Stool)'!$Q43</f>
        <v>0</v>
      </c>
      <c r="DR5" s="121"/>
      <c r="DS5" s="122">
        <f>'DR-TB 10A (Stool)'!$S30</f>
        <v>0</v>
      </c>
      <c r="DT5" s="122">
        <f>'DR-TB 10A (Stool)'!$U30</f>
        <v>0</v>
      </c>
      <c r="DU5" s="122">
        <f>'DR-TB 10A (Stool)'!$B42</f>
        <v>0</v>
      </c>
      <c r="DV5" s="122">
        <f>'DR-TB 10A (Stool)'!$C42</f>
        <v>0</v>
      </c>
      <c r="DW5" s="122">
        <f>'DR-TB 10A (Stool)'!$D42</f>
        <v>0</v>
      </c>
      <c r="DX5" s="122">
        <f>'DR-TB 10A (Stool)'!$E42</f>
        <v>0</v>
      </c>
      <c r="DY5" s="364"/>
      <c r="DZ5" s="364"/>
      <c r="EA5" s="364"/>
      <c r="EB5" s="357"/>
      <c r="EC5" s="357"/>
      <c r="ED5" s="367"/>
      <c r="EE5" s="367"/>
      <c r="EF5" s="357"/>
      <c r="EG5" s="357"/>
      <c r="EH5" s="357"/>
      <c r="EI5" s="367"/>
      <c r="EJ5" s="367"/>
      <c r="EK5" s="357"/>
      <c r="EL5" s="357"/>
      <c r="EM5" s="357"/>
      <c r="EN5" s="367"/>
      <c r="EO5" s="367"/>
      <c r="EP5" s="357"/>
      <c r="EQ5" s="347"/>
      <c r="ER5" s="347"/>
      <c r="ES5" s="347"/>
      <c r="ET5" s="350"/>
    </row>
    <row r="6" spans="1:150" s="100" customFormat="1" ht="28.5" customHeight="1" x14ac:dyDescent="0.3">
      <c r="A6" s="397"/>
      <c r="B6" s="397"/>
      <c r="C6" s="397"/>
      <c r="D6" s="118" t="s">
        <v>5</v>
      </c>
      <c r="E6" s="118">
        <f>'DR-TB 10A (Sputum &amp; EP Sample)'!$B33</f>
        <v>0</v>
      </c>
      <c r="F6" s="118">
        <f>'DR-TB 10A (Sputum &amp; EP Sample)'!$C33</f>
        <v>0</v>
      </c>
      <c r="G6" s="118">
        <f>'DR-TB 10A (Sputum &amp; EP Sample)'!$D33</f>
        <v>0</v>
      </c>
      <c r="H6" s="118">
        <f>'DR-TB 10A (Sputum &amp; EP Sample)'!$E33</f>
        <v>0</v>
      </c>
      <c r="I6" s="118">
        <f>'DR-TB 10A (Sputum &amp; EP Sample)'!$F33</f>
        <v>0</v>
      </c>
      <c r="J6" s="118">
        <f>'DR-TB 10A (Sputum &amp; EP Sample)'!$G33</f>
        <v>0</v>
      </c>
      <c r="K6" s="118">
        <f>'DR-TB 10A (Sputum &amp; EP Sample)'!$H33</f>
        <v>0</v>
      </c>
      <c r="L6" s="118">
        <f>'DR-TB 10A (Sputum &amp; EP Sample)'!$I33</f>
        <v>0</v>
      </c>
      <c r="M6" s="118">
        <f>'DR-TB 10A (Sputum &amp; EP Sample)'!$J33</f>
        <v>0</v>
      </c>
      <c r="N6" s="118">
        <f>'DR-TB 10A (Sputum &amp; EP Sample)'!$K33</f>
        <v>0</v>
      </c>
      <c r="O6" s="118">
        <f>'DR-TB 10A (Sputum &amp; EP Sample)'!$L33</f>
        <v>0</v>
      </c>
      <c r="P6" s="120">
        <f>'DR-TB 10A (Sputum &amp; EP Sample)'!$O33</f>
        <v>0</v>
      </c>
      <c r="Q6" s="120">
        <f>'DR-TB 10A (Sputum &amp; EP Sample)'!$O34</f>
        <v>0</v>
      </c>
      <c r="R6" s="120">
        <f>'DR-TB 10A (Sputum &amp; EP Sample)'!$O35</f>
        <v>0</v>
      </c>
      <c r="S6" s="120">
        <f>'DR-TB 10A (Sputum &amp; EP Sample)'!$R33</f>
        <v>0</v>
      </c>
      <c r="T6" s="120">
        <f>'DR-TB 10A (Sputum &amp; EP Sample)'!$R34</f>
        <v>0</v>
      </c>
      <c r="U6" s="120">
        <f>'DR-TB 10A (Sputum &amp; EP Sample)'!$R35</f>
        <v>0</v>
      </c>
      <c r="V6" s="120">
        <f>'DR-TB 10A (Sputum &amp; EP Sample)'!$S41</f>
        <v>0</v>
      </c>
      <c r="W6" s="120">
        <f>'DR-TB 10A (Sputum &amp; EP Sample)'!$T41</f>
        <v>0</v>
      </c>
      <c r="X6" s="120">
        <f>'DR-TB 10A (Sputum &amp; EP Sample)'!$U41</f>
        <v>0</v>
      </c>
      <c r="Y6" s="120">
        <f>'DR-TB 10A (Sputum &amp; EP Sample)'!$S42</f>
        <v>0</v>
      </c>
      <c r="Z6" s="120">
        <f>'DR-TB 10A (Sputum &amp; EP Sample)'!$T42</f>
        <v>0</v>
      </c>
      <c r="AA6" s="120">
        <f>'DR-TB 10A (Sputum &amp; EP Sample)'!$U42</f>
        <v>0</v>
      </c>
      <c r="AB6" s="120">
        <f>'DR-TB 10A (Sputum &amp; EP Sample)'!$S43</f>
        <v>0</v>
      </c>
      <c r="AC6" s="120">
        <f>'DR-TB 10A (Sputum &amp; EP Sample)'!$T43</f>
        <v>0</v>
      </c>
      <c r="AD6" s="121"/>
      <c r="AE6" s="122">
        <f>'DR-TB 10A (Sputum &amp; EP Sample)'!$S33</f>
        <v>0</v>
      </c>
      <c r="AF6" s="122">
        <f>'DR-TB 10A (Sputum &amp; EP Sample)'!$U33</f>
        <v>0</v>
      </c>
      <c r="AG6" s="122">
        <f>'DR-TB 10A (Sputum &amp; EP Sample)'!$B44</f>
        <v>0</v>
      </c>
      <c r="AH6" s="122">
        <f>'DR-TB 10A (Sputum &amp; EP Sample)'!$C44</f>
        <v>0</v>
      </c>
      <c r="AI6" s="122">
        <f>'DR-TB 10A (Sputum &amp; EP Sample)'!$D44</f>
        <v>0</v>
      </c>
      <c r="AJ6" s="122">
        <f>'DR-TB 10A (Sputum &amp; EP Sample)'!$E44</f>
        <v>0</v>
      </c>
      <c r="AK6" s="365"/>
      <c r="AL6" s="365"/>
      <c r="AM6" s="365"/>
      <c r="AN6" s="358"/>
      <c r="AO6" s="358"/>
      <c r="AP6" s="368"/>
      <c r="AQ6" s="368"/>
      <c r="AR6" s="358"/>
      <c r="AS6" s="358"/>
      <c r="AT6" s="358"/>
      <c r="AU6" s="368"/>
      <c r="AV6" s="368"/>
      <c r="AW6" s="358"/>
      <c r="AX6" s="358"/>
      <c r="AY6" s="358"/>
      <c r="AZ6" s="368"/>
      <c r="BA6" s="368"/>
      <c r="BB6" s="358"/>
      <c r="BC6" s="85"/>
      <c r="BD6" s="85"/>
      <c r="BE6" s="85"/>
      <c r="BF6" s="85"/>
      <c r="BG6" s="85"/>
      <c r="BH6" s="85"/>
      <c r="BI6" s="85"/>
      <c r="BJ6" s="85"/>
      <c r="BK6" s="385"/>
      <c r="BL6" s="385"/>
      <c r="BM6" s="398"/>
      <c r="BN6" s="386"/>
      <c r="BO6" s="386"/>
      <c r="BP6" s="386"/>
      <c r="BQ6" s="386"/>
      <c r="BR6" s="386"/>
      <c r="BS6" s="386"/>
      <c r="BT6" s="386"/>
      <c r="BU6" s="386"/>
      <c r="BV6" s="386"/>
      <c r="BW6" s="386"/>
      <c r="BX6" s="386"/>
      <c r="BY6" s="386"/>
      <c r="BZ6" s="386"/>
      <c r="CA6" s="386"/>
      <c r="CB6" s="386"/>
      <c r="CC6" s="386"/>
      <c r="CD6" s="386"/>
      <c r="CE6" s="386"/>
      <c r="CF6" s="386"/>
      <c r="CG6" s="386"/>
      <c r="CH6" s="386"/>
      <c r="CI6" s="386"/>
      <c r="CJ6" s="386"/>
      <c r="CK6" s="386"/>
      <c r="CL6" s="386"/>
      <c r="CM6" s="386"/>
      <c r="CN6" s="386"/>
      <c r="CO6" s="386"/>
      <c r="CP6" s="386"/>
      <c r="CQ6" s="385"/>
      <c r="CR6" s="385"/>
      <c r="CS6" s="118">
        <f>'DR-TB 10A (Stool)'!$B33</f>
        <v>0</v>
      </c>
      <c r="CT6" s="118">
        <f>'DR-TB 10A (Stool)'!$C33</f>
        <v>0</v>
      </c>
      <c r="CU6" s="118">
        <f>'DR-TB 10A (Stool)'!$D33</f>
        <v>0</v>
      </c>
      <c r="CV6" s="118">
        <f>'DR-TB 10A (Stool)'!$E33</f>
        <v>0</v>
      </c>
      <c r="CW6" s="118">
        <f>'DR-TB 10A (Stool)'!$F33</f>
        <v>0</v>
      </c>
      <c r="CX6" s="118">
        <f>'DR-TB 10A (Stool)'!$G33</f>
        <v>0</v>
      </c>
      <c r="CY6" s="118">
        <f>'DR-TB 10A (Stool)'!$H33</f>
        <v>0</v>
      </c>
      <c r="CZ6" s="118">
        <f>'DR-TB 10A (Stool)'!$I33</f>
        <v>0</v>
      </c>
      <c r="DA6" s="118">
        <f>'DR-TB 10A (Stool)'!$J33</f>
        <v>0</v>
      </c>
      <c r="DB6" s="118">
        <f>'DR-TB 10A (Stool)'!$K33</f>
        <v>0</v>
      </c>
      <c r="DC6" s="118">
        <f>'DR-TB 10A (Stool)'!$L33</f>
        <v>0</v>
      </c>
      <c r="DD6" s="120">
        <f>'DR-TB 10A (Stool)'!$O33</f>
        <v>0</v>
      </c>
      <c r="DE6" s="120">
        <f>'DR-TB 10A (Stool)'!$O34</f>
        <v>0</v>
      </c>
      <c r="DF6" s="120">
        <f>'DR-TB 10A (Stool)'!$O35</f>
        <v>0</v>
      </c>
      <c r="DG6" s="120">
        <f>'DR-TB 10A (Stool)'!$R33</f>
        <v>0</v>
      </c>
      <c r="DH6" s="120">
        <f>'DR-TB 10A (Stool)'!$R34</f>
        <v>0</v>
      </c>
      <c r="DI6" s="120">
        <f>'DR-TB 10A (Stool)'!$R35</f>
        <v>0</v>
      </c>
      <c r="DJ6" s="120">
        <f>'DR-TB 10A (Stool)'!$S41</f>
        <v>0</v>
      </c>
      <c r="DK6" s="120">
        <f>'DR-TB 10A (Stool)'!$T41</f>
        <v>0</v>
      </c>
      <c r="DL6" s="120">
        <f>'DR-TB 10A (Stool)'!$U41</f>
        <v>0</v>
      </c>
      <c r="DM6" s="120">
        <f>'DR-TB 10A (Stool)'!$S42</f>
        <v>0</v>
      </c>
      <c r="DN6" s="120">
        <f>'DR-TB 10A (Stool)'!$T42</f>
        <v>0</v>
      </c>
      <c r="DO6" s="120">
        <f>'DR-TB 10A (Stool)'!$U42</f>
        <v>0</v>
      </c>
      <c r="DP6" s="120">
        <f>'DR-TB 10A (Stool)'!$S43</f>
        <v>0</v>
      </c>
      <c r="DQ6" s="120">
        <f>'DR-TB 10A (Stool)'!$T43</f>
        <v>0</v>
      </c>
      <c r="DR6" s="121"/>
      <c r="DS6" s="122">
        <f>'DR-TB 10A (Stool)'!$S33</f>
        <v>0</v>
      </c>
      <c r="DT6" s="122">
        <f>'DR-TB 10A (Stool)'!$U33</f>
        <v>0</v>
      </c>
      <c r="DU6" s="122">
        <f>'DR-TB 10A (Stool)'!$B44</f>
        <v>0</v>
      </c>
      <c r="DV6" s="122">
        <f>'DR-TB 10A (Stool)'!$C44</f>
        <v>0</v>
      </c>
      <c r="DW6" s="122">
        <f>'DR-TB 10A (Stool)'!$D44</f>
        <v>0</v>
      </c>
      <c r="DX6" s="122">
        <f>'DR-TB 10A (Stool)'!$E44</f>
        <v>0</v>
      </c>
      <c r="DY6" s="365"/>
      <c r="DZ6" s="365"/>
      <c r="EA6" s="365"/>
      <c r="EB6" s="358"/>
      <c r="EC6" s="358"/>
      <c r="ED6" s="368"/>
      <c r="EE6" s="368"/>
      <c r="EF6" s="358"/>
      <c r="EG6" s="358"/>
      <c r="EH6" s="358"/>
      <c r="EI6" s="368"/>
      <c r="EJ6" s="368"/>
      <c r="EK6" s="358"/>
      <c r="EL6" s="358"/>
      <c r="EM6" s="358"/>
      <c r="EN6" s="368"/>
      <c r="EO6" s="368"/>
      <c r="EP6" s="358"/>
      <c r="EQ6" s="347"/>
      <c r="ER6" s="347"/>
      <c r="ES6" s="347"/>
      <c r="ET6" s="350"/>
    </row>
    <row r="9" spans="1:150" x14ac:dyDescent="0.3">
      <c r="A9" s="91"/>
      <c r="B9" s="91"/>
    </row>
    <row r="10" spans="1:150" ht="140.25" customHeight="1" x14ac:dyDescent="0.3">
      <c r="A10" s="359" t="s">
        <v>161</v>
      </c>
      <c r="B10" s="359" t="s">
        <v>280</v>
      </c>
      <c r="C10" s="359" t="s">
        <v>806</v>
      </c>
      <c r="D10" s="359" t="str">
        <f>'DR-TB 10B'!A11</f>
        <v>Sl.              No</v>
      </c>
      <c r="E10" s="359" t="str">
        <f>'DR-TB 10B'!B11</f>
        <v>Name of the RR                                                                                                                               patient</v>
      </c>
      <c r="F10" s="359" t="str">
        <f>'DR-TB 10B'!C11</f>
        <v>Age</v>
      </c>
      <c r="G10" s="359" t="str">
        <f>'DR-TB 10B'!D11</f>
        <v>Sex
(M/F)</v>
      </c>
      <c r="H10" s="359" t="str">
        <f>'DR-TB 10B'!F11</f>
        <v>Address and                                        cell number</v>
      </c>
      <c r="I10" s="359" t="str">
        <f>'DR-TB 10B'!G11</f>
        <v>Name &amp; address          of the referring unit                                                and cell number</v>
      </c>
      <c r="J10" s="359" t="str">
        <f>'DR-TB 10B'!H11</f>
        <v>* Type of patient</v>
      </c>
      <c r="K10" s="359" t="str">
        <f>'DR-TB 10B'!J11</f>
        <v>Current and previous (if any)  TB registration number</v>
      </c>
      <c r="L10" s="346" t="str">
        <f>'DR-TB 10B'!K11</f>
        <v>Result of Xpert/Truenat MTB/RIF/Ultra</v>
      </c>
      <c r="M10" s="359" t="str">
        <f>'DR-TB 10B'!L11</f>
        <v>Bacterial Load</v>
      </c>
      <c r="N10" s="359" t="str">
        <f>'DR-TB 10B'!T11</f>
        <v>Name and address of the hospital/ treatment                initiation center            for enrollment of DR TB treatment</v>
      </c>
      <c r="O10" s="359" t="str">
        <f>'DR-TB 10B'!U11</f>
        <v>Enrollment status                   (Y/N)</v>
      </c>
      <c r="P10" s="359" t="str">
        <f>'DR-TB 10B'!X11</f>
        <v>** Current status of the patient</v>
      </c>
      <c r="Q10" s="359" t="str">
        <f>'DR-TB 10B'!Y11</f>
        <v>Remarks</v>
      </c>
      <c r="R10" s="359" t="str">
        <f>'DR-TB 10B'!E11</f>
        <v>Date of Diagnosis</v>
      </c>
      <c r="S10" s="359" t="str">
        <f>'DR-TB 10B'!V11</f>
        <v>Date Of Enrollment</v>
      </c>
      <c r="T10" s="359" t="str">
        <f>'DR-TB 10B'!W11</f>
        <v>eTB/ DR TB Registration Number</v>
      </c>
      <c r="U10" s="359" t="str">
        <f>'DR-TB 10B'!I11</f>
        <v>Type Of Sample</v>
      </c>
      <c r="V10" s="387" t="str">
        <f>'DR-TB 10B'!M11</f>
        <v>Result Of MTB/XDR</v>
      </c>
      <c r="W10" s="387"/>
      <c r="X10" s="387"/>
      <c r="Y10" s="387"/>
      <c r="Z10" s="387"/>
      <c r="AA10" s="387"/>
      <c r="AB10" s="387"/>
      <c r="AC10" s="403" t="s">
        <v>881</v>
      </c>
    </row>
    <row r="11" spans="1:150" ht="140.25" customHeight="1" x14ac:dyDescent="0.3">
      <c r="A11" s="359"/>
      <c r="B11" s="359"/>
      <c r="C11" s="359"/>
      <c r="D11" s="359"/>
      <c r="E11" s="359"/>
      <c r="F11" s="359"/>
      <c r="G11" s="359"/>
      <c r="H11" s="359"/>
      <c r="I11" s="359"/>
      <c r="J11" s="359"/>
      <c r="K11" s="359"/>
      <c r="L11" s="346"/>
      <c r="M11" s="359"/>
      <c r="N11" s="359"/>
      <c r="O11" s="359"/>
      <c r="P11" s="359"/>
      <c r="Q11" s="359"/>
      <c r="R11" s="359"/>
      <c r="S11" s="359"/>
      <c r="T11" s="359"/>
      <c r="U11" s="359"/>
      <c r="V11" s="29" t="str">
        <f>'DR-TB 10B'!M12</f>
        <v>MTB</v>
      </c>
      <c r="W11" s="29" t="str">
        <f>'DR-TB 10B'!N12</f>
        <v>INH</v>
      </c>
      <c r="X11" s="29" t="str">
        <f>'DR-TB 10B'!O12</f>
        <v>FLQ</v>
      </c>
      <c r="Y11" s="29" t="str">
        <f>'DR-TB 10B'!P12</f>
        <v>AMK</v>
      </c>
      <c r="Z11" s="29" t="str">
        <f>'DR-TB 10B'!Q12</f>
        <v>KAN</v>
      </c>
      <c r="AA11" s="29" t="str">
        <f>'DR-TB 10B'!R12</f>
        <v>CAP</v>
      </c>
      <c r="AB11" s="29" t="str">
        <f>'DR-TB 10B'!S12</f>
        <v>ETH</v>
      </c>
      <c r="AC11" s="403"/>
    </row>
    <row r="12" spans="1:150" ht="15" customHeight="1" x14ac:dyDescent="0.3">
      <c r="A12" s="145">
        <f>'DR-TB 10A (Sputum &amp; EP Sample)'!$C$6</f>
        <v>0</v>
      </c>
      <c r="B12" s="145">
        <f>'DR-TB 10A (Sputum &amp; EP Sample)'!$C$7</f>
        <v>0</v>
      </c>
      <c r="C12" s="145">
        <f>'DR-TB 10A (Sputum &amp; EP Sample)'!$C$8</f>
        <v>0</v>
      </c>
      <c r="D12" s="87" t="str">
        <f>'DR-TB 10B'!A13</f>
        <v>&lt;#&gt;</v>
      </c>
      <c r="E12" s="87" t="str">
        <f>'DR-TB 10B'!B13</f>
        <v>&lt;patientName&gt;</v>
      </c>
      <c r="F12" s="87" t="str">
        <f>'DR-TB 10B'!C13</f>
        <v>&lt;patientAge&gt;</v>
      </c>
      <c r="G12" s="87" t="str">
        <f>'DR-TB 10B'!D13</f>
        <v>&lt;gender&gt;</v>
      </c>
      <c r="H12" s="87" t="str">
        <f>'DR-TB 10B'!F13</f>
        <v>&lt;patientAddressAndCell&gt;</v>
      </c>
      <c r="I12" s="87" t="str">
        <f>'DR-TB 10B'!G13</f>
        <v>&lt;referringAddressAndCell&gt;</v>
      </c>
      <c r="J12" s="87" t="str">
        <f>'DR-TB 10B'!H13</f>
        <v>&lt;patientType&gt;</v>
      </c>
      <c r="K12" s="87" t="str">
        <f>'DR-TB 10B'!J13</f>
        <v>&lt;tbRegistrationNumber&gt;</v>
      </c>
      <c r="L12" s="158" t="str">
        <f>'DR-TB 10B'!K13</f>
        <v>&lt;resultMtbRif&gt;</v>
      </c>
      <c r="M12" s="87" t="str">
        <f>'DR-TB 10B'!L13</f>
        <v>&lt;bacterialLoad&gt;</v>
      </c>
      <c r="N12" s="87" t="str">
        <f>'DR-TB 10B'!T13</f>
        <v>&lt;hospitalTreatmentDRTB&gt;</v>
      </c>
      <c r="O12" s="87" t="str">
        <f>'DR-TB 10B'!U13</f>
        <v>&lt;enrollmentStatus&gt;</v>
      </c>
      <c r="P12" s="87" t="str">
        <f>'DR-TB 10B'!X13</f>
        <v>&lt;patientStatus&gt;</v>
      </c>
      <c r="Q12" s="87" t="str">
        <f>'DR-TB 10B'!Y13</f>
        <v>&lt;remarks&gt;</v>
      </c>
      <c r="R12" s="143" t="str">
        <f>'DR-TB 10B'!E13</f>
        <v>&lt;dateOfDiagnosis&gt;</v>
      </c>
      <c r="S12" s="143" t="str">
        <f>'DR-TB 10B'!V13</f>
        <v>&lt;enrollmentDate&gt;</v>
      </c>
      <c r="T12" s="87" t="str">
        <f>'DR-TB 10B'!W13</f>
        <v>&lt;tbRegistrationNumber&gt;</v>
      </c>
      <c r="U12" s="87" t="str">
        <f>'DR-TB 10B'!I13</f>
        <v>&lt;sampleType&gt;</v>
      </c>
      <c r="V12" s="87" t="str">
        <f>'DR-TB 10B'!M13</f>
        <v>&lt;mtbDetected&gt;</v>
      </c>
      <c r="W12" s="87" t="str">
        <f>'DR-TB 10B'!N13</f>
        <v>&lt;inhDetected&gt;</v>
      </c>
      <c r="X12" s="87" t="str">
        <f>'DR-TB 10B'!O13</f>
        <v>&lt;flqDetected&gt;</v>
      </c>
      <c r="Y12" s="87" t="str">
        <f>'DR-TB 10B'!P13</f>
        <v>&lt;amkDetected&gt;</v>
      </c>
      <c r="Z12" s="87" t="str">
        <f>'DR-TB 10B'!Q13</f>
        <v>&lt;kanDetected&gt;</v>
      </c>
      <c r="AA12" s="87" t="str">
        <f>'DR-TB 10B'!R13</f>
        <v>&lt;capDetected&gt;</v>
      </c>
      <c r="AB12" s="87" t="str">
        <f>'DR-TB 10B'!S13</f>
        <v>&lt;ethDetected&gt;</v>
      </c>
      <c r="AC12" s="87" t="str">
        <f>'DR-TB 10B'!$M13</f>
        <v>&lt;mtbDetected&gt;</v>
      </c>
      <c r="AD12" s="156"/>
    </row>
    <row r="13" spans="1:150" x14ac:dyDescent="0.3">
      <c r="D13" s="144"/>
      <c r="E13" s="144"/>
      <c r="F13" s="144"/>
      <c r="G13" s="144"/>
      <c r="H13" s="144"/>
      <c r="I13" s="144"/>
      <c r="J13" s="144"/>
      <c r="K13" s="144"/>
      <c r="L13" s="144"/>
      <c r="M13" s="144"/>
      <c r="N13" s="144"/>
      <c r="O13" s="144"/>
      <c r="P13" s="144"/>
      <c r="Q13" s="144"/>
      <c r="R13" s="144"/>
      <c r="S13" s="144"/>
      <c r="T13" s="144"/>
      <c r="U13" s="144"/>
      <c r="V13" s="144"/>
      <c r="W13" s="144"/>
      <c r="X13" s="144"/>
      <c r="Y13" s="144"/>
      <c r="Z13" s="144"/>
      <c r="AA13" s="144"/>
    </row>
  </sheetData>
  <sheetProtection sort="0" autoFilter="0" pivotTables="0"/>
  <mergeCells count="236">
    <mergeCell ref="AC10:AC11"/>
    <mergeCell ref="BX2:BY2"/>
    <mergeCell ref="BZ2:CA2"/>
    <mergeCell ref="BV4:BV6"/>
    <mergeCell ref="BW4:BW6"/>
    <mergeCell ref="BX4:BX6"/>
    <mergeCell ref="BY4:BY6"/>
    <mergeCell ref="BZ4:BZ6"/>
    <mergeCell ref="CA4:CA6"/>
    <mergeCell ref="BS4:BS6"/>
    <mergeCell ref="BT4:BT6"/>
    <mergeCell ref="BU4:BU6"/>
    <mergeCell ref="BP2:BQ2"/>
    <mergeCell ref="BN1:BN3"/>
    <mergeCell ref="BO1:BO3"/>
    <mergeCell ref="BR2:BS2"/>
    <mergeCell ref="BT2:BU2"/>
    <mergeCell ref="BP1:BU1"/>
    <mergeCell ref="BN4:BN6"/>
    <mergeCell ref="BO4:BO6"/>
    <mergeCell ref="BP4:BP6"/>
    <mergeCell ref="BQ4:BQ6"/>
    <mergeCell ref="BR4:BR6"/>
    <mergeCell ref="BK4:BK6"/>
    <mergeCell ref="CF4:CF6"/>
    <mergeCell ref="BV2:BW2"/>
    <mergeCell ref="CG4:CG6"/>
    <mergeCell ref="CB1:CD3"/>
    <mergeCell ref="CB4:CB6"/>
    <mergeCell ref="CC4:CC6"/>
    <mergeCell ref="CD4:CD6"/>
    <mergeCell ref="CE4:CE6"/>
    <mergeCell ref="CE2:CE3"/>
    <mergeCell ref="CF2:CF3"/>
    <mergeCell ref="CG2:CG3"/>
    <mergeCell ref="CE1:CG1"/>
    <mergeCell ref="BM1:BM3"/>
    <mergeCell ref="BM4:BM6"/>
    <mergeCell ref="A1:A3"/>
    <mergeCell ref="B1:B3"/>
    <mergeCell ref="C1:C3"/>
    <mergeCell ref="D1:D3"/>
    <mergeCell ref="E1:G1"/>
    <mergeCell ref="M2:M3"/>
    <mergeCell ref="N2:N3"/>
    <mergeCell ref="O2:O3"/>
    <mergeCell ref="P2:R2"/>
    <mergeCell ref="H1:AF1"/>
    <mergeCell ref="AG1:AJ1"/>
    <mergeCell ref="AK1:AK3"/>
    <mergeCell ref="AL1:AL3"/>
    <mergeCell ref="AM1:AM3"/>
    <mergeCell ref="AF2:AF3"/>
    <mergeCell ref="V2:X2"/>
    <mergeCell ref="Y2:AA2"/>
    <mergeCell ref="AZ2:AZ3"/>
    <mergeCell ref="AQ4:AQ6"/>
    <mergeCell ref="AV2:AV3"/>
    <mergeCell ref="AX1:BA1"/>
    <mergeCell ref="BA2:BA3"/>
    <mergeCell ref="BA4:BA6"/>
    <mergeCell ref="AZ4:AZ6"/>
    <mergeCell ref="AX2:AX3"/>
    <mergeCell ref="AS2:AS3"/>
    <mergeCell ref="AT2:AT3"/>
    <mergeCell ref="BL1:BL3"/>
    <mergeCell ref="BL4:BL6"/>
    <mergeCell ref="A4:A6"/>
    <mergeCell ref="B4:B6"/>
    <mergeCell ref="C4:C6"/>
    <mergeCell ref="AK4:AK6"/>
    <mergeCell ref="AL4:AL6"/>
    <mergeCell ref="AM4:AM6"/>
    <mergeCell ref="AN2:AN3"/>
    <mergeCell ref="AO2:AO3"/>
    <mergeCell ref="BJ1:BJ3"/>
    <mergeCell ref="E2:E3"/>
    <mergeCell ref="F2:F3"/>
    <mergeCell ref="G2:G3"/>
    <mergeCell ref="H2:H3"/>
    <mergeCell ref="I2:I3"/>
    <mergeCell ref="J2:J3"/>
    <mergeCell ref="K2:K3"/>
    <mergeCell ref="L2:L3"/>
    <mergeCell ref="AR1:AR3"/>
    <mergeCell ref="AW1:AW3"/>
    <mergeCell ref="BB1:BB3"/>
    <mergeCell ref="S2:U2"/>
    <mergeCell ref="AI2:AI3"/>
    <mergeCell ref="AJ2:AJ3"/>
    <mergeCell ref="BD1:BF2"/>
    <mergeCell ref="BG1:BI2"/>
    <mergeCell ref="BC1:BC3"/>
    <mergeCell ref="AB2:AD2"/>
    <mergeCell ref="AE2:AE3"/>
    <mergeCell ref="AH2:AH3"/>
    <mergeCell ref="AG2:AG3"/>
    <mergeCell ref="AY2:AY3"/>
    <mergeCell ref="AP2:AP3"/>
    <mergeCell ref="CH1:CP1"/>
    <mergeCell ref="CH2:CH3"/>
    <mergeCell ref="CI2:CI3"/>
    <mergeCell ref="CJ2:CJ3"/>
    <mergeCell ref="CK2:CK3"/>
    <mergeCell ref="CL2:CL3"/>
    <mergeCell ref="CM2:CM3"/>
    <mergeCell ref="CN2:CN3"/>
    <mergeCell ref="CO2:CO3"/>
    <mergeCell ref="CP2:CP3"/>
    <mergeCell ref="AU2:AU3"/>
    <mergeCell ref="AN1:AQ1"/>
    <mergeCell ref="AQ2:AQ3"/>
    <mergeCell ref="BK1:BK3"/>
    <mergeCell ref="BV1:CA1"/>
    <mergeCell ref="AS1:AV1"/>
    <mergeCell ref="J10:J11"/>
    <mergeCell ref="U10:U11"/>
    <mergeCell ref="N10:N11"/>
    <mergeCell ref="V10:AB10"/>
    <mergeCell ref="A10:A11"/>
    <mergeCell ref="B10:B11"/>
    <mergeCell ref="C10:C11"/>
    <mergeCell ref="D10:D11"/>
    <mergeCell ref="E10:E11"/>
    <mergeCell ref="F10:F11"/>
    <mergeCell ref="G10:G11"/>
    <mergeCell ref="H10:H11"/>
    <mergeCell ref="I10:I11"/>
    <mergeCell ref="T10:T11"/>
    <mergeCell ref="CQ4:CQ6"/>
    <mergeCell ref="CR4:CR6"/>
    <mergeCell ref="R10:R11"/>
    <mergeCell ref="AT4:AT6"/>
    <mergeCell ref="AU4:AU6"/>
    <mergeCell ref="AW4:AW6"/>
    <mergeCell ref="AX4:AX6"/>
    <mergeCell ref="AY4:AY6"/>
    <mergeCell ref="BB4:BB6"/>
    <mergeCell ref="AN4:AN6"/>
    <mergeCell ref="AO4:AO6"/>
    <mergeCell ref="AP4:AP6"/>
    <mergeCell ref="AR4:AR6"/>
    <mergeCell ref="AS4:AS6"/>
    <mergeCell ref="CH4:CH6"/>
    <mergeCell ref="CI4:CI6"/>
    <mergeCell ref="CJ4:CJ6"/>
    <mergeCell ref="CK4:CK6"/>
    <mergeCell ref="CL4:CL6"/>
    <mergeCell ref="CM4:CM6"/>
    <mergeCell ref="CN4:CN6"/>
    <mergeCell ref="CO4:CO6"/>
    <mergeCell ref="CP4:CP6"/>
    <mergeCell ref="AV4:AV6"/>
    <mergeCell ref="DY1:DY3"/>
    <mergeCell ref="DZ1:DZ3"/>
    <mergeCell ref="EA1:EA3"/>
    <mergeCell ref="EB1:EE1"/>
    <mergeCell ref="EF1:EF3"/>
    <mergeCell ref="EG1:EJ1"/>
    <mergeCell ref="DX2:DX3"/>
    <mergeCell ref="EB2:EB3"/>
    <mergeCell ref="EC2:EC3"/>
    <mergeCell ref="ED2:ED3"/>
    <mergeCell ref="EE2:EE3"/>
    <mergeCell ref="EG2:EG3"/>
    <mergeCell ref="EH2:EH3"/>
    <mergeCell ref="EI2:EI3"/>
    <mergeCell ref="EJ2:EJ3"/>
    <mergeCell ref="DJ2:DL2"/>
    <mergeCell ref="DM2:DO2"/>
    <mergeCell ref="DP2:DR2"/>
    <mergeCell ref="DS2:DS3"/>
    <mergeCell ref="DT2:DT3"/>
    <mergeCell ref="DU2:DU3"/>
    <mergeCell ref="DV2:DV3"/>
    <mergeCell ref="DW2:DW3"/>
    <mergeCell ref="CS1:CU1"/>
    <mergeCell ref="CV1:DT1"/>
    <mergeCell ref="DU1:DX1"/>
    <mergeCell ref="CW2:CW3"/>
    <mergeCell ref="CX2:CX3"/>
    <mergeCell ref="CY2:CY3"/>
    <mergeCell ref="CZ2:CZ3"/>
    <mergeCell ref="DA2:DA3"/>
    <mergeCell ref="DB2:DB3"/>
    <mergeCell ref="DC2:DC3"/>
    <mergeCell ref="DD2:DF2"/>
    <mergeCell ref="DG2:DI2"/>
    <mergeCell ref="K10:K11"/>
    <mergeCell ref="O10:O11"/>
    <mergeCell ref="P10:P11"/>
    <mergeCell ref="Q10:Q11"/>
    <mergeCell ref="EL2:EL3"/>
    <mergeCell ref="EM2:EM3"/>
    <mergeCell ref="EN2:EN3"/>
    <mergeCell ref="EO2:EO3"/>
    <mergeCell ref="DY4:DY6"/>
    <mergeCell ref="DZ4:DZ6"/>
    <mergeCell ref="EA4:EA6"/>
    <mergeCell ref="EB4:EB6"/>
    <mergeCell ref="EC4:EC6"/>
    <mergeCell ref="ED4:ED6"/>
    <mergeCell ref="EE4:EE6"/>
    <mergeCell ref="EF4:EF6"/>
    <mergeCell ref="EG4:EG6"/>
    <mergeCell ref="EH4:EH6"/>
    <mergeCell ref="EI4:EI6"/>
    <mergeCell ref="EJ4:EJ6"/>
    <mergeCell ref="EK4:EK6"/>
    <mergeCell ref="EL4:EL6"/>
    <mergeCell ref="EM4:EM6"/>
    <mergeCell ref="EN4:EN6"/>
    <mergeCell ref="CQ2:CQ3"/>
    <mergeCell ref="CR2:CR3"/>
    <mergeCell ref="CQ1:CR1"/>
    <mergeCell ref="L10:L11"/>
    <mergeCell ref="EQ4:EQ6"/>
    <mergeCell ref="ER4:ER6"/>
    <mergeCell ref="ES4:ES6"/>
    <mergeCell ref="ET2:ET3"/>
    <mergeCell ref="ET4:ET6"/>
    <mergeCell ref="EQ1:ES1"/>
    <mergeCell ref="EQ2:EQ3"/>
    <mergeCell ref="ER2:ER3"/>
    <mergeCell ref="ES2:ES3"/>
    <mergeCell ref="EP4:EP6"/>
    <mergeCell ref="S10:S11"/>
    <mergeCell ref="M10:M11"/>
    <mergeCell ref="EO4:EO6"/>
    <mergeCell ref="EK1:EK3"/>
    <mergeCell ref="EL1:EO1"/>
    <mergeCell ref="EP1:EP3"/>
    <mergeCell ref="CS2:CS3"/>
    <mergeCell ref="CT2:CT3"/>
    <mergeCell ref="CU2:CU3"/>
    <mergeCell ref="CV2:CV3"/>
  </mergeCells>
  <conditionalFormatting sqref="AE4:AF6">
    <cfRule type="cellIs" dxfId="3" priority="4" stopIfTrue="1" operator="notEqual">
      <formula>SUM(V4:AC4)</formula>
    </cfRule>
  </conditionalFormatting>
  <conditionalFormatting sqref="DS4:DT6">
    <cfRule type="cellIs" dxfId="2" priority="1" stopIfTrue="1" operator="notEqual">
      <formula>SUM(DJ4:DQ4)</formula>
    </cfRule>
  </conditionalFormatting>
  <dataValidations disablePrompts="1" count="1">
    <dataValidation type="whole" allowBlank="1" showInputMessage="1" showErrorMessage="1" sqref="KG4:KG6 WWW4:WWW6 WNA4:WNA6 WDE4:WDE6 VTI4:VTI6 VJM4:VJM6 UZQ4:UZQ6 UPU4:UPU6 UFY4:UFY6 TWC4:TWC6 TMG4:TMG6 TCK4:TCK6 SSO4:SSO6 SIS4:SIS6 RYW4:RYW6 RPA4:RPA6 RFE4:RFE6 QVI4:QVI6 QLM4:QLM6 QBQ4:QBQ6 PRU4:PRU6 PHY4:PHY6 OYC4:OYC6 OOG4:OOG6 OEK4:OEK6 NUO4:NUO6 NKS4:NKS6 NAW4:NAW6 MRA4:MRA6 MHE4:MHE6 LXI4:LXI6 LNM4:LNM6 LDQ4:LDQ6 KTU4:KTU6 KJY4:KJY6 KAC4:KAC6 JQG4:JQG6 JGK4:JGK6 IWO4:IWO6 IMS4:IMS6 ICW4:ICW6 HTA4:HTA6 HJE4:HJE6 GZI4:GZI6 GPM4:GPM6 GFQ4:GFQ6 FVU4:FVU6 FLY4:FLY6 FCC4:FCC6 ESG4:ESG6 EIK4:EIK6 DYO4:DYO6 DOS4:DOS6 DEW4:DEW6 CVA4:CVA6 CLE4:CLE6 CBI4:CBI6 BRM4:BRM6 BHQ4:BHQ6 AXU4:AXU6 ANY4:ANY6 AEC4:AEC6 UG4:UG6 KK4:KK6 WWS4:WWS6 WMW4:WMW6 WDA4:WDA6 VTE4:VTE6 VJI4:VJI6 UZM4:UZM6 UPQ4:UPQ6 UFU4:UFU6 TVY4:TVY6 TMC4:TMC6 TCG4:TCG6 SSK4:SSK6 SIO4:SIO6 RYS4:RYS6 ROW4:ROW6 RFA4:RFA6 QVE4:QVE6 QLI4:QLI6 QBM4:QBM6 PRQ4:PRQ6 PHU4:PHU6 OXY4:OXY6 OOC4:OOC6 OEG4:OEG6 NUK4:NUK6 NKO4:NKO6 NAS4:NAS6 MQW4:MQW6 MHA4:MHA6 LXE4:LXE6 LNI4:LNI6 LDM4:LDM6 KTQ4:KTQ6 KJU4:KJU6 JZY4:JZY6 JQC4:JQC6 JGG4:JGG6 IWK4:IWK6 IMO4:IMO6 ICS4:ICS6 HSW4:HSW6 HJA4:HJA6 GZE4:GZE6 GPI4:GPI6 GFM4:GFM6 FVQ4:FVQ6 FLU4:FLU6 FBY4:FBY6 ESC4:ESC6 EIG4:EIG6 DYK4:DYK6 DOO4:DOO6 DES4:DES6 CUW4:CUW6 CLA4:CLA6 CBE4:CBE6 BRI4:BRI6 BHM4:BHM6 AXQ4:AXQ6 ANU4:ANU6 ADY4:ADY6 UC4:UC6">
      <formula1>0</formula1>
      <formula2>999999</formula2>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6" stopIfTrue="1" operator="notEqual" id="{1172E0D0-3E3B-4299-AA3B-8DDF293BA9C0}">
            <xm:f>SUM('file:///C:\M&amp;E Activities\Junk\Gene Xpert Reporting national\[# Monthly GeneXpert data 2017 (National).xls]January'!#REF!)</xm:f>
            <x14:dxf>
              <font>
                <b/>
                <i val="0"/>
                <color rgb="FFFF0000"/>
              </font>
            </x14:dxf>
          </x14:cfRule>
          <xm:sqref>AF4:AF6</xm:sqref>
        </x14:conditionalFormatting>
        <x14:conditionalFormatting xmlns:xm="http://schemas.microsoft.com/office/excel/2006/main">
          <x14:cfRule type="cellIs" priority="3" stopIfTrue="1" operator="notEqual" id="{BA272F01-790D-425E-9639-4E382D66646A}">
            <xm:f>SUM('file:///C:\M&amp;E Activities\Junk\Gene Xpert Reporting national\[# Monthly GeneXpert data 2017 (National).xls]January'!#REF!)</xm:f>
            <x14:dxf>
              <font>
                <b/>
                <i val="0"/>
                <color rgb="FFFF0000"/>
              </font>
            </x14:dxf>
          </x14:cfRule>
          <xm:sqref>DT4:DT6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148</vt:i4>
      </vt:variant>
    </vt:vector>
  </HeadingPairs>
  <TitlesOfParts>
    <vt:vector size="153" baseType="lpstr">
      <vt:lpstr>DR-TB 10A (Sputum &amp; EP Sample)</vt:lpstr>
      <vt:lpstr>DR-TB 10A (Stool)</vt:lpstr>
      <vt:lpstr>DR-TB 10B</vt:lpstr>
      <vt:lpstr>COVID19 Reporting Form</vt:lpstr>
      <vt:lpstr>For NTP Use</vt:lpstr>
      <vt:lpstr>'DR-TB 10A (Stool)'!Bagerhat</vt:lpstr>
      <vt:lpstr>Bagerhat</vt:lpstr>
      <vt:lpstr>'DR-TB 10A (Stool)'!Bandarban</vt:lpstr>
      <vt:lpstr>Bandarban</vt:lpstr>
      <vt:lpstr>'DR-TB 10A (Stool)'!Barguna</vt:lpstr>
      <vt:lpstr>Barguna</vt:lpstr>
      <vt:lpstr>'DR-TB 10A (Stool)'!Barisal</vt:lpstr>
      <vt:lpstr>Barisal</vt:lpstr>
      <vt:lpstr>'DR-TB 10A (Stool)'!Barisal_Division</vt:lpstr>
      <vt:lpstr>Barisal_Division</vt:lpstr>
      <vt:lpstr>'DR-TB 10A (Stool)'!Bhola</vt:lpstr>
      <vt:lpstr>Bhola</vt:lpstr>
      <vt:lpstr>'DR-TB 10A (Stool)'!Bogra</vt:lpstr>
      <vt:lpstr>Bogra</vt:lpstr>
      <vt:lpstr>'DR-TB 10A (Stool)'!Brahmanbaria</vt:lpstr>
      <vt:lpstr>Brahmanbaria</vt:lpstr>
      <vt:lpstr>'DR-TB 10A (Stool)'!Chandpur</vt:lpstr>
      <vt:lpstr>Chandpur</vt:lpstr>
      <vt:lpstr>'DR-TB 10A (Stool)'!Chattogram</vt:lpstr>
      <vt:lpstr>Chattogram</vt:lpstr>
      <vt:lpstr>'DR-TB 10A (Stool)'!Chattogram_Division</vt:lpstr>
      <vt:lpstr>Chattogram_Division</vt:lpstr>
      <vt:lpstr>'DR-TB 10A (Stool)'!Chuadanga</vt:lpstr>
      <vt:lpstr>Chuadanga</vt:lpstr>
      <vt:lpstr>'DR-TB 10A (Stool)'!Comilla</vt:lpstr>
      <vt:lpstr>Comilla</vt:lpstr>
      <vt:lpstr>'DR-TB 10A (Stool)'!Coxs_Bazar</vt:lpstr>
      <vt:lpstr>Coxs_Bazar</vt:lpstr>
      <vt:lpstr>'DR-TB 10A (Stool)'!Dhaka</vt:lpstr>
      <vt:lpstr>Dhaka</vt:lpstr>
      <vt:lpstr>'DR-TB 10A (Stool)'!Dhaka_Division</vt:lpstr>
      <vt:lpstr>Dhaka_Division</vt:lpstr>
      <vt:lpstr>'DR-TB 10A (Stool)'!Dinajpur</vt:lpstr>
      <vt:lpstr>Dinajpur</vt:lpstr>
      <vt:lpstr>'DR-TB 10A (Stool)'!Faridpur</vt:lpstr>
      <vt:lpstr>Faridpur</vt:lpstr>
      <vt:lpstr>'DR-TB 10A (Stool)'!Feni</vt:lpstr>
      <vt:lpstr>Feni</vt:lpstr>
      <vt:lpstr>'DR-TB 10A (Stool)'!Gaibandha</vt:lpstr>
      <vt:lpstr>Gaibandha</vt:lpstr>
      <vt:lpstr>'DR-TB 10A (Stool)'!Gazipur</vt:lpstr>
      <vt:lpstr>Gazipur</vt:lpstr>
      <vt:lpstr>'DR-TB 10A (Stool)'!Gopalganj</vt:lpstr>
      <vt:lpstr>Gopalganj</vt:lpstr>
      <vt:lpstr>'DR-TB 10A (Stool)'!Habiganj</vt:lpstr>
      <vt:lpstr>Habiganj</vt:lpstr>
      <vt:lpstr>'DR-TB 10A (Stool)'!Jamalpur</vt:lpstr>
      <vt:lpstr>Jamalpur</vt:lpstr>
      <vt:lpstr>'DR-TB 10A (Stool)'!Jessore</vt:lpstr>
      <vt:lpstr>Jessore</vt:lpstr>
      <vt:lpstr>'DR-TB 10A (Stool)'!Jhalakathi</vt:lpstr>
      <vt:lpstr>Jhalakathi</vt:lpstr>
      <vt:lpstr>'DR-TB 10A (Stool)'!Jhenaidah</vt:lpstr>
      <vt:lpstr>Jhenaidah</vt:lpstr>
      <vt:lpstr>'DR-TB 10A (Stool)'!Joypurhat</vt:lpstr>
      <vt:lpstr>Joypurhat</vt:lpstr>
      <vt:lpstr>'DR-TB 10A (Stool)'!Khagrachari</vt:lpstr>
      <vt:lpstr>Khagrachari</vt:lpstr>
      <vt:lpstr>'DR-TB 10A (Stool)'!Khulna</vt:lpstr>
      <vt:lpstr>Khulna</vt:lpstr>
      <vt:lpstr>'DR-TB 10A (Stool)'!Khulna_Division</vt:lpstr>
      <vt:lpstr>Khulna_Division</vt:lpstr>
      <vt:lpstr>'DR-TB 10A (Stool)'!Kishoreganj</vt:lpstr>
      <vt:lpstr>Kishoreganj</vt:lpstr>
      <vt:lpstr>'DR-TB 10A (Stool)'!Kurigram</vt:lpstr>
      <vt:lpstr>Kurigram</vt:lpstr>
      <vt:lpstr>'DR-TB 10A (Stool)'!Kushtia</vt:lpstr>
      <vt:lpstr>Kushtia</vt:lpstr>
      <vt:lpstr>'DR-TB 10A (Stool)'!Lalmonirhat</vt:lpstr>
      <vt:lpstr>Lalmonirhat</vt:lpstr>
      <vt:lpstr>'DR-TB 10A (Stool)'!Laxmipur</vt:lpstr>
      <vt:lpstr>Laxmipur</vt:lpstr>
      <vt:lpstr>'DR-TB 10A (Stool)'!Madaripur</vt:lpstr>
      <vt:lpstr>Madaripur</vt:lpstr>
      <vt:lpstr>'DR-TB 10A (Stool)'!Magura</vt:lpstr>
      <vt:lpstr>Magura</vt:lpstr>
      <vt:lpstr>'DR-TB 10A (Stool)'!Manikganj</vt:lpstr>
      <vt:lpstr>Manikganj</vt:lpstr>
      <vt:lpstr>'DR-TB 10A (Stool)'!Meherpur</vt:lpstr>
      <vt:lpstr>Meherpur</vt:lpstr>
      <vt:lpstr>'DR-TB 10A (Stool)'!Moulvibazar</vt:lpstr>
      <vt:lpstr>Moulvibazar</vt:lpstr>
      <vt:lpstr>'DR-TB 10A (Stool)'!Munshiganj</vt:lpstr>
      <vt:lpstr>Munshiganj</vt:lpstr>
      <vt:lpstr>'DR-TB 10A (Stool)'!Mymensingh</vt:lpstr>
      <vt:lpstr>Mymensingh</vt:lpstr>
      <vt:lpstr>'DR-TB 10A (Stool)'!Mymensingh_Division</vt:lpstr>
      <vt:lpstr>Mymensingh_Division</vt:lpstr>
      <vt:lpstr>'DR-TB 10A (Stool)'!Naogaon</vt:lpstr>
      <vt:lpstr>Naogaon</vt:lpstr>
      <vt:lpstr>'DR-TB 10A (Stool)'!Narail</vt:lpstr>
      <vt:lpstr>Narail</vt:lpstr>
      <vt:lpstr>'DR-TB 10A (Stool)'!Narayanganj</vt:lpstr>
      <vt:lpstr>Narayanganj</vt:lpstr>
      <vt:lpstr>'DR-TB 10A (Stool)'!Narsingdi</vt:lpstr>
      <vt:lpstr>Narsingdi</vt:lpstr>
      <vt:lpstr>'DR-TB 10A (Stool)'!Natore</vt:lpstr>
      <vt:lpstr>Natore</vt:lpstr>
      <vt:lpstr>'DR-TB 10A (Stool)'!Nawabganj</vt:lpstr>
      <vt:lpstr>Nawabganj</vt:lpstr>
      <vt:lpstr>'DR-TB 10A (Stool)'!Netrakona</vt:lpstr>
      <vt:lpstr>Netrakona</vt:lpstr>
      <vt:lpstr>'DR-TB 10A (Stool)'!Nilphamari</vt:lpstr>
      <vt:lpstr>Nilphamari</vt:lpstr>
      <vt:lpstr>'DR-TB 10A (Stool)'!Noakhali</vt:lpstr>
      <vt:lpstr>Noakhali</vt:lpstr>
      <vt:lpstr>'DR-TB 10A (Stool)'!Pabna</vt:lpstr>
      <vt:lpstr>Pabna</vt:lpstr>
      <vt:lpstr>'DR-TB 10A (Stool)'!Panchagarh</vt:lpstr>
      <vt:lpstr>Panchagarh</vt:lpstr>
      <vt:lpstr>'DR-TB 10A (Stool)'!Patuakhali</vt:lpstr>
      <vt:lpstr>Patuakhali</vt:lpstr>
      <vt:lpstr>'DR-TB 10A (Stool)'!Pirojpur</vt:lpstr>
      <vt:lpstr>Pirojpur</vt:lpstr>
      <vt:lpstr>'DR-TB 10A (Sputum &amp; EP Sample)'!Print_Area</vt:lpstr>
      <vt:lpstr>'DR-TB 10A (Stool)'!Print_Area</vt:lpstr>
      <vt:lpstr>'DR-TB 10B'!Print_Area</vt:lpstr>
      <vt:lpstr>'DR-TB 10B'!Print_Titles</vt:lpstr>
      <vt:lpstr>'DR-TB 10A (Stool)'!Rajbari</vt:lpstr>
      <vt:lpstr>Rajbari</vt:lpstr>
      <vt:lpstr>'DR-TB 10A (Stool)'!Rajshahi</vt:lpstr>
      <vt:lpstr>Rajshahi</vt:lpstr>
      <vt:lpstr>'DR-TB 10A (Stool)'!Rajshahi_Division</vt:lpstr>
      <vt:lpstr>Rajshahi_Division</vt:lpstr>
      <vt:lpstr>'DR-TB 10A (Stool)'!Rangamati</vt:lpstr>
      <vt:lpstr>Rangamati</vt:lpstr>
      <vt:lpstr>'DR-TB 10A (Stool)'!Rangpur</vt:lpstr>
      <vt:lpstr>Rangpur</vt:lpstr>
      <vt:lpstr>'DR-TB 10A (Stool)'!Rangpur_Division</vt:lpstr>
      <vt:lpstr>Rangpur_Division</vt:lpstr>
      <vt:lpstr>'DR-TB 10A (Stool)'!Satkhira</vt:lpstr>
      <vt:lpstr>Satkhira</vt:lpstr>
      <vt:lpstr>'DR-TB 10A (Stool)'!Shariatpur</vt:lpstr>
      <vt:lpstr>Shariatpur</vt:lpstr>
      <vt:lpstr>'DR-TB 10A (Stool)'!Sherpur</vt:lpstr>
      <vt:lpstr>Sherpur</vt:lpstr>
      <vt:lpstr>'DR-TB 10A (Stool)'!Sirajganj</vt:lpstr>
      <vt:lpstr>Sirajganj</vt:lpstr>
      <vt:lpstr>'DR-TB 10A (Stool)'!Sunamganj</vt:lpstr>
      <vt:lpstr>Sunamganj</vt:lpstr>
      <vt:lpstr>'DR-TB 10A (Stool)'!Sylhet</vt:lpstr>
      <vt:lpstr>Sylhet</vt:lpstr>
      <vt:lpstr>'DR-TB 10A (Stool)'!Sylhet_Division</vt:lpstr>
      <vt:lpstr>Sylhet_Division</vt:lpstr>
      <vt:lpstr>'DR-TB 10A (Stool)'!Tangail</vt:lpstr>
      <vt:lpstr>Tangail</vt:lpstr>
      <vt:lpstr>'DR-TB 10A (Stool)'!Thakurgaon</vt:lpstr>
      <vt:lpstr>Thakurgaon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monem</dc:creator>
  <cp:lastModifiedBy>Ruslan</cp:lastModifiedBy>
  <cp:lastPrinted>2023-03-20T06:59:22Z</cp:lastPrinted>
  <dcterms:created xsi:type="dcterms:W3CDTF">2014-06-08T20:03:38Z</dcterms:created>
  <dcterms:modified xsi:type="dcterms:W3CDTF">2024-04-17T17:34:38Z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b964ba51-541b-4eaa-800e-19e202453531</vt:lpwstr>
  </property>
</Properties>
</file>