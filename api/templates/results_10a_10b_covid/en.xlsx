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23040" windowHeight="10452" activeTab="2"/>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L6" i="7" l="1"/>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U30" i="7"/>
  <c r="E17" i="7" s="1"/>
  <c r="D30" i="7"/>
  <c r="CU5" i="5"/>
  <c r="S27" i="7"/>
  <c r="U27" i="7" s="1"/>
  <c r="D27" i="7"/>
  <c r="P20" i="7"/>
  <c r="F20" i="7"/>
  <c r="EO4" i="5"/>
  <c r="P19" i="7"/>
  <c r="F19" i="7"/>
  <c r="EN4" i="5" s="1"/>
  <c r="DS5" i="5"/>
  <c r="D17" i="7"/>
  <c r="EB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F20" i="3"/>
  <c r="BA4" i="5" s="1"/>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F18" i="7"/>
  <c r="DT4" i="5"/>
  <c r="H13" i="7"/>
  <c r="F17" i="7"/>
  <c r="EL4" i="5" s="1"/>
  <c r="EG4" i="5"/>
  <c r="AT4" i="5"/>
  <c r="AK4" i="5"/>
  <c r="D18" i="3"/>
  <c r="AO4" i="5" s="1"/>
  <c r="CU4" i="5"/>
  <c r="DT6" i="5"/>
  <c r="D18" i="7"/>
  <c r="EC4" i="5" s="1"/>
  <c r="AF6" i="5"/>
  <c r="D17" i="3"/>
  <c r="AN4" i="5" s="1"/>
  <c r="E17" i="3" l="1"/>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<sst xmlns="http://schemas.openxmlformats.org/spreadsheetml/2006/main" count="3977" uniqueCount="867">
  <si>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</si>
  <si>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</si>
  <si>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</si>
  <si>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</si>
  <si>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</si>
  <si>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</si>
  <si>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</si>
  <si>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</si>
  <si>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</si>
  <si>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</si>
  <si>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</si>
  <si>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</si>
  <si>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</si>
  <si>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</si>
  <si>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</si>
  <si>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</si>
  <si>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</si>
  <si>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</si>
  <si>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</si>
  <si>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</si>
  <si>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</si>
  <si>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</si>
  <si>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</si>
  <si>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</si>
  <si>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</si>
  <si>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</si>
  <si>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</si>
  <si>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</si>
  <si>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</si>
  <si>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</si>
  <si>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</si>
  <si>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</si>
  <si>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</si>
  <si>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</si>
  <si>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</si>
  <si>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</si>
  <si>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</si>
  <si>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</si>
  <si>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</si>
  <si>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</si>
  <si>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</si>
  <si>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</si>
  <si>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</si>
  <si>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</si>
  <si>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</si>
  <si>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</si>
  <si>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</si>
  <si>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</si>
  <si>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</si>
  <si>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</si>
  <si>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</si>
  <si>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</si>
  <si>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</si>
  <si>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</si>
  <si>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</si>
  <si>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</si>
  <si>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</si>
  <si>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</si>
  <si>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</si>
  <si>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</si>
  <si>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</si>
  <si>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</si>
  <si>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</si>
  <si>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</si>
  <si>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</si>
  <si>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</si>
  <si>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</si>
  <si>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</si>
  <si>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</si>
  <si>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</si>
  <si>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</si>
  <si>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</si>
  <si>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</si>
  <si>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</si>
  <si>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</si>
  <si>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</si>
  <si>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</si>
  <si>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</si>
  <si>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</si>
  <si>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</si>
  <si>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</si>
  <si>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</si>
  <si>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</si>
  <si>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</si>
  <si>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</si>
  <si>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</si>
  <si>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</si>
  <si>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</si>
  <si>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</si>
  <si>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</si>
  <si>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</si>
  <si>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</si>
  <si>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</si>
  <si>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</si>
  <si>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</si>
  <si>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</si>
  <si>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</si>
  <si>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</si>
  <si>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</si>
  <si>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</si>
  <si>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</si>
  <si>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</si>
  <si>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</si>
  <si>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</si>
  <si>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</si>
  <si>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</si>
  <si>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</si>
  <si>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</si>
  <si>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</si>
  <si>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</si>
  <si>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</si>
  <si>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</si>
  <si>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</si>
  <si>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</si>
  <si>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</si>
  <si>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</si>
  <si>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</si>
  <si>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</si>
  <si>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</si>
  <si>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</si>
  <si>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</si>
  <si>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</si>
  <si>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</si>
  <si>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</si>
  <si>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</si>
  <si>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</si>
  <si>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</si>
  <si>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</si>
  <si>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</si>
  <si>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</si>
  <si>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</si>
  <si>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</si>
  <si>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</si>
  <si>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</si>
  <si>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</si>
  <si>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</si>
  <si>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</si>
  <si>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</si>
  <si>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</si>
  <si>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</si>
  <si>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</si>
  <si>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</si>
  <si>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</si>
  <si>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</si>
  <si>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</si>
  <si>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</si>
  <si>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</si>
  <si>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</si>
  <si>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</si>
  <si>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</si>
  <si>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</si>
  <si>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</si>
  <si>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</si>
  <si>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</si>
  <si>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</si>
  <si>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</si>
  <si>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</si>
  <si>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</si>
  <si>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</si>
  <si>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</si>
  <si>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</si>
  <si>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</si>
  <si>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</si>
  <si>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</si>
  <si>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</si>
  <si>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</si>
  <si>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</si>
  <si>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</si>
  <si>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</si>
  <si>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</si>
  <si>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</si>
  <si>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</si>
  <si>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</si>
  <si>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</si>
  <si>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</si>
  <si>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</si>
  <si>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</si>
  <si>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</si>
  <si>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</si>
  <si>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</si>
  <si>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</si>
  <si>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</si>
  <si>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</si>
  <si>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</si>
  <si>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</si>
  <si>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</si>
  <si>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</si>
  <si>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</si>
  <si>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</si>
  <si>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</si>
  <si>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</si>
  <si>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</si>
  <si>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</si>
  <si>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</si>
  <si>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</si>
  <si>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</si>
  <si>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</si>
  <si>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</si>
  <si>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</si>
  <si>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</si>
  <si>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</si>
  <si>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</si>
  <si>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</si>
  <si>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</si>
  <si>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</si>
  <si>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</si>
  <si>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</si>
  <si>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</si>
  <si>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</si>
  <si>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</si>
  <si>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</si>
  <si>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</si>
  <si>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</si>
  <si>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</si>
  <si>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</si>
  <si>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</si>
  <si>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</si>
  <si>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</si>
  <si>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</si>
  <si>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</si>
  <si>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</si>
  <si>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</si>
  <si>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</si>
  <si>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</si>
  <si>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</si>
  <si>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</si>
  <si>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</si>
  <si>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</si>
  <si>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</si>
  <si>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</si>
  <si>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</si>
  <si>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</si>
  <si>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</si>
  <si>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</si>
  <si>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</si>
  <si>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</si>
  <si>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</si>
  <si>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</si>
  <si>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</si>
  <si>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</si>
  <si>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</si>
  <si>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</si>
  <si>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</si>
  <si>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</si>
  <si>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</si>
  <si>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</si>
  <si>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</si>
  <si>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</si>
  <si>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</si>
  <si>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</si>
  <si>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</si>
  <si>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</si>
  <si>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</si>
  <si>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</si>
  <si>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</si>
  <si>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</si>
  <si>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</si>
  <si>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</si>
  <si>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</si>
  <si>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</si>
  <si>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</si>
  <si>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</si>
  <si>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</si>
  <si>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</si>
  <si>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</si>
  <si>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</si>
  <si>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</si>
  <si>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</si>
  <si>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</si>
  <si>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</si>
  <si>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</si>
  <si>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</si>
  <si>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</si>
  <si>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</si>
  <si>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</si>
  <si>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</si>
  <si>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</si>
  <si>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</si>
  <si>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</si>
  <si>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</si>
  <si>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</si>
  <si>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</si>
  <si>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</si>
  <si>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</si>
  <si>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</si>
  <si>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</si>
  <si>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</si>
  <si>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</si>
  <si>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</si>
  <si>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</si>
  <si>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</si>
  <si>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</si>
  <si>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</si>
  <si>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</si>
  <si>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</si>
  <si>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</si>
  <si>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</si>
  <si>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</si>
  <si>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</si>
  <si>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</si>
  <si>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</si>
  <si>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</si>
  <si>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</si>
  <si>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</si>
  <si>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</si>
  <si>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</si>
  <si>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</si>
  <si>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</si>
  <si>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</si>
  <si>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</si>
  <si>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</si>
  <si>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</si>
  <si>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</si>
  <si>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</si>
  <si>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</si>
  <si>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</si>
  <si>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</si>
  <si>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</si>
  <si>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</si>
  <si>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</si>
  <si>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</si>
  <si>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</si>
  <si>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</si>
  <si>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</si>
  <si>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</si>
  <si>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</si>
  <si>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</si>
  <si>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</si>
  <si>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</si>
  <si>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</si>
  <si>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</si>
  <si>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</si>
  <si>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</si>
  <si>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</si>
  <si>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</si>
  <si>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</si>
  <si>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</si>
  <si>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</si>
  <si>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</si>
  <si>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</si>
  <si>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</si>
  <si>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</si>
  <si>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</si>
  <si>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</si>
  <si>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</si>
  <si>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</si>
  <si>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</si>
  <si>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</si>
  <si>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</si>
  <si>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</si>
  <si>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</si>
  <si>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</si>
  <si>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</si>
  <si>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</si>
  <si>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</si>
  <si>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</si>
  <si>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</si>
  <si>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</si>
  <si>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</si>
  <si>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</si>
  <si>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</si>
  <si>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</si>
  <si>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</si>
  <si>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</si>
  <si>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</si>
  <si>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</si>
  <si>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</si>
  <si>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</si>
  <si>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</si>
  <si>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</si>
  <si>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</si>
  <si>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</si>
  <si>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</si>
  <si>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</si>
  <si>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</si>
  <si>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</si>
  <si>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</si>
  <si>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</si>
  <si>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</si>
  <si>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</si>
  <si>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</si>
  <si>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</si>
  <si>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</si>
  <si>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</si>
  <si>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</si>
  <si>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</si>
  <si>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</si>
  <si>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</si>
  <si>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</si>
  <si>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</si>
  <si>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</si>
  <si>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</si>
  <si>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</si>
  <si>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</si>
  <si>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</si>
  <si>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</si>
  <si>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</si>
  <si>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</si>
  <si>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</si>
  <si>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</si>
  <si>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</si>
  <si>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</si>
  <si>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</si>
  <si>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</si>
  <si>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</si>
  <si>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</si>
  <si>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</si>
  <si>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</si>
  <si>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</si>
  <si>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</si>
  <si>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</si>
  <si>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</si>
  <si>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</si>
  <si>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</si>
  <si>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</si>
  <si>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</si>
  <si>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</si>
  <si>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</si>
  <si>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</si>
  <si>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</si>
  <si>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</si>
  <si>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</si>
  <si>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</si>
  <si>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</si>
  <si>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</si>
  <si>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</si>
  <si>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</si>
  <si>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</si>
  <si>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</si>
  <si>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</si>
  <si>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</si>
  <si>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</si>
  <si>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</si>
  <si>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</si>
  <si>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</si>
  <si>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</si>
  <si>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</si>
  <si>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</si>
  <si>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</si>
  <si>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</si>
  <si>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</si>
  <si>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</si>
  <si>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</si>
  <si>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</si>
  <si>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</si>
  <si>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</si>
  <si>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</si>
  <si>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</si>
  <si>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</si>
  <si>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</si>
  <si>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</si>
  <si>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</si>
  <si>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</si>
  <si>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</si>
  <si>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</si>
  <si>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</si>
  <si>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</si>
  <si>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</si>
  <si>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</si>
  <si>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</si>
  <si>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</si>
  <si>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</si>
  <si>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</si>
  <si>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</si>
  <si>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</si>
  <si>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</si>
  <si>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</si>
  <si>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</si>
  <si>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</si>
  <si>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</si>
  <si>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</si>
  <si>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</si>
  <si>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</si>
  <si>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</si>
  <si>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</si>
  <si>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</si>
  <si>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</si>
  <si>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</si>
  <si>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</si>
  <si>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</si>
  <si>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</si>
  <si>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</si>
  <si>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</si>
  <si>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</si>
  <si>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</si>
  <si>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</si>
  <si>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</si>
  <si>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</si>
  <si>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</si>
  <si>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</si>
  <si>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</si>
  <si>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</si>
  <si>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</si>
  <si>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</si>
  <si>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</si>
  <si>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</si>
  <si>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</si>
  <si>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</si>
  <si>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</si>
  <si>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</si>
  <si>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</si>
  <si>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</si>
  <si>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</si>
  <si>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</si>
  <si>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</si>
  <si>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</si>
  <si>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</si>
  <si>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</si>
  <si>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</si>
  <si>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</si>
  <si>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</si>
  <si>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</si>
  <si>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</si>
  <si>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</si>
  <si>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</si>
  <si>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</si>
  <si>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</si>
  <si>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</si>
  <si>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</si>
  <si>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</si>
  <si>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</si>
  <si>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</si>
  <si>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</si>
  <si>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</si>
  <si>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</si>
  <si>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</si>
  <si>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</si>
  <si>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</si>
  <si>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</si>
  <si>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</si>
  <si>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</si>
  <si>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</si>
  <si>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</si>
  <si>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</si>
  <si>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</si>
  <si>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</si>
  <si>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</si>
  <si>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</si>
  <si>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</si>
  <si>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</si>
  <si>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</si>
  <si>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</si>
  <si>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</si>
  <si>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</si>
  <si>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</si>
  <si>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</si>
  <si>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</si>
  <si>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</si>
  <si>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</si>
  <si>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</si>
  <si>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</si>
  <si>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</si>
  <si>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</si>
  <si>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</si>
  <si>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</si>
  <si>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</si>
  <si>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</si>
  <si>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</si>
  <si>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</si>
  <si>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</si>
  <si>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</si>
  <si>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</si>
  <si>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</si>
  <si>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</si>
  <si>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</si>
  <si>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</si>
  <si>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</si>
  <si>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</si>
  <si>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</si>
  <si>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</si>
  <si>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</si>
  <si>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</si>
  <si>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</si>
  <si>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</si>
  <si>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</si>
  <si>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</si>
  <si>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</si>
  <si>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</si>
  <si>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</si>
  <si>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</si>
  <si>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</si>
  <si>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</si>
  <si>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</si>
  <si>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</si>
  <si>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</si>
  <si>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</si>
  <si>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</si>
  <si>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</si>
  <si>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</si>
  <si>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</si>
  <si>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</si>
  <si>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</si>
  <si>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</si>
  <si>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</si>
  <si>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</si>
  <si>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</si>
  <si>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</si>
  <si>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</si>
  <si>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</si>
  <si>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</si>
  <si>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</si>
  <si>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</si>
  <si>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</si>
  <si>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</si>
  <si>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</si>
  <si>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</si>
  <si>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</si>
  <si>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</si>
  <si>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</si>
  <si>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</si>
  <si>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</si>
  <si>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</si>
  <si>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</si>
  <si>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</si>
  <si>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</si>
  <si>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</si>
  <si>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</si>
  <si>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</si>
  <si>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</si>
  <si>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</si>
  <si>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</si>
  <si>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</si>
  <si>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</si>
  <si>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</si>
  <si>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</si>
  <si>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</si>
  <si>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</si>
  <si>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</si>
  <si>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</si>
  <si>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</si>
  <si>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</si>
  <si>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</si>
  <si>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</si>
  <si>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</si>
  <si>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</si>
  <si>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</si>
  <si>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</si>
  <si>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</si>
  <si>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</si>
  <si>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</si>
  <si>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</si>
  <si>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</si>
  <si>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</si>
  <si>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</si>
  <si>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</si>
  <si>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</si>
  <si>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</si>
  <si>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</si>
  <si>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</si>
  <si>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</si>
  <si>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</si>
  <si>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</si>
  <si>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</si>
  <si>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</si>
  <si>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</si>
  <si>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</si>
  <si>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</si>
  <si>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</si>
  <si>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</si>
  <si>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</si>
  <si>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</si>
  <si>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</si>
  <si>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</si>
  <si>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</si>
  <si>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</si>
  <si>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</si>
  <si>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</si>
  <si>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</si>
  <si>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</si>
  <si>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</si>
  <si>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</si>
  <si>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</si>
  <si>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</si>
  <si>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</si>
  <si>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</si>
  <si>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</si>
  <si>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</si>
  <si>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</si>
  <si>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</si>
  <si>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</si>
  <si>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</si>
  <si>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</si>
  <si>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</si>
  <si>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</si>
  <si>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</si>
  <si>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</si>
  <si>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</si>
  <si>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</si>
  <si>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</si>
  <si>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</si>
  <si>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</si>
  <si>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</si>
  <si>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</si>
  <si>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</si>
  <si>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</si>
  <si>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</si>
  <si>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</si>
  <si>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</si>
  <si>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</si>
  <si>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</si>
  <si>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</si>
  <si>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</si>
  <si>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</si>
  <si>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</si>
  <si>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</si>
  <si>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</si>
  <si>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</si>
  <si>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</si>
  <si>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</si>
  <si>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</si>
  <si>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</si>
  <si>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</si>
  <si>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</si>
  <si>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</si>
  <si>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</si>
  <si>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</si>
  <si>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</si>
  <si>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</si>
  <si>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</si>
  <si>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</si>
  <si>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</si>
  <si>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</si>
  <si>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</si>
  <si>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</si>
  <si>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</si>
  <si>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</si>
  <si>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</si>
  <si>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</si>
  <si>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</si>
  <si>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</si>
  <si>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</si>
  <si>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</si>
  <si>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</si>
  <si>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</si>
  <si>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</si>
  <si>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</si>
  <si>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</si>
  <si>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</si>
  <si>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</si>
  <si>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</si>
  <si>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</si>
  <si>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</si>
  <si>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</si>
  <si>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</si>
  <si>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</si>
  <si>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</si>
  <si>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</si>
  <si>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</si>
  <si>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</si>
  <si>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</si>
  <si>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</si>
  <si>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</si>
  <si>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</si>
  <si>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</si>
  <si>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</si>
  <si>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</si>
  <si>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</si>
  <si>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</si>
  <si>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</si>
  <si>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</si>
  <si>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</si>
  <si>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</si>
  <si>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</si>
  <si>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</si>
  <si>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</si>
  <si>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</si>
  <si>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</si>
  <si>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</si>
  <si>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</si>
  <si>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</si>
  <si>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</si>
  <si>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</si>
  <si>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</si>
  <si>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</si>
  <si>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</si>
  <si>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</si>
  <si>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</si>
  <si>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</si>
  <si>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</si>
  <si>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</si>
  <si>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</si>
  <si>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</si>
  <si>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</si>
  <si>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</si>
  <si>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</si>
  <si>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</si>
  <si>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</si>
  <si>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</si>
  <si>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</si>
  <si>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</si>
  <si>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</si>
  <si>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</si>
  <si>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</si>
  <si>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</si>
  <si>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</si>
  <si>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</si>
  <si>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</si>
  <si>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</si>
  <si>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</si>
  <si>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</si>
  <si>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</si>
  <si>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</si>
  <si>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</si>
  <si>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</si>
  <si>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</si>
  <si>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</si>
  <si>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</si>
  <si>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</si>
  <si>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</si>
  <si>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</si>
  <si>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</si>
  <si>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</si>
  <si>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</si>
  <si>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</si>
  <si>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</si>
  <si>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</si>
  <si>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</si>
  <si>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</si>
  <si>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</si>
  <si>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</si>
  <si>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</si>
  <si>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</si>
  <si>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</si>
  <si>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</si>
  <si>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</si>
  <si>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</si>
  <si>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</si>
  <si>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</si>
  <si>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</si>
  <si>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</si>
  <si>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</si>
  <si>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</si>
  <si>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</si>
  <si>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</si>
  <si>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</si>
  <si>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</si>
  <si>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</si>
  <si>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</si>
  <si>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</si>
  <si>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</si>
  <si>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</si>
  <si>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</si>
  <si>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</si>
  <si>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</si>
  <si>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</si>
  <si>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</si>
  <si>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</si>
  <si>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</si>
  <si>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</si>
  <si>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</si>
  <si>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</si>
  <si>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</si>
  <si>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</si>
  <si>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</si>
  <si>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</si>
  <si>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</si>
  <si>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</si>
  <si>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</si>
  <si>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</si>
  <si>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</si>
  <si>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</si>
  <si>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</si>
  <si>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</si>
  <si>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</si>
  <si>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</si>
  <si>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</si>
  <si>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&lt;Table&gt;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</si>
</sst>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49"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408">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8" fillId="5" borderId="18" xfId="0" applyFont="1" applyFill="1" applyBorder="1" applyAlignment="1" applyProtection="1">
      <alignment horizontal="center" vertical="center"/>
      <protection locked="0"/>
    </xf>
    <xf numFmtId="0" fontId="19" fillId="5" borderId="18" xfId="0" applyFont="1" applyFill="1" applyBorder="1" applyAlignment="1" applyProtection="1">
      <alignment horizontal="center" vertical="center"/>
      <protection locked="0"/>
    </xf>
    <xf numFmtId="0" fontId="17" fillId="5" borderId="11" xfId="0" applyFont="1" applyFill="1" applyBorder="1" applyAlignment="1">
      <alignment horizontal="center" vertical="center"/>
    </xf>
    <xf numFmtId="0" fontId="44" fillId="5" borderId="9" xfId="0" applyFont="1" applyFill="1" applyBorder="1" applyAlignment="1" applyProtection="1">
      <alignment horizontal="center" vertical="center" shrinkToFit="1"/>
      <protection hidden="1"/>
    </xf>
    <xf numFmtId="0" fontId="44" fillId="5" borderId="9" xfId="0" applyFont="1" applyFill="1" applyBorder="1" applyProtection="1">
      <protection hidden="1"/>
    </xf>
    <xf numFmtId="0" fontId="44" fillId="5" borderId="9" xfId="0" applyFont="1" applyFill="1" applyBorder="1" applyProtection="1">
      <protection locked="0"/>
    </xf>
    <xf numFmtId="0" fontId="44" fillId="5" borderId="9" xfId="0" applyFont="1" applyFill="1" applyBorder="1" applyAlignment="1">
      <alignment horizontal="center" vertical="center"/>
    </xf>
    <xf numFmtId="0" fontId="22" fillId="5" borderId="9" xfId="2" applyFont="1" applyFill="1" applyBorder="1" applyAlignment="1" applyProtection="1">
      <alignment horizontal="center" vertical="center" wrapText="1"/>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5" borderId="9" xfId="0" applyFont="1" applyFill="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5" fillId="0" borderId="9" xfId="0" applyFont="1" applyBorder="1" applyAlignment="1" applyProtection="1">
      <alignment horizontal="left" vertical="center"/>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1" fillId="5" borderId="9" xfId="0" applyFont="1" applyFill="1" applyBorder="1" applyAlignment="1" applyProtection="1">
      <alignment horizontal="center" vertical="center"/>
      <protection hidden="1"/>
    </xf>
    <xf numFmtId="0" fontId="11" fillId="5" borderId="9" xfId="0" applyFont="1" applyFill="1" applyBorder="1" applyAlignment="1" applyProtection="1">
      <alignment horizontal="center" vertical="center"/>
      <protection locked="0"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9" fillId="5" borderId="9" xfId="0" applyFont="1" applyFill="1" applyBorder="1" applyAlignment="1" applyProtection="1">
      <alignment horizontal="center" vertical="center" wrapText="1"/>
      <protection hidden="1"/>
    </xf>
    <xf numFmtId="0" fontId="19" fillId="5" borderId="18" xfId="0" applyFont="1" applyFill="1" applyBorder="1" applyAlignment="1" applyProtection="1">
      <alignment horizontal="center" vertical="center" wrapText="1"/>
      <protection hidden="1"/>
    </xf>
    <xf numFmtId="0" fontId="19" fillId="5" borderId="47" xfId="0" applyFont="1" applyFill="1" applyBorder="1" applyAlignment="1" applyProtection="1">
      <alignment horizontal="center" vertical="center" wrapText="1"/>
      <protection hidden="1"/>
    </xf>
    <xf numFmtId="0" fontId="19" fillId="5" borderId="24" xfId="0" applyFont="1" applyFill="1" applyBorder="1" applyAlignment="1" applyProtection="1">
      <alignment horizontal="center" vertical="center" wrapText="1"/>
      <protection hidden="1"/>
    </xf>
    <xf numFmtId="0" fontId="15"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22" fillId="5" borderId="18" xfId="2" applyFont="1" applyFill="1" applyBorder="1" applyAlignment="1" applyProtection="1">
      <alignment horizontal="center" vertical="center" wrapText="1"/>
      <protection hidden="1"/>
    </xf>
    <xf numFmtId="0" fontId="22" fillId="5" borderId="24" xfId="2" applyFont="1" applyFill="1" applyBorder="1" applyAlignment="1" applyProtection="1">
      <alignment horizontal="center" vertical="center" wrapText="1"/>
      <protection hidden="1"/>
    </xf>
    <xf numFmtId="0" fontId="22" fillId="4" borderId="18" xfId="2" applyFont="1" applyFill="1" applyBorder="1" applyAlignment="1" applyProtection="1">
      <alignment horizontal="center" vertical="center" wrapText="1"/>
      <protection hidden="1"/>
    </xf>
    <xf numFmtId="0" fontId="22" fillId="4" borderId="24" xfId="2" applyFont="1" applyFill="1" applyBorder="1" applyAlignment="1" applyProtection="1">
      <alignment horizontal="center" vertical="center" wrapText="1"/>
      <protection hidden="1"/>
    </xf>
    <xf numFmtId="0" fontId="22" fillId="5" borderId="9" xfId="2" applyFont="1" applyFill="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45" fillId="0" borderId="0" xfId="0" applyFont="1" applyAlignment="1" applyProtection="1">
      <alignment vertical="center"/>
      <protection hidden="1"/>
    </xf>
    <xf numFmtId="0" fontId="46" fillId="0" borderId="0" xfId="0" applyFont="1" applyProtection="1">
      <protection hidden="1"/>
    </xf>
    <xf numFmtId="0" fontId="0" fillId="0" borderId="56" xfId="0" applyBorder="1" applyAlignment="1"/>
    <xf numFmtId="0" fontId="5" fillId="0" borderId="56" xfId="0" applyNumberFormat="1" applyFont="1" applyBorder="1" applyAlignment="1" applyProtection="1">
      <alignment horizontal="center" vertical="center" shrinkToFit="1"/>
      <protection locked="0"/>
    </xf>
    <xf numFmtId="0" fontId="0" fillId="0" borderId="56" xfId="0" applyNumberFormat="1" applyBorder="1" applyAlignment="1"/>
    <xf numFmtId="0" fontId="0" fillId="0" borderId="0" xfId="0" applyBorder="1"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view="pageBreakPreview" zoomScaleSheetLayoutView="100" workbookViewId="0">
      <selection activeCell="D25" sqref="D25:D26"/>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398"/>
      <c r="K5" s="399"/>
      <c r="M5" s="2"/>
      <c r="N5" s="2"/>
      <c r="O5" s="2"/>
      <c r="P5" s="2"/>
      <c r="Q5" s="2"/>
      <c r="R5" s="2"/>
      <c r="S5" s="2"/>
      <c r="T5" s="2"/>
      <c r="U5" s="2"/>
      <c r="V5" s="35"/>
      <c r="W5" s="2"/>
      <c r="X5" s="2"/>
    </row>
    <row r="6" spans="1:603" ht="15.75" customHeight="1" x14ac:dyDescent="0.3">
      <c r="A6" s="40" t="s">
        <v>136</v>
      </c>
      <c r="B6" s="40"/>
      <c r="C6" s="166"/>
      <c r="D6" s="166"/>
      <c r="E6" s="166"/>
      <c r="F6" s="166"/>
      <c r="G6" s="166"/>
      <c r="I6" s="1"/>
      <c r="J6" s="41" t="s">
        <v>14</v>
      </c>
      <c r="L6" s="175" t="s">
        <v>850</v>
      </c>
      <c r="M6" s="175"/>
      <c r="N6" s="175"/>
      <c r="O6" s="175"/>
      <c r="P6" s="175"/>
      <c r="Q6" s="175"/>
      <c r="R6" s="175"/>
      <c r="S6" s="400"/>
    </row>
    <row r="7" spans="1:603" ht="15.75" customHeight="1" x14ac:dyDescent="0.25">
      <c r="A7" s="40" t="s">
        <v>9</v>
      </c>
      <c r="B7" s="40"/>
      <c r="C7" s="171"/>
      <c r="D7" s="171"/>
      <c r="E7" s="171"/>
      <c r="F7" s="171"/>
      <c r="G7" s="171"/>
      <c r="I7" s="42"/>
      <c r="J7" s="43" t="s">
        <v>65</v>
      </c>
      <c r="K7" s="43"/>
      <c r="L7" s="43"/>
      <c r="M7" s="43"/>
      <c r="N7" s="175"/>
      <c r="O7" s="175"/>
      <c r="P7" s="175"/>
      <c r="Q7" s="175"/>
      <c r="R7" s="175"/>
      <c r="S7" s="175"/>
      <c r="V7" s="36"/>
    </row>
    <row r="8" spans="1:603" ht="15.75" customHeight="1" x14ac:dyDescent="0.25">
      <c r="A8" s="40" t="s">
        <v>10</v>
      </c>
      <c r="B8" s="40"/>
      <c r="C8" s="171"/>
      <c r="D8" s="171"/>
      <c r="E8" s="171"/>
      <c r="F8" s="171"/>
      <c r="G8" s="171"/>
      <c r="I8" s="42"/>
      <c r="J8" s="43" t="s">
        <v>64</v>
      </c>
      <c r="K8" s="43"/>
      <c r="L8" s="43"/>
      <c r="M8" s="175"/>
      <c r="N8" s="175"/>
      <c r="O8" s="175"/>
      <c r="P8" s="175"/>
      <c r="Q8" s="175"/>
      <c r="R8" s="175"/>
      <c r="S8" s="175"/>
      <c r="V8" s="36"/>
    </row>
    <row r="9" spans="1:603" ht="15.75" customHeight="1" x14ac:dyDescent="0.25">
      <c r="A9" s="40" t="s">
        <v>763</v>
      </c>
      <c r="C9" s="171"/>
      <c r="D9" s="171"/>
      <c r="E9" s="171"/>
      <c r="F9" s="171"/>
      <c r="G9" s="171"/>
      <c r="J9" s="43" t="s">
        <v>11</v>
      </c>
      <c r="K9" s="43"/>
      <c r="L9" s="43"/>
      <c r="M9" s="176"/>
      <c r="N9" s="176"/>
      <c r="O9" s="44"/>
      <c r="P9" s="9"/>
      <c r="V9" s="36"/>
    </row>
    <row r="10" spans="1:603" ht="15.75" customHeight="1" x14ac:dyDescent="0.3">
      <c r="J10" s="45" t="s">
        <v>69</v>
      </c>
      <c r="K10" s="177"/>
      <c r="L10" s="177"/>
      <c r="M10" s="45"/>
      <c r="N10" s="46"/>
      <c r="O10" s="43" t="s">
        <v>12</v>
      </c>
      <c r="Q10" s="178"/>
      <c r="R10" s="178"/>
      <c r="S10" s="178"/>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50"/>
      <c r="N13" s="51" t="s">
        <v>754</v>
      </c>
      <c r="O13" s="51"/>
      <c r="P13" s="51"/>
      <c r="Q13" s="50"/>
      <c r="R13" s="274" t="s">
        <v>755</v>
      </c>
      <c r="S13" s="274"/>
      <c r="T13" s="274"/>
      <c r="U13" s="50"/>
      <c r="V13" s="48"/>
    </row>
    <row r="14" spans="1:603" s="46" customFormat="1" ht="12.75" customHeight="1" thickBot="1" x14ac:dyDescent="0.35">
      <c r="A14" s="216"/>
      <c r="B14" s="217"/>
      <c r="C14" s="218"/>
      <c r="D14" s="206" t="s">
        <v>3</v>
      </c>
      <c r="E14" s="206"/>
      <c r="F14" s="206"/>
      <c r="G14" s="206"/>
      <c r="H14" s="12">
        <f>H12+H13</f>
        <v>0</v>
      </c>
      <c r="J14" s="164" t="s">
        <v>701</v>
      </c>
      <c r="K14" s="164"/>
      <c r="L14" s="164"/>
      <c r="M14" s="50"/>
      <c r="N14" s="51" t="s">
        <v>756</v>
      </c>
      <c r="O14" s="51"/>
      <c r="P14" s="51"/>
      <c r="Q14" s="50"/>
      <c r="R14" s="274" t="s">
        <v>757</v>
      </c>
      <c r="S14" s="274"/>
      <c r="T14" s="274"/>
      <c r="U14" s="50"/>
      <c r="V14" s="48"/>
    </row>
    <row r="15" spans="1:603" s="49" customFormat="1" ht="15" thickBot="1" x14ac:dyDescent="0.35">
      <c r="A15" s="3"/>
      <c r="B15" s="47"/>
      <c r="C15" s="47"/>
      <c r="D15" s="47"/>
      <c r="E15" s="47"/>
      <c r="F15" s="37"/>
      <c r="G15" s="46"/>
      <c r="H15" s="46"/>
      <c r="I15" s="46"/>
      <c r="J15" s="233" t="s">
        <v>700</v>
      </c>
      <c r="K15" s="233"/>
      <c r="L15" s="233"/>
      <c r="M15" s="50"/>
      <c r="N15" s="52" t="s">
        <v>758</v>
      </c>
      <c r="O15" s="52"/>
      <c r="P15" s="52"/>
      <c r="Q15" s="50"/>
      <c r="R15" s="275" t="s">
        <v>759</v>
      </c>
      <c r="S15" s="275"/>
      <c r="T15" s="275"/>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82" t="s">
        <v>820</v>
      </c>
      <c r="J17" s="283" t="s">
        <v>75</v>
      </c>
      <c r="K17" s="283"/>
      <c r="L17" s="283"/>
      <c r="M17" s="281" t="s">
        <v>67</v>
      </c>
      <c r="N17" s="281"/>
      <c r="O17" s="281"/>
      <c r="P17" s="281" t="s">
        <v>3</v>
      </c>
      <c r="Q17" s="170"/>
      <c r="R17" s="165" t="s">
        <v>760</v>
      </c>
      <c r="S17" s="165"/>
      <c r="T17" s="165"/>
      <c r="U17" s="123"/>
    </row>
    <row r="18" spans="1:22" s="46" customFormat="1" ht="17.55" customHeight="1" x14ac:dyDescent="0.3">
      <c r="A18" s="219" t="s">
        <v>61</v>
      </c>
      <c r="B18" s="219"/>
      <c r="C18" s="219"/>
      <c r="D18" s="15">
        <f>D33+E44</f>
        <v>0</v>
      </c>
      <c r="E18" s="16">
        <f>U33</f>
        <v>0</v>
      </c>
      <c r="F18" s="14">
        <f>+E18+D18</f>
        <v>0</v>
      </c>
      <c r="G18" s="127"/>
      <c r="H18" s="128"/>
      <c r="I18" s="282"/>
      <c r="J18" s="149" t="s">
        <v>817</v>
      </c>
      <c r="K18" s="149" t="s">
        <v>818</v>
      </c>
      <c r="L18" s="149" t="s">
        <v>819</v>
      </c>
      <c r="M18" s="149" t="s">
        <v>817</v>
      </c>
      <c r="N18" s="149" t="s">
        <v>818</v>
      </c>
      <c r="O18" s="149" t="s">
        <v>819</v>
      </c>
      <c r="P18" s="281"/>
      <c r="Q18" s="170"/>
      <c r="R18" s="165" t="s">
        <v>761</v>
      </c>
      <c r="S18" s="165"/>
      <c r="T18" s="165"/>
      <c r="U18" s="123"/>
    </row>
    <row r="19" spans="1:22" s="46" customFormat="1" ht="13.8" customHeight="1" x14ac:dyDescent="0.3">
      <c r="A19" s="219" t="s">
        <v>62</v>
      </c>
      <c r="B19" s="219"/>
      <c r="C19" s="219"/>
      <c r="D19" s="6"/>
      <c r="E19" s="8"/>
      <c r="F19" s="14">
        <f>+E19+D19</f>
        <v>0</v>
      </c>
      <c r="G19" s="127"/>
      <c r="H19" s="128"/>
      <c r="I19" s="150" t="s">
        <v>815</v>
      </c>
      <c r="J19" s="151"/>
      <c r="K19" s="151"/>
      <c r="L19" s="151"/>
      <c r="M19" s="151"/>
      <c r="N19" s="151"/>
      <c r="O19" s="151"/>
      <c r="P19" s="152">
        <f>J19+K19+L19+M19+N19+O19</f>
        <v>0</v>
      </c>
      <c r="Q19" s="130"/>
      <c r="R19" s="165" t="s">
        <v>762</v>
      </c>
      <c r="S19" s="165"/>
      <c r="T19" s="165"/>
      <c r="U19" s="123"/>
    </row>
    <row r="20" spans="1:22" s="46" customFormat="1" ht="13.8" customHeight="1" x14ac:dyDescent="0.3">
      <c r="A20" s="169" t="s">
        <v>814</v>
      </c>
      <c r="B20" s="169"/>
      <c r="C20" s="169"/>
      <c r="D20" s="146"/>
      <c r="E20" s="147"/>
      <c r="F20" s="148">
        <f>+E20+D20</f>
        <v>0</v>
      </c>
      <c r="I20" s="150" t="s">
        <v>816</v>
      </c>
      <c r="J20" s="151"/>
      <c r="K20" s="151"/>
      <c r="L20" s="151"/>
      <c r="M20" s="151"/>
      <c r="N20" s="151"/>
      <c r="O20" s="151"/>
      <c r="P20" s="15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77" t="s">
        <v>821</v>
      </c>
      <c r="H38" s="278"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77"/>
      <c r="H39" s="279"/>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77"/>
      <c r="H40" s="279"/>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77"/>
      <c r="H41" s="280"/>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51">
        <f>E17+F18</f>
        <v>0</v>
      </c>
      <c r="H42" s="252"/>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51"/>
      <c r="H43" s="252"/>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848</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847</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846</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844</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3">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C30:C32"/>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C1" zoomScaleSheetLayoutView="100" workbookViewId="0">
      <selection activeCell="L6" sqref="L6:S6"/>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7">
        <f>'DR-TB 10A (Sputum &amp; EP Sample)'!C6:G6</f>
        <v>0</v>
      </c>
      <c r="D6" s="287"/>
      <c r="E6" s="287"/>
      <c r="F6" s="287"/>
      <c r="G6" s="287"/>
      <c r="I6" s="1"/>
      <c r="J6" s="41" t="s">
        <v>14</v>
      </c>
      <c r="L6" s="175" t="str">
        <f>'DR-TB 10A (Sputum &amp; EP Sample)'!L6</f>
        <v>&lt;Dates&gt;</v>
      </c>
      <c r="M6" s="175"/>
      <c r="N6" s="175"/>
      <c r="O6" s="175"/>
      <c r="P6" s="175"/>
      <c r="Q6" s="175"/>
      <c r="R6" s="175"/>
      <c r="S6" s="400"/>
    </row>
    <row r="7" spans="1:603" ht="15.75" customHeight="1" x14ac:dyDescent="0.25">
      <c r="A7" s="40" t="s">
        <v>9</v>
      </c>
      <c r="B7" s="40"/>
      <c r="C7" s="284">
        <f>'DR-TB 10A (Sputum &amp; EP Sample)'!C7:G7</f>
        <v>0</v>
      </c>
      <c r="D7" s="284"/>
      <c r="E7" s="284"/>
      <c r="F7" s="284"/>
      <c r="G7" s="284"/>
      <c r="I7" s="42"/>
      <c r="J7" s="43" t="s">
        <v>65</v>
      </c>
      <c r="K7" s="43"/>
      <c r="L7" s="43"/>
      <c r="M7" s="43"/>
      <c r="N7" s="285">
        <f>'DR-TB 10A (Sputum &amp; EP Sample)'!N7</f>
        <v>0</v>
      </c>
      <c r="O7" s="285"/>
      <c r="P7" s="285"/>
      <c r="Q7" s="285"/>
      <c r="R7" s="285"/>
      <c r="S7" s="285"/>
      <c r="V7" s="36"/>
    </row>
    <row r="8" spans="1:603" ht="15.75" customHeight="1" x14ac:dyDescent="0.25">
      <c r="A8" s="40" t="s">
        <v>10</v>
      </c>
      <c r="B8" s="40"/>
      <c r="C8" s="284">
        <f>'DR-TB 10A (Sputum &amp; EP Sample)'!C8:G8</f>
        <v>0</v>
      </c>
      <c r="D8" s="284"/>
      <c r="E8" s="284"/>
      <c r="F8" s="284"/>
      <c r="G8" s="284"/>
      <c r="I8" s="42"/>
      <c r="J8" s="43" t="s">
        <v>64</v>
      </c>
      <c r="K8" s="43"/>
      <c r="L8" s="43"/>
      <c r="M8" s="285">
        <f>'DR-TB 10A (Sputum &amp; EP Sample)'!M8</f>
        <v>0</v>
      </c>
      <c r="N8" s="285"/>
      <c r="O8" s="285"/>
      <c r="P8" s="285"/>
      <c r="Q8" s="285"/>
      <c r="R8" s="285"/>
      <c r="S8" s="285"/>
      <c r="V8" s="36"/>
    </row>
    <row r="9" spans="1:603" ht="15.75" customHeight="1" x14ac:dyDescent="0.25">
      <c r="A9" s="40" t="s">
        <v>763</v>
      </c>
      <c r="C9" s="171"/>
      <c r="D9" s="171"/>
      <c r="E9" s="171"/>
      <c r="F9" s="171"/>
      <c r="G9" s="171"/>
      <c r="J9" s="43" t="s">
        <v>11</v>
      </c>
      <c r="K9" s="43"/>
      <c r="L9" s="43"/>
      <c r="M9" s="286">
        <f>'DR-TB 10A (Sputum &amp; EP Sample)'!M9</f>
        <v>0</v>
      </c>
      <c r="N9" s="286"/>
      <c r="O9" s="44"/>
      <c r="P9" s="9"/>
      <c r="V9" s="36"/>
    </row>
    <row r="10" spans="1:603" ht="15.75" customHeight="1" x14ac:dyDescent="0.3">
      <c r="J10" s="45" t="s">
        <v>69</v>
      </c>
      <c r="K10" s="288">
        <f>'DR-TB 10A (Sputum &amp; EP Sample)'!K10:L10</f>
        <v>0</v>
      </c>
      <c r="L10" s="288"/>
      <c r="M10" s="45"/>
      <c r="N10" s="46"/>
      <c r="O10" s="43"/>
      <c r="P10" s="37" t="s">
        <v>845</v>
      </c>
      <c r="Q10" s="289">
        <f>'DR-TB 10A (Sputum &amp; EP Sample)'!Q10:S10</f>
        <v>0</v>
      </c>
      <c r="R10" s="290"/>
      <c r="S10" s="290"/>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140">
        <f>'DR-TB 10A (Sputum &amp; EP Sample)'!M13</f>
        <v>0</v>
      </c>
      <c r="N13" s="51" t="s">
        <v>754</v>
      </c>
      <c r="O13" s="51"/>
      <c r="P13" s="51"/>
      <c r="Q13" s="140">
        <f>'DR-TB 10A (Sputum &amp; EP Sample)'!Q13</f>
        <v>0</v>
      </c>
      <c r="R13" s="274" t="s">
        <v>755</v>
      </c>
      <c r="S13" s="274"/>
      <c r="T13" s="274"/>
      <c r="U13" s="140">
        <f>'DR-TB 10A (Sputum &amp; EP Sample)'!U13</f>
        <v>0</v>
      </c>
      <c r="V13" s="48"/>
    </row>
    <row r="14" spans="1:603" s="46" customFormat="1" ht="12.75" customHeight="1" thickBot="1" x14ac:dyDescent="0.35">
      <c r="A14" s="216"/>
      <c r="B14" s="217"/>
      <c r="C14" s="218"/>
      <c r="D14" s="206" t="s">
        <v>3</v>
      </c>
      <c r="E14" s="206"/>
      <c r="F14" s="206"/>
      <c r="G14" s="206"/>
      <c r="H14" s="12">
        <f>H12+H13</f>
        <v>0</v>
      </c>
      <c r="J14" s="164" t="s">
        <v>701</v>
      </c>
      <c r="K14" s="164"/>
      <c r="L14" s="164"/>
      <c r="M14" s="140">
        <f>'DR-TB 10A (Sputum &amp; EP Sample)'!M14</f>
        <v>0</v>
      </c>
      <c r="N14" s="51" t="s">
        <v>756</v>
      </c>
      <c r="O14" s="51"/>
      <c r="P14" s="51"/>
      <c r="Q14" s="140">
        <f>'DR-TB 10A (Sputum &amp; EP Sample)'!Q14</f>
        <v>0</v>
      </c>
      <c r="R14" s="274" t="s">
        <v>757</v>
      </c>
      <c r="S14" s="274"/>
      <c r="T14" s="274"/>
      <c r="U14" s="140">
        <f>'DR-TB 10A (Sputum &amp; EP Sample)'!U14</f>
        <v>0</v>
      </c>
      <c r="V14" s="48"/>
    </row>
    <row r="15" spans="1:603" s="49" customFormat="1" ht="15" thickBot="1" x14ac:dyDescent="0.35">
      <c r="A15" s="3"/>
      <c r="B15" s="47"/>
      <c r="C15" s="47"/>
      <c r="D15" s="47"/>
      <c r="E15" s="47"/>
      <c r="F15" s="37"/>
      <c r="G15" s="46"/>
      <c r="H15" s="46"/>
      <c r="I15" s="46"/>
      <c r="J15" s="233" t="s">
        <v>700</v>
      </c>
      <c r="K15" s="233"/>
      <c r="L15" s="233"/>
      <c r="M15" s="140">
        <f>'DR-TB 10A (Sputum &amp; EP Sample)'!M15</f>
        <v>0</v>
      </c>
      <c r="N15" s="52" t="s">
        <v>758</v>
      </c>
      <c r="O15" s="52"/>
      <c r="P15" s="52"/>
      <c r="Q15" s="140">
        <f>'DR-TB 10A (Sputum &amp; EP Sample)'!Q15</f>
        <v>0</v>
      </c>
      <c r="R15" s="275" t="s">
        <v>759</v>
      </c>
      <c r="S15" s="275"/>
      <c r="T15" s="275"/>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91" t="s">
        <v>820</v>
      </c>
      <c r="J17" s="292" t="s">
        <v>75</v>
      </c>
      <c r="K17" s="292"/>
      <c r="L17" s="292"/>
      <c r="M17" s="293" t="s">
        <v>67</v>
      </c>
      <c r="N17" s="293"/>
      <c r="O17" s="293"/>
      <c r="P17" s="293" t="s">
        <v>3</v>
      </c>
      <c r="Q17" s="170"/>
      <c r="R17" s="165" t="s">
        <v>760</v>
      </c>
      <c r="S17" s="165"/>
      <c r="T17" s="165"/>
      <c r="U17" s="141">
        <f>'DR-TB 10A (Sputum &amp; EP Sample)'!U17</f>
        <v>0</v>
      </c>
    </row>
    <row r="18" spans="1:22" s="46" customFormat="1" ht="17.55" customHeight="1" x14ac:dyDescent="0.3">
      <c r="A18" s="219" t="s">
        <v>61</v>
      </c>
      <c r="B18" s="219"/>
      <c r="C18" s="219"/>
      <c r="D18" s="15">
        <f>D33+E44</f>
        <v>0</v>
      </c>
      <c r="E18" s="16">
        <f>U33</f>
        <v>0</v>
      </c>
      <c r="F18" s="14">
        <f>+E18+D18</f>
        <v>0</v>
      </c>
      <c r="G18" s="127"/>
      <c r="H18" s="128"/>
      <c r="I18" s="291"/>
      <c r="J18" s="136" t="s">
        <v>817</v>
      </c>
      <c r="K18" s="136" t="s">
        <v>818</v>
      </c>
      <c r="L18" s="136" t="s">
        <v>819</v>
      </c>
      <c r="M18" s="136" t="s">
        <v>817</v>
      </c>
      <c r="N18" s="136" t="s">
        <v>818</v>
      </c>
      <c r="O18" s="136" t="s">
        <v>819</v>
      </c>
      <c r="P18" s="293"/>
      <c r="Q18" s="170"/>
      <c r="R18" s="165" t="s">
        <v>761</v>
      </c>
      <c r="S18" s="165"/>
      <c r="T18" s="165"/>
      <c r="U18" s="141">
        <f>'DR-TB 10A (Sputum &amp; EP Sample)'!U18</f>
        <v>0</v>
      </c>
    </row>
    <row r="19" spans="1:22" s="46" customFormat="1" ht="13.8" customHeight="1" x14ac:dyDescent="0.3">
      <c r="A19" s="219" t="s">
        <v>62</v>
      </c>
      <c r="B19" s="219"/>
      <c r="C19" s="219"/>
      <c r="D19" s="6"/>
      <c r="E19" s="8"/>
      <c r="F19" s="14">
        <f>+E19+D19</f>
        <v>0</v>
      </c>
      <c r="G19" s="127"/>
      <c r="H19" s="128"/>
      <c r="I19" s="131" t="s">
        <v>815</v>
      </c>
      <c r="J19" s="134"/>
      <c r="K19" s="134"/>
      <c r="L19" s="134"/>
      <c r="M19" s="134"/>
      <c r="N19" s="134"/>
      <c r="O19" s="134"/>
      <c r="P19" s="132">
        <f>J19+K19+L19+M19+N19+O19</f>
        <v>0</v>
      </c>
      <c r="Q19" s="130"/>
      <c r="R19" s="165" t="s">
        <v>762</v>
      </c>
      <c r="S19" s="165"/>
      <c r="T19" s="165"/>
      <c r="U19" s="141">
        <f>'DR-TB 10A (Sputum &amp; EP Sample)'!U19</f>
        <v>0</v>
      </c>
    </row>
    <row r="20" spans="1:22" s="46" customFormat="1" ht="13.8" customHeight="1" x14ac:dyDescent="0.3">
      <c r="A20" s="219" t="s">
        <v>814</v>
      </c>
      <c r="B20" s="219"/>
      <c r="C20" s="219"/>
      <c r="D20" s="124"/>
      <c r="E20" s="125"/>
      <c r="F20" s="14">
        <f>+E20+D20</f>
        <v>0</v>
      </c>
      <c r="I20" s="131" t="s">
        <v>816</v>
      </c>
      <c r="J20" s="134"/>
      <c r="K20" s="134"/>
      <c r="L20" s="134"/>
      <c r="M20" s="134"/>
      <c r="N20" s="134"/>
      <c r="O20" s="134"/>
      <c r="P20" s="13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94" t="s">
        <v>821</v>
      </c>
      <c r="H38" s="295"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94"/>
      <c r="H39" s="296"/>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94"/>
      <c r="H40" s="296"/>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94"/>
      <c r="H41" s="297"/>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98">
        <f>F18+E17</f>
        <v>0</v>
      </c>
      <c r="H42" s="299"/>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98"/>
      <c r="H43" s="299"/>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844</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conditionalFormatting sqref="G42:H43">
    <cfRule type="expression" dxfId="4" priority="1">
      <formula>$G$42&lt;&gt;$H$42</formula>
    </cfRule>
  </conditionalFormatting>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7"/>
  <sheetViews>
    <sheetView showGridLines="0" tabSelected="1" view="pageBreakPreview" zoomScaleSheetLayoutView="100" workbookViewId="0">
      <selection activeCell="A10" sqref="A10"/>
    </sheetView>
  </sheetViews>
  <sheetFormatPr defaultRowHeight="14.4" x14ac:dyDescent="0.3"/>
  <cols>
    <col min="1" max="1" width="6" style="91" customWidth="1"/>
    <col min="2" max="2" width="17.5546875" style="91" customWidth="1"/>
    <col min="3" max="3" width="5.21875" style="91" customWidth="1"/>
    <col min="4" max="4" width="5" style="91" customWidth="1"/>
    <col min="5" max="5" width="11.5546875" style="91" bestFit="1" customWidth="1"/>
    <col min="6" max="6" width="19.5546875" style="91" customWidth="1"/>
    <col min="7" max="7" width="14.44140625" style="91" customWidth="1"/>
    <col min="8" max="8" width="10.21875" style="91" customWidth="1"/>
    <col min="9" max="9" width="15.77734375" style="91" customWidth="1"/>
    <col min="10" max="10" width="10.77734375" style="91" customWidth="1"/>
    <col min="11" max="11" width="12.21875" style="91" customWidth="1"/>
    <col min="12" max="12" width="7.77734375" style="91" customWidth="1"/>
    <col min="13" max="13" width="8.44140625" style="91" customWidth="1"/>
    <col min="14" max="14" width="7.77734375" style="91" customWidth="1"/>
    <col min="15" max="15" width="9.5546875" style="91" customWidth="1"/>
    <col min="16" max="16" width="7.77734375" style="91" customWidth="1"/>
    <col min="17" max="18" width="8.21875" style="91" customWidth="1"/>
    <col min="19" max="19" width="14.21875" style="91" customWidth="1"/>
    <col min="20" max="20" width="9.21875" style="91" customWidth="1"/>
    <col min="21" max="21" width="10.77734375" style="91" bestFit="1" customWidth="1"/>
    <col min="22" max="22" width="10.21875" style="91" customWidth="1"/>
    <col min="23" max="23" width="9.21875" style="91"/>
    <col min="24" max="24" width="13.77734375" style="91" customWidth="1"/>
    <col min="25" max="258" width="9.21875" style="91"/>
    <col min="259" max="259" width="6" style="91" customWidth="1"/>
    <col min="260" max="260" width="22.21875" style="91" customWidth="1"/>
    <col min="261" max="261" width="5.44140625" style="91" customWidth="1"/>
    <col min="262" max="262" width="5.21875" style="91" customWidth="1"/>
    <col min="263" max="263" width="21.21875" style="91" customWidth="1"/>
    <col min="264" max="264" width="17.21875" style="91" customWidth="1"/>
    <col min="265" max="265" width="10.21875" style="91" customWidth="1"/>
    <col min="266" max="266" width="15" style="91" customWidth="1"/>
    <col min="267" max="267" width="10.21875" style="91" customWidth="1"/>
    <col min="268" max="268" width="15.77734375" style="91" customWidth="1"/>
    <col min="269" max="269" width="9.5546875" style="91" customWidth="1"/>
    <col min="270" max="270" width="11.44140625" style="91" customWidth="1"/>
    <col min="271" max="271" width="12" style="91" customWidth="1"/>
    <col min="272" max="514" width="9.21875" style="91"/>
    <col min="515" max="515" width="6" style="91" customWidth="1"/>
    <col min="516" max="516" width="22.21875" style="91" customWidth="1"/>
    <col min="517" max="517" width="5.44140625" style="91" customWidth="1"/>
    <col min="518" max="518" width="5.21875" style="91" customWidth="1"/>
    <col min="519" max="519" width="21.21875" style="91" customWidth="1"/>
    <col min="520" max="520" width="17.21875" style="91" customWidth="1"/>
    <col min="521" max="521" width="10.21875" style="91" customWidth="1"/>
    <col min="522" max="522" width="15" style="91" customWidth="1"/>
    <col min="523" max="523" width="10.21875" style="91" customWidth="1"/>
    <col min="524" max="524" width="15.77734375" style="91" customWidth="1"/>
    <col min="525" max="525" width="9.5546875" style="91" customWidth="1"/>
    <col min="526" max="526" width="11.44140625" style="91" customWidth="1"/>
    <col min="527" max="527" width="12" style="91" customWidth="1"/>
    <col min="528" max="770" width="9.21875" style="91"/>
    <col min="771" max="771" width="6" style="91" customWidth="1"/>
    <col min="772" max="772" width="22.21875" style="91" customWidth="1"/>
    <col min="773" max="773" width="5.44140625" style="91" customWidth="1"/>
    <col min="774" max="774" width="5.21875" style="91" customWidth="1"/>
    <col min="775" max="775" width="21.21875" style="91" customWidth="1"/>
    <col min="776" max="776" width="17.21875" style="91" customWidth="1"/>
    <col min="777" max="777" width="10.21875" style="91" customWidth="1"/>
    <col min="778" max="778" width="15" style="91" customWidth="1"/>
    <col min="779" max="779" width="10.21875" style="91" customWidth="1"/>
    <col min="780" max="780" width="15.77734375" style="91" customWidth="1"/>
    <col min="781" max="781" width="9.5546875" style="91" customWidth="1"/>
    <col min="782" max="782" width="11.44140625" style="91" customWidth="1"/>
    <col min="783" max="783" width="12" style="91" customWidth="1"/>
    <col min="784" max="1026" width="9.21875" style="91"/>
    <col min="1027" max="1027" width="6" style="91" customWidth="1"/>
    <col min="1028" max="1028" width="22.21875" style="91" customWidth="1"/>
    <col min="1029" max="1029" width="5.44140625" style="91" customWidth="1"/>
    <col min="1030" max="1030" width="5.21875" style="91" customWidth="1"/>
    <col min="1031" max="1031" width="21.21875" style="91" customWidth="1"/>
    <col min="1032" max="1032" width="17.21875" style="91" customWidth="1"/>
    <col min="1033" max="1033" width="10.21875" style="91" customWidth="1"/>
    <col min="1034" max="1034" width="15" style="91" customWidth="1"/>
    <col min="1035" max="1035" width="10.21875" style="91" customWidth="1"/>
    <col min="1036" max="1036" width="15.77734375" style="91" customWidth="1"/>
    <col min="1037" max="1037" width="9.5546875" style="91" customWidth="1"/>
    <col min="1038" max="1038" width="11.44140625" style="91" customWidth="1"/>
    <col min="1039" max="1039" width="12" style="91" customWidth="1"/>
    <col min="1040" max="1282" width="9.21875" style="91"/>
    <col min="1283" max="1283" width="6" style="91" customWidth="1"/>
    <col min="1284" max="1284" width="22.21875" style="91" customWidth="1"/>
    <col min="1285" max="1285" width="5.44140625" style="91" customWidth="1"/>
    <col min="1286" max="1286" width="5.21875" style="91" customWidth="1"/>
    <col min="1287" max="1287" width="21.21875" style="91" customWidth="1"/>
    <col min="1288" max="1288" width="17.21875" style="91" customWidth="1"/>
    <col min="1289" max="1289" width="10.21875" style="91" customWidth="1"/>
    <col min="1290" max="1290" width="15" style="91" customWidth="1"/>
    <col min="1291" max="1291" width="10.21875" style="91" customWidth="1"/>
    <col min="1292" max="1292" width="15.77734375" style="91" customWidth="1"/>
    <col min="1293" max="1293" width="9.5546875" style="91" customWidth="1"/>
    <col min="1294" max="1294" width="11.44140625" style="91" customWidth="1"/>
    <col min="1295" max="1295" width="12" style="91" customWidth="1"/>
    <col min="1296" max="1538" width="9.21875" style="91"/>
    <col min="1539" max="1539" width="6" style="91" customWidth="1"/>
    <col min="1540" max="1540" width="22.21875" style="91" customWidth="1"/>
    <col min="1541" max="1541" width="5.44140625" style="91" customWidth="1"/>
    <col min="1542" max="1542" width="5.21875" style="91" customWidth="1"/>
    <col min="1543" max="1543" width="21.21875" style="91" customWidth="1"/>
    <col min="1544" max="1544" width="17.21875" style="91" customWidth="1"/>
    <col min="1545" max="1545" width="10.21875" style="91" customWidth="1"/>
    <col min="1546" max="1546" width="15" style="91" customWidth="1"/>
    <col min="1547" max="1547" width="10.21875" style="91" customWidth="1"/>
    <col min="1548" max="1548" width="15.77734375" style="91" customWidth="1"/>
    <col min="1549" max="1549" width="9.5546875" style="91" customWidth="1"/>
    <col min="1550" max="1550" width="11.44140625" style="91" customWidth="1"/>
    <col min="1551" max="1551" width="12" style="91" customWidth="1"/>
    <col min="1552" max="1794" width="9.21875" style="91"/>
    <col min="1795" max="1795" width="6" style="91" customWidth="1"/>
    <col min="1796" max="1796" width="22.21875" style="91" customWidth="1"/>
    <col min="1797" max="1797" width="5.44140625" style="91" customWidth="1"/>
    <col min="1798" max="1798" width="5.21875" style="91" customWidth="1"/>
    <col min="1799" max="1799" width="21.21875" style="91" customWidth="1"/>
    <col min="1800" max="1800" width="17.21875" style="91" customWidth="1"/>
    <col min="1801" max="1801" width="10.21875" style="91" customWidth="1"/>
    <col min="1802" max="1802" width="15" style="91" customWidth="1"/>
    <col min="1803" max="1803" width="10.21875" style="91" customWidth="1"/>
    <col min="1804" max="1804" width="15.77734375" style="91" customWidth="1"/>
    <col min="1805" max="1805" width="9.5546875" style="91" customWidth="1"/>
    <col min="1806" max="1806" width="11.44140625" style="91" customWidth="1"/>
    <col min="1807" max="1807" width="12" style="91" customWidth="1"/>
    <col min="1808" max="2050" width="9.21875" style="91"/>
    <col min="2051" max="2051" width="6" style="91" customWidth="1"/>
    <col min="2052" max="2052" width="22.21875" style="91" customWidth="1"/>
    <col min="2053" max="2053" width="5.44140625" style="91" customWidth="1"/>
    <col min="2054" max="2054" width="5.21875" style="91" customWidth="1"/>
    <col min="2055" max="2055" width="21.21875" style="91" customWidth="1"/>
    <col min="2056" max="2056" width="17.21875" style="91" customWidth="1"/>
    <col min="2057" max="2057" width="10.21875" style="91" customWidth="1"/>
    <col min="2058" max="2058" width="15" style="91" customWidth="1"/>
    <col min="2059" max="2059" width="10.21875" style="91" customWidth="1"/>
    <col min="2060" max="2060" width="15.77734375" style="91" customWidth="1"/>
    <col min="2061" max="2061" width="9.5546875" style="91" customWidth="1"/>
    <col min="2062" max="2062" width="11.44140625" style="91" customWidth="1"/>
    <col min="2063" max="2063" width="12" style="91" customWidth="1"/>
    <col min="2064" max="2306" width="9.21875" style="91"/>
    <col min="2307" max="2307" width="6" style="91" customWidth="1"/>
    <col min="2308" max="2308" width="22.21875" style="91" customWidth="1"/>
    <col min="2309" max="2309" width="5.44140625" style="91" customWidth="1"/>
    <col min="2310" max="2310" width="5.21875" style="91" customWidth="1"/>
    <col min="2311" max="2311" width="21.21875" style="91" customWidth="1"/>
    <col min="2312" max="2312" width="17.21875" style="91" customWidth="1"/>
    <col min="2313" max="2313" width="10.21875" style="91" customWidth="1"/>
    <col min="2314" max="2314" width="15" style="91" customWidth="1"/>
    <col min="2315" max="2315" width="10.21875" style="91" customWidth="1"/>
    <col min="2316" max="2316" width="15.77734375" style="91" customWidth="1"/>
    <col min="2317" max="2317" width="9.5546875" style="91" customWidth="1"/>
    <col min="2318" max="2318" width="11.44140625" style="91" customWidth="1"/>
    <col min="2319" max="2319" width="12" style="91" customWidth="1"/>
    <col min="2320" max="2562" width="9.21875" style="91"/>
    <col min="2563" max="2563" width="6" style="91" customWidth="1"/>
    <col min="2564" max="2564" width="22.21875" style="91" customWidth="1"/>
    <col min="2565" max="2565" width="5.44140625" style="91" customWidth="1"/>
    <col min="2566" max="2566" width="5.21875" style="91" customWidth="1"/>
    <col min="2567" max="2567" width="21.21875" style="91" customWidth="1"/>
    <col min="2568" max="2568" width="17.21875" style="91" customWidth="1"/>
    <col min="2569" max="2569" width="10.21875" style="91" customWidth="1"/>
    <col min="2570" max="2570" width="15" style="91" customWidth="1"/>
    <col min="2571" max="2571" width="10.21875" style="91" customWidth="1"/>
    <col min="2572" max="2572" width="15.77734375" style="91" customWidth="1"/>
    <col min="2573" max="2573" width="9.5546875" style="91" customWidth="1"/>
    <col min="2574" max="2574" width="11.44140625" style="91" customWidth="1"/>
    <col min="2575" max="2575" width="12" style="91" customWidth="1"/>
    <col min="2576" max="2818" width="9.21875" style="91"/>
    <col min="2819" max="2819" width="6" style="91" customWidth="1"/>
    <col min="2820" max="2820" width="22.21875" style="91" customWidth="1"/>
    <col min="2821" max="2821" width="5.44140625" style="91" customWidth="1"/>
    <col min="2822" max="2822" width="5.21875" style="91" customWidth="1"/>
    <col min="2823" max="2823" width="21.21875" style="91" customWidth="1"/>
    <col min="2824" max="2824" width="17.21875" style="91" customWidth="1"/>
    <col min="2825" max="2825" width="10.21875" style="91" customWidth="1"/>
    <col min="2826" max="2826" width="15" style="91" customWidth="1"/>
    <col min="2827" max="2827" width="10.21875" style="91" customWidth="1"/>
    <col min="2828" max="2828" width="15.77734375" style="91" customWidth="1"/>
    <col min="2829" max="2829" width="9.5546875" style="91" customWidth="1"/>
    <col min="2830" max="2830" width="11.44140625" style="91" customWidth="1"/>
    <col min="2831" max="2831" width="12" style="91" customWidth="1"/>
    <col min="2832" max="3074" width="9.21875" style="91"/>
    <col min="3075" max="3075" width="6" style="91" customWidth="1"/>
    <col min="3076" max="3076" width="22.21875" style="91" customWidth="1"/>
    <col min="3077" max="3077" width="5.44140625" style="91" customWidth="1"/>
    <col min="3078" max="3078" width="5.21875" style="91" customWidth="1"/>
    <col min="3079" max="3079" width="21.21875" style="91" customWidth="1"/>
    <col min="3080" max="3080" width="17.21875" style="91" customWidth="1"/>
    <col min="3081" max="3081" width="10.21875" style="91" customWidth="1"/>
    <col min="3082" max="3082" width="15" style="91" customWidth="1"/>
    <col min="3083" max="3083" width="10.21875" style="91" customWidth="1"/>
    <col min="3084" max="3084" width="15.77734375" style="91" customWidth="1"/>
    <col min="3085" max="3085" width="9.5546875" style="91" customWidth="1"/>
    <col min="3086" max="3086" width="11.44140625" style="91" customWidth="1"/>
    <col min="3087" max="3087" width="12" style="91" customWidth="1"/>
    <col min="3088" max="3330" width="9.21875" style="91"/>
    <col min="3331" max="3331" width="6" style="91" customWidth="1"/>
    <col min="3332" max="3332" width="22.21875" style="91" customWidth="1"/>
    <col min="3333" max="3333" width="5.44140625" style="91" customWidth="1"/>
    <col min="3334" max="3334" width="5.21875" style="91" customWidth="1"/>
    <col min="3335" max="3335" width="21.21875" style="91" customWidth="1"/>
    <col min="3336" max="3336" width="17.21875" style="91" customWidth="1"/>
    <col min="3337" max="3337" width="10.21875" style="91" customWidth="1"/>
    <col min="3338" max="3338" width="15" style="91" customWidth="1"/>
    <col min="3339" max="3339" width="10.21875" style="91" customWidth="1"/>
    <col min="3340" max="3340" width="15.77734375" style="91" customWidth="1"/>
    <col min="3341" max="3341" width="9.5546875" style="91" customWidth="1"/>
    <col min="3342" max="3342" width="11.44140625" style="91" customWidth="1"/>
    <col min="3343" max="3343" width="12" style="91" customWidth="1"/>
    <col min="3344" max="3586" width="9.21875" style="91"/>
    <col min="3587" max="3587" width="6" style="91" customWidth="1"/>
    <col min="3588" max="3588" width="22.21875" style="91" customWidth="1"/>
    <col min="3589" max="3589" width="5.44140625" style="91" customWidth="1"/>
    <col min="3590" max="3590" width="5.21875" style="91" customWidth="1"/>
    <col min="3591" max="3591" width="21.21875" style="91" customWidth="1"/>
    <col min="3592" max="3592" width="17.21875" style="91" customWidth="1"/>
    <col min="3593" max="3593" width="10.21875" style="91" customWidth="1"/>
    <col min="3594" max="3594" width="15" style="91" customWidth="1"/>
    <col min="3595" max="3595" width="10.21875" style="91" customWidth="1"/>
    <col min="3596" max="3596" width="15.77734375" style="91" customWidth="1"/>
    <col min="3597" max="3597" width="9.5546875" style="91" customWidth="1"/>
    <col min="3598" max="3598" width="11.44140625" style="91" customWidth="1"/>
    <col min="3599" max="3599" width="12" style="91" customWidth="1"/>
    <col min="3600" max="3842" width="9.21875" style="91"/>
    <col min="3843" max="3843" width="6" style="91" customWidth="1"/>
    <col min="3844" max="3844" width="22.21875" style="91" customWidth="1"/>
    <col min="3845" max="3845" width="5.44140625" style="91" customWidth="1"/>
    <col min="3846" max="3846" width="5.21875" style="91" customWidth="1"/>
    <col min="3847" max="3847" width="21.21875" style="91" customWidth="1"/>
    <col min="3848" max="3848" width="17.21875" style="91" customWidth="1"/>
    <col min="3849" max="3849" width="10.21875" style="91" customWidth="1"/>
    <col min="3850" max="3850" width="15" style="91" customWidth="1"/>
    <col min="3851" max="3851" width="10.21875" style="91" customWidth="1"/>
    <col min="3852" max="3852" width="15.77734375" style="91" customWidth="1"/>
    <col min="3853" max="3853" width="9.5546875" style="91" customWidth="1"/>
    <col min="3854" max="3854" width="11.44140625" style="91" customWidth="1"/>
    <col min="3855" max="3855" width="12" style="91" customWidth="1"/>
    <col min="3856" max="4098" width="9.21875" style="91"/>
    <col min="4099" max="4099" width="6" style="91" customWidth="1"/>
    <col min="4100" max="4100" width="22.21875" style="91" customWidth="1"/>
    <col min="4101" max="4101" width="5.44140625" style="91" customWidth="1"/>
    <col min="4102" max="4102" width="5.21875" style="91" customWidth="1"/>
    <col min="4103" max="4103" width="21.21875" style="91" customWidth="1"/>
    <col min="4104" max="4104" width="17.21875" style="91" customWidth="1"/>
    <col min="4105" max="4105" width="10.21875" style="91" customWidth="1"/>
    <col min="4106" max="4106" width="15" style="91" customWidth="1"/>
    <col min="4107" max="4107" width="10.21875" style="91" customWidth="1"/>
    <col min="4108" max="4108" width="15.77734375" style="91" customWidth="1"/>
    <col min="4109" max="4109" width="9.5546875" style="91" customWidth="1"/>
    <col min="4110" max="4110" width="11.44140625" style="91" customWidth="1"/>
    <col min="4111" max="4111" width="12" style="91" customWidth="1"/>
    <col min="4112" max="4354" width="9.21875" style="91"/>
    <col min="4355" max="4355" width="6" style="91" customWidth="1"/>
    <col min="4356" max="4356" width="22.21875" style="91" customWidth="1"/>
    <col min="4357" max="4357" width="5.44140625" style="91" customWidth="1"/>
    <col min="4358" max="4358" width="5.21875" style="91" customWidth="1"/>
    <col min="4359" max="4359" width="21.21875" style="91" customWidth="1"/>
    <col min="4360" max="4360" width="17.21875" style="91" customWidth="1"/>
    <col min="4361" max="4361" width="10.21875" style="91" customWidth="1"/>
    <col min="4362" max="4362" width="15" style="91" customWidth="1"/>
    <col min="4363" max="4363" width="10.21875" style="91" customWidth="1"/>
    <col min="4364" max="4364" width="15.77734375" style="91" customWidth="1"/>
    <col min="4365" max="4365" width="9.5546875" style="91" customWidth="1"/>
    <col min="4366" max="4366" width="11.44140625" style="91" customWidth="1"/>
    <col min="4367" max="4367" width="12" style="91" customWidth="1"/>
    <col min="4368" max="4610" width="9.21875" style="91"/>
    <col min="4611" max="4611" width="6" style="91" customWidth="1"/>
    <col min="4612" max="4612" width="22.21875" style="91" customWidth="1"/>
    <col min="4613" max="4613" width="5.44140625" style="91" customWidth="1"/>
    <col min="4614" max="4614" width="5.21875" style="91" customWidth="1"/>
    <col min="4615" max="4615" width="21.21875" style="91" customWidth="1"/>
    <col min="4616" max="4616" width="17.21875" style="91" customWidth="1"/>
    <col min="4617" max="4617" width="10.21875" style="91" customWidth="1"/>
    <col min="4618" max="4618" width="15" style="91" customWidth="1"/>
    <col min="4619" max="4619" width="10.21875" style="91" customWidth="1"/>
    <col min="4620" max="4620" width="15.77734375" style="91" customWidth="1"/>
    <col min="4621" max="4621" width="9.5546875" style="91" customWidth="1"/>
    <col min="4622" max="4622" width="11.44140625" style="91" customWidth="1"/>
    <col min="4623" max="4623" width="12" style="91" customWidth="1"/>
    <col min="4624" max="4866" width="9.21875" style="91"/>
    <col min="4867" max="4867" width="6" style="91" customWidth="1"/>
    <col min="4868" max="4868" width="22.21875" style="91" customWidth="1"/>
    <col min="4869" max="4869" width="5.44140625" style="91" customWidth="1"/>
    <col min="4870" max="4870" width="5.21875" style="91" customWidth="1"/>
    <col min="4871" max="4871" width="21.21875" style="91" customWidth="1"/>
    <col min="4872" max="4872" width="17.21875" style="91" customWidth="1"/>
    <col min="4873" max="4873" width="10.21875" style="91" customWidth="1"/>
    <col min="4874" max="4874" width="15" style="91" customWidth="1"/>
    <col min="4875" max="4875" width="10.21875" style="91" customWidth="1"/>
    <col min="4876" max="4876" width="15.77734375" style="91" customWidth="1"/>
    <col min="4877" max="4877" width="9.5546875" style="91" customWidth="1"/>
    <col min="4878" max="4878" width="11.44140625" style="91" customWidth="1"/>
    <col min="4879" max="4879" width="12" style="91" customWidth="1"/>
    <col min="4880" max="5122" width="9.21875" style="91"/>
    <col min="5123" max="5123" width="6" style="91" customWidth="1"/>
    <col min="5124" max="5124" width="22.21875" style="91" customWidth="1"/>
    <col min="5125" max="5125" width="5.44140625" style="91" customWidth="1"/>
    <col min="5126" max="5126" width="5.21875" style="91" customWidth="1"/>
    <col min="5127" max="5127" width="21.21875" style="91" customWidth="1"/>
    <col min="5128" max="5128" width="17.21875" style="91" customWidth="1"/>
    <col min="5129" max="5129" width="10.21875" style="91" customWidth="1"/>
    <col min="5130" max="5130" width="15" style="91" customWidth="1"/>
    <col min="5131" max="5131" width="10.21875" style="91" customWidth="1"/>
    <col min="5132" max="5132" width="15.77734375" style="91" customWidth="1"/>
    <col min="5133" max="5133" width="9.5546875" style="91" customWidth="1"/>
    <col min="5134" max="5134" width="11.44140625" style="91" customWidth="1"/>
    <col min="5135" max="5135" width="12" style="91" customWidth="1"/>
    <col min="5136" max="5378" width="9.21875" style="91"/>
    <col min="5379" max="5379" width="6" style="91" customWidth="1"/>
    <col min="5380" max="5380" width="22.21875" style="91" customWidth="1"/>
    <col min="5381" max="5381" width="5.44140625" style="91" customWidth="1"/>
    <col min="5382" max="5382" width="5.21875" style="91" customWidth="1"/>
    <col min="5383" max="5383" width="21.21875" style="91" customWidth="1"/>
    <col min="5384" max="5384" width="17.21875" style="91" customWidth="1"/>
    <col min="5385" max="5385" width="10.21875" style="91" customWidth="1"/>
    <col min="5386" max="5386" width="15" style="91" customWidth="1"/>
    <col min="5387" max="5387" width="10.21875" style="91" customWidth="1"/>
    <col min="5388" max="5388" width="15.77734375" style="91" customWidth="1"/>
    <col min="5389" max="5389" width="9.5546875" style="91" customWidth="1"/>
    <col min="5390" max="5390" width="11.44140625" style="91" customWidth="1"/>
    <col min="5391" max="5391" width="12" style="91" customWidth="1"/>
    <col min="5392" max="5634" width="9.21875" style="91"/>
    <col min="5635" max="5635" width="6" style="91" customWidth="1"/>
    <col min="5636" max="5636" width="22.21875" style="91" customWidth="1"/>
    <col min="5637" max="5637" width="5.44140625" style="91" customWidth="1"/>
    <col min="5638" max="5638" width="5.21875" style="91" customWidth="1"/>
    <col min="5639" max="5639" width="21.21875" style="91" customWidth="1"/>
    <col min="5640" max="5640" width="17.21875" style="91" customWidth="1"/>
    <col min="5641" max="5641" width="10.21875" style="91" customWidth="1"/>
    <col min="5642" max="5642" width="15" style="91" customWidth="1"/>
    <col min="5643" max="5643" width="10.21875" style="91" customWidth="1"/>
    <col min="5644" max="5644" width="15.77734375" style="91" customWidth="1"/>
    <col min="5645" max="5645" width="9.5546875" style="91" customWidth="1"/>
    <col min="5646" max="5646" width="11.44140625" style="91" customWidth="1"/>
    <col min="5647" max="5647" width="12" style="91" customWidth="1"/>
    <col min="5648" max="5890" width="9.21875" style="91"/>
    <col min="5891" max="5891" width="6" style="91" customWidth="1"/>
    <col min="5892" max="5892" width="22.21875" style="91" customWidth="1"/>
    <col min="5893" max="5893" width="5.44140625" style="91" customWidth="1"/>
    <col min="5894" max="5894" width="5.21875" style="91" customWidth="1"/>
    <col min="5895" max="5895" width="21.21875" style="91" customWidth="1"/>
    <col min="5896" max="5896" width="17.21875" style="91" customWidth="1"/>
    <col min="5897" max="5897" width="10.21875" style="91" customWidth="1"/>
    <col min="5898" max="5898" width="15" style="91" customWidth="1"/>
    <col min="5899" max="5899" width="10.21875" style="91" customWidth="1"/>
    <col min="5900" max="5900" width="15.77734375" style="91" customWidth="1"/>
    <col min="5901" max="5901" width="9.5546875" style="91" customWidth="1"/>
    <col min="5902" max="5902" width="11.44140625" style="91" customWidth="1"/>
    <col min="5903" max="5903" width="12" style="91" customWidth="1"/>
    <col min="5904" max="6146" width="9.21875" style="91"/>
    <col min="6147" max="6147" width="6" style="91" customWidth="1"/>
    <col min="6148" max="6148" width="22.21875" style="91" customWidth="1"/>
    <col min="6149" max="6149" width="5.44140625" style="91" customWidth="1"/>
    <col min="6150" max="6150" width="5.21875" style="91" customWidth="1"/>
    <col min="6151" max="6151" width="21.21875" style="91" customWidth="1"/>
    <col min="6152" max="6152" width="17.21875" style="91" customWidth="1"/>
    <col min="6153" max="6153" width="10.21875" style="91" customWidth="1"/>
    <col min="6154" max="6154" width="15" style="91" customWidth="1"/>
    <col min="6155" max="6155" width="10.21875" style="91" customWidth="1"/>
    <col min="6156" max="6156" width="15.77734375" style="91" customWidth="1"/>
    <col min="6157" max="6157" width="9.5546875" style="91" customWidth="1"/>
    <col min="6158" max="6158" width="11.44140625" style="91" customWidth="1"/>
    <col min="6159" max="6159" width="12" style="91" customWidth="1"/>
    <col min="6160" max="6402" width="9.21875" style="91"/>
    <col min="6403" max="6403" width="6" style="91" customWidth="1"/>
    <col min="6404" max="6404" width="22.21875" style="91" customWidth="1"/>
    <col min="6405" max="6405" width="5.44140625" style="91" customWidth="1"/>
    <col min="6406" max="6406" width="5.21875" style="91" customWidth="1"/>
    <col min="6407" max="6407" width="21.21875" style="91" customWidth="1"/>
    <col min="6408" max="6408" width="17.21875" style="91" customWidth="1"/>
    <col min="6409" max="6409" width="10.21875" style="91" customWidth="1"/>
    <col min="6410" max="6410" width="15" style="91" customWidth="1"/>
    <col min="6411" max="6411" width="10.21875" style="91" customWidth="1"/>
    <col min="6412" max="6412" width="15.77734375" style="91" customWidth="1"/>
    <col min="6413" max="6413" width="9.5546875" style="91" customWidth="1"/>
    <col min="6414" max="6414" width="11.44140625" style="91" customWidth="1"/>
    <col min="6415" max="6415" width="12" style="91" customWidth="1"/>
    <col min="6416" max="6658" width="9.21875" style="91"/>
    <col min="6659" max="6659" width="6" style="91" customWidth="1"/>
    <col min="6660" max="6660" width="22.21875" style="91" customWidth="1"/>
    <col min="6661" max="6661" width="5.44140625" style="91" customWidth="1"/>
    <col min="6662" max="6662" width="5.21875" style="91" customWidth="1"/>
    <col min="6663" max="6663" width="21.21875" style="91" customWidth="1"/>
    <col min="6664" max="6664" width="17.21875" style="91" customWidth="1"/>
    <col min="6665" max="6665" width="10.21875" style="91" customWidth="1"/>
    <col min="6666" max="6666" width="15" style="91" customWidth="1"/>
    <col min="6667" max="6667" width="10.21875" style="91" customWidth="1"/>
    <col min="6668" max="6668" width="15.77734375" style="91" customWidth="1"/>
    <col min="6669" max="6669" width="9.5546875" style="91" customWidth="1"/>
    <col min="6670" max="6670" width="11.44140625" style="91" customWidth="1"/>
    <col min="6671" max="6671" width="12" style="91" customWidth="1"/>
    <col min="6672" max="6914" width="9.21875" style="91"/>
    <col min="6915" max="6915" width="6" style="91" customWidth="1"/>
    <col min="6916" max="6916" width="22.21875" style="91" customWidth="1"/>
    <col min="6917" max="6917" width="5.44140625" style="91" customWidth="1"/>
    <col min="6918" max="6918" width="5.21875" style="91" customWidth="1"/>
    <col min="6919" max="6919" width="21.21875" style="91" customWidth="1"/>
    <col min="6920" max="6920" width="17.21875" style="91" customWidth="1"/>
    <col min="6921" max="6921" width="10.21875" style="91" customWidth="1"/>
    <col min="6922" max="6922" width="15" style="91" customWidth="1"/>
    <col min="6923" max="6923" width="10.21875" style="91" customWidth="1"/>
    <col min="6924" max="6924" width="15.77734375" style="91" customWidth="1"/>
    <col min="6925" max="6925" width="9.5546875" style="91" customWidth="1"/>
    <col min="6926" max="6926" width="11.44140625" style="91" customWidth="1"/>
    <col min="6927" max="6927" width="12" style="91" customWidth="1"/>
    <col min="6928" max="7170" width="9.21875" style="91"/>
    <col min="7171" max="7171" width="6" style="91" customWidth="1"/>
    <col min="7172" max="7172" width="22.21875" style="91" customWidth="1"/>
    <col min="7173" max="7173" width="5.44140625" style="91" customWidth="1"/>
    <col min="7174" max="7174" width="5.21875" style="91" customWidth="1"/>
    <col min="7175" max="7175" width="21.21875" style="91" customWidth="1"/>
    <col min="7176" max="7176" width="17.21875" style="91" customWidth="1"/>
    <col min="7177" max="7177" width="10.21875" style="91" customWidth="1"/>
    <col min="7178" max="7178" width="15" style="91" customWidth="1"/>
    <col min="7179" max="7179" width="10.21875" style="91" customWidth="1"/>
    <col min="7180" max="7180" width="15.77734375" style="91" customWidth="1"/>
    <col min="7181" max="7181" width="9.5546875" style="91" customWidth="1"/>
    <col min="7182" max="7182" width="11.44140625" style="91" customWidth="1"/>
    <col min="7183" max="7183" width="12" style="91" customWidth="1"/>
    <col min="7184" max="7426" width="9.21875" style="91"/>
    <col min="7427" max="7427" width="6" style="91" customWidth="1"/>
    <col min="7428" max="7428" width="22.21875" style="91" customWidth="1"/>
    <col min="7429" max="7429" width="5.44140625" style="91" customWidth="1"/>
    <col min="7430" max="7430" width="5.21875" style="91" customWidth="1"/>
    <col min="7431" max="7431" width="21.21875" style="91" customWidth="1"/>
    <col min="7432" max="7432" width="17.21875" style="91" customWidth="1"/>
    <col min="7433" max="7433" width="10.21875" style="91" customWidth="1"/>
    <col min="7434" max="7434" width="15" style="91" customWidth="1"/>
    <col min="7435" max="7435" width="10.21875" style="91" customWidth="1"/>
    <col min="7436" max="7436" width="15.77734375" style="91" customWidth="1"/>
    <col min="7437" max="7437" width="9.5546875" style="91" customWidth="1"/>
    <col min="7438" max="7438" width="11.44140625" style="91" customWidth="1"/>
    <col min="7439" max="7439" width="12" style="91" customWidth="1"/>
    <col min="7440" max="7682" width="9.21875" style="91"/>
    <col min="7683" max="7683" width="6" style="91" customWidth="1"/>
    <col min="7684" max="7684" width="22.21875" style="91" customWidth="1"/>
    <col min="7685" max="7685" width="5.44140625" style="91" customWidth="1"/>
    <col min="7686" max="7686" width="5.21875" style="91" customWidth="1"/>
    <col min="7687" max="7687" width="21.21875" style="91" customWidth="1"/>
    <col min="7688" max="7688" width="17.21875" style="91" customWidth="1"/>
    <col min="7689" max="7689" width="10.21875" style="91" customWidth="1"/>
    <col min="7690" max="7690" width="15" style="91" customWidth="1"/>
    <col min="7691" max="7691" width="10.21875" style="91" customWidth="1"/>
    <col min="7692" max="7692" width="15.77734375" style="91" customWidth="1"/>
    <col min="7693" max="7693" width="9.5546875" style="91" customWidth="1"/>
    <col min="7694" max="7694" width="11.44140625" style="91" customWidth="1"/>
    <col min="7695" max="7695" width="12" style="91" customWidth="1"/>
    <col min="7696" max="7938" width="9.21875" style="91"/>
    <col min="7939" max="7939" width="6" style="91" customWidth="1"/>
    <col min="7940" max="7940" width="22.21875" style="91" customWidth="1"/>
    <col min="7941" max="7941" width="5.44140625" style="91" customWidth="1"/>
    <col min="7942" max="7942" width="5.21875" style="91" customWidth="1"/>
    <col min="7943" max="7943" width="21.21875" style="91" customWidth="1"/>
    <col min="7944" max="7944" width="17.21875" style="91" customWidth="1"/>
    <col min="7945" max="7945" width="10.21875" style="91" customWidth="1"/>
    <col min="7946" max="7946" width="15" style="91" customWidth="1"/>
    <col min="7947" max="7947" width="10.21875" style="91" customWidth="1"/>
    <col min="7948" max="7948" width="15.77734375" style="91" customWidth="1"/>
    <col min="7949" max="7949" width="9.5546875" style="91" customWidth="1"/>
    <col min="7950" max="7950" width="11.44140625" style="91" customWidth="1"/>
    <col min="7951" max="7951" width="12" style="91" customWidth="1"/>
    <col min="7952" max="8194" width="9.21875" style="91"/>
    <col min="8195" max="8195" width="6" style="91" customWidth="1"/>
    <col min="8196" max="8196" width="22.21875" style="91" customWidth="1"/>
    <col min="8197" max="8197" width="5.44140625" style="91" customWidth="1"/>
    <col min="8198" max="8198" width="5.21875" style="91" customWidth="1"/>
    <col min="8199" max="8199" width="21.21875" style="91" customWidth="1"/>
    <col min="8200" max="8200" width="17.21875" style="91" customWidth="1"/>
    <col min="8201" max="8201" width="10.21875" style="91" customWidth="1"/>
    <col min="8202" max="8202" width="15" style="91" customWidth="1"/>
    <col min="8203" max="8203" width="10.21875" style="91" customWidth="1"/>
    <col min="8204" max="8204" width="15.77734375" style="91" customWidth="1"/>
    <col min="8205" max="8205" width="9.5546875" style="91" customWidth="1"/>
    <col min="8206" max="8206" width="11.44140625" style="91" customWidth="1"/>
    <col min="8207" max="8207" width="12" style="91" customWidth="1"/>
    <col min="8208" max="8450" width="9.21875" style="91"/>
    <col min="8451" max="8451" width="6" style="91" customWidth="1"/>
    <col min="8452" max="8452" width="22.21875" style="91" customWidth="1"/>
    <col min="8453" max="8453" width="5.44140625" style="91" customWidth="1"/>
    <col min="8454" max="8454" width="5.21875" style="91" customWidth="1"/>
    <col min="8455" max="8455" width="21.21875" style="91" customWidth="1"/>
    <col min="8456" max="8456" width="17.21875" style="91" customWidth="1"/>
    <col min="8457" max="8457" width="10.21875" style="91" customWidth="1"/>
    <col min="8458" max="8458" width="15" style="91" customWidth="1"/>
    <col min="8459" max="8459" width="10.21875" style="91" customWidth="1"/>
    <col min="8460" max="8460" width="15.77734375" style="91" customWidth="1"/>
    <col min="8461" max="8461" width="9.5546875" style="91" customWidth="1"/>
    <col min="8462" max="8462" width="11.44140625" style="91" customWidth="1"/>
    <col min="8463" max="8463" width="12" style="91" customWidth="1"/>
    <col min="8464" max="8706" width="9.21875" style="91"/>
    <col min="8707" max="8707" width="6" style="91" customWidth="1"/>
    <col min="8708" max="8708" width="22.21875" style="91" customWidth="1"/>
    <col min="8709" max="8709" width="5.44140625" style="91" customWidth="1"/>
    <col min="8710" max="8710" width="5.21875" style="91" customWidth="1"/>
    <col min="8711" max="8711" width="21.21875" style="91" customWidth="1"/>
    <col min="8712" max="8712" width="17.21875" style="91" customWidth="1"/>
    <col min="8713" max="8713" width="10.21875" style="91" customWidth="1"/>
    <col min="8714" max="8714" width="15" style="91" customWidth="1"/>
    <col min="8715" max="8715" width="10.21875" style="91" customWidth="1"/>
    <col min="8716" max="8716" width="15.77734375" style="91" customWidth="1"/>
    <col min="8717" max="8717" width="9.5546875" style="91" customWidth="1"/>
    <col min="8718" max="8718" width="11.44140625" style="91" customWidth="1"/>
    <col min="8719" max="8719" width="12" style="91" customWidth="1"/>
    <col min="8720" max="8962" width="9.21875" style="91"/>
    <col min="8963" max="8963" width="6" style="91" customWidth="1"/>
    <col min="8964" max="8964" width="22.21875" style="91" customWidth="1"/>
    <col min="8965" max="8965" width="5.44140625" style="91" customWidth="1"/>
    <col min="8966" max="8966" width="5.21875" style="91" customWidth="1"/>
    <col min="8967" max="8967" width="21.21875" style="91" customWidth="1"/>
    <col min="8968" max="8968" width="17.21875" style="91" customWidth="1"/>
    <col min="8969" max="8969" width="10.21875" style="91" customWidth="1"/>
    <col min="8970" max="8970" width="15" style="91" customWidth="1"/>
    <col min="8971" max="8971" width="10.21875" style="91" customWidth="1"/>
    <col min="8972" max="8972" width="15.77734375" style="91" customWidth="1"/>
    <col min="8973" max="8973" width="9.5546875" style="91" customWidth="1"/>
    <col min="8974" max="8974" width="11.44140625" style="91" customWidth="1"/>
    <col min="8975" max="8975" width="12" style="91" customWidth="1"/>
    <col min="8976" max="9218" width="9.21875" style="91"/>
    <col min="9219" max="9219" width="6" style="91" customWidth="1"/>
    <col min="9220" max="9220" width="22.21875" style="91" customWidth="1"/>
    <col min="9221" max="9221" width="5.44140625" style="91" customWidth="1"/>
    <col min="9222" max="9222" width="5.21875" style="91" customWidth="1"/>
    <col min="9223" max="9223" width="21.21875" style="91" customWidth="1"/>
    <col min="9224" max="9224" width="17.21875" style="91" customWidth="1"/>
    <col min="9225" max="9225" width="10.21875" style="91" customWidth="1"/>
    <col min="9226" max="9226" width="15" style="91" customWidth="1"/>
    <col min="9227" max="9227" width="10.21875" style="91" customWidth="1"/>
    <col min="9228" max="9228" width="15.77734375" style="91" customWidth="1"/>
    <col min="9229" max="9229" width="9.5546875" style="91" customWidth="1"/>
    <col min="9230" max="9230" width="11.44140625" style="91" customWidth="1"/>
    <col min="9231" max="9231" width="12" style="91" customWidth="1"/>
    <col min="9232" max="9474" width="9.21875" style="91"/>
    <col min="9475" max="9475" width="6" style="91" customWidth="1"/>
    <col min="9476" max="9476" width="22.21875" style="91" customWidth="1"/>
    <col min="9477" max="9477" width="5.44140625" style="91" customWidth="1"/>
    <col min="9478" max="9478" width="5.21875" style="91" customWidth="1"/>
    <col min="9479" max="9479" width="21.21875" style="91" customWidth="1"/>
    <col min="9480" max="9480" width="17.21875" style="91" customWidth="1"/>
    <col min="9481" max="9481" width="10.21875" style="91" customWidth="1"/>
    <col min="9482" max="9482" width="15" style="91" customWidth="1"/>
    <col min="9483" max="9483" width="10.21875" style="91" customWidth="1"/>
    <col min="9484" max="9484" width="15.77734375" style="91" customWidth="1"/>
    <col min="9485" max="9485" width="9.5546875" style="91" customWidth="1"/>
    <col min="9486" max="9486" width="11.44140625" style="91" customWidth="1"/>
    <col min="9487" max="9487" width="12" style="91" customWidth="1"/>
    <col min="9488" max="9730" width="9.21875" style="91"/>
    <col min="9731" max="9731" width="6" style="91" customWidth="1"/>
    <col min="9732" max="9732" width="22.21875" style="91" customWidth="1"/>
    <col min="9733" max="9733" width="5.44140625" style="91" customWidth="1"/>
    <col min="9734" max="9734" width="5.21875" style="91" customWidth="1"/>
    <col min="9735" max="9735" width="21.21875" style="91" customWidth="1"/>
    <col min="9736" max="9736" width="17.21875" style="91" customWidth="1"/>
    <col min="9737" max="9737" width="10.21875" style="91" customWidth="1"/>
    <col min="9738" max="9738" width="15" style="91" customWidth="1"/>
    <col min="9739" max="9739" width="10.21875" style="91" customWidth="1"/>
    <col min="9740" max="9740" width="15.77734375" style="91" customWidth="1"/>
    <col min="9741" max="9741" width="9.5546875" style="91" customWidth="1"/>
    <col min="9742" max="9742" width="11.44140625" style="91" customWidth="1"/>
    <col min="9743" max="9743" width="12" style="91" customWidth="1"/>
    <col min="9744" max="9986" width="9.21875" style="91"/>
    <col min="9987" max="9987" width="6" style="91" customWidth="1"/>
    <col min="9988" max="9988" width="22.21875" style="91" customWidth="1"/>
    <col min="9989" max="9989" width="5.44140625" style="91" customWidth="1"/>
    <col min="9990" max="9990" width="5.21875" style="91" customWidth="1"/>
    <col min="9991" max="9991" width="21.21875" style="91" customWidth="1"/>
    <col min="9992" max="9992" width="17.21875" style="91" customWidth="1"/>
    <col min="9993" max="9993" width="10.21875" style="91" customWidth="1"/>
    <col min="9994" max="9994" width="15" style="91" customWidth="1"/>
    <col min="9995" max="9995" width="10.21875" style="91" customWidth="1"/>
    <col min="9996" max="9996" width="15.77734375" style="91" customWidth="1"/>
    <col min="9997" max="9997" width="9.5546875" style="91" customWidth="1"/>
    <col min="9998" max="9998" width="11.44140625" style="91" customWidth="1"/>
    <col min="9999" max="9999" width="12" style="91" customWidth="1"/>
    <col min="10000" max="10242" width="9.21875" style="91"/>
    <col min="10243" max="10243" width="6" style="91" customWidth="1"/>
    <col min="10244" max="10244" width="22.21875" style="91" customWidth="1"/>
    <col min="10245" max="10245" width="5.44140625" style="91" customWidth="1"/>
    <col min="10246" max="10246" width="5.21875" style="91" customWidth="1"/>
    <col min="10247" max="10247" width="21.21875" style="91" customWidth="1"/>
    <col min="10248" max="10248" width="17.21875" style="91" customWidth="1"/>
    <col min="10249" max="10249" width="10.21875" style="91" customWidth="1"/>
    <col min="10250" max="10250" width="15" style="91" customWidth="1"/>
    <col min="10251" max="10251" width="10.21875" style="91" customWidth="1"/>
    <col min="10252" max="10252" width="15.77734375" style="91" customWidth="1"/>
    <col min="10253" max="10253" width="9.5546875" style="91" customWidth="1"/>
    <col min="10254" max="10254" width="11.44140625" style="91" customWidth="1"/>
    <col min="10255" max="10255" width="12" style="91" customWidth="1"/>
    <col min="10256" max="10498" width="9.21875" style="91"/>
    <col min="10499" max="10499" width="6" style="91" customWidth="1"/>
    <col min="10500" max="10500" width="22.21875" style="91" customWidth="1"/>
    <col min="10501" max="10501" width="5.44140625" style="91" customWidth="1"/>
    <col min="10502" max="10502" width="5.21875" style="91" customWidth="1"/>
    <col min="10503" max="10503" width="21.21875" style="91" customWidth="1"/>
    <col min="10504" max="10504" width="17.21875" style="91" customWidth="1"/>
    <col min="10505" max="10505" width="10.21875" style="91" customWidth="1"/>
    <col min="10506" max="10506" width="15" style="91" customWidth="1"/>
    <col min="10507" max="10507" width="10.21875" style="91" customWidth="1"/>
    <col min="10508" max="10508" width="15.77734375" style="91" customWidth="1"/>
    <col min="10509" max="10509" width="9.5546875" style="91" customWidth="1"/>
    <col min="10510" max="10510" width="11.44140625" style="91" customWidth="1"/>
    <col min="10511" max="10511" width="12" style="91" customWidth="1"/>
    <col min="10512" max="10754" width="9.21875" style="91"/>
    <col min="10755" max="10755" width="6" style="91" customWidth="1"/>
    <col min="10756" max="10756" width="22.21875" style="91" customWidth="1"/>
    <col min="10757" max="10757" width="5.44140625" style="91" customWidth="1"/>
    <col min="10758" max="10758" width="5.21875" style="91" customWidth="1"/>
    <col min="10759" max="10759" width="21.21875" style="91" customWidth="1"/>
    <col min="10760" max="10760" width="17.21875" style="91" customWidth="1"/>
    <col min="10761" max="10761" width="10.21875" style="91" customWidth="1"/>
    <col min="10762" max="10762" width="15" style="91" customWidth="1"/>
    <col min="10763" max="10763" width="10.21875" style="91" customWidth="1"/>
    <col min="10764" max="10764" width="15.77734375" style="91" customWidth="1"/>
    <col min="10765" max="10765" width="9.5546875" style="91" customWidth="1"/>
    <col min="10766" max="10766" width="11.44140625" style="91" customWidth="1"/>
    <col min="10767" max="10767" width="12" style="91" customWidth="1"/>
    <col min="10768" max="11010" width="9.21875" style="91"/>
    <col min="11011" max="11011" width="6" style="91" customWidth="1"/>
    <col min="11012" max="11012" width="22.21875" style="91" customWidth="1"/>
    <col min="11013" max="11013" width="5.44140625" style="91" customWidth="1"/>
    <col min="11014" max="11014" width="5.21875" style="91" customWidth="1"/>
    <col min="11015" max="11015" width="21.21875" style="91" customWidth="1"/>
    <col min="11016" max="11016" width="17.21875" style="91" customWidth="1"/>
    <col min="11017" max="11017" width="10.21875" style="91" customWidth="1"/>
    <col min="11018" max="11018" width="15" style="91" customWidth="1"/>
    <col min="11019" max="11019" width="10.21875" style="91" customWidth="1"/>
    <col min="11020" max="11020" width="15.77734375" style="91" customWidth="1"/>
    <col min="11021" max="11021" width="9.5546875" style="91" customWidth="1"/>
    <col min="11022" max="11022" width="11.44140625" style="91" customWidth="1"/>
    <col min="11023" max="11023" width="12" style="91" customWidth="1"/>
    <col min="11024" max="11266" width="9.21875" style="91"/>
    <col min="11267" max="11267" width="6" style="91" customWidth="1"/>
    <col min="11268" max="11268" width="22.21875" style="91" customWidth="1"/>
    <col min="11269" max="11269" width="5.44140625" style="91" customWidth="1"/>
    <col min="11270" max="11270" width="5.21875" style="91" customWidth="1"/>
    <col min="11271" max="11271" width="21.21875" style="91" customWidth="1"/>
    <col min="11272" max="11272" width="17.21875" style="91" customWidth="1"/>
    <col min="11273" max="11273" width="10.21875" style="91" customWidth="1"/>
    <col min="11274" max="11274" width="15" style="91" customWidth="1"/>
    <col min="11275" max="11275" width="10.21875" style="91" customWidth="1"/>
    <col min="11276" max="11276" width="15.77734375" style="91" customWidth="1"/>
    <col min="11277" max="11277" width="9.5546875" style="91" customWidth="1"/>
    <col min="11278" max="11278" width="11.44140625" style="91" customWidth="1"/>
    <col min="11279" max="11279" width="12" style="91" customWidth="1"/>
    <col min="11280" max="11522" width="9.21875" style="91"/>
    <col min="11523" max="11523" width="6" style="91" customWidth="1"/>
    <col min="11524" max="11524" width="22.21875" style="91" customWidth="1"/>
    <col min="11525" max="11525" width="5.44140625" style="91" customWidth="1"/>
    <col min="11526" max="11526" width="5.21875" style="91" customWidth="1"/>
    <col min="11527" max="11527" width="21.21875" style="91" customWidth="1"/>
    <col min="11528" max="11528" width="17.21875" style="91" customWidth="1"/>
    <col min="11529" max="11529" width="10.21875" style="91" customWidth="1"/>
    <col min="11530" max="11530" width="15" style="91" customWidth="1"/>
    <col min="11531" max="11531" width="10.21875" style="91" customWidth="1"/>
    <col min="11532" max="11532" width="15.77734375" style="91" customWidth="1"/>
    <col min="11533" max="11533" width="9.5546875" style="91" customWidth="1"/>
    <col min="11534" max="11534" width="11.44140625" style="91" customWidth="1"/>
    <col min="11535" max="11535" width="12" style="91" customWidth="1"/>
    <col min="11536" max="11778" width="9.21875" style="91"/>
    <col min="11779" max="11779" width="6" style="91" customWidth="1"/>
    <col min="11780" max="11780" width="22.21875" style="91" customWidth="1"/>
    <col min="11781" max="11781" width="5.44140625" style="91" customWidth="1"/>
    <col min="11782" max="11782" width="5.21875" style="91" customWidth="1"/>
    <col min="11783" max="11783" width="21.21875" style="91" customWidth="1"/>
    <col min="11784" max="11784" width="17.21875" style="91" customWidth="1"/>
    <col min="11785" max="11785" width="10.21875" style="91" customWidth="1"/>
    <col min="11786" max="11786" width="15" style="91" customWidth="1"/>
    <col min="11787" max="11787" width="10.21875" style="91" customWidth="1"/>
    <col min="11788" max="11788" width="15.77734375" style="91" customWidth="1"/>
    <col min="11789" max="11789" width="9.5546875" style="91" customWidth="1"/>
    <col min="11790" max="11790" width="11.44140625" style="91" customWidth="1"/>
    <col min="11791" max="11791" width="12" style="91" customWidth="1"/>
    <col min="11792" max="12034" width="9.21875" style="91"/>
    <col min="12035" max="12035" width="6" style="91" customWidth="1"/>
    <col min="12036" max="12036" width="22.21875" style="91" customWidth="1"/>
    <col min="12037" max="12037" width="5.44140625" style="91" customWidth="1"/>
    <col min="12038" max="12038" width="5.21875" style="91" customWidth="1"/>
    <col min="12039" max="12039" width="21.21875" style="91" customWidth="1"/>
    <col min="12040" max="12040" width="17.21875" style="91" customWidth="1"/>
    <col min="12041" max="12041" width="10.21875" style="91" customWidth="1"/>
    <col min="12042" max="12042" width="15" style="91" customWidth="1"/>
    <col min="12043" max="12043" width="10.21875" style="91" customWidth="1"/>
    <col min="12044" max="12044" width="15.77734375" style="91" customWidth="1"/>
    <col min="12045" max="12045" width="9.5546875" style="91" customWidth="1"/>
    <col min="12046" max="12046" width="11.44140625" style="91" customWidth="1"/>
    <col min="12047" max="12047" width="12" style="91" customWidth="1"/>
    <col min="12048" max="12290" width="9.21875" style="91"/>
    <col min="12291" max="12291" width="6" style="91" customWidth="1"/>
    <col min="12292" max="12292" width="22.21875" style="91" customWidth="1"/>
    <col min="12293" max="12293" width="5.44140625" style="91" customWidth="1"/>
    <col min="12294" max="12294" width="5.21875" style="91" customWidth="1"/>
    <col min="12295" max="12295" width="21.21875" style="91" customWidth="1"/>
    <col min="12296" max="12296" width="17.21875" style="91" customWidth="1"/>
    <col min="12297" max="12297" width="10.21875" style="91" customWidth="1"/>
    <col min="12298" max="12298" width="15" style="91" customWidth="1"/>
    <col min="12299" max="12299" width="10.21875" style="91" customWidth="1"/>
    <col min="12300" max="12300" width="15.77734375" style="91" customWidth="1"/>
    <col min="12301" max="12301" width="9.5546875" style="91" customWidth="1"/>
    <col min="12302" max="12302" width="11.44140625" style="91" customWidth="1"/>
    <col min="12303" max="12303" width="12" style="91" customWidth="1"/>
    <col min="12304" max="12546" width="9.21875" style="91"/>
    <col min="12547" max="12547" width="6" style="91" customWidth="1"/>
    <col min="12548" max="12548" width="22.21875" style="91" customWidth="1"/>
    <col min="12549" max="12549" width="5.44140625" style="91" customWidth="1"/>
    <col min="12550" max="12550" width="5.21875" style="91" customWidth="1"/>
    <col min="12551" max="12551" width="21.21875" style="91" customWidth="1"/>
    <col min="12552" max="12552" width="17.21875" style="91" customWidth="1"/>
    <col min="12553" max="12553" width="10.21875" style="91" customWidth="1"/>
    <col min="12554" max="12554" width="15" style="91" customWidth="1"/>
    <col min="12555" max="12555" width="10.21875" style="91" customWidth="1"/>
    <col min="12556" max="12556" width="15.77734375" style="91" customWidth="1"/>
    <col min="12557" max="12557" width="9.5546875" style="91" customWidth="1"/>
    <col min="12558" max="12558" width="11.44140625" style="91" customWidth="1"/>
    <col min="12559" max="12559" width="12" style="91" customWidth="1"/>
    <col min="12560" max="12802" width="9.21875" style="91"/>
    <col min="12803" max="12803" width="6" style="91" customWidth="1"/>
    <col min="12804" max="12804" width="22.21875" style="91" customWidth="1"/>
    <col min="12805" max="12805" width="5.44140625" style="91" customWidth="1"/>
    <col min="12806" max="12806" width="5.21875" style="91" customWidth="1"/>
    <col min="12807" max="12807" width="21.21875" style="91" customWidth="1"/>
    <col min="12808" max="12808" width="17.21875" style="91" customWidth="1"/>
    <col min="12809" max="12809" width="10.21875" style="91" customWidth="1"/>
    <col min="12810" max="12810" width="15" style="91" customWidth="1"/>
    <col min="12811" max="12811" width="10.21875" style="91" customWidth="1"/>
    <col min="12812" max="12812" width="15.77734375" style="91" customWidth="1"/>
    <col min="12813" max="12813" width="9.5546875" style="91" customWidth="1"/>
    <col min="12814" max="12814" width="11.44140625" style="91" customWidth="1"/>
    <col min="12815" max="12815" width="12" style="91" customWidth="1"/>
    <col min="12816" max="13058" width="9.21875" style="91"/>
    <col min="13059" max="13059" width="6" style="91" customWidth="1"/>
    <col min="13060" max="13060" width="22.21875" style="91" customWidth="1"/>
    <col min="13061" max="13061" width="5.44140625" style="91" customWidth="1"/>
    <col min="13062" max="13062" width="5.21875" style="91" customWidth="1"/>
    <col min="13063" max="13063" width="21.21875" style="91" customWidth="1"/>
    <col min="13064" max="13064" width="17.21875" style="91" customWidth="1"/>
    <col min="13065" max="13065" width="10.21875" style="91" customWidth="1"/>
    <col min="13066" max="13066" width="15" style="91" customWidth="1"/>
    <col min="13067" max="13067" width="10.21875" style="91" customWidth="1"/>
    <col min="13068" max="13068" width="15.77734375" style="91" customWidth="1"/>
    <col min="13069" max="13069" width="9.5546875" style="91" customWidth="1"/>
    <col min="13070" max="13070" width="11.44140625" style="91" customWidth="1"/>
    <col min="13071" max="13071" width="12" style="91" customWidth="1"/>
    <col min="13072" max="13314" width="9.21875" style="91"/>
    <col min="13315" max="13315" width="6" style="91" customWidth="1"/>
    <col min="13316" max="13316" width="22.21875" style="91" customWidth="1"/>
    <col min="13317" max="13317" width="5.44140625" style="91" customWidth="1"/>
    <col min="13318" max="13318" width="5.21875" style="91" customWidth="1"/>
    <col min="13319" max="13319" width="21.21875" style="91" customWidth="1"/>
    <col min="13320" max="13320" width="17.21875" style="91" customWidth="1"/>
    <col min="13321" max="13321" width="10.21875" style="91" customWidth="1"/>
    <col min="13322" max="13322" width="15" style="91" customWidth="1"/>
    <col min="13323" max="13323" width="10.21875" style="91" customWidth="1"/>
    <col min="13324" max="13324" width="15.77734375" style="91" customWidth="1"/>
    <col min="13325" max="13325" width="9.5546875" style="91" customWidth="1"/>
    <col min="13326" max="13326" width="11.44140625" style="91" customWidth="1"/>
    <col min="13327" max="13327" width="12" style="91" customWidth="1"/>
    <col min="13328" max="13570" width="9.21875" style="91"/>
    <col min="13571" max="13571" width="6" style="91" customWidth="1"/>
    <col min="13572" max="13572" width="22.21875" style="91" customWidth="1"/>
    <col min="13573" max="13573" width="5.44140625" style="91" customWidth="1"/>
    <col min="13574" max="13574" width="5.21875" style="91" customWidth="1"/>
    <col min="13575" max="13575" width="21.21875" style="91" customWidth="1"/>
    <col min="13576" max="13576" width="17.21875" style="91" customWidth="1"/>
    <col min="13577" max="13577" width="10.21875" style="91" customWidth="1"/>
    <col min="13578" max="13578" width="15" style="91" customWidth="1"/>
    <col min="13579" max="13579" width="10.21875" style="91" customWidth="1"/>
    <col min="13580" max="13580" width="15.77734375" style="91" customWidth="1"/>
    <col min="13581" max="13581" width="9.5546875" style="91" customWidth="1"/>
    <col min="13582" max="13582" width="11.44140625" style="91" customWidth="1"/>
    <col min="13583" max="13583" width="12" style="91" customWidth="1"/>
    <col min="13584" max="13826" width="9.21875" style="91"/>
    <col min="13827" max="13827" width="6" style="91" customWidth="1"/>
    <col min="13828" max="13828" width="22.21875" style="91" customWidth="1"/>
    <col min="13829" max="13829" width="5.44140625" style="91" customWidth="1"/>
    <col min="13830" max="13830" width="5.21875" style="91" customWidth="1"/>
    <col min="13831" max="13831" width="21.21875" style="91" customWidth="1"/>
    <col min="13832" max="13832" width="17.21875" style="91" customWidth="1"/>
    <col min="13833" max="13833" width="10.21875" style="91" customWidth="1"/>
    <col min="13834" max="13834" width="15" style="91" customWidth="1"/>
    <col min="13835" max="13835" width="10.21875" style="91" customWidth="1"/>
    <col min="13836" max="13836" width="15.77734375" style="91" customWidth="1"/>
    <col min="13837" max="13837" width="9.5546875" style="91" customWidth="1"/>
    <col min="13838" max="13838" width="11.44140625" style="91" customWidth="1"/>
    <col min="13839" max="13839" width="12" style="91" customWidth="1"/>
    <col min="13840" max="14082" width="9.21875" style="91"/>
    <col min="14083" max="14083" width="6" style="91" customWidth="1"/>
    <col min="14084" max="14084" width="22.21875" style="91" customWidth="1"/>
    <col min="14085" max="14085" width="5.44140625" style="91" customWidth="1"/>
    <col min="14086" max="14086" width="5.21875" style="91" customWidth="1"/>
    <col min="14087" max="14087" width="21.21875" style="91" customWidth="1"/>
    <col min="14088" max="14088" width="17.21875" style="91" customWidth="1"/>
    <col min="14089" max="14089" width="10.21875" style="91" customWidth="1"/>
    <col min="14090" max="14090" width="15" style="91" customWidth="1"/>
    <col min="14091" max="14091" width="10.21875" style="91" customWidth="1"/>
    <col min="14092" max="14092" width="15.77734375" style="91" customWidth="1"/>
    <col min="14093" max="14093" width="9.5546875" style="91" customWidth="1"/>
    <col min="14094" max="14094" width="11.44140625" style="91" customWidth="1"/>
    <col min="14095" max="14095" width="12" style="91" customWidth="1"/>
    <col min="14096" max="14338" width="9.21875" style="91"/>
    <col min="14339" max="14339" width="6" style="91" customWidth="1"/>
    <col min="14340" max="14340" width="22.21875" style="91" customWidth="1"/>
    <col min="14341" max="14341" width="5.44140625" style="91" customWidth="1"/>
    <col min="14342" max="14342" width="5.21875" style="91" customWidth="1"/>
    <col min="14343" max="14343" width="21.21875" style="91" customWidth="1"/>
    <col min="14344" max="14344" width="17.21875" style="91" customWidth="1"/>
    <col min="14345" max="14345" width="10.21875" style="91" customWidth="1"/>
    <col min="14346" max="14346" width="15" style="91" customWidth="1"/>
    <col min="14347" max="14347" width="10.21875" style="91" customWidth="1"/>
    <col min="14348" max="14348" width="15.77734375" style="91" customWidth="1"/>
    <col min="14349" max="14349" width="9.5546875" style="91" customWidth="1"/>
    <col min="14350" max="14350" width="11.44140625" style="91" customWidth="1"/>
    <col min="14351" max="14351" width="12" style="91" customWidth="1"/>
    <col min="14352" max="14594" width="9.21875" style="91"/>
    <col min="14595" max="14595" width="6" style="91" customWidth="1"/>
    <col min="14596" max="14596" width="22.21875" style="91" customWidth="1"/>
    <col min="14597" max="14597" width="5.44140625" style="91" customWidth="1"/>
    <col min="14598" max="14598" width="5.21875" style="91" customWidth="1"/>
    <col min="14599" max="14599" width="21.21875" style="91" customWidth="1"/>
    <col min="14600" max="14600" width="17.21875" style="91" customWidth="1"/>
    <col min="14601" max="14601" width="10.21875" style="91" customWidth="1"/>
    <col min="14602" max="14602" width="15" style="91" customWidth="1"/>
    <col min="14603" max="14603" width="10.21875" style="91" customWidth="1"/>
    <col min="14604" max="14604" width="15.77734375" style="91" customWidth="1"/>
    <col min="14605" max="14605" width="9.5546875" style="91" customWidth="1"/>
    <col min="14606" max="14606" width="11.44140625" style="91" customWidth="1"/>
    <col min="14607" max="14607" width="12" style="91" customWidth="1"/>
    <col min="14608" max="14850" width="9.21875" style="91"/>
    <col min="14851" max="14851" width="6" style="91" customWidth="1"/>
    <col min="14852" max="14852" width="22.21875" style="91" customWidth="1"/>
    <col min="14853" max="14853" width="5.44140625" style="91" customWidth="1"/>
    <col min="14854" max="14854" width="5.21875" style="91" customWidth="1"/>
    <col min="14855" max="14855" width="21.21875" style="91" customWidth="1"/>
    <col min="14856" max="14856" width="17.21875" style="91" customWidth="1"/>
    <col min="14857" max="14857" width="10.21875" style="91" customWidth="1"/>
    <col min="14858" max="14858" width="15" style="91" customWidth="1"/>
    <col min="14859" max="14859" width="10.21875" style="91" customWidth="1"/>
    <col min="14860" max="14860" width="15.77734375" style="91" customWidth="1"/>
    <col min="14861" max="14861" width="9.5546875" style="91" customWidth="1"/>
    <col min="14862" max="14862" width="11.44140625" style="91" customWidth="1"/>
    <col min="14863" max="14863" width="12" style="91" customWidth="1"/>
    <col min="14864" max="15106" width="9.21875" style="91"/>
    <col min="15107" max="15107" width="6" style="91" customWidth="1"/>
    <col min="15108" max="15108" width="22.21875" style="91" customWidth="1"/>
    <col min="15109" max="15109" width="5.44140625" style="91" customWidth="1"/>
    <col min="15110" max="15110" width="5.21875" style="91" customWidth="1"/>
    <col min="15111" max="15111" width="21.21875" style="91" customWidth="1"/>
    <col min="15112" max="15112" width="17.21875" style="91" customWidth="1"/>
    <col min="15113" max="15113" width="10.21875" style="91" customWidth="1"/>
    <col min="15114" max="15114" width="15" style="91" customWidth="1"/>
    <col min="15115" max="15115" width="10.21875" style="91" customWidth="1"/>
    <col min="15116" max="15116" width="15.77734375" style="91" customWidth="1"/>
    <col min="15117" max="15117" width="9.5546875" style="91" customWidth="1"/>
    <col min="15118" max="15118" width="11.44140625" style="91" customWidth="1"/>
    <col min="15119" max="15119" width="12" style="91" customWidth="1"/>
    <col min="15120" max="15362" width="9.21875" style="91"/>
    <col min="15363" max="15363" width="6" style="91" customWidth="1"/>
    <col min="15364" max="15364" width="22.21875" style="91" customWidth="1"/>
    <col min="15365" max="15365" width="5.44140625" style="91" customWidth="1"/>
    <col min="15366" max="15366" width="5.21875" style="91" customWidth="1"/>
    <col min="15367" max="15367" width="21.21875" style="91" customWidth="1"/>
    <col min="15368" max="15368" width="17.21875" style="91" customWidth="1"/>
    <col min="15369" max="15369" width="10.21875" style="91" customWidth="1"/>
    <col min="15370" max="15370" width="15" style="91" customWidth="1"/>
    <col min="15371" max="15371" width="10.21875" style="91" customWidth="1"/>
    <col min="15372" max="15372" width="15.77734375" style="91" customWidth="1"/>
    <col min="15373" max="15373" width="9.5546875" style="91" customWidth="1"/>
    <col min="15374" max="15374" width="11.44140625" style="91" customWidth="1"/>
    <col min="15375" max="15375" width="12" style="91" customWidth="1"/>
    <col min="15376" max="15618" width="9.21875" style="91"/>
    <col min="15619" max="15619" width="6" style="91" customWidth="1"/>
    <col min="15620" max="15620" width="22.21875" style="91" customWidth="1"/>
    <col min="15621" max="15621" width="5.44140625" style="91" customWidth="1"/>
    <col min="15622" max="15622" width="5.21875" style="91" customWidth="1"/>
    <col min="15623" max="15623" width="21.21875" style="91" customWidth="1"/>
    <col min="15624" max="15624" width="17.21875" style="91" customWidth="1"/>
    <col min="15625" max="15625" width="10.21875" style="91" customWidth="1"/>
    <col min="15626" max="15626" width="15" style="91" customWidth="1"/>
    <col min="15627" max="15627" width="10.21875" style="91" customWidth="1"/>
    <col min="15628" max="15628" width="15.77734375" style="91" customWidth="1"/>
    <col min="15629" max="15629" width="9.5546875" style="91" customWidth="1"/>
    <col min="15630" max="15630" width="11.44140625" style="91" customWidth="1"/>
    <col min="15631" max="15631" width="12" style="91" customWidth="1"/>
    <col min="15632" max="15874" width="9.21875" style="91"/>
    <col min="15875" max="15875" width="6" style="91" customWidth="1"/>
    <col min="15876" max="15876" width="22.21875" style="91" customWidth="1"/>
    <col min="15877" max="15877" width="5.44140625" style="91" customWidth="1"/>
    <col min="15878" max="15878" width="5.21875" style="91" customWidth="1"/>
    <col min="15879" max="15879" width="21.21875" style="91" customWidth="1"/>
    <col min="15880" max="15880" width="17.21875" style="91" customWidth="1"/>
    <col min="15881" max="15881" width="10.21875" style="91" customWidth="1"/>
    <col min="15882" max="15882" width="15" style="91" customWidth="1"/>
    <col min="15883" max="15883" width="10.21875" style="91" customWidth="1"/>
    <col min="15884" max="15884" width="15.77734375" style="91" customWidth="1"/>
    <col min="15885" max="15885" width="9.5546875" style="91" customWidth="1"/>
    <col min="15886" max="15886" width="11.44140625" style="91" customWidth="1"/>
    <col min="15887" max="15887" width="12" style="91" customWidth="1"/>
    <col min="15888" max="16130" width="9.21875" style="91"/>
    <col min="16131" max="16131" width="6" style="91" customWidth="1"/>
    <col min="16132" max="16132" width="22.21875" style="91" customWidth="1"/>
    <col min="16133" max="16133" width="5.44140625" style="91" customWidth="1"/>
    <col min="16134" max="16134" width="5.21875" style="91" customWidth="1"/>
    <col min="16135" max="16135" width="21.21875" style="91" customWidth="1"/>
    <col min="16136" max="16136" width="17.21875" style="91" customWidth="1"/>
    <col min="16137" max="16137" width="10.21875" style="91" customWidth="1"/>
    <col min="16138" max="16138" width="15" style="91" customWidth="1"/>
    <col min="16139" max="16139" width="10.21875" style="91" customWidth="1"/>
    <col min="16140" max="16140" width="15.77734375" style="91" customWidth="1"/>
    <col min="16141" max="16141" width="9.5546875" style="91" customWidth="1"/>
    <col min="16142" max="16142" width="11.44140625" style="91" customWidth="1"/>
    <col min="16143" max="16143" width="12" style="91" customWidth="1"/>
    <col min="16144" max="16384" width="9.21875" style="91"/>
  </cols>
  <sheetData>
    <row r="1" spans="1:42" ht="15.6" x14ac:dyDescent="0.3">
      <c r="A1" s="308" t="s">
        <v>266</v>
      </c>
      <c r="B1" s="308"/>
      <c r="C1" s="308"/>
      <c r="D1" s="308"/>
      <c r="E1" s="308"/>
      <c r="F1" s="308"/>
      <c r="G1" s="308"/>
      <c r="H1" s="308"/>
      <c r="I1" s="308"/>
      <c r="J1" s="308"/>
      <c r="K1" s="308"/>
      <c r="L1" s="308"/>
      <c r="M1" s="308"/>
      <c r="N1" s="308"/>
      <c r="O1" s="308"/>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6" x14ac:dyDescent="0.3">
      <c r="A2" s="308" t="s">
        <v>267</v>
      </c>
      <c r="B2" s="308"/>
      <c r="C2" s="308"/>
      <c r="D2" s="308"/>
      <c r="E2" s="308"/>
      <c r="F2" s="308"/>
      <c r="G2" s="308"/>
      <c r="H2" s="308"/>
      <c r="I2" s="308"/>
      <c r="J2" s="308"/>
      <c r="K2" s="308"/>
      <c r="L2" s="308"/>
      <c r="M2" s="308"/>
      <c r="N2" s="308"/>
      <c r="O2" s="308"/>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6" x14ac:dyDescent="0.3">
      <c r="A3" s="308" t="s">
        <v>268</v>
      </c>
      <c r="B3" s="308"/>
      <c r="C3" s="308"/>
      <c r="D3" s="308"/>
      <c r="E3" s="308"/>
      <c r="F3" s="308"/>
      <c r="G3" s="308"/>
      <c r="H3" s="308"/>
      <c r="I3" s="308"/>
      <c r="J3" s="308"/>
      <c r="K3" s="308"/>
      <c r="L3" s="308"/>
      <c r="M3" s="308"/>
      <c r="N3" s="308"/>
      <c r="O3" s="308"/>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6" x14ac:dyDescent="0.3">
      <c r="A4" s="308" t="s">
        <v>269</v>
      </c>
      <c r="B4" s="308"/>
      <c r="C4" s="308"/>
      <c r="D4" s="308"/>
      <c r="E4" s="308"/>
      <c r="F4" s="308"/>
      <c r="G4" s="308"/>
      <c r="H4" s="308"/>
      <c r="I4" s="308"/>
      <c r="J4" s="308"/>
      <c r="K4" s="308"/>
      <c r="L4" s="308"/>
      <c r="M4" s="308"/>
      <c r="N4" s="308"/>
      <c r="O4" s="308"/>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6" x14ac:dyDescent="0.3">
      <c r="A5" s="308" t="s">
        <v>832</v>
      </c>
      <c r="B5" s="308"/>
      <c r="C5" s="308"/>
      <c r="D5" s="308"/>
      <c r="E5" s="308"/>
      <c r="F5" s="308"/>
      <c r="G5" s="308"/>
      <c r="H5" s="308"/>
      <c r="I5" s="308"/>
      <c r="J5" s="308"/>
      <c r="K5" s="308"/>
      <c r="L5" s="308"/>
      <c r="M5" s="308"/>
      <c r="N5" s="308"/>
      <c r="O5" s="308"/>
    </row>
    <row r="6" spans="1:42" ht="9.75" customHeight="1" x14ac:dyDescent="0.3"/>
    <row r="7" spans="1:42" x14ac:dyDescent="0.3">
      <c r="A7" s="92" t="s">
        <v>833</v>
      </c>
    </row>
    <row r="8" spans="1:42" ht="17.55" customHeight="1" x14ac:dyDescent="0.3">
      <c r="A8" s="93" t="s">
        <v>270</v>
      </c>
      <c r="D8" s="309" t="str">
        <f>IF('DR-TB 10A (Sputum &amp; EP Sample)'!C8="","",'DR-TB 10A (Sputum &amp; EP Sample)'!C8)</f>
        <v/>
      </c>
      <c r="E8" s="309"/>
      <c r="F8" s="309"/>
      <c r="H8" s="94" t="s">
        <v>271</v>
      </c>
      <c r="I8" s="401" t="str">
        <f>'DR-TB 10A (Sputum &amp; EP Sample)'!L6</f>
        <v>&lt;Dates&gt;</v>
      </c>
      <c r="J8" s="401"/>
      <c r="K8" s="401"/>
      <c r="L8" s="401"/>
      <c r="M8" s="401"/>
      <c r="N8" s="401"/>
      <c r="O8" s="401"/>
      <c r="P8" s="402"/>
    </row>
    <row r="9" spans="1:42" ht="17.55" customHeight="1" x14ac:dyDescent="0.3">
      <c r="A9" s="95" t="s">
        <v>834</v>
      </c>
      <c r="F9" s="20">
        <f>'DR-TB 10A (Sputum &amp; EP Sample)'!F18+'DR-TB 10A (Stool)'!F18</f>
        <v>0</v>
      </c>
    </row>
    <row r="10" spans="1:42" ht="24.6" customHeight="1" x14ac:dyDescent="0.3">
      <c r="A10" s="91" t="s">
        <v>866</v>
      </c>
    </row>
    <row r="11" spans="1:42" s="96" customFormat="1" ht="55.2" customHeight="1" x14ac:dyDescent="0.3">
      <c r="A11" s="310" t="s">
        <v>272</v>
      </c>
      <c r="B11" s="311" t="s">
        <v>843</v>
      </c>
      <c r="C11" s="300" t="s">
        <v>273</v>
      </c>
      <c r="D11" s="300" t="s">
        <v>277</v>
      </c>
      <c r="E11" s="300" t="s">
        <v>679</v>
      </c>
      <c r="F11" s="300" t="s">
        <v>274</v>
      </c>
      <c r="G11" s="300" t="s">
        <v>835</v>
      </c>
      <c r="H11" s="302" t="s">
        <v>849</v>
      </c>
      <c r="I11" s="306" t="s">
        <v>842</v>
      </c>
      <c r="J11" s="304" t="s">
        <v>275</v>
      </c>
      <c r="K11" s="304" t="s">
        <v>836</v>
      </c>
      <c r="L11" s="306" t="s">
        <v>823</v>
      </c>
      <c r="M11" s="306"/>
      <c r="N11" s="306"/>
      <c r="O11" s="306"/>
      <c r="P11" s="306"/>
      <c r="Q11" s="306"/>
      <c r="R11" s="306"/>
      <c r="S11" s="300" t="s">
        <v>824</v>
      </c>
      <c r="T11" s="304" t="s">
        <v>278</v>
      </c>
      <c r="U11" s="300" t="s">
        <v>703</v>
      </c>
      <c r="V11" s="302" t="s">
        <v>825</v>
      </c>
      <c r="W11" s="300" t="s">
        <v>838</v>
      </c>
      <c r="X11" s="300" t="s">
        <v>276</v>
      </c>
    </row>
    <row r="12" spans="1:42" s="96" customFormat="1" ht="55.2" customHeight="1" x14ac:dyDescent="0.3">
      <c r="A12" s="310"/>
      <c r="B12" s="311"/>
      <c r="C12" s="301"/>
      <c r="D12" s="301"/>
      <c r="E12" s="301"/>
      <c r="F12" s="301"/>
      <c r="G12" s="301"/>
      <c r="H12" s="303"/>
      <c r="I12" s="306"/>
      <c r="J12" s="305"/>
      <c r="K12" s="305"/>
      <c r="L12" s="153" t="s">
        <v>815</v>
      </c>
      <c r="M12" s="153" t="s">
        <v>826</v>
      </c>
      <c r="N12" s="153" t="s">
        <v>827</v>
      </c>
      <c r="O12" s="153" t="s">
        <v>828</v>
      </c>
      <c r="P12" s="153" t="s">
        <v>829</v>
      </c>
      <c r="Q12" s="153" t="s">
        <v>830</v>
      </c>
      <c r="R12" s="153" t="s">
        <v>831</v>
      </c>
      <c r="S12" s="301"/>
      <c r="T12" s="305"/>
      <c r="U12" s="301"/>
      <c r="V12" s="303"/>
      <c r="W12" s="301"/>
      <c r="X12" s="301"/>
    </row>
    <row r="13" spans="1:42" s="135" customFormat="1" ht="55.2" customHeight="1" x14ac:dyDescent="0.3">
      <c r="A13" s="404" t="s">
        <v>851</v>
      </c>
      <c r="B13" s="404" t="s">
        <v>852</v>
      </c>
      <c r="C13" s="404" t="s">
        <v>853</v>
      </c>
      <c r="D13" s="404" t="s">
        <v>854</v>
      </c>
      <c r="E13" s="404" t="s">
        <v>855</v>
      </c>
      <c r="F13" s="405" t="s">
        <v>856</v>
      </c>
      <c r="G13" s="405" t="s">
        <v>857</v>
      </c>
      <c r="H13" s="406" t="s">
        <v>858</v>
      </c>
      <c r="I13" s="137"/>
      <c r="J13" s="404" t="s">
        <v>859</v>
      </c>
      <c r="K13" s="404" t="s">
        <v>860</v>
      </c>
      <c r="L13" s="137"/>
      <c r="M13" s="137"/>
      <c r="N13" s="137"/>
      <c r="O13" s="137"/>
      <c r="P13" s="137"/>
      <c r="Q13" s="137"/>
      <c r="R13" s="137"/>
      <c r="S13" s="404" t="s">
        <v>861</v>
      </c>
      <c r="T13" s="404" t="s">
        <v>862</v>
      </c>
      <c r="U13" s="404" t="s">
        <v>863</v>
      </c>
      <c r="V13" s="142"/>
      <c r="W13" s="404" t="s">
        <v>864</v>
      </c>
      <c r="X13" s="407" t="s">
        <v>865</v>
      </c>
    </row>
    <row r="14" spans="1:42" hidden="1" x14ac:dyDescent="0.3">
      <c r="C14" s="97"/>
      <c r="I14" s="137"/>
    </row>
    <row r="15" spans="1:42" x14ac:dyDescent="0.3">
      <c r="C15" s="97"/>
      <c r="I15" s="403"/>
    </row>
    <row r="16" spans="1:42" ht="54.75" customHeight="1" x14ac:dyDescent="0.3">
      <c r="A16" s="307" t="s">
        <v>767</v>
      </c>
      <c r="B16" s="307"/>
      <c r="C16" s="307"/>
      <c r="D16" s="307"/>
      <c r="E16" s="307"/>
      <c r="F16" s="307"/>
      <c r="G16" s="307"/>
      <c r="H16" s="307"/>
      <c r="I16" s="307"/>
      <c r="J16" s="307"/>
      <c r="K16" s="307"/>
      <c r="L16" s="307"/>
      <c r="M16" s="307"/>
      <c r="N16" s="307"/>
      <c r="O16" s="307"/>
    </row>
    <row r="17" spans="1:15" ht="16.5" customHeight="1" x14ac:dyDescent="0.3">
      <c r="A17" s="19" t="s">
        <v>837</v>
      </c>
      <c r="B17" s="98"/>
      <c r="C17" s="98"/>
      <c r="D17" s="98"/>
      <c r="E17" s="98"/>
      <c r="F17" s="98"/>
      <c r="G17" s="98"/>
      <c r="H17" s="98"/>
      <c r="I17" s="98"/>
      <c r="J17" s="98"/>
      <c r="K17" s="98"/>
      <c r="L17" s="98"/>
      <c r="M17" s="98"/>
      <c r="N17" s="98"/>
      <c r="O17" s="98"/>
    </row>
  </sheetData>
  <sheetProtection insertRows="0" deleteRows="0"/>
  <mergeCells count="26">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 ref="I11:I12"/>
    <mergeCell ref="U11:U12"/>
    <mergeCell ref="V11:V12"/>
    <mergeCell ref="W11:W12"/>
    <mergeCell ref="X11:X12"/>
    <mergeCell ref="J11:J12"/>
    <mergeCell ref="K11:K12"/>
    <mergeCell ref="L11:R11"/>
    <mergeCell ref="S11:S12"/>
    <mergeCell ref="T11:T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formula1>"2015, 2016,2017,2018,2019, 2020"</formula1>
    </dataValidation>
    <dataValidation type="list" allowBlank="1" showInputMessage="1" showErrorMessage="1" sqref="R13">
      <formula1>"Not Detected, Resistance, Invalid, Error, No result"</formula1>
    </dataValidation>
    <dataValidation type="list" allowBlank="1" showInputMessage="1" showErrorMessage="1" sqref="O13:Q13">
      <formula1>"Not Detected, Resistance, Indeterminate, Error, Invalid, No Result"</formula1>
    </dataValidation>
    <dataValidation type="list" allowBlank="1" showInputMessage="1" showErrorMessage="1" sqref="M13:N13">
      <formula1>"Not Detected, Resistance, Low Resistance, Indeterminate, Error, Invalid, No Result"</formula1>
    </dataValidation>
    <dataValidation type="list" allowBlank="1" showInputMessage="1" showErrorMessage="1" sqref="L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K11" sqref="K11:L11"/>
    </sheetView>
  </sheetViews>
  <sheetFormatPr defaultColWidth="9.21875" defaultRowHeight="14.4" x14ac:dyDescent="0.3"/>
  <cols>
    <col min="1" max="1" width="11" style="101" customWidth="1"/>
    <col min="2" max="2" width="9.21875" style="101"/>
    <col min="3" max="3" width="11.77734375" style="101" customWidth="1"/>
    <col min="4" max="4" width="9.21875" style="101"/>
    <col min="5" max="5" width="10.77734375" style="101" customWidth="1"/>
    <col min="6" max="16384" width="9.21875" style="101"/>
  </cols>
  <sheetData>
    <row r="1" spans="1:21" s="100" customFormat="1" ht="18" x14ac:dyDescent="0.3">
      <c r="A1" s="343" t="s">
        <v>698</v>
      </c>
      <c r="B1" s="343"/>
      <c r="C1" s="343"/>
      <c r="D1" s="343"/>
      <c r="E1" s="343"/>
      <c r="F1" s="343"/>
      <c r="G1" s="343"/>
      <c r="H1" s="343"/>
      <c r="I1" s="343"/>
      <c r="J1" s="343"/>
      <c r="K1" s="343"/>
      <c r="L1" s="343"/>
      <c r="M1" s="343"/>
      <c r="N1" s="343"/>
      <c r="O1" s="343"/>
      <c r="P1" s="343" t="s">
        <v>697</v>
      </c>
      <c r="Q1" s="343"/>
      <c r="R1" s="343"/>
      <c r="S1" s="343"/>
      <c r="T1" s="99"/>
      <c r="U1" s="99"/>
    </row>
    <row r="2" spans="1:21" s="100" customFormat="1" ht="18" x14ac:dyDescent="0.3">
      <c r="A2" s="343" t="s">
        <v>63</v>
      </c>
      <c r="B2" s="343"/>
      <c r="C2" s="343"/>
      <c r="D2" s="343"/>
      <c r="E2" s="343"/>
      <c r="F2" s="343"/>
      <c r="G2" s="343"/>
      <c r="H2" s="343"/>
      <c r="I2" s="343"/>
      <c r="J2" s="343"/>
      <c r="K2" s="343"/>
      <c r="L2" s="343"/>
      <c r="M2" s="343"/>
      <c r="N2" s="343"/>
      <c r="O2" s="343"/>
      <c r="P2" s="343"/>
      <c r="Q2" s="343"/>
      <c r="R2" s="343"/>
      <c r="S2" s="343"/>
      <c r="T2" s="343"/>
      <c r="U2" s="343"/>
    </row>
    <row r="3" spans="1:21" s="100" customFormat="1" ht="18" x14ac:dyDescent="0.3">
      <c r="A3" s="343" t="s">
        <v>680</v>
      </c>
      <c r="B3" s="343"/>
      <c r="C3" s="343"/>
      <c r="D3" s="343"/>
      <c r="E3" s="343"/>
      <c r="F3" s="343"/>
      <c r="G3" s="343"/>
      <c r="H3" s="343"/>
      <c r="I3" s="343"/>
      <c r="J3" s="343"/>
      <c r="K3" s="343"/>
      <c r="L3" s="343"/>
      <c r="M3" s="343"/>
      <c r="N3" s="343"/>
      <c r="O3" s="343"/>
      <c r="P3" s="343"/>
      <c r="Q3" s="343"/>
      <c r="R3" s="343"/>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43" t="s">
        <v>681</v>
      </c>
      <c r="B5" s="343"/>
      <c r="C5" s="343"/>
      <c r="D5" s="343"/>
      <c r="E5" s="343"/>
      <c r="F5" s="343"/>
      <c r="G5" s="343"/>
      <c r="H5" s="343"/>
      <c r="I5" s="343"/>
      <c r="J5" s="343"/>
      <c r="K5" s="343"/>
      <c r="L5" s="343"/>
      <c r="M5" s="343"/>
      <c r="N5" s="343"/>
      <c r="O5" s="343"/>
      <c r="P5" s="343"/>
      <c r="Q5" s="343"/>
      <c r="R5" s="343"/>
      <c r="S5" s="343"/>
      <c r="T5" s="343"/>
      <c r="U5" s="343"/>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44">
        <f>'DR-TB 10A (Sputum &amp; EP Sample)'!C6:G6</f>
        <v>0</v>
      </c>
      <c r="D7" s="344"/>
      <c r="E7" s="344"/>
      <c r="F7" s="344"/>
      <c r="G7" s="344"/>
      <c r="I7" s="2"/>
      <c r="J7" s="25" t="s">
        <v>14</v>
      </c>
      <c r="K7" s="100"/>
      <c r="L7" s="28" t="str">
        <f>'DR-TB 10A (Sputum &amp; EP Sample)'!L6</f>
        <v>&lt;Dates&gt;</v>
      </c>
    </row>
    <row r="8" spans="1:21" ht="16.8" x14ac:dyDescent="0.3">
      <c r="A8" s="2" t="s">
        <v>9</v>
      </c>
      <c r="B8" s="2"/>
      <c r="C8" s="331">
        <f>'DR-TB 10A (Sputum &amp; EP Sample)'!C7:G7</f>
        <v>0</v>
      </c>
      <c r="D8" s="331"/>
      <c r="E8" s="331"/>
      <c r="F8" s="331"/>
      <c r="G8" s="331"/>
      <c r="I8" s="102"/>
      <c r="J8" s="1" t="s">
        <v>682</v>
      </c>
      <c r="K8" s="24"/>
      <c r="L8" s="24"/>
      <c r="M8" s="24"/>
      <c r="N8" s="335">
        <f>'DR-TB 10A (Sputum &amp; EP Sample)'!N7:S7</f>
        <v>0</v>
      </c>
      <c r="O8" s="335"/>
      <c r="P8" s="335"/>
      <c r="Q8" s="335"/>
      <c r="R8" s="335"/>
      <c r="S8" s="335"/>
    </row>
    <row r="9" spans="1:21" ht="16.8" x14ac:dyDescent="0.3">
      <c r="A9" s="2" t="s">
        <v>10</v>
      </c>
      <c r="B9" s="2"/>
      <c r="C9" s="331">
        <f>'DR-TB 10A (Sputum &amp; EP Sample)'!C8:G8</f>
        <v>0</v>
      </c>
      <c r="D9" s="331"/>
      <c r="E9" s="331"/>
      <c r="F9" s="331"/>
      <c r="G9" s="331"/>
      <c r="I9" s="102"/>
      <c r="J9" s="102" t="s">
        <v>64</v>
      </c>
      <c r="K9" s="102"/>
      <c r="L9" s="102"/>
      <c r="M9" s="335">
        <f>'DR-TB 10A (Sputum &amp; EP Sample)'!M8:S8</f>
        <v>0</v>
      </c>
      <c r="N9" s="335"/>
      <c r="O9" s="335"/>
      <c r="P9" s="335"/>
      <c r="Q9" s="335"/>
      <c r="R9" s="335"/>
      <c r="S9" s="335"/>
    </row>
    <row r="10" spans="1:21" ht="16.8" x14ac:dyDescent="0.3">
      <c r="J10" s="102" t="s">
        <v>11</v>
      </c>
      <c r="K10" s="102"/>
      <c r="L10" s="102"/>
      <c r="M10" s="336">
        <f>'DR-TB 10A (Sputum &amp; EP Sample)'!M9:N9</f>
        <v>0</v>
      </c>
      <c r="N10" s="336"/>
      <c r="O10" s="103"/>
      <c r="P10" s="22"/>
    </row>
    <row r="11" spans="1:21" ht="16.8" x14ac:dyDescent="0.3">
      <c r="J11" s="104" t="s">
        <v>69</v>
      </c>
      <c r="K11" s="337">
        <f>'DR-TB 10A (Sputum &amp; EP Sample)'!K10:L10</f>
        <v>0</v>
      </c>
      <c r="L11" s="337"/>
      <c r="M11" s="104"/>
      <c r="N11" s="105"/>
      <c r="O11" s="102" t="s">
        <v>12</v>
      </c>
      <c r="Q11" s="338">
        <f>'DR-TB 10A (Sputum &amp; EP Sample)'!Q10:S10</f>
        <v>0</v>
      </c>
      <c r="R11" s="339"/>
      <c r="S11" s="339"/>
      <c r="T11" s="106"/>
    </row>
    <row r="12" spans="1:21" ht="16.2" thickBot="1" x14ac:dyDescent="0.35">
      <c r="J12" s="104"/>
      <c r="K12" s="107"/>
      <c r="L12" s="107"/>
      <c r="M12" s="104"/>
      <c r="N12" s="105"/>
      <c r="O12" s="102"/>
      <c r="Q12" s="27"/>
      <c r="R12" s="27"/>
      <c r="S12" s="27"/>
      <c r="T12" s="106"/>
    </row>
    <row r="13" spans="1:21" ht="17.399999999999999" thickBot="1" x14ac:dyDescent="0.35">
      <c r="A13" s="312" t="s">
        <v>683</v>
      </c>
      <c r="B13" s="332" t="s">
        <v>684</v>
      </c>
      <c r="C13" s="332"/>
      <c r="D13" s="332" t="s">
        <v>685</v>
      </c>
      <c r="E13" s="332"/>
      <c r="H13" s="315" t="s">
        <v>686</v>
      </c>
      <c r="I13" s="316"/>
      <c r="J13" s="316"/>
      <c r="K13" s="317"/>
      <c r="L13" s="321" t="s">
        <v>687</v>
      </c>
      <c r="M13" s="321"/>
      <c r="N13" s="321"/>
      <c r="O13" s="322" t="s">
        <v>3</v>
      </c>
      <c r="P13" s="323"/>
      <c r="Q13" s="106"/>
    </row>
    <row r="14" spans="1:21" ht="16.2" thickBot="1" x14ac:dyDescent="0.35">
      <c r="A14" s="313"/>
      <c r="B14" s="333"/>
      <c r="C14" s="334"/>
      <c r="D14" s="333"/>
      <c r="E14" s="334"/>
      <c r="H14" s="318"/>
      <c r="I14" s="319"/>
      <c r="J14" s="319"/>
      <c r="K14" s="320"/>
      <c r="L14" s="108"/>
      <c r="M14" s="109"/>
      <c r="N14" s="110"/>
      <c r="O14" s="324">
        <f>L14+M14+N14</f>
        <v>0</v>
      </c>
      <c r="P14" s="325"/>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26"/>
      <c r="B17" s="326"/>
      <c r="C17" s="326" t="s">
        <v>688</v>
      </c>
      <c r="D17" s="326"/>
      <c r="E17" s="326"/>
      <c r="F17" s="342" t="s">
        <v>689</v>
      </c>
      <c r="G17" s="342"/>
      <c r="H17" s="342"/>
      <c r="I17" s="342"/>
      <c r="J17" s="342"/>
      <c r="K17" s="342"/>
      <c r="L17" s="326" t="s">
        <v>690</v>
      </c>
      <c r="M17" s="326"/>
      <c r="N17" s="326"/>
      <c r="O17" s="326"/>
      <c r="P17" s="326"/>
      <c r="Q17" s="326"/>
      <c r="U17" s="340"/>
    </row>
    <row r="18" spans="1:21" x14ac:dyDescent="0.3">
      <c r="A18" s="326"/>
      <c r="B18" s="326"/>
      <c r="C18" s="314" t="s">
        <v>691</v>
      </c>
      <c r="D18" s="314" t="s">
        <v>692</v>
      </c>
      <c r="E18" s="314" t="s">
        <v>3</v>
      </c>
      <c r="F18" s="342" t="s">
        <v>691</v>
      </c>
      <c r="G18" s="342"/>
      <c r="H18" s="342" t="s">
        <v>692</v>
      </c>
      <c r="I18" s="342"/>
      <c r="J18" s="342" t="s">
        <v>3</v>
      </c>
      <c r="K18" s="342"/>
      <c r="L18" s="326" t="s">
        <v>691</v>
      </c>
      <c r="M18" s="326"/>
      <c r="N18" s="326" t="s">
        <v>692</v>
      </c>
      <c r="O18" s="326"/>
      <c r="P18" s="314" t="s">
        <v>3</v>
      </c>
      <c r="Q18" s="314"/>
      <c r="U18" s="340"/>
    </row>
    <row r="19" spans="1:21" x14ac:dyDescent="0.3">
      <c r="A19" s="326"/>
      <c r="B19" s="326"/>
      <c r="C19" s="314"/>
      <c r="D19" s="314"/>
      <c r="E19" s="314"/>
      <c r="F19" s="342"/>
      <c r="G19" s="342"/>
      <c r="H19" s="342"/>
      <c r="I19" s="342"/>
      <c r="J19" s="342"/>
      <c r="K19" s="342"/>
      <c r="L19" s="326"/>
      <c r="M19" s="326"/>
      <c r="N19" s="326"/>
      <c r="O19" s="326"/>
      <c r="P19" s="314"/>
      <c r="Q19" s="314"/>
      <c r="U19" s="340"/>
    </row>
    <row r="20" spans="1:21" ht="15" customHeight="1" x14ac:dyDescent="0.3">
      <c r="A20" s="326" t="s">
        <v>693</v>
      </c>
      <c r="B20" s="326"/>
      <c r="C20" s="330"/>
      <c r="D20" s="330"/>
      <c r="E20" s="314">
        <f>C20+D20</f>
        <v>0</v>
      </c>
      <c r="F20" s="328"/>
      <c r="G20" s="328"/>
      <c r="H20" s="329"/>
      <c r="I20" s="329"/>
      <c r="J20" s="327">
        <f>F20+H20</f>
        <v>0</v>
      </c>
      <c r="K20" s="327"/>
      <c r="L20" s="314">
        <f>C20+F20</f>
        <v>0</v>
      </c>
      <c r="M20" s="314"/>
      <c r="N20" s="314">
        <f>D20+H20</f>
        <v>0</v>
      </c>
      <c r="O20" s="314"/>
      <c r="P20" s="314">
        <f>L20+N20</f>
        <v>0</v>
      </c>
      <c r="Q20" s="314"/>
      <c r="U20" s="341"/>
    </row>
    <row r="21" spans="1:21" ht="15" customHeight="1" x14ac:dyDescent="0.3">
      <c r="A21" s="326"/>
      <c r="B21" s="326"/>
      <c r="C21" s="330"/>
      <c r="D21" s="330"/>
      <c r="E21" s="314"/>
      <c r="F21" s="328"/>
      <c r="G21" s="328"/>
      <c r="H21" s="329"/>
      <c r="I21" s="329"/>
      <c r="J21" s="327"/>
      <c r="K21" s="327"/>
      <c r="L21" s="314"/>
      <c r="M21" s="314"/>
      <c r="N21" s="314"/>
      <c r="O21" s="314"/>
      <c r="P21" s="314"/>
      <c r="Q21" s="314"/>
      <c r="U21" s="341"/>
    </row>
    <row r="22" spans="1:21" ht="15" customHeight="1" x14ac:dyDescent="0.3">
      <c r="A22" s="326"/>
      <c r="B22" s="326"/>
      <c r="C22" s="330"/>
      <c r="D22" s="330"/>
      <c r="E22" s="314"/>
      <c r="F22" s="328"/>
      <c r="G22" s="328"/>
      <c r="H22" s="329"/>
      <c r="I22" s="329"/>
      <c r="J22" s="327"/>
      <c r="K22" s="327"/>
      <c r="L22" s="314"/>
      <c r="M22" s="314"/>
      <c r="N22" s="314"/>
      <c r="O22" s="314"/>
      <c r="P22" s="314"/>
      <c r="Q22" s="314"/>
      <c r="U22" s="341"/>
    </row>
    <row r="23" spans="1:21" ht="15.6" x14ac:dyDescent="0.3">
      <c r="A23" s="326" t="s">
        <v>694</v>
      </c>
      <c r="B23" s="326"/>
      <c r="C23" s="330"/>
      <c r="D23" s="330"/>
      <c r="E23" s="314">
        <f t="shared" ref="E23" si="0">C23+D23</f>
        <v>0</v>
      </c>
      <c r="F23" s="328"/>
      <c r="G23" s="328"/>
      <c r="H23" s="329"/>
      <c r="I23" s="329"/>
      <c r="J23" s="327">
        <f t="shared" ref="J23" si="1">F23+H23</f>
        <v>0</v>
      </c>
      <c r="K23" s="327"/>
      <c r="L23" s="314">
        <f t="shared" ref="L23" si="2">C23+F23</f>
        <v>0</v>
      </c>
      <c r="M23" s="314"/>
      <c r="N23" s="314">
        <f t="shared" ref="N23" si="3">D23+H23</f>
        <v>0</v>
      </c>
      <c r="O23" s="314"/>
      <c r="P23" s="314">
        <f t="shared" ref="P23" si="4">L23+N23</f>
        <v>0</v>
      </c>
      <c r="Q23" s="314"/>
      <c r="U23" s="33"/>
    </row>
    <row r="24" spans="1:21" ht="15.6" x14ac:dyDescent="0.3">
      <c r="A24" s="326"/>
      <c r="B24" s="326"/>
      <c r="C24" s="330"/>
      <c r="D24" s="330"/>
      <c r="E24" s="314"/>
      <c r="F24" s="328"/>
      <c r="G24" s="328"/>
      <c r="H24" s="329"/>
      <c r="I24" s="329"/>
      <c r="J24" s="327"/>
      <c r="K24" s="327"/>
      <c r="L24" s="314"/>
      <c r="M24" s="314"/>
      <c r="N24" s="314"/>
      <c r="O24" s="314"/>
      <c r="P24" s="314"/>
      <c r="Q24" s="314"/>
      <c r="U24" s="33"/>
    </row>
    <row r="25" spans="1:21" ht="15.6" x14ac:dyDescent="0.3">
      <c r="A25" s="326"/>
      <c r="B25" s="326"/>
      <c r="C25" s="330"/>
      <c r="D25" s="330"/>
      <c r="E25" s="314"/>
      <c r="F25" s="328"/>
      <c r="G25" s="328"/>
      <c r="H25" s="329"/>
      <c r="I25" s="329"/>
      <c r="J25" s="327"/>
      <c r="K25" s="327"/>
      <c r="L25" s="314"/>
      <c r="M25" s="314"/>
      <c r="N25" s="314"/>
      <c r="O25" s="314"/>
      <c r="P25" s="314"/>
      <c r="Q25" s="314"/>
      <c r="U25" s="33"/>
    </row>
    <row r="26" spans="1:21" ht="15.6" x14ac:dyDescent="0.3">
      <c r="A26" s="326" t="s">
        <v>695</v>
      </c>
      <c r="B26" s="326"/>
      <c r="C26" s="330"/>
      <c r="D26" s="330"/>
      <c r="E26" s="314">
        <f t="shared" ref="E26" si="5">C26+D26</f>
        <v>0</v>
      </c>
      <c r="F26" s="328"/>
      <c r="G26" s="328"/>
      <c r="H26" s="329"/>
      <c r="I26" s="329"/>
      <c r="J26" s="327">
        <f t="shared" ref="J26" si="6">F26+H26</f>
        <v>0</v>
      </c>
      <c r="K26" s="327"/>
      <c r="L26" s="314">
        <f t="shared" ref="L26" si="7">C26+F26</f>
        <v>0</v>
      </c>
      <c r="M26" s="314"/>
      <c r="N26" s="314">
        <f t="shared" ref="N26" si="8">D26+H26</f>
        <v>0</v>
      </c>
      <c r="O26" s="314"/>
      <c r="P26" s="314">
        <f t="shared" ref="P26" si="9">L26+N26</f>
        <v>0</v>
      </c>
      <c r="Q26" s="314"/>
      <c r="R26" s="32"/>
      <c r="S26" s="33"/>
      <c r="T26" s="33"/>
      <c r="U26" s="33"/>
    </row>
    <row r="27" spans="1:21" ht="15.6" x14ac:dyDescent="0.3">
      <c r="A27" s="326"/>
      <c r="B27" s="326"/>
      <c r="C27" s="330"/>
      <c r="D27" s="330"/>
      <c r="E27" s="314"/>
      <c r="F27" s="328"/>
      <c r="G27" s="328"/>
      <c r="H27" s="329"/>
      <c r="I27" s="329"/>
      <c r="J27" s="327"/>
      <c r="K27" s="327"/>
      <c r="L27" s="314"/>
      <c r="M27" s="314"/>
      <c r="N27" s="314"/>
      <c r="O27" s="314"/>
      <c r="P27" s="314"/>
      <c r="Q27" s="314"/>
      <c r="R27" s="32"/>
      <c r="S27" s="33"/>
      <c r="T27" s="33"/>
      <c r="U27" s="33"/>
    </row>
    <row r="28" spans="1:21" ht="15.6" x14ac:dyDescent="0.3">
      <c r="A28" s="326"/>
      <c r="B28" s="326"/>
      <c r="C28" s="330"/>
      <c r="D28" s="330"/>
      <c r="E28" s="314"/>
      <c r="F28" s="328"/>
      <c r="G28" s="328"/>
      <c r="H28" s="329"/>
      <c r="I28" s="329"/>
      <c r="J28" s="327"/>
      <c r="K28" s="327"/>
      <c r="L28" s="314"/>
      <c r="M28" s="314"/>
      <c r="N28" s="314"/>
      <c r="O28" s="314"/>
      <c r="P28" s="314"/>
      <c r="Q28" s="31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45"/>
      <c r="N30" s="345"/>
      <c r="O30" s="345"/>
      <c r="P30" s="345"/>
      <c r="Q30" s="345"/>
      <c r="R30" s="345"/>
      <c r="S30" s="345"/>
    </row>
    <row r="31" spans="1:21" ht="16.8" x14ac:dyDescent="0.3">
      <c r="A31" s="114"/>
      <c r="B31" s="114"/>
      <c r="C31" s="114"/>
      <c r="D31" s="114"/>
      <c r="E31" s="26"/>
      <c r="F31" s="26"/>
      <c r="G31" s="25"/>
      <c r="H31" s="106" t="s">
        <v>56</v>
      </c>
      <c r="I31" s="348"/>
      <c r="J31" s="348"/>
      <c r="K31" s="348"/>
      <c r="L31" s="348"/>
      <c r="N31" s="115" t="s">
        <v>57</v>
      </c>
      <c r="O31" s="346"/>
      <c r="P31" s="346"/>
      <c r="Q31" s="346"/>
    </row>
    <row r="32" spans="1:21" ht="16.8" x14ac:dyDescent="0.3">
      <c r="A32" s="25"/>
      <c r="B32" s="23"/>
      <c r="C32" s="23"/>
      <c r="D32" s="23"/>
      <c r="E32" s="25"/>
      <c r="F32" s="25"/>
      <c r="G32" s="26"/>
      <c r="H32" s="106" t="s">
        <v>58</v>
      </c>
      <c r="I32" s="347"/>
      <c r="J32" s="347"/>
      <c r="K32" s="347"/>
      <c r="L32" s="347"/>
      <c r="M32" s="347"/>
    </row>
    <row r="33" spans="1:8" ht="15.6" x14ac:dyDescent="0.3">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U20:U22"/>
    <mergeCell ref="J23:K25"/>
    <mergeCell ref="F18:G19"/>
    <mergeCell ref="H18:I19"/>
    <mergeCell ref="J18:K19"/>
    <mergeCell ref="F17:K17"/>
    <mergeCell ref="L18:M19"/>
    <mergeCell ref="L17:Q17"/>
    <mergeCell ref="P18:Q19"/>
    <mergeCell ref="L20:M22"/>
    <mergeCell ref="L23:M25"/>
    <mergeCell ref="N20:O22"/>
    <mergeCell ref="N23:O25"/>
    <mergeCell ref="P20:Q22"/>
    <mergeCell ref="P23:Q25"/>
    <mergeCell ref="N8:S8"/>
    <mergeCell ref="M9:S9"/>
    <mergeCell ref="M10:N10"/>
    <mergeCell ref="K11:L11"/>
    <mergeCell ref="Q11:S11"/>
    <mergeCell ref="C8:G8"/>
    <mergeCell ref="C17:E17"/>
    <mergeCell ref="C18:C19"/>
    <mergeCell ref="D18:D19"/>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P13"/>
  <sheetViews>
    <sheetView zoomScaleNormal="100" workbookViewId="0">
      <selection sqref="A1:A3"/>
    </sheetView>
  </sheetViews>
  <sheetFormatPr defaultColWidth="9.21875" defaultRowHeight="14.4" x14ac:dyDescent="0.3"/>
  <cols>
    <col min="1" max="1" width="14.44140625" style="101" customWidth="1"/>
    <col min="2" max="2" width="9.77734375" style="101" customWidth="1"/>
    <col min="3" max="3" width="13.44140625" style="101" customWidth="1"/>
    <col min="4" max="7" width="9.21875" style="101"/>
    <col min="8" max="8" width="11.21875" style="138" bestFit="1" customWidth="1"/>
    <col min="9" max="9" width="14.21875" style="101" customWidth="1"/>
    <col min="10" max="10" width="18" style="101" customWidth="1"/>
    <col min="11" max="16" width="9.21875" style="101"/>
    <col min="17" max="17" width="12.77734375" style="101" bestFit="1" customWidth="1"/>
    <col min="18" max="18" width="11.77734375" style="101" bestFit="1" customWidth="1"/>
    <col min="19" max="23" width="9.21875" style="101"/>
    <col min="24" max="24" width="11.21875" style="138" bestFit="1" customWidth="1"/>
    <col min="25" max="30" width="9.21875" style="101"/>
    <col min="31" max="31" width="10.21875" style="101" bestFit="1" customWidth="1"/>
    <col min="32" max="32" width="9.21875" style="101"/>
    <col min="33" max="33" width="10.21875" style="101" bestFit="1" customWidth="1"/>
    <col min="34" max="64" width="9.21875" style="101"/>
    <col min="65" max="65" width="19.5546875" style="101" customWidth="1"/>
    <col min="66" max="84" width="9.21875" style="101"/>
    <col min="85" max="85" width="10.21875" style="101" customWidth="1"/>
    <col min="86" max="88" width="9.21875" style="101"/>
    <col min="89" max="89" width="10" style="101" customWidth="1"/>
    <col min="90" max="90" width="9.77734375" style="101" customWidth="1"/>
    <col min="91" max="16384" width="9.21875" style="101"/>
  </cols>
  <sheetData>
    <row r="1" spans="1:146" s="100" customFormat="1" ht="29.25" customHeight="1" x14ac:dyDescent="0.3">
      <c r="A1" s="359" t="s">
        <v>161</v>
      </c>
      <c r="B1" s="359" t="s">
        <v>280</v>
      </c>
      <c r="C1" s="359" t="s">
        <v>806</v>
      </c>
      <c r="D1" s="360"/>
      <c r="E1" s="363" t="s">
        <v>281</v>
      </c>
      <c r="F1" s="363"/>
      <c r="G1" s="363"/>
      <c r="H1" s="365" t="s">
        <v>282</v>
      </c>
      <c r="I1" s="365"/>
      <c r="J1" s="365"/>
      <c r="K1" s="365"/>
      <c r="L1" s="365"/>
      <c r="M1" s="365"/>
      <c r="N1" s="365"/>
      <c r="O1" s="365"/>
      <c r="P1" s="365"/>
      <c r="Q1" s="365"/>
      <c r="R1" s="365"/>
      <c r="S1" s="365"/>
      <c r="T1" s="365"/>
      <c r="U1" s="365"/>
      <c r="V1" s="365"/>
      <c r="W1" s="365"/>
      <c r="X1" s="365"/>
      <c r="Y1" s="365"/>
      <c r="Z1" s="365"/>
      <c r="AA1" s="365"/>
      <c r="AB1" s="365"/>
      <c r="AC1" s="365"/>
      <c r="AD1" s="365"/>
      <c r="AE1" s="365"/>
      <c r="AF1" s="365"/>
      <c r="AG1" s="365" t="s">
        <v>283</v>
      </c>
      <c r="AH1" s="365"/>
      <c r="AI1" s="365"/>
      <c r="AJ1" s="365"/>
      <c r="AK1" s="366" t="s">
        <v>284</v>
      </c>
      <c r="AL1" s="366" t="s">
        <v>285</v>
      </c>
      <c r="AM1" s="366" t="s">
        <v>286</v>
      </c>
      <c r="AN1" s="366" t="s">
        <v>287</v>
      </c>
      <c r="AO1" s="366"/>
      <c r="AP1" s="366"/>
      <c r="AQ1" s="366"/>
      <c r="AR1" s="366" t="s">
        <v>288</v>
      </c>
      <c r="AS1" s="372" t="s">
        <v>289</v>
      </c>
      <c r="AT1" s="373"/>
      <c r="AU1" s="373"/>
      <c r="AV1" s="374"/>
      <c r="AW1" s="387" t="s">
        <v>290</v>
      </c>
      <c r="AX1" s="366" t="s">
        <v>291</v>
      </c>
      <c r="AY1" s="366"/>
      <c r="AZ1" s="366"/>
      <c r="BA1" s="366"/>
      <c r="BB1" s="387" t="s">
        <v>292</v>
      </c>
      <c r="BC1" s="351" t="s">
        <v>820</v>
      </c>
      <c r="BD1" s="381" t="s">
        <v>75</v>
      </c>
      <c r="BE1" s="381"/>
      <c r="BF1" s="381"/>
      <c r="BG1" s="381" t="s">
        <v>67</v>
      </c>
      <c r="BH1" s="381"/>
      <c r="BI1" s="381"/>
      <c r="BJ1" s="381" t="s">
        <v>3</v>
      </c>
      <c r="BK1" s="357" t="str">
        <f>'DR-TB 10A (Sputum &amp; EP Sample)'!J7</f>
        <v>Name of the person completing the report :</v>
      </c>
      <c r="BL1" s="357" t="str">
        <f>'DR-TB 10A (Sputum &amp; EP Sample)'!J8</f>
        <v>Designation and organization :</v>
      </c>
      <c r="BM1" s="357" t="str">
        <f>'DR-TB 10A (Sputum &amp; EP Sample)'!O10</f>
        <v>Cell Number :</v>
      </c>
      <c r="BN1" s="349" t="str">
        <f>'COVID19 Reporting Form'!B13</f>
        <v>Cartridges Received</v>
      </c>
      <c r="BO1" s="349" t="str">
        <f>'COVID19 Reporting Form'!D13</f>
        <v>Cartridges in Hand</v>
      </c>
      <c r="BP1" s="349" t="str">
        <f>'COVID19 Reporting Form'!C17</f>
        <v>Type of test : New</v>
      </c>
      <c r="BQ1" s="349"/>
      <c r="BR1" s="349"/>
      <c r="BS1" s="349"/>
      <c r="BT1" s="349"/>
      <c r="BU1" s="349"/>
      <c r="BV1" s="349" t="str">
        <f>'COVID19 Reporting Form'!F17</f>
        <v xml:space="preserve">Type of Test : Follow up </v>
      </c>
      <c r="BW1" s="349"/>
      <c r="BX1" s="349"/>
      <c r="BY1" s="349"/>
      <c r="BZ1" s="349"/>
      <c r="CA1" s="349"/>
      <c r="CB1" s="349" t="s">
        <v>686</v>
      </c>
      <c r="CC1" s="349"/>
      <c r="CD1" s="349"/>
      <c r="CE1" s="353" t="str">
        <f>'DR-TB 10A (Sputum &amp; EP Sample)'!J12</f>
        <v>For Xpert</v>
      </c>
      <c r="CF1" s="354"/>
      <c r="CG1" s="355"/>
      <c r="CH1" s="353" t="str">
        <f>'DR-TB 10A (Sputum &amp; EP Sample)'!N12</f>
        <v>For Truenat</v>
      </c>
      <c r="CI1" s="354"/>
      <c r="CJ1" s="354"/>
      <c r="CK1" s="354"/>
      <c r="CL1" s="354"/>
      <c r="CM1" s="354"/>
      <c r="CN1" s="354"/>
      <c r="CO1" s="354"/>
      <c r="CP1" s="355"/>
      <c r="CQ1" s="349" t="str">
        <f>'DR-TB 10A (Sputum &amp; EP Sample)'!G38</f>
        <v>Eligible for XDR Testing</v>
      </c>
      <c r="CR1" s="349" t="str">
        <f>'DR-TB 10A (Sputum &amp; EP Sample)'!H38</f>
        <v>Tested by XDR Cartridge</v>
      </c>
      <c r="CS1" s="363" t="s">
        <v>281</v>
      </c>
      <c r="CT1" s="363"/>
      <c r="CU1" s="363"/>
      <c r="CV1" s="365" t="s">
        <v>282</v>
      </c>
      <c r="CW1" s="365"/>
      <c r="CX1" s="365"/>
      <c r="CY1" s="365"/>
      <c r="CZ1" s="365"/>
      <c r="DA1" s="365"/>
      <c r="DB1" s="365"/>
      <c r="DC1" s="365"/>
      <c r="DD1" s="365"/>
      <c r="DE1" s="365"/>
      <c r="DF1" s="365"/>
      <c r="DG1" s="365"/>
      <c r="DH1" s="365"/>
      <c r="DI1" s="365"/>
      <c r="DJ1" s="365"/>
      <c r="DK1" s="365"/>
      <c r="DL1" s="365"/>
      <c r="DM1" s="365"/>
      <c r="DN1" s="365"/>
      <c r="DO1" s="365"/>
      <c r="DP1" s="365"/>
      <c r="DQ1" s="365"/>
      <c r="DR1" s="365"/>
      <c r="DS1" s="365"/>
      <c r="DT1" s="365"/>
      <c r="DU1" s="365" t="s">
        <v>283</v>
      </c>
      <c r="DV1" s="365"/>
      <c r="DW1" s="365"/>
      <c r="DX1" s="365"/>
      <c r="DY1" s="366" t="s">
        <v>284</v>
      </c>
      <c r="DZ1" s="366" t="s">
        <v>285</v>
      </c>
      <c r="EA1" s="366" t="s">
        <v>286</v>
      </c>
      <c r="EB1" s="366" t="s">
        <v>287</v>
      </c>
      <c r="EC1" s="366"/>
      <c r="ED1" s="366"/>
      <c r="EE1" s="366"/>
      <c r="EF1" s="366" t="s">
        <v>288</v>
      </c>
      <c r="EG1" s="372" t="s">
        <v>289</v>
      </c>
      <c r="EH1" s="373"/>
      <c r="EI1" s="373"/>
      <c r="EJ1" s="374"/>
      <c r="EK1" s="387" t="s">
        <v>290</v>
      </c>
      <c r="EL1" s="366" t="s">
        <v>291</v>
      </c>
      <c r="EM1" s="366"/>
      <c r="EN1" s="366"/>
      <c r="EO1" s="366"/>
      <c r="EP1" s="387" t="s">
        <v>292</v>
      </c>
    </row>
    <row r="2" spans="1:146" s="100" customFormat="1" ht="33.75" customHeight="1" x14ac:dyDescent="0.3">
      <c r="A2" s="359"/>
      <c r="B2" s="359"/>
      <c r="C2" s="359"/>
      <c r="D2" s="361"/>
      <c r="E2" s="382" t="s">
        <v>43</v>
      </c>
      <c r="F2" s="384" t="s">
        <v>44</v>
      </c>
      <c r="G2" s="385" t="s">
        <v>304</v>
      </c>
      <c r="H2" s="386" t="s">
        <v>18</v>
      </c>
      <c r="I2" s="364" t="s">
        <v>19</v>
      </c>
      <c r="J2" s="364" t="s">
        <v>20</v>
      </c>
      <c r="K2" s="364" t="s">
        <v>22</v>
      </c>
      <c r="L2" s="364" t="s">
        <v>24</v>
      </c>
      <c r="M2" s="364" t="s">
        <v>26</v>
      </c>
      <c r="N2" s="364" t="s">
        <v>28</v>
      </c>
      <c r="O2" s="364" t="s">
        <v>30</v>
      </c>
      <c r="P2" s="364" t="s">
        <v>32</v>
      </c>
      <c r="Q2" s="364"/>
      <c r="R2" s="364"/>
      <c r="S2" s="364" t="s">
        <v>34</v>
      </c>
      <c r="T2" s="364"/>
      <c r="U2" s="364"/>
      <c r="V2" s="364" t="s">
        <v>293</v>
      </c>
      <c r="W2" s="364"/>
      <c r="X2" s="364"/>
      <c r="Y2" s="364" t="s">
        <v>294</v>
      </c>
      <c r="Z2" s="364"/>
      <c r="AA2" s="364"/>
      <c r="AB2" s="364" t="s">
        <v>295</v>
      </c>
      <c r="AC2" s="364"/>
      <c r="AD2" s="364"/>
      <c r="AE2" s="391" t="s">
        <v>296</v>
      </c>
      <c r="AF2" s="365" t="s">
        <v>3</v>
      </c>
      <c r="AG2" s="364" t="s">
        <v>43</v>
      </c>
      <c r="AH2" s="364" t="s">
        <v>44</v>
      </c>
      <c r="AI2" s="364" t="s">
        <v>297</v>
      </c>
      <c r="AJ2" s="365" t="s">
        <v>3</v>
      </c>
      <c r="AK2" s="366"/>
      <c r="AL2" s="366"/>
      <c r="AM2" s="366"/>
      <c r="AN2" s="366" t="s">
        <v>298</v>
      </c>
      <c r="AO2" s="366" t="s">
        <v>299</v>
      </c>
      <c r="AP2" s="366" t="s">
        <v>300</v>
      </c>
      <c r="AQ2" s="371" t="s">
        <v>840</v>
      </c>
      <c r="AR2" s="366"/>
      <c r="AS2" s="366" t="s">
        <v>298</v>
      </c>
      <c r="AT2" s="366" t="s">
        <v>299</v>
      </c>
      <c r="AU2" s="366" t="s">
        <v>300</v>
      </c>
      <c r="AV2" s="371" t="s">
        <v>840</v>
      </c>
      <c r="AW2" s="388"/>
      <c r="AX2" s="367" t="s">
        <v>298</v>
      </c>
      <c r="AY2" s="367" t="s">
        <v>299</v>
      </c>
      <c r="AZ2" s="367" t="s">
        <v>300</v>
      </c>
      <c r="BA2" s="371" t="s">
        <v>840</v>
      </c>
      <c r="BB2" s="388"/>
      <c r="BC2" s="390"/>
      <c r="BD2" s="381"/>
      <c r="BE2" s="381"/>
      <c r="BF2" s="381"/>
      <c r="BG2" s="381"/>
      <c r="BH2" s="381"/>
      <c r="BI2" s="381"/>
      <c r="BJ2" s="381"/>
      <c r="BK2" s="357"/>
      <c r="BL2" s="357"/>
      <c r="BM2" s="357"/>
      <c r="BN2" s="349"/>
      <c r="BO2" s="349"/>
      <c r="BP2" s="349" t="str">
        <f>'COVID19 Reporting Form'!A20</f>
        <v>Number Of COVID19 Test</v>
      </c>
      <c r="BQ2" s="349"/>
      <c r="BR2" s="349" t="str">
        <f>'COVID19 Reporting Form'!A23</f>
        <v>Number of COVID 19 Positive Detected</v>
      </c>
      <c r="BS2" s="349"/>
      <c r="BT2" s="349" t="str">
        <f>'COVID19 Reporting Form'!A26</f>
        <v>Number of COVID 19 Negative Detected</v>
      </c>
      <c r="BU2" s="349"/>
      <c r="BV2" s="349" t="str">
        <f>'COVID19 Reporting Form'!A20</f>
        <v>Number Of COVID19 Test</v>
      </c>
      <c r="BW2" s="349"/>
      <c r="BX2" s="349" t="str">
        <f>'COVID19 Reporting Form'!A23</f>
        <v>Number of COVID 19 Positive Detected</v>
      </c>
      <c r="BY2" s="349"/>
      <c r="BZ2" s="349" t="str">
        <f>'COVID19 Reporting Form'!A26</f>
        <v>Number of COVID 19 Negative Detected</v>
      </c>
      <c r="CA2" s="349"/>
      <c r="CB2" s="349"/>
      <c r="CC2" s="349"/>
      <c r="CD2" s="349"/>
      <c r="CE2" s="351" t="str">
        <f>'DR-TB 10A (Sputum &amp; EP Sample)'!J13</f>
        <v>Number of Gene Xpert Machine:</v>
      </c>
      <c r="CF2" s="351" t="str">
        <f>'DR-TB 10A (Sputum &amp; EP Sample)'!J14</f>
        <v>Total Number Of Module:</v>
      </c>
      <c r="CG2" s="351" t="str">
        <f>'DR-TB 10A (Sputum &amp; EP Sample)'!J15</f>
        <v>Number of Module Functional:</v>
      </c>
      <c r="CH2" s="351" t="str">
        <f>'DR-TB 10A (Sputum &amp; EP Sample)'!N13</f>
        <v>No. of TruePrep Device</v>
      </c>
      <c r="CI2" s="351" t="str">
        <f>'DR-TB 10A (Sputum &amp; EP Sample)'!N14</f>
        <v>No.of TrueLab Device</v>
      </c>
      <c r="CJ2" s="351" t="str">
        <f>'DR-TB 10A (Sputum &amp; EP Sample)'!N15</f>
        <v>Total No. of Chip Ports</v>
      </c>
      <c r="CK2" s="351" t="str">
        <f>'DR-TB 10A (Sputum &amp; EP Sample)'!R13</f>
        <v>Functional TruePrep Device</v>
      </c>
      <c r="CL2" s="351" t="str">
        <f>'DR-TB 10A (Sputum &amp; EP Sample)'!R14</f>
        <v>Functional TrueLab Device</v>
      </c>
      <c r="CM2" s="351" t="str">
        <f>'DR-TB 10A (Sputum &amp; EP Sample)'!R15</f>
        <v>Total functional Chip Ports</v>
      </c>
      <c r="CN2" s="351" t="str">
        <f>'DR-TB 10A (Sputum &amp; EP Sample)'!R17</f>
        <v>No. of Truenat Cartriage Used</v>
      </c>
      <c r="CO2" s="351" t="str">
        <f>'DR-TB 10A (Sputum &amp; EP Sample)'!R18</f>
        <v>No. of Truenat MTB Chip Used</v>
      </c>
      <c r="CP2" s="351" t="str">
        <f>'DR-TB 10A (Sputum &amp; EP Sample)'!R19</f>
        <v>No. of Truenat RIF Dx Chip Used</v>
      </c>
      <c r="CQ2" s="349"/>
      <c r="CR2" s="349"/>
      <c r="CS2" s="382" t="s">
        <v>43</v>
      </c>
      <c r="CT2" s="384" t="s">
        <v>44</v>
      </c>
      <c r="CU2" s="385" t="s">
        <v>304</v>
      </c>
      <c r="CV2" s="386" t="s">
        <v>18</v>
      </c>
      <c r="CW2" s="364" t="s">
        <v>19</v>
      </c>
      <c r="CX2" s="364" t="s">
        <v>20</v>
      </c>
      <c r="CY2" s="364" t="s">
        <v>22</v>
      </c>
      <c r="CZ2" s="364" t="s">
        <v>24</v>
      </c>
      <c r="DA2" s="364" t="s">
        <v>26</v>
      </c>
      <c r="DB2" s="364" t="s">
        <v>28</v>
      </c>
      <c r="DC2" s="364" t="s">
        <v>30</v>
      </c>
      <c r="DD2" s="364" t="s">
        <v>32</v>
      </c>
      <c r="DE2" s="364"/>
      <c r="DF2" s="364"/>
      <c r="DG2" s="364" t="s">
        <v>34</v>
      </c>
      <c r="DH2" s="364"/>
      <c r="DI2" s="364"/>
      <c r="DJ2" s="364" t="s">
        <v>293</v>
      </c>
      <c r="DK2" s="364"/>
      <c r="DL2" s="364"/>
      <c r="DM2" s="364" t="s">
        <v>294</v>
      </c>
      <c r="DN2" s="364"/>
      <c r="DO2" s="364"/>
      <c r="DP2" s="364" t="s">
        <v>295</v>
      </c>
      <c r="DQ2" s="364"/>
      <c r="DR2" s="364"/>
      <c r="DS2" s="391" t="s">
        <v>296</v>
      </c>
      <c r="DT2" s="365" t="s">
        <v>3</v>
      </c>
      <c r="DU2" s="364" t="s">
        <v>43</v>
      </c>
      <c r="DV2" s="364" t="s">
        <v>44</v>
      </c>
      <c r="DW2" s="364" t="s">
        <v>297</v>
      </c>
      <c r="DX2" s="365" t="s">
        <v>3</v>
      </c>
      <c r="DY2" s="366"/>
      <c r="DZ2" s="366"/>
      <c r="EA2" s="366"/>
      <c r="EB2" s="366" t="s">
        <v>298</v>
      </c>
      <c r="EC2" s="366" t="s">
        <v>299</v>
      </c>
      <c r="ED2" s="366" t="s">
        <v>300</v>
      </c>
      <c r="EE2" s="371" t="s">
        <v>840</v>
      </c>
      <c r="EF2" s="366"/>
      <c r="EG2" s="366" t="s">
        <v>298</v>
      </c>
      <c r="EH2" s="366" t="s">
        <v>299</v>
      </c>
      <c r="EI2" s="366" t="s">
        <v>300</v>
      </c>
      <c r="EJ2" s="371" t="s">
        <v>840</v>
      </c>
      <c r="EK2" s="388"/>
      <c r="EL2" s="367" t="s">
        <v>298</v>
      </c>
      <c r="EM2" s="367" t="s">
        <v>299</v>
      </c>
      <c r="EN2" s="367" t="s">
        <v>300</v>
      </c>
      <c r="EO2" s="371" t="s">
        <v>840</v>
      </c>
      <c r="EP2" s="388"/>
    </row>
    <row r="3" spans="1:146" s="100" customFormat="1" ht="75.75" customHeight="1" x14ac:dyDescent="0.3">
      <c r="A3" s="359"/>
      <c r="B3" s="359"/>
      <c r="C3" s="359"/>
      <c r="D3" s="362"/>
      <c r="E3" s="383"/>
      <c r="F3" s="384"/>
      <c r="G3" s="385"/>
      <c r="H3" s="386"/>
      <c r="I3" s="364"/>
      <c r="J3" s="364"/>
      <c r="K3" s="364"/>
      <c r="L3" s="364"/>
      <c r="M3" s="364"/>
      <c r="N3" s="364"/>
      <c r="O3" s="364"/>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92"/>
      <c r="AF3" s="365"/>
      <c r="AG3" s="364"/>
      <c r="AH3" s="364"/>
      <c r="AI3" s="364"/>
      <c r="AJ3" s="365"/>
      <c r="AK3" s="366"/>
      <c r="AL3" s="366"/>
      <c r="AM3" s="366"/>
      <c r="AN3" s="366"/>
      <c r="AO3" s="366"/>
      <c r="AP3" s="366"/>
      <c r="AQ3" s="371"/>
      <c r="AR3" s="366"/>
      <c r="AS3" s="366"/>
      <c r="AT3" s="366"/>
      <c r="AU3" s="366"/>
      <c r="AV3" s="371"/>
      <c r="AW3" s="389"/>
      <c r="AX3" s="366"/>
      <c r="AY3" s="366"/>
      <c r="AZ3" s="366"/>
      <c r="BA3" s="371"/>
      <c r="BB3" s="389"/>
      <c r="BC3" s="352"/>
      <c r="BD3" s="133" t="s">
        <v>817</v>
      </c>
      <c r="BE3" s="133" t="s">
        <v>841</v>
      </c>
      <c r="BF3" s="133" t="s">
        <v>819</v>
      </c>
      <c r="BG3" s="133" t="s">
        <v>817</v>
      </c>
      <c r="BH3" s="133" t="s">
        <v>841</v>
      </c>
      <c r="BI3" s="133" t="s">
        <v>819</v>
      </c>
      <c r="BJ3" s="381"/>
      <c r="BK3" s="357"/>
      <c r="BL3" s="357"/>
      <c r="BM3" s="357"/>
      <c r="BN3" s="349"/>
      <c r="BO3" s="349"/>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49"/>
      <c r="CC3" s="349"/>
      <c r="CD3" s="349"/>
      <c r="CE3" s="352"/>
      <c r="CF3" s="352"/>
      <c r="CG3" s="352"/>
      <c r="CH3" s="352"/>
      <c r="CI3" s="352"/>
      <c r="CJ3" s="352"/>
      <c r="CK3" s="352"/>
      <c r="CL3" s="352"/>
      <c r="CM3" s="352"/>
      <c r="CN3" s="352"/>
      <c r="CO3" s="352"/>
      <c r="CP3" s="352"/>
      <c r="CQ3" s="349"/>
      <c r="CR3" s="349"/>
      <c r="CS3" s="383"/>
      <c r="CT3" s="384"/>
      <c r="CU3" s="385"/>
      <c r="CV3" s="386"/>
      <c r="CW3" s="364"/>
      <c r="CX3" s="364"/>
      <c r="CY3" s="364"/>
      <c r="CZ3" s="364"/>
      <c r="DA3" s="364"/>
      <c r="DB3" s="364"/>
      <c r="DC3" s="364"/>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92"/>
      <c r="DT3" s="365"/>
      <c r="DU3" s="364"/>
      <c r="DV3" s="364"/>
      <c r="DW3" s="364"/>
      <c r="DX3" s="365"/>
      <c r="DY3" s="366"/>
      <c r="DZ3" s="366"/>
      <c r="EA3" s="366"/>
      <c r="EB3" s="366"/>
      <c r="EC3" s="366"/>
      <c r="ED3" s="366"/>
      <c r="EE3" s="371"/>
      <c r="EF3" s="366"/>
      <c r="EG3" s="366"/>
      <c r="EH3" s="366"/>
      <c r="EI3" s="366"/>
      <c r="EJ3" s="371"/>
      <c r="EK3" s="389"/>
      <c r="EL3" s="366"/>
      <c r="EM3" s="366"/>
      <c r="EN3" s="366"/>
      <c r="EO3" s="371"/>
      <c r="EP3" s="389"/>
    </row>
    <row r="4" spans="1:146" s="100" customFormat="1" ht="27.75" customHeight="1" x14ac:dyDescent="0.3">
      <c r="A4" s="375">
        <f>'DR-TB 10A (Sputum &amp; EP Sample)'!$C6</f>
        <v>0</v>
      </c>
      <c r="B4" s="375">
        <f>'DR-TB 10A (Sputum &amp; EP Sample)'!$C7</f>
        <v>0</v>
      </c>
      <c r="C4" s="375">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78">
        <f>'DR-TB 10A (Sputum &amp; EP Sample)'!$H12</f>
        <v>0</v>
      </c>
      <c r="AL4" s="378">
        <f>'DR-TB 10A (Sputum &amp; EP Sample)'!$H13</f>
        <v>0</v>
      </c>
      <c r="AM4" s="378">
        <f>'DR-TB 10A (Sputum &amp; EP Sample)'!$H14</f>
        <v>0</v>
      </c>
      <c r="AN4" s="394">
        <f>'DR-TB 10A (Sputum &amp; EP Sample)'!$D17</f>
        <v>0</v>
      </c>
      <c r="AO4" s="394">
        <f>'DR-TB 10A (Sputum &amp; EP Sample)'!$D18</f>
        <v>0</v>
      </c>
      <c r="AP4" s="368">
        <f>'DR-TB 10A (Sputum &amp; EP Sample)'!$D19</f>
        <v>0</v>
      </c>
      <c r="AQ4" s="368">
        <f>'DR-TB 10A (Sputum &amp; EP Sample)'!$D20</f>
        <v>0</v>
      </c>
      <c r="AR4" s="394">
        <f>'DR-TB 10A (Sputum &amp; EP Sample)'!$D21</f>
        <v>0</v>
      </c>
      <c r="AS4" s="394">
        <f>'DR-TB 10A (Sputum &amp; EP Sample)'!$E17</f>
        <v>0</v>
      </c>
      <c r="AT4" s="394">
        <f>'DR-TB 10A (Sputum &amp; EP Sample)'!$E18</f>
        <v>0</v>
      </c>
      <c r="AU4" s="368">
        <f>'DR-TB 10A (Sputum &amp; EP Sample)'!$E19</f>
        <v>0</v>
      </c>
      <c r="AV4" s="368">
        <f>'DR-TB 10A (Sputum &amp; EP Sample)'!$E20</f>
        <v>0</v>
      </c>
      <c r="AW4" s="394">
        <f>'DR-TB 10A (Sputum &amp; EP Sample)'!$E21</f>
        <v>0</v>
      </c>
      <c r="AX4" s="394">
        <f>'DR-TB 10A (Sputum &amp; EP Sample)'!$F17</f>
        <v>0</v>
      </c>
      <c r="AY4" s="394">
        <f>'DR-TB 10A (Sputum &amp; EP Sample)'!$F18</f>
        <v>0</v>
      </c>
      <c r="AZ4" s="368">
        <f>'DR-TB 10A (Sputum &amp; EP Sample)'!$F19</f>
        <v>0</v>
      </c>
      <c r="BA4" s="368">
        <f>'DR-TB 10A (Sputum &amp; EP Sample)'!$F20</f>
        <v>0</v>
      </c>
      <c r="BB4" s="394">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56">
        <f>'DR-TB 10A (Sputum &amp; EP Sample)'!N7</f>
        <v>0</v>
      </c>
      <c r="BL4" s="356">
        <f>'DR-TB 10A (Sputum &amp; EP Sample)'!M8</f>
        <v>0</v>
      </c>
      <c r="BM4" s="358">
        <f>'DR-TB 10A (Sputum &amp; EP Sample)'!Q10</f>
        <v>0</v>
      </c>
      <c r="BN4" s="350">
        <f>'COVID19 Reporting Form'!B14</f>
        <v>0</v>
      </c>
      <c r="BO4" s="350">
        <f>'COVID19 Reporting Form'!D14</f>
        <v>0</v>
      </c>
      <c r="BP4" s="350">
        <f>'COVID19 Reporting Form'!C20</f>
        <v>0</v>
      </c>
      <c r="BQ4" s="350">
        <f>'COVID19 Reporting Form'!D20</f>
        <v>0</v>
      </c>
      <c r="BR4" s="350">
        <f>'COVID19 Reporting Form'!C23</f>
        <v>0</v>
      </c>
      <c r="BS4" s="350">
        <f>'COVID19 Reporting Form'!D23</f>
        <v>0</v>
      </c>
      <c r="BT4" s="350">
        <f>'COVID19 Reporting Form'!C26</f>
        <v>0</v>
      </c>
      <c r="BU4" s="350">
        <f>'COVID19 Reporting Form'!D26</f>
        <v>0</v>
      </c>
      <c r="BV4" s="350">
        <f>'COVID19 Reporting Form'!F20</f>
        <v>0</v>
      </c>
      <c r="BW4" s="350">
        <f>'COVID19 Reporting Form'!H20</f>
        <v>0</v>
      </c>
      <c r="BX4" s="350">
        <f>'COVID19 Reporting Form'!F23</f>
        <v>0</v>
      </c>
      <c r="BY4" s="350">
        <f>'COVID19 Reporting Form'!H23</f>
        <v>0</v>
      </c>
      <c r="BZ4" s="350">
        <f>'COVID19 Reporting Form'!F26</f>
        <v>0</v>
      </c>
      <c r="CA4" s="350">
        <f>'COVID19 Reporting Form'!H26</f>
        <v>0</v>
      </c>
      <c r="CB4" s="350">
        <f>'COVID19 Reporting Form'!L14</f>
        <v>0</v>
      </c>
      <c r="CC4" s="350">
        <f>'COVID19 Reporting Form'!M14</f>
        <v>0</v>
      </c>
      <c r="CD4" s="350">
        <f>'COVID19 Reporting Form'!N14</f>
        <v>0</v>
      </c>
      <c r="CE4" s="350">
        <f>'DR-TB 10A (Sputum &amp; EP Sample)'!M13</f>
        <v>0</v>
      </c>
      <c r="CF4" s="350">
        <f>'DR-TB 10A (Sputum &amp; EP Sample)'!M14</f>
        <v>0</v>
      </c>
      <c r="CG4" s="350">
        <f>'DR-TB 10A (Sputum &amp; EP Sample)'!M15</f>
        <v>0</v>
      </c>
      <c r="CH4" s="350">
        <f>'DR-TB 10A (Sputum &amp; EP Sample)'!Q13</f>
        <v>0</v>
      </c>
      <c r="CI4" s="350">
        <f>'DR-TB 10A (Sputum &amp; EP Sample)'!Q14</f>
        <v>0</v>
      </c>
      <c r="CJ4" s="350">
        <f>'DR-TB 10A (Sputum &amp; EP Sample)'!Q15</f>
        <v>0</v>
      </c>
      <c r="CK4" s="350">
        <f>'DR-TB 10A (Sputum &amp; EP Sample)'!U13</f>
        <v>0</v>
      </c>
      <c r="CL4" s="350">
        <f>'DR-TB 10A (Sputum &amp; EP Sample)'!U14</f>
        <v>0</v>
      </c>
      <c r="CM4" s="350">
        <f>'DR-TB 10A (Sputum &amp; EP Sample)'!U15</f>
        <v>0</v>
      </c>
      <c r="CN4" s="350">
        <f>'DR-TB 10A (Sputum &amp; EP Sample)'!U17</f>
        <v>0</v>
      </c>
      <c r="CO4" s="350">
        <f>'DR-TB 10A (Sputum &amp; EP Sample)'!U18</f>
        <v>0</v>
      </c>
      <c r="CP4" s="350">
        <f>'DR-TB 10A (Sputum &amp; EP Sample)'!U19</f>
        <v>0</v>
      </c>
      <c r="CQ4" s="356">
        <f>'DR-TB 10A (Sputum &amp; EP Sample)'!G42</f>
        <v>0</v>
      </c>
      <c r="CR4" s="356">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78">
        <f>'DR-TB 10A (Stool)'!$H12</f>
        <v>0</v>
      </c>
      <c r="DZ4" s="378">
        <f>'DR-TB 10A (Stool)'!$H13</f>
        <v>0</v>
      </c>
      <c r="EA4" s="378">
        <f>'DR-TB 10A (Stool)'!$H14</f>
        <v>0</v>
      </c>
      <c r="EB4" s="394">
        <f>'DR-TB 10A (Stool)'!$D17</f>
        <v>0</v>
      </c>
      <c r="EC4" s="394">
        <f>'DR-TB 10A (Stool)'!$D18</f>
        <v>0</v>
      </c>
      <c r="ED4" s="368">
        <f>'DR-TB 10A (Stool)'!$D19</f>
        <v>0</v>
      </c>
      <c r="EE4" s="368">
        <f>'DR-TB 10A (Stool)'!$D20</f>
        <v>0</v>
      </c>
      <c r="EF4" s="394">
        <f>'DR-TB 10A (Stool)'!$D21</f>
        <v>0</v>
      </c>
      <c r="EG4" s="394">
        <f>'DR-TB 10A (Stool)'!$E17</f>
        <v>0</v>
      </c>
      <c r="EH4" s="394">
        <f>'DR-TB 10A (Stool)'!$E18</f>
        <v>0</v>
      </c>
      <c r="EI4" s="368">
        <f>'DR-TB 10A (Stool)'!$E19</f>
        <v>0</v>
      </c>
      <c r="EJ4" s="368">
        <f>'DR-TB 10A (Stool)'!$E20</f>
        <v>0</v>
      </c>
      <c r="EK4" s="394">
        <f>'DR-TB 10A (Stool)'!$E21</f>
        <v>0</v>
      </c>
      <c r="EL4" s="394">
        <f>'DR-TB 10A (Stool)'!$F17</f>
        <v>0</v>
      </c>
      <c r="EM4" s="394">
        <f>'DR-TB 10A (Stool)'!$F18</f>
        <v>0</v>
      </c>
      <c r="EN4" s="368">
        <f>'DR-TB 10A (Stool)'!$F19</f>
        <v>0</v>
      </c>
      <c r="EO4" s="368">
        <f>'DR-TB 10A (Stool)'!$F20</f>
        <v>0</v>
      </c>
      <c r="EP4" s="394">
        <f>'DR-TB 10A (Stool)'!$F21</f>
        <v>0</v>
      </c>
    </row>
    <row r="5" spans="1:146" s="100" customFormat="1" ht="26.55" customHeight="1" x14ac:dyDescent="0.3">
      <c r="A5" s="376"/>
      <c r="B5" s="376"/>
      <c r="C5" s="37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9"/>
      <c r="AL5" s="379"/>
      <c r="AM5" s="379"/>
      <c r="AN5" s="395"/>
      <c r="AO5" s="395"/>
      <c r="AP5" s="369"/>
      <c r="AQ5" s="369"/>
      <c r="AR5" s="395"/>
      <c r="AS5" s="395"/>
      <c r="AT5" s="395"/>
      <c r="AU5" s="369"/>
      <c r="AV5" s="369"/>
      <c r="AW5" s="395"/>
      <c r="AX5" s="395"/>
      <c r="AY5" s="395"/>
      <c r="AZ5" s="369"/>
      <c r="BA5" s="369"/>
      <c r="BB5" s="395"/>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56"/>
      <c r="BL5" s="356"/>
      <c r="BM5" s="358"/>
      <c r="BN5" s="350"/>
      <c r="BO5" s="350"/>
      <c r="BP5" s="350"/>
      <c r="BQ5" s="350"/>
      <c r="BR5" s="350"/>
      <c r="BS5" s="350"/>
      <c r="BT5" s="350"/>
      <c r="BU5" s="350"/>
      <c r="BV5" s="350"/>
      <c r="BW5" s="350"/>
      <c r="BX5" s="350"/>
      <c r="BY5" s="350"/>
      <c r="BZ5" s="350"/>
      <c r="CA5" s="350"/>
      <c r="CB5" s="350"/>
      <c r="CC5" s="350"/>
      <c r="CD5" s="350"/>
      <c r="CE5" s="350"/>
      <c r="CF5" s="350"/>
      <c r="CG5" s="350"/>
      <c r="CH5" s="350"/>
      <c r="CI5" s="350"/>
      <c r="CJ5" s="350"/>
      <c r="CK5" s="350"/>
      <c r="CL5" s="350"/>
      <c r="CM5" s="350"/>
      <c r="CN5" s="350"/>
      <c r="CO5" s="350"/>
      <c r="CP5" s="350"/>
      <c r="CQ5" s="356"/>
      <c r="CR5" s="356"/>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9"/>
      <c r="DZ5" s="379"/>
      <c r="EA5" s="379"/>
      <c r="EB5" s="395"/>
      <c r="EC5" s="395"/>
      <c r="ED5" s="369"/>
      <c r="EE5" s="369"/>
      <c r="EF5" s="395"/>
      <c r="EG5" s="395"/>
      <c r="EH5" s="395"/>
      <c r="EI5" s="369"/>
      <c r="EJ5" s="369"/>
      <c r="EK5" s="395"/>
      <c r="EL5" s="395"/>
      <c r="EM5" s="395"/>
      <c r="EN5" s="369"/>
      <c r="EO5" s="369"/>
      <c r="EP5" s="395"/>
    </row>
    <row r="6" spans="1:146" s="100" customFormat="1" ht="28.5" customHeight="1" x14ac:dyDescent="0.3">
      <c r="A6" s="377"/>
      <c r="B6" s="377"/>
      <c r="C6" s="37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80"/>
      <c r="AL6" s="380"/>
      <c r="AM6" s="380"/>
      <c r="AN6" s="396"/>
      <c r="AO6" s="396"/>
      <c r="AP6" s="370"/>
      <c r="AQ6" s="370"/>
      <c r="AR6" s="396"/>
      <c r="AS6" s="396"/>
      <c r="AT6" s="396"/>
      <c r="AU6" s="370"/>
      <c r="AV6" s="370"/>
      <c r="AW6" s="396"/>
      <c r="AX6" s="396"/>
      <c r="AY6" s="396"/>
      <c r="AZ6" s="370"/>
      <c r="BA6" s="370"/>
      <c r="BB6" s="396"/>
      <c r="BC6" s="85"/>
      <c r="BD6" s="85"/>
      <c r="BE6" s="85"/>
      <c r="BF6" s="85"/>
      <c r="BG6" s="85"/>
      <c r="BH6" s="85"/>
      <c r="BI6" s="85"/>
      <c r="BJ6" s="85"/>
      <c r="BK6" s="356"/>
      <c r="BL6" s="356"/>
      <c r="BM6" s="358"/>
      <c r="BN6" s="350"/>
      <c r="BO6" s="350"/>
      <c r="BP6" s="350"/>
      <c r="BQ6" s="350"/>
      <c r="BR6" s="350"/>
      <c r="BS6" s="350"/>
      <c r="BT6" s="350"/>
      <c r="BU6" s="350"/>
      <c r="BV6" s="350"/>
      <c r="BW6" s="350"/>
      <c r="BX6" s="350"/>
      <c r="BY6" s="350"/>
      <c r="BZ6" s="350"/>
      <c r="CA6" s="350"/>
      <c r="CB6" s="350"/>
      <c r="CC6" s="350"/>
      <c r="CD6" s="350"/>
      <c r="CE6" s="350"/>
      <c r="CF6" s="350"/>
      <c r="CG6" s="350"/>
      <c r="CH6" s="350"/>
      <c r="CI6" s="350"/>
      <c r="CJ6" s="350"/>
      <c r="CK6" s="350"/>
      <c r="CL6" s="350"/>
      <c r="CM6" s="350"/>
      <c r="CN6" s="350"/>
      <c r="CO6" s="350"/>
      <c r="CP6" s="350"/>
      <c r="CQ6" s="356"/>
      <c r="CR6" s="356"/>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80"/>
      <c r="DZ6" s="380"/>
      <c r="EA6" s="380"/>
      <c r="EB6" s="396"/>
      <c r="EC6" s="396"/>
      <c r="ED6" s="370"/>
      <c r="EE6" s="370"/>
      <c r="EF6" s="396"/>
      <c r="EG6" s="396"/>
      <c r="EH6" s="396"/>
      <c r="EI6" s="370"/>
      <c r="EJ6" s="370"/>
      <c r="EK6" s="396"/>
      <c r="EL6" s="396"/>
      <c r="EM6" s="396"/>
      <c r="EN6" s="370"/>
      <c r="EO6" s="370"/>
      <c r="EP6" s="396"/>
    </row>
    <row r="10" spans="1:146" ht="140.25" customHeight="1" x14ac:dyDescent="0.3">
      <c r="A10" s="393" t="s">
        <v>161</v>
      </c>
      <c r="B10" s="393" t="s">
        <v>280</v>
      </c>
      <c r="C10" s="393" t="s">
        <v>806</v>
      </c>
      <c r="D10" s="393" t="str">
        <f>'DR-TB 10B'!A11</f>
        <v>Sl.              No</v>
      </c>
      <c r="E10" s="393" t="str">
        <f>'DR-TB 10B'!B11</f>
        <v>Name of the RR                                                                                                                               patient</v>
      </c>
      <c r="F10" s="393" t="str">
        <f>'DR-TB 10B'!C11</f>
        <v>Age</v>
      </c>
      <c r="G10" s="393" t="str">
        <f>'DR-TB 10B'!D11</f>
        <v>Sex
(M/F)</v>
      </c>
      <c r="H10" s="393" t="str">
        <f>'DR-TB 10B'!F11</f>
        <v>Address and                                        cell number</v>
      </c>
      <c r="I10" s="393" t="str">
        <f>'DR-TB 10B'!G11</f>
        <v>Name &amp; address          of the referring unit                                                and cell number</v>
      </c>
      <c r="J10" s="393" t="str">
        <f>'DR-TB 10B'!H11</f>
        <v>* Type of patient</v>
      </c>
      <c r="K10" s="393" t="str">
        <f>'DR-TB 10B'!J11</f>
        <v>Current and previous (if any)  TB registration number</v>
      </c>
      <c r="L10" s="393" t="str">
        <f>'DR-TB 10B'!K11</f>
        <v>Result of Xpert/Truenat MTB/RIF</v>
      </c>
      <c r="M10" s="393" t="str">
        <f>'DR-TB 10B'!S11</f>
        <v>Name and address of the hospital/ treatment                initiation center            for enrollment of DR TB treatment</v>
      </c>
      <c r="N10" s="393" t="str">
        <f>'DR-TB 10B'!T11</f>
        <v>Enrollment status                   (Y/N)</v>
      </c>
      <c r="O10" s="393" t="str">
        <f>'DR-TB 10B'!W11</f>
        <v>** Current status of the patient</v>
      </c>
      <c r="P10" s="393" t="str">
        <f>'DR-TB 10B'!X11</f>
        <v>Remarks</v>
      </c>
      <c r="Q10" s="393" t="str">
        <f>'DR-TB 10B'!E11</f>
        <v>Date of Diagnosis</v>
      </c>
      <c r="R10" s="393" t="str">
        <f>'DR-TB 10B'!U11</f>
        <v>Date Of Enrollment</v>
      </c>
      <c r="S10" s="393" t="str">
        <f>'DR-TB 10B'!V11</f>
        <v>eTB/ DR TB Registration Number</v>
      </c>
      <c r="T10" s="393" t="str">
        <f>'DR-TB 10B'!I11</f>
        <v>Type Of Sample</v>
      </c>
      <c r="U10" s="397" t="str">
        <f>'DR-TB 10B'!L11</f>
        <v>Result Of MTB/XDR</v>
      </c>
      <c r="V10" s="397"/>
      <c r="W10" s="397"/>
      <c r="X10" s="397"/>
      <c r="Y10" s="397"/>
      <c r="Z10" s="397"/>
      <c r="AA10" s="397"/>
    </row>
    <row r="11" spans="1:146" ht="140.25" customHeight="1" x14ac:dyDescent="0.3">
      <c r="A11" s="393"/>
      <c r="B11" s="393"/>
      <c r="C11" s="393"/>
      <c r="D11" s="393"/>
      <c r="E11" s="393"/>
      <c r="F11" s="393"/>
      <c r="G11" s="393"/>
      <c r="H11" s="393"/>
      <c r="I11" s="393"/>
      <c r="J11" s="393"/>
      <c r="K11" s="393"/>
      <c r="L11" s="393"/>
      <c r="M11" s="393"/>
      <c r="N11" s="393"/>
      <c r="O11" s="393"/>
      <c r="P11" s="393"/>
      <c r="Q11" s="393"/>
      <c r="R11" s="393"/>
      <c r="S11" s="393"/>
      <c r="T11" s="393"/>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&lt;typeOfPatient&gt;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f>'DR-TB 10B'!V13</f>
        <v>0</v>
      </c>
      <c r="T12" s="87">
        <f>'DR-TB 10B'!I13</f>
        <v>0</v>
      </c>
      <c r="U12" s="87">
        <f>'DR-TB 10B'!L13</f>
        <v>0</v>
      </c>
      <c r="V12" s="87">
        <f>'DR-TB 10B'!M13</f>
        <v>0</v>
      </c>
      <c r="W12" s="87">
        <f>'DR-TB 10B'!N13</f>
        <v>0</v>
      </c>
      <c r="X12" s="87">
        <f>'DR-TB 10B'!O13</f>
        <v>0</v>
      </c>
      <c r="Y12" s="87">
        <f>'DR-TB 10B'!P13</f>
        <v>0</v>
      </c>
      <c r="Z12" s="87">
        <f>'DR-TB 10B'!Q13</f>
        <v>0</v>
      </c>
      <c r="AA12" s="87">
        <f>'DR-TB 10B'!R13</f>
        <v>0</v>
      </c>
    </row>
    <row r="13" spans="1:146"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H4:CH6"/>
    <mergeCell ref="CI4:CI6"/>
    <mergeCell ref="CJ4:CJ6"/>
    <mergeCell ref="CK4:CK6"/>
    <mergeCell ref="CL4:CL6"/>
    <mergeCell ref="CM4:CM6"/>
    <mergeCell ref="CN4:CN6"/>
    <mergeCell ref="CO4:CO6"/>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BV2:BW2"/>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2023-09-04T12:14:08Z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