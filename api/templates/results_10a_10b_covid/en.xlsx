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PROJECTS_2020\SystemOne\aspect-2\api\templates\results_10a_10b_covid\"/>
    </mc:Choice>
  </mc:AlternateContent>
  <bookViews>
    <workbookView xWindow="0" yWindow="0" windowWidth="17616" windowHeight="7752" activeTab="1"/>
  </bookViews>
  <sheets>
    <sheet name="DR-TB 10A" sheetId="3" r:id="rId1"/>
    <sheet name="DR-TB 10B" sheetId="4" r:id="rId2"/>
    <sheet name="COVID19 Reporting Form" sheetId="6" r:id="rId3"/>
  </sheets>
  <definedNames>
    <definedName name="Bagerhat">'DR-TB 10A'!#REF!</definedName>
    <definedName name="Bandarban">'DR-TB 10A'!#REF!</definedName>
    <definedName name="Barguna">'DR-TB 10A'!#REF!</definedName>
    <definedName name="Barisal">'DR-TB 10A'!#REF!</definedName>
    <definedName name="Barisal_Division">'DR-TB 10A'!#REF!</definedName>
    <definedName name="Bhola">'DR-TB 10A'!#REF!</definedName>
    <definedName name="Bogra">'DR-TB 10A'!#REF!</definedName>
    <definedName name="Brahmanbaria">'DR-TB 10A'!#REF!</definedName>
    <definedName name="Chandpur">'DR-TB 10A'!#REF!</definedName>
    <definedName name="Chattogram">'DR-TB 10A'!#REF!</definedName>
    <definedName name="Chattogram_Division">'DR-TB 10A'!#REF!</definedName>
    <definedName name="Chuadanga">'DR-TB 10A'!#REF!</definedName>
    <definedName name="Comilla">'DR-TB 10A'!#REF!</definedName>
    <definedName name="Coxs_Bazar">'DR-TB 10A'!#REF!</definedName>
    <definedName name="Dhaka">'DR-TB 10A'!#REF!</definedName>
    <definedName name="Dhaka_Division">'DR-TB 10A'!#REF!</definedName>
    <definedName name="Dinajpur">'DR-TB 10A'!#REF!</definedName>
    <definedName name="Faridpur">'DR-TB 10A'!#REF!</definedName>
    <definedName name="Feni">'DR-TB 10A'!#REF!</definedName>
    <definedName name="Gaibandha">'DR-TB 10A'!#REF!</definedName>
    <definedName name="Gazipur">'DR-TB 10A'!#REF!</definedName>
    <definedName name="Gopalganj">'DR-TB 10A'!#REF!</definedName>
    <definedName name="Habiganj">'DR-TB 10A'!#REF!</definedName>
    <definedName name="Jamalpur">'DR-TB 10A'!#REF!</definedName>
    <definedName name="Jessore">'DR-TB 10A'!#REF!</definedName>
    <definedName name="Jhalakathi">'DR-TB 10A'!#REF!</definedName>
    <definedName name="Jhenaidah">'DR-TB 10A'!#REF!</definedName>
    <definedName name="Joypurhat">'DR-TB 10A'!#REF!</definedName>
    <definedName name="Khagrachari">'DR-TB 10A'!#REF!</definedName>
    <definedName name="Khulna">'DR-TB 10A'!#REF!</definedName>
    <definedName name="Khulna_Division">'DR-TB 10A'!#REF!</definedName>
    <definedName name="Kishoreganj">'DR-TB 10A'!#REF!</definedName>
    <definedName name="Kurigram">'DR-TB 10A'!#REF!</definedName>
    <definedName name="Kushtia">'DR-TB 10A'!#REF!</definedName>
    <definedName name="Lalmonirhat">'DR-TB 10A'!#REF!</definedName>
    <definedName name="Laxmipur">'DR-TB 10A'!#REF!</definedName>
    <definedName name="Madaripur">'DR-TB 10A'!#REF!</definedName>
    <definedName name="Magura">'DR-TB 10A'!#REF!</definedName>
    <definedName name="Manikganj">'DR-TB 10A'!#REF!</definedName>
    <definedName name="Meherpur">'DR-TB 10A'!#REF!</definedName>
    <definedName name="Moulvibazar">'DR-TB 10A'!#REF!</definedName>
    <definedName name="Munshiganj">'DR-TB 10A'!#REF!</definedName>
    <definedName name="Mymensingh">'DR-TB 10A'!#REF!</definedName>
    <definedName name="Mymensingh_Division">'DR-TB 10A'!#REF!</definedName>
    <definedName name="Naogaon">'DR-TB 10A'!#REF!</definedName>
    <definedName name="Narail">'DR-TB 10A'!#REF!</definedName>
    <definedName name="Narayanganj">'DR-TB 10A'!#REF!</definedName>
    <definedName name="Narsingdi">'DR-TB 10A'!#REF!</definedName>
    <definedName name="Natore">'DR-TB 10A'!#REF!</definedName>
    <definedName name="Nawabganj">'DR-TB 10A'!#REF!</definedName>
    <definedName name="Netrakona">'DR-TB 10A'!#REF!</definedName>
    <definedName name="Nilphamari">'DR-TB 10A'!#REF!</definedName>
    <definedName name="Noakhali">'DR-TB 10A'!#REF!</definedName>
    <definedName name="Pabna">'DR-TB 10A'!#REF!</definedName>
    <definedName name="Panchagarh">'DR-TB 10A'!#REF!</definedName>
    <definedName name="Patuakhali">'DR-TB 10A'!#REF!</definedName>
    <definedName name="Pirojpur">'DR-TB 10A'!#REF!</definedName>
    <definedName name="_xlnm.Print_Area" localSheetId="0">'DR-TB 10A'!$A$1:$U$49</definedName>
    <definedName name="_xlnm.Print_Area" localSheetId="1">'DR-TB 10B'!$A$1:$O$16</definedName>
    <definedName name="_xlnm.Print_Titles" localSheetId="1">'DR-TB 10B'!$1:$11</definedName>
    <definedName name="Rajbari">'DR-TB 10A'!#REF!</definedName>
    <definedName name="Rajshahi">'DR-TB 10A'!#REF!</definedName>
    <definedName name="Rajshahi_Division">'DR-TB 10A'!#REF!</definedName>
    <definedName name="Rangamati">'DR-TB 10A'!#REF!</definedName>
    <definedName name="Rangpur">'DR-TB 10A'!#REF!</definedName>
    <definedName name="Rangpur_Division">'DR-TB 10A'!#REF!</definedName>
    <definedName name="Satkhira">'DR-TB 10A'!#REF!</definedName>
    <definedName name="Shariatpur">'DR-TB 10A'!#REF!</definedName>
    <definedName name="Sherpur">'DR-TB 10A'!#REF!</definedName>
    <definedName name="Sirajganj">'DR-TB 10A'!#REF!</definedName>
    <definedName name="Sunamganj">'DR-TB 10A'!#REF!</definedName>
    <definedName name="Sylhet">'DR-TB 10A'!#REF!</definedName>
    <definedName name="Sylhet_Division">'DR-TB 10A'!#REF!</definedName>
    <definedName name="Tangail">'DR-TB 10A'!#REF!</definedName>
    <definedName name="Thakurgaon">'DR-TB 10A'!#REF!</definedName>
  </definedNames>
  <calcPr calcId="162913"/>
</workbook>
</file>

<file path=xl/calcChain.xml><?xml version="1.0" encoding="utf-8"?>
<calcChain xmlns="http://schemas.openxmlformats.org/spreadsheetml/2006/main">
  <c r="E20" i="6" l="1"/>
  <c r="J20" i="6"/>
  <c r="L20" i="6"/>
  <c r="N20" i="6"/>
  <c r="P20" i="6"/>
  <c r="E23" i="6"/>
  <c r="J23" i="6"/>
  <c r="L23" i="6"/>
  <c r="N23" i="6"/>
  <c r="J26" i="6"/>
  <c r="L26" i="6"/>
  <c r="N26" i="6"/>
  <c r="E26" i="6"/>
  <c r="O14" i="6"/>
  <c r="P23" i="6" l="1"/>
  <c r="P26" i="6"/>
  <c r="R7" i="6"/>
  <c r="L7" i="6"/>
  <c r="C9" i="6"/>
  <c r="C8" i="6"/>
  <c r="C7" i="6"/>
  <c r="O8" i="4" l="1"/>
  <c r="I8" i="4"/>
  <c r="D8" i="4"/>
  <c r="N6" i="3" l="1"/>
  <c r="E43" i="3"/>
  <c r="E41" i="3"/>
  <c r="E39" i="3"/>
  <c r="D32" i="3"/>
  <c r="D29" i="3"/>
  <c r="D26" i="3"/>
  <c r="F19" i="3"/>
  <c r="R18" i="3"/>
  <c r="K8" i="4" l="1"/>
  <c r="N7" i="6"/>
  <c r="D18" i="3"/>
  <c r="H12" i="3"/>
  <c r="D17" i="3"/>
  <c r="S32" i="3"/>
  <c r="S29" i="3"/>
  <c r="S26" i="3"/>
  <c r="U29" i="3" l="1"/>
  <c r="U26" i="3"/>
  <c r="U32" i="3"/>
  <c r="D20" i="3"/>
  <c r="E18" i="3" l="1"/>
  <c r="H13" i="3"/>
  <c r="E17" i="3"/>
  <c r="F17" i="3" l="1"/>
  <c r="E20" i="3"/>
  <c r="F18" i="3"/>
  <c r="H14" i="3"/>
  <c r="F9" i="4" l="1"/>
  <c r="F20" i="3"/>
</calcChain>
</file>

<file path=xl/sharedStrings.xml><?xml version="1.0" encoding="utf-8"?>
<sst xmlns="http://schemas.openxmlformats.org/spreadsheetml/2006/main" count="209" uniqueCount="159">
  <si>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</si>
  <si>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</si>
  <si>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</si>
  <si>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</si>
  <si>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</si>
  <si>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</si>
  <si>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</si>
  <si>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</si>
  <si>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</si>
  <si>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</si>
  <si>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</si>
  <si>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</si>
  <si>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</si>
  <si>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</si>
  <si>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Month</t>
  </si>
  <si>
    <t>Quarter of year</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</si>
  <si>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</si>
  <si>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</si>
  <si>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</si>
  <si>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</si>
  <si>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</si>
  <si>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</si>
  <si>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</si>
  <si>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</si>
  <si>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</si>
  <si>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</si>
  <si>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</si>
  <si>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</si>
  <si>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</si>
  <si>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</si>
  <si>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</si>
  <si>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</si>
  <si>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</si>
  <si>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</si>
  <si>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</si>
  <si>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</si>
  <si>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</si>
  <si>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</si>
  <si>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r>
      <t xml:space="preserve">Others (Specify)*                               </t>
    </r>
    <r>
      <rPr>
        <sz val="6.5"/>
        <color indexed="63"/>
        <rFont val="Arial Narrow"/>
        <family val="2"/>
      </rPr>
      <t>i) Pulmonary clinically diagnosed
ii) Extra Pulmonary
iii) Pulmonary bacteriologically confirmed</t>
    </r>
    <r>
      <rPr>
        <sz val="6"/>
        <color indexed="63"/>
        <rFont val="Arial Narrow"/>
        <family val="2"/>
      </rPr>
      <t xml:space="preserve">
</t>
    </r>
  </si>
  <si>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</si>
  <si>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</si>
  <si>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</si>
  <si>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</si>
  <si>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</si>
  <si>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</si>
  <si>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</si>
  <si>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</si>
  <si>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</si>
  <si>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</si>
  <si>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</si>
  <si>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</si>
  <si>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</si>
  <si>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</si>
  <si>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</si>
  <si>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</si>
  <si>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</si>
  <si>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</si>
  <si>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</si>
  <si>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</si>
  <si>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</si>
  <si>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</si>
  <si>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</si>
  <si>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</si>
  <si>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</si>
  <si>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</si>
  <si>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</si>
  <si>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E) Number of invalid / no result / error (I): </t>
  </si>
  <si>
    <t xml:space="preserve">                                                                  National TB Control Programme                                                                      </t>
  </si>
  <si>
    <t>Designation and organization :</t>
  </si>
  <si>
    <t>Name of the person completing the report :</t>
  </si>
  <si>
    <t>Form DR TB 10 A</t>
  </si>
  <si>
    <t xml:space="preserve">                                                 Government of the People's Republic of Bangladesh</t>
  </si>
  <si>
    <t>Presumptive DR-TB</t>
  </si>
  <si>
    <t>Number of total Cases Tested</t>
  </si>
  <si>
    <t xml:space="preserve">Signature : </t>
  </si>
  <si>
    <t>Presumptive cases tested by Xpert MTB/RIF</t>
  </si>
  <si>
    <t xml:space="preserve"> Presumptive DR TB Cases(Total)</t>
  </si>
  <si>
    <t>Column (12)</t>
  </si>
  <si>
    <t>Column (13)</t>
  </si>
  <si>
    <r>
      <rPr>
        <b/>
        <sz val="7"/>
        <color indexed="63"/>
        <rFont val="Arial Narrow"/>
        <family val="2"/>
      </rPr>
      <t xml:space="preserve">Total
</t>
    </r>
    <r>
      <rPr>
        <sz val="6"/>
        <color indexed="63"/>
        <rFont val="Arial Narrow"/>
        <family val="2"/>
      </rPr>
      <t>(Column 1- Column 2)</t>
    </r>
  </si>
  <si>
    <r>
      <t xml:space="preserve">Total
</t>
    </r>
    <r>
      <rPr>
        <sz val="6"/>
        <color indexed="63"/>
        <rFont val="Arial Narrow"/>
        <family val="2"/>
      </rPr>
      <t>(Column 3- Column 13)</t>
    </r>
  </si>
  <si>
    <t>Presumptive  TB</t>
  </si>
  <si>
    <t>Presumptive   TB</t>
  </si>
  <si>
    <t xml:space="preserve"> Presumptive  TB Cases(Total)</t>
  </si>
  <si>
    <t>Type of Patient : Presumptive  TB Cases</t>
  </si>
  <si>
    <t>Division :</t>
  </si>
  <si>
    <t>Fill this format as per total RR TB detected cases during the reporting month reported in the form DR TB 10 A</t>
  </si>
  <si>
    <t>Name and address of the reporting Unit:</t>
  </si>
  <si>
    <t>Reporting period:</t>
  </si>
  <si>
    <t xml:space="preserve">Month:  </t>
  </si>
  <si>
    <t>Quarter of year:</t>
  </si>
  <si>
    <t>Sl.              No</t>
  </si>
  <si>
    <t>Name of the                                                                                                                              RR TB patient</t>
  </si>
  <si>
    <t>Age</t>
  </si>
  <si>
    <t>Address and                                        cell number</t>
  </si>
  <si>
    <t>Name and address          of the referring unit                                                and cell number</t>
  </si>
  <si>
    <t>* Type of patient</t>
  </si>
  <si>
    <t>Current and previous (if any)  TB registration number</t>
  </si>
  <si>
    <t>** Result of                         Xpert                     MTB/RIF</t>
  </si>
  <si>
    <t>Name and address of the hospital/ treatment                initiation center            for enrollment of             DR TB treatment</t>
  </si>
  <si>
    <t>*** Current status of the patient</t>
  </si>
  <si>
    <t>Remarks</t>
  </si>
  <si>
    <r>
      <rPr>
        <b/>
        <sz val="9"/>
        <color indexed="63"/>
        <rFont val="Arial Narrow"/>
        <family val="2"/>
      </rPr>
      <t>*Type of patient (Code):</t>
    </r>
    <r>
      <rPr>
        <sz val="9"/>
        <color indexed="63"/>
        <rFont val="Arial Narrow"/>
        <family val="2"/>
      </rPr>
      <t xml:space="preserve"> </t>
    </r>
    <r>
      <rPr>
        <b/>
        <sz val="9"/>
        <color indexed="63"/>
        <rFont val="Arial Narrow"/>
        <family val="2"/>
      </rPr>
      <t>1,</t>
    </r>
    <r>
      <rPr>
        <sz val="9"/>
        <color indexed="63"/>
        <rFont val="Arial Narrow"/>
        <family val="2"/>
      </rPr>
      <t xml:space="preserve"> Failures of Category I (remain positive at month 5 or later and / Smear negative patients become smear positive at month 2); </t>
    </r>
    <r>
      <rPr>
        <b/>
        <sz val="9"/>
        <color indexed="63"/>
        <rFont val="Arial Narrow"/>
        <family val="2"/>
      </rPr>
      <t>2,</t>
    </r>
    <r>
      <rPr>
        <sz val="9"/>
        <color indexed="63"/>
        <rFont val="Arial Narrow"/>
        <family val="2"/>
      </rPr>
      <t xml:space="preserve"> Failures of Category II (remain positive at month 5 or 8); </t>
    </r>
    <r>
      <rPr>
        <b/>
        <sz val="9"/>
        <color indexed="63"/>
        <rFont val="Arial Narrow"/>
        <family val="2"/>
      </rPr>
      <t xml:space="preserve">3, </t>
    </r>
    <r>
      <rPr>
        <sz val="9"/>
        <color indexed="63"/>
        <rFont val="Arial Narrow"/>
        <family val="2"/>
      </rPr>
      <t xml:space="preserve">Non Converters of CAT II (remain positive at month 3); </t>
    </r>
    <r>
      <rPr>
        <b/>
        <sz val="9"/>
        <color indexed="63"/>
        <rFont val="Arial Narrow"/>
        <family val="2"/>
      </rPr>
      <t xml:space="preserve">4, </t>
    </r>
    <r>
      <rPr>
        <sz val="9"/>
        <color indexed="63"/>
        <rFont val="Arial Narrow"/>
        <family val="2"/>
      </rPr>
      <t xml:space="preserve">Non Converters of Category I (remain positive at month 2) ; </t>
    </r>
    <r>
      <rPr>
        <b/>
        <sz val="9"/>
        <color indexed="63"/>
        <rFont val="Arial Narrow"/>
        <family val="2"/>
      </rPr>
      <t>5,</t>
    </r>
    <r>
      <rPr>
        <sz val="9"/>
        <color indexed="63"/>
        <rFont val="Arial Narrow"/>
        <family val="2"/>
      </rPr>
      <t xml:space="preserve"> Relapse - a) Category I, b) Category II; </t>
    </r>
    <r>
      <rPr>
        <b/>
        <sz val="9"/>
        <color indexed="63"/>
        <rFont val="Arial Narrow"/>
        <family val="2"/>
      </rPr>
      <t>6</t>
    </r>
    <r>
      <rPr>
        <sz val="9"/>
        <color indexed="63"/>
        <rFont val="Arial Narrow"/>
        <family val="2"/>
      </rPr>
      <t xml:space="preserve">, Treatment after loss to follow up - a) Category I, b) Category II ; </t>
    </r>
    <r>
      <rPr>
        <b/>
        <sz val="9"/>
        <color indexed="63"/>
        <rFont val="Arial Narrow"/>
        <family val="2"/>
      </rPr>
      <t>7</t>
    </r>
    <r>
      <rPr>
        <sz val="9"/>
        <color indexed="63"/>
        <rFont val="Arial Narrow"/>
        <family val="2"/>
      </rPr>
      <t xml:space="preserve">, Close contacts of DR-TB patient with symptoms, a) Unknown history b) New c) Prev. treated; </t>
    </r>
    <r>
      <rPr>
        <b/>
        <sz val="9"/>
        <color indexed="63"/>
        <rFont val="Arial Narrow"/>
        <family val="2"/>
      </rPr>
      <t>8</t>
    </r>
    <r>
      <rPr>
        <sz val="9"/>
        <color indexed="63"/>
        <rFont val="Arial Narrow"/>
        <family val="2"/>
      </rPr>
      <t xml:space="preserve">,  HIV infected person with TB S/S, a) Unknown history b) New c) Prev. treated; </t>
    </r>
    <r>
      <rPr>
        <b/>
        <sz val="9"/>
        <color indexed="63"/>
        <rFont val="Arial Narrow"/>
        <family val="2"/>
      </rPr>
      <t>9</t>
    </r>
    <r>
      <rPr>
        <sz val="9"/>
        <color indexed="63"/>
        <rFont val="Arial Narrow"/>
        <family val="2"/>
      </rPr>
      <t xml:space="preserve">, Others (Specify) i) Pulmonary, clinically diagnosed, a) Unknown history b) New c) Prev. treated, ii) Extra Pulmonary, a) Unknown history b) New c) Prev. treated, iii) Pulmonary, bacteriologically confirmed, a) Unknown history b) New; </t>
    </r>
    <r>
      <rPr>
        <b/>
        <sz val="9"/>
        <color indexed="63"/>
        <rFont val="Arial Narrow"/>
        <family val="2"/>
      </rPr>
      <t>10,</t>
    </r>
    <r>
      <rPr>
        <sz val="9"/>
        <color indexed="63"/>
        <rFont val="Arial Narrow"/>
        <family val="2"/>
      </rPr>
      <t xml:space="preserve"> Presumptive Pulmonary Smear Negative cases  a) Unknown history b) New c) Prev. treated. </t>
    </r>
  </si>
  <si>
    <t>**Result of Xpert MTB/RIF: T = MTB detected, Rif resistance not detected, RR = MTB detected, Rif resistance detected, TI =  MTB detected, Rif resistance indeterminate, N  = MTB not detected, I = invalid/ no result/ error</t>
  </si>
  <si>
    <t xml:space="preserve">Number of total RR TB detected in the reporting month: </t>
  </si>
  <si>
    <t>Sex
(M/F)</t>
  </si>
  <si>
    <t>Enrollment status                   (Y/N)</t>
  </si>
  <si>
    <t>D) Number of MTB not detected (N):</t>
  </si>
  <si>
    <t>Comments</t>
  </si>
  <si>
    <t>Date of Diagnosis</t>
  </si>
  <si>
    <t>***Example: died(With Date), absconded/Lost to follow up, under treatment etc.</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</si>
  <si>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</si>
  <si>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</si>
  <si>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</si>
  <si>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</si>
  <si>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</si>
  <si>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</si>
  <si>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</si>
  <si>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</si>
  <si>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</si>
  <si>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</si>
  <si>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</si>
  <si>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</si>
  <si>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</si>
  <si>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</si>
  <si>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</si>
  <si>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</si>
  <si>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</si>
  <si>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</si>
  <si>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</si>
  <si>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</si>
  <si>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</si>
  <si>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</si>
  <si>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Date Of Enrollment</t>
  </si>
  <si>
    <t xml:space="preserve">                    Government of the People's Republic of Bangladesh</t>
  </si>
  <si>
    <t xml:space="preserve">                    National TB Control Program</t>
  </si>
  <si>
    <t xml:space="preserve">                    Programmatic Management of Drug Resistant Tuberculosis (PMDT)</t>
  </si>
  <si>
    <t xml:space="preserve">                    Monthly Report of Enrolment status of Detected </t>
  </si>
  <si>
    <t xml:space="preserve">                    Drug Resistant Cases by Xpert MTB/RIF</t>
  </si>
  <si>
    <t>Form DR TB 10B</t>
  </si>
  <si>
    <t>&lt;Table&gt;</t>
  </si>
  <si>
    <t>&lt;#&gt;</t>
  </si>
  <si>
    <t xml:space="preserve">                                                 National TB Control Programme</t>
  </si>
  <si>
    <t xml:space="preserve">                                                 Programmatic Management of Drug Resistant Tuberculosis (PMDT)</t>
  </si>
  <si>
    <t xml:space="preserve">                                                 Monthly Report on Xpert MTB/RIF Results</t>
  </si>
  <si>
    <t>&lt;patientName&gt;</t>
  </si>
  <si>
    <t>&lt;patientAge&gt;</t>
  </si>
  <si>
    <t>&lt;gender&gt;</t>
  </si>
  <si>
    <t>&lt;dateOfDiagnosis&gt;</t>
  </si>
  <si>
    <t>&lt;referringAddressAndCell&gt;</t>
  </si>
  <si>
    <t>&lt;patientAddressAndCell&gt;</t>
  </si>
  <si>
    <t>&lt;typeOfPatient&gt;</t>
  </si>
  <si>
    <t>&lt;tbRegistrationNumber&gt;</t>
  </si>
  <si>
    <t>&lt;resultMtbRif&gt;</t>
  </si>
  <si>
    <t>&lt;hospitalTreatmentDRTB&gt;</t>
  </si>
  <si>
    <t>&lt;enrollmentStatus&gt;</t>
  </si>
  <si>
    <t>&lt;enrollmentDate&gt;</t>
  </si>
  <si>
    <t>&lt;patientStatus&gt;</t>
  </si>
  <si>
    <t>&lt;remarks&gt;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</si>
</sst>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164" formatCode="dd\/mm\/yyyy"/>
    <numFmt numFmtId="165" formatCode="dd/mm/yyyy"/>
    <numFmt numFmtId="166" formatCode="[$-409]General"/>
    <numFmt numFmtId="167" formatCode="[$$-409]#,##0.00;[Red]&quot;-&quot;[$$-409]#,##0.00"/>
  </numFmts>
  <fonts count="65"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sz val="9"/>
      <color indexed="63"/>
      <name val="Arial Narrow"/>
      <family val="2"/>
    </font>
    <font>
      <b/>
      <sz val="11"/>
      <color indexed="63"/>
      <name val="Arial Narrow"/>
      <family val="2"/>
    </font>
    <font>
      <sz val="8"/>
      <color indexed="63"/>
      <name val="Arial Narrow"/>
      <family val="2"/>
    </font>
    <font>
      <sz val="7"/>
      <color indexed="63"/>
      <name val="Arial Narrow"/>
      <family val="2"/>
    </font>
    <font>
      <sz val="10"/>
      <color indexed="8"/>
      <name val="Arial Narrow"/>
      <family val="2"/>
    </font>
    <font>
      <sz val="6"/>
      <color indexed="63"/>
      <name val="Arial Narrow"/>
      <family val="2"/>
    </font>
    <font>
      <sz val="6.5"/>
      <color indexed="63"/>
      <name val="Arial Narrow"/>
      <family val="2"/>
    </font>
    <font>
      <b/>
      <sz val="8"/>
      <color indexed="63"/>
      <name val="Arial Narrow"/>
      <family val="2"/>
    </font>
    <font>
      <b/>
      <sz val="12"/>
      <color indexed="63"/>
      <name val="Arial Narrow"/>
      <family val="2"/>
    </font>
    <font>
      <b/>
      <sz val="10"/>
      <color indexed="63"/>
      <name val="Arial Narrow"/>
      <family val="2"/>
    </font>
    <font>
      <sz val="10"/>
      <color indexed="63"/>
      <name val="Arial Narrow"/>
      <family val="2"/>
    </font>
    <font>
      <sz val="11"/>
      <color indexed="63"/>
      <name val="Arial Narrow"/>
      <family val="2"/>
    </font>
    <font>
      <b/>
      <sz val="11"/>
      <color indexed="8"/>
      <name val="Arial Narrow"/>
      <family val="2"/>
    </font>
    <font>
      <b/>
      <sz val="7"/>
      <color indexed="8"/>
      <name val="Arial Narrow"/>
      <family val="2"/>
    </font>
    <font>
      <sz val="11"/>
      <color theme="1"/>
      <name val="Calibri"/>
      <family val="2"/>
      <scheme val="minor"/>
    </font>
    <font>
      <sz val="11"/>
      <color theme="1"/>
      <name val="Arial Narrow"/>
      <family val="2"/>
    </font>
    <font>
      <sz val="10"/>
      <color theme="1"/>
      <name val="Arial Narrow"/>
      <family val="2"/>
    </font>
    <font>
      <sz val="8"/>
      <color theme="1"/>
      <name val="Arial Narrow"/>
      <family val="2"/>
    </font>
    <font>
      <sz val="7"/>
      <color theme="1"/>
      <name val="Arial Narrow"/>
      <family val="2"/>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sz val="12"/>
      <color indexed="8"/>
      <name val="Arial"/>
      <family val="2"/>
    </font>
    <font>
      <sz val="10"/>
      <color indexed="8"/>
      <name val="Arial"/>
      <family val="2"/>
    </font>
    <font>
      <sz val="11"/>
      <color indexed="8"/>
      <name val="Symbol"/>
      <family val="1"/>
      <charset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2"/>
      <name val="Arial Narrow"/>
      <family val="2"/>
    </font>
    <font>
      <sz val="11"/>
      <name val="Calibri"/>
      <family val="2"/>
    </font>
    <font>
      <sz val="9"/>
      <name val="Calibri"/>
      <family val="2"/>
      <scheme val="minor"/>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sz val="12"/>
      <color indexed="63"/>
      <name val="Arial Narrow"/>
      <family val="2"/>
    </font>
    <font>
      <sz val="12"/>
      <color theme="1"/>
      <name val="Arial Narrow"/>
      <family val="2"/>
    </font>
    <font>
      <b/>
      <sz val="12"/>
      <color theme="1"/>
      <name val="Arial Narrow"/>
      <family val="2"/>
    </font>
    <font>
      <sz val="12"/>
      <color indexed="8"/>
      <name val="Arial Narrow"/>
      <family val="2"/>
    </font>
    <font>
      <sz val="11"/>
      <color indexed="8"/>
      <name val="Arial Narrow"/>
      <family val="2"/>
    </font>
    <font>
      <sz val="14"/>
      <color indexed="63"/>
      <name val="Arial Narrow"/>
      <family val="2"/>
    </font>
    <font>
      <b/>
      <sz val="14"/>
      <color indexed="63"/>
      <name val="Arial Narrow"/>
      <family val="2"/>
    </font>
    <font>
      <b/>
      <sz val="13"/>
      <color theme="1"/>
      <name val="Arial Narrow"/>
      <family val="2"/>
    </font>
    <font>
      <sz val="13"/>
      <color theme="1"/>
      <name val="Arial Narrow"/>
      <family val="2"/>
    </font>
    <font>
      <sz val="13"/>
      <color indexed="63"/>
      <name val="Arial Narrow"/>
      <family val="2"/>
    </font>
    <font>
      <b/>
      <sz val="13"/>
      <color indexed="8"/>
      <name val="Arial Narrow"/>
      <family val="2"/>
    </font>
    <font>
      <sz val="10"/>
      <name val="Arial Narrow"/>
      <family val="2"/>
    </font>
    <font>
      <sz val="11"/>
      <name val="Arial Narrow"/>
      <family val="2"/>
    </font>
    <font>
      <b/>
      <sz val="11"/>
      <color rgb="FF000000"/>
      <name val="Arial Narrow"/>
      <family val="2"/>
    </font>
    <font>
      <sz val="12"/>
      <color indexed="63"/>
      <name val="Arial"/>
      <family val="2"/>
    </font>
    <font>
      <b/>
      <sz val="12"/>
      <color indexed="63"/>
      <name val="Arial"/>
      <family val="2"/>
    </font>
  </fonts>
  <fills count="7">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theme="0" tint="-0.249977111117893"/>
        <bgColor indexed="64"/>
      </patternFill>
    </fill>
    <fill>
      <patternFill patternType="solid">
        <fgColor theme="9" tint="0.79998168889431442"/>
        <bgColor indexed="64"/>
      </patternFill>
    </fill>
  </fills>
  <borders count="7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21">
    <xf numFmtId="0" fontId="0" fillId="0" borderId="0"/>
    <xf numFmtId="0" fontId="19" fillId="0" borderId="0"/>
    <xf numFmtId="0" fontId="33" fillId="0" borderId="0"/>
    <xf numFmtId="0" fontId="3" fillId="0" borderId="0"/>
    <xf numFmtId="0" fontId="46" fillId="0" borderId="0"/>
    <xf numFmtId="0" fontId="45" fillId="0" borderId="0"/>
    <xf numFmtId="166" fontId="33" fillId="0" borderId="0"/>
    <xf numFmtId="0" fontId="47" fillId="0" borderId="0">
      <alignment horizontal="center"/>
    </xf>
    <xf numFmtId="0" fontId="47" fillId="0" borderId="0">
      <alignment horizontal="center" textRotation="90"/>
    </xf>
    <xf numFmtId="0" fontId="3" fillId="0" borderId="0"/>
    <xf numFmtId="166" fontId="33" fillId="0" borderId="0"/>
    <xf numFmtId="166" fontId="33" fillId="0" borderId="0"/>
    <xf numFmtId="0" fontId="45" fillId="0" borderId="0"/>
    <xf numFmtId="0" fontId="48" fillId="0" borderId="0"/>
    <xf numFmtId="167" fontId="48" fillId="0" borderId="0"/>
    <xf numFmtId="0" fontId="2" fillId="0" borderId="0"/>
    <xf numFmtId="0" fontId="2" fillId="0" borderId="0"/>
    <xf numFmtId="0" fontId="2" fillId="0" borderId="0"/>
    <xf numFmtId="0" fontId="1" fillId="0" borderId="0"/>
    <xf numFmtId="44" fontId="1" fillId="0" borderId="0" applyFont="0" applyFill="0" applyBorder="0" applyAlignment="0" applyProtection="0"/>
    <xf numFmtId="9" fontId="1" fillId="0" borderId="0" applyFont="0" applyFill="0" applyBorder="0" applyAlignment="0" applyProtection="0"/>
  </cellStyleXfs>
  <cellXfs count="378">
    <xf numFmtId="0" fontId="0" fillId="0" borderId="0" xfId="0"/>
    <xf numFmtId="0" fontId="16" fillId="0" borderId="0" xfId="0" applyFont="1" applyAlignment="1" applyProtection="1">
      <alignment vertical="center"/>
      <protection hidden="1"/>
    </xf>
    <xf numFmtId="0" fontId="6" fillId="0" borderId="0" xfId="0" applyFont="1" applyAlignment="1" applyProtection="1">
      <alignment vertical="center"/>
      <protection hidden="1"/>
    </xf>
    <xf numFmtId="0" fontId="20" fillId="0" borderId="0" xfId="0" applyFont="1" applyProtection="1">
      <protection hidden="1"/>
    </xf>
    <xf numFmtId="0" fontId="13" fillId="0" borderId="0" xfId="0" applyFont="1" applyAlignment="1" applyProtection="1">
      <alignment vertical="center"/>
      <protection hidden="1"/>
    </xf>
    <xf numFmtId="0" fontId="15" fillId="0" borderId="0" xfId="0" applyFont="1" applyAlignment="1" applyProtection="1">
      <alignment vertical="center"/>
      <protection hidden="1"/>
    </xf>
    <xf numFmtId="0" fontId="16" fillId="0" borderId="0" xfId="0" applyFont="1" applyAlignment="1" applyProtection="1">
      <alignment horizontal="left" vertical="center"/>
      <protection hidden="1"/>
    </xf>
    <xf numFmtId="0" fontId="21" fillId="0" borderId="0" xfId="0" applyFont="1" applyAlignment="1" applyProtection="1">
      <alignment vertical="center"/>
      <protection hidden="1"/>
    </xf>
    <xf numFmtId="0" fontId="21" fillId="0" borderId="0" xfId="0" applyFont="1" applyAlignment="1" applyProtection="1">
      <alignment horizontal="left" vertical="center"/>
      <protection hidden="1"/>
    </xf>
    <xf numFmtId="0" fontId="15" fillId="0" borderId="0" xfId="0" applyFont="1" applyAlignment="1" applyProtection="1">
      <alignment horizontal="left" vertical="center"/>
      <protection hidden="1"/>
    </xf>
    <xf numFmtId="0" fontId="15" fillId="0" borderId="0" xfId="0" applyFont="1" applyAlignment="1" applyProtection="1">
      <protection hidden="1"/>
    </xf>
    <xf numFmtId="0" fontId="9" fillId="0" borderId="0" xfId="0" applyFont="1" applyProtection="1">
      <protection hidden="1"/>
    </xf>
    <xf numFmtId="0" fontId="14" fillId="0" borderId="1" xfId="0" applyFont="1" applyBorder="1" applyAlignment="1" applyProtection="1">
      <alignment horizontal="left" vertical="center"/>
      <protection hidden="1"/>
    </xf>
    <xf numFmtId="0" fontId="14" fillId="0" borderId="4" xfId="0" applyFont="1" applyBorder="1" applyAlignment="1" applyProtection="1">
      <alignment horizontal="left" vertical="center"/>
      <protection hidden="1"/>
    </xf>
    <xf numFmtId="0" fontId="22" fillId="0" borderId="10" xfId="0" applyFont="1" applyBorder="1" applyAlignment="1" applyProtection="1">
      <alignment vertical="center"/>
      <protection hidden="1"/>
    </xf>
    <xf numFmtId="0" fontId="23" fillId="0" borderId="0" xfId="0" applyFont="1" applyProtection="1">
      <protection hidden="1"/>
    </xf>
    <xf numFmtId="0" fontId="22" fillId="0" borderId="0" xfId="0" applyFont="1" applyProtection="1">
      <protection hidden="1"/>
    </xf>
    <xf numFmtId="0" fontId="22" fillId="0" borderId="0" xfId="0" applyFont="1" applyAlignment="1" applyProtection="1">
      <alignment horizontal="right"/>
      <protection hidden="1"/>
    </xf>
    <xf numFmtId="0" fontId="20" fillId="0" borderId="0" xfId="0" applyFont="1" applyBorder="1" applyAlignment="1" applyProtection="1">
      <alignment vertical="center"/>
      <protection hidden="1"/>
    </xf>
    <xf numFmtId="0" fontId="20" fillId="0" borderId="0" xfId="0" applyFont="1" applyBorder="1" applyProtection="1">
      <protection hidden="1"/>
    </xf>
    <xf numFmtId="0" fontId="8" fillId="0" borderId="10" xfId="0" applyFont="1" applyFill="1" applyBorder="1" applyAlignment="1" applyProtection="1">
      <alignment horizontal="center" vertical="center" wrapText="1"/>
      <protection hidden="1"/>
    </xf>
    <xf numFmtId="0" fontId="28" fillId="0" borderId="41" xfId="0" applyFont="1" applyBorder="1" applyAlignment="1" applyProtection="1">
      <alignment horizontal="center" vertical="center" wrapText="1"/>
      <protection hidden="1"/>
    </xf>
    <xf numFmtId="0" fontId="25" fillId="0" borderId="21" xfId="0" applyFont="1" applyFill="1" applyBorder="1" applyAlignment="1" applyProtection="1">
      <alignment horizontal="center" vertical="center" wrapText="1"/>
      <protection hidden="1"/>
    </xf>
    <xf numFmtId="0" fontId="15" fillId="0" borderId="0" xfId="0" applyFont="1" applyAlignment="1" applyProtection="1">
      <alignment horizontal="left"/>
      <protection hidden="1"/>
    </xf>
    <xf numFmtId="0" fontId="9" fillId="0" borderId="0" xfId="0" applyFont="1" applyBorder="1" applyProtection="1">
      <protection hidden="1"/>
    </xf>
    <xf numFmtId="0" fontId="9" fillId="0" borderId="34" xfId="0" applyFont="1" applyBorder="1" applyProtection="1">
      <protection hidden="1"/>
    </xf>
    <xf numFmtId="0" fontId="17" fillId="0" borderId="0" xfId="0" applyFont="1" applyFill="1" applyBorder="1" applyAlignment="1" applyProtection="1">
      <alignment horizontal="center" vertical="center"/>
      <protection hidden="1"/>
    </xf>
    <xf numFmtId="0" fontId="15" fillId="0" borderId="0" xfId="0" applyFont="1" applyBorder="1" applyAlignment="1" applyProtection="1">
      <alignment horizontal="left"/>
      <protection hidden="1"/>
    </xf>
    <xf numFmtId="0" fontId="15" fillId="0" borderId="2" xfId="0" applyFont="1" applyBorder="1" applyAlignment="1" applyProtection="1">
      <alignment horizontal="left"/>
      <protection hidden="1"/>
    </xf>
    <xf numFmtId="0" fontId="9" fillId="0" borderId="2" xfId="0" applyFont="1" applyBorder="1" applyProtection="1">
      <protection hidden="1"/>
    </xf>
    <xf numFmtId="0" fontId="9" fillId="0" borderId="3" xfId="0" applyFont="1" applyBorder="1" applyProtection="1">
      <protection hidden="1"/>
    </xf>
    <xf numFmtId="0" fontId="9" fillId="0" borderId="5" xfId="0" applyFont="1" applyBorder="1" applyProtection="1">
      <protection hidden="1"/>
    </xf>
    <xf numFmtId="0" fontId="9" fillId="0" borderId="7" xfId="0" applyFont="1" applyBorder="1" applyProtection="1">
      <protection hidden="1"/>
    </xf>
    <xf numFmtId="0" fontId="9" fillId="0" borderId="8" xfId="0" applyFont="1" applyBorder="1" applyProtection="1">
      <protection hidden="1"/>
    </xf>
    <xf numFmtId="0" fontId="15" fillId="0" borderId="6" xfId="0" applyFont="1" applyBorder="1" applyAlignment="1" applyProtection="1">
      <alignment horizontal="left"/>
      <protection hidden="1"/>
    </xf>
    <xf numFmtId="0" fontId="15" fillId="0" borderId="7" xfId="0" applyFont="1" applyBorder="1" applyAlignment="1" applyProtection="1">
      <alignment horizontal="left"/>
      <protection hidden="1"/>
    </xf>
    <xf numFmtId="0" fontId="20" fillId="0" borderId="7" xfId="0" applyFont="1" applyBorder="1" applyProtection="1">
      <protection hidden="1"/>
    </xf>
    <xf numFmtId="0" fontId="8" fillId="0" borderId="0" xfId="0" applyFont="1" applyProtection="1">
      <protection hidden="1"/>
    </xf>
    <xf numFmtId="0" fontId="21" fillId="0" borderId="9" xfId="0" applyFont="1" applyFill="1" applyBorder="1" applyAlignment="1" applyProtection="1">
      <alignment horizontal="center" vertical="center" shrinkToFit="1"/>
      <protection locked="0"/>
    </xf>
    <xf numFmtId="0" fontId="21" fillId="0" borderId="11" xfId="0" applyFont="1" applyFill="1" applyBorder="1" applyAlignment="1" applyProtection="1">
      <alignment horizontal="center" vertical="center" shrinkToFit="1"/>
      <protection locked="0"/>
    </xf>
    <xf numFmtId="0" fontId="21" fillId="0" borderId="12" xfId="0" applyFont="1" applyFill="1" applyBorder="1" applyAlignment="1" applyProtection="1">
      <alignment horizontal="center" vertical="center" shrinkToFit="1"/>
      <protection locked="0"/>
    </xf>
    <xf numFmtId="0" fontId="21" fillId="2" borderId="12" xfId="0" applyFont="1" applyFill="1" applyBorder="1" applyAlignment="1" applyProtection="1">
      <alignment horizontal="center" vertical="center" shrinkToFit="1"/>
      <protection hidden="1"/>
    </xf>
    <xf numFmtId="0" fontId="21" fillId="2" borderId="13" xfId="0" applyFont="1" applyFill="1" applyBorder="1" applyAlignment="1" applyProtection="1">
      <alignment horizontal="center" vertical="center" shrinkToFit="1"/>
      <protection hidden="1"/>
    </xf>
    <xf numFmtId="0" fontId="22" fillId="0" borderId="9" xfId="0" applyFont="1" applyBorder="1" applyAlignment="1" applyProtection="1">
      <alignment horizontal="center" vertical="center"/>
      <protection hidden="1"/>
    </xf>
    <xf numFmtId="0" fontId="22" fillId="0" borderId="11" xfId="0" applyFont="1" applyBorder="1" applyAlignment="1" applyProtection="1">
      <alignment horizontal="center" vertical="center"/>
      <protection hidden="1"/>
    </xf>
    <xf numFmtId="0" fontId="8" fillId="0" borderId="9" xfId="0" applyFont="1" applyFill="1" applyBorder="1" applyAlignment="1" applyProtection="1">
      <alignment horizontal="center" vertical="center" wrapText="1"/>
      <protection hidden="1"/>
    </xf>
    <xf numFmtId="0" fontId="24" fillId="0" borderId="0" xfId="0" applyFont="1" applyFill="1" applyBorder="1" applyAlignment="1" applyProtection="1">
      <alignment horizontal="center" vertical="center"/>
      <protection hidden="1"/>
    </xf>
    <xf numFmtId="0" fontId="22" fillId="0" borderId="0" xfId="0" applyFont="1" applyBorder="1" applyAlignment="1" applyProtection="1">
      <alignment horizontal="center" vertical="center" wrapText="1"/>
      <protection hidden="1"/>
    </xf>
    <xf numFmtId="0" fontId="15" fillId="0" borderId="14" xfId="0" applyFont="1" applyFill="1" applyBorder="1" applyAlignment="1" applyProtection="1">
      <alignment horizontal="center" vertical="center" wrapText="1"/>
      <protection locked="0"/>
    </xf>
    <xf numFmtId="0" fontId="15" fillId="0" borderId="15" xfId="0" applyFont="1" applyFill="1" applyBorder="1" applyAlignment="1" applyProtection="1">
      <alignment horizontal="center" vertical="center" wrapText="1"/>
      <protection locked="0"/>
    </xf>
    <xf numFmtId="0" fontId="14" fillId="0" borderId="9" xfId="0" applyFont="1" applyFill="1" applyBorder="1" applyAlignment="1" applyProtection="1">
      <alignment horizontal="center" vertical="center"/>
      <protection locked="0"/>
    </xf>
    <xf numFmtId="0" fontId="8" fillId="0" borderId="23" xfId="0" applyFont="1" applyBorder="1" applyAlignment="1" applyProtection="1">
      <alignment horizontal="center" vertical="center" wrapText="1"/>
      <protection hidden="1"/>
    </xf>
    <xf numFmtId="0" fontId="8" fillId="0" borderId="12" xfId="0" applyFont="1" applyBorder="1" applyAlignment="1" applyProtection="1">
      <alignment horizontal="center" vertical="center" wrapText="1"/>
      <protection hidden="1"/>
    </xf>
    <xf numFmtId="0" fontId="15" fillId="0" borderId="67" xfId="0" applyFont="1" applyFill="1" applyBorder="1" applyAlignment="1" applyProtection="1">
      <alignment horizontal="center" vertical="center" wrapText="1"/>
      <protection locked="0"/>
    </xf>
    <xf numFmtId="0" fontId="26" fillId="0" borderId="22" xfId="0" applyFont="1" applyFill="1" applyBorder="1" applyAlignment="1" applyProtection="1">
      <alignment horizontal="center" vertical="center" wrapText="1"/>
      <protection hidden="1"/>
    </xf>
    <xf numFmtId="0" fontId="9" fillId="0" borderId="23" xfId="0" applyFont="1" applyFill="1" applyBorder="1" applyAlignment="1" applyProtection="1">
      <alignment horizontal="center" vertical="center" shrinkToFit="1"/>
      <protection locked="0"/>
    </xf>
    <xf numFmtId="0" fontId="9" fillId="0" borderId="12" xfId="0" applyFont="1" applyFill="1" applyBorder="1" applyAlignment="1" applyProtection="1">
      <alignment horizontal="center" vertical="center" shrinkToFit="1"/>
      <protection locked="0"/>
    </xf>
    <xf numFmtId="0" fontId="29" fillId="0" borderId="22" xfId="0" applyFont="1" applyBorder="1" applyAlignment="1" applyProtection="1">
      <alignment horizontal="center" vertical="center"/>
      <protection hidden="1"/>
    </xf>
    <xf numFmtId="0" fontId="32" fillId="0" borderId="9" xfId="0" applyFont="1" applyBorder="1" applyAlignment="1" applyProtection="1">
      <alignment horizontal="center" vertical="center"/>
      <protection locked="0"/>
    </xf>
    <xf numFmtId="0" fontId="9" fillId="0" borderId="12" xfId="0" applyFont="1" applyBorder="1" applyAlignment="1" applyProtection="1">
      <alignment horizontal="center" vertical="center"/>
      <protection locked="0"/>
    </xf>
    <xf numFmtId="0" fontId="9" fillId="0" borderId="55" xfId="0" applyFont="1" applyBorder="1" applyAlignment="1" applyProtection="1">
      <alignment horizontal="center" vertical="center"/>
      <protection locked="0"/>
    </xf>
    <xf numFmtId="0" fontId="21" fillId="0" borderId="0" xfId="0" applyFont="1" applyAlignment="1" applyProtection="1">
      <alignment horizontal="center" vertical="center"/>
      <protection hidden="1"/>
    </xf>
    <xf numFmtId="164" fontId="6" fillId="0" borderId="57" xfId="0" applyNumberFormat="1" applyFont="1" applyFill="1" applyBorder="1" applyAlignment="1" applyProtection="1">
      <alignment horizontal="center" vertical="center"/>
      <protection hidden="1"/>
    </xf>
    <xf numFmtId="0" fontId="15" fillId="0" borderId="57" xfId="0" applyFont="1" applyBorder="1" applyAlignment="1" applyProtection="1">
      <alignment vertical="center"/>
      <protection hidden="1"/>
    </xf>
    <xf numFmtId="0" fontId="0" fillId="0" borderId="0" xfId="0" applyProtection="1">
      <protection hidden="1"/>
    </xf>
    <xf numFmtId="0" fontId="24" fillId="0" borderId="56" xfId="0" applyFont="1" applyFill="1" applyBorder="1" applyAlignment="1" applyProtection="1">
      <alignment horizontal="center" shrinkToFit="1"/>
      <protection locked="0"/>
    </xf>
    <xf numFmtId="0" fontId="17" fillId="3" borderId="22" xfId="0" applyFont="1" applyFill="1" applyBorder="1" applyAlignment="1" applyProtection="1">
      <alignment horizontal="center" vertical="center"/>
    </xf>
    <xf numFmtId="0" fontId="17" fillId="3" borderId="11" xfId="0" applyFont="1" applyFill="1" applyBorder="1" applyAlignment="1" applyProtection="1">
      <alignment horizontal="center" vertical="center"/>
    </xf>
    <xf numFmtId="0" fontId="30" fillId="3" borderId="13" xfId="0" applyFont="1" applyFill="1" applyBorder="1" applyAlignment="1" applyProtection="1">
      <alignment horizontal="center" vertical="center"/>
    </xf>
    <xf numFmtId="0" fontId="31" fillId="3" borderId="9" xfId="0" applyFont="1" applyFill="1" applyBorder="1" applyAlignment="1" applyProtection="1">
      <alignment horizontal="center" vertical="center"/>
    </xf>
    <xf numFmtId="0" fontId="30" fillId="3" borderId="11" xfId="0" applyFont="1" applyFill="1" applyBorder="1" applyAlignment="1" applyProtection="1">
      <alignment horizontal="center" vertical="center"/>
    </xf>
    <xf numFmtId="0" fontId="14" fillId="3" borderId="9" xfId="0" applyFont="1" applyFill="1" applyBorder="1" applyAlignment="1" applyProtection="1">
      <alignment horizontal="center" vertical="center"/>
    </xf>
    <xf numFmtId="0" fontId="32" fillId="3" borderId="9" xfId="0" applyFont="1" applyFill="1" applyBorder="1" applyAlignment="1" applyProtection="1">
      <alignment horizontal="center" vertical="center"/>
    </xf>
    <xf numFmtId="0" fontId="14" fillId="3" borderId="12" xfId="0" applyFont="1" applyFill="1" applyBorder="1" applyAlignment="1" applyProtection="1">
      <alignment horizontal="center" vertical="center"/>
    </xf>
    <xf numFmtId="0" fontId="32" fillId="3" borderId="12" xfId="0" applyFont="1" applyFill="1" applyBorder="1" applyAlignment="1" applyProtection="1">
      <alignment horizontal="center" vertical="center"/>
    </xf>
    <xf numFmtId="0" fontId="34" fillId="0" borderId="0" xfId="2" applyFont="1" applyAlignment="1" applyProtection="1">
      <protection hidden="1"/>
    </xf>
    <xf numFmtId="0" fontId="33" fillId="0" borderId="0" xfId="2" applyProtection="1">
      <protection hidden="1"/>
    </xf>
    <xf numFmtId="0" fontId="35" fillId="0" borderId="0" xfId="2" applyFont="1" applyAlignment="1" applyProtection="1">
      <protection hidden="1"/>
    </xf>
    <xf numFmtId="0" fontId="33" fillId="0" borderId="0" xfId="2" applyAlignment="1" applyProtection="1">
      <alignment horizontal="right"/>
      <protection hidden="1"/>
    </xf>
    <xf numFmtId="0" fontId="36" fillId="0" borderId="0" xfId="2" applyFont="1" applyProtection="1">
      <protection hidden="1"/>
    </xf>
    <xf numFmtId="0" fontId="28" fillId="0" borderId="0" xfId="2" applyFont="1" applyAlignment="1" applyProtection="1">
      <alignment horizontal="left"/>
      <protection hidden="1"/>
    </xf>
    <xf numFmtId="0" fontId="15" fillId="0" borderId="0" xfId="2" applyFont="1" applyAlignment="1" applyProtection="1">
      <alignment horizontal="left" vertical="center"/>
      <protection hidden="1"/>
    </xf>
    <xf numFmtId="0" fontId="28" fillId="0" borderId="0" xfId="2" applyFont="1" applyAlignment="1" applyProtection="1">
      <protection hidden="1"/>
    </xf>
    <xf numFmtId="0" fontId="15" fillId="0" borderId="0" xfId="2" applyFont="1" applyAlignment="1" applyProtection="1">
      <alignment vertical="center"/>
      <protection hidden="1"/>
    </xf>
    <xf numFmtId="0" fontId="33" fillId="0" borderId="0" xfId="2" applyBorder="1" applyProtection="1">
      <protection hidden="1"/>
    </xf>
    <xf numFmtId="0" fontId="35" fillId="0" borderId="0" xfId="2" applyFont="1" applyAlignment="1" applyProtection="1">
      <alignment vertical="center"/>
      <protection hidden="1"/>
    </xf>
    <xf numFmtId="0" fontId="33" fillId="0" borderId="0" xfId="2" applyAlignment="1" applyProtection="1">
      <alignment horizontal="left" indent="3"/>
      <protection hidden="1"/>
    </xf>
    <xf numFmtId="0" fontId="37" fillId="0" borderId="9" xfId="2" applyFont="1" applyBorder="1" applyAlignment="1" applyProtection="1">
      <alignment horizontal="center" vertical="center" wrapText="1"/>
      <protection hidden="1"/>
    </xf>
    <xf numFmtId="0" fontId="38" fillId="0" borderId="9" xfId="2" applyFont="1" applyBorder="1" applyAlignment="1" applyProtection="1">
      <alignment horizontal="center" vertical="center" wrapText="1"/>
      <protection hidden="1"/>
    </xf>
    <xf numFmtId="0" fontId="9" fillId="0" borderId="0" xfId="2" applyFont="1" applyAlignment="1" applyProtection="1">
      <protection hidden="1"/>
    </xf>
    <xf numFmtId="0" fontId="39" fillId="0" borderId="0" xfId="2" applyFont="1" applyAlignment="1" applyProtection="1">
      <alignment horizontal="left"/>
      <protection hidden="1"/>
    </xf>
    <xf numFmtId="0" fontId="40" fillId="0" borderId="56" xfId="2" applyFont="1" applyBorder="1" applyAlignment="1" applyProtection="1">
      <alignment horizontal="center" vertical="center" shrinkToFit="1"/>
      <protection hidden="1"/>
    </xf>
    <xf numFmtId="0" fontId="41" fillId="0" borderId="56" xfId="2" applyFont="1" applyBorder="1" applyAlignment="1" applyProtection="1">
      <alignment horizontal="center" vertical="center"/>
      <protection hidden="1"/>
    </xf>
    <xf numFmtId="0" fontId="42" fillId="0" borderId="56" xfId="2" applyFont="1" applyBorder="1" applyAlignment="1" applyProtection="1">
      <alignment horizontal="center" vertical="center"/>
      <protection hidden="1"/>
    </xf>
    <xf numFmtId="0" fontId="43" fillId="0" borderId="9" xfId="2" applyFont="1" applyBorder="1" applyAlignment="1" applyProtection="1">
      <alignment horizontal="left" vertical="center" wrapText="1"/>
      <protection locked="0"/>
    </xf>
    <xf numFmtId="0" fontId="43" fillId="0" borderId="9" xfId="2" applyFont="1" applyBorder="1" applyAlignment="1" applyProtection="1">
      <alignment horizontal="center" vertical="center" wrapText="1"/>
      <protection locked="0"/>
    </xf>
    <xf numFmtId="0" fontId="44" fillId="0" borderId="9" xfId="2" applyFont="1" applyBorder="1" applyAlignment="1" applyProtection="1">
      <alignment horizontal="center" vertical="center" wrapText="1"/>
      <protection locked="0"/>
    </xf>
    <xf numFmtId="0" fontId="43" fillId="4" borderId="9" xfId="2" applyFont="1" applyFill="1" applyBorder="1" applyAlignment="1" applyProtection="1">
      <alignment horizontal="center" vertical="center" wrapText="1"/>
      <protection locked="0"/>
    </xf>
    <xf numFmtId="0" fontId="33" fillId="0" borderId="0" xfId="2" applyAlignment="1" applyProtection="1">
      <alignment vertical="top"/>
      <protection locked="0"/>
    </xf>
    <xf numFmtId="0" fontId="27" fillId="0" borderId="10" xfId="0" applyFont="1" applyBorder="1" applyAlignment="1" applyProtection="1">
      <alignment horizontal="center" vertical="center" wrapText="1"/>
      <protection hidden="1"/>
    </xf>
    <xf numFmtId="0" fontId="0" fillId="0" borderId="0" xfId="0"/>
    <xf numFmtId="164" fontId="13" fillId="0" borderId="57" xfId="0" applyNumberFormat="1" applyFont="1" applyFill="1" applyBorder="1" applyAlignment="1" applyProtection="1">
      <alignment horizontal="center" vertical="center"/>
      <protection hidden="1"/>
    </xf>
    <xf numFmtId="0" fontId="13" fillId="0" borderId="0" xfId="0" applyFont="1" applyFill="1" applyAlignment="1" applyProtection="1">
      <alignment vertical="center"/>
      <protection hidden="1"/>
    </xf>
    <xf numFmtId="0" fontId="49" fillId="0" borderId="0" xfId="0" applyFont="1" applyFill="1" applyAlignment="1" applyProtection="1">
      <alignment vertical="center"/>
      <protection hidden="1"/>
    </xf>
    <xf numFmtId="0" fontId="50" fillId="0" borderId="0" xfId="0" applyFont="1" applyFill="1" applyProtection="1">
      <protection hidden="1"/>
    </xf>
    <xf numFmtId="0" fontId="50" fillId="0" borderId="0" xfId="0" applyFont="1" applyFill="1" applyBorder="1" applyProtection="1">
      <protection hidden="1"/>
    </xf>
    <xf numFmtId="0" fontId="50" fillId="0" borderId="0" xfId="0" applyFont="1" applyFill="1" applyAlignment="1" applyProtection="1">
      <alignment vertical="center"/>
      <protection hidden="1"/>
    </xf>
    <xf numFmtId="0" fontId="50" fillId="0" borderId="0" xfId="0" applyFont="1" applyFill="1" applyAlignment="1" applyProtection="1">
      <alignment horizontal="center" vertical="center"/>
      <protection hidden="1"/>
    </xf>
    <xf numFmtId="0" fontId="50" fillId="0" borderId="0" xfId="0" applyFont="1" applyFill="1" applyAlignment="1" applyProtection="1">
      <alignment horizontal="left" vertical="center"/>
      <protection hidden="1"/>
    </xf>
    <xf numFmtId="0" fontId="49" fillId="0" borderId="0" xfId="0" applyFont="1" applyFill="1" applyAlignment="1" applyProtection="1">
      <alignment horizontal="left" vertical="center"/>
      <protection hidden="1"/>
    </xf>
    <xf numFmtId="0" fontId="49" fillId="0" borderId="57" xfId="0" applyFont="1" applyFill="1" applyBorder="1" applyAlignment="1" applyProtection="1">
      <alignment vertical="center"/>
      <protection hidden="1"/>
    </xf>
    <xf numFmtId="0" fontId="49" fillId="0" borderId="0" xfId="0" applyFont="1" applyFill="1" applyAlignment="1" applyProtection="1">
      <protection hidden="1"/>
    </xf>
    <xf numFmtId="0" fontId="52" fillId="0" borderId="0" xfId="0" applyFont="1" applyFill="1" applyProtection="1">
      <protection hidden="1"/>
    </xf>
    <xf numFmtId="0" fontId="49" fillId="0" borderId="0" xfId="0" applyFont="1" applyFill="1" applyAlignment="1" applyProtection="1">
      <alignment horizontal="left"/>
      <protection hidden="1"/>
    </xf>
    <xf numFmtId="0" fontId="52" fillId="0" borderId="0" xfId="0" applyFont="1" applyFill="1" applyBorder="1" applyProtection="1">
      <protection hidden="1"/>
    </xf>
    <xf numFmtId="0" fontId="49" fillId="0" borderId="4" xfId="0" applyFont="1" applyFill="1" applyBorder="1" applyAlignment="1" applyProtection="1">
      <alignment horizontal="left"/>
      <protection hidden="1"/>
    </xf>
    <xf numFmtId="0" fontId="49" fillId="0" borderId="0" xfId="0" applyFont="1" applyFill="1" applyBorder="1" applyAlignment="1" applyProtection="1">
      <alignment horizontal="left"/>
      <protection hidden="1"/>
    </xf>
    <xf numFmtId="0" fontId="52" fillId="0" borderId="5" xfId="0" applyFont="1" applyFill="1" applyBorder="1" applyProtection="1">
      <protection hidden="1"/>
    </xf>
    <xf numFmtId="0" fontId="50" fillId="0" borderId="0" xfId="0" applyFont="1" applyFill="1" applyAlignment="1" applyProtection="1">
      <alignment horizontal="right"/>
      <protection hidden="1"/>
    </xf>
    <xf numFmtId="0" fontId="50" fillId="0" borderId="0" xfId="0" applyFont="1" applyFill="1" applyBorder="1" applyAlignment="1" applyProtection="1">
      <alignment horizontal="center" vertical="center" wrapText="1"/>
      <protection hidden="1"/>
    </xf>
    <xf numFmtId="0" fontId="50" fillId="0" borderId="0" xfId="0" applyFont="1" applyFill="1" applyBorder="1" applyAlignment="1" applyProtection="1">
      <alignment horizontal="center" vertical="center"/>
      <protection hidden="1"/>
    </xf>
    <xf numFmtId="0" fontId="51" fillId="0" borderId="0" xfId="0" applyFont="1" applyFill="1" applyBorder="1" applyAlignment="1" applyProtection="1">
      <alignment horizontal="center" vertical="center"/>
      <protection hidden="1"/>
    </xf>
    <xf numFmtId="0" fontId="6" fillId="0" borderId="0" xfId="0" applyFont="1" applyFill="1" applyAlignment="1" applyProtection="1">
      <alignment vertical="center" wrapText="1"/>
      <protection hidden="1"/>
    </xf>
    <xf numFmtId="0" fontId="6" fillId="0" borderId="0" xfId="0" applyFont="1" applyFill="1" applyAlignment="1" applyProtection="1">
      <alignment vertical="center"/>
      <protection hidden="1"/>
    </xf>
    <xf numFmtId="0" fontId="49" fillId="0" borderId="0" xfId="0" applyFont="1" applyFill="1" applyBorder="1" applyAlignment="1" applyProtection="1">
      <alignment horizontal="center" vertical="center" wrapText="1"/>
      <protection hidden="1"/>
    </xf>
    <xf numFmtId="0" fontId="50" fillId="0" borderId="0" xfId="0" applyFont="1" applyFill="1" applyBorder="1" applyAlignment="1" applyProtection="1">
      <alignment vertical="center" wrapText="1"/>
      <protection hidden="1"/>
    </xf>
    <xf numFmtId="0" fontId="50" fillId="0" borderId="0" xfId="0" applyFont="1" applyFill="1" applyBorder="1" applyAlignment="1" applyProtection="1">
      <alignment vertical="center"/>
      <protection hidden="1"/>
    </xf>
    <xf numFmtId="0" fontId="51" fillId="0" borderId="0" xfId="0" applyFont="1" applyFill="1" applyBorder="1" applyAlignment="1" applyProtection="1">
      <alignment vertical="center"/>
      <protection hidden="1"/>
    </xf>
    <xf numFmtId="0" fontId="51" fillId="0" borderId="0" xfId="0" applyFont="1" applyFill="1" applyBorder="1" applyAlignment="1" applyProtection="1">
      <alignment vertical="center" wrapText="1"/>
      <protection hidden="1"/>
    </xf>
    <xf numFmtId="0" fontId="54" fillId="0" borderId="0" xfId="0" applyFont="1" applyFill="1" applyAlignment="1" applyProtection="1">
      <alignment vertical="center"/>
      <protection hidden="1"/>
    </xf>
    <xf numFmtId="0" fontId="54" fillId="0" borderId="0" xfId="0" applyFont="1" applyFill="1" applyAlignment="1" applyProtection="1">
      <alignment horizontal="center" vertical="center"/>
      <protection hidden="1"/>
    </xf>
    <xf numFmtId="0" fontId="49" fillId="0" borderId="0" xfId="0" applyFont="1" applyFill="1" applyBorder="1" applyAlignment="1" applyProtection="1">
      <alignment horizontal="left" shrinkToFit="1"/>
      <protection hidden="1"/>
    </xf>
    <xf numFmtId="49" fontId="30" fillId="0" borderId="0" xfId="0" applyNumberFormat="1" applyFont="1" applyFill="1" applyBorder="1" applyAlignment="1" applyProtection="1">
      <alignment horizontal="left" shrinkToFit="1"/>
      <protection hidden="1"/>
    </xf>
    <xf numFmtId="0" fontId="30" fillId="0" borderId="0" xfId="0" applyFont="1" applyFill="1" applyBorder="1" applyAlignment="1" applyProtection="1">
      <alignment horizontal="center" vertical="center" wrapText="1"/>
      <protection hidden="1"/>
    </xf>
    <xf numFmtId="0" fontId="52" fillId="0" borderId="0" xfId="0" applyFont="1" applyFill="1" applyBorder="1" applyAlignment="1" applyProtection="1">
      <alignment horizontal="center" vertical="center" wrapText="1"/>
      <protection hidden="1"/>
    </xf>
    <xf numFmtId="0" fontId="53" fillId="0" borderId="29" xfId="0" applyFont="1" applyFill="1" applyBorder="1" applyAlignment="1" applyProtection="1">
      <alignment horizontal="center" vertical="center" shrinkToFit="1"/>
      <protection locked="0" hidden="1"/>
    </xf>
    <xf numFmtId="0" fontId="53" fillId="0" borderId="12" xfId="0" applyFont="1" applyFill="1" applyBorder="1" applyAlignment="1" applyProtection="1">
      <alignment horizontal="center" vertical="center" shrinkToFit="1"/>
      <protection locked="0" hidden="1"/>
    </xf>
    <xf numFmtId="0" fontId="53" fillId="0" borderId="55" xfId="0" applyFont="1" applyFill="1" applyBorder="1" applyAlignment="1" applyProtection="1">
      <alignment horizontal="center" vertical="center" shrinkToFit="1"/>
      <protection locked="0" hidden="1"/>
    </xf>
    <xf numFmtId="0" fontId="51" fillId="0" borderId="56" xfId="0" applyFont="1" applyFill="1" applyBorder="1" applyAlignment="1" applyProtection="1">
      <alignment horizontal="center" shrinkToFit="1"/>
      <protection hidden="1"/>
    </xf>
    <xf numFmtId="0" fontId="9" fillId="0" borderId="9" xfId="0" applyFont="1" applyBorder="1" applyAlignment="1" applyProtection="1">
      <alignment horizontal="center" vertical="center"/>
      <protection locked="0" hidden="1"/>
    </xf>
    <xf numFmtId="0" fontId="34" fillId="0" borderId="0" xfId="2" applyFont="1" applyAlignment="1" applyProtection="1">
      <alignment horizontal="center"/>
      <protection hidden="1"/>
    </xf>
    <xf numFmtId="0" fontId="63" fillId="0" borderId="0" xfId="0" applyFont="1" applyAlignment="1" applyProtection="1">
      <alignment horizontal="center" vertical="center"/>
      <protection hidden="1"/>
    </xf>
    <xf numFmtId="0" fontId="64" fillId="0" borderId="0" xfId="0" applyFont="1" applyAlignment="1" applyProtection="1">
      <alignment horizontal="center" vertical="center"/>
      <protection hidden="1"/>
    </xf>
    <xf numFmtId="0" fontId="22" fillId="0" borderId="72" xfId="0" applyFont="1" applyBorder="1" applyAlignment="1" applyProtection="1">
      <alignment horizontal="center" vertical="center" wrapText="1"/>
      <protection locked="0" hidden="1"/>
    </xf>
    <xf numFmtId="0" fontId="22" fillId="0" borderId="34" xfId="0" applyFont="1" applyBorder="1" applyAlignment="1" applyProtection="1">
      <alignment horizontal="center" vertical="center" wrapText="1"/>
      <protection locked="0" hidden="1"/>
    </xf>
    <xf numFmtId="0" fontId="22" fillId="0" borderId="35" xfId="0" applyFont="1" applyBorder="1" applyAlignment="1" applyProtection="1">
      <alignment horizontal="center" vertical="center" wrapText="1"/>
      <protection locked="0" hidden="1"/>
    </xf>
    <xf numFmtId="0" fontId="22" fillId="0" borderId="74" xfId="0" applyFont="1" applyBorder="1" applyAlignment="1" applyProtection="1">
      <alignment horizontal="center" vertical="center" wrapText="1"/>
      <protection locked="0" hidden="1"/>
    </xf>
    <xf numFmtId="0" fontId="22" fillId="0" borderId="0" xfId="0" applyFont="1" applyBorder="1" applyAlignment="1" applyProtection="1">
      <alignment horizontal="center" vertical="center" wrapText="1"/>
      <protection locked="0" hidden="1"/>
    </xf>
    <xf numFmtId="0" fontId="22" fillId="0" borderId="48" xfId="0" applyFont="1" applyBorder="1" applyAlignment="1" applyProtection="1">
      <alignment horizontal="center" vertical="center" wrapText="1"/>
      <protection locked="0" hidden="1"/>
    </xf>
    <xf numFmtId="0" fontId="22" fillId="0" borderId="73" xfId="0" applyFont="1" applyBorder="1" applyAlignment="1" applyProtection="1">
      <alignment horizontal="center" vertical="center" wrapText="1"/>
      <protection locked="0" hidden="1"/>
    </xf>
    <xf numFmtId="0" fontId="22" fillId="0" borderId="37" xfId="0" applyFont="1" applyBorder="1" applyAlignment="1" applyProtection="1">
      <alignment horizontal="center" vertical="center" wrapText="1"/>
      <protection locked="0" hidden="1"/>
    </xf>
    <xf numFmtId="0" fontId="22" fillId="0" borderId="38" xfId="0" applyFont="1" applyBorder="1" applyAlignment="1" applyProtection="1">
      <alignment horizontal="center" vertical="center" wrapText="1"/>
      <protection locked="0" hidden="1"/>
    </xf>
    <xf numFmtId="0" fontId="24" fillId="0" borderId="0" xfId="0" applyFont="1" applyBorder="1" applyAlignment="1" applyProtection="1">
      <alignment horizontal="center"/>
      <protection hidden="1"/>
    </xf>
    <xf numFmtId="0" fontId="5" fillId="0" borderId="4" xfId="0" applyFont="1" applyBorder="1" applyAlignment="1" applyProtection="1">
      <alignment horizontal="left" vertical="center"/>
      <protection hidden="1"/>
    </xf>
    <xf numFmtId="0" fontId="5" fillId="0" borderId="0" xfId="0" applyFont="1" applyBorder="1" applyAlignment="1" applyProtection="1">
      <alignment horizontal="left" vertical="center"/>
      <protection hidden="1"/>
    </xf>
    <xf numFmtId="0" fontId="15" fillId="0" borderId="60" xfId="0" applyFont="1" applyBorder="1" applyAlignment="1" applyProtection="1">
      <alignment horizontal="center" vertical="center" wrapText="1"/>
      <protection locked="0"/>
    </xf>
    <xf numFmtId="0" fontId="15" fillId="0" borderId="50" xfId="0" applyFont="1" applyBorder="1" applyAlignment="1" applyProtection="1">
      <alignment horizontal="center" vertical="center" wrapText="1"/>
      <protection locked="0"/>
    </xf>
    <xf numFmtId="0" fontId="15" fillId="0" borderId="52" xfId="0" applyFont="1" applyBorder="1" applyAlignment="1" applyProtection="1">
      <alignment horizontal="center" vertical="center" wrapText="1"/>
      <protection locked="0"/>
    </xf>
    <xf numFmtId="0" fontId="15" fillId="0" borderId="49" xfId="0" applyFont="1" applyBorder="1" applyAlignment="1" applyProtection="1">
      <alignment horizontal="center" vertical="center" wrapText="1"/>
      <protection locked="0"/>
    </xf>
    <xf numFmtId="0" fontId="15" fillId="0" borderId="53" xfId="0" applyFont="1" applyBorder="1" applyAlignment="1" applyProtection="1">
      <alignment horizontal="center" vertical="center" wrapText="1"/>
      <protection locked="0"/>
    </xf>
    <xf numFmtId="0" fontId="8" fillId="0" borderId="44" xfId="0" applyFont="1" applyBorder="1" applyAlignment="1" applyProtection="1">
      <alignment horizontal="center" vertical="center" wrapText="1"/>
      <protection hidden="1"/>
    </xf>
    <xf numFmtId="0" fontId="8" fillId="0" borderId="59" xfId="0" applyFont="1" applyBorder="1" applyAlignment="1" applyProtection="1">
      <alignment horizontal="center" vertical="center" wrapText="1"/>
      <protection hidden="1"/>
    </xf>
    <xf numFmtId="0" fontId="14" fillId="0" borderId="30" xfId="0" applyFont="1" applyBorder="1" applyAlignment="1" applyProtection="1">
      <alignment horizontal="center" vertical="center" wrapText="1"/>
      <protection hidden="1"/>
    </xf>
    <xf numFmtId="0" fontId="14" fillId="0" borderId="31" xfId="0" applyFont="1" applyBorder="1" applyAlignment="1" applyProtection="1">
      <alignment horizontal="center" vertical="center" wrapText="1"/>
      <protection hidden="1"/>
    </xf>
    <xf numFmtId="0" fontId="14" fillId="0" borderId="32" xfId="0" applyFont="1" applyBorder="1" applyAlignment="1" applyProtection="1">
      <alignment horizontal="center" vertical="center" wrapText="1"/>
      <protection hidden="1"/>
    </xf>
    <xf numFmtId="0" fontId="22" fillId="0" borderId="0" xfId="0" applyFont="1" applyBorder="1" applyAlignment="1" applyProtection="1">
      <alignment horizontal="center" vertical="center" wrapText="1"/>
      <protection hidden="1"/>
    </xf>
    <xf numFmtId="0" fontId="5" fillId="0" borderId="62" xfId="0" applyFont="1" applyBorder="1" applyAlignment="1" applyProtection="1">
      <alignment horizontal="center" vertical="center" wrapText="1"/>
      <protection hidden="1"/>
    </xf>
    <xf numFmtId="0" fontId="5" fillId="0" borderId="63" xfId="0" applyFont="1" applyBorder="1" applyAlignment="1" applyProtection="1">
      <alignment horizontal="center" vertical="center" wrapText="1"/>
      <protection hidden="1"/>
    </xf>
    <xf numFmtId="0" fontId="5" fillId="0" borderId="64" xfId="0" applyFont="1" applyBorder="1" applyAlignment="1" applyProtection="1">
      <alignment horizontal="center" vertical="center" wrapText="1"/>
      <protection hidden="1"/>
    </xf>
    <xf numFmtId="0" fontId="24" fillId="0" borderId="0" xfId="0" applyFont="1" applyFill="1" applyBorder="1" applyAlignment="1" applyProtection="1">
      <alignment horizontal="center" vertical="center"/>
      <protection hidden="1"/>
    </xf>
    <xf numFmtId="0" fontId="20" fillId="0" borderId="0" xfId="0" applyFont="1" applyFill="1" applyBorder="1" applyAlignment="1" applyProtection="1">
      <alignment horizontal="center" vertical="center"/>
      <protection hidden="1"/>
    </xf>
    <xf numFmtId="0" fontId="22" fillId="0" borderId="10" xfId="0" applyFont="1" applyBorder="1" applyAlignment="1" applyProtection="1">
      <alignment horizontal="left" vertical="center" wrapText="1"/>
      <protection hidden="1"/>
    </xf>
    <xf numFmtId="0" fontId="22" fillId="0" borderId="23" xfId="0" applyFont="1" applyBorder="1" applyAlignment="1" applyProtection="1">
      <alignment horizontal="left" vertical="center" wrapText="1"/>
      <protection hidden="1"/>
    </xf>
    <xf numFmtId="0" fontId="24" fillId="3" borderId="11" xfId="0" applyFont="1" applyFill="1" applyBorder="1" applyAlignment="1" applyProtection="1">
      <alignment horizontal="center" vertical="center"/>
    </xf>
    <xf numFmtId="0" fontId="21" fillId="0" borderId="18" xfId="0" applyFont="1" applyBorder="1" applyAlignment="1" applyProtection="1">
      <alignment horizontal="center" vertical="center" wrapText="1"/>
      <protection locked="0"/>
    </xf>
    <xf numFmtId="0" fontId="21" fillId="0" borderId="19" xfId="0" applyFont="1" applyBorder="1" applyAlignment="1" applyProtection="1">
      <alignment horizontal="center" vertical="center" wrapText="1"/>
      <protection locked="0"/>
    </xf>
    <xf numFmtId="0" fontId="24" fillId="3" borderId="56" xfId="0" applyFont="1" applyFill="1" applyBorder="1" applyAlignment="1" applyProtection="1">
      <alignment horizontal="center"/>
      <protection hidden="1"/>
    </xf>
    <xf numFmtId="0" fontId="21" fillId="0" borderId="24" xfId="0" applyFont="1" applyBorder="1" applyAlignment="1" applyProtection="1">
      <alignment horizontal="center" vertical="center" wrapText="1"/>
      <protection locked="0"/>
    </xf>
    <xf numFmtId="0" fontId="15" fillId="0" borderId="21" xfId="0" applyFont="1" applyBorder="1" applyAlignment="1" applyProtection="1">
      <alignment horizontal="center" vertical="center"/>
      <protection hidden="1"/>
    </xf>
    <xf numFmtId="0" fontId="15" fillId="0" borderId="9" xfId="0" applyFont="1" applyBorder="1" applyAlignment="1" applyProtection="1">
      <alignment horizontal="center" vertical="center"/>
      <protection hidden="1"/>
    </xf>
    <xf numFmtId="0" fontId="14" fillId="0" borderId="12" xfId="0" applyFont="1" applyBorder="1" applyAlignment="1" applyProtection="1">
      <alignment horizontal="center" vertical="center" wrapText="1"/>
      <protection hidden="1"/>
    </xf>
    <xf numFmtId="0" fontId="20" fillId="0" borderId="20" xfId="0" applyFont="1" applyBorder="1" applyAlignment="1" applyProtection="1">
      <alignment horizontal="center" vertical="center"/>
      <protection hidden="1"/>
    </xf>
    <xf numFmtId="0" fontId="20" fillId="0" borderId="21" xfId="0" applyFont="1" applyBorder="1" applyAlignment="1" applyProtection="1">
      <alignment horizontal="center" vertical="center"/>
      <protection hidden="1"/>
    </xf>
    <xf numFmtId="0" fontId="20" fillId="0" borderId="22" xfId="0" applyFont="1" applyBorder="1" applyAlignment="1" applyProtection="1">
      <alignment horizontal="center" vertical="center"/>
      <protection hidden="1"/>
    </xf>
    <xf numFmtId="0" fontId="9" fillId="0" borderId="0" xfId="0" applyFont="1" applyBorder="1" applyAlignment="1" applyProtection="1">
      <alignment horizontal="center" vertical="center"/>
      <protection hidden="1"/>
    </xf>
    <xf numFmtId="0" fontId="18" fillId="0" borderId="30" xfId="0" applyFont="1" applyFill="1" applyBorder="1" applyAlignment="1" applyProtection="1">
      <alignment horizontal="center" vertical="center"/>
      <protection hidden="1"/>
    </xf>
    <xf numFmtId="0" fontId="18" fillId="0" borderId="31" xfId="0" applyFont="1" applyFill="1" applyBorder="1" applyAlignment="1" applyProtection="1">
      <alignment horizontal="center" vertical="center"/>
      <protection hidden="1"/>
    </xf>
    <xf numFmtId="0" fontId="18" fillId="0" borderId="68" xfId="0" applyFont="1" applyFill="1" applyBorder="1" applyAlignment="1" applyProtection="1">
      <alignment horizontal="center" vertical="center"/>
      <protection hidden="1"/>
    </xf>
    <xf numFmtId="0" fontId="26" fillId="0" borderId="69" xfId="0" applyFont="1" applyFill="1" applyBorder="1" applyAlignment="1" applyProtection="1">
      <alignment horizontal="center" vertical="center" wrapText="1"/>
      <protection hidden="1"/>
    </xf>
    <xf numFmtId="0" fontId="26" fillId="0" borderId="31" xfId="0" applyFont="1" applyFill="1" applyBorder="1" applyAlignment="1" applyProtection="1">
      <alignment horizontal="center" vertical="center" wrapText="1"/>
      <protection hidden="1"/>
    </xf>
    <xf numFmtId="0" fontId="26" fillId="0" borderId="68" xfId="0" applyFont="1" applyFill="1" applyBorder="1" applyAlignment="1" applyProtection="1">
      <alignment horizontal="center" vertical="center" wrapText="1"/>
      <protection hidden="1"/>
    </xf>
    <xf numFmtId="0" fontId="14" fillId="0" borderId="1" xfId="0" applyFont="1" applyBorder="1" applyAlignment="1" applyProtection="1">
      <alignment horizontal="center" vertical="center" wrapText="1"/>
      <protection hidden="1"/>
    </xf>
    <xf numFmtId="0" fontId="14" fillId="0" borderId="2" xfId="0" applyFont="1" applyBorder="1" applyAlignment="1" applyProtection="1">
      <alignment horizontal="center" vertical="center" wrapText="1"/>
      <protection hidden="1"/>
    </xf>
    <xf numFmtId="0" fontId="14" fillId="0" borderId="54" xfId="0" applyFont="1" applyBorder="1" applyAlignment="1" applyProtection="1">
      <alignment horizontal="center" vertical="center" wrapText="1"/>
      <protection hidden="1"/>
    </xf>
    <xf numFmtId="0" fontId="14" fillId="0" borderId="4" xfId="0" applyFont="1" applyBorder="1" applyAlignment="1" applyProtection="1">
      <alignment horizontal="center" vertical="center" wrapText="1"/>
      <protection hidden="1"/>
    </xf>
    <xf numFmtId="0" fontId="14" fillId="0" borderId="0" xfId="0" applyFont="1" applyBorder="1" applyAlignment="1" applyProtection="1">
      <alignment horizontal="center" vertical="center" wrapText="1"/>
      <protection hidden="1"/>
    </xf>
    <xf numFmtId="0" fontId="14" fillId="0" borderId="48" xfId="0" applyFont="1" applyBorder="1" applyAlignment="1" applyProtection="1">
      <alignment horizontal="center" vertical="center" wrapText="1"/>
      <protection hidden="1"/>
    </xf>
    <xf numFmtId="0" fontId="14" fillId="0" borderId="6" xfId="0" applyFont="1" applyBorder="1" applyAlignment="1" applyProtection="1">
      <alignment horizontal="center" vertical="center" wrapText="1"/>
      <protection hidden="1"/>
    </xf>
    <xf numFmtId="0" fontId="14" fillId="0" borderId="7" xfId="0" applyFont="1" applyBorder="1" applyAlignment="1" applyProtection="1">
      <alignment horizontal="center" vertical="center" wrapText="1"/>
      <protection hidden="1"/>
    </xf>
    <xf numFmtId="0" fontId="14" fillId="0" borderId="46" xfId="0" applyFont="1" applyBorder="1" applyAlignment="1" applyProtection="1">
      <alignment horizontal="center" vertical="center" wrapText="1"/>
      <protection hidden="1"/>
    </xf>
    <xf numFmtId="0" fontId="15" fillId="0" borderId="6" xfId="0" applyFont="1" applyBorder="1" applyAlignment="1" applyProtection="1">
      <alignment horizontal="left" vertical="center"/>
      <protection hidden="1"/>
    </xf>
    <xf numFmtId="0" fontId="15" fillId="0" borderId="7" xfId="0" applyFont="1" applyBorder="1" applyAlignment="1" applyProtection="1">
      <alignment horizontal="left" vertical="center"/>
      <protection hidden="1"/>
    </xf>
    <xf numFmtId="0" fontId="11" fillId="0" borderId="25" xfId="0" applyFont="1" applyFill="1" applyBorder="1" applyAlignment="1" applyProtection="1">
      <alignment horizontal="left" vertical="center" wrapText="1"/>
      <protection hidden="1"/>
    </xf>
    <xf numFmtId="0" fontId="11" fillId="0" borderId="26" xfId="0" applyFont="1" applyFill="1" applyBorder="1" applyAlignment="1" applyProtection="1">
      <alignment horizontal="left" vertical="center" wrapText="1"/>
      <protection hidden="1"/>
    </xf>
    <xf numFmtId="0" fontId="8" fillId="0" borderId="9" xfId="0" applyFont="1" applyFill="1" applyBorder="1" applyAlignment="1" applyProtection="1">
      <alignment horizontal="center" vertical="center" wrapText="1"/>
      <protection hidden="1"/>
    </xf>
    <xf numFmtId="0" fontId="8" fillId="0" borderId="12" xfId="0" applyFont="1" applyBorder="1" applyAlignment="1" applyProtection="1">
      <alignment horizontal="center" vertical="center" wrapText="1"/>
      <protection hidden="1"/>
    </xf>
    <xf numFmtId="0" fontId="9" fillId="0" borderId="9" xfId="0" applyFont="1" applyFill="1" applyBorder="1" applyAlignment="1" applyProtection="1">
      <alignment horizontal="center" vertical="center" wrapText="1"/>
      <protection locked="0"/>
    </xf>
    <xf numFmtId="0" fontId="9" fillId="0" borderId="12" xfId="0" applyFont="1" applyFill="1" applyBorder="1" applyAlignment="1" applyProtection="1">
      <alignment horizontal="center" vertical="center" wrapText="1"/>
      <protection locked="0"/>
    </xf>
    <xf numFmtId="0" fontId="22" fillId="0" borderId="9" xfId="0" applyFont="1" applyBorder="1" applyAlignment="1" applyProtection="1">
      <alignment horizontal="center" vertical="center"/>
      <protection hidden="1"/>
    </xf>
    <xf numFmtId="0" fontId="22" fillId="0" borderId="11" xfId="0" applyFont="1" applyBorder="1" applyAlignment="1" applyProtection="1">
      <alignment horizontal="center" vertical="center"/>
      <protection hidden="1"/>
    </xf>
    <xf numFmtId="0" fontId="20" fillId="0" borderId="30" xfId="0" applyFont="1" applyBorder="1" applyAlignment="1" applyProtection="1">
      <alignment horizontal="center" vertical="center"/>
      <protection hidden="1"/>
    </xf>
    <xf numFmtId="0" fontId="20" fillId="0" borderId="31" xfId="0" applyFont="1" applyBorder="1" applyAlignment="1" applyProtection="1">
      <alignment horizontal="center" vertical="center"/>
      <protection hidden="1"/>
    </xf>
    <xf numFmtId="0" fontId="20" fillId="0" borderId="32" xfId="0" applyFont="1" applyBorder="1" applyAlignment="1" applyProtection="1">
      <alignment horizontal="center" vertical="center"/>
      <protection hidden="1"/>
    </xf>
    <xf numFmtId="0" fontId="22" fillId="0" borderId="33" xfId="0" applyFont="1" applyBorder="1" applyAlignment="1" applyProtection="1">
      <alignment horizontal="center" vertical="center"/>
      <protection hidden="1"/>
    </xf>
    <xf numFmtId="0" fontId="22" fillId="0" borderId="34" xfId="0" applyFont="1" applyBorder="1" applyAlignment="1" applyProtection="1">
      <alignment horizontal="center" vertical="center"/>
      <protection hidden="1"/>
    </xf>
    <xf numFmtId="0" fontId="22" fillId="0" borderId="35" xfId="0" applyFont="1" applyBorder="1" applyAlignment="1" applyProtection="1">
      <alignment horizontal="center" vertical="center"/>
      <protection hidden="1"/>
    </xf>
    <xf numFmtId="0" fontId="22" fillId="0" borderId="36" xfId="0" applyFont="1" applyBorder="1" applyAlignment="1" applyProtection="1">
      <alignment horizontal="center" vertical="center"/>
      <protection hidden="1"/>
    </xf>
    <xf numFmtId="0" fontId="22" fillId="0" borderId="37" xfId="0" applyFont="1" applyBorder="1" applyAlignment="1" applyProtection="1">
      <alignment horizontal="center" vertical="center"/>
      <protection hidden="1"/>
    </xf>
    <xf numFmtId="0" fontId="22" fillId="0" borderId="38" xfId="0" applyFont="1" applyBorder="1" applyAlignment="1" applyProtection="1">
      <alignment horizontal="center" vertical="center"/>
      <protection hidden="1"/>
    </xf>
    <xf numFmtId="0" fontId="22" fillId="0" borderId="39" xfId="0" applyFont="1" applyBorder="1" applyAlignment="1" applyProtection="1">
      <alignment horizontal="left"/>
      <protection hidden="1"/>
    </xf>
    <xf numFmtId="0" fontId="22" fillId="0" borderId="40" xfId="0" applyFont="1" applyBorder="1" applyAlignment="1" applyProtection="1">
      <alignment horizontal="left"/>
      <protection hidden="1"/>
    </xf>
    <xf numFmtId="0" fontId="22" fillId="0" borderId="41" xfId="0" applyFont="1" applyBorder="1" applyAlignment="1" applyProtection="1">
      <alignment horizontal="left"/>
      <protection hidden="1"/>
    </xf>
    <xf numFmtId="0" fontId="9" fillId="0" borderId="21" xfId="0" applyFont="1" applyFill="1" applyBorder="1" applyAlignment="1" applyProtection="1">
      <alignment horizontal="center" vertical="center" wrapText="1"/>
      <protection locked="0"/>
    </xf>
    <xf numFmtId="0" fontId="22" fillId="0" borderId="27" xfId="0" applyFont="1" applyBorder="1" applyAlignment="1" applyProtection="1">
      <alignment horizontal="left"/>
      <protection hidden="1"/>
    </xf>
    <xf numFmtId="0" fontId="22" fillId="0" borderId="28" xfId="0" applyFont="1" applyBorder="1" applyAlignment="1" applyProtection="1">
      <alignment horizontal="left"/>
      <protection hidden="1"/>
    </xf>
    <xf numFmtId="0" fontId="22" fillId="0" borderId="29" xfId="0" applyFont="1" applyBorder="1" applyAlignment="1" applyProtection="1">
      <alignment horizontal="left"/>
      <protection hidden="1"/>
    </xf>
    <xf numFmtId="0" fontId="9" fillId="3" borderId="9" xfId="0" applyFont="1" applyFill="1" applyBorder="1" applyAlignment="1" applyProtection="1">
      <alignment horizontal="center" vertical="center" wrapText="1"/>
    </xf>
    <xf numFmtId="0" fontId="9" fillId="3" borderId="12" xfId="0" applyFont="1" applyFill="1" applyBorder="1" applyAlignment="1" applyProtection="1">
      <alignment horizontal="center" vertical="center" wrapText="1"/>
    </xf>
    <xf numFmtId="0" fontId="24" fillId="3" borderId="13" xfId="0" applyFont="1" applyFill="1" applyBorder="1" applyAlignment="1" applyProtection="1">
      <alignment horizontal="center" vertical="center"/>
    </xf>
    <xf numFmtId="0" fontId="11" fillId="0" borderId="65" xfId="0" applyFont="1" applyFill="1" applyBorder="1" applyAlignment="1" applyProtection="1">
      <alignment horizontal="left" vertical="center" wrapText="1"/>
      <protection hidden="1"/>
    </xf>
    <xf numFmtId="0" fontId="11" fillId="0" borderId="66" xfId="0" applyFont="1" applyFill="1" applyBorder="1" applyAlignment="1" applyProtection="1">
      <alignment horizontal="left" vertical="center" wrapText="1"/>
      <protection hidden="1"/>
    </xf>
    <xf numFmtId="0" fontId="61" fillId="6" borderId="70" xfId="0" applyFont="1" applyFill="1" applyBorder="1" applyAlignment="1" applyProtection="1">
      <alignment horizontal="left" vertical="center"/>
      <protection hidden="1"/>
    </xf>
    <xf numFmtId="0" fontId="61" fillId="6" borderId="40" xfId="0" applyFont="1" applyFill="1" applyBorder="1" applyAlignment="1" applyProtection="1">
      <alignment horizontal="left" vertical="center"/>
      <protection hidden="1"/>
    </xf>
    <xf numFmtId="0" fontId="61" fillId="6" borderId="41" xfId="0" applyFont="1" applyFill="1" applyBorder="1" applyAlignment="1" applyProtection="1">
      <alignment horizontal="left" vertical="center"/>
      <protection hidden="1"/>
    </xf>
    <xf numFmtId="0" fontId="11" fillId="0" borderId="42" xfId="0" applyFont="1" applyFill="1" applyBorder="1" applyAlignment="1" applyProtection="1">
      <alignment horizontal="left" vertical="center" wrapText="1"/>
      <protection hidden="1"/>
    </xf>
    <xf numFmtId="0" fontId="11" fillId="0" borderId="43" xfId="0" applyFont="1" applyFill="1" applyBorder="1" applyAlignment="1" applyProtection="1">
      <alignment horizontal="left" vertical="center" wrapText="1"/>
      <protection hidden="1"/>
    </xf>
    <xf numFmtId="0" fontId="8" fillId="0" borderId="9" xfId="0" applyFont="1" applyFill="1" applyBorder="1" applyAlignment="1" applyProtection="1">
      <alignment horizontal="left" vertical="top" wrapText="1"/>
      <protection hidden="1"/>
    </xf>
    <xf numFmtId="0" fontId="9" fillId="3" borderId="21" xfId="0" applyFont="1" applyFill="1" applyBorder="1" applyAlignment="1" applyProtection="1">
      <alignment horizontal="center" vertical="center" wrapText="1"/>
    </xf>
    <xf numFmtId="0" fontId="14" fillId="0" borderId="20" xfId="0" applyFont="1" applyBorder="1" applyAlignment="1" applyProtection="1">
      <alignment horizontal="center" vertical="center" wrapText="1"/>
      <protection hidden="1"/>
    </xf>
    <xf numFmtId="0" fontId="14" fillId="0" borderId="21" xfId="0" applyFont="1" applyBorder="1" applyAlignment="1" applyProtection="1">
      <alignment horizontal="center" vertical="center" wrapText="1"/>
      <protection hidden="1"/>
    </xf>
    <xf numFmtId="0" fontId="63" fillId="0" borderId="0" xfId="0" applyFont="1" applyAlignment="1" applyProtection="1">
      <alignment horizontal="center" vertical="center"/>
      <protection hidden="1"/>
    </xf>
    <xf numFmtId="49" fontId="20" fillId="0" borderId="16" xfId="0" applyNumberFormat="1" applyFont="1" applyFill="1" applyBorder="1" applyAlignment="1" applyProtection="1">
      <alignment horizontal="left" vertical="center" shrinkToFit="1"/>
      <protection locked="0"/>
    </xf>
    <xf numFmtId="0" fontId="13" fillId="3" borderId="61" xfId="0" applyFont="1" applyFill="1" applyBorder="1" applyAlignment="1" applyProtection="1">
      <alignment horizontal="center" vertical="center" wrapText="1"/>
    </xf>
    <xf numFmtId="0" fontId="13" fillId="3" borderId="51" xfId="0" applyFont="1" applyFill="1" applyBorder="1" applyAlignment="1" applyProtection="1">
      <alignment horizontal="center" vertical="center" wrapText="1"/>
    </xf>
    <xf numFmtId="0" fontId="13" fillId="3" borderId="45" xfId="0" applyFont="1" applyFill="1" applyBorder="1" applyAlignment="1" applyProtection="1">
      <alignment horizontal="center" vertical="center" wrapText="1"/>
    </xf>
    <xf numFmtId="0" fontId="13" fillId="3" borderId="44" xfId="0" applyFont="1" applyFill="1" applyBorder="1" applyAlignment="1" applyProtection="1">
      <alignment horizontal="center" vertical="center" wrapText="1"/>
    </xf>
    <xf numFmtId="0" fontId="13" fillId="3" borderId="59" xfId="0" applyFont="1" applyFill="1" applyBorder="1" applyAlignment="1" applyProtection="1">
      <alignment horizontal="center" vertical="center" wrapText="1"/>
    </xf>
    <xf numFmtId="0" fontId="15" fillId="0" borderId="71" xfId="0" applyFont="1" applyBorder="1" applyAlignment="1" applyProtection="1">
      <alignment horizontal="center" vertical="center" wrapText="1"/>
      <protection locked="0"/>
    </xf>
    <xf numFmtId="0" fontId="15" fillId="0" borderId="47" xfId="0" applyFont="1" applyBorder="1" applyAlignment="1" applyProtection="1">
      <alignment horizontal="center" vertical="center" wrapText="1"/>
      <protection locked="0"/>
    </xf>
    <xf numFmtId="0" fontId="15" fillId="0" borderId="24" xfId="0" applyFont="1" applyBorder="1" applyAlignment="1" applyProtection="1">
      <alignment horizontal="center" vertical="center" wrapText="1"/>
      <protection locked="0"/>
    </xf>
    <xf numFmtId="0" fontId="15" fillId="0" borderId="18" xfId="0" applyFont="1" applyBorder="1" applyAlignment="1" applyProtection="1">
      <alignment horizontal="center" vertical="center" wrapText="1"/>
      <protection locked="0"/>
    </xf>
    <xf numFmtId="0" fontId="15" fillId="0" borderId="19" xfId="0" applyFont="1" applyBorder="1" applyAlignment="1" applyProtection="1">
      <alignment horizontal="center" vertical="center" wrapText="1"/>
      <protection locked="0"/>
    </xf>
    <xf numFmtId="0" fontId="7" fillId="0" borderId="62" xfId="0" applyFont="1" applyBorder="1" applyAlignment="1" applyProtection="1">
      <alignment horizontal="left" vertical="center" wrapText="1"/>
      <protection hidden="1"/>
    </xf>
    <xf numFmtId="0" fontId="7" fillId="0" borderId="63" xfId="0" applyFont="1" applyBorder="1" applyAlignment="1" applyProtection="1">
      <alignment horizontal="left" vertical="center" wrapText="1"/>
      <protection hidden="1"/>
    </xf>
    <xf numFmtId="0" fontId="7" fillId="0" borderId="64" xfId="0" applyFont="1" applyBorder="1" applyAlignment="1" applyProtection="1">
      <alignment horizontal="left" vertical="center" wrapText="1"/>
      <protection hidden="1"/>
    </xf>
    <xf numFmtId="0" fontId="9" fillId="0" borderId="20" xfId="0" applyFont="1" applyFill="1" applyBorder="1" applyAlignment="1" applyProtection="1">
      <alignment horizontal="center" vertical="center" wrapText="1"/>
      <protection locked="0"/>
    </xf>
    <xf numFmtId="0" fontId="9" fillId="0" borderId="10" xfId="0" applyFont="1" applyFill="1" applyBorder="1" applyAlignment="1" applyProtection="1">
      <alignment horizontal="center" vertical="center" wrapText="1"/>
      <protection locked="0"/>
    </xf>
    <xf numFmtId="0" fontId="9" fillId="0" borderId="23" xfId="0" applyFont="1" applyFill="1" applyBorder="1" applyAlignment="1" applyProtection="1">
      <alignment horizontal="center" vertical="center" wrapText="1"/>
      <protection locked="0"/>
    </xf>
    <xf numFmtId="0" fontId="60" fillId="6" borderId="9" xfId="0" applyFont="1" applyFill="1" applyBorder="1" applyAlignment="1" applyProtection="1">
      <alignment horizontal="left"/>
      <protection hidden="1"/>
    </xf>
    <xf numFmtId="0" fontId="6" fillId="0" borderId="0" xfId="0" applyFont="1" applyAlignment="1" applyProtection="1">
      <alignment horizontal="right" vertical="center"/>
      <protection hidden="1"/>
    </xf>
    <xf numFmtId="0" fontId="0" fillId="0" borderId="0" xfId="0" applyAlignment="1">
      <alignment horizontal="right" vertical="center"/>
    </xf>
    <xf numFmtId="0" fontId="0" fillId="0" borderId="0" xfId="0" applyAlignment="1">
      <alignment horizontal="center" vertical="center"/>
    </xf>
    <xf numFmtId="0" fontId="64" fillId="0" borderId="0" xfId="0" applyFont="1" applyAlignment="1" applyProtection="1">
      <alignment horizontal="center" vertical="center"/>
      <protection hidden="1"/>
    </xf>
    <xf numFmtId="0" fontId="15" fillId="0" borderId="56" xfId="0" applyFont="1" applyBorder="1" applyAlignment="1" applyProtection="1">
      <alignment horizontal="left" vertical="center" shrinkToFit="1"/>
      <protection locked="0"/>
    </xf>
    <xf numFmtId="0" fontId="15" fillId="0" borderId="58" xfId="0" applyFont="1" applyFill="1" applyBorder="1" applyAlignment="1" applyProtection="1">
      <alignment horizontal="left" vertical="center" shrinkToFit="1"/>
      <protection locked="0"/>
    </xf>
    <xf numFmtId="0" fontId="14" fillId="0" borderId="58" xfId="0" applyFont="1" applyFill="1" applyBorder="1" applyAlignment="1" applyProtection="1">
      <alignment horizontal="left" vertical="center" shrinkToFit="1"/>
      <protection locked="0"/>
    </xf>
    <xf numFmtId="164" fontId="20" fillId="0" borderId="17" xfId="0" applyNumberFormat="1" applyFont="1" applyFill="1" applyBorder="1" applyAlignment="1" applyProtection="1">
      <alignment horizontal="left" vertical="center" shrinkToFit="1"/>
      <protection locked="0"/>
    </xf>
    <xf numFmtId="0" fontId="20" fillId="0" borderId="16" xfId="0" applyFont="1" applyFill="1" applyBorder="1" applyAlignment="1" applyProtection="1">
      <alignment horizontal="left" vertical="center" shrinkToFit="1"/>
      <protection locked="0"/>
    </xf>
    <xf numFmtId="0" fontId="20" fillId="0" borderId="17" xfId="0" applyFont="1" applyFill="1" applyBorder="1" applyAlignment="1" applyProtection="1">
      <alignment horizontal="left" vertical="center" shrinkToFit="1"/>
      <protection locked="0"/>
    </xf>
    <xf numFmtId="0" fontId="16" fillId="0" borderId="56" xfId="0" applyFont="1" applyBorder="1" applyAlignment="1" applyProtection="1">
      <alignment horizontal="center" vertical="center" shrinkToFit="1"/>
      <protection locked="0"/>
    </xf>
    <xf numFmtId="165" fontId="16" fillId="0" borderId="58" xfId="0" applyNumberFormat="1" applyFont="1" applyBorder="1" applyAlignment="1" applyProtection="1">
      <alignment horizontal="center" vertical="center" shrinkToFit="1"/>
      <protection locked="0"/>
    </xf>
    <xf numFmtId="0" fontId="16" fillId="0" borderId="56" xfId="0" applyFont="1" applyBorder="1" applyAlignment="1" applyProtection="1">
      <alignment horizontal="left" shrinkToFit="1"/>
      <protection locked="0"/>
    </xf>
    <xf numFmtId="49" fontId="17" fillId="0" borderId="56" xfId="0" applyNumberFormat="1" applyFont="1" applyFill="1" applyBorder="1" applyAlignment="1" applyProtection="1">
      <alignment horizontal="center" shrinkToFit="1"/>
      <protection locked="0"/>
    </xf>
    <xf numFmtId="0" fontId="12" fillId="0" borderId="22" xfId="0" applyFont="1" applyBorder="1" applyAlignment="1" applyProtection="1">
      <alignment horizontal="center" vertical="center" wrapText="1"/>
      <protection hidden="1"/>
    </xf>
    <xf numFmtId="0" fontId="12" fillId="0" borderId="11" xfId="0" applyFont="1" applyBorder="1" applyAlignment="1" applyProtection="1">
      <alignment horizontal="center" vertical="center" wrapText="1"/>
      <protection hidden="1"/>
    </xf>
    <xf numFmtId="0" fontId="12" fillId="0" borderId="13" xfId="0" applyFont="1" applyBorder="1" applyAlignment="1" applyProtection="1">
      <alignment horizontal="center" vertical="center" wrapText="1"/>
      <protection hidden="1"/>
    </xf>
    <xf numFmtId="0" fontId="30" fillId="3" borderId="22" xfId="0" applyFont="1" applyFill="1" applyBorder="1" applyAlignment="1" applyProtection="1">
      <alignment horizontal="center" vertical="center" wrapText="1"/>
    </xf>
    <xf numFmtId="0" fontId="30" fillId="3" borderId="11" xfId="0" applyFont="1" applyFill="1" applyBorder="1" applyAlignment="1" applyProtection="1">
      <alignment horizontal="center" vertical="center" wrapText="1"/>
    </xf>
    <xf numFmtId="0" fontId="30" fillId="3" borderId="13" xfId="0" applyFont="1" applyFill="1" applyBorder="1" applyAlignment="1" applyProtection="1">
      <alignment horizontal="center" vertical="center" wrapText="1"/>
    </xf>
    <xf numFmtId="0" fontId="5" fillId="0" borderId="0" xfId="2" applyFont="1" applyAlignment="1" applyProtection="1">
      <alignment horizontal="left" vertical="center" wrapText="1"/>
      <protection hidden="1"/>
    </xf>
    <xf numFmtId="0" fontId="40" fillId="0" borderId="56" xfId="2" applyFont="1" applyBorder="1" applyAlignment="1" applyProtection="1">
      <alignment horizontal="center" vertical="center" shrinkToFit="1"/>
      <protection hidden="1"/>
    </xf>
    <xf numFmtId="0" fontId="34" fillId="0" borderId="0" xfId="2" applyFont="1" applyAlignment="1" applyProtection="1">
      <alignment horizontal="center"/>
      <protection hidden="1"/>
    </xf>
    <xf numFmtId="0" fontId="0" fillId="0" borderId="0" xfId="0" applyAlignment="1">
      <alignment horizontal="center"/>
    </xf>
    <xf numFmtId="0" fontId="62" fillId="0" borderId="0" xfId="0" applyFont="1" applyAlignment="1">
      <alignment horizontal="right" vertical="center" readingOrder="1"/>
    </xf>
    <xf numFmtId="0" fontId="0" fillId="0" borderId="0" xfId="0" applyAlignment="1">
      <alignment horizontal="right"/>
    </xf>
    <xf numFmtId="0" fontId="50" fillId="0" borderId="72" xfId="0" applyFont="1" applyFill="1" applyBorder="1" applyAlignment="1" applyProtection="1">
      <alignment horizontal="center" vertical="center"/>
      <protection hidden="1"/>
    </xf>
    <xf numFmtId="0" fontId="50" fillId="0" borderId="35" xfId="0" applyFont="1" applyFill="1" applyBorder="1" applyAlignment="1" applyProtection="1">
      <alignment horizontal="center" vertical="center"/>
      <protection hidden="1"/>
    </xf>
    <xf numFmtId="0" fontId="50" fillId="0" borderId="74" xfId="0" applyFont="1" applyFill="1" applyBorder="1" applyAlignment="1" applyProtection="1">
      <alignment horizontal="center" vertical="center"/>
      <protection hidden="1"/>
    </xf>
    <xf numFmtId="0" fontId="50" fillId="0" borderId="48" xfId="0" applyFont="1" applyFill="1" applyBorder="1" applyAlignment="1" applyProtection="1">
      <alignment horizontal="center" vertical="center"/>
      <protection hidden="1"/>
    </xf>
    <xf numFmtId="0" fontId="50" fillId="0" borderId="73" xfId="0" applyFont="1" applyFill="1" applyBorder="1" applyAlignment="1" applyProtection="1">
      <alignment horizontal="center" vertical="center"/>
      <protection hidden="1"/>
    </xf>
    <xf numFmtId="0" fontId="50" fillId="0" borderId="38" xfId="0" applyFont="1" applyFill="1" applyBorder="1" applyAlignment="1" applyProtection="1">
      <alignment horizontal="center" vertical="center"/>
      <protection hidden="1"/>
    </xf>
    <xf numFmtId="0" fontId="52" fillId="5" borderId="72" xfId="0" applyFont="1" applyFill="1" applyBorder="1" applyAlignment="1" applyProtection="1">
      <alignment horizontal="center" vertical="center" wrapText="1"/>
      <protection hidden="1"/>
    </xf>
    <xf numFmtId="0" fontId="52" fillId="5" borderId="35" xfId="0" applyFont="1" applyFill="1" applyBorder="1" applyAlignment="1" applyProtection="1">
      <alignment horizontal="center" vertical="center" wrapText="1"/>
      <protection hidden="1"/>
    </xf>
    <xf numFmtId="0" fontId="52" fillId="5" borderId="74" xfId="0" applyFont="1" applyFill="1" applyBorder="1" applyAlignment="1" applyProtection="1">
      <alignment horizontal="center" vertical="center" wrapText="1"/>
      <protection hidden="1"/>
    </xf>
    <xf numFmtId="0" fontId="52" fillId="5" borderId="48" xfId="0" applyFont="1" applyFill="1" applyBorder="1" applyAlignment="1" applyProtection="1">
      <alignment horizontal="center" vertical="center" wrapText="1"/>
      <protection hidden="1"/>
    </xf>
    <xf numFmtId="0" fontId="52" fillId="5" borderId="73" xfId="0" applyFont="1" applyFill="1" applyBorder="1" applyAlignment="1" applyProtection="1">
      <alignment horizontal="center" vertical="center" wrapText="1"/>
      <protection hidden="1"/>
    </xf>
    <xf numFmtId="0" fontId="52" fillId="5" borderId="38" xfId="0" applyFont="1" applyFill="1" applyBorder="1" applyAlignment="1" applyProtection="1">
      <alignment horizontal="center" vertical="center" wrapText="1"/>
      <protection hidden="1"/>
    </xf>
    <xf numFmtId="0" fontId="50" fillId="5" borderId="72" xfId="0" applyFont="1" applyFill="1" applyBorder="1" applyAlignment="1" applyProtection="1">
      <alignment horizontal="center" vertical="center"/>
      <protection locked="0" hidden="1"/>
    </xf>
    <xf numFmtId="0" fontId="50" fillId="5" borderId="35" xfId="0" applyFont="1" applyFill="1" applyBorder="1" applyAlignment="1" applyProtection="1">
      <alignment horizontal="center" vertical="center"/>
      <protection locked="0" hidden="1"/>
    </xf>
    <xf numFmtId="0" fontId="50" fillId="5" borderId="74" xfId="0" applyFont="1" applyFill="1" applyBorder="1" applyAlignment="1" applyProtection="1">
      <alignment horizontal="center" vertical="center"/>
      <protection locked="0" hidden="1"/>
    </xf>
    <xf numFmtId="0" fontId="50" fillId="5" borderId="48" xfId="0" applyFont="1" applyFill="1" applyBorder="1" applyAlignment="1" applyProtection="1">
      <alignment horizontal="center" vertical="center"/>
      <protection locked="0" hidden="1"/>
    </xf>
    <xf numFmtId="0" fontId="50" fillId="5" borderId="73" xfId="0" applyFont="1" applyFill="1" applyBorder="1" applyAlignment="1" applyProtection="1">
      <alignment horizontal="center" vertical="center"/>
      <protection locked="0" hidden="1"/>
    </xf>
    <xf numFmtId="0" fontId="50" fillId="5" borderId="38" xfId="0" applyFont="1" applyFill="1" applyBorder="1" applyAlignment="1" applyProtection="1">
      <alignment horizontal="center" vertical="center"/>
      <protection locked="0" hidden="1"/>
    </xf>
    <xf numFmtId="0" fontId="13" fillId="0" borderId="72" xfId="0" applyFont="1" applyFill="1" applyBorder="1" applyAlignment="1" applyProtection="1">
      <alignment horizontal="center" vertical="center" wrapText="1"/>
      <protection hidden="1"/>
    </xf>
    <xf numFmtId="0" fontId="13" fillId="0" borderId="35" xfId="0" applyFont="1" applyFill="1" applyBorder="1" applyAlignment="1" applyProtection="1">
      <alignment horizontal="center" vertical="center" wrapText="1"/>
      <protection hidden="1"/>
    </xf>
    <xf numFmtId="0" fontId="13" fillId="0" borderId="73" xfId="0" applyFont="1" applyFill="1" applyBorder="1" applyAlignment="1" applyProtection="1">
      <alignment horizontal="center" vertical="center" wrapText="1"/>
      <protection hidden="1"/>
    </xf>
    <xf numFmtId="0" fontId="13" fillId="0" borderId="38" xfId="0" applyFont="1" applyFill="1" applyBorder="1" applyAlignment="1" applyProtection="1">
      <alignment horizontal="center" vertical="center" wrapText="1"/>
      <protection hidden="1"/>
    </xf>
    <xf numFmtId="0" fontId="51" fillId="0" borderId="18" xfId="0" applyFont="1" applyFill="1" applyBorder="1" applyAlignment="1" applyProtection="1">
      <alignment horizontal="center" vertical="center"/>
      <protection hidden="1"/>
    </xf>
    <xf numFmtId="0" fontId="51" fillId="0" borderId="24" xfId="0" applyFont="1" applyFill="1" applyBorder="1" applyAlignment="1" applyProtection="1">
      <alignment horizontal="center" vertical="center"/>
      <protection hidden="1"/>
    </xf>
    <xf numFmtId="0" fontId="49" fillId="0" borderId="72" xfId="0" applyFont="1" applyFill="1" applyBorder="1" applyAlignment="1" applyProtection="1">
      <alignment horizontal="center" vertical="center" wrapText="1"/>
      <protection hidden="1"/>
    </xf>
    <xf numFmtId="0" fontId="49" fillId="0" borderId="35" xfId="0" applyFont="1" applyFill="1" applyBorder="1" applyAlignment="1" applyProtection="1">
      <alignment horizontal="center" vertical="center" wrapText="1"/>
      <protection hidden="1"/>
    </xf>
    <xf numFmtId="0" fontId="49" fillId="0" borderId="74" xfId="0" applyFont="1" applyFill="1" applyBorder="1" applyAlignment="1" applyProtection="1">
      <alignment horizontal="center" vertical="center" wrapText="1"/>
      <protection hidden="1"/>
    </xf>
    <xf numFmtId="0" fontId="49" fillId="0" borderId="48" xfId="0" applyFont="1" applyFill="1" applyBorder="1" applyAlignment="1" applyProtection="1">
      <alignment horizontal="center" vertical="center" wrapText="1"/>
      <protection hidden="1"/>
    </xf>
    <xf numFmtId="0" fontId="49" fillId="0" borderId="73" xfId="0" applyFont="1" applyFill="1" applyBorder="1" applyAlignment="1" applyProtection="1">
      <alignment horizontal="center" vertical="center" wrapText="1"/>
      <protection hidden="1"/>
    </xf>
    <xf numFmtId="0" fontId="49" fillId="0" borderId="38" xfId="0" applyFont="1" applyFill="1" applyBorder="1" applyAlignment="1" applyProtection="1">
      <alignment horizontal="center" vertical="center" wrapText="1"/>
      <protection hidden="1"/>
    </xf>
    <xf numFmtId="0" fontId="13" fillId="0" borderId="74" xfId="0" applyFont="1" applyFill="1" applyBorder="1" applyAlignment="1" applyProtection="1">
      <alignment horizontal="center" vertical="center" wrapText="1"/>
      <protection hidden="1"/>
    </xf>
    <xf numFmtId="0" fontId="13" fillId="0" borderId="48" xfId="0" applyFont="1" applyFill="1" applyBorder="1" applyAlignment="1" applyProtection="1">
      <alignment horizontal="center" vertical="center" wrapText="1"/>
      <protection hidden="1"/>
    </xf>
    <xf numFmtId="0" fontId="52" fillId="5" borderId="72" xfId="0" applyFont="1" applyFill="1" applyBorder="1" applyAlignment="1" applyProtection="1">
      <alignment horizontal="center" vertical="center" wrapText="1"/>
      <protection locked="0" hidden="1"/>
    </xf>
    <xf numFmtId="0" fontId="52" fillId="5" borderId="35" xfId="0" applyFont="1" applyFill="1" applyBorder="1" applyAlignment="1" applyProtection="1">
      <alignment horizontal="center" vertical="center" wrapText="1"/>
      <protection locked="0" hidden="1"/>
    </xf>
    <xf numFmtId="0" fontId="52" fillId="5" borderId="74" xfId="0" applyFont="1" applyFill="1" applyBorder="1" applyAlignment="1" applyProtection="1">
      <alignment horizontal="center" vertical="center" wrapText="1"/>
      <protection locked="0" hidden="1"/>
    </xf>
    <xf numFmtId="0" fontId="52" fillId="5" borderId="48" xfId="0" applyFont="1" applyFill="1" applyBorder="1" applyAlignment="1" applyProtection="1">
      <alignment horizontal="center" vertical="center" wrapText="1"/>
      <protection locked="0" hidden="1"/>
    </xf>
    <xf numFmtId="0" fontId="52" fillId="5" borderId="73" xfId="0" applyFont="1" applyFill="1" applyBorder="1" applyAlignment="1" applyProtection="1">
      <alignment horizontal="center" vertical="center" wrapText="1"/>
      <protection locked="0" hidden="1"/>
    </xf>
    <xf numFmtId="0" fontId="52" fillId="5" borderId="38" xfId="0" applyFont="1" applyFill="1" applyBorder="1" applyAlignment="1" applyProtection="1">
      <alignment horizontal="center" vertical="center" wrapText="1"/>
      <protection locked="0" hidden="1"/>
    </xf>
    <xf numFmtId="0" fontId="50" fillId="0" borderId="18" xfId="0" applyFont="1" applyFill="1" applyBorder="1" applyAlignment="1" applyProtection="1">
      <alignment horizontal="center" vertical="center"/>
      <protection hidden="1"/>
    </xf>
    <xf numFmtId="0" fontId="50" fillId="0" borderId="47" xfId="0" applyFont="1" applyFill="1" applyBorder="1" applyAlignment="1" applyProtection="1">
      <alignment horizontal="center" vertical="center"/>
      <protection hidden="1"/>
    </xf>
    <xf numFmtId="0" fontId="50" fillId="0" borderId="24" xfId="0" applyFont="1" applyFill="1" applyBorder="1" applyAlignment="1" applyProtection="1">
      <alignment horizontal="center" vertical="center"/>
      <protection hidden="1"/>
    </xf>
    <xf numFmtId="0" fontId="49" fillId="0" borderId="18" xfId="0" applyFont="1" applyFill="1" applyBorder="1" applyAlignment="1" applyProtection="1">
      <alignment horizontal="center" vertical="center" wrapText="1"/>
      <protection locked="0" hidden="1"/>
    </xf>
    <xf numFmtId="0" fontId="49" fillId="0" borderId="47" xfId="0" applyFont="1" applyFill="1" applyBorder="1" applyAlignment="1" applyProtection="1">
      <alignment horizontal="center" vertical="center" wrapText="1"/>
      <protection locked="0" hidden="1"/>
    </xf>
    <xf numFmtId="0" fontId="49" fillId="0" borderId="24" xfId="0" applyFont="1" applyFill="1" applyBorder="1" applyAlignment="1" applyProtection="1">
      <alignment horizontal="center" vertical="center" wrapText="1"/>
      <protection locked="0" hidden="1"/>
    </xf>
    <xf numFmtId="0" fontId="13" fillId="0" borderId="70" xfId="0" applyFont="1" applyFill="1" applyBorder="1" applyAlignment="1" applyProtection="1">
      <alignment horizontal="center" vertical="center" wrapText="1"/>
      <protection hidden="1"/>
    </xf>
    <xf numFmtId="0" fontId="13" fillId="0" borderId="40" xfId="0" applyFont="1" applyFill="1" applyBorder="1" applyAlignment="1" applyProtection="1">
      <alignment horizontal="center" vertical="center" wrapText="1"/>
      <protection hidden="1"/>
    </xf>
    <xf numFmtId="0" fontId="13" fillId="0" borderId="41" xfId="0" applyFont="1" applyFill="1" applyBorder="1" applyAlignment="1" applyProtection="1">
      <alignment horizontal="center" vertical="center" wrapText="1"/>
      <protection hidden="1"/>
    </xf>
    <xf numFmtId="0" fontId="51" fillId="0" borderId="70" xfId="0" applyFont="1" applyFill="1" applyBorder="1" applyAlignment="1" applyProtection="1">
      <alignment horizontal="center"/>
      <protection locked="0" hidden="1"/>
    </xf>
    <xf numFmtId="0" fontId="51" fillId="0" borderId="41" xfId="0" applyFont="1" applyFill="1" applyBorder="1" applyAlignment="1" applyProtection="1">
      <alignment horizontal="center"/>
      <protection locked="0" hidden="1"/>
    </xf>
    <xf numFmtId="0" fontId="56" fillId="0" borderId="70" xfId="0" applyFont="1" applyFill="1" applyBorder="1" applyAlignment="1" applyProtection="1">
      <alignment horizontal="center"/>
      <protection hidden="1"/>
    </xf>
    <xf numFmtId="0" fontId="56" fillId="0" borderId="41" xfId="0" applyFont="1" applyFill="1" applyBorder="1" applyAlignment="1" applyProtection="1">
      <alignment horizontal="center"/>
      <protection hidden="1"/>
    </xf>
    <xf numFmtId="164" fontId="57" fillId="0" borderId="40" xfId="0" applyNumberFormat="1" applyFont="1" applyFill="1" applyBorder="1" applyAlignment="1" applyProtection="1">
      <alignment horizontal="center" vertical="center" shrinkToFit="1"/>
      <protection locked="0" hidden="1"/>
    </xf>
    <xf numFmtId="0" fontId="57" fillId="0" borderId="37" xfId="0" applyFont="1" applyFill="1" applyBorder="1" applyAlignment="1" applyProtection="1">
      <alignment horizontal="center" vertical="center" shrinkToFit="1"/>
      <protection locked="0" hidden="1"/>
    </xf>
    <xf numFmtId="49" fontId="57" fillId="0" borderId="37" xfId="0" applyNumberFormat="1" applyFont="1" applyFill="1" applyBorder="1" applyAlignment="1" applyProtection="1">
      <alignment horizontal="center" vertical="center" shrinkToFit="1"/>
      <protection locked="0" hidden="1"/>
    </xf>
    <xf numFmtId="0" fontId="50" fillId="0" borderId="37" xfId="0" applyFont="1" applyFill="1" applyBorder="1" applyAlignment="1" applyProtection="1">
      <alignment horizontal="center"/>
      <protection locked="0" hidden="1"/>
    </xf>
    <xf numFmtId="0" fontId="54" fillId="0" borderId="0" xfId="0" applyFont="1" applyFill="1" applyAlignment="1" applyProtection="1">
      <alignment horizontal="center" vertical="center"/>
      <protection hidden="1"/>
    </xf>
    <xf numFmtId="0" fontId="55" fillId="0" borderId="0" xfId="0" applyFont="1" applyFill="1" applyAlignment="1" applyProtection="1">
      <alignment horizontal="center" vertical="center"/>
      <protection hidden="1"/>
    </xf>
    <xf numFmtId="0" fontId="51" fillId="0" borderId="56" xfId="0" applyFont="1" applyFill="1" applyBorder="1" applyAlignment="1" applyProtection="1">
      <alignment horizontal="center"/>
      <protection hidden="1"/>
    </xf>
    <xf numFmtId="0" fontId="49" fillId="0" borderId="56" xfId="0" applyFont="1" applyFill="1" applyBorder="1" applyAlignment="1" applyProtection="1">
      <alignment horizontal="left" vertical="center" shrinkToFit="1"/>
      <protection hidden="1"/>
    </xf>
    <xf numFmtId="0" fontId="13" fillId="0" borderId="0" xfId="0" applyFont="1" applyFill="1" applyBorder="1" applyAlignment="1" applyProtection="1">
      <alignment horizontal="center" vertical="center" wrapText="1"/>
      <protection hidden="1"/>
    </xf>
    <xf numFmtId="0" fontId="30" fillId="0" borderId="0" xfId="0" applyFont="1" applyFill="1" applyBorder="1" applyAlignment="1" applyProtection="1">
      <alignment horizontal="center" vertical="center" wrapText="1"/>
      <protection hidden="1"/>
    </xf>
    <xf numFmtId="0" fontId="13" fillId="5" borderId="72" xfId="0" applyFont="1" applyFill="1" applyBorder="1" applyAlignment="1" applyProtection="1">
      <alignment horizontal="center" vertical="center" wrapText="1"/>
      <protection hidden="1"/>
    </xf>
    <xf numFmtId="0" fontId="13" fillId="5" borderId="35" xfId="0" applyFont="1" applyFill="1" applyBorder="1" applyAlignment="1" applyProtection="1">
      <alignment horizontal="center" vertical="center" wrapText="1"/>
      <protection hidden="1"/>
    </xf>
    <xf numFmtId="0" fontId="13" fillId="5" borderId="73" xfId="0" applyFont="1" applyFill="1" applyBorder="1" applyAlignment="1" applyProtection="1">
      <alignment horizontal="center" vertical="center" wrapText="1"/>
      <protection hidden="1"/>
    </xf>
    <xf numFmtId="0" fontId="13" fillId="5" borderId="38" xfId="0" applyFont="1" applyFill="1" applyBorder="1" applyAlignment="1" applyProtection="1">
      <alignment horizontal="center" vertical="center" wrapText="1"/>
      <protection hidden="1"/>
    </xf>
    <xf numFmtId="0" fontId="13" fillId="5" borderId="70" xfId="0" applyFont="1" applyFill="1" applyBorder="1" applyAlignment="1" applyProtection="1">
      <alignment horizontal="center" vertical="center" wrapText="1"/>
      <protection hidden="1"/>
    </xf>
    <xf numFmtId="0" fontId="13" fillId="5" borderId="40" xfId="0" applyFont="1" applyFill="1" applyBorder="1" applyAlignment="1" applyProtection="1">
      <alignment horizontal="center" vertical="center" wrapText="1"/>
      <protection hidden="1"/>
    </xf>
    <xf numFmtId="0" fontId="13" fillId="5" borderId="41" xfId="0" applyFont="1" applyFill="1" applyBorder="1" applyAlignment="1" applyProtection="1">
      <alignment horizontal="center" vertical="center" wrapText="1"/>
      <protection hidden="1"/>
    </xf>
    <xf numFmtId="0" fontId="51" fillId="0" borderId="72" xfId="0" applyFont="1" applyFill="1" applyBorder="1" applyAlignment="1" applyProtection="1">
      <alignment horizontal="center" vertical="center"/>
      <protection hidden="1"/>
    </xf>
    <xf numFmtId="0" fontId="51" fillId="0" borderId="35" xfId="0" applyFont="1" applyFill="1" applyBorder="1" applyAlignment="1" applyProtection="1">
      <alignment horizontal="center" vertical="center"/>
      <protection hidden="1"/>
    </xf>
    <xf numFmtId="0" fontId="51" fillId="0" borderId="73" xfId="0" applyFont="1" applyFill="1" applyBorder="1" applyAlignment="1" applyProtection="1">
      <alignment horizontal="center" vertical="center"/>
      <protection hidden="1"/>
    </xf>
    <xf numFmtId="0" fontId="51" fillId="0" borderId="38" xfId="0" applyFont="1" applyFill="1" applyBorder="1" applyAlignment="1" applyProtection="1">
      <alignment horizontal="center" vertical="center"/>
      <protection hidden="1"/>
    </xf>
    <xf numFmtId="0" fontId="58" fillId="0" borderId="56" xfId="0" applyFont="1" applyFill="1" applyBorder="1" applyAlignment="1" applyProtection="1">
      <alignment horizontal="left" vertical="center" shrinkToFit="1"/>
      <protection locked="0" hidden="1"/>
    </xf>
    <xf numFmtId="165" fontId="58" fillId="0" borderId="58" xfId="0" applyNumberFormat="1" applyFont="1" applyFill="1" applyBorder="1" applyAlignment="1" applyProtection="1">
      <alignment horizontal="center" vertical="center" shrinkToFit="1"/>
      <protection locked="0" hidden="1"/>
    </xf>
    <xf numFmtId="0" fontId="58" fillId="0" borderId="56" xfId="0" applyFont="1" applyFill="1" applyBorder="1" applyAlignment="1" applyProtection="1">
      <alignment horizontal="left" shrinkToFit="1"/>
      <protection locked="0" hidden="1"/>
    </xf>
    <xf numFmtId="49" fontId="59" fillId="0" borderId="56" xfId="0" applyNumberFormat="1" applyFont="1" applyFill="1" applyBorder="1" applyAlignment="1" applyProtection="1">
      <alignment horizontal="left" shrinkToFit="1"/>
      <protection locked="0" hidden="1"/>
    </xf>
    <xf numFmtId="0" fontId="49" fillId="0" borderId="58" xfId="0" applyFont="1" applyFill="1" applyBorder="1" applyAlignment="1" applyProtection="1">
      <alignment horizontal="left" vertical="center" shrinkToFit="1"/>
      <protection hidden="1"/>
    </xf>
    <xf numFmtId="0" fontId="13" fillId="0" borderId="58" xfId="0" applyFont="1" applyFill="1" applyBorder="1" applyAlignment="1" applyProtection="1">
      <alignment horizontal="left" vertical="center" shrinkToFit="1"/>
      <protection hidden="1"/>
    </xf>
    <xf numFmtId="0" fontId="51" fillId="0" borderId="18" xfId="0" applyFont="1" applyFill="1" applyBorder="1" applyAlignment="1" applyProtection="1">
      <alignment horizontal="center" vertical="center" wrapText="1"/>
      <protection hidden="1"/>
    </xf>
    <xf numFmtId="0" fontId="51" fillId="0" borderId="24" xfId="0" applyFont="1" applyFill="1" applyBorder="1" applyAlignment="1" applyProtection="1">
      <alignment horizontal="center" vertical="center" wrapText="1"/>
      <protection hidden="1"/>
    </xf>
    <xf numFmtId="0" fontId="9" fillId="0" borderId="1" xfId="0" applyFont="1" applyBorder="1" applyAlignment="1" applyProtection="1">
      <alignment horizontal="center" vertical="center"/>
      <protection hidden="1"/>
    </xf>
    <xf numFmtId="0" fontId="9" fillId="0" borderId="2" xfId="0" applyFont="1" applyBorder="1" applyAlignment="1" applyProtection="1">
      <alignment horizontal="center" vertical="center"/>
      <protection hidden="1"/>
    </xf>
    <xf numFmtId="0" fontId="9" fillId="0" borderId="3" xfId="0" applyFont="1" applyBorder="1" applyAlignment="1" applyProtection="1">
      <alignment horizontal="center" vertical="center"/>
      <protection hidden="1"/>
    </xf>
    <xf numFmtId="0" fontId="9" fillId="0" borderId="6" xfId="0" applyFont="1" applyBorder="1" applyAlignment="1" applyProtection="1">
      <alignment horizontal="center" vertical="center"/>
      <protection hidden="1"/>
    </xf>
    <xf numFmtId="0" fontId="9" fillId="0" borderId="7" xfId="0" applyFont="1" applyBorder="1" applyAlignment="1" applyProtection="1">
      <alignment horizontal="center" vertical="center"/>
      <protection hidden="1"/>
    </xf>
    <xf numFmtId="0" fontId="9" fillId="0" borderId="8" xfId="0" applyFont="1" applyBorder="1" applyAlignment="1" applyProtection="1">
      <alignment horizontal="center" vertical="center"/>
      <protection hidden="1"/>
    </xf>
    <xf numFmtId="0" fontId="17" fillId="0" borderId="30" xfId="0" applyFont="1" applyFill="1" applyBorder="1" applyAlignment="1" applyProtection="1">
      <alignment horizontal="center" vertical="center"/>
      <protection hidden="1"/>
    </xf>
    <xf numFmtId="0" fontId="17" fillId="0" borderId="31" xfId="0" applyFont="1" applyFill="1" applyBorder="1" applyAlignment="1" applyProtection="1">
      <alignment horizontal="center" vertical="center"/>
      <protection hidden="1"/>
    </xf>
    <xf numFmtId="0" fontId="17" fillId="0" borderId="32" xfId="0" applyFont="1" applyFill="1" applyBorder="1" applyAlignment="1" applyProtection="1">
      <alignment horizontal="center" vertical="center"/>
      <protection hidden="1"/>
    </xf>
    <xf numFmtId="0" fontId="6" fillId="0" borderId="75" xfId="0" applyFont="1" applyFill="1" applyBorder="1" applyAlignment="1" applyProtection="1">
      <alignment horizontal="center" vertical="center" wrapText="1"/>
      <protection hidden="1"/>
    </xf>
    <xf numFmtId="0" fontId="6" fillId="0" borderId="76" xfId="0" applyFont="1" applyFill="1" applyBorder="1" applyAlignment="1" applyProtection="1">
      <alignment horizontal="center" vertical="center" wrapText="1"/>
      <protection hidden="1"/>
    </xf>
    <xf numFmtId="0" fontId="17" fillId="3" borderId="75" xfId="0" applyFont="1" applyFill="1" applyBorder="1" applyAlignment="1" applyProtection="1">
      <alignment horizontal="center" vertical="center"/>
      <protection hidden="1"/>
    </xf>
    <xf numFmtId="0" fontId="17" fillId="3" borderId="76" xfId="0" applyFont="1" applyFill="1" applyBorder="1" applyAlignment="1" applyProtection="1">
      <alignment horizontal="center" vertical="center"/>
      <protection hidden="1"/>
    </xf>
  </cellXfs>
  <cellStyles count="21">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3" xfId="9"/>
    <cellStyle name="Normal 2 4" xfId="15"/>
    <cellStyle name="Normal 3" xfId="2"/>
    <cellStyle name="Normal 3 2" xfId="11"/>
    <cellStyle name="Normal 4" xfId="4"/>
    <cellStyle name="Normal 4 2" xfId="17"/>
    <cellStyle name="Normal 5" xfId="12"/>
    <cellStyle name="Normal 6" xfId="3"/>
    <cellStyle name="Normal 7" xfId="18"/>
    <cellStyle name="Percent 2" xfId="20"/>
    <cellStyle name="Result" xfId="13"/>
    <cellStyle name="Result2" xfId="14"/>
  </cellStyles>
  <dxfs count="2">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1"/>
      <tableStyleElement type="headerRow" dxfId="0"/>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49"/>
  <sheetViews>
    <sheetView showGridLines="0" zoomScaleNormal="100" zoomScaleSheetLayoutView="90" workbookViewId="0">
      <selection sqref="A1:R1"/>
    </sheetView>
  </sheetViews>
  <sheetFormatPr defaultColWidth="9.109375" defaultRowHeight="13.8" x14ac:dyDescent="0.25"/>
  <cols>
    <col min="1" max="1" width="18.88671875" style="3" customWidth="1"/>
    <col min="2" max="2" width="11.6640625" style="3" customWidth="1"/>
    <col min="3" max="3" width="9.5546875" style="3" customWidth="1"/>
    <col min="4" max="4" width="13" style="3" customWidth="1"/>
    <col min="5" max="5" width="11.6640625" style="3" customWidth="1"/>
    <col min="6" max="7" width="9.88671875" style="3" customWidth="1"/>
    <col min="8" max="8" width="9.109375" style="3"/>
    <col min="9" max="9" width="7.5546875" style="3" customWidth="1"/>
    <col min="10" max="10" width="7.88671875" style="3" customWidth="1"/>
    <col min="11" max="11" width="9" style="3" customWidth="1"/>
    <col min="12" max="12" width="8.5546875" style="3" customWidth="1"/>
    <col min="13" max="13" width="8.44140625" style="3" customWidth="1"/>
    <col min="14" max="14" width="6.109375" style="3" customWidth="1"/>
    <col min="15" max="15" width="6.6640625" style="3" customWidth="1"/>
    <col min="16" max="16" width="7" style="3" customWidth="1"/>
    <col min="17" max="17" width="6.5546875" style="3" customWidth="1"/>
    <col min="18" max="18" width="7.109375" style="3" customWidth="1"/>
    <col min="19" max="20" width="6.6640625" style="3" customWidth="1"/>
    <col min="21" max="21" width="12.44140625" style="3" customWidth="1"/>
    <col min="22" max="22" width="8.33203125" style="3" customWidth="1"/>
    <col min="23" max="23" width="16.88671875" style="3" customWidth="1"/>
    <col min="24" max="24" width="10.44140625" style="3" customWidth="1"/>
    <col min="25" max="28" width="9.109375" style="3"/>
    <col min="29" max="29" width="13.33203125" style="3" customWidth="1"/>
    <col min="30" max="32" width="9.109375" style="3"/>
    <col min="33" max="603" width="9.109375" style="19"/>
    <col min="604" max="16384" width="9.109375" style="3"/>
  </cols>
  <sheetData>
    <row r="1" spans="1:603" ht="13.65" customHeight="1" x14ac:dyDescent="0.25">
      <c r="A1" s="240" t="s">
        <v>71</v>
      </c>
      <c r="B1" s="240"/>
      <c r="C1" s="240"/>
      <c r="D1" s="240"/>
      <c r="E1" s="240"/>
      <c r="F1" s="240"/>
      <c r="G1" s="240"/>
      <c r="H1" s="240"/>
      <c r="I1" s="240"/>
      <c r="J1" s="240"/>
      <c r="K1" s="240"/>
      <c r="L1" s="240"/>
      <c r="M1" s="240"/>
      <c r="N1" s="240"/>
      <c r="O1" s="240"/>
      <c r="P1" s="240"/>
      <c r="Q1" s="240"/>
      <c r="R1" s="240"/>
      <c r="S1" s="259" t="s">
        <v>70</v>
      </c>
      <c r="T1" s="260"/>
      <c r="U1" s="260"/>
      <c r="W1" s="1"/>
      <c r="X1" s="1"/>
    </row>
    <row r="2" spans="1:603" ht="13.65" customHeight="1" x14ac:dyDescent="0.25">
      <c r="A2" s="240" t="s">
        <v>142</v>
      </c>
      <c r="B2" s="261"/>
      <c r="C2" s="261"/>
      <c r="D2" s="261"/>
      <c r="E2" s="261"/>
      <c r="F2" s="261"/>
      <c r="G2" s="261"/>
      <c r="H2" s="261"/>
      <c r="I2" s="261"/>
      <c r="J2" s="261"/>
      <c r="K2" s="261"/>
      <c r="L2" s="261"/>
      <c r="M2" s="261"/>
      <c r="N2" s="261"/>
      <c r="O2" s="261"/>
      <c r="P2" s="261"/>
      <c r="Q2" s="261"/>
      <c r="R2" s="261"/>
      <c r="S2" s="141"/>
      <c r="T2" s="141"/>
      <c r="U2" s="141"/>
      <c r="V2" s="1"/>
      <c r="W2" s="1"/>
      <c r="X2" s="1"/>
    </row>
    <row r="3" spans="1:603" ht="13.65" customHeight="1" x14ac:dyDescent="0.25">
      <c r="A3" s="240" t="s">
        <v>143</v>
      </c>
      <c r="B3" s="240"/>
      <c r="C3" s="240"/>
      <c r="D3" s="240"/>
      <c r="E3" s="240"/>
      <c r="F3" s="240"/>
      <c r="G3" s="240"/>
      <c r="H3" s="240"/>
      <c r="I3" s="240"/>
      <c r="J3" s="240"/>
      <c r="K3" s="240"/>
      <c r="L3" s="240"/>
      <c r="M3" s="240"/>
      <c r="N3" s="240"/>
      <c r="O3" s="240"/>
      <c r="P3" s="240"/>
      <c r="Q3" s="240"/>
      <c r="R3" s="240"/>
      <c r="S3" s="141"/>
      <c r="T3" s="141"/>
      <c r="U3" s="141"/>
      <c r="V3" s="1"/>
      <c r="W3" s="1"/>
      <c r="X3" s="1"/>
    </row>
    <row r="4" spans="1:603" ht="13.65" customHeight="1" x14ac:dyDescent="0.25">
      <c r="A4" s="262" t="s">
        <v>144</v>
      </c>
      <c r="B4" s="261"/>
      <c r="C4" s="261"/>
      <c r="D4" s="261"/>
      <c r="E4" s="261"/>
      <c r="F4" s="261"/>
      <c r="G4" s="261"/>
      <c r="H4" s="261"/>
      <c r="I4" s="261"/>
      <c r="J4" s="261"/>
      <c r="K4" s="261"/>
      <c r="L4" s="261"/>
      <c r="M4" s="261"/>
      <c r="N4" s="261"/>
      <c r="O4" s="261"/>
      <c r="P4" s="261"/>
      <c r="Q4" s="261"/>
      <c r="R4" s="261"/>
      <c r="S4" s="142"/>
      <c r="T4" s="142"/>
      <c r="U4" s="142"/>
      <c r="V4" s="4"/>
      <c r="W4" s="4"/>
      <c r="X4" s="4"/>
    </row>
    <row r="5" spans="1:603" ht="36.75" customHeight="1" x14ac:dyDescent="0.25">
      <c r="A5" s="4"/>
      <c r="B5" s="4"/>
      <c r="C5" s="4"/>
      <c r="D5" s="4"/>
      <c r="E5" s="4"/>
      <c r="F5" s="4"/>
      <c r="G5" s="4"/>
      <c r="H5" s="4"/>
      <c r="I5" s="4"/>
      <c r="J5" s="4"/>
      <c r="K5" s="4"/>
      <c r="L5" s="4"/>
      <c r="M5" s="4"/>
      <c r="N5" s="4"/>
      <c r="O5" s="4"/>
      <c r="P5" s="4"/>
      <c r="Q5" s="4"/>
      <c r="R5" s="4"/>
      <c r="S5" s="4"/>
      <c r="T5" s="4"/>
      <c r="U5" s="4"/>
      <c r="V5" s="4"/>
      <c r="W5" s="4"/>
      <c r="X5" s="4"/>
    </row>
    <row r="6" spans="1:603" ht="15.75" customHeight="1" x14ac:dyDescent="0.25">
      <c r="A6" s="5" t="s">
        <v>85</v>
      </c>
      <c r="B6" s="5"/>
      <c r="C6" s="263"/>
      <c r="D6" s="263"/>
      <c r="E6" s="263"/>
      <c r="F6" s="263"/>
      <c r="G6" s="263"/>
      <c r="I6" s="1"/>
      <c r="J6" s="7" t="s">
        <v>16</v>
      </c>
      <c r="L6" s="65"/>
      <c r="M6" s="61" t="s">
        <v>14</v>
      </c>
      <c r="N6" s="176" t="str">
        <f>IF(L6="","",VLOOKUP(L6,#REF!,2,FALSE))</f>
        <v/>
      </c>
      <c r="O6" s="176"/>
      <c r="P6" s="8" t="s">
        <v>15</v>
      </c>
      <c r="R6" s="65"/>
    </row>
    <row r="7" spans="1:603" ht="15.75" customHeight="1" x14ac:dyDescent="0.25">
      <c r="A7" s="5" t="s">
        <v>9</v>
      </c>
      <c r="B7" s="5"/>
      <c r="C7" s="264"/>
      <c r="D7" s="264"/>
      <c r="E7" s="264"/>
      <c r="F7" s="264"/>
      <c r="G7" s="264"/>
      <c r="I7" s="6"/>
      <c r="J7" s="9" t="s">
        <v>69</v>
      </c>
      <c r="K7" s="9"/>
      <c r="L7" s="9"/>
      <c r="M7" s="9"/>
      <c r="N7" s="269"/>
      <c r="O7" s="269"/>
      <c r="P7" s="269"/>
      <c r="Q7" s="269"/>
      <c r="R7" s="269"/>
      <c r="S7" s="269"/>
    </row>
    <row r="8" spans="1:603" ht="15.75" customHeight="1" x14ac:dyDescent="0.25">
      <c r="A8" s="5" t="s">
        <v>10</v>
      </c>
      <c r="B8" s="5"/>
      <c r="C8" s="265"/>
      <c r="D8" s="265"/>
      <c r="E8" s="265"/>
      <c r="F8" s="265"/>
      <c r="G8" s="265"/>
      <c r="I8" s="6"/>
      <c r="J8" s="9" t="s">
        <v>68</v>
      </c>
      <c r="K8" s="9"/>
      <c r="L8" s="9"/>
      <c r="M8" s="269"/>
      <c r="N8" s="269"/>
      <c r="O8" s="269"/>
      <c r="P8" s="269"/>
      <c r="Q8" s="269"/>
      <c r="R8" s="269"/>
      <c r="S8" s="269"/>
    </row>
    <row r="9" spans="1:603" ht="15.75" customHeight="1" x14ac:dyDescent="0.25">
      <c r="J9" s="9" t="s">
        <v>11</v>
      </c>
      <c r="K9" s="9"/>
      <c r="L9" s="9"/>
      <c r="M9" s="270"/>
      <c r="N9" s="270"/>
      <c r="O9" s="63"/>
      <c r="P9" s="62"/>
    </row>
    <row r="10" spans="1:603" ht="15.75" customHeight="1" x14ac:dyDescent="0.3">
      <c r="J10" s="10" t="s">
        <v>74</v>
      </c>
      <c r="K10" s="271"/>
      <c r="L10" s="271"/>
      <c r="M10" s="10"/>
      <c r="N10" s="11"/>
      <c r="O10" s="9" t="s">
        <v>12</v>
      </c>
      <c r="Q10" s="272"/>
      <c r="R10" s="272"/>
      <c r="S10" s="272"/>
      <c r="T10" s="19"/>
    </row>
    <row r="11" spans="1:603" s="11" customFormat="1" ht="14.25" customHeight="1" thickBot="1" x14ac:dyDescent="0.35">
      <c r="A11" s="2" t="s">
        <v>0</v>
      </c>
      <c r="B11" s="23"/>
      <c r="C11" s="23"/>
      <c r="D11" s="23"/>
      <c r="E11" s="23"/>
      <c r="F11" s="3"/>
      <c r="G11" s="24"/>
      <c r="H11" s="24"/>
      <c r="I11" s="24"/>
      <c r="Q11" s="24"/>
      <c r="R11" s="24"/>
      <c r="S11" s="24"/>
      <c r="T11" s="24"/>
      <c r="U11" s="24"/>
      <c r="V11" s="24"/>
      <c r="W11" s="24"/>
      <c r="X11" s="24"/>
      <c r="Y11" s="24"/>
      <c r="Z11" s="24"/>
      <c r="AA11" s="24"/>
      <c r="AB11" s="24"/>
      <c r="AC11" s="24"/>
      <c r="AD11" s="24"/>
      <c r="AE11" s="24"/>
      <c r="AF11" s="24"/>
      <c r="AG11" s="24"/>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c r="CC11" s="24"/>
      <c r="CD11" s="24"/>
      <c r="CE11" s="24"/>
      <c r="CF11" s="24"/>
      <c r="CG11" s="24"/>
      <c r="CH11" s="24"/>
      <c r="CI11" s="24"/>
      <c r="CJ11" s="24"/>
      <c r="CK11" s="24"/>
      <c r="CL11" s="24"/>
      <c r="CM11" s="24"/>
      <c r="CN11" s="24"/>
      <c r="CO11" s="24"/>
      <c r="CP11" s="24"/>
      <c r="CQ11" s="24"/>
      <c r="CR11" s="24"/>
      <c r="CS11" s="24"/>
      <c r="CT11" s="24"/>
      <c r="CU11" s="24"/>
      <c r="CV11" s="24"/>
      <c r="CW11" s="24"/>
      <c r="CX11" s="24"/>
      <c r="CY11" s="24"/>
      <c r="CZ11" s="24"/>
      <c r="DA11" s="24"/>
      <c r="DB11" s="24"/>
      <c r="DC11" s="24"/>
      <c r="DD11" s="24"/>
      <c r="DE11" s="24"/>
      <c r="DF11" s="24"/>
      <c r="DG11" s="24"/>
      <c r="DH11" s="24"/>
      <c r="DI11" s="24"/>
      <c r="DJ11" s="24"/>
      <c r="DK11" s="24"/>
      <c r="DL11" s="24"/>
      <c r="DM11" s="24"/>
      <c r="DN11" s="24"/>
      <c r="DO11" s="24"/>
      <c r="DP11" s="24"/>
      <c r="DQ11" s="24"/>
      <c r="DR11" s="24"/>
      <c r="DS11" s="24"/>
      <c r="DT11" s="24"/>
      <c r="DU11" s="24"/>
      <c r="DV11" s="24"/>
      <c r="DW11" s="24"/>
      <c r="DX11" s="24"/>
      <c r="DY11" s="24"/>
      <c r="DZ11" s="24"/>
      <c r="EA11" s="24"/>
      <c r="EB11" s="24"/>
      <c r="EC11" s="24"/>
      <c r="ED11" s="24"/>
      <c r="EE11" s="24"/>
      <c r="EF11" s="24"/>
      <c r="EG11" s="24"/>
      <c r="EH11" s="24"/>
      <c r="EI11" s="24"/>
      <c r="EJ11" s="24"/>
      <c r="EK11" s="24"/>
      <c r="EL11" s="24"/>
      <c r="EM11" s="24"/>
      <c r="EN11" s="24"/>
      <c r="EO11" s="24"/>
      <c r="EP11" s="24"/>
      <c r="EQ11" s="24"/>
      <c r="ER11" s="24"/>
      <c r="ES11" s="24"/>
      <c r="ET11" s="24"/>
      <c r="EU11" s="24"/>
      <c r="EV11" s="24"/>
      <c r="EW11" s="24"/>
      <c r="EX11" s="24"/>
      <c r="EY11" s="24"/>
      <c r="EZ11" s="24"/>
      <c r="FA11" s="24"/>
      <c r="FB11" s="24"/>
      <c r="FC11" s="24"/>
      <c r="FD11" s="24"/>
      <c r="FE11" s="24"/>
      <c r="FF11" s="24"/>
      <c r="FG11" s="24"/>
      <c r="FH11" s="24"/>
      <c r="FI11" s="24"/>
      <c r="FJ11" s="24"/>
      <c r="FK11" s="24"/>
      <c r="FL11" s="24"/>
      <c r="FM11" s="24"/>
      <c r="FN11" s="24"/>
      <c r="FO11" s="24"/>
      <c r="FP11" s="24"/>
      <c r="FQ11" s="24"/>
      <c r="FR11" s="24"/>
      <c r="FS11" s="24"/>
      <c r="FT11" s="24"/>
      <c r="FU11" s="24"/>
      <c r="FV11" s="24"/>
      <c r="FW11" s="24"/>
      <c r="FX11" s="24"/>
      <c r="FY11" s="24"/>
      <c r="FZ11" s="24"/>
      <c r="GA11" s="24"/>
      <c r="GB11" s="24"/>
      <c r="GC11" s="24"/>
      <c r="GD11" s="24"/>
      <c r="GE11" s="24"/>
      <c r="GF11" s="24"/>
      <c r="GG11" s="24"/>
      <c r="GH11" s="24"/>
      <c r="GI11" s="24"/>
      <c r="GJ11" s="24"/>
      <c r="GK11" s="24"/>
      <c r="GL11" s="24"/>
      <c r="GM11" s="24"/>
      <c r="GN11" s="24"/>
      <c r="GO11" s="24"/>
      <c r="GP11" s="24"/>
      <c r="GQ11" s="24"/>
      <c r="GR11" s="24"/>
      <c r="GS11" s="24"/>
      <c r="GT11" s="24"/>
      <c r="GU11" s="24"/>
      <c r="GV11" s="24"/>
      <c r="GW11" s="24"/>
      <c r="GX11" s="24"/>
      <c r="GY11" s="24"/>
      <c r="GZ11" s="24"/>
      <c r="HA11" s="24"/>
      <c r="HB11" s="24"/>
      <c r="HC11" s="24"/>
      <c r="HD11" s="24"/>
      <c r="HE11" s="24"/>
      <c r="HF11" s="24"/>
      <c r="HG11" s="24"/>
      <c r="HH11" s="24"/>
      <c r="HI11" s="24"/>
      <c r="HJ11" s="24"/>
      <c r="HK11" s="24"/>
      <c r="HL11" s="24"/>
      <c r="HM11" s="24"/>
      <c r="HN11" s="24"/>
      <c r="HO11" s="24"/>
      <c r="HP11" s="24"/>
      <c r="HQ11" s="24"/>
      <c r="HR11" s="24"/>
      <c r="HS11" s="24"/>
      <c r="HT11" s="24"/>
      <c r="HU11" s="24"/>
      <c r="HV11" s="24"/>
      <c r="HW11" s="24"/>
      <c r="HX11" s="24"/>
      <c r="HY11" s="24"/>
      <c r="HZ11" s="24"/>
      <c r="IA11" s="24"/>
      <c r="IB11" s="24"/>
      <c r="IC11" s="24"/>
      <c r="ID11" s="24"/>
      <c r="IE11" s="24"/>
      <c r="IF11" s="24"/>
      <c r="IG11" s="24"/>
      <c r="IH11" s="24"/>
      <c r="II11" s="24"/>
      <c r="IJ11" s="24"/>
      <c r="IK11" s="24"/>
      <c r="IL11" s="24"/>
      <c r="IM11" s="24"/>
      <c r="IN11" s="24"/>
      <c r="IO11" s="24"/>
      <c r="IP11" s="24"/>
      <c r="IQ11" s="24"/>
      <c r="IR11" s="24"/>
      <c r="IS11" s="24"/>
      <c r="IT11" s="24"/>
      <c r="IU11" s="24"/>
      <c r="IV11" s="24"/>
      <c r="IW11" s="24"/>
      <c r="IX11" s="24"/>
      <c r="IY11" s="24"/>
      <c r="IZ11" s="24"/>
      <c r="JA11" s="24"/>
      <c r="JB11" s="24"/>
      <c r="JC11" s="24"/>
      <c r="JD11" s="24"/>
      <c r="JE11" s="24"/>
      <c r="JF11" s="24"/>
      <c r="JG11" s="24"/>
      <c r="JH11" s="24"/>
      <c r="JI11" s="24"/>
      <c r="JJ11" s="24"/>
      <c r="JK11" s="24"/>
      <c r="JL11" s="24"/>
      <c r="JM11" s="24"/>
      <c r="JN11" s="24"/>
      <c r="JO11" s="24"/>
      <c r="JP11" s="24"/>
      <c r="JQ11" s="24"/>
      <c r="JR11" s="24"/>
      <c r="JS11" s="24"/>
      <c r="JT11" s="24"/>
      <c r="JU11" s="24"/>
      <c r="JV11" s="24"/>
      <c r="JW11" s="24"/>
      <c r="JX11" s="24"/>
      <c r="JY11" s="24"/>
      <c r="JZ11" s="24"/>
      <c r="KA11" s="24"/>
      <c r="KB11" s="24"/>
      <c r="KC11" s="24"/>
      <c r="KD11" s="24"/>
      <c r="KE11" s="24"/>
      <c r="KF11" s="24"/>
      <c r="KG11" s="24"/>
      <c r="KH11" s="24"/>
      <c r="KI11" s="24"/>
      <c r="KJ11" s="24"/>
      <c r="KK11" s="24"/>
      <c r="KL11" s="24"/>
      <c r="KM11" s="24"/>
      <c r="KN11" s="24"/>
      <c r="KO11" s="24"/>
      <c r="KP11" s="24"/>
      <c r="KQ11" s="24"/>
      <c r="KR11" s="24"/>
      <c r="KS11" s="24"/>
      <c r="KT11" s="24"/>
      <c r="KU11" s="24"/>
      <c r="KV11" s="24"/>
      <c r="KW11" s="24"/>
      <c r="KX11" s="24"/>
      <c r="KY11" s="24"/>
      <c r="KZ11" s="24"/>
      <c r="LA11" s="24"/>
      <c r="LB11" s="24"/>
      <c r="LC11" s="24"/>
      <c r="LD11" s="24"/>
      <c r="LE11" s="24"/>
      <c r="LF11" s="24"/>
      <c r="LG11" s="24"/>
      <c r="LH11" s="24"/>
      <c r="LI11" s="24"/>
      <c r="LJ11" s="24"/>
      <c r="LK11" s="24"/>
      <c r="LL11" s="24"/>
      <c r="LM11" s="24"/>
      <c r="LN11" s="24"/>
      <c r="LO11" s="24"/>
      <c r="LP11" s="24"/>
      <c r="LQ11" s="24"/>
      <c r="LR11" s="24"/>
      <c r="LS11" s="24"/>
      <c r="LT11" s="24"/>
      <c r="LU11" s="24"/>
      <c r="LV11" s="24"/>
      <c r="LW11" s="24"/>
      <c r="LX11" s="24"/>
      <c r="LY11" s="24"/>
      <c r="LZ11" s="24"/>
      <c r="MA11" s="24"/>
      <c r="MB11" s="24"/>
      <c r="MC11" s="24"/>
      <c r="MD11" s="24"/>
      <c r="ME11" s="24"/>
      <c r="MF11" s="24"/>
      <c r="MG11" s="24"/>
      <c r="MH11" s="24"/>
      <c r="MI11" s="24"/>
      <c r="MJ11" s="24"/>
      <c r="MK11" s="24"/>
      <c r="ML11" s="24"/>
      <c r="MM11" s="24"/>
      <c r="MN11" s="24"/>
      <c r="MO11" s="24"/>
      <c r="MP11" s="24"/>
      <c r="MQ11" s="24"/>
      <c r="MR11" s="24"/>
      <c r="MS11" s="24"/>
      <c r="MT11" s="24"/>
      <c r="MU11" s="24"/>
      <c r="MV11" s="24"/>
      <c r="MW11" s="24"/>
      <c r="MX11" s="24"/>
      <c r="MY11" s="24"/>
      <c r="MZ11" s="24"/>
      <c r="NA11" s="24"/>
      <c r="NB11" s="24"/>
      <c r="NC11" s="24"/>
      <c r="ND11" s="24"/>
      <c r="NE11" s="24"/>
      <c r="NF11" s="24"/>
      <c r="NG11" s="24"/>
      <c r="NH11" s="24"/>
      <c r="NI11" s="24"/>
      <c r="NJ11" s="24"/>
      <c r="NK11" s="24"/>
      <c r="NL11" s="24"/>
      <c r="NM11" s="24"/>
      <c r="NN11" s="24"/>
      <c r="NO11" s="24"/>
      <c r="NP11" s="24"/>
      <c r="NQ11" s="24"/>
      <c r="NR11" s="24"/>
      <c r="NS11" s="24"/>
      <c r="NT11" s="24"/>
      <c r="NU11" s="24"/>
      <c r="NV11" s="24"/>
      <c r="NW11" s="24"/>
      <c r="NX11" s="24"/>
      <c r="NY11" s="24"/>
      <c r="NZ11" s="24"/>
      <c r="OA11" s="24"/>
      <c r="OB11" s="24"/>
      <c r="OC11" s="24"/>
      <c r="OD11" s="24"/>
      <c r="OE11" s="24"/>
      <c r="OF11" s="24"/>
      <c r="OG11" s="24"/>
      <c r="OH11" s="24"/>
      <c r="OI11" s="24"/>
      <c r="OJ11" s="24"/>
      <c r="OK11" s="24"/>
      <c r="OL11" s="24"/>
      <c r="OM11" s="24"/>
      <c r="ON11" s="24"/>
      <c r="OO11" s="24"/>
      <c r="OP11" s="24"/>
      <c r="OQ11" s="24"/>
      <c r="OR11" s="24"/>
      <c r="OS11" s="24"/>
      <c r="OT11" s="24"/>
      <c r="OU11" s="24"/>
      <c r="OV11" s="24"/>
      <c r="OW11" s="24"/>
      <c r="OX11" s="24"/>
      <c r="OY11" s="24"/>
      <c r="OZ11" s="24"/>
      <c r="PA11" s="24"/>
      <c r="PB11" s="24"/>
      <c r="PC11" s="24"/>
      <c r="PD11" s="24"/>
      <c r="PE11" s="24"/>
      <c r="PF11" s="24"/>
      <c r="PG11" s="24"/>
      <c r="PH11" s="24"/>
      <c r="PI11" s="24"/>
      <c r="PJ11" s="24"/>
      <c r="PK11" s="24"/>
      <c r="PL11" s="24"/>
      <c r="PM11" s="24"/>
      <c r="PN11" s="24"/>
      <c r="PO11" s="24"/>
      <c r="PP11" s="24"/>
      <c r="PQ11" s="24"/>
      <c r="PR11" s="24"/>
      <c r="PS11" s="24"/>
      <c r="PT11" s="24"/>
      <c r="PU11" s="24"/>
      <c r="PV11" s="24"/>
      <c r="PW11" s="24"/>
      <c r="PX11" s="24"/>
      <c r="PY11" s="24"/>
      <c r="PZ11" s="24"/>
      <c r="QA11" s="24"/>
      <c r="QB11" s="24"/>
      <c r="QC11" s="24"/>
      <c r="QD11" s="24"/>
      <c r="QE11" s="24"/>
      <c r="QF11" s="24"/>
      <c r="QG11" s="24"/>
      <c r="QH11" s="24"/>
      <c r="QI11" s="24"/>
      <c r="QJ11" s="24"/>
      <c r="QK11" s="24"/>
      <c r="QL11" s="24"/>
      <c r="QM11" s="24"/>
      <c r="QN11" s="24"/>
      <c r="QO11" s="24"/>
      <c r="QP11" s="24"/>
      <c r="QQ11" s="24"/>
      <c r="QR11" s="24"/>
      <c r="QS11" s="24"/>
      <c r="QT11" s="24"/>
      <c r="QU11" s="24"/>
      <c r="QV11" s="24"/>
      <c r="QW11" s="24"/>
      <c r="QX11" s="24"/>
      <c r="QY11" s="24"/>
      <c r="QZ11" s="24"/>
      <c r="RA11" s="24"/>
      <c r="RB11" s="24"/>
      <c r="RC11" s="24"/>
      <c r="RD11" s="24"/>
      <c r="RE11" s="24"/>
      <c r="RF11" s="24"/>
      <c r="RG11" s="24"/>
      <c r="RH11" s="24"/>
      <c r="RI11" s="24"/>
      <c r="RJ11" s="24"/>
      <c r="RK11" s="24"/>
      <c r="RL11" s="24"/>
      <c r="RM11" s="24"/>
      <c r="RN11" s="24"/>
      <c r="RO11" s="24"/>
      <c r="RP11" s="24"/>
      <c r="RQ11" s="24"/>
      <c r="RR11" s="24"/>
      <c r="RS11" s="24"/>
      <c r="RT11" s="24"/>
      <c r="RU11" s="24"/>
      <c r="RV11" s="24"/>
      <c r="RW11" s="24"/>
      <c r="RX11" s="24"/>
      <c r="RY11" s="24"/>
      <c r="RZ11" s="24"/>
      <c r="SA11" s="24"/>
      <c r="SB11" s="24"/>
      <c r="SC11" s="24"/>
      <c r="SD11" s="24"/>
      <c r="SE11" s="24"/>
      <c r="SF11" s="24"/>
      <c r="SG11" s="24"/>
      <c r="SH11" s="24"/>
      <c r="SI11" s="24"/>
      <c r="SJ11" s="24"/>
      <c r="SK11" s="24"/>
      <c r="SL11" s="24"/>
      <c r="SM11" s="24"/>
      <c r="SN11" s="24"/>
      <c r="SO11" s="24"/>
      <c r="SP11" s="24"/>
      <c r="SQ11" s="24"/>
      <c r="SR11" s="24"/>
      <c r="SS11" s="24"/>
      <c r="ST11" s="24"/>
      <c r="SU11" s="24"/>
      <c r="SV11" s="24"/>
      <c r="SW11" s="24"/>
      <c r="SX11" s="24"/>
      <c r="SY11" s="24"/>
      <c r="SZ11" s="24"/>
      <c r="TA11" s="24"/>
      <c r="TB11" s="24"/>
      <c r="TC11" s="24"/>
      <c r="TD11" s="24"/>
      <c r="TE11" s="24"/>
      <c r="TF11" s="24"/>
      <c r="TG11" s="24"/>
      <c r="TH11" s="24"/>
      <c r="TI11" s="24"/>
      <c r="TJ11" s="24"/>
      <c r="TK11" s="24"/>
      <c r="TL11" s="24"/>
      <c r="TM11" s="24"/>
      <c r="TN11" s="24"/>
      <c r="TO11" s="24"/>
      <c r="TP11" s="24"/>
      <c r="TQ11" s="24"/>
      <c r="TR11" s="24"/>
      <c r="TS11" s="24"/>
      <c r="TT11" s="24"/>
      <c r="TU11" s="24"/>
      <c r="TV11" s="24"/>
      <c r="TW11" s="24"/>
      <c r="TX11" s="24"/>
      <c r="TY11" s="24"/>
      <c r="TZ11" s="24"/>
      <c r="UA11" s="24"/>
      <c r="UB11" s="24"/>
      <c r="UC11" s="24"/>
      <c r="UD11" s="24"/>
      <c r="UE11" s="24"/>
      <c r="UF11" s="24"/>
      <c r="UG11" s="24"/>
      <c r="UH11" s="24"/>
      <c r="UI11" s="24"/>
      <c r="UJ11" s="24"/>
      <c r="UK11" s="24"/>
      <c r="UL11" s="24"/>
      <c r="UM11" s="24"/>
      <c r="UN11" s="24"/>
      <c r="UO11" s="24"/>
      <c r="UP11" s="24"/>
      <c r="UQ11" s="24"/>
      <c r="UR11" s="24"/>
      <c r="US11" s="24"/>
      <c r="UT11" s="24"/>
      <c r="UU11" s="24"/>
      <c r="UV11" s="24"/>
      <c r="UW11" s="24"/>
      <c r="UX11" s="24"/>
      <c r="UY11" s="24"/>
      <c r="UZ11" s="24"/>
      <c r="VA11" s="24"/>
      <c r="VB11" s="24"/>
      <c r="VC11" s="24"/>
      <c r="VD11" s="24"/>
      <c r="VE11" s="24"/>
      <c r="VF11" s="24"/>
      <c r="VG11" s="24"/>
      <c r="VH11" s="24"/>
      <c r="VI11" s="24"/>
      <c r="VJ11" s="24"/>
      <c r="VK11" s="24"/>
      <c r="VL11" s="24"/>
      <c r="VM11" s="24"/>
      <c r="VN11" s="24"/>
      <c r="VO11" s="24"/>
      <c r="VP11" s="24"/>
      <c r="VQ11" s="24"/>
      <c r="VR11" s="24"/>
      <c r="VS11" s="24"/>
      <c r="VT11" s="24"/>
      <c r="VU11" s="24"/>
      <c r="VV11" s="24"/>
      <c r="VW11" s="24"/>
      <c r="VX11" s="24"/>
      <c r="VY11" s="24"/>
      <c r="VZ11" s="24"/>
      <c r="WA11" s="24"/>
      <c r="WB11" s="24"/>
      <c r="WC11" s="24"/>
      <c r="WD11" s="24"/>
      <c r="WE11" s="24"/>
    </row>
    <row r="12" spans="1:603" s="25" customFormat="1" ht="13.65" customHeight="1" x14ac:dyDescent="0.3">
      <c r="A12" s="191" t="s">
        <v>73</v>
      </c>
      <c r="B12" s="192"/>
      <c r="C12" s="193"/>
      <c r="D12" s="178" t="s">
        <v>83</v>
      </c>
      <c r="E12" s="178"/>
      <c r="F12" s="178"/>
      <c r="G12" s="178"/>
      <c r="H12" s="66">
        <f>D26+E39</f>
        <v>0</v>
      </c>
      <c r="I12" s="24"/>
      <c r="J12" s="258" t="s">
        <v>130</v>
      </c>
      <c r="K12" s="258"/>
      <c r="L12" s="258"/>
      <c r="M12" s="139"/>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c r="CB12" s="24"/>
      <c r="CC12" s="24"/>
      <c r="CD12" s="24"/>
      <c r="CE12" s="24"/>
      <c r="CF12" s="24"/>
      <c r="CG12" s="24"/>
      <c r="CH12" s="24"/>
      <c r="CI12" s="24"/>
      <c r="CJ12" s="24"/>
      <c r="CK12" s="24"/>
      <c r="CL12" s="24"/>
      <c r="CM12" s="24"/>
      <c r="CN12" s="24"/>
      <c r="CO12" s="24"/>
      <c r="CP12" s="24"/>
      <c r="CQ12" s="24"/>
      <c r="CR12" s="24"/>
      <c r="CS12" s="24"/>
      <c r="CT12" s="24"/>
      <c r="CU12" s="24"/>
      <c r="CV12" s="24"/>
      <c r="CW12" s="24"/>
      <c r="CX12" s="24"/>
      <c r="CY12" s="24"/>
      <c r="CZ12" s="24"/>
      <c r="DA12" s="24"/>
      <c r="DB12" s="24"/>
      <c r="DC12" s="24"/>
      <c r="DD12" s="24"/>
      <c r="DE12" s="24"/>
      <c r="DF12" s="24"/>
      <c r="DG12" s="24"/>
      <c r="DH12" s="24"/>
      <c r="DI12" s="24"/>
      <c r="DJ12" s="24"/>
      <c r="DK12" s="24"/>
      <c r="DL12" s="24"/>
      <c r="DM12" s="24"/>
      <c r="DN12" s="24"/>
      <c r="DO12" s="24"/>
      <c r="DP12" s="24"/>
      <c r="DQ12" s="24"/>
      <c r="DR12" s="24"/>
      <c r="DS12" s="24"/>
      <c r="DT12" s="24"/>
      <c r="DU12" s="24"/>
      <c r="DV12" s="24"/>
      <c r="DW12" s="24"/>
      <c r="DX12" s="24"/>
      <c r="DY12" s="24"/>
      <c r="DZ12" s="24"/>
      <c r="EA12" s="24"/>
      <c r="EB12" s="24"/>
      <c r="EC12" s="24"/>
      <c r="ED12" s="24"/>
      <c r="EE12" s="24"/>
      <c r="EF12" s="24"/>
      <c r="EG12" s="24"/>
      <c r="EH12" s="24"/>
      <c r="EI12" s="24"/>
      <c r="EJ12" s="24"/>
      <c r="EK12" s="24"/>
      <c r="EL12" s="24"/>
      <c r="EM12" s="24"/>
      <c r="EN12" s="24"/>
      <c r="EO12" s="24"/>
      <c r="EP12" s="24"/>
      <c r="EQ12" s="24"/>
      <c r="ER12" s="24"/>
      <c r="ES12" s="24"/>
      <c r="ET12" s="24"/>
      <c r="EU12" s="24"/>
      <c r="EV12" s="24"/>
      <c r="EW12" s="24"/>
      <c r="EX12" s="24"/>
      <c r="EY12" s="24"/>
      <c r="EZ12" s="24"/>
      <c r="FA12" s="24"/>
      <c r="FB12" s="24"/>
      <c r="FC12" s="24"/>
      <c r="FD12" s="24"/>
      <c r="FE12" s="24"/>
      <c r="FF12" s="24"/>
      <c r="FG12" s="24"/>
      <c r="FH12" s="24"/>
      <c r="FI12" s="24"/>
      <c r="FJ12" s="24"/>
      <c r="FK12" s="24"/>
      <c r="FL12" s="24"/>
      <c r="FM12" s="24"/>
      <c r="FN12" s="24"/>
      <c r="FO12" s="24"/>
      <c r="FP12" s="24"/>
      <c r="FQ12" s="24"/>
      <c r="FR12" s="24"/>
      <c r="FS12" s="24"/>
      <c r="FT12" s="24"/>
      <c r="FU12" s="24"/>
      <c r="FV12" s="24"/>
      <c r="FW12" s="24"/>
      <c r="FX12" s="24"/>
      <c r="FY12" s="24"/>
      <c r="FZ12" s="24"/>
      <c r="GA12" s="24"/>
      <c r="GB12" s="24"/>
      <c r="GC12" s="24"/>
      <c r="GD12" s="24"/>
      <c r="GE12" s="24"/>
      <c r="GF12" s="24"/>
      <c r="GG12" s="24"/>
      <c r="GH12" s="24"/>
      <c r="GI12" s="24"/>
      <c r="GJ12" s="24"/>
      <c r="GK12" s="24"/>
      <c r="GL12" s="24"/>
      <c r="GM12" s="24"/>
      <c r="GN12" s="24"/>
      <c r="GO12" s="24"/>
      <c r="GP12" s="24"/>
      <c r="GQ12" s="24"/>
      <c r="GR12" s="24"/>
      <c r="GS12" s="24"/>
      <c r="GT12" s="24"/>
      <c r="GU12" s="24"/>
      <c r="GV12" s="24"/>
      <c r="GW12" s="24"/>
      <c r="GX12" s="24"/>
      <c r="GY12" s="24"/>
      <c r="GZ12" s="24"/>
      <c r="HA12" s="24"/>
      <c r="HB12" s="24"/>
      <c r="HC12" s="24"/>
      <c r="HD12" s="24"/>
      <c r="HE12" s="24"/>
      <c r="HF12" s="24"/>
      <c r="HG12" s="24"/>
      <c r="HH12" s="24"/>
      <c r="HI12" s="24"/>
      <c r="HJ12" s="24"/>
      <c r="HK12" s="24"/>
      <c r="HL12" s="24"/>
      <c r="HM12" s="24"/>
      <c r="HN12" s="24"/>
      <c r="HO12" s="24"/>
      <c r="HP12" s="24"/>
      <c r="HQ12" s="24"/>
      <c r="HR12" s="24"/>
      <c r="HS12" s="24"/>
      <c r="HT12" s="24"/>
      <c r="HU12" s="24"/>
      <c r="HV12" s="24"/>
      <c r="HW12" s="24"/>
      <c r="HX12" s="24"/>
      <c r="HY12" s="24"/>
      <c r="HZ12" s="24"/>
      <c r="IA12" s="24"/>
      <c r="IB12" s="24"/>
      <c r="IC12" s="24"/>
      <c r="ID12" s="24"/>
      <c r="IE12" s="24"/>
      <c r="IF12" s="24"/>
      <c r="IG12" s="24"/>
      <c r="IH12" s="24"/>
      <c r="II12" s="24"/>
      <c r="IJ12" s="24"/>
      <c r="IK12" s="24"/>
      <c r="IL12" s="24"/>
      <c r="IM12" s="24"/>
      <c r="IN12" s="24"/>
      <c r="IO12" s="24"/>
      <c r="IP12" s="24"/>
      <c r="IQ12" s="24"/>
      <c r="IR12" s="24"/>
      <c r="IS12" s="24"/>
      <c r="IT12" s="24"/>
      <c r="IU12" s="24"/>
      <c r="IV12" s="24"/>
      <c r="IW12" s="24"/>
      <c r="IX12" s="24"/>
      <c r="IY12" s="24"/>
      <c r="IZ12" s="24"/>
      <c r="JA12" s="24"/>
      <c r="JB12" s="24"/>
      <c r="JC12" s="24"/>
      <c r="JD12" s="24"/>
      <c r="JE12" s="24"/>
      <c r="JF12" s="24"/>
      <c r="JG12" s="24"/>
      <c r="JH12" s="24"/>
      <c r="JI12" s="24"/>
      <c r="JJ12" s="24"/>
      <c r="JK12" s="24"/>
      <c r="JL12" s="24"/>
      <c r="JM12" s="24"/>
      <c r="JN12" s="24"/>
      <c r="JO12" s="24"/>
      <c r="JP12" s="24"/>
      <c r="JQ12" s="24"/>
      <c r="JR12" s="24"/>
      <c r="JS12" s="24"/>
      <c r="JT12" s="24"/>
      <c r="JU12" s="24"/>
      <c r="JV12" s="24"/>
      <c r="JW12" s="24"/>
      <c r="JX12" s="24"/>
      <c r="JY12" s="24"/>
      <c r="JZ12" s="24"/>
      <c r="KA12" s="24"/>
      <c r="KB12" s="24"/>
      <c r="KC12" s="24"/>
      <c r="KD12" s="24"/>
      <c r="KE12" s="24"/>
      <c r="KF12" s="24"/>
      <c r="KG12" s="24"/>
      <c r="KH12" s="24"/>
      <c r="KI12" s="24"/>
      <c r="KJ12" s="24"/>
      <c r="KK12" s="24"/>
      <c r="KL12" s="24"/>
      <c r="KM12" s="24"/>
      <c r="KN12" s="24"/>
      <c r="KO12" s="24"/>
      <c r="KP12" s="24"/>
      <c r="KQ12" s="24"/>
      <c r="KR12" s="24"/>
      <c r="KS12" s="24"/>
      <c r="KT12" s="24"/>
      <c r="KU12" s="24"/>
      <c r="KV12" s="24"/>
      <c r="KW12" s="24"/>
      <c r="KX12" s="24"/>
      <c r="KY12" s="24"/>
      <c r="KZ12" s="24"/>
      <c r="LA12" s="24"/>
      <c r="LB12" s="24"/>
      <c r="LC12" s="24"/>
      <c r="LD12" s="24"/>
      <c r="LE12" s="24"/>
      <c r="LF12" s="24"/>
      <c r="LG12" s="24"/>
      <c r="LH12" s="24"/>
      <c r="LI12" s="24"/>
      <c r="LJ12" s="24"/>
      <c r="LK12" s="24"/>
      <c r="LL12" s="24"/>
      <c r="LM12" s="24"/>
      <c r="LN12" s="24"/>
      <c r="LO12" s="24"/>
      <c r="LP12" s="24"/>
      <c r="LQ12" s="24"/>
      <c r="LR12" s="24"/>
      <c r="LS12" s="24"/>
      <c r="LT12" s="24"/>
      <c r="LU12" s="24"/>
      <c r="LV12" s="24"/>
      <c r="LW12" s="24"/>
      <c r="LX12" s="24"/>
      <c r="LY12" s="24"/>
      <c r="LZ12" s="24"/>
      <c r="MA12" s="24"/>
      <c r="MB12" s="24"/>
      <c r="MC12" s="24"/>
      <c r="MD12" s="24"/>
      <c r="ME12" s="24"/>
      <c r="MF12" s="24"/>
      <c r="MG12" s="24"/>
      <c r="MH12" s="24"/>
      <c r="MI12" s="24"/>
      <c r="MJ12" s="24"/>
      <c r="MK12" s="24"/>
      <c r="ML12" s="24"/>
      <c r="MM12" s="24"/>
      <c r="MN12" s="24"/>
      <c r="MO12" s="24"/>
      <c r="MP12" s="24"/>
      <c r="MQ12" s="24"/>
      <c r="MR12" s="24"/>
      <c r="MS12" s="24"/>
      <c r="MT12" s="24"/>
      <c r="MU12" s="24"/>
      <c r="MV12" s="24"/>
      <c r="MW12" s="24"/>
      <c r="MX12" s="24"/>
      <c r="MY12" s="24"/>
      <c r="MZ12" s="24"/>
      <c r="NA12" s="24"/>
      <c r="NB12" s="24"/>
      <c r="NC12" s="24"/>
      <c r="ND12" s="24"/>
      <c r="NE12" s="24"/>
      <c r="NF12" s="24"/>
      <c r="NG12" s="24"/>
      <c r="NH12" s="24"/>
      <c r="NI12" s="24"/>
      <c r="NJ12" s="24"/>
      <c r="NK12" s="24"/>
      <c r="NL12" s="24"/>
      <c r="NM12" s="24"/>
      <c r="NN12" s="24"/>
      <c r="NO12" s="24"/>
      <c r="NP12" s="24"/>
      <c r="NQ12" s="24"/>
      <c r="NR12" s="24"/>
      <c r="NS12" s="24"/>
      <c r="NT12" s="24"/>
      <c r="NU12" s="24"/>
      <c r="NV12" s="24"/>
      <c r="NW12" s="24"/>
      <c r="NX12" s="24"/>
      <c r="NY12" s="24"/>
      <c r="NZ12" s="24"/>
      <c r="OA12" s="24"/>
      <c r="OB12" s="24"/>
      <c r="OC12" s="24"/>
      <c r="OD12" s="24"/>
      <c r="OE12" s="24"/>
      <c r="OF12" s="24"/>
      <c r="OG12" s="24"/>
      <c r="OH12" s="24"/>
      <c r="OI12" s="24"/>
      <c r="OJ12" s="24"/>
      <c r="OK12" s="24"/>
      <c r="OL12" s="24"/>
      <c r="OM12" s="24"/>
      <c r="ON12" s="24"/>
      <c r="OO12" s="24"/>
      <c r="OP12" s="24"/>
      <c r="OQ12" s="24"/>
      <c r="OR12" s="24"/>
      <c r="OS12" s="24"/>
      <c r="OT12" s="24"/>
      <c r="OU12" s="24"/>
      <c r="OV12" s="24"/>
      <c r="OW12" s="24"/>
      <c r="OX12" s="24"/>
      <c r="OY12" s="24"/>
      <c r="OZ12" s="24"/>
      <c r="PA12" s="24"/>
      <c r="PB12" s="24"/>
      <c r="PC12" s="24"/>
      <c r="PD12" s="24"/>
      <c r="PE12" s="24"/>
      <c r="PF12" s="24"/>
      <c r="PG12" s="24"/>
      <c r="PH12" s="24"/>
      <c r="PI12" s="24"/>
      <c r="PJ12" s="24"/>
      <c r="PK12" s="24"/>
      <c r="PL12" s="24"/>
      <c r="PM12" s="24"/>
      <c r="PN12" s="24"/>
      <c r="PO12" s="24"/>
      <c r="PP12" s="24"/>
      <c r="PQ12" s="24"/>
      <c r="PR12" s="24"/>
      <c r="PS12" s="24"/>
      <c r="PT12" s="24"/>
      <c r="PU12" s="24"/>
      <c r="PV12" s="24"/>
      <c r="PW12" s="24"/>
      <c r="PX12" s="24"/>
      <c r="PY12" s="24"/>
      <c r="PZ12" s="24"/>
      <c r="QA12" s="24"/>
      <c r="QB12" s="24"/>
      <c r="QC12" s="24"/>
      <c r="QD12" s="24"/>
      <c r="QE12" s="24"/>
      <c r="QF12" s="24"/>
      <c r="QG12" s="24"/>
      <c r="QH12" s="24"/>
      <c r="QI12" s="24"/>
      <c r="QJ12" s="24"/>
      <c r="QK12" s="24"/>
      <c r="QL12" s="24"/>
      <c r="QM12" s="24"/>
      <c r="QN12" s="24"/>
      <c r="QO12" s="24"/>
      <c r="QP12" s="24"/>
      <c r="QQ12" s="24"/>
      <c r="QR12" s="24"/>
      <c r="QS12" s="24"/>
      <c r="QT12" s="24"/>
      <c r="QU12" s="24"/>
      <c r="QV12" s="24"/>
      <c r="QW12" s="24"/>
      <c r="QX12" s="24"/>
      <c r="QY12" s="24"/>
      <c r="QZ12" s="24"/>
      <c r="RA12" s="24"/>
      <c r="RB12" s="24"/>
      <c r="RC12" s="24"/>
      <c r="RD12" s="24"/>
      <c r="RE12" s="24"/>
      <c r="RF12" s="24"/>
      <c r="RG12" s="24"/>
      <c r="RH12" s="24"/>
      <c r="RI12" s="24"/>
      <c r="RJ12" s="24"/>
      <c r="RK12" s="24"/>
      <c r="RL12" s="24"/>
      <c r="RM12" s="24"/>
      <c r="RN12" s="24"/>
      <c r="RO12" s="24"/>
      <c r="RP12" s="24"/>
      <c r="RQ12" s="24"/>
      <c r="RR12" s="24"/>
      <c r="RS12" s="24"/>
      <c r="RT12" s="24"/>
      <c r="RU12" s="24"/>
      <c r="RV12" s="24"/>
      <c r="RW12" s="24"/>
      <c r="RX12" s="24"/>
      <c r="RY12" s="24"/>
      <c r="RZ12" s="24"/>
      <c r="SA12" s="24"/>
      <c r="SB12" s="24"/>
      <c r="SC12" s="24"/>
      <c r="SD12" s="24"/>
      <c r="SE12" s="24"/>
      <c r="SF12" s="24"/>
      <c r="SG12" s="24"/>
      <c r="SH12" s="24"/>
      <c r="SI12" s="24"/>
      <c r="SJ12" s="24"/>
      <c r="SK12" s="24"/>
      <c r="SL12" s="24"/>
      <c r="SM12" s="24"/>
      <c r="SN12" s="24"/>
      <c r="SO12" s="24"/>
      <c r="SP12" s="24"/>
      <c r="SQ12" s="24"/>
      <c r="SR12" s="24"/>
      <c r="SS12" s="24"/>
      <c r="ST12" s="24"/>
      <c r="SU12" s="24"/>
      <c r="SV12" s="24"/>
      <c r="SW12" s="24"/>
      <c r="SX12" s="24"/>
      <c r="SY12" s="24"/>
      <c r="SZ12" s="24"/>
      <c r="TA12" s="24"/>
      <c r="TB12" s="24"/>
      <c r="TC12" s="24"/>
      <c r="TD12" s="24"/>
      <c r="TE12" s="24"/>
      <c r="TF12" s="24"/>
      <c r="TG12" s="24"/>
      <c r="TH12" s="24"/>
      <c r="TI12" s="24"/>
      <c r="TJ12" s="24"/>
      <c r="TK12" s="24"/>
      <c r="TL12" s="24"/>
      <c r="TM12" s="24"/>
      <c r="TN12" s="24"/>
      <c r="TO12" s="24"/>
      <c r="TP12" s="24"/>
      <c r="TQ12" s="24"/>
      <c r="TR12" s="24"/>
      <c r="TS12" s="24"/>
      <c r="TT12" s="24"/>
      <c r="TU12" s="24"/>
      <c r="TV12" s="24"/>
      <c r="TW12" s="24"/>
      <c r="TX12" s="24"/>
      <c r="TY12" s="24"/>
      <c r="TZ12" s="24"/>
      <c r="UA12" s="24"/>
      <c r="UB12" s="24"/>
      <c r="UC12" s="24"/>
      <c r="UD12" s="24"/>
      <c r="UE12" s="24"/>
      <c r="UF12" s="24"/>
      <c r="UG12" s="24"/>
      <c r="UH12" s="24"/>
      <c r="UI12" s="24"/>
      <c r="UJ12" s="24"/>
      <c r="UK12" s="24"/>
      <c r="UL12" s="24"/>
      <c r="UM12" s="24"/>
      <c r="UN12" s="24"/>
      <c r="UO12" s="24"/>
      <c r="UP12" s="24"/>
      <c r="UQ12" s="24"/>
      <c r="UR12" s="24"/>
      <c r="US12" s="24"/>
      <c r="UT12" s="24"/>
      <c r="UU12" s="24"/>
      <c r="UV12" s="24"/>
      <c r="UW12" s="24"/>
      <c r="UX12" s="24"/>
      <c r="UY12" s="24"/>
      <c r="UZ12" s="24"/>
      <c r="VA12" s="24"/>
      <c r="VB12" s="24"/>
      <c r="VC12" s="24"/>
      <c r="VD12" s="24"/>
      <c r="VE12" s="24"/>
      <c r="VF12" s="24"/>
      <c r="VG12" s="24"/>
      <c r="VH12" s="24"/>
      <c r="VI12" s="24"/>
      <c r="VJ12" s="24"/>
      <c r="VK12" s="24"/>
      <c r="VL12" s="24"/>
      <c r="VM12" s="24"/>
      <c r="VN12" s="24"/>
      <c r="VO12" s="24"/>
      <c r="VP12" s="24"/>
      <c r="VQ12" s="24"/>
      <c r="VR12" s="24"/>
      <c r="VS12" s="24"/>
      <c r="VT12" s="24"/>
      <c r="VU12" s="24"/>
      <c r="VV12" s="24"/>
      <c r="VW12" s="24"/>
      <c r="VX12" s="24"/>
      <c r="VY12" s="24"/>
      <c r="VZ12" s="24"/>
      <c r="WA12" s="24"/>
      <c r="WB12" s="24"/>
      <c r="WC12" s="24"/>
      <c r="WD12" s="24"/>
      <c r="WE12" s="24"/>
    </row>
    <row r="13" spans="1:603" s="24" customFormat="1" ht="16.5" customHeight="1" x14ac:dyDescent="0.3">
      <c r="A13" s="194"/>
      <c r="B13" s="195"/>
      <c r="C13" s="196"/>
      <c r="D13" s="179" t="s">
        <v>76</v>
      </c>
      <c r="E13" s="179"/>
      <c r="F13" s="179"/>
      <c r="G13" s="179"/>
      <c r="H13" s="67">
        <f>U26</f>
        <v>0</v>
      </c>
      <c r="J13" s="258" t="s">
        <v>132</v>
      </c>
      <c r="K13" s="258"/>
      <c r="L13" s="258"/>
      <c r="M13" s="139"/>
    </row>
    <row r="14" spans="1:603" s="24" customFormat="1" ht="12.75" customHeight="1" thickBot="1" x14ac:dyDescent="0.35">
      <c r="A14" s="197"/>
      <c r="B14" s="198"/>
      <c r="C14" s="199"/>
      <c r="D14" s="180" t="s">
        <v>3</v>
      </c>
      <c r="E14" s="180"/>
      <c r="F14" s="180"/>
      <c r="G14" s="180"/>
      <c r="H14" s="68">
        <f>H12+H13</f>
        <v>0</v>
      </c>
      <c r="J14" s="231" t="s">
        <v>131</v>
      </c>
      <c r="K14" s="232"/>
      <c r="L14" s="233"/>
      <c r="M14" s="139"/>
    </row>
    <row r="15" spans="1:603" s="25" customFormat="1" ht="3.75" customHeight="1" thickBot="1" x14ac:dyDescent="0.35">
      <c r="A15" s="13"/>
      <c r="B15" s="27"/>
      <c r="C15" s="27"/>
      <c r="D15" s="27"/>
      <c r="E15" s="27"/>
      <c r="F15" s="19"/>
      <c r="G15" s="24"/>
      <c r="H15" s="24"/>
      <c r="I15" s="24"/>
      <c r="J15" s="26"/>
      <c r="K15" s="26"/>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c r="BM15" s="24"/>
      <c r="BN15" s="24"/>
      <c r="BO15" s="24"/>
      <c r="BP15" s="24"/>
      <c r="BQ15" s="24"/>
      <c r="BR15" s="24"/>
      <c r="BS15" s="24"/>
      <c r="BT15" s="24"/>
      <c r="BU15" s="24"/>
      <c r="BV15" s="24"/>
      <c r="BW15" s="24"/>
      <c r="BX15" s="24"/>
      <c r="BY15" s="24"/>
      <c r="BZ15" s="24"/>
      <c r="CA15" s="24"/>
      <c r="CB15" s="24"/>
      <c r="CC15" s="24"/>
      <c r="CD15" s="24"/>
      <c r="CE15" s="24"/>
      <c r="CF15" s="24"/>
      <c r="CG15" s="24"/>
      <c r="CH15" s="24"/>
      <c r="CI15" s="24"/>
      <c r="CJ15" s="24"/>
      <c r="CK15" s="24"/>
      <c r="CL15" s="24"/>
      <c r="CM15" s="24"/>
      <c r="CN15" s="24"/>
      <c r="CO15" s="24"/>
      <c r="CP15" s="24"/>
      <c r="CQ15" s="24"/>
      <c r="CR15" s="24"/>
      <c r="CS15" s="24"/>
      <c r="CT15" s="24"/>
      <c r="CU15" s="24"/>
      <c r="CV15" s="24"/>
      <c r="CW15" s="24"/>
      <c r="CX15" s="24"/>
      <c r="CY15" s="24"/>
      <c r="CZ15" s="24"/>
      <c r="DA15" s="24"/>
      <c r="DB15" s="24"/>
      <c r="DC15" s="24"/>
      <c r="DD15" s="24"/>
      <c r="DE15" s="24"/>
      <c r="DF15" s="24"/>
      <c r="DG15" s="24"/>
      <c r="DH15" s="24"/>
      <c r="DI15" s="24"/>
      <c r="DJ15" s="24"/>
      <c r="DK15" s="24"/>
      <c r="DL15" s="24"/>
      <c r="DM15" s="24"/>
      <c r="DN15" s="24"/>
      <c r="DO15" s="24"/>
      <c r="DP15" s="24"/>
      <c r="DQ15" s="24"/>
      <c r="DR15" s="24"/>
      <c r="DS15" s="24"/>
      <c r="DT15" s="24"/>
      <c r="DU15" s="24"/>
      <c r="DV15" s="24"/>
      <c r="DW15" s="24"/>
      <c r="DX15" s="24"/>
      <c r="DY15" s="24"/>
      <c r="DZ15" s="24"/>
      <c r="EA15" s="24"/>
      <c r="EB15" s="24"/>
      <c r="EC15" s="24"/>
      <c r="ED15" s="24"/>
      <c r="EE15" s="24"/>
      <c r="EF15" s="24"/>
      <c r="EG15" s="24"/>
      <c r="EH15" s="24"/>
      <c r="EI15" s="24"/>
      <c r="EJ15" s="24"/>
      <c r="EK15" s="24"/>
      <c r="EL15" s="24"/>
      <c r="EM15" s="24"/>
      <c r="EN15" s="24"/>
      <c r="EO15" s="24"/>
      <c r="EP15" s="24"/>
      <c r="EQ15" s="24"/>
      <c r="ER15" s="24"/>
      <c r="ES15" s="24"/>
      <c r="ET15" s="24"/>
      <c r="EU15" s="24"/>
      <c r="EV15" s="24"/>
      <c r="EW15" s="24"/>
      <c r="EX15" s="24"/>
      <c r="EY15" s="24"/>
      <c r="EZ15" s="24"/>
      <c r="FA15" s="24"/>
      <c r="FB15" s="24"/>
      <c r="FC15" s="24"/>
      <c r="FD15" s="24"/>
      <c r="FE15" s="24"/>
      <c r="FF15" s="24"/>
      <c r="FG15" s="24"/>
      <c r="FH15" s="24"/>
      <c r="FI15" s="24"/>
      <c r="FJ15" s="24"/>
      <c r="FK15" s="24"/>
      <c r="FL15" s="24"/>
      <c r="FM15" s="24"/>
      <c r="FN15" s="24"/>
      <c r="FO15" s="24"/>
      <c r="FP15" s="24"/>
      <c r="FQ15" s="24"/>
      <c r="FR15" s="24"/>
      <c r="FS15" s="24"/>
      <c r="FT15" s="24"/>
      <c r="FU15" s="24"/>
      <c r="FV15" s="24"/>
      <c r="FW15" s="24"/>
      <c r="FX15" s="24"/>
      <c r="FY15" s="24"/>
      <c r="FZ15" s="24"/>
      <c r="GA15" s="24"/>
      <c r="GB15" s="24"/>
      <c r="GC15" s="24"/>
      <c r="GD15" s="24"/>
      <c r="GE15" s="24"/>
      <c r="GF15" s="24"/>
      <c r="GG15" s="24"/>
      <c r="GH15" s="24"/>
      <c r="GI15" s="24"/>
      <c r="GJ15" s="24"/>
      <c r="GK15" s="24"/>
      <c r="GL15" s="24"/>
      <c r="GM15" s="24"/>
      <c r="GN15" s="24"/>
      <c r="GO15" s="24"/>
      <c r="GP15" s="24"/>
      <c r="GQ15" s="24"/>
      <c r="GR15" s="24"/>
      <c r="GS15" s="24"/>
      <c r="GT15" s="24"/>
      <c r="GU15" s="24"/>
      <c r="GV15" s="24"/>
      <c r="GW15" s="24"/>
      <c r="GX15" s="24"/>
      <c r="GY15" s="24"/>
      <c r="GZ15" s="24"/>
      <c r="HA15" s="24"/>
      <c r="HB15" s="24"/>
      <c r="HC15" s="24"/>
      <c r="HD15" s="24"/>
      <c r="HE15" s="24"/>
      <c r="HF15" s="24"/>
      <c r="HG15" s="24"/>
      <c r="HH15" s="24"/>
      <c r="HI15" s="24"/>
      <c r="HJ15" s="24"/>
      <c r="HK15" s="24"/>
      <c r="HL15" s="24"/>
      <c r="HM15" s="24"/>
      <c r="HN15" s="24"/>
      <c r="HO15" s="24"/>
      <c r="HP15" s="24"/>
      <c r="HQ15" s="24"/>
      <c r="HR15" s="24"/>
      <c r="HS15" s="24"/>
      <c r="HT15" s="24"/>
      <c r="HU15" s="24"/>
      <c r="HV15" s="24"/>
      <c r="HW15" s="24"/>
      <c r="HX15" s="24"/>
      <c r="HY15" s="24"/>
      <c r="HZ15" s="24"/>
      <c r="IA15" s="24"/>
      <c r="IB15" s="24"/>
      <c r="IC15" s="24"/>
      <c r="ID15" s="24"/>
      <c r="IE15" s="24"/>
      <c r="IF15" s="24"/>
      <c r="IG15" s="24"/>
      <c r="IH15" s="24"/>
      <c r="II15" s="24"/>
      <c r="IJ15" s="24"/>
      <c r="IK15" s="24"/>
      <c r="IL15" s="24"/>
      <c r="IM15" s="24"/>
      <c r="IN15" s="24"/>
      <c r="IO15" s="24"/>
      <c r="IP15" s="24"/>
      <c r="IQ15" s="24"/>
      <c r="IR15" s="24"/>
      <c r="IS15" s="24"/>
      <c r="IT15" s="24"/>
      <c r="IU15" s="24"/>
      <c r="IV15" s="24"/>
      <c r="IW15" s="24"/>
      <c r="IX15" s="24"/>
      <c r="IY15" s="24"/>
      <c r="IZ15" s="24"/>
      <c r="JA15" s="24"/>
      <c r="JB15" s="24"/>
      <c r="JC15" s="24"/>
      <c r="JD15" s="24"/>
      <c r="JE15" s="24"/>
      <c r="JF15" s="24"/>
      <c r="JG15" s="24"/>
      <c r="JH15" s="24"/>
      <c r="JI15" s="24"/>
      <c r="JJ15" s="24"/>
      <c r="JK15" s="24"/>
      <c r="JL15" s="24"/>
      <c r="JM15" s="24"/>
      <c r="JN15" s="24"/>
      <c r="JO15" s="24"/>
      <c r="JP15" s="24"/>
      <c r="JQ15" s="24"/>
      <c r="JR15" s="24"/>
      <c r="JS15" s="24"/>
      <c r="JT15" s="24"/>
      <c r="JU15" s="24"/>
      <c r="JV15" s="24"/>
      <c r="JW15" s="24"/>
      <c r="JX15" s="24"/>
      <c r="JY15" s="24"/>
      <c r="JZ15" s="24"/>
      <c r="KA15" s="24"/>
      <c r="KB15" s="24"/>
      <c r="KC15" s="24"/>
      <c r="KD15" s="24"/>
      <c r="KE15" s="24"/>
      <c r="KF15" s="24"/>
      <c r="KG15" s="24"/>
      <c r="KH15" s="24"/>
      <c r="KI15" s="24"/>
      <c r="KJ15" s="24"/>
      <c r="KK15" s="24"/>
      <c r="KL15" s="24"/>
      <c r="KM15" s="24"/>
      <c r="KN15" s="24"/>
      <c r="KO15" s="24"/>
      <c r="KP15" s="24"/>
      <c r="KQ15" s="24"/>
      <c r="KR15" s="24"/>
      <c r="KS15" s="24"/>
      <c r="KT15" s="24"/>
      <c r="KU15" s="24"/>
      <c r="KV15" s="24"/>
      <c r="KW15" s="24"/>
      <c r="KX15" s="24"/>
      <c r="KY15" s="24"/>
      <c r="KZ15" s="24"/>
      <c r="LA15" s="24"/>
      <c r="LB15" s="24"/>
      <c r="LC15" s="24"/>
      <c r="LD15" s="24"/>
      <c r="LE15" s="24"/>
      <c r="LF15" s="24"/>
      <c r="LG15" s="24"/>
      <c r="LH15" s="24"/>
      <c r="LI15" s="24"/>
      <c r="LJ15" s="24"/>
      <c r="LK15" s="24"/>
      <c r="LL15" s="24"/>
      <c r="LM15" s="24"/>
      <c r="LN15" s="24"/>
      <c r="LO15" s="24"/>
      <c r="LP15" s="24"/>
      <c r="LQ15" s="24"/>
      <c r="LR15" s="24"/>
      <c r="LS15" s="24"/>
      <c r="LT15" s="24"/>
      <c r="LU15" s="24"/>
      <c r="LV15" s="24"/>
      <c r="LW15" s="24"/>
      <c r="LX15" s="24"/>
      <c r="LY15" s="24"/>
      <c r="LZ15" s="24"/>
      <c r="MA15" s="24"/>
      <c r="MB15" s="24"/>
      <c r="MC15" s="24"/>
      <c r="MD15" s="24"/>
      <c r="ME15" s="24"/>
      <c r="MF15" s="24"/>
      <c r="MG15" s="24"/>
      <c r="MH15" s="24"/>
      <c r="MI15" s="24"/>
      <c r="MJ15" s="24"/>
      <c r="MK15" s="24"/>
      <c r="ML15" s="24"/>
      <c r="MM15" s="24"/>
      <c r="MN15" s="24"/>
      <c r="MO15" s="24"/>
      <c r="MP15" s="24"/>
      <c r="MQ15" s="24"/>
      <c r="MR15" s="24"/>
      <c r="MS15" s="24"/>
      <c r="MT15" s="24"/>
      <c r="MU15" s="24"/>
      <c r="MV15" s="24"/>
      <c r="MW15" s="24"/>
      <c r="MX15" s="24"/>
      <c r="MY15" s="24"/>
      <c r="MZ15" s="24"/>
      <c r="NA15" s="24"/>
      <c r="NB15" s="24"/>
      <c r="NC15" s="24"/>
      <c r="ND15" s="24"/>
      <c r="NE15" s="24"/>
      <c r="NF15" s="24"/>
      <c r="NG15" s="24"/>
      <c r="NH15" s="24"/>
      <c r="NI15" s="24"/>
      <c r="NJ15" s="24"/>
      <c r="NK15" s="24"/>
      <c r="NL15" s="24"/>
      <c r="NM15" s="24"/>
      <c r="NN15" s="24"/>
      <c r="NO15" s="24"/>
      <c r="NP15" s="24"/>
      <c r="NQ15" s="24"/>
      <c r="NR15" s="24"/>
      <c r="NS15" s="24"/>
      <c r="NT15" s="24"/>
      <c r="NU15" s="24"/>
      <c r="NV15" s="24"/>
      <c r="NW15" s="24"/>
      <c r="NX15" s="24"/>
      <c r="NY15" s="24"/>
      <c r="NZ15" s="24"/>
      <c r="OA15" s="24"/>
      <c r="OB15" s="24"/>
      <c r="OC15" s="24"/>
      <c r="OD15" s="24"/>
      <c r="OE15" s="24"/>
      <c r="OF15" s="24"/>
      <c r="OG15" s="24"/>
      <c r="OH15" s="24"/>
      <c r="OI15" s="24"/>
      <c r="OJ15" s="24"/>
      <c r="OK15" s="24"/>
      <c r="OL15" s="24"/>
      <c r="OM15" s="24"/>
      <c r="ON15" s="24"/>
      <c r="OO15" s="24"/>
      <c r="OP15" s="24"/>
      <c r="OQ15" s="24"/>
      <c r="OR15" s="24"/>
      <c r="OS15" s="24"/>
      <c r="OT15" s="24"/>
      <c r="OU15" s="24"/>
      <c r="OV15" s="24"/>
      <c r="OW15" s="24"/>
      <c r="OX15" s="24"/>
      <c r="OY15" s="24"/>
      <c r="OZ15" s="24"/>
      <c r="PA15" s="24"/>
      <c r="PB15" s="24"/>
      <c r="PC15" s="24"/>
      <c r="PD15" s="24"/>
      <c r="PE15" s="24"/>
      <c r="PF15" s="24"/>
      <c r="PG15" s="24"/>
      <c r="PH15" s="24"/>
      <c r="PI15" s="24"/>
      <c r="PJ15" s="24"/>
      <c r="PK15" s="24"/>
      <c r="PL15" s="24"/>
      <c r="PM15" s="24"/>
      <c r="PN15" s="24"/>
      <c r="PO15" s="24"/>
      <c r="PP15" s="24"/>
      <c r="PQ15" s="24"/>
      <c r="PR15" s="24"/>
      <c r="PS15" s="24"/>
      <c r="PT15" s="24"/>
      <c r="PU15" s="24"/>
      <c r="PV15" s="24"/>
      <c r="PW15" s="24"/>
      <c r="PX15" s="24"/>
      <c r="PY15" s="24"/>
      <c r="PZ15" s="24"/>
      <c r="QA15" s="24"/>
      <c r="QB15" s="24"/>
      <c r="QC15" s="24"/>
      <c r="QD15" s="24"/>
      <c r="QE15" s="24"/>
      <c r="QF15" s="24"/>
      <c r="QG15" s="24"/>
      <c r="QH15" s="24"/>
      <c r="QI15" s="24"/>
      <c r="QJ15" s="24"/>
      <c r="QK15" s="24"/>
      <c r="QL15" s="24"/>
      <c r="QM15" s="24"/>
      <c r="QN15" s="24"/>
      <c r="QO15" s="24"/>
      <c r="QP15" s="24"/>
      <c r="QQ15" s="24"/>
      <c r="QR15" s="24"/>
      <c r="QS15" s="24"/>
      <c r="QT15" s="24"/>
      <c r="QU15" s="24"/>
      <c r="QV15" s="24"/>
      <c r="QW15" s="24"/>
      <c r="QX15" s="24"/>
      <c r="QY15" s="24"/>
      <c r="QZ15" s="24"/>
      <c r="RA15" s="24"/>
      <c r="RB15" s="24"/>
      <c r="RC15" s="24"/>
      <c r="RD15" s="24"/>
      <c r="RE15" s="24"/>
      <c r="RF15" s="24"/>
      <c r="RG15" s="24"/>
      <c r="RH15" s="24"/>
      <c r="RI15" s="24"/>
      <c r="RJ15" s="24"/>
      <c r="RK15" s="24"/>
      <c r="RL15" s="24"/>
      <c r="RM15" s="24"/>
      <c r="RN15" s="24"/>
      <c r="RO15" s="24"/>
      <c r="RP15" s="24"/>
      <c r="RQ15" s="24"/>
      <c r="RR15" s="24"/>
      <c r="RS15" s="24"/>
      <c r="RT15" s="24"/>
      <c r="RU15" s="24"/>
      <c r="RV15" s="24"/>
      <c r="RW15" s="24"/>
      <c r="RX15" s="24"/>
      <c r="RY15" s="24"/>
      <c r="RZ15" s="24"/>
      <c r="SA15" s="24"/>
      <c r="SB15" s="24"/>
      <c r="SC15" s="24"/>
      <c r="SD15" s="24"/>
      <c r="SE15" s="24"/>
      <c r="SF15" s="24"/>
      <c r="SG15" s="24"/>
      <c r="SH15" s="24"/>
      <c r="SI15" s="24"/>
      <c r="SJ15" s="24"/>
      <c r="SK15" s="24"/>
      <c r="SL15" s="24"/>
      <c r="SM15" s="24"/>
      <c r="SN15" s="24"/>
      <c r="SO15" s="24"/>
      <c r="SP15" s="24"/>
      <c r="SQ15" s="24"/>
      <c r="SR15" s="24"/>
      <c r="SS15" s="24"/>
      <c r="ST15" s="24"/>
      <c r="SU15" s="24"/>
      <c r="SV15" s="24"/>
      <c r="SW15" s="24"/>
      <c r="SX15" s="24"/>
      <c r="SY15" s="24"/>
      <c r="SZ15" s="24"/>
      <c r="TA15" s="24"/>
      <c r="TB15" s="24"/>
      <c r="TC15" s="24"/>
      <c r="TD15" s="24"/>
      <c r="TE15" s="24"/>
      <c r="TF15" s="24"/>
      <c r="TG15" s="24"/>
      <c r="TH15" s="24"/>
      <c r="TI15" s="24"/>
      <c r="TJ15" s="24"/>
      <c r="TK15" s="24"/>
      <c r="TL15" s="24"/>
      <c r="TM15" s="24"/>
      <c r="TN15" s="24"/>
      <c r="TO15" s="24"/>
      <c r="TP15" s="24"/>
      <c r="TQ15" s="24"/>
      <c r="TR15" s="24"/>
      <c r="TS15" s="24"/>
      <c r="TT15" s="24"/>
      <c r="TU15" s="24"/>
      <c r="TV15" s="24"/>
      <c r="TW15" s="24"/>
      <c r="TX15" s="24"/>
      <c r="TY15" s="24"/>
      <c r="TZ15" s="24"/>
      <c r="UA15" s="24"/>
      <c r="UB15" s="24"/>
      <c r="UC15" s="24"/>
      <c r="UD15" s="24"/>
      <c r="UE15" s="24"/>
      <c r="UF15" s="24"/>
      <c r="UG15" s="24"/>
      <c r="UH15" s="24"/>
      <c r="UI15" s="24"/>
      <c r="UJ15" s="24"/>
      <c r="UK15" s="24"/>
      <c r="UL15" s="24"/>
      <c r="UM15" s="24"/>
      <c r="UN15" s="24"/>
      <c r="UO15" s="24"/>
      <c r="UP15" s="24"/>
      <c r="UQ15" s="24"/>
      <c r="UR15" s="24"/>
      <c r="US15" s="24"/>
      <c r="UT15" s="24"/>
      <c r="UU15" s="24"/>
      <c r="UV15" s="24"/>
      <c r="UW15" s="24"/>
      <c r="UX15" s="24"/>
      <c r="UY15" s="24"/>
      <c r="UZ15" s="24"/>
      <c r="VA15" s="24"/>
      <c r="VB15" s="24"/>
      <c r="VC15" s="24"/>
      <c r="VD15" s="24"/>
      <c r="VE15" s="24"/>
      <c r="VF15" s="24"/>
      <c r="VG15" s="24"/>
      <c r="VH15" s="24"/>
      <c r="VI15" s="24"/>
      <c r="VJ15" s="24"/>
      <c r="VK15" s="24"/>
      <c r="VL15" s="24"/>
      <c r="VM15" s="24"/>
      <c r="VN15" s="24"/>
      <c r="VO15" s="24"/>
      <c r="VP15" s="24"/>
      <c r="VQ15" s="24"/>
      <c r="VR15" s="24"/>
      <c r="VS15" s="24"/>
      <c r="VT15" s="24"/>
      <c r="VU15" s="24"/>
      <c r="VV15" s="24"/>
      <c r="VW15" s="24"/>
      <c r="VX15" s="24"/>
      <c r="VY15" s="24"/>
      <c r="VZ15" s="24"/>
      <c r="WA15" s="24"/>
      <c r="WB15" s="24"/>
      <c r="WC15" s="24"/>
      <c r="WD15" s="24"/>
      <c r="WE15" s="24"/>
    </row>
    <row r="16" spans="1:603" s="11" customFormat="1" ht="17.399999999999999" customHeight="1" thickBot="1" x14ac:dyDescent="0.35">
      <c r="A16" s="12" t="s">
        <v>62</v>
      </c>
      <c r="B16" s="28"/>
      <c r="C16" s="28"/>
      <c r="D16" s="22" t="s">
        <v>82</v>
      </c>
      <c r="E16" s="22" t="s">
        <v>72</v>
      </c>
      <c r="F16" s="57" t="s">
        <v>3</v>
      </c>
      <c r="G16" s="29"/>
      <c r="H16" s="29"/>
      <c r="I16" s="29"/>
      <c r="J16" s="29"/>
      <c r="K16" s="29"/>
      <c r="L16" s="29"/>
      <c r="M16" s="29"/>
      <c r="N16" s="29"/>
      <c r="O16" s="29"/>
      <c r="P16" s="29"/>
      <c r="Q16" s="29"/>
      <c r="R16" s="29"/>
      <c r="S16" s="29"/>
      <c r="T16" s="29"/>
      <c r="U16" s="30"/>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c r="BM16" s="24"/>
      <c r="BN16" s="24"/>
      <c r="BO16" s="24"/>
      <c r="BP16" s="24"/>
      <c r="BQ16" s="24"/>
      <c r="BR16" s="24"/>
      <c r="BS16" s="24"/>
      <c r="BT16" s="24"/>
      <c r="BU16" s="24"/>
      <c r="BV16" s="24"/>
      <c r="BW16" s="24"/>
      <c r="BX16" s="24"/>
      <c r="BY16" s="24"/>
      <c r="BZ16" s="24"/>
      <c r="CA16" s="24"/>
      <c r="CB16" s="24"/>
      <c r="CC16" s="24"/>
      <c r="CD16" s="24"/>
      <c r="CE16" s="24"/>
      <c r="CF16" s="24"/>
      <c r="CG16" s="24"/>
      <c r="CH16" s="24"/>
      <c r="CI16" s="24"/>
      <c r="CJ16" s="24"/>
      <c r="CK16" s="24"/>
      <c r="CL16" s="24"/>
      <c r="CM16" s="24"/>
      <c r="CN16" s="24"/>
      <c r="CO16" s="24"/>
      <c r="CP16" s="24"/>
      <c r="CQ16" s="24"/>
      <c r="CR16" s="24"/>
      <c r="CS16" s="24"/>
      <c r="CT16" s="24"/>
      <c r="CU16" s="24"/>
      <c r="CV16" s="24"/>
      <c r="CW16" s="24"/>
      <c r="CX16" s="24"/>
      <c r="CY16" s="24"/>
      <c r="CZ16" s="24"/>
      <c r="DA16" s="24"/>
      <c r="DB16" s="24"/>
      <c r="DC16" s="24"/>
      <c r="DD16" s="24"/>
      <c r="DE16" s="24"/>
      <c r="DF16" s="24"/>
      <c r="DG16" s="24"/>
      <c r="DH16" s="24"/>
      <c r="DI16" s="24"/>
      <c r="DJ16" s="24"/>
      <c r="DK16" s="24"/>
      <c r="DL16" s="24"/>
      <c r="DM16" s="24"/>
      <c r="DN16" s="24"/>
      <c r="DO16" s="24"/>
      <c r="DP16" s="24"/>
      <c r="DQ16" s="24"/>
      <c r="DR16" s="24"/>
      <c r="DS16" s="24"/>
      <c r="DT16" s="24"/>
      <c r="DU16" s="24"/>
      <c r="DV16" s="24"/>
      <c r="DW16" s="24"/>
      <c r="DX16" s="24"/>
      <c r="DY16" s="24"/>
      <c r="DZ16" s="24"/>
      <c r="EA16" s="24"/>
      <c r="EB16" s="24"/>
      <c r="EC16" s="24"/>
      <c r="ED16" s="24"/>
      <c r="EE16" s="24"/>
      <c r="EF16" s="24"/>
      <c r="EG16" s="24"/>
      <c r="EH16" s="24"/>
      <c r="EI16" s="24"/>
      <c r="EJ16" s="24"/>
      <c r="EK16" s="24"/>
      <c r="EL16" s="24"/>
      <c r="EM16" s="24"/>
      <c r="EN16" s="24"/>
      <c r="EO16" s="24"/>
      <c r="EP16" s="24"/>
      <c r="EQ16" s="24"/>
      <c r="ER16" s="24"/>
      <c r="ES16" s="24"/>
      <c r="ET16" s="24"/>
      <c r="EU16" s="24"/>
      <c r="EV16" s="24"/>
      <c r="EW16" s="24"/>
      <c r="EX16" s="24"/>
      <c r="EY16" s="24"/>
      <c r="EZ16" s="24"/>
      <c r="FA16" s="24"/>
      <c r="FB16" s="24"/>
      <c r="FC16" s="24"/>
      <c r="FD16" s="24"/>
      <c r="FE16" s="24"/>
      <c r="FF16" s="24"/>
      <c r="FG16" s="24"/>
      <c r="FH16" s="24"/>
      <c r="FI16" s="24"/>
      <c r="FJ16" s="24"/>
      <c r="FK16" s="24"/>
      <c r="FL16" s="24"/>
      <c r="FM16" s="24"/>
      <c r="FN16" s="24"/>
      <c r="FO16" s="24"/>
      <c r="FP16" s="24"/>
      <c r="FQ16" s="24"/>
      <c r="FR16" s="24"/>
      <c r="FS16" s="24"/>
      <c r="FT16" s="24"/>
      <c r="FU16" s="24"/>
      <c r="FV16" s="24"/>
      <c r="FW16" s="24"/>
      <c r="FX16" s="24"/>
      <c r="FY16" s="24"/>
      <c r="FZ16" s="24"/>
      <c r="GA16" s="24"/>
      <c r="GB16" s="24"/>
      <c r="GC16" s="24"/>
      <c r="GD16" s="24"/>
      <c r="GE16" s="24"/>
      <c r="GF16" s="24"/>
      <c r="GG16" s="24"/>
      <c r="GH16" s="24"/>
      <c r="GI16" s="24"/>
      <c r="GJ16" s="24"/>
      <c r="GK16" s="24"/>
      <c r="GL16" s="24"/>
      <c r="GM16" s="24"/>
      <c r="GN16" s="24"/>
      <c r="GO16" s="24"/>
      <c r="GP16" s="24"/>
      <c r="GQ16" s="24"/>
      <c r="GR16" s="24"/>
      <c r="GS16" s="24"/>
      <c r="GT16" s="24"/>
      <c r="GU16" s="24"/>
      <c r="GV16" s="24"/>
      <c r="GW16" s="24"/>
      <c r="GX16" s="24"/>
      <c r="GY16" s="24"/>
      <c r="GZ16" s="24"/>
      <c r="HA16" s="24"/>
      <c r="HB16" s="24"/>
      <c r="HC16" s="24"/>
      <c r="HD16" s="24"/>
      <c r="HE16" s="24"/>
      <c r="HF16" s="24"/>
      <c r="HG16" s="24"/>
      <c r="HH16" s="24"/>
      <c r="HI16" s="24"/>
      <c r="HJ16" s="24"/>
      <c r="HK16" s="24"/>
      <c r="HL16" s="24"/>
      <c r="HM16" s="24"/>
      <c r="HN16" s="24"/>
      <c r="HO16" s="24"/>
      <c r="HP16" s="24"/>
      <c r="HQ16" s="24"/>
      <c r="HR16" s="24"/>
      <c r="HS16" s="24"/>
      <c r="HT16" s="24"/>
      <c r="HU16" s="24"/>
      <c r="HV16" s="24"/>
      <c r="HW16" s="24"/>
      <c r="HX16" s="24"/>
      <c r="HY16" s="24"/>
      <c r="HZ16" s="24"/>
      <c r="IA16" s="24"/>
      <c r="IB16" s="24"/>
      <c r="IC16" s="24"/>
      <c r="ID16" s="24"/>
      <c r="IE16" s="24"/>
      <c r="IF16" s="24"/>
      <c r="IG16" s="24"/>
      <c r="IH16" s="24"/>
      <c r="II16" s="24"/>
      <c r="IJ16" s="24"/>
      <c r="IK16" s="24"/>
      <c r="IL16" s="24"/>
      <c r="IM16" s="24"/>
      <c r="IN16" s="24"/>
      <c r="IO16" s="24"/>
      <c r="IP16" s="24"/>
      <c r="IQ16" s="24"/>
      <c r="IR16" s="24"/>
      <c r="IS16" s="24"/>
      <c r="IT16" s="24"/>
      <c r="IU16" s="24"/>
      <c r="IV16" s="24"/>
      <c r="IW16" s="24"/>
      <c r="IX16" s="24"/>
      <c r="IY16" s="24"/>
      <c r="IZ16" s="24"/>
      <c r="JA16" s="24"/>
      <c r="JB16" s="24"/>
      <c r="JC16" s="24"/>
      <c r="JD16" s="24"/>
      <c r="JE16" s="24"/>
      <c r="JF16" s="24"/>
      <c r="JG16" s="24"/>
      <c r="JH16" s="24"/>
      <c r="JI16" s="24"/>
      <c r="JJ16" s="24"/>
      <c r="JK16" s="24"/>
      <c r="JL16" s="24"/>
      <c r="JM16" s="24"/>
      <c r="JN16" s="24"/>
      <c r="JO16" s="24"/>
      <c r="JP16" s="24"/>
      <c r="JQ16" s="24"/>
      <c r="JR16" s="24"/>
      <c r="JS16" s="24"/>
      <c r="JT16" s="24"/>
      <c r="JU16" s="24"/>
      <c r="JV16" s="24"/>
      <c r="JW16" s="24"/>
      <c r="JX16" s="24"/>
      <c r="JY16" s="24"/>
      <c r="JZ16" s="24"/>
      <c r="KA16" s="24"/>
      <c r="KB16" s="24"/>
      <c r="KC16" s="24"/>
      <c r="KD16" s="24"/>
      <c r="KE16" s="24"/>
      <c r="KF16" s="24"/>
      <c r="KG16" s="24"/>
      <c r="KH16" s="24"/>
      <c r="KI16" s="24"/>
      <c r="KJ16" s="24"/>
      <c r="KK16" s="24"/>
      <c r="KL16" s="24"/>
      <c r="KM16" s="24"/>
      <c r="KN16" s="24"/>
      <c r="KO16" s="24"/>
      <c r="KP16" s="24"/>
      <c r="KQ16" s="24"/>
      <c r="KR16" s="24"/>
      <c r="KS16" s="24"/>
      <c r="KT16" s="24"/>
      <c r="KU16" s="24"/>
      <c r="KV16" s="24"/>
      <c r="KW16" s="24"/>
      <c r="KX16" s="24"/>
      <c r="KY16" s="24"/>
      <c r="KZ16" s="24"/>
      <c r="LA16" s="24"/>
      <c r="LB16" s="24"/>
      <c r="LC16" s="24"/>
      <c r="LD16" s="24"/>
      <c r="LE16" s="24"/>
      <c r="LF16" s="24"/>
      <c r="LG16" s="24"/>
      <c r="LH16" s="24"/>
      <c r="LI16" s="24"/>
      <c r="LJ16" s="24"/>
      <c r="LK16" s="24"/>
      <c r="LL16" s="24"/>
      <c r="LM16" s="24"/>
      <c r="LN16" s="24"/>
      <c r="LO16" s="24"/>
      <c r="LP16" s="24"/>
      <c r="LQ16" s="24"/>
      <c r="LR16" s="24"/>
      <c r="LS16" s="24"/>
      <c r="LT16" s="24"/>
      <c r="LU16" s="24"/>
      <c r="LV16" s="24"/>
      <c r="LW16" s="24"/>
      <c r="LX16" s="24"/>
      <c r="LY16" s="24"/>
      <c r="LZ16" s="24"/>
      <c r="MA16" s="24"/>
      <c r="MB16" s="24"/>
      <c r="MC16" s="24"/>
      <c r="MD16" s="24"/>
      <c r="ME16" s="24"/>
      <c r="MF16" s="24"/>
      <c r="MG16" s="24"/>
      <c r="MH16" s="24"/>
      <c r="MI16" s="24"/>
      <c r="MJ16" s="24"/>
      <c r="MK16" s="24"/>
      <c r="ML16" s="24"/>
      <c r="MM16" s="24"/>
      <c r="MN16" s="24"/>
      <c r="MO16" s="24"/>
      <c r="MP16" s="24"/>
      <c r="MQ16" s="24"/>
      <c r="MR16" s="24"/>
      <c r="MS16" s="24"/>
      <c r="MT16" s="24"/>
      <c r="MU16" s="24"/>
      <c r="MV16" s="24"/>
      <c r="MW16" s="24"/>
      <c r="MX16" s="24"/>
      <c r="MY16" s="24"/>
      <c r="MZ16" s="24"/>
      <c r="NA16" s="24"/>
      <c r="NB16" s="24"/>
      <c r="NC16" s="24"/>
      <c r="ND16" s="24"/>
      <c r="NE16" s="24"/>
      <c r="NF16" s="24"/>
      <c r="NG16" s="24"/>
      <c r="NH16" s="24"/>
      <c r="NI16" s="24"/>
      <c r="NJ16" s="24"/>
      <c r="NK16" s="24"/>
      <c r="NL16" s="24"/>
      <c r="NM16" s="24"/>
      <c r="NN16" s="24"/>
      <c r="NO16" s="24"/>
      <c r="NP16" s="24"/>
      <c r="NQ16" s="24"/>
      <c r="NR16" s="24"/>
      <c r="NS16" s="24"/>
      <c r="NT16" s="24"/>
      <c r="NU16" s="24"/>
      <c r="NV16" s="24"/>
      <c r="NW16" s="24"/>
      <c r="NX16" s="24"/>
      <c r="NY16" s="24"/>
      <c r="NZ16" s="24"/>
      <c r="OA16" s="24"/>
      <c r="OB16" s="24"/>
      <c r="OC16" s="24"/>
      <c r="OD16" s="24"/>
      <c r="OE16" s="24"/>
      <c r="OF16" s="24"/>
      <c r="OG16" s="24"/>
      <c r="OH16" s="24"/>
      <c r="OI16" s="24"/>
      <c r="OJ16" s="24"/>
      <c r="OK16" s="24"/>
      <c r="OL16" s="24"/>
      <c r="OM16" s="24"/>
      <c r="ON16" s="24"/>
      <c r="OO16" s="24"/>
      <c r="OP16" s="24"/>
      <c r="OQ16" s="24"/>
      <c r="OR16" s="24"/>
      <c r="OS16" s="24"/>
      <c r="OT16" s="24"/>
      <c r="OU16" s="24"/>
      <c r="OV16" s="24"/>
      <c r="OW16" s="24"/>
      <c r="OX16" s="24"/>
      <c r="OY16" s="24"/>
      <c r="OZ16" s="24"/>
      <c r="PA16" s="24"/>
      <c r="PB16" s="24"/>
      <c r="PC16" s="24"/>
      <c r="PD16" s="24"/>
      <c r="PE16" s="24"/>
      <c r="PF16" s="24"/>
      <c r="PG16" s="24"/>
      <c r="PH16" s="24"/>
      <c r="PI16" s="24"/>
      <c r="PJ16" s="24"/>
      <c r="PK16" s="24"/>
      <c r="PL16" s="24"/>
      <c r="PM16" s="24"/>
      <c r="PN16" s="24"/>
      <c r="PO16" s="24"/>
      <c r="PP16" s="24"/>
      <c r="PQ16" s="24"/>
      <c r="PR16" s="24"/>
      <c r="PS16" s="24"/>
      <c r="PT16" s="24"/>
      <c r="PU16" s="24"/>
      <c r="PV16" s="24"/>
      <c r="PW16" s="24"/>
      <c r="PX16" s="24"/>
      <c r="PY16" s="24"/>
      <c r="PZ16" s="24"/>
      <c r="QA16" s="24"/>
      <c r="QB16" s="24"/>
      <c r="QC16" s="24"/>
      <c r="QD16" s="24"/>
      <c r="QE16" s="24"/>
      <c r="QF16" s="24"/>
      <c r="QG16" s="24"/>
      <c r="QH16" s="24"/>
      <c r="QI16" s="24"/>
      <c r="QJ16" s="24"/>
      <c r="QK16" s="24"/>
      <c r="QL16" s="24"/>
      <c r="QM16" s="24"/>
      <c r="QN16" s="24"/>
      <c r="QO16" s="24"/>
      <c r="QP16" s="24"/>
      <c r="QQ16" s="24"/>
      <c r="QR16" s="24"/>
      <c r="QS16" s="24"/>
      <c r="QT16" s="24"/>
      <c r="QU16" s="24"/>
      <c r="QV16" s="24"/>
      <c r="QW16" s="24"/>
      <c r="QX16" s="24"/>
      <c r="QY16" s="24"/>
      <c r="QZ16" s="24"/>
      <c r="RA16" s="24"/>
      <c r="RB16" s="24"/>
      <c r="RC16" s="24"/>
      <c r="RD16" s="24"/>
      <c r="RE16" s="24"/>
      <c r="RF16" s="24"/>
      <c r="RG16" s="24"/>
      <c r="RH16" s="24"/>
      <c r="RI16" s="24"/>
      <c r="RJ16" s="24"/>
      <c r="RK16" s="24"/>
      <c r="RL16" s="24"/>
      <c r="RM16" s="24"/>
      <c r="RN16" s="24"/>
      <c r="RO16" s="24"/>
      <c r="RP16" s="24"/>
      <c r="RQ16" s="24"/>
      <c r="RR16" s="24"/>
      <c r="RS16" s="24"/>
      <c r="RT16" s="24"/>
      <c r="RU16" s="24"/>
      <c r="RV16" s="24"/>
      <c r="RW16" s="24"/>
      <c r="RX16" s="24"/>
      <c r="RY16" s="24"/>
      <c r="RZ16" s="24"/>
      <c r="SA16" s="24"/>
      <c r="SB16" s="24"/>
      <c r="SC16" s="24"/>
      <c r="SD16" s="24"/>
      <c r="SE16" s="24"/>
      <c r="SF16" s="24"/>
      <c r="SG16" s="24"/>
      <c r="SH16" s="24"/>
      <c r="SI16" s="24"/>
      <c r="SJ16" s="24"/>
      <c r="SK16" s="24"/>
      <c r="SL16" s="24"/>
      <c r="SM16" s="24"/>
      <c r="SN16" s="24"/>
      <c r="SO16" s="24"/>
      <c r="SP16" s="24"/>
      <c r="SQ16" s="24"/>
      <c r="SR16" s="24"/>
      <c r="SS16" s="24"/>
      <c r="ST16" s="24"/>
      <c r="SU16" s="24"/>
      <c r="SV16" s="24"/>
      <c r="SW16" s="24"/>
      <c r="SX16" s="24"/>
      <c r="SY16" s="24"/>
      <c r="SZ16" s="24"/>
      <c r="TA16" s="24"/>
      <c r="TB16" s="24"/>
      <c r="TC16" s="24"/>
      <c r="TD16" s="24"/>
      <c r="TE16" s="24"/>
      <c r="TF16" s="24"/>
      <c r="TG16" s="24"/>
      <c r="TH16" s="24"/>
      <c r="TI16" s="24"/>
      <c r="TJ16" s="24"/>
      <c r="TK16" s="24"/>
      <c r="TL16" s="24"/>
      <c r="TM16" s="24"/>
      <c r="TN16" s="24"/>
      <c r="TO16" s="24"/>
      <c r="TP16" s="24"/>
      <c r="TQ16" s="24"/>
      <c r="TR16" s="24"/>
      <c r="TS16" s="24"/>
      <c r="TT16" s="24"/>
      <c r="TU16" s="24"/>
      <c r="TV16" s="24"/>
      <c r="TW16" s="24"/>
      <c r="TX16" s="24"/>
      <c r="TY16" s="24"/>
      <c r="TZ16" s="24"/>
      <c r="UA16" s="24"/>
      <c r="UB16" s="24"/>
      <c r="UC16" s="24"/>
      <c r="UD16" s="24"/>
      <c r="UE16" s="24"/>
      <c r="UF16" s="24"/>
      <c r="UG16" s="24"/>
      <c r="UH16" s="24"/>
      <c r="UI16" s="24"/>
      <c r="UJ16" s="24"/>
      <c r="UK16" s="24"/>
      <c r="UL16" s="24"/>
      <c r="UM16" s="24"/>
      <c r="UN16" s="24"/>
      <c r="UO16" s="24"/>
      <c r="UP16" s="24"/>
      <c r="UQ16" s="24"/>
      <c r="UR16" s="24"/>
      <c r="US16" s="24"/>
      <c r="UT16" s="24"/>
      <c r="UU16" s="24"/>
      <c r="UV16" s="24"/>
      <c r="UW16" s="24"/>
      <c r="UX16" s="24"/>
      <c r="UY16" s="24"/>
      <c r="UZ16" s="24"/>
      <c r="VA16" s="24"/>
      <c r="VB16" s="24"/>
      <c r="VC16" s="24"/>
      <c r="VD16" s="24"/>
      <c r="VE16" s="24"/>
      <c r="VF16" s="24"/>
      <c r="VG16" s="24"/>
      <c r="VH16" s="24"/>
      <c r="VI16" s="24"/>
      <c r="VJ16" s="24"/>
      <c r="VK16" s="24"/>
      <c r="VL16" s="24"/>
      <c r="VM16" s="24"/>
      <c r="VN16" s="24"/>
      <c r="VO16" s="24"/>
      <c r="VP16" s="24"/>
      <c r="VQ16" s="24"/>
      <c r="VR16" s="24"/>
      <c r="VS16" s="24"/>
      <c r="VT16" s="24"/>
      <c r="VU16" s="24"/>
      <c r="VV16" s="24"/>
      <c r="VW16" s="24"/>
      <c r="VX16" s="24"/>
      <c r="VY16" s="24"/>
      <c r="VZ16" s="24"/>
      <c r="WA16" s="24"/>
      <c r="WB16" s="24"/>
      <c r="WC16" s="24"/>
      <c r="WD16" s="24"/>
      <c r="WE16" s="24"/>
    </row>
    <row r="17" spans="1:603" s="11" customFormat="1" ht="15.75" customHeight="1" x14ac:dyDescent="0.3">
      <c r="A17" s="153" t="s">
        <v>63</v>
      </c>
      <c r="B17" s="154"/>
      <c r="C17" s="154"/>
      <c r="D17" s="69">
        <f>D29+E41-D32-E43</f>
        <v>0</v>
      </c>
      <c r="E17" s="69">
        <f>+U29-U32</f>
        <v>0</v>
      </c>
      <c r="F17" s="70">
        <f>+E17+D17</f>
        <v>0</v>
      </c>
      <c r="G17" s="24"/>
      <c r="H17" s="184" t="s">
        <v>66</v>
      </c>
      <c r="I17" s="184"/>
      <c r="J17" s="184"/>
      <c r="K17" s="184"/>
      <c r="L17" s="185" t="s">
        <v>81</v>
      </c>
      <c r="M17" s="186"/>
      <c r="N17" s="187"/>
      <c r="O17" s="188" t="s">
        <v>72</v>
      </c>
      <c r="P17" s="189"/>
      <c r="Q17" s="190"/>
      <c r="R17" s="54" t="s">
        <v>3</v>
      </c>
      <c r="S17" s="24"/>
      <c r="T17" s="24"/>
      <c r="U17" s="31"/>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c r="BM17" s="24"/>
      <c r="BN17" s="24"/>
      <c r="BO17" s="24"/>
      <c r="BP17" s="24"/>
      <c r="BQ17" s="24"/>
      <c r="BR17" s="24"/>
      <c r="BS17" s="24"/>
      <c r="BT17" s="24"/>
      <c r="BU17" s="24"/>
      <c r="BV17" s="24"/>
      <c r="BW17" s="24"/>
      <c r="BX17" s="24"/>
      <c r="BY17" s="24"/>
      <c r="BZ17" s="24"/>
      <c r="CA17" s="24"/>
      <c r="CB17" s="24"/>
      <c r="CC17" s="24"/>
      <c r="CD17" s="24"/>
      <c r="CE17" s="24"/>
      <c r="CF17" s="24"/>
      <c r="CG17" s="24"/>
      <c r="CH17" s="24"/>
      <c r="CI17" s="24"/>
      <c r="CJ17" s="24"/>
      <c r="CK17" s="24"/>
      <c r="CL17" s="24"/>
      <c r="CM17" s="24"/>
      <c r="CN17" s="24"/>
      <c r="CO17" s="24"/>
      <c r="CP17" s="24"/>
      <c r="CQ17" s="24"/>
      <c r="CR17" s="24"/>
      <c r="CS17" s="24"/>
      <c r="CT17" s="24"/>
      <c r="CU17" s="24"/>
      <c r="CV17" s="24"/>
      <c r="CW17" s="24"/>
      <c r="CX17" s="24"/>
      <c r="CY17" s="24"/>
      <c r="CZ17" s="24"/>
      <c r="DA17" s="24"/>
      <c r="DB17" s="24"/>
      <c r="DC17" s="24"/>
      <c r="DD17" s="24"/>
      <c r="DE17" s="24"/>
      <c r="DF17" s="24"/>
      <c r="DG17" s="24"/>
      <c r="DH17" s="24"/>
      <c r="DI17" s="24"/>
      <c r="DJ17" s="24"/>
      <c r="DK17" s="24"/>
      <c r="DL17" s="24"/>
      <c r="DM17" s="24"/>
      <c r="DN17" s="24"/>
      <c r="DO17" s="24"/>
      <c r="DP17" s="24"/>
      <c r="DQ17" s="24"/>
      <c r="DR17" s="24"/>
      <c r="DS17" s="24"/>
      <c r="DT17" s="24"/>
      <c r="DU17" s="24"/>
      <c r="DV17" s="24"/>
      <c r="DW17" s="24"/>
      <c r="DX17" s="24"/>
      <c r="DY17" s="24"/>
      <c r="DZ17" s="24"/>
      <c r="EA17" s="24"/>
      <c r="EB17" s="24"/>
      <c r="EC17" s="24"/>
      <c r="ED17" s="24"/>
      <c r="EE17" s="24"/>
      <c r="EF17" s="24"/>
      <c r="EG17" s="24"/>
      <c r="EH17" s="24"/>
      <c r="EI17" s="24"/>
      <c r="EJ17" s="24"/>
      <c r="EK17" s="24"/>
      <c r="EL17" s="24"/>
      <c r="EM17" s="24"/>
      <c r="EN17" s="24"/>
      <c r="EO17" s="24"/>
      <c r="EP17" s="24"/>
      <c r="EQ17" s="24"/>
      <c r="ER17" s="24"/>
      <c r="ES17" s="24"/>
      <c r="ET17" s="24"/>
      <c r="EU17" s="24"/>
      <c r="EV17" s="24"/>
      <c r="EW17" s="24"/>
      <c r="EX17" s="24"/>
      <c r="EY17" s="24"/>
      <c r="EZ17" s="24"/>
      <c r="FA17" s="24"/>
      <c r="FB17" s="24"/>
      <c r="FC17" s="24"/>
      <c r="FD17" s="24"/>
      <c r="FE17" s="24"/>
      <c r="FF17" s="24"/>
      <c r="FG17" s="24"/>
      <c r="FH17" s="24"/>
      <c r="FI17" s="24"/>
      <c r="FJ17" s="24"/>
      <c r="FK17" s="24"/>
      <c r="FL17" s="24"/>
      <c r="FM17" s="24"/>
      <c r="FN17" s="24"/>
      <c r="FO17" s="24"/>
      <c r="FP17" s="24"/>
      <c r="FQ17" s="24"/>
      <c r="FR17" s="24"/>
      <c r="FS17" s="24"/>
      <c r="FT17" s="24"/>
      <c r="FU17" s="24"/>
      <c r="FV17" s="24"/>
      <c r="FW17" s="24"/>
      <c r="FX17" s="24"/>
      <c r="FY17" s="24"/>
      <c r="FZ17" s="24"/>
      <c r="GA17" s="24"/>
      <c r="GB17" s="24"/>
      <c r="GC17" s="24"/>
      <c r="GD17" s="24"/>
      <c r="GE17" s="24"/>
      <c r="GF17" s="24"/>
      <c r="GG17" s="24"/>
      <c r="GH17" s="24"/>
      <c r="GI17" s="24"/>
      <c r="GJ17" s="24"/>
      <c r="GK17" s="24"/>
      <c r="GL17" s="24"/>
      <c r="GM17" s="24"/>
      <c r="GN17" s="24"/>
      <c r="GO17" s="24"/>
      <c r="GP17" s="24"/>
      <c r="GQ17" s="24"/>
      <c r="GR17" s="24"/>
      <c r="GS17" s="24"/>
      <c r="GT17" s="24"/>
      <c r="GU17" s="24"/>
      <c r="GV17" s="24"/>
      <c r="GW17" s="24"/>
      <c r="GX17" s="24"/>
      <c r="GY17" s="24"/>
      <c r="GZ17" s="24"/>
      <c r="HA17" s="24"/>
      <c r="HB17" s="24"/>
      <c r="HC17" s="24"/>
      <c r="HD17" s="24"/>
      <c r="HE17" s="24"/>
      <c r="HF17" s="24"/>
      <c r="HG17" s="24"/>
      <c r="HH17" s="24"/>
      <c r="HI17" s="24"/>
      <c r="HJ17" s="24"/>
      <c r="HK17" s="24"/>
      <c r="HL17" s="24"/>
      <c r="HM17" s="24"/>
      <c r="HN17" s="24"/>
      <c r="HO17" s="24"/>
      <c r="HP17" s="24"/>
      <c r="HQ17" s="24"/>
      <c r="HR17" s="24"/>
      <c r="HS17" s="24"/>
      <c r="HT17" s="24"/>
      <c r="HU17" s="24"/>
      <c r="HV17" s="24"/>
      <c r="HW17" s="24"/>
      <c r="HX17" s="24"/>
      <c r="HY17" s="24"/>
      <c r="HZ17" s="24"/>
      <c r="IA17" s="24"/>
      <c r="IB17" s="24"/>
      <c r="IC17" s="24"/>
      <c r="ID17" s="24"/>
      <c r="IE17" s="24"/>
      <c r="IF17" s="24"/>
      <c r="IG17" s="24"/>
      <c r="IH17" s="24"/>
      <c r="II17" s="24"/>
      <c r="IJ17" s="24"/>
      <c r="IK17" s="24"/>
      <c r="IL17" s="24"/>
      <c r="IM17" s="24"/>
      <c r="IN17" s="24"/>
      <c r="IO17" s="24"/>
      <c r="IP17" s="24"/>
      <c r="IQ17" s="24"/>
      <c r="IR17" s="24"/>
      <c r="IS17" s="24"/>
      <c r="IT17" s="24"/>
      <c r="IU17" s="24"/>
      <c r="IV17" s="24"/>
      <c r="IW17" s="24"/>
      <c r="IX17" s="24"/>
      <c r="IY17" s="24"/>
      <c r="IZ17" s="24"/>
      <c r="JA17" s="24"/>
      <c r="JB17" s="24"/>
      <c r="JC17" s="24"/>
      <c r="JD17" s="24"/>
      <c r="JE17" s="24"/>
      <c r="JF17" s="24"/>
      <c r="JG17" s="24"/>
      <c r="JH17" s="24"/>
      <c r="JI17" s="24"/>
      <c r="JJ17" s="24"/>
      <c r="JK17" s="24"/>
      <c r="JL17" s="24"/>
      <c r="JM17" s="24"/>
      <c r="JN17" s="24"/>
      <c r="JO17" s="24"/>
      <c r="JP17" s="24"/>
      <c r="JQ17" s="24"/>
      <c r="JR17" s="24"/>
      <c r="JS17" s="24"/>
      <c r="JT17" s="24"/>
      <c r="JU17" s="24"/>
      <c r="JV17" s="24"/>
      <c r="JW17" s="24"/>
      <c r="JX17" s="24"/>
      <c r="JY17" s="24"/>
      <c r="JZ17" s="24"/>
      <c r="KA17" s="24"/>
      <c r="KB17" s="24"/>
      <c r="KC17" s="24"/>
      <c r="KD17" s="24"/>
      <c r="KE17" s="24"/>
      <c r="KF17" s="24"/>
      <c r="KG17" s="24"/>
      <c r="KH17" s="24"/>
      <c r="KI17" s="24"/>
      <c r="KJ17" s="24"/>
      <c r="KK17" s="24"/>
      <c r="KL17" s="24"/>
      <c r="KM17" s="24"/>
      <c r="KN17" s="24"/>
      <c r="KO17" s="24"/>
      <c r="KP17" s="24"/>
      <c r="KQ17" s="24"/>
      <c r="KR17" s="24"/>
      <c r="KS17" s="24"/>
      <c r="KT17" s="24"/>
      <c r="KU17" s="24"/>
      <c r="KV17" s="24"/>
      <c r="KW17" s="24"/>
      <c r="KX17" s="24"/>
      <c r="KY17" s="24"/>
      <c r="KZ17" s="24"/>
      <c r="LA17" s="24"/>
      <c r="LB17" s="24"/>
      <c r="LC17" s="24"/>
      <c r="LD17" s="24"/>
      <c r="LE17" s="24"/>
      <c r="LF17" s="24"/>
      <c r="LG17" s="24"/>
      <c r="LH17" s="24"/>
      <c r="LI17" s="24"/>
      <c r="LJ17" s="24"/>
      <c r="LK17" s="24"/>
      <c r="LL17" s="24"/>
      <c r="LM17" s="24"/>
      <c r="LN17" s="24"/>
      <c r="LO17" s="24"/>
      <c r="LP17" s="24"/>
      <c r="LQ17" s="24"/>
      <c r="LR17" s="24"/>
      <c r="LS17" s="24"/>
      <c r="LT17" s="24"/>
      <c r="LU17" s="24"/>
      <c r="LV17" s="24"/>
      <c r="LW17" s="24"/>
      <c r="LX17" s="24"/>
      <c r="LY17" s="24"/>
      <c r="LZ17" s="24"/>
      <c r="MA17" s="24"/>
      <c r="MB17" s="24"/>
      <c r="MC17" s="24"/>
      <c r="MD17" s="24"/>
      <c r="ME17" s="24"/>
      <c r="MF17" s="24"/>
      <c r="MG17" s="24"/>
      <c r="MH17" s="24"/>
      <c r="MI17" s="24"/>
      <c r="MJ17" s="24"/>
      <c r="MK17" s="24"/>
      <c r="ML17" s="24"/>
      <c r="MM17" s="24"/>
      <c r="MN17" s="24"/>
      <c r="MO17" s="24"/>
      <c r="MP17" s="24"/>
      <c r="MQ17" s="24"/>
      <c r="MR17" s="24"/>
      <c r="MS17" s="24"/>
      <c r="MT17" s="24"/>
      <c r="MU17" s="24"/>
      <c r="MV17" s="24"/>
      <c r="MW17" s="24"/>
      <c r="MX17" s="24"/>
      <c r="MY17" s="24"/>
      <c r="MZ17" s="24"/>
      <c r="NA17" s="24"/>
      <c r="NB17" s="24"/>
      <c r="NC17" s="24"/>
      <c r="ND17" s="24"/>
      <c r="NE17" s="24"/>
      <c r="NF17" s="24"/>
      <c r="NG17" s="24"/>
      <c r="NH17" s="24"/>
      <c r="NI17" s="24"/>
      <c r="NJ17" s="24"/>
      <c r="NK17" s="24"/>
      <c r="NL17" s="24"/>
      <c r="NM17" s="24"/>
      <c r="NN17" s="24"/>
      <c r="NO17" s="24"/>
      <c r="NP17" s="24"/>
      <c r="NQ17" s="24"/>
      <c r="NR17" s="24"/>
      <c r="NS17" s="24"/>
      <c r="NT17" s="24"/>
      <c r="NU17" s="24"/>
      <c r="NV17" s="24"/>
      <c r="NW17" s="24"/>
      <c r="NX17" s="24"/>
      <c r="NY17" s="24"/>
      <c r="NZ17" s="24"/>
      <c r="OA17" s="24"/>
      <c r="OB17" s="24"/>
      <c r="OC17" s="24"/>
      <c r="OD17" s="24"/>
      <c r="OE17" s="24"/>
      <c r="OF17" s="24"/>
      <c r="OG17" s="24"/>
      <c r="OH17" s="24"/>
      <c r="OI17" s="24"/>
      <c r="OJ17" s="24"/>
      <c r="OK17" s="24"/>
      <c r="OL17" s="24"/>
      <c r="OM17" s="24"/>
      <c r="ON17" s="24"/>
      <c r="OO17" s="24"/>
      <c r="OP17" s="24"/>
      <c r="OQ17" s="24"/>
      <c r="OR17" s="24"/>
      <c r="OS17" s="24"/>
      <c r="OT17" s="24"/>
      <c r="OU17" s="24"/>
      <c r="OV17" s="24"/>
      <c r="OW17" s="24"/>
      <c r="OX17" s="24"/>
      <c r="OY17" s="24"/>
      <c r="OZ17" s="24"/>
      <c r="PA17" s="24"/>
      <c r="PB17" s="24"/>
      <c r="PC17" s="24"/>
      <c r="PD17" s="24"/>
      <c r="PE17" s="24"/>
      <c r="PF17" s="24"/>
      <c r="PG17" s="24"/>
      <c r="PH17" s="24"/>
      <c r="PI17" s="24"/>
      <c r="PJ17" s="24"/>
      <c r="PK17" s="24"/>
      <c r="PL17" s="24"/>
      <c r="PM17" s="24"/>
      <c r="PN17" s="24"/>
      <c r="PO17" s="24"/>
      <c r="PP17" s="24"/>
      <c r="PQ17" s="24"/>
      <c r="PR17" s="24"/>
      <c r="PS17" s="24"/>
      <c r="PT17" s="24"/>
      <c r="PU17" s="24"/>
      <c r="PV17" s="24"/>
      <c r="PW17" s="24"/>
      <c r="PX17" s="24"/>
      <c r="PY17" s="24"/>
      <c r="PZ17" s="24"/>
      <c r="QA17" s="24"/>
      <c r="QB17" s="24"/>
      <c r="QC17" s="24"/>
      <c r="QD17" s="24"/>
      <c r="QE17" s="24"/>
      <c r="QF17" s="24"/>
      <c r="QG17" s="24"/>
      <c r="QH17" s="24"/>
      <c r="QI17" s="24"/>
      <c r="QJ17" s="24"/>
      <c r="QK17" s="24"/>
      <c r="QL17" s="24"/>
      <c r="QM17" s="24"/>
      <c r="QN17" s="24"/>
      <c r="QO17" s="24"/>
      <c r="QP17" s="24"/>
      <c r="QQ17" s="24"/>
      <c r="QR17" s="24"/>
      <c r="QS17" s="24"/>
      <c r="QT17" s="24"/>
      <c r="QU17" s="24"/>
      <c r="QV17" s="24"/>
      <c r="QW17" s="24"/>
      <c r="QX17" s="24"/>
      <c r="QY17" s="24"/>
      <c r="QZ17" s="24"/>
      <c r="RA17" s="24"/>
      <c r="RB17" s="24"/>
      <c r="RC17" s="24"/>
      <c r="RD17" s="24"/>
      <c r="RE17" s="24"/>
      <c r="RF17" s="24"/>
      <c r="RG17" s="24"/>
      <c r="RH17" s="24"/>
      <c r="RI17" s="24"/>
      <c r="RJ17" s="24"/>
      <c r="RK17" s="24"/>
      <c r="RL17" s="24"/>
      <c r="RM17" s="24"/>
      <c r="RN17" s="24"/>
      <c r="RO17" s="24"/>
      <c r="RP17" s="24"/>
      <c r="RQ17" s="24"/>
      <c r="RR17" s="24"/>
      <c r="RS17" s="24"/>
      <c r="RT17" s="24"/>
      <c r="RU17" s="24"/>
      <c r="RV17" s="24"/>
      <c r="RW17" s="24"/>
      <c r="RX17" s="24"/>
      <c r="RY17" s="24"/>
      <c r="RZ17" s="24"/>
      <c r="SA17" s="24"/>
      <c r="SB17" s="24"/>
      <c r="SC17" s="24"/>
      <c r="SD17" s="24"/>
      <c r="SE17" s="24"/>
      <c r="SF17" s="24"/>
      <c r="SG17" s="24"/>
      <c r="SH17" s="24"/>
      <c r="SI17" s="24"/>
      <c r="SJ17" s="24"/>
      <c r="SK17" s="24"/>
      <c r="SL17" s="24"/>
      <c r="SM17" s="24"/>
      <c r="SN17" s="24"/>
      <c r="SO17" s="24"/>
      <c r="SP17" s="24"/>
      <c r="SQ17" s="24"/>
      <c r="SR17" s="24"/>
      <c r="SS17" s="24"/>
      <c r="ST17" s="24"/>
      <c r="SU17" s="24"/>
      <c r="SV17" s="24"/>
      <c r="SW17" s="24"/>
      <c r="SX17" s="24"/>
      <c r="SY17" s="24"/>
      <c r="SZ17" s="24"/>
      <c r="TA17" s="24"/>
      <c r="TB17" s="24"/>
      <c r="TC17" s="24"/>
      <c r="TD17" s="24"/>
      <c r="TE17" s="24"/>
      <c r="TF17" s="24"/>
      <c r="TG17" s="24"/>
      <c r="TH17" s="24"/>
      <c r="TI17" s="24"/>
      <c r="TJ17" s="24"/>
      <c r="TK17" s="24"/>
      <c r="TL17" s="24"/>
      <c r="TM17" s="24"/>
      <c r="TN17" s="24"/>
      <c r="TO17" s="24"/>
      <c r="TP17" s="24"/>
      <c r="TQ17" s="24"/>
      <c r="TR17" s="24"/>
      <c r="TS17" s="24"/>
      <c r="TT17" s="24"/>
      <c r="TU17" s="24"/>
      <c r="TV17" s="24"/>
      <c r="TW17" s="24"/>
      <c r="TX17" s="24"/>
      <c r="TY17" s="24"/>
      <c r="TZ17" s="24"/>
      <c r="UA17" s="24"/>
      <c r="UB17" s="24"/>
      <c r="UC17" s="24"/>
      <c r="UD17" s="24"/>
      <c r="UE17" s="24"/>
      <c r="UF17" s="24"/>
      <c r="UG17" s="24"/>
      <c r="UH17" s="24"/>
      <c r="UI17" s="24"/>
      <c r="UJ17" s="24"/>
      <c r="UK17" s="24"/>
      <c r="UL17" s="24"/>
      <c r="UM17" s="24"/>
      <c r="UN17" s="24"/>
      <c r="UO17" s="24"/>
      <c r="UP17" s="24"/>
      <c r="UQ17" s="24"/>
      <c r="UR17" s="24"/>
      <c r="US17" s="24"/>
      <c r="UT17" s="24"/>
      <c r="UU17" s="24"/>
      <c r="UV17" s="24"/>
      <c r="UW17" s="24"/>
      <c r="UX17" s="24"/>
      <c r="UY17" s="24"/>
      <c r="UZ17" s="24"/>
      <c r="VA17" s="24"/>
      <c r="VB17" s="24"/>
      <c r="VC17" s="24"/>
      <c r="VD17" s="24"/>
      <c r="VE17" s="24"/>
      <c r="VF17" s="24"/>
      <c r="VG17" s="24"/>
      <c r="VH17" s="24"/>
      <c r="VI17" s="24"/>
      <c r="VJ17" s="24"/>
      <c r="VK17" s="24"/>
      <c r="VL17" s="24"/>
      <c r="VM17" s="24"/>
      <c r="VN17" s="24"/>
      <c r="VO17" s="24"/>
      <c r="VP17" s="24"/>
      <c r="VQ17" s="24"/>
      <c r="VR17" s="24"/>
      <c r="VS17" s="24"/>
      <c r="VT17" s="24"/>
      <c r="VU17" s="24"/>
      <c r="VV17" s="24"/>
      <c r="VW17" s="24"/>
      <c r="VX17" s="24"/>
      <c r="VY17" s="24"/>
      <c r="VZ17" s="24"/>
      <c r="WA17" s="24"/>
      <c r="WB17" s="24"/>
      <c r="WC17" s="24"/>
      <c r="WD17" s="24"/>
      <c r="WE17" s="24"/>
    </row>
    <row r="18" spans="1:603" s="11" customFormat="1" ht="17.399999999999999" customHeight="1" thickBot="1" x14ac:dyDescent="0.35">
      <c r="A18" s="153" t="s">
        <v>64</v>
      </c>
      <c r="B18" s="154"/>
      <c r="C18" s="154"/>
      <c r="D18" s="71">
        <f>D32+E43</f>
        <v>0</v>
      </c>
      <c r="E18" s="72">
        <f>U32</f>
        <v>0</v>
      </c>
      <c r="F18" s="70">
        <f t="shared" ref="F18:F20" si="0">+E18+D18</f>
        <v>0</v>
      </c>
      <c r="G18" s="24"/>
      <c r="H18" s="184"/>
      <c r="I18" s="184"/>
      <c r="J18" s="184"/>
      <c r="K18" s="184"/>
      <c r="L18" s="55"/>
      <c r="M18" s="56"/>
      <c r="N18" s="56"/>
      <c r="O18" s="56"/>
      <c r="P18" s="59"/>
      <c r="Q18" s="60"/>
      <c r="R18" s="68">
        <f>L18+M18+N18+O18+P18+Q18</f>
        <v>0</v>
      </c>
      <c r="S18" s="24"/>
      <c r="T18" s="24"/>
      <c r="U18" s="31"/>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c r="CE18" s="24"/>
      <c r="CF18" s="24"/>
      <c r="CG18" s="24"/>
      <c r="CH18" s="24"/>
      <c r="CI18" s="24"/>
      <c r="CJ18" s="24"/>
      <c r="CK18" s="24"/>
      <c r="CL18" s="24"/>
      <c r="CM18" s="24"/>
      <c r="CN18" s="24"/>
      <c r="CO18" s="24"/>
      <c r="CP18" s="24"/>
      <c r="CQ18" s="24"/>
      <c r="CR18" s="24"/>
      <c r="CS18" s="24"/>
      <c r="CT18" s="24"/>
      <c r="CU18" s="24"/>
      <c r="CV18" s="24"/>
      <c r="CW18" s="24"/>
      <c r="CX18" s="24"/>
      <c r="CY18" s="24"/>
      <c r="CZ18" s="24"/>
      <c r="DA18" s="24"/>
      <c r="DB18" s="24"/>
      <c r="DC18" s="24"/>
      <c r="DD18" s="24"/>
      <c r="DE18" s="24"/>
      <c r="DF18" s="24"/>
      <c r="DG18" s="24"/>
      <c r="DH18" s="24"/>
      <c r="DI18" s="24"/>
      <c r="DJ18" s="24"/>
      <c r="DK18" s="24"/>
      <c r="DL18" s="24"/>
      <c r="DM18" s="24"/>
      <c r="DN18" s="24"/>
      <c r="DO18" s="24"/>
      <c r="DP18" s="24"/>
      <c r="DQ18" s="24"/>
      <c r="DR18" s="24"/>
      <c r="DS18" s="24"/>
      <c r="DT18" s="24"/>
      <c r="DU18" s="24"/>
      <c r="DV18" s="24"/>
      <c r="DW18" s="24"/>
      <c r="DX18" s="24"/>
      <c r="DY18" s="24"/>
      <c r="DZ18" s="24"/>
      <c r="EA18" s="24"/>
      <c r="EB18" s="24"/>
      <c r="EC18" s="24"/>
      <c r="ED18" s="24"/>
      <c r="EE18" s="24"/>
      <c r="EF18" s="24"/>
      <c r="EG18" s="24"/>
      <c r="EH18" s="24"/>
      <c r="EI18" s="24"/>
      <c r="EJ18" s="24"/>
      <c r="EK18" s="24"/>
      <c r="EL18" s="24"/>
      <c r="EM18" s="24"/>
      <c r="EN18" s="24"/>
      <c r="EO18" s="24"/>
      <c r="EP18" s="24"/>
      <c r="EQ18" s="24"/>
      <c r="ER18" s="24"/>
      <c r="ES18" s="24"/>
      <c r="ET18" s="24"/>
      <c r="EU18" s="24"/>
      <c r="EV18" s="24"/>
      <c r="EW18" s="24"/>
      <c r="EX18" s="24"/>
      <c r="EY18" s="24"/>
      <c r="EZ18" s="24"/>
      <c r="FA18" s="24"/>
      <c r="FB18" s="24"/>
      <c r="FC18" s="24"/>
      <c r="FD18" s="24"/>
      <c r="FE18" s="24"/>
      <c r="FF18" s="24"/>
      <c r="FG18" s="24"/>
      <c r="FH18" s="24"/>
      <c r="FI18" s="24"/>
      <c r="FJ18" s="24"/>
      <c r="FK18" s="24"/>
      <c r="FL18" s="24"/>
      <c r="FM18" s="24"/>
      <c r="FN18" s="24"/>
      <c r="FO18" s="24"/>
      <c r="FP18" s="24"/>
      <c r="FQ18" s="24"/>
      <c r="FR18" s="24"/>
      <c r="FS18" s="24"/>
      <c r="FT18" s="24"/>
      <c r="FU18" s="24"/>
      <c r="FV18" s="24"/>
      <c r="FW18" s="24"/>
      <c r="FX18" s="24"/>
      <c r="FY18" s="24"/>
      <c r="FZ18" s="24"/>
      <c r="GA18" s="24"/>
      <c r="GB18" s="24"/>
      <c r="GC18" s="24"/>
      <c r="GD18" s="24"/>
      <c r="GE18" s="24"/>
      <c r="GF18" s="24"/>
      <c r="GG18" s="24"/>
      <c r="GH18" s="24"/>
      <c r="GI18" s="24"/>
      <c r="GJ18" s="24"/>
      <c r="GK18" s="24"/>
      <c r="GL18" s="24"/>
      <c r="GM18" s="24"/>
      <c r="GN18" s="24"/>
      <c r="GO18" s="24"/>
      <c r="GP18" s="24"/>
      <c r="GQ18" s="24"/>
      <c r="GR18" s="24"/>
      <c r="GS18" s="24"/>
      <c r="GT18" s="24"/>
      <c r="GU18" s="24"/>
      <c r="GV18" s="24"/>
      <c r="GW18" s="24"/>
      <c r="GX18" s="24"/>
      <c r="GY18" s="24"/>
      <c r="GZ18" s="24"/>
      <c r="HA18" s="24"/>
      <c r="HB18" s="24"/>
      <c r="HC18" s="24"/>
      <c r="HD18" s="24"/>
      <c r="HE18" s="24"/>
      <c r="HF18" s="24"/>
      <c r="HG18" s="24"/>
      <c r="HH18" s="24"/>
      <c r="HI18" s="24"/>
      <c r="HJ18" s="24"/>
      <c r="HK18" s="24"/>
      <c r="HL18" s="24"/>
      <c r="HM18" s="24"/>
      <c r="HN18" s="24"/>
      <c r="HO18" s="24"/>
      <c r="HP18" s="24"/>
      <c r="HQ18" s="24"/>
      <c r="HR18" s="24"/>
      <c r="HS18" s="24"/>
      <c r="HT18" s="24"/>
      <c r="HU18" s="24"/>
      <c r="HV18" s="24"/>
      <c r="HW18" s="24"/>
      <c r="HX18" s="24"/>
      <c r="HY18" s="24"/>
      <c r="HZ18" s="24"/>
      <c r="IA18" s="24"/>
      <c r="IB18" s="24"/>
      <c r="IC18" s="24"/>
      <c r="ID18" s="24"/>
      <c r="IE18" s="24"/>
      <c r="IF18" s="24"/>
      <c r="IG18" s="24"/>
      <c r="IH18" s="24"/>
      <c r="II18" s="24"/>
      <c r="IJ18" s="24"/>
      <c r="IK18" s="24"/>
      <c r="IL18" s="24"/>
      <c r="IM18" s="24"/>
      <c r="IN18" s="24"/>
      <c r="IO18" s="24"/>
      <c r="IP18" s="24"/>
      <c r="IQ18" s="24"/>
      <c r="IR18" s="24"/>
      <c r="IS18" s="24"/>
      <c r="IT18" s="24"/>
      <c r="IU18" s="24"/>
      <c r="IV18" s="24"/>
      <c r="IW18" s="24"/>
      <c r="IX18" s="24"/>
      <c r="IY18" s="24"/>
      <c r="IZ18" s="24"/>
      <c r="JA18" s="24"/>
      <c r="JB18" s="24"/>
      <c r="JC18" s="24"/>
      <c r="JD18" s="24"/>
      <c r="JE18" s="24"/>
      <c r="JF18" s="24"/>
      <c r="JG18" s="24"/>
      <c r="JH18" s="24"/>
      <c r="JI18" s="24"/>
      <c r="JJ18" s="24"/>
      <c r="JK18" s="24"/>
      <c r="JL18" s="24"/>
      <c r="JM18" s="24"/>
      <c r="JN18" s="24"/>
      <c r="JO18" s="24"/>
      <c r="JP18" s="24"/>
      <c r="JQ18" s="24"/>
      <c r="JR18" s="24"/>
      <c r="JS18" s="24"/>
      <c r="JT18" s="24"/>
      <c r="JU18" s="24"/>
      <c r="JV18" s="24"/>
      <c r="JW18" s="24"/>
      <c r="JX18" s="24"/>
      <c r="JY18" s="24"/>
      <c r="JZ18" s="24"/>
      <c r="KA18" s="24"/>
      <c r="KB18" s="24"/>
      <c r="KC18" s="24"/>
      <c r="KD18" s="24"/>
      <c r="KE18" s="24"/>
      <c r="KF18" s="24"/>
      <c r="KG18" s="24"/>
      <c r="KH18" s="24"/>
      <c r="KI18" s="24"/>
      <c r="KJ18" s="24"/>
      <c r="KK18" s="24"/>
      <c r="KL18" s="24"/>
      <c r="KM18" s="24"/>
      <c r="KN18" s="24"/>
      <c r="KO18" s="24"/>
      <c r="KP18" s="24"/>
      <c r="KQ18" s="24"/>
      <c r="KR18" s="24"/>
      <c r="KS18" s="24"/>
      <c r="KT18" s="24"/>
      <c r="KU18" s="24"/>
      <c r="KV18" s="24"/>
      <c r="KW18" s="24"/>
      <c r="KX18" s="24"/>
      <c r="KY18" s="24"/>
      <c r="KZ18" s="24"/>
      <c r="LA18" s="24"/>
      <c r="LB18" s="24"/>
      <c r="LC18" s="24"/>
      <c r="LD18" s="24"/>
      <c r="LE18" s="24"/>
      <c r="LF18" s="24"/>
      <c r="LG18" s="24"/>
      <c r="LH18" s="24"/>
      <c r="LI18" s="24"/>
      <c r="LJ18" s="24"/>
      <c r="LK18" s="24"/>
      <c r="LL18" s="24"/>
      <c r="LM18" s="24"/>
      <c r="LN18" s="24"/>
      <c r="LO18" s="24"/>
      <c r="LP18" s="24"/>
      <c r="LQ18" s="24"/>
      <c r="LR18" s="24"/>
      <c r="LS18" s="24"/>
      <c r="LT18" s="24"/>
      <c r="LU18" s="24"/>
      <c r="LV18" s="24"/>
      <c r="LW18" s="24"/>
      <c r="LX18" s="24"/>
      <c r="LY18" s="24"/>
      <c r="LZ18" s="24"/>
      <c r="MA18" s="24"/>
      <c r="MB18" s="24"/>
      <c r="MC18" s="24"/>
      <c r="MD18" s="24"/>
      <c r="ME18" s="24"/>
      <c r="MF18" s="24"/>
      <c r="MG18" s="24"/>
      <c r="MH18" s="24"/>
      <c r="MI18" s="24"/>
      <c r="MJ18" s="24"/>
      <c r="MK18" s="24"/>
      <c r="ML18" s="24"/>
      <c r="MM18" s="24"/>
      <c r="MN18" s="24"/>
      <c r="MO18" s="24"/>
      <c r="MP18" s="24"/>
      <c r="MQ18" s="24"/>
      <c r="MR18" s="24"/>
      <c r="MS18" s="24"/>
      <c r="MT18" s="24"/>
      <c r="MU18" s="24"/>
      <c r="MV18" s="24"/>
      <c r="MW18" s="24"/>
      <c r="MX18" s="24"/>
      <c r="MY18" s="24"/>
      <c r="MZ18" s="24"/>
      <c r="NA18" s="24"/>
      <c r="NB18" s="24"/>
      <c r="NC18" s="24"/>
      <c r="ND18" s="24"/>
      <c r="NE18" s="24"/>
      <c r="NF18" s="24"/>
      <c r="NG18" s="24"/>
      <c r="NH18" s="24"/>
      <c r="NI18" s="24"/>
      <c r="NJ18" s="24"/>
      <c r="NK18" s="24"/>
      <c r="NL18" s="24"/>
      <c r="NM18" s="24"/>
      <c r="NN18" s="24"/>
      <c r="NO18" s="24"/>
      <c r="NP18" s="24"/>
      <c r="NQ18" s="24"/>
      <c r="NR18" s="24"/>
      <c r="NS18" s="24"/>
      <c r="NT18" s="24"/>
      <c r="NU18" s="24"/>
      <c r="NV18" s="24"/>
      <c r="NW18" s="24"/>
      <c r="NX18" s="24"/>
      <c r="NY18" s="24"/>
      <c r="NZ18" s="24"/>
      <c r="OA18" s="24"/>
      <c r="OB18" s="24"/>
      <c r="OC18" s="24"/>
      <c r="OD18" s="24"/>
      <c r="OE18" s="24"/>
      <c r="OF18" s="24"/>
      <c r="OG18" s="24"/>
      <c r="OH18" s="24"/>
      <c r="OI18" s="24"/>
      <c r="OJ18" s="24"/>
      <c r="OK18" s="24"/>
      <c r="OL18" s="24"/>
      <c r="OM18" s="24"/>
      <c r="ON18" s="24"/>
      <c r="OO18" s="24"/>
      <c r="OP18" s="24"/>
      <c r="OQ18" s="24"/>
      <c r="OR18" s="24"/>
      <c r="OS18" s="24"/>
      <c r="OT18" s="24"/>
      <c r="OU18" s="24"/>
      <c r="OV18" s="24"/>
      <c r="OW18" s="24"/>
      <c r="OX18" s="24"/>
      <c r="OY18" s="24"/>
      <c r="OZ18" s="24"/>
      <c r="PA18" s="24"/>
      <c r="PB18" s="24"/>
      <c r="PC18" s="24"/>
      <c r="PD18" s="24"/>
      <c r="PE18" s="24"/>
      <c r="PF18" s="24"/>
      <c r="PG18" s="24"/>
      <c r="PH18" s="24"/>
      <c r="PI18" s="24"/>
      <c r="PJ18" s="24"/>
      <c r="PK18" s="24"/>
      <c r="PL18" s="24"/>
      <c r="PM18" s="24"/>
      <c r="PN18" s="24"/>
      <c r="PO18" s="24"/>
      <c r="PP18" s="24"/>
      <c r="PQ18" s="24"/>
      <c r="PR18" s="24"/>
      <c r="PS18" s="24"/>
      <c r="PT18" s="24"/>
      <c r="PU18" s="24"/>
      <c r="PV18" s="24"/>
      <c r="PW18" s="24"/>
      <c r="PX18" s="24"/>
      <c r="PY18" s="24"/>
      <c r="PZ18" s="24"/>
      <c r="QA18" s="24"/>
      <c r="QB18" s="24"/>
      <c r="QC18" s="24"/>
      <c r="QD18" s="24"/>
      <c r="QE18" s="24"/>
      <c r="QF18" s="24"/>
      <c r="QG18" s="24"/>
      <c r="QH18" s="24"/>
      <c r="QI18" s="24"/>
      <c r="QJ18" s="24"/>
      <c r="QK18" s="24"/>
      <c r="QL18" s="24"/>
      <c r="QM18" s="24"/>
      <c r="QN18" s="24"/>
      <c r="QO18" s="24"/>
      <c r="QP18" s="24"/>
      <c r="QQ18" s="24"/>
      <c r="QR18" s="24"/>
      <c r="QS18" s="24"/>
      <c r="QT18" s="24"/>
      <c r="QU18" s="24"/>
      <c r="QV18" s="24"/>
      <c r="QW18" s="24"/>
      <c r="QX18" s="24"/>
      <c r="QY18" s="24"/>
      <c r="QZ18" s="24"/>
      <c r="RA18" s="24"/>
      <c r="RB18" s="24"/>
      <c r="RC18" s="24"/>
      <c r="RD18" s="24"/>
      <c r="RE18" s="24"/>
      <c r="RF18" s="24"/>
      <c r="RG18" s="24"/>
      <c r="RH18" s="24"/>
      <c r="RI18" s="24"/>
      <c r="RJ18" s="24"/>
      <c r="RK18" s="24"/>
      <c r="RL18" s="24"/>
      <c r="RM18" s="24"/>
      <c r="RN18" s="24"/>
      <c r="RO18" s="24"/>
      <c r="RP18" s="24"/>
      <c r="RQ18" s="24"/>
      <c r="RR18" s="24"/>
      <c r="RS18" s="24"/>
      <c r="RT18" s="24"/>
      <c r="RU18" s="24"/>
      <c r="RV18" s="24"/>
      <c r="RW18" s="24"/>
      <c r="RX18" s="24"/>
      <c r="RY18" s="24"/>
      <c r="RZ18" s="24"/>
      <c r="SA18" s="24"/>
      <c r="SB18" s="24"/>
      <c r="SC18" s="24"/>
      <c r="SD18" s="24"/>
      <c r="SE18" s="24"/>
      <c r="SF18" s="24"/>
      <c r="SG18" s="24"/>
      <c r="SH18" s="24"/>
      <c r="SI18" s="24"/>
      <c r="SJ18" s="24"/>
      <c r="SK18" s="24"/>
      <c r="SL18" s="24"/>
      <c r="SM18" s="24"/>
      <c r="SN18" s="24"/>
      <c r="SO18" s="24"/>
      <c r="SP18" s="24"/>
      <c r="SQ18" s="24"/>
      <c r="SR18" s="24"/>
      <c r="SS18" s="24"/>
      <c r="ST18" s="24"/>
      <c r="SU18" s="24"/>
      <c r="SV18" s="24"/>
      <c r="SW18" s="24"/>
      <c r="SX18" s="24"/>
      <c r="SY18" s="24"/>
      <c r="SZ18" s="24"/>
      <c r="TA18" s="24"/>
      <c r="TB18" s="24"/>
      <c r="TC18" s="24"/>
      <c r="TD18" s="24"/>
      <c r="TE18" s="24"/>
      <c r="TF18" s="24"/>
      <c r="TG18" s="24"/>
      <c r="TH18" s="24"/>
      <c r="TI18" s="24"/>
      <c r="TJ18" s="24"/>
      <c r="TK18" s="24"/>
      <c r="TL18" s="24"/>
      <c r="TM18" s="24"/>
      <c r="TN18" s="24"/>
      <c r="TO18" s="24"/>
      <c r="TP18" s="24"/>
      <c r="TQ18" s="24"/>
      <c r="TR18" s="24"/>
      <c r="TS18" s="24"/>
      <c r="TT18" s="24"/>
      <c r="TU18" s="24"/>
      <c r="TV18" s="24"/>
      <c r="TW18" s="24"/>
      <c r="TX18" s="24"/>
      <c r="TY18" s="24"/>
      <c r="TZ18" s="24"/>
      <c r="UA18" s="24"/>
      <c r="UB18" s="24"/>
      <c r="UC18" s="24"/>
      <c r="UD18" s="24"/>
      <c r="UE18" s="24"/>
      <c r="UF18" s="24"/>
      <c r="UG18" s="24"/>
      <c r="UH18" s="24"/>
      <c r="UI18" s="24"/>
      <c r="UJ18" s="24"/>
      <c r="UK18" s="24"/>
      <c r="UL18" s="24"/>
      <c r="UM18" s="24"/>
      <c r="UN18" s="24"/>
      <c r="UO18" s="24"/>
      <c r="UP18" s="24"/>
      <c r="UQ18" s="24"/>
      <c r="UR18" s="24"/>
      <c r="US18" s="24"/>
      <c r="UT18" s="24"/>
      <c r="UU18" s="24"/>
      <c r="UV18" s="24"/>
      <c r="UW18" s="24"/>
      <c r="UX18" s="24"/>
      <c r="UY18" s="24"/>
      <c r="UZ18" s="24"/>
      <c r="VA18" s="24"/>
      <c r="VB18" s="24"/>
      <c r="VC18" s="24"/>
      <c r="VD18" s="24"/>
      <c r="VE18" s="24"/>
      <c r="VF18" s="24"/>
      <c r="VG18" s="24"/>
      <c r="VH18" s="24"/>
      <c r="VI18" s="24"/>
      <c r="VJ18" s="24"/>
      <c r="VK18" s="24"/>
      <c r="VL18" s="24"/>
      <c r="VM18" s="24"/>
      <c r="VN18" s="24"/>
      <c r="VO18" s="24"/>
      <c r="VP18" s="24"/>
      <c r="VQ18" s="24"/>
      <c r="VR18" s="24"/>
      <c r="VS18" s="24"/>
      <c r="VT18" s="24"/>
      <c r="VU18" s="24"/>
      <c r="VV18" s="24"/>
      <c r="VW18" s="24"/>
      <c r="VX18" s="24"/>
      <c r="VY18" s="24"/>
      <c r="VZ18" s="24"/>
      <c r="WA18" s="24"/>
      <c r="WB18" s="24"/>
      <c r="WC18" s="24"/>
      <c r="WD18" s="24"/>
      <c r="WE18" s="24"/>
    </row>
    <row r="19" spans="1:603" s="11" customFormat="1" ht="13.65" customHeight="1" x14ac:dyDescent="0.3">
      <c r="A19" s="153" t="s">
        <v>65</v>
      </c>
      <c r="B19" s="154"/>
      <c r="C19" s="154"/>
      <c r="D19" s="50"/>
      <c r="E19" s="58"/>
      <c r="F19" s="70">
        <f t="shared" si="0"/>
        <v>0</v>
      </c>
      <c r="G19" s="24"/>
      <c r="H19" s="24"/>
      <c r="I19" s="24"/>
      <c r="J19" s="24"/>
      <c r="K19" s="24"/>
      <c r="L19" s="24"/>
      <c r="M19" s="24"/>
      <c r="N19" s="24"/>
      <c r="O19" s="24"/>
      <c r="P19" s="24"/>
      <c r="Q19" s="24"/>
      <c r="R19" s="24"/>
      <c r="S19" s="24"/>
      <c r="T19" s="24"/>
      <c r="U19" s="31"/>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c r="BM19" s="24"/>
      <c r="BN19" s="24"/>
      <c r="BO19" s="24"/>
      <c r="BP19" s="24"/>
      <c r="BQ19" s="24"/>
      <c r="BR19" s="24"/>
      <c r="BS19" s="24"/>
      <c r="BT19" s="24"/>
      <c r="BU19" s="24"/>
      <c r="BV19" s="24"/>
      <c r="BW19" s="24"/>
      <c r="BX19" s="24"/>
      <c r="BY19" s="24"/>
      <c r="BZ19" s="24"/>
      <c r="CA19" s="24"/>
      <c r="CB19" s="24"/>
      <c r="CC19" s="24"/>
      <c r="CD19" s="24"/>
      <c r="CE19" s="24"/>
      <c r="CF19" s="24"/>
      <c r="CG19" s="24"/>
      <c r="CH19" s="24"/>
      <c r="CI19" s="24"/>
      <c r="CJ19" s="24"/>
      <c r="CK19" s="24"/>
      <c r="CL19" s="24"/>
      <c r="CM19" s="24"/>
      <c r="CN19" s="24"/>
      <c r="CO19" s="24"/>
      <c r="CP19" s="24"/>
      <c r="CQ19" s="24"/>
      <c r="CR19" s="24"/>
      <c r="CS19" s="24"/>
      <c r="CT19" s="24"/>
      <c r="CU19" s="24"/>
      <c r="CV19" s="24"/>
      <c r="CW19" s="24"/>
      <c r="CX19" s="24"/>
      <c r="CY19" s="24"/>
      <c r="CZ19" s="24"/>
      <c r="DA19" s="24"/>
      <c r="DB19" s="24"/>
      <c r="DC19" s="24"/>
      <c r="DD19" s="24"/>
      <c r="DE19" s="24"/>
      <c r="DF19" s="24"/>
      <c r="DG19" s="24"/>
      <c r="DH19" s="24"/>
      <c r="DI19" s="24"/>
      <c r="DJ19" s="24"/>
      <c r="DK19" s="24"/>
      <c r="DL19" s="24"/>
      <c r="DM19" s="24"/>
      <c r="DN19" s="24"/>
      <c r="DO19" s="24"/>
      <c r="DP19" s="24"/>
      <c r="DQ19" s="24"/>
      <c r="DR19" s="24"/>
      <c r="DS19" s="24"/>
      <c r="DT19" s="24"/>
      <c r="DU19" s="24"/>
      <c r="DV19" s="24"/>
      <c r="DW19" s="24"/>
      <c r="DX19" s="24"/>
      <c r="DY19" s="24"/>
      <c r="DZ19" s="24"/>
      <c r="EA19" s="24"/>
      <c r="EB19" s="24"/>
      <c r="EC19" s="24"/>
      <c r="ED19" s="24"/>
      <c r="EE19" s="24"/>
      <c r="EF19" s="24"/>
      <c r="EG19" s="24"/>
      <c r="EH19" s="24"/>
      <c r="EI19" s="24"/>
      <c r="EJ19" s="24"/>
      <c r="EK19" s="24"/>
      <c r="EL19" s="24"/>
      <c r="EM19" s="24"/>
      <c r="EN19" s="24"/>
      <c r="EO19" s="24"/>
      <c r="EP19" s="24"/>
      <c r="EQ19" s="24"/>
      <c r="ER19" s="24"/>
      <c r="ES19" s="24"/>
      <c r="ET19" s="24"/>
      <c r="EU19" s="24"/>
      <c r="EV19" s="24"/>
      <c r="EW19" s="24"/>
      <c r="EX19" s="24"/>
      <c r="EY19" s="24"/>
      <c r="EZ19" s="24"/>
      <c r="FA19" s="24"/>
      <c r="FB19" s="24"/>
      <c r="FC19" s="24"/>
      <c r="FD19" s="24"/>
      <c r="FE19" s="24"/>
      <c r="FF19" s="24"/>
      <c r="FG19" s="24"/>
      <c r="FH19" s="24"/>
      <c r="FI19" s="24"/>
      <c r="FJ19" s="24"/>
      <c r="FK19" s="24"/>
      <c r="FL19" s="24"/>
      <c r="FM19" s="24"/>
      <c r="FN19" s="24"/>
      <c r="FO19" s="24"/>
      <c r="FP19" s="24"/>
      <c r="FQ19" s="24"/>
      <c r="FR19" s="24"/>
      <c r="FS19" s="24"/>
      <c r="FT19" s="24"/>
      <c r="FU19" s="24"/>
      <c r="FV19" s="24"/>
      <c r="FW19" s="24"/>
      <c r="FX19" s="24"/>
      <c r="FY19" s="24"/>
      <c r="FZ19" s="24"/>
      <c r="GA19" s="24"/>
      <c r="GB19" s="24"/>
      <c r="GC19" s="24"/>
      <c r="GD19" s="24"/>
      <c r="GE19" s="24"/>
      <c r="GF19" s="24"/>
      <c r="GG19" s="24"/>
      <c r="GH19" s="24"/>
      <c r="GI19" s="24"/>
      <c r="GJ19" s="24"/>
      <c r="GK19" s="24"/>
      <c r="GL19" s="24"/>
      <c r="GM19" s="24"/>
      <c r="GN19" s="24"/>
      <c r="GO19" s="24"/>
      <c r="GP19" s="24"/>
      <c r="GQ19" s="24"/>
      <c r="GR19" s="24"/>
      <c r="GS19" s="24"/>
      <c r="GT19" s="24"/>
      <c r="GU19" s="24"/>
      <c r="GV19" s="24"/>
      <c r="GW19" s="24"/>
      <c r="GX19" s="24"/>
      <c r="GY19" s="24"/>
      <c r="GZ19" s="24"/>
      <c r="HA19" s="24"/>
      <c r="HB19" s="24"/>
      <c r="HC19" s="24"/>
      <c r="HD19" s="24"/>
      <c r="HE19" s="24"/>
      <c r="HF19" s="24"/>
      <c r="HG19" s="24"/>
      <c r="HH19" s="24"/>
      <c r="HI19" s="24"/>
      <c r="HJ19" s="24"/>
      <c r="HK19" s="24"/>
      <c r="HL19" s="24"/>
      <c r="HM19" s="24"/>
      <c r="HN19" s="24"/>
      <c r="HO19" s="24"/>
      <c r="HP19" s="24"/>
      <c r="HQ19" s="24"/>
      <c r="HR19" s="24"/>
      <c r="HS19" s="24"/>
      <c r="HT19" s="24"/>
      <c r="HU19" s="24"/>
      <c r="HV19" s="24"/>
      <c r="HW19" s="24"/>
      <c r="HX19" s="24"/>
      <c r="HY19" s="24"/>
      <c r="HZ19" s="24"/>
      <c r="IA19" s="24"/>
      <c r="IB19" s="24"/>
      <c r="IC19" s="24"/>
      <c r="ID19" s="24"/>
      <c r="IE19" s="24"/>
      <c r="IF19" s="24"/>
      <c r="IG19" s="24"/>
      <c r="IH19" s="24"/>
      <c r="II19" s="24"/>
      <c r="IJ19" s="24"/>
      <c r="IK19" s="24"/>
      <c r="IL19" s="24"/>
      <c r="IM19" s="24"/>
      <c r="IN19" s="24"/>
      <c r="IO19" s="24"/>
      <c r="IP19" s="24"/>
      <c r="IQ19" s="24"/>
      <c r="IR19" s="24"/>
      <c r="IS19" s="24"/>
      <c r="IT19" s="24"/>
      <c r="IU19" s="24"/>
      <c r="IV19" s="24"/>
      <c r="IW19" s="24"/>
      <c r="IX19" s="24"/>
      <c r="IY19" s="24"/>
      <c r="IZ19" s="24"/>
      <c r="JA19" s="24"/>
      <c r="JB19" s="24"/>
      <c r="JC19" s="24"/>
      <c r="JD19" s="24"/>
      <c r="JE19" s="24"/>
      <c r="JF19" s="24"/>
      <c r="JG19" s="24"/>
      <c r="JH19" s="24"/>
      <c r="JI19" s="24"/>
      <c r="JJ19" s="24"/>
      <c r="JK19" s="24"/>
      <c r="JL19" s="24"/>
      <c r="JM19" s="24"/>
      <c r="JN19" s="24"/>
      <c r="JO19" s="24"/>
      <c r="JP19" s="24"/>
      <c r="JQ19" s="24"/>
      <c r="JR19" s="24"/>
      <c r="JS19" s="24"/>
      <c r="JT19" s="24"/>
      <c r="JU19" s="24"/>
      <c r="JV19" s="24"/>
      <c r="JW19" s="24"/>
      <c r="JX19" s="24"/>
      <c r="JY19" s="24"/>
      <c r="JZ19" s="24"/>
      <c r="KA19" s="24"/>
      <c r="KB19" s="24"/>
      <c r="KC19" s="24"/>
      <c r="KD19" s="24"/>
      <c r="KE19" s="24"/>
      <c r="KF19" s="24"/>
      <c r="KG19" s="24"/>
      <c r="KH19" s="24"/>
      <c r="KI19" s="24"/>
      <c r="KJ19" s="24"/>
      <c r="KK19" s="24"/>
      <c r="KL19" s="24"/>
      <c r="KM19" s="24"/>
      <c r="KN19" s="24"/>
      <c r="KO19" s="24"/>
      <c r="KP19" s="24"/>
      <c r="KQ19" s="24"/>
      <c r="KR19" s="24"/>
      <c r="KS19" s="24"/>
      <c r="KT19" s="24"/>
      <c r="KU19" s="24"/>
      <c r="KV19" s="24"/>
      <c r="KW19" s="24"/>
      <c r="KX19" s="24"/>
      <c r="KY19" s="24"/>
      <c r="KZ19" s="24"/>
      <c r="LA19" s="24"/>
      <c r="LB19" s="24"/>
      <c r="LC19" s="24"/>
      <c r="LD19" s="24"/>
      <c r="LE19" s="24"/>
      <c r="LF19" s="24"/>
      <c r="LG19" s="24"/>
      <c r="LH19" s="24"/>
      <c r="LI19" s="24"/>
      <c r="LJ19" s="24"/>
      <c r="LK19" s="24"/>
      <c r="LL19" s="24"/>
      <c r="LM19" s="24"/>
      <c r="LN19" s="24"/>
      <c r="LO19" s="24"/>
      <c r="LP19" s="24"/>
      <c r="LQ19" s="24"/>
      <c r="LR19" s="24"/>
      <c r="LS19" s="24"/>
      <c r="LT19" s="24"/>
      <c r="LU19" s="24"/>
      <c r="LV19" s="24"/>
      <c r="LW19" s="24"/>
      <c r="LX19" s="24"/>
      <c r="LY19" s="24"/>
      <c r="LZ19" s="24"/>
      <c r="MA19" s="24"/>
      <c r="MB19" s="24"/>
      <c r="MC19" s="24"/>
      <c r="MD19" s="24"/>
      <c r="ME19" s="24"/>
      <c r="MF19" s="24"/>
      <c r="MG19" s="24"/>
      <c r="MH19" s="24"/>
      <c r="MI19" s="24"/>
      <c r="MJ19" s="24"/>
      <c r="MK19" s="24"/>
      <c r="ML19" s="24"/>
      <c r="MM19" s="24"/>
      <c r="MN19" s="24"/>
      <c r="MO19" s="24"/>
      <c r="MP19" s="24"/>
      <c r="MQ19" s="24"/>
      <c r="MR19" s="24"/>
      <c r="MS19" s="24"/>
      <c r="MT19" s="24"/>
      <c r="MU19" s="24"/>
      <c r="MV19" s="24"/>
      <c r="MW19" s="24"/>
      <c r="MX19" s="24"/>
      <c r="MY19" s="24"/>
      <c r="MZ19" s="24"/>
      <c r="NA19" s="24"/>
      <c r="NB19" s="24"/>
      <c r="NC19" s="24"/>
      <c r="ND19" s="24"/>
      <c r="NE19" s="24"/>
      <c r="NF19" s="24"/>
      <c r="NG19" s="24"/>
      <c r="NH19" s="24"/>
      <c r="NI19" s="24"/>
      <c r="NJ19" s="24"/>
      <c r="NK19" s="24"/>
      <c r="NL19" s="24"/>
      <c r="NM19" s="24"/>
      <c r="NN19" s="24"/>
      <c r="NO19" s="24"/>
      <c r="NP19" s="24"/>
      <c r="NQ19" s="24"/>
      <c r="NR19" s="24"/>
      <c r="NS19" s="24"/>
      <c r="NT19" s="24"/>
      <c r="NU19" s="24"/>
      <c r="NV19" s="24"/>
      <c r="NW19" s="24"/>
      <c r="NX19" s="24"/>
      <c r="NY19" s="24"/>
      <c r="NZ19" s="24"/>
      <c r="OA19" s="24"/>
      <c r="OB19" s="24"/>
      <c r="OC19" s="24"/>
      <c r="OD19" s="24"/>
      <c r="OE19" s="24"/>
      <c r="OF19" s="24"/>
      <c r="OG19" s="24"/>
      <c r="OH19" s="24"/>
      <c r="OI19" s="24"/>
      <c r="OJ19" s="24"/>
      <c r="OK19" s="24"/>
      <c r="OL19" s="24"/>
      <c r="OM19" s="24"/>
      <c r="ON19" s="24"/>
      <c r="OO19" s="24"/>
      <c r="OP19" s="24"/>
      <c r="OQ19" s="24"/>
      <c r="OR19" s="24"/>
      <c r="OS19" s="24"/>
      <c r="OT19" s="24"/>
      <c r="OU19" s="24"/>
      <c r="OV19" s="24"/>
      <c r="OW19" s="24"/>
      <c r="OX19" s="24"/>
      <c r="OY19" s="24"/>
      <c r="OZ19" s="24"/>
      <c r="PA19" s="24"/>
      <c r="PB19" s="24"/>
      <c r="PC19" s="24"/>
      <c r="PD19" s="24"/>
      <c r="PE19" s="24"/>
      <c r="PF19" s="24"/>
      <c r="PG19" s="24"/>
      <c r="PH19" s="24"/>
      <c r="PI19" s="24"/>
      <c r="PJ19" s="24"/>
      <c r="PK19" s="24"/>
      <c r="PL19" s="24"/>
      <c r="PM19" s="24"/>
      <c r="PN19" s="24"/>
      <c r="PO19" s="24"/>
      <c r="PP19" s="24"/>
      <c r="PQ19" s="24"/>
      <c r="PR19" s="24"/>
      <c r="PS19" s="24"/>
      <c r="PT19" s="24"/>
      <c r="PU19" s="24"/>
      <c r="PV19" s="24"/>
      <c r="PW19" s="24"/>
      <c r="PX19" s="24"/>
      <c r="PY19" s="24"/>
      <c r="PZ19" s="24"/>
      <c r="QA19" s="24"/>
      <c r="QB19" s="24"/>
      <c r="QC19" s="24"/>
      <c r="QD19" s="24"/>
      <c r="QE19" s="24"/>
      <c r="QF19" s="24"/>
      <c r="QG19" s="24"/>
      <c r="QH19" s="24"/>
      <c r="QI19" s="24"/>
      <c r="QJ19" s="24"/>
      <c r="QK19" s="24"/>
      <c r="QL19" s="24"/>
      <c r="QM19" s="24"/>
      <c r="QN19" s="24"/>
      <c r="QO19" s="24"/>
      <c r="QP19" s="24"/>
      <c r="QQ19" s="24"/>
      <c r="QR19" s="24"/>
      <c r="QS19" s="24"/>
      <c r="QT19" s="24"/>
      <c r="QU19" s="24"/>
      <c r="QV19" s="24"/>
      <c r="QW19" s="24"/>
      <c r="QX19" s="24"/>
      <c r="QY19" s="24"/>
      <c r="QZ19" s="24"/>
      <c r="RA19" s="24"/>
      <c r="RB19" s="24"/>
      <c r="RC19" s="24"/>
      <c r="RD19" s="24"/>
      <c r="RE19" s="24"/>
      <c r="RF19" s="24"/>
      <c r="RG19" s="24"/>
      <c r="RH19" s="24"/>
      <c r="RI19" s="24"/>
      <c r="RJ19" s="24"/>
      <c r="RK19" s="24"/>
      <c r="RL19" s="24"/>
      <c r="RM19" s="24"/>
      <c r="RN19" s="24"/>
      <c r="RO19" s="24"/>
      <c r="RP19" s="24"/>
      <c r="RQ19" s="24"/>
      <c r="RR19" s="24"/>
      <c r="RS19" s="24"/>
      <c r="RT19" s="24"/>
      <c r="RU19" s="24"/>
      <c r="RV19" s="24"/>
      <c r="RW19" s="24"/>
      <c r="RX19" s="24"/>
      <c r="RY19" s="24"/>
      <c r="RZ19" s="24"/>
      <c r="SA19" s="24"/>
      <c r="SB19" s="24"/>
      <c r="SC19" s="24"/>
      <c r="SD19" s="24"/>
      <c r="SE19" s="24"/>
      <c r="SF19" s="24"/>
      <c r="SG19" s="24"/>
      <c r="SH19" s="24"/>
      <c r="SI19" s="24"/>
      <c r="SJ19" s="24"/>
      <c r="SK19" s="24"/>
      <c r="SL19" s="24"/>
      <c r="SM19" s="24"/>
      <c r="SN19" s="24"/>
      <c r="SO19" s="24"/>
      <c r="SP19" s="24"/>
      <c r="SQ19" s="24"/>
      <c r="SR19" s="24"/>
      <c r="SS19" s="24"/>
      <c r="ST19" s="24"/>
      <c r="SU19" s="24"/>
      <c r="SV19" s="24"/>
      <c r="SW19" s="24"/>
      <c r="SX19" s="24"/>
      <c r="SY19" s="24"/>
      <c r="SZ19" s="24"/>
      <c r="TA19" s="24"/>
      <c r="TB19" s="24"/>
      <c r="TC19" s="24"/>
      <c r="TD19" s="24"/>
      <c r="TE19" s="24"/>
      <c r="TF19" s="24"/>
      <c r="TG19" s="24"/>
      <c r="TH19" s="24"/>
      <c r="TI19" s="24"/>
      <c r="TJ19" s="24"/>
      <c r="TK19" s="24"/>
      <c r="TL19" s="24"/>
      <c r="TM19" s="24"/>
      <c r="TN19" s="24"/>
      <c r="TO19" s="24"/>
      <c r="TP19" s="24"/>
      <c r="TQ19" s="24"/>
      <c r="TR19" s="24"/>
      <c r="TS19" s="24"/>
      <c r="TT19" s="24"/>
      <c r="TU19" s="24"/>
      <c r="TV19" s="24"/>
      <c r="TW19" s="24"/>
      <c r="TX19" s="24"/>
      <c r="TY19" s="24"/>
      <c r="TZ19" s="24"/>
      <c r="UA19" s="24"/>
      <c r="UB19" s="24"/>
      <c r="UC19" s="24"/>
      <c r="UD19" s="24"/>
      <c r="UE19" s="24"/>
      <c r="UF19" s="24"/>
      <c r="UG19" s="24"/>
      <c r="UH19" s="24"/>
      <c r="UI19" s="24"/>
      <c r="UJ19" s="24"/>
      <c r="UK19" s="24"/>
      <c r="UL19" s="24"/>
      <c r="UM19" s="24"/>
      <c r="UN19" s="24"/>
      <c r="UO19" s="24"/>
      <c r="UP19" s="24"/>
      <c r="UQ19" s="24"/>
      <c r="UR19" s="24"/>
      <c r="US19" s="24"/>
      <c r="UT19" s="24"/>
      <c r="UU19" s="24"/>
      <c r="UV19" s="24"/>
      <c r="UW19" s="24"/>
      <c r="UX19" s="24"/>
      <c r="UY19" s="24"/>
      <c r="UZ19" s="24"/>
      <c r="VA19" s="24"/>
      <c r="VB19" s="24"/>
      <c r="VC19" s="24"/>
      <c r="VD19" s="24"/>
      <c r="VE19" s="24"/>
      <c r="VF19" s="24"/>
      <c r="VG19" s="24"/>
      <c r="VH19" s="24"/>
      <c r="VI19" s="24"/>
      <c r="VJ19" s="24"/>
      <c r="VK19" s="24"/>
      <c r="VL19" s="24"/>
      <c r="VM19" s="24"/>
      <c r="VN19" s="24"/>
      <c r="VO19" s="24"/>
      <c r="VP19" s="24"/>
      <c r="VQ19" s="24"/>
      <c r="VR19" s="24"/>
      <c r="VS19" s="24"/>
      <c r="VT19" s="24"/>
      <c r="VU19" s="24"/>
      <c r="VV19" s="24"/>
      <c r="VW19" s="24"/>
      <c r="VX19" s="24"/>
      <c r="VY19" s="24"/>
      <c r="VZ19" s="24"/>
      <c r="WA19" s="24"/>
      <c r="WB19" s="24"/>
      <c r="WC19" s="24"/>
      <c r="WD19" s="24"/>
      <c r="WE19" s="24"/>
    </row>
    <row r="20" spans="1:603" s="11" customFormat="1" ht="13.65" customHeight="1" thickBot="1" x14ac:dyDescent="0.35">
      <c r="A20" s="200" t="s">
        <v>107</v>
      </c>
      <c r="B20" s="201"/>
      <c r="C20" s="201"/>
      <c r="D20" s="73">
        <f>H12-D29-E41</f>
        <v>0</v>
      </c>
      <c r="E20" s="74">
        <f>H13-U29</f>
        <v>0</v>
      </c>
      <c r="F20" s="70">
        <f t="shared" si="0"/>
        <v>0</v>
      </c>
      <c r="G20" s="32"/>
      <c r="H20" s="32"/>
      <c r="I20" s="32"/>
      <c r="J20" s="32"/>
      <c r="K20" s="32"/>
      <c r="L20" s="32"/>
      <c r="M20" s="32"/>
      <c r="N20" s="32"/>
      <c r="O20" s="32"/>
      <c r="P20" s="32"/>
      <c r="Q20" s="32"/>
      <c r="R20" s="32"/>
      <c r="S20" s="32"/>
      <c r="T20" s="32"/>
      <c r="U20" s="33"/>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c r="BT20" s="24"/>
      <c r="BU20" s="24"/>
      <c r="BV20" s="24"/>
      <c r="BW20" s="24"/>
      <c r="BX20" s="24"/>
      <c r="BY20" s="24"/>
      <c r="BZ20" s="24"/>
      <c r="CA20" s="24"/>
      <c r="CB20" s="24"/>
      <c r="CC20" s="24"/>
      <c r="CD20" s="24"/>
      <c r="CE20" s="24"/>
      <c r="CF20" s="24"/>
      <c r="CG20" s="24"/>
      <c r="CH20" s="24"/>
      <c r="CI20" s="24"/>
      <c r="CJ20" s="24"/>
      <c r="CK20" s="24"/>
      <c r="CL20" s="24"/>
      <c r="CM20" s="24"/>
      <c r="CN20" s="24"/>
      <c r="CO20" s="24"/>
      <c r="CP20" s="24"/>
      <c r="CQ20" s="24"/>
      <c r="CR20" s="24"/>
      <c r="CS20" s="24"/>
      <c r="CT20" s="24"/>
      <c r="CU20" s="24"/>
      <c r="CV20" s="24"/>
      <c r="CW20" s="24"/>
      <c r="CX20" s="24"/>
      <c r="CY20" s="24"/>
      <c r="CZ20" s="24"/>
      <c r="DA20" s="24"/>
      <c r="DB20" s="24"/>
      <c r="DC20" s="24"/>
      <c r="DD20" s="24"/>
      <c r="DE20" s="24"/>
      <c r="DF20" s="24"/>
      <c r="DG20" s="24"/>
      <c r="DH20" s="24"/>
      <c r="DI20" s="24"/>
      <c r="DJ20" s="24"/>
      <c r="DK20" s="24"/>
      <c r="DL20" s="24"/>
      <c r="DM20" s="24"/>
      <c r="DN20" s="24"/>
      <c r="DO20" s="24"/>
      <c r="DP20" s="24"/>
      <c r="DQ20" s="24"/>
      <c r="DR20" s="24"/>
      <c r="DS20" s="24"/>
      <c r="DT20" s="24"/>
      <c r="DU20" s="24"/>
      <c r="DV20" s="24"/>
      <c r="DW20" s="24"/>
      <c r="DX20" s="24"/>
      <c r="DY20" s="24"/>
      <c r="DZ20" s="24"/>
      <c r="EA20" s="24"/>
      <c r="EB20" s="24"/>
      <c r="EC20" s="24"/>
      <c r="ED20" s="24"/>
      <c r="EE20" s="24"/>
      <c r="EF20" s="24"/>
      <c r="EG20" s="24"/>
      <c r="EH20" s="24"/>
      <c r="EI20" s="24"/>
      <c r="EJ20" s="24"/>
      <c r="EK20" s="24"/>
      <c r="EL20" s="24"/>
      <c r="EM20" s="24"/>
      <c r="EN20" s="24"/>
      <c r="EO20" s="24"/>
      <c r="EP20" s="24"/>
      <c r="EQ20" s="24"/>
      <c r="ER20" s="24"/>
      <c r="ES20" s="24"/>
      <c r="ET20" s="24"/>
      <c r="EU20" s="24"/>
      <c r="EV20" s="24"/>
      <c r="EW20" s="24"/>
      <c r="EX20" s="24"/>
      <c r="EY20" s="24"/>
      <c r="EZ20" s="24"/>
      <c r="FA20" s="24"/>
      <c r="FB20" s="24"/>
      <c r="FC20" s="24"/>
      <c r="FD20" s="24"/>
      <c r="FE20" s="24"/>
      <c r="FF20" s="24"/>
      <c r="FG20" s="24"/>
      <c r="FH20" s="24"/>
      <c r="FI20" s="24"/>
      <c r="FJ20" s="24"/>
      <c r="FK20" s="24"/>
      <c r="FL20" s="24"/>
      <c r="FM20" s="24"/>
      <c r="FN20" s="24"/>
      <c r="FO20" s="24"/>
      <c r="FP20" s="24"/>
      <c r="FQ20" s="24"/>
      <c r="FR20" s="24"/>
      <c r="FS20" s="24"/>
      <c r="FT20" s="24"/>
      <c r="FU20" s="24"/>
      <c r="FV20" s="24"/>
      <c r="FW20" s="24"/>
      <c r="FX20" s="24"/>
      <c r="FY20" s="24"/>
      <c r="FZ20" s="24"/>
      <c r="GA20" s="24"/>
      <c r="GB20" s="24"/>
      <c r="GC20" s="24"/>
      <c r="GD20" s="24"/>
      <c r="GE20" s="24"/>
      <c r="GF20" s="24"/>
      <c r="GG20" s="24"/>
      <c r="GH20" s="24"/>
      <c r="GI20" s="24"/>
      <c r="GJ20" s="24"/>
      <c r="GK20" s="24"/>
      <c r="GL20" s="24"/>
      <c r="GM20" s="24"/>
      <c r="GN20" s="24"/>
      <c r="GO20" s="24"/>
      <c r="GP20" s="24"/>
      <c r="GQ20" s="24"/>
      <c r="GR20" s="24"/>
      <c r="GS20" s="24"/>
      <c r="GT20" s="24"/>
      <c r="GU20" s="24"/>
      <c r="GV20" s="24"/>
      <c r="GW20" s="24"/>
      <c r="GX20" s="24"/>
      <c r="GY20" s="24"/>
      <c r="GZ20" s="24"/>
      <c r="HA20" s="24"/>
      <c r="HB20" s="24"/>
      <c r="HC20" s="24"/>
      <c r="HD20" s="24"/>
      <c r="HE20" s="24"/>
      <c r="HF20" s="24"/>
      <c r="HG20" s="24"/>
      <c r="HH20" s="24"/>
      <c r="HI20" s="24"/>
      <c r="HJ20" s="24"/>
      <c r="HK20" s="24"/>
      <c r="HL20" s="24"/>
      <c r="HM20" s="24"/>
      <c r="HN20" s="24"/>
      <c r="HO20" s="24"/>
      <c r="HP20" s="24"/>
      <c r="HQ20" s="24"/>
      <c r="HR20" s="24"/>
      <c r="HS20" s="24"/>
      <c r="HT20" s="24"/>
      <c r="HU20" s="24"/>
      <c r="HV20" s="24"/>
      <c r="HW20" s="24"/>
      <c r="HX20" s="24"/>
      <c r="HY20" s="24"/>
      <c r="HZ20" s="24"/>
      <c r="IA20" s="24"/>
      <c r="IB20" s="24"/>
      <c r="IC20" s="24"/>
      <c r="ID20" s="24"/>
      <c r="IE20" s="24"/>
      <c r="IF20" s="24"/>
      <c r="IG20" s="24"/>
      <c r="IH20" s="24"/>
      <c r="II20" s="24"/>
      <c r="IJ20" s="24"/>
      <c r="IK20" s="24"/>
      <c r="IL20" s="24"/>
      <c r="IM20" s="24"/>
      <c r="IN20" s="24"/>
      <c r="IO20" s="24"/>
      <c r="IP20" s="24"/>
      <c r="IQ20" s="24"/>
      <c r="IR20" s="24"/>
      <c r="IS20" s="24"/>
      <c r="IT20" s="24"/>
      <c r="IU20" s="24"/>
      <c r="IV20" s="24"/>
      <c r="IW20" s="24"/>
      <c r="IX20" s="24"/>
      <c r="IY20" s="24"/>
      <c r="IZ20" s="24"/>
      <c r="JA20" s="24"/>
      <c r="JB20" s="24"/>
      <c r="JC20" s="24"/>
      <c r="JD20" s="24"/>
      <c r="JE20" s="24"/>
      <c r="JF20" s="24"/>
      <c r="JG20" s="24"/>
      <c r="JH20" s="24"/>
      <c r="JI20" s="24"/>
      <c r="JJ20" s="24"/>
      <c r="JK20" s="24"/>
      <c r="JL20" s="24"/>
      <c r="JM20" s="24"/>
      <c r="JN20" s="24"/>
      <c r="JO20" s="24"/>
      <c r="JP20" s="24"/>
      <c r="JQ20" s="24"/>
      <c r="JR20" s="24"/>
      <c r="JS20" s="24"/>
      <c r="JT20" s="24"/>
      <c r="JU20" s="24"/>
      <c r="JV20" s="24"/>
      <c r="JW20" s="24"/>
      <c r="JX20" s="24"/>
      <c r="JY20" s="24"/>
      <c r="JZ20" s="24"/>
      <c r="KA20" s="24"/>
      <c r="KB20" s="24"/>
      <c r="KC20" s="24"/>
      <c r="KD20" s="24"/>
      <c r="KE20" s="24"/>
      <c r="KF20" s="24"/>
      <c r="KG20" s="24"/>
      <c r="KH20" s="24"/>
      <c r="KI20" s="24"/>
      <c r="KJ20" s="24"/>
      <c r="KK20" s="24"/>
      <c r="KL20" s="24"/>
      <c r="KM20" s="24"/>
      <c r="KN20" s="24"/>
      <c r="KO20" s="24"/>
      <c r="KP20" s="24"/>
      <c r="KQ20" s="24"/>
      <c r="KR20" s="24"/>
      <c r="KS20" s="24"/>
      <c r="KT20" s="24"/>
      <c r="KU20" s="24"/>
      <c r="KV20" s="24"/>
      <c r="KW20" s="24"/>
      <c r="KX20" s="24"/>
      <c r="KY20" s="24"/>
      <c r="KZ20" s="24"/>
      <c r="LA20" s="24"/>
      <c r="LB20" s="24"/>
      <c r="LC20" s="24"/>
      <c r="LD20" s="24"/>
      <c r="LE20" s="24"/>
      <c r="LF20" s="24"/>
      <c r="LG20" s="24"/>
      <c r="LH20" s="24"/>
      <c r="LI20" s="24"/>
      <c r="LJ20" s="24"/>
      <c r="LK20" s="24"/>
      <c r="LL20" s="24"/>
      <c r="LM20" s="24"/>
      <c r="LN20" s="24"/>
      <c r="LO20" s="24"/>
      <c r="LP20" s="24"/>
      <c r="LQ20" s="24"/>
      <c r="LR20" s="24"/>
      <c r="LS20" s="24"/>
      <c r="LT20" s="24"/>
      <c r="LU20" s="24"/>
      <c r="LV20" s="24"/>
      <c r="LW20" s="24"/>
      <c r="LX20" s="24"/>
      <c r="LY20" s="24"/>
      <c r="LZ20" s="24"/>
      <c r="MA20" s="24"/>
      <c r="MB20" s="24"/>
      <c r="MC20" s="24"/>
      <c r="MD20" s="24"/>
      <c r="ME20" s="24"/>
      <c r="MF20" s="24"/>
      <c r="MG20" s="24"/>
      <c r="MH20" s="24"/>
      <c r="MI20" s="24"/>
      <c r="MJ20" s="24"/>
      <c r="MK20" s="24"/>
      <c r="ML20" s="24"/>
      <c r="MM20" s="24"/>
      <c r="MN20" s="24"/>
      <c r="MO20" s="24"/>
      <c r="MP20" s="24"/>
      <c r="MQ20" s="24"/>
      <c r="MR20" s="24"/>
      <c r="MS20" s="24"/>
      <c r="MT20" s="24"/>
      <c r="MU20" s="24"/>
      <c r="MV20" s="24"/>
      <c r="MW20" s="24"/>
      <c r="MX20" s="24"/>
      <c r="MY20" s="24"/>
      <c r="MZ20" s="24"/>
      <c r="NA20" s="24"/>
      <c r="NB20" s="24"/>
      <c r="NC20" s="24"/>
      <c r="ND20" s="24"/>
      <c r="NE20" s="24"/>
      <c r="NF20" s="24"/>
      <c r="NG20" s="24"/>
      <c r="NH20" s="24"/>
      <c r="NI20" s="24"/>
      <c r="NJ20" s="24"/>
      <c r="NK20" s="24"/>
      <c r="NL20" s="24"/>
      <c r="NM20" s="24"/>
      <c r="NN20" s="24"/>
      <c r="NO20" s="24"/>
      <c r="NP20" s="24"/>
      <c r="NQ20" s="24"/>
      <c r="NR20" s="24"/>
      <c r="NS20" s="24"/>
      <c r="NT20" s="24"/>
      <c r="NU20" s="24"/>
      <c r="NV20" s="24"/>
      <c r="NW20" s="24"/>
      <c r="NX20" s="24"/>
      <c r="NY20" s="24"/>
      <c r="NZ20" s="24"/>
      <c r="OA20" s="24"/>
      <c r="OB20" s="24"/>
      <c r="OC20" s="24"/>
      <c r="OD20" s="24"/>
      <c r="OE20" s="24"/>
      <c r="OF20" s="24"/>
      <c r="OG20" s="24"/>
      <c r="OH20" s="24"/>
      <c r="OI20" s="24"/>
      <c r="OJ20" s="24"/>
      <c r="OK20" s="24"/>
      <c r="OL20" s="24"/>
      <c r="OM20" s="24"/>
      <c r="ON20" s="24"/>
      <c r="OO20" s="24"/>
      <c r="OP20" s="24"/>
      <c r="OQ20" s="24"/>
      <c r="OR20" s="24"/>
      <c r="OS20" s="24"/>
      <c r="OT20" s="24"/>
      <c r="OU20" s="24"/>
      <c r="OV20" s="24"/>
      <c r="OW20" s="24"/>
      <c r="OX20" s="24"/>
      <c r="OY20" s="24"/>
      <c r="OZ20" s="24"/>
      <c r="PA20" s="24"/>
      <c r="PB20" s="24"/>
      <c r="PC20" s="24"/>
      <c r="PD20" s="24"/>
      <c r="PE20" s="24"/>
      <c r="PF20" s="24"/>
      <c r="PG20" s="24"/>
      <c r="PH20" s="24"/>
      <c r="PI20" s="24"/>
      <c r="PJ20" s="24"/>
      <c r="PK20" s="24"/>
      <c r="PL20" s="24"/>
      <c r="PM20" s="24"/>
      <c r="PN20" s="24"/>
      <c r="PO20" s="24"/>
      <c r="PP20" s="24"/>
      <c r="PQ20" s="24"/>
      <c r="PR20" s="24"/>
      <c r="PS20" s="24"/>
      <c r="PT20" s="24"/>
      <c r="PU20" s="24"/>
      <c r="PV20" s="24"/>
      <c r="PW20" s="24"/>
      <c r="PX20" s="24"/>
      <c r="PY20" s="24"/>
      <c r="PZ20" s="24"/>
      <c r="QA20" s="24"/>
      <c r="QB20" s="24"/>
      <c r="QC20" s="24"/>
      <c r="QD20" s="24"/>
      <c r="QE20" s="24"/>
      <c r="QF20" s="24"/>
      <c r="QG20" s="24"/>
      <c r="QH20" s="24"/>
      <c r="QI20" s="24"/>
      <c r="QJ20" s="24"/>
      <c r="QK20" s="24"/>
      <c r="QL20" s="24"/>
      <c r="QM20" s="24"/>
      <c r="QN20" s="24"/>
      <c r="QO20" s="24"/>
      <c r="QP20" s="24"/>
      <c r="QQ20" s="24"/>
      <c r="QR20" s="24"/>
      <c r="QS20" s="24"/>
      <c r="QT20" s="24"/>
      <c r="QU20" s="24"/>
      <c r="QV20" s="24"/>
      <c r="QW20" s="24"/>
      <c r="QX20" s="24"/>
      <c r="QY20" s="24"/>
      <c r="QZ20" s="24"/>
      <c r="RA20" s="24"/>
      <c r="RB20" s="24"/>
      <c r="RC20" s="24"/>
      <c r="RD20" s="24"/>
      <c r="RE20" s="24"/>
      <c r="RF20" s="24"/>
      <c r="RG20" s="24"/>
      <c r="RH20" s="24"/>
      <c r="RI20" s="24"/>
      <c r="RJ20" s="24"/>
      <c r="RK20" s="24"/>
      <c r="RL20" s="24"/>
      <c r="RM20" s="24"/>
      <c r="RN20" s="24"/>
      <c r="RO20" s="24"/>
      <c r="RP20" s="24"/>
      <c r="RQ20" s="24"/>
      <c r="RR20" s="24"/>
      <c r="RS20" s="24"/>
      <c r="RT20" s="24"/>
      <c r="RU20" s="24"/>
      <c r="RV20" s="24"/>
      <c r="RW20" s="24"/>
      <c r="RX20" s="24"/>
      <c r="RY20" s="24"/>
      <c r="RZ20" s="24"/>
      <c r="SA20" s="24"/>
      <c r="SB20" s="24"/>
      <c r="SC20" s="24"/>
      <c r="SD20" s="24"/>
      <c r="SE20" s="24"/>
      <c r="SF20" s="24"/>
      <c r="SG20" s="24"/>
      <c r="SH20" s="24"/>
      <c r="SI20" s="24"/>
      <c r="SJ20" s="24"/>
      <c r="SK20" s="24"/>
      <c r="SL20" s="24"/>
      <c r="SM20" s="24"/>
      <c r="SN20" s="24"/>
      <c r="SO20" s="24"/>
      <c r="SP20" s="24"/>
      <c r="SQ20" s="24"/>
      <c r="SR20" s="24"/>
      <c r="SS20" s="24"/>
      <c r="ST20" s="24"/>
      <c r="SU20" s="24"/>
      <c r="SV20" s="24"/>
      <c r="SW20" s="24"/>
      <c r="SX20" s="24"/>
      <c r="SY20" s="24"/>
      <c r="SZ20" s="24"/>
      <c r="TA20" s="24"/>
      <c r="TB20" s="24"/>
      <c r="TC20" s="24"/>
      <c r="TD20" s="24"/>
      <c r="TE20" s="24"/>
      <c r="TF20" s="24"/>
      <c r="TG20" s="24"/>
      <c r="TH20" s="24"/>
      <c r="TI20" s="24"/>
      <c r="TJ20" s="24"/>
      <c r="TK20" s="24"/>
      <c r="TL20" s="24"/>
      <c r="TM20" s="24"/>
      <c r="TN20" s="24"/>
      <c r="TO20" s="24"/>
      <c r="TP20" s="24"/>
      <c r="TQ20" s="24"/>
      <c r="TR20" s="24"/>
      <c r="TS20" s="24"/>
      <c r="TT20" s="24"/>
      <c r="TU20" s="24"/>
      <c r="TV20" s="24"/>
      <c r="TW20" s="24"/>
      <c r="TX20" s="24"/>
      <c r="TY20" s="24"/>
      <c r="TZ20" s="24"/>
      <c r="UA20" s="24"/>
      <c r="UB20" s="24"/>
      <c r="UC20" s="24"/>
      <c r="UD20" s="24"/>
      <c r="UE20" s="24"/>
      <c r="UF20" s="24"/>
      <c r="UG20" s="24"/>
      <c r="UH20" s="24"/>
      <c r="UI20" s="24"/>
      <c r="UJ20" s="24"/>
      <c r="UK20" s="24"/>
      <c r="UL20" s="24"/>
      <c r="UM20" s="24"/>
      <c r="UN20" s="24"/>
      <c r="UO20" s="24"/>
      <c r="UP20" s="24"/>
      <c r="UQ20" s="24"/>
      <c r="UR20" s="24"/>
      <c r="US20" s="24"/>
      <c r="UT20" s="24"/>
      <c r="UU20" s="24"/>
      <c r="UV20" s="24"/>
      <c r="UW20" s="24"/>
      <c r="UX20" s="24"/>
      <c r="UY20" s="24"/>
      <c r="UZ20" s="24"/>
      <c r="VA20" s="24"/>
      <c r="VB20" s="24"/>
      <c r="VC20" s="24"/>
      <c r="VD20" s="24"/>
      <c r="VE20" s="24"/>
      <c r="VF20" s="24"/>
      <c r="VG20" s="24"/>
      <c r="VH20" s="24"/>
      <c r="VI20" s="24"/>
      <c r="VJ20" s="24"/>
      <c r="VK20" s="24"/>
      <c r="VL20" s="24"/>
      <c r="VM20" s="24"/>
      <c r="VN20" s="24"/>
      <c r="VO20" s="24"/>
      <c r="VP20" s="24"/>
      <c r="VQ20" s="24"/>
      <c r="VR20" s="24"/>
      <c r="VS20" s="24"/>
      <c r="VT20" s="24"/>
      <c r="VU20" s="24"/>
      <c r="VV20" s="24"/>
      <c r="VW20" s="24"/>
      <c r="VX20" s="24"/>
      <c r="VY20" s="24"/>
      <c r="VZ20" s="24"/>
      <c r="WA20" s="24"/>
      <c r="WB20" s="24"/>
      <c r="WC20" s="24"/>
      <c r="WD20" s="24"/>
      <c r="WE20" s="24"/>
    </row>
    <row r="21" spans="1:603" s="11" customFormat="1" ht="3.75" customHeight="1" thickBot="1" x14ac:dyDescent="0.35">
      <c r="A21" s="34"/>
      <c r="B21" s="35"/>
      <c r="C21" s="35"/>
      <c r="D21" s="35"/>
      <c r="E21" s="35"/>
      <c r="F21" s="35"/>
      <c r="G21" s="35"/>
      <c r="H21" s="35"/>
      <c r="I21" s="36"/>
      <c r="J21" s="32"/>
      <c r="K21" s="32"/>
      <c r="L21" s="32"/>
      <c r="M21" s="32"/>
      <c r="N21" s="32"/>
      <c r="O21" s="32"/>
      <c r="P21" s="32"/>
      <c r="Q21" s="32"/>
      <c r="R21" s="32"/>
      <c r="S21" s="32"/>
      <c r="T21" s="32"/>
      <c r="U21" s="33"/>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c r="CH21" s="24"/>
      <c r="CI21" s="24"/>
      <c r="CJ21" s="24"/>
      <c r="CK21" s="24"/>
      <c r="CL21" s="24"/>
      <c r="CM21" s="24"/>
      <c r="CN21" s="24"/>
      <c r="CO21" s="24"/>
      <c r="CP21" s="24"/>
      <c r="CQ21" s="24"/>
      <c r="CR21" s="24"/>
      <c r="CS21" s="24"/>
      <c r="CT21" s="24"/>
      <c r="CU21" s="24"/>
      <c r="CV21" s="24"/>
      <c r="CW21" s="24"/>
      <c r="CX21" s="24"/>
      <c r="CY21" s="24"/>
      <c r="CZ21" s="24"/>
      <c r="DA21" s="24"/>
      <c r="DB21" s="24"/>
      <c r="DC21" s="24"/>
      <c r="DD21" s="24"/>
      <c r="DE21" s="24"/>
      <c r="DF21" s="24"/>
      <c r="DG21" s="24"/>
      <c r="DH21" s="24"/>
      <c r="DI21" s="24"/>
      <c r="DJ21" s="24"/>
      <c r="DK21" s="24"/>
      <c r="DL21" s="24"/>
      <c r="DM21" s="24"/>
      <c r="DN21" s="24"/>
      <c r="DO21" s="24"/>
      <c r="DP21" s="24"/>
      <c r="DQ21" s="24"/>
      <c r="DR21" s="24"/>
      <c r="DS21" s="24"/>
      <c r="DT21" s="24"/>
      <c r="DU21" s="24"/>
      <c r="DV21" s="24"/>
      <c r="DW21" s="24"/>
      <c r="DX21" s="24"/>
      <c r="DY21" s="24"/>
      <c r="DZ21" s="24"/>
      <c r="EA21" s="24"/>
      <c r="EB21" s="24"/>
      <c r="EC21" s="24"/>
      <c r="ED21" s="24"/>
      <c r="EE21" s="24"/>
      <c r="EF21" s="24"/>
      <c r="EG21" s="24"/>
      <c r="EH21" s="24"/>
      <c r="EI21" s="24"/>
      <c r="EJ21" s="24"/>
      <c r="EK21" s="24"/>
      <c r="EL21" s="24"/>
      <c r="EM21" s="24"/>
      <c r="EN21" s="24"/>
      <c r="EO21" s="24"/>
      <c r="EP21" s="24"/>
      <c r="EQ21" s="24"/>
      <c r="ER21" s="24"/>
      <c r="ES21" s="24"/>
      <c r="ET21" s="24"/>
      <c r="EU21" s="24"/>
      <c r="EV21" s="24"/>
      <c r="EW21" s="24"/>
      <c r="EX21" s="24"/>
      <c r="EY21" s="24"/>
      <c r="EZ21" s="24"/>
      <c r="FA21" s="24"/>
      <c r="FB21" s="24"/>
      <c r="FC21" s="24"/>
      <c r="FD21" s="24"/>
      <c r="FE21" s="24"/>
      <c r="FF21" s="24"/>
      <c r="FG21" s="24"/>
      <c r="FH21" s="24"/>
      <c r="FI21" s="24"/>
      <c r="FJ21" s="24"/>
      <c r="FK21" s="24"/>
      <c r="FL21" s="24"/>
      <c r="FM21" s="24"/>
      <c r="FN21" s="24"/>
      <c r="FO21" s="24"/>
      <c r="FP21" s="24"/>
      <c r="FQ21" s="24"/>
      <c r="FR21" s="24"/>
      <c r="FS21" s="24"/>
      <c r="FT21" s="24"/>
      <c r="FU21" s="24"/>
      <c r="FV21" s="24"/>
      <c r="FW21" s="24"/>
      <c r="FX21" s="24"/>
      <c r="FY21" s="24"/>
      <c r="FZ21" s="24"/>
      <c r="GA21" s="24"/>
      <c r="GB21" s="24"/>
      <c r="GC21" s="24"/>
      <c r="GD21" s="24"/>
      <c r="GE21" s="24"/>
      <c r="GF21" s="24"/>
      <c r="GG21" s="24"/>
      <c r="GH21" s="24"/>
      <c r="GI21" s="24"/>
      <c r="GJ21" s="24"/>
      <c r="GK21" s="24"/>
      <c r="GL21" s="24"/>
      <c r="GM21" s="24"/>
      <c r="GN21" s="24"/>
      <c r="GO21" s="24"/>
      <c r="GP21" s="24"/>
      <c r="GQ21" s="24"/>
      <c r="GR21" s="24"/>
      <c r="GS21" s="24"/>
      <c r="GT21" s="24"/>
      <c r="GU21" s="24"/>
      <c r="GV21" s="24"/>
      <c r="GW21" s="24"/>
      <c r="GX21" s="24"/>
      <c r="GY21" s="24"/>
      <c r="GZ21" s="24"/>
      <c r="HA21" s="24"/>
      <c r="HB21" s="24"/>
      <c r="HC21" s="24"/>
      <c r="HD21" s="24"/>
      <c r="HE21" s="24"/>
      <c r="HF21" s="24"/>
      <c r="HG21" s="24"/>
      <c r="HH21" s="24"/>
      <c r="HI21" s="24"/>
      <c r="HJ21" s="24"/>
      <c r="HK21" s="24"/>
      <c r="HL21" s="24"/>
      <c r="HM21" s="24"/>
      <c r="HN21" s="24"/>
      <c r="HO21" s="24"/>
      <c r="HP21" s="24"/>
      <c r="HQ21" s="24"/>
      <c r="HR21" s="24"/>
      <c r="HS21" s="24"/>
      <c r="HT21" s="24"/>
      <c r="HU21" s="24"/>
      <c r="HV21" s="24"/>
      <c r="HW21" s="24"/>
      <c r="HX21" s="24"/>
      <c r="HY21" s="24"/>
      <c r="HZ21" s="24"/>
      <c r="IA21" s="24"/>
      <c r="IB21" s="24"/>
      <c r="IC21" s="24"/>
      <c r="ID21" s="24"/>
      <c r="IE21" s="24"/>
      <c r="IF21" s="24"/>
      <c r="IG21" s="24"/>
      <c r="IH21" s="24"/>
      <c r="II21" s="24"/>
      <c r="IJ21" s="24"/>
      <c r="IK21" s="24"/>
      <c r="IL21" s="24"/>
      <c r="IM21" s="24"/>
      <c r="IN21" s="24"/>
      <c r="IO21" s="24"/>
      <c r="IP21" s="24"/>
      <c r="IQ21" s="24"/>
      <c r="IR21" s="24"/>
      <c r="IS21" s="24"/>
      <c r="IT21" s="24"/>
      <c r="IU21" s="24"/>
      <c r="IV21" s="24"/>
      <c r="IW21" s="24"/>
      <c r="IX21" s="24"/>
      <c r="IY21" s="24"/>
      <c r="IZ21" s="24"/>
      <c r="JA21" s="24"/>
      <c r="JB21" s="24"/>
      <c r="JC21" s="24"/>
      <c r="JD21" s="24"/>
      <c r="JE21" s="24"/>
      <c r="JF21" s="24"/>
      <c r="JG21" s="24"/>
      <c r="JH21" s="24"/>
      <c r="JI21" s="24"/>
      <c r="JJ21" s="24"/>
      <c r="JK21" s="24"/>
      <c r="JL21" s="24"/>
      <c r="JM21" s="24"/>
      <c r="JN21" s="24"/>
      <c r="JO21" s="24"/>
      <c r="JP21" s="24"/>
      <c r="JQ21" s="24"/>
      <c r="JR21" s="24"/>
      <c r="JS21" s="24"/>
      <c r="JT21" s="24"/>
      <c r="JU21" s="24"/>
      <c r="JV21" s="24"/>
      <c r="JW21" s="24"/>
      <c r="JX21" s="24"/>
      <c r="JY21" s="24"/>
      <c r="JZ21" s="24"/>
      <c r="KA21" s="24"/>
      <c r="KB21" s="24"/>
      <c r="KC21" s="24"/>
      <c r="KD21" s="24"/>
      <c r="KE21" s="24"/>
      <c r="KF21" s="24"/>
      <c r="KG21" s="24"/>
      <c r="KH21" s="24"/>
      <c r="KI21" s="24"/>
      <c r="KJ21" s="24"/>
      <c r="KK21" s="24"/>
      <c r="KL21" s="24"/>
      <c r="KM21" s="24"/>
      <c r="KN21" s="24"/>
      <c r="KO21" s="24"/>
      <c r="KP21" s="24"/>
      <c r="KQ21" s="24"/>
      <c r="KR21" s="24"/>
      <c r="KS21" s="24"/>
      <c r="KT21" s="24"/>
      <c r="KU21" s="24"/>
      <c r="KV21" s="24"/>
      <c r="KW21" s="24"/>
      <c r="KX21" s="24"/>
      <c r="KY21" s="24"/>
      <c r="KZ21" s="24"/>
      <c r="LA21" s="24"/>
      <c r="LB21" s="24"/>
      <c r="LC21" s="24"/>
      <c r="LD21" s="24"/>
      <c r="LE21" s="24"/>
      <c r="LF21" s="24"/>
      <c r="LG21" s="24"/>
      <c r="LH21" s="24"/>
      <c r="LI21" s="24"/>
      <c r="LJ21" s="24"/>
      <c r="LK21" s="24"/>
      <c r="LL21" s="24"/>
      <c r="LM21" s="24"/>
      <c r="LN21" s="24"/>
      <c r="LO21" s="24"/>
      <c r="LP21" s="24"/>
      <c r="LQ21" s="24"/>
      <c r="LR21" s="24"/>
      <c r="LS21" s="24"/>
      <c r="LT21" s="24"/>
      <c r="LU21" s="24"/>
      <c r="LV21" s="24"/>
      <c r="LW21" s="24"/>
      <c r="LX21" s="24"/>
      <c r="LY21" s="24"/>
      <c r="LZ21" s="24"/>
      <c r="MA21" s="24"/>
      <c r="MB21" s="24"/>
      <c r="MC21" s="24"/>
      <c r="MD21" s="24"/>
      <c r="ME21" s="24"/>
      <c r="MF21" s="24"/>
      <c r="MG21" s="24"/>
      <c r="MH21" s="24"/>
      <c r="MI21" s="24"/>
      <c r="MJ21" s="24"/>
      <c r="MK21" s="24"/>
      <c r="ML21" s="24"/>
      <c r="MM21" s="24"/>
      <c r="MN21" s="24"/>
      <c r="MO21" s="24"/>
      <c r="MP21" s="24"/>
      <c r="MQ21" s="24"/>
      <c r="MR21" s="24"/>
      <c r="MS21" s="24"/>
      <c r="MT21" s="24"/>
      <c r="MU21" s="24"/>
      <c r="MV21" s="24"/>
      <c r="MW21" s="24"/>
      <c r="MX21" s="24"/>
      <c r="MY21" s="24"/>
      <c r="MZ21" s="24"/>
      <c r="NA21" s="24"/>
      <c r="NB21" s="24"/>
      <c r="NC21" s="24"/>
      <c r="ND21" s="24"/>
      <c r="NE21" s="24"/>
      <c r="NF21" s="24"/>
      <c r="NG21" s="24"/>
      <c r="NH21" s="24"/>
      <c r="NI21" s="24"/>
      <c r="NJ21" s="24"/>
      <c r="NK21" s="24"/>
      <c r="NL21" s="24"/>
      <c r="NM21" s="24"/>
      <c r="NN21" s="24"/>
      <c r="NO21" s="24"/>
      <c r="NP21" s="24"/>
      <c r="NQ21" s="24"/>
      <c r="NR21" s="24"/>
      <c r="NS21" s="24"/>
      <c r="NT21" s="24"/>
      <c r="NU21" s="24"/>
      <c r="NV21" s="24"/>
      <c r="NW21" s="24"/>
      <c r="NX21" s="24"/>
      <c r="NY21" s="24"/>
      <c r="NZ21" s="24"/>
      <c r="OA21" s="24"/>
      <c r="OB21" s="24"/>
      <c r="OC21" s="24"/>
      <c r="OD21" s="24"/>
      <c r="OE21" s="24"/>
      <c r="OF21" s="24"/>
      <c r="OG21" s="24"/>
      <c r="OH21" s="24"/>
      <c r="OI21" s="24"/>
      <c r="OJ21" s="24"/>
      <c r="OK21" s="24"/>
      <c r="OL21" s="24"/>
      <c r="OM21" s="24"/>
      <c r="ON21" s="24"/>
      <c r="OO21" s="24"/>
      <c r="OP21" s="24"/>
      <c r="OQ21" s="24"/>
      <c r="OR21" s="24"/>
      <c r="OS21" s="24"/>
      <c r="OT21" s="24"/>
      <c r="OU21" s="24"/>
      <c r="OV21" s="24"/>
      <c r="OW21" s="24"/>
      <c r="OX21" s="24"/>
      <c r="OY21" s="24"/>
      <c r="OZ21" s="24"/>
      <c r="PA21" s="24"/>
      <c r="PB21" s="24"/>
      <c r="PC21" s="24"/>
      <c r="PD21" s="24"/>
      <c r="PE21" s="24"/>
      <c r="PF21" s="24"/>
      <c r="PG21" s="24"/>
      <c r="PH21" s="24"/>
      <c r="PI21" s="24"/>
      <c r="PJ21" s="24"/>
      <c r="PK21" s="24"/>
      <c r="PL21" s="24"/>
      <c r="PM21" s="24"/>
      <c r="PN21" s="24"/>
      <c r="PO21" s="24"/>
      <c r="PP21" s="24"/>
      <c r="PQ21" s="24"/>
      <c r="PR21" s="24"/>
      <c r="PS21" s="24"/>
      <c r="PT21" s="24"/>
      <c r="PU21" s="24"/>
      <c r="PV21" s="24"/>
      <c r="PW21" s="24"/>
      <c r="PX21" s="24"/>
      <c r="PY21" s="24"/>
      <c r="PZ21" s="24"/>
      <c r="QA21" s="24"/>
      <c r="QB21" s="24"/>
      <c r="QC21" s="24"/>
      <c r="QD21" s="24"/>
      <c r="QE21" s="24"/>
      <c r="QF21" s="24"/>
      <c r="QG21" s="24"/>
      <c r="QH21" s="24"/>
      <c r="QI21" s="24"/>
      <c r="QJ21" s="24"/>
      <c r="QK21" s="24"/>
      <c r="QL21" s="24"/>
      <c r="QM21" s="24"/>
      <c r="QN21" s="24"/>
      <c r="QO21" s="24"/>
      <c r="QP21" s="24"/>
      <c r="QQ21" s="24"/>
      <c r="QR21" s="24"/>
      <c r="QS21" s="24"/>
      <c r="QT21" s="24"/>
      <c r="QU21" s="24"/>
      <c r="QV21" s="24"/>
      <c r="QW21" s="24"/>
      <c r="QX21" s="24"/>
      <c r="QY21" s="24"/>
      <c r="QZ21" s="24"/>
      <c r="RA21" s="24"/>
      <c r="RB21" s="24"/>
      <c r="RC21" s="24"/>
      <c r="RD21" s="24"/>
      <c r="RE21" s="24"/>
      <c r="RF21" s="24"/>
      <c r="RG21" s="24"/>
      <c r="RH21" s="24"/>
      <c r="RI21" s="24"/>
      <c r="RJ21" s="24"/>
      <c r="RK21" s="24"/>
      <c r="RL21" s="24"/>
      <c r="RM21" s="24"/>
      <c r="RN21" s="24"/>
      <c r="RO21" s="24"/>
      <c r="RP21" s="24"/>
      <c r="RQ21" s="24"/>
      <c r="RR21" s="24"/>
      <c r="RS21" s="24"/>
      <c r="RT21" s="24"/>
      <c r="RU21" s="24"/>
      <c r="RV21" s="24"/>
      <c r="RW21" s="24"/>
      <c r="RX21" s="24"/>
      <c r="RY21" s="24"/>
      <c r="RZ21" s="24"/>
      <c r="SA21" s="24"/>
      <c r="SB21" s="24"/>
      <c r="SC21" s="24"/>
      <c r="SD21" s="24"/>
      <c r="SE21" s="24"/>
      <c r="SF21" s="24"/>
      <c r="SG21" s="24"/>
      <c r="SH21" s="24"/>
      <c r="SI21" s="24"/>
      <c r="SJ21" s="24"/>
      <c r="SK21" s="24"/>
      <c r="SL21" s="24"/>
      <c r="SM21" s="24"/>
      <c r="SN21" s="24"/>
      <c r="SO21" s="24"/>
      <c r="SP21" s="24"/>
      <c r="SQ21" s="24"/>
      <c r="SR21" s="24"/>
      <c r="SS21" s="24"/>
      <c r="ST21" s="24"/>
      <c r="SU21" s="24"/>
      <c r="SV21" s="24"/>
      <c r="SW21" s="24"/>
      <c r="SX21" s="24"/>
      <c r="SY21" s="24"/>
      <c r="SZ21" s="24"/>
      <c r="TA21" s="24"/>
      <c r="TB21" s="24"/>
      <c r="TC21" s="24"/>
      <c r="TD21" s="24"/>
      <c r="TE21" s="24"/>
      <c r="TF21" s="24"/>
      <c r="TG21" s="24"/>
      <c r="TH21" s="24"/>
      <c r="TI21" s="24"/>
      <c r="TJ21" s="24"/>
      <c r="TK21" s="24"/>
      <c r="TL21" s="24"/>
      <c r="TM21" s="24"/>
      <c r="TN21" s="24"/>
      <c r="TO21" s="24"/>
      <c r="TP21" s="24"/>
      <c r="TQ21" s="24"/>
      <c r="TR21" s="24"/>
      <c r="TS21" s="24"/>
      <c r="TT21" s="24"/>
      <c r="TU21" s="24"/>
      <c r="TV21" s="24"/>
      <c r="TW21" s="24"/>
      <c r="TX21" s="24"/>
      <c r="TY21" s="24"/>
      <c r="TZ21" s="24"/>
      <c r="UA21" s="24"/>
      <c r="UB21" s="24"/>
      <c r="UC21" s="24"/>
      <c r="UD21" s="24"/>
      <c r="UE21" s="24"/>
      <c r="UF21" s="24"/>
      <c r="UG21" s="24"/>
      <c r="UH21" s="24"/>
      <c r="UI21" s="24"/>
      <c r="UJ21" s="24"/>
      <c r="UK21" s="24"/>
      <c r="UL21" s="24"/>
      <c r="UM21" s="24"/>
      <c r="UN21" s="24"/>
      <c r="UO21" s="24"/>
      <c r="UP21" s="24"/>
      <c r="UQ21" s="24"/>
      <c r="UR21" s="24"/>
      <c r="US21" s="24"/>
      <c r="UT21" s="24"/>
      <c r="UU21" s="24"/>
      <c r="UV21" s="24"/>
      <c r="UW21" s="24"/>
      <c r="UX21" s="24"/>
      <c r="UY21" s="24"/>
      <c r="UZ21" s="24"/>
      <c r="VA21" s="24"/>
      <c r="VB21" s="24"/>
      <c r="VC21" s="24"/>
      <c r="VD21" s="24"/>
      <c r="VE21" s="24"/>
      <c r="VF21" s="24"/>
      <c r="VG21" s="24"/>
      <c r="VH21" s="24"/>
      <c r="VI21" s="24"/>
      <c r="VJ21" s="24"/>
      <c r="VK21" s="24"/>
      <c r="VL21" s="24"/>
      <c r="VM21" s="24"/>
      <c r="VN21" s="24"/>
      <c r="VO21" s="24"/>
      <c r="VP21" s="24"/>
      <c r="VQ21" s="24"/>
      <c r="VR21" s="24"/>
      <c r="VS21" s="24"/>
      <c r="VT21" s="24"/>
      <c r="VU21" s="24"/>
      <c r="VV21" s="24"/>
      <c r="VW21" s="24"/>
      <c r="VX21" s="24"/>
      <c r="VY21" s="24"/>
      <c r="VZ21" s="24"/>
      <c r="WA21" s="24"/>
      <c r="WB21" s="24"/>
      <c r="WC21" s="24"/>
      <c r="WD21" s="24"/>
      <c r="WE21" s="24"/>
    </row>
    <row r="22" spans="1:603" ht="12.15" customHeight="1" thickBot="1" x14ac:dyDescent="0.3">
      <c r="A22" s="2" t="s">
        <v>8</v>
      </c>
      <c r="B22" s="2"/>
      <c r="C22" s="2"/>
      <c r="D22" s="2"/>
      <c r="E22" s="37"/>
    </row>
    <row r="23" spans="1:603" ht="13.65" customHeight="1" x14ac:dyDescent="0.25">
      <c r="A23" s="166" t="s">
        <v>1</v>
      </c>
      <c r="B23" s="162" t="s">
        <v>84</v>
      </c>
      <c r="C23" s="163"/>
      <c r="D23" s="164"/>
      <c r="E23" s="238" t="s">
        <v>17</v>
      </c>
      <c r="F23" s="239"/>
      <c r="G23" s="239"/>
      <c r="H23" s="239"/>
      <c r="I23" s="239"/>
      <c r="J23" s="239"/>
      <c r="K23" s="239"/>
      <c r="L23" s="239"/>
      <c r="M23" s="239"/>
      <c r="N23" s="239"/>
      <c r="O23" s="239"/>
      <c r="P23" s="239"/>
      <c r="Q23" s="239"/>
      <c r="R23" s="239"/>
      <c r="S23" s="239"/>
      <c r="T23" s="239"/>
      <c r="U23" s="273" t="s">
        <v>80</v>
      </c>
    </row>
    <row r="24" spans="1:603" ht="66.150000000000006" customHeight="1" x14ac:dyDescent="0.25">
      <c r="A24" s="167"/>
      <c r="B24" s="99" t="s">
        <v>46</v>
      </c>
      <c r="C24" s="21" t="s">
        <v>47</v>
      </c>
      <c r="D24" s="160" t="s">
        <v>79</v>
      </c>
      <c r="E24" s="20" t="s">
        <v>20</v>
      </c>
      <c r="F24" s="45" t="s">
        <v>21</v>
      </c>
      <c r="G24" s="45" t="s">
        <v>22</v>
      </c>
      <c r="H24" s="45" t="s">
        <v>24</v>
      </c>
      <c r="I24" s="45" t="s">
        <v>26</v>
      </c>
      <c r="J24" s="45" t="s">
        <v>28</v>
      </c>
      <c r="K24" s="45" t="s">
        <v>30</v>
      </c>
      <c r="L24" s="45" t="s">
        <v>32</v>
      </c>
      <c r="M24" s="204" t="s">
        <v>34</v>
      </c>
      <c r="N24" s="204"/>
      <c r="O24" s="204"/>
      <c r="P24" s="204" t="s">
        <v>36</v>
      </c>
      <c r="Q24" s="204"/>
      <c r="R24" s="204"/>
      <c r="S24" s="236" t="s">
        <v>38</v>
      </c>
      <c r="T24" s="236"/>
      <c r="U24" s="274"/>
    </row>
    <row r="25" spans="1:603" ht="9.75" customHeight="1" thickBot="1" x14ac:dyDescent="0.3">
      <c r="A25" s="168"/>
      <c r="B25" s="51" t="s">
        <v>18</v>
      </c>
      <c r="C25" s="52" t="s">
        <v>19</v>
      </c>
      <c r="D25" s="161"/>
      <c r="E25" s="51" t="s">
        <v>23</v>
      </c>
      <c r="F25" s="52" t="s">
        <v>25</v>
      </c>
      <c r="G25" s="52" t="s">
        <v>27</v>
      </c>
      <c r="H25" s="52" t="s">
        <v>29</v>
      </c>
      <c r="I25" s="52" t="s">
        <v>31</v>
      </c>
      <c r="J25" s="52" t="s">
        <v>33</v>
      </c>
      <c r="K25" s="52" t="s">
        <v>35</v>
      </c>
      <c r="L25" s="52" t="s">
        <v>37</v>
      </c>
      <c r="M25" s="205" t="s">
        <v>39</v>
      </c>
      <c r="N25" s="205"/>
      <c r="O25" s="205"/>
      <c r="P25" s="205" t="s">
        <v>77</v>
      </c>
      <c r="Q25" s="205"/>
      <c r="R25" s="205"/>
      <c r="S25" s="205" t="s">
        <v>78</v>
      </c>
      <c r="T25" s="205"/>
      <c r="U25" s="275"/>
    </row>
    <row r="26" spans="1:603" ht="13.65" customHeight="1" x14ac:dyDescent="0.25">
      <c r="A26" s="252" t="s">
        <v>75</v>
      </c>
      <c r="B26" s="155"/>
      <c r="C26" s="247"/>
      <c r="D26" s="242">
        <f>B26+C26</f>
        <v>0</v>
      </c>
      <c r="E26" s="255"/>
      <c r="F26" s="222"/>
      <c r="G26" s="222"/>
      <c r="H26" s="222"/>
      <c r="I26" s="222"/>
      <c r="J26" s="222"/>
      <c r="K26" s="222"/>
      <c r="L26" s="222"/>
      <c r="M26" s="229" t="s">
        <v>40</v>
      </c>
      <c r="N26" s="230"/>
      <c r="O26" s="53"/>
      <c r="P26" s="229" t="s">
        <v>40</v>
      </c>
      <c r="Q26" s="230"/>
      <c r="R26" s="53"/>
      <c r="S26" s="237">
        <f>M40+M41+M42+N40+N41+N42+O40+O41</f>
        <v>0</v>
      </c>
      <c r="T26" s="237"/>
      <c r="U26" s="276">
        <f>E26+F26+G26+H26+I26+J26+K26+L26+O26+O27+O28+R26+R27+R28+S26</f>
        <v>0</v>
      </c>
    </row>
    <row r="27" spans="1:603" ht="13.65" customHeight="1" x14ac:dyDescent="0.25">
      <c r="A27" s="253"/>
      <c r="B27" s="156"/>
      <c r="C27" s="248"/>
      <c r="D27" s="243"/>
      <c r="E27" s="256"/>
      <c r="F27" s="206"/>
      <c r="G27" s="206"/>
      <c r="H27" s="206"/>
      <c r="I27" s="206"/>
      <c r="J27" s="206"/>
      <c r="K27" s="206"/>
      <c r="L27" s="206"/>
      <c r="M27" s="202" t="s">
        <v>13</v>
      </c>
      <c r="N27" s="203"/>
      <c r="O27" s="48"/>
      <c r="P27" s="202" t="s">
        <v>13</v>
      </c>
      <c r="Q27" s="203"/>
      <c r="R27" s="48"/>
      <c r="S27" s="226"/>
      <c r="T27" s="226"/>
      <c r="U27" s="277"/>
    </row>
    <row r="28" spans="1:603" ht="13.65" customHeight="1" x14ac:dyDescent="0.25">
      <c r="A28" s="253"/>
      <c r="B28" s="157"/>
      <c r="C28" s="249"/>
      <c r="D28" s="244"/>
      <c r="E28" s="256"/>
      <c r="F28" s="206"/>
      <c r="G28" s="206"/>
      <c r="H28" s="206"/>
      <c r="I28" s="206"/>
      <c r="J28" s="206"/>
      <c r="K28" s="206"/>
      <c r="L28" s="206"/>
      <c r="M28" s="202" t="s">
        <v>49</v>
      </c>
      <c r="N28" s="203"/>
      <c r="O28" s="48"/>
      <c r="P28" s="202" t="s">
        <v>49</v>
      </c>
      <c r="Q28" s="203"/>
      <c r="R28" s="48"/>
      <c r="S28" s="226"/>
      <c r="T28" s="226"/>
      <c r="U28" s="277"/>
    </row>
    <row r="29" spans="1:603" ht="13.65" customHeight="1" x14ac:dyDescent="0.25">
      <c r="A29" s="253" t="s">
        <v>4</v>
      </c>
      <c r="B29" s="158"/>
      <c r="C29" s="250"/>
      <c r="D29" s="245">
        <f>B29+C29</f>
        <v>0</v>
      </c>
      <c r="E29" s="256"/>
      <c r="F29" s="206"/>
      <c r="G29" s="206"/>
      <c r="H29" s="206"/>
      <c r="I29" s="206"/>
      <c r="J29" s="206"/>
      <c r="K29" s="206"/>
      <c r="L29" s="206"/>
      <c r="M29" s="202" t="s">
        <v>40</v>
      </c>
      <c r="N29" s="203"/>
      <c r="O29" s="48"/>
      <c r="P29" s="202" t="s">
        <v>40</v>
      </c>
      <c r="Q29" s="203"/>
      <c r="R29" s="48"/>
      <c r="S29" s="226">
        <f>P40+P41+P42+Q40+Q41+Q42+R40+R41</f>
        <v>0</v>
      </c>
      <c r="T29" s="226"/>
      <c r="U29" s="277">
        <f>E29+F29+G29+H29+I29+J29+K29+L29+O29+O30+O31+R29+R30+R31+S29</f>
        <v>0</v>
      </c>
    </row>
    <row r="30" spans="1:603" ht="13.65" customHeight="1" x14ac:dyDescent="0.25">
      <c r="A30" s="253"/>
      <c r="B30" s="156"/>
      <c r="C30" s="248"/>
      <c r="D30" s="243"/>
      <c r="E30" s="256"/>
      <c r="F30" s="206"/>
      <c r="G30" s="206"/>
      <c r="H30" s="206"/>
      <c r="I30" s="206"/>
      <c r="J30" s="206"/>
      <c r="K30" s="206"/>
      <c r="L30" s="206"/>
      <c r="M30" s="202" t="s">
        <v>13</v>
      </c>
      <c r="N30" s="203"/>
      <c r="O30" s="48"/>
      <c r="P30" s="202" t="s">
        <v>13</v>
      </c>
      <c r="Q30" s="203"/>
      <c r="R30" s="48"/>
      <c r="S30" s="226"/>
      <c r="T30" s="226"/>
      <c r="U30" s="277"/>
    </row>
    <row r="31" spans="1:603" ht="13.65" customHeight="1" x14ac:dyDescent="0.25">
      <c r="A31" s="253"/>
      <c r="B31" s="157"/>
      <c r="C31" s="249"/>
      <c r="D31" s="244"/>
      <c r="E31" s="256"/>
      <c r="F31" s="206"/>
      <c r="G31" s="206"/>
      <c r="H31" s="206"/>
      <c r="I31" s="206"/>
      <c r="J31" s="206"/>
      <c r="K31" s="206"/>
      <c r="L31" s="206"/>
      <c r="M31" s="202" t="s">
        <v>49</v>
      </c>
      <c r="N31" s="203"/>
      <c r="O31" s="48"/>
      <c r="P31" s="202" t="s">
        <v>49</v>
      </c>
      <c r="Q31" s="203"/>
      <c r="R31" s="48"/>
      <c r="S31" s="226"/>
      <c r="T31" s="226"/>
      <c r="U31" s="277"/>
    </row>
    <row r="32" spans="1:603" ht="13.65" customHeight="1" x14ac:dyDescent="0.25">
      <c r="A32" s="253" t="s">
        <v>5</v>
      </c>
      <c r="B32" s="158"/>
      <c r="C32" s="250"/>
      <c r="D32" s="245">
        <f>B32+C32</f>
        <v>0</v>
      </c>
      <c r="E32" s="256"/>
      <c r="F32" s="206"/>
      <c r="G32" s="206"/>
      <c r="H32" s="206"/>
      <c r="I32" s="206"/>
      <c r="J32" s="206"/>
      <c r="K32" s="206"/>
      <c r="L32" s="206"/>
      <c r="M32" s="202" t="s">
        <v>40</v>
      </c>
      <c r="N32" s="203"/>
      <c r="O32" s="48"/>
      <c r="P32" s="202" t="s">
        <v>40</v>
      </c>
      <c r="Q32" s="203"/>
      <c r="R32" s="48"/>
      <c r="S32" s="226">
        <f>S40+S41+S42+T40+T41+T42+U40+U41</f>
        <v>0</v>
      </c>
      <c r="T32" s="226"/>
      <c r="U32" s="277">
        <f>E32+F32+G32+H32+I32+J32+K32+L32+O32+O33+O34+R32+R33+R34+S32</f>
        <v>0</v>
      </c>
    </row>
    <row r="33" spans="1:24" ht="13.65" customHeight="1" x14ac:dyDescent="0.25">
      <c r="A33" s="253"/>
      <c r="B33" s="156"/>
      <c r="C33" s="248"/>
      <c r="D33" s="243"/>
      <c r="E33" s="256"/>
      <c r="F33" s="206"/>
      <c r="G33" s="206"/>
      <c r="H33" s="206"/>
      <c r="I33" s="206"/>
      <c r="J33" s="206"/>
      <c r="K33" s="206"/>
      <c r="L33" s="206"/>
      <c r="M33" s="202" t="s">
        <v>13</v>
      </c>
      <c r="N33" s="203"/>
      <c r="O33" s="48"/>
      <c r="P33" s="202" t="s">
        <v>13</v>
      </c>
      <c r="Q33" s="203"/>
      <c r="R33" s="48"/>
      <c r="S33" s="226"/>
      <c r="T33" s="226"/>
      <c r="U33" s="277"/>
    </row>
    <row r="34" spans="1:24" ht="13.65" customHeight="1" thickBot="1" x14ac:dyDescent="0.3">
      <c r="A34" s="254"/>
      <c r="B34" s="159"/>
      <c r="C34" s="251"/>
      <c r="D34" s="246"/>
      <c r="E34" s="257"/>
      <c r="F34" s="207"/>
      <c r="G34" s="207"/>
      <c r="H34" s="207"/>
      <c r="I34" s="207"/>
      <c r="J34" s="207"/>
      <c r="K34" s="207"/>
      <c r="L34" s="207"/>
      <c r="M34" s="234" t="s">
        <v>49</v>
      </c>
      <c r="N34" s="235"/>
      <c r="O34" s="49"/>
      <c r="P34" s="234" t="s">
        <v>49</v>
      </c>
      <c r="Q34" s="235"/>
      <c r="R34" s="49"/>
      <c r="S34" s="227"/>
      <c r="T34" s="227"/>
      <c r="U34" s="278"/>
    </row>
    <row r="35" spans="1:24" ht="4.6500000000000004" customHeight="1" x14ac:dyDescent="0.25"/>
    <row r="36" spans="1:24" ht="13.65" customHeight="1" thickBot="1" x14ac:dyDescent="0.3">
      <c r="A36" s="2" t="s">
        <v>41</v>
      </c>
      <c r="B36" s="2"/>
      <c r="C36" s="2"/>
      <c r="D36" s="2"/>
    </row>
    <row r="37" spans="1:24" ht="11.25" customHeight="1" x14ac:dyDescent="0.25">
      <c r="A37" s="181" t="s">
        <v>45</v>
      </c>
      <c r="B37" s="182"/>
      <c r="C37" s="182"/>
      <c r="D37" s="182"/>
      <c r="E37" s="183"/>
      <c r="F37" s="18"/>
      <c r="G37" s="18"/>
      <c r="H37" s="18"/>
      <c r="J37" s="210" t="s">
        <v>50</v>
      </c>
      <c r="K37" s="211"/>
      <c r="L37" s="211"/>
      <c r="M37" s="211"/>
      <c r="N37" s="211"/>
      <c r="O37" s="211"/>
      <c r="P37" s="211"/>
      <c r="Q37" s="211"/>
      <c r="R37" s="211"/>
      <c r="S37" s="211"/>
      <c r="T37" s="211"/>
      <c r="U37" s="212"/>
    </row>
    <row r="38" spans="1:24" ht="12.75" customHeight="1" x14ac:dyDescent="0.25">
      <c r="A38" s="14"/>
      <c r="B38" s="43" t="s">
        <v>46</v>
      </c>
      <c r="C38" s="43" t="s">
        <v>47</v>
      </c>
      <c r="D38" s="43" t="s">
        <v>48</v>
      </c>
      <c r="E38" s="44" t="s">
        <v>3</v>
      </c>
      <c r="J38" s="213" t="s">
        <v>2</v>
      </c>
      <c r="K38" s="214"/>
      <c r="L38" s="215"/>
      <c r="M38" s="208" t="s">
        <v>6</v>
      </c>
      <c r="N38" s="208"/>
      <c r="O38" s="208"/>
      <c r="P38" s="208" t="s">
        <v>4</v>
      </c>
      <c r="Q38" s="208"/>
      <c r="R38" s="208"/>
      <c r="S38" s="208" t="s">
        <v>5</v>
      </c>
      <c r="T38" s="208"/>
      <c r="U38" s="209"/>
    </row>
    <row r="39" spans="1:24" ht="13.65" customHeight="1" x14ac:dyDescent="0.25">
      <c r="A39" s="171" t="s">
        <v>42</v>
      </c>
      <c r="B39" s="174"/>
      <c r="C39" s="174"/>
      <c r="D39" s="174"/>
      <c r="E39" s="173">
        <f>B39+C39+D39</f>
        <v>0</v>
      </c>
      <c r="F39" s="170"/>
      <c r="G39" s="170"/>
      <c r="H39" s="169"/>
      <c r="J39" s="216"/>
      <c r="K39" s="217"/>
      <c r="L39" s="218"/>
      <c r="M39" s="43" t="s">
        <v>51</v>
      </c>
      <c r="N39" s="43" t="s">
        <v>7</v>
      </c>
      <c r="O39" s="43" t="s">
        <v>52</v>
      </c>
      <c r="P39" s="43" t="s">
        <v>51</v>
      </c>
      <c r="Q39" s="43" t="s">
        <v>7</v>
      </c>
      <c r="R39" s="43" t="s">
        <v>52</v>
      </c>
      <c r="S39" s="43" t="s">
        <v>51</v>
      </c>
      <c r="T39" s="43" t="s">
        <v>7</v>
      </c>
      <c r="U39" s="44" t="s">
        <v>52</v>
      </c>
    </row>
    <row r="40" spans="1:24" ht="13.65" customHeight="1" x14ac:dyDescent="0.25">
      <c r="A40" s="171"/>
      <c r="B40" s="177"/>
      <c r="C40" s="177"/>
      <c r="D40" s="177"/>
      <c r="E40" s="173"/>
      <c r="F40" s="170"/>
      <c r="G40" s="170"/>
      <c r="H40" s="169"/>
      <c r="J40" s="219" t="s">
        <v>53</v>
      </c>
      <c r="K40" s="220"/>
      <c r="L40" s="221"/>
      <c r="M40" s="38"/>
      <c r="N40" s="38"/>
      <c r="O40" s="38"/>
      <c r="P40" s="38"/>
      <c r="Q40" s="38"/>
      <c r="R40" s="38"/>
      <c r="S40" s="38"/>
      <c r="T40" s="38"/>
      <c r="U40" s="39"/>
    </row>
    <row r="41" spans="1:24" ht="13.65" customHeight="1" x14ac:dyDescent="0.25">
      <c r="A41" s="171" t="s">
        <v>43</v>
      </c>
      <c r="B41" s="174"/>
      <c r="C41" s="174"/>
      <c r="D41" s="174"/>
      <c r="E41" s="173">
        <f>B41+C41+D41</f>
        <v>0</v>
      </c>
      <c r="F41" s="170"/>
      <c r="G41" s="170"/>
      <c r="H41" s="169"/>
      <c r="J41" s="219" t="s">
        <v>54</v>
      </c>
      <c r="K41" s="220"/>
      <c r="L41" s="221"/>
      <c r="M41" s="38"/>
      <c r="N41" s="38"/>
      <c r="O41" s="38"/>
      <c r="P41" s="38"/>
      <c r="Q41" s="38"/>
      <c r="R41" s="38"/>
      <c r="S41" s="38"/>
      <c r="T41" s="38"/>
      <c r="U41" s="39"/>
    </row>
    <row r="42" spans="1:24" ht="13.65" customHeight="1" thickBot="1" x14ac:dyDescent="0.3">
      <c r="A42" s="171"/>
      <c r="B42" s="177"/>
      <c r="C42" s="177"/>
      <c r="D42" s="177"/>
      <c r="E42" s="173"/>
      <c r="F42" s="170"/>
      <c r="G42" s="170"/>
      <c r="H42" s="169"/>
      <c r="J42" s="223" t="s">
        <v>55</v>
      </c>
      <c r="K42" s="224"/>
      <c r="L42" s="225"/>
      <c r="M42" s="40"/>
      <c r="N42" s="40"/>
      <c r="O42" s="41"/>
      <c r="P42" s="40"/>
      <c r="Q42" s="40"/>
      <c r="R42" s="41"/>
      <c r="S42" s="40"/>
      <c r="T42" s="40"/>
      <c r="U42" s="42"/>
    </row>
    <row r="43" spans="1:24" ht="10.5" customHeight="1" x14ac:dyDescent="0.25">
      <c r="A43" s="171" t="s">
        <v>44</v>
      </c>
      <c r="B43" s="174"/>
      <c r="C43" s="174"/>
      <c r="D43" s="174"/>
      <c r="E43" s="173">
        <f>B43+C43+D43</f>
        <v>0</v>
      </c>
      <c r="F43" s="170"/>
      <c r="G43" s="170"/>
      <c r="H43" s="169"/>
      <c r="J43" s="15" t="s">
        <v>56</v>
      </c>
      <c r="K43" s="16"/>
      <c r="L43" s="16"/>
      <c r="M43" s="16"/>
      <c r="N43" s="16"/>
      <c r="O43" s="16"/>
      <c r="P43" s="16"/>
      <c r="Q43" s="16"/>
      <c r="R43" s="16"/>
      <c r="S43" s="16"/>
      <c r="T43" s="16"/>
      <c r="U43" s="16"/>
      <c r="V43" s="16"/>
      <c r="W43" s="16"/>
      <c r="X43" s="16"/>
    </row>
    <row r="44" spans="1:24" ht="13.65" customHeight="1" thickBot="1" x14ac:dyDescent="0.3">
      <c r="A44" s="172"/>
      <c r="B44" s="175"/>
      <c r="C44" s="175"/>
      <c r="D44" s="175"/>
      <c r="E44" s="228"/>
      <c r="F44" s="170"/>
      <c r="G44" s="170"/>
      <c r="H44" s="169"/>
    </row>
    <row r="45" spans="1:24" ht="11.25" customHeight="1" x14ac:dyDescent="0.25">
      <c r="A45" s="2"/>
      <c r="B45" s="2"/>
      <c r="C45" s="2"/>
      <c r="D45" s="2"/>
      <c r="F45" s="152" t="s">
        <v>108</v>
      </c>
      <c r="G45" s="152"/>
      <c r="H45" s="152"/>
      <c r="L45" s="16" t="s">
        <v>57</v>
      </c>
      <c r="M45" s="16"/>
      <c r="N45" s="16"/>
      <c r="O45" s="16"/>
      <c r="P45" s="16"/>
      <c r="Q45" s="268"/>
      <c r="R45" s="268"/>
      <c r="S45" s="268"/>
      <c r="T45" s="268"/>
      <c r="U45" s="268"/>
    </row>
    <row r="46" spans="1:24" ht="13.65" customHeight="1" x14ac:dyDescent="0.25">
      <c r="A46" s="165"/>
      <c r="B46" s="47"/>
      <c r="C46" s="47"/>
      <c r="D46" s="47"/>
      <c r="E46" s="143"/>
      <c r="F46" s="144"/>
      <c r="G46" s="144"/>
      <c r="H46" s="144"/>
      <c r="I46" s="144"/>
      <c r="J46" s="145"/>
      <c r="K46" s="16"/>
      <c r="L46" s="16" t="s">
        <v>58</v>
      </c>
      <c r="M46" s="268"/>
      <c r="N46" s="268"/>
      <c r="O46" s="268"/>
      <c r="P46" s="268"/>
      <c r="Q46" s="16"/>
      <c r="R46" s="16"/>
    </row>
    <row r="47" spans="1:24" ht="13.65" customHeight="1" x14ac:dyDescent="0.25">
      <c r="A47" s="165"/>
      <c r="B47" s="47"/>
      <c r="C47" s="47"/>
      <c r="D47" s="47"/>
      <c r="E47" s="146"/>
      <c r="F47" s="147"/>
      <c r="G47" s="147"/>
      <c r="H47" s="147"/>
      <c r="I47" s="147"/>
      <c r="J47" s="148"/>
      <c r="K47" s="16"/>
      <c r="L47" s="16" t="s">
        <v>59</v>
      </c>
      <c r="M47" s="267"/>
      <c r="N47" s="267"/>
      <c r="O47" s="267"/>
      <c r="P47" s="267"/>
      <c r="Q47" s="16"/>
      <c r="R47" s="17" t="s">
        <v>60</v>
      </c>
      <c r="S47" s="266"/>
      <c r="T47" s="266"/>
    </row>
    <row r="48" spans="1:24" ht="13.65" customHeight="1" x14ac:dyDescent="0.25">
      <c r="A48" s="169"/>
      <c r="B48" s="46"/>
      <c r="C48" s="46"/>
      <c r="D48" s="46"/>
      <c r="E48" s="146"/>
      <c r="F48" s="147"/>
      <c r="G48" s="147"/>
      <c r="H48" s="147"/>
      <c r="I48" s="147"/>
      <c r="J48" s="148"/>
      <c r="K48" s="16"/>
      <c r="L48" s="16" t="s">
        <v>61</v>
      </c>
      <c r="M48" s="241"/>
      <c r="N48" s="241"/>
      <c r="O48" s="241"/>
      <c r="P48" s="241"/>
      <c r="Q48" s="16"/>
      <c r="R48" s="16"/>
    </row>
    <row r="49" spans="1:11" ht="13.65" customHeight="1" x14ac:dyDescent="0.25">
      <c r="A49" s="169"/>
      <c r="B49" s="46"/>
      <c r="C49" s="46"/>
      <c r="D49" s="46"/>
      <c r="E49" s="149"/>
      <c r="F49" s="150"/>
      <c r="G49" s="150"/>
      <c r="H49" s="150"/>
      <c r="I49" s="150"/>
      <c r="J49" s="151"/>
      <c r="K49" s="16"/>
    </row>
  </sheetData>
  <mergeCells count="141">
    <mergeCell ref="S1:U1"/>
    <mergeCell ref="A2:R2"/>
    <mergeCell ref="A4:R4"/>
    <mergeCell ref="C6:G6"/>
    <mergeCell ref="C7:G7"/>
    <mergeCell ref="C8:G8"/>
    <mergeCell ref="S47:T47"/>
    <mergeCell ref="M47:P47"/>
    <mergeCell ref="M46:P46"/>
    <mergeCell ref="Q45:U45"/>
    <mergeCell ref="N7:S7"/>
    <mergeCell ref="M8:S8"/>
    <mergeCell ref="M9:N9"/>
    <mergeCell ref="K10:L10"/>
    <mergeCell ref="Q10:S10"/>
    <mergeCell ref="U23:U25"/>
    <mergeCell ref="I26:I28"/>
    <mergeCell ref="U26:U28"/>
    <mergeCell ref="U29:U31"/>
    <mergeCell ref="U32:U34"/>
    <mergeCell ref="L26:L28"/>
    <mergeCell ref="L29:L31"/>
    <mergeCell ref="M33:N33"/>
    <mergeCell ref="M34:N34"/>
    <mergeCell ref="A1:R1"/>
    <mergeCell ref="M48:P48"/>
    <mergeCell ref="D26:D28"/>
    <mergeCell ref="D29:D31"/>
    <mergeCell ref="D32:D34"/>
    <mergeCell ref="C26:C28"/>
    <mergeCell ref="C29:C31"/>
    <mergeCell ref="C32:C34"/>
    <mergeCell ref="A3:R3"/>
    <mergeCell ref="A26:A28"/>
    <mergeCell ref="A29:A31"/>
    <mergeCell ref="A32:A34"/>
    <mergeCell ref="E26:E28"/>
    <mergeCell ref="E29:E31"/>
    <mergeCell ref="E32:E34"/>
    <mergeCell ref="F26:F28"/>
    <mergeCell ref="G32:G34"/>
    <mergeCell ref="J29:J31"/>
    <mergeCell ref="K29:K31"/>
    <mergeCell ref="J12:L12"/>
    <mergeCell ref="J13:L13"/>
    <mergeCell ref="J14:L14"/>
    <mergeCell ref="P24:R24"/>
    <mergeCell ref="S25:T25"/>
    <mergeCell ref="P34:Q34"/>
    <mergeCell ref="P30:Q30"/>
    <mergeCell ref="P31:Q31"/>
    <mergeCell ref="M29:N29"/>
    <mergeCell ref="M30:N30"/>
    <mergeCell ref="M31:N31"/>
    <mergeCell ref="S24:T24"/>
    <mergeCell ref="S26:T28"/>
    <mergeCell ref="M26:N26"/>
    <mergeCell ref="P28:Q28"/>
    <mergeCell ref="P29:Q29"/>
    <mergeCell ref="E23:T23"/>
    <mergeCell ref="K26:K28"/>
    <mergeCell ref="M32:N32"/>
    <mergeCell ref="C43:C44"/>
    <mergeCell ref="D43:D44"/>
    <mergeCell ref="E43:E44"/>
    <mergeCell ref="F43:F44"/>
    <mergeCell ref="H32:H34"/>
    <mergeCell ref="F29:F31"/>
    <mergeCell ref="P26:Q26"/>
    <mergeCell ref="P33:Q33"/>
    <mergeCell ref="K32:K34"/>
    <mergeCell ref="F32:F34"/>
    <mergeCell ref="G29:G31"/>
    <mergeCell ref="S38:U38"/>
    <mergeCell ref="J37:U37"/>
    <mergeCell ref="J38:L39"/>
    <mergeCell ref="J40:L40"/>
    <mergeCell ref="J41:L41"/>
    <mergeCell ref="J32:J34"/>
    <mergeCell ref="G26:G28"/>
    <mergeCell ref="J26:J28"/>
    <mergeCell ref="J42:L42"/>
    <mergeCell ref="M38:O38"/>
    <mergeCell ref="P38:R38"/>
    <mergeCell ref="M28:N28"/>
    <mergeCell ref="I29:I31"/>
    <mergeCell ref="I32:I34"/>
    <mergeCell ref="M27:N27"/>
    <mergeCell ref="P32:Q32"/>
    <mergeCell ref="H26:H28"/>
    <mergeCell ref="H29:H31"/>
    <mergeCell ref="S29:T31"/>
    <mergeCell ref="S32:T34"/>
    <mergeCell ref="N6:O6"/>
    <mergeCell ref="B39:B40"/>
    <mergeCell ref="C39:C40"/>
    <mergeCell ref="D39:D40"/>
    <mergeCell ref="B41:B42"/>
    <mergeCell ref="C41:C42"/>
    <mergeCell ref="D41:D42"/>
    <mergeCell ref="D12:G12"/>
    <mergeCell ref="D13:G13"/>
    <mergeCell ref="D14:G14"/>
    <mergeCell ref="A37:E37"/>
    <mergeCell ref="H17:K18"/>
    <mergeCell ref="L17:N17"/>
    <mergeCell ref="O17:Q17"/>
    <mergeCell ref="A12:C14"/>
    <mergeCell ref="A20:C20"/>
    <mergeCell ref="P27:Q27"/>
    <mergeCell ref="M24:O24"/>
    <mergeCell ref="M25:O25"/>
    <mergeCell ref="P25:R25"/>
    <mergeCell ref="L32:L34"/>
    <mergeCell ref="H39:H40"/>
    <mergeCell ref="A39:A40"/>
    <mergeCell ref="A41:A42"/>
    <mergeCell ref="E46:J49"/>
    <mergeCell ref="F45:H45"/>
    <mergeCell ref="A17:C17"/>
    <mergeCell ref="A18:C18"/>
    <mergeCell ref="A19:C19"/>
    <mergeCell ref="B26:B28"/>
    <mergeCell ref="B29:B31"/>
    <mergeCell ref="B32:B34"/>
    <mergeCell ref="D24:D25"/>
    <mergeCell ref="B23:D23"/>
    <mergeCell ref="A46:A47"/>
    <mergeCell ref="A23:A25"/>
    <mergeCell ref="A48:A49"/>
    <mergeCell ref="G43:G44"/>
    <mergeCell ref="H43:H44"/>
    <mergeCell ref="A43:A44"/>
    <mergeCell ref="E39:E40"/>
    <mergeCell ref="F39:F40"/>
    <mergeCell ref="G39:G40"/>
    <mergeCell ref="E41:E42"/>
    <mergeCell ref="F41:F42"/>
    <mergeCell ref="G41:G42"/>
    <mergeCell ref="H41:H42"/>
    <mergeCell ref="B43:B44"/>
  </mergeCells>
  <phoneticPr fontId="4" type="noConversion"/>
  <dataValidations count="8">
    <dataValidation allowBlank="1" showInputMessage="1" showErrorMessage="1" prompt="Date Format:_x000a_DD/MM/YYYY" sqref="S47 P9"/>
    <dataValidation type="list" allowBlank="1" showInputMessage="1" showErrorMessage="1" prompt="Select from drop down list" sqref="R6">
      <formula1>"2018, 2019, 2020, 2021, 2022"</formula1>
    </dataValidation>
    <dataValidation type="list" allowBlank="1" showInputMessage="1" showErrorMessage="1" prompt="Select from drop down list" sqref="L6">
      <formula1>"January, February, March, April, May, June, July, August, September, October, November, December"</formula1>
    </dataValidation>
    <dataValidation type="whole" allowBlank="1" showInputMessage="1" showErrorMessage="1" sqref="E26:L34 B26:C34 B39:D44 L18:N18 R26:R34 O26:O34 M40:U42">
      <formula1>0</formula1>
      <formula2>999999</formula2>
    </dataValidation>
    <dataValidation type="whole" allowBlank="1" showInputMessage="1" showErrorMessage="1" prompt="Fill the following Others (Specify) table to get the number automatically " sqref="S26:T34">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G8">
      <formula1>INDIRECT($C$7)</formula1>
    </dataValidation>
  </dataValidations>
  <pageMargins left="0.21" right="0.17" top="0.47" bottom="0.22" header="0.23" footer="0.16"/>
  <pageSetup paperSize="9" scale="73"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P16"/>
  <sheetViews>
    <sheetView showGridLines="0" tabSelected="1" zoomScaleNormal="100" zoomScaleSheetLayoutView="100" workbookViewId="0">
      <selection activeCell="J12" sqref="J12"/>
    </sheetView>
  </sheetViews>
  <sheetFormatPr defaultRowHeight="14.4" x14ac:dyDescent="0.3"/>
  <cols>
    <col min="1" max="1" width="6" style="76" customWidth="1"/>
    <col min="2" max="2" width="22.109375" style="76" customWidth="1"/>
    <col min="3" max="3" width="5.44140625" style="76" customWidth="1"/>
    <col min="4" max="4" width="6.6640625" style="76" customWidth="1"/>
    <col min="5" max="5" width="10.109375" style="76" customWidth="1"/>
    <col min="6" max="6" width="28.6640625" style="76" customWidth="1"/>
    <col min="7" max="7" width="17.109375" style="76" customWidth="1"/>
    <col min="8" max="8" width="10.109375" style="76" customWidth="1"/>
    <col min="9" max="9" width="15" style="76" customWidth="1"/>
    <col min="10" max="10" width="10.44140625" style="76" customWidth="1"/>
    <col min="11" max="11" width="15.88671875" style="76" customWidth="1"/>
    <col min="12" max="13" width="9.5546875" style="76" customWidth="1"/>
    <col min="14" max="14" width="11.44140625" style="76" customWidth="1"/>
    <col min="15" max="15" width="12" style="76" customWidth="1"/>
    <col min="16" max="258" width="9.109375" style="76"/>
    <col min="259" max="259" width="6" style="76" customWidth="1"/>
    <col min="260" max="260" width="22.109375" style="76" customWidth="1"/>
    <col min="261" max="261" width="5.44140625" style="76" customWidth="1"/>
    <col min="262" max="262" width="5.109375" style="76" customWidth="1"/>
    <col min="263" max="263" width="21.33203125" style="76" customWidth="1"/>
    <col min="264" max="264" width="17.109375" style="76" customWidth="1"/>
    <col min="265" max="265" width="10.109375" style="76" customWidth="1"/>
    <col min="266" max="266" width="15" style="76" customWidth="1"/>
    <col min="267" max="267" width="10.44140625" style="76" customWidth="1"/>
    <col min="268" max="268" width="15.88671875" style="76" customWidth="1"/>
    <col min="269" max="269" width="9.5546875" style="76" customWidth="1"/>
    <col min="270" max="270" width="11.44140625" style="76" customWidth="1"/>
    <col min="271" max="271" width="12" style="76" customWidth="1"/>
    <col min="272" max="514" width="9.109375" style="76"/>
    <col min="515" max="515" width="6" style="76" customWidth="1"/>
    <col min="516" max="516" width="22.109375" style="76" customWidth="1"/>
    <col min="517" max="517" width="5.44140625" style="76" customWidth="1"/>
    <col min="518" max="518" width="5.109375" style="76" customWidth="1"/>
    <col min="519" max="519" width="21.33203125" style="76" customWidth="1"/>
    <col min="520" max="520" width="17.109375" style="76" customWidth="1"/>
    <col min="521" max="521" width="10.109375" style="76" customWidth="1"/>
    <col min="522" max="522" width="15" style="76" customWidth="1"/>
    <col min="523" max="523" width="10.44140625" style="76" customWidth="1"/>
    <col min="524" max="524" width="15.88671875" style="76" customWidth="1"/>
    <col min="525" max="525" width="9.5546875" style="76" customWidth="1"/>
    <col min="526" max="526" width="11.44140625" style="76" customWidth="1"/>
    <col min="527" max="527" width="12" style="76" customWidth="1"/>
    <col min="528" max="770" width="9.109375" style="76"/>
    <col min="771" max="771" width="6" style="76" customWidth="1"/>
    <col min="772" max="772" width="22.109375" style="76" customWidth="1"/>
    <col min="773" max="773" width="5.44140625" style="76" customWidth="1"/>
    <col min="774" max="774" width="5.109375" style="76" customWidth="1"/>
    <col min="775" max="775" width="21.33203125" style="76" customWidth="1"/>
    <col min="776" max="776" width="17.109375" style="76" customWidth="1"/>
    <col min="777" max="777" width="10.109375" style="76" customWidth="1"/>
    <col min="778" max="778" width="15" style="76" customWidth="1"/>
    <col min="779" max="779" width="10.44140625" style="76" customWidth="1"/>
    <col min="780" max="780" width="15.88671875" style="76" customWidth="1"/>
    <col min="781" max="781" width="9.5546875" style="76" customWidth="1"/>
    <col min="782" max="782" width="11.44140625" style="76" customWidth="1"/>
    <col min="783" max="783" width="12" style="76" customWidth="1"/>
    <col min="784" max="1026" width="9.109375" style="76"/>
    <col min="1027" max="1027" width="6" style="76" customWidth="1"/>
    <col min="1028" max="1028" width="22.109375" style="76" customWidth="1"/>
    <col min="1029" max="1029" width="5.44140625" style="76" customWidth="1"/>
    <col min="1030" max="1030" width="5.109375" style="76" customWidth="1"/>
    <col min="1031" max="1031" width="21.33203125" style="76" customWidth="1"/>
    <col min="1032" max="1032" width="17.109375" style="76" customWidth="1"/>
    <col min="1033" max="1033" width="10.109375" style="76" customWidth="1"/>
    <col min="1034" max="1034" width="15" style="76" customWidth="1"/>
    <col min="1035" max="1035" width="10.44140625" style="76" customWidth="1"/>
    <col min="1036" max="1036" width="15.88671875" style="76" customWidth="1"/>
    <col min="1037" max="1037" width="9.5546875" style="76" customWidth="1"/>
    <col min="1038" max="1038" width="11.44140625" style="76" customWidth="1"/>
    <col min="1039" max="1039" width="12" style="76" customWidth="1"/>
    <col min="1040" max="1282" width="9.109375" style="76"/>
    <col min="1283" max="1283" width="6" style="76" customWidth="1"/>
    <col min="1284" max="1284" width="22.109375" style="76" customWidth="1"/>
    <col min="1285" max="1285" width="5.44140625" style="76" customWidth="1"/>
    <col min="1286" max="1286" width="5.109375" style="76" customWidth="1"/>
    <col min="1287" max="1287" width="21.33203125" style="76" customWidth="1"/>
    <col min="1288" max="1288" width="17.109375" style="76" customWidth="1"/>
    <col min="1289" max="1289" width="10.109375" style="76" customWidth="1"/>
    <col min="1290" max="1290" width="15" style="76" customWidth="1"/>
    <col min="1291" max="1291" width="10.44140625" style="76" customWidth="1"/>
    <col min="1292" max="1292" width="15.88671875" style="76" customWidth="1"/>
    <col min="1293" max="1293" width="9.5546875" style="76" customWidth="1"/>
    <col min="1294" max="1294" width="11.44140625" style="76" customWidth="1"/>
    <col min="1295" max="1295" width="12" style="76" customWidth="1"/>
    <col min="1296" max="1538" width="9.109375" style="76"/>
    <col min="1539" max="1539" width="6" style="76" customWidth="1"/>
    <col min="1540" max="1540" width="22.109375" style="76" customWidth="1"/>
    <col min="1541" max="1541" width="5.44140625" style="76" customWidth="1"/>
    <col min="1542" max="1542" width="5.109375" style="76" customWidth="1"/>
    <col min="1543" max="1543" width="21.33203125" style="76" customWidth="1"/>
    <col min="1544" max="1544" width="17.109375" style="76" customWidth="1"/>
    <col min="1545" max="1545" width="10.109375" style="76" customWidth="1"/>
    <col min="1546" max="1546" width="15" style="76" customWidth="1"/>
    <col min="1547" max="1547" width="10.44140625" style="76" customWidth="1"/>
    <col min="1548" max="1548" width="15.88671875" style="76" customWidth="1"/>
    <col min="1549" max="1549" width="9.5546875" style="76" customWidth="1"/>
    <col min="1550" max="1550" width="11.44140625" style="76" customWidth="1"/>
    <col min="1551" max="1551" width="12" style="76" customWidth="1"/>
    <col min="1552" max="1794" width="9.109375" style="76"/>
    <col min="1795" max="1795" width="6" style="76" customWidth="1"/>
    <col min="1796" max="1796" width="22.109375" style="76" customWidth="1"/>
    <col min="1797" max="1797" width="5.44140625" style="76" customWidth="1"/>
    <col min="1798" max="1798" width="5.109375" style="76" customWidth="1"/>
    <col min="1799" max="1799" width="21.33203125" style="76" customWidth="1"/>
    <col min="1800" max="1800" width="17.109375" style="76" customWidth="1"/>
    <col min="1801" max="1801" width="10.109375" style="76" customWidth="1"/>
    <col min="1802" max="1802" width="15" style="76" customWidth="1"/>
    <col min="1803" max="1803" width="10.44140625" style="76" customWidth="1"/>
    <col min="1804" max="1804" width="15.88671875" style="76" customWidth="1"/>
    <col min="1805" max="1805" width="9.5546875" style="76" customWidth="1"/>
    <col min="1806" max="1806" width="11.44140625" style="76" customWidth="1"/>
    <col min="1807" max="1807" width="12" style="76" customWidth="1"/>
    <col min="1808" max="2050" width="9.109375" style="76"/>
    <col min="2051" max="2051" width="6" style="76" customWidth="1"/>
    <col min="2052" max="2052" width="22.109375" style="76" customWidth="1"/>
    <col min="2053" max="2053" width="5.44140625" style="76" customWidth="1"/>
    <col min="2054" max="2054" width="5.109375" style="76" customWidth="1"/>
    <col min="2055" max="2055" width="21.33203125" style="76" customWidth="1"/>
    <col min="2056" max="2056" width="17.109375" style="76" customWidth="1"/>
    <col min="2057" max="2057" width="10.109375" style="76" customWidth="1"/>
    <col min="2058" max="2058" width="15" style="76" customWidth="1"/>
    <col min="2059" max="2059" width="10.44140625" style="76" customWidth="1"/>
    <col min="2060" max="2060" width="15.88671875" style="76" customWidth="1"/>
    <col min="2061" max="2061" width="9.5546875" style="76" customWidth="1"/>
    <col min="2062" max="2062" width="11.44140625" style="76" customWidth="1"/>
    <col min="2063" max="2063" width="12" style="76" customWidth="1"/>
    <col min="2064" max="2306" width="9.109375" style="76"/>
    <col min="2307" max="2307" width="6" style="76" customWidth="1"/>
    <col min="2308" max="2308" width="22.109375" style="76" customWidth="1"/>
    <col min="2309" max="2309" width="5.44140625" style="76" customWidth="1"/>
    <col min="2310" max="2310" width="5.109375" style="76" customWidth="1"/>
    <col min="2311" max="2311" width="21.33203125" style="76" customWidth="1"/>
    <col min="2312" max="2312" width="17.109375" style="76" customWidth="1"/>
    <col min="2313" max="2313" width="10.109375" style="76" customWidth="1"/>
    <col min="2314" max="2314" width="15" style="76" customWidth="1"/>
    <col min="2315" max="2315" width="10.44140625" style="76" customWidth="1"/>
    <col min="2316" max="2316" width="15.88671875" style="76" customWidth="1"/>
    <col min="2317" max="2317" width="9.5546875" style="76" customWidth="1"/>
    <col min="2318" max="2318" width="11.44140625" style="76" customWidth="1"/>
    <col min="2319" max="2319" width="12" style="76" customWidth="1"/>
    <col min="2320" max="2562" width="9.109375" style="76"/>
    <col min="2563" max="2563" width="6" style="76" customWidth="1"/>
    <col min="2564" max="2564" width="22.109375" style="76" customWidth="1"/>
    <col min="2565" max="2565" width="5.44140625" style="76" customWidth="1"/>
    <col min="2566" max="2566" width="5.109375" style="76" customWidth="1"/>
    <col min="2567" max="2567" width="21.33203125" style="76" customWidth="1"/>
    <col min="2568" max="2568" width="17.109375" style="76" customWidth="1"/>
    <col min="2569" max="2569" width="10.109375" style="76" customWidth="1"/>
    <col min="2570" max="2570" width="15" style="76" customWidth="1"/>
    <col min="2571" max="2571" width="10.44140625" style="76" customWidth="1"/>
    <col min="2572" max="2572" width="15.88671875" style="76" customWidth="1"/>
    <col min="2573" max="2573" width="9.5546875" style="76" customWidth="1"/>
    <col min="2574" max="2574" width="11.44140625" style="76" customWidth="1"/>
    <col min="2575" max="2575" width="12" style="76" customWidth="1"/>
    <col min="2576" max="2818" width="9.109375" style="76"/>
    <col min="2819" max="2819" width="6" style="76" customWidth="1"/>
    <col min="2820" max="2820" width="22.109375" style="76" customWidth="1"/>
    <col min="2821" max="2821" width="5.44140625" style="76" customWidth="1"/>
    <col min="2822" max="2822" width="5.109375" style="76" customWidth="1"/>
    <col min="2823" max="2823" width="21.33203125" style="76" customWidth="1"/>
    <col min="2824" max="2824" width="17.109375" style="76" customWidth="1"/>
    <col min="2825" max="2825" width="10.109375" style="76" customWidth="1"/>
    <col min="2826" max="2826" width="15" style="76" customWidth="1"/>
    <col min="2827" max="2827" width="10.44140625" style="76" customWidth="1"/>
    <col min="2828" max="2828" width="15.88671875" style="76" customWidth="1"/>
    <col min="2829" max="2829" width="9.5546875" style="76" customWidth="1"/>
    <col min="2830" max="2830" width="11.44140625" style="76" customWidth="1"/>
    <col min="2831" max="2831" width="12" style="76" customWidth="1"/>
    <col min="2832" max="3074" width="9.109375" style="76"/>
    <col min="3075" max="3075" width="6" style="76" customWidth="1"/>
    <col min="3076" max="3076" width="22.109375" style="76" customWidth="1"/>
    <col min="3077" max="3077" width="5.44140625" style="76" customWidth="1"/>
    <col min="3078" max="3078" width="5.109375" style="76" customWidth="1"/>
    <col min="3079" max="3079" width="21.33203125" style="76" customWidth="1"/>
    <col min="3080" max="3080" width="17.109375" style="76" customWidth="1"/>
    <col min="3081" max="3081" width="10.109375" style="76" customWidth="1"/>
    <col min="3082" max="3082" width="15" style="76" customWidth="1"/>
    <col min="3083" max="3083" width="10.44140625" style="76" customWidth="1"/>
    <col min="3084" max="3084" width="15.88671875" style="76" customWidth="1"/>
    <col min="3085" max="3085" width="9.5546875" style="76" customWidth="1"/>
    <col min="3086" max="3086" width="11.44140625" style="76" customWidth="1"/>
    <col min="3087" max="3087" width="12" style="76" customWidth="1"/>
    <col min="3088" max="3330" width="9.109375" style="76"/>
    <col min="3331" max="3331" width="6" style="76" customWidth="1"/>
    <col min="3332" max="3332" width="22.109375" style="76" customWidth="1"/>
    <col min="3333" max="3333" width="5.44140625" style="76" customWidth="1"/>
    <col min="3334" max="3334" width="5.109375" style="76" customWidth="1"/>
    <col min="3335" max="3335" width="21.33203125" style="76" customWidth="1"/>
    <col min="3336" max="3336" width="17.109375" style="76" customWidth="1"/>
    <col min="3337" max="3337" width="10.109375" style="76" customWidth="1"/>
    <col min="3338" max="3338" width="15" style="76" customWidth="1"/>
    <col min="3339" max="3339" width="10.44140625" style="76" customWidth="1"/>
    <col min="3340" max="3340" width="15.88671875" style="76" customWidth="1"/>
    <col min="3341" max="3341" width="9.5546875" style="76" customWidth="1"/>
    <col min="3342" max="3342" width="11.44140625" style="76" customWidth="1"/>
    <col min="3343" max="3343" width="12" style="76" customWidth="1"/>
    <col min="3344" max="3586" width="9.109375" style="76"/>
    <col min="3587" max="3587" width="6" style="76" customWidth="1"/>
    <col min="3588" max="3588" width="22.109375" style="76" customWidth="1"/>
    <col min="3589" max="3589" width="5.44140625" style="76" customWidth="1"/>
    <col min="3590" max="3590" width="5.109375" style="76" customWidth="1"/>
    <col min="3591" max="3591" width="21.33203125" style="76" customWidth="1"/>
    <col min="3592" max="3592" width="17.109375" style="76" customWidth="1"/>
    <col min="3593" max="3593" width="10.109375" style="76" customWidth="1"/>
    <col min="3594" max="3594" width="15" style="76" customWidth="1"/>
    <col min="3595" max="3595" width="10.44140625" style="76" customWidth="1"/>
    <col min="3596" max="3596" width="15.88671875" style="76" customWidth="1"/>
    <col min="3597" max="3597" width="9.5546875" style="76" customWidth="1"/>
    <col min="3598" max="3598" width="11.44140625" style="76" customWidth="1"/>
    <col min="3599" max="3599" width="12" style="76" customWidth="1"/>
    <col min="3600" max="3842" width="9.109375" style="76"/>
    <col min="3843" max="3843" width="6" style="76" customWidth="1"/>
    <col min="3844" max="3844" width="22.109375" style="76" customWidth="1"/>
    <col min="3845" max="3845" width="5.44140625" style="76" customWidth="1"/>
    <col min="3846" max="3846" width="5.109375" style="76" customWidth="1"/>
    <col min="3847" max="3847" width="21.33203125" style="76" customWidth="1"/>
    <col min="3848" max="3848" width="17.109375" style="76" customWidth="1"/>
    <col min="3849" max="3849" width="10.109375" style="76" customWidth="1"/>
    <col min="3850" max="3850" width="15" style="76" customWidth="1"/>
    <col min="3851" max="3851" width="10.44140625" style="76" customWidth="1"/>
    <col min="3852" max="3852" width="15.88671875" style="76" customWidth="1"/>
    <col min="3853" max="3853" width="9.5546875" style="76" customWidth="1"/>
    <col min="3854" max="3854" width="11.44140625" style="76" customWidth="1"/>
    <col min="3855" max="3855" width="12" style="76" customWidth="1"/>
    <col min="3856" max="4098" width="9.109375" style="76"/>
    <col min="4099" max="4099" width="6" style="76" customWidth="1"/>
    <col min="4100" max="4100" width="22.109375" style="76" customWidth="1"/>
    <col min="4101" max="4101" width="5.44140625" style="76" customWidth="1"/>
    <col min="4102" max="4102" width="5.109375" style="76" customWidth="1"/>
    <col min="4103" max="4103" width="21.33203125" style="76" customWidth="1"/>
    <col min="4104" max="4104" width="17.109375" style="76" customWidth="1"/>
    <col min="4105" max="4105" width="10.109375" style="76" customWidth="1"/>
    <col min="4106" max="4106" width="15" style="76" customWidth="1"/>
    <col min="4107" max="4107" width="10.44140625" style="76" customWidth="1"/>
    <col min="4108" max="4108" width="15.88671875" style="76" customWidth="1"/>
    <col min="4109" max="4109" width="9.5546875" style="76" customWidth="1"/>
    <col min="4110" max="4110" width="11.44140625" style="76" customWidth="1"/>
    <col min="4111" max="4111" width="12" style="76" customWidth="1"/>
    <col min="4112" max="4354" width="9.109375" style="76"/>
    <col min="4355" max="4355" width="6" style="76" customWidth="1"/>
    <col min="4356" max="4356" width="22.109375" style="76" customWidth="1"/>
    <col min="4357" max="4357" width="5.44140625" style="76" customWidth="1"/>
    <col min="4358" max="4358" width="5.109375" style="76" customWidth="1"/>
    <col min="4359" max="4359" width="21.33203125" style="76" customWidth="1"/>
    <col min="4360" max="4360" width="17.109375" style="76" customWidth="1"/>
    <col min="4361" max="4361" width="10.109375" style="76" customWidth="1"/>
    <col min="4362" max="4362" width="15" style="76" customWidth="1"/>
    <col min="4363" max="4363" width="10.44140625" style="76" customWidth="1"/>
    <col min="4364" max="4364" width="15.88671875" style="76" customWidth="1"/>
    <col min="4365" max="4365" width="9.5546875" style="76" customWidth="1"/>
    <col min="4366" max="4366" width="11.44140625" style="76" customWidth="1"/>
    <col min="4367" max="4367" width="12" style="76" customWidth="1"/>
    <col min="4368" max="4610" width="9.109375" style="76"/>
    <col min="4611" max="4611" width="6" style="76" customWidth="1"/>
    <col min="4612" max="4612" width="22.109375" style="76" customWidth="1"/>
    <col min="4613" max="4613" width="5.44140625" style="76" customWidth="1"/>
    <col min="4614" max="4614" width="5.109375" style="76" customWidth="1"/>
    <col min="4615" max="4615" width="21.33203125" style="76" customWidth="1"/>
    <col min="4616" max="4616" width="17.109375" style="76" customWidth="1"/>
    <col min="4617" max="4617" width="10.109375" style="76" customWidth="1"/>
    <col min="4618" max="4618" width="15" style="76" customWidth="1"/>
    <col min="4619" max="4619" width="10.44140625" style="76" customWidth="1"/>
    <col min="4620" max="4620" width="15.88671875" style="76" customWidth="1"/>
    <col min="4621" max="4621" width="9.5546875" style="76" customWidth="1"/>
    <col min="4622" max="4622" width="11.44140625" style="76" customWidth="1"/>
    <col min="4623" max="4623" width="12" style="76" customWidth="1"/>
    <col min="4624" max="4866" width="9.109375" style="76"/>
    <col min="4867" max="4867" width="6" style="76" customWidth="1"/>
    <col min="4868" max="4868" width="22.109375" style="76" customWidth="1"/>
    <col min="4869" max="4869" width="5.44140625" style="76" customWidth="1"/>
    <col min="4870" max="4870" width="5.109375" style="76" customWidth="1"/>
    <col min="4871" max="4871" width="21.33203125" style="76" customWidth="1"/>
    <col min="4872" max="4872" width="17.109375" style="76" customWidth="1"/>
    <col min="4873" max="4873" width="10.109375" style="76" customWidth="1"/>
    <col min="4874" max="4874" width="15" style="76" customWidth="1"/>
    <col min="4875" max="4875" width="10.44140625" style="76" customWidth="1"/>
    <col min="4876" max="4876" width="15.88671875" style="76" customWidth="1"/>
    <col min="4877" max="4877" width="9.5546875" style="76" customWidth="1"/>
    <col min="4878" max="4878" width="11.44140625" style="76" customWidth="1"/>
    <col min="4879" max="4879" width="12" style="76" customWidth="1"/>
    <col min="4880" max="5122" width="9.109375" style="76"/>
    <col min="5123" max="5123" width="6" style="76" customWidth="1"/>
    <col min="5124" max="5124" width="22.109375" style="76" customWidth="1"/>
    <col min="5125" max="5125" width="5.44140625" style="76" customWidth="1"/>
    <col min="5126" max="5126" width="5.109375" style="76" customWidth="1"/>
    <col min="5127" max="5127" width="21.33203125" style="76" customWidth="1"/>
    <col min="5128" max="5128" width="17.109375" style="76" customWidth="1"/>
    <col min="5129" max="5129" width="10.109375" style="76" customWidth="1"/>
    <col min="5130" max="5130" width="15" style="76" customWidth="1"/>
    <col min="5131" max="5131" width="10.44140625" style="76" customWidth="1"/>
    <col min="5132" max="5132" width="15.88671875" style="76" customWidth="1"/>
    <col min="5133" max="5133" width="9.5546875" style="76" customWidth="1"/>
    <col min="5134" max="5134" width="11.44140625" style="76" customWidth="1"/>
    <col min="5135" max="5135" width="12" style="76" customWidth="1"/>
    <col min="5136" max="5378" width="9.109375" style="76"/>
    <col min="5379" max="5379" width="6" style="76" customWidth="1"/>
    <col min="5380" max="5380" width="22.109375" style="76" customWidth="1"/>
    <col min="5381" max="5381" width="5.44140625" style="76" customWidth="1"/>
    <col min="5382" max="5382" width="5.109375" style="76" customWidth="1"/>
    <col min="5383" max="5383" width="21.33203125" style="76" customWidth="1"/>
    <col min="5384" max="5384" width="17.109375" style="76" customWidth="1"/>
    <col min="5385" max="5385" width="10.109375" style="76" customWidth="1"/>
    <col min="5386" max="5386" width="15" style="76" customWidth="1"/>
    <col min="5387" max="5387" width="10.44140625" style="76" customWidth="1"/>
    <col min="5388" max="5388" width="15.88671875" style="76" customWidth="1"/>
    <col min="5389" max="5389" width="9.5546875" style="76" customWidth="1"/>
    <col min="5390" max="5390" width="11.44140625" style="76" customWidth="1"/>
    <col min="5391" max="5391" width="12" style="76" customWidth="1"/>
    <col min="5392" max="5634" width="9.109375" style="76"/>
    <col min="5635" max="5635" width="6" style="76" customWidth="1"/>
    <col min="5636" max="5636" width="22.109375" style="76" customWidth="1"/>
    <col min="5637" max="5637" width="5.44140625" style="76" customWidth="1"/>
    <col min="5638" max="5638" width="5.109375" style="76" customWidth="1"/>
    <col min="5639" max="5639" width="21.33203125" style="76" customWidth="1"/>
    <col min="5640" max="5640" width="17.109375" style="76" customWidth="1"/>
    <col min="5641" max="5641" width="10.109375" style="76" customWidth="1"/>
    <col min="5642" max="5642" width="15" style="76" customWidth="1"/>
    <col min="5643" max="5643" width="10.44140625" style="76" customWidth="1"/>
    <col min="5644" max="5644" width="15.88671875" style="76" customWidth="1"/>
    <col min="5645" max="5645" width="9.5546875" style="76" customWidth="1"/>
    <col min="5646" max="5646" width="11.44140625" style="76" customWidth="1"/>
    <col min="5647" max="5647" width="12" style="76" customWidth="1"/>
    <col min="5648" max="5890" width="9.109375" style="76"/>
    <col min="5891" max="5891" width="6" style="76" customWidth="1"/>
    <col min="5892" max="5892" width="22.109375" style="76" customWidth="1"/>
    <col min="5893" max="5893" width="5.44140625" style="76" customWidth="1"/>
    <col min="5894" max="5894" width="5.109375" style="76" customWidth="1"/>
    <col min="5895" max="5895" width="21.33203125" style="76" customWidth="1"/>
    <col min="5896" max="5896" width="17.109375" style="76" customWidth="1"/>
    <col min="5897" max="5897" width="10.109375" style="76" customWidth="1"/>
    <col min="5898" max="5898" width="15" style="76" customWidth="1"/>
    <col min="5899" max="5899" width="10.44140625" style="76" customWidth="1"/>
    <col min="5900" max="5900" width="15.88671875" style="76" customWidth="1"/>
    <col min="5901" max="5901" width="9.5546875" style="76" customWidth="1"/>
    <col min="5902" max="5902" width="11.44140625" style="76" customWidth="1"/>
    <col min="5903" max="5903" width="12" style="76" customWidth="1"/>
    <col min="5904" max="6146" width="9.109375" style="76"/>
    <col min="6147" max="6147" width="6" style="76" customWidth="1"/>
    <col min="6148" max="6148" width="22.109375" style="76" customWidth="1"/>
    <col min="6149" max="6149" width="5.44140625" style="76" customWidth="1"/>
    <col min="6150" max="6150" width="5.109375" style="76" customWidth="1"/>
    <col min="6151" max="6151" width="21.33203125" style="76" customWidth="1"/>
    <col min="6152" max="6152" width="17.109375" style="76" customWidth="1"/>
    <col min="6153" max="6153" width="10.109375" style="76" customWidth="1"/>
    <col min="6154" max="6154" width="15" style="76" customWidth="1"/>
    <col min="6155" max="6155" width="10.44140625" style="76" customWidth="1"/>
    <col min="6156" max="6156" width="15.88671875" style="76" customWidth="1"/>
    <col min="6157" max="6157" width="9.5546875" style="76" customWidth="1"/>
    <col min="6158" max="6158" width="11.44140625" style="76" customWidth="1"/>
    <col min="6159" max="6159" width="12" style="76" customWidth="1"/>
    <col min="6160" max="6402" width="9.109375" style="76"/>
    <col min="6403" max="6403" width="6" style="76" customWidth="1"/>
    <col min="6404" max="6404" width="22.109375" style="76" customWidth="1"/>
    <col min="6405" max="6405" width="5.44140625" style="76" customWidth="1"/>
    <col min="6406" max="6406" width="5.109375" style="76" customWidth="1"/>
    <col min="6407" max="6407" width="21.33203125" style="76" customWidth="1"/>
    <col min="6408" max="6408" width="17.109375" style="76" customWidth="1"/>
    <col min="6409" max="6409" width="10.109375" style="76" customWidth="1"/>
    <col min="6410" max="6410" width="15" style="76" customWidth="1"/>
    <col min="6411" max="6411" width="10.44140625" style="76" customWidth="1"/>
    <col min="6412" max="6412" width="15.88671875" style="76" customWidth="1"/>
    <col min="6413" max="6413" width="9.5546875" style="76" customWidth="1"/>
    <col min="6414" max="6414" width="11.44140625" style="76" customWidth="1"/>
    <col min="6415" max="6415" width="12" style="76" customWidth="1"/>
    <col min="6416" max="6658" width="9.109375" style="76"/>
    <col min="6659" max="6659" width="6" style="76" customWidth="1"/>
    <col min="6660" max="6660" width="22.109375" style="76" customWidth="1"/>
    <col min="6661" max="6661" width="5.44140625" style="76" customWidth="1"/>
    <col min="6662" max="6662" width="5.109375" style="76" customWidth="1"/>
    <col min="6663" max="6663" width="21.33203125" style="76" customWidth="1"/>
    <col min="6664" max="6664" width="17.109375" style="76" customWidth="1"/>
    <col min="6665" max="6665" width="10.109375" style="76" customWidth="1"/>
    <col min="6666" max="6666" width="15" style="76" customWidth="1"/>
    <col min="6667" max="6667" width="10.44140625" style="76" customWidth="1"/>
    <col min="6668" max="6668" width="15.88671875" style="76" customWidth="1"/>
    <col min="6669" max="6669" width="9.5546875" style="76" customWidth="1"/>
    <col min="6670" max="6670" width="11.44140625" style="76" customWidth="1"/>
    <col min="6671" max="6671" width="12" style="76" customWidth="1"/>
    <col min="6672" max="6914" width="9.109375" style="76"/>
    <col min="6915" max="6915" width="6" style="76" customWidth="1"/>
    <col min="6916" max="6916" width="22.109375" style="76" customWidth="1"/>
    <col min="6917" max="6917" width="5.44140625" style="76" customWidth="1"/>
    <col min="6918" max="6918" width="5.109375" style="76" customWidth="1"/>
    <col min="6919" max="6919" width="21.33203125" style="76" customWidth="1"/>
    <col min="6920" max="6920" width="17.109375" style="76" customWidth="1"/>
    <col min="6921" max="6921" width="10.109375" style="76" customWidth="1"/>
    <col min="6922" max="6922" width="15" style="76" customWidth="1"/>
    <col min="6923" max="6923" width="10.44140625" style="76" customWidth="1"/>
    <col min="6924" max="6924" width="15.88671875" style="76" customWidth="1"/>
    <col min="6925" max="6925" width="9.5546875" style="76" customWidth="1"/>
    <col min="6926" max="6926" width="11.44140625" style="76" customWidth="1"/>
    <col min="6927" max="6927" width="12" style="76" customWidth="1"/>
    <col min="6928" max="7170" width="9.109375" style="76"/>
    <col min="7171" max="7171" width="6" style="76" customWidth="1"/>
    <col min="7172" max="7172" width="22.109375" style="76" customWidth="1"/>
    <col min="7173" max="7173" width="5.44140625" style="76" customWidth="1"/>
    <col min="7174" max="7174" width="5.109375" style="76" customWidth="1"/>
    <col min="7175" max="7175" width="21.33203125" style="76" customWidth="1"/>
    <col min="7176" max="7176" width="17.109375" style="76" customWidth="1"/>
    <col min="7177" max="7177" width="10.109375" style="76" customWidth="1"/>
    <col min="7178" max="7178" width="15" style="76" customWidth="1"/>
    <col min="7179" max="7179" width="10.44140625" style="76" customWidth="1"/>
    <col min="7180" max="7180" width="15.88671875" style="76" customWidth="1"/>
    <col min="7181" max="7181" width="9.5546875" style="76" customWidth="1"/>
    <col min="7182" max="7182" width="11.44140625" style="76" customWidth="1"/>
    <col min="7183" max="7183" width="12" style="76" customWidth="1"/>
    <col min="7184" max="7426" width="9.109375" style="76"/>
    <col min="7427" max="7427" width="6" style="76" customWidth="1"/>
    <col min="7428" max="7428" width="22.109375" style="76" customWidth="1"/>
    <col min="7429" max="7429" width="5.44140625" style="76" customWidth="1"/>
    <col min="7430" max="7430" width="5.109375" style="76" customWidth="1"/>
    <col min="7431" max="7431" width="21.33203125" style="76" customWidth="1"/>
    <col min="7432" max="7432" width="17.109375" style="76" customWidth="1"/>
    <col min="7433" max="7433" width="10.109375" style="76" customWidth="1"/>
    <col min="7434" max="7434" width="15" style="76" customWidth="1"/>
    <col min="7435" max="7435" width="10.44140625" style="76" customWidth="1"/>
    <col min="7436" max="7436" width="15.88671875" style="76" customWidth="1"/>
    <col min="7437" max="7437" width="9.5546875" style="76" customWidth="1"/>
    <col min="7438" max="7438" width="11.44140625" style="76" customWidth="1"/>
    <col min="7439" max="7439" width="12" style="76" customWidth="1"/>
    <col min="7440" max="7682" width="9.109375" style="76"/>
    <col min="7683" max="7683" width="6" style="76" customWidth="1"/>
    <col min="7684" max="7684" width="22.109375" style="76" customWidth="1"/>
    <col min="7685" max="7685" width="5.44140625" style="76" customWidth="1"/>
    <col min="7686" max="7686" width="5.109375" style="76" customWidth="1"/>
    <col min="7687" max="7687" width="21.33203125" style="76" customWidth="1"/>
    <col min="7688" max="7688" width="17.109375" style="76" customWidth="1"/>
    <col min="7689" max="7689" width="10.109375" style="76" customWidth="1"/>
    <col min="7690" max="7690" width="15" style="76" customWidth="1"/>
    <col min="7691" max="7691" width="10.44140625" style="76" customWidth="1"/>
    <col min="7692" max="7692" width="15.88671875" style="76" customWidth="1"/>
    <col min="7693" max="7693" width="9.5546875" style="76" customWidth="1"/>
    <col min="7694" max="7694" width="11.44140625" style="76" customWidth="1"/>
    <col min="7695" max="7695" width="12" style="76" customWidth="1"/>
    <col min="7696" max="7938" width="9.109375" style="76"/>
    <col min="7939" max="7939" width="6" style="76" customWidth="1"/>
    <col min="7940" max="7940" width="22.109375" style="76" customWidth="1"/>
    <col min="7941" max="7941" width="5.44140625" style="76" customWidth="1"/>
    <col min="7942" max="7942" width="5.109375" style="76" customWidth="1"/>
    <col min="7943" max="7943" width="21.33203125" style="76" customWidth="1"/>
    <col min="7944" max="7944" width="17.109375" style="76" customWidth="1"/>
    <col min="7945" max="7945" width="10.109375" style="76" customWidth="1"/>
    <col min="7946" max="7946" width="15" style="76" customWidth="1"/>
    <col min="7947" max="7947" width="10.44140625" style="76" customWidth="1"/>
    <col min="7948" max="7948" width="15.88671875" style="76" customWidth="1"/>
    <col min="7949" max="7949" width="9.5546875" style="76" customWidth="1"/>
    <col min="7950" max="7950" width="11.44140625" style="76" customWidth="1"/>
    <col min="7951" max="7951" width="12" style="76" customWidth="1"/>
    <col min="7952" max="8194" width="9.109375" style="76"/>
    <col min="8195" max="8195" width="6" style="76" customWidth="1"/>
    <col min="8196" max="8196" width="22.109375" style="76" customWidth="1"/>
    <col min="8197" max="8197" width="5.44140625" style="76" customWidth="1"/>
    <col min="8198" max="8198" width="5.109375" style="76" customWidth="1"/>
    <col min="8199" max="8199" width="21.33203125" style="76" customWidth="1"/>
    <col min="8200" max="8200" width="17.109375" style="76" customWidth="1"/>
    <col min="8201" max="8201" width="10.109375" style="76" customWidth="1"/>
    <col min="8202" max="8202" width="15" style="76" customWidth="1"/>
    <col min="8203" max="8203" width="10.44140625" style="76" customWidth="1"/>
    <col min="8204" max="8204" width="15.88671875" style="76" customWidth="1"/>
    <col min="8205" max="8205" width="9.5546875" style="76" customWidth="1"/>
    <col min="8206" max="8206" width="11.44140625" style="76" customWidth="1"/>
    <col min="8207" max="8207" width="12" style="76" customWidth="1"/>
    <col min="8208" max="8450" width="9.109375" style="76"/>
    <col min="8451" max="8451" width="6" style="76" customWidth="1"/>
    <col min="8452" max="8452" width="22.109375" style="76" customWidth="1"/>
    <col min="8453" max="8453" width="5.44140625" style="76" customWidth="1"/>
    <col min="8454" max="8454" width="5.109375" style="76" customWidth="1"/>
    <col min="8455" max="8455" width="21.33203125" style="76" customWidth="1"/>
    <col min="8456" max="8456" width="17.109375" style="76" customWidth="1"/>
    <col min="8457" max="8457" width="10.109375" style="76" customWidth="1"/>
    <col min="8458" max="8458" width="15" style="76" customWidth="1"/>
    <col min="8459" max="8459" width="10.44140625" style="76" customWidth="1"/>
    <col min="8460" max="8460" width="15.88671875" style="76" customWidth="1"/>
    <col min="8461" max="8461" width="9.5546875" style="76" customWidth="1"/>
    <col min="8462" max="8462" width="11.44140625" style="76" customWidth="1"/>
    <col min="8463" max="8463" width="12" style="76" customWidth="1"/>
    <col min="8464" max="8706" width="9.109375" style="76"/>
    <col min="8707" max="8707" width="6" style="76" customWidth="1"/>
    <col min="8708" max="8708" width="22.109375" style="76" customWidth="1"/>
    <col min="8709" max="8709" width="5.44140625" style="76" customWidth="1"/>
    <col min="8710" max="8710" width="5.109375" style="76" customWidth="1"/>
    <col min="8711" max="8711" width="21.33203125" style="76" customWidth="1"/>
    <col min="8712" max="8712" width="17.109375" style="76" customWidth="1"/>
    <col min="8713" max="8713" width="10.109375" style="76" customWidth="1"/>
    <col min="8714" max="8714" width="15" style="76" customWidth="1"/>
    <col min="8715" max="8715" width="10.44140625" style="76" customWidth="1"/>
    <col min="8716" max="8716" width="15.88671875" style="76" customWidth="1"/>
    <col min="8717" max="8717" width="9.5546875" style="76" customWidth="1"/>
    <col min="8718" max="8718" width="11.44140625" style="76" customWidth="1"/>
    <col min="8719" max="8719" width="12" style="76" customWidth="1"/>
    <col min="8720" max="8962" width="9.109375" style="76"/>
    <col min="8963" max="8963" width="6" style="76" customWidth="1"/>
    <col min="8964" max="8964" width="22.109375" style="76" customWidth="1"/>
    <col min="8965" max="8965" width="5.44140625" style="76" customWidth="1"/>
    <col min="8966" max="8966" width="5.109375" style="76" customWidth="1"/>
    <col min="8967" max="8967" width="21.33203125" style="76" customWidth="1"/>
    <col min="8968" max="8968" width="17.109375" style="76" customWidth="1"/>
    <col min="8969" max="8969" width="10.109375" style="76" customWidth="1"/>
    <col min="8970" max="8970" width="15" style="76" customWidth="1"/>
    <col min="8971" max="8971" width="10.44140625" style="76" customWidth="1"/>
    <col min="8972" max="8972" width="15.88671875" style="76" customWidth="1"/>
    <col min="8973" max="8973" width="9.5546875" style="76" customWidth="1"/>
    <col min="8974" max="8974" width="11.44140625" style="76" customWidth="1"/>
    <col min="8975" max="8975" width="12" style="76" customWidth="1"/>
    <col min="8976" max="9218" width="9.109375" style="76"/>
    <col min="9219" max="9219" width="6" style="76" customWidth="1"/>
    <col min="9220" max="9220" width="22.109375" style="76" customWidth="1"/>
    <col min="9221" max="9221" width="5.44140625" style="76" customWidth="1"/>
    <col min="9222" max="9222" width="5.109375" style="76" customWidth="1"/>
    <col min="9223" max="9223" width="21.33203125" style="76" customWidth="1"/>
    <col min="9224" max="9224" width="17.109375" style="76" customWidth="1"/>
    <col min="9225" max="9225" width="10.109375" style="76" customWidth="1"/>
    <col min="9226" max="9226" width="15" style="76" customWidth="1"/>
    <col min="9227" max="9227" width="10.44140625" style="76" customWidth="1"/>
    <col min="9228" max="9228" width="15.88671875" style="76" customWidth="1"/>
    <col min="9229" max="9229" width="9.5546875" style="76" customWidth="1"/>
    <col min="9230" max="9230" width="11.44140625" style="76" customWidth="1"/>
    <col min="9231" max="9231" width="12" style="76" customWidth="1"/>
    <col min="9232" max="9474" width="9.109375" style="76"/>
    <col min="9475" max="9475" width="6" style="76" customWidth="1"/>
    <col min="9476" max="9476" width="22.109375" style="76" customWidth="1"/>
    <col min="9477" max="9477" width="5.44140625" style="76" customWidth="1"/>
    <col min="9478" max="9478" width="5.109375" style="76" customWidth="1"/>
    <col min="9479" max="9479" width="21.33203125" style="76" customWidth="1"/>
    <col min="9480" max="9480" width="17.109375" style="76" customWidth="1"/>
    <col min="9481" max="9481" width="10.109375" style="76" customWidth="1"/>
    <col min="9482" max="9482" width="15" style="76" customWidth="1"/>
    <col min="9483" max="9483" width="10.44140625" style="76" customWidth="1"/>
    <col min="9484" max="9484" width="15.88671875" style="76" customWidth="1"/>
    <col min="9485" max="9485" width="9.5546875" style="76" customWidth="1"/>
    <col min="9486" max="9486" width="11.44140625" style="76" customWidth="1"/>
    <col min="9487" max="9487" width="12" style="76" customWidth="1"/>
    <col min="9488" max="9730" width="9.109375" style="76"/>
    <col min="9731" max="9731" width="6" style="76" customWidth="1"/>
    <col min="9732" max="9732" width="22.109375" style="76" customWidth="1"/>
    <col min="9733" max="9733" width="5.44140625" style="76" customWidth="1"/>
    <col min="9734" max="9734" width="5.109375" style="76" customWidth="1"/>
    <col min="9735" max="9735" width="21.33203125" style="76" customWidth="1"/>
    <col min="9736" max="9736" width="17.109375" style="76" customWidth="1"/>
    <col min="9737" max="9737" width="10.109375" style="76" customWidth="1"/>
    <col min="9738" max="9738" width="15" style="76" customWidth="1"/>
    <col min="9739" max="9739" width="10.44140625" style="76" customWidth="1"/>
    <col min="9740" max="9740" width="15.88671875" style="76" customWidth="1"/>
    <col min="9741" max="9741" width="9.5546875" style="76" customWidth="1"/>
    <col min="9742" max="9742" width="11.44140625" style="76" customWidth="1"/>
    <col min="9743" max="9743" width="12" style="76" customWidth="1"/>
    <col min="9744" max="9986" width="9.109375" style="76"/>
    <col min="9987" max="9987" width="6" style="76" customWidth="1"/>
    <col min="9988" max="9988" width="22.109375" style="76" customWidth="1"/>
    <col min="9989" max="9989" width="5.44140625" style="76" customWidth="1"/>
    <col min="9990" max="9990" width="5.109375" style="76" customWidth="1"/>
    <col min="9991" max="9991" width="21.33203125" style="76" customWidth="1"/>
    <col min="9992" max="9992" width="17.109375" style="76" customWidth="1"/>
    <col min="9993" max="9993" width="10.109375" style="76" customWidth="1"/>
    <col min="9994" max="9994" width="15" style="76" customWidth="1"/>
    <col min="9995" max="9995" width="10.44140625" style="76" customWidth="1"/>
    <col min="9996" max="9996" width="15.88671875" style="76" customWidth="1"/>
    <col min="9997" max="9997" width="9.5546875" style="76" customWidth="1"/>
    <col min="9998" max="9998" width="11.44140625" style="76" customWidth="1"/>
    <col min="9999" max="9999" width="12" style="76" customWidth="1"/>
    <col min="10000" max="10242" width="9.109375" style="76"/>
    <col min="10243" max="10243" width="6" style="76" customWidth="1"/>
    <col min="10244" max="10244" width="22.109375" style="76" customWidth="1"/>
    <col min="10245" max="10245" width="5.44140625" style="76" customWidth="1"/>
    <col min="10246" max="10246" width="5.109375" style="76" customWidth="1"/>
    <col min="10247" max="10247" width="21.33203125" style="76" customWidth="1"/>
    <col min="10248" max="10248" width="17.109375" style="76" customWidth="1"/>
    <col min="10249" max="10249" width="10.109375" style="76" customWidth="1"/>
    <col min="10250" max="10250" width="15" style="76" customWidth="1"/>
    <col min="10251" max="10251" width="10.44140625" style="76" customWidth="1"/>
    <col min="10252" max="10252" width="15.88671875" style="76" customWidth="1"/>
    <col min="10253" max="10253" width="9.5546875" style="76" customWidth="1"/>
    <col min="10254" max="10254" width="11.44140625" style="76" customWidth="1"/>
    <col min="10255" max="10255" width="12" style="76" customWidth="1"/>
    <col min="10256" max="10498" width="9.109375" style="76"/>
    <col min="10499" max="10499" width="6" style="76" customWidth="1"/>
    <col min="10500" max="10500" width="22.109375" style="76" customWidth="1"/>
    <col min="10501" max="10501" width="5.44140625" style="76" customWidth="1"/>
    <col min="10502" max="10502" width="5.109375" style="76" customWidth="1"/>
    <col min="10503" max="10503" width="21.33203125" style="76" customWidth="1"/>
    <col min="10504" max="10504" width="17.109375" style="76" customWidth="1"/>
    <col min="10505" max="10505" width="10.109375" style="76" customWidth="1"/>
    <col min="10506" max="10506" width="15" style="76" customWidth="1"/>
    <col min="10507" max="10507" width="10.44140625" style="76" customWidth="1"/>
    <col min="10508" max="10508" width="15.88671875" style="76" customWidth="1"/>
    <col min="10509" max="10509" width="9.5546875" style="76" customWidth="1"/>
    <col min="10510" max="10510" width="11.44140625" style="76" customWidth="1"/>
    <col min="10511" max="10511" width="12" style="76" customWidth="1"/>
    <col min="10512" max="10754" width="9.109375" style="76"/>
    <col min="10755" max="10755" width="6" style="76" customWidth="1"/>
    <col min="10756" max="10756" width="22.109375" style="76" customWidth="1"/>
    <col min="10757" max="10757" width="5.44140625" style="76" customWidth="1"/>
    <col min="10758" max="10758" width="5.109375" style="76" customWidth="1"/>
    <col min="10759" max="10759" width="21.33203125" style="76" customWidth="1"/>
    <col min="10760" max="10760" width="17.109375" style="76" customWidth="1"/>
    <col min="10761" max="10761" width="10.109375" style="76" customWidth="1"/>
    <col min="10762" max="10762" width="15" style="76" customWidth="1"/>
    <col min="10763" max="10763" width="10.44140625" style="76" customWidth="1"/>
    <col min="10764" max="10764" width="15.88671875" style="76" customWidth="1"/>
    <col min="10765" max="10765" width="9.5546875" style="76" customWidth="1"/>
    <col min="10766" max="10766" width="11.44140625" style="76" customWidth="1"/>
    <col min="10767" max="10767" width="12" style="76" customWidth="1"/>
    <col min="10768" max="11010" width="9.109375" style="76"/>
    <col min="11011" max="11011" width="6" style="76" customWidth="1"/>
    <col min="11012" max="11012" width="22.109375" style="76" customWidth="1"/>
    <col min="11013" max="11013" width="5.44140625" style="76" customWidth="1"/>
    <col min="11014" max="11014" width="5.109375" style="76" customWidth="1"/>
    <col min="11015" max="11015" width="21.33203125" style="76" customWidth="1"/>
    <col min="11016" max="11016" width="17.109375" style="76" customWidth="1"/>
    <col min="11017" max="11017" width="10.109375" style="76" customWidth="1"/>
    <col min="11018" max="11018" width="15" style="76" customWidth="1"/>
    <col min="11019" max="11019" width="10.44140625" style="76" customWidth="1"/>
    <col min="11020" max="11020" width="15.88671875" style="76" customWidth="1"/>
    <col min="11021" max="11021" width="9.5546875" style="76" customWidth="1"/>
    <col min="11022" max="11022" width="11.44140625" style="76" customWidth="1"/>
    <col min="11023" max="11023" width="12" style="76" customWidth="1"/>
    <col min="11024" max="11266" width="9.109375" style="76"/>
    <col min="11267" max="11267" width="6" style="76" customWidth="1"/>
    <col min="11268" max="11268" width="22.109375" style="76" customWidth="1"/>
    <col min="11269" max="11269" width="5.44140625" style="76" customWidth="1"/>
    <col min="11270" max="11270" width="5.109375" style="76" customWidth="1"/>
    <col min="11271" max="11271" width="21.33203125" style="76" customWidth="1"/>
    <col min="11272" max="11272" width="17.109375" style="76" customWidth="1"/>
    <col min="11273" max="11273" width="10.109375" style="76" customWidth="1"/>
    <col min="11274" max="11274" width="15" style="76" customWidth="1"/>
    <col min="11275" max="11275" width="10.44140625" style="76" customWidth="1"/>
    <col min="11276" max="11276" width="15.88671875" style="76" customWidth="1"/>
    <col min="11277" max="11277" width="9.5546875" style="76" customWidth="1"/>
    <col min="11278" max="11278" width="11.44140625" style="76" customWidth="1"/>
    <col min="11279" max="11279" width="12" style="76" customWidth="1"/>
    <col min="11280" max="11522" width="9.109375" style="76"/>
    <col min="11523" max="11523" width="6" style="76" customWidth="1"/>
    <col min="11524" max="11524" width="22.109375" style="76" customWidth="1"/>
    <col min="11525" max="11525" width="5.44140625" style="76" customWidth="1"/>
    <col min="11526" max="11526" width="5.109375" style="76" customWidth="1"/>
    <col min="11527" max="11527" width="21.33203125" style="76" customWidth="1"/>
    <col min="11528" max="11528" width="17.109375" style="76" customWidth="1"/>
    <col min="11529" max="11529" width="10.109375" style="76" customWidth="1"/>
    <col min="11530" max="11530" width="15" style="76" customWidth="1"/>
    <col min="11531" max="11531" width="10.44140625" style="76" customWidth="1"/>
    <col min="11532" max="11532" width="15.88671875" style="76" customWidth="1"/>
    <col min="11533" max="11533" width="9.5546875" style="76" customWidth="1"/>
    <col min="11534" max="11534" width="11.44140625" style="76" customWidth="1"/>
    <col min="11535" max="11535" width="12" style="76" customWidth="1"/>
    <col min="11536" max="11778" width="9.109375" style="76"/>
    <col min="11779" max="11779" width="6" style="76" customWidth="1"/>
    <col min="11780" max="11780" width="22.109375" style="76" customWidth="1"/>
    <col min="11781" max="11781" width="5.44140625" style="76" customWidth="1"/>
    <col min="11782" max="11782" width="5.109375" style="76" customWidth="1"/>
    <col min="11783" max="11783" width="21.33203125" style="76" customWidth="1"/>
    <col min="11784" max="11784" width="17.109375" style="76" customWidth="1"/>
    <col min="11785" max="11785" width="10.109375" style="76" customWidth="1"/>
    <col min="11786" max="11786" width="15" style="76" customWidth="1"/>
    <col min="11787" max="11787" width="10.44140625" style="76" customWidth="1"/>
    <col min="11788" max="11788" width="15.88671875" style="76" customWidth="1"/>
    <col min="11789" max="11789" width="9.5546875" style="76" customWidth="1"/>
    <col min="11790" max="11790" width="11.44140625" style="76" customWidth="1"/>
    <col min="11791" max="11791" width="12" style="76" customWidth="1"/>
    <col min="11792" max="12034" width="9.109375" style="76"/>
    <col min="12035" max="12035" width="6" style="76" customWidth="1"/>
    <col min="12036" max="12036" width="22.109375" style="76" customWidth="1"/>
    <col min="12037" max="12037" width="5.44140625" style="76" customWidth="1"/>
    <col min="12038" max="12038" width="5.109375" style="76" customWidth="1"/>
    <col min="12039" max="12039" width="21.33203125" style="76" customWidth="1"/>
    <col min="12040" max="12040" width="17.109375" style="76" customWidth="1"/>
    <col min="12041" max="12041" width="10.109375" style="76" customWidth="1"/>
    <col min="12042" max="12042" width="15" style="76" customWidth="1"/>
    <col min="12043" max="12043" width="10.44140625" style="76" customWidth="1"/>
    <col min="12044" max="12044" width="15.88671875" style="76" customWidth="1"/>
    <col min="12045" max="12045" width="9.5546875" style="76" customWidth="1"/>
    <col min="12046" max="12046" width="11.44140625" style="76" customWidth="1"/>
    <col min="12047" max="12047" width="12" style="76" customWidth="1"/>
    <col min="12048" max="12290" width="9.109375" style="76"/>
    <col min="12291" max="12291" width="6" style="76" customWidth="1"/>
    <col min="12292" max="12292" width="22.109375" style="76" customWidth="1"/>
    <col min="12293" max="12293" width="5.44140625" style="76" customWidth="1"/>
    <col min="12294" max="12294" width="5.109375" style="76" customWidth="1"/>
    <col min="12295" max="12295" width="21.33203125" style="76" customWidth="1"/>
    <col min="12296" max="12296" width="17.109375" style="76" customWidth="1"/>
    <col min="12297" max="12297" width="10.109375" style="76" customWidth="1"/>
    <col min="12298" max="12298" width="15" style="76" customWidth="1"/>
    <col min="12299" max="12299" width="10.44140625" style="76" customWidth="1"/>
    <col min="12300" max="12300" width="15.88671875" style="76" customWidth="1"/>
    <col min="12301" max="12301" width="9.5546875" style="76" customWidth="1"/>
    <col min="12302" max="12302" width="11.44140625" style="76" customWidth="1"/>
    <col min="12303" max="12303" width="12" style="76" customWidth="1"/>
    <col min="12304" max="12546" width="9.109375" style="76"/>
    <col min="12547" max="12547" width="6" style="76" customWidth="1"/>
    <col min="12548" max="12548" width="22.109375" style="76" customWidth="1"/>
    <col min="12549" max="12549" width="5.44140625" style="76" customWidth="1"/>
    <col min="12550" max="12550" width="5.109375" style="76" customWidth="1"/>
    <col min="12551" max="12551" width="21.33203125" style="76" customWidth="1"/>
    <col min="12552" max="12552" width="17.109375" style="76" customWidth="1"/>
    <col min="12553" max="12553" width="10.109375" style="76" customWidth="1"/>
    <col min="12554" max="12554" width="15" style="76" customWidth="1"/>
    <col min="12555" max="12555" width="10.44140625" style="76" customWidth="1"/>
    <col min="12556" max="12556" width="15.88671875" style="76" customWidth="1"/>
    <col min="12557" max="12557" width="9.5546875" style="76" customWidth="1"/>
    <col min="12558" max="12558" width="11.44140625" style="76" customWidth="1"/>
    <col min="12559" max="12559" width="12" style="76" customWidth="1"/>
    <col min="12560" max="12802" width="9.109375" style="76"/>
    <col min="12803" max="12803" width="6" style="76" customWidth="1"/>
    <col min="12804" max="12804" width="22.109375" style="76" customWidth="1"/>
    <col min="12805" max="12805" width="5.44140625" style="76" customWidth="1"/>
    <col min="12806" max="12806" width="5.109375" style="76" customWidth="1"/>
    <col min="12807" max="12807" width="21.33203125" style="76" customWidth="1"/>
    <col min="12808" max="12808" width="17.109375" style="76" customWidth="1"/>
    <col min="12809" max="12809" width="10.109375" style="76" customWidth="1"/>
    <col min="12810" max="12810" width="15" style="76" customWidth="1"/>
    <col min="12811" max="12811" width="10.44140625" style="76" customWidth="1"/>
    <col min="12812" max="12812" width="15.88671875" style="76" customWidth="1"/>
    <col min="12813" max="12813" width="9.5546875" style="76" customWidth="1"/>
    <col min="12814" max="12814" width="11.44140625" style="76" customWidth="1"/>
    <col min="12815" max="12815" width="12" style="76" customWidth="1"/>
    <col min="12816" max="13058" width="9.109375" style="76"/>
    <col min="13059" max="13059" width="6" style="76" customWidth="1"/>
    <col min="13060" max="13060" width="22.109375" style="76" customWidth="1"/>
    <col min="13061" max="13061" width="5.44140625" style="76" customWidth="1"/>
    <col min="13062" max="13062" width="5.109375" style="76" customWidth="1"/>
    <col min="13063" max="13063" width="21.33203125" style="76" customWidth="1"/>
    <col min="13064" max="13064" width="17.109375" style="76" customWidth="1"/>
    <col min="13065" max="13065" width="10.109375" style="76" customWidth="1"/>
    <col min="13066" max="13066" width="15" style="76" customWidth="1"/>
    <col min="13067" max="13067" width="10.44140625" style="76" customWidth="1"/>
    <col min="13068" max="13068" width="15.88671875" style="76" customWidth="1"/>
    <col min="13069" max="13069" width="9.5546875" style="76" customWidth="1"/>
    <col min="13070" max="13070" width="11.44140625" style="76" customWidth="1"/>
    <col min="13071" max="13071" width="12" style="76" customWidth="1"/>
    <col min="13072" max="13314" width="9.109375" style="76"/>
    <col min="13315" max="13315" width="6" style="76" customWidth="1"/>
    <col min="13316" max="13316" width="22.109375" style="76" customWidth="1"/>
    <col min="13317" max="13317" width="5.44140625" style="76" customWidth="1"/>
    <col min="13318" max="13318" width="5.109375" style="76" customWidth="1"/>
    <col min="13319" max="13319" width="21.33203125" style="76" customWidth="1"/>
    <col min="13320" max="13320" width="17.109375" style="76" customWidth="1"/>
    <col min="13321" max="13321" width="10.109375" style="76" customWidth="1"/>
    <col min="13322" max="13322" width="15" style="76" customWidth="1"/>
    <col min="13323" max="13323" width="10.44140625" style="76" customWidth="1"/>
    <col min="13324" max="13324" width="15.88671875" style="76" customWidth="1"/>
    <col min="13325" max="13325" width="9.5546875" style="76" customWidth="1"/>
    <col min="13326" max="13326" width="11.44140625" style="76" customWidth="1"/>
    <col min="13327" max="13327" width="12" style="76" customWidth="1"/>
    <col min="13328" max="13570" width="9.109375" style="76"/>
    <col min="13571" max="13571" width="6" style="76" customWidth="1"/>
    <col min="13572" max="13572" width="22.109375" style="76" customWidth="1"/>
    <col min="13573" max="13573" width="5.44140625" style="76" customWidth="1"/>
    <col min="13574" max="13574" width="5.109375" style="76" customWidth="1"/>
    <col min="13575" max="13575" width="21.33203125" style="76" customWidth="1"/>
    <col min="13576" max="13576" width="17.109375" style="76" customWidth="1"/>
    <col min="13577" max="13577" width="10.109375" style="76" customWidth="1"/>
    <col min="13578" max="13578" width="15" style="76" customWidth="1"/>
    <col min="13579" max="13579" width="10.44140625" style="76" customWidth="1"/>
    <col min="13580" max="13580" width="15.88671875" style="76" customWidth="1"/>
    <col min="13581" max="13581" width="9.5546875" style="76" customWidth="1"/>
    <col min="13582" max="13582" width="11.44140625" style="76" customWidth="1"/>
    <col min="13583" max="13583" width="12" style="76" customWidth="1"/>
    <col min="13584" max="13826" width="9.109375" style="76"/>
    <col min="13827" max="13827" width="6" style="76" customWidth="1"/>
    <col min="13828" max="13828" width="22.109375" style="76" customWidth="1"/>
    <col min="13829" max="13829" width="5.44140625" style="76" customWidth="1"/>
    <col min="13830" max="13830" width="5.109375" style="76" customWidth="1"/>
    <col min="13831" max="13831" width="21.33203125" style="76" customWidth="1"/>
    <col min="13832" max="13832" width="17.109375" style="76" customWidth="1"/>
    <col min="13833" max="13833" width="10.109375" style="76" customWidth="1"/>
    <col min="13834" max="13834" width="15" style="76" customWidth="1"/>
    <col min="13835" max="13835" width="10.44140625" style="76" customWidth="1"/>
    <col min="13836" max="13836" width="15.88671875" style="76" customWidth="1"/>
    <col min="13837" max="13837" width="9.5546875" style="76" customWidth="1"/>
    <col min="13838" max="13838" width="11.44140625" style="76" customWidth="1"/>
    <col min="13839" max="13839" width="12" style="76" customWidth="1"/>
    <col min="13840" max="14082" width="9.109375" style="76"/>
    <col min="14083" max="14083" width="6" style="76" customWidth="1"/>
    <col min="14084" max="14084" width="22.109375" style="76" customWidth="1"/>
    <col min="14085" max="14085" width="5.44140625" style="76" customWidth="1"/>
    <col min="14086" max="14086" width="5.109375" style="76" customWidth="1"/>
    <col min="14087" max="14087" width="21.33203125" style="76" customWidth="1"/>
    <col min="14088" max="14088" width="17.109375" style="76" customWidth="1"/>
    <col min="14089" max="14089" width="10.109375" style="76" customWidth="1"/>
    <col min="14090" max="14090" width="15" style="76" customWidth="1"/>
    <col min="14091" max="14091" width="10.44140625" style="76" customWidth="1"/>
    <col min="14092" max="14092" width="15.88671875" style="76" customWidth="1"/>
    <col min="14093" max="14093" width="9.5546875" style="76" customWidth="1"/>
    <col min="14094" max="14094" width="11.44140625" style="76" customWidth="1"/>
    <col min="14095" max="14095" width="12" style="76" customWidth="1"/>
    <col min="14096" max="14338" width="9.109375" style="76"/>
    <col min="14339" max="14339" width="6" style="76" customWidth="1"/>
    <col min="14340" max="14340" width="22.109375" style="76" customWidth="1"/>
    <col min="14341" max="14341" width="5.44140625" style="76" customWidth="1"/>
    <col min="14342" max="14342" width="5.109375" style="76" customWidth="1"/>
    <col min="14343" max="14343" width="21.33203125" style="76" customWidth="1"/>
    <col min="14344" max="14344" width="17.109375" style="76" customWidth="1"/>
    <col min="14345" max="14345" width="10.109375" style="76" customWidth="1"/>
    <col min="14346" max="14346" width="15" style="76" customWidth="1"/>
    <col min="14347" max="14347" width="10.44140625" style="76" customWidth="1"/>
    <col min="14348" max="14348" width="15.88671875" style="76" customWidth="1"/>
    <col min="14349" max="14349" width="9.5546875" style="76" customWidth="1"/>
    <col min="14350" max="14350" width="11.44140625" style="76" customWidth="1"/>
    <col min="14351" max="14351" width="12" style="76" customWidth="1"/>
    <col min="14352" max="14594" width="9.109375" style="76"/>
    <col min="14595" max="14595" width="6" style="76" customWidth="1"/>
    <col min="14596" max="14596" width="22.109375" style="76" customWidth="1"/>
    <col min="14597" max="14597" width="5.44140625" style="76" customWidth="1"/>
    <col min="14598" max="14598" width="5.109375" style="76" customWidth="1"/>
    <col min="14599" max="14599" width="21.33203125" style="76" customWidth="1"/>
    <col min="14600" max="14600" width="17.109375" style="76" customWidth="1"/>
    <col min="14601" max="14601" width="10.109375" style="76" customWidth="1"/>
    <col min="14602" max="14602" width="15" style="76" customWidth="1"/>
    <col min="14603" max="14603" width="10.44140625" style="76" customWidth="1"/>
    <col min="14604" max="14604" width="15.88671875" style="76" customWidth="1"/>
    <col min="14605" max="14605" width="9.5546875" style="76" customWidth="1"/>
    <col min="14606" max="14606" width="11.44140625" style="76" customWidth="1"/>
    <col min="14607" max="14607" width="12" style="76" customWidth="1"/>
    <col min="14608" max="14850" width="9.109375" style="76"/>
    <col min="14851" max="14851" width="6" style="76" customWidth="1"/>
    <col min="14852" max="14852" width="22.109375" style="76" customWidth="1"/>
    <col min="14853" max="14853" width="5.44140625" style="76" customWidth="1"/>
    <col min="14854" max="14854" width="5.109375" style="76" customWidth="1"/>
    <col min="14855" max="14855" width="21.33203125" style="76" customWidth="1"/>
    <col min="14856" max="14856" width="17.109375" style="76" customWidth="1"/>
    <col min="14857" max="14857" width="10.109375" style="76" customWidth="1"/>
    <col min="14858" max="14858" width="15" style="76" customWidth="1"/>
    <col min="14859" max="14859" width="10.44140625" style="76" customWidth="1"/>
    <col min="14860" max="14860" width="15.88671875" style="76" customWidth="1"/>
    <col min="14861" max="14861" width="9.5546875" style="76" customWidth="1"/>
    <col min="14862" max="14862" width="11.44140625" style="76" customWidth="1"/>
    <col min="14863" max="14863" width="12" style="76" customWidth="1"/>
    <col min="14864" max="15106" width="9.109375" style="76"/>
    <col min="15107" max="15107" width="6" style="76" customWidth="1"/>
    <col min="15108" max="15108" width="22.109375" style="76" customWidth="1"/>
    <col min="15109" max="15109" width="5.44140625" style="76" customWidth="1"/>
    <col min="15110" max="15110" width="5.109375" style="76" customWidth="1"/>
    <col min="15111" max="15111" width="21.33203125" style="76" customWidth="1"/>
    <col min="15112" max="15112" width="17.109375" style="76" customWidth="1"/>
    <col min="15113" max="15113" width="10.109375" style="76" customWidth="1"/>
    <col min="15114" max="15114" width="15" style="76" customWidth="1"/>
    <col min="15115" max="15115" width="10.44140625" style="76" customWidth="1"/>
    <col min="15116" max="15116" width="15.88671875" style="76" customWidth="1"/>
    <col min="15117" max="15117" width="9.5546875" style="76" customWidth="1"/>
    <col min="15118" max="15118" width="11.44140625" style="76" customWidth="1"/>
    <col min="15119" max="15119" width="12" style="76" customWidth="1"/>
    <col min="15120" max="15362" width="9.109375" style="76"/>
    <col min="15363" max="15363" width="6" style="76" customWidth="1"/>
    <col min="15364" max="15364" width="22.109375" style="76" customWidth="1"/>
    <col min="15365" max="15365" width="5.44140625" style="76" customWidth="1"/>
    <col min="15366" max="15366" width="5.109375" style="76" customWidth="1"/>
    <col min="15367" max="15367" width="21.33203125" style="76" customWidth="1"/>
    <col min="15368" max="15368" width="17.109375" style="76" customWidth="1"/>
    <col min="15369" max="15369" width="10.109375" style="76" customWidth="1"/>
    <col min="15370" max="15370" width="15" style="76" customWidth="1"/>
    <col min="15371" max="15371" width="10.44140625" style="76" customWidth="1"/>
    <col min="15372" max="15372" width="15.88671875" style="76" customWidth="1"/>
    <col min="15373" max="15373" width="9.5546875" style="76" customWidth="1"/>
    <col min="15374" max="15374" width="11.44140625" style="76" customWidth="1"/>
    <col min="15375" max="15375" width="12" style="76" customWidth="1"/>
    <col min="15376" max="15618" width="9.109375" style="76"/>
    <col min="15619" max="15619" width="6" style="76" customWidth="1"/>
    <col min="15620" max="15620" width="22.109375" style="76" customWidth="1"/>
    <col min="15621" max="15621" width="5.44140625" style="76" customWidth="1"/>
    <col min="15622" max="15622" width="5.109375" style="76" customWidth="1"/>
    <col min="15623" max="15623" width="21.33203125" style="76" customWidth="1"/>
    <col min="15624" max="15624" width="17.109375" style="76" customWidth="1"/>
    <col min="15625" max="15625" width="10.109375" style="76" customWidth="1"/>
    <col min="15626" max="15626" width="15" style="76" customWidth="1"/>
    <col min="15627" max="15627" width="10.44140625" style="76" customWidth="1"/>
    <col min="15628" max="15628" width="15.88671875" style="76" customWidth="1"/>
    <col min="15629" max="15629" width="9.5546875" style="76" customWidth="1"/>
    <col min="15630" max="15630" width="11.44140625" style="76" customWidth="1"/>
    <col min="15631" max="15631" width="12" style="76" customWidth="1"/>
    <col min="15632" max="15874" width="9.109375" style="76"/>
    <col min="15875" max="15875" width="6" style="76" customWidth="1"/>
    <col min="15876" max="15876" width="22.109375" style="76" customWidth="1"/>
    <col min="15877" max="15877" width="5.44140625" style="76" customWidth="1"/>
    <col min="15878" max="15878" width="5.109375" style="76" customWidth="1"/>
    <col min="15879" max="15879" width="21.33203125" style="76" customWidth="1"/>
    <col min="15880" max="15880" width="17.109375" style="76" customWidth="1"/>
    <col min="15881" max="15881" width="10.109375" style="76" customWidth="1"/>
    <col min="15882" max="15882" width="15" style="76" customWidth="1"/>
    <col min="15883" max="15883" width="10.44140625" style="76" customWidth="1"/>
    <col min="15884" max="15884" width="15.88671875" style="76" customWidth="1"/>
    <col min="15885" max="15885" width="9.5546875" style="76" customWidth="1"/>
    <col min="15886" max="15886" width="11.44140625" style="76" customWidth="1"/>
    <col min="15887" max="15887" width="12" style="76" customWidth="1"/>
    <col min="15888" max="16130" width="9.109375" style="76"/>
    <col min="16131" max="16131" width="6" style="76" customWidth="1"/>
    <col min="16132" max="16132" width="22.109375" style="76" customWidth="1"/>
    <col min="16133" max="16133" width="5.44140625" style="76" customWidth="1"/>
    <col min="16134" max="16134" width="5.109375" style="76" customWidth="1"/>
    <col min="16135" max="16135" width="21.33203125" style="76" customWidth="1"/>
    <col min="16136" max="16136" width="17.109375" style="76" customWidth="1"/>
    <col min="16137" max="16137" width="10.109375" style="76" customWidth="1"/>
    <col min="16138" max="16138" width="15" style="76" customWidth="1"/>
    <col min="16139" max="16139" width="10.44140625" style="76" customWidth="1"/>
    <col min="16140" max="16140" width="15.88671875" style="76" customWidth="1"/>
    <col min="16141" max="16141" width="9.5546875" style="76" customWidth="1"/>
    <col min="16142" max="16142" width="11.44140625" style="76" customWidth="1"/>
    <col min="16143" max="16143" width="12" style="76" customWidth="1"/>
    <col min="16144" max="16384" width="9.109375" style="76"/>
  </cols>
  <sheetData>
    <row r="1" spans="1:42" ht="15.6" x14ac:dyDescent="0.3">
      <c r="A1" s="281" t="s">
        <v>134</v>
      </c>
      <c r="B1" s="282"/>
      <c r="C1" s="282"/>
      <c r="D1" s="282"/>
      <c r="E1" s="282"/>
      <c r="F1" s="282"/>
      <c r="G1" s="282"/>
      <c r="H1" s="282"/>
      <c r="I1" s="282"/>
      <c r="J1" s="282"/>
      <c r="K1" s="282"/>
      <c r="L1" s="282"/>
      <c r="M1" s="282"/>
      <c r="N1" s="283" t="s">
        <v>139</v>
      </c>
      <c r="O1" s="284"/>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row>
    <row r="2" spans="1:42" ht="15.6" x14ac:dyDescent="0.3">
      <c r="A2" s="281" t="s">
        <v>135</v>
      </c>
      <c r="B2" s="282"/>
      <c r="C2" s="282"/>
      <c r="D2" s="282"/>
      <c r="E2" s="282"/>
      <c r="F2" s="282"/>
      <c r="G2" s="282"/>
      <c r="H2" s="282"/>
      <c r="I2" s="282"/>
      <c r="J2" s="282"/>
      <c r="K2" s="282"/>
      <c r="L2" s="282"/>
      <c r="M2" s="282"/>
      <c r="N2" s="140"/>
      <c r="O2" s="140"/>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row>
    <row r="3" spans="1:42" ht="15.6" x14ac:dyDescent="0.3">
      <c r="A3" s="281" t="s">
        <v>136</v>
      </c>
      <c r="B3" s="282"/>
      <c r="C3" s="282"/>
      <c r="D3" s="282"/>
      <c r="E3" s="282"/>
      <c r="F3" s="282"/>
      <c r="G3" s="282"/>
      <c r="H3" s="282"/>
      <c r="I3" s="282"/>
      <c r="J3" s="282"/>
      <c r="K3" s="282"/>
      <c r="L3" s="282"/>
      <c r="M3" s="282"/>
      <c r="N3" s="140"/>
      <c r="O3" s="140"/>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row>
    <row r="4" spans="1:42" ht="15.6" x14ac:dyDescent="0.3">
      <c r="A4" s="281" t="s">
        <v>137</v>
      </c>
      <c r="B4" s="282"/>
      <c r="C4" s="282"/>
      <c r="D4" s="282"/>
      <c r="E4" s="282"/>
      <c r="F4" s="282"/>
      <c r="G4" s="282"/>
      <c r="H4" s="282"/>
      <c r="I4" s="282"/>
      <c r="J4" s="282"/>
      <c r="K4" s="282"/>
      <c r="L4" s="282"/>
      <c r="M4" s="282"/>
      <c r="N4" s="140"/>
      <c r="O4" s="140"/>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row>
    <row r="5" spans="1:42" ht="15.6" x14ac:dyDescent="0.3">
      <c r="A5" s="281" t="s">
        <v>138</v>
      </c>
      <c r="B5" s="282"/>
      <c r="C5" s="282"/>
      <c r="D5" s="282"/>
      <c r="E5" s="282"/>
      <c r="F5" s="282"/>
      <c r="G5" s="282"/>
      <c r="H5" s="282"/>
      <c r="I5" s="282"/>
      <c r="J5" s="282"/>
      <c r="K5" s="282"/>
      <c r="L5" s="282"/>
      <c r="M5" s="282"/>
      <c r="N5" s="140"/>
      <c r="O5" s="140"/>
    </row>
    <row r="6" spans="1:42" ht="9.75" customHeight="1" x14ac:dyDescent="0.3"/>
    <row r="7" spans="1:42" x14ac:dyDescent="0.3">
      <c r="A7" s="77" t="s">
        <v>86</v>
      </c>
    </row>
    <row r="8" spans="1:42" ht="17.399999999999999" customHeight="1" x14ac:dyDescent="0.3">
      <c r="A8" s="85" t="s">
        <v>87</v>
      </c>
      <c r="D8" s="280" t="str">
        <f>IF('DR-TB 10A'!C8="","",'DR-TB 10A'!C8)</f>
        <v/>
      </c>
      <c r="E8" s="280"/>
      <c r="F8" s="280"/>
      <c r="G8" s="84"/>
      <c r="H8" s="78" t="s">
        <v>88</v>
      </c>
      <c r="I8" s="91" t="str">
        <f>IF('DR-TB 10A'!L6="","",'DR-TB 10A'!L6)</f>
        <v/>
      </c>
      <c r="J8" s="78" t="s">
        <v>89</v>
      </c>
      <c r="K8" s="92" t="str">
        <f>IF('DR-TB 10A'!N6="","",'DR-TB 10A'!N6)</f>
        <v/>
      </c>
      <c r="L8" s="86" t="s">
        <v>90</v>
      </c>
      <c r="M8" s="86"/>
      <c r="O8" s="93" t="str">
        <f>IF('DR-TB 10A'!R6="","",'DR-TB 10A'!R6)</f>
        <v/>
      </c>
    </row>
    <row r="9" spans="1:42" ht="17.399999999999999" customHeight="1" x14ac:dyDescent="0.3">
      <c r="A9" s="89" t="s">
        <v>104</v>
      </c>
      <c r="F9" s="90">
        <f>'DR-TB 10A'!F18</f>
        <v>0</v>
      </c>
    </row>
    <row r="10" spans="1:42" ht="14.4" customHeight="1" x14ac:dyDescent="0.3">
      <c r="A10" s="76" t="s">
        <v>140</v>
      </c>
    </row>
    <row r="11" spans="1:42" ht="76.650000000000006" customHeight="1" x14ac:dyDescent="0.3">
      <c r="A11" s="87" t="s">
        <v>91</v>
      </c>
      <c r="B11" s="88" t="s">
        <v>92</v>
      </c>
      <c r="C11" s="88" t="s">
        <v>93</v>
      </c>
      <c r="D11" s="88" t="s">
        <v>105</v>
      </c>
      <c r="E11" s="88" t="s">
        <v>109</v>
      </c>
      <c r="F11" s="88" t="s">
        <v>94</v>
      </c>
      <c r="G11" s="88" t="s">
        <v>95</v>
      </c>
      <c r="H11" s="88" t="s">
        <v>96</v>
      </c>
      <c r="I11" s="88" t="s">
        <v>97</v>
      </c>
      <c r="J11" s="88" t="s">
        <v>98</v>
      </c>
      <c r="K11" s="88" t="s">
        <v>99</v>
      </c>
      <c r="L11" s="88" t="s">
        <v>106</v>
      </c>
      <c r="M11" s="88" t="s">
        <v>133</v>
      </c>
      <c r="N11" s="88" t="s">
        <v>100</v>
      </c>
      <c r="O11" s="88" t="s">
        <v>101</v>
      </c>
    </row>
    <row r="12" spans="1:42" s="98" customFormat="1" ht="21.6" customHeight="1" x14ac:dyDescent="0.3">
      <c r="A12" s="95" t="s">
        <v>141</v>
      </c>
      <c r="B12" s="95" t="s">
        <v>145</v>
      </c>
      <c r="C12" s="95" t="s">
        <v>146</v>
      </c>
      <c r="D12" s="95" t="s">
        <v>147</v>
      </c>
      <c r="E12" s="95" t="s">
        <v>148</v>
      </c>
      <c r="F12" s="94" t="s">
        <v>150</v>
      </c>
      <c r="G12" s="94" t="s">
        <v>149</v>
      </c>
      <c r="H12" s="97" t="s">
        <v>151</v>
      </c>
      <c r="I12" s="95" t="s">
        <v>152</v>
      </c>
      <c r="J12" s="95" t="s">
        <v>153</v>
      </c>
      <c r="K12" s="95" t="s">
        <v>154</v>
      </c>
      <c r="L12" s="95" t="s">
        <v>155</v>
      </c>
      <c r="M12" s="95" t="s">
        <v>156</v>
      </c>
      <c r="N12" s="95" t="s">
        <v>157</v>
      </c>
      <c r="O12" s="96" t="s">
        <v>158</v>
      </c>
    </row>
    <row r="13" spans="1:42" x14ac:dyDescent="0.3">
      <c r="C13" s="79"/>
    </row>
    <row r="14" spans="1:42" ht="54.75" customHeight="1" x14ac:dyDescent="0.3">
      <c r="A14" s="279" t="s">
        <v>102</v>
      </c>
      <c r="B14" s="279"/>
      <c r="C14" s="279"/>
      <c r="D14" s="279"/>
      <c r="E14" s="279"/>
      <c r="F14" s="279"/>
      <c r="G14" s="279"/>
      <c r="H14" s="279"/>
      <c r="I14" s="279"/>
      <c r="J14" s="279"/>
      <c r="K14" s="279"/>
      <c r="L14" s="279"/>
      <c r="M14" s="279"/>
      <c r="N14" s="279"/>
      <c r="O14" s="279"/>
    </row>
    <row r="15" spans="1:42" ht="19.5" customHeight="1" x14ac:dyDescent="0.3">
      <c r="A15" s="80" t="s">
        <v>103</v>
      </c>
      <c r="B15" s="81"/>
      <c r="C15" s="81"/>
      <c r="D15" s="81"/>
      <c r="E15" s="81"/>
      <c r="F15" s="81"/>
      <c r="G15" s="81"/>
      <c r="H15" s="81"/>
      <c r="I15" s="81"/>
      <c r="J15" s="81"/>
      <c r="K15" s="81"/>
      <c r="L15" s="81"/>
      <c r="M15" s="81"/>
      <c r="N15" s="81"/>
      <c r="O15" s="81"/>
    </row>
    <row r="16" spans="1:42" ht="16.5" customHeight="1" x14ac:dyDescent="0.3">
      <c r="A16" s="82" t="s">
        <v>110</v>
      </c>
      <c r="B16" s="83"/>
      <c r="C16" s="83"/>
      <c r="D16" s="83"/>
      <c r="E16" s="83"/>
      <c r="F16" s="83"/>
      <c r="G16" s="83"/>
      <c r="H16" s="83"/>
      <c r="I16" s="83"/>
      <c r="J16" s="83"/>
      <c r="K16" s="83"/>
      <c r="L16" s="83"/>
      <c r="M16" s="83"/>
      <c r="N16" s="83"/>
      <c r="O16" s="83"/>
    </row>
  </sheetData>
  <sheetProtection insertRows="0" deleteRows="0"/>
  <mergeCells count="8">
    <mergeCell ref="A14:O14"/>
    <mergeCell ref="D8:F8"/>
    <mergeCell ref="A1:M1"/>
    <mergeCell ref="A2:M2"/>
    <mergeCell ref="A3:M3"/>
    <mergeCell ref="A4:M4"/>
    <mergeCell ref="A5:M5"/>
    <mergeCell ref="N1:O1"/>
  </mergeCells>
  <dataValidations count="3">
    <dataValidation type="list" allowBlank="1" showInputMessage="1" showErrorMessage="1" sqref="WVT981003 JH8 TD8 ACZ8 AMV8 AWR8 BGN8 BQJ8 CAF8 CKB8 CTX8 DDT8 DNP8 DXL8 EHH8 ERD8 FAZ8 FKV8 FUR8 GEN8 GOJ8 GYF8 HIB8 HRX8 IBT8 ILP8 IVL8 JFH8 JPD8 JYZ8 KIV8 KSR8 LCN8 LMJ8 LWF8 MGB8 MPX8 MZT8 NJP8 NTL8 ODH8 OND8 OWZ8 PGV8 PQR8 QAN8 QKJ8 QUF8 REB8 RNX8 RXT8 SHP8 SRL8 TBH8 TLD8 TUZ8 UEV8 UOR8 UYN8 VIJ8 VSF8 WCB8 WLX8 WVT8 K63499 JH63499 TD63499 ACZ63499 AMV63499 AWR63499 BGN63499 BQJ63499 CAF63499 CKB63499 CTX63499 DDT63499 DNP63499 DXL63499 EHH63499 ERD63499 FAZ63499 FKV63499 FUR63499 GEN63499 GOJ63499 GYF63499 HIB63499 HRX63499 IBT63499 ILP63499 IVL63499 JFH63499 JPD63499 JYZ63499 KIV63499 KSR63499 LCN63499 LMJ63499 LWF63499 MGB63499 MPX63499 MZT63499 NJP63499 NTL63499 ODH63499 OND63499 OWZ63499 PGV63499 PQR63499 QAN63499 QKJ63499 QUF63499 REB63499 RNX63499 RXT63499 SHP63499 SRL63499 TBH63499 TLD63499 TUZ63499 UEV63499 UOR63499 UYN63499 VIJ63499 VSF63499 WCB63499 WLX63499 WVT63499 K129035 JH129035 TD129035 ACZ129035 AMV129035 AWR129035 BGN129035 BQJ129035 CAF129035 CKB129035 CTX129035 DDT129035 DNP129035 DXL129035 EHH129035 ERD129035 FAZ129035 FKV129035 FUR129035 GEN129035 GOJ129035 GYF129035 HIB129035 HRX129035 IBT129035 ILP129035 IVL129035 JFH129035 JPD129035 JYZ129035 KIV129035 KSR129035 LCN129035 LMJ129035 LWF129035 MGB129035 MPX129035 MZT129035 NJP129035 NTL129035 ODH129035 OND129035 OWZ129035 PGV129035 PQR129035 QAN129035 QKJ129035 QUF129035 REB129035 RNX129035 RXT129035 SHP129035 SRL129035 TBH129035 TLD129035 TUZ129035 UEV129035 UOR129035 UYN129035 VIJ129035 VSF129035 WCB129035 WLX129035 WVT129035 K194571 JH194571 TD194571 ACZ194571 AMV194571 AWR194571 BGN194571 BQJ194571 CAF194571 CKB194571 CTX194571 DDT194571 DNP194571 DXL194571 EHH194571 ERD194571 FAZ194571 FKV194571 FUR194571 GEN194571 GOJ194571 GYF194571 HIB194571 HRX194571 IBT194571 ILP194571 IVL194571 JFH194571 JPD194571 JYZ194571 KIV194571 KSR194571 LCN194571 LMJ194571 LWF194571 MGB194571 MPX194571 MZT194571 NJP194571 NTL194571 ODH194571 OND194571 OWZ194571 PGV194571 PQR194571 QAN194571 QKJ194571 QUF194571 REB194571 RNX194571 RXT194571 SHP194571 SRL194571 TBH194571 TLD194571 TUZ194571 UEV194571 UOR194571 UYN194571 VIJ194571 VSF194571 WCB194571 WLX194571 WVT194571 K260107 JH260107 TD260107 ACZ260107 AMV260107 AWR260107 BGN260107 BQJ260107 CAF260107 CKB260107 CTX260107 DDT260107 DNP260107 DXL260107 EHH260107 ERD260107 FAZ260107 FKV260107 FUR260107 GEN260107 GOJ260107 GYF260107 HIB260107 HRX260107 IBT260107 ILP260107 IVL260107 JFH260107 JPD260107 JYZ260107 KIV260107 KSR260107 LCN260107 LMJ260107 LWF260107 MGB260107 MPX260107 MZT260107 NJP260107 NTL260107 ODH260107 OND260107 OWZ260107 PGV260107 PQR260107 QAN260107 QKJ260107 QUF260107 REB260107 RNX260107 RXT260107 SHP260107 SRL260107 TBH260107 TLD260107 TUZ260107 UEV260107 UOR260107 UYN260107 VIJ260107 VSF260107 WCB260107 WLX260107 WVT260107 K325643 JH325643 TD325643 ACZ325643 AMV325643 AWR325643 BGN325643 BQJ325643 CAF325643 CKB325643 CTX325643 DDT325643 DNP325643 DXL325643 EHH325643 ERD325643 FAZ325643 FKV325643 FUR325643 GEN325643 GOJ325643 GYF325643 HIB325643 HRX325643 IBT325643 ILP325643 IVL325643 JFH325643 JPD325643 JYZ325643 KIV325643 KSR325643 LCN325643 LMJ325643 LWF325643 MGB325643 MPX325643 MZT325643 NJP325643 NTL325643 ODH325643 OND325643 OWZ325643 PGV325643 PQR325643 QAN325643 QKJ325643 QUF325643 REB325643 RNX325643 RXT325643 SHP325643 SRL325643 TBH325643 TLD325643 TUZ325643 UEV325643 UOR325643 UYN325643 VIJ325643 VSF325643 WCB325643 WLX325643 WVT325643 K391179 JH391179 TD391179 ACZ391179 AMV391179 AWR391179 BGN391179 BQJ391179 CAF391179 CKB391179 CTX391179 DDT391179 DNP391179 DXL391179 EHH391179 ERD391179 FAZ391179 FKV391179 FUR391179 GEN391179 GOJ391179 GYF391179 HIB391179 HRX391179 IBT391179 ILP391179 IVL391179 JFH391179 JPD391179 JYZ391179 KIV391179 KSR391179 LCN391179 LMJ391179 LWF391179 MGB391179 MPX391179 MZT391179 NJP391179 NTL391179 ODH391179 OND391179 OWZ391179 PGV391179 PQR391179 QAN391179 QKJ391179 QUF391179 REB391179 RNX391179 RXT391179 SHP391179 SRL391179 TBH391179 TLD391179 TUZ391179 UEV391179 UOR391179 UYN391179 VIJ391179 VSF391179 WCB391179 WLX391179 WVT391179 K456715 JH456715 TD456715 ACZ456715 AMV456715 AWR456715 BGN456715 BQJ456715 CAF456715 CKB456715 CTX456715 DDT456715 DNP456715 DXL456715 EHH456715 ERD456715 FAZ456715 FKV456715 FUR456715 GEN456715 GOJ456715 GYF456715 HIB456715 HRX456715 IBT456715 ILP456715 IVL456715 JFH456715 JPD456715 JYZ456715 KIV456715 KSR456715 LCN456715 LMJ456715 LWF456715 MGB456715 MPX456715 MZT456715 NJP456715 NTL456715 ODH456715 OND456715 OWZ456715 PGV456715 PQR456715 QAN456715 QKJ456715 QUF456715 REB456715 RNX456715 RXT456715 SHP456715 SRL456715 TBH456715 TLD456715 TUZ456715 UEV456715 UOR456715 UYN456715 VIJ456715 VSF456715 WCB456715 WLX456715 WVT456715 K522251 JH522251 TD522251 ACZ522251 AMV522251 AWR522251 BGN522251 BQJ522251 CAF522251 CKB522251 CTX522251 DDT522251 DNP522251 DXL522251 EHH522251 ERD522251 FAZ522251 FKV522251 FUR522251 GEN522251 GOJ522251 GYF522251 HIB522251 HRX522251 IBT522251 ILP522251 IVL522251 JFH522251 JPD522251 JYZ522251 KIV522251 KSR522251 LCN522251 LMJ522251 LWF522251 MGB522251 MPX522251 MZT522251 NJP522251 NTL522251 ODH522251 OND522251 OWZ522251 PGV522251 PQR522251 QAN522251 QKJ522251 QUF522251 REB522251 RNX522251 RXT522251 SHP522251 SRL522251 TBH522251 TLD522251 TUZ522251 UEV522251 UOR522251 UYN522251 VIJ522251 VSF522251 WCB522251 WLX522251 WVT522251 K587787 JH587787 TD587787 ACZ587787 AMV587787 AWR587787 BGN587787 BQJ587787 CAF587787 CKB587787 CTX587787 DDT587787 DNP587787 DXL587787 EHH587787 ERD587787 FAZ587787 FKV587787 FUR587787 GEN587787 GOJ587787 GYF587787 HIB587787 HRX587787 IBT587787 ILP587787 IVL587787 JFH587787 JPD587787 JYZ587787 KIV587787 KSR587787 LCN587787 LMJ587787 LWF587787 MGB587787 MPX587787 MZT587787 NJP587787 NTL587787 ODH587787 OND587787 OWZ587787 PGV587787 PQR587787 QAN587787 QKJ587787 QUF587787 REB587787 RNX587787 RXT587787 SHP587787 SRL587787 TBH587787 TLD587787 TUZ587787 UEV587787 UOR587787 UYN587787 VIJ587787 VSF587787 WCB587787 WLX587787 WVT587787 K653323 JH653323 TD653323 ACZ653323 AMV653323 AWR653323 BGN653323 BQJ653323 CAF653323 CKB653323 CTX653323 DDT653323 DNP653323 DXL653323 EHH653323 ERD653323 FAZ653323 FKV653323 FUR653323 GEN653323 GOJ653323 GYF653323 HIB653323 HRX653323 IBT653323 ILP653323 IVL653323 JFH653323 JPD653323 JYZ653323 KIV653323 KSR653323 LCN653323 LMJ653323 LWF653323 MGB653323 MPX653323 MZT653323 NJP653323 NTL653323 ODH653323 OND653323 OWZ653323 PGV653323 PQR653323 QAN653323 QKJ653323 QUF653323 REB653323 RNX653323 RXT653323 SHP653323 SRL653323 TBH653323 TLD653323 TUZ653323 UEV653323 UOR653323 UYN653323 VIJ653323 VSF653323 WCB653323 WLX653323 WVT653323 K718859 JH718859 TD718859 ACZ718859 AMV718859 AWR718859 BGN718859 BQJ718859 CAF718859 CKB718859 CTX718859 DDT718859 DNP718859 DXL718859 EHH718859 ERD718859 FAZ718859 FKV718859 FUR718859 GEN718859 GOJ718859 GYF718859 HIB718859 HRX718859 IBT718859 ILP718859 IVL718859 JFH718859 JPD718859 JYZ718859 KIV718859 KSR718859 LCN718859 LMJ718859 LWF718859 MGB718859 MPX718859 MZT718859 NJP718859 NTL718859 ODH718859 OND718859 OWZ718859 PGV718859 PQR718859 QAN718859 QKJ718859 QUF718859 REB718859 RNX718859 RXT718859 SHP718859 SRL718859 TBH718859 TLD718859 TUZ718859 UEV718859 UOR718859 UYN718859 VIJ718859 VSF718859 WCB718859 WLX718859 WVT718859 K784395 JH784395 TD784395 ACZ784395 AMV784395 AWR784395 BGN784395 BQJ784395 CAF784395 CKB784395 CTX784395 DDT784395 DNP784395 DXL784395 EHH784395 ERD784395 FAZ784395 FKV784395 FUR784395 GEN784395 GOJ784395 GYF784395 HIB784395 HRX784395 IBT784395 ILP784395 IVL784395 JFH784395 JPD784395 JYZ784395 KIV784395 KSR784395 LCN784395 LMJ784395 LWF784395 MGB784395 MPX784395 MZT784395 NJP784395 NTL784395 ODH784395 OND784395 OWZ784395 PGV784395 PQR784395 QAN784395 QKJ784395 QUF784395 REB784395 RNX784395 RXT784395 SHP784395 SRL784395 TBH784395 TLD784395 TUZ784395 UEV784395 UOR784395 UYN784395 VIJ784395 VSF784395 WCB784395 WLX784395 WVT784395 K849931 JH849931 TD849931 ACZ849931 AMV849931 AWR849931 BGN849931 BQJ849931 CAF849931 CKB849931 CTX849931 DDT849931 DNP849931 DXL849931 EHH849931 ERD849931 FAZ849931 FKV849931 FUR849931 GEN849931 GOJ849931 GYF849931 HIB849931 HRX849931 IBT849931 ILP849931 IVL849931 JFH849931 JPD849931 JYZ849931 KIV849931 KSR849931 LCN849931 LMJ849931 LWF849931 MGB849931 MPX849931 MZT849931 NJP849931 NTL849931 ODH849931 OND849931 OWZ849931 PGV849931 PQR849931 QAN849931 QKJ849931 QUF849931 REB849931 RNX849931 RXT849931 SHP849931 SRL849931 TBH849931 TLD849931 TUZ849931 UEV849931 UOR849931 UYN849931 VIJ849931 VSF849931 WCB849931 WLX849931 WVT849931 K915467 JH915467 TD915467 ACZ915467 AMV915467 AWR915467 BGN915467 BQJ915467 CAF915467 CKB915467 CTX915467 DDT915467 DNP915467 DXL915467 EHH915467 ERD915467 FAZ915467 FKV915467 FUR915467 GEN915467 GOJ915467 GYF915467 HIB915467 HRX915467 IBT915467 ILP915467 IVL915467 JFH915467 JPD915467 JYZ915467 KIV915467 KSR915467 LCN915467 LMJ915467 LWF915467 MGB915467 MPX915467 MZT915467 NJP915467 NTL915467 ODH915467 OND915467 OWZ915467 PGV915467 PQR915467 QAN915467 QKJ915467 QUF915467 REB915467 RNX915467 RXT915467 SHP915467 SRL915467 TBH915467 TLD915467 TUZ915467 UEV915467 UOR915467 UYN915467 VIJ915467 VSF915467 WCB915467 WLX915467 WVT915467 K981003 JH981003 TD981003 ACZ981003 AMV981003 AWR981003 BGN981003 BQJ981003 CAF981003 CKB981003 CTX981003 DDT981003 DNP981003 DXL981003 EHH981003 ERD981003 FAZ981003 FKV981003 FUR981003 GEN981003 GOJ981003 GYF981003 HIB981003 HRX981003 IBT981003 ILP981003 IVL981003 JFH981003 JPD981003 JYZ981003 KIV981003 KSR981003 LCN981003 LMJ981003 LWF981003 MGB981003 MPX981003 MZT981003 NJP981003 NTL981003 ODH981003 OND981003 OWZ981003 PGV981003 PQR981003 QAN981003 QKJ981003 QUF981003 REB981003 RNX981003 RXT981003 SHP981003 SRL981003 TBH981003 TLD981003 TUZ981003 UEV981003 UOR981003 UYN981003 VIJ981003 VSF981003 WCB981003 WLX981003">
      <formula1>"1st Quarter, 2nd Quarter, 3rd Quarter, 4th Quarter, All Quarter"</formula1>
    </dataValidation>
    <dataValidation type="list" allowBlank="1" showInputMessage="1" showErrorMessage="1" sqref="WVR981003:WVS981003 JF8:JG8 TB8:TC8 ACX8:ACY8 AMT8:AMU8 AWP8:AWQ8 BGL8:BGM8 BQH8:BQI8 CAD8:CAE8 CJZ8:CKA8 CTV8:CTW8 DDR8:DDS8 DNN8:DNO8 DXJ8:DXK8 EHF8:EHG8 ERB8:ERC8 FAX8:FAY8 FKT8:FKU8 FUP8:FUQ8 GEL8:GEM8 GOH8:GOI8 GYD8:GYE8 HHZ8:HIA8 HRV8:HRW8 IBR8:IBS8 ILN8:ILO8 IVJ8:IVK8 JFF8:JFG8 JPB8:JPC8 JYX8:JYY8 KIT8:KIU8 KSP8:KSQ8 LCL8:LCM8 LMH8:LMI8 LWD8:LWE8 MFZ8:MGA8 MPV8:MPW8 MZR8:MZS8 NJN8:NJO8 NTJ8:NTK8 ODF8:ODG8 ONB8:ONC8 OWX8:OWY8 PGT8:PGU8 PQP8:PQQ8 QAL8:QAM8 QKH8:QKI8 QUD8:QUE8 RDZ8:REA8 RNV8:RNW8 RXR8:RXS8 SHN8:SHO8 SRJ8:SRK8 TBF8:TBG8 TLB8:TLC8 TUX8:TUY8 UET8:UEU8 UOP8:UOQ8 UYL8:UYM8 VIH8:VII8 VSD8:VSE8 WBZ8:WCA8 WLV8:WLW8 WVR8:WVS8 I63499:J63499 JF63499:JG63499 TB63499:TC63499 ACX63499:ACY63499 AMT63499:AMU63499 AWP63499:AWQ63499 BGL63499:BGM63499 BQH63499:BQI63499 CAD63499:CAE63499 CJZ63499:CKA63499 CTV63499:CTW63499 DDR63499:DDS63499 DNN63499:DNO63499 DXJ63499:DXK63499 EHF63499:EHG63499 ERB63499:ERC63499 FAX63499:FAY63499 FKT63499:FKU63499 FUP63499:FUQ63499 GEL63499:GEM63499 GOH63499:GOI63499 GYD63499:GYE63499 HHZ63499:HIA63499 HRV63499:HRW63499 IBR63499:IBS63499 ILN63499:ILO63499 IVJ63499:IVK63499 JFF63499:JFG63499 JPB63499:JPC63499 JYX63499:JYY63499 KIT63499:KIU63499 KSP63499:KSQ63499 LCL63499:LCM63499 LMH63499:LMI63499 LWD63499:LWE63499 MFZ63499:MGA63499 MPV63499:MPW63499 MZR63499:MZS63499 NJN63499:NJO63499 NTJ63499:NTK63499 ODF63499:ODG63499 ONB63499:ONC63499 OWX63499:OWY63499 PGT63499:PGU63499 PQP63499:PQQ63499 QAL63499:QAM63499 QKH63499:QKI63499 QUD63499:QUE63499 RDZ63499:REA63499 RNV63499:RNW63499 RXR63499:RXS63499 SHN63499:SHO63499 SRJ63499:SRK63499 TBF63499:TBG63499 TLB63499:TLC63499 TUX63499:TUY63499 UET63499:UEU63499 UOP63499:UOQ63499 UYL63499:UYM63499 VIH63499:VII63499 VSD63499:VSE63499 WBZ63499:WCA63499 WLV63499:WLW63499 WVR63499:WVS63499 I129035:J129035 JF129035:JG129035 TB129035:TC129035 ACX129035:ACY129035 AMT129035:AMU129035 AWP129035:AWQ129035 BGL129035:BGM129035 BQH129035:BQI129035 CAD129035:CAE129035 CJZ129035:CKA129035 CTV129035:CTW129035 DDR129035:DDS129035 DNN129035:DNO129035 DXJ129035:DXK129035 EHF129035:EHG129035 ERB129035:ERC129035 FAX129035:FAY129035 FKT129035:FKU129035 FUP129035:FUQ129035 GEL129035:GEM129035 GOH129035:GOI129035 GYD129035:GYE129035 HHZ129035:HIA129035 HRV129035:HRW129035 IBR129035:IBS129035 ILN129035:ILO129035 IVJ129035:IVK129035 JFF129035:JFG129035 JPB129035:JPC129035 JYX129035:JYY129035 KIT129035:KIU129035 KSP129035:KSQ129035 LCL129035:LCM129035 LMH129035:LMI129035 LWD129035:LWE129035 MFZ129035:MGA129035 MPV129035:MPW129035 MZR129035:MZS129035 NJN129035:NJO129035 NTJ129035:NTK129035 ODF129035:ODG129035 ONB129035:ONC129035 OWX129035:OWY129035 PGT129035:PGU129035 PQP129035:PQQ129035 QAL129035:QAM129035 QKH129035:QKI129035 QUD129035:QUE129035 RDZ129035:REA129035 RNV129035:RNW129035 RXR129035:RXS129035 SHN129035:SHO129035 SRJ129035:SRK129035 TBF129035:TBG129035 TLB129035:TLC129035 TUX129035:TUY129035 UET129035:UEU129035 UOP129035:UOQ129035 UYL129035:UYM129035 VIH129035:VII129035 VSD129035:VSE129035 WBZ129035:WCA129035 WLV129035:WLW129035 WVR129035:WVS129035 I194571:J194571 JF194571:JG194571 TB194571:TC194571 ACX194571:ACY194571 AMT194571:AMU194571 AWP194571:AWQ194571 BGL194571:BGM194571 BQH194571:BQI194571 CAD194571:CAE194571 CJZ194571:CKA194571 CTV194571:CTW194571 DDR194571:DDS194571 DNN194571:DNO194571 DXJ194571:DXK194571 EHF194571:EHG194571 ERB194571:ERC194571 FAX194571:FAY194571 FKT194571:FKU194571 FUP194571:FUQ194571 GEL194571:GEM194571 GOH194571:GOI194571 GYD194571:GYE194571 HHZ194571:HIA194571 HRV194571:HRW194571 IBR194571:IBS194571 ILN194571:ILO194571 IVJ194571:IVK194571 JFF194571:JFG194571 JPB194571:JPC194571 JYX194571:JYY194571 KIT194571:KIU194571 KSP194571:KSQ194571 LCL194571:LCM194571 LMH194571:LMI194571 LWD194571:LWE194571 MFZ194571:MGA194571 MPV194571:MPW194571 MZR194571:MZS194571 NJN194571:NJO194571 NTJ194571:NTK194571 ODF194571:ODG194571 ONB194571:ONC194571 OWX194571:OWY194571 PGT194571:PGU194571 PQP194571:PQQ194571 QAL194571:QAM194571 QKH194571:QKI194571 QUD194571:QUE194571 RDZ194571:REA194571 RNV194571:RNW194571 RXR194571:RXS194571 SHN194571:SHO194571 SRJ194571:SRK194571 TBF194571:TBG194571 TLB194571:TLC194571 TUX194571:TUY194571 UET194571:UEU194571 UOP194571:UOQ194571 UYL194571:UYM194571 VIH194571:VII194571 VSD194571:VSE194571 WBZ194571:WCA194571 WLV194571:WLW194571 WVR194571:WVS194571 I260107:J260107 JF260107:JG260107 TB260107:TC260107 ACX260107:ACY260107 AMT260107:AMU260107 AWP260107:AWQ260107 BGL260107:BGM260107 BQH260107:BQI260107 CAD260107:CAE260107 CJZ260107:CKA260107 CTV260107:CTW260107 DDR260107:DDS260107 DNN260107:DNO260107 DXJ260107:DXK260107 EHF260107:EHG260107 ERB260107:ERC260107 FAX260107:FAY260107 FKT260107:FKU260107 FUP260107:FUQ260107 GEL260107:GEM260107 GOH260107:GOI260107 GYD260107:GYE260107 HHZ260107:HIA260107 HRV260107:HRW260107 IBR260107:IBS260107 ILN260107:ILO260107 IVJ260107:IVK260107 JFF260107:JFG260107 JPB260107:JPC260107 JYX260107:JYY260107 KIT260107:KIU260107 KSP260107:KSQ260107 LCL260107:LCM260107 LMH260107:LMI260107 LWD260107:LWE260107 MFZ260107:MGA260107 MPV260107:MPW260107 MZR260107:MZS260107 NJN260107:NJO260107 NTJ260107:NTK260107 ODF260107:ODG260107 ONB260107:ONC260107 OWX260107:OWY260107 PGT260107:PGU260107 PQP260107:PQQ260107 QAL260107:QAM260107 QKH260107:QKI260107 QUD260107:QUE260107 RDZ260107:REA260107 RNV260107:RNW260107 RXR260107:RXS260107 SHN260107:SHO260107 SRJ260107:SRK260107 TBF260107:TBG260107 TLB260107:TLC260107 TUX260107:TUY260107 UET260107:UEU260107 UOP260107:UOQ260107 UYL260107:UYM260107 VIH260107:VII260107 VSD260107:VSE260107 WBZ260107:WCA260107 WLV260107:WLW260107 WVR260107:WVS260107 I325643:J325643 JF325643:JG325643 TB325643:TC325643 ACX325643:ACY325643 AMT325643:AMU325643 AWP325643:AWQ325643 BGL325643:BGM325643 BQH325643:BQI325643 CAD325643:CAE325643 CJZ325643:CKA325643 CTV325643:CTW325643 DDR325643:DDS325643 DNN325643:DNO325643 DXJ325643:DXK325643 EHF325643:EHG325643 ERB325643:ERC325643 FAX325643:FAY325643 FKT325643:FKU325643 FUP325643:FUQ325643 GEL325643:GEM325643 GOH325643:GOI325643 GYD325643:GYE325643 HHZ325643:HIA325643 HRV325643:HRW325643 IBR325643:IBS325643 ILN325643:ILO325643 IVJ325643:IVK325643 JFF325643:JFG325643 JPB325643:JPC325643 JYX325643:JYY325643 KIT325643:KIU325643 KSP325643:KSQ325643 LCL325643:LCM325643 LMH325643:LMI325643 LWD325643:LWE325643 MFZ325643:MGA325643 MPV325643:MPW325643 MZR325643:MZS325643 NJN325643:NJO325643 NTJ325643:NTK325643 ODF325643:ODG325643 ONB325643:ONC325643 OWX325643:OWY325643 PGT325643:PGU325643 PQP325643:PQQ325643 QAL325643:QAM325643 QKH325643:QKI325643 QUD325643:QUE325643 RDZ325643:REA325643 RNV325643:RNW325643 RXR325643:RXS325643 SHN325643:SHO325643 SRJ325643:SRK325643 TBF325643:TBG325643 TLB325643:TLC325643 TUX325643:TUY325643 UET325643:UEU325643 UOP325643:UOQ325643 UYL325643:UYM325643 VIH325643:VII325643 VSD325643:VSE325643 WBZ325643:WCA325643 WLV325643:WLW325643 WVR325643:WVS325643 I391179:J391179 JF391179:JG391179 TB391179:TC391179 ACX391179:ACY391179 AMT391179:AMU391179 AWP391179:AWQ391179 BGL391179:BGM391179 BQH391179:BQI391179 CAD391179:CAE391179 CJZ391179:CKA391179 CTV391179:CTW391179 DDR391179:DDS391179 DNN391179:DNO391179 DXJ391179:DXK391179 EHF391179:EHG391179 ERB391179:ERC391179 FAX391179:FAY391179 FKT391179:FKU391179 FUP391179:FUQ391179 GEL391179:GEM391179 GOH391179:GOI391179 GYD391179:GYE391179 HHZ391179:HIA391179 HRV391179:HRW391179 IBR391179:IBS391179 ILN391179:ILO391179 IVJ391179:IVK391179 JFF391179:JFG391179 JPB391179:JPC391179 JYX391179:JYY391179 KIT391179:KIU391179 KSP391179:KSQ391179 LCL391179:LCM391179 LMH391179:LMI391179 LWD391179:LWE391179 MFZ391179:MGA391179 MPV391179:MPW391179 MZR391179:MZS391179 NJN391179:NJO391179 NTJ391179:NTK391179 ODF391179:ODG391179 ONB391179:ONC391179 OWX391179:OWY391179 PGT391179:PGU391179 PQP391179:PQQ391179 QAL391179:QAM391179 QKH391179:QKI391179 QUD391179:QUE391179 RDZ391179:REA391179 RNV391179:RNW391179 RXR391179:RXS391179 SHN391179:SHO391179 SRJ391179:SRK391179 TBF391179:TBG391179 TLB391179:TLC391179 TUX391179:TUY391179 UET391179:UEU391179 UOP391179:UOQ391179 UYL391179:UYM391179 VIH391179:VII391179 VSD391179:VSE391179 WBZ391179:WCA391179 WLV391179:WLW391179 WVR391179:WVS391179 I456715:J456715 JF456715:JG456715 TB456715:TC456715 ACX456715:ACY456715 AMT456715:AMU456715 AWP456715:AWQ456715 BGL456715:BGM456715 BQH456715:BQI456715 CAD456715:CAE456715 CJZ456715:CKA456715 CTV456715:CTW456715 DDR456715:DDS456715 DNN456715:DNO456715 DXJ456715:DXK456715 EHF456715:EHG456715 ERB456715:ERC456715 FAX456715:FAY456715 FKT456715:FKU456715 FUP456715:FUQ456715 GEL456715:GEM456715 GOH456715:GOI456715 GYD456715:GYE456715 HHZ456715:HIA456715 HRV456715:HRW456715 IBR456715:IBS456715 ILN456715:ILO456715 IVJ456715:IVK456715 JFF456715:JFG456715 JPB456715:JPC456715 JYX456715:JYY456715 KIT456715:KIU456715 KSP456715:KSQ456715 LCL456715:LCM456715 LMH456715:LMI456715 LWD456715:LWE456715 MFZ456715:MGA456715 MPV456715:MPW456715 MZR456715:MZS456715 NJN456715:NJO456715 NTJ456715:NTK456715 ODF456715:ODG456715 ONB456715:ONC456715 OWX456715:OWY456715 PGT456715:PGU456715 PQP456715:PQQ456715 QAL456715:QAM456715 QKH456715:QKI456715 QUD456715:QUE456715 RDZ456715:REA456715 RNV456715:RNW456715 RXR456715:RXS456715 SHN456715:SHO456715 SRJ456715:SRK456715 TBF456715:TBG456715 TLB456715:TLC456715 TUX456715:TUY456715 UET456715:UEU456715 UOP456715:UOQ456715 UYL456715:UYM456715 VIH456715:VII456715 VSD456715:VSE456715 WBZ456715:WCA456715 WLV456715:WLW456715 WVR456715:WVS456715 I522251:J522251 JF522251:JG522251 TB522251:TC522251 ACX522251:ACY522251 AMT522251:AMU522251 AWP522251:AWQ522251 BGL522251:BGM522251 BQH522251:BQI522251 CAD522251:CAE522251 CJZ522251:CKA522251 CTV522251:CTW522251 DDR522251:DDS522251 DNN522251:DNO522251 DXJ522251:DXK522251 EHF522251:EHG522251 ERB522251:ERC522251 FAX522251:FAY522251 FKT522251:FKU522251 FUP522251:FUQ522251 GEL522251:GEM522251 GOH522251:GOI522251 GYD522251:GYE522251 HHZ522251:HIA522251 HRV522251:HRW522251 IBR522251:IBS522251 ILN522251:ILO522251 IVJ522251:IVK522251 JFF522251:JFG522251 JPB522251:JPC522251 JYX522251:JYY522251 KIT522251:KIU522251 KSP522251:KSQ522251 LCL522251:LCM522251 LMH522251:LMI522251 LWD522251:LWE522251 MFZ522251:MGA522251 MPV522251:MPW522251 MZR522251:MZS522251 NJN522251:NJO522251 NTJ522251:NTK522251 ODF522251:ODG522251 ONB522251:ONC522251 OWX522251:OWY522251 PGT522251:PGU522251 PQP522251:PQQ522251 QAL522251:QAM522251 QKH522251:QKI522251 QUD522251:QUE522251 RDZ522251:REA522251 RNV522251:RNW522251 RXR522251:RXS522251 SHN522251:SHO522251 SRJ522251:SRK522251 TBF522251:TBG522251 TLB522251:TLC522251 TUX522251:TUY522251 UET522251:UEU522251 UOP522251:UOQ522251 UYL522251:UYM522251 VIH522251:VII522251 VSD522251:VSE522251 WBZ522251:WCA522251 WLV522251:WLW522251 WVR522251:WVS522251 I587787:J587787 JF587787:JG587787 TB587787:TC587787 ACX587787:ACY587787 AMT587787:AMU587787 AWP587787:AWQ587787 BGL587787:BGM587787 BQH587787:BQI587787 CAD587787:CAE587787 CJZ587787:CKA587787 CTV587787:CTW587787 DDR587787:DDS587787 DNN587787:DNO587787 DXJ587787:DXK587787 EHF587787:EHG587787 ERB587787:ERC587787 FAX587787:FAY587787 FKT587787:FKU587787 FUP587787:FUQ587787 GEL587787:GEM587787 GOH587787:GOI587787 GYD587787:GYE587787 HHZ587787:HIA587787 HRV587787:HRW587787 IBR587787:IBS587787 ILN587787:ILO587787 IVJ587787:IVK587787 JFF587787:JFG587787 JPB587787:JPC587787 JYX587787:JYY587787 KIT587787:KIU587787 KSP587787:KSQ587787 LCL587787:LCM587787 LMH587787:LMI587787 LWD587787:LWE587787 MFZ587787:MGA587787 MPV587787:MPW587787 MZR587787:MZS587787 NJN587787:NJO587787 NTJ587787:NTK587787 ODF587787:ODG587787 ONB587787:ONC587787 OWX587787:OWY587787 PGT587787:PGU587787 PQP587787:PQQ587787 QAL587787:QAM587787 QKH587787:QKI587787 QUD587787:QUE587787 RDZ587787:REA587787 RNV587787:RNW587787 RXR587787:RXS587787 SHN587787:SHO587787 SRJ587787:SRK587787 TBF587787:TBG587787 TLB587787:TLC587787 TUX587787:TUY587787 UET587787:UEU587787 UOP587787:UOQ587787 UYL587787:UYM587787 VIH587787:VII587787 VSD587787:VSE587787 WBZ587787:WCA587787 WLV587787:WLW587787 WVR587787:WVS587787 I653323:J653323 JF653323:JG653323 TB653323:TC653323 ACX653323:ACY653323 AMT653323:AMU653323 AWP653323:AWQ653323 BGL653323:BGM653323 BQH653323:BQI653323 CAD653323:CAE653323 CJZ653323:CKA653323 CTV653323:CTW653323 DDR653323:DDS653323 DNN653323:DNO653323 DXJ653323:DXK653323 EHF653323:EHG653323 ERB653323:ERC653323 FAX653323:FAY653323 FKT653323:FKU653323 FUP653323:FUQ653323 GEL653323:GEM653323 GOH653323:GOI653323 GYD653323:GYE653323 HHZ653323:HIA653323 HRV653323:HRW653323 IBR653323:IBS653323 ILN653323:ILO653323 IVJ653323:IVK653323 JFF653323:JFG653323 JPB653323:JPC653323 JYX653323:JYY653323 KIT653323:KIU653323 KSP653323:KSQ653323 LCL653323:LCM653323 LMH653323:LMI653323 LWD653323:LWE653323 MFZ653323:MGA653323 MPV653323:MPW653323 MZR653323:MZS653323 NJN653323:NJO653323 NTJ653323:NTK653323 ODF653323:ODG653323 ONB653323:ONC653323 OWX653323:OWY653323 PGT653323:PGU653323 PQP653323:PQQ653323 QAL653323:QAM653323 QKH653323:QKI653323 QUD653323:QUE653323 RDZ653323:REA653323 RNV653323:RNW653323 RXR653323:RXS653323 SHN653323:SHO653323 SRJ653323:SRK653323 TBF653323:TBG653323 TLB653323:TLC653323 TUX653323:TUY653323 UET653323:UEU653323 UOP653323:UOQ653323 UYL653323:UYM653323 VIH653323:VII653323 VSD653323:VSE653323 WBZ653323:WCA653323 WLV653323:WLW653323 WVR653323:WVS653323 I718859:J718859 JF718859:JG718859 TB718859:TC718859 ACX718859:ACY718859 AMT718859:AMU718859 AWP718859:AWQ718859 BGL718859:BGM718859 BQH718859:BQI718859 CAD718859:CAE718859 CJZ718859:CKA718859 CTV718859:CTW718859 DDR718859:DDS718859 DNN718859:DNO718859 DXJ718859:DXK718859 EHF718859:EHG718859 ERB718859:ERC718859 FAX718859:FAY718859 FKT718859:FKU718859 FUP718859:FUQ718859 GEL718859:GEM718859 GOH718859:GOI718859 GYD718859:GYE718859 HHZ718859:HIA718859 HRV718859:HRW718859 IBR718859:IBS718859 ILN718859:ILO718859 IVJ718859:IVK718859 JFF718859:JFG718859 JPB718859:JPC718859 JYX718859:JYY718859 KIT718859:KIU718859 KSP718859:KSQ718859 LCL718859:LCM718859 LMH718859:LMI718859 LWD718859:LWE718859 MFZ718859:MGA718859 MPV718859:MPW718859 MZR718859:MZS718859 NJN718859:NJO718859 NTJ718859:NTK718859 ODF718859:ODG718859 ONB718859:ONC718859 OWX718859:OWY718859 PGT718859:PGU718859 PQP718859:PQQ718859 QAL718859:QAM718859 QKH718859:QKI718859 QUD718859:QUE718859 RDZ718859:REA718859 RNV718859:RNW718859 RXR718859:RXS718859 SHN718859:SHO718859 SRJ718859:SRK718859 TBF718859:TBG718859 TLB718859:TLC718859 TUX718859:TUY718859 UET718859:UEU718859 UOP718859:UOQ718859 UYL718859:UYM718859 VIH718859:VII718859 VSD718859:VSE718859 WBZ718859:WCA718859 WLV718859:WLW718859 WVR718859:WVS718859 I784395:J784395 JF784395:JG784395 TB784395:TC784395 ACX784395:ACY784395 AMT784395:AMU784395 AWP784395:AWQ784395 BGL784395:BGM784395 BQH784395:BQI784395 CAD784395:CAE784395 CJZ784395:CKA784395 CTV784395:CTW784395 DDR784395:DDS784395 DNN784395:DNO784395 DXJ784395:DXK784395 EHF784395:EHG784395 ERB784395:ERC784395 FAX784395:FAY784395 FKT784395:FKU784395 FUP784395:FUQ784395 GEL784395:GEM784395 GOH784395:GOI784395 GYD784395:GYE784395 HHZ784395:HIA784395 HRV784395:HRW784395 IBR784395:IBS784395 ILN784395:ILO784395 IVJ784395:IVK784395 JFF784395:JFG784395 JPB784395:JPC784395 JYX784395:JYY784395 KIT784395:KIU784395 KSP784395:KSQ784395 LCL784395:LCM784395 LMH784395:LMI784395 LWD784395:LWE784395 MFZ784395:MGA784395 MPV784395:MPW784395 MZR784395:MZS784395 NJN784395:NJO784395 NTJ784395:NTK784395 ODF784395:ODG784395 ONB784395:ONC784395 OWX784395:OWY784395 PGT784395:PGU784395 PQP784395:PQQ784395 QAL784395:QAM784395 QKH784395:QKI784395 QUD784395:QUE784395 RDZ784395:REA784395 RNV784395:RNW784395 RXR784395:RXS784395 SHN784395:SHO784395 SRJ784395:SRK784395 TBF784395:TBG784395 TLB784395:TLC784395 TUX784395:TUY784395 UET784395:UEU784395 UOP784395:UOQ784395 UYL784395:UYM784395 VIH784395:VII784395 VSD784395:VSE784395 WBZ784395:WCA784395 WLV784395:WLW784395 WVR784395:WVS784395 I849931:J849931 JF849931:JG849931 TB849931:TC849931 ACX849931:ACY849931 AMT849931:AMU849931 AWP849931:AWQ849931 BGL849931:BGM849931 BQH849931:BQI849931 CAD849931:CAE849931 CJZ849931:CKA849931 CTV849931:CTW849931 DDR849931:DDS849931 DNN849931:DNO849931 DXJ849931:DXK849931 EHF849931:EHG849931 ERB849931:ERC849931 FAX849931:FAY849931 FKT849931:FKU849931 FUP849931:FUQ849931 GEL849931:GEM849931 GOH849931:GOI849931 GYD849931:GYE849931 HHZ849931:HIA849931 HRV849931:HRW849931 IBR849931:IBS849931 ILN849931:ILO849931 IVJ849931:IVK849931 JFF849931:JFG849931 JPB849931:JPC849931 JYX849931:JYY849931 KIT849931:KIU849931 KSP849931:KSQ849931 LCL849931:LCM849931 LMH849931:LMI849931 LWD849931:LWE849931 MFZ849931:MGA849931 MPV849931:MPW849931 MZR849931:MZS849931 NJN849931:NJO849931 NTJ849931:NTK849931 ODF849931:ODG849931 ONB849931:ONC849931 OWX849931:OWY849931 PGT849931:PGU849931 PQP849931:PQQ849931 QAL849931:QAM849931 QKH849931:QKI849931 QUD849931:QUE849931 RDZ849931:REA849931 RNV849931:RNW849931 RXR849931:RXS849931 SHN849931:SHO849931 SRJ849931:SRK849931 TBF849931:TBG849931 TLB849931:TLC849931 TUX849931:TUY849931 UET849931:UEU849931 UOP849931:UOQ849931 UYL849931:UYM849931 VIH849931:VII849931 VSD849931:VSE849931 WBZ849931:WCA849931 WLV849931:WLW849931 WVR849931:WVS849931 I915467:J915467 JF915467:JG915467 TB915467:TC915467 ACX915467:ACY915467 AMT915467:AMU915467 AWP915467:AWQ915467 BGL915467:BGM915467 BQH915467:BQI915467 CAD915467:CAE915467 CJZ915467:CKA915467 CTV915467:CTW915467 DDR915467:DDS915467 DNN915467:DNO915467 DXJ915467:DXK915467 EHF915467:EHG915467 ERB915467:ERC915467 FAX915467:FAY915467 FKT915467:FKU915467 FUP915467:FUQ915467 GEL915467:GEM915467 GOH915467:GOI915467 GYD915467:GYE915467 HHZ915467:HIA915467 HRV915467:HRW915467 IBR915467:IBS915467 ILN915467:ILO915467 IVJ915467:IVK915467 JFF915467:JFG915467 JPB915467:JPC915467 JYX915467:JYY915467 KIT915467:KIU915467 KSP915467:KSQ915467 LCL915467:LCM915467 LMH915467:LMI915467 LWD915467:LWE915467 MFZ915467:MGA915467 MPV915467:MPW915467 MZR915467:MZS915467 NJN915467:NJO915467 NTJ915467:NTK915467 ODF915467:ODG915467 ONB915467:ONC915467 OWX915467:OWY915467 PGT915467:PGU915467 PQP915467:PQQ915467 QAL915467:QAM915467 QKH915467:QKI915467 QUD915467:QUE915467 RDZ915467:REA915467 RNV915467:RNW915467 RXR915467:RXS915467 SHN915467:SHO915467 SRJ915467:SRK915467 TBF915467:TBG915467 TLB915467:TLC915467 TUX915467:TUY915467 UET915467:UEU915467 UOP915467:UOQ915467 UYL915467:UYM915467 VIH915467:VII915467 VSD915467:VSE915467 WBZ915467:WCA915467 WLV915467:WLW915467 WVR915467:WVS915467 I981003:J981003 JF981003:JG981003 TB981003:TC981003 ACX981003:ACY981003 AMT981003:AMU981003 AWP981003:AWQ981003 BGL981003:BGM981003 BQH981003:BQI981003 CAD981003:CAE981003 CJZ981003:CKA981003 CTV981003:CTW981003 DDR981003:DDS981003 DNN981003:DNO981003 DXJ981003:DXK981003 EHF981003:EHG981003 ERB981003:ERC981003 FAX981003:FAY981003 FKT981003:FKU981003 FUP981003:FUQ981003 GEL981003:GEM981003 GOH981003:GOI981003 GYD981003:GYE981003 HHZ981003:HIA981003 HRV981003:HRW981003 IBR981003:IBS981003 ILN981003:ILO981003 IVJ981003:IVK981003 JFF981003:JFG981003 JPB981003:JPC981003 JYX981003:JYY981003 KIT981003:KIU981003 KSP981003:KSQ981003 LCL981003:LCM981003 LMH981003:LMI981003 LWD981003:LWE981003 MFZ981003:MGA981003 MPV981003:MPW981003 MZR981003:MZS981003 NJN981003:NJO981003 NTJ981003:NTK981003 ODF981003:ODG981003 ONB981003:ONC981003 OWX981003:OWY981003 PGT981003:PGU981003 PQP981003:PQQ981003 QAL981003:QAM981003 QKH981003:QKI981003 QUD981003:QUE981003 RDZ981003:REA981003 RNV981003:RNW981003 RXR981003:RXS981003 SHN981003:SHO981003 SRJ981003:SRK981003 TBF981003:TBG981003 TLB981003:TLC981003 TUX981003:TUY981003 UET981003:UEU981003 UOP981003:UOQ981003 UYL981003:UYM981003 VIH981003:VII981003 VSD981003:VSE981003 WBZ981003:WCA981003 WLV981003:WLW981003 J8">
      <formula1>"January, February, March, Jan-Mar, April, May, June, Apr-June, July, August, September, Jul-Sep, October, November, December, Oct-Dec, Janu-Dec"</formula1>
    </dataValidation>
    <dataValidation type="list" allowBlank="1" showInputMessage="1" showErrorMessage="1" sqref="WVW981003 JK8 TG8 ADC8 AMY8 AWU8 BGQ8 BQM8 CAI8 CKE8 CUA8 DDW8 DNS8 DXO8 EHK8 ERG8 FBC8 FKY8 FUU8 GEQ8 GOM8 GYI8 HIE8 HSA8 IBW8 ILS8 IVO8 JFK8 JPG8 JZC8 KIY8 KSU8 LCQ8 LMM8 LWI8 MGE8 MQA8 MZW8 NJS8 NTO8 ODK8 ONG8 OXC8 PGY8 PQU8 QAQ8 QKM8 QUI8 REE8 ROA8 RXW8 SHS8 SRO8 TBK8 TLG8 TVC8 UEY8 UOU8 UYQ8 VIM8 VSI8 WCE8 WMA8 WVW8 O63499 JK63499 TG63499 ADC63499 AMY63499 AWU63499 BGQ63499 BQM63499 CAI63499 CKE63499 CUA63499 DDW63499 DNS63499 DXO63499 EHK63499 ERG63499 FBC63499 FKY63499 FUU63499 GEQ63499 GOM63499 GYI63499 HIE63499 HSA63499 IBW63499 ILS63499 IVO63499 JFK63499 JPG63499 JZC63499 KIY63499 KSU63499 LCQ63499 LMM63499 LWI63499 MGE63499 MQA63499 MZW63499 NJS63499 NTO63499 ODK63499 ONG63499 OXC63499 PGY63499 PQU63499 QAQ63499 QKM63499 QUI63499 REE63499 ROA63499 RXW63499 SHS63499 SRO63499 TBK63499 TLG63499 TVC63499 UEY63499 UOU63499 UYQ63499 VIM63499 VSI63499 WCE63499 WMA63499 WVW63499 O129035 JK129035 TG129035 ADC129035 AMY129035 AWU129035 BGQ129035 BQM129035 CAI129035 CKE129035 CUA129035 DDW129035 DNS129035 DXO129035 EHK129035 ERG129035 FBC129035 FKY129035 FUU129035 GEQ129035 GOM129035 GYI129035 HIE129035 HSA129035 IBW129035 ILS129035 IVO129035 JFK129035 JPG129035 JZC129035 KIY129035 KSU129035 LCQ129035 LMM129035 LWI129035 MGE129035 MQA129035 MZW129035 NJS129035 NTO129035 ODK129035 ONG129035 OXC129035 PGY129035 PQU129035 QAQ129035 QKM129035 QUI129035 REE129035 ROA129035 RXW129035 SHS129035 SRO129035 TBK129035 TLG129035 TVC129035 UEY129035 UOU129035 UYQ129035 VIM129035 VSI129035 WCE129035 WMA129035 WVW129035 O194571 JK194571 TG194571 ADC194571 AMY194571 AWU194571 BGQ194571 BQM194571 CAI194571 CKE194571 CUA194571 DDW194571 DNS194571 DXO194571 EHK194571 ERG194571 FBC194571 FKY194571 FUU194571 GEQ194571 GOM194571 GYI194571 HIE194571 HSA194571 IBW194571 ILS194571 IVO194571 JFK194571 JPG194571 JZC194571 KIY194571 KSU194571 LCQ194571 LMM194571 LWI194571 MGE194571 MQA194571 MZW194571 NJS194571 NTO194571 ODK194571 ONG194571 OXC194571 PGY194571 PQU194571 QAQ194571 QKM194571 QUI194571 REE194571 ROA194571 RXW194571 SHS194571 SRO194571 TBK194571 TLG194571 TVC194571 UEY194571 UOU194571 UYQ194571 VIM194571 VSI194571 WCE194571 WMA194571 WVW194571 O260107 JK260107 TG260107 ADC260107 AMY260107 AWU260107 BGQ260107 BQM260107 CAI260107 CKE260107 CUA260107 DDW260107 DNS260107 DXO260107 EHK260107 ERG260107 FBC260107 FKY260107 FUU260107 GEQ260107 GOM260107 GYI260107 HIE260107 HSA260107 IBW260107 ILS260107 IVO260107 JFK260107 JPG260107 JZC260107 KIY260107 KSU260107 LCQ260107 LMM260107 LWI260107 MGE260107 MQA260107 MZW260107 NJS260107 NTO260107 ODK260107 ONG260107 OXC260107 PGY260107 PQU260107 QAQ260107 QKM260107 QUI260107 REE260107 ROA260107 RXW260107 SHS260107 SRO260107 TBK260107 TLG260107 TVC260107 UEY260107 UOU260107 UYQ260107 VIM260107 VSI260107 WCE260107 WMA260107 WVW260107 O325643 JK325643 TG325643 ADC325643 AMY325643 AWU325643 BGQ325643 BQM325643 CAI325643 CKE325643 CUA325643 DDW325643 DNS325643 DXO325643 EHK325643 ERG325643 FBC325643 FKY325643 FUU325643 GEQ325643 GOM325643 GYI325643 HIE325643 HSA325643 IBW325643 ILS325643 IVO325643 JFK325643 JPG325643 JZC325643 KIY325643 KSU325643 LCQ325643 LMM325643 LWI325643 MGE325643 MQA325643 MZW325643 NJS325643 NTO325643 ODK325643 ONG325643 OXC325643 PGY325643 PQU325643 QAQ325643 QKM325643 QUI325643 REE325643 ROA325643 RXW325643 SHS325643 SRO325643 TBK325643 TLG325643 TVC325643 UEY325643 UOU325643 UYQ325643 VIM325643 VSI325643 WCE325643 WMA325643 WVW325643 O391179 JK391179 TG391179 ADC391179 AMY391179 AWU391179 BGQ391179 BQM391179 CAI391179 CKE391179 CUA391179 DDW391179 DNS391179 DXO391179 EHK391179 ERG391179 FBC391179 FKY391179 FUU391179 GEQ391179 GOM391179 GYI391179 HIE391179 HSA391179 IBW391179 ILS391179 IVO391179 JFK391179 JPG391179 JZC391179 KIY391179 KSU391179 LCQ391179 LMM391179 LWI391179 MGE391179 MQA391179 MZW391179 NJS391179 NTO391179 ODK391179 ONG391179 OXC391179 PGY391179 PQU391179 QAQ391179 QKM391179 QUI391179 REE391179 ROA391179 RXW391179 SHS391179 SRO391179 TBK391179 TLG391179 TVC391179 UEY391179 UOU391179 UYQ391179 VIM391179 VSI391179 WCE391179 WMA391179 WVW391179 O456715 JK456715 TG456715 ADC456715 AMY456715 AWU456715 BGQ456715 BQM456715 CAI456715 CKE456715 CUA456715 DDW456715 DNS456715 DXO456715 EHK456715 ERG456715 FBC456715 FKY456715 FUU456715 GEQ456715 GOM456715 GYI456715 HIE456715 HSA456715 IBW456715 ILS456715 IVO456715 JFK456715 JPG456715 JZC456715 KIY456715 KSU456715 LCQ456715 LMM456715 LWI456715 MGE456715 MQA456715 MZW456715 NJS456715 NTO456715 ODK456715 ONG456715 OXC456715 PGY456715 PQU456715 QAQ456715 QKM456715 QUI456715 REE456715 ROA456715 RXW456715 SHS456715 SRO456715 TBK456715 TLG456715 TVC456715 UEY456715 UOU456715 UYQ456715 VIM456715 VSI456715 WCE456715 WMA456715 WVW456715 O522251 JK522251 TG522251 ADC522251 AMY522251 AWU522251 BGQ522251 BQM522251 CAI522251 CKE522251 CUA522251 DDW522251 DNS522251 DXO522251 EHK522251 ERG522251 FBC522251 FKY522251 FUU522251 GEQ522251 GOM522251 GYI522251 HIE522251 HSA522251 IBW522251 ILS522251 IVO522251 JFK522251 JPG522251 JZC522251 KIY522251 KSU522251 LCQ522251 LMM522251 LWI522251 MGE522251 MQA522251 MZW522251 NJS522251 NTO522251 ODK522251 ONG522251 OXC522251 PGY522251 PQU522251 QAQ522251 QKM522251 QUI522251 REE522251 ROA522251 RXW522251 SHS522251 SRO522251 TBK522251 TLG522251 TVC522251 UEY522251 UOU522251 UYQ522251 VIM522251 VSI522251 WCE522251 WMA522251 WVW522251 O587787 JK587787 TG587787 ADC587787 AMY587787 AWU587787 BGQ587787 BQM587787 CAI587787 CKE587787 CUA587787 DDW587787 DNS587787 DXO587787 EHK587787 ERG587787 FBC587787 FKY587787 FUU587787 GEQ587787 GOM587787 GYI587787 HIE587787 HSA587787 IBW587787 ILS587787 IVO587787 JFK587787 JPG587787 JZC587787 KIY587787 KSU587787 LCQ587787 LMM587787 LWI587787 MGE587787 MQA587787 MZW587787 NJS587787 NTO587787 ODK587787 ONG587787 OXC587787 PGY587787 PQU587787 QAQ587787 QKM587787 QUI587787 REE587787 ROA587787 RXW587787 SHS587787 SRO587787 TBK587787 TLG587787 TVC587787 UEY587787 UOU587787 UYQ587787 VIM587787 VSI587787 WCE587787 WMA587787 WVW587787 O653323 JK653323 TG653323 ADC653323 AMY653323 AWU653323 BGQ653323 BQM653323 CAI653323 CKE653323 CUA653323 DDW653323 DNS653323 DXO653323 EHK653323 ERG653323 FBC653323 FKY653323 FUU653323 GEQ653323 GOM653323 GYI653323 HIE653323 HSA653323 IBW653323 ILS653323 IVO653323 JFK653323 JPG653323 JZC653323 KIY653323 KSU653323 LCQ653323 LMM653323 LWI653323 MGE653323 MQA653323 MZW653323 NJS653323 NTO653323 ODK653323 ONG653323 OXC653323 PGY653323 PQU653323 QAQ653323 QKM653323 QUI653323 REE653323 ROA653323 RXW653323 SHS653323 SRO653323 TBK653323 TLG653323 TVC653323 UEY653323 UOU653323 UYQ653323 VIM653323 VSI653323 WCE653323 WMA653323 WVW653323 O718859 JK718859 TG718859 ADC718859 AMY718859 AWU718859 BGQ718859 BQM718859 CAI718859 CKE718859 CUA718859 DDW718859 DNS718859 DXO718859 EHK718859 ERG718859 FBC718859 FKY718859 FUU718859 GEQ718859 GOM718859 GYI718859 HIE718859 HSA718859 IBW718859 ILS718859 IVO718859 JFK718859 JPG718859 JZC718859 KIY718859 KSU718859 LCQ718859 LMM718859 LWI718859 MGE718859 MQA718859 MZW718859 NJS718859 NTO718859 ODK718859 ONG718859 OXC718859 PGY718859 PQU718859 QAQ718859 QKM718859 QUI718859 REE718859 ROA718859 RXW718859 SHS718859 SRO718859 TBK718859 TLG718859 TVC718859 UEY718859 UOU718859 UYQ718859 VIM718859 VSI718859 WCE718859 WMA718859 WVW718859 O784395 JK784395 TG784395 ADC784395 AMY784395 AWU784395 BGQ784395 BQM784395 CAI784395 CKE784395 CUA784395 DDW784395 DNS784395 DXO784395 EHK784395 ERG784395 FBC784395 FKY784395 FUU784395 GEQ784395 GOM784395 GYI784395 HIE784395 HSA784395 IBW784395 ILS784395 IVO784395 JFK784395 JPG784395 JZC784395 KIY784395 KSU784395 LCQ784395 LMM784395 LWI784395 MGE784395 MQA784395 MZW784395 NJS784395 NTO784395 ODK784395 ONG784395 OXC784395 PGY784395 PQU784395 QAQ784395 QKM784395 QUI784395 REE784395 ROA784395 RXW784395 SHS784395 SRO784395 TBK784395 TLG784395 TVC784395 UEY784395 UOU784395 UYQ784395 VIM784395 VSI784395 WCE784395 WMA784395 WVW784395 O849931 JK849931 TG849931 ADC849931 AMY849931 AWU849931 BGQ849931 BQM849931 CAI849931 CKE849931 CUA849931 DDW849931 DNS849931 DXO849931 EHK849931 ERG849931 FBC849931 FKY849931 FUU849931 GEQ849931 GOM849931 GYI849931 HIE849931 HSA849931 IBW849931 ILS849931 IVO849931 JFK849931 JPG849931 JZC849931 KIY849931 KSU849931 LCQ849931 LMM849931 LWI849931 MGE849931 MQA849931 MZW849931 NJS849931 NTO849931 ODK849931 ONG849931 OXC849931 PGY849931 PQU849931 QAQ849931 QKM849931 QUI849931 REE849931 ROA849931 RXW849931 SHS849931 SRO849931 TBK849931 TLG849931 TVC849931 UEY849931 UOU849931 UYQ849931 VIM849931 VSI849931 WCE849931 WMA849931 WVW849931 O915467 JK915467 TG915467 ADC915467 AMY915467 AWU915467 BGQ915467 BQM915467 CAI915467 CKE915467 CUA915467 DDW915467 DNS915467 DXO915467 EHK915467 ERG915467 FBC915467 FKY915467 FUU915467 GEQ915467 GOM915467 GYI915467 HIE915467 HSA915467 IBW915467 ILS915467 IVO915467 JFK915467 JPG915467 JZC915467 KIY915467 KSU915467 LCQ915467 LMM915467 LWI915467 MGE915467 MQA915467 MZW915467 NJS915467 NTO915467 ODK915467 ONG915467 OXC915467 PGY915467 PQU915467 QAQ915467 QKM915467 QUI915467 REE915467 ROA915467 RXW915467 SHS915467 SRO915467 TBK915467 TLG915467 TVC915467 UEY915467 UOU915467 UYQ915467 VIM915467 VSI915467 WCE915467 WMA915467 WVW915467 O981003 JK981003 TG981003 ADC981003 AMY981003 AWU981003 BGQ981003 BQM981003 CAI981003 CKE981003 CUA981003 DDW981003 DNS981003 DXO981003 EHK981003 ERG981003 FBC981003 FKY981003 FUU981003 GEQ981003 GOM981003 GYI981003 HIE981003 HSA981003 IBW981003 ILS981003 IVO981003 JFK981003 JPG981003 JZC981003 KIY981003 KSU981003 LCQ981003 LMM981003 LWI981003 MGE981003 MQA981003 MZW981003 NJS981003 NTO981003 ODK981003 ONG981003 OXC981003 PGY981003 PQU981003 QAQ981003 QKM981003 QUI981003 REE981003 ROA981003 RXW981003 SHS981003 SRO981003 TBK981003 TLG981003 TVC981003 UEY981003 UOU981003 UYQ981003 VIM981003 VSI981003 WCE981003 WMA981003">
      <formula1>"2015, 2016,2017,2018,2019, 2020"</formula1>
    </dataValidation>
  </dataValidations>
  <printOptions horizontalCentered="1"/>
  <pageMargins left="0.45" right="0.45" top="0.5" bottom="0.5" header="0.3" footer="0.3"/>
  <pageSetup paperSize="9" scale="6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workbookViewId="0">
      <selection sqref="A1:O1"/>
    </sheetView>
  </sheetViews>
  <sheetFormatPr defaultRowHeight="14.4" x14ac:dyDescent="0.3"/>
  <cols>
    <col min="1" max="1" width="11" customWidth="1"/>
    <col min="3" max="3" width="11.88671875" customWidth="1"/>
    <col min="5" max="5" width="10.6640625" customWidth="1"/>
  </cols>
  <sheetData>
    <row r="1" spans="1:21" s="64" customFormat="1" ht="18" x14ac:dyDescent="0.3">
      <c r="A1" s="340" t="s">
        <v>129</v>
      </c>
      <c r="B1" s="340"/>
      <c r="C1" s="340"/>
      <c r="D1" s="340"/>
      <c r="E1" s="340"/>
      <c r="F1" s="340"/>
      <c r="G1" s="340"/>
      <c r="H1" s="340"/>
      <c r="I1" s="340"/>
      <c r="J1" s="340"/>
      <c r="K1" s="340"/>
      <c r="L1" s="340"/>
      <c r="M1" s="340"/>
      <c r="N1" s="340"/>
      <c r="O1" s="340"/>
      <c r="P1" s="341" t="s">
        <v>128</v>
      </c>
      <c r="Q1" s="341"/>
      <c r="R1" s="341"/>
      <c r="S1" s="341"/>
      <c r="T1" s="129"/>
      <c r="U1" s="129"/>
    </row>
    <row r="2" spans="1:21" s="64" customFormat="1" ht="18" x14ac:dyDescent="0.3">
      <c r="A2" s="340" t="s">
        <v>67</v>
      </c>
      <c r="B2" s="340"/>
      <c r="C2" s="340"/>
      <c r="D2" s="340"/>
      <c r="E2" s="340"/>
      <c r="F2" s="340"/>
      <c r="G2" s="340"/>
      <c r="H2" s="340"/>
      <c r="I2" s="340"/>
      <c r="J2" s="340"/>
      <c r="K2" s="340"/>
      <c r="L2" s="340"/>
      <c r="M2" s="340"/>
      <c r="N2" s="340"/>
      <c r="O2" s="340"/>
      <c r="P2" s="340"/>
      <c r="Q2" s="340"/>
      <c r="R2" s="340"/>
      <c r="S2" s="340"/>
      <c r="T2" s="340"/>
      <c r="U2" s="340"/>
    </row>
    <row r="3" spans="1:21" s="64" customFormat="1" ht="18" x14ac:dyDescent="0.3">
      <c r="A3" s="340" t="s">
        <v>111</v>
      </c>
      <c r="B3" s="340"/>
      <c r="C3" s="340"/>
      <c r="D3" s="340"/>
      <c r="E3" s="340"/>
      <c r="F3" s="340"/>
      <c r="G3" s="340"/>
      <c r="H3" s="340"/>
      <c r="I3" s="340"/>
      <c r="J3" s="340"/>
      <c r="K3" s="340"/>
      <c r="L3" s="340"/>
      <c r="M3" s="340"/>
      <c r="N3" s="340"/>
      <c r="O3" s="340"/>
      <c r="P3" s="340"/>
      <c r="Q3" s="340"/>
      <c r="R3" s="340"/>
      <c r="S3" s="130"/>
      <c r="T3" s="130"/>
      <c r="U3" s="130"/>
    </row>
    <row r="4" spans="1:21" s="64" customFormat="1" ht="18" x14ac:dyDescent="0.3">
      <c r="A4" s="130"/>
      <c r="B4" s="130"/>
      <c r="C4" s="130"/>
      <c r="D4" s="130"/>
      <c r="E4" s="130"/>
      <c r="F4" s="130"/>
      <c r="G4" s="130"/>
      <c r="H4" s="130"/>
      <c r="I4" s="130"/>
      <c r="J4" s="130"/>
      <c r="K4" s="130"/>
      <c r="L4" s="130"/>
      <c r="M4" s="130"/>
      <c r="N4" s="130"/>
      <c r="O4" s="130"/>
      <c r="P4" s="130"/>
      <c r="Q4" s="130"/>
      <c r="R4" s="130"/>
      <c r="S4" s="130"/>
      <c r="T4" s="130"/>
      <c r="U4" s="130"/>
    </row>
    <row r="5" spans="1:21" s="64" customFormat="1" ht="18" x14ac:dyDescent="0.3">
      <c r="A5" s="341" t="s">
        <v>112</v>
      </c>
      <c r="B5" s="341"/>
      <c r="C5" s="341"/>
      <c r="D5" s="341"/>
      <c r="E5" s="341"/>
      <c r="F5" s="341"/>
      <c r="G5" s="341"/>
      <c r="H5" s="341"/>
      <c r="I5" s="341"/>
      <c r="J5" s="341"/>
      <c r="K5" s="341"/>
      <c r="L5" s="341"/>
      <c r="M5" s="341"/>
      <c r="N5" s="341"/>
      <c r="O5" s="341"/>
      <c r="P5" s="341"/>
      <c r="Q5" s="341"/>
      <c r="R5" s="341"/>
      <c r="S5" s="341"/>
      <c r="T5" s="341"/>
      <c r="U5" s="341"/>
    </row>
    <row r="6" spans="1:21" ht="15.6" x14ac:dyDescent="0.3">
      <c r="A6" s="102"/>
      <c r="B6" s="102"/>
      <c r="C6" s="102"/>
      <c r="D6" s="102"/>
      <c r="E6" s="102"/>
      <c r="F6" s="102"/>
      <c r="G6" s="102"/>
      <c r="H6" s="102"/>
      <c r="I6" s="102"/>
      <c r="J6" s="102"/>
      <c r="K6" s="102"/>
      <c r="L6" s="102"/>
      <c r="M6" s="102"/>
      <c r="N6" s="102"/>
      <c r="O6" s="102"/>
      <c r="P6" s="102"/>
      <c r="Q6" s="102"/>
      <c r="R6" s="102"/>
      <c r="S6" s="102"/>
      <c r="T6" s="102"/>
      <c r="U6" s="102"/>
    </row>
    <row r="7" spans="1:21" ht="15.6" x14ac:dyDescent="0.3">
      <c r="A7" s="103" t="s">
        <v>85</v>
      </c>
      <c r="B7" s="103"/>
      <c r="C7" s="343">
        <f>'DR-TB 10A'!C6:G6</f>
        <v>0</v>
      </c>
      <c r="D7" s="343"/>
      <c r="E7" s="343"/>
      <c r="F7" s="343"/>
      <c r="G7" s="343"/>
      <c r="H7" s="100"/>
      <c r="I7" s="103"/>
      <c r="J7" s="106" t="s">
        <v>16</v>
      </c>
      <c r="K7" s="64"/>
      <c r="L7" s="138">
        <f>'DR-TB 10A'!L6</f>
        <v>0</v>
      </c>
      <c r="M7" s="107" t="s">
        <v>14</v>
      </c>
      <c r="N7" s="342" t="str">
        <f>'DR-TB 10A'!N6:O6</f>
        <v/>
      </c>
      <c r="O7" s="342"/>
      <c r="P7" s="108" t="s">
        <v>15</v>
      </c>
      <c r="Q7" s="64"/>
      <c r="R7" s="138">
        <f>'DR-TB 10A'!R6</f>
        <v>0</v>
      </c>
      <c r="S7" s="100"/>
      <c r="T7" s="100"/>
      <c r="U7" s="100"/>
    </row>
    <row r="8" spans="1:21" ht="16.8" x14ac:dyDescent="0.3">
      <c r="A8" s="103" t="s">
        <v>9</v>
      </c>
      <c r="B8" s="103"/>
      <c r="C8" s="361">
        <f>'DR-TB 10A'!C7:G7</f>
        <v>0</v>
      </c>
      <c r="D8" s="361"/>
      <c r="E8" s="361"/>
      <c r="F8" s="361"/>
      <c r="G8" s="361"/>
      <c r="H8" s="100"/>
      <c r="I8" s="109"/>
      <c r="J8" s="123" t="s">
        <v>113</v>
      </c>
      <c r="K8" s="122"/>
      <c r="L8" s="122"/>
      <c r="M8" s="122"/>
      <c r="N8" s="357"/>
      <c r="O8" s="357"/>
      <c r="P8" s="357"/>
      <c r="Q8" s="357"/>
      <c r="R8" s="357"/>
      <c r="S8" s="357"/>
      <c r="T8" s="100"/>
      <c r="U8" s="100"/>
    </row>
    <row r="9" spans="1:21" ht="16.8" x14ac:dyDescent="0.3">
      <c r="A9" s="103" t="s">
        <v>10</v>
      </c>
      <c r="B9" s="103"/>
      <c r="C9" s="362">
        <f>'DR-TB 10A'!C8:G8</f>
        <v>0</v>
      </c>
      <c r="D9" s="362"/>
      <c r="E9" s="362"/>
      <c r="F9" s="362"/>
      <c r="G9" s="362"/>
      <c r="H9" s="100"/>
      <c r="I9" s="109"/>
      <c r="J9" s="109" t="s">
        <v>68</v>
      </c>
      <c r="K9" s="109"/>
      <c r="L9" s="109"/>
      <c r="M9" s="357"/>
      <c r="N9" s="357"/>
      <c r="O9" s="357"/>
      <c r="P9" s="357"/>
      <c r="Q9" s="357"/>
      <c r="R9" s="357"/>
      <c r="S9" s="357"/>
      <c r="T9" s="100"/>
      <c r="U9" s="100"/>
    </row>
    <row r="10" spans="1:21" ht="16.8" x14ac:dyDescent="0.3">
      <c r="A10" s="100"/>
      <c r="B10" s="100"/>
      <c r="C10" s="100"/>
      <c r="D10" s="100"/>
      <c r="E10" s="100"/>
      <c r="F10" s="100"/>
      <c r="G10" s="100"/>
      <c r="H10" s="100"/>
      <c r="I10" s="100"/>
      <c r="J10" s="109" t="s">
        <v>11</v>
      </c>
      <c r="K10" s="109"/>
      <c r="L10" s="109"/>
      <c r="M10" s="358"/>
      <c r="N10" s="358"/>
      <c r="O10" s="110"/>
      <c r="P10" s="101"/>
      <c r="Q10" s="100"/>
      <c r="R10" s="100"/>
      <c r="S10" s="100"/>
      <c r="T10" s="100"/>
      <c r="U10" s="100"/>
    </row>
    <row r="11" spans="1:21" ht="16.8" x14ac:dyDescent="0.3">
      <c r="A11" s="100"/>
      <c r="B11" s="100"/>
      <c r="C11" s="100"/>
      <c r="D11" s="100"/>
      <c r="E11" s="100"/>
      <c r="F11" s="100"/>
      <c r="G11" s="100"/>
      <c r="H11" s="100"/>
      <c r="I11" s="100"/>
      <c r="J11" s="111" t="s">
        <v>74</v>
      </c>
      <c r="K11" s="359"/>
      <c r="L11" s="359"/>
      <c r="M11" s="111"/>
      <c r="N11" s="112"/>
      <c r="O11" s="109" t="s">
        <v>12</v>
      </c>
      <c r="P11" s="100"/>
      <c r="Q11" s="360"/>
      <c r="R11" s="360"/>
      <c r="S11" s="360"/>
      <c r="T11" s="105"/>
      <c r="U11" s="100"/>
    </row>
    <row r="12" spans="1:21" ht="16.2" thickBot="1" x14ac:dyDescent="0.35">
      <c r="A12" s="100"/>
      <c r="B12" s="100"/>
      <c r="C12" s="100"/>
      <c r="D12" s="100"/>
      <c r="E12" s="100"/>
      <c r="F12" s="100"/>
      <c r="G12" s="100"/>
      <c r="H12" s="100"/>
      <c r="I12" s="100"/>
      <c r="J12" s="111"/>
      <c r="K12" s="131"/>
      <c r="L12" s="131"/>
      <c r="M12" s="111"/>
      <c r="N12" s="112"/>
      <c r="O12" s="109"/>
      <c r="P12" s="100"/>
      <c r="Q12" s="132"/>
      <c r="R12" s="132"/>
      <c r="S12" s="132"/>
      <c r="T12" s="105"/>
      <c r="U12" s="100"/>
    </row>
    <row r="13" spans="1:21" ht="17.399999999999999" customHeight="1" thickBot="1" x14ac:dyDescent="0.35">
      <c r="A13" s="363" t="s">
        <v>114</v>
      </c>
      <c r="B13" s="334" t="s">
        <v>115</v>
      </c>
      <c r="C13" s="335"/>
      <c r="D13" s="334" t="s">
        <v>116</v>
      </c>
      <c r="E13" s="335"/>
      <c r="F13" s="100"/>
      <c r="G13" s="100"/>
      <c r="H13" s="365" t="s">
        <v>117</v>
      </c>
      <c r="I13" s="366"/>
      <c r="J13" s="366"/>
      <c r="K13" s="367"/>
      <c r="L13" s="371" t="s">
        <v>118</v>
      </c>
      <c r="M13" s="372"/>
      <c r="N13" s="373"/>
      <c r="O13" s="374" t="s">
        <v>3</v>
      </c>
      <c r="P13" s="375"/>
      <c r="Q13" s="105"/>
      <c r="R13" s="100"/>
      <c r="S13" s="100"/>
      <c r="T13" s="100"/>
      <c r="U13" s="100"/>
    </row>
    <row r="14" spans="1:21" ht="16.2" thickBot="1" x14ac:dyDescent="0.35">
      <c r="A14" s="364"/>
      <c r="B14" s="332"/>
      <c r="C14" s="333"/>
      <c r="D14" s="332"/>
      <c r="E14" s="333"/>
      <c r="F14" s="100"/>
      <c r="G14" s="100"/>
      <c r="H14" s="368"/>
      <c r="I14" s="369"/>
      <c r="J14" s="369"/>
      <c r="K14" s="370"/>
      <c r="L14" s="135"/>
      <c r="M14" s="136"/>
      <c r="N14" s="137"/>
      <c r="O14" s="376">
        <f>L14+M14+N14</f>
        <v>0</v>
      </c>
      <c r="P14" s="377"/>
      <c r="Q14" s="105"/>
      <c r="R14" s="100"/>
      <c r="S14" s="100"/>
      <c r="T14" s="100"/>
      <c r="U14" s="100"/>
    </row>
    <row r="15" spans="1:21" ht="15.6" x14ac:dyDescent="0.3">
      <c r="A15" s="102"/>
      <c r="B15" s="113"/>
      <c r="C15" s="113"/>
      <c r="D15" s="113"/>
      <c r="E15" s="113"/>
      <c r="F15" s="104"/>
      <c r="G15" s="114"/>
      <c r="H15" s="114"/>
      <c r="I15" s="114"/>
      <c r="J15" s="112"/>
      <c r="K15" s="112"/>
      <c r="L15" s="112"/>
      <c r="M15" s="112"/>
      <c r="N15" s="112"/>
      <c r="O15" s="112"/>
      <c r="P15" s="112"/>
      <c r="Q15" s="114"/>
      <c r="R15" s="114"/>
      <c r="S15" s="114"/>
      <c r="T15" s="114"/>
      <c r="U15" s="114"/>
    </row>
    <row r="16" spans="1:21" ht="15.6" x14ac:dyDescent="0.3">
      <c r="A16" s="115"/>
      <c r="B16" s="116"/>
      <c r="C16" s="116"/>
      <c r="D16" s="116"/>
      <c r="E16" s="116"/>
      <c r="F16" s="116"/>
      <c r="G16" s="116"/>
      <c r="H16" s="116"/>
      <c r="I16" s="105"/>
      <c r="J16" s="114"/>
      <c r="K16" s="114"/>
      <c r="L16" s="114"/>
      <c r="M16" s="114"/>
      <c r="N16" s="114"/>
      <c r="O16" s="114"/>
      <c r="P16" s="114"/>
      <c r="Q16" s="114"/>
      <c r="R16" s="114"/>
      <c r="S16" s="114"/>
      <c r="T16" s="114"/>
      <c r="U16" s="117"/>
    </row>
    <row r="17" spans="1:21" ht="15.6" customHeight="1" x14ac:dyDescent="0.3">
      <c r="A17" s="309"/>
      <c r="B17" s="310"/>
      <c r="C17" s="329" t="s">
        <v>119</v>
      </c>
      <c r="D17" s="330"/>
      <c r="E17" s="331"/>
      <c r="F17" s="350" t="s">
        <v>120</v>
      </c>
      <c r="G17" s="351"/>
      <c r="H17" s="351"/>
      <c r="I17" s="351"/>
      <c r="J17" s="351"/>
      <c r="K17" s="352"/>
      <c r="L17" s="329" t="s">
        <v>121</v>
      </c>
      <c r="M17" s="330"/>
      <c r="N17" s="330"/>
      <c r="O17" s="330"/>
      <c r="P17" s="330"/>
      <c r="Q17" s="331"/>
      <c r="R17" s="100"/>
      <c r="S17" s="100"/>
      <c r="T17" s="100"/>
      <c r="U17" s="344"/>
    </row>
    <row r="18" spans="1:21" ht="14.4" customHeight="1" x14ac:dyDescent="0.3">
      <c r="A18" s="311"/>
      <c r="B18" s="312"/>
      <c r="C18" s="307" t="s">
        <v>122</v>
      </c>
      <c r="D18" s="307" t="s">
        <v>123</v>
      </c>
      <c r="E18" s="307" t="s">
        <v>3</v>
      </c>
      <c r="F18" s="346" t="s">
        <v>122</v>
      </c>
      <c r="G18" s="347"/>
      <c r="H18" s="346" t="s">
        <v>123</v>
      </c>
      <c r="I18" s="347"/>
      <c r="J18" s="346" t="s">
        <v>3</v>
      </c>
      <c r="K18" s="347"/>
      <c r="L18" s="303" t="s">
        <v>122</v>
      </c>
      <c r="M18" s="304"/>
      <c r="N18" s="303" t="s">
        <v>123</v>
      </c>
      <c r="O18" s="304"/>
      <c r="P18" s="353" t="s">
        <v>3</v>
      </c>
      <c r="Q18" s="354"/>
      <c r="R18" s="100"/>
      <c r="S18" s="100"/>
      <c r="T18" s="100"/>
      <c r="U18" s="344"/>
    </row>
    <row r="19" spans="1:21" ht="14.4" customHeight="1" x14ac:dyDescent="0.3">
      <c r="A19" s="313"/>
      <c r="B19" s="314"/>
      <c r="C19" s="308"/>
      <c r="D19" s="308"/>
      <c r="E19" s="308"/>
      <c r="F19" s="348"/>
      <c r="G19" s="349"/>
      <c r="H19" s="348"/>
      <c r="I19" s="349"/>
      <c r="J19" s="348"/>
      <c r="K19" s="349"/>
      <c r="L19" s="305"/>
      <c r="M19" s="306"/>
      <c r="N19" s="305"/>
      <c r="O19" s="306"/>
      <c r="P19" s="355"/>
      <c r="Q19" s="356"/>
      <c r="R19" s="100"/>
      <c r="S19" s="100"/>
      <c r="T19" s="100"/>
      <c r="U19" s="344"/>
    </row>
    <row r="20" spans="1:21" ht="15" customHeight="1" x14ac:dyDescent="0.3">
      <c r="A20" s="303" t="s">
        <v>124</v>
      </c>
      <c r="B20" s="304"/>
      <c r="C20" s="326"/>
      <c r="D20" s="326"/>
      <c r="E20" s="323">
        <f>C20+D20</f>
        <v>0</v>
      </c>
      <c r="F20" s="317"/>
      <c r="G20" s="318"/>
      <c r="H20" s="297"/>
      <c r="I20" s="298"/>
      <c r="J20" s="291">
        <f>F20+H20</f>
        <v>0</v>
      </c>
      <c r="K20" s="292"/>
      <c r="L20" s="285">
        <f>C20+F20</f>
        <v>0</v>
      </c>
      <c r="M20" s="286"/>
      <c r="N20" s="285">
        <f>D20+H20</f>
        <v>0</v>
      </c>
      <c r="O20" s="286"/>
      <c r="P20" s="285">
        <f>L20+N20</f>
        <v>0</v>
      </c>
      <c r="Q20" s="286"/>
      <c r="R20" s="100"/>
      <c r="S20" s="100"/>
      <c r="T20" s="100"/>
      <c r="U20" s="345"/>
    </row>
    <row r="21" spans="1:21" ht="15" customHeight="1" x14ac:dyDescent="0.3">
      <c r="A21" s="315"/>
      <c r="B21" s="316"/>
      <c r="C21" s="327"/>
      <c r="D21" s="327"/>
      <c r="E21" s="324"/>
      <c r="F21" s="319"/>
      <c r="G21" s="320"/>
      <c r="H21" s="299"/>
      <c r="I21" s="300"/>
      <c r="J21" s="293"/>
      <c r="K21" s="294"/>
      <c r="L21" s="287"/>
      <c r="M21" s="288"/>
      <c r="N21" s="287"/>
      <c r="O21" s="288"/>
      <c r="P21" s="287"/>
      <c r="Q21" s="288"/>
      <c r="R21" s="100"/>
      <c r="S21" s="100"/>
      <c r="T21" s="100"/>
      <c r="U21" s="345"/>
    </row>
    <row r="22" spans="1:21" ht="15" customHeight="1" x14ac:dyDescent="0.3">
      <c r="A22" s="305"/>
      <c r="B22" s="306"/>
      <c r="C22" s="328"/>
      <c r="D22" s="328"/>
      <c r="E22" s="325"/>
      <c r="F22" s="321"/>
      <c r="G22" s="322"/>
      <c r="H22" s="301"/>
      <c r="I22" s="302"/>
      <c r="J22" s="295"/>
      <c r="K22" s="296"/>
      <c r="L22" s="289"/>
      <c r="M22" s="290"/>
      <c r="N22" s="289"/>
      <c r="O22" s="290"/>
      <c r="P22" s="289"/>
      <c r="Q22" s="290"/>
      <c r="R22" s="100"/>
      <c r="S22" s="100"/>
      <c r="T22" s="100"/>
      <c r="U22" s="345"/>
    </row>
    <row r="23" spans="1:21" ht="15.6" customHeight="1" x14ac:dyDescent="0.3">
      <c r="A23" s="303" t="s">
        <v>125</v>
      </c>
      <c r="B23" s="304"/>
      <c r="C23" s="326"/>
      <c r="D23" s="326"/>
      <c r="E23" s="323">
        <f t="shared" ref="E23" si="0">C23+D23</f>
        <v>0</v>
      </c>
      <c r="F23" s="317"/>
      <c r="G23" s="318"/>
      <c r="H23" s="297"/>
      <c r="I23" s="298"/>
      <c r="J23" s="291">
        <f t="shared" ref="J23" si="1">F23+H23</f>
        <v>0</v>
      </c>
      <c r="K23" s="292"/>
      <c r="L23" s="285">
        <f t="shared" ref="L23" si="2">C23+F23</f>
        <v>0</v>
      </c>
      <c r="M23" s="286"/>
      <c r="N23" s="285">
        <f t="shared" ref="N23" si="3">D23+H23</f>
        <v>0</v>
      </c>
      <c r="O23" s="286"/>
      <c r="P23" s="285">
        <f t="shared" ref="P23" si="4">L23+N23</f>
        <v>0</v>
      </c>
      <c r="Q23" s="286"/>
      <c r="R23" s="100"/>
      <c r="S23" s="100"/>
      <c r="T23" s="100"/>
      <c r="U23" s="133"/>
    </row>
    <row r="24" spans="1:21" ht="15.6" x14ac:dyDescent="0.3">
      <c r="A24" s="315"/>
      <c r="B24" s="316"/>
      <c r="C24" s="327"/>
      <c r="D24" s="327"/>
      <c r="E24" s="324"/>
      <c r="F24" s="319"/>
      <c r="G24" s="320"/>
      <c r="H24" s="299"/>
      <c r="I24" s="300"/>
      <c r="J24" s="293"/>
      <c r="K24" s="294"/>
      <c r="L24" s="287"/>
      <c r="M24" s="288"/>
      <c r="N24" s="287"/>
      <c r="O24" s="288"/>
      <c r="P24" s="287"/>
      <c r="Q24" s="288"/>
      <c r="R24" s="100"/>
      <c r="S24" s="100"/>
      <c r="T24" s="100"/>
      <c r="U24" s="133"/>
    </row>
    <row r="25" spans="1:21" ht="15.6" x14ac:dyDescent="0.3">
      <c r="A25" s="305"/>
      <c r="B25" s="306"/>
      <c r="C25" s="328"/>
      <c r="D25" s="328"/>
      <c r="E25" s="325"/>
      <c r="F25" s="321"/>
      <c r="G25" s="322"/>
      <c r="H25" s="301"/>
      <c r="I25" s="302"/>
      <c r="J25" s="295"/>
      <c r="K25" s="296"/>
      <c r="L25" s="289"/>
      <c r="M25" s="290"/>
      <c r="N25" s="289"/>
      <c r="O25" s="290"/>
      <c r="P25" s="289"/>
      <c r="Q25" s="290"/>
      <c r="R25" s="100"/>
      <c r="S25" s="100"/>
      <c r="T25" s="100"/>
      <c r="U25" s="133"/>
    </row>
    <row r="26" spans="1:21" ht="15.6" customHeight="1" x14ac:dyDescent="0.3">
      <c r="A26" s="303" t="s">
        <v>126</v>
      </c>
      <c r="B26" s="304"/>
      <c r="C26" s="326"/>
      <c r="D26" s="326"/>
      <c r="E26" s="323">
        <f t="shared" ref="E26" si="5">C26+D26</f>
        <v>0</v>
      </c>
      <c r="F26" s="317"/>
      <c r="G26" s="318"/>
      <c r="H26" s="297"/>
      <c r="I26" s="298"/>
      <c r="J26" s="291">
        <f t="shared" ref="J26" si="6">F26+H26</f>
        <v>0</v>
      </c>
      <c r="K26" s="292"/>
      <c r="L26" s="285">
        <f t="shared" ref="L26" si="7">C26+F26</f>
        <v>0</v>
      </c>
      <c r="M26" s="286"/>
      <c r="N26" s="285">
        <f t="shared" ref="N26" si="8">D26+H26</f>
        <v>0</v>
      </c>
      <c r="O26" s="286"/>
      <c r="P26" s="285">
        <f t="shared" ref="P26" si="9">L26+N26</f>
        <v>0</v>
      </c>
      <c r="Q26" s="286"/>
      <c r="R26" s="124"/>
      <c r="S26" s="134"/>
      <c r="T26" s="134"/>
      <c r="U26" s="133"/>
    </row>
    <row r="27" spans="1:21" ht="15.6" x14ac:dyDescent="0.3">
      <c r="A27" s="315"/>
      <c r="B27" s="316"/>
      <c r="C27" s="327"/>
      <c r="D27" s="327"/>
      <c r="E27" s="324"/>
      <c r="F27" s="319"/>
      <c r="G27" s="320"/>
      <c r="H27" s="299"/>
      <c r="I27" s="300"/>
      <c r="J27" s="293"/>
      <c r="K27" s="294"/>
      <c r="L27" s="287"/>
      <c r="M27" s="288"/>
      <c r="N27" s="287"/>
      <c r="O27" s="288"/>
      <c r="P27" s="287"/>
      <c r="Q27" s="288"/>
      <c r="R27" s="124"/>
      <c r="S27" s="134"/>
      <c r="T27" s="134"/>
      <c r="U27" s="133"/>
    </row>
    <row r="28" spans="1:21" ht="15.6" x14ac:dyDescent="0.3">
      <c r="A28" s="305"/>
      <c r="B28" s="306"/>
      <c r="C28" s="328"/>
      <c r="D28" s="328"/>
      <c r="E28" s="325"/>
      <c r="F28" s="321"/>
      <c r="G28" s="322"/>
      <c r="H28" s="301"/>
      <c r="I28" s="302"/>
      <c r="J28" s="295"/>
      <c r="K28" s="296"/>
      <c r="L28" s="289"/>
      <c r="M28" s="290"/>
      <c r="N28" s="289"/>
      <c r="O28" s="290"/>
      <c r="P28" s="289"/>
      <c r="Q28" s="290"/>
      <c r="R28" s="124"/>
      <c r="S28" s="134"/>
      <c r="T28" s="134"/>
      <c r="U28" s="133"/>
    </row>
    <row r="29" spans="1:21" ht="15.6" x14ac:dyDescent="0.3">
      <c r="A29" s="124"/>
      <c r="B29" s="124"/>
      <c r="C29" s="124"/>
      <c r="D29" s="124"/>
      <c r="E29" s="120"/>
      <c r="F29" s="134"/>
      <c r="G29" s="134"/>
      <c r="H29" s="120"/>
      <c r="I29" s="120"/>
      <c r="J29" s="134"/>
      <c r="K29" s="134"/>
      <c r="L29" s="120"/>
      <c r="M29" s="120"/>
      <c r="N29" s="120"/>
      <c r="O29" s="120"/>
      <c r="P29" s="120"/>
      <c r="Q29" s="120"/>
      <c r="R29" s="124"/>
      <c r="S29" s="134"/>
      <c r="T29" s="134"/>
      <c r="U29" s="133"/>
    </row>
    <row r="30" spans="1:21" ht="16.8" x14ac:dyDescent="0.3">
      <c r="A30" s="102"/>
      <c r="B30" s="102"/>
      <c r="C30" s="102"/>
      <c r="D30" s="102"/>
      <c r="E30" s="100"/>
      <c r="F30" s="100"/>
      <c r="G30" s="100"/>
      <c r="H30" s="104" t="s">
        <v>127</v>
      </c>
      <c r="I30" s="105"/>
      <c r="J30" s="105"/>
      <c r="K30" s="105"/>
      <c r="L30" s="105"/>
      <c r="M30" s="337"/>
      <c r="N30" s="337"/>
      <c r="O30" s="337"/>
      <c r="P30" s="337"/>
      <c r="Q30" s="337"/>
      <c r="R30" s="337"/>
      <c r="S30" s="337"/>
      <c r="T30" s="100"/>
      <c r="U30" s="100"/>
    </row>
    <row r="31" spans="1:21" ht="16.8" x14ac:dyDescent="0.3">
      <c r="A31" s="119"/>
      <c r="B31" s="119"/>
      <c r="C31" s="119"/>
      <c r="D31" s="119"/>
      <c r="E31" s="125"/>
      <c r="F31" s="125"/>
      <c r="G31" s="126"/>
      <c r="H31" s="104" t="s">
        <v>59</v>
      </c>
      <c r="I31" s="339"/>
      <c r="J31" s="339"/>
      <c r="K31" s="339"/>
      <c r="L31" s="339"/>
      <c r="M31" s="100"/>
      <c r="N31" s="118" t="s">
        <v>60</v>
      </c>
      <c r="O31" s="336"/>
      <c r="P31" s="336"/>
      <c r="Q31" s="336"/>
    </row>
    <row r="32" spans="1:21" ht="16.8" x14ac:dyDescent="0.3">
      <c r="A32" s="127"/>
      <c r="B32" s="121"/>
      <c r="C32" s="121"/>
      <c r="D32" s="121"/>
      <c r="E32" s="126"/>
      <c r="F32" s="126"/>
      <c r="G32" s="128"/>
      <c r="H32" s="104" t="s">
        <v>61</v>
      </c>
      <c r="I32" s="338"/>
      <c r="J32" s="338"/>
      <c r="K32" s="338"/>
      <c r="L32" s="338"/>
      <c r="M32" s="338"/>
      <c r="N32" s="100"/>
      <c r="O32" s="100"/>
      <c r="P32" s="100"/>
      <c r="Q32" s="100"/>
    </row>
    <row r="33" spans="1:17" ht="15.6" x14ac:dyDescent="0.3">
      <c r="A33" s="127"/>
      <c r="B33" s="121"/>
      <c r="C33" s="121"/>
      <c r="D33" s="121"/>
      <c r="E33" s="126"/>
      <c r="F33" s="126"/>
      <c r="G33" s="128"/>
      <c r="H33" s="128"/>
      <c r="I33" s="100"/>
      <c r="J33" s="100"/>
      <c r="K33" s="100"/>
      <c r="L33" s="100"/>
      <c r="M33" s="100"/>
      <c r="N33" s="100"/>
      <c r="O33" s="100"/>
      <c r="P33" s="100"/>
      <c r="Q33" s="100"/>
    </row>
  </sheetData>
  <mergeCells count="72">
    <mergeCell ref="O13:P13"/>
    <mergeCell ref="O14:P14"/>
    <mergeCell ref="C8:G8"/>
    <mergeCell ref="C9:G9"/>
    <mergeCell ref="A13:A14"/>
    <mergeCell ref="H13:K14"/>
    <mergeCell ref="L13:N13"/>
    <mergeCell ref="N8:S8"/>
    <mergeCell ref="M9:S9"/>
    <mergeCell ref="M10:N10"/>
    <mergeCell ref="K11:L11"/>
    <mergeCell ref="Q11:S11"/>
    <mergeCell ref="L26:M28"/>
    <mergeCell ref="L23:M25"/>
    <mergeCell ref="N26:O28"/>
    <mergeCell ref="N23:O25"/>
    <mergeCell ref="P26:Q28"/>
    <mergeCell ref="P23:Q25"/>
    <mergeCell ref="O31:Q31"/>
    <mergeCell ref="M30:S30"/>
    <mergeCell ref="I32:M32"/>
    <mergeCell ref="I31:L31"/>
    <mergeCell ref="A1:O1"/>
    <mergeCell ref="P1:S1"/>
    <mergeCell ref="A5:U5"/>
    <mergeCell ref="A2:U2"/>
    <mergeCell ref="A3:R3"/>
    <mergeCell ref="N7:O7"/>
    <mergeCell ref="C7:G7"/>
    <mergeCell ref="U17:U19"/>
    <mergeCell ref="U20:U22"/>
    <mergeCell ref="J23:K25"/>
    <mergeCell ref="F18:G19"/>
    <mergeCell ref="H18:I19"/>
    <mergeCell ref="F20:G22"/>
    <mergeCell ref="E20:E22"/>
    <mergeCell ref="D20:D22"/>
    <mergeCell ref="C20:C22"/>
    <mergeCell ref="A20:B22"/>
    <mergeCell ref="D14:E14"/>
    <mergeCell ref="B14:C14"/>
    <mergeCell ref="D13:E13"/>
    <mergeCell ref="B13:C13"/>
    <mergeCell ref="E26:E28"/>
    <mergeCell ref="A26:B28"/>
    <mergeCell ref="F26:G28"/>
    <mergeCell ref="D26:D28"/>
    <mergeCell ref="C26:C28"/>
    <mergeCell ref="J26:K28"/>
    <mergeCell ref="H26:I28"/>
    <mergeCell ref="A23:B25"/>
    <mergeCell ref="H23:I25"/>
    <mergeCell ref="F23:G25"/>
    <mergeCell ref="E23:E25"/>
    <mergeCell ref="D23:D25"/>
    <mergeCell ref="C23:C25"/>
    <mergeCell ref="N18:O19"/>
    <mergeCell ref="E18:E19"/>
    <mergeCell ref="D18:D19"/>
    <mergeCell ref="C18:C19"/>
    <mergeCell ref="A17:B19"/>
    <mergeCell ref="C17:E17"/>
    <mergeCell ref="J18:K19"/>
    <mergeCell ref="F17:K17"/>
    <mergeCell ref="L18:M19"/>
    <mergeCell ref="L17:Q17"/>
    <mergeCell ref="P18:Q19"/>
    <mergeCell ref="P20:Q22"/>
    <mergeCell ref="N20:O22"/>
    <mergeCell ref="L20:M22"/>
    <mergeCell ref="J20:K22"/>
    <mergeCell ref="H20:I22"/>
  </mergeCells>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DR-TB 10A</vt:lpstr>
      <vt:lpstr>DR-TB 10B</vt:lpstr>
      <vt:lpstr>COVID19 Reporting Form</vt:lpstr>
      <vt:lpstr>'DR-TB 10A'!Print_Area</vt:lpstr>
      <vt:lpstr>'DR-TB 10B'!Print_Area</vt:lpstr>
      <vt:lpstr>'DR-TB 10B'!Print_Titles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2020-01-20T04:26:59Z</cp:lastPrinted>
  <dcterms:created xsi:type="dcterms:W3CDTF">2014-06-08T20:03:38Z</dcterms:created>
  <dcterms:modified xsi:type="dcterms:W3CDTF">2022-02-16T15:57:37Z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b0e12b99-6c17-4fd0-bbf1-5fcd9f9f815a</vt:lpwstr>
  </property>
</Properties>
</file>