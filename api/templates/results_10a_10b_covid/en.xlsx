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2\api\templates\results_10a_10b_covid\"/>
    </mc:Choice>
  </mc:AlternateContent>
  <bookViews>
    <workbookView xWindow="0" yWindow="0" windowWidth="23040" windowHeight="10452" activeTab="2"/>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10B'!$A$1:$X$17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L6" i="7" l="1"/>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U30" i="7"/>
  <c r="E17" i="7" s="1"/>
  <c r="D30" i="7"/>
  <c r="CU5" i="5"/>
  <c r="S27" i="7"/>
  <c r="U27" i="7" s="1"/>
  <c r="D27" i="7"/>
  <c r="P20" i="7"/>
  <c r="F20" i="7"/>
  <c r="EO4" i="5"/>
  <c r="P19" i="7"/>
  <c r="F19" i="7"/>
  <c r="EN4" i="5" s="1"/>
  <c r="DS5" i="5"/>
  <c r="D17" i="7"/>
  <c r="EB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F20" i="3"/>
  <c r="BA4" i="5" s="1"/>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F18" i="7"/>
  <c r="DT4" i="5"/>
  <c r="H13" i="7"/>
  <c r="F17" i="7"/>
  <c r="EL4" i="5" s="1"/>
  <c r="EG4" i="5"/>
  <c r="AT4" i="5"/>
  <c r="AK4" i="5"/>
  <c r="D18" i="3"/>
  <c r="AO4" i="5" s="1"/>
  <c r="CU4" i="5"/>
  <c r="DT6" i="5"/>
  <c r="D18" i="7"/>
  <c r="EC4" i="5" s="1"/>
  <c r="AF6" i="5"/>
  <c r="D17" i="3"/>
  <c r="AN4" i="5" s="1"/>
  <c r="E17" i="3" l="1"/>
  <c r="H14" i="3"/>
  <c r="AM4" i="5" s="1"/>
  <c r="E21" i="3"/>
  <c r="E21" i="7"/>
  <c r="DZ4" i="5"/>
  <c r="EM4" i="5"/>
  <c r="G42" i="7"/>
  <c r="AS4" i="5"/>
  <c r="F17" i="3"/>
  <c r="AX4" i="5" s="1"/>
  <c r="F18" i="3"/>
  <c r="H14" i="7"/>
  <c r="EA4" i="5" s="1"/>
  <c r="F21" i="3" l="1"/>
  <c r="BB4" i="5" s="1"/>
  <c r="AW4" i="5"/>
  <c r="F9" i="4"/>
  <c r="AY4" i="5"/>
  <c r="G42" i="3"/>
  <c r="CQ4" i="5" s="1"/>
  <c r="EK4" i="5"/>
  <c r="F21" i="7"/>
  <c r="EP4" i="5" s="1"/>
</calcChain>
</file>

<file path=xl/sharedStrings.xml><?xml version="1.0" encoding="utf-8"?>
<sst xmlns="http://schemas.openxmlformats.org/spreadsheetml/2006/main" count="3977" uniqueCount="867">
  <si>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</si>
  <si>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</si>
  <si>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</si>
  <si>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</si>
  <si>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</si>
  <si>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</si>
  <si>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</si>
  <si>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</si>
  <si>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</si>
  <si>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</si>
  <si>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</si>
  <si>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</si>
  <si>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</si>
  <si>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</si>
  <si>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</si>
  <si>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</si>
  <si>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</si>
  <si>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</si>
  <si>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</si>
  <si>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</si>
  <si>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</si>
  <si>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</si>
  <si>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</si>
  <si>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</si>
  <si>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</si>
  <si>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</si>
  <si>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</si>
  <si>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</si>
  <si>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</si>
  <si>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</si>
  <si>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</si>
  <si>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</si>
  <si>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</si>
  <si>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</si>
  <si>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</si>
  <si>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</si>
  <si>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</si>
  <si>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</si>
  <si>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</si>
  <si>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</si>
  <si>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</si>
  <si>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</si>
  <si>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</si>
  <si>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</si>
  <si>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</si>
  <si>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</si>
  <si>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</si>
  <si>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</si>
  <si>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</si>
  <si>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</si>
  <si>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</si>
  <si>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</si>
  <si>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</si>
  <si>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</si>
  <si>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</si>
  <si>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</si>
  <si>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</si>
  <si>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</si>
  <si>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</si>
  <si>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</si>
  <si>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</si>
  <si>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</si>
  <si>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</si>
  <si>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</si>
  <si>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</si>
  <si>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</si>
  <si>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</si>
  <si>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</si>
  <si>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</si>
  <si>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</si>
  <si>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</si>
  <si>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</si>
  <si>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</si>
  <si>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</si>
  <si>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</si>
  <si>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</si>
  <si>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</si>
  <si>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</si>
  <si>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</si>
  <si>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</si>
  <si>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</si>
  <si>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</si>
  <si>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</si>
  <si>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</si>
  <si>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</si>
  <si>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</si>
  <si>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</si>
  <si>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</si>
  <si>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</si>
  <si>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</si>
  <si>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</si>
  <si>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</si>
  <si>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</si>
  <si>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</si>
  <si>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</si>
  <si>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</si>
  <si>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</si>
  <si>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</si>
  <si>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</si>
  <si>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</si>
  <si>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</si>
  <si>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</si>
  <si>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</si>
  <si>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</si>
  <si>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</si>
  <si>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</si>
  <si>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</si>
  <si>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</si>
  <si>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</si>
  <si>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</si>
  <si>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</si>
  <si>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</si>
  <si>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</si>
  <si>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</si>
  <si>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</si>
  <si>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</si>
  <si>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</si>
  <si>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</si>
  <si>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</si>
  <si>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</si>
  <si>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</si>
  <si>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</si>
  <si>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</si>
  <si>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</si>
  <si>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</si>
  <si>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</si>
  <si>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</si>
  <si>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</si>
  <si>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</si>
  <si>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</si>
  <si>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</si>
  <si>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</si>
  <si>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</si>
  <si>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</si>
  <si>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</si>
  <si>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</si>
  <si>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</si>
  <si>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</si>
  <si>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</si>
  <si>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</si>
  <si>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</si>
  <si>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</si>
  <si>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</si>
  <si>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</si>
  <si>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</si>
  <si>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</si>
  <si>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</si>
  <si>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</si>
  <si>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</si>
  <si>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</si>
  <si>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</si>
  <si>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</si>
  <si>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</si>
  <si>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</si>
  <si>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</si>
  <si>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</si>
  <si>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</si>
  <si>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</si>
  <si>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</si>
  <si>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</si>
  <si>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</si>
  <si>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</si>
  <si>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</si>
  <si>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</si>
  <si>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</si>
  <si>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</si>
  <si>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</si>
  <si>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</si>
  <si>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</si>
  <si>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</si>
  <si>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</si>
  <si>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</si>
  <si>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</si>
  <si>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</si>
  <si>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</si>
  <si>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</si>
  <si>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</si>
  <si>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</si>
  <si>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</si>
  <si>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</si>
  <si>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</si>
  <si>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</si>
  <si>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</si>
  <si>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</si>
  <si>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</si>
  <si>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</si>
  <si>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</si>
  <si>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</si>
  <si>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</si>
  <si>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</si>
  <si>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</si>
  <si>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</si>
  <si>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</si>
  <si>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</si>
  <si>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</si>
  <si>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</si>
  <si>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</si>
  <si>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</si>
  <si>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</si>
  <si>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</si>
  <si>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</si>
  <si>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</si>
  <si>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</si>
  <si>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</si>
  <si>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</si>
  <si>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</si>
  <si>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</si>
  <si>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</si>
  <si>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</si>
  <si>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</si>
  <si>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</si>
  <si>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</si>
  <si>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</si>
  <si>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</si>
  <si>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</si>
  <si>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</si>
  <si>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</si>
  <si>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</si>
  <si>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</si>
  <si>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</si>
  <si>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</si>
  <si>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</si>
  <si>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</si>
  <si>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</si>
  <si>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</si>
  <si>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</si>
  <si>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</si>
  <si>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</si>
  <si>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</si>
  <si>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</si>
  <si>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</si>
  <si>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</si>
  <si>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</si>
  <si>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</si>
  <si>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</si>
  <si>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</si>
  <si>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</si>
  <si>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</si>
  <si>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</si>
  <si>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</si>
  <si>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</si>
  <si>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</si>
  <si>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</si>
  <si>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</si>
  <si>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</si>
  <si>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</si>
  <si>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</si>
  <si>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</si>
  <si>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</si>
  <si>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</si>
  <si>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</si>
  <si>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</si>
  <si>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</si>
  <si>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</si>
  <si>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</si>
  <si>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</si>
  <si>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</si>
  <si>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</si>
  <si>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</si>
  <si>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</si>
  <si>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</si>
  <si>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</si>
  <si>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</si>
  <si>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</si>
  <si>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</si>
  <si>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</si>
  <si>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</si>
  <si>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</si>
  <si>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</si>
  <si>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</si>
  <si>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</si>
  <si>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</si>
  <si>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</si>
  <si>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</si>
  <si>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</si>
  <si>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</si>
  <si>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</si>
  <si>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</si>
  <si>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</si>
  <si>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</si>
  <si>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</si>
  <si>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</si>
  <si>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</si>
  <si>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</si>
  <si>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</si>
  <si>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</si>
  <si>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</si>
  <si>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</si>
  <si>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</si>
  <si>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</si>
  <si>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</si>
  <si>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</si>
  <si>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</si>
  <si>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</si>
  <si>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</si>
  <si>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</si>
  <si>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</si>
  <si>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</si>
  <si>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</si>
  <si>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</si>
  <si>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</si>
  <si>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</si>
  <si>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</si>
  <si>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</si>
  <si>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</si>
  <si>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</si>
  <si>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</si>
  <si>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</si>
  <si>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</si>
  <si>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</si>
  <si>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</si>
  <si>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</si>
  <si>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</si>
  <si>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</si>
  <si>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</si>
  <si>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</si>
  <si>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</si>
  <si>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</si>
  <si>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</si>
  <si>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</si>
  <si>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</si>
  <si>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</si>
  <si>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</si>
  <si>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</si>
  <si>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</si>
  <si>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</si>
  <si>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</si>
  <si>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</si>
  <si>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</si>
  <si>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</si>
  <si>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</si>
  <si>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</si>
  <si>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</si>
  <si>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</si>
  <si>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</si>
  <si>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</si>
  <si>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</si>
  <si>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</si>
  <si>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</si>
  <si>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</si>
  <si>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</si>
  <si>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</si>
  <si>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</si>
  <si>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</si>
  <si>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</si>
  <si>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</si>
  <si>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</si>
  <si>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</si>
  <si>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</si>
  <si>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</si>
  <si>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</si>
  <si>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</si>
  <si>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</si>
  <si>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</si>
  <si>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</si>
  <si>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</si>
  <si>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</si>
  <si>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</si>
  <si>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</si>
  <si>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</si>
  <si>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</si>
  <si>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</si>
  <si>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</si>
  <si>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</si>
  <si>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</si>
  <si>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</si>
  <si>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</si>
  <si>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</si>
  <si>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</si>
  <si>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</si>
  <si>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</si>
  <si>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</si>
  <si>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</si>
  <si>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</si>
  <si>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</si>
  <si>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</si>
  <si>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</si>
  <si>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</si>
  <si>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</si>
  <si>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</si>
  <si>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</si>
  <si>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</si>
  <si>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</si>
  <si>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</si>
  <si>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</si>
  <si>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</si>
  <si>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</si>
  <si>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</si>
  <si>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</si>
  <si>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</si>
  <si>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</si>
  <si>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</si>
  <si>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</si>
  <si>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</si>
  <si>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</si>
  <si>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</si>
  <si>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</si>
  <si>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</si>
  <si>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</si>
  <si>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</si>
  <si>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</si>
  <si>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</si>
  <si>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</si>
  <si>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</si>
  <si>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</si>
  <si>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</si>
  <si>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</si>
  <si>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</si>
  <si>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</si>
  <si>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</si>
  <si>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</si>
  <si>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</si>
  <si>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</si>
  <si>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</si>
  <si>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</si>
  <si>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</si>
  <si>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</si>
  <si>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</si>
  <si>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</si>
  <si>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</si>
  <si>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</si>
  <si>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</si>
  <si>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</si>
  <si>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</si>
  <si>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</si>
  <si>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</si>
  <si>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</si>
  <si>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</si>
  <si>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</si>
  <si>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</si>
  <si>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</si>
  <si>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</si>
  <si>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</si>
  <si>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</si>
  <si>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</si>
  <si>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</si>
  <si>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</si>
  <si>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</si>
  <si>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</si>
  <si>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</si>
  <si>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</si>
  <si>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</si>
  <si>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</si>
  <si>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</si>
  <si>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</si>
  <si>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</si>
  <si>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</si>
  <si>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</si>
  <si>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</si>
  <si>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</si>
  <si>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</si>
  <si>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</si>
  <si>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</si>
  <si>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</si>
  <si>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</si>
  <si>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</si>
  <si>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</si>
  <si>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</si>
  <si>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</si>
  <si>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</si>
  <si>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</si>
  <si>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</si>
  <si>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</si>
  <si>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</si>
  <si>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</si>
  <si>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</si>
  <si>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</si>
  <si>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</si>
  <si>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</si>
  <si>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</si>
  <si>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</si>
  <si>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</si>
  <si>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</si>
  <si>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</si>
  <si>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</si>
  <si>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</si>
  <si>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</si>
  <si>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</si>
  <si>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</si>
  <si>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</si>
  <si>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</si>
  <si>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</si>
  <si>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</si>
  <si>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</si>
  <si>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</si>
  <si>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</si>
  <si>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</si>
  <si>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</si>
  <si>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</si>
  <si>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</si>
  <si>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</si>
  <si>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</si>
  <si>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</si>
  <si>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</si>
  <si>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</si>
  <si>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</si>
  <si>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</si>
  <si>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</si>
  <si>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</si>
  <si>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</si>
  <si>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</si>
  <si>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</si>
  <si>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</si>
  <si>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</si>
  <si>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</si>
  <si>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</si>
  <si>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</si>
  <si>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</si>
  <si>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</si>
  <si>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</si>
  <si>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</si>
  <si>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</si>
  <si>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</si>
  <si>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</si>
  <si>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</si>
  <si>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</si>
  <si>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</si>
  <si>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</si>
  <si>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</si>
  <si>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</si>
  <si>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</si>
  <si>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</si>
  <si>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</si>
  <si>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</si>
  <si>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</si>
  <si>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</si>
  <si>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</si>
  <si>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</si>
  <si>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</si>
  <si>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</si>
  <si>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</si>
  <si>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</si>
  <si>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</si>
  <si>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</si>
  <si>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</si>
  <si>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</si>
  <si>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</si>
  <si>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</si>
  <si>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</si>
  <si>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</si>
  <si>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</si>
  <si>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</si>
  <si>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</si>
  <si>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</si>
  <si>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</si>
  <si>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</si>
  <si>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</si>
  <si>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</si>
  <si>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</si>
  <si>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</si>
  <si>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</si>
  <si>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</si>
  <si>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</si>
  <si>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</si>
  <si>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</si>
  <si>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</si>
  <si>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</si>
  <si>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</si>
  <si>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</si>
  <si>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</si>
  <si>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</si>
  <si>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</si>
  <si>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</si>
  <si>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</si>
  <si>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</si>
  <si>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</si>
  <si>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</si>
  <si>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</si>
  <si>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</si>
  <si>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</si>
  <si>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</si>
  <si>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</si>
  <si>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</si>
  <si>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</si>
  <si>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</si>
  <si>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</si>
  <si>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</si>
  <si>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</si>
  <si>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</si>
  <si>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</si>
  <si>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</si>
  <si>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</si>
  <si>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</si>
  <si>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</si>
  <si>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</si>
  <si>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</si>
  <si>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</si>
  <si>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</si>
  <si>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</si>
  <si>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</si>
  <si>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</si>
  <si>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</si>
  <si>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</si>
  <si>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</si>
  <si>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</si>
  <si>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</si>
  <si>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</si>
  <si>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</si>
  <si>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</si>
  <si>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</si>
  <si>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</si>
  <si>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</si>
  <si>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</si>
  <si>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</si>
  <si>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</si>
  <si>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</si>
  <si>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</si>
  <si>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</si>
  <si>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</si>
  <si>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</si>
  <si>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</si>
  <si>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</si>
  <si>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</si>
  <si>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</si>
  <si>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</si>
  <si>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</si>
  <si>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</si>
  <si>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</si>
  <si>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</si>
  <si>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</si>
  <si>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</si>
  <si>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</si>
  <si>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</si>
  <si>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</si>
  <si>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</si>
  <si>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</si>
  <si>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</si>
  <si>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</si>
  <si>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</si>
  <si>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</si>
  <si>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</si>
  <si>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</si>
  <si>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</si>
  <si>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</si>
  <si>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</si>
  <si>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</si>
  <si>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</si>
  <si>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</si>
  <si>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</si>
  <si>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</si>
  <si>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</si>
  <si>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</si>
  <si>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</si>
  <si>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</si>
  <si>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</si>
  <si>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</si>
  <si>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</si>
  <si>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</si>
  <si>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</si>
  <si>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</si>
  <si>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</si>
  <si>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</si>
  <si>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</si>
  <si>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</si>
  <si>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</si>
  <si>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</si>
  <si>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</si>
  <si>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</si>
  <si>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</si>
  <si>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</si>
  <si>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</si>
  <si>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</si>
  <si>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</si>
  <si>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</si>
  <si>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</si>
  <si>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</si>
  <si>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</si>
  <si>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</si>
  <si>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</si>
  <si>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</si>
  <si>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</si>
  <si>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</si>
  <si>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</si>
  <si>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</si>
  <si>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</si>
  <si>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</si>
  <si>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</si>
  <si>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</si>
  <si>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</si>
  <si>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</si>
  <si>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</si>
  <si>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</si>
  <si>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</si>
  <si>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</si>
  <si>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</si>
  <si>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</si>
  <si>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</si>
  <si>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</si>
  <si>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</si>
  <si>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</si>
  <si>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</si>
  <si>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</si>
  <si>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</si>
  <si>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</si>
  <si>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</si>
  <si>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</si>
  <si>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</si>
  <si>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</si>
  <si>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</si>
  <si>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</si>
  <si>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</si>
  <si>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</si>
  <si>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</si>
  <si>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</si>
  <si>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</si>
  <si>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</si>
  <si>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</si>
  <si>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</si>
  <si>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</si>
  <si>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</si>
  <si>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</si>
  <si>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</si>
  <si>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</si>
  <si>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</si>
  <si>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</si>
  <si>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</si>
  <si>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</si>
  <si>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</si>
  <si>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</si>
  <si>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</si>
  <si>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</si>
  <si>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</si>
  <si>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</si>
  <si>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</si>
  <si>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</si>
  <si>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</si>
  <si>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</si>
  <si>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</si>
  <si>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</si>
  <si>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</si>
  <si>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</si>
  <si>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</si>
  <si>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</si>
  <si>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</si>
  <si>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</si>
  <si>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</si>
  <si>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</si>
  <si>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</si>
  <si>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</si>
  <si>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</si>
  <si>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</si>
  <si>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</si>
  <si>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</si>
  <si>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</si>
  <si>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</si>
  <si>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</si>
  <si>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</si>
  <si>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</si>
  <si>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</si>
  <si>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</si>
  <si>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</si>
  <si>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</si>
  <si>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</si>
  <si>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</si>
  <si>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</si>
  <si>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</si>
  <si>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</si>
  <si>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</si>
  <si>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</si>
  <si>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</si>
  <si>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</si>
  <si>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</si>
  <si>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</si>
  <si>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</si>
  <si>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</si>
  <si>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</si>
  <si>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</si>
  <si>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</si>
  <si>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</si>
  <si>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</si>
  <si>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</si>
  <si>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</si>
  <si>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</si>
  <si>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</si>
  <si>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</si>
  <si>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</si>
  <si>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</si>
  <si>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</si>
  <si>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</si>
  <si>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</si>
  <si>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</si>
  <si>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</si>
  <si>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</si>
  <si>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</si>
  <si>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</si>
  <si>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</si>
  <si>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</si>
  <si>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</si>
  <si>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</si>
  <si>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</si>
  <si>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</si>
  <si>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</si>
  <si>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</si>
  <si>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</si>
  <si>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</si>
  <si>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</si>
  <si>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</si>
  <si>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</si>
  <si>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</si>
  <si>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</si>
  <si>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</si>
  <si>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</si>
  <si>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</si>
  <si>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</si>
  <si>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</si>
  <si>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</si>
  <si>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</si>
  <si>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</si>
  <si>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</si>
  <si>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</si>
  <si>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</si>
  <si>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</si>
  <si>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</si>
  <si>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</si>
  <si>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</si>
  <si>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</si>
  <si>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</si>
  <si>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</si>
  <si>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</si>
  <si>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</si>
  <si>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</si>
  <si>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</si>
  <si>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Tested by XDR Cartridge</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</si>
  <si>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</si>
  <si>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</si>
  <si>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</si>
  <si>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</si>
  <si>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</si>
  <si>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</si>
  <si>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</si>
  <si>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</si>
  <si>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</si>
  <si>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</si>
  <si>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</si>
  <si>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</si>
  <si>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</si>
  <si>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Result of Xpert/Truenat MTB/RIF</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</si>
  <si>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</si>
  <si>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</si>
  <si>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</si>
  <si>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</si>
  <si>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</si>
  <si>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</si>
  <si>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</si>
  <si>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</si>
  <si>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</si>
  <si>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</si>
  <si>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</si>
  <si>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</si>
  <si>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</si>
  <si>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</si>
  <si>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</si>
  <si>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</si>
  <si>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</si>
  <si>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</si>
  <si>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</si>
  <si>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</si>
  <si>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</si>
  <si>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</si>
  <si>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</si>
  <si>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</si>
  <si>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</si>
  <si>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</si>
  <si>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</si>
  <si>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</si>
  <si>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</si>
  <si>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&lt;Table&gt;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</si>
</sst>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49"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408">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8" fillId="5" borderId="18" xfId="0" applyFont="1" applyFill="1" applyBorder="1" applyAlignment="1" applyProtection="1">
      <alignment horizontal="center" vertical="center"/>
      <protection locked="0"/>
    </xf>
    <xf numFmtId="0" fontId="19" fillId="5" borderId="18" xfId="0" applyFont="1" applyFill="1" applyBorder="1" applyAlignment="1" applyProtection="1">
      <alignment horizontal="center" vertical="center"/>
      <protection locked="0"/>
    </xf>
    <xf numFmtId="0" fontId="17" fillId="5" borderId="11" xfId="0" applyFont="1" applyFill="1" applyBorder="1" applyAlignment="1">
      <alignment horizontal="center" vertical="center"/>
    </xf>
    <xf numFmtId="0" fontId="44" fillId="5" borderId="9" xfId="0" applyFont="1" applyFill="1" applyBorder="1" applyAlignment="1" applyProtection="1">
      <alignment horizontal="center" vertical="center" shrinkToFit="1"/>
      <protection hidden="1"/>
    </xf>
    <xf numFmtId="0" fontId="44" fillId="5" borderId="9" xfId="0" applyFont="1" applyFill="1" applyBorder="1" applyProtection="1">
      <protection hidden="1"/>
    </xf>
    <xf numFmtId="0" fontId="44" fillId="5" borderId="9" xfId="0" applyFont="1" applyFill="1" applyBorder="1" applyProtection="1">
      <protection locked="0"/>
    </xf>
    <xf numFmtId="0" fontId="44" fillId="5" borderId="9" xfId="0" applyFont="1" applyFill="1" applyBorder="1" applyAlignment="1">
      <alignment horizontal="center" vertical="center"/>
    </xf>
    <xf numFmtId="0" fontId="22" fillId="5" borderId="9" xfId="2" applyFont="1" applyFill="1" applyBorder="1" applyAlignment="1" applyProtection="1">
      <alignment horizontal="center" vertical="center" wrapText="1"/>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8" fillId="0" borderId="21"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8" fillId="10" borderId="9" xfId="0" applyFont="1" applyFill="1" applyBorder="1" applyAlignment="1" applyProtection="1">
      <alignment horizontal="left"/>
      <protection hidden="1"/>
    </xf>
    <xf numFmtId="0" fontId="18" fillId="11" borderId="9" xfId="0" applyFont="1" applyFill="1" applyBorder="1" applyAlignment="1" applyProtection="1">
      <alignment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5" fillId="5" borderId="9" xfId="0" applyFont="1" applyFill="1" applyBorder="1" applyAlignment="1" applyProtection="1">
      <alignment horizontal="left" vertical="center"/>
      <protection hidden="1"/>
    </xf>
    <xf numFmtId="0" fontId="13" fillId="0" borderId="0" xfId="0" applyFont="1" applyAlignment="1" applyProtection="1">
      <alignment horizontal="center" vertical="center" wrapText="1"/>
      <protection hidden="1"/>
    </xf>
    <xf numFmtId="0" fontId="8" fillId="0" borderId="58" xfId="0" applyFont="1" applyBorder="1" applyAlignment="1" applyProtection="1">
      <alignment horizontal="left" vertical="center" shrinkToFit="1"/>
      <protection locked="0"/>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1" fillId="0" borderId="0" xfId="0" applyFont="1" applyAlignment="1" applyProtection="1">
      <alignment horizontal="center" vertical="center"/>
      <protection hidden="1"/>
    </xf>
    <xf numFmtId="0" fontId="18" fillId="0" borderId="12" xfId="0" applyFont="1" applyBorder="1" applyAlignment="1" applyProtection="1">
      <alignment horizontal="center" vertical="center" wrapText="1"/>
      <protection locked="0"/>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9" xfId="0" applyFont="1" applyBorder="1" applyAlignment="1" applyProtection="1">
      <alignment horizontal="center" vertical="center"/>
      <protection hidden="1"/>
    </xf>
    <xf numFmtId="0" fontId="8" fillId="0" borderId="18"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19" fillId="0" borderId="24"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5" fillId="0" borderId="9" xfId="0" applyFont="1" applyBorder="1" applyAlignment="1" applyProtection="1">
      <alignment horizontal="left" vertical="center"/>
      <protection hidden="1"/>
    </xf>
    <xf numFmtId="0" fontId="14" fillId="0" borderId="10" xfId="0" applyFont="1" applyBorder="1" applyAlignment="1" applyProtection="1">
      <alignment horizontal="left"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4" fillId="0" borderId="23" xfId="0" applyFont="1" applyBorder="1" applyAlignment="1" applyProtection="1">
      <alignment horizontal="left" vertical="center" wrapText="1"/>
      <protection hidden="1"/>
    </xf>
    <xf numFmtId="0" fontId="11" fillId="5" borderId="9" xfId="0" applyFont="1" applyFill="1" applyBorder="1" applyAlignment="1" applyProtection="1">
      <alignment horizontal="center" vertical="center"/>
      <protection hidden="1"/>
    </xf>
    <xf numFmtId="0" fontId="11" fillId="5" borderId="9" xfId="0" applyFont="1" applyFill="1" applyBorder="1" applyAlignment="1" applyProtection="1">
      <alignment horizontal="center" vertical="center"/>
      <protection locked="0"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11" xfId="0" applyFont="1" applyBorder="1" applyAlignment="1" applyProtection="1">
      <alignment horizontal="center" vertical="center"/>
      <protection hidden="1"/>
    </xf>
    <xf numFmtId="0" fontId="19" fillId="5" borderId="9" xfId="0" applyFont="1" applyFill="1" applyBorder="1" applyAlignment="1" applyProtection="1">
      <alignment horizontal="center" vertical="center" wrapText="1"/>
      <protection hidden="1"/>
    </xf>
    <xf numFmtId="0" fontId="19" fillId="5" borderId="18" xfId="0" applyFont="1" applyFill="1" applyBorder="1" applyAlignment="1" applyProtection="1">
      <alignment horizontal="center" vertical="center" wrapText="1"/>
      <protection hidden="1"/>
    </xf>
    <xf numFmtId="0" fontId="19" fillId="5" borderId="47" xfId="0" applyFont="1" applyFill="1" applyBorder="1" applyAlignment="1" applyProtection="1">
      <alignment horizontal="center" vertical="center" wrapText="1"/>
      <protection hidden="1"/>
    </xf>
    <xf numFmtId="0" fontId="19" fillId="5" borderId="24" xfId="0" applyFont="1" applyFill="1" applyBorder="1" applyAlignment="1" applyProtection="1">
      <alignment horizontal="center" vertical="center" wrapText="1"/>
      <protection hidden="1"/>
    </xf>
    <xf numFmtId="0" fontId="15" fillId="5" borderId="9" xfId="0" applyFont="1" applyFill="1" applyBorder="1" applyAlignment="1" applyProtection="1">
      <alignment horizontal="center" vertical="center" wrapText="1"/>
      <protection hidden="1"/>
    </xf>
    <xf numFmtId="0" fontId="44" fillId="5" borderId="9" xfId="0" applyFont="1" applyFill="1" applyBorder="1" applyAlignment="1" applyProtection="1">
      <alignment horizontal="center" vertical="center" wrapText="1"/>
      <protection hidden="1"/>
    </xf>
    <xf numFmtId="0" fontId="44" fillId="5" borderId="9" xfId="0" applyFont="1" applyFill="1" applyBorder="1" applyAlignment="1" applyProtection="1">
      <alignment horizontal="center" vertical="center"/>
      <protection hidden="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5" fillId="0" borderId="9" xfId="0" applyFont="1" applyBorder="1" applyAlignment="1" applyProtection="1">
      <alignment horizontal="center" vertical="center" wrapText="1"/>
      <protection hidden="1"/>
    </xf>
    <xf numFmtId="0" fontId="19" fillId="0" borderId="9" xfId="0" applyFont="1" applyBorder="1" applyAlignment="1" applyProtection="1">
      <alignment horizontal="center" vertical="center" wrapText="1"/>
      <protection hidden="1"/>
    </xf>
    <xf numFmtId="0" fontId="19" fillId="0" borderId="18" xfId="0" applyFont="1" applyBorder="1" applyAlignment="1" applyProtection="1">
      <alignment horizontal="center" vertical="center" wrapText="1"/>
      <protection hidden="1"/>
    </xf>
    <xf numFmtId="0" fontId="19" fillId="0" borderId="47"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1" fillId="0" borderId="9" xfId="0" applyFont="1" applyBorder="1" applyAlignment="1" applyProtection="1">
      <alignment horizontal="center" vertical="center"/>
      <protection hidden="1"/>
    </xf>
    <xf numFmtId="0" fontId="11" fillId="0" borderId="9" xfId="0" applyFont="1" applyBorder="1" applyAlignment="1" applyProtection="1">
      <alignment horizontal="center" vertical="center"/>
      <protection locked="0"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0" fontId="22" fillId="5" borderId="18" xfId="2" applyFont="1" applyFill="1" applyBorder="1" applyAlignment="1" applyProtection="1">
      <alignment horizontal="center" vertical="center" wrapText="1"/>
      <protection hidden="1"/>
    </xf>
    <xf numFmtId="0" fontId="22" fillId="5" borderId="24" xfId="2" applyFont="1" applyFill="1" applyBorder="1" applyAlignment="1" applyProtection="1">
      <alignment horizontal="center" vertical="center" wrapText="1"/>
      <protection hidden="1"/>
    </xf>
    <xf numFmtId="0" fontId="22" fillId="4" borderId="18" xfId="2" applyFont="1" applyFill="1" applyBorder="1" applyAlignment="1" applyProtection="1">
      <alignment horizontal="center" vertical="center" wrapText="1"/>
      <protection hidden="1"/>
    </xf>
    <xf numFmtId="0" fontId="22" fillId="4" borderId="24" xfId="2" applyFont="1" applyFill="1" applyBorder="1" applyAlignment="1" applyProtection="1">
      <alignment horizontal="center" vertical="center" wrapText="1"/>
      <protection hidden="1"/>
    </xf>
    <xf numFmtId="0" fontId="22" fillId="5" borderId="9" xfId="2" applyFont="1" applyFill="1" applyBorder="1" applyAlignment="1" applyProtection="1">
      <alignment horizontal="center" vertical="center" wrapText="1"/>
      <protection hidden="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32" fillId="0" borderId="9" xfId="0" applyFont="1" applyBorder="1" applyAlignment="1" applyProtection="1">
      <alignment horizontal="center" vertical="center"/>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hidden="1"/>
    </xf>
    <xf numFmtId="0" fontId="17" fillId="7" borderId="9" xfId="0" applyFont="1" applyFill="1" applyBorder="1" applyAlignment="1" applyProtection="1">
      <alignment horizontal="center" vertical="center" wrapText="1"/>
      <protection locked="0" hidden="1"/>
    </xf>
    <xf numFmtId="0" fontId="32" fillId="7" borderId="9" xfId="0" applyFont="1" applyFill="1" applyBorder="1" applyAlignment="1" applyProtection="1">
      <alignment horizontal="center" vertical="center"/>
      <protection locked="0" hidden="1"/>
    </xf>
    <xf numFmtId="0" fontId="7" fillId="0" borderId="9" xfId="0" applyFont="1" applyBorder="1" applyAlignment="1" applyProtection="1">
      <alignment horizontal="center" vertical="center" wrapText="1"/>
      <protection locked="0" hidden="1"/>
    </xf>
    <xf numFmtId="0" fontId="7" fillId="0" borderId="58" xfId="0" applyFont="1" applyBorder="1" applyAlignment="1" applyProtection="1">
      <alignment horizontal="left" vertical="center" shrinkToFit="1"/>
      <protection hidden="1"/>
    </xf>
    <xf numFmtId="0" fontId="34" fillId="0" borderId="9" xfId="0" applyFont="1" applyBorder="1" applyAlignment="1" applyProtection="1">
      <alignment horizont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0" borderId="56" xfId="0" applyFont="1" applyBorder="1" applyAlignment="1" applyProtection="1">
      <alignment horizontal="left" vertical="center" shrinkToFit="1"/>
      <protection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13" fillId="5" borderId="9"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9" xfId="0" applyFont="1" applyFill="1" applyBorder="1" applyAlignment="1" applyProtection="1">
      <alignment horizontal="center" wrapText="1"/>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8" borderId="9" xfId="0" applyFont="1" applyFill="1" applyBorder="1" applyAlignment="1" applyProtection="1">
      <alignment horizontal="center" vertical="center"/>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27" fillId="5" borderId="9"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45" fillId="0" borderId="0" xfId="0" applyFont="1" applyAlignment="1" applyProtection="1">
      <alignment vertical="center"/>
      <protection hidden="1"/>
    </xf>
    <xf numFmtId="0" fontId="46" fillId="0" borderId="0" xfId="0" applyFont="1" applyProtection="1">
      <protection hidden="1"/>
    </xf>
    <xf numFmtId="0" fontId="0" fillId="0" borderId="56" xfId="0" applyBorder="1" applyAlignment="1"/>
    <xf numFmtId="0" fontId="5" fillId="0" borderId="56" xfId="0" applyNumberFormat="1" applyFont="1" applyBorder="1" applyAlignment="1" applyProtection="1">
      <alignment horizontal="center" vertical="center" shrinkToFit="1"/>
      <protection locked="0"/>
    </xf>
    <xf numFmtId="0" fontId="0" fillId="0" borderId="56" xfId="0" applyNumberFormat="1" applyBorder="1" applyAlignment="1"/>
    <xf numFmtId="0" fontId="0" fillId="0" borderId="0" xfId="0" applyBorder="1"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7"/>
      <tableStyleElement type="headerRow" dxfId="6"/>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view="pageBreakPreview" zoomScaleSheetLayoutView="100" workbookViewId="0">
      <selection activeCell="D25" sqref="D25:D26"/>
    </sheetView>
  </sheetViews>
  <sheetFormatPr defaultColWidth="9.21875" defaultRowHeight="13.8" x14ac:dyDescent="0.25"/>
  <cols>
    <col min="1" max="1" width="18.77734375" style="37" customWidth="1"/>
    <col min="2" max="2" width="11.77734375" style="37" customWidth="1"/>
    <col min="3" max="4" width="11.44140625" style="37" customWidth="1"/>
    <col min="5" max="5" width="14.44140625" style="37" customWidth="1"/>
    <col min="6" max="6" width="9.77734375" style="37" customWidth="1"/>
    <col min="7" max="7" width="11.77734375" style="37" customWidth="1"/>
    <col min="8" max="8" width="12.21875" style="37" bestFit="1" customWidth="1"/>
    <col min="9" max="9" width="7.5546875" style="37" customWidth="1"/>
    <col min="10" max="11" width="9" style="37" customWidth="1"/>
    <col min="12" max="12" width="9.77734375" style="37" customWidth="1"/>
    <col min="13" max="13" width="8.44140625" style="37" customWidth="1"/>
    <col min="14" max="15" width="6.77734375" style="37" customWidth="1"/>
    <col min="16" max="16" width="11.5546875" style="37" customWidth="1"/>
    <col min="17" max="17" width="6.5546875" style="37" customWidth="1"/>
    <col min="18" max="18" width="7.21875" style="37" customWidth="1"/>
    <col min="19" max="19" width="6.77734375" style="37" customWidth="1"/>
    <col min="20" max="20" width="11.77734375" style="37" customWidth="1"/>
    <col min="21" max="21" width="13" style="37" customWidth="1"/>
    <col min="22" max="22" width="8.21875" style="37" customWidth="1"/>
    <col min="23" max="23" width="16.77734375" style="37" customWidth="1"/>
    <col min="24" max="24" width="10.21875" style="37" customWidth="1"/>
    <col min="25" max="28" width="9.21875" style="37"/>
    <col min="29" max="29" width="13.21875" style="37" customWidth="1"/>
    <col min="30" max="16384" width="9.21875" style="37"/>
  </cols>
  <sheetData>
    <row r="1" spans="1:603" ht="13.8" customHeight="1" x14ac:dyDescent="0.25">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8" customHeight="1" x14ac:dyDescent="0.25">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8" customHeight="1" x14ac:dyDescent="0.25">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8" customHeight="1" x14ac:dyDescent="0.25">
      <c r="A4" s="234" t="s">
        <v>839</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25">
      <c r="A5" s="2"/>
      <c r="B5" s="2"/>
      <c r="C5" s="2"/>
      <c r="D5" s="2"/>
      <c r="E5" s="2"/>
      <c r="F5" s="2"/>
      <c r="G5" s="2"/>
      <c r="H5" s="2"/>
      <c r="I5" s="2"/>
      <c r="J5" s="398"/>
      <c r="K5" s="399"/>
      <c r="M5" s="2"/>
      <c r="N5" s="2"/>
      <c r="O5" s="2"/>
      <c r="P5" s="2"/>
      <c r="Q5" s="2"/>
      <c r="R5" s="2"/>
      <c r="S5" s="2"/>
      <c r="T5" s="2"/>
      <c r="U5" s="2"/>
      <c r="V5" s="35"/>
      <c r="W5" s="2"/>
      <c r="X5" s="2"/>
    </row>
    <row r="6" spans="1:603" ht="15.75" customHeight="1" x14ac:dyDescent="0.3">
      <c r="A6" s="40" t="s">
        <v>136</v>
      </c>
      <c r="B6" s="40"/>
      <c r="C6" s="166"/>
      <c r="D6" s="166"/>
      <c r="E6" s="166"/>
      <c r="F6" s="166"/>
      <c r="G6" s="166"/>
      <c r="I6" s="1"/>
      <c r="J6" s="41" t="s">
        <v>14</v>
      </c>
      <c r="L6" s="175" t="s">
        <v>850</v>
      </c>
      <c r="M6" s="175"/>
      <c r="N6" s="175"/>
      <c r="O6" s="175"/>
      <c r="P6" s="175"/>
      <c r="Q6" s="175"/>
      <c r="R6" s="175"/>
      <c r="S6" s="400"/>
    </row>
    <row r="7" spans="1:603" ht="15.75" customHeight="1" x14ac:dyDescent="0.25">
      <c r="A7" s="40" t="s">
        <v>9</v>
      </c>
      <c r="B7" s="40"/>
      <c r="C7" s="171"/>
      <c r="D7" s="171"/>
      <c r="E7" s="171"/>
      <c r="F7" s="171"/>
      <c r="G7" s="171"/>
      <c r="I7" s="42"/>
      <c r="J7" s="43" t="s">
        <v>65</v>
      </c>
      <c r="K7" s="43"/>
      <c r="L7" s="43"/>
      <c r="M7" s="43"/>
      <c r="N7" s="175"/>
      <c r="O7" s="175"/>
      <c r="P7" s="175"/>
      <c r="Q7" s="175"/>
      <c r="R7" s="175"/>
      <c r="S7" s="175"/>
      <c r="V7" s="36"/>
    </row>
    <row r="8" spans="1:603" ht="15.75" customHeight="1" x14ac:dyDescent="0.25">
      <c r="A8" s="40" t="s">
        <v>10</v>
      </c>
      <c r="B8" s="40"/>
      <c r="C8" s="171"/>
      <c r="D8" s="171"/>
      <c r="E8" s="171"/>
      <c r="F8" s="171"/>
      <c r="G8" s="171"/>
      <c r="I8" s="42"/>
      <c r="J8" s="43" t="s">
        <v>64</v>
      </c>
      <c r="K8" s="43"/>
      <c r="L8" s="43"/>
      <c r="M8" s="175"/>
      <c r="N8" s="175"/>
      <c r="O8" s="175"/>
      <c r="P8" s="175"/>
      <c r="Q8" s="175"/>
      <c r="R8" s="175"/>
      <c r="S8" s="175"/>
      <c r="V8" s="36"/>
    </row>
    <row r="9" spans="1:603" ht="15.75" customHeight="1" x14ac:dyDescent="0.25">
      <c r="A9" s="40" t="s">
        <v>763</v>
      </c>
      <c r="C9" s="171"/>
      <c r="D9" s="171"/>
      <c r="E9" s="171"/>
      <c r="F9" s="171"/>
      <c r="G9" s="171"/>
      <c r="J9" s="43" t="s">
        <v>11</v>
      </c>
      <c r="K9" s="43"/>
      <c r="L9" s="43"/>
      <c r="M9" s="176"/>
      <c r="N9" s="176"/>
      <c r="O9" s="44"/>
      <c r="P9" s="9"/>
      <c r="V9" s="36"/>
    </row>
    <row r="10" spans="1:603" ht="15.75" customHeight="1" x14ac:dyDescent="0.3">
      <c r="J10" s="45" t="s">
        <v>69</v>
      </c>
      <c r="K10" s="177"/>
      <c r="L10" s="177"/>
      <c r="M10" s="45"/>
      <c r="N10" s="46"/>
      <c r="O10" s="43" t="s">
        <v>12</v>
      </c>
      <c r="Q10" s="178"/>
      <c r="R10" s="178"/>
      <c r="S10" s="178"/>
      <c r="V10" s="36"/>
    </row>
    <row r="11" spans="1:603" s="46" customFormat="1" ht="14.25" customHeight="1" thickBot="1" x14ac:dyDescent="0.35">
      <c r="A11" s="1" t="s">
        <v>0</v>
      </c>
      <c r="B11" s="47"/>
      <c r="C11" s="47"/>
      <c r="D11" s="47"/>
      <c r="E11" s="47"/>
      <c r="F11" s="37"/>
      <c r="V11" s="48"/>
    </row>
    <row r="12" spans="1:603" s="49" customFormat="1" ht="13.8" customHeight="1" x14ac:dyDescent="0.3">
      <c r="A12" s="210" t="s">
        <v>68</v>
      </c>
      <c r="B12" s="211"/>
      <c r="C12" s="212"/>
      <c r="D12" s="204" t="s">
        <v>77</v>
      </c>
      <c r="E12" s="204"/>
      <c r="F12" s="204"/>
      <c r="G12" s="204"/>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3"/>
      <c r="B13" s="214"/>
      <c r="C13" s="215"/>
      <c r="D13" s="205" t="s">
        <v>71</v>
      </c>
      <c r="E13" s="205"/>
      <c r="F13" s="205"/>
      <c r="G13" s="205"/>
      <c r="H13" s="11">
        <f>U27</f>
        <v>0</v>
      </c>
      <c r="J13" s="164" t="s">
        <v>699</v>
      </c>
      <c r="K13" s="164"/>
      <c r="L13" s="164"/>
      <c r="M13" s="50"/>
      <c r="N13" s="51" t="s">
        <v>754</v>
      </c>
      <c r="O13" s="51"/>
      <c r="P13" s="51"/>
      <c r="Q13" s="50"/>
      <c r="R13" s="274" t="s">
        <v>755</v>
      </c>
      <c r="S13" s="274"/>
      <c r="T13" s="274"/>
      <c r="U13" s="50"/>
      <c r="V13" s="48"/>
    </row>
    <row r="14" spans="1:603" s="46" customFormat="1" ht="12.75" customHeight="1" thickBot="1" x14ac:dyDescent="0.35">
      <c r="A14" s="216"/>
      <c r="B14" s="217"/>
      <c r="C14" s="218"/>
      <c r="D14" s="206" t="s">
        <v>3</v>
      </c>
      <c r="E14" s="206"/>
      <c r="F14" s="206"/>
      <c r="G14" s="206"/>
      <c r="H14" s="12">
        <f>H12+H13</f>
        <v>0</v>
      </c>
      <c r="J14" s="164" t="s">
        <v>701</v>
      </c>
      <c r="K14" s="164"/>
      <c r="L14" s="164"/>
      <c r="M14" s="50"/>
      <c r="N14" s="51" t="s">
        <v>756</v>
      </c>
      <c r="O14" s="51"/>
      <c r="P14" s="51"/>
      <c r="Q14" s="50"/>
      <c r="R14" s="274" t="s">
        <v>757</v>
      </c>
      <c r="S14" s="274"/>
      <c r="T14" s="274"/>
      <c r="U14" s="50"/>
      <c r="V14" s="48"/>
    </row>
    <row r="15" spans="1:603" s="49" customFormat="1" ht="15" thickBot="1" x14ac:dyDescent="0.35">
      <c r="A15" s="3"/>
      <c r="B15" s="47"/>
      <c r="C15" s="47"/>
      <c r="D15" s="47"/>
      <c r="E15" s="47"/>
      <c r="F15" s="37"/>
      <c r="G15" s="46"/>
      <c r="H15" s="46"/>
      <c r="I15" s="46"/>
      <c r="J15" s="233" t="s">
        <v>700</v>
      </c>
      <c r="K15" s="233"/>
      <c r="L15" s="233"/>
      <c r="M15" s="50"/>
      <c r="N15" s="52" t="s">
        <v>758</v>
      </c>
      <c r="O15" s="52"/>
      <c r="P15" s="52"/>
      <c r="Q15" s="50"/>
      <c r="R15" s="275" t="s">
        <v>759</v>
      </c>
      <c r="S15" s="275"/>
      <c r="T15" s="275"/>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219" t="s">
        <v>60</v>
      </c>
      <c r="B17" s="219"/>
      <c r="C17" s="219"/>
      <c r="D17" s="13">
        <f>D30+E42-D33-E44</f>
        <v>0</v>
      </c>
      <c r="E17" s="13">
        <f>+U30-U33</f>
        <v>0</v>
      </c>
      <c r="F17" s="14">
        <f>+E17+D17</f>
        <v>0</v>
      </c>
      <c r="G17" s="127"/>
      <c r="H17" s="128"/>
      <c r="I17" s="282" t="s">
        <v>820</v>
      </c>
      <c r="J17" s="283" t="s">
        <v>75</v>
      </c>
      <c r="K17" s="283"/>
      <c r="L17" s="283"/>
      <c r="M17" s="281" t="s">
        <v>67</v>
      </c>
      <c r="N17" s="281"/>
      <c r="O17" s="281"/>
      <c r="P17" s="281" t="s">
        <v>3</v>
      </c>
      <c r="Q17" s="170"/>
      <c r="R17" s="165" t="s">
        <v>760</v>
      </c>
      <c r="S17" s="165"/>
      <c r="T17" s="165"/>
      <c r="U17" s="123"/>
    </row>
    <row r="18" spans="1:22" s="46" customFormat="1" ht="17.55" customHeight="1" x14ac:dyDescent="0.3">
      <c r="A18" s="219" t="s">
        <v>61</v>
      </c>
      <c r="B18" s="219"/>
      <c r="C18" s="219"/>
      <c r="D18" s="15">
        <f>D33+E44</f>
        <v>0</v>
      </c>
      <c r="E18" s="16">
        <f>U33</f>
        <v>0</v>
      </c>
      <c r="F18" s="14">
        <f>+E18+D18</f>
        <v>0</v>
      </c>
      <c r="G18" s="127"/>
      <c r="H18" s="128"/>
      <c r="I18" s="282"/>
      <c r="J18" s="149" t="s">
        <v>817</v>
      </c>
      <c r="K18" s="149" t="s">
        <v>818</v>
      </c>
      <c r="L18" s="149" t="s">
        <v>819</v>
      </c>
      <c r="M18" s="149" t="s">
        <v>817</v>
      </c>
      <c r="N18" s="149" t="s">
        <v>818</v>
      </c>
      <c r="O18" s="149" t="s">
        <v>819</v>
      </c>
      <c r="P18" s="281"/>
      <c r="Q18" s="170"/>
      <c r="R18" s="165" t="s">
        <v>761</v>
      </c>
      <c r="S18" s="165"/>
      <c r="T18" s="165"/>
      <c r="U18" s="123"/>
    </row>
    <row r="19" spans="1:22" s="46" customFormat="1" ht="13.8" customHeight="1" x14ac:dyDescent="0.3">
      <c r="A19" s="219" t="s">
        <v>62</v>
      </c>
      <c r="B19" s="219"/>
      <c r="C19" s="219"/>
      <c r="D19" s="6"/>
      <c r="E19" s="8"/>
      <c r="F19" s="14">
        <f>+E19+D19</f>
        <v>0</v>
      </c>
      <c r="G19" s="127"/>
      <c r="H19" s="128"/>
      <c r="I19" s="150" t="s">
        <v>815</v>
      </c>
      <c r="J19" s="151"/>
      <c r="K19" s="151"/>
      <c r="L19" s="151"/>
      <c r="M19" s="151"/>
      <c r="N19" s="151"/>
      <c r="O19" s="151"/>
      <c r="P19" s="152">
        <f>J19+K19+L19+M19+N19+O19</f>
        <v>0</v>
      </c>
      <c r="Q19" s="130"/>
      <c r="R19" s="165" t="s">
        <v>762</v>
      </c>
      <c r="S19" s="165"/>
      <c r="T19" s="165"/>
      <c r="U19" s="123"/>
    </row>
    <row r="20" spans="1:22" s="46" customFormat="1" ht="13.8" customHeight="1" x14ac:dyDescent="0.3">
      <c r="A20" s="169" t="s">
        <v>814</v>
      </c>
      <c r="B20" s="169"/>
      <c r="C20" s="169"/>
      <c r="D20" s="146"/>
      <c r="E20" s="147"/>
      <c r="F20" s="148">
        <f>+E20+D20</f>
        <v>0</v>
      </c>
      <c r="I20" s="150" t="s">
        <v>816</v>
      </c>
      <c r="J20" s="151"/>
      <c r="K20" s="151"/>
      <c r="L20" s="151"/>
      <c r="M20" s="151"/>
      <c r="N20" s="151"/>
      <c r="O20" s="151"/>
      <c r="P20" s="152">
        <f>J20+K20+L20+M20+N20+O20</f>
        <v>0</v>
      </c>
      <c r="Q20" s="130"/>
      <c r="T20" s="129"/>
      <c r="U20" s="126"/>
    </row>
    <row r="21" spans="1:22" s="46" customFormat="1" ht="13.8" customHeight="1" thickBot="1" x14ac:dyDescent="0.35">
      <c r="A21" s="219" t="s">
        <v>813</v>
      </c>
      <c r="B21" s="219"/>
      <c r="C21" s="219"/>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3" customHeight="1" thickBot="1" x14ac:dyDescent="0.3">
      <c r="A23" s="1" t="s">
        <v>8</v>
      </c>
      <c r="B23" s="1"/>
      <c r="C23" s="1"/>
      <c r="D23" s="1"/>
      <c r="E23" s="60"/>
      <c r="V23" s="36"/>
    </row>
    <row r="24" spans="1:22" ht="13.8" customHeight="1" x14ac:dyDescent="0.25">
      <c r="A24" s="226" t="s">
        <v>1</v>
      </c>
      <c r="B24" s="223" t="s">
        <v>78</v>
      </c>
      <c r="C24" s="224"/>
      <c r="D24" s="225"/>
      <c r="E24" s="156" t="s">
        <v>15</v>
      </c>
      <c r="F24" s="157"/>
      <c r="G24" s="157"/>
      <c r="H24" s="157"/>
      <c r="I24" s="157"/>
      <c r="J24" s="157"/>
      <c r="K24" s="157"/>
      <c r="L24" s="157"/>
      <c r="M24" s="157"/>
      <c r="N24" s="157"/>
      <c r="O24" s="157"/>
      <c r="P24" s="157"/>
      <c r="Q24" s="157"/>
      <c r="R24" s="157"/>
      <c r="S24" s="157"/>
      <c r="T24" s="157"/>
      <c r="U24" s="179"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2" t="s">
        <v>32</v>
      </c>
      <c r="N25" s="162"/>
      <c r="O25" s="162"/>
      <c r="P25" s="162" t="s">
        <v>34</v>
      </c>
      <c r="Q25" s="162"/>
      <c r="R25" s="162"/>
      <c r="S25" s="273" t="s">
        <v>766</v>
      </c>
      <c r="T25" s="273"/>
      <c r="U25" s="180"/>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3" t="s">
        <v>36</v>
      </c>
      <c r="N26" s="163"/>
      <c r="O26" s="163"/>
      <c r="P26" s="163" t="s">
        <v>72</v>
      </c>
      <c r="Q26" s="163"/>
      <c r="R26" s="163"/>
      <c r="S26" s="163" t="s">
        <v>73</v>
      </c>
      <c r="T26" s="163"/>
      <c r="U26" s="181"/>
      <c r="V26" s="36"/>
    </row>
    <row r="27" spans="1:22" ht="13.8" customHeight="1" x14ac:dyDescent="0.25">
      <c r="A27" s="235" t="s">
        <v>70</v>
      </c>
      <c r="B27" s="244"/>
      <c r="C27" s="271"/>
      <c r="D27" s="266">
        <f>B27+C27</f>
        <v>0</v>
      </c>
      <c r="E27" s="201"/>
      <c r="F27" s="158"/>
      <c r="G27" s="158"/>
      <c r="H27" s="158"/>
      <c r="I27" s="158"/>
      <c r="J27" s="158"/>
      <c r="K27" s="158"/>
      <c r="L27" s="158"/>
      <c r="M27" s="191" t="s">
        <v>37</v>
      </c>
      <c r="N27" s="192"/>
      <c r="O27" s="65"/>
      <c r="P27" s="191" t="s">
        <v>37</v>
      </c>
      <c r="Q27" s="192"/>
      <c r="R27" s="65"/>
      <c r="S27" s="167">
        <f>M41+M42+M43+N41+N42+N43+O41+O42</f>
        <v>0</v>
      </c>
      <c r="T27" s="167"/>
      <c r="U27" s="182">
        <f>E27+F27+G27+H27+I27+J27+K27+L27+O27+O28+O29+R27+R28+R29+S27</f>
        <v>0</v>
      </c>
      <c r="V27" s="36"/>
    </row>
    <row r="28" spans="1:22" ht="13.8" customHeight="1" x14ac:dyDescent="0.25">
      <c r="A28" s="236"/>
      <c r="B28" s="245"/>
      <c r="C28" s="198"/>
      <c r="D28" s="267"/>
      <c r="E28" s="202"/>
      <c r="F28" s="159"/>
      <c r="G28" s="159"/>
      <c r="H28" s="159"/>
      <c r="I28" s="159"/>
      <c r="J28" s="159"/>
      <c r="K28" s="159"/>
      <c r="L28" s="159"/>
      <c r="M28" s="160" t="s">
        <v>13</v>
      </c>
      <c r="N28" s="161"/>
      <c r="O28" s="66"/>
      <c r="P28" s="160" t="s">
        <v>13</v>
      </c>
      <c r="Q28" s="161"/>
      <c r="R28" s="66"/>
      <c r="S28" s="168"/>
      <c r="T28" s="168"/>
      <c r="U28" s="183"/>
      <c r="V28" s="36"/>
    </row>
    <row r="29" spans="1:22" ht="13.8" customHeight="1" x14ac:dyDescent="0.25">
      <c r="A29" s="236"/>
      <c r="B29" s="246"/>
      <c r="C29" s="199"/>
      <c r="D29" s="268"/>
      <c r="E29" s="202"/>
      <c r="F29" s="159"/>
      <c r="G29" s="159"/>
      <c r="H29" s="159"/>
      <c r="I29" s="159"/>
      <c r="J29" s="159"/>
      <c r="K29" s="159"/>
      <c r="L29" s="159"/>
      <c r="M29" s="160" t="s">
        <v>46</v>
      </c>
      <c r="N29" s="161"/>
      <c r="O29" s="66"/>
      <c r="P29" s="160" t="s">
        <v>46</v>
      </c>
      <c r="Q29" s="161"/>
      <c r="R29" s="66"/>
      <c r="S29" s="168"/>
      <c r="T29" s="168"/>
      <c r="U29" s="183"/>
      <c r="V29" s="36"/>
    </row>
    <row r="30" spans="1:22" ht="13.8" customHeight="1" x14ac:dyDescent="0.25">
      <c r="A30" s="236" t="s">
        <v>4</v>
      </c>
      <c r="B30" s="247"/>
      <c r="C30" s="197"/>
      <c r="D30" s="269">
        <f>B30+C30</f>
        <v>0</v>
      </c>
      <c r="E30" s="202"/>
      <c r="F30" s="159"/>
      <c r="G30" s="159"/>
      <c r="H30" s="159"/>
      <c r="I30" s="159"/>
      <c r="J30" s="159"/>
      <c r="K30" s="159"/>
      <c r="L30" s="159"/>
      <c r="M30" s="160" t="s">
        <v>37</v>
      </c>
      <c r="N30" s="161"/>
      <c r="O30" s="66"/>
      <c r="P30" s="160" t="s">
        <v>37</v>
      </c>
      <c r="Q30" s="161"/>
      <c r="R30" s="66"/>
      <c r="S30" s="168">
        <f>P41+P42+P43+Q41+Q42+Q43+R41+R42</f>
        <v>0</v>
      </c>
      <c r="T30" s="168"/>
      <c r="U30" s="183">
        <f>E30+F30+G30+H30+I30+J30+K30+L30+O30+O31+O32+R30+R31+R32+S30</f>
        <v>0</v>
      </c>
      <c r="V30" s="36"/>
    </row>
    <row r="31" spans="1:22" ht="13.8" customHeight="1" x14ac:dyDescent="0.25">
      <c r="A31" s="236"/>
      <c r="B31" s="245"/>
      <c r="C31" s="198"/>
      <c r="D31" s="267"/>
      <c r="E31" s="202"/>
      <c r="F31" s="159"/>
      <c r="G31" s="159"/>
      <c r="H31" s="159"/>
      <c r="I31" s="159"/>
      <c r="J31" s="159"/>
      <c r="K31" s="159"/>
      <c r="L31" s="159"/>
      <c r="M31" s="160" t="s">
        <v>13</v>
      </c>
      <c r="N31" s="161"/>
      <c r="O31" s="66"/>
      <c r="P31" s="160" t="s">
        <v>13</v>
      </c>
      <c r="Q31" s="161"/>
      <c r="R31" s="66"/>
      <c r="S31" s="168"/>
      <c r="T31" s="168"/>
      <c r="U31" s="183"/>
      <c r="V31" s="36"/>
    </row>
    <row r="32" spans="1:22" ht="13.8" customHeight="1" x14ac:dyDescent="0.25">
      <c r="A32" s="236"/>
      <c r="B32" s="246"/>
      <c r="C32" s="199"/>
      <c r="D32" s="268"/>
      <c r="E32" s="202"/>
      <c r="F32" s="159"/>
      <c r="G32" s="159"/>
      <c r="H32" s="159"/>
      <c r="I32" s="159"/>
      <c r="J32" s="159"/>
      <c r="K32" s="159"/>
      <c r="L32" s="159"/>
      <c r="M32" s="160" t="s">
        <v>46</v>
      </c>
      <c r="N32" s="161"/>
      <c r="O32" s="66"/>
      <c r="P32" s="160" t="s">
        <v>46</v>
      </c>
      <c r="Q32" s="161"/>
      <c r="R32" s="66"/>
      <c r="S32" s="168"/>
      <c r="T32" s="168"/>
      <c r="U32" s="183"/>
      <c r="V32" s="36"/>
    </row>
    <row r="33" spans="1:24" ht="13.8" customHeight="1" x14ac:dyDescent="0.25">
      <c r="A33" s="236" t="s">
        <v>5</v>
      </c>
      <c r="B33" s="247"/>
      <c r="C33" s="197"/>
      <c r="D33" s="269">
        <f>B33+C33</f>
        <v>0</v>
      </c>
      <c r="E33" s="202"/>
      <c r="F33" s="159"/>
      <c r="G33" s="159"/>
      <c r="H33" s="159"/>
      <c r="I33" s="159"/>
      <c r="J33" s="159"/>
      <c r="K33" s="159"/>
      <c r="L33" s="159"/>
      <c r="M33" s="160" t="s">
        <v>37</v>
      </c>
      <c r="N33" s="161"/>
      <c r="O33" s="66"/>
      <c r="P33" s="160" t="s">
        <v>37</v>
      </c>
      <c r="Q33" s="161"/>
      <c r="R33" s="66"/>
      <c r="S33" s="168">
        <f>S41+S42+S43+T41+T42+T43+U41+U42</f>
        <v>0</v>
      </c>
      <c r="T33" s="168"/>
      <c r="U33" s="183">
        <f>E33+F33+G33+H33+I33+J33+K33+L33+O33+O34+O35+R33+R34+R35+S33</f>
        <v>0</v>
      </c>
      <c r="V33" s="36"/>
    </row>
    <row r="34" spans="1:24" ht="13.8" customHeight="1" x14ac:dyDescent="0.25">
      <c r="A34" s="236"/>
      <c r="B34" s="245"/>
      <c r="C34" s="198"/>
      <c r="D34" s="267"/>
      <c r="E34" s="202"/>
      <c r="F34" s="159"/>
      <c r="G34" s="159"/>
      <c r="H34" s="159"/>
      <c r="I34" s="159"/>
      <c r="J34" s="159"/>
      <c r="K34" s="159"/>
      <c r="L34" s="159"/>
      <c r="M34" s="160" t="s">
        <v>13</v>
      </c>
      <c r="N34" s="161"/>
      <c r="O34" s="66"/>
      <c r="P34" s="160" t="s">
        <v>13</v>
      </c>
      <c r="Q34" s="161"/>
      <c r="R34" s="66"/>
      <c r="S34" s="168"/>
      <c r="T34" s="168"/>
      <c r="U34" s="183"/>
      <c r="V34" s="36"/>
    </row>
    <row r="35" spans="1:24" ht="13.8" customHeight="1" thickBot="1" x14ac:dyDescent="0.3">
      <c r="A35" s="237"/>
      <c r="B35" s="248"/>
      <c r="C35" s="200"/>
      <c r="D35" s="270"/>
      <c r="E35" s="238"/>
      <c r="F35" s="190"/>
      <c r="G35" s="190"/>
      <c r="H35" s="190"/>
      <c r="I35" s="190"/>
      <c r="J35" s="190"/>
      <c r="K35" s="190"/>
      <c r="L35" s="190"/>
      <c r="M35" s="154" t="s">
        <v>46</v>
      </c>
      <c r="N35" s="155"/>
      <c r="O35" s="67"/>
      <c r="P35" s="154" t="s">
        <v>46</v>
      </c>
      <c r="Q35" s="155"/>
      <c r="R35" s="67"/>
      <c r="S35" s="272"/>
      <c r="T35" s="272"/>
      <c r="U35" s="184"/>
      <c r="V35" s="36"/>
    </row>
    <row r="36" spans="1:24" ht="4.8" customHeight="1" x14ac:dyDescent="0.25">
      <c r="V36" s="36"/>
    </row>
    <row r="37" spans="1:24" ht="13.8" customHeight="1" thickBot="1" x14ac:dyDescent="0.3">
      <c r="A37" s="1" t="s">
        <v>38</v>
      </c>
      <c r="B37" s="1"/>
      <c r="C37" s="1"/>
      <c r="D37" s="1"/>
      <c r="V37" s="36"/>
    </row>
    <row r="38" spans="1:24" ht="11.25" customHeight="1" x14ac:dyDescent="0.25">
      <c r="A38" s="207" t="s">
        <v>42</v>
      </c>
      <c r="B38" s="208"/>
      <c r="C38" s="208"/>
      <c r="D38" s="208"/>
      <c r="E38" s="209"/>
      <c r="F38" s="68"/>
      <c r="G38" s="277" t="s">
        <v>821</v>
      </c>
      <c r="H38" s="278" t="s">
        <v>822</v>
      </c>
      <c r="J38" s="193" t="s">
        <v>47</v>
      </c>
      <c r="K38" s="194"/>
      <c r="L38" s="194"/>
      <c r="M38" s="194"/>
      <c r="N38" s="194"/>
      <c r="O38" s="194"/>
      <c r="P38" s="194"/>
      <c r="Q38" s="194"/>
      <c r="R38" s="194"/>
      <c r="S38" s="194"/>
      <c r="T38" s="194"/>
      <c r="U38" s="195"/>
      <c r="V38" s="36"/>
    </row>
    <row r="39" spans="1:24" ht="12.75" customHeight="1" x14ac:dyDescent="0.25">
      <c r="A39" s="69"/>
      <c r="B39" s="70" t="s">
        <v>43</v>
      </c>
      <c r="C39" s="70" t="s">
        <v>44</v>
      </c>
      <c r="D39" s="70" t="s">
        <v>45</v>
      </c>
      <c r="E39" s="71" t="s">
        <v>3</v>
      </c>
      <c r="G39" s="277"/>
      <c r="H39" s="279"/>
      <c r="J39" s="253" t="s">
        <v>2</v>
      </c>
      <c r="K39" s="254"/>
      <c r="L39" s="255"/>
      <c r="M39" s="196" t="s">
        <v>6</v>
      </c>
      <c r="N39" s="196"/>
      <c r="O39" s="196"/>
      <c r="P39" s="196" t="s">
        <v>4</v>
      </c>
      <c r="Q39" s="196"/>
      <c r="R39" s="196"/>
      <c r="S39" s="196" t="s">
        <v>5</v>
      </c>
      <c r="T39" s="196"/>
      <c r="U39" s="276"/>
      <c r="V39" s="36"/>
    </row>
    <row r="40" spans="1:24" ht="15.6" customHeight="1" x14ac:dyDescent="0.25">
      <c r="A40" s="220" t="s">
        <v>39</v>
      </c>
      <c r="B40" s="185"/>
      <c r="C40" s="185"/>
      <c r="D40" s="185"/>
      <c r="E40" s="187">
        <f>B40+C40+D40</f>
        <v>0</v>
      </c>
      <c r="F40" s="189"/>
      <c r="G40" s="277"/>
      <c r="H40" s="279"/>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25">
      <c r="A41" s="220"/>
      <c r="B41" s="203"/>
      <c r="C41" s="203"/>
      <c r="D41" s="203"/>
      <c r="E41" s="187"/>
      <c r="F41" s="189"/>
      <c r="G41" s="277"/>
      <c r="H41" s="280"/>
      <c r="J41" s="259" t="s">
        <v>50</v>
      </c>
      <c r="K41" s="260"/>
      <c r="L41" s="261"/>
      <c r="M41" s="72"/>
      <c r="N41" s="72"/>
      <c r="O41" s="72"/>
      <c r="P41" s="72"/>
      <c r="Q41" s="72"/>
      <c r="R41" s="72"/>
      <c r="S41" s="72"/>
      <c r="T41" s="72"/>
      <c r="U41" s="73"/>
      <c r="V41" s="36"/>
    </row>
    <row r="42" spans="1:24" ht="13.8" customHeight="1" x14ac:dyDescent="0.25">
      <c r="A42" s="220" t="s">
        <v>40</v>
      </c>
      <c r="B42" s="185"/>
      <c r="C42" s="185"/>
      <c r="D42" s="185"/>
      <c r="E42" s="187">
        <f>B42+C42+D42</f>
        <v>0</v>
      </c>
      <c r="F42" s="189"/>
      <c r="G42" s="251">
        <f>E17+F18</f>
        <v>0</v>
      </c>
      <c r="H42" s="252"/>
      <c r="J42" s="259" t="s">
        <v>51</v>
      </c>
      <c r="K42" s="260"/>
      <c r="L42" s="261"/>
      <c r="M42" s="72"/>
      <c r="N42" s="72"/>
      <c r="O42" s="72"/>
      <c r="P42" s="72"/>
      <c r="Q42" s="72"/>
      <c r="R42" s="72"/>
      <c r="S42" s="72"/>
      <c r="T42" s="72"/>
      <c r="U42" s="73"/>
      <c r="V42" s="36"/>
    </row>
    <row r="43" spans="1:24" ht="13.8" customHeight="1" thickBot="1" x14ac:dyDescent="0.3">
      <c r="A43" s="220"/>
      <c r="B43" s="203"/>
      <c r="C43" s="203"/>
      <c r="D43" s="203"/>
      <c r="E43" s="187"/>
      <c r="F43" s="189"/>
      <c r="G43" s="251"/>
      <c r="H43" s="252"/>
      <c r="J43" s="262" t="s">
        <v>52</v>
      </c>
      <c r="K43" s="263"/>
      <c r="L43" s="264"/>
      <c r="M43" s="74"/>
      <c r="N43" s="74"/>
      <c r="O43" s="75"/>
      <c r="P43" s="74"/>
      <c r="Q43" s="74"/>
      <c r="R43" s="75"/>
      <c r="S43" s="74"/>
      <c r="T43" s="74"/>
      <c r="U43" s="76"/>
      <c r="V43" s="36"/>
    </row>
    <row r="44" spans="1:24" ht="10.5" customHeight="1" x14ac:dyDescent="0.25">
      <c r="A44" s="220" t="s">
        <v>41</v>
      </c>
      <c r="B44" s="185"/>
      <c r="C44" s="185"/>
      <c r="D44" s="185"/>
      <c r="E44" s="187">
        <f>B44+C44+D44</f>
        <v>0</v>
      </c>
      <c r="F44" s="189"/>
      <c r="G44" s="189"/>
      <c r="H44" s="189"/>
      <c r="J44" s="77" t="s">
        <v>53</v>
      </c>
      <c r="K44" s="78"/>
      <c r="L44" s="78"/>
      <c r="M44" s="78"/>
      <c r="N44" s="78"/>
      <c r="O44" s="78"/>
      <c r="P44" s="78"/>
      <c r="Q44" s="78"/>
      <c r="R44" s="78"/>
      <c r="S44" s="78"/>
      <c r="T44" s="78"/>
      <c r="U44" s="78"/>
      <c r="V44" s="79"/>
      <c r="W44" s="78"/>
      <c r="X44" s="78"/>
    </row>
    <row r="45" spans="1:24" ht="13.8" customHeight="1" thickBot="1" x14ac:dyDescent="0.3">
      <c r="A45" s="250"/>
      <c r="B45" s="186"/>
      <c r="C45" s="186"/>
      <c r="D45" s="186"/>
      <c r="E45" s="188"/>
      <c r="F45" s="189"/>
      <c r="G45" s="189"/>
      <c r="H45" s="189"/>
      <c r="V45" s="36"/>
    </row>
    <row r="46" spans="1:24" ht="15" customHeight="1" x14ac:dyDescent="0.25">
      <c r="A46" s="1"/>
      <c r="B46" s="1"/>
      <c r="C46" s="1"/>
      <c r="D46" s="1"/>
      <c r="F46" s="243" t="s">
        <v>672</v>
      </c>
      <c r="G46" s="243"/>
      <c r="H46" s="243"/>
      <c r="L46" s="78" t="s">
        <v>54</v>
      </c>
      <c r="M46" s="78"/>
      <c r="N46" s="78"/>
      <c r="O46" s="78"/>
      <c r="P46" s="78"/>
      <c r="Q46" s="174"/>
      <c r="R46" s="174"/>
      <c r="S46" s="174"/>
      <c r="T46" s="174"/>
      <c r="U46" s="174"/>
      <c r="V46" s="36"/>
    </row>
    <row r="47" spans="1:24" ht="13.8" customHeight="1" x14ac:dyDescent="0.25">
      <c r="A47" s="249"/>
      <c r="B47" s="80"/>
      <c r="C47" s="80"/>
      <c r="D47" s="80"/>
      <c r="E47" s="242"/>
      <c r="F47" s="242"/>
      <c r="G47" s="242"/>
      <c r="H47" s="242"/>
      <c r="I47" s="242"/>
      <c r="J47" s="242"/>
      <c r="K47" s="78"/>
      <c r="L47" s="78" t="s">
        <v>55</v>
      </c>
      <c r="M47" s="174"/>
      <c r="N47" s="174"/>
      <c r="O47" s="174"/>
      <c r="P47" s="174"/>
      <c r="Q47" s="78"/>
      <c r="R47" s="78"/>
      <c r="V47" s="36"/>
    </row>
    <row r="48" spans="1:24" ht="13.8" customHeight="1" x14ac:dyDescent="0.25">
      <c r="A48" s="249"/>
      <c r="B48" s="80"/>
      <c r="C48" s="80"/>
      <c r="D48" s="80"/>
      <c r="E48" s="242"/>
      <c r="F48" s="242"/>
      <c r="G48" s="242"/>
      <c r="H48" s="242"/>
      <c r="I48" s="242"/>
      <c r="J48" s="242"/>
      <c r="K48" s="78"/>
      <c r="L48" s="78" t="s">
        <v>56</v>
      </c>
      <c r="M48" s="173"/>
      <c r="N48" s="173"/>
      <c r="O48" s="173"/>
      <c r="P48" s="173"/>
      <c r="Q48" s="78"/>
      <c r="R48" s="81" t="s">
        <v>57</v>
      </c>
      <c r="S48" s="172"/>
      <c r="T48" s="172"/>
      <c r="V48" s="36"/>
    </row>
    <row r="49" spans="1:22" ht="13.8" customHeight="1" x14ac:dyDescent="0.25">
      <c r="A49" s="189"/>
      <c r="B49" s="31"/>
      <c r="C49" s="31"/>
      <c r="D49" s="31"/>
      <c r="E49" s="242"/>
      <c r="F49" s="242"/>
      <c r="G49" s="242"/>
      <c r="H49" s="242"/>
      <c r="I49" s="242"/>
      <c r="J49" s="242"/>
      <c r="K49" s="78"/>
      <c r="L49" s="78" t="s">
        <v>58</v>
      </c>
      <c r="M49" s="265"/>
      <c r="N49" s="265"/>
      <c r="O49" s="265"/>
      <c r="P49" s="265"/>
      <c r="Q49" s="78"/>
      <c r="R49" s="78"/>
      <c r="V49" s="36"/>
    </row>
    <row r="50" spans="1:22" ht="13.8" customHeight="1" x14ac:dyDescent="0.25">
      <c r="A50" s="189"/>
      <c r="B50" s="31"/>
      <c r="C50" s="31"/>
      <c r="D50" s="31"/>
      <c r="E50" s="242"/>
      <c r="F50" s="242"/>
      <c r="G50" s="242"/>
      <c r="H50" s="242"/>
      <c r="I50" s="242"/>
      <c r="J50" s="242"/>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848</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847</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846</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844</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3">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G38:G41"/>
    <mergeCell ref="H38:H41"/>
    <mergeCell ref="P17:P18"/>
    <mergeCell ref="I17:I18"/>
    <mergeCell ref="J17:L17"/>
    <mergeCell ref="M17:O17"/>
    <mergeCell ref="R18:T18"/>
    <mergeCell ref="R19:T19"/>
    <mergeCell ref="A17:C17"/>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B42:B43"/>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C30:C32"/>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s>
  <phoneticPr fontId="4" type="noConversion"/>
  <conditionalFormatting sqref="G42:H43">
    <cfRule type="expression" dxfId="5" priority="1">
      <formula>$G$42&lt;&gt;$H$42</formula>
    </cfRule>
  </conditionalFormatting>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topLeftCell="C1" zoomScaleSheetLayoutView="100" workbookViewId="0">
      <selection activeCell="L6" sqref="L6:S6"/>
    </sheetView>
  </sheetViews>
  <sheetFormatPr defaultColWidth="9.21875" defaultRowHeight="13.8" x14ac:dyDescent="0.25"/>
  <cols>
    <col min="1" max="1" width="18.77734375" style="37" customWidth="1"/>
    <col min="2" max="2" width="11.77734375" style="37" customWidth="1"/>
    <col min="3" max="4" width="11.44140625" style="37" customWidth="1"/>
    <col min="5" max="5" width="14.44140625" style="37" customWidth="1"/>
    <col min="6" max="6" width="9.77734375" style="37" customWidth="1"/>
    <col min="7" max="7" width="11.77734375" style="37" customWidth="1"/>
    <col min="8" max="8" width="12.21875" style="37" bestFit="1" customWidth="1"/>
    <col min="9" max="9" width="7.5546875" style="37" customWidth="1"/>
    <col min="10" max="11" width="9" style="37" customWidth="1"/>
    <col min="12" max="12" width="9.77734375" style="37" customWidth="1"/>
    <col min="13" max="13" width="8.44140625" style="37" customWidth="1"/>
    <col min="14" max="15" width="6.77734375" style="37" customWidth="1"/>
    <col min="16" max="16" width="11.5546875" style="37" customWidth="1"/>
    <col min="17" max="17" width="6.5546875" style="37" customWidth="1"/>
    <col min="18" max="18" width="7.21875" style="37" customWidth="1"/>
    <col min="19" max="19" width="6.77734375" style="37" customWidth="1"/>
    <col min="20" max="20" width="11.77734375" style="37" customWidth="1"/>
    <col min="21" max="21" width="13" style="37" customWidth="1"/>
    <col min="22" max="22" width="8.21875" style="37" customWidth="1"/>
    <col min="23" max="23" width="16.77734375" style="37" customWidth="1"/>
    <col min="24" max="24" width="10.21875" style="37" customWidth="1"/>
    <col min="25" max="28" width="9.21875" style="37"/>
    <col min="29" max="29" width="13.21875" style="37" customWidth="1"/>
    <col min="30" max="16384" width="9.21875" style="37"/>
  </cols>
  <sheetData>
    <row r="1" spans="1:603" ht="13.8" customHeight="1" x14ac:dyDescent="0.25">
      <c r="A1" s="232" t="s">
        <v>807</v>
      </c>
      <c r="B1" s="232"/>
      <c r="C1" s="232"/>
      <c r="D1" s="232"/>
      <c r="E1" s="232"/>
      <c r="F1" s="232"/>
      <c r="G1" s="232"/>
      <c r="H1" s="232"/>
      <c r="I1" s="232"/>
      <c r="J1" s="232"/>
      <c r="K1" s="232"/>
      <c r="L1" s="232"/>
      <c r="M1" s="232"/>
      <c r="N1" s="232"/>
      <c r="O1" s="232"/>
      <c r="P1" s="232"/>
      <c r="Q1" s="232"/>
      <c r="R1" s="232"/>
      <c r="S1" s="1" t="s">
        <v>66</v>
      </c>
      <c r="T1" s="1"/>
      <c r="U1" s="1"/>
      <c r="V1" s="36"/>
      <c r="W1" s="1"/>
      <c r="X1" s="1"/>
    </row>
    <row r="2" spans="1:603" ht="13.8" customHeight="1" x14ac:dyDescent="0.25">
      <c r="A2" s="232" t="s">
        <v>63</v>
      </c>
      <c r="B2" s="232"/>
      <c r="C2" s="232"/>
      <c r="D2" s="232"/>
      <c r="E2" s="232"/>
      <c r="F2" s="232"/>
      <c r="G2" s="232"/>
      <c r="H2" s="232"/>
      <c r="I2" s="232"/>
      <c r="J2" s="232"/>
      <c r="K2" s="232"/>
      <c r="L2" s="232"/>
      <c r="M2" s="232"/>
      <c r="N2" s="232"/>
      <c r="O2" s="232"/>
      <c r="P2" s="232"/>
      <c r="Q2" s="232"/>
      <c r="R2" s="232"/>
      <c r="S2" s="232"/>
      <c r="T2" s="232"/>
      <c r="U2" s="232"/>
      <c r="V2" s="38"/>
      <c r="W2" s="1"/>
      <c r="X2" s="1"/>
    </row>
    <row r="3" spans="1:603" ht="13.8" customHeight="1" x14ac:dyDescent="0.25">
      <c r="A3" s="232" t="s">
        <v>74</v>
      </c>
      <c r="B3" s="232"/>
      <c r="C3" s="232"/>
      <c r="D3" s="232"/>
      <c r="E3" s="232"/>
      <c r="F3" s="232"/>
      <c r="G3" s="232"/>
      <c r="H3" s="232"/>
      <c r="I3" s="232"/>
      <c r="J3" s="232"/>
      <c r="K3" s="232"/>
      <c r="L3" s="232"/>
      <c r="M3" s="232"/>
      <c r="N3" s="232"/>
      <c r="O3" s="232"/>
      <c r="P3" s="232"/>
      <c r="Q3" s="232"/>
      <c r="R3" s="232"/>
      <c r="S3" s="39"/>
      <c r="T3" s="39"/>
      <c r="U3" s="39"/>
      <c r="V3" s="38"/>
      <c r="W3" s="1"/>
      <c r="X3" s="1"/>
    </row>
    <row r="4" spans="1:603" ht="13.8" customHeight="1" x14ac:dyDescent="0.25">
      <c r="A4" s="234" t="s">
        <v>839</v>
      </c>
      <c r="B4" s="234"/>
      <c r="C4" s="234"/>
      <c r="D4" s="234"/>
      <c r="E4" s="234"/>
      <c r="F4" s="234"/>
      <c r="G4" s="234"/>
      <c r="H4" s="234"/>
      <c r="I4" s="234"/>
      <c r="J4" s="234"/>
      <c r="K4" s="234"/>
      <c r="L4" s="234"/>
      <c r="M4" s="234"/>
      <c r="N4" s="234"/>
      <c r="O4" s="234"/>
      <c r="P4" s="234"/>
      <c r="Q4" s="234"/>
      <c r="R4" s="234"/>
      <c r="S4" s="234"/>
      <c r="T4" s="234"/>
      <c r="U4" s="234"/>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87">
        <f>'DR-TB 10A (Sputum &amp; EP Sample)'!C6:G6</f>
        <v>0</v>
      </c>
      <c r="D6" s="287"/>
      <c r="E6" s="287"/>
      <c r="F6" s="287"/>
      <c r="G6" s="287"/>
      <c r="I6" s="1"/>
      <c r="J6" s="41" t="s">
        <v>14</v>
      </c>
      <c r="L6" s="175" t="str">
        <f>'DR-TB 10A (Sputum &amp; EP Sample)'!L6</f>
        <v>&lt;Dates&gt;</v>
      </c>
      <c r="M6" s="175"/>
      <c r="N6" s="175"/>
      <c r="O6" s="175"/>
      <c r="P6" s="175"/>
      <c r="Q6" s="175"/>
      <c r="R6" s="175"/>
      <c r="S6" s="400"/>
    </row>
    <row r="7" spans="1:603" ht="15.75" customHeight="1" x14ac:dyDescent="0.25">
      <c r="A7" s="40" t="s">
        <v>9</v>
      </c>
      <c r="B7" s="40"/>
      <c r="C7" s="284">
        <f>'DR-TB 10A (Sputum &amp; EP Sample)'!C7:G7</f>
        <v>0</v>
      </c>
      <c r="D7" s="284"/>
      <c r="E7" s="284"/>
      <c r="F7" s="284"/>
      <c r="G7" s="284"/>
      <c r="I7" s="42"/>
      <c r="J7" s="43" t="s">
        <v>65</v>
      </c>
      <c r="K7" s="43"/>
      <c r="L7" s="43"/>
      <c r="M7" s="43"/>
      <c r="N7" s="285">
        <f>'DR-TB 10A (Sputum &amp; EP Sample)'!N7</f>
        <v>0</v>
      </c>
      <c r="O7" s="285"/>
      <c r="P7" s="285"/>
      <c r="Q7" s="285"/>
      <c r="R7" s="285"/>
      <c r="S7" s="285"/>
      <c r="V7" s="36"/>
    </row>
    <row r="8" spans="1:603" ht="15.75" customHeight="1" x14ac:dyDescent="0.25">
      <c r="A8" s="40" t="s">
        <v>10</v>
      </c>
      <c r="B8" s="40"/>
      <c r="C8" s="284">
        <f>'DR-TB 10A (Sputum &amp; EP Sample)'!C8:G8</f>
        <v>0</v>
      </c>
      <c r="D8" s="284"/>
      <c r="E8" s="284"/>
      <c r="F8" s="284"/>
      <c r="G8" s="284"/>
      <c r="I8" s="42"/>
      <c r="J8" s="43" t="s">
        <v>64</v>
      </c>
      <c r="K8" s="43"/>
      <c r="L8" s="43"/>
      <c r="M8" s="285">
        <f>'DR-TB 10A (Sputum &amp; EP Sample)'!M8</f>
        <v>0</v>
      </c>
      <c r="N8" s="285"/>
      <c r="O8" s="285"/>
      <c r="P8" s="285"/>
      <c r="Q8" s="285"/>
      <c r="R8" s="285"/>
      <c r="S8" s="285"/>
      <c r="V8" s="36"/>
    </row>
    <row r="9" spans="1:603" ht="15.75" customHeight="1" x14ac:dyDescent="0.25">
      <c r="A9" s="40" t="s">
        <v>763</v>
      </c>
      <c r="C9" s="171"/>
      <c r="D9" s="171"/>
      <c r="E9" s="171"/>
      <c r="F9" s="171"/>
      <c r="G9" s="171"/>
      <c r="J9" s="43" t="s">
        <v>11</v>
      </c>
      <c r="K9" s="43"/>
      <c r="L9" s="43"/>
      <c r="M9" s="286">
        <f>'DR-TB 10A (Sputum &amp; EP Sample)'!M9</f>
        <v>0</v>
      </c>
      <c r="N9" s="286"/>
      <c r="O9" s="44"/>
      <c r="P9" s="9"/>
      <c r="V9" s="36"/>
    </row>
    <row r="10" spans="1:603" ht="15.75" customHeight="1" x14ac:dyDescent="0.3">
      <c r="J10" s="45" t="s">
        <v>69</v>
      </c>
      <c r="K10" s="288">
        <f>'DR-TB 10A (Sputum &amp; EP Sample)'!K10:L10</f>
        <v>0</v>
      </c>
      <c r="L10" s="288"/>
      <c r="M10" s="45"/>
      <c r="N10" s="46"/>
      <c r="O10" s="43"/>
      <c r="P10" s="37" t="s">
        <v>845</v>
      </c>
      <c r="Q10" s="289">
        <f>'DR-TB 10A (Sputum &amp; EP Sample)'!Q10:S10</f>
        <v>0</v>
      </c>
      <c r="R10" s="290"/>
      <c r="S10" s="290"/>
      <c r="V10" s="36"/>
    </row>
    <row r="11" spans="1:603" s="46" customFormat="1" ht="14.25" customHeight="1" thickBot="1" x14ac:dyDescent="0.35">
      <c r="A11" s="1" t="s">
        <v>0</v>
      </c>
      <c r="B11" s="47"/>
      <c r="C11" s="47"/>
      <c r="D11" s="47"/>
      <c r="E11" s="47"/>
      <c r="F11" s="37"/>
      <c r="V11" s="48"/>
    </row>
    <row r="12" spans="1:603" s="49" customFormat="1" ht="13.8" customHeight="1" x14ac:dyDescent="0.3">
      <c r="A12" s="210" t="s">
        <v>68</v>
      </c>
      <c r="B12" s="211"/>
      <c r="C12" s="212"/>
      <c r="D12" s="204" t="s">
        <v>77</v>
      </c>
      <c r="E12" s="204"/>
      <c r="F12" s="204"/>
      <c r="G12" s="204"/>
      <c r="H12" s="10">
        <f>D27+E40</f>
        <v>0</v>
      </c>
      <c r="I12" s="46"/>
      <c r="J12" s="239" t="s">
        <v>752</v>
      </c>
      <c r="K12" s="240"/>
      <c r="L12" s="240"/>
      <c r="M12" s="241"/>
      <c r="N12" s="239" t="s">
        <v>753</v>
      </c>
      <c r="O12" s="240"/>
      <c r="P12" s="240"/>
      <c r="Q12" s="240"/>
      <c r="R12" s="240"/>
      <c r="S12" s="240"/>
      <c r="T12" s="240"/>
      <c r="U12" s="24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13"/>
      <c r="B13" s="214"/>
      <c r="C13" s="215"/>
      <c r="D13" s="205" t="s">
        <v>71</v>
      </c>
      <c r="E13" s="205"/>
      <c r="F13" s="205"/>
      <c r="G13" s="205"/>
      <c r="H13" s="11">
        <f>U27</f>
        <v>0</v>
      </c>
      <c r="J13" s="164" t="s">
        <v>699</v>
      </c>
      <c r="K13" s="164"/>
      <c r="L13" s="164"/>
      <c r="M13" s="140">
        <f>'DR-TB 10A (Sputum &amp; EP Sample)'!M13</f>
        <v>0</v>
      </c>
      <c r="N13" s="51" t="s">
        <v>754</v>
      </c>
      <c r="O13" s="51"/>
      <c r="P13" s="51"/>
      <c r="Q13" s="140">
        <f>'DR-TB 10A (Sputum &amp; EP Sample)'!Q13</f>
        <v>0</v>
      </c>
      <c r="R13" s="274" t="s">
        <v>755</v>
      </c>
      <c r="S13" s="274"/>
      <c r="T13" s="274"/>
      <c r="U13" s="140">
        <f>'DR-TB 10A (Sputum &amp; EP Sample)'!U13</f>
        <v>0</v>
      </c>
      <c r="V13" s="48"/>
    </row>
    <row r="14" spans="1:603" s="46" customFormat="1" ht="12.75" customHeight="1" thickBot="1" x14ac:dyDescent="0.35">
      <c r="A14" s="216"/>
      <c r="B14" s="217"/>
      <c r="C14" s="218"/>
      <c r="D14" s="206" t="s">
        <v>3</v>
      </c>
      <c r="E14" s="206"/>
      <c r="F14" s="206"/>
      <c r="G14" s="206"/>
      <c r="H14" s="12">
        <f>H12+H13</f>
        <v>0</v>
      </c>
      <c r="J14" s="164" t="s">
        <v>701</v>
      </c>
      <c r="K14" s="164"/>
      <c r="L14" s="164"/>
      <c r="M14" s="140">
        <f>'DR-TB 10A (Sputum &amp; EP Sample)'!M14</f>
        <v>0</v>
      </c>
      <c r="N14" s="51" t="s">
        <v>756</v>
      </c>
      <c r="O14" s="51"/>
      <c r="P14" s="51"/>
      <c r="Q14" s="140">
        <f>'DR-TB 10A (Sputum &amp; EP Sample)'!Q14</f>
        <v>0</v>
      </c>
      <c r="R14" s="274" t="s">
        <v>757</v>
      </c>
      <c r="S14" s="274"/>
      <c r="T14" s="274"/>
      <c r="U14" s="140">
        <f>'DR-TB 10A (Sputum &amp; EP Sample)'!U14</f>
        <v>0</v>
      </c>
      <c r="V14" s="48"/>
    </row>
    <row r="15" spans="1:603" s="49" customFormat="1" ht="15" thickBot="1" x14ac:dyDescent="0.35">
      <c r="A15" s="3"/>
      <c r="B15" s="47"/>
      <c r="C15" s="47"/>
      <c r="D15" s="47"/>
      <c r="E15" s="47"/>
      <c r="F15" s="37"/>
      <c r="G15" s="46"/>
      <c r="H15" s="46"/>
      <c r="I15" s="46"/>
      <c r="J15" s="233" t="s">
        <v>700</v>
      </c>
      <c r="K15" s="233"/>
      <c r="L15" s="233"/>
      <c r="M15" s="140">
        <f>'DR-TB 10A (Sputum &amp; EP Sample)'!M15</f>
        <v>0</v>
      </c>
      <c r="N15" s="52" t="s">
        <v>758</v>
      </c>
      <c r="O15" s="52"/>
      <c r="P15" s="52"/>
      <c r="Q15" s="140">
        <f>'DR-TB 10A (Sputum &amp; EP Sample)'!Q15</f>
        <v>0</v>
      </c>
      <c r="R15" s="275" t="s">
        <v>759</v>
      </c>
      <c r="S15" s="275"/>
      <c r="T15" s="275"/>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9" t="s">
        <v>59</v>
      </c>
      <c r="B16" s="230"/>
      <c r="C16" s="231"/>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219" t="s">
        <v>60</v>
      </c>
      <c r="B17" s="219"/>
      <c r="C17" s="219"/>
      <c r="D17" s="13">
        <f>D30+E42-D33-E44</f>
        <v>0</v>
      </c>
      <c r="E17" s="13">
        <f>+U30-U33</f>
        <v>0</v>
      </c>
      <c r="F17" s="14">
        <f>+E17+D17</f>
        <v>0</v>
      </c>
      <c r="G17" s="127"/>
      <c r="H17" s="128"/>
      <c r="I17" s="291" t="s">
        <v>820</v>
      </c>
      <c r="J17" s="292" t="s">
        <v>75</v>
      </c>
      <c r="K17" s="292"/>
      <c r="L17" s="292"/>
      <c r="M17" s="293" t="s">
        <v>67</v>
      </c>
      <c r="N17" s="293"/>
      <c r="O17" s="293"/>
      <c r="P17" s="293" t="s">
        <v>3</v>
      </c>
      <c r="Q17" s="170"/>
      <c r="R17" s="165" t="s">
        <v>760</v>
      </c>
      <c r="S17" s="165"/>
      <c r="T17" s="165"/>
      <c r="U17" s="141">
        <f>'DR-TB 10A (Sputum &amp; EP Sample)'!U17</f>
        <v>0</v>
      </c>
    </row>
    <row r="18" spans="1:22" s="46" customFormat="1" ht="17.55" customHeight="1" x14ac:dyDescent="0.3">
      <c r="A18" s="219" t="s">
        <v>61</v>
      </c>
      <c r="B18" s="219"/>
      <c r="C18" s="219"/>
      <c r="D18" s="15">
        <f>D33+E44</f>
        <v>0</v>
      </c>
      <c r="E18" s="16">
        <f>U33</f>
        <v>0</v>
      </c>
      <c r="F18" s="14">
        <f>+E18+D18</f>
        <v>0</v>
      </c>
      <c r="G18" s="127"/>
      <c r="H18" s="128"/>
      <c r="I18" s="291"/>
      <c r="J18" s="136" t="s">
        <v>817</v>
      </c>
      <c r="K18" s="136" t="s">
        <v>818</v>
      </c>
      <c r="L18" s="136" t="s">
        <v>819</v>
      </c>
      <c r="M18" s="136" t="s">
        <v>817</v>
      </c>
      <c r="N18" s="136" t="s">
        <v>818</v>
      </c>
      <c r="O18" s="136" t="s">
        <v>819</v>
      </c>
      <c r="P18" s="293"/>
      <c r="Q18" s="170"/>
      <c r="R18" s="165" t="s">
        <v>761</v>
      </c>
      <c r="S18" s="165"/>
      <c r="T18" s="165"/>
      <c r="U18" s="141">
        <f>'DR-TB 10A (Sputum &amp; EP Sample)'!U18</f>
        <v>0</v>
      </c>
    </row>
    <row r="19" spans="1:22" s="46" customFormat="1" ht="13.8" customHeight="1" x14ac:dyDescent="0.3">
      <c r="A19" s="219" t="s">
        <v>62</v>
      </c>
      <c r="B19" s="219"/>
      <c r="C19" s="219"/>
      <c r="D19" s="6"/>
      <c r="E19" s="8"/>
      <c r="F19" s="14">
        <f>+E19+D19</f>
        <v>0</v>
      </c>
      <c r="G19" s="127"/>
      <c r="H19" s="128"/>
      <c r="I19" s="131" t="s">
        <v>815</v>
      </c>
      <c r="J19" s="134"/>
      <c r="K19" s="134"/>
      <c r="L19" s="134"/>
      <c r="M19" s="134"/>
      <c r="N19" s="134"/>
      <c r="O19" s="134"/>
      <c r="P19" s="132">
        <f>J19+K19+L19+M19+N19+O19</f>
        <v>0</v>
      </c>
      <c r="Q19" s="130"/>
      <c r="R19" s="165" t="s">
        <v>762</v>
      </c>
      <c r="S19" s="165"/>
      <c r="T19" s="165"/>
      <c r="U19" s="141">
        <f>'DR-TB 10A (Sputum &amp; EP Sample)'!U19</f>
        <v>0</v>
      </c>
    </row>
    <row r="20" spans="1:22" s="46" customFormat="1" ht="13.8" customHeight="1" x14ac:dyDescent="0.3">
      <c r="A20" s="219" t="s">
        <v>814</v>
      </c>
      <c r="B20" s="219"/>
      <c r="C20" s="219"/>
      <c r="D20" s="124"/>
      <c r="E20" s="125"/>
      <c r="F20" s="14">
        <f>+E20+D20</f>
        <v>0</v>
      </c>
      <c r="I20" s="131" t="s">
        <v>816</v>
      </c>
      <c r="J20" s="134"/>
      <c r="K20" s="134"/>
      <c r="L20" s="134"/>
      <c r="M20" s="134"/>
      <c r="N20" s="134"/>
      <c r="O20" s="134"/>
      <c r="P20" s="132">
        <f>J20+K20+L20+M20+N20+O20</f>
        <v>0</v>
      </c>
      <c r="Q20" s="130"/>
      <c r="T20" s="129"/>
      <c r="U20" s="126"/>
    </row>
    <row r="21" spans="1:22" s="46" customFormat="1" ht="13.8" customHeight="1" thickBot="1" x14ac:dyDescent="0.35">
      <c r="A21" s="219" t="s">
        <v>813</v>
      </c>
      <c r="B21" s="219"/>
      <c r="C21" s="219"/>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3" customHeight="1" thickBot="1" x14ac:dyDescent="0.3">
      <c r="A23" s="1" t="s">
        <v>8</v>
      </c>
      <c r="B23" s="1"/>
      <c r="C23" s="1"/>
      <c r="D23" s="1"/>
      <c r="E23" s="60"/>
      <c r="V23" s="36"/>
    </row>
    <row r="24" spans="1:22" ht="13.8" customHeight="1" x14ac:dyDescent="0.25">
      <c r="A24" s="226" t="s">
        <v>1</v>
      </c>
      <c r="B24" s="223" t="s">
        <v>78</v>
      </c>
      <c r="C24" s="224"/>
      <c r="D24" s="225"/>
      <c r="E24" s="156" t="s">
        <v>15</v>
      </c>
      <c r="F24" s="157"/>
      <c r="G24" s="157"/>
      <c r="H24" s="157"/>
      <c r="I24" s="157"/>
      <c r="J24" s="157"/>
      <c r="K24" s="157"/>
      <c r="L24" s="157"/>
      <c r="M24" s="157"/>
      <c r="N24" s="157"/>
      <c r="O24" s="157"/>
      <c r="P24" s="157"/>
      <c r="Q24" s="157"/>
      <c r="R24" s="157"/>
      <c r="S24" s="157"/>
      <c r="T24" s="157"/>
      <c r="U24" s="179" t="s">
        <v>764</v>
      </c>
      <c r="V24" s="36"/>
    </row>
    <row r="25" spans="1:22" ht="76.5" customHeight="1" x14ac:dyDescent="0.25">
      <c r="A25" s="227"/>
      <c r="B25" s="21" t="s">
        <v>43</v>
      </c>
      <c r="C25" s="4" t="s">
        <v>44</v>
      </c>
      <c r="D25" s="221" t="s">
        <v>765</v>
      </c>
      <c r="E25" s="61" t="s">
        <v>18</v>
      </c>
      <c r="F25" s="62" t="s">
        <v>19</v>
      </c>
      <c r="G25" s="62" t="s">
        <v>20</v>
      </c>
      <c r="H25" s="62" t="s">
        <v>22</v>
      </c>
      <c r="I25" s="62" t="s">
        <v>24</v>
      </c>
      <c r="J25" s="62" t="s">
        <v>26</v>
      </c>
      <c r="K25" s="62" t="s">
        <v>28</v>
      </c>
      <c r="L25" s="62" t="s">
        <v>30</v>
      </c>
      <c r="M25" s="162" t="s">
        <v>32</v>
      </c>
      <c r="N25" s="162"/>
      <c r="O25" s="162"/>
      <c r="P25" s="162" t="s">
        <v>34</v>
      </c>
      <c r="Q25" s="162"/>
      <c r="R25" s="162"/>
      <c r="S25" s="273" t="s">
        <v>766</v>
      </c>
      <c r="T25" s="273"/>
      <c r="U25" s="180"/>
      <c r="V25" s="36"/>
    </row>
    <row r="26" spans="1:22" ht="22.5" customHeight="1" thickBot="1" x14ac:dyDescent="0.3">
      <c r="A26" s="228"/>
      <c r="B26" s="63" t="s">
        <v>16</v>
      </c>
      <c r="C26" s="64" t="s">
        <v>17</v>
      </c>
      <c r="D26" s="222"/>
      <c r="E26" s="63" t="s">
        <v>21</v>
      </c>
      <c r="F26" s="64" t="s">
        <v>23</v>
      </c>
      <c r="G26" s="64" t="s">
        <v>25</v>
      </c>
      <c r="H26" s="64" t="s">
        <v>27</v>
      </c>
      <c r="I26" s="64" t="s">
        <v>29</v>
      </c>
      <c r="J26" s="64" t="s">
        <v>31</v>
      </c>
      <c r="K26" s="64" t="s">
        <v>33</v>
      </c>
      <c r="L26" s="64" t="s">
        <v>35</v>
      </c>
      <c r="M26" s="163" t="s">
        <v>36</v>
      </c>
      <c r="N26" s="163"/>
      <c r="O26" s="163"/>
      <c r="P26" s="163" t="s">
        <v>72</v>
      </c>
      <c r="Q26" s="163"/>
      <c r="R26" s="163"/>
      <c r="S26" s="163" t="s">
        <v>73</v>
      </c>
      <c r="T26" s="163"/>
      <c r="U26" s="181"/>
      <c r="V26" s="36"/>
    </row>
    <row r="27" spans="1:22" ht="13.8" customHeight="1" x14ac:dyDescent="0.25">
      <c r="A27" s="235" t="s">
        <v>70</v>
      </c>
      <c r="B27" s="244"/>
      <c r="C27" s="271"/>
      <c r="D27" s="266">
        <f>B27+C27</f>
        <v>0</v>
      </c>
      <c r="E27" s="201"/>
      <c r="F27" s="158"/>
      <c r="G27" s="158"/>
      <c r="H27" s="158"/>
      <c r="I27" s="158"/>
      <c r="J27" s="158"/>
      <c r="K27" s="158"/>
      <c r="L27" s="158"/>
      <c r="M27" s="191" t="s">
        <v>37</v>
      </c>
      <c r="N27" s="192"/>
      <c r="O27" s="65"/>
      <c r="P27" s="191" t="s">
        <v>37</v>
      </c>
      <c r="Q27" s="192"/>
      <c r="R27" s="65"/>
      <c r="S27" s="167">
        <f>M41+M42+M43+N41+N42+N43+O41+O42</f>
        <v>0</v>
      </c>
      <c r="T27" s="167"/>
      <c r="U27" s="182">
        <f>E27+F27+G27+H27+I27+J27+K27+L27+O27+O28+O29+R27+R28+R29+S27</f>
        <v>0</v>
      </c>
      <c r="V27" s="36"/>
    </row>
    <row r="28" spans="1:22" ht="13.8" customHeight="1" x14ac:dyDescent="0.25">
      <c r="A28" s="236"/>
      <c r="B28" s="245"/>
      <c r="C28" s="198"/>
      <c r="D28" s="267"/>
      <c r="E28" s="202"/>
      <c r="F28" s="159"/>
      <c r="G28" s="159"/>
      <c r="H28" s="159"/>
      <c r="I28" s="159"/>
      <c r="J28" s="159"/>
      <c r="K28" s="159"/>
      <c r="L28" s="159"/>
      <c r="M28" s="160" t="s">
        <v>13</v>
      </c>
      <c r="N28" s="161"/>
      <c r="O28" s="66"/>
      <c r="P28" s="160" t="s">
        <v>13</v>
      </c>
      <c r="Q28" s="161"/>
      <c r="R28" s="66"/>
      <c r="S28" s="168"/>
      <c r="T28" s="168"/>
      <c r="U28" s="183"/>
      <c r="V28" s="36"/>
    </row>
    <row r="29" spans="1:22" ht="13.8" customHeight="1" x14ac:dyDescent="0.25">
      <c r="A29" s="236"/>
      <c r="B29" s="246"/>
      <c r="C29" s="199"/>
      <c r="D29" s="268"/>
      <c r="E29" s="202"/>
      <c r="F29" s="159"/>
      <c r="G29" s="159"/>
      <c r="H29" s="159"/>
      <c r="I29" s="159"/>
      <c r="J29" s="159"/>
      <c r="K29" s="159"/>
      <c r="L29" s="159"/>
      <c r="M29" s="160" t="s">
        <v>46</v>
      </c>
      <c r="N29" s="161"/>
      <c r="O29" s="66"/>
      <c r="P29" s="160" t="s">
        <v>46</v>
      </c>
      <c r="Q29" s="161"/>
      <c r="R29" s="66"/>
      <c r="S29" s="168"/>
      <c r="T29" s="168"/>
      <c r="U29" s="183"/>
      <c r="V29" s="36"/>
    </row>
    <row r="30" spans="1:22" ht="13.8" customHeight="1" x14ac:dyDescent="0.25">
      <c r="A30" s="236" t="s">
        <v>4</v>
      </c>
      <c r="B30" s="247"/>
      <c r="C30" s="197"/>
      <c r="D30" s="269">
        <f>B30+C30</f>
        <v>0</v>
      </c>
      <c r="E30" s="202"/>
      <c r="F30" s="159"/>
      <c r="G30" s="159"/>
      <c r="H30" s="159"/>
      <c r="I30" s="159"/>
      <c r="J30" s="159"/>
      <c r="K30" s="159"/>
      <c r="L30" s="159"/>
      <c r="M30" s="160" t="s">
        <v>37</v>
      </c>
      <c r="N30" s="161"/>
      <c r="O30" s="66"/>
      <c r="P30" s="160" t="s">
        <v>37</v>
      </c>
      <c r="Q30" s="161"/>
      <c r="R30" s="66"/>
      <c r="S30" s="168">
        <f>P41+P42+P43+Q41+Q42+Q43+R41+R42</f>
        <v>0</v>
      </c>
      <c r="T30" s="168"/>
      <c r="U30" s="183">
        <f>E30+F30+G30+H30+I30+J30+K30+L30+O30+O31+O32+R30+R31+R32+S30</f>
        <v>0</v>
      </c>
      <c r="V30" s="36"/>
    </row>
    <row r="31" spans="1:22" ht="13.8" customHeight="1" x14ac:dyDescent="0.25">
      <c r="A31" s="236"/>
      <c r="B31" s="245"/>
      <c r="C31" s="198"/>
      <c r="D31" s="267"/>
      <c r="E31" s="202"/>
      <c r="F31" s="159"/>
      <c r="G31" s="159"/>
      <c r="H31" s="159"/>
      <c r="I31" s="159"/>
      <c r="J31" s="159"/>
      <c r="K31" s="159"/>
      <c r="L31" s="159"/>
      <c r="M31" s="160" t="s">
        <v>13</v>
      </c>
      <c r="N31" s="161"/>
      <c r="O31" s="66"/>
      <c r="P31" s="160" t="s">
        <v>13</v>
      </c>
      <c r="Q31" s="161"/>
      <c r="R31" s="66"/>
      <c r="S31" s="168"/>
      <c r="T31" s="168"/>
      <c r="U31" s="183"/>
      <c r="V31" s="36"/>
    </row>
    <row r="32" spans="1:22" ht="13.8" customHeight="1" x14ac:dyDescent="0.25">
      <c r="A32" s="236"/>
      <c r="B32" s="246"/>
      <c r="C32" s="199"/>
      <c r="D32" s="268"/>
      <c r="E32" s="202"/>
      <c r="F32" s="159"/>
      <c r="G32" s="159"/>
      <c r="H32" s="159"/>
      <c r="I32" s="159"/>
      <c r="J32" s="159"/>
      <c r="K32" s="159"/>
      <c r="L32" s="159"/>
      <c r="M32" s="160" t="s">
        <v>46</v>
      </c>
      <c r="N32" s="161"/>
      <c r="O32" s="66"/>
      <c r="P32" s="160" t="s">
        <v>46</v>
      </c>
      <c r="Q32" s="161"/>
      <c r="R32" s="66"/>
      <c r="S32" s="168"/>
      <c r="T32" s="168"/>
      <c r="U32" s="183"/>
      <c r="V32" s="36"/>
    </row>
    <row r="33" spans="1:24" ht="13.8" customHeight="1" x14ac:dyDescent="0.25">
      <c r="A33" s="236" t="s">
        <v>5</v>
      </c>
      <c r="B33" s="247"/>
      <c r="C33" s="197"/>
      <c r="D33" s="269">
        <f>B33+C33</f>
        <v>0</v>
      </c>
      <c r="E33" s="202"/>
      <c r="F33" s="159"/>
      <c r="G33" s="159"/>
      <c r="H33" s="159"/>
      <c r="I33" s="159"/>
      <c r="J33" s="159"/>
      <c r="K33" s="159"/>
      <c r="L33" s="159"/>
      <c r="M33" s="160" t="s">
        <v>37</v>
      </c>
      <c r="N33" s="161"/>
      <c r="O33" s="66"/>
      <c r="P33" s="160" t="s">
        <v>37</v>
      </c>
      <c r="Q33" s="161"/>
      <c r="R33" s="66"/>
      <c r="S33" s="168">
        <f>S41+S42+S43+T41+T42+T43+U41+U42</f>
        <v>0</v>
      </c>
      <c r="T33" s="168"/>
      <c r="U33" s="183">
        <f>E33+F33+G33+H33+I33+J33+K33+L33+O33+O34+O35+R33+R34+R35+S33</f>
        <v>0</v>
      </c>
      <c r="V33" s="36"/>
    </row>
    <row r="34" spans="1:24" ht="13.8" customHeight="1" x14ac:dyDescent="0.25">
      <c r="A34" s="236"/>
      <c r="B34" s="245"/>
      <c r="C34" s="198"/>
      <c r="D34" s="267"/>
      <c r="E34" s="202"/>
      <c r="F34" s="159"/>
      <c r="G34" s="159"/>
      <c r="H34" s="159"/>
      <c r="I34" s="159"/>
      <c r="J34" s="159"/>
      <c r="K34" s="159"/>
      <c r="L34" s="159"/>
      <c r="M34" s="160" t="s">
        <v>13</v>
      </c>
      <c r="N34" s="161"/>
      <c r="O34" s="66"/>
      <c r="P34" s="160" t="s">
        <v>13</v>
      </c>
      <c r="Q34" s="161"/>
      <c r="R34" s="66"/>
      <c r="S34" s="168"/>
      <c r="T34" s="168"/>
      <c r="U34" s="183"/>
      <c r="V34" s="36"/>
    </row>
    <row r="35" spans="1:24" ht="13.8" customHeight="1" thickBot="1" x14ac:dyDescent="0.3">
      <c r="A35" s="237"/>
      <c r="B35" s="248"/>
      <c r="C35" s="200"/>
      <c r="D35" s="270"/>
      <c r="E35" s="238"/>
      <c r="F35" s="190"/>
      <c r="G35" s="190"/>
      <c r="H35" s="190"/>
      <c r="I35" s="190"/>
      <c r="J35" s="190"/>
      <c r="K35" s="190"/>
      <c r="L35" s="190"/>
      <c r="M35" s="154" t="s">
        <v>46</v>
      </c>
      <c r="N35" s="155"/>
      <c r="O35" s="67"/>
      <c r="P35" s="154" t="s">
        <v>46</v>
      </c>
      <c r="Q35" s="155"/>
      <c r="R35" s="67"/>
      <c r="S35" s="272"/>
      <c r="T35" s="272"/>
      <c r="U35" s="184"/>
      <c r="V35" s="36"/>
    </row>
    <row r="36" spans="1:24" ht="4.8" customHeight="1" x14ac:dyDescent="0.25">
      <c r="V36" s="36"/>
    </row>
    <row r="37" spans="1:24" ht="13.8" customHeight="1" thickBot="1" x14ac:dyDescent="0.3">
      <c r="A37" s="1" t="s">
        <v>38</v>
      </c>
      <c r="B37" s="1"/>
      <c r="C37" s="1"/>
      <c r="D37" s="1"/>
      <c r="V37" s="36"/>
    </row>
    <row r="38" spans="1:24" ht="11.25" customHeight="1" x14ac:dyDescent="0.25">
      <c r="A38" s="207" t="s">
        <v>42</v>
      </c>
      <c r="B38" s="208"/>
      <c r="C38" s="208"/>
      <c r="D38" s="208"/>
      <c r="E38" s="209"/>
      <c r="F38" s="68"/>
      <c r="G38" s="294" t="s">
        <v>821</v>
      </c>
      <c r="H38" s="295" t="s">
        <v>822</v>
      </c>
      <c r="J38" s="193" t="s">
        <v>47</v>
      </c>
      <c r="K38" s="194"/>
      <c r="L38" s="194"/>
      <c r="M38" s="194"/>
      <c r="N38" s="194"/>
      <c r="O38" s="194"/>
      <c r="P38" s="194"/>
      <c r="Q38" s="194"/>
      <c r="R38" s="194"/>
      <c r="S38" s="194"/>
      <c r="T38" s="194"/>
      <c r="U38" s="195"/>
      <c r="V38" s="36"/>
    </row>
    <row r="39" spans="1:24" ht="12.75" customHeight="1" x14ac:dyDescent="0.25">
      <c r="A39" s="69"/>
      <c r="B39" s="70" t="s">
        <v>43</v>
      </c>
      <c r="C39" s="70" t="s">
        <v>44</v>
      </c>
      <c r="D39" s="70" t="s">
        <v>45</v>
      </c>
      <c r="E39" s="71" t="s">
        <v>3</v>
      </c>
      <c r="G39" s="294"/>
      <c r="H39" s="296"/>
      <c r="J39" s="253" t="s">
        <v>2</v>
      </c>
      <c r="K39" s="254"/>
      <c r="L39" s="255"/>
      <c r="M39" s="196" t="s">
        <v>6</v>
      </c>
      <c r="N39" s="196"/>
      <c r="O39" s="196"/>
      <c r="P39" s="196" t="s">
        <v>4</v>
      </c>
      <c r="Q39" s="196"/>
      <c r="R39" s="196"/>
      <c r="S39" s="196" t="s">
        <v>5</v>
      </c>
      <c r="T39" s="196"/>
      <c r="U39" s="276"/>
      <c r="V39" s="36"/>
    </row>
    <row r="40" spans="1:24" ht="15.6" customHeight="1" x14ac:dyDescent="0.25">
      <c r="A40" s="220" t="s">
        <v>39</v>
      </c>
      <c r="B40" s="185"/>
      <c r="C40" s="185"/>
      <c r="D40" s="185"/>
      <c r="E40" s="187">
        <f>B40+C40+D40</f>
        <v>0</v>
      </c>
      <c r="F40" s="189"/>
      <c r="G40" s="294"/>
      <c r="H40" s="296"/>
      <c r="J40" s="256"/>
      <c r="K40" s="257"/>
      <c r="L40" s="258"/>
      <c r="M40" s="70" t="s">
        <v>48</v>
      </c>
      <c r="N40" s="70" t="s">
        <v>7</v>
      </c>
      <c r="O40" s="70" t="s">
        <v>49</v>
      </c>
      <c r="P40" s="70" t="s">
        <v>48</v>
      </c>
      <c r="Q40" s="70" t="s">
        <v>7</v>
      </c>
      <c r="R40" s="70" t="s">
        <v>49</v>
      </c>
      <c r="S40" s="70" t="s">
        <v>48</v>
      </c>
      <c r="T40" s="70" t="s">
        <v>7</v>
      </c>
      <c r="U40" s="71" t="s">
        <v>49</v>
      </c>
      <c r="V40" s="36"/>
    </row>
    <row r="41" spans="1:24" ht="15" customHeight="1" x14ac:dyDescent="0.25">
      <c r="A41" s="220"/>
      <c r="B41" s="203"/>
      <c r="C41" s="203"/>
      <c r="D41" s="203"/>
      <c r="E41" s="187"/>
      <c r="F41" s="189"/>
      <c r="G41" s="294"/>
      <c r="H41" s="297"/>
      <c r="J41" s="259" t="s">
        <v>50</v>
      </c>
      <c r="K41" s="260"/>
      <c r="L41" s="261"/>
      <c r="M41" s="72"/>
      <c r="N41" s="72"/>
      <c r="O41" s="72"/>
      <c r="P41" s="72"/>
      <c r="Q41" s="72"/>
      <c r="R41" s="72"/>
      <c r="S41" s="72"/>
      <c r="T41" s="72"/>
      <c r="U41" s="73"/>
      <c r="V41" s="36"/>
    </row>
    <row r="42" spans="1:24" ht="13.8" customHeight="1" x14ac:dyDescent="0.25">
      <c r="A42" s="220" t="s">
        <v>40</v>
      </c>
      <c r="B42" s="185"/>
      <c r="C42" s="185"/>
      <c r="D42" s="185"/>
      <c r="E42" s="187">
        <f>B42+C42+D42</f>
        <v>0</v>
      </c>
      <c r="F42" s="189"/>
      <c r="G42" s="298">
        <f>F18+E17</f>
        <v>0</v>
      </c>
      <c r="H42" s="299"/>
      <c r="J42" s="259" t="s">
        <v>51</v>
      </c>
      <c r="K42" s="260"/>
      <c r="L42" s="261"/>
      <c r="M42" s="72"/>
      <c r="N42" s="72"/>
      <c r="O42" s="72"/>
      <c r="P42" s="72"/>
      <c r="Q42" s="72"/>
      <c r="R42" s="72"/>
      <c r="S42" s="72"/>
      <c r="T42" s="72"/>
      <c r="U42" s="73"/>
      <c r="V42" s="36"/>
    </row>
    <row r="43" spans="1:24" ht="13.8" customHeight="1" thickBot="1" x14ac:dyDescent="0.3">
      <c r="A43" s="220"/>
      <c r="B43" s="203"/>
      <c r="C43" s="203"/>
      <c r="D43" s="203"/>
      <c r="E43" s="187"/>
      <c r="F43" s="189"/>
      <c r="G43" s="298"/>
      <c r="H43" s="299"/>
      <c r="J43" s="262" t="s">
        <v>52</v>
      </c>
      <c r="K43" s="263"/>
      <c r="L43" s="264"/>
      <c r="M43" s="74"/>
      <c r="N43" s="74"/>
      <c r="O43" s="75"/>
      <c r="P43" s="74"/>
      <c r="Q43" s="74"/>
      <c r="R43" s="75"/>
      <c r="S43" s="74"/>
      <c r="T43" s="74"/>
      <c r="U43" s="76"/>
      <c r="V43" s="36"/>
    </row>
    <row r="44" spans="1:24" ht="10.5" customHeight="1" x14ac:dyDescent="0.25">
      <c r="A44" s="220" t="s">
        <v>41</v>
      </c>
      <c r="B44" s="185"/>
      <c r="C44" s="185"/>
      <c r="D44" s="185"/>
      <c r="E44" s="187">
        <f>B44+C44+D44</f>
        <v>0</v>
      </c>
      <c r="F44" s="189"/>
      <c r="G44" s="189"/>
      <c r="H44" s="189"/>
      <c r="J44" s="77" t="s">
        <v>53</v>
      </c>
      <c r="K44" s="78"/>
      <c r="L44" s="78"/>
      <c r="M44" s="78"/>
      <c r="N44" s="78"/>
      <c r="O44" s="78"/>
      <c r="P44" s="78"/>
      <c r="Q44" s="78"/>
      <c r="R44" s="78"/>
      <c r="S44" s="78"/>
      <c r="T44" s="78"/>
      <c r="U44" s="78"/>
      <c r="V44" s="79"/>
      <c r="W44" s="78"/>
      <c r="X44" s="78"/>
    </row>
    <row r="45" spans="1:24" ht="13.8" customHeight="1" thickBot="1" x14ac:dyDescent="0.3">
      <c r="A45" s="250"/>
      <c r="B45" s="186"/>
      <c r="C45" s="186"/>
      <c r="D45" s="186"/>
      <c r="E45" s="188"/>
      <c r="F45" s="189"/>
      <c r="G45" s="189"/>
      <c r="H45" s="189"/>
      <c r="V45" s="36"/>
    </row>
    <row r="46" spans="1:24" ht="15" customHeight="1" x14ac:dyDescent="0.25">
      <c r="A46" s="1"/>
      <c r="B46" s="1"/>
      <c r="C46" s="1"/>
      <c r="D46" s="1"/>
      <c r="F46" s="243" t="s">
        <v>672</v>
      </c>
      <c r="G46" s="243"/>
      <c r="H46" s="243"/>
      <c r="L46" s="78" t="s">
        <v>54</v>
      </c>
      <c r="M46" s="78"/>
      <c r="N46" s="78"/>
      <c r="O46" s="78"/>
      <c r="P46" s="78"/>
      <c r="Q46" s="174"/>
      <c r="R46" s="174"/>
      <c r="S46" s="174"/>
      <c r="T46" s="174"/>
      <c r="U46" s="174"/>
      <c r="V46" s="36"/>
    </row>
    <row r="47" spans="1:24" ht="13.8" customHeight="1" x14ac:dyDescent="0.25">
      <c r="A47" s="249"/>
      <c r="B47" s="80"/>
      <c r="C47" s="80"/>
      <c r="D47" s="80"/>
      <c r="E47" s="242"/>
      <c r="F47" s="242"/>
      <c r="G47" s="242"/>
      <c r="H47" s="242"/>
      <c r="I47" s="242"/>
      <c r="J47" s="242"/>
      <c r="K47" s="78"/>
      <c r="L47" s="78" t="s">
        <v>55</v>
      </c>
      <c r="M47" s="174"/>
      <c r="N47" s="174"/>
      <c r="O47" s="174"/>
      <c r="P47" s="174"/>
      <c r="Q47" s="78"/>
      <c r="R47" s="78"/>
      <c r="V47" s="36"/>
    </row>
    <row r="48" spans="1:24" ht="13.8" customHeight="1" x14ac:dyDescent="0.25">
      <c r="A48" s="249"/>
      <c r="B48" s="80"/>
      <c r="C48" s="80"/>
      <c r="D48" s="80"/>
      <c r="E48" s="242"/>
      <c r="F48" s="242"/>
      <c r="G48" s="242"/>
      <c r="H48" s="242"/>
      <c r="I48" s="242"/>
      <c r="J48" s="242"/>
      <c r="K48" s="78"/>
      <c r="L48" s="78" t="s">
        <v>56</v>
      </c>
      <c r="M48" s="173"/>
      <c r="N48" s="173"/>
      <c r="O48" s="173"/>
      <c r="P48" s="173"/>
      <c r="Q48" s="78"/>
      <c r="R48" s="81" t="s">
        <v>57</v>
      </c>
      <c r="S48" s="172"/>
      <c r="T48" s="172"/>
      <c r="V48" s="36"/>
    </row>
    <row r="49" spans="1:22" ht="13.8" customHeight="1" x14ac:dyDescent="0.25">
      <c r="A49" s="189"/>
      <c r="B49" s="31"/>
      <c r="C49" s="31"/>
      <c r="D49" s="31"/>
      <c r="E49" s="242"/>
      <c r="F49" s="242"/>
      <c r="G49" s="242"/>
      <c r="H49" s="242"/>
      <c r="I49" s="242"/>
      <c r="J49" s="242"/>
      <c r="K49" s="78"/>
      <c r="L49" s="78" t="s">
        <v>58</v>
      </c>
      <c r="M49" s="265"/>
      <c r="N49" s="265"/>
      <c r="O49" s="265"/>
      <c r="P49" s="265"/>
      <c r="Q49" s="78"/>
      <c r="R49" s="78"/>
      <c r="V49" s="36"/>
    </row>
    <row r="50" spans="1:22" ht="13.8" customHeight="1" x14ac:dyDescent="0.25">
      <c r="A50" s="189"/>
      <c r="B50" s="31"/>
      <c r="C50" s="31"/>
      <c r="D50" s="31"/>
      <c r="E50" s="242"/>
      <c r="F50" s="242"/>
      <c r="G50" s="242"/>
      <c r="H50" s="242"/>
      <c r="I50" s="242"/>
      <c r="J50" s="242"/>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844</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 ref="A42:A43"/>
    <mergeCell ref="B42:B43"/>
    <mergeCell ref="C42:C43"/>
    <mergeCell ref="D42:D43"/>
    <mergeCell ref="E42:E43"/>
    <mergeCell ref="F42:F43"/>
    <mergeCell ref="G42:G43"/>
    <mergeCell ref="H42:H43"/>
    <mergeCell ref="J42:L42"/>
    <mergeCell ref="J43:L43"/>
    <mergeCell ref="A38:E38"/>
    <mergeCell ref="G38:G41"/>
    <mergeCell ref="H38:H41"/>
    <mergeCell ref="J38:U38"/>
    <mergeCell ref="J39:L40"/>
    <mergeCell ref="M39:O39"/>
    <mergeCell ref="P39:R39"/>
    <mergeCell ref="S39:U39"/>
    <mergeCell ref="A40:A41"/>
    <mergeCell ref="B40:B41"/>
    <mergeCell ref="C40:C41"/>
    <mergeCell ref="D40:D41"/>
    <mergeCell ref="E40:E41"/>
    <mergeCell ref="F40:F41"/>
    <mergeCell ref="J41:L41"/>
    <mergeCell ref="U33:U35"/>
    <mergeCell ref="M34:N34"/>
    <mergeCell ref="P34:Q34"/>
    <mergeCell ref="M35:N35"/>
    <mergeCell ref="P35:Q35"/>
    <mergeCell ref="G33:G35"/>
    <mergeCell ref="H33:H35"/>
    <mergeCell ref="I33:I35"/>
    <mergeCell ref="J33:J35"/>
    <mergeCell ref="K33:K35"/>
    <mergeCell ref="L33:L35"/>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0:U32"/>
    <mergeCell ref="M31:N31"/>
    <mergeCell ref="P31:Q31"/>
    <mergeCell ref="M32:N32"/>
    <mergeCell ref="P32:Q32"/>
    <mergeCell ref="G30:G32"/>
    <mergeCell ref="H30:H32"/>
    <mergeCell ref="I30:I32"/>
    <mergeCell ref="J30:J32"/>
    <mergeCell ref="K30:K32"/>
    <mergeCell ref="L30:L32"/>
    <mergeCell ref="U27:U29"/>
    <mergeCell ref="M28:N28"/>
    <mergeCell ref="P28:Q28"/>
    <mergeCell ref="M29:N29"/>
    <mergeCell ref="P29:Q29"/>
    <mergeCell ref="H27:H29"/>
    <mergeCell ref="I27:I29"/>
    <mergeCell ref="J27:J29"/>
    <mergeCell ref="K27:K29"/>
    <mergeCell ref="L27:L29"/>
    <mergeCell ref="M27:N27"/>
    <mergeCell ref="A27:A29"/>
    <mergeCell ref="B27:B29"/>
    <mergeCell ref="C27:C29"/>
    <mergeCell ref="D27:D29"/>
    <mergeCell ref="E27:E29"/>
    <mergeCell ref="F27:F29"/>
    <mergeCell ref="G27:G29"/>
    <mergeCell ref="P27:Q27"/>
    <mergeCell ref="S27:T29"/>
    <mergeCell ref="A20:C20"/>
    <mergeCell ref="A21:C21"/>
    <mergeCell ref="A24:A26"/>
    <mergeCell ref="B24:D24"/>
    <mergeCell ref="E24:T24"/>
    <mergeCell ref="U24:U26"/>
    <mergeCell ref="D25:D26"/>
    <mergeCell ref="M25:O25"/>
    <mergeCell ref="P25:R25"/>
    <mergeCell ref="S25:T25"/>
    <mergeCell ref="M26:O26"/>
    <mergeCell ref="P26:R26"/>
    <mergeCell ref="S26:T26"/>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K10:L10"/>
    <mergeCell ref="Q10:S10"/>
    <mergeCell ref="A12:C14"/>
    <mergeCell ref="D12:G12"/>
    <mergeCell ref="J12:M12"/>
    <mergeCell ref="N12:U12"/>
    <mergeCell ref="D13:G13"/>
    <mergeCell ref="J13:L13"/>
    <mergeCell ref="R13:T13"/>
    <mergeCell ref="D14:G14"/>
    <mergeCell ref="C7:G7"/>
    <mergeCell ref="N7:S7"/>
    <mergeCell ref="C8:G8"/>
    <mergeCell ref="M8:S8"/>
    <mergeCell ref="C9:G9"/>
    <mergeCell ref="M9:N9"/>
    <mergeCell ref="A1:R1"/>
    <mergeCell ref="A2:U2"/>
    <mergeCell ref="A3:R3"/>
    <mergeCell ref="A4:U4"/>
    <mergeCell ref="C6:G6"/>
    <mergeCell ref="L6:S6"/>
  </mergeCells>
  <conditionalFormatting sqref="G42:H43">
    <cfRule type="expression" dxfId="4" priority="1">
      <formula>$G$42&lt;&gt;$H$42</formula>
    </cfRule>
  </conditionalFormatting>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7"/>
  <sheetViews>
    <sheetView showGridLines="0" tabSelected="1" view="pageBreakPreview" zoomScaleSheetLayoutView="100" workbookViewId="0">
      <selection activeCell="B10" sqref="B10"/>
    </sheetView>
  </sheetViews>
  <sheetFormatPr defaultRowHeight="14.4" x14ac:dyDescent="0.3"/>
  <cols>
    <col min="1" max="1" width="6" style="91" customWidth="1"/>
    <col min="2" max="2" width="17.5546875" style="91" customWidth="1"/>
    <col min="3" max="3" width="5.21875" style="91" customWidth="1"/>
    <col min="4" max="4" width="5" style="91" customWidth="1"/>
    <col min="5" max="5" width="11.5546875" style="91" bestFit="1" customWidth="1"/>
    <col min="6" max="6" width="19.5546875" style="91" customWidth="1"/>
    <col min="7" max="7" width="14.44140625" style="91" customWidth="1"/>
    <col min="8" max="8" width="10.21875" style="91" customWidth="1"/>
    <col min="9" max="9" width="15.77734375" style="91" customWidth="1"/>
    <col min="10" max="10" width="10.77734375" style="91" customWidth="1"/>
    <col min="11" max="11" width="12.21875" style="91" customWidth="1"/>
    <col min="12" max="12" width="7.77734375" style="91" customWidth="1"/>
    <col min="13" max="13" width="8.44140625" style="91" customWidth="1"/>
    <col min="14" max="14" width="7.77734375" style="91" customWidth="1"/>
    <col min="15" max="15" width="9.5546875" style="91" customWidth="1"/>
    <col min="16" max="16" width="7.77734375" style="91" customWidth="1"/>
    <col min="17" max="18" width="8.21875" style="91" customWidth="1"/>
    <col min="19" max="19" width="14.21875" style="91" customWidth="1"/>
    <col min="20" max="20" width="9.21875" style="91" customWidth="1"/>
    <col min="21" max="21" width="10.77734375" style="91" bestFit="1" customWidth="1"/>
    <col min="22" max="22" width="10.21875" style="91" customWidth="1"/>
    <col min="23" max="23" width="9.21875" style="91"/>
    <col min="24" max="24" width="13.77734375" style="91" customWidth="1"/>
    <col min="25" max="258" width="9.21875" style="91"/>
    <col min="259" max="259" width="6" style="91" customWidth="1"/>
    <col min="260" max="260" width="22.21875" style="91" customWidth="1"/>
    <col min="261" max="261" width="5.44140625" style="91" customWidth="1"/>
    <col min="262" max="262" width="5.21875" style="91" customWidth="1"/>
    <col min="263" max="263" width="21.21875" style="91" customWidth="1"/>
    <col min="264" max="264" width="17.21875" style="91" customWidth="1"/>
    <col min="265" max="265" width="10.21875" style="91" customWidth="1"/>
    <col min="266" max="266" width="15" style="91" customWidth="1"/>
    <col min="267" max="267" width="10.21875" style="91" customWidth="1"/>
    <col min="268" max="268" width="15.77734375" style="91" customWidth="1"/>
    <col min="269" max="269" width="9.5546875" style="91" customWidth="1"/>
    <col min="270" max="270" width="11.44140625" style="91" customWidth="1"/>
    <col min="271" max="271" width="12" style="91" customWidth="1"/>
    <col min="272" max="514" width="9.21875" style="91"/>
    <col min="515" max="515" width="6" style="91" customWidth="1"/>
    <col min="516" max="516" width="22.21875" style="91" customWidth="1"/>
    <col min="517" max="517" width="5.44140625" style="91" customWidth="1"/>
    <col min="518" max="518" width="5.21875" style="91" customWidth="1"/>
    <col min="519" max="519" width="21.21875" style="91" customWidth="1"/>
    <col min="520" max="520" width="17.21875" style="91" customWidth="1"/>
    <col min="521" max="521" width="10.21875" style="91" customWidth="1"/>
    <col min="522" max="522" width="15" style="91" customWidth="1"/>
    <col min="523" max="523" width="10.21875" style="91" customWidth="1"/>
    <col min="524" max="524" width="15.77734375" style="91" customWidth="1"/>
    <col min="525" max="525" width="9.5546875" style="91" customWidth="1"/>
    <col min="526" max="526" width="11.44140625" style="91" customWidth="1"/>
    <col min="527" max="527" width="12" style="91" customWidth="1"/>
    <col min="528" max="770" width="9.21875" style="91"/>
    <col min="771" max="771" width="6" style="91" customWidth="1"/>
    <col min="772" max="772" width="22.21875" style="91" customWidth="1"/>
    <col min="773" max="773" width="5.44140625" style="91" customWidth="1"/>
    <col min="774" max="774" width="5.21875" style="91" customWidth="1"/>
    <col min="775" max="775" width="21.21875" style="91" customWidth="1"/>
    <col min="776" max="776" width="17.21875" style="91" customWidth="1"/>
    <col min="777" max="777" width="10.21875" style="91" customWidth="1"/>
    <col min="778" max="778" width="15" style="91" customWidth="1"/>
    <col min="779" max="779" width="10.21875" style="91" customWidth="1"/>
    <col min="780" max="780" width="15.77734375" style="91" customWidth="1"/>
    <col min="781" max="781" width="9.5546875" style="91" customWidth="1"/>
    <col min="782" max="782" width="11.44140625" style="91" customWidth="1"/>
    <col min="783" max="783" width="12" style="91" customWidth="1"/>
    <col min="784" max="1026" width="9.21875" style="91"/>
    <col min="1027" max="1027" width="6" style="91" customWidth="1"/>
    <col min="1028" max="1028" width="22.21875" style="91" customWidth="1"/>
    <col min="1029" max="1029" width="5.44140625" style="91" customWidth="1"/>
    <col min="1030" max="1030" width="5.21875" style="91" customWidth="1"/>
    <col min="1031" max="1031" width="21.21875" style="91" customWidth="1"/>
    <col min="1032" max="1032" width="17.21875" style="91" customWidth="1"/>
    <col min="1033" max="1033" width="10.21875" style="91" customWidth="1"/>
    <col min="1034" max="1034" width="15" style="91" customWidth="1"/>
    <col min="1035" max="1035" width="10.21875" style="91" customWidth="1"/>
    <col min="1036" max="1036" width="15.77734375" style="91" customWidth="1"/>
    <col min="1037" max="1037" width="9.5546875" style="91" customWidth="1"/>
    <col min="1038" max="1038" width="11.44140625" style="91" customWidth="1"/>
    <col min="1039" max="1039" width="12" style="91" customWidth="1"/>
    <col min="1040" max="1282" width="9.21875" style="91"/>
    <col min="1283" max="1283" width="6" style="91" customWidth="1"/>
    <col min="1284" max="1284" width="22.21875" style="91" customWidth="1"/>
    <col min="1285" max="1285" width="5.44140625" style="91" customWidth="1"/>
    <col min="1286" max="1286" width="5.21875" style="91" customWidth="1"/>
    <col min="1287" max="1287" width="21.21875" style="91" customWidth="1"/>
    <col min="1288" max="1288" width="17.21875" style="91" customWidth="1"/>
    <col min="1289" max="1289" width="10.21875" style="91" customWidth="1"/>
    <col min="1290" max="1290" width="15" style="91" customWidth="1"/>
    <col min="1291" max="1291" width="10.21875" style="91" customWidth="1"/>
    <col min="1292" max="1292" width="15.77734375" style="91" customWidth="1"/>
    <col min="1293" max="1293" width="9.5546875" style="91" customWidth="1"/>
    <col min="1294" max="1294" width="11.44140625" style="91" customWidth="1"/>
    <col min="1295" max="1295" width="12" style="91" customWidth="1"/>
    <col min="1296" max="1538" width="9.21875" style="91"/>
    <col min="1539" max="1539" width="6" style="91" customWidth="1"/>
    <col min="1540" max="1540" width="22.21875" style="91" customWidth="1"/>
    <col min="1541" max="1541" width="5.44140625" style="91" customWidth="1"/>
    <col min="1542" max="1542" width="5.21875" style="91" customWidth="1"/>
    <col min="1543" max="1543" width="21.21875" style="91" customWidth="1"/>
    <col min="1544" max="1544" width="17.21875" style="91" customWidth="1"/>
    <col min="1545" max="1545" width="10.21875" style="91" customWidth="1"/>
    <col min="1546" max="1546" width="15" style="91" customWidth="1"/>
    <col min="1547" max="1547" width="10.21875" style="91" customWidth="1"/>
    <col min="1548" max="1548" width="15.77734375" style="91" customWidth="1"/>
    <col min="1549" max="1549" width="9.5546875" style="91" customWidth="1"/>
    <col min="1550" max="1550" width="11.44140625" style="91" customWidth="1"/>
    <col min="1551" max="1551" width="12" style="91" customWidth="1"/>
    <col min="1552" max="1794" width="9.21875" style="91"/>
    <col min="1795" max="1795" width="6" style="91" customWidth="1"/>
    <col min="1796" max="1796" width="22.21875" style="91" customWidth="1"/>
    <col min="1797" max="1797" width="5.44140625" style="91" customWidth="1"/>
    <col min="1798" max="1798" width="5.21875" style="91" customWidth="1"/>
    <col min="1799" max="1799" width="21.21875" style="91" customWidth="1"/>
    <col min="1800" max="1800" width="17.21875" style="91" customWidth="1"/>
    <col min="1801" max="1801" width="10.21875" style="91" customWidth="1"/>
    <col min="1802" max="1802" width="15" style="91" customWidth="1"/>
    <col min="1803" max="1803" width="10.21875" style="91" customWidth="1"/>
    <col min="1804" max="1804" width="15.77734375" style="91" customWidth="1"/>
    <col min="1805" max="1805" width="9.5546875" style="91" customWidth="1"/>
    <col min="1806" max="1806" width="11.44140625" style="91" customWidth="1"/>
    <col min="1807" max="1807" width="12" style="91" customWidth="1"/>
    <col min="1808" max="2050" width="9.21875" style="91"/>
    <col min="2051" max="2051" width="6" style="91" customWidth="1"/>
    <col min="2052" max="2052" width="22.21875" style="91" customWidth="1"/>
    <col min="2053" max="2053" width="5.44140625" style="91" customWidth="1"/>
    <col min="2054" max="2054" width="5.21875" style="91" customWidth="1"/>
    <col min="2055" max="2055" width="21.21875" style="91" customWidth="1"/>
    <col min="2056" max="2056" width="17.21875" style="91" customWidth="1"/>
    <col min="2057" max="2057" width="10.21875" style="91" customWidth="1"/>
    <col min="2058" max="2058" width="15" style="91" customWidth="1"/>
    <col min="2059" max="2059" width="10.21875" style="91" customWidth="1"/>
    <col min="2060" max="2060" width="15.77734375" style="91" customWidth="1"/>
    <col min="2061" max="2061" width="9.5546875" style="91" customWidth="1"/>
    <col min="2062" max="2062" width="11.44140625" style="91" customWidth="1"/>
    <col min="2063" max="2063" width="12" style="91" customWidth="1"/>
    <col min="2064" max="2306" width="9.21875" style="91"/>
    <col min="2307" max="2307" width="6" style="91" customWidth="1"/>
    <col min="2308" max="2308" width="22.21875" style="91" customWidth="1"/>
    <col min="2309" max="2309" width="5.44140625" style="91" customWidth="1"/>
    <col min="2310" max="2310" width="5.21875" style="91" customWidth="1"/>
    <col min="2311" max="2311" width="21.21875" style="91" customWidth="1"/>
    <col min="2312" max="2312" width="17.21875" style="91" customWidth="1"/>
    <col min="2313" max="2313" width="10.21875" style="91" customWidth="1"/>
    <col min="2314" max="2314" width="15" style="91" customWidth="1"/>
    <col min="2315" max="2315" width="10.21875" style="91" customWidth="1"/>
    <col min="2316" max="2316" width="15.77734375" style="91" customWidth="1"/>
    <col min="2317" max="2317" width="9.5546875" style="91" customWidth="1"/>
    <col min="2318" max="2318" width="11.44140625" style="91" customWidth="1"/>
    <col min="2319" max="2319" width="12" style="91" customWidth="1"/>
    <col min="2320" max="2562" width="9.21875" style="91"/>
    <col min="2563" max="2563" width="6" style="91" customWidth="1"/>
    <col min="2564" max="2564" width="22.21875" style="91" customWidth="1"/>
    <col min="2565" max="2565" width="5.44140625" style="91" customWidth="1"/>
    <col min="2566" max="2566" width="5.21875" style="91" customWidth="1"/>
    <col min="2567" max="2567" width="21.21875" style="91" customWidth="1"/>
    <col min="2568" max="2568" width="17.21875" style="91" customWidth="1"/>
    <col min="2569" max="2569" width="10.21875" style="91" customWidth="1"/>
    <col min="2570" max="2570" width="15" style="91" customWidth="1"/>
    <col min="2571" max="2571" width="10.21875" style="91" customWidth="1"/>
    <col min="2572" max="2572" width="15.77734375" style="91" customWidth="1"/>
    <col min="2573" max="2573" width="9.5546875" style="91" customWidth="1"/>
    <col min="2574" max="2574" width="11.44140625" style="91" customWidth="1"/>
    <col min="2575" max="2575" width="12" style="91" customWidth="1"/>
    <col min="2576" max="2818" width="9.21875" style="91"/>
    <col min="2819" max="2819" width="6" style="91" customWidth="1"/>
    <col min="2820" max="2820" width="22.21875" style="91" customWidth="1"/>
    <col min="2821" max="2821" width="5.44140625" style="91" customWidth="1"/>
    <col min="2822" max="2822" width="5.21875" style="91" customWidth="1"/>
    <col min="2823" max="2823" width="21.21875" style="91" customWidth="1"/>
    <col min="2824" max="2824" width="17.21875" style="91" customWidth="1"/>
    <col min="2825" max="2825" width="10.21875" style="91" customWidth="1"/>
    <col min="2826" max="2826" width="15" style="91" customWidth="1"/>
    <col min="2827" max="2827" width="10.21875" style="91" customWidth="1"/>
    <col min="2828" max="2828" width="15.77734375" style="91" customWidth="1"/>
    <col min="2829" max="2829" width="9.5546875" style="91" customWidth="1"/>
    <col min="2830" max="2830" width="11.44140625" style="91" customWidth="1"/>
    <col min="2831" max="2831" width="12" style="91" customWidth="1"/>
    <col min="2832" max="3074" width="9.21875" style="91"/>
    <col min="3075" max="3075" width="6" style="91" customWidth="1"/>
    <col min="3076" max="3076" width="22.21875" style="91" customWidth="1"/>
    <col min="3077" max="3077" width="5.44140625" style="91" customWidth="1"/>
    <col min="3078" max="3078" width="5.21875" style="91" customWidth="1"/>
    <col min="3079" max="3079" width="21.21875" style="91" customWidth="1"/>
    <col min="3080" max="3080" width="17.21875" style="91" customWidth="1"/>
    <col min="3081" max="3081" width="10.21875" style="91" customWidth="1"/>
    <col min="3082" max="3082" width="15" style="91" customWidth="1"/>
    <col min="3083" max="3083" width="10.21875" style="91" customWidth="1"/>
    <col min="3084" max="3084" width="15.77734375" style="91" customWidth="1"/>
    <col min="3085" max="3085" width="9.5546875" style="91" customWidth="1"/>
    <col min="3086" max="3086" width="11.44140625" style="91" customWidth="1"/>
    <col min="3087" max="3087" width="12" style="91" customWidth="1"/>
    <col min="3088" max="3330" width="9.21875" style="91"/>
    <col min="3331" max="3331" width="6" style="91" customWidth="1"/>
    <col min="3332" max="3332" width="22.21875" style="91" customWidth="1"/>
    <col min="3333" max="3333" width="5.44140625" style="91" customWidth="1"/>
    <col min="3334" max="3334" width="5.21875" style="91" customWidth="1"/>
    <col min="3335" max="3335" width="21.21875" style="91" customWidth="1"/>
    <col min="3336" max="3336" width="17.21875" style="91" customWidth="1"/>
    <col min="3337" max="3337" width="10.21875" style="91" customWidth="1"/>
    <col min="3338" max="3338" width="15" style="91" customWidth="1"/>
    <col min="3339" max="3339" width="10.21875" style="91" customWidth="1"/>
    <col min="3340" max="3340" width="15.77734375" style="91" customWidth="1"/>
    <col min="3341" max="3341" width="9.5546875" style="91" customWidth="1"/>
    <col min="3342" max="3342" width="11.44140625" style="91" customWidth="1"/>
    <col min="3343" max="3343" width="12" style="91" customWidth="1"/>
    <col min="3344" max="3586" width="9.21875" style="91"/>
    <col min="3587" max="3587" width="6" style="91" customWidth="1"/>
    <col min="3588" max="3588" width="22.21875" style="91" customWidth="1"/>
    <col min="3589" max="3589" width="5.44140625" style="91" customWidth="1"/>
    <col min="3590" max="3590" width="5.21875" style="91" customWidth="1"/>
    <col min="3591" max="3591" width="21.21875" style="91" customWidth="1"/>
    <col min="3592" max="3592" width="17.21875" style="91" customWidth="1"/>
    <col min="3593" max="3593" width="10.21875" style="91" customWidth="1"/>
    <col min="3594" max="3594" width="15" style="91" customWidth="1"/>
    <col min="3595" max="3595" width="10.21875" style="91" customWidth="1"/>
    <col min="3596" max="3596" width="15.77734375" style="91" customWidth="1"/>
    <col min="3597" max="3597" width="9.5546875" style="91" customWidth="1"/>
    <col min="3598" max="3598" width="11.44140625" style="91" customWidth="1"/>
    <col min="3599" max="3599" width="12" style="91" customWidth="1"/>
    <col min="3600" max="3842" width="9.21875" style="91"/>
    <col min="3843" max="3843" width="6" style="91" customWidth="1"/>
    <col min="3844" max="3844" width="22.21875" style="91" customWidth="1"/>
    <col min="3845" max="3845" width="5.44140625" style="91" customWidth="1"/>
    <col min="3846" max="3846" width="5.21875" style="91" customWidth="1"/>
    <col min="3847" max="3847" width="21.21875" style="91" customWidth="1"/>
    <col min="3848" max="3848" width="17.21875" style="91" customWidth="1"/>
    <col min="3849" max="3849" width="10.21875" style="91" customWidth="1"/>
    <col min="3850" max="3850" width="15" style="91" customWidth="1"/>
    <col min="3851" max="3851" width="10.21875" style="91" customWidth="1"/>
    <col min="3852" max="3852" width="15.77734375" style="91" customWidth="1"/>
    <col min="3853" max="3853" width="9.5546875" style="91" customWidth="1"/>
    <col min="3854" max="3854" width="11.44140625" style="91" customWidth="1"/>
    <col min="3855" max="3855" width="12" style="91" customWidth="1"/>
    <col min="3856" max="4098" width="9.21875" style="91"/>
    <col min="4099" max="4099" width="6" style="91" customWidth="1"/>
    <col min="4100" max="4100" width="22.21875" style="91" customWidth="1"/>
    <col min="4101" max="4101" width="5.44140625" style="91" customWidth="1"/>
    <col min="4102" max="4102" width="5.21875" style="91" customWidth="1"/>
    <col min="4103" max="4103" width="21.21875" style="91" customWidth="1"/>
    <col min="4104" max="4104" width="17.21875" style="91" customWidth="1"/>
    <col min="4105" max="4105" width="10.21875" style="91" customWidth="1"/>
    <col min="4106" max="4106" width="15" style="91" customWidth="1"/>
    <col min="4107" max="4107" width="10.21875" style="91" customWidth="1"/>
    <col min="4108" max="4108" width="15.77734375" style="91" customWidth="1"/>
    <col min="4109" max="4109" width="9.5546875" style="91" customWidth="1"/>
    <col min="4110" max="4110" width="11.44140625" style="91" customWidth="1"/>
    <col min="4111" max="4111" width="12" style="91" customWidth="1"/>
    <col min="4112" max="4354" width="9.21875" style="91"/>
    <col min="4355" max="4355" width="6" style="91" customWidth="1"/>
    <col min="4356" max="4356" width="22.21875" style="91" customWidth="1"/>
    <col min="4357" max="4357" width="5.44140625" style="91" customWidth="1"/>
    <col min="4358" max="4358" width="5.21875" style="91" customWidth="1"/>
    <col min="4359" max="4359" width="21.21875" style="91" customWidth="1"/>
    <col min="4360" max="4360" width="17.21875" style="91" customWidth="1"/>
    <col min="4361" max="4361" width="10.21875" style="91" customWidth="1"/>
    <col min="4362" max="4362" width="15" style="91" customWidth="1"/>
    <col min="4363" max="4363" width="10.21875" style="91" customWidth="1"/>
    <col min="4364" max="4364" width="15.77734375" style="91" customWidth="1"/>
    <col min="4365" max="4365" width="9.5546875" style="91" customWidth="1"/>
    <col min="4366" max="4366" width="11.44140625" style="91" customWidth="1"/>
    <col min="4367" max="4367" width="12" style="91" customWidth="1"/>
    <col min="4368" max="4610" width="9.21875" style="91"/>
    <col min="4611" max="4611" width="6" style="91" customWidth="1"/>
    <col min="4612" max="4612" width="22.21875" style="91" customWidth="1"/>
    <col min="4613" max="4613" width="5.44140625" style="91" customWidth="1"/>
    <col min="4614" max="4614" width="5.21875" style="91" customWidth="1"/>
    <col min="4615" max="4615" width="21.21875" style="91" customWidth="1"/>
    <col min="4616" max="4616" width="17.21875" style="91" customWidth="1"/>
    <col min="4617" max="4617" width="10.21875" style="91" customWidth="1"/>
    <col min="4618" max="4618" width="15" style="91" customWidth="1"/>
    <col min="4619" max="4619" width="10.21875" style="91" customWidth="1"/>
    <col min="4620" max="4620" width="15.77734375" style="91" customWidth="1"/>
    <col min="4621" max="4621" width="9.5546875" style="91" customWidth="1"/>
    <col min="4622" max="4622" width="11.44140625" style="91" customWidth="1"/>
    <col min="4623" max="4623" width="12" style="91" customWidth="1"/>
    <col min="4624" max="4866" width="9.21875" style="91"/>
    <col min="4867" max="4867" width="6" style="91" customWidth="1"/>
    <col min="4868" max="4868" width="22.21875" style="91" customWidth="1"/>
    <col min="4869" max="4869" width="5.44140625" style="91" customWidth="1"/>
    <col min="4870" max="4870" width="5.21875" style="91" customWidth="1"/>
    <col min="4871" max="4871" width="21.21875" style="91" customWidth="1"/>
    <col min="4872" max="4872" width="17.21875" style="91" customWidth="1"/>
    <col min="4873" max="4873" width="10.21875" style="91" customWidth="1"/>
    <col min="4874" max="4874" width="15" style="91" customWidth="1"/>
    <col min="4875" max="4875" width="10.21875" style="91" customWidth="1"/>
    <col min="4876" max="4876" width="15.77734375" style="91" customWidth="1"/>
    <col min="4877" max="4877" width="9.5546875" style="91" customWidth="1"/>
    <col min="4878" max="4878" width="11.44140625" style="91" customWidth="1"/>
    <col min="4879" max="4879" width="12" style="91" customWidth="1"/>
    <col min="4880" max="5122" width="9.21875" style="91"/>
    <col min="5123" max="5123" width="6" style="91" customWidth="1"/>
    <col min="5124" max="5124" width="22.21875" style="91" customWidth="1"/>
    <col min="5125" max="5125" width="5.44140625" style="91" customWidth="1"/>
    <col min="5126" max="5126" width="5.21875" style="91" customWidth="1"/>
    <col min="5127" max="5127" width="21.21875" style="91" customWidth="1"/>
    <col min="5128" max="5128" width="17.21875" style="91" customWidth="1"/>
    <col min="5129" max="5129" width="10.21875" style="91" customWidth="1"/>
    <col min="5130" max="5130" width="15" style="91" customWidth="1"/>
    <col min="5131" max="5131" width="10.21875" style="91" customWidth="1"/>
    <col min="5132" max="5132" width="15.77734375" style="91" customWidth="1"/>
    <col min="5133" max="5133" width="9.5546875" style="91" customWidth="1"/>
    <col min="5134" max="5134" width="11.44140625" style="91" customWidth="1"/>
    <col min="5135" max="5135" width="12" style="91" customWidth="1"/>
    <col min="5136" max="5378" width="9.21875" style="91"/>
    <col min="5379" max="5379" width="6" style="91" customWidth="1"/>
    <col min="5380" max="5380" width="22.21875" style="91" customWidth="1"/>
    <col min="5381" max="5381" width="5.44140625" style="91" customWidth="1"/>
    <col min="5382" max="5382" width="5.21875" style="91" customWidth="1"/>
    <col min="5383" max="5383" width="21.21875" style="91" customWidth="1"/>
    <col min="5384" max="5384" width="17.21875" style="91" customWidth="1"/>
    <col min="5385" max="5385" width="10.21875" style="91" customWidth="1"/>
    <col min="5386" max="5386" width="15" style="91" customWidth="1"/>
    <col min="5387" max="5387" width="10.21875" style="91" customWidth="1"/>
    <col min="5388" max="5388" width="15.77734375" style="91" customWidth="1"/>
    <col min="5389" max="5389" width="9.5546875" style="91" customWidth="1"/>
    <col min="5390" max="5390" width="11.44140625" style="91" customWidth="1"/>
    <col min="5391" max="5391" width="12" style="91" customWidth="1"/>
    <col min="5392" max="5634" width="9.21875" style="91"/>
    <col min="5635" max="5635" width="6" style="91" customWidth="1"/>
    <col min="5636" max="5636" width="22.21875" style="91" customWidth="1"/>
    <col min="5637" max="5637" width="5.44140625" style="91" customWidth="1"/>
    <col min="5638" max="5638" width="5.21875" style="91" customWidth="1"/>
    <col min="5639" max="5639" width="21.21875" style="91" customWidth="1"/>
    <col min="5640" max="5640" width="17.21875" style="91" customWidth="1"/>
    <col min="5641" max="5641" width="10.21875" style="91" customWidth="1"/>
    <col min="5642" max="5642" width="15" style="91" customWidth="1"/>
    <col min="5643" max="5643" width="10.21875" style="91" customWidth="1"/>
    <col min="5644" max="5644" width="15.77734375" style="91" customWidth="1"/>
    <col min="5645" max="5645" width="9.5546875" style="91" customWidth="1"/>
    <col min="5646" max="5646" width="11.44140625" style="91" customWidth="1"/>
    <col min="5647" max="5647" width="12" style="91" customWidth="1"/>
    <col min="5648" max="5890" width="9.21875" style="91"/>
    <col min="5891" max="5891" width="6" style="91" customWidth="1"/>
    <col min="5892" max="5892" width="22.21875" style="91" customWidth="1"/>
    <col min="5893" max="5893" width="5.44140625" style="91" customWidth="1"/>
    <col min="5894" max="5894" width="5.21875" style="91" customWidth="1"/>
    <col min="5895" max="5895" width="21.21875" style="91" customWidth="1"/>
    <col min="5896" max="5896" width="17.21875" style="91" customWidth="1"/>
    <col min="5897" max="5897" width="10.21875" style="91" customWidth="1"/>
    <col min="5898" max="5898" width="15" style="91" customWidth="1"/>
    <col min="5899" max="5899" width="10.21875" style="91" customWidth="1"/>
    <col min="5900" max="5900" width="15.77734375" style="91" customWidth="1"/>
    <col min="5901" max="5901" width="9.5546875" style="91" customWidth="1"/>
    <col min="5902" max="5902" width="11.44140625" style="91" customWidth="1"/>
    <col min="5903" max="5903" width="12" style="91" customWidth="1"/>
    <col min="5904" max="6146" width="9.21875" style="91"/>
    <col min="6147" max="6147" width="6" style="91" customWidth="1"/>
    <col min="6148" max="6148" width="22.21875" style="91" customWidth="1"/>
    <col min="6149" max="6149" width="5.44140625" style="91" customWidth="1"/>
    <col min="6150" max="6150" width="5.21875" style="91" customWidth="1"/>
    <col min="6151" max="6151" width="21.21875" style="91" customWidth="1"/>
    <col min="6152" max="6152" width="17.21875" style="91" customWidth="1"/>
    <col min="6153" max="6153" width="10.21875" style="91" customWidth="1"/>
    <col min="6154" max="6154" width="15" style="91" customWidth="1"/>
    <col min="6155" max="6155" width="10.21875" style="91" customWidth="1"/>
    <col min="6156" max="6156" width="15.77734375" style="91" customWidth="1"/>
    <col min="6157" max="6157" width="9.5546875" style="91" customWidth="1"/>
    <col min="6158" max="6158" width="11.44140625" style="91" customWidth="1"/>
    <col min="6159" max="6159" width="12" style="91" customWidth="1"/>
    <col min="6160" max="6402" width="9.21875" style="91"/>
    <col min="6403" max="6403" width="6" style="91" customWidth="1"/>
    <col min="6404" max="6404" width="22.21875" style="91" customWidth="1"/>
    <col min="6405" max="6405" width="5.44140625" style="91" customWidth="1"/>
    <col min="6406" max="6406" width="5.21875" style="91" customWidth="1"/>
    <col min="6407" max="6407" width="21.21875" style="91" customWidth="1"/>
    <col min="6408" max="6408" width="17.21875" style="91" customWidth="1"/>
    <col min="6409" max="6409" width="10.21875" style="91" customWidth="1"/>
    <col min="6410" max="6410" width="15" style="91" customWidth="1"/>
    <col min="6411" max="6411" width="10.21875" style="91" customWidth="1"/>
    <col min="6412" max="6412" width="15.77734375" style="91" customWidth="1"/>
    <col min="6413" max="6413" width="9.5546875" style="91" customWidth="1"/>
    <col min="6414" max="6414" width="11.44140625" style="91" customWidth="1"/>
    <col min="6415" max="6415" width="12" style="91" customWidth="1"/>
    <col min="6416" max="6658" width="9.21875" style="91"/>
    <col min="6659" max="6659" width="6" style="91" customWidth="1"/>
    <col min="6660" max="6660" width="22.21875" style="91" customWidth="1"/>
    <col min="6661" max="6661" width="5.44140625" style="91" customWidth="1"/>
    <col min="6662" max="6662" width="5.21875" style="91" customWidth="1"/>
    <col min="6663" max="6663" width="21.21875" style="91" customWidth="1"/>
    <col min="6664" max="6664" width="17.21875" style="91" customWidth="1"/>
    <col min="6665" max="6665" width="10.21875" style="91" customWidth="1"/>
    <col min="6666" max="6666" width="15" style="91" customWidth="1"/>
    <col min="6667" max="6667" width="10.21875" style="91" customWidth="1"/>
    <col min="6668" max="6668" width="15.77734375" style="91" customWidth="1"/>
    <col min="6669" max="6669" width="9.5546875" style="91" customWidth="1"/>
    <col min="6670" max="6670" width="11.44140625" style="91" customWidth="1"/>
    <col min="6671" max="6671" width="12" style="91" customWidth="1"/>
    <col min="6672" max="6914" width="9.21875" style="91"/>
    <col min="6915" max="6915" width="6" style="91" customWidth="1"/>
    <col min="6916" max="6916" width="22.21875" style="91" customWidth="1"/>
    <col min="6917" max="6917" width="5.44140625" style="91" customWidth="1"/>
    <col min="6918" max="6918" width="5.21875" style="91" customWidth="1"/>
    <col min="6919" max="6919" width="21.21875" style="91" customWidth="1"/>
    <col min="6920" max="6920" width="17.21875" style="91" customWidth="1"/>
    <col min="6921" max="6921" width="10.21875" style="91" customWidth="1"/>
    <col min="6922" max="6922" width="15" style="91" customWidth="1"/>
    <col min="6923" max="6923" width="10.21875" style="91" customWidth="1"/>
    <col min="6924" max="6924" width="15.77734375" style="91" customWidth="1"/>
    <col min="6925" max="6925" width="9.5546875" style="91" customWidth="1"/>
    <col min="6926" max="6926" width="11.44140625" style="91" customWidth="1"/>
    <col min="6927" max="6927" width="12" style="91" customWidth="1"/>
    <col min="6928" max="7170" width="9.21875" style="91"/>
    <col min="7171" max="7171" width="6" style="91" customWidth="1"/>
    <col min="7172" max="7172" width="22.21875" style="91" customWidth="1"/>
    <col min="7173" max="7173" width="5.44140625" style="91" customWidth="1"/>
    <col min="7174" max="7174" width="5.21875" style="91" customWidth="1"/>
    <col min="7175" max="7175" width="21.21875" style="91" customWidth="1"/>
    <col min="7176" max="7176" width="17.21875" style="91" customWidth="1"/>
    <col min="7177" max="7177" width="10.21875" style="91" customWidth="1"/>
    <col min="7178" max="7178" width="15" style="91" customWidth="1"/>
    <col min="7179" max="7179" width="10.21875" style="91" customWidth="1"/>
    <col min="7180" max="7180" width="15.77734375" style="91" customWidth="1"/>
    <col min="7181" max="7181" width="9.5546875" style="91" customWidth="1"/>
    <col min="7182" max="7182" width="11.44140625" style="91" customWidth="1"/>
    <col min="7183" max="7183" width="12" style="91" customWidth="1"/>
    <col min="7184" max="7426" width="9.21875" style="91"/>
    <col min="7427" max="7427" width="6" style="91" customWidth="1"/>
    <col min="7428" max="7428" width="22.21875" style="91" customWidth="1"/>
    <col min="7429" max="7429" width="5.44140625" style="91" customWidth="1"/>
    <col min="7430" max="7430" width="5.21875" style="91" customWidth="1"/>
    <col min="7431" max="7431" width="21.21875" style="91" customWidth="1"/>
    <col min="7432" max="7432" width="17.21875" style="91" customWidth="1"/>
    <col min="7433" max="7433" width="10.21875" style="91" customWidth="1"/>
    <col min="7434" max="7434" width="15" style="91" customWidth="1"/>
    <col min="7435" max="7435" width="10.21875" style="91" customWidth="1"/>
    <col min="7436" max="7436" width="15.77734375" style="91" customWidth="1"/>
    <col min="7437" max="7437" width="9.5546875" style="91" customWidth="1"/>
    <col min="7438" max="7438" width="11.44140625" style="91" customWidth="1"/>
    <col min="7439" max="7439" width="12" style="91" customWidth="1"/>
    <col min="7440" max="7682" width="9.21875" style="91"/>
    <col min="7683" max="7683" width="6" style="91" customWidth="1"/>
    <col min="7684" max="7684" width="22.21875" style="91" customWidth="1"/>
    <col min="7685" max="7685" width="5.44140625" style="91" customWidth="1"/>
    <col min="7686" max="7686" width="5.21875" style="91" customWidth="1"/>
    <col min="7687" max="7687" width="21.21875" style="91" customWidth="1"/>
    <col min="7688" max="7688" width="17.21875" style="91" customWidth="1"/>
    <col min="7689" max="7689" width="10.21875" style="91" customWidth="1"/>
    <col min="7690" max="7690" width="15" style="91" customWidth="1"/>
    <col min="7691" max="7691" width="10.21875" style="91" customWidth="1"/>
    <col min="7692" max="7692" width="15.77734375" style="91" customWidth="1"/>
    <col min="7693" max="7693" width="9.5546875" style="91" customWidth="1"/>
    <col min="7694" max="7694" width="11.44140625" style="91" customWidth="1"/>
    <col min="7695" max="7695" width="12" style="91" customWidth="1"/>
    <col min="7696" max="7938" width="9.21875" style="91"/>
    <col min="7939" max="7939" width="6" style="91" customWidth="1"/>
    <col min="7940" max="7940" width="22.21875" style="91" customWidth="1"/>
    <col min="7941" max="7941" width="5.44140625" style="91" customWidth="1"/>
    <col min="7942" max="7942" width="5.21875" style="91" customWidth="1"/>
    <col min="7943" max="7943" width="21.21875" style="91" customWidth="1"/>
    <col min="7944" max="7944" width="17.21875" style="91" customWidth="1"/>
    <col min="7945" max="7945" width="10.21875" style="91" customWidth="1"/>
    <col min="7946" max="7946" width="15" style="91" customWidth="1"/>
    <col min="7947" max="7947" width="10.21875" style="91" customWidth="1"/>
    <col min="7948" max="7948" width="15.77734375" style="91" customWidth="1"/>
    <col min="7949" max="7949" width="9.5546875" style="91" customWidth="1"/>
    <col min="7950" max="7950" width="11.44140625" style="91" customWidth="1"/>
    <col min="7951" max="7951" width="12" style="91" customWidth="1"/>
    <col min="7952" max="8194" width="9.21875" style="91"/>
    <col min="8195" max="8195" width="6" style="91" customWidth="1"/>
    <col min="8196" max="8196" width="22.21875" style="91" customWidth="1"/>
    <col min="8197" max="8197" width="5.44140625" style="91" customWidth="1"/>
    <col min="8198" max="8198" width="5.21875" style="91" customWidth="1"/>
    <col min="8199" max="8199" width="21.21875" style="91" customWidth="1"/>
    <col min="8200" max="8200" width="17.21875" style="91" customWidth="1"/>
    <col min="8201" max="8201" width="10.21875" style="91" customWidth="1"/>
    <col min="8202" max="8202" width="15" style="91" customWidth="1"/>
    <col min="8203" max="8203" width="10.21875" style="91" customWidth="1"/>
    <col min="8204" max="8204" width="15.77734375" style="91" customWidth="1"/>
    <col min="8205" max="8205" width="9.5546875" style="91" customWidth="1"/>
    <col min="8206" max="8206" width="11.44140625" style="91" customWidth="1"/>
    <col min="8207" max="8207" width="12" style="91" customWidth="1"/>
    <col min="8208" max="8450" width="9.21875" style="91"/>
    <col min="8451" max="8451" width="6" style="91" customWidth="1"/>
    <col min="8452" max="8452" width="22.21875" style="91" customWidth="1"/>
    <col min="8453" max="8453" width="5.44140625" style="91" customWidth="1"/>
    <col min="8454" max="8454" width="5.21875" style="91" customWidth="1"/>
    <col min="8455" max="8455" width="21.21875" style="91" customWidth="1"/>
    <col min="8456" max="8456" width="17.21875" style="91" customWidth="1"/>
    <col min="8457" max="8457" width="10.21875" style="91" customWidth="1"/>
    <col min="8458" max="8458" width="15" style="91" customWidth="1"/>
    <col min="8459" max="8459" width="10.21875" style="91" customWidth="1"/>
    <col min="8460" max="8460" width="15.77734375" style="91" customWidth="1"/>
    <col min="8461" max="8461" width="9.5546875" style="91" customWidth="1"/>
    <col min="8462" max="8462" width="11.44140625" style="91" customWidth="1"/>
    <col min="8463" max="8463" width="12" style="91" customWidth="1"/>
    <col min="8464" max="8706" width="9.21875" style="91"/>
    <col min="8707" max="8707" width="6" style="91" customWidth="1"/>
    <col min="8708" max="8708" width="22.21875" style="91" customWidth="1"/>
    <col min="8709" max="8709" width="5.44140625" style="91" customWidth="1"/>
    <col min="8710" max="8710" width="5.21875" style="91" customWidth="1"/>
    <col min="8711" max="8711" width="21.21875" style="91" customWidth="1"/>
    <col min="8712" max="8712" width="17.21875" style="91" customWidth="1"/>
    <col min="8713" max="8713" width="10.21875" style="91" customWidth="1"/>
    <col min="8714" max="8714" width="15" style="91" customWidth="1"/>
    <col min="8715" max="8715" width="10.21875" style="91" customWidth="1"/>
    <col min="8716" max="8716" width="15.77734375" style="91" customWidth="1"/>
    <col min="8717" max="8717" width="9.5546875" style="91" customWidth="1"/>
    <col min="8718" max="8718" width="11.44140625" style="91" customWidth="1"/>
    <col min="8719" max="8719" width="12" style="91" customWidth="1"/>
    <col min="8720" max="8962" width="9.21875" style="91"/>
    <col min="8963" max="8963" width="6" style="91" customWidth="1"/>
    <col min="8964" max="8964" width="22.21875" style="91" customWidth="1"/>
    <col min="8965" max="8965" width="5.44140625" style="91" customWidth="1"/>
    <col min="8966" max="8966" width="5.21875" style="91" customWidth="1"/>
    <col min="8967" max="8967" width="21.21875" style="91" customWidth="1"/>
    <col min="8968" max="8968" width="17.21875" style="91" customWidth="1"/>
    <col min="8969" max="8969" width="10.21875" style="91" customWidth="1"/>
    <col min="8970" max="8970" width="15" style="91" customWidth="1"/>
    <col min="8971" max="8971" width="10.21875" style="91" customWidth="1"/>
    <col min="8972" max="8972" width="15.77734375" style="91" customWidth="1"/>
    <col min="8973" max="8973" width="9.5546875" style="91" customWidth="1"/>
    <col min="8974" max="8974" width="11.44140625" style="91" customWidth="1"/>
    <col min="8975" max="8975" width="12" style="91" customWidth="1"/>
    <col min="8976" max="9218" width="9.21875" style="91"/>
    <col min="9219" max="9219" width="6" style="91" customWidth="1"/>
    <col min="9220" max="9220" width="22.21875" style="91" customWidth="1"/>
    <col min="9221" max="9221" width="5.44140625" style="91" customWidth="1"/>
    <col min="9222" max="9222" width="5.21875" style="91" customWidth="1"/>
    <col min="9223" max="9223" width="21.21875" style="91" customWidth="1"/>
    <col min="9224" max="9224" width="17.21875" style="91" customWidth="1"/>
    <col min="9225" max="9225" width="10.21875" style="91" customWidth="1"/>
    <col min="9226" max="9226" width="15" style="91" customWidth="1"/>
    <col min="9227" max="9227" width="10.21875" style="91" customWidth="1"/>
    <col min="9228" max="9228" width="15.77734375" style="91" customWidth="1"/>
    <col min="9229" max="9229" width="9.5546875" style="91" customWidth="1"/>
    <col min="9230" max="9230" width="11.44140625" style="91" customWidth="1"/>
    <col min="9231" max="9231" width="12" style="91" customWidth="1"/>
    <col min="9232" max="9474" width="9.21875" style="91"/>
    <col min="9475" max="9475" width="6" style="91" customWidth="1"/>
    <col min="9476" max="9476" width="22.21875" style="91" customWidth="1"/>
    <col min="9477" max="9477" width="5.44140625" style="91" customWidth="1"/>
    <col min="9478" max="9478" width="5.21875" style="91" customWidth="1"/>
    <col min="9479" max="9479" width="21.21875" style="91" customWidth="1"/>
    <col min="9480" max="9480" width="17.21875" style="91" customWidth="1"/>
    <col min="9481" max="9481" width="10.21875" style="91" customWidth="1"/>
    <col min="9482" max="9482" width="15" style="91" customWidth="1"/>
    <col min="9483" max="9483" width="10.21875" style="91" customWidth="1"/>
    <col min="9484" max="9484" width="15.77734375" style="91" customWidth="1"/>
    <col min="9485" max="9485" width="9.5546875" style="91" customWidth="1"/>
    <col min="9486" max="9486" width="11.44140625" style="91" customWidth="1"/>
    <col min="9487" max="9487" width="12" style="91" customWidth="1"/>
    <col min="9488" max="9730" width="9.21875" style="91"/>
    <col min="9731" max="9731" width="6" style="91" customWidth="1"/>
    <col min="9732" max="9732" width="22.21875" style="91" customWidth="1"/>
    <col min="9733" max="9733" width="5.44140625" style="91" customWidth="1"/>
    <col min="9734" max="9734" width="5.21875" style="91" customWidth="1"/>
    <col min="9735" max="9735" width="21.21875" style="91" customWidth="1"/>
    <col min="9736" max="9736" width="17.21875" style="91" customWidth="1"/>
    <col min="9737" max="9737" width="10.21875" style="91" customWidth="1"/>
    <col min="9738" max="9738" width="15" style="91" customWidth="1"/>
    <col min="9739" max="9739" width="10.21875" style="91" customWidth="1"/>
    <col min="9740" max="9740" width="15.77734375" style="91" customWidth="1"/>
    <col min="9741" max="9741" width="9.5546875" style="91" customWidth="1"/>
    <col min="9742" max="9742" width="11.44140625" style="91" customWidth="1"/>
    <col min="9743" max="9743" width="12" style="91" customWidth="1"/>
    <col min="9744" max="9986" width="9.21875" style="91"/>
    <col min="9987" max="9987" width="6" style="91" customWidth="1"/>
    <col min="9988" max="9988" width="22.21875" style="91" customWidth="1"/>
    <col min="9989" max="9989" width="5.44140625" style="91" customWidth="1"/>
    <col min="9990" max="9990" width="5.21875" style="91" customWidth="1"/>
    <col min="9991" max="9991" width="21.21875" style="91" customWidth="1"/>
    <col min="9992" max="9992" width="17.21875" style="91" customWidth="1"/>
    <col min="9993" max="9993" width="10.21875" style="91" customWidth="1"/>
    <col min="9994" max="9994" width="15" style="91" customWidth="1"/>
    <col min="9995" max="9995" width="10.21875" style="91" customWidth="1"/>
    <col min="9996" max="9996" width="15.77734375" style="91" customWidth="1"/>
    <col min="9997" max="9997" width="9.5546875" style="91" customWidth="1"/>
    <col min="9998" max="9998" width="11.44140625" style="91" customWidth="1"/>
    <col min="9999" max="9999" width="12" style="91" customWidth="1"/>
    <col min="10000" max="10242" width="9.21875" style="91"/>
    <col min="10243" max="10243" width="6" style="91" customWidth="1"/>
    <col min="10244" max="10244" width="22.21875" style="91" customWidth="1"/>
    <col min="10245" max="10245" width="5.44140625" style="91" customWidth="1"/>
    <col min="10246" max="10246" width="5.21875" style="91" customWidth="1"/>
    <col min="10247" max="10247" width="21.21875" style="91" customWidth="1"/>
    <col min="10248" max="10248" width="17.21875" style="91" customWidth="1"/>
    <col min="10249" max="10249" width="10.21875" style="91" customWidth="1"/>
    <col min="10250" max="10250" width="15" style="91" customWidth="1"/>
    <col min="10251" max="10251" width="10.21875" style="91" customWidth="1"/>
    <col min="10252" max="10252" width="15.77734375" style="91" customWidth="1"/>
    <col min="10253" max="10253" width="9.5546875" style="91" customWidth="1"/>
    <col min="10254" max="10254" width="11.44140625" style="91" customWidth="1"/>
    <col min="10255" max="10255" width="12" style="91" customWidth="1"/>
    <col min="10256" max="10498" width="9.21875" style="91"/>
    <col min="10499" max="10499" width="6" style="91" customWidth="1"/>
    <col min="10500" max="10500" width="22.21875" style="91" customWidth="1"/>
    <col min="10501" max="10501" width="5.44140625" style="91" customWidth="1"/>
    <col min="10502" max="10502" width="5.21875" style="91" customWidth="1"/>
    <col min="10503" max="10503" width="21.21875" style="91" customWidth="1"/>
    <col min="10504" max="10504" width="17.21875" style="91" customWidth="1"/>
    <col min="10505" max="10505" width="10.21875" style="91" customWidth="1"/>
    <col min="10506" max="10506" width="15" style="91" customWidth="1"/>
    <col min="10507" max="10507" width="10.21875" style="91" customWidth="1"/>
    <col min="10508" max="10508" width="15.77734375" style="91" customWidth="1"/>
    <col min="10509" max="10509" width="9.5546875" style="91" customWidth="1"/>
    <col min="10510" max="10510" width="11.44140625" style="91" customWidth="1"/>
    <col min="10511" max="10511" width="12" style="91" customWidth="1"/>
    <col min="10512" max="10754" width="9.21875" style="91"/>
    <col min="10755" max="10755" width="6" style="91" customWidth="1"/>
    <col min="10756" max="10756" width="22.21875" style="91" customWidth="1"/>
    <col min="10757" max="10757" width="5.44140625" style="91" customWidth="1"/>
    <col min="10758" max="10758" width="5.21875" style="91" customWidth="1"/>
    <col min="10759" max="10759" width="21.21875" style="91" customWidth="1"/>
    <col min="10760" max="10760" width="17.21875" style="91" customWidth="1"/>
    <col min="10761" max="10761" width="10.21875" style="91" customWidth="1"/>
    <col min="10762" max="10762" width="15" style="91" customWidth="1"/>
    <col min="10763" max="10763" width="10.21875" style="91" customWidth="1"/>
    <col min="10764" max="10764" width="15.77734375" style="91" customWidth="1"/>
    <col min="10765" max="10765" width="9.5546875" style="91" customWidth="1"/>
    <col min="10766" max="10766" width="11.44140625" style="91" customWidth="1"/>
    <col min="10767" max="10767" width="12" style="91" customWidth="1"/>
    <col min="10768" max="11010" width="9.21875" style="91"/>
    <col min="11011" max="11011" width="6" style="91" customWidth="1"/>
    <col min="11012" max="11012" width="22.21875" style="91" customWidth="1"/>
    <col min="11013" max="11013" width="5.44140625" style="91" customWidth="1"/>
    <col min="11014" max="11014" width="5.21875" style="91" customWidth="1"/>
    <col min="11015" max="11015" width="21.21875" style="91" customWidth="1"/>
    <col min="11016" max="11016" width="17.21875" style="91" customWidth="1"/>
    <col min="11017" max="11017" width="10.21875" style="91" customWidth="1"/>
    <col min="11018" max="11018" width="15" style="91" customWidth="1"/>
    <col min="11019" max="11019" width="10.21875" style="91" customWidth="1"/>
    <col min="11020" max="11020" width="15.77734375" style="91" customWidth="1"/>
    <col min="11021" max="11021" width="9.5546875" style="91" customWidth="1"/>
    <col min="11022" max="11022" width="11.44140625" style="91" customWidth="1"/>
    <col min="11023" max="11023" width="12" style="91" customWidth="1"/>
    <col min="11024" max="11266" width="9.21875" style="91"/>
    <col min="11267" max="11267" width="6" style="91" customWidth="1"/>
    <col min="11268" max="11268" width="22.21875" style="91" customWidth="1"/>
    <col min="11269" max="11269" width="5.44140625" style="91" customWidth="1"/>
    <col min="11270" max="11270" width="5.21875" style="91" customWidth="1"/>
    <col min="11271" max="11271" width="21.21875" style="91" customWidth="1"/>
    <col min="11272" max="11272" width="17.21875" style="91" customWidth="1"/>
    <col min="11273" max="11273" width="10.21875" style="91" customWidth="1"/>
    <col min="11274" max="11274" width="15" style="91" customWidth="1"/>
    <col min="11275" max="11275" width="10.21875" style="91" customWidth="1"/>
    <col min="11276" max="11276" width="15.77734375" style="91" customWidth="1"/>
    <col min="11277" max="11277" width="9.5546875" style="91" customWidth="1"/>
    <col min="11278" max="11278" width="11.44140625" style="91" customWidth="1"/>
    <col min="11279" max="11279" width="12" style="91" customWidth="1"/>
    <col min="11280" max="11522" width="9.21875" style="91"/>
    <col min="11523" max="11523" width="6" style="91" customWidth="1"/>
    <col min="11524" max="11524" width="22.21875" style="91" customWidth="1"/>
    <col min="11525" max="11525" width="5.44140625" style="91" customWidth="1"/>
    <col min="11526" max="11526" width="5.21875" style="91" customWidth="1"/>
    <col min="11527" max="11527" width="21.21875" style="91" customWidth="1"/>
    <col min="11528" max="11528" width="17.21875" style="91" customWidth="1"/>
    <col min="11529" max="11529" width="10.21875" style="91" customWidth="1"/>
    <col min="11530" max="11530" width="15" style="91" customWidth="1"/>
    <col min="11531" max="11531" width="10.21875" style="91" customWidth="1"/>
    <col min="11532" max="11532" width="15.77734375" style="91" customWidth="1"/>
    <col min="11533" max="11533" width="9.5546875" style="91" customWidth="1"/>
    <col min="11534" max="11534" width="11.44140625" style="91" customWidth="1"/>
    <col min="11535" max="11535" width="12" style="91" customWidth="1"/>
    <col min="11536" max="11778" width="9.21875" style="91"/>
    <col min="11779" max="11779" width="6" style="91" customWidth="1"/>
    <col min="11780" max="11780" width="22.21875" style="91" customWidth="1"/>
    <col min="11781" max="11781" width="5.44140625" style="91" customWidth="1"/>
    <col min="11782" max="11782" width="5.21875" style="91" customWidth="1"/>
    <col min="11783" max="11783" width="21.21875" style="91" customWidth="1"/>
    <col min="11784" max="11784" width="17.21875" style="91" customWidth="1"/>
    <col min="11785" max="11785" width="10.21875" style="91" customWidth="1"/>
    <col min="11786" max="11786" width="15" style="91" customWidth="1"/>
    <col min="11787" max="11787" width="10.21875" style="91" customWidth="1"/>
    <col min="11788" max="11788" width="15.77734375" style="91" customWidth="1"/>
    <col min="11789" max="11789" width="9.5546875" style="91" customWidth="1"/>
    <col min="11790" max="11790" width="11.44140625" style="91" customWidth="1"/>
    <col min="11791" max="11791" width="12" style="91" customWidth="1"/>
    <col min="11792" max="12034" width="9.21875" style="91"/>
    <col min="12035" max="12035" width="6" style="91" customWidth="1"/>
    <col min="12036" max="12036" width="22.21875" style="91" customWidth="1"/>
    <col min="12037" max="12037" width="5.44140625" style="91" customWidth="1"/>
    <col min="12038" max="12038" width="5.21875" style="91" customWidth="1"/>
    <col min="12039" max="12039" width="21.21875" style="91" customWidth="1"/>
    <col min="12040" max="12040" width="17.21875" style="91" customWidth="1"/>
    <col min="12041" max="12041" width="10.21875" style="91" customWidth="1"/>
    <col min="12042" max="12042" width="15" style="91" customWidth="1"/>
    <col min="12043" max="12043" width="10.21875" style="91" customWidth="1"/>
    <col min="12044" max="12044" width="15.77734375" style="91" customWidth="1"/>
    <col min="12045" max="12045" width="9.5546875" style="91" customWidth="1"/>
    <col min="12046" max="12046" width="11.44140625" style="91" customWidth="1"/>
    <col min="12047" max="12047" width="12" style="91" customWidth="1"/>
    <col min="12048" max="12290" width="9.21875" style="91"/>
    <col min="12291" max="12291" width="6" style="91" customWidth="1"/>
    <col min="12292" max="12292" width="22.21875" style="91" customWidth="1"/>
    <col min="12293" max="12293" width="5.44140625" style="91" customWidth="1"/>
    <col min="12294" max="12294" width="5.21875" style="91" customWidth="1"/>
    <col min="12295" max="12295" width="21.21875" style="91" customWidth="1"/>
    <col min="12296" max="12296" width="17.21875" style="91" customWidth="1"/>
    <col min="12297" max="12297" width="10.21875" style="91" customWidth="1"/>
    <col min="12298" max="12298" width="15" style="91" customWidth="1"/>
    <col min="12299" max="12299" width="10.21875" style="91" customWidth="1"/>
    <col min="12300" max="12300" width="15.77734375" style="91" customWidth="1"/>
    <col min="12301" max="12301" width="9.5546875" style="91" customWidth="1"/>
    <col min="12302" max="12302" width="11.44140625" style="91" customWidth="1"/>
    <col min="12303" max="12303" width="12" style="91" customWidth="1"/>
    <col min="12304" max="12546" width="9.21875" style="91"/>
    <col min="12547" max="12547" width="6" style="91" customWidth="1"/>
    <col min="12548" max="12548" width="22.21875" style="91" customWidth="1"/>
    <col min="12549" max="12549" width="5.44140625" style="91" customWidth="1"/>
    <col min="12550" max="12550" width="5.21875" style="91" customWidth="1"/>
    <col min="12551" max="12551" width="21.21875" style="91" customWidth="1"/>
    <col min="12552" max="12552" width="17.21875" style="91" customWidth="1"/>
    <col min="12553" max="12553" width="10.21875" style="91" customWidth="1"/>
    <col min="12554" max="12554" width="15" style="91" customWidth="1"/>
    <col min="12555" max="12555" width="10.21875" style="91" customWidth="1"/>
    <col min="12556" max="12556" width="15.77734375" style="91" customWidth="1"/>
    <col min="12557" max="12557" width="9.5546875" style="91" customWidth="1"/>
    <col min="12558" max="12558" width="11.44140625" style="91" customWidth="1"/>
    <col min="12559" max="12559" width="12" style="91" customWidth="1"/>
    <col min="12560" max="12802" width="9.21875" style="91"/>
    <col min="12803" max="12803" width="6" style="91" customWidth="1"/>
    <col min="12804" max="12804" width="22.21875" style="91" customWidth="1"/>
    <col min="12805" max="12805" width="5.44140625" style="91" customWidth="1"/>
    <col min="12806" max="12806" width="5.21875" style="91" customWidth="1"/>
    <col min="12807" max="12807" width="21.21875" style="91" customWidth="1"/>
    <col min="12808" max="12808" width="17.21875" style="91" customWidth="1"/>
    <col min="12809" max="12809" width="10.21875" style="91" customWidth="1"/>
    <col min="12810" max="12810" width="15" style="91" customWidth="1"/>
    <col min="12811" max="12811" width="10.21875" style="91" customWidth="1"/>
    <col min="12812" max="12812" width="15.77734375" style="91" customWidth="1"/>
    <col min="12813" max="12813" width="9.5546875" style="91" customWidth="1"/>
    <col min="12814" max="12814" width="11.44140625" style="91" customWidth="1"/>
    <col min="12815" max="12815" width="12" style="91" customWidth="1"/>
    <col min="12816" max="13058" width="9.21875" style="91"/>
    <col min="13059" max="13059" width="6" style="91" customWidth="1"/>
    <col min="13060" max="13060" width="22.21875" style="91" customWidth="1"/>
    <col min="13061" max="13061" width="5.44140625" style="91" customWidth="1"/>
    <col min="13062" max="13062" width="5.21875" style="91" customWidth="1"/>
    <col min="13063" max="13063" width="21.21875" style="91" customWidth="1"/>
    <col min="13064" max="13064" width="17.21875" style="91" customWidth="1"/>
    <col min="13065" max="13065" width="10.21875" style="91" customWidth="1"/>
    <col min="13066" max="13066" width="15" style="91" customWidth="1"/>
    <col min="13067" max="13067" width="10.21875" style="91" customWidth="1"/>
    <col min="13068" max="13068" width="15.77734375" style="91" customWidth="1"/>
    <col min="13069" max="13069" width="9.5546875" style="91" customWidth="1"/>
    <col min="13070" max="13070" width="11.44140625" style="91" customWidth="1"/>
    <col min="13071" max="13071" width="12" style="91" customWidth="1"/>
    <col min="13072" max="13314" width="9.21875" style="91"/>
    <col min="13315" max="13315" width="6" style="91" customWidth="1"/>
    <col min="13316" max="13316" width="22.21875" style="91" customWidth="1"/>
    <col min="13317" max="13317" width="5.44140625" style="91" customWidth="1"/>
    <col min="13318" max="13318" width="5.21875" style="91" customWidth="1"/>
    <col min="13319" max="13319" width="21.21875" style="91" customWidth="1"/>
    <col min="13320" max="13320" width="17.21875" style="91" customWidth="1"/>
    <col min="13321" max="13321" width="10.21875" style="91" customWidth="1"/>
    <col min="13322" max="13322" width="15" style="91" customWidth="1"/>
    <col min="13323" max="13323" width="10.21875" style="91" customWidth="1"/>
    <col min="13324" max="13324" width="15.77734375" style="91" customWidth="1"/>
    <col min="13325" max="13325" width="9.5546875" style="91" customWidth="1"/>
    <col min="13326" max="13326" width="11.44140625" style="91" customWidth="1"/>
    <col min="13327" max="13327" width="12" style="91" customWidth="1"/>
    <col min="13328" max="13570" width="9.21875" style="91"/>
    <col min="13571" max="13571" width="6" style="91" customWidth="1"/>
    <col min="13572" max="13572" width="22.21875" style="91" customWidth="1"/>
    <col min="13573" max="13573" width="5.44140625" style="91" customWidth="1"/>
    <col min="13574" max="13574" width="5.21875" style="91" customWidth="1"/>
    <col min="13575" max="13575" width="21.21875" style="91" customWidth="1"/>
    <col min="13576" max="13576" width="17.21875" style="91" customWidth="1"/>
    <col min="13577" max="13577" width="10.21875" style="91" customWidth="1"/>
    <col min="13578" max="13578" width="15" style="91" customWidth="1"/>
    <col min="13579" max="13579" width="10.21875" style="91" customWidth="1"/>
    <col min="13580" max="13580" width="15.77734375" style="91" customWidth="1"/>
    <col min="13581" max="13581" width="9.5546875" style="91" customWidth="1"/>
    <col min="13582" max="13582" width="11.44140625" style="91" customWidth="1"/>
    <col min="13583" max="13583" width="12" style="91" customWidth="1"/>
    <col min="13584" max="13826" width="9.21875" style="91"/>
    <col min="13827" max="13827" width="6" style="91" customWidth="1"/>
    <col min="13828" max="13828" width="22.21875" style="91" customWidth="1"/>
    <col min="13829" max="13829" width="5.44140625" style="91" customWidth="1"/>
    <col min="13830" max="13830" width="5.21875" style="91" customWidth="1"/>
    <col min="13831" max="13831" width="21.21875" style="91" customWidth="1"/>
    <col min="13832" max="13832" width="17.21875" style="91" customWidth="1"/>
    <col min="13833" max="13833" width="10.21875" style="91" customWidth="1"/>
    <col min="13834" max="13834" width="15" style="91" customWidth="1"/>
    <col min="13835" max="13835" width="10.21875" style="91" customWidth="1"/>
    <col min="13836" max="13836" width="15.77734375" style="91" customWidth="1"/>
    <col min="13837" max="13837" width="9.5546875" style="91" customWidth="1"/>
    <col min="13838" max="13838" width="11.44140625" style="91" customWidth="1"/>
    <col min="13839" max="13839" width="12" style="91" customWidth="1"/>
    <col min="13840" max="14082" width="9.21875" style="91"/>
    <col min="14083" max="14083" width="6" style="91" customWidth="1"/>
    <col min="14084" max="14084" width="22.21875" style="91" customWidth="1"/>
    <col min="14085" max="14085" width="5.44140625" style="91" customWidth="1"/>
    <col min="14086" max="14086" width="5.21875" style="91" customWidth="1"/>
    <col min="14087" max="14087" width="21.21875" style="91" customWidth="1"/>
    <col min="14088" max="14088" width="17.21875" style="91" customWidth="1"/>
    <col min="14089" max="14089" width="10.21875" style="91" customWidth="1"/>
    <col min="14090" max="14090" width="15" style="91" customWidth="1"/>
    <col min="14091" max="14091" width="10.21875" style="91" customWidth="1"/>
    <col min="14092" max="14092" width="15.77734375" style="91" customWidth="1"/>
    <col min="14093" max="14093" width="9.5546875" style="91" customWidth="1"/>
    <col min="14094" max="14094" width="11.44140625" style="91" customWidth="1"/>
    <col min="14095" max="14095" width="12" style="91" customWidth="1"/>
    <col min="14096" max="14338" width="9.21875" style="91"/>
    <col min="14339" max="14339" width="6" style="91" customWidth="1"/>
    <col min="14340" max="14340" width="22.21875" style="91" customWidth="1"/>
    <col min="14341" max="14341" width="5.44140625" style="91" customWidth="1"/>
    <col min="14342" max="14342" width="5.21875" style="91" customWidth="1"/>
    <col min="14343" max="14343" width="21.21875" style="91" customWidth="1"/>
    <col min="14344" max="14344" width="17.21875" style="91" customWidth="1"/>
    <col min="14345" max="14345" width="10.21875" style="91" customWidth="1"/>
    <col min="14346" max="14346" width="15" style="91" customWidth="1"/>
    <col min="14347" max="14347" width="10.21875" style="91" customWidth="1"/>
    <col min="14348" max="14348" width="15.77734375" style="91" customWidth="1"/>
    <col min="14349" max="14349" width="9.5546875" style="91" customWidth="1"/>
    <col min="14350" max="14350" width="11.44140625" style="91" customWidth="1"/>
    <col min="14351" max="14351" width="12" style="91" customWidth="1"/>
    <col min="14352" max="14594" width="9.21875" style="91"/>
    <col min="14595" max="14595" width="6" style="91" customWidth="1"/>
    <col min="14596" max="14596" width="22.21875" style="91" customWidth="1"/>
    <col min="14597" max="14597" width="5.44140625" style="91" customWidth="1"/>
    <col min="14598" max="14598" width="5.21875" style="91" customWidth="1"/>
    <col min="14599" max="14599" width="21.21875" style="91" customWidth="1"/>
    <col min="14600" max="14600" width="17.21875" style="91" customWidth="1"/>
    <col min="14601" max="14601" width="10.21875" style="91" customWidth="1"/>
    <col min="14602" max="14602" width="15" style="91" customWidth="1"/>
    <col min="14603" max="14603" width="10.21875" style="91" customWidth="1"/>
    <col min="14604" max="14604" width="15.77734375" style="91" customWidth="1"/>
    <col min="14605" max="14605" width="9.5546875" style="91" customWidth="1"/>
    <col min="14606" max="14606" width="11.44140625" style="91" customWidth="1"/>
    <col min="14607" max="14607" width="12" style="91" customWidth="1"/>
    <col min="14608" max="14850" width="9.21875" style="91"/>
    <col min="14851" max="14851" width="6" style="91" customWidth="1"/>
    <col min="14852" max="14852" width="22.21875" style="91" customWidth="1"/>
    <col min="14853" max="14853" width="5.44140625" style="91" customWidth="1"/>
    <col min="14854" max="14854" width="5.21875" style="91" customWidth="1"/>
    <col min="14855" max="14855" width="21.21875" style="91" customWidth="1"/>
    <col min="14856" max="14856" width="17.21875" style="91" customWidth="1"/>
    <col min="14857" max="14857" width="10.21875" style="91" customWidth="1"/>
    <col min="14858" max="14858" width="15" style="91" customWidth="1"/>
    <col min="14859" max="14859" width="10.21875" style="91" customWidth="1"/>
    <col min="14860" max="14860" width="15.77734375" style="91" customWidth="1"/>
    <col min="14861" max="14861" width="9.5546875" style="91" customWidth="1"/>
    <col min="14862" max="14862" width="11.44140625" style="91" customWidth="1"/>
    <col min="14863" max="14863" width="12" style="91" customWidth="1"/>
    <col min="14864" max="15106" width="9.21875" style="91"/>
    <col min="15107" max="15107" width="6" style="91" customWidth="1"/>
    <col min="15108" max="15108" width="22.21875" style="91" customWidth="1"/>
    <col min="15109" max="15109" width="5.44140625" style="91" customWidth="1"/>
    <col min="15110" max="15110" width="5.21875" style="91" customWidth="1"/>
    <col min="15111" max="15111" width="21.21875" style="91" customWidth="1"/>
    <col min="15112" max="15112" width="17.21875" style="91" customWidth="1"/>
    <col min="15113" max="15113" width="10.21875" style="91" customWidth="1"/>
    <col min="15114" max="15114" width="15" style="91" customWidth="1"/>
    <col min="15115" max="15115" width="10.21875" style="91" customWidth="1"/>
    <col min="15116" max="15116" width="15.77734375" style="91" customWidth="1"/>
    <col min="15117" max="15117" width="9.5546875" style="91" customWidth="1"/>
    <col min="15118" max="15118" width="11.44140625" style="91" customWidth="1"/>
    <col min="15119" max="15119" width="12" style="91" customWidth="1"/>
    <col min="15120" max="15362" width="9.21875" style="91"/>
    <col min="15363" max="15363" width="6" style="91" customWidth="1"/>
    <col min="15364" max="15364" width="22.21875" style="91" customWidth="1"/>
    <col min="15365" max="15365" width="5.44140625" style="91" customWidth="1"/>
    <col min="15366" max="15366" width="5.21875" style="91" customWidth="1"/>
    <col min="15367" max="15367" width="21.21875" style="91" customWidth="1"/>
    <col min="15368" max="15368" width="17.21875" style="91" customWidth="1"/>
    <col min="15369" max="15369" width="10.21875" style="91" customWidth="1"/>
    <col min="15370" max="15370" width="15" style="91" customWidth="1"/>
    <col min="15371" max="15371" width="10.21875" style="91" customWidth="1"/>
    <col min="15372" max="15372" width="15.77734375" style="91" customWidth="1"/>
    <col min="15373" max="15373" width="9.5546875" style="91" customWidth="1"/>
    <col min="15374" max="15374" width="11.44140625" style="91" customWidth="1"/>
    <col min="15375" max="15375" width="12" style="91" customWidth="1"/>
    <col min="15376" max="15618" width="9.21875" style="91"/>
    <col min="15619" max="15619" width="6" style="91" customWidth="1"/>
    <col min="15620" max="15620" width="22.21875" style="91" customWidth="1"/>
    <col min="15621" max="15621" width="5.44140625" style="91" customWidth="1"/>
    <col min="15622" max="15622" width="5.21875" style="91" customWidth="1"/>
    <col min="15623" max="15623" width="21.21875" style="91" customWidth="1"/>
    <col min="15624" max="15624" width="17.21875" style="91" customWidth="1"/>
    <col min="15625" max="15625" width="10.21875" style="91" customWidth="1"/>
    <col min="15626" max="15626" width="15" style="91" customWidth="1"/>
    <col min="15627" max="15627" width="10.21875" style="91" customWidth="1"/>
    <col min="15628" max="15628" width="15.77734375" style="91" customWidth="1"/>
    <col min="15629" max="15629" width="9.5546875" style="91" customWidth="1"/>
    <col min="15630" max="15630" width="11.44140625" style="91" customWidth="1"/>
    <col min="15631" max="15631" width="12" style="91" customWidth="1"/>
    <col min="15632" max="15874" width="9.21875" style="91"/>
    <col min="15875" max="15875" width="6" style="91" customWidth="1"/>
    <col min="15876" max="15876" width="22.21875" style="91" customWidth="1"/>
    <col min="15877" max="15877" width="5.44140625" style="91" customWidth="1"/>
    <col min="15878" max="15878" width="5.21875" style="91" customWidth="1"/>
    <col min="15879" max="15879" width="21.21875" style="91" customWidth="1"/>
    <col min="15880" max="15880" width="17.21875" style="91" customWidth="1"/>
    <col min="15881" max="15881" width="10.21875" style="91" customWidth="1"/>
    <col min="15882" max="15882" width="15" style="91" customWidth="1"/>
    <col min="15883" max="15883" width="10.21875" style="91" customWidth="1"/>
    <col min="15884" max="15884" width="15.77734375" style="91" customWidth="1"/>
    <col min="15885" max="15885" width="9.5546875" style="91" customWidth="1"/>
    <col min="15886" max="15886" width="11.44140625" style="91" customWidth="1"/>
    <col min="15887" max="15887" width="12" style="91" customWidth="1"/>
    <col min="15888" max="16130" width="9.21875" style="91"/>
    <col min="16131" max="16131" width="6" style="91" customWidth="1"/>
    <col min="16132" max="16132" width="22.21875" style="91" customWidth="1"/>
    <col min="16133" max="16133" width="5.44140625" style="91" customWidth="1"/>
    <col min="16134" max="16134" width="5.21875" style="91" customWidth="1"/>
    <col min="16135" max="16135" width="21.21875" style="91" customWidth="1"/>
    <col min="16136" max="16136" width="17.21875" style="91" customWidth="1"/>
    <col min="16137" max="16137" width="10.21875" style="91" customWidth="1"/>
    <col min="16138" max="16138" width="15" style="91" customWidth="1"/>
    <col min="16139" max="16139" width="10.21875" style="91" customWidth="1"/>
    <col min="16140" max="16140" width="15.77734375" style="91" customWidth="1"/>
    <col min="16141" max="16141" width="9.5546875" style="91" customWidth="1"/>
    <col min="16142" max="16142" width="11.44140625" style="91" customWidth="1"/>
    <col min="16143" max="16143" width="12" style="91" customWidth="1"/>
    <col min="16144" max="16384" width="9.21875" style="91"/>
  </cols>
  <sheetData>
    <row r="1" spans="1:42" ht="15.6" x14ac:dyDescent="0.3">
      <c r="A1" s="308" t="s">
        <v>266</v>
      </c>
      <c r="B1" s="308"/>
      <c r="C1" s="308"/>
      <c r="D1" s="308"/>
      <c r="E1" s="308"/>
      <c r="F1" s="308"/>
      <c r="G1" s="308"/>
      <c r="H1" s="308"/>
      <c r="I1" s="308"/>
      <c r="J1" s="308"/>
      <c r="K1" s="308"/>
      <c r="L1" s="308"/>
      <c r="M1" s="308"/>
      <c r="N1" s="308"/>
      <c r="O1" s="308"/>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row>
    <row r="2" spans="1:42" ht="15.6" x14ac:dyDescent="0.3">
      <c r="A2" s="308" t="s">
        <v>267</v>
      </c>
      <c r="B2" s="308"/>
      <c r="C2" s="308"/>
      <c r="D2" s="308"/>
      <c r="E2" s="308"/>
      <c r="F2" s="308"/>
      <c r="G2" s="308"/>
      <c r="H2" s="308"/>
      <c r="I2" s="308"/>
      <c r="J2" s="308"/>
      <c r="K2" s="308"/>
      <c r="L2" s="308"/>
      <c r="M2" s="308"/>
      <c r="N2" s="308"/>
      <c r="O2" s="308"/>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row>
    <row r="3" spans="1:42" ht="15.6" x14ac:dyDescent="0.3">
      <c r="A3" s="308" t="s">
        <v>268</v>
      </c>
      <c r="B3" s="308"/>
      <c r="C3" s="308"/>
      <c r="D3" s="308"/>
      <c r="E3" s="308"/>
      <c r="F3" s="308"/>
      <c r="G3" s="308"/>
      <c r="H3" s="308"/>
      <c r="I3" s="308"/>
      <c r="J3" s="308"/>
      <c r="K3" s="308"/>
      <c r="L3" s="308"/>
      <c r="M3" s="308"/>
      <c r="N3" s="308"/>
      <c r="O3" s="308"/>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row>
    <row r="4" spans="1:42" ht="15.6" x14ac:dyDescent="0.3">
      <c r="A4" s="308" t="s">
        <v>269</v>
      </c>
      <c r="B4" s="308"/>
      <c r="C4" s="308"/>
      <c r="D4" s="308"/>
      <c r="E4" s="308"/>
      <c r="F4" s="308"/>
      <c r="G4" s="308"/>
      <c r="H4" s="308"/>
      <c r="I4" s="308"/>
      <c r="J4" s="308"/>
      <c r="K4" s="308"/>
      <c r="L4" s="308"/>
      <c r="M4" s="308"/>
      <c r="N4" s="308"/>
      <c r="O4" s="308"/>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row>
    <row r="5" spans="1:42" ht="15.6" x14ac:dyDescent="0.3">
      <c r="A5" s="308" t="s">
        <v>832</v>
      </c>
      <c r="B5" s="308"/>
      <c r="C5" s="308"/>
      <c r="D5" s="308"/>
      <c r="E5" s="308"/>
      <c r="F5" s="308"/>
      <c r="G5" s="308"/>
      <c r="H5" s="308"/>
      <c r="I5" s="308"/>
      <c r="J5" s="308"/>
      <c r="K5" s="308"/>
      <c r="L5" s="308"/>
      <c r="M5" s="308"/>
      <c r="N5" s="308"/>
      <c r="O5" s="308"/>
    </row>
    <row r="6" spans="1:42" ht="9.75" customHeight="1" x14ac:dyDescent="0.3"/>
    <row r="7" spans="1:42" x14ac:dyDescent="0.3">
      <c r="A7" s="92" t="s">
        <v>833</v>
      </c>
    </row>
    <row r="8" spans="1:42" ht="17.55" customHeight="1" x14ac:dyDescent="0.3">
      <c r="A8" s="93" t="s">
        <v>270</v>
      </c>
      <c r="D8" s="309" t="str">
        <f>IF('DR-TB 10A (Sputum &amp; EP Sample)'!C8="","",'DR-TB 10A (Sputum &amp; EP Sample)'!C8)</f>
        <v/>
      </c>
      <c r="E8" s="309"/>
      <c r="F8" s="309"/>
      <c r="H8" s="94" t="s">
        <v>271</v>
      </c>
      <c r="I8" s="401" t="str">
        <f>'DR-TB 10A (Sputum &amp; EP Sample)'!L6</f>
        <v>&lt;Dates&gt;</v>
      </c>
      <c r="J8" s="401"/>
      <c r="K8" s="401"/>
      <c r="L8" s="401"/>
      <c r="M8" s="401"/>
      <c r="N8" s="401"/>
      <c r="O8" s="401"/>
      <c r="P8" s="402"/>
    </row>
    <row r="9" spans="1:42" ht="17.55" customHeight="1" x14ac:dyDescent="0.3">
      <c r="A9" s="95" t="s">
        <v>834</v>
      </c>
      <c r="F9" s="20">
        <f>'DR-TB 10A (Sputum &amp; EP Sample)'!F18+'DR-TB 10A (Stool)'!F18</f>
        <v>0</v>
      </c>
    </row>
    <row r="10" spans="1:42" ht="24.6" customHeight="1" x14ac:dyDescent="0.3">
      <c r="A10" s="91" t="s">
        <v>866</v>
      </c>
      <c r="B10" s="91">
        <v>2</v>
      </c>
    </row>
    <row r="11" spans="1:42" s="96" customFormat="1" ht="55.2" customHeight="1" x14ac:dyDescent="0.3">
      <c r="A11" s="310" t="s">
        <v>272</v>
      </c>
      <c r="B11" s="311" t="s">
        <v>843</v>
      </c>
      <c r="C11" s="300" t="s">
        <v>273</v>
      </c>
      <c r="D11" s="300" t="s">
        <v>277</v>
      </c>
      <c r="E11" s="300" t="s">
        <v>679</v>
      </c>
      <c r="F11" s="300" t="s">
        <v>274</v>
      </c>
      <c r="G11" s="300" t="s">
        <v>835</v>
      </c>
      <c r="H11" s="302" t="s">
        <v>849</v>
      </c>
      <c r="I11" s="306" t="s">
        <v>842</v>
      </c>
      <c r="J11" s="304" t="s">
        <v>275</v>
      </c>
      <c r="K11" s="304" t="s">
        <v>836</v>
      </c>
      <c r="L11" s="306" t="s">
        <v>823</v>
      </c>
      <c r="M11" s="306"/>
      <c r="N11" s="306"/>
      <c r="O11" s="306"/>
      <c r="P11" s="306"/>
      <c r="Q11" s="306"/>
      <c r="R11" s="306"/>
      <c r="S11" s="300" t="s">
        <v>824</v>
      </c>
      <c r="T11" s="304" t="s">
        <v>278</v>
      </c>
      <c r="U11" s="300" t="s">
        <v>703</v>
      </c>
      <c r="V11" s="302" t="s">
        <v>825</v>
      </c>
      <c r="W11" s="300" t="s">
        <v>838</v>
      </c>
      <c r="X11" s="300" t="s">
        <v>276</v>
      </c>
    </row>
    <row r="12" spans="1:42" s="96" customFormat="1" ht="55.2" customHeight="1" x14ac:dyDescent="0.3">
      <c r="A12" s="310"/>
      <c r="B12" s="311"/>
      <c r="C12" s="301"/>
      <c r="D12" s="301"/>
      <c r="E12" s="301"/>
      <c r="F12" s="301"/>
      <c r="G12" s="301"/>
      <c r="H12" s="303"/>
      <c r="I12" s="306"/>
      <c r="J12" s="305"/>
      <c r="K12" s="305"/>
      <c r="L12" s="153" t="s">
        <v>815</v>
      </c>
      <c r="M12" s="153" t="s">
        <v>826</v>
      </c>
      <c r="N12" s="153" t="s">
        <v>827</v>
      </c>
      <c r="O12" s="153" t="s">
        <v>828</v>
      </c>
      <c r="P12" s="153" t="s">
        <v>829</v>
      </c>
      <c r="Q12" s="153" t="s">
        <v>830</v>
      </c>
      <c r="R12" s="153" t="s">
        <v>831</v>
      </c>
      <c r="S12" s="301"/>
      <c r="T12" s="305"/>
      <c r="U12" s="301"/>
      <c r="V12" s="303"/>
      <c r="W12" s="301"/>
      <c r="X12" s="301"/>
    </row>
    <row r="13" spans="1:42" s="135" customFormat="1" ht="55.2" customHeight="1" x14ac:dyDescent="0.3">
      <c r="A13" s="404" t="s">
        <v>851</v>
      </c>
      <c r="B13" s="404" t="s">
        <v>852</v>
      </c>
      <c r="C13" s="404" t="s">
        <v>853</v>
      </c>
      <c r="D13" s="404" t="s">
        <v>854</v>
      </c>
      <c r="E13" s="404" t="s">
        <v>855</v>
      </c>
      <c r="F13" s="405" t="s">
        <v>856</v>
      </c>
      <c r="G13" s="405" t="s">
        <v>857</v>
      </c>
      <c r="H13" s="406" t="s">
        <v>858</v>
      </c>
      <c r="I13" s="137"/>
      <c r="J13" s="404" t="s">
        <v>859</v>
      </c>
      <c r="K13" s="404" t="s">
        <v>860</v>
      </c>
      <c r="L13" s="137"/>
      <c r="M13" s="137"/>
      <c r="N13" s="137"/>
      <c r="O13" s="137"/>
      <c r="P13" s="137"/>
      <c r="Q13" s="137"/>
      <c r="R13" s="137"/>
      <c r="S13" s="404" t="s">
        <v>861</v>
      </c>
      <c r="T13" s="404" t="s">
        <v>862</v>
      </c>
      <c r="U13" s="404" t="s">
        <v>863</v>
      </c>
      <c r="V13" s="142"/>
      <c r="W13" s="404" t="s">
        <v>864</v>
      </c>
      <c r="X13" s="407" t="s">
        <v>865</v>
      </c>
    </row>
    <row r="14" spans="1:42" hidden="1" x14ac:dyDescent="0.3">
      <c r="C14" s="97"/>
      <c r="I14" s="137"/>
    </row>
    <row r="15" spans="1:42" x14ac:dyDescent="0.3">
      <c r="C15" s="97"/>
      <c r="I15" s="403"/>
    </row>
    <row r="16" spans="1:42" ht="54.75" customHeight="1" x14ac:dyDescent="0.3">
      <c r="A16" s="307" t="s">
        <v>767</v>
      </c>
      <c r="B16" s="307"/>
      <c r="C16" s="307"/>
      <c r="D16" s="307"/>
      <c r="E16" s="307"/>
      <c r="F16" s="307"/>
      <c r="G16" s="307"/>
      <c r="H16" s="307"/>
      <c r="I16" s="307"/>
      <c r="J16" s="307"/>
      <c r="K16" s="307"/>
      <c r="L16" s="307"/>
      <c r="M16" s="307"/>
      <c r="N16" s="307"/>
      <c r="O16" s="307"/>
    </row>
    <row r="17" spans="1:15" ht="16.5" customHeight="1" x14ac:dyDescent="0.3">
      <c r="A17" s="19" t="s">
        <v>837</v>
      </c>
      <c r="B17" s="98"/>
      <c r="C17" s="98"/>
      <c r="D17" s="98"/>
      <c r="E17" s="98"/>
      <c r="F17" s="98"/>
      <c r="G17" s="98"/>
      <c r="H17" s="98"/>
      <c r="I17" s="98"/>
      <c r="J17" s="98"/>
      <c r="K17" s="98"/>
      <c r="L17" s="98"/>
      <c r="M17" s="98"/>
      <c r="N17" s="98"/>
      <c r="O17" s="98"/>
    </row>
  </sheetData>
  <sheetProtection insertRows="0" deleteRows="0"/>
  <mergeCells count="26">
    <mergeCell ref="I8:P8"/>
    <mergeCell ref="A16:O16"/>
    <mergeCell ref="A1:O1"/>
    <mergeCell ref="A2:O2"/>
    <mergeCell ref="A3:O3"/>
    <mergeCell ref="A4:O4"/>
    <mergeCell ref="A5:O5"/>
    <mergeCell ref="D8:F8"/>
    <mergeCell ref="A11:A12"/>
    <mergeCell ref="B11:B12"/>
    <mergeCell ref="C11:C12"/>
    <mergeCell ref="D11:D12"/>
    <mergeCell ref="E11:E12"/>
    <mergeCell ref="F11:F12"/>
    <mergeCell ref="G11:G12"/>
    <mergeCell ref="H11:H12"/>
    <mergeCell ref="I11:I12"/>
    <mergeCell ref="U11:U12"/>
    <mergeCell ref="V11:V12"/>
    <mergeCell ref="W11:W12"/>
    <mergeCell ref="X11:X12"/>
    <mergeCell ref="J11:J12"/>
    <mergeCell ref="K11:K12"/>
    <mergeCell ref="L11:R11"/>
    <mergeCell ref="S11:S12"/>
    <mergeCell ref="T11:T12"/>
  </mergeCells>
  <dataValidations count="8">
    <dataValidation type="list" allowBlank="1" showInputMessage="1" showErrorMessage="1" sqref="WVT983044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K65540 JH65540 TD65540 ACZ65540 AMV65540 AWR65540 BGN65540 BQJ65540 CAF65540 CKB65540 CTX65540 DDT65540 DNP65540 DXL65540 EHH65540 ERD65540 FAZ65540 FKV65540 FUR65540 GEN65540 GOJ65540 GYF65540 HIB65540 HRX65540 IBT65540 ILP65540 IVL65540 JFH65540 JPD65540 JYZ65540 KIV65540 KSR65540 LCN65540 LMJ65540 LWF65540 MGB65540 MPX65540 MZT65540 NJP65540 NTL65540 ODH65540 OND65540 OWZ65540 PGV65540 PQR65540 QAN65540 QKJ65540 QUF65540 REB65540 RNX65540 RXT65540 SHP65540 SRL65540 TBH65540 TLD65540 TUZ65540 UEV65540 UOR65540 UYN65540 VIJ65540 VSF65540 WCB65540 WLX65540 WVT65540 K131076 JH131076 TD131076 ACZ131076 AMV131076 AWR131076 BGN131076 BQJ131076 CAF131076 CKB131076 CTX131076 DDT131076 DNP131076 DXL131076 EHH131076 ERD131076 FAZ131076 FKV131076 FUR131076 GEN131076 GOJ131076 GYF131076 HIB131076 HRX131076 IBT131076 ILP131076 IVL131076 JFH131076 JPD131076 JYZ131076 KIV131076 KSR131076 LCN131076 LMJ131076 LWF131076 MGB131076 MPX131076 MZT131076 NJP131076 NTL131076 ODH131076 OND131076 OWZ131076 PGV131076 PQR131076 QAN131076 QKJ131076 QUF131076 REB131076 RNX131076 RXT131076 SHP131076 SRL131076 TBH131076 TLD131076 TUZ131076 UEV131076 UOR131076 UYN131076 VIJ131076 VSF131076 WCB131076 WLX131076 WVT131076 K196612 JH196612 TD196612 ACZ196612 AMV196612 AWR196612 BGN196612 BQJ196612 CAF196612 CKB196612 CTX196612 DDT196612 DNP196612 DXL196612 EHH196612 ERD196612 FAZ196612 FKV196612 FUR196612 GEN196612 GOJ196612 GYF196612 HIB196612 HRX196612 IBT196612 ILP196612 IVL196612 JFH196612 JPD196612 JYZ196612 KIV196612 KSR196612 LCN196612 LMJ196612 LWF196612 MGB196612 MPX196612 MZT196612 NJP196612 NTL196612 ODH196612 OND196612 OWZ196612 PGV196612 PQR196612 QAN196612 QKJ196612 QUF196612 REB196612 RNX196612 RXT196612 SHP196612 SRL196612 TBH196612 TLD196612 TUZ196612 UEV196612 UOR196612 UYN196612 VIJ196612 VSF196612 WCB196612 WLX196612 WVT196612 K262148 JH262148 TD262148 ACZ262148 AMV262148 AWR262148 BGN262148 BQJ262148 CAF262148 CKB262148 CTX262148 DDT262148 DNP262148 DXL262148 EHH262148 ERD262148 FAZ262148 FKV262148 FUR262148 GEN262148 GOJ262148 GYF262148 HIB262148 HRX262148 IBT262148 ILP262148 IVL262148 JFH262148 JPD262148 JYZ262148 KIV262148 KSR262148 LCN262148 LMJ262148 LWF262148 MGB262148 MPX262148 MZT262148 NJP262148 NTL262148 ODH262148 OND262148 OWZ262148 PGV262148 PQR262148 QAN262148 QKJ262148 QUF262148 REB262148 RNX262148 RXT262148 SHP262148 SRL262148 TBH262148 TLD262148 TUZ262148 UEV262148 UOR262148 UYN262148 VIJ262148 VSF262148 WCB262148 WLX262148 WVT262148 K327684 JH327684 TD327684 ACZ327684 AMV327684 AWR327684 BGN327684 BQJ327684 CAF327684 CKB327684 CTX327684 DDT327684 DNP327684 DXL327684 EHH327684 ERD327684 FAZ327684 FKV327684 FUR327684 GEN327684 GOJ327684 GYF327684 HIB327684 HRX327684 IBT327684 ILP327684 IVL327684 JFH327684 JPD327684 JYZ327684 KIV327684 KSR327684 LCN327684 LMJ327684 LWF327684 MGB327684 MPX327684 MZT327684 NJP327684 NTL327684 ODH327684 OND327684 OWZ327684 PGV327684 PQR327684 QAN327684 QKJ327684 QUF327684 REB327684 RNX327684 RXT327684 SHP327684 SRL327684 TBH327684 TLD327684 TUZ327684 UEV327684 UOR327684 UYN327684 VIJ327684 VSF327684 WCB327684 WLX327684 WVT327684 K393220 JH393220 TD393220 ACZ393220 AMV393220 AWR393220 BGN393220 BQJ393220 CAF393220 CKB393220 CTX393220 DDT393220 DNP393220 DXL393220 EHH393220 ERD393220 FAZ393220 FKV393220 FUR393220 GEN393220 GOJ393220 GYF393220 HIB393220 HRX393220 IBT393220 ILP393220 IVL393220 JFH393220 JPD393220 JYZ393220 KIV393220 KSR393220 LCN393220 LMJ393220 LWF393220 MGB393220 MPX393220 MZT393220 NJP393220 NTL393220 ODH393220 OND393220 OWZ393220 PGV393220 PQR393220 QAN393220 QKJ393220 QUF393220 REB393220 RNX393220 RXT393220 SHP393220 SRL393220 TBH393220 TLD393220 TUZ393220 UEV393220 UOR393220 UYN393220 VIJ393220 VSF393220 WCB393220 WLX393220 WVT393220 K458756 JH458756 TD458756 ACZ458756 AMV458756 AWR458756 BGN458756 BQJ458756 CAF458756 CKB458756 CTX458756 DDT458756 DNP458756 DXL458756 EHH458756 ERD458756 FAZ458756 FKV458756 FUR458756 GEN458756 GOJ458756 GYF458756 HIB458756 HRX458756 IBT458756 ILP458756 IVL458756 JFH458756 JPD458756 JYZ458756 KIV458756 KSR458756 LCN458756 LMJ458756 LWF458756 MGB458756 MPX458756 MZT458756 NJP458756 NTL458756 ODH458756 OND458756 OWZ458756 PGV458756 PQR458756 QAN458756 QKJ458756 QUF458756 REB458756 RNX458756 RXT458756 SHP458756 SRL458756 TBH458756 TLD458756 TUZ458756 UEV458756 UOR458756 UYN458756 VIJ458756 VSF458756 WCB458756 WLX458756 WVT458756 K524292 JH524292 TD524292 ACZ524292 AMV524292 AWR524292 BGN524292 BQJ524292 CAF524292 CKB524292 CTX524292 DDT524292 DNP524292 DXL524292 EHH524292 ERD524292 FAZ524292 FKV524292 FUR524292 GEN524292 GOJ524292 GYF524292 HIB524292 HRX524292 IBT524292 ILP524292 IVL524292 JFH524292 JPD524292 JYZ524292 KIV524292 KSR524292 LCN524292 LMJ524292 LWF524292 MGB524292 MPX524292 MZT524292 NJP524292 NTL524292 ODH524292 OND524292 OWZ524292 PGV524292 PQR524292 QAN524292 QKJ524292 QUF524292 REB524292 RNX524292 RXT524292 SHP524292 SRL524292 TBH524292 TLD524292 TUZ524292 UEV524292 UOR524292 UYN524292 VIJ524292 VSF524292 WCB524292 WLX524292 WVT524292 K589828 JH589828 TD589828 ACZ589828 AMV589828 AWR589828 BGN589828 BQJ589828 CAF589828 CKB589828 CTX589828 DDT589828 DNP589828 DXL589828 EHH589828 ERD589828 FAZ589828 FKV589828 FUR589828 GEN589828 GOJ589828 GYF589828 HIB589828 HRX589828 IBT589828 ILP589828 IVL589828 JFH589828 JPD589828 JYZ589828 KIV589828 KSR589828 LCN589828 LMJ589828 LWF589828 MGB589828 MPX589828 MZT589828 NJP589828 NTL589828 ODH589828 OND589828 OWZ589828 PGV589828 PQR589828 QAN589828 QKJ589828 QUF589828 REB589828 RNX589828 RXT589828 SHP589828 SRL589828 TBH589828 TLD589828 TUZ589828 UEV589828 UOR589828 UYN589828 VIJ589828 VSF589828 WCB589828 WLX589828 WVT589828 K655364 JH655364 TD655364 ACZ655364 AMV655364 AWR655364 BGN655364 BQJ655364 CAF655364 CKB655364 CTX655364 DDT655364 DNP655364 DXL655364 EHH655364 ERD655364 FAZ655364 FKV655364 FUR655364 GEN655364 GOJ655364 GYF655364 HIB655364 HRX655364 IBT655364 ILP655364 IVL655364 JFH655364 JPD655364 JYZ655364 KIV655364 KSR655364 LCN655364 LMJ655364 LWF655364 MGB655364 MPX655364 MZT655364 NJP655364 NTL655364 ODH655364 OND655364 OWZ655364 PGV655364 PQR655364 QAN655364 QKJ655364 QUF655364 REB655364 RNX655364 RXT655364 SHP655364 SRL655364 TBH655364 TLD655364 TUZ655364 UEV655364 UOR655364 UYN655364 VIJ655364 VSF655364 WCB655364 WLX655364 WVT655364 K720900 JH720900 TD720900 ACZ720900 AMV720900 AWR720900 BGN720900 BQJ720900 CAF720900 CKB720900 CTX720900 DDT720900 DNP720900 DXL720900 EHH720900 ERD720900 FAZ720900 FKV720900 FUR720900 GEN720900 GOJ720900 GYF720900 HIB720900 HRX720900 IBT720900 ILP720900 IVL720900 JFH720900 JPD720900 JYZ720900 KIV720900 KSR720900 LCN720900 LMJ720900 LWF720900 MGB720900 MPX720900 MZT720900 NJP720900 NTL720900 ODH720900 OND720900 OWZ720900 PGV720900 PQR720900 QAN720900 QKJ720900 QUF720900 REB720900 RNX720900 RXT720900 SHP720900 SRL720900 TBH720900 TLD720900 TUZ720900 UEV720900 UOR720900 UYN720900 VIJ720900 VSF720900 WCB720900 WLX720900 WVT720900 K786436 JH786436 TD786436 ACZ786436 AMV786436 AWR786436 BGN786436 BQJ786436 CAF786436 CKB786436 CTX786436 DDT786436 DNP786436 DXL786436 EHH786436 ERD786436 FAZ786436 FKV786436 FUR786436 GEN786436 GOJ786436 GYF786436 HIB786436 HRX786436 IBT786436 ILP786436 IVL786436 JFH786436 JPD786436 JYZ786436 KIV786436 KSR786436 LCN786436 LMJ786436 LWF786436 MGB786436 MPX786436 MZT786436 NJP786436 NTL786436 ODH786436 OND786436 OWZ786436 PGV786436 PQR786436 QAN786436 QKJ786436 QUF786436 REB786436 RNX786436 RXT786436 SHP786436 SRL786436 TBH786436 TLD786436 TUZ786436 UEV786436 UOR786436 UYN786436 VIJ786436 VSF786436 WCB786436 WLX786436 WVT786436 K851972 JH851972 TD851972 ACZ851972 AMV851972 AWR851972 BGN851972 BQJ851972 CAF851972 CKB851972 CTX851972 DDT851972 DNP851972 DXL851972 EHH851972 ERD851972 FAZ851972 FKV851972 FUR851972 GEN851972 GOJ851972 GYF851972 HIB851972 HRX851972 IBT851972 ILP851972 IVL851972 JFH851972 JPD851972 JYZ851972 KIV851972 KSR851972 LCN851972 LMJ851972 LWF851972 MGB851972 MPX851972 MZT851972 NJP851972 NTL851972 ODH851972 OND851972 OWZ851972 PGV851972 PQR851972 QAN851972 QKJ851972 QUF851972 REB851972 RNX851972 RXT851972 SHP851972 SRL851972 TBH851972 TLD851972 TUZ851972 UEV851972 UOR851972 UYN851972 VIJ851972 VSF851972 WCB851972 WLX851972 WVT851972 K917508 JH917508 TD917508 ACZ917508 AMV917508 AWR917508 BGN917508 BQJ917508 CAF917508 CKB917508 CTX917508 DDT917508 DNP917508 DXL917508 EHH917508 ERD917508 FAZ917508 FKV917508 FUR917508 GEN917508 GOJ917508 GYF917508 HIB917508 HRX917508 IBT917508 ILP917508 IVL917508 JFH917508 JPD917508 JYZ917508 KIV917508 KSR917508 LCN917508 LMJ917508 LWF917508 MGB917508 MPX917508 MZT917508 NJP917508 NTL917508 ODH917508 OND917508 OWZ917508 PGV917508 PQR917508 QAN917508 QKJ917508 QUF917508 REB917508 RNX917508 RXT917508 SHP917508 SRL917508 TBH917508 TLD917508 TUZ917508 UEV917508 UOR917508 UYN917508 VIJ917508 VSF917508 WCB917508 WLX917508 WVT917508 K983044 JH983044 TD983044 ACZ983044 AMV983044 AWR983044 BGN983044 BQJ983044 CAF983044 CKB983044 CTX983044 DDT983044 DNP983044 DXL983044 EHH983044 ERD983044 FAZ983044 FKV983044 FUR983044 GEN983044 GOJ983044 GYF983044 HIB983044 HRX983044 IBT983044 ILP983044 IVL983044 JFH983044 JPD983044 JYZ983044 KIV983044 KSR983044 LCN983044 LMJ983044 LWF983044 MGB983044 MPX983044 MZT983044 NJP983044 NTL983044 ODH983044 OND983044 OWZ983044 PGV983044 PQR983044 QAN983044 QKJ983044 QUF983044 REB983044 RNX983044 RXT983044 SHP983044 SRL983044 TBH983044 TLD983044 TUZ983044 UEV983044 UOR983044 UYN983044 VIJ983044 VSF983044 WCB983044 WLX983044">
      <formula1>"1st Quarter, 2nd Quarter, 3rd Quarter, 4th Quarter, All Quarter"</formula1>
    </dataValidation>
    <dataValidation type="list" allowBlank="1" showInputMessage="1" showErrorMessage="1" sqref="WVR983044:WVS983044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I65540:J65540 JF65540:JG65540 TB65540:TC65540 ACX65540:ACY65540 AMT65540:AMU65540 AWP65540:AWQ65540 BGL65540:BGM65540 BQH65540:BQI65540 CAD65540:CAE65540 CJZ65540:CKA65540 CTV65540:CTW65540 DDR65540:DDS65540 DNN65540:DNO65540 DXJ65540:DXK65540 EHF65540:EHG65540 ERB65540:ERC65540 FAX65540:FAY65540 FKT65540:FKU65540 FUP65540:FUQ65540 GEL65540:GEM65540 GOH65540:GOI65540 GYD65540:GYE65540 HHZ65540:HIA65540 HRV65540:HRW65540 IBR65540:IBS65540 ILN65540:ILO65540 IVJ65540:IVK65540 JFF65540:JFG65540 JPB65540:JPC65540 JYX65540:JYY65540 KIT65540:KIU65540 KSP65540:KSQ65540 LCL65540:LCM65540 LMH65540:LMI65540 LWD65540:LWE65540 MFZ65540:MGA65540 MPV65540:MPW65540 MZR65540:MZS65540 NJN65540:NJO65540 NTJ65540:NTK65540 ODF65540:ODG65540 ONB65540:ONC65540 OWX65540:OWY65540 PGT65540:PGU65540 PQP65540:PQQ65540 QAL65540:QAM65540 QKH65540:QKI65540 QUD65540:QUE65540 RDZ65540:REA65540 RNV65540:RNW65540 RXR65540:RXS65540 SHN65540:SHO65540 SRJ65540:SRK65540 TBF65540:TBG65540 TLB65540:TLC65540 TUX65540:TUY65540 UET65540:UEU65540 UOP65540:UOQ65540 UYL65540:UYM65540 VIH65540:VII65540 VSD65540:VSE65540 WBZ65540:WCA65540 WLV65540:WLW65540 WVR65540:WVS65540 I131076:J131076 JF131076:JG131076 TB131076:TC131076 ACX131076:ACY131076 AMT131076:AMU131076 AWP131076:AWQ131076 BGL131076:BGM131076 BQH131076:BQI131076 CAD131076:CAE131076 CJZ131076:CKA131076 CTV131076:CTW131076 DDR131076:DDS131076 DNN131076:DNO131076 DXJ131076:DXK131076 EHF131076:EHG131076 ERB131076:ERC131076 FAX131076:FAY131076 FKT131076:FKU131076 FUP131076:FUQ131076 GEL131076:GEM131076 GOH131076:GOI131076 GYD131076:GYE131076 HHZ131076:HIA131076 HRV131076:HRW131076 IBR131076:IBS131076 ILN131076:ILO131076 IVJ131076:IVK131076 JFF131076:JFG131076 JPB131076:JPC131076 JYX131076:JYY131076 KIT131076:KIU131076 KSP131076:KSQ131076 LCL131076:LCM131076 LMH131076:LMI131076 LWD131076:LWE131076 MFZ131076:MGA131076 MPV131076:MPW131076 MZR131076:MZS131076 NJN131076:NJO131076 NTJ131076:NTK131076 ODF131076:ODG131076 ONB131076:ONC131076 OWX131076:OWY131076 PGT131076:PGU131076 PQP131076:PQQ131076 QAL131076:QAM131076 QKH131076:QKI131076 QUD131076:QUE131076 RDZ131076:REA131076 RNV131076:RNW131076 RXR131076:RXS131076 SHN131076:SHO131076 SRJ131076:SRK131076 TBF131076:TBG131076 TLB131076:TLC131076 TUX131076:TUY131076 UET131076:UEU131076 UOP131076:UOQ131076 UYL131076:UYM131076 VIH131076:VII131076 VSD131076:VSE131076 WBZ131076:WCA131076 WLV131076:WLW131076 WVR131076:WVS131076 I196612:J196612 JF196612:JG196612 TB196612:TC196612 ACX196612:ACY196612 AMT196612:AMU196612 AWP196612:AWQ196612 BGL196612:BGM196612 BQH196612:BQI196612 CAD196612:CAE196612 CJZ196612:CKA196612 CTV196612:CTW196612 DDR196612:DDS196612 DNN196612:DNO196612 DXJ196612:DXK196612 EHF196612:EHG196612 ERB196612:ERC196612 FAX196612:FAY196612 FKT196612:FKU196612 FUP196612:FUQ196612 GEL196612:GEM196612 GOH196612:GOI196612 GYD196612:GYE196612 HHZ196612:HIA196612 HRV196612:HRW196612 IBR196612:IBS196612 ILN196612:ILO196612 IVJ196612:IVK196612 JFF196612:JFG196612 JPB196612:JPC196612 JYX196612:JYY196612 KIT196612:KIU196612 KSP196612:KSQ196612 LCL196612:LCM196612 LMH196612:LMI196612 LWD196612:LWE196612 MFZ196612:MGA196612 MPV196612:MPW196612 MZR196612:MZS196612 NJN196612:NJO196612 NTJ196612:NTK196612 ODF196612:ODG196612 ONB196612:ONC196612 OWX196612:OWY196612 PGT196612:PGU196612 PQP196612:PQQ196612 QAL196612:QAM196612 QKH196612:QKI196612 QUD196612:QUE196612 RDZ196612:REA196612 RNV196612:RNW196612 RXR196612:RXS196612 SHN196612:SHO196612 SRJ196612:SRK196612 TBF196612:TBG196612 TLB196612:TLC196612 TUX196612:TUY196612 UET196612:UEU196612 UOP196612:UOQ196612 UYL196612:UYM196612 VIH196612:VII196612 VSD196612:VSE196612 WBZ196612:WCA196612 WLV196612:WLW196612 WVR196612:WVS196612 I262148:J262148 JF262148:JG262148 TB262148:TC262148 ACX262148:ACY262148 AMT262148:AMU262148 AWP262148:AWQ262148 BGL262148:BGM262148 BQH262148:BQI262148 CAD262148:CAE262148 CJZ262148:CKA262148 CTV262148:CTW262148 DDR262148:DDS262148 DNN262148:DNO262148 DXJ262148:DXK262148 EHF262148:EHG262148 ERB262148:ERC262148 FAX262148:FAY262148 FKT262148:FKU262148 FUP262148:FUQ262148 GEL262148:GEM262148 GOH262148:GOI262148 GYD262148:GYE262148 HHZ262148:HIA262148 HRV262148:HRW262148 IBR262148:IBS262148 ILN262148:ILO262148 IVJ262148:IVK262148 JFF262148:JFG262148 JPB262148:JPC262148 JYX262148:JYY262148 KIT262148:KIU262148 KSP262148:KSQ262148 LCL262148:LCM262148 LMH262148:LMI262148 LWD262148:LWE262148 MFZ262148:MGA262148 MPV262148:MPW262148 MZR262148:MZS262148 NJN262148:NJO262148 NTJ262148:NTK262148 ODF262148:ODG262148 ONB262148:ONC262148 OWX262148:OWY262148 PGT262148:PGU262148 PQP262148:PQQ262148 QAL262148:QAM262148 QKH262148:QKI262148 QUD262148:QUE262148 RDZ262148:REA262148 RNV262148:RNW262148 RXR262148:RXS262148 SHN262148:SHO262148 SRJ262148:SRK262148 TBF262148:TBG262148 TLB262148:TLC262148 TUX262148:TUY262148 UET262148:UEU262148 UOP262148:UOQ262148 UYL262148:UYM262148 VIH262148:VII262148 VSD262148:VSE262148 WBZ262148:WCA262148 WLV262148:WLW262148 WVR262148:WVS262148 I327684:J327684 JF327684:JG327684 TB327684:TC327684 ACX327684:ACY327684 AMT327684:AMU327684 AWP327684:AWQ327684 BGL327684:BGM327684 BQH327684:BQI327684 CAD327684:CAE327684 CJZ327684:CKA327684 CTV327684:CTW327684 DDR327684:DDS327684 DNN327684:DNO327684 DXJ327684:DXK327684 EHF327684:EHG327684 ERB327684:ERC327684 FAX327684:FAY327684 FKT327684:FKU327684 FUP327684:FUQ327684 GEL327684:GEM327684 GOH327684:GOI327684 GYD327684:GYE327684 HHZ327684:HIA327684 HRV327684:HRW327684 IBR327684:IBS327684 ILN327684:ILO327684 IVJ327684:IVK327684 JFF327684:JFG327684 JPB327684:JPC327684 JYX327684:JYY327684 KIT327684:KIU327684 KSP327684:KSQ327684 LCL327684:LCM327684 LMH327684:LMI327684 LWD327684:LWE327684 MFZ327684:MGA327684 MPV327684:MPW327684 MZR327684:MZS327684 NJN327684:NJO327684 NTJ327684:NTK327684 ODF327684:ODG327684 ONB327684:ONC327684 OWX327684:OWY327684 PGT327684:PGU327684 PQP327684:PQQ327684 QAL327684:QAM327684 QKH327684:QKI327684 QUD327684:QUE327684 RDZ327684:REA327684 RNV327684:RNW327684 RXR327684:RXS327684 SHN327684:SHO327684 SRJ327684:SRK327684 TBF327684:TBG327684 TLB327684:TLC327684 TUX327684:TUY327684 UET327684:UEU327684 UOP327684:UOQ327684 UYL327684:UYM327684 VIH327684:VII327684 VSD327684:VSE327684 WBZ327684:WCA327684 WLV327684:WLW327684 WVR327684:WVS327684 I393220:J393220 JF393220:JG393220 TB393220:TC393220 ACX393220:ACY393220 AMT393220:AMU393220 AWP393220:AWQ393220 BGL393220:BGM393220 BQH393220:BQI393220 CAD393220:CAE393220 CJZ393220:CKA393220 CTV393220:CTW393220 DDR393220:DDS393220 DNN393220:DNO393220 DXJ393220:DXK393220 EHF393220:EHG393220 ERB393220:ERC393220 FAX393220:FAY393220 FKT393220:FKU393220 FUP393220:FUQ393220 GEL393220:GEM393220 GOH393220:GOI393220 GYD393220:GYE393220 HHZ393220:HIA393220 HRV393220:HRW393220 IBR393220:IBS393220 ILN393220:ILO393220 IVJ393220:IVK393220 JFF393220:JFG393220 JPB393220:JPC393220 JYX393220:JYY393220 KIT393220:KIU393220 KSP393220:KSQ393220 LCL393220:LCM393220 LMH393220:LMI393220 LWD393220:LWE393220 MFZ393220:MGA393220 MPV393220:MPW393220 MZR393220:MZS393220 NJN393220:NJO393220 NTJ393220:NTK393220 ODF393220:ODG393220 ONB393220:ONC393220 OWX393220:OWY393220 PGT393220:PGU393220 PQP393220:PQQ393220 QAL393220:QAM393220 QKH393220:QKI393220 QUD393220:QUE393220 RDZ393220:REA393220 RNV393220:RNW393220 RXR393220:RXS393220 SHN393220:SHO393220 SRJ393220:SRK393220 TBF393220:TBG393220 TLB393220:TLC393220 TUX393220:TUY393220 UET393220:UEU393220 UOP393220:UOQ393220 UYL393220:UYM393220 VIH393220:VII393220 VSD393220:VSE393220 WBZ393220:WCA393220 WLV393220:WLW393220 WVR393220:WVS393220 I458756:J458756 JF458756:JG458756 TB458756:TC458756 ACX458756:ACY458756 AMT458756:AMU458756 AWP458756:AWQ458756 BGL458756:BGM458756 BQH458756:BQI458756 CAD458756:CAE458756 CJZ458756:CKA458756 CTV458756:CTW458756 DDR458756:DDS458756 DNN458756:DNO458756 DXJ458756:DXK458756 EHF458756:EHG458756 ERB458756:ERC458756 FAX458756:FAY458756 FKT458756:FKU458756 FUP458756:FUQ458756 GEL458756:GEM458756 GOH458756:GOI458756 GYD458756:GYE458756 HHZ458756:HIA458756 HRV458756:HRW458756 IBR458756:IBS458756 ILN458756:ILO458756 IVJ458756:IVK458756 JFF458756:JFG458756 JPB458756:JPC458756 JYX458756:JYY458756 KIT458756:KIU458756 KSP458756:KSQ458756 LCL458756:LCM458756 LMH458756:LMI458756 LWD458756:LWE458756 MFZ458756:MGA458756 MPV458756:MPW458756 MZR458756:MZS458756 NJN458756:NJO458756 NTJ458756:NTK458756 ODF458756:ODG458756 ONB458756:ONC458756 OWX458756:OWY458756 PGT458756:PGU458756 PQP458756:PQQ458756 QAL458756:QAM458756 QKH458756:QKI458756 QUD458756:QUE458756 RDZ458756:REA458756 RNV458756:RNW458756 RXR458756:RXS458756 SHN458756:SHO458756 SRJ458756:SRK458756 TBF458756:TBG458756 TLB458756:TLC458756 TUX458756:TUY458756 UET458756:UEU458756 UOP458756:UOQ458756 UYL458756:UYM458756 VIH458756:VII458756 VSD458756:VSE458756 WBZ458756:WCA458756 WLV458756:WLW458756 WVR458756:WVS458756 I524292:J524292 JF524292:JG524292 TB524292:TC524292 ACX524292:ACY524292 AMT524292:AMU524292 AWP524292:AWQ524292 BGL524292:BGM524292 BQH524292:BQI524292 CAD524292:CAE524292 CJZ524292:CKA524292 CTV524292:CTW524292 DDR524292:DDS524292 DNN524292:DNO524292 DXJ524292:DXK524292 EHF524292:EHG524292 ERB524292:ERC524292 FAX524292:FAY524292 FKT524292:FKU524292 FUP524292:FUQ524292 GEL524292:GEM524292 GOH524292:GOI524292 GYD524292:GYE524292 HHZ524292:HIA524292 HRV524292:HRW524292 IBR524292:IBS524292 ILN524292:ILO524292 IVJ524292:IVK524292 JFF524292:JFG524292 JPB524292:JPC524292 JYX524292:JYY524292 KIT524292:KIU524292 KSP524292:KSQ524292 LCL524292:LCM524292 LMH524292:LMI524292 LWD524292:LWE524292 MFZ524292:MGA524292 MPV524292:MPW524292 MZR524292:MZS524292 NJN524292:NJO524292 NTJ524292:NTK524292 ODF524292:ODG524292 ONB524292:ONC524292 OWX524292:OWY524292 PGT524292:PGU524292 PQP524292:PQQ524292 QAL524292:QAM524292 QKH524292:QKI524292 QUD524292:QUE524292 RDZ524292:REA524292 RNV524292:RNW524292 RXR524292:RXS524292 SHN524292:SHO524292 SRJ524292:SRK524292 TBF524292:TBG524292 TLB524292:TLC524292 TUX524292:TUY524292 UET524292:UEU524292 UOP524292:UOQ524292 UYL524292:UYM524292 VIH524292:VII524292 VSD524292:VSE524292 WBZ524292:WCA524292 WLV524292:WLW524292 WVR524292:WVS524292 I589828:J589828 JF589828:JG589828 TB589828:TC589828 ACX589828:ACY589828 AMT589828:AMU589828 AWP589828:AWQ589828 BGL589828:BGM589828 BQH589828:BQI589828 CAD589828:CAE589828 CJZ589828:CKA589828 CTV589828:CTW589828 DDR589828:DDS589828 DNN589828:DNO589828 DXJ589828:DXK589828 EHF589828:EHG589828 ERB589828:ERC589828 FAX589828:FAY589828 FKT589828:FKU589828 FUP589828:FUQ589828 GEL589828:GEM589828 GOH589828:GOI589828 GYD589828:GYE589828 HHZ589828:HIA589828 HRV589828:HRW589828 IBR589828:IBS589828 ILN589828:ILO589828 IVJ589828:IVK589828 JFF589828:JFG589828 JPB589828:JPC589828 JYX589828:JYY589828 KIT589828:KIU589828 KSP589828:KSQ589828 LCL589828:LCM589828 LMH589828:LMI589828 LWD589828:LWE589828 MFZ589828:MGA589828 MPV589828:MPW589828 MZR589828:MZS589828 NJN589828:NJO589828 NTJ589828:NTK589828 ODF589828:ODG589828 ONB589828:ONC589828 OWX589828:OWY589828 PGT589828:PGU589828 PQP589828:PQQ589828 QAL589828:QAM589828 QKH589828:QKI589828 QUD589828:QUE589828 RDZ589828:REA589828 RNV589828:RNW589828 RXR589828:RXS589828 SHN589828:SHO589828 SRJ589828:SRK589828 TBF589828:TBG589828 TLB589828:TLC589828 TUX589828:TUY589828 UET589828:UEU589828 UOP589828:UOQ589828 UYL589828:UYM589828 VIH589828:VII589828 VSD589828:VSE589828 WBZ589828:WCA589828 WLV589828:WLW589828 WVR589828:WVS589828 I655364:J655364 JF655364:JG655364 TB655364:TC655364 ACX655364:ACY655364 AMT655364:AMU655364 AWP655364:AWQ655364 BGL655364:BGM655364 BQH655364:BQI655364 CAD655364:CAE655364 CJZ655364:CKA655364 CTV655364:CTW655364 DDR655364:DDS655364 DNN655364:DNO655364 DXJ655364:DXK655364 EHF655364:EHG655364 ERB655364:ERC655364 FAX655364:FAY655364 FKT655364:FKU655364 FUP655364:FUQ655364 GEL655364:GEM655364 GOH655364:GOI655364 GYD655364:GYE655364 HHZ655364:HIA655364 HRV655364:HRW655364 IBR655364:IBS655364 ILN655364:ILO655364 IVJ655364:IVK655364 JFF655364:JFG655364 JPB655364:JPC655364 JYX655364:JYY655364 KIT655364:KIU655364 KSP655364:KSQ655364 LCL655364:LCM655364 LMH655364:LMI655364 LWD655364:LWE655364 MFZ655364:MGA655364 MPV655364:MPW655364 MZR655364:MZS655364 NJN655364:NJO655364 NTJ655364:NTK655364 ODF655364:ODG655364 ONB655364:ONC655364 OWX655364:OWY655364 PGT655364:PGU655364 PQP655364:PQQ655364 QAL655364:QAM655364 QKH655364:QKI655364 QUD655364:QUE655364 RDZ655364:REA655364 RNV655364:RNW655364 RXR655364:RXS655364 SHN655364:SHO655364 SRJ655364:SRK655364 TBF655364:TBG655364 TLB655364:TLC655364 TUX655364:TUY655364 UET655364:UEU655364 UOP655364:UOQ655364 UYL655364:UYM655364 VIH655364:VII655364 VSD655364:VSE655364 WBZ655364:WCA655364 WLV655364:WLW655364 WVR655364:WVS655364 I720900:J720900 JF720900:JG720900 TB720900:TC720900 ACX720900:ACY720900 AMT720900:AMU720900 AWP720900:AWQ720900 BGL720900:BGM720900 BQH720900:BQI720900 CAD720900:CAE720900 CJZ720900:CKA720900 CTV720900:CTW720900 DDR720900:DDS720900 DNN720900:DNO720900 DXJ720900:DXK720900 EHF720900:EHG720900 ERB720900:ERC720900 FAX720900:FAY720900 FKT720900:FKU720900 FUP720900:FUQ720900 GEL720900:GEM720900 GOH720900:GOI720900 GYD720900:GYE720900 HHZ720900:HIA720900 HRV720900:HRW720900 IBR720900:IBS720900 ILN720900:ILO720900 IVJ720900:IVK720900 JFF720900:JFG720900 JPB720900:JPC720900 JYX720900:JYY720900 KIT720900:KIU720900 KSP720900:KSQ720900 LCL720900:LCM720900 LMH720900:LMI720900 LWD720900:LWE720900 MFZ720900:MGA720900 MPV720900:MPW720900 MZR720900:MZS720900 NJN720900:NJO720900 NTJ720900:NTK720900 ODF720900:ODG720900 ONB720900:ONC720900 OWX720900:OWY720900 PGT720900:PGU720900 PQP720900:PQQ720900 QAL720900:QAM720900 QKH720900:QKI720900 QUD720900:QUE720900 RDZ720900:REA720900 RNV720900:RNW720900 RXR720900:RXS720900 SHN720900:SHO720900 SRJ720900:SRK720900 TBF720900:TBG720900 TLB720900:TLC720900 TUX720900:TUY720900 UET720900:UEU720900 UOP720900:UOQ720900 UYL720900:UYM720900 VIH720900:VII720900 VSD720900:VSE720900 WBZ720900:WCA720900 WLV720900:WLW720900 WVR720900:WVS720900 I786436:J786436 JF786436:JG786436 TB786436:TC786436 ACX786436:ACY786436 AMT786436:AMU786436 AWP786436:AWQ786436 BGL786436:BGM786436 BQH786436:BQI786436 CAD786436:CAE786436 CJZ786436:CKA786436 CTV786436:CTW786436 DDR786436:DDS786436 DNN786436:DNO786436 DXJ786436:DXK786436 EHF786436:EHG786436 ERB786436:ERC786436 FAX786436:FAY786436 FKT786436:FKU786436 FUP786436:FUQ786436 GEL786436:GEM786436 GOH786436:GOI786436 GYD786436:GYE786436 HHZ786436:HIA786436 HRV786436:HRW786436 IBR786436:IBS786436 ILN786436:ILO786436 IVJ786436:IVK786436 JFF786436:JFG786436 JPB786436:JPC786436 JYX786436:JYY786436 KIT786436:KIU786436 KSP786436:KSQ786436 LCL786436:LCM786436 LMH786436:LMI786436 LWD786436:LWE786436 MFZ786436:MGA786436 MPV786436:MPW786436 MZR786436:MZS786436 NJN786436:NJO786436 NTJ786436:NTK786436 ODF786436:ODG786436 ONB786436:ONC786436 OWX786436:OWY786436 PGT786436:PGU786436 PQP786436:PQQ786436 QAL786436:QAM786436 QKH786436:QKI786436 QUD786436:QUE786436 RDZ786436:REA786436 RNV786436:RNW786436 RXR786436:RXS786436 SHN786436:SHO786436 SRJ786436:SRK786436 TBF786436:TBG786436 TLB786436:TLC786436 TUX786436:TUY786436 UET786436:UEU786436 UOP786436:UOQ786436 UYL786436:UYM786436 VIH786436:VII786436 VSD786436:VSE786436 WBZ786436:WCA786436 WLV786436:WLW786436 WVR786436:WVS786436 I851972:J851972 JF851972:JG851972 TB851972:TC851972 ACX851972:ACY851972 AMT851972:AMU851972 AWP851972:AWQ851972 BGL851972:BGM851972 BQH851972:BQI851972 CAD851972:CAE851972 CJZ851972:CKA851972 CTV851972:CTW851972 DDR851972:DDS851972 DNN851972:DNO851972 DXJ851972:DXK851972 EHF851972:EHG851972 ERB851972:ERC851972 FAX851972:FAY851972 FKT851972:FKU851972 FUP851972:FUQ851972 GEL851972:GEM851972 GOH851972:GOI851972 GYD851972:GYE851972 HHZ851972:HIA851972 HRV851972:HRW851972 IBR851972:IBS851972 ILN851972:ILO851972 IVJ851972:IVK851972 JFF851972:JFG851972 JPB851972:JPC851972 JYX851972:JYY851972 KIT851972:KIU851972 KSP851972:KSQ851972 LCL851972:LCM851972 LMH851972:LMI851972 LWD851972:LWE851972 MFZ851972:MGA851972 MPV851972:MPW851972 MZR851972:MZS851972 NJN851972:NJO851972 NTJ851972:NTK851972 ODF851972:ODG851972 ONB851972:ONC851972 OWX851972:OWY851972 PGT851972:PGU851972 PQP851972:PQQ851972 QAL851972:QAM851972 QKH851972:QKI851972 QUD851972:QUE851972 RDZ851972:REA851972 RNV851972:RNW851972 RXR851972:RXS851972 SHN851972:SHO851972 SRJ851972:SRK851972 TBF851972:TBG851972 TLB851972:TLC851972 TUX851972:TUY851972 UET851972:UEU851972 UOP851972:UOQ851972 UYL851972:UYM851972 VIH851972:VII851972 VSD851972:VSE851972 WBZ851972:WCA851972 WLV851972:WLW851972 WVR851972:WVS851972 I917508:J917508 JF917508:JG917508 TB917508:TC917508 ACX917508:ACY917508 AMT917508:AMU917508 AWP917508:AWQ917508 BGL917508:BGM917508 BQH917508:BQI917508 CAD917508:CAE917508 CJZ917508:CKA917508 CTV917508:CTW917508 DDR917508:DDS917508 DNN917508:DNO917508 DXJ917508:DXK917508 EHF917508:EHG917508 ERB917508:ERC917508 FAX917508:FAY917508 FKT917508:FKU917508 FUP917508:FUQ917508 GEL917508:GEM917508 GOH917508:GOI917508 GYD917508:GYE917508 HHZ917508:HIA917508 HRV917508:HRW917508 IBR917508:IBS917508 ILN917508:ILO917508 IVJ917508:IVK917508 JFF917508:JFG917508 JPB917508:JPC917508 JYX917508:JYY917508 KIT917508:KIU917508 KSP917508:KSQ917508 LCL917508:LCM917508 LMH917508:LMI917508 LWD917508:LWE917508 MFZ917508:MGA917508 MPV917508:MPW917508 MZR917508:MZS917508 NJN917508:NJO917508 NTJ917508:NTK917508 ODF917508:ODG917508 ONB917508:ONC917508 OWX917508:OWY917508 PGT917508:PGU917508 PQP917508:PQQ917508 QAL917508:QAM917508 QKH917508:QKI917508 QUD917508:QUE917508 RDZ917508:REA917508 RNV917508:RNW917508 RXR917508:RXS917508 SHN917508:SHO917508 SRJ917508:SRK917508 TBF917508:TBG917508 TLB917508:TLC917508 TUX917508:TUY917508 UET917508:UEU917508 UOP917508:UOQ917508 UYL917508:UYM917508 VIH917508:VII917508 VSD917508:VSE917508 WBZ917508:WCA917508 WLV917508:WLW917508 WVR917508:WVS917508 I983044:J983044 JF983044:JG983044 TB983044:TC983044 ACX983044:ACY983044 AMT983044:AMU983044 AWP983044:AWQ983044 BGL983044:BGM983044 BQH983044:BQI983044 CAD983044:CAE983044 CJZ983044:CKA983044 CTV983044:CTW983044 DDR983044:DDS983044 DNN983044:DNO983044 DXJ983044:DXK983044 EHF983044:EHG983044 ERB983044:ERC983044 FAX983044:FAY983044 FKT983044:FKU983044 FUP983044:FUQ983044 GEL983044:GEM983044 GOH983044:GOI983044 GYD983044:GYE983044 HHZ983044:HIA983044 HRV983044:HRW983044 IBR983044:IBS983044 ILN983044:ILO983044 IVJ983044:IVK983044 JFF983044:JFG983044 JPB983044:JPC983044 JYX983044:JYY983044 KIT983044:KIU983044 KSP983044:KSQ983044 LCL983044:LCM983044 LMH983044:LMI983044 LWD983044:LWE983044 MFZ983044:MGA983044 MPV983044:MPW983044 MZR983044:MZS983044 NJN983044:NJO983044 NTJ983044:NTK983044 ODF983044:ODG983044 ONB983044:ONC983044 OWX983044:OWY983044 PGT983044:PGU983044 PQP983044:PQQ983044 QAL983044:QAM983044 QKH983044:QKI983044 QUD983044:QUE983044 RDZ983044:REA983044 RNV983044:RNW983044 RXR983044:RXS983044 SHN983044:SHO983044 SRJ983044:SRK983044 TBF983044:TBG983044 TLB983044:TLC983044 TUX983044:TUY983044 UET983044:UEU983044 UOP983044:UOQ983044 UYL983044:UYM983044 VIH983044:VII983044 VSD983044:VSE983044 WBZ983044:WCA983044 WLV983044:WLW983044">
      <formula1>"January, February, March, Jan-Mar, April, May, June, Apr-June, July, August, September, Jul-Sep, October, November, December, Oct-Dec, Janu-Dec"</formula1>
    </dataValidation>
    <dataValidation type="list" allowBlank="1" showInputMessage="1" showErrorMessage="1" sqref="WVW983044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O65540 JK65540 TG65540 ADC65540 AMY65540 AWU65540 BGQ65540 BQM65540 CAI65540 CKE65540 CUA65540 DDW65540 DNS65540 DXO65540 EHK65540 ERG65540 FBC65540 FKY65540 FUU65540 GEQ65540 GOM65540 GYI65540 HIE65540 HSA65540 IBW65540 ILS65540 IVO65540 JFK65540 JPG65540 JZC65540 KIY65540 KSU65540 LCQ65540 LMM65540 LWI65540 MGE65540 MQA65540 MZW65540 NJS65540 NTO65540 ODK65540 ONG65540 OXC65540 PGY65540 PQU65540 QAQ65540 QKM65540 QUI65540 REE65540 ROA65540 RXW65540 SHS65540 SRO65540 TBK65540 TLG65540 TVC65540 UEY65540 UOU65540 UYQ65540 VIM65540 VSI65540 WCE65540 WMA65540 WVW65540 O131076 JK131076 TG131076 ADC131076 AMY131076 AWU131076 BGQ131076 BQM131076 CAI131076 CKE131076 CUA131076 DDW131076 DNS131076 DXO131076 EHK131076 ERG131076 FBC131076 FKY131076 FUU131076 GEQ131076 GOM131076 GYI131076 HIE131076 HSA131076 IBW131076 ILS131076 IVO131076 JFK131076 JPG131076 JZC131076 KIY131076 KSU131076 LCQ131076 LMM131076 LWI131076 MGE131076 MQA131076 MZW131076 NJS131076 NTO131076 ODK131076 ONG131076 OXC131076 PGY131076 PQU131076 QAQ131076 QKM131076 QUI131076 REE131076 ROA131076 RXW131076 SHS131076 SRO131076 TBK131076 TLG131076 TVC131076 UEY131076 UOU131076 UYQ131076 VIM131076 VSI131076 WCE131076 WMA131076 WVW131076 O196612 JK196612 TG196612 ADC196612 AMY196612 AWU196612 BGQ196612 BQM196612 CAI196612 CKE196612 CUA196612 DDW196612 DNS196612 DXO196612 EHK196612 ERG196612 FBC196612 FKY196612 FUU196612 GEQ196612 GOM196612 GYI196612 HIE196612 HSA196612 IBW196612 ILS196612 IVO196612 JFK196612 JPG196612 JZC196612 KIY196612 KSU196612 LCQ196612 LMM196612 LWI196612 MGE196612 MQA196612 MZW196612 NJS196612 NTO196612 ODK196612 ONG196612 OXC196612 PGY196612 PQU196612 QAQ196612 QKM196612 QUI196612 REE196612 ROA196612 RXW196612 SHS196612 SRO196612 TBK196612 TLG196612 TVC196612 UEY196612 UOU196612 UYQ196612 VIM196612 VSI196612 WCE196612 WMA196612 WVW196612 O262148 JK262148 TG262148 ADC262148 AMY262148 AWU262148 BGQ262148 BQM262148 CAI262148 CKE262148 CUA262148 DDW262148 DNS262148 DXO262148 EHK262148 ERG262148 FBC262148 FKY262148 FUU262148 GEQ262148 GOM262148 GYI262148 HIE262148 HSA262148 IBW262148 ILS262148 IVO262148 JFK262148 JPG262148 JZC262148 KIY262148 KSU262148 LCQ262148 LMM262148 LWI262148 MGE262148 MQA262148 MZW262148 NJS262148 NTO262148 ODK262148 ONG262148 OXC262148 PGY262148 PQU262148 QAQ262148 QKM262148 QUI262148 REE262148 ROA262148 RXW262148 SHS262148 SRO262148 TBK262148 TLG262148 TVC262148 UEY262148 UOU262148 UYQ262148 VIM262148 VSI262148 WCE262148 WMA262148 WVW262148 O327684 JK327684 TG327684 ADC327684 AMY327684 AWU327684 BGQ327684 BQM327684 CAI327684 CKE327684 CUA327684 DDW327684 DNS327684 DXO327684 EHK327684 ERG327684 FBC327684 FKY327684 FUU327684 GEQ327684 GOM327684 GYI327684 HIE327684 HSA327684 IBW327684 ILS327684 IVO327684 JFK327684 JPG327684 JZC327684 KIY327684 KSU327684 LCQ327684 LMM327684 LWI327684 MGE327684 MQA327684 MZW327684 NJS327684 NTO327684 ODK327684 ONG327684 OXC327684 PGY327684 PQU327684 QAQ327684 QKM327684 QUI327684 REE327684 ROA327684 RXW327684 SHS327684 SRO327684 TBK327684 TLG327684 TVC327684 UEY327684 UOU327684 UYQ327684 VIM327684 VSI327684 WCE327684 WMA327684 WVW327684 O393220 JK393220 TG393220 ADC393220 AMY393220 AWU393220 BGQ393220 BQM393220 CAI393220 CKE393220 CUA393220 DDW393220 DNS393220 DXO393220 EHK393220 ERG393220 FBC393220 FKY393220 FUU393220 GEQ393220 GOM393220 GYI393220 HIE393220 HSA393220 IBW393220 ILS393220 IVO393220 JFK393220 JPG393220 JZC393220 KIY393220 KSU393220 LCQ393220 LMM393220 LWI393220 MGE393220 MQA393220 MZW393220 NJS393220 NTO393220 ODK393220 ONG393220 OXC393220 PGY393220 PQU393220 QAQ393220 QKM393220 QUI393220 REE393220 ROA393220 RXW393220 SHS393220 SRO393220 TBK393220 TLG393220 TVC393220 UEY393220 UOU393220 UYQ393220 VIM393220 VSI393220 WCE393220 WMA393220 WVW393220 O458756 JK458756 TG458756 ADC458756 AMY458756 AWU458756 BGQ458756 BQM458756 CAI458756 CKE458756 CUA458756 DDW458756 DNS458756 DXO458756 EHK458756 ERG458756 FBC458756 FKY458756 FUU458756 GEQ458756 GOM458756 GYI458756 HIE458756 HSA458756 IBW458756 ILS458756 IVO458756 JFK458756 JPG458756 JZC458756 KIY458756 KSU458756 LCQ458756 LMM458756 LWI458756 MGE458756 MQA458756 MZW458756 NJS458756 NTO458756 ODK458756 ONG458756 OXC458756 PGY458756 PQU458756 QAQ458756 QKM458756 QUI458756 REE458756 ROA458756 RXW458756 SHS458756 SRO458756 TBK458756 TLG458756 TVC458756 UEY458756 UOU458756 UYQ458756 VIM458756 VSI458756 WCE458756 WMA458756 WVW458756 O524292 JK524292 TG524292 ADC524292 AMY524292 AWU524292 BGQ524292 BQM524292 CAI524292 CKE524292 CUA524292 DDW524292 DNS524292 DXO524292 EHK524292 ERG524292 FBC524292 FKY524292 FUU524292 GEQ524292 GOM524292 GYI524292 HIE524292 HSA524292 IBW524292 ILS524292 IVO524292 JFK524292 JPG524292 JZC524292 KIY524292 KSU524292 LCQ524292 LMM524292 LWI524292 MGE524292 MQA524292 MZW524292 NJS524292 NTO524292 ODK524292 ONG524292 OXC524292 PGY524292 PQU524292 QAQ524292 QKM524292 QUI524292 REE524292 ROA524292 RXW524292 SHS524292 SRO524292 TBK524292 TLG524292 TVC524292 UEY524292 UOU524292 UYQ524292 VIM524292 VSI524292 WCE524292 WMA524292 WVW524292 O589828 JK589828 TG589828 ADC589828 AMY589828 AWU589828 BGQ589828 BQM589828 CAI589828 CKE589828 CUA589828 DDW589828 DNS589828 DXO589828 EHK589828 ERG589828 FBC589828 FKY589828 FUU589828 GEQ589828 GOM589828 GYI589828 HIE589828 HSA589828 IBW589828 ILS589828 IVO589828 JFK589828 JPG589828 JZC589828 KIY589828 KSU589828 LCQ589828 LMM589828 LWI589828 MGE589828 MQA589828 MZW589828 NJS589828 NTO589828 ODK589828 ONG589828 OXC589828 PGY589828 PQU589828 QAQ589828 QKM589828 QUI589828 REE589828 ROA589828 RXW589828 SHS589828 SRO589828 TBK589828 TLG589828 TVC589828 UEY589828 UOU589828 UYQ589828 VIM589828 VSI589828 WCE589828 WMA589828 WVW589828 O655364 JK655364 TG655364 ADC655364 AMY655364 AWU655364 BGQ655364 BQM655364 CAI655364 CKE655364 CUA655364 DDW655364 DNS655364 DXO655364 EHK655364 ERG655364 FBC655364 FKY655364 FUU655364 GEQ655364 GOM655364 GYI655364 HIE655364 HSA655364 IBW655364 ILS655364 IVO655364 JFK655364 JPG655364 JZC655364 KIY655364 KSU655364 LCQ655364 LMM655364 LWI655364 MGE655364 MQA655364 MZW655364 NJS655364 NTO655364 ODK655364 ONG655364 OXC655364 PGY655364 PQU655364 QAQ655364 QKM655364 QUI655364 REE655364 ROA655364 RXW655364 SHS655364 SRO655364 TBK655364 TLG655364 TVC655364 UEY655364 UOU655364 UYQ655364 VIM655364 VSI655364 WCE655364 WMA655364 WVW655364 O720900 JK720900 TG720900 ADC720900 AMY720900 AWU720900 BGQ720900 BQM720900 CAI720900 CKE720900 CUA720900 DDW720900 DNS720900 DXO720900 EHK720900 ERG720900 FBC720900 FKY720900 FUU720900 GEQ720900 GOM720900 GYI720900 HIE720900 HSA720900 IBW720900 ILS720900 IVO720900 JFK720900 JPG720900 JZC720900 KIY720900 KSU720900 LCQ720900 LMM720900 LWI720900 MGE720900 MQA720900 MZW720900 NJS720900 NTO720900 ODK720900 ONG720900 OXC720900 PGY720900 PQU720900 QAQ720900 QKM720900 QUI720900 REE720900 ROA720900 RXW720900 SHS720900 SRO720900 TBK720900 TLG720900 TVC720900 UEY720900 UOU720900 UYQ720900 VIM720900 VSI720900 WCE720900 WMA720900 WVW720900 O786436 JK786436 TG786436 ADC786436 AMY786436 AWU786436 BGQ786436 BQM786436 CAI786436 CKE786436 CUA786436 DDW786436 DNS786436 DXO786436 EHK786436 ERG786436 FBC786436 FKY786436 FUU786436 GEQ786436 GOM786436 GYI786436 HIE786436 HSA786436 IBW786436 ILS786436 IVO786436 JFK786436 JPG786436 JZC786436 KIY786436 KSU786436 LCQ786436 LMM786436 LWI786436 MGE786436 MQA786436 MZW786436 NJS786436 NTO786436 ODK786436 ONG786436 OXC786436 PGY786436 PQU786436 QAQ786436 QKM786436 QUI786436 REE786436 ROA786436 RXW786436 SHS786436 SRO786436 TBK786436 TLG786436 TVC786436 UEY786436 UOU786436 UYQ786436 VIM786436 VSI786436 WCE786436 WMA786436 WVW786436 O851972 JK851972 TG851972 ADC851972 AMY851972 AWU851972 BGQ851972 BQM851972 CAI851972 CKE851972 CUA851972 DDW851972 DNS851972 DXO851972 EHK851972 ERG851972 FBC851972 FKY851972 FUU851972 GEQ851972 GOM851972 GYI851972 HIE851972 HSA851972 IBW851972 ILS851972 IVO851972 JFK851972 JPG851972 JZC851972 KIY851972 KSU851972 LCQ851972 LMM851972 LWI851972 MGE851972 MQA851972 MZW851972 NJS851972 NTO851972 ODK851972 ONG851972 OXC851972 PGY851972 PQU851972 QAQ851972 QKM851972 QUI851972 REE851972 ROA851972 RXW851972 SHS851972 SRO851972 TBK851972 TLG851972 TVC851972 UEY851972 UOU851972 UYQ851972 VIM851972 VSI851972 WCE851972 WMA851972 WVW851972 O917508 JK917508 TG917508 ADC917508 AMY917508 AWU917508 BGQ917508 BQM917508 CAI917508 CKE917508 CUA917508 DDW917508 DNS917508 DXO917508 EHK917508 ERG917508 FBC917508 FKY917508 FUU917508 GEQ917508 GOM917508 GYI917508 HIE917508 HSA917508 IBW917508 ILS917508 IVO917508 JFK917508 JPG917508 JZC917508 KIY917508 KSU917508 LCQ917508 LMM917508 LWI917508 MGE917508 MQA917508 MZW917508 NJS917508 NTO917508 ODK917508 ONG917508 OXC917508 PGY917508 PQU917508 QAQ917508 QKM917508 QUI917508 REE917508 ROA917508 RXW917508 SHS917508 SRO917508 TBK917508 TLG917508 TVC917508 UEY917508 UOU917508 UYQ917508 VIM917508 VSI917508 WCE917508 WMA917508 WVW917508 O983044 JK983044 TG983044 ADC983044 AMY983044 AWU983044 BGQ983044 BQM983044 CAI983044 CKE983044 CUA983044 DDW983044 DNS983044 DXO983044 EHK983044 ERG983044 FBC983044 FKY983044 FUU983044 GEQ983044 GOM983044 GYI983044 HIE983044 HSA983044 IBW983044 ILS983044 IVO983044 JFK983044 JPG983044 JZC983044 KIY983044 KSU983044 LCQ983044 LMM983044 LWI983044 MGE983044 MQA983044 MZW983044 NJS983044 NTO983044 ODK983044 ONG983044 OXC983044 PGY983044 PQU983044 QAQ983044 QKM983044 QUI983044 REE983044 ROA983044 RXW983044 SHS983044 SRO983044 TBK983044 TLG983044 TVC983044 UEY983044 UOU983044 UYQ983044 VIM983044 VSI983044 WCE983044 WMA983044">
      <formula1>"2015, 2016,2017,2018,2019, 2020"</formula1>
    </dataValidation>
    <dataValidation type="list" allowBlank="1" showInputMessage="1" showErrorMessage="1" sqref="R13">
      <formula1>"Not Detected, Resistance, Invalid, Error, No result"</formula1>
    </dataValidation>
    <dataValidation type="list" allowBlank="1" showInputMessage="1" showErrorMessage="1" sqref="O13:Q13">
      <formula1>"Not Detected, Resistance, Indeterminate, Error, Invalid, No Result"</formula1>
    </dataValidation>
    <dataValidation type="list" allowBlank="1" showInputMessage="1" showErrorMessage="1" sqref="M13:N13">
      <formula1>"Not Detected, Resistance, Low Resistance, Indeterminate, Error, Invalid, No Result"</formula1>
    </dataValidation>
    <dataValidation type="list" allowBlank="1" showInputMessage="1" showErrorMessage="1" sqref="L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K11" sqref="K11:L11"/>
    </sheetView>
  </sheetViews>
  <sheetFormatPr defaultColWidth="9.21875" defaultRowHeight="14.4" x14ac:dyDescent="0.3"/>
  <cols>
    <col min="1" max="1" width="11" style="101" customWidth="1"/>
    <col min="2" max="2" width="9.21875" style="101"/>
    <col min="3" max="3" width="11.77734375" style="101" customWidth="1"/>
    <col min="4" max="4" width="9.21875" style="101"/>
    <col min="5" max="5" width="10.77734375" style="101" customWidth="1"/>
    <col min="6" max="16384" width="9.21875" style="101"/>
  </cols>
  <sheetData>
    <row r="1" spans="1:21" s="100" customFormat="1" ht="18" x14ac:dyDescent="0.3">
      <c r="A1" s="343" t="s">
        <v>698</v>
      </c>
      <c r="B1" s="343"/>
      <c r="C1" s="343"/>
      <c r="D1" s="343"/>
      <c r="E1" s="343"/>
      <c r="F1" s="343"/>
      <c r="G1" s="343"/>
      <c r="H1" s="343"/>
      <c r="I1" s="343"/>
      <c r="J1" s="343"/>
      <c r="K1" s="343"/>
      <c r="L1" s="343"/>
      <c r="M1" s="343"/>
      <c r="N1" s="343"/>
      <c r="O1" s="343"/>
      <c r="P1" s="343" t="s">
        <v>697</v>
      </c>
      <c r="Q1" s="343"/>
      <c r="R1" s="343"/>
      <c r="S1" s="343"/>
      <c r="T1" s="99"/>
      <c r="U1" s="99"/>
    </row>
    <row r="2" spans="1:21" s="100" customFormat="1" ht="18" x14ac:dyDescent="0.3">
      <c r="A2" s="343" t="s">
        <v>63</v>
      </c>
      <c r="B2" s="343"/>
      <c r="C2" s="343"/>
      <c r="D2" s="343"/>
      <c r="E2" s="343"/>
      <c r="F2" s="343"/>
      <c r="G2" s="343"/>
      <c r="H2" s="343"/>
      <c r="I2" s="343"/>
      <c r="J2" s="343"/>
      <c r="K2" s="343"/>
      <c r="L2" s="343"/>
      <c r="M2" s="343"/>
      <c r="N2" s="343"/>
      <c r="O2" s="343"/>
      <c r="P2" s="343"/>
      <c r="Q2" s="343"/>
      <c r="R2" s="343"/>
      <c r="S2" s="343"/>
      <c r="T2" s="343"/>
      <c r="U2" s="343"/>
    </row>
    <row r="3" spans="1:21" s="100" customFormat="1" ht="18" x14ac:dyDescent="0.3">
      <c r="A3" s="343" t="s">
        <v>680</v>
      </c>
      <c r="B3" s="343"/>
      <c r="C3" s="343"/>
      <c r="D3" s="343"/>
      <c r="E3" s="343"/>
      <c r="F3" s="343"/>
      <c r="G3" s="343"/>
      <c r="H3" s="343"/>
      <c r="I3" s="343"/>
      <c r="J3" s="343"/>
      <c r="K3" s="343"/>
      <c r="L3" s="343"/>
      <c r="M3" s="343"/>
      <c r="N3" s="343"/>
      <c r="O3" s="343"/>
      <c r="P3" s="343"/>
      <c r="Q3" s="343"/>
      <c r="R3" s="343"/>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43" t="s">
        <v>681</v>
      </c>
      <c r="B5" s="343"/>
      <c r="C5" s="343"/>
      <c r="D5" s="343"/>
      <c r="E5" s="343"/>
      <c r="F5" s="343"/>
      <c r="G5" s="343"/>
      <c r="H5" s="343"/>
      <c r="I5" s="343"/>
      <c r="J5" s="343"/>
      <c r="K5" s="343"/>
      <c r="L5" s="343"/>
      <c r="M5" s="343"/>
      <c r="N5" s="343"/>
      <c r="O5" s="343"/>
      <c r="P5" s="343"/>
      <c r="Q5" s="343"/>
      <c r="R5" s="343"/>
      <c r="S5" s="343"/>
      <c r="T5" s="343"/>
      <c r="U5" s="343"/>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44">
        <f>'DR-TB 10A (Sputum &amp; EP Sample)'!C6:G6</f>
        <v>0</v>
      </c>
      <c r="D7" s="344"/>
      <c r="E7" s="344"/>
      <c r="F7" s="344"/>
      <c r="G7" s="344"/>
      <c r="I7" s="2"/>
      <c r="J7" s="25" t="s">
        <v>14</v>
      </c>
      <c r="K7" s="100"/>
      <c r="L7" s="28" t="str">
        <f>'DR-TB 10A (Sputum &amp; EP Sample)'!L6</f>
        <v>&lt;Dates&gt;</v>
      </c>
    </row>
    <row r="8" spans="1:21" ht="16.8" x14ac:dyDescent="0.3">
      <c r="A8" s="2" t="s">
        <v>9</v>
      </c>
      <c r="B8" s="2"/>
      <c r="C8" s="331">
        <f>'DR-TB 10A (Sputum &amp; EP Sample)'!C7:G7</f>
        <v>0</v>
      </c>
      <c r="D8" s="331"/>
      <c r="E8" s="331"/>
      <c r="F8" s="331"/>
      <c r="G8" s="331"/>
      <c r="I8" s="102"/>
      <c r="J8" s="1" t="s">
        <v>682</v>
      </c>
      <c r="K8" s="24"/>
      <c r="L8" s="24"/>
      <c r="M8" s="24"/>
      <c r="N8" s="335">
        <f>'DR-TB 10A (Sputum &amp; EP Sample)'!N7:S7</f>
        <v>0</v>
      </c>
      <c r="O8" s="335"/>
      <c r="P8" s="335"/>
      <c r="Q8" s="335"/>
      <c r="R8" s="335"/>
      <c r="S8" s="335"/>
    </row>
    <row r="9" spans="1:21" ht="16.8" x14ac:dyDescent="0.3">
      <c r="A9" s="2" t="s">
        <v>10</v>
      </c>
      <c r="B9" s="2"/>
      <c r="C9" s="331">
        <f>'DR-TB 10A (Sputum &amp; EP Sample)'!C8:G8</f>
        <v>0</v>
      </c>
      <c r="D9" s="331"/>
      <c r="E9" s="331"/>
      <c r="F9" s="331"/>
      <c r="G9" s="331"/>
      <c r="I9" s="102"/>
      <c r="J9" s="102" t="s">
        <v>64</v>
      </c>
      <c r="K9" s="102"/>
      <c r="L9" s="102"/>
      <c r="M9" s="335">
        <f>'DR-TB 10A (Sputum &amp; EP Sample)'!M8:S8</f>
        <v>0</v>
      </c>
      <c r="N9" s="335"/>
      <c r="O9" s="335"/>
      <c r="P9" s="335"/>
      <c r="Q9" s="335"/>
      <c r="R9" s="335"/>
      <c r="S9" s="335"/>
    </row>
    <row r="10" spans="1:21" ht="16.8" x14ac:dyDescent="0.3">
      <c r="J10" s="102" t="s">
        <v>11</v>
      </c>
      <c r="K10" s="102"/>
      <c r="L10" s="102"/>
      <c r="M10" s="336">
        <f>'DR-TB 10A (Sputum &amp; EP Sample)'!M9:N9</f>
        <v>0</v>
      </c>
      <c r="N10" s="336"/>
      <c r="O10" s="103"/>
      <c r="P10" s="22"/>
    </row>
    <row r="11" spans="1:21" ht="16.8" x14ac:dyDescent="0.3">
      <c r="J11" s="104" t="s">
        <v>69</v>
      </c>
      <c r="K11" s="337">
        <f>'DR-TB 10A (Sputum &amp; EP Sample)'!K10:L10</f>
        <v>0</v>
      </c>
      <c r="L11" s="337"/>
      <c r="M11" s="104"/>
      <c r="N11" s="105"/>
      <c r="O11" s="102" t="s">
        <v>12</v>
      </c>
      <c r="Q11" s="338">
        <f>'DR-TB 10A (Sputum &amp; EP Sample)'!Q10:S10</f>
        <v>0</v>
      </c>
      <c r="R11" s="339"/>
      <c r="S11" s="339"/>
      <c r="T11" s="106"/>
    </row>
    <row r="12" spans="1:21" ht="16.2" thickBot="1" x14ac:dyDescent="0.35">
      <c r="J12" s="104"/>
      <c r="K12" s="107"/>
      <c r="L12" s="107"/>
      <c r="M12" s="104"/>
      <c r="N12" s="105"/>
      <c r="O12" s="102"/>
      <c r="Q12" s="27"/>
      <c r="R12" s="27"/>
      <c r="S12" s="27"/>
      <c r="T12" s="106"/>
    </row>
    <row r="13" spans="1:21" ht="17.399999999999999" thickBot="1" x14ac:dyDescent="0.35">
      <c r="A13" s="312" t="s">
        <v>683</v>
      </c>
      <c r="B13" s="332" t="s">
        <v>684</v>
      </c>
      <c r="C13" s="332"/>
      <c r="D13" s="332" t="s">
        <v>685</v>
      </c>
      <c r="E13" s="332"/>
      <c r="H13" s="315" t="s">
        <v>686</v>
      </c>
      <c r="I13" s="316"/>
      <c r="J13" s="316"/>
      <c r="K13" s="317"/>
      <c r="L13" s="321" t="s">
        <v>687</v>
      </c>
      <c r="M13" s="321"/>
      <c r="N13" s="321"/>
      <c r="O13" s="322" t="s">
        <v>3</v>
      </c>
      <c r="P13" s="323"/>
      <c r="Q13" s="106"/>
    </row>
    <row r="14" spans="1:21" ht="16.2" thickBot="1" x14ac:dyDescent="0.35">
      <c r="A14" s="313"/>
      <c r="B14" s="333"/>
      <c r="C14" s="334"/>
      <c r="D14" s="333"/>
      <c r="E14" s="334"/>
      <c r="H14" s="318"/>
      <c r="I14" s="319"/>
      <c r="J14" s="319"/>
      <c r="K14" s="320"/>
      <c r="L14" s="108"/>
      <c r="M14" s="109"/>
      <c r="N14" s="110"/>
      <c r="O14" s="324">
        <f>L14+M14+N14</f>
        <v>0</v>
      </c>
      <c r="P14" s="325"/>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26"/>
      <c r="B17" s="326"/>
      <c r="C17" s="326" t="s">
        <v>688</v>
      </c>
      <c r="D17" s="326"/>
      <c r="E17" s="326"/>
      <c r="F17" s="342" t="s">
        <v>689</v>
      </c>
      <c r="G17" s="342"/>
      <c r="H17" s="342"/>
      <c r="I17" s="342"/>
      <c r="J17" s="342"/>
      <c r="K17" s="342"/>
      <c r="L17" s="326" t="s">
        <v>690</v>
      </c>
      <c r="M17" s="326"/>
      <c r="N17" s="326"/>
      <c r="O17" s="326"/>
      <c r="P17" s="326"/>
      <c r="Q17" s="326"/>
      <c r="U17" s="340"/>
    </row>
    <row r="18" spans="1:21" x14ac:dyDescent="0.3">
      <c r="A18" s="326"/>
      <c r="B18" s="326"/>
      <c r="C18" s="314" t="s">
        <v>691</v>
      </c>
      <c r="D18" s="314" t="s">
        <v>692</v>
      </c>
      <c r="E18" s="314" t="s">
        <v>3</v>
      </c>
      <c r="F18" s="342" t="s">
        <v>691</v>
      </c>
      <c r="G18" s="342"/>
      <c r="H18" s="342" t="s">
        <v>692</v>
      </c>
      <c r="I18" s="342"/>
      <c r="J18" s="342" t="s">
        <v>3</v>
      </c>
      <c r="K18" s="342"/>
      <c r="L18" s="326" t="s">
        <v>691</v>
      </c>
      <c r="M18" s="326"/>
      <c r="N18" s="326" t="s">
        <v>692</v>
      </c>
      <c r="O18" s="326"/>
      <c r="P18" s="314" t="s">
        <v>3</v>
      </c>
      <c r="Q18" s="314"/>
      <c r="U18" s="340"/>
    </row>
    <row r="19" spans="1:21" x14ac:dyDescent="0.3">
      <c r="A19" s="326"/>
      <c r="B19" s="326"/>
      <c r="C19" s="314"/>
      <c r="D19" s="314"/>
      <c r="E19" s="314"/>
      <c r="F19" s="342"/>
      <c r="G19" s="342"/>
      <c r="H19" s="342"/>
      <c r="I19" s="342"/>
      <c r="J19" s="342"/>
      <c r="K19" s="342"/>
      <c r="L19" s="326"/>
      <c r="M19" s="326"/>
      <c r="N19" s="326"/>
      <c r="O19" s="326"/>
      <c r="P19" s="314"/>
      <c r="Q19" s="314"/>
      <c r="U19" s="340"/>
    </row>
    <row r="20" spans="1:21" ht="15" customHeight="1" x14ac:dyDescent="0.3">
      <c r="A20" s="326" t="s">
        <v>693</v>
      </c>
      <c r="B20" s="326"/>
      <c r="C20" s="330"/>
      <c r="D20" s="330"/>
      <c r="E20" s="314">
        <f>C20+D20</f>
        <v>0</v>
      </c>
      <c r="F20" s="328"/>
      <c r="G20" s="328"/>
      <c r="H20" s="329"/>
      <c r="I20" s="329"/>
      <c r="J20" s="327">
        <f>F20+H20</f>
        <v>0</v>
      </c>
      <c r="K20" s="327"/>
      <c r="L20" s="314">
        <f>C20+F20</f>
        <v>0</v>
      </c>
      <c r="M20" s="314"/>
      <c r="N20" s="314">
        <f>D20+H20</f>
        <v>0</v>
      </c>
      <c r="O20" s="314"/>
      <c r="P20" s="314">
        <f>L20+N20</f>
        <v>0</v>
      </c>
      <c r="Q20" s="314"/>
      <c r="U20" s="341"/>
    </row>
    <row r="21" spans="1:21" ht="15" customHeight="1" x14ac:dyDescent="0.3">
      <c r="A21" s="326"/>
      <c r="B21" s="326"/>
      <c r="C21" s="330"/>
      <c r="D21" s="330"/>
      <c r="E21" s="314"/>
      <c r="F21" s="328"/>
      <c r="G21" s="328"/>
      <c r="H21" s="329"/>
      <c r="I21" s="329"/>
      <c r="J21" s="327"/>
      <c r="K21" s="327"/>
      <c r="L21" s="314"/>
      <c r="M21" s="314"/>
      <c r="N21" s="314"/>
      <c r="O21" s="314"/>
      <c r="P21" s="314"/>
      <c r="Q21" s="314"/>
      <c r="U21" s="341"/>
    </row>
    <row r="22" spans="1:21" ht="15" customHeight="1" x14ac:dyDescent="0.3">
      <c r="A22" s="326"/>
      <c r="B22" s="326"/>
      <c r="C22" s="330"/>
      <c r="D22" s="330"/>
      <c r="E22" s="314"/>
      <c r="F22" s="328"/>
      <c r="G22" s="328"/>
      <c r="H22" s="329"/>
      <c r="I22" s="329"/>
      <c r="J22" s="327"/>
      <c r="K22" s="327"/>
      <c r="L22" s="314"/>
      <c r="M22" s="314"/>
      <c r="N22" s="314"/>
      <c r="O22" s="314"/>
      <c r="P22" s="314"/>
      <c r="Q22" s="314"/>
      <c r="U22" s="341"/>
    </row>
    <row r="23" spans="1:21" ht="15.6" x14ac:dyDescent="0.3">
      <c r="A23" s="326" t="s">
        <v>694</v>
      </c>
      <c r="B23" s="326"/>
      <c r="C23" s="330"/>
      <c r="D23" s="330"/>
      <c r="E23" s="314">
        <f t="shared" ref="E23" si="0">C23+D23</f>
        <v>0</v>
      </c>
      <c r="F23" s="328"/>
      <c r="G23" s="328"/>
      <c r="H23" s="329"/>
      <c r="I23" s="329"/>
      <c r="J23" s="327">
        <f t="shared" ref="J23" si="1">F23+H23</f>
        <v>0</v>
      </c>
      <c r="K23" s="327"/>
      <c r="L23" s="314">
        <f t="shared" ref="L23" si="2">C23+F23</f>
        <v>0</v>
      </c>
      <c r="M23" s="314"/>
      <c r="N23" s="314">
        <f t="shared" ref="N23" si="3">D23+H23</f>
        <v>0</v>
      </c>
      <c r="O23" s="314"/>
      <c r="P23" s="314">
        <f t="shared" ref="P23" si="4">L23+N23</f>
        <v>0</v>
      </c>
      <c r="Q23" s="314"/>
      <c r="U23" s="33"/>
    </row>
    <row r="24" spans="1:21" ht="15.6" x14ac:dyDescent="0.3">
      <c r="A24" s="326"/>
      <c r="B24" s="326"/>
      <c r="C24" s="330"/>
      <c r="D24" s="330"/>
      <c r="E24" s="314"/>
      <c r="F24" s="328"/>
      <c r="G24" s="328"/>
      <c r="H24" s="329"/>
      <c r="I24" s="329"/>
      <c r="J24" s="327"/>
      <c r="K24" s="327"/>
      <c r="L24" s="314"/>
      <c r="M24" s="314"/>
      <c r="N24" s="314"/>
      <c r="O24" s="314"/>
      <c r="P24" s="314"/>
      <c r="Q24" s="314"/>
      <c r="U24" s="33"/>
    </row>
    <row r="25" spans="1:21" ht="15.6" x14ac:dyDescent="0.3">
      <c r="A25" s="326"/>
      <c r="B25" s="326"/>
      <c r="C25" s="330"/>
      <c r="D25" s="330"/>
      <c r="E25" s="314"/>
      <c r="F25" s="328"/>
      <c r="G25" s="328"/>
      <c r="H25" s="329"/>
      <c r="I25" s="329"/>
      <c r="J25" s="327"/>
      <c r="K25" s="327"/>
      <c r="L25" s="314"/>
      <c r="M25" s="314"/>
      <c r="N25" s="314"/>
      <c r="O25" s="314"/>
      <c r="P25" s="314"/>
      <c r="Q25" s="314"/>
      <c r="U25" s="33"/>
    </row>
    <row r="26" spans="1:21" ht="15.6" x14ac:dyDescent="0.3">
      <c r="A26" s="326" t="s">
        <v>695</v>
      </c>
      <c r="B26" s="326"/>
      <c r="C26" s="330"/>
      <c r="D26" s="330"/>
      <c r="E26" s="314">
        <f t="shared" ref="E26" si="5">C26+D26</f>
        <v>0</v>
      </c>
      <c r="F26" s="328"/>
      <c r="G26" s="328"/>
      <c r="H26" s="329"/>
      <c r="I26" s="329"/>
      <c r="J26" s="327">
        <f t="shared" ref="J26" si="6">F26+H26</f>
        <v>0</v>
      </c>
      <c r="K26" s="327"/>
      <c r="L26" s="314">
        <f t="shared" ref="L26" si="7">C26+F26</f>
        <v>0</v>
      </c>
      <c r="M26" s="314"/>
      <c r="N26" s="314">
        <f t="shared" ref="N26" si="8">D26+H26</f>
        <v>0</v>
      </c>
      <c r="O26" s="314"/>
      <c r="P26" s="314">
        <f t="shared" ref="P26" si="9">L26+N26</f>
        <v>0</v>
      </c>
      <c r="Q26" s="314"/>
      <c r="R26" s="32"/>
      <c r="S26" s="33"/>
      <c r="T26" s="33"/>
      <c r="U26" s="33"/>
    </row>
    <row r="27" spans="1:21" ht="15.6" x14ac:dyDescent="0.3">
      <c r="A27" s="326"/>
      <c r="B27" s="326"/>
      <c r="C27" s="330"/>
      <c r="D27" s="330"/>
      <c r="E27" s="314"/>
      <c r="F27" s="328"/>
      <c r="G27" s="328"/>
      <c r="H27" s="329"/>
      <c r="I27" s="329"/>
      <c r="J27" s="327"/>
      <c r="K27" s="327"/>
      <c r="L27" s="314"/>
      <c r="M27" s="314"/>
      <c r="N27" s="314"/>
      <c r="O27" s="314"/>
      <c r="P27" s="314"/>
      <c r="Q27" s="314"/>
      <c r="R27" s="32"/>
      <c r="S27" s="33"/>
      <c r="T27" s="33"/>
      <c r="U27" s="33"/>
    </row>
    <row r="28" spans="1:21" ht="15.6" x14ac:dyDescent="0.3">
      <c r="A28" s="326"/>
      <c r="B28" s="326"/>
      <c r="C28" s="330"/>
      <c r="D28" s="330"/>
      <c r="E28" s="314"/>
      <c r="F28" s="328"/>
      <c r="G28" s="328"/>
      <c r="H28" s="329"/>
      <c r="I28" s="329"/>
      <c r="J28" s="327"/>
      <c r="K28" s="327"/>
      <c r="L28" s="314"/>
      <c r="M28" s="314"/>
      <c r="N28" s="314"/>
      <c r="O28" s="314"/>
      <c r="P28" s="314"/>
      <c r="Q28" s="314"/>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45"/>
      <c r="N30" s="345"/>
      <c r="O30" s="345"/>
      <c r="P30" s="345"/>
      <c r="Q30" s="345"/>
      <c r="R30" s="345"/>
      <c r="S30" s="345"/>
    </row>
    <row r="31" spans="1:21" ht="16.8" x14ac:dyDescent="0.3">
      <c r="A31" s="114"/>
      <c r="B31" s="114"/>
      <c r="C31" s="114"/>
      <c r="D31" s="114"/>
      <c r="E31" s="26"/>
      <c r="F31" s="26"/>
      <c r="G31" s="25"/>
      <c r="H31" s="106" t="s">
        <v>56</v>
      </c>
      <c r="I31" s="348"/>
      <c r="J31" s="348"/>
      <c r="K31" s="348"/>
      <c r="L31" s="348"/>
      <c r="N31" s="115" t="s">
        <v>57</v>
      </c>
      <c r="O31" s="346"/>
      <c r="P31" s="346"/>
      <c r="Q31" s="346"/>
    </row>
    <row r="32" spans="1:21" ht="16.8" x14ac:dyDescent="0.3">
      <c r="A32" s="25"/>
      <c r="B32" s="23"/>
      <c r="C32" s="23"/>
      <c r="D32" s="23"/>
      <c r="E32" s="25"/>
      <c r="F32" s="25"/>
      <c r="G32" s="26"/>
      <c r="H32" s="106" t="s">
        <v>58</v>
      </c>
      <c r="I32" s="347"/>
      <c r="J32" s="347"/>
      <c r="K32" s="347"/>
      <c r="L32" s="347"/>
      <c r="M32" s="347"/>
    </row>
    <row r="33" spans="1:8" ht="15.6" x14ac:dyDescent="0.3">
      <c r="A33" s="25"/>
      <c r="B33" s="23"/>
      <c r="C33" s="23"/>
      <c r="D33" s="23"/>
      <c r="E33" s="25"/>
      <c r="F33" s="25"/>
      <c r="G33" s="26"/>
      <c r="H33" s="26"/>
    </row>
  </sheetData>
  <mergeCells count="71">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U17:U19"/>
    <mergeCell ref="U20:U22"/>
    <mergeCell ref="J23:K25"/>
    <mergeCell ref="F18:G19"/>
    <mergeCell ref="H18:I19"/>
    <mergeCell ref="J18:K19"/>
    <mergeCell ref="F17:K17"/>
    <mergeCell ref="L18:M19"/>
    <mergeCell ref="L17:Q17"/>
    <mergeCell ref="P18:Q19"/>
    <mergeCell ref="L20:M22"/>
    <mergeCell ref="L23:M25"/>
    <mergeCell ref="N20:O22"/>
    <mergeCell ref="N23:O25"/>
    <mergeCell ref="P20:Q22"/>
    <mergeCell ref="P23:Q25"/>
    <mergeCell ref="N8:S8"/>
    <mergeCell ref="M9:S9"/>
    <mergeCell ref="M10:N10"/>
    <mergeCell ref="K11:L11"/>
    <mergeCell ref="Q11:S11"/>
    <mergeCell ref="C8:G8"/>
    <mergeCell ref="C17:E17"/>
    <mergeCell ref="C18:C19"/>
    <mergeCell ref="D18:D19"/>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P13"/>
  <sheetViews>
    <sheetView zoomScaleNormal="100" workbookViewId="0">
      <selection sqref="A1:A3"/>
    </sheetView>
  </sheetViews>
  <sheetFormatPr defaultColWidth="9.21875" defaultRowHeight="14.4" x14ac:dyDescent="0.3"/>
  <cols>
    <col min="1" max="1" width="14.44140625" style="101" customWidth="1"/>
    <col min="2" max="2" width="9.77734375" style="101" customWidth="1"/>
    <col min="3" max="3" width="13.44140625" style="101" customWidth="1"/>
    <col min="4" max="7" width="9.21875" style="101"/>
    <col min="8" max="8" width="11.21875" style="138" bestFit="1" customWidth="1"/>
    <col min="9" max="9" width="14.21875" style="101" customWidth="1"/>
    <col min="10" max="10" width="18" style="101" customWidth="1"/>
    <col min="11" max="16" width="9.21875" style="101"/>
    <col min="17" max="17" width="12.77734375" style="101" bestFit="1" customWidth="1"/>
    <col min="18" max="18" width="11.77734375" style="101" bestFit="1" customWidth="1"/>
    <col min="19" max="23" width="9.21875" style="101"/>
    <col min="24" max="24" width="11.21875" style="138" bestFit="1" customWidth="1"/>
    <col min="25" max="30" width="9.21875" style="101"/>
    <col min="31" max="31" width="10.21875" style="101" bestFit="1" customWidth="1"/>
    <col min="32" max="32" width="9.21875" style="101"/>
    <col min="33" max="33" width="10.21875" style="101" bestFit="1" customWidth="1"/>
    <col min="34" max="64" width="9.21875" style="101"/>
    <col min="65" max="65" width="19.5546875" style="101" customWidth="1"/>
    <col min="66" max="84" width="9.21875" style="101"/>
    <col min="85" max="85" width="10.21875" style="101" customWidth="1"/>
    <col min="86" max="88" width="9.21875" style="101"/>
    <col min="89" max="89" width="10" style="101" customWidth="1"/>
    <col min="90" max="90" width="9.77734375" style="101" customWidth="1"/>
    <col min="91" max="16384" width="9.21875" style="101"/>
  </cols>
  <sheetData>
    <row r="1" spans="1:146" s="100" customFormat="1" ht="29.25" customHeight="1" x14ac:dyDescent="0.3">
      <c r="A1" s="359" t="s">
        <v>161</v>
      </c>
      <c r="B1" s="359" t="s">
        <v>280</v>
      </c>
      <c r="C1" s="359" t="s">
        <v>806</v>
      </c>
      <c r="D1" s="360"/>
      <c r="E1" s="363" t="s">
        <v>281</v>
      </c>
      <c r="F1" s="363"/>
      <c r="G1" s="363"/>
      <c r="H1" s="365" t="s">
        <v>282</v>
      </c>
      <c r="I1" s="365"/>
      <c r="J1" s="365"/>
      <c r="K1" s="365"/>
      <c r="L1" s="365"/>
      <c r="M1" s="365"/>
      <c r="N1" s="365"/>
      <c r="O1" s="365"/>
      <c r="P1" s="365"/>
      <c r="Q1" s="365"/>
      <c r="R1" s="365"/>
      <c r="S1" s="365"/>
      <c r="T1" s="365"/>
      <c r="U1" s="365"/>
      <c r="V1" s="365"/>
      <c r="W1" s="365"/>
      <c r="X1" s="365"/>
      <c r="Y1" s="365"/>
      <c r="Z1" s="365"/>
      <c r="AA1" s="365"/>
      <c r="AB1" s="365"/>
      <c r="AC1" s="365"/>
      <c r="AD1" s="365"/>
      <c r="AE1" s="365"/>
      <c r="AF1" s="365"/>
      <c r="AG1" s="365" t="s">
        <v>283</v>
      </c>
      <c r="AH1" s="365"/>
      <c r="AI1" s="365"/>
      <c r="AJ1" s="365"/>
      <c r="AK1" s="366" t="s">
        <v>284</v>
      </c>
      <c r="AL1" s="366" t="s">
        <v>285</v>
      </c>
      <c r="AM1" s="366" t="s">
        <v>286</v>
      </c>
      <c r="AN1" s="366" t="s">
        <v>287</v>
      </c>
      <c r="AO1" s="366"/>
      <c r="AP1" s="366"/>
      <c r="AQ1" s="366"/>
      <c r="AR1" s="366" t="s">
        <v>288</v>
      </c>
      <c r="AS1" s="372" t="s">
        <v>289</v>
      </c>
      <c r="AT1" s="373"/>
      <c r="AU1" s="373"/>
      <c r="AV1" s="374"/>
      <c r="AW1" s="387" t="s">
        <v>290</v>
      </c>
      <c r="AX1" s="366" t="s">
        <v>291</v>
      </c>
      <c r="AY1" s="366"/>
      <c r="AZ1" s="366"/>
      <c r="BA1" s="366"/>
      <c r="BB1" s="387" t="s">
        <v>292</v>
      </c>
      <c r="BC1" s="351" t="s">
        <v>820</v>
      </c>
      <c r="BD1" s="381" t="s">
        <v>75</v>
      </c>
      <c r="BE1" s="381"/>
      <c r="BF1" s="381"/>
      <c r="BG1" s="381" t="s">
        <v>67</v>
      </c>
      <c r="BH1" s="381"/>
      <c r="BI1" s="381"/>
      <c r="BJ1" s="381" t="s">
        <v>3</v>
      </c>
      <c r="BK1" s="357" t="str">
        <f>'DR-TB 10A (Sputum &amp; EP Sample)'!J7</f>
        <v>Name of the person completing the report :</v>
      </c>
      <c r="BL1" s="357" t="str">
        <f>'DR-TB 10A (Sputum &amp; EP Sample)'!J8</f>
        <v>Designation and organization :</v>
      </c>
      <c r="BM1" s="357" t="str">
        <f>'DR-TB 10A (Sputum &amp; EP Sample)'!O10</f>
        <v>Cell Number :</v>
      </c>
      <c r="BN1" s="349" t="str">
        <f>'COVID19 Reporting Form'!B13</f>
        <v>Cartridges Received</v>
      </c>
      <c r="BO1" s="349" t="str">
        <f>'COVID19 Reporting Form'!D13</f>
        <v>Cartridges in Hand</v>
      </c>
      <c r="BP1" s="349" t="str">
        <f>'COVID19 Reporting Form'!C17</f>
        <v>Type of test : New</v>
      </c>
      <c r="BQ1" s="349"/>
      <c r="BR1" s="349"/>
      <c r="BS1" s="349"/>
      <c r="BT1" s="349"/>
      <c r="BU1" s="349"/>
      <c r="BV1" s="349" t="str">
        <f>'COVID19 Reporting Form'!F17</f>
        <v xml:space="preserve">Type of Test : Follow up </v>
      </c>
      <c r="BW1" s="349"/>
      <c r="BX1" s="349"/>
      <c r="BY1" s="349"/>
      <c r="BZ1" s="349"/>
      <c r="CA1" s="349"/>
      <c r="CB1" s="349" t="s">
        <v>686</v>
      </c>
      <c r="CC1" s="349"/>
      <c r="CD1" s="349"/>
      <c r="CE1" s="353" t="str">
        <f>'DR-TB 10A (Sputum &amp; EP Sample)'!J12</f>
        <v>For Xpert</v>
      </c>
      <c r="CF1" s="354"/>
      <c r="CG1" s="355"/>
      <c r="CH1" s="353" t="str">
        <f>'DR-TB 10A (Sputum &amp; EP Sample)'!N12</f>
        <v>For Truenat</v>
      </c>
      <c r="CI1" s="354"/>
      <c r="CJ1" s="354"/>
      <c r="CK1" s="354"/>
      <c r="CL1" s="354"/>
      <c r="CM1" s="354"/>
      <c r="CN1" s="354"/>
      <c r="CO1" s="354"/>
      <c r="CP1" s="355"/>
      <c r="CQ1" s="349" t="str">
        <f>'DR-TB 10A (Sputum &amp; EP Sample)'!G38</f>
        <v>Eligible for XDR Testing</v>
      </c>
      <c r="CR1" s="349" t="str">
        <f>'DR-TB 10A (Sputum &amp; EP Sample)'!H38</f>
        <v>Tested by XDR Cartridge</v>
      </c>
      <c r="CS1" s="363" t="s">
        <v>281</v>
      </c>
      <c r="CT1" s="363"/>
      <c r="CU1" s="363"/>
      <c r="CV1" s="365" t="s">
        <v>282</v>
      </c>
      <c r="CW1" s="365"/>
      <c r="CX1" s="365"/>
      <c r="CY1" s="365"/>
      <c r="CZ1" s="365"/>
      <c r="DA1" s="365"/>
      <c r="DB1" s="365"/>
      <c r="DC1" s="365"/>
      <c r="DD1" s="365"/>
      <c r="DE1" s="365"/>
      <c r="DF1" s="365"/>
      <c r="DG1" s="365"/>
      <c r="DH1" s="365"/>
      <c r="DI1" s="365"/>
      <c r="DJ1" s="365"/>
      <c r="DK1" s="365"/>
      <c r="DL1" s="365"/>
      <c r="DM1" s="365"/>
      <c r="DN1" s="365"/>
      <c r="DO1" s="365"/>
      <c r="DP1" s="365"/>
      <c r="DQ1" s="365"/>
      <c r="DR1" s="365"/>
      <c r="DS1" s="365"/>
      <c r="DT1" s="365"/>
      <c r="DU1" s="365" t="s">
        <v>283</v>
      </c>
      <c r="DV1" s="365"/>
      <c r="DW1" s="365"/>
      <c r="DX1" s="365"/>
      <c r="DY1" s="366" t="s">
        <v>284</v>
      </c>
      <c r="DZ1" s="366" t="s">
        <v>285</v>
      </c>
      <c r="EA1" s="366" t="s">
        <v>286</v>
      </c>
      <c r="EB1" s="366" t="s">
        <v>287</v>
      </c>
      <c r="EC1" s="366"/>
      <c r="ED1" s="366"/>
      <c r="EE1" s="366"/>
      <c r="EF1" s="366" t="s">
        <v>288</v>
      </c>
      <c r="EG1" s="372" t="s">
        <v>289</v>
      </c>
      <c r="EH1" s="373"/>
      <c r="EI1" s="373"/>
      <c r="EJ1" s="374"/>
      <c r="EK1" s="387" t="s">
        <v>290</v>
      </c>
      <c r="EL1" s="366" t="s">
        <v>291</v>
      </c>
      <c r="EM1" s="366"/>
      <c r="EN1" s="366"/>
      <c r="EO1" s="366"/>
      <c r="EP1" s="387" t="s">
        <v>292</v>
      </c>
    </row>
    <row r="2" spans="1:146" s="100" customFormat="1" ht="33.75" customHeight="1" x14ac:dyDescent="0.3">
      <c r="A2" s="359"/>
      <c r="B2" s="359"/>
      <c r="C2" s="359"/>
      <c r="D2" s="361"/>
      <c r="E2" s="382" t="s">
        <v>43</v>
      </c>
      <c r="F2" s="384" t="s">
        <v>44</v>
      </c>
      <c r="G2" s="385" t="s">
        <v>304</v>
      </c>
      <c r="H2" s="386" t="s">
        <v>18</v>
      </c>
      <c r="I2" s="364" t="s">
        <v>19</v>
      </c>
      <c r="J2" s="364" t="s">
        <v>20</v>
      </c>
      <c r="K2" s="364" t="s">
        <v>22</v>
      </c>
      <c r="L2" s="364" t="s">
        <v>24</v>
      </c>
      <c r="M2" s="364" t="s">
        <v>26</v>
      </c>
      <c r="N2" s="364" t="s">
        <v>28</v>
      </c>
      <c r="O2" s="364" t="s">
        <v>30</v>
      </c>
      <c r="P2" s="364" t="s">
        <v>32</v>
      </c>
      <c r="Q2" s="364"/>
      <c r="R2" s="364"/>
      <c r="S2" s="364" t="s">
        <v>34</v>
      </c>
      <c r="T2" s="364"/>
      <c r="U2" s="364"/>
      <c r="V2" s="364" t="s">
        <v>293</v>
      </c>
      <c r="W2" s="364"/>
      <c r="X2" s="364"/>
      <c r="Y2" s="364" t="s">
        <v>294</v>
      </c>
      <c r="Z2" s="364"/>
      <c r="AA2" s="364"/>
      <c r="AB2" s="364" t="s">
        <v>295</v>
      </c>
      <c r="AC2" s="364"/>
      <c r="AD2" s="364"/>
      <c r="AE2" s="391" t="s">
        <v>296</v>
      </c>
      <c r="AF2" s="365" t="s">
        <v>3</v>
      </c>
      <c r="AG2" s="364" t="s">
        <v>43</v>
      </c>
      <c r="AH2" s="364" t="s">
        <v>44</v>
      </c>
      <c r="AI2" s="364" t="s">
        <v>297</v>
      </c>
      <c r="AJ2" s="365" t="s">
        <v>3</v>
      </c>
      <c r="AK2" s="366"/>
      <c r="AL2" s="366"/>
      <c r="AM2" s="366"/>
      <c r="AN2" s="366" t="s">
        <v>298</v>
      </c>
      <c r="AO2" s="366" t="s">
        <v>299</v>
      </c>
      <c r="AP2" s="366" t="s">
        <v>300</v>
      </c>
      <c r="AQ2" s="371" t="s">
        <v>840</v>
      </c>
      <c r="AR2" s="366"/>
      <c r="AS2" s="366" t="s">
        <v>298</v>
      </c>
      <c r="AT2" s="366" t="s">
        <v>299</v>
      </c>
      <c r="AU2" s="366" t="s">
        <v>300</v>
      </c>
      <c r="AV2" s="371" t="s">
        <v>840</v>
      </c>
      <c r="AW2" s="388"/>
      <c r="AX2" s="367" t="s">
        <v>298</v>
      </c>
      <c r="AY2" s="367" t="s">
        <v>299</v>
      </c>
      <c r="AZ2" s="367" t="s">
        <v>300</v>
      </c>
      <c r="BA2" s="371" t="s">
        <v>840</v>
      </c>
      <c r="BB2" s="388"/>
      <c r="BC2" s="390"/>
      <c r="BD2" s="381"/>
      <c r="BE2" s="381"/>
      <c r="BF2" s="381"/>
      <c r="BG2" s="381"/>
      <c r="BH2" s="381"/>
      <c r="BI2" s="381"/>
      <c r="BJ2" s="381"/>
      <c r="BK2" s="357"/>
      <c r="BL2" s="357"/>
      <c r="BM2" s="357"/>
      <c r="BN2" s="349"/>
      <c r="BO2" s="349"/>
      <c r="BP2" s="349" t="str">
        <f>'COVID19 Reporting Form'!A20</f>
        <v>Number Of COVID19 Test</v>
      </c>
      <c r="BQ2" s="349"/>
      <c r="BR2" s="349" t="str">
        <f>'COVID19 Reporting Form'!A23</f>
        <v>Number of COVID 19 Positive Detected</v>
      </c>
      <c r="BS2" s="349"/>
      <c r="BT2" s="349" t="str">
        <f>'COVID19 Reporting Form'!A26</f>
        <v>Number of COVID 19 Negative Detected</v>
      </c>
      <c r="BU2" s="349"/>
      <c r="BV2" s="349" t="str">
        <f>'COVID19 Reporting Form'!A20</f>
        <v>Number Of COVID19 Test</v>
      </c>
      <c r="BW2" s="349"/>
      <c r="BX2" s="349" t="str">
        <f>'COVID19 Reporting Form'!A23</f>
        <v>Number of COVID 19 Positive Detected</v>
      </c>
      <c r="BY2" s="349"/>
      <c r="BZ2" s="349" t="str">
        <f>'COVID19 Reporting Form'!A26</f>
        <v>Number of COVID 19 Negative Detected</v>
      </c>
      <c r="CA2" s="349"/>
      <c r="CB2" s="349"/>
      <c r="CC2" s="349"/>
      <c r="CD2" s="349"/>
      <c r="CE2" s="351" t="str">
        <f>'DR-TB 10A (Sputum &amp; EP Sample)'!J13</f>
        <v>Number of Gene Xpert Machine:</v>
      </c>
      <c r="CF2" s="351" t="str">
        <f>'DR-TB 10A (Sputum &amp; EP Sample)'!J14</f>
        <v>Total Number Of Module:</v>
      </c>
      <c r="CG2" s="351" t="str">
        <f>'DR-TB 10A (Sputum &amp; EP Sample)'!J15</f>
        <v>Number of Module Functional:</v>
      </c>
      <c r="CH2" s="351" t="str">
        <f>'DR-TB 10A (Sputum &amp; EP Sample)'!N13</f>
        <v>No. of TruePrep Device</v>
      </c>
      <c r="CI2" s="351" t="str">
        <f>'DR-TB 10A (Sputum &amp; EP Sample)'!N14</f>
        <v>No.of TrueLab Device</v>
      </c>
      <c r="CJ2" s="351" t="str">
        <f>'DR-TB 10A (Sputum &amp; EP Sample)'!N15</f>
        <v>Total No. of Chip Ports</v>
      </c>
      <c r="CK2" s="351" t="str">
        <f>'DR-TB 10A (Sputum &amp; EP Sample)'!R13</f>
        <v>Functional TruePrep Device</v>
      </c>
      <c r="CL2" s="351" t="str">
        <f>'DR-TB 10A (Sputum &amp; EP Sample)'!R14</f>
        <v>Functional TrueLab Device</v>
      </c>
      <c r="CM2" s="351" t="str">
        <f>'DR-TB 10A (Sputum &amp; EP Sample)'!R15</f>
        <v>Total functional Chip Ports</v>
      </c>
      <c r="CN2" s="351" t="str">
        <f>'DR-TB 10A (Sputum &amp; EP Sample)'!R17</f>
        <v>No. of Truenat Cartriage Used</v>
      </c>
      <c r="CO2" s="351" t="str">
        <f>'DR-TB 10A (Sputum &amp; EP Sample)'!R18</f>
        <v>No. of Truenat MTB Chip Used</v>
      </c>
      <c r="CP2" s="351" t="str">
        <f>'DR-TB 10A (Sputum &amp; EP Sample)'!R19</f>
        <v>No. of Truenat RIF Dx Chip Used</v>
      </c>
      <c r="CQ2" s="349"/>
      <c r="CR2" s="349"/>
      <c r="CS2" s="382" t="s">
        <v>43</v>
      </c>
      <c r="CT2" s="384" t="s">
        <v>44</v>
      </c>
      <c r="CU2" s="385" t="s">
        <v>304</v>
      </c>
      <c r="CV2" s="386" t="s">
        <v>18</v>
      </c>
      <c r="CW2" s="364" t="s">
        <v>19</v>
      </c>
      <c r="CX2" s="364" t="s">
        <v>20</v>
      </c>
      <c r="CY2" s="364" t="s">
        <v>22</v>
      </c>
      <c r="CZ2" s="364" t="s">
        <v>24</v>
      </c>
      <c r="DA2" s="364" t="s">
        <v>26</v>
      </c>
      <c r="DB2" s="364" t="s">
        <v>28</v>
      </c>
      <c r="DC2" s="364" t="s">
        <v>30</v>
      </c>
      <c r="DD2" s="364" t="s">
        <v>32</v>
      </c>
      <c r="DE2" s="364"/>
      <c r="DF2" s="364"/>
      <c r="DG2" s="364" t="s">
        <v>34</v>
      </c>
      <c r="DH2" s="364"/>
      <c r="DI2" s="364"/>
      <c r="DJ2" s="364" t="s">
        <v>293</v>
      </c>
      <c r="DK2" s="364"/>
      <c r="DL2" s="364"/>
      <c r="DM2" s="364" t="s">
        <v>294</v>
      </c>
      <c r="DN2" s="364"/>
      <c r="DO2" s="364"/>
      <c r="DP2" s="364" t="s">
        <v>295</v>
      </c>
      <c r="DQ2" s="364"/>
      <c r="DR2" s="364"/>
      <c r="DS2" s="391" t="s">
        <v>296</v>
      </c>
      <c r="DT2" s="365" t="s">
        <v>3</v>
      </c>
      <c r="DU2" s="364" t="s">
        <v>43</v>
      </c>
      <c r="DV2" s="364" t="s">
        <v>44</v>
      </c>
      <c r="DW2" s="364" t="s">
        <v>297</v>
      </c>
      <c r="DX2" s="365" t="s">
        <v>3</v>
      </c>
      <c r="DY2" s="366"/>
      <c r="DZ2" s="366"/>
      <c r="EA2" s="366"/>
      <c r="EB2" s="366" t="s">
        <v>298</v>
      </c>
      <c r="EC2" s="366" t="s">
        <v>299</v>
      </c>
      <c r="ED2" s="366" t="s">
        <v>300</v>
      </c>
      <c r="EE2" s="371" t="s">
        <v>840</v>
      </c>
      <c r="EF2" s="366"/>
      <c r="EG2" s="366" t="s">
        <v>298</v>
      </c>
      <c r="EH2" s="366" t="s">
        <v>299</v>
      </c>
      <c r="EI2" s="366" t="s">
        <v>300</v>
      </c>
      <c r="EJ2" s="371" t="s">
        <v>840</v>
      </c>
      <c r="EK2" s="388"/>
      <c r="EL2" s="367" t="s">
        <v>298</v>
      </c>
      <c r="EM2" s="367" t="s">
        <v>299</v>
      </c>
      <c r="EN2" s="367" t="s">
        <v>300</v>
      </c>
      <c r="EO2" s="371" t="s">
        <v>840</v>
      </c>
      <c r="EP2" s="388"/>
    </row>
    <row r="3" spans="1:146" s="100" customFormat="1" ht="75.75" customHeight="1" x14ac:dyDescent="0.3">
      <c r="A3" s="359"/>
      <c r="B3" s="359"/>
      <c r="C3" s="359"/>
      <c r="D3" s="362"/>
      <c r="E3" s="383"/>
      <c r="F3" s="384"/>
      <c r="G3" s="385"/>
      <c r="H3" s="386"/>
      <c r="I3" s="364"/>
      <c r="J3" s="364"/>
      <c r="K3" s="364"/>
      <c r="L3" s="364"/>
      <c r="M3" s="364"/>
      <c r="N3" s="364"/>
      <c r="O3" s="364"/>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92"/>
      <c r="AF3" s="365"/>
      <c r="AG3" s="364"/>
      <c r="AH3" s="364"/>
      <c r="AI3" s="364"/>
      <c r="AJ3" s="365"/>
      <c r="AK3" s="366"/>
      <c r="AL3" s="366"/>
      <c r="AM3" s="366"/>
      <c r="AN3" s="366"/>
      <c r="AO3" s="366"/>
      <c r="AP3" s="366"/>
      <c r="AQ3" s="371"/>
      <c r="AR3" s="366"/>
      <c r="AS3" s="366"/>
      <c r="AT3" s="366"/>
      <c r="AU3" s="366"/>
      <c r="AV3" s="371"/>
      <c r="AW3" s="389"/>
      <c r="AX3" s="366"/>
      <c r="AY3" s="366"/>
      <c r="AZ3" s="366"/>
      <c r="BA3" s="371"/>
      <c r="BB3" s="389"/>
      <c r="BC3" s="352"/>
      <c r="BD3" s="133" t="s">
        <v>817</v>
      </c>
      <c r="BE3" s="133" t="s">
        <v>841</v>
      </c>
      <c r="BF3" s="133" t="s">
        <v>819</v>
      </c>
      <c r="BG3" s="133" t="s">
        <v>817</v>
      </c>
      <c r="BH3" s="133" t="s">
        <v>841</v>
      </c>
      <c r="BI3" s="133" t="s">
        <v>819</v>
      </c>
      <c r="BJ3" s="381"/>
      <c r="BK3" s="357"/>
      <c r="BL3" s="357"/>
      <c r="BM3" s="357"/>
      <c r="BN3" s="349"/>
      <c r="BO3" s="349"/>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49"/>
      <c r="CC3" s="349"/>
      <c r="CD3" s="349"/>
      <c r="CE3" s="352"/>
      <c r="CF3" s="352"/>
      <c r="CG3" s="352"/>
      <c r="CH3" s="352"/>
      <c r="CI3" s="352"/>
      <c r="CJ3" s="352"/>
      <c r="CK3" s="352"/>
      <c r="CL3" s="352"/>
      <c r="CM3" s="352"/>
      <c r="CN3" s="352"/>
      <c r="CO3" s="352"/>
      <c r="CP3" s="352"/>
      <c r="CQ3" s="349"/>
      <c r="CR3" s="349"/>
      <c r="CS3" s="383"/>
      <c r="CT3" s="384"/>
      <c r="CU3" s="385"/>
      <c r="CV3" s="386"/>
      <c r="CW3" s="364"/>
      <c r="CX3" s="364"/>
      <c r="CY3" s="364"/>
      <c r="CZ3" s="364"/>
      <c r="DA3" s="364"/>
      <c r="DB3" s="364"/>
      <c r="DC3" s="364"/>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92"/>
      <c r="DT3" s="365"/>
      <c r="DU3" s="364"/>
      <c r="DV3" s="364"/>
      <c r="DW3" s="364"/>
      <c r="DX3" s="365"/>
      <c r="DY3" s="366"/>
      <c r="DZ3" s="366"/>
      <c r="EA3" s="366"/>
      <c r="EB3" s="366"/>
      <c r="EC3" s="366"/>
      <c r="ED3" s="366"/>
      <c r="EE3" s="371"/>
      <c r="EF3" s="366"/>
      <c r="EG3" s="366"/>
      <c r="EH3" s="366"/>
      <c r="EI3" s="366"/>
      <c r="EJ3" s="371"/>
      <c r="EK3" s="389"/>
      <c r="EL3" s="366"/>
      <c r="EM3" s="366"/>
      <c r="EN3" s="366"/>
      <c r="EO3" s="371"/>
      <c r="EP3" s="389"/>
    </row>
    <row r="4" spans="1:146" s="100" customFormat="1" ht="27.75" customHeight="1" x14ac:dyDescent="0.3">
      <c r="A4" s="375">
        <f>'DR-TB 10A (Sputum &amp; EP Sample)'!$C6</f>
        <v>0</v>
      </c>
      <c r="B4" s="375">
        <f>'DR-TB 10A (Sputum &amp; EP Sample)'!$C7</f>
        <v>0</v>
      </c>
      <c r="C4" s="375">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78">
        <f>'DR-TB 10A (Sputum &amp; EP Sample)'!$H12</f>
        <v>0</v>
      </c>
      <c r="AL4" s="378">
        <f>'DR-TB 10A (Sputum &amp; EP Sample)'!$H13</f>
        <v>0</v>
      </c>
      <c r="AM4" s="378">
        <f>'DR-TB 10A (Sputum &amp; EP Sample)'!$H14</f>
        <v>0</v>
      </c>
      <c r="AN4" s="394">
        <f>'DR-TB 10A (Sputum &amp; EP Sample)'!$D17</f>
        <v>0</v>
      </c>
      <c r="AO4" s="394">
        <f>'DR-TB 10A (Sputum &amp; EP Sample)'!$D18</f>
        <v>0</v>
      </c>
      <c r="AP4" s="368">
        <f>'DR-TB 10A (Sputum &amp; EP Sample)'!$D19</f>
        <v>0</v>
      </c>
      <c r="AQ4" s="368">
        <f>'DR-TB 10A (Sputum &amp; EP Sample)'!$D20</f>
        <v>0</v>
      </c>
      <c r="AR4" s="394">
        <f>'DR-TB 10A (Sputum &amp; EP Sample)'!$D21</f>
        <v>0</v>
      </c>
      <c r="AS4" s="394">
        <f>'DR-TB 10A (Sputum &amp; EP Sample)'!$E17</f>
        <v>0</v>
      </c>
      <c r="AT4" s="394">
        <f>'DR-TB 10A (Sputum &amp; EP Sample)'!$E18</f>
        <v>0</v>
      </c>
      <c r="AU4" s="368">
        <f>'DR-TB 10A (Sputum &amp; EP Sample)'!$E19</f>
        <v>0</v>
      </c>
      <c r="AV4" s="368">
        <f>'DR-TB 10A (Sputum &amp; EP Sample)'!$E20</f>
        <v>0</v>
      </c>
      <c r="AW4" s="394">
        <f>'DR-TB 10A (Sputum &amp; EP Sample)'!$E21</f>
        <v>0</v>
      </c>
      <c r="AX4" s="394">
        <f>'DR-TB 10A (Sputum &amp; EP Sample)'!$F17</f>
        <v>0</v>
      </c>
      <c r="AY4" s="394">
        <f>'DR-TB 10A (Sputum &amp; EP Sample)'!$F18</f>
        <v>0</v>
      </c>
      <c r="AZ4" s="368">
        <f>'DR-TB 10A (Sputum &amp; EP Sample)'!$F19</f>
        <v>0</v>
      </c>
      <c r="BA4" s="368">
        <f>'DR-TB 10A (Sputum &amp; EP Sample)'!$F20</f>
        <v>0</v>
      </c>
      <c r="BB4" s="394">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56">
        <f>'DR-TB 10A (Sputum &amp; EP Sample)'!N7</f>
        <v>0</v>
      </c>
      <c r="BL4" s="356">
        <f>'DR-TB 10A (Sputum &amp; EP Sample)'!M8</f>
        <v>0</v>
      </c>
      <c r="BM4" s="358">
        <f>'DR-TB 10A (Sputum &amp; EP Sample)'!Q10</f>
        <v>0</v>
      </c>
      <c r="BN4" s="350">
        <f>'COVID19 Reporting Form'!B14</f>
        <v>0</v>
      </c>
      <c r="BO4" s="350">
        <f>'COVID19 Reporting Form'!D14</f>
        <v>0</v>
      </c>
      <c r="BP4" s="350">
        <f>'COVID19 Reporting Form'!C20</f>
        <v>0</v>
      </c>
      <c r="BQ4" s="350">
        <f>'COVID19 Reporting Form'!D20</f>
        <v>0</v>
      </c>
      <c r="BR4" s="350">
        <f>'COVID19 Reporting Form'!C23</f>
        <v>0</v>
      </c>
      <c r="BS4" s="350">
        <f>'COVID19 Reporting Form'!D23</f>
        <v>0</v>
      </c>
      <c r="BT4" s="350">
        <f>'COVID19 Reporting Form'!C26</f>
        <v>0</v>
      </c>
      <c r="BU4" s="350">
        <f>'COVID19 Reporting Form'!D26</f>
        <v>0</v>
      </c>
      <c r="BV4" s="350">
        <f>'COVID19 Reporting Form'!F20</f>
        <v>0</v>
      </c>
      <c r="BW4" s="350">
        <f>'COVID19 Reporting Form'!H20</f>
        <v>0</v>
      </c>
      <c r="BX4" s="350">
        <f>'COVID19 Reporting Form'!F23</f>
        <v>0</v>
      </c>
      <c r="BY4" s="350">
        <f>'COVID19 Reporting Form'!H23</f>
        <v>0</v>
      </c>
      <c r="BZ4" s="350">
        <f>'COVID19 Reporting Form'!F26</f>
        <v>0</v>
      </c>
      <c r="CA4" s="350">
        <f>'COVID19 Reporting Form'!H26</f>
        <v>0</v>
      </c>
      <c r="CB4" s="350">
        <f>'COVID19 Reporting Form'!L14</f>
        <v>0</v>
      </c>
      <c r="CC4" s="350">
        <f>'COVID19 Reporting Form'!M14</f>
        <v>0</v>
      </c>
      <c r="CD4" s="350">
        <f>'COVID19 Reporting Form'!N14</f>
        <v>0</v>
      </c>
      <c r="CE4" s="350">
        <f>'DR-TB 10A (Sputum &amp; EP Sample)'!M13</f>
        <v>0</v>
      </c>
      <c r="CF4" s="350">
        <f>'DR-TB 10A (Sputum &amp; EP Sample)'!M14</f>
        <v>0</v>
      </c>
      <c r="CG4" s="350">
        <f>'DR-TB 10A (Sputum &amp; EP Sample)'!M15</f>
        <v>0</v>
      </c>
      <c r="CH4" s="350">
        <f>'DR-TB 10A (Sputum &amp; EP Sample)'!Q13</f>
        <v>0</v>
      </c>
      <c r="CI4" s="350">
        <f>'DR-TB 10A (Sputum &amp; EP Sample)'!Q14</f>
        <v>0</v>
      </c>
      <c r="CJ4" s="350">
        <f>'DR-TB 10A (Sputum &amp; EP Sample)'!Q15</f>
        <v>0</v>
      </c>
      <c r="CK4" s="350">
        <f>'DR-TB 10A (Sputum &amp; EP Sample)'!U13</f>
        <v>0</v>
      </c>
      <c r="CL4" s="350">
        <f>'DR-TB 10A (Sputum &amp; EP Sample)'!U14</f>
        <v>0</v>
      </c>
      <c r="CM4" s="350">
        <f>'DR-TB 10A (Sputum &amp; EP Sample)'!U15</f>
        <v>0</v>
      </c>
      <c r="CN4" s="350">
        <f>'DR-TB 10A (Sputum &amp; EP Sample)'!U17</f>
        <v>0</v>
      </c>
      <c r="CO4" s="350">
        <f>'DR-TB 10A (Sputum &amp; EP Sample)'!U18</f>
        <v>0</v>
      </c>
      <c r="CP4" s="350">
        <f>'DR-TB 10A (Sputum &amp; EP Sample)'!U19</f>
        <v>0</v>
      </c>
      <c r="CQ4" s="356">
        <f>'DR-TB 10A (Sputum &amp; EP Sample)'!G42</f>
        <v>0</v>
      </c>
      <c r="CR4" s="356">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78">
        <f>'DR-TB 10A (Stool)'!$H12</f>
        <v>0</v>
      </c>
      <c r="DZ4" s="378">
        <f>'DR-TB 10A (Stool)'!$H13</f>
        <v>0</v>
      </c>
      <c r="EA4" s="378">
        <f>'DR-TB 10A (Stool)'!$H14</f>
        <v>0</v>
      </c>
      <c r="EB4" s="394">
        <f>'DR-TB 10A (Stool)'!$D17</f>
        <v>0</v>
      </c>
      <c r="EC4" s="394">
        <f>'DR-TB 10A (Stool)'!$D18</f>
        <v>0</v>
      </c>
      <c r="ED4" s="368">
        <f>'DR-TB 10A (Stool)'!$D19</f>
        <v>0</v>
      </c>
      <c r="EE4" s="368">
        <f>'DR-TB 10A (Stool)'!$D20</f>
        <v>0</v>
      </c>
      <c r="EF4" s="394">
        <f>'DR-TB 10A (Stool)'!$D21</f>
        <v>0</v>
      </c>
      <c r="EG4" s="394">
        <f>'DR-TB 10A (Stool)'!$E17</f>
        <v>0</v>
      </c>
      <c r="EH4" s="394">
        <f>'DR-TB 10A (Stool)'!$E18</f>
        <v>0</v>
      </c>
      <c r="EI4" s="368">
        <f>'DR-TB 10A (Stool)'!$E19</f>
        <v>0</v>
      </c>
      <c r="EJ4" s="368">
        <f>'DR-TB 10A (Stool)'!$E20</f>
        <v>0</v>
      </c>
      <c r="EK4" s="394">
        <f>'DR-TB 10A (Stool)'!$E21</f>
        <v>0</v>
      </c>
      <c r="EL4" s="394">
        <f>'DR-TB 10A (Stool)'!$F17</f>
        <v>0</v>
      </c>
      <c r="EM4" s="394">
        <f>'DR-TB 10A (Stool)'!$F18</f>
        <v>0</v>
      </c>
      <c r="EN4" s="368">
        <f>'DR-TB 10A (Stool)'!$F19</f>
        <v>0</v>
      </c>
      <c r="EO4" s="368">
        <f>'DR-TB 10A (Stool)'!$F20</f>
        <v>0</v>
      </c>
      <c r="EP4" s="394">
        <f>'DR-TB 10A (Stool)'!$F21</f>
        <v>0</v>
      </c>
    </row>
    <row r="5" spans="1:146" s="100" customFormat="1" ht="26.55" customHeight="1" x14ac:dyDescent="0.3">
      <c r="A5" s="376"/>
      <c r="B5" s="376"/>
      <c r="C5" s="37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79"/>
      <c r="AL5" s="379"/>
      <c r="AM5" s="379"/>
      <c r="AN5" s="395"/>
      <c r="AO5" s="395"/>
      <c r="AP5" s="369"/>
      <c r="AQ5" s="369"/>
      <c r="AR5" s="395"/>
      <c r="AS5" s="395"/>
      <c r="AT5" s="395"/>
      <c r="AU5" s="369"/>
      <c r="AV5" s="369"/>
      <c r="AW5" s="395"/>
      <c r="AX5" s="395"/>
      <c r="AY5" s="395"/>
      <c r="AZ5" s="369"/>
      <c r="BA5" s="369"/>
      <c r="BB5" s="395"/>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56"/>
      <c r="BL5" s="356"/>
      <c r="BM5" s="358"/>
      <c r="BN5" s="350"/>
      <c r="BO5" s="350"/>
      <c r="BP5" s="350"/>
      <c r="BQ5" s="350"/>
      <c r="BR5" s="350"/>
      <c r="BS5" s="350"/>
      <c r="BT5" s="350"/>
      <c r="BU5" s="350"/>
      <c r="BV5" s="350"/>
      <c r="BW5" s="350"/>
      <c r="BX5" s="350"/>
      <c r="BY5" s="350"/>
      <c r="BZ5" s="350"/>
      <c r="CA5" s="350"/>
      <c r="CB5" s="350"/>
      <c r="CC5" s="350"/>
      <c r="CD5" s="350"/>
      <c r="CE5" s="350"/>
      <c r="CF5" s="350"/>
      <c r="CG5" s="350"/>
      <c r="CH5" s="350"/>
      <c r="CI5" s="350"/>
      <c r="CJ5" s="350"/>
      <c r="CK5" s="350"/>
      <c r="CL5" s="350"/>
      <c r="CM5" s="350"/>
      <c r="CN5" s="350"/>
      <c r="CO5" s="350"/>
      <c r="CP5" s="350"/>
      <c r="CQ5" s="356"/>
      <c r="CR5" s="356"/>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79"/>
      <c r="DZ5" s="379"/>
      <c r="EA5" s="379"/>
      <c r="EB5" s="395"/>
      <c r="EC5" s="395"/>
      <c r="ED5" s="369"/>
      <c r="EE5" s="369"/>
      <c r="EF5" s="395"/>
      <c r="EG5" s="395"/>
      <c r="EH5" s="395"/>
      <c r="EI5" s="369"/>
      <c r="EJ5" s="369"/>
      <c r="EK5" s="395"/>
      <c r="EL5" s="395"/>
      <c r="EM5" s="395"/>
      <c r="EN5" s="369"/>
      <c r="EO5" s="369"/>
      <c r="EP5" s="395"/>
    </row>
    <row r="6" spans="1:146" s="100" customFormat="1" ht="28.5" customHeight="1" x14ac:dyDescent="0.3">
      <c r="A6" s="377"/>
      <c r="B6" s="377"/>
      <c r="C6" s="37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80"/>
      <c r="AL6" s="380"/>
      <c r="AM6" s="380"/>
      <c r="AN6" s="396"/>
      <c r="AO6" s="396"/>
      <c r="AP6" s="370"/>
      <c r="AQ6" s="370"/>
      <c r="AR6" s="396"/>
      <c r="AS6" s="396"/>
      <c r="AT6" s="396"/>
      <c r="AU6" s="370"/>
      <c r="AV6" s="370"/>
      <c r="AW6" s="396"/>
      <c r="AX6" s="396"/>
      <c r="AY6" s="396"/>
      <c r="AZ6" s="370"/>
      <c r="BA6" s="370"/>
      <c r="BB6" s="396"/>
      <c r="BC6" s="85"/>
      <c r="BD6" s="85"/>
      <c r="BE6" s="85"/>
      <c r="BF6" s="85"/>
      <c r="BG6" s="85"/>
      <c r="BH6" s="85"/>
      <c r="BI6" s="85"/>
      <c r="BJ6" s="85"/>
      <c r="BK6" s="356"/>
      <c r="BL6" s="356"/>
      <c r="BM6" s="358"/>
      <c r="BN6" s="350"/>
      <c r="BO6" s="350"/>
      <c r="BP6" s="350"/>
      <c r="BQ6" s="350"/>
      <c r="BR6" s="350"/>
      <c r="BS6" s="350"/>
      <c r="BT6" s="350"/>
      <c r="BU6" s="350"/>
      <c r="BV6" s="350"/>
      <c r="BW6" s="350"/>
      <c r="BX6" s="350"/>
      <c r="BY6" s="350"/>
      <c r="BZ6" s="350"/>
      <c r="CA6" s="350"/>
      <c r="CB6" s="350"/>
      <c r="CC6" s="350"/>
      <c r="CD6" s="350"/>
      <c r="CE6" s="350"/>
      <c r="CF6" s="350"/>
      <c r="CG6" s="350"/>
      <c r="CH6" s="350"/>
      <c r="CI6" s="350"/>
      <c r="CJ6" s="350"/>
      <c r="CK6" s="350"/>
      <c r="CL6" s="350"/>
      <c r="CM6" s="350"/>
      <c r="CN6" s="350"/>
      <c r="CO6" s="350"/>
      <c r="CP6" s="350"/>
      <c r="CQ6" s="356"/>
      <c r="CR6" s="356"/>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80"/>
      <c r="DZ6" s="380"/>
      <c r="EA6" s="380"/>
      <c r="EB6" s="396"/>
      <c r="EC6" s="396"/>
      <c r="ED6" s="370"/>
      <c r="EE6" s="370"/>
      <c r="EF6" s="396"/>
      <c r="EG6" s="396"/>
      <c r="EH6" s="396"/>
      <c r="EI6" s="370"/>
      <c r="EJ6" s="370"/>
      <c r="EK6" s="396"/>
      <c r="EL6" s="396"/>
      <c r="EM6" s="396"/>
      <c r="EN6" s="370"/>
      <c r="EO6" s="370"/>
      <c r="EP6" s="396"/>
    </row>
    <row r="10" spans="1:146" ht="140.25" customHeight="1" x14ac:dyDescent="0.3">
      <c r="A10" s="393" t="s">
        <v>161</v>
      </c>
      <c r="B10" s="393" t="s">
        <v>280</v>
      </c>
      <c r="C10" s="393" t="s">
        <v>806</v>
      </c>
      <c r="D10" s="393" t="str">
        <f>'DR-TB 10B'!A11</f>
        <v>Sl.              No</v>
      </c>
      <c r="E10" s="393" t="str">
        <f>'DR-TB 10B'!B11</f>
        <v>Name of the RR                                                                                                                               patient</v>
      </c>
      <c r="F10" s="393" t="str">
        <f>'DR-TB 10B'!C11</f>
        <v>Age</v>
      </c>
      <c r="G10" s="393" t="str">
        <f>'DR-TB 10B'!D11</f>
        <v>Sex
(M/F)</v>
      </c>
      <c r="H10" s="393" t="str">
        <f>'DR-TB 10B'!F11</f>
        <v>Address and                                        cell number</v>
      </c>
      <c r="I10" s="393" t="str">
        <f>'DR-TB 10B'!G11</f>
        <v>Name &amp; address          of the referring unit                                                and cell number</v>
      </c>
      <c r="J10" s="393" t="str">
        <f>'DR-TB 10B'!H11</f>
        <v>* Type of patient</v>
      </c>
      <c r="K10" s="393" t="str">
        <f>'DR-TB 10B'!J11</f>
        <v>Current and previous (if any)  TB registration number</v>
      </c>
      <c r="L10" s="393" t="str">
        <f>'DR-TB 10B'!K11</f>
        <v>Result of Xpert/Truenat MTB/RIF</v>
      </c>
      <c r="M10" s="393" t="str">
        <f>'DR-TB 10B'!S11</f>
        <v>Name and address of the hospital/ treatment                initiation center            for enrollment of DR TB treatment</v>
      </c>
      <c r="N10" s="393" t="str">
        <f>'DR-TB 10B'!T11</f>
        <v>Enrollment status                   (Y/N)</v>
      </c>
      <c r="O10" s="393" t="str">
        <f>'DR-TB 10B'!W11</f>
        <v>** Current status of the patient</v>
      </c>
      <c r="P10" s="393" t="str">
        <f>'DR-TB 10B'!X11</f>
        <v>Remarks</v>
      </c>
      <c r="Q10" s="393" t="str">
        <f>'DR-TB 10B'!E11</f>
        <v>Date of Diagnosis</v>
      </c>
      <c r="R10" s="393" t="str">
        <f>'DR-TB 10B'!U11</f>
        <v>Date Of Enrollment</v>
      </c>
      <c r="S10" s="393" t="str">
        <f>'DR-TB 10B'!V11</f>
        <v>eTB/ DR TB Registration Number</v>
      </c>
      <c r="T10" s="393" t="str">
        <f>'DR-TB 10B'!I11</f>
        <v>Type Of Sample</v>
      </c>
      <c r="U10" s="397" t="str">
        <f>'DR-TB 10B'!L11</f>
        <v>Result Of MTB/XDR</v>
      </c>
      <c r="V10" s="397"/>
      <c r="W10" s="397"/>
      <c r="X10" s="397"/>
      <c r="Y10" s="397"/>
      <c r="Z10" s="397"/>
      <c r="AA10" s="397"/>
    </row>
    <row r="11" spans="1:146" ht="140.25" customHeight="1" x14ac:dyDescent="0.3">
      <c r="A11" s="393"/>
      <c r="B11" s="393"/>
      <c r="C11" s="393"/>
      <c r="D11" s="393"/>
      <c r="E11" s="393"/>
      <c r="F11" s="393"/>
      <c r="G11" s="393"/>
      <c r="H11" s="393"/>
      <c r="I11" s="393"/>
      <c r="J11" s="393"/>
      <c r="K11" s="393"/>
      <c r="L11" s="393"/>
      <c r="M11" s="393"/>
      <c r="N11" s="393"/>
      <c r="O11" s="393"/>
      <c r="P11" s="393"/>
      <c r="Q11" s="393"/>
      <c r="R11" s="393"/>
      <c r="S11" s="393"/>
      <c r="T11" s="393"/>
      <c r="U11" s="29" t="str">
        <f>'DR-TB 10B'!L12</f>
        <v>MTB</v>
      </c>
      <c r="V11" s="29" t="str">
        <f>'DR-TB 10B'!M12</f>
        <v>INH</v>
      </c>
      <c r="W11" s="29" t="str">
        <f>'DR-TB 10B'!N12</f>
        <v>FLQ</v>
      </c>
      <c r="X11" s="29" t="str">
        <f>'DR-TB 10B'!O12</f>
        <v>AMK</v>
      </c>
      <c r="Y11" s="29" t="str">
        <f>'DR-TB 10B'!P12</f>
        <v>KAN</v>
      </c>
      <c r="Z11" s="29" t="str">
        <f>'DR-TB 10B'!Q12</f>
        <v>CAP</v>
      </c>
      <c r="AA11" s="29" t="str">
        <f>'DR-TB 10B'!R12</f>
        <v>ETH</v>
      </c>
    </row>
    <row r="12" spans="1:146"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&lt;typeOfPatient&gt;</v>
      </c>
      <c r="K12" s="87" t="str">
        <f>'DR-TB 10B'!J13</f>
        <v>&lt;tbRegistrationNumber&gt;</v>
      </c>
      <c r="L12" s="87" t="str">
        <f>'DR-TB 10B'!K13</f>
        <v>&lt;resultMtbRif&gt;</v>
      </c>
      <c r="M12" s="87" t="str">
        <f>'DR-TB 10B'!S13</f>
        <v>&lt;hospitalTreatmentDRTB&gt;</v>
      </c>
      <c r="N12" s="87" t="str">
        <f>'DR-TB 10B'!T13</f>
        <v>&lt;enrollmentStatus&gt;</v>
      </c>
      <c r="O12" s="87" t="str">
        <f>'DR-TB 10B'!W13</f>
        <v>&lt;patientStatus&gt;</v>
      </c>
      <c r="P12" s="87" t="str">
        <f>'DR-TB 10B'!X13</f>
        <v>&lt;remarks&gt;</v>
      </c>
      <c r="Q12" s="143" t="str">
        <f>'DR-TB 10B'!E13</f>
        <v>&lt;dateOfDiagnosis&gt;</v>
      </c>
      <c r="R12" s="143" t="str">
        <f>'DR-TB 10B'!U13</f>
        <v>&lt;enrollmentDate&gt;</v>
      </c>
      <c r="S12" s="87">
        <f>'DR-TB 10B'!V13</f>
        <v>0</v>
      </c>
      <c r="T12" s="87">
        <f>'DR-TB 10B'!I13</f>
        <v>0</v>
      </c>
      <c r="U12" s="87">
        <f>'DR-TB 10B'!L13</f>
        <v>0</v>
      </c>
      <c r="V12" s="87">
        <f>'DR-TB 10B'!M13</f>
        <v>0</v>
      </c>
      <c r="W12" s="87">
        <f>'DR-TB 10B'!N13</f>
        <v>0</v>
      </c>
      <c r="X12" s="87">
        <f>'DR-TB 10B'!O13</f>
        <v>0</v>
      </c>
      <c r="Y12" s="87">
        <f>'DR-TB 10B'!P13</f>
        <v>0</v>
      </c>
      <c r="Z12" s="87">
        <f>'DR-TB 10B'!Q13</f>
        <v>0</v>
      </c>
      <c r="AA12" s="87">
        <f>'DR-TB 10B'!R13</f>
        <v>0</v>
      </c>
    </row>
    <row r="13" spans="1:146"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DT2:DT3"/>
    <mergeCell ref="DU2:DU3"/>
    <mergeCell ref="DV2:DV3"/>
    <mergeCell ref="DW2:DW3"/>
    <mergeCell ref="CS1:CU1"/>
    <mergeCell ref="CV1:DT1"/>
    <mergeCell ref="DU1:DX1"/>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H4:CH6"/>
    <mergeCell ref="CI4:CI6"/>
    <mergeCell ref="CJ4:CJ6"/>
    <mergeCell ref="CK4:CK6"/>
    <mergeCell ref="CL4:CL6"/>
    <mergeCell ref="CM4:CM6"/>
    <mergeCell ref="CN4:CN6"/>
    <mergeCell ref="CO4:CO6"/>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BV2:BW2"/>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AV2:AV3"/>
    <mergeCell ref="AV4:AV6"/>
    <mergeCell ref="AS1:AV1"/>
    <mergeCell ref="AX1:BA1"/>
    <mergeCell ref="BA2:BA3"/>
    <mergeCell ref="BA4:BA6"/>
    <mergeCell ref="AZ4:AZ6"/>
    <mergeCell ref="AX2:AX3"/>
    <mergeCell ref="AS2:AS3"/>
    <mergeCell ref="AT2:AT3"/>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CG4:CG6"/>
    <mergeCell ref="CB1:CD3"/>
    <mergeCell ref="CB4:CB6"/>
    <mergeCell ref="CC4:CC6"/>
    <mergeCell ref="CD4:CD6"/>
    <mergeCell ref="CE4:CE6"/>
    <mergeCell ref="CE2:CE3"/>
    <mergeCell ref="CF2:CF3"/>
    <mergeCell ref="CG2:CG3"/>
    <mergeCell ref="CE1:CG1"/>
    <mergeCell ref="BX2:BY2"/>
    <mergeCell ref="BZ2:CA2"/>
    <mergeCell ref="BV4:BV6"/>
    <mergeCell ref="BW4:BW6"/>
    <mergeCell ref="BX4:BX6"/>
    <mergeCell ref="BY4:BY6"/>
    <mergeCell ref="BZ4:BZ6"/>
    <mergeCell ref="CA4:CA6"/>
    <mergeCell ref="CF4:CF6"/>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2023-09-04T12:15:57Z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