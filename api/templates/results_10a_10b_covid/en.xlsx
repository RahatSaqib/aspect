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ahernandez/repos/aspect/api/templates/results_10a_10b_covid/"/>
    </mc:Choice>
  </mc:AlternateContent>
  <xr:revisionPtr revIDLastSave="0" documentId="13_ncr:1_{3375EABB-30BE-174C-80CA-0F8DC44EAACE}" xr6:coauthVersionLast="47" xr6:coauthVersionMax="47" xr10:uidLastSave="{00000000-0000-0000-0000-000000000000}"/>
  <bookViews>
    <workbookView xWindow="4340" yWindow="760" windowWidth="30220" windowHeight="21580" activeTab="6"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 name="XDR_DB" sheetId="7" r:id="rId7"/>
  </sheets>
  <definedNames>
    <definedName name="Bagerhat" localSheetId="1">'DR-TB 10A (Stool)'!$G$393:$G$399</definedName>
    <definedName name="Bagerhat" localSheetId="5">'XDR Cartridges Test Report'!$G$380:$G$386</definedName>
    <definedName name="Bagerhat">'DR-TB 10A (Sputum &amp; EP Sample)'!$G$394:$G$400</definedName>
    <definedName name="Bandarban" localSheetId="1">'DR-TB 10A (Stool)'!$G$150:$G$153</definedName>
    <definedName name="Bandarban" localSheetId="5">'XDR Cartridges Test Report'!$G$137:$G$140</definedName>
    <definedName name="Bandarban">'DR-TB 10A (Sputum &amp; EP Sample)'!$G$150:$G$153</definedName>
    <definedName name="Barguna" localSheetId="1">'DR-TB 10A (Stool)'!$G$102:$G$106</definedName>
    <definedName name="Barguna" localSheetId="5">'XDR Cartridges Test Report'!$G$89:$G$93</definedName>
    <definedName name="Barguna">'DR-TB 10A (Sputum &amp; EP Sample)'!$G$102:$G$106</definedName>
    <definedName name="Barisal" localSheetId="1">'DR-TB 10A (Stool)'!$G$107:$G$119</definedName>
    <definedName name="Barisal" localSheetId="5">'XDR Cartridges Test Report'!$G$94:$G$106</definedName>
    <definedName name="Barisal">'DR-TB 10A (Sputum &amp; EP Sample)'!$G$107:$G$119</definedName>
    <definedName name="Barisal_Division" localSheetId="1">'DR-TB 10A (Stool)'!$D$102:$D$107</definedName>
    <definedName name="Barisal_Division" localSheetId="5">'XDR Cartridges Test Report'!$D$89:$D$94</definedName>
    <definedName name="Barisal_Division">'DR-TB 10A (Sputum &amp; EP Sample)'!$D$102:$D$107</definedName>
    <definedName name="Bhola" localSheetId="1">'DR-TB 10A (Stool)'!$G$120:$G$126</definedName>
    <definedName name="Bhola" localSheetId="5">'XDR Cartridges Test Report'!$G$107:$G$113</definedName>
    <definedName name="Bhola">'DR-TB 10A (Sputum &amp; EP Sample)'!$G$120:$G$126</definedName>
    <definedName name="Bogra" localSheetId="1">'DR-TB 10A (Stool)'!$G$499:$G$513</definedName>
    <definedName name="Bogra" localSheetId="5">'XDR Cartridges Test Report'!$G$486:$G$500</definedName>
    <definedName name="Bogra">'DR-TB 10A (Sputum &amp; EP Sample)'!$G$502:$G$516</definedName>
    <definedName name="Brahmanbaria" localSheetId="1">'DR-TB 10A (Stool)'!$G$154:$G$162</definedName>
    <definedName name="Brahmanbaria" localSheetId="5">'XDR Cartridges Test Report'!$G$141:$G$149</definedName>
    <definedName name="Brahmanbaria">'DR-TB 10A (Sputum &amp; EP Sample)'!$G$154:$G$162</definedName>
    <definedName name="Chandpur" localSheetId="1">'DR-TB 10A (Stool)'!$G$163:$G$168</definedName>
    <definedName name="Chandpur" localSheetId="5">'XDR Cartridges Test Report'!$G$150:$G$155</definedName>
    <definedName name="Chandpur">'DR-TB 10A (Sputum &amp; EP Sample)'!$G$163:$G$168</definedName>
    <definedName name="Chattogram" localSheetId="1">'DR-TB 10A (Stool)'!$G$169:$G$196</definedName>
    <definedName name="Chattogram" localSheetId="5">'XDR Cartridges Test Report'!$G$156:$G$183</definedName>
    <definedName name="Chattogram">'DR-TB 10A (Sputum &amp; EP Sample)'!$G$169:$G$196</definedName>
    <definedName name="Chattogram_Division" localSheetId="1">'DR-TB 10A (Stool)'!$D$108:$D$118</definedName>
    <definedName name="Chattogram_Division" localSheetId="5">'XDR Cartridges Test Report'!$D$95:$D$105</definedName>
    <definedName name="Chattogram_Division">'DR-TB 10A (Sputum &amp; EP Sample)'!$D$108:$D$118</definedName>
    <definedName name="Chuadanga" localSheetId="1">'DR-TB 10A (Stool)'!$G$400:$G$404</definedName>
    <definedName name="Chuadanga" localSheetId="5">'XDR Cartridges Test Report'!$G$387:$G$391</definedName>
    <definedName name="Chuadanga">'DR-TB 10A (Sputum &amp; EP Sample)'!$G$401:$G$406</definedName>
    <definedName name="Comilla" localSheetId="1">'DR-TB 10A (Stool)'!$G$197:$G$211</definedName>
    <definedName name="Comilla" localSheetId="5">'XDR Cartridges Test Report'!$G$184:$G$198</definedName>
    <definedName name="Comilla">'DR-TB 10A (Sputum &amp; EP Sample)'!$G$197:$G$211</definedName>
    <definedName name="Coxs_Bazar" localSheetId="1">'DR-TB 10A (Stool)'!$G$213:$G$224</definedName>
    <definedName name="Coxs_Bazar" localSheetId="5">'XDR Cartridges Test Report'!$G$200:$G$211</definedName>
    <definedName name="Coxs_Bazar">'DR-TB 10A (Sputum &amp; EP Sample)'!$G$213:$G$224</definedName>
    <definedName name="Dhaka" localSheetId="1">'DR-TB 10A (Stool)'!$G$254:$G$300</definedName>
    <definedName name="Dhaka" localSheetId="5">'XDR Cartridges Test Report'!$G$241:$G$287</definedName>
    <definedName name="Dhaka">'DR-TB 10A (Sputum &amp; EP Sample)'!$G$254:$G$300</definedName>
    <definedName name="Dhaka_Division" localSheetId="1">'DR-TB 10A (Stool)'!$D$119:$D$131</definedName>
    <definedName name="Dhaka_Division" localSheetId="5">'XDR Cartridges Test Report'!$D$106:$D$118</definedName>
    <definedName name="Dhaka_Division">'DR-TB 10A (Sputum &amp; EP Sample)'!$D$119:$D$131</definedName>
    <definedName name="Dinajpur" localSheetId="1">'DR-TB 10A (Stool)'!$G$574:$G$585</definedName>
    <definedName name="Dinajpur" localSheetId="5">'XDR Cartridges Test Report'!$G$561:$G$572</definedName>
    <definedName name="Dinajpur">'DR-TB 10A (Sputum &amp; EP Sample)'!$G$577:$G$588</definedName>
    <definedName name="Faridpur" localSheetId="1">'DR-TB 10A (Stool)'!$G$301:$G$306</definedName>
    <definedName name="Faridpur" localSheetId="5">'XDR Cartridges Test Report'!$G$288:$G$293</definedName>
    <definedName name="Faridpur">'DR-TB 10A (Sputum &amp; EP Sample)'!$G$301:$G$306</definedName>
    <definedName name="Feni" localSheetId="1">'DR-TB 10A (Stool)'!$G$225:$G$230</definedName>
    <definedName name="Feni" localSheetId="5">'XDR Cartridges Test Report'!$G$212:$G$217</definedName>
    <definedName name="Feni">'DR-TB 10A (Sputum &amp; EP Sample)'!$G$225:$G$230</definedName>
    <definedName name="Gaibandha" localSheetId="1">'DR-TB 10A (Stool)'!$G$586:$G$594</definedName>
    <definedName name="Gaibandha" localSheetId="5">'XDR Cartridges Test Report'!$G$573:$G$581</definedName>
    <definedName name="Gaibandha">'DR-TB 10A (Sputum &amp; EP Sample)'!$G$589:$G$597</definedName>
    <definedName name="Gazipur" localSheetId="1">'DR-TB 10A (Stool)'!$G$308:$G$315</definedName>
    <definedName name="Gazipur" localSheetId="5">'XDR Cartridges Test Report'!$G$295:$G$302</definedName>
    <definedName name="Gazipur">'DR-TB 10A (Sputum &amp; EP Sample)'!$G$308:$G$316</definedName>
    <definedName name="Gopalganj" localSheetId="1">'DR-TB 10A (Stool)'!$G$316:$G$320</definedName>
    <definedName name="Gopalganj" localSheetId="5">'XDR Cartridges Test Report'!$G$303:$G$307</definedName>
    <definedName name="Gopalganj">'DR-TB 10A (Sputum &amp; EP Sample)'!$G$317:$G$321</definedName>
    <definedName name="Habiganj" localSheetId="1">'DR-TB 10A (Stool)'!$G$635:$G$645</definedName>
    <definedName name="Habiganj" localSheetId="5">'XDR Cartridges Test Report'!$G$622:$G$632</definedName>
    <definedName name="Habiganj">'DR-TB 10A (Sputum &amp; EP Sample)'!$G$638:$G$648</definedName>
    <definedName name="Jamalpur" localSheetId="1">'DR-TB 10A (Stool)'!$G$456:$G$464</definedName>
    <definedName name="Jamalpur" localSheetId="5">'XDR Cartridges Test Report'!$G$443:$G$451</definedName>
    <definedName name="Jamalpur">'DR-TB 10A (Sputum &amp; EP Sample)'!$G$459:$G$467</definedName>
    <definedName name="Jessore" localSheetId="1">'DR-TB 10A (Stool)'!$G$405:$G$412</definedName>
    <definedName name="Jessore" localSheetId="5">'XDR Cartridges Test Report'!$G$392:$G$399</definedName>
    <definedName name="Jessore">'DR-TB 10A (Sputum &amp; EP Sample)'!$G$407:$G$414</definedName>
    <definedName name="Jhalakathi" localSheetId="1">'DR-TB 10A (Stool)'!$G$132:$G$135</definedName>
    <definedName name="Jhalakathi" localSheetId="5">'XDR Cartridges Test Report'!$G$119:$G$122</definedName>
    <definedName name="Jhalakathi">'DR-TB 10A (Sputum &amp; EP Sample)'!$G$132:$G$135</definedName>
    <definedName name="Jhenaidah" localSheetId="1">'DR-TB 10A (Stool)'!$G$413:$G$419</definedName>
    <definedName name="Jhenaidah" localSheetId="5">'XDR Cartridges Test Report'!$G$400:$G$406</definedName>
    <definedName name="Jhenaidah">'DR-TB 10A (Sputum &amp; EP Sample)'!$G$415:$G$421</definedName>
    <definedName name="Joypurhat" localSheetId="1">'DR-TB 10A (Stool)'!$G$521:$G$526</definedName>
    <definedName name="Joypurhat" localSheetId="5">'XDR Cartridges Test Report'!$G$508:$G$513</definedName>
    <definedName name="Joypurhat">'DR-TB 10A (Sputum &amp; EP Sample)'!$G$524:$G$529</definedName>
    <definedName name="Khagrachari" localSheetId="1">'DR-TB 10A (Stool)'!$G$231:$G$234</definedName>
    <definedName name="Khagrachari" localSheetId="5">'XDR Cartridges Test Report'!$G$218:$G$221</definedName>
    <definedName name="Khagrachari">'DR-TB 10A (Sputum &amp; EP Sample)'!$G$231:$G$234</definedName>
    <definedName name="Khulna" localSheetId="1">'DR-TB 10A (Stool)'!$G$420:$G$428</definedName>
    <definedName name="Khulna" localSheetId="5">'XDR Cartridges Test Report'!$G$407:$G$415</definedName>
    <definedName name="Khulna">'DR-TB 10A (Sputum &amp; EP Sample)'!$G$422:$G$430</definedName>
    <definedName name="Khulna_Division" localSheetId="1">'DR-TB 10A (Stool)'!$D$132:$D$141</definedName>
    <definedName name="Khulna_Division" localSheetId="5">'XDR Cartridges Test Report'!$D$119:$D$128</definedName>
    <definedName name="Khulna_Division">'DR-TB 10A (Sputum &amp; EP Sample)'!$D$132:$D$141</definedName>
    <definedName name="Kishoreganj" localSheetId="1">'DR-TB 10A (Stool)'!$G$321:$G$333</definedName>
    <definedName name="Kishoreganj" localSheetId="5">'XDR Cartridges Test Report'!$G$308:$G$320</definedName>
    <definedName name="Kishoreganj">'DR-TB 10A (Sputum &amp; EP Sample)'!$G$322:$G$334</definedName>
    <definedName name="Kurigram" localSheetId="1">'DR-TB 10A (Stool)'!$G$595:$G$600</definedName>
    <definedName name="Kurigram" localSheetId="5">'XDR Cartridges Test Report'!$G$582:$G$587</definedName>
    <definedName name="Kurigram">'DR-TB 10A (Sputum &amp; EP Sample)'!$G$598:$G$603</definedName>
    <definedName name="Kushtia" localSheetId="1">'DR-TB 10A (Stool)'!$G$429:$G$434</definedName>
    <definedName name="Kushtia" localSheetId="5">'XDR Cartridges Test Report'!$G$416:$G$421</definedName>
    <definedName name="Kushtia">'DR-TB 10A (Sputum &amp; EP Sample)'!$G$431:$G$436</definedName>
    <definedName name="Lalmonirhat" localSheetId="1">'DR-TB 10A (Stool)'!$G$601:$G$605</definedName>
    <definedName name="Lalmonirhat" localSheetId="5">'XDR Cartridges Test Report'!$G$588:$G$592</definedName>
    <definedName name="Lalmonirhat">'DR-TB 10A (Sputum &amp; EP Sample)'!$G$604:$G$608</definedName>
    <definedName name="Laxmipur" localSheetId="1">'DR-TB 10A (Stool)'!$G$235:$G$240</definedName>
    <definedName name="Laxmipur" localSheetId="5">'XDR Cartridges Test Report'!$G$222:$G$227</definedName>
    <definedName name="Laxmipur">'DR-TB 10A (Sputum &amp; EP Sample)'!$G$235:$G$240</definedName>
    <definedName name="Madaripur" localSheetId="1">'DR-TB 10A (Stool)'!$G$334:$G$337</definedName>
    <definedName name="Madaripur" localSheetId="5">'XDR Cartridges Test Report'!$G$321:$G$324</definedName>
    <definedName name="Madaripur">'DR-TB 10A (Sputum &amp; EP Sample)'!$G$335:$G$338</definedName>
    <definedName name="Magura" localSheetId="1">'DR-TB 10A (Stool)'!$G$435:$G$439</definedName>
    <definedName name="Magura" localSheetId="5">'XDR Cartridges Test Report'!$G$422:$G$426</definedName>
    <definedName name="Magura">'DR-TB 10A (Sputum &amp; EP Sample)'!$G$437:$G$441</definedName>
    <definedName name="Manikganj" localSheetId="1">'DR-TB 10A (Stool)'!$G$338:$G$345</definedName>
    <definedName name="Manikganj" localSheetId="5">'XDR Cartridges Test Report'!$G$325:$G$332</definedName>
    <definedName name="Manikganj">'DR-TB 10A (Sputum &amp; EP Sample)'!$G$339:$G$346</definedName>
    <definedName name="Meherpur" localSheetId="1">'DR-TB 10A (Stool)'!$G$440:$G$443</definedName>
    <definedName name="Meherpur" localSheetId="5">'XDR Cartridges Test Report'!$G$427:$G$430</definedName>
    <definedName name="Meherpur">'DR-TB 10A (Sputum &amp; EP Sample)'!$G$442:$G$446</definedName>
    <definedName name="Moulvibazar" localSheetId="1">'DR-TB 10A (Stool)'!$G$646:$G$652</definedName>
    <definedName name="Moulvibazar" localSheetId="5">'XDR Cartridges Test Report'!$G$633:$G$639</definedName>
    <definedName name="Moulvibazar">'DR-TB 10A (Sputum &amp; EP Sample)'!$G$649:$G$655</definedName>
    <definedName name="Munshiganj" localSheetId="1">'DR-TB 10A (Stool)'!$G$346:$G$352</definedName>
    <definedName name="Munshiganj" localSheetId="5">'XDR Cartridges Test Report'!$G$333:$G$339</definedName>
    <definedName name="Munshiganj">'DR-TB 10A (Sputum &amp; EP Sample)'!$G$347:$G$353</definedName>
    <definedName name="Mymensingh" localSheetId="1">'DR-TB 10A (Stool)'!$G$465:$G$481</definedName>
    <definedName name="Mymensingh" localSheetId="5">'XDR Cartridges Test Report'!$G$452:$G$468</definedName>
    <definedName name="Mymensingh">'DR-TB 10A (Sputum &amp; EP Sample)'!$G$468:$G$484</definedName>
    <definedName name="Mymensingh_Division" localSheetId="1">'DR-TB 10A (Stool)'!$D$142:$D$145</definedName>
    <definedName name="Mymensingh_Division" localSheetId="5">'XDR Cartridges Test Report'!$D$129:$D$132</definedName>
    <definedName name="Mymensingh_Division">'DR-TB 10A (Sputum &amp; EP Sample)'!$D$142:$D$145</definedName>
    <definedName name="Naogaon" localSheetId="1">'DR-TB 10A (Stool)'!$G$527:$G$533</definedName>
    <definedName name="Naogaon" localSheetId="5">'XDR Cartridges Test Report'!$G$514:$G$520</definedName>
    <definedName name="Naogaon">'DR-TB 10A (Sputum &amp; EP Sample)'!$G$530:$G$536</definedName>
    <definedName name="Narail" localSheetId="1">'DR-TB 10A (Stool)'!$G$444:$G$447</definedName>
    <definedName name="Narail" localSheetId="5">'XDR Cartridges Test Report'!$G$431:$G$434</definedName>
    <definedName name="Narail">'DR-TB 10A (Sputum &amp; EP Sample)'!$G$447:$G$450</definedName>
    <definedName name="Narayanganj" localSheetId="1">'DR-TB 10A (Stool)'!$G$353:$G$360</definedName>
    <definedName name="Narayanganj" localSheetId="5">'XDR Cartridges Test Report'!$G$340:$G$347</definedName>
    <definedName name="Narayanganj">'DR-TB 10A (Sputum &amp; EP Sample)'!$G$354:$G$361</definedName>
    <definedName name="Narsingdi" localSheetId="1">'DR-TB 10A (Stool)'!$G$361:$G$368</definedName>
    <definedName name="Narsingdi" localSheetId="5">'XDR Cartridges Test Report'!$G$348:$G$355</definedName>
    <definedName name="Narsingdi">'DR-TB 10A (Sputum &amp; EP Sample)'!$G$362:$G$369</definedName>
    <definedName name="Natore" localSheetId="1">'DR-TB 10A (Stool)'!$G$534:$G$542</definedName>
    <definedName name="Natore" localSheetId="5">'XDR Cartridges Test Report'!$G$521:$G$529</definedName>
    <definedName name="Natore">'DR-TB 10A (Sputum &amp; EP Sample)'!$G$537:$G$545</definedName>
    <definedName name="Nawabganj" localSheetId="1">'DR-TB 10A (Stool)'!$G$514:$G$520</definedName>
    <definedName name="Nawabganj" localSheetId="5">'XDR Cartridges Test Report'!$G$501:$G$507</definedName>
    <definedName name="Nawabganj">'DR-TB 10A (Sputum &amp; EP Sample)'!$G$517:$G$523</definedName>
    <definedName name="Netrakona" localSheetId="1">'DR-TB 10A (Stool)'!$G$482:$G$492</definedName>
    <definedName name="Netrakona" localSheetId="5">'XDR Cartridges Test Report'!$G$469:$G$479</definedName>
    <definedName name="Netrakona">'DR-TB 10A (Sputum &amp; EP Sample)'!$G$485:$G$495</definedName>
    <definedName name="Nilphamari" localSheetId="1">'DR-TB 10A (Stool)'!$G$606:$G$613</definedName>
    <definedName name="Nilphamari" localSheetId="5">'XDR Cartridges Test Report'!$G$593:$G$600</definedName>
    <definedName name="Nilphamari">'DR-TB 10A (Sputum &amp; EP Sample)'!$G$609:$G$616</definedName>
    <definedName name="Noakhali" localSheetId="1">'DR-TB 10A (Stool)'!$G$241:$G$249</definedName>
    <definedName name="Noakhali" localSheetId="5">'XDR Cartridges Test Report'!$G$228:$G$236</definedName>
    <definedName name="Noakhali">'DR-TB 10A (Sputum &amp; EP Sample)'!$G$241:$G$249</definedName>
    <definedName name="Pabna" localSheetId="1">'DR-TB 10A (Stool)'!$G$543:$G$552</definedName>
    <definedName name="Pabna" localSheetId="5">'XDR Cartridges Test Report'!$G$530:$G$539</definedName>
    <definedName name="Pabna">'DR-TB 10A (Sputum &amp; EP Sample)'!$G$546:$G$555</definedName>
    <definedName name="Panchagarh" localSheetId="1">'DR-TB 10A (Stool)'!$G$614:$G$619</definedName>
    <definedName name="Panchagarh" localSheetId="5">'XDR Cartridges Test Report'!$G$601:$G$606</definedName>
    <definedName name="Panchagarh">'DR-TB 10A (Sputum &amp; EP Sample)'!$G$617:$G$622</definedName>
    <definedName name="Patuakhali" localSheetId="1">'DR-TB 10A (Stool)'!$G$136:$G$142</definedName>
    <definedName name="Patuakhali" localSheetId="5">'XDR Cartridges Test Report'!$G$123:$G$129</definedName>
    <definedName name="Patuakhali">'DR-TB 10A (Sputum &amp; EP Sample)'!$G$136:$G$142</definedName>
    <definedName name="Pirojpur" localSheetId="1">'DR-TB 10A (Stool)'!$G$143:$G$149</definedName>
    <definedName name="Pirojpur" localSheetId="5">'XDR Cartridges Test Report'!$G$130:$G$136</definedName>
    <definedName name="Pirojpur">'DR-TB 10A (Sputum &amp; EP Sample)'!$G$143:$G$149</definedName>
    <definedName name="_xlnm.Print_Area" localSheetId="5">'XDR Cartridges Test Report'!$A$1:$Z$37</definedName>
    <definedName name="Rajbari" localSheetId="1">'DR-TB 10A (Stool)'!$G$369:$G$373</definedName>
    <definedName name="Rajbari" localSheetId="5">'XDR Cartridges Test Report'!$G$356:$G$360</definedName>
    <definedName name="Rajbari">'DR-TB 10A (Sputum &amp; EP Sample)'!$G$370:$G$374</definedName>
    <definedName name="Rajshahi" localSheetId="1">'DR-TB 10A (Stool)'!$G$553:$G$563</definedName>
    <definedName name="Rajshahi" localSheetId="5">'XDR Cartridges Test Report'!$G$540:$G$550</definedName>
    <definedName name="Rajshahi">'DR-TB 10A (Sputum &amp; EP Sample)'!$G$556:$G$566</definedName>
    <definedName name="Rajshahi_Division" localSheetId="1">'DR-TB 10A (Stool)'!$D$146:$D$153</definedName>
    <definedName name="Rajshahi_Division" localSheetId="5">'XDR Cartridges Test Report'!$D$133:$D$140</definedName>
    <definedName name="Rajshahi_Division">'DR-TB 10A (Sputum &amp; EP Sample)'!$D$146:$D$153</definedName>
    <definedName name="Rangamati" localSheetId="1">'DR-TB 10A (Stool)'!$G$250:$G$253</definedName>
    <definedName name="Rangamati" localSheetId="5">'XDR Cartridges Test Report'!$G$237:$G$240</definedName>
    <definedName name="Rangamati">'DR-TB 10A (Sputum &amp; EP Sample)'!$G$250:$G$253</definedName>
    <definedName name="Rangpur" localSheetId="1">'DR-TB 10A (Stool)'!$G$620:$G$628</definedName>
    <definedName name="Rangpur" localSheetId="5">'XDR Cartridges Test Report'!$G$607:$G$615</definedName>
    <definedName name="Rangpur">'DR-TB 10A (Sputum &amp; EP Sample)'!$G$623:$G$631</definedName>
    <definedName name="Rangpur_Division" localSheetId="1">'DR-TB 10A (Stool)'!$D$154:$D$161</definedName>
    <definedName name="Rangpur_Division" localSheetId="5">'XDR Cartridges Test Report'!$D$141:$D$148</definedName>
    <definedName name="Rangpur_Division">'DR-TB 10A (Sputum &amp; EP Sample)'!$D$154:$D$161</definedName>
    <definedName name="Satkhira" localSheetId="1">'DR-TB 10A (Stool)'!$G$448:$G$455</definedName>
    <definedName name="Satkhira" localSheetId="5">'XDR Cartridges Test Report'!$G$435:$G$442</definedName>
    <definedName name="Satkhira">'DR-TB 10A (Sputum &amp; EP Sample)'!$G$451:$G$458</definedName>
    <definedName name="Shariatpur" localSheetId="1">'DR-TB 10A (Stool)'!$G$374:$G$377</definedName>
    <definedName name="Shariatpur" localSheetId="5">'XDR Cartridges Test Report'!$G$361:$G$364</definedName>
    <definedName name="Shariatpur">'DR-TB 10A (Sputum &amp; EP Sample)'!$G$375:$G$378</definedName>
    <definedName name="Sherpur" localSheetId="1">'DR-TB 10A (Stool)'!$G$493:$G$498</definedName>
    <definedName name="Sherpur" localSheetId="5">'XDR Cartridges Test Report'!$G$480:$G$485</definedName>
    <definedName name="Sherpur">'DR-TB 10A (Sputum &amp; EP Sample)'!$G$496:$G$501</definedName>
    <definedName name="Sirajganj" localSheetId="1">'DR-TB 10A (Stool)'!$G$564:$G$573</definedName>
    <definedName name="Sirajganj" localSheetId="5">'XDR Cartridges Test Report'!$G$551:$G$560</definedName>
    <definedName name="Sirajganj">'DR-TB 10A (Sputum &amp; EP Sample)'!$G$567:$G$576</definedName>
    <definedName name="Sunamganj" localSheetId="1">'DR-TB 10A (Stool)'!$G$653:$G$661</definedName>
    <definedName name="Sunamganj" localSheetId="5">'XDR Cartridges Test Report'!$G$640:$G$648</definedName>
    <definedName name="Sunamganj">'DR-TB 10A (Sputum &amp; EP Sample)'!$G$656:$G$664</definedName>
    <definedName name="Sylhet" localSheetId="1">'DR-TB 10A (Stool)'!$G$662:$G$674</definedName>
    <definedName name="Sylhet" localSheetId="5">'XDR Cartridges Test Report'!$G$649:$G$661</definedName>
    <definedName name="Sylhet">'DR-TB 10A (Sputum &amp; EP Sample)'!$G$665:$G$677</definedName>
    <definedName name="Sylhet_Division" localSheetId="1">'DR-TB 10A (Stool)'!$D$162:$D$165</definedName>
    <definedName name="Sylhet_Division" localSheetId="5">'XDR Cartridges Test Report'!$D$149:$D$152</definedName>
    <definedName name="Sylhet_Division">'DR-TB 10A (Sputum &amp; EP Sample)'!$D$162:$D$165</definedName>
    <definedName name="Tangail" localSheetId="1">'DR-TB 10A (Stool)'!$G$378:$G$392</definedName>
    <definedName name="Tangail" localSheetId="5">'XDR Cartridges Test Report'!$G$365:$G$379</definedName>
    <definedName name="Tangail">'DR-TB 10A (Sputum &amp; EP Sample)'!$G$379:$G$393</definedName>
    <definedName name="Thakurgaon" localSheetId="1">'DR-TB 10A (Stool)'!$G$629:$G$634</definedName>
    <definedName name="Thakurgaon" localSheetId="5">'XDR Cartridges Test Report'!$G$616:$G$621</definedName>
    <definedName name="Thakurgaon">'DR-TB 10A (Sputum &amp; EP Sample)'!$G$632:$G$637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 i="6" l="1"/>
  <c r="T9" i="6"/>
  <c r="S6" i="6"/>
  <c r="C9" i="6"/>
  <c r="C8" i="6"/>
  <c r="C7" i="6"/>
  <c r="C6" i="6"/>
  <c r="B31" i="6"/>
  <c r="Y31" i="6"/>
  <c r="X31" i="6"/>
  <c r="W31" i="6"/>
  <c r="V31" i="6"/>
  <c r="U31" i="6"/>
  <c r="T31" i="6"/>
  <c r="S31" i="6"/>
  <c r="R31" i="6"/>
  <c r="Q31" i="6"/>
  <c r="P31" i="6"/>
  <c r="O31" i="6"/>
  <c r="N31" i="6"/>
  <c r="M31" i="6"/>
  <c r="L31" i="6"/>
  <c r="K31" i="6"/>
  <c r="J31" i="6"/>
  <c r="I31" i="6"/>
  <c r="H31" i="6"/>
  <c r="G31" i="6"/>
  <c r="F31" i="6"/>
  <c r="E31" i="6"/>
  <c r="D31" i="6"/>
  <c r="C31" i="6"/>
  <c r="Z30" i="6"/>
  <c r="Z29" i="6"/>
  <c r="Z28" i="6"/>
  <c r="Z27" i="6"/>
  <c r="Z26" i="6"/>
  <c r="Z25" i="6"/>
  <c r="Z24" i="6"/>
  <c r="Z23" i="6"/>
  <c r="Z22" i="6"/>
  <c r="Z21" i="6"/>
  <c r="Z20" i="6"/>
  <c r="Z19" i="6"/>
  <c r="Z31" i="6" l="1"/>
  <c r="L13" i="5"/>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P20" i="2"/>
  <c r="F20" i="2"/>
  <c r="EO4" i="5" s="1"/>
  <c r="U19" i="2"/>
  <c r="P19" i="2"/>
  <c r="F19" i="2"/>
  <c r="EN4" i="5" s="1"/>
  <c r="U18" i="2"/>
  <c r="U17" i="2"/>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P20" i="1"/>
  <c r="BJ5" i="5" s="1"/>
  <c r="E20" i="1"/>
  <c r="D20" i="1"/>
  <c r="AQ4" i="5" s="1"/>
  <c r="P19" i="1"/>
  <c r="BJ4" i="5" s="1"/>
  <c r="F19" i="1"/>
  <c r="AZ4" i="5" s="1"/>
  <c r="P23" i="4" l="1"/>
  <c r="D17" i="1"/>
  <c r="AN4" i="5" s="1"/>
  <c r="D18" i="1"/>
  <c r="AO4" i="5" s="1"/>
  <c r="D17" i="2"/>
  <c r="EB4" i="5" s="1"/>
  <c r="D18" i="2"/>
  <c r="EC4" i="5" s="1"/>
  <c r="G4" i="5"/>
  <c r="H12" i="1"/>
  <c r="AK4" i="5" s="1"/>
  <c r="CU4" i="5"/>
  <c r="H12" i="2"/>
  <c r="DY4" i="5" s="1"/>
  <c r="D21" i="1"/>
  <c r="AR4" i="5" s="1"/>
  <c r="AV4" i="5"/>
  <c r="F20" i="1"/>
  <c r="BA4" i="5" s="1"/>
  <c r="AE4" i="5"/>
  <c r="U27" i="1"/>
  <c r="H13" i="1" s="1"/>
  <c r="AE5" i="5"/>
  <c r="U30" i="1"/>
  <c r="AE6" i="5"/>
  <c r="U33" i="1"/>
  <c r="D21" i="2"/>
  <c r="EF4" i="5" s="1"/>
  <c r="DS4" i="5"/>
  <c r="U27" i="2"/>
  <c r="H13" i="2" s="1"/>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<sst xmlns="http://schemas.openxmlformats.org/spreadsheetml/2006/main" count="5872" uniqueCount="939">
  <si>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</si>
  <si>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</si>
  <si>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</si>
  <si>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</si>
  <si>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</si>
  <si>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</si>
  <si>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</si>
  <si>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</si>
  <si>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</si>
  <si>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</si>
  <si>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</si>
  <si>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</si>
  <si>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</si>
  <si>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</si>
  <si>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</si>
  <si>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</si>
  <si>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</si>
  <si>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</si>
  <si>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</si>
  <si>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</si>
  <si>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</si>
  <si>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</si>
  <si>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</si>
  <si>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</si>
  <si>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</si>
  <si>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</si>
  <si>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</si>
  <si>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</si>
  <si>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</si>
  <si>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</si>
  <si>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</si>
  <si>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</si>
  <si>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</si>
  <si>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</si>
  <si>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</si>
  <si>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</si>
  <si>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</si>
  <si>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</si>
  <si>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</si>
  <si>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</si>
  <si>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</si>
  <si>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</si>
  <si>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</si>
  <si>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</si>
  <si>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</si>
  <si>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</si>
  <si>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</si>
  <si>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</si>
  <si>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</si>
  <si>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</si>
  <si>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</si>
  <si>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</si>
  <si>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</si>
  <si>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</si>
  <si>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</si>
  <si>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</si>
  <si>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</si>
  <si>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</si>
  <si>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</si>
  <si>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</si>
  <si>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</si>
  <si>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</si>
  <si>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</si>
  <si>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</si>
  <si>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</si>
  <si>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</si>
  <si>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</si>
  <si>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</si>
  <si>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</si>
  <si>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</si>
  <si>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</si>
  <si>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</si>
  <si>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</si>
  <si>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</si>
  <si>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</si>
  <si>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</si>
  <si>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</si>
  <si>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</si>
  <si>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</si>
  <si>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</si>
  <si>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</si>
  <si>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</si>
  <si>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</si>
  <si>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</si>
  <si>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</si>
  <si>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</si>
  <si>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</si>
  <si>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</si>
  <si>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</si>
  <si>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</si>
  <si>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</si>
  <si>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</si>
  <si>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</si>
  <si>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</si>
  <si>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</si>
  <si>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</si>
  <si>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</si>
  <si>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</si>
  <si>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</si>
  <si>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</si>
  <si>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</si>
  <si>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</si>
  <si>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</si>
  <si>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</si>
  <si>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</si>
  <si>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</si>
  <si>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</si>
  <si>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</si>
  <si>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</si>
  <si>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</si>
  <si>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</si>
  <si>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</si>
  <si>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</si>
  <si>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</si>
  <si>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</si>
  <si>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</si>
  <si>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</si>
  <si>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</si>
  <si>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</si>
  <si>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</si>
  <si>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</si>
  <si>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</si>
  <si>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</si>
  <si>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</si>
  <si>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</si>
  <si>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</si>
  <si>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</si>
  <si>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</si>
  <si>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</si>
  <si>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</si>
  <si>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</si>
  <si>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</si>
  <si>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</si>
  <si>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</si>
  <si>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</si>
  <si>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</si>
  <si>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</si>
  <si>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</si>
  <si>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</si>
  <si>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</si>
  <si>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</si>
  <si>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</si>
  <si>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</si>
  <si>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</si>
  <si>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</si>
  <si>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</si>
  <si>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</si>
  <si>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</si>
  <si>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</si>
  <si>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</si>
  <si>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</si>
  <si>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</si>
  <si>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</si>
  <si>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</si>
  <si>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</si>
  <si>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</si>
  <si>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</si>
  <si>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</si>
  <si>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</si>
  <si>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</si>
  <si>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</si>
  <si>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</si>
  <si>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</si>
  <si>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</si>
  <si>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</si>
  <si>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</si>
  <si>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</si>
  <si>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</si>
  <si>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</si>
  <si>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</si>
  <si>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</si>
  <si>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</si>
  <si>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</si>
  <si>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</si>
  <si>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</si>
  <si>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</si>
  <si>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</si>
  <si>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</si>
  <si>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</si>
  <si>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</si>
  <si>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</si>
  <si>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</si>
  <si>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</si>
  <si>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</si>
  <si>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</si>
  <si>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</si>
  <si>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</si>
  <si>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</si>
  <si>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</si>
  <si>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</si>
  <si>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</si>
  <si>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</si>
  <si>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</si>
  <si>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</si>
  <si>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</si>
  <si>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</si>
  <si>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</si>
  <si>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</si>
  <si>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</si>
  <si>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</si>
  <si>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</si>
  <si>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</si>
  <si>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</si>
  <si>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</si>
  <si>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</si>
  <si>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</si>
  <si>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</si>
  <si>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</si>
  <si>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</si>
  <si>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</si>
  <si>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</si>
  <si>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</si>
  <si>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</si>
  <si>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</si>
  <si>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</si>
  <si>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</si>
  <si>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</si>
  <si>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</si>
  <si>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</si>
  <si>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</si>
  <si>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</si>
  <si>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</si>
  <si>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</si>
  <si>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</si>
  <si>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</si>
  <si>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</si>
  <si>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</si>
  <si>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</si>
  <si>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</si>
  <si>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</si>
  <si>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</si>
  <si>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</si>
  <si>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</si>
  <si>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</si>
  <si>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</si>
  <si>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</si>
  <si>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</si>
  <si>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</si>
  <si>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</si>
  <si>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</si>
  <si>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</si>
  <si>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</si>
  <si>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</si>
  <si>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</si>
  <si>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</si>
  <si>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</si>
  <si>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</si>
  <si>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</si>
  <si>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</si>
  <si>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</si>
  <si>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</si>
  <si>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</si>
  <si>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</si>
  <si>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</si>
  <si>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</si>
  <si>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</si>
  <si>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</si>
  <si>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</si>
  <si>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</si>
  <si>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</si>
  <si>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</si>
  <si>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</si>
  <si>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</si>
  <si>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</si>
  <si>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</si>
  <si>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</si>
  <si>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</si>
  <si>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</si>
  <si>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</si>
  <si>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</si>
  <si>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</si>
  <si>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</si>
  <si>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</si>
  <si>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</si>
  <si>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</si>
  <si>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</si>
  <si>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</si>
  <si>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</si>
  <si>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</si>
  <si>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</si>
  <si>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</si>
  <si>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</si>
  <si>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</si>
  <si>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</si>
  <si>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</si>
  <si>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</si>
  <si>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</si>
  <si>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</si>
  <si>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</si>
  <si>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</si>
  <si>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</si>
  <si>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</si>
  <si>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</si>
  <si>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</si>
  <si>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</si>
  <si>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</si>
  <si>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</si>
  <si>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</si>
  <si>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</si>
  <si>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</si>
  <si>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</si>
  <si>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</si>
  <si>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</si>
  <si>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</si>
  <si>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</si>
  <si>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</si>
  <si>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</si>
  <si>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</si>
  <si>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</si>
  <si>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</si>
  <si>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</si>
  <si>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</si>
  <si>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</si>
  <si>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</si>
  <si>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</si>
  <si>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</si>
  <si>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</si>
  <si>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</si>
  <si>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</si>
  <si>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</si>
  <si>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</si>
  <si>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</si>
  <si>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</si>
  <si>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</si>
  <si>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</si>
  <si>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</si>
  <si>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</si>
  <si>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</si>
  <si>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</si>
  <si>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</si>
  <si>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</si>
  <si>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</si>
  <si>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</si>
  <si>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</si>
  <si>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</si>
  <si>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</si>
  <si>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</si>
  <si>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</si>
  <si>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</si>
  <si>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</si>
  <si>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</si>
  <si>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</si>
  <si>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</si>
  <si>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</si>
  <si>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</si>
  <si>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</si>
  <si>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</si>
  <si>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</si>
  <si>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</si>
  <si>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</si>
  <si>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</si>
  <si>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</si>
  <si>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</si>
  <si>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</si>
  <si>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</si>
  <si>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</si>
  <si>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</si>
  <si>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</si>
  <si>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</si>
  <si>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</si>
  <si>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</si>
  <si>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</si>
  <si>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</si>
  <si>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</si>
  <si>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</si>
  <si>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</si>
  <si>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</si>
  <si>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</si>
  <si>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</si>
  <si>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</si>
  <si>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</si>
  <si>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</si>
  <si>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</si>
  <si>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</si>
  <si>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</si>
  <si>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</si>
  <si>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</si>
  <si>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</si>
  <si>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</si>
  <si>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</si>
  <si>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</si>
  <si>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</si>
  <si>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</si>
  <si>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</si>
  <si>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</si>
  <si>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</si>
  <si>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</si>
  <si>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</si>
  <si>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</si>
  <si>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</si>
  <si>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</si>
  <si>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</si>
  <si>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</si>
  <si>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</si>
  <si>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</si>
  <si>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</si>
  <si>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</si>
  <si>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</si>
  <si>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</si>
  <si>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</si>
  <si>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</si>
  <si>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</si>
  <si>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</si>
  <si>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</si>
  <si>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</si>
  <si>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</si>
  <si>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</si>
  <si>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</si>
  <si>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</si>
  <si>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</si>
  <si>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</si>
  <si>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</si>
  <si>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</si>
  <si>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</si>
  <si>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</si>
  <si>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</si>
  <si>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</si>
  <si>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</si>
  <si>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</si>
  <si>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</si>
  <si>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</si>
  <si>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</si>
  <si>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</si>
  <si>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</si>
  <si>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</si>
  <si>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</si>
  <si>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</si>
  <si>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</si>
  <si>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</si>
  <si>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</si>
  <si>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</si>
  <si>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</si>
  <si>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</si>
  <si>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</si>
  <si>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</si>
  <si>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</si>
  <si>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</si>
  <si>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</si>
  <si>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</si>
  <si>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</si>
  <si>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</si>
  <si>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</si>
  <si>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</si>
  <si>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</si>
  <si>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</si>
  <si>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</si>
  <si>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</si>
  <si>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</si>
  <si>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</si>
  <si>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</si>
  <si>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</si>
  <si>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</si>
  <si>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</si>
  <si>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</si>
  <si>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</si>
  <si>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</si>
  <si>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</si>
  <si>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</si>
  <si>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</si>
  <si>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</si>
  <si>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</si>
  <si>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</si>
  <si>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</si>
  <si>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</si>
  <si>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</si>
  <si>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</si>
  <si>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</si>
  <si>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</si>
  <si>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</si>
  <si>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</si>
  <si>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</si>
  <si>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</si>
  <si>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</si>
  <si>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</si>
  <si>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</si>
  <si>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</si>
  <si>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</si>
  <si>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</si>
  <si>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</si>
  <si>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</si>
  <si>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</si>
  <si>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</si>
  <si>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</si>
  <si>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</si>
  <si>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</si>
  <si>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</si>
  <si>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</si>
  <si>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</si>
  <si>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</si>
  <si>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</si>
  <si>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</si>
  <si>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</si>
  <si>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</si>
  <si>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</si>
  <si>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</si>
  <si>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</si>
  <si>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</si>
  <si>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</si>
  <si>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</si>
  <si>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</si>
  <si>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</si>
  <si>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</si>
  <si>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</si>
  <si>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</si>
  <si>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</si>
  <si>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</si>
  <si>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</si>
  <si>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</si>
  <si>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</si>
  <si>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</si>
  <si>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</si>
  <si>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</si>
  <si>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</si>
  <si>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</si>
  <si>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</si>
  <si>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</si>
  <si>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</si>
  <si>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</si>
  <si>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</si>
  <si>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</si>
  <si>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</si>
  <si>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</si>
  <si>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</si>
  <si>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</si>
  <si>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</si>
  <si>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</si>
  <si>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</si>
  <si>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</si>
  <si>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</si>
  <si>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</si>
  <si>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</si>
  <si>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</si>
  <si>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</si>
  <si>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</si>
  <si>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</si>
  <si>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</si>
  <si>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</si>
  <si>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</si>
  <si>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</si>
  <si>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</si>
  <si>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</si>
  <si>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</si>
  <si>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</si>
  <si>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</si>
  <si>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</si>
  <si>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</si>
  <si>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</si>
  <si>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</si>
  <si>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</si>
  <si>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</si>
  <si>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</si>
  <si>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</si>
  <si>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</si>
  <si>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</si>
  <si>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</si>
  <si>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</si>
  <si>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</si>
  <si>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</si>
  <si>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</si>
  <si>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</si>
  <si>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</si>
  <si>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</si>
  <si>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</si>
  <si>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</si>
  <si>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</si>
  <si>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</si>
  <si>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</si>
  <si>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</si>
  <si>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</si>
  <si>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</si>
  <si>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</si>
  <si>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</si>
  <si>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</si>
  <si>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</si>
  <si>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</si>
  <si>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</si>
  <si>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</si>
  <si>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</si>
  <si>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</si>
  <si>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</si>
  <si>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</si>
  <si>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</si>
  <si>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</si>
  <si>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</si>
  <si>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</si>
  <si>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</si>
  <si>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</si>
  <si>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</si>
  <si>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</si>
  <si>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</si>
  <si>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</si>
  <si>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</si>
  <si>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</si>
  <si>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</si>
  <si>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</si>
  <si>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</si>
  <si>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</si>
  <si>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</si>
  <si>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</si>
  <si>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</si>
  <si>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</si>
  <si>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</si>
  <si>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</si>
  <si>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</si>
  <si>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</si>
  <si>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</si>
  <si>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</si>
  <si>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</si>
  <si>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</si>
  <si>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</si>
  <si>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</si>
  <si>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</si>
  <si>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</si>
  <si>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</si>
  <si>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</si>
  <si>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</si>
  <si>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</si>
  <si>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</si>
  <si>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</si>
  <si>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</si>
  <si>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</si>
  <si>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</si>
  <si>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</si>
  <si>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</si>
  <si>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</si>
  <si>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</si>
  <si>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</si>
  <si>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</si>
  <si>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</si>
  <si>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</si>
  <si>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</si>
  <si>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</si>
  <si>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</si>
  <si>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</si>
  <si>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</si>
  <si>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</si>
  <si>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</si>
  <si>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</si>
  <si>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</si>
  <si>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</si>
  <si>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</si>
  <si>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</si>
  <si>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</si>
  <si>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</si>
  <si>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</si>
  <si>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</si>
  <si>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</si>
  <si>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</si>
  <si>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</si>
  <si>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</si>
  <si>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</si>
  <si>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</si>
  <si>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</si>
  <si>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</si>
  <si>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</si>
  <si>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</si>
  <si>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</si>
  <si>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</si>
  <si>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</si>
  <si>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</si>
  <si>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</si>
  <si>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</si>
  <si>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</si>
  <si>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</si>
  <si>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</si>
  <si>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</si>
  <si>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</si>
  <si>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</si>
  <si>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</si>
  <si>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</si>
  <si>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</si>
  <si>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</si>
  <si>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</si>
  <si>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</si>
  <si>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</si>
  <si>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</si>
  <si>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</si>
  <si>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</si>
  <si>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</si>
  <si>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</si>
  <si>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</si>
  <si>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</si>
  <si>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</si>
  <si>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</si>
  <si>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</si>
  <si>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</si>
  <si>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</si>
  <si>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</si>
  <si>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</si>
  <si>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</si>
  <si>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</si>
  <si>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</si>
  <si>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</si>
  <si>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</si>
  <si>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</si>
  <si>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</si>
  <si>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</si>
  <si>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</si>
  <si>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</si>
  <si>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</si>
  <si>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</si>
  <si>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</si>
  <si>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</si>
  <si>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</si>
  <si>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</si>
  <si>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</si>
  <si>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</si>
  <si>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</si>
  <si>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</si>
  <si>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</si>
  <si>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</si>
  <si>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</si>
  <si>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</si>
  <si>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</si>
  <si>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</si>
  <si>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</si>
  <si>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</si>
  <si>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</si>
  <si>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</si>
  <si>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</si>
  <si>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</si>
  <si>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</si>
  <si>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</si>
  <si>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</si>
  <si>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</si>
  <si>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</si>
  <si>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</si>
  <si>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</si>
  <si>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</si>
  <si>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</si>
  <si>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</si>
  <si>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</si>
  <si>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</si>
  <si>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</si>
  <si>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</si>
  <si>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</si>
  <si>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</si>
  <si>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</si>
  <si>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</si>
  <si>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</si>
  <si>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</si>
  <si>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</si>
  <si>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</si>
  <si>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</si>
  <si>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</si>
  <si>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</si>
  <si>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</si>
  <si>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</si>
  <si>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</si>
  <si>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</si>
  <si>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</si>
  <si>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</si>
  <si>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</si>
  <si>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</si>
  <si>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</si>
  <si>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</si>
  <si>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</si>
  <si>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</si>
  <si>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</si>
  <si>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</si>
  <si>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</si>
  <si>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</si>
  <si>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</si>
  <si>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</si>
  <si>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</si>
  <si>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</si>
  <si>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</si>
  <si>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</si>
  <si>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</si>
  <si>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</si>
  <si>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</si>
  <si>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</si>
  <si>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</si>
  <si>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</si>
  <si>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</si>
  <si>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</si>
  <si>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</si>
  <si>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</si>
  <si>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</si>
  <si>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</si>
  <si>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</si>
  <si>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</si>
  <si>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</si>
  <si>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</si>
  <si>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</si>
  <si>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</si>
  <si>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</si>
  <si>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</si>
  <si>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</si>
  <si>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</si>
  <si>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</si>
  <si>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</si>
  <si>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</si>
  <si>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</si>
  <si>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</si>
  <si>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</si>
  <si>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</si>
  <si>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</si>
  <si>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</si>
  <si>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</si>
  <si>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</si>
  <si>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</si>
  <si>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</si>
  <si>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</si>
  <si>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</si>
  <si>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</si>
  <si>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</si>
  <si>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</si>
  <si>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</si>
  <si>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</si>
  <si>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</si>
  <si>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</si>
  <si>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</si>
  <si>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</si>
  <si>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</si>
  <si>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</si>
  <si>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</si>
  <si>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</si>
  <si>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</si>
  <si>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</si>
  <si>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</si>
  <si>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</si>
  <si>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</si>
  <si>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</si>
  <si>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</si>
  <si>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</si>
  <si>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</si>
  <si>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</si>
  <si>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</si>
  <si>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</si>
  <si>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</si>
  <si>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</si>
  <si>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</si>
  <si>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</si>
  <si>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</si>
  <si>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</si>
  <si>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</si>
  <si>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</si>
  <si>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</si>
  <si>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</si>
  <si>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</si>
  <si>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</si>
  <si>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</si>
  <si>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</si>
  <si>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</si>
  <si>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</si>
  <si>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</si>
  <si>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</si>
  <si>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</si>
  <si>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</si>
  <si>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</si>
  <si>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</si>
  <si>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</si>
  <si>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</si>
  <si>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</si>
  <si>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</si>
  <si>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</si>
  <si>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</si>
  <si>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</si>
  <si>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</si>
  <si>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</si>
  <si>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</si>
  <si>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</si>
  <si>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</si>
  <si>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</si>
  <si>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</si>
  <si>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</si>
  <si>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</si>
  <si>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</si>
  <si>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</si>
  <si>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</si>
  <si>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</si>
  <si>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</si>
  <si>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</si>
  <si>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</si>
  <si>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</si>
  <si>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</si>
  <si>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</si>
  <si>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</si>
  <si>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</si>
  <si>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</si>
  <si>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</si>
  <si>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</si>
  <si>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</si>
  <si>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</si>
  <si>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</si>
  <si>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</si>
  <si>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</si>
  <si>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</si>
  <si>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</si>
  <si>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</si>
  <si>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</si>
  <si>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</si>
  <si>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</si>
  <si>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</si>
  <si>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</si>
  <si>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</si>
  <si>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</si>
  <si>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</si>
  <si>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</si>
  <si>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</si>
  <si>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</si>
  <si>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</si>
  <si>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</si>
  <si>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</si>
  <si>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</si>
  <si>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</si>
  <si>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</si>
  <si>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</si>
  <si>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</si>
  <si>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</si>
  <si>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</si>
  <si>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</si>
  <si>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</si>
  <si>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</si>
  <si>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</si>
  <si>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</si>
  <si>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 xml:space="preserve">Treatment His. Unknown / New </t>
  </si>
  <si>
    <t>Treatment His. Unknown / New</t>
  </si>
  <si>
    <t>Source</t>
  </si>
  <si>
    <t>Treatment</t>
  </si>
  <si>
    <t>Sample</t>
  </si>
  <si>
    <t>Site</t>
  </si>
  <si>
    <t>NumberOf</t>
  </si>
  <si>
    <t>Qty</t>
  </si>
  <si>
    <t>Order</t>
  </si>
  <si>
    <t>Filler</t>
  </si>
  <si>
    <t>Resistance</t>
  </si>
  <si>
    <t>&lt;Division&gt;</t>
  </si>
  <si>
    <t>&lt;District&gt;</t>
  </si>
  <si>
    <t>&lt;Resistance&gt;</t>
  </si>
  <si>
    <t>&lt;Source&gt;</t>
  </si>
  <si>
    <t>&lt;Treatment&gt;</t>
  </si>
  <si>
    <t>&lt;Sample&gt;</t>
  </si>
  <si>
    <t>&lt;Site&gt;</t>
  </si>
  <si>
    <t>&lt;NumberOf&gt;</t>
  </si>
  <si>
    <t>&lt;Qty&gt;</t>
  </si>
  <si>
    <t>&lt;Order&gt;</t>
  </si>
  <si>
    <t>&lt;Filler&gt;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</si>
</sst>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1">
    <font>
      <sz val="11"/>
      <color theme="1"/>
      <name val="Calibri"/>
      <scheme val="minor"/>
    </font>
    <font>
      <b/>
      <sz val="11"/>
      <color rgb="FF333333"/>
      <name val="Arial Narrow"/>
      <family val="2"/>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sz val="11"/>
      <color theme="1"/>
      <name val="Calibri"/>
      <family val="2"/>
      <scheme val="minor"/>
    </font>
    <font>
      <sz val="11"/>
      <color theme="1"/>
      <name val="Calibri"/>
      <family val="2"/>
      <charset val="1"/>
      <scheme val="minor"/>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
      <b/>
      <sz val="11"/>
      <color theme="0"/>
      <name val="Calibri"/>
      <family val="2"/>
      <scheme val="minor"/>
    </font>
  </fonts>
  <fills count="17">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s>
  <borders count="96">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
      <left/>
      <right style="medium">
        <color rgb="FF000000"/>
      </right>
      <top style="thin">
        <color rgb="FF000000"/>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theme="4" tint="0.39997558519241921"/>
      </top>
      <bottom/>
      <diagonal/>
    </border>
  </borders>
  <cellStyleXfs count="4">
    <xf numFmtId="0" fontId="0" fillId="0" borderId="0"/>
    <xf numFmtId="0" fontId="38" fillId="0" borderId="1"/>
    <xf numFmtId="0" fontId="37" fillId="0" borderId="1"/>
    <xf numFmtId="0" fontId="37" fillId="0" borderId="1"/>
  </cellStyleXfs>
  <cellXfs count="403">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39" fillId="0" borderId="1" xfId="1" applyFont="1" applyAlignment="1" applyProtection="1">
      <alignment horizontal="center" vertical="center"/>
      <protection hidden="1"/>
    </xf>
    <xf numFmtId="0" fontId="39" fillId="0" borderId="1" xfId="1" applyFont="1" applyAlignment="1" applyProtection="1">
      <alignment vertical="center"/>
      <protection hidden="1"/>
    </xf>
    <xf numFmtId="0" fontId="2" fillId="12" borderId="1" xfId="1" applyFont="1" applyFill="1" applyAlignment="1" applyProtection="1">
      <alignment vertical="center"/>
      <protection hidden="1"/>
    </xf>
    <xf numFmtId="0" fontId="2" fillId="0" borderId="1" xfId="1" applyFont="1" applyAlignment="1" applyProtection="1">
      <alignment vertical="center"/>
      <protection hidden="1"/>
    </xf>
    <xf numFmtId="0" fontId="39" fillId="12" borderId="1" xfId="1" applyFont="1" applyFill="1" applyAlignment="1" applyProtection="1">
      <alignment vertical="center"/>
      <protection hidden="1"/>
    </xf>
    <xf numFmtId="0" fontId="40" fillId="12" borderId="1" xfId="1" applyFont="1" applyFill="1" applyAlignment="1" applyProtection="1">
      <alignment vertical="center"/>
      <protection hidden="1"/>
    </xf>
    <xf numFmtId="0" fontId="40" fillId="0" borderId="1" xfId="1" applyFont="1" applyAlignment="1" applyProtection="1">
      <alignment vertical="center"/>
      <protection hidden="1"/>
    </xf>
    <xf numFmtId="0" fontId="41" fillId="0" borderId="1" xfId="1" applyFont="1" applyAlignment="1" applyProtection="1">
      <alignment vertical="center"/>
      <protection hidden="1"/>
    </xf>
    <xf numFmtId="0" fontId="8" fillId="0" borderId="1" xfId="1" applyFont="1" applyAlignment="1" applyProtection="1">
      <alignment vertical="center"/>
      <protection hidden="1"/>
    </xf>
    <xf numFmtId="0" fontId="39" fillId="0" borderId="1" xfId="1" applyFont="1" applyAlignment="1" applyProtection="1">
      <alignment horizontal="left" vertical="center"/>
      <protection hidden="1"/>
    </xf>
    <xf numFmtId="0" fontId="41" fillId="0" borderId="1" xfId="1" applyFont="1" applyAlignment="1" applyProtection="1">
      <alignment horizontal="left" vertical="center"/>
      <protection hidden="1"/>
    </xf>
    <xf numFmtId="0" fontId="41" fillId="0" borderId="82" xfId="1" applyFont="1" applyBorder="1" applyAlignment="1" applyProtection="1">
      <alignment vertical="center"/>
      <protection hidden="1"/>
    </xf>
    <xf numFmtId="164" fontId="39" fillId="0" borderId="82" xfId="1" applyNumberFormat="1" applyFont="1" applyBorder="1" applyAlignment="1" applyProtection="1">
      <alignment horizontal="center" vertical="center"/>
      <protection hidden="1"/>
    </xf>
    <xf numFmtId="0" fontId="41" fillId="0" borderId="1" xfId="1" applyFont="1" applyAlignment="1" applyProtection="1">
      <alignment horizontal="left" vertical="center" shrinkToFit="1"/>
      <protection locked="0"/>
    </xf>
    <xf numFmtId="0" fontId="39" fillId="0" borderId="1" xfId="1" applyFont="1" applyAlignment="1" applyProtection="1">
      <alignment horizontal="center" vertical="center" shrinkToFit="1"/>
      <protection locked="0"/>
    </xf>
    <xf numFmtId="164" fontId="39" fillId="0" borderId="1" xfId="1" applyNumberFormat="1" applyFont="1" applyAlignment="1" applyProtection="1">
      <alignment horizontal="center" vertical="center"/>
      <protection hidden="1"/>
    </xf>
    <xf numFmtId="0" fontId="43" fillId="13" borderId="88" xfId="1" applyFont="1" applyFill="1" applyBorder="1" applyAlignment="1" applyProtection="1">
      <alignment horizontal="center" vertical="center" shrinkToFit="1"/>
      <protection hidden="1"/>
    </xf>
    <xf numFmtId="0" fontId="42" fillId="13" borderId="88" xfId="1" applyFont="1" applyFill="1" applyBorder="1" applyAlignment="1" applyProtection="1">
      <alignment horizontal="center" vertical="center" wrapText="1"/>
      <protection hidden="1"/>
    </xf>
    <xf numFmtId="0" fontId="43" fillId="13" borderId="88" xfId="1" applyFont="1" applyFill="1" applyBorder="1" applyAlignment="1">
      <alignment horizontal="center" vertical="center"/>
    </xf>
    <xf numFmtId="0" fontId="45" fillId="13" borderId="88" xfId="2" applyFont="1" applyFill="1" applyBorder="1" applyAlignment="1">
      <alignment horizontal="center" vertical="center"/>
    </xf>
    <xf numFmtId="0" fontId="45" fillId="13" borderId="88" xfId="2" applyFont="1" applyFill="1" applyBorder="1" applyAlignment="1">
      <alignment horizontal="center" vertical="top" wrapText="1"/>
    </xf>
    <xf numFmtId="0" fontId="45" fillId="13" borderId="88" xfId="2" applyFont="1" applyFill="1" applyBorder="1" applyAlignment="1">
      <alignment horizontal="left" vertical="top" wrapText="1"/>
    </xf>
    <xf numFmtId="1" fontId="37" fillId="0" borderId="88" xfId="2" applyNumberFormat="1" applyBorder="1" applyAlignment="1" applyProtection="1">
      <alignment vertical="top" wrapText="1"/>
      <protection locked="0"/>
    </xf>
    <xf numFmtId="1" fontId="41" fillId="13" borderId="88" xfId="1" applyNumberFormat="1" applyFont="1" applyFill="1" applyBorder="1" applyAlignment="1" applyProtection="1">
      <alignment horizontal="center" vertical="center"/>
      <protection hidden="1"/>
    </xf>
    <xf numFmtId="0" fontId="45" fillId="13" borderId="88" xfId="2" applyFont="1" applyFill="1" applyBorder="1" applyAlignment="1">
      <alignment vertical="top" wrapText="1"/>
    </xf>
    <xf numFmtId="1" fontId="37" fillId="0" borderId="88" xfId="2" applyNumberFormat="1" applyBorder="1" applyAlignment="1" applyProtection="1">
      <alignment vertical="top" wrapText="1"/>
      <protection hidden="1"/>
    </xf>
    <xf numFmtId="0" fontId="45" fillId="0" borderId="1" xfId="2" applyFont="1" applyAlignment="1">
      <alignment vertical="top" wrapText="1"/>
    </xf>
    <xf numFmtId="1" fontId="37" fillId="0" borderId="1" xfId="2" applyNumberFormat="1" applyAlignment="1">
      <alignment vertical="top" wrapText="1"/>
    </xf>
    <xf numFmtId="1" fontId="41" fillId="0" borderId="1" xfId="1" applyNumberFormat="1" applyFont="1" applyAlignment="1" applyProtection="1">
      <alignment horizontal="center" vertical="center"/>
      <protection hidden="1"/>
    </xf>
    <xf numFmtId="0" fontId="18" fillId="0" borderId="1" xfId="1" applyFont="1" applyAlignment="1" applyProtection="1">
      <alignment horizontal="center" vertical="center" wrapText="1"/>
      <protection hidden="1"/>
    </xf>
    <xf numFmtId="0" fontId="18" fillId="0" borderId="1" xfId="1" applyFont="1" applyAlignment="1" applyProtection="1">
      <alignment vertical="center"/>
      <protection hidden="1"/>
    </xf>
    <xf numFmtId="0" fontId="2" fillId="0" borderId="90" xfId="1" applyFont="1" applyBorder="1" applyAlignment="1" applyProtection="1">
      <alignment vertical="center" shrinkToFit="1"/>
      <protection locked="0"/>
    </xf>
    <xf numFmtId="0" fontId="18" fillId="0" borderId="1" xfId="1" applyFont="1" applyAlignment="1" applyProtection="1">
      <alignment horizontal="right" vertical="center"/>
      <protection hidden="1"/>
    </xf>
    <xf numFmtId="0" fontId="2" fillId="0" borderId="1" xfId="1" applyFont="1" applyAlignment="1" applyProtection="1">
      <alignment horizontal="center" vertical="center"/>
      <protection hidden="1"/>
    </xf>
    <xf numFmtId="0" fontId="2" fillId="0" borderId="88" xfId="1" applyFont="1" applyBorder="1" applyAlignment="1" applyProtection="1">
      <alignment vertical="center"/>
      <protection hidden="1"/>
    </xf>
    <xf numFmtId="0" fontId="8" fillId="0" borderId="88" xfId="1" applyFont="1" applyBorder="1" applyAlignment="1" applyProtection="1">
      <alignment vertical="center"/>
      <protection hidden="1"/>
    </xf>
    <xf numFmtId="0" fontId="46" fillId="0" borderId="88" xfId="1" applyFont="1" applyBorder="1" applyAlignment="1">
      <alignment vertical="center"/>
    </xf>
    <xf numFmtId="0" fontId="46" fillId="0" borderId="88" xfId="1" applyFont="1" applyBorder="1" applyAlignment="1" applyProtection="1">
      <alignment vertical="center"/>
      <protection hidden="1"/>
    </xf>
    <xf numFmtId="0" fontId="47" fillId="0" borderId="88" xfId="1" applyFont="1" applyBorder="1" applyAlignment="1" applyProtection="1">
      <alignment vertical="center"/>
      <protection hidden="1"/>
    </xf>
    <xf numFmtId="0" fontId="46" fillId="14" borderId="88" xfId="1" applyFont="1" applyFill="1" applyBorder="1" applyAlignment="1">
      <alignment vertical="center"/>
    </xf>
    <xf numFmtId="0" fontId="48" fillId="0" borderId="88" xfId="3" applyFont="1" applyBorder="1" applyAlignment="1">
      <alignment vertical="center"/>
    </xf>
    <xf numFmtId="0" fontId="49" fillId="0" borderId="88" xfId="1" applyFont="1" applyBorder="1" applyAlignment="1" applyProtection="1">
      <alignment vertical="center"/>
      <protection hidden="1"/>
    </xf>
    <xf numFmtId="0" fontId="40" fillId="0" borderId="80" xfId="1" applyFont="1" applyBorder="1" applyAlignment="1" applyProtection="1">
      <alignment horizontal="left" vertical="top"/>
      <protection hidden="1"/>
    </xf>
    <xf numFmtId="0" fontId="43" fillId="13" borderId="88" xfId="1" applyFont="1" applyFill="1" applyBorder="1" applyAlignment="1" applyProtection="1">
      <alignment horizontal="center" vertical="center"/>
      <protection locked="0"/>
    </xf>
    <xf numFmtId="0" fontId="9" fillId="0" borderId="1" xfId="0" applyFont="1" applyBorder="1"/>
    <xf numFmtId="0" fontId="9" fillId="0" borderId="15" xfId="0" applyFont="1" applyBorder="1" applyAlignment="1">
      <alignment horizontal="center" vertical="center"/>
    </xf>
    <xf numFmtId="0" fontId="9" fillId="0" borderId="92" xfId="0" applyFont="1" applyBorder="1"/>
    <xf numFmtId="0" fontId="9" fillId="2" borderId="15" xfId="0" applyFont="1" applyFill="1" applyBorder="1" applyAlignment="1">
      <alignment horizontal="center" vertical="center"/>
    </xf>
    <xf numFmtId="0" fontId="9" fillId="2" borderId="74" xfId="0" applyFont="1" applyFill="1" applyBorder="1" applyAlignment="1">
      <alignment horizontal="center" vertical="center"/>
    </xf>
    <xf numFmtId="0" fontId="9" fillId="0" borderId="76" xfId="0" applyFont="1" applyBorder="1"/>
    <xf numFmtId="0" fontId="6" fillId="0" borderId="6" xfId="0" applyFont="1" applyBorder="1" applyAlignment="1">
      <alignment horizontal="left"/>
    </xf>
    <xf numFmtId="0" fontId="2" fillId="0" borderId="6" xfId="0" applyFont="1" applyBorder="1"/>
    <xf numFmtId="0" fontId="6" fillId="0" borderId="5" xfId="0" applyFont="1" applyBorder="1" applyAlignment="1">
      <alignment horizontal="left"/>
    </xf>
    <xf numFmtId="0" fontId="37" fillId="16" borderId="93" xfId="0" applyFont="1" applyFill="1" applyBorder="1"/>
    <xf numFmtId="0" fontId="37" fillId="0" borderId="0" xfId="0" applyFont="1"/>
    <xf numFmtId="0" fontId="50" fillId="15" borderId="93" xfId="0" applyFont="1" applyFill="1" applyBorder="1"/>
    <xf numFmtId="0" fontId="17" fillId="0" borderId="54" xfId="0" applyFont="1" applyBorder="1" applyAlignment="1">
      <alignment horizontal="left" vertical="center" wrapText="1"/>
    </xf>
    <xf numFmtId="0" fontId="7" fillId="0" borderId="32" xfId="0" applyFont="1" applyBorder="1"/>
    <xf numFmtId="0" fontId="7" fillId="0" borderId="36" xfId="0" applyFont="1" applyBorder="1"/>
    <xf numFmtId="0" fontId="6" fillId="0" borderId="55" xfId="0" applyFont="1" applyBorder="1" applyAlignment="1">
      <alignment horizontal="center" vertical="center" wrapText="1"/>
    </xf>
    <xf numFmtId="0" fontId="7" fillId="0" borderId="45" xfId="0" applyFont="1" applyBorder="1"/>
    <xf numFmtId="0" fontId="7" fillId="0" borderId="57" xfId="0" applyFont="1" applyBorder="1"/>
    <xf numFmtId="0" fontId="6" fillId="0" borderId="25" xfId="0" applyFont="1" applyBorder="1" applyAlignment="1">
      <alignment horizontal="center" vertical="center" wrapText="1"/>
    </xf>
    <xf numFmtId="0" fontId="7" fillId="0" borderId="78" xfId="0" applyFont="1" applyBorder="1"/>
    <xf numFmtId="0" fontId="7" fillId="0" borderId="58" xfId="0" applyFont="1" applyBorder="1"/>
    <xf numFmtId="0" fontId="3" fillId="3" borderId="34" xfId="0" applyFont="1" applyFill="1" applyBorder="1" applyAlignment="1">
      <alignment horizontal="center" vertical="center" wrapText="1"/>
    </xf>
    <xf numFmtId="0" fontId="7" fillId="0" borderId="35" xfId="0" applyFont="1" applyBorder="1"/>
    <xf numFmtId="0" fontId="7" fillId="0" borderId="38" xfId="0" applyFont="1" applyBorder="1"/>
    <xf numFmtId="0" fontId="9" fillId="0" borderId="55" xfId="0" applyFont="1" applyBorder="1" applyAlignment="1">
      <alignment horizontal="center" vertical="center" wrapText="1"/>
    </xf>
    <xf numFmtId="0" fontId="9" fillId="0" borderId="25" xfId="0" applyFont="1" applyBorder="1" applyAlignment="1">
      <alignment horizontal="center" vertical="center" wrapText="1"/>
    </xf>
    <xf numFmtId="0" fontId="2" fillId="0" borderId="0" xfId="0" applyFont="1" applyAlignment="1">
      <alignment horizontal="center" vertical="center"/>
    </xf>
    <xf numFmtId="0" fontId="0" fillId="0" borderId="0" xfId="0"/>
    <xf numFmtId="0" fontId="19" fillId="0" borderId="78" xfId="0" applyFont="1" applyBorder="1" applyAlignment="1">
      <alignment horizontal="left" vertical="center" wrapText="1"/>
    </xf>
    <xf numFmtId="0" fontId="7" fillId="0" borderId="26" xfId="0" applyFont="1" applyBorder="1"/>
    <xf numFmtId="0" fontId="18" fillId="0" borderId="55" xfId="0" applyFont="1" applyBorder="1" applyAlignment="1">
      <alignment horizontal="left" vertical="center" wrapText="1"/>
    </xf>
    <xf numFmtId="0" fontId="7" fillId="0" borderId="51" xfId="0" applyFont="1" applyBorder="1"/>
    <xf numFmtId="0" fontId="8" fillId="0" borderId="25" xfId="0" applyFont="1" applyBorder="1" applyAlignment="1">
      <alignment horizontal="center" vertical="center" wrapText="1"/>
    </xf>
    <xf numFmtId="0" fontId="2" fillId="3" borderId="34" xfId="0" applyFont="1" applyFill="1" applyBorder="1" applyAlignment="1">
      <alignment horizontal="center" vertical="center"/>
    </xf>
    <xf numFmtId="0" fontId="7" fillId="0" borderId="52" xfId="0" applyFont="1" applyBorder="1"/>
    <xf numFmtId="0" fontId="2" fillId="0" borderId="29" xfId="0" applyFont="1" applyBorder="1" applyAlignment="1">
      <alignment horizontal="center" vertical="center"/>
    </xf>
    <xf numFmtId="0" fontId="7" fillId="0" borderId="9" xfId="0" applyFont="1" applyBorder="1"/>
    <xf numFmtId="0" fontId="7" fillId="0" borderId="30" xfId="0" applyFont="1" applyBorder="1"/>
    <xf numFmtId="0" fontId="3" fillId="0" borderId="29" xfId="0" applyFont="1" applyBorder="1" applyAlignment="1">
      <alignment horizontal="center" vertical="center"/>
    </xf>
    <xf numFmtId="0" fontId="7" fillId="0" borderId="10" xfId="0" applyFont="1" applyBorder="1"/>
    <xf numFmtId="0" fontId="14" fillId="0" borderId="68" xfId="0" applyFont="1" applyBorder="1" applyAlignment="1">
      <alignment horizontal="left" vertical="center"/>
    </xf>
    <xf numFmtId="0" fontId="7" fillId="0" borderId="12" xfId="0" applyFont="1" applyBorder="1"/>
    <xf numFmtId="0" fontId="7" fillId="0" borderId="13" xfId="0" applyFont="1" applyBorder="1"/>
    <xf numFmtId="0" fontId="14" fillId="0" borderId="69" xfId="0" applyFont="1" applyBorder="1" applyAlignment="1">
      <alignment horizontal="left" vertical="center"/>
    </xf>
    <xf numFmtId="0" fontId="7" fillId="0" borderId="20" xfId="0" applyFont="1" applyBorder="1"/>
    <xf numFmtId="0" fontId="7" fillId="0" borderId="21" xfId="0" applyFont="1" applyBorder="1"/>
    <xf numFmtId="0" fontId="14" fillId="0" borderId="28" xfId="0" applyFont="1" applyBorder="1" applyAlignment="1">
      <alignment horizontal="center" vertical="center" wrapText="1"/>
    </xf>
    <xf numFmtId="0" fontId="7" fillId="0" borderId="50" xfId="0" applyFont="1" applyBorder="1"/>
    <xf numFmtId="0" fontId="6" fillId="0" borderId="29" xfId="0" applyFont="1" applyBorder="1" applyAlignment="1">
      <alignment horizontal="center" vertical="center" wrapText="1"/>
    </xf>
    <xf numFmtId="0" fontId="16" fillId="0" borderId="34" xfId="0" applyFont="1" applyBorder="1" applyAlignment="1">
      <alignment horizontal="center" vertical="center" wrapText="1"/>
    </xf>
    <xf numFmtId="0" fontId="9" fillId="0" borderId="40" xfId="0" applyFont="1" applyBorder="1" applyAlignment="1">
      <alignment horizontal="center" vertical="center" wrapText="1"/>
    </xf>
    <xf numFmtId="0" fontId="2" fillId="0" borderId="3" xfId="0" applyFont="1" applyBorder="1" applyAlignment="1">
      <alignment horizontal="left" vertical="center" shrinkToFit="1"/>
    </xf>
    <xf numFmtId="0" fontId="7" fillId="0" borderId="3" xfId="0" applyFont="1" applyBorder="1"/>
    <xf numFmtId="164" fontId="2" fillId="0" borderId="2" xfId="0" applyNumberFormat="1" applyFont="1" applyBorder="1" applyAlignment="1">
      <alignment horizontal="left" vertical="center" shrinkToFit="1"/>
    </xf>
    <xf numFmtId="0" fontId="7" fillId="0" borderId="2" xfId="0" applyFont="1" applyBorder="1"/>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7" fillId="0" borderId="64" xfId="0" applyFont="1" applyBorder="1"/>
    <xf numFmtId="0" fontId="7" fillId="0" borderId="75" xfId="0" applyFont="1" applyBorder="1"/>
    <xf numFmtId="0" fontId="7" fillId="0" borderId="49" xfId="0" applyFont="1" applyBorder="1"/>
    <xf numFmtId="0" fontId="7" fillId="0" borderId="77" xfId="0" applyFont="1" applyBorder="1"/>
    <xf numFmtId="0" fontId="7" fillId="0" borderId="53" xfId="0" applyFont="1" applyBorder="1"/>
    <xf numFmtId="0" fontId="7" fillId="0" borderId="67" xfId="0" applyFont="1" applyBorder="1"/>
    <xf numFmtId="0" fontId="7" fillId="0" borderId="79" xfId="0" applyFont="1" applyBorder="1"/>
    <xf numFmtId="0" fontId="2" fillId="0" borderId="0" xfId="0" applyFont="1" applyAlignment="1">
      <alignment horizontal="center"/>
    </xf>
    <xf numFmtId="0" fontId="2" fillId="0" borderId="2" xfId="0" applyFont="1" applyBorder="1" applyAlignment="1">
      <alignment horizontal="left" vertical="center" shrinkToFi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7" fillId="0" borderId="7" xfId="0" applyFont="1" applyBorder="1"/>
    <xf numFmtId="0" fontId="11" fillId="3" borderId="31" xfId="0" applyFont="1" applyFill="1" applyBorder="1" applyAlignment="1">
      <alignment horizontal="center"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6" xfId="0" applyFont="1" applyBorder="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16" fillId="0" borderId="19" xfId="0" applyFont="1" applyBorder="1" applyAlignment="1">
      <alignment horizontal="center" vertical="center" wrapText="1"/>
    </xf>
    <xf numFmtId="0" fontId="16" fillId="0" borderId="76" xfId="0" applyFont="1" applyBorder="1" applyAlignment="1">
      <alignment horizontal="center" vertical="center" wrapText="1"/>
    </xf>
    <xf numFmtId="0" fontId="9" fillId="4" borderId="68" xfId="0" applyFont="1" applyFill="1" applyBorder="1" applyAlignment="1">
      <alignment horizontal="left"/>
    </xf>
    <xf numFmtId="0" fontId="9" fillId="4" borderId="68"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9" fillId="5" borderId="76" xfId="0" applyFont="1" applyFill="1" applyBorder="1" applyAlignment="1">
      <alignment horizontal="left"/>
    </xf>
    <xf numFmtId="0" fontId="14" fillId="0" borderId="76" xfId="0" applyFont="1" applyBorder="1" applyAlignment="1">
      <alignment horizontal="center" vertical="center" wrapText="1"/>
    </xf>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1" fillId="0" borderId="2" xfId="0" applyFont="1" applyBorder="1" applyAlignment="1">
      <alignment horizontal="center" vertical="center" shrinkToFit="1"/>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7" fillId="0" borderId="6" xfId="0" applyFont="1" applyBorder="1"/>
    <xf numFmtId="0" fontId="7" fillId="0" borderId="14" xfId="0" applyFont="1" applyBorder="1"/>
    <xf numFmtId="0" fontId="7" fillId="0" borderId="72" xfId="0" applyFont="1" applyBorder="1"/>
    <xf numFmtId="0" fontId="7" fillId="0" borderId="17" xfId="0" applyFont="1" applyBorder="1"/>
    <xf numFmtId="0" fontId="7" fillId="0" borderId="18" xfId="0" applyFont="1" applyBorder="1"/>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29" xfId="0" applyFont="1" applyBorder="1" applyAlignment="1">
      <alignment horizontal="center" vertical="center"/>
    </xf>
    <xf numFmtId="0" fontId="9" fillId="0" borderId="8" xfId="0" applyFont="1" applyBorder="1" applyAlignment="1">
      <alignment horizontal="center" vertical="center"/>
    </xf>
    <xf numFmtId="0" fontId="12" fillId="0" borderId="41" xfId="0" applyFont="1" applyBorder="1" applyAlignment="1">
      <alignment horizontal="left" vertical="center" wrapText="1"/>
    </xf>
    <xf numFmtId="0" fontId="7" fillId="0" borderId="42" xfId="0" applyFont="1" applyBorder="1"/>
    <xf numFmtId="0" fontId="12" fillId="0" borderId="46" xfId="0" applyFont="1" applyBorder="1" applyAlignment="1">
      <alignment horizontal="left" vertical="center" wrapText="1"/>
    </xf>
    <xf numFmtId="0" fontId="7" fillId="0" borderId="47" xfId="0" applyFont="1" applyBorder="1"/>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65" xfId="0" applyFont="1" applyBorder="1"/>
    <xf numFmtId="0" fontId="7" fillId="0" borderId="62" xfId="0" applyFont="1" applyBorder="1"/>
    <xf numFmtId="0" fontId="12" fillId="0" borderId="59" xfId="0" applyFont="1" applyBorder="1" applyAlignment="1">
      <alignment horizontal="left" vertical="center" wrapText="1"/>
    </xf>
    <xf numFmtId="0" fontId="7" fillId="0" borderId="60" xfId="0" applyFont="1" applyBorder="1"/>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0" fontId="25" fillId="0" borderId="25" xfId="0" applyFont="1" applyBorder="1" applyAlignment="1">
      <alignment horizontal="center" vertical="center" wrapText="1"/>
    </xf>
    <xf numFmtId="0" fontId="25" fillId="0" borderId="76" xfId="0" applyFont="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2" fillId="0" borderId="0" xfId="0" applyFont="1" applyAlignment="1">
      <alignment horizontal="center"/>
    </xf>
    <xf numFmtId="0" fontId="11" fillId="0" borderId="0" xfId="0" applyFont="1" applyAlignment="1">
      <alignment horizontal="center" vertical="center" wrapText="1"/>
    </xf>
    <xf numFmtId="0" fontId="3" fillId="0" borderId="76" xfId="0" applyFont="1" applyBorder="1" applyAlignment="1">
      <alignment horizontal="center" vertical="center" wrapText="1"/>
    </xf>
    <xf numFmtId="0" fontId="3" fillId="0" borderId="0" xfId="0" applyFont="1" applyAlignment="1">
      <alignment horizontal="center" vertical="center" wrapText="1"/>
    </xf>
    <xf numFmtId="0" fontId="3" fillId="0" borderId="56" xfId="0" applyFont="1" applyBorder="1" applyAlignment="1">
      <alignment horizontal="center" vertical="center" wrapText="1"/>
    </xf>
    <xf numFmtId="0" fontId="30" fillId="0" borderId="56" xfId="0" applyFont="1" applyBorder="1" applyAlignment="1">
      <alignment horizontal="center" vertical="center"/>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0" borderId="1" xfId="0" applyFont="1" applyBorder="1" applyAlignment="1">
      <alignment horizontal="left" shrinkToFit="1"/>
    </xf>
    <xf numFmtId="0" fontId="30" fillId="8" borderId="56" xfId="0" applyFont="1" applyFill="1" applyBorder="1" applyAlignment="1">
      <alignment horizontal="center" vertical="center"/>
    </xf>
    <xf numFmtId="0" fontId="3" fillId="8" borderId="76" xfId="0" applyFont="1" applyFill="1" applyBorder="1" applyAlignment="1">
      <alignment horizontal="center" vertical="center" wrapText="1"/>
    </xf>
    <xf numFmtId="0" fontId="3" fillId="8" borderId="56" xfId="0" applyFont="1" applyFill="1" applyBorder="1" applyAlignment="1">
      <alignment horizontal="center" vertical="center" wrapText="1"/>
    </xf>
    <xf numFmtId="0" fontId="31" fillId="0" borderId="2" xfId="0" applyFont="1" applyBorder="1" applyAlignment="1">
      <alignment horizontal="left" vertical="center" shrinkToFit="1"/>
    </xf>
    <xf numFmtId="0" fontId="9" fillId="0" borderId="5" xfId="0" applyFont="1" applyBorder="1" applyAlignment="1">
      <alignment horizontal="center" vertical="center"/>
    </xf>
    <xf numFmtId="0" fontId="7" fillId="0" borderId="24" xfId="0" applyFont="1" applyBorder="1"/>
    <xf numFmtId="0" fontId="7" fillId="0" borderId="73" xfId="0" applyFont="1" applyBorder="1"/>
    <xf numFmtId="14" fontId="31" fillId="0" borderId="3" xfId="0" applyNumberFormat="1" applyFont="1" applyBorder="1" applyAlignment="1">
      <alignment horizontal="center" vertical="center" shrinkToFit="1"/>
    </xf>
    <xf numFmtId="0" fontId="3" fillId="0" borderId="25" xfId="0" applyFont="1" applyBorder="1" applyAlignment="1">
      <alignment horizontal="center" vertical="center" wrapText="1"/>
    </xf>
    <xf numFmtId="0" fontId="3"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30" fillId="0" borderId="76" xfId="0" applyFont="1" applyBorder="1" applyAlignment="1">
      <alignment horizontal="center"/>
    </xf>
    <xf numFmtId="0" fontId="30" fillId="0" borderId="25" xfId="0" applyFont="1" applyBorder="1" applyAlignment="1">
      <alignment horizontal="center" vertical="center" wrapTex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xf numFmtId="0" fontId="10" fillId="3" borderId="72" xfId="0" applyFont="1" applyFill="1" applyBorder="1" applyAlignment="1">
      <alignment horizontal="center" vertical="center"/>
    </xf>
    <xf numFmtId="0" fontId="29" fillId="0" borderId="0" xfId="0" applyFont="1" applyAlignment="1">
      <alignment horizontal="center" vertical="center"/>
    </xf>
    <xf numFmtId="0" fontId="31" fillId="0" borderId="2" xfId="0" applyFont="1" applyBorder="1" applyAlignment="1">
      <alignment horizontal="left" shrinkToFit="1"/>
    </xf>
    <xf numFmtId="49" fontId="33" fillId="0" borderId="67" xfId="0" applyNumberFormat="1" applyFont="1" applyBorder="1" applyAlignment="1">
      <alignment horizontal="center" vertical="center" shrinkToFit="1"/>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0" fontId="21" fillId="0" borderId="25" xfId="0" applyFont="1" applyBorder="1" applyAlignment="1">
      <alignment horizontal="center" vertical="center"/>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21" fillId="10" borderId="25" xfId="0" applyFont="1" applyFill="1" applyBorder="1" applyAlignment="1">
      <alignment horizontal="center" vertical="center" wrapText="1"/>
    </xf>
    <xf numFmtId="0" fontId="21" fillId="11" borderId="5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76"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16" fillId="10" borderId="76" xfId="0" applyFont="1" applyFill="1" applyBorder="1" applyAlignment="1">
      <alignment horizontal="center" vertical="center" wrapText="1"/>
    </xf>
    <xf numFmtId="0" fontId="16" fillId="10" borderId="25" xfId="0" applyFont="1" applyFill="1" applyBorder="1" applyAlignment="1">
      <alignment horizontal="center" vertical="center" wrapText="1"/>
    </xf>
    <xf numFmtId="0" fontId="3" fillId="10" borderId="25" xfId="0" applyFont="1" applyFill="1" applyBorder="1" applyAlignment="1">
      <alignment horizontal="center" vertical="center" wrapText="1"/>
    </xf>
    <xf numFmtId="0" fontId="34" fillId="10" borderId="25" xfId="0" applyFont="1" applyFill="1" applyBorder="1" applyAlignment="1">
      <alignment horizontal="left" vertical="center" wrapText="1"/>
    </xf>
    <xf numFmtId="0" fontId="34" fillId="10" borderId="25" xfId="0" applyFont="1" applyFill="1" applyBorder="1" applyAlignment="1">
      <alignment horizontal="center" vertical="center" wrapText="1"/>
    </xf>
    <xf numFmtId="0" fontId="36" fillId="10" borderId="25" xfId="0" applyFont="1" applyFill="1" applyBorder="1" applyAlignment="1">
      <alignment horizontal="center" vertical="center" wrapText="1"/>
    </xf>
    <xf numFmtId="0" fontId="34" fillId="9"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4" fillId="10" borderId="76"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4" fillId="0" borderId="25" xfId="0" applyFont="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8" fillId="0" borderId="1" xfId="1" applyFont="1" applyAlignment="1" applyProtection="1">
      <alignment horizontal="center" vertical="center" wrapText="1"/>
      <protection hidden="1"/>
    </xf>
    <xf numFmtId="0" fontId="18" fillId="0" borderId="1" xfId="1" applyFont="1" applyAlignment="1" applyProtection="1">
      <alignment horizontal="center" vertical="center" wrapText="1"/>
      <protection locked="0" hidden="1"/>
    </xf>
    <xf numFmtId="0" fontId="2" fillId="0" borderId="89" xfId="1" applyFont="1" applyBorder="1" applyAlignment="1" applyProtection="1">
      <alignment horizontal="left" vertical="center" shrinkToFit="1"/>
      <protection locked="0"/>
    </xf>
    <xf numFmtId="0" fontId="2" fillId="0" borderId="91" xfId="1" applyFont="1" applyBorder="1" applyAlignment="1" applyProtection="1">
      <alignment horizontal="center" vertical="center"/>
      <protection hidden="1"/>
    </xf>
    <xf numFmtId="0" fontId="2" fillId="0" borderId="1" xfId="1" applyFont="1" applyAlignment="1" applyProtection="1">
      <alignment horizontal="center" vertical="center"/>
      <protection hidden="1"/>
    </xf>
    <xf numFmtId="49" fontId="2" fillId="0" borderId="90" xfId="1" applyNumberFormat="1" applyFont="1" applyBorder="1" applyAlignment="1" applyProtection="1">
      <alignment horizontal="left" vertical="center" shrinkToFit="1"/>
      <protection locked="0"/>
    </xf>
    <xf numFmtId="0" fontId="2" fillId="13" borderId="88" xfId="1" applyFont="1" applyFill="1" applyBorder="1" applyAlignment="1" applyProtection="1">
      <alignment horizontal="center" vertical="center"/>
      <protection hidden="1"/>
    </xf>
    <xf numFmtId="0" fontId="45" fillId="13" borderId="84" xfId="2" applyFont="1" applyFill="1" applyBorder="1" applyAlignment="1">
      <alignment horizontal="center" vertical="top" wrapText="1"/>
    </xf>
    <xf numFmtId="0" fontId="45" fillId="13" borderId="85" xfId="2" applyFont="1" applyFill="1" applyBorder="1" applyAlignment="1">
      <alignment horizontal="center" vertical="top" wrapText="1"/>
    </xf>
    <xf numFmtId="0" fontId="45" fillId="13" borderId="86" xfId="2" applyFont="1" applyFill="1" applyBorder="1" applyAlignment="1">
      <alignment horizontal="center" vertical="top" wrapText="1"/>
    </xf>
    <xf numFmtId="0" fontId="45" fillId="13" borderId="84" xfId="2" applyFont="1" applyFill="1" applyBorder="1" applyAlignment="1">
      <alignment horizontal="center" vertical="center" wrapText="1"/>
    </xf>
    <xf numFmtId="0" fontId="45" fillId="13" borderId="85" xfId="2" applyFont="1" applyFill="1" applyBorder="1" applyAlignment="1">
      <alignment horizontal="center" vertical="center" wrapText="1"/>
    </xf>
    <xf numFmtId="0" fontId="45" fillId="13" borderId="86" xfId="2" applyFont="1" applyFill="1" applyBorder="1" applyAlignment="1">
      <alignment horizontal="center" vertical="center" wrapText="1"/>
    </xf>
    <xf numFmtId="0" fontId="42" fillId="13" borderId="83" xfId="1" applyFont="1" applyFill="1" applyBorder="1" applyAlignment="1" applyProtection="1">
      <alignment horizontal="center" vertical="center" wrapText="1"/>
      <protection hidden="1"/>
    </xf>
    <xf numFmtId="0" fontId="42" fillId="13" borderId="87" xfId="1" applyFont="1" applyFill="1" applyBorder="1" applyAlignment="1" applyProtection="1">
      <alignment horizontal="center" vertical="center" wrapText="1"/>
      <protection hidden="1"/>
    </xf>
    <xf numFmtId="0" fontId="43" fillId="13" borderId="84" xfId="1" applyFont="1" applyFill="1" applyBorder="1" applyAlignment="1" applyProtection="1">
      <alignment horizontal="center" vertical="center" wrapText="1"/>
      <protection hidden="1"/>
    </xf>
    <xf numFmtId="0" fontId="43" fillId="13" borderId="85" xfId="1" applyFont="1" applyFill="1" applyBorder="1" applyAlignment="1" applyProtection="1">
      <alignment horizontal="center" vertical="center" wrapText="1"/>
      <protection hidden="1"/>
    </xf>
    <xf numFmtId="0" fontId="43" fillId="13" borderId="86" xfId="1" applyFont="1" applyFill="1" applyBorder="1" applyAlignment="1" applyProtection="1">
      <alignment horizontal="center" vertical="center" wrapText="1"/>
      <protection hidden="1"/>
    </xf>
    <xf numFmtId="0" fontId="44" fillId="13" borderId="84" xfId="1" applyFont="1" applyFill="1" applyBorder="1" applyAlignment="1" applyProtection="1">
      <alignment horizontal="center" vertical="center" wrapText="1"/>
      <protection hidden="1"/>
    </xf>
    <xf numFmtId="0" fontId="44" fillId="13" borderId="85" xfId="1" applyFont="1" applyFill="1" applyBorder="1" applyAlignment="1" applyProtection="1">
      <alignment horizontal="center" vertical="center" wrapText="1"/>
      <protection hidden="1"/>
    </xf>
    <xf numFmtId="0" fontId="44" fillId="13" borderId="86" xfId="1" applyFont="1" applyFill="1" applyBorder="1" applyAlignment="1" applyProtection="1">
      <alignment horizontal="center" vertical="center" wrapText="1"/>
      <protection hidden="1"/>
    </xf>
    <xf numFmtId="0" fontId="44" fillId="13" borderId="83" xfId="1" applyFont="1" applyFill="1" applyBorder="1" applyAlignment="1" applyProtection="1">
      <alignment horizontal="center" vertical="center" wrapText="1"/>
      <protection hidden="1"/>
    </xf>
    <xf numFmtId="0" fontId="44" fillId="13" borderId="87" xfId="1" applyFont="1" applyFill="1" applyBorder="1" applyAlignment="1" applyProtection="1">
      <alignment horizontal="center" vertical="center" wrapText="1"/>
      <protection hidden="1"/>
    </xf>
    <xf numFmtId="0" fontId="45" fillId="13" borderId="88" xfId="2" applyFont="1" applyFill="1" applyBorder="1" applyAlignment="1">
      <alignment horizontal="center" vertical="center"/>
    </xf>
    <xf numFmtId="0" fontId="39" fillId="0" borderId="80" xfId="1" applyFont="1" applyBorder="1" applyAlignment="1" applyProtection="1">
      <alignment horizontal="center" vertical="center" shrinkToFit="1"/>
      <protection locked="0"/>
    </xf>
    <xf numFmtId="14" fontId="39" fillId="0" borderId="81" xfId="1" applyNumberFormat="1" applyFont="1" applyBorder="1" applyAlignment="1">
      <alignment horizontal="center" vertical="center" shrinkToFit="1"/>
    </xf>
    <xf numFmtId="0" fontId="39" fillId="0" borderId="81" xfId="1" applyFont="1" applyBorder="1" applyAlignment="1">
      <alignment horizontal="center" vertical="center" shrinkToFit="1"/>
    </xf>
    <xf numFmtId="0" fontId="39" fillId="0" borderId="1" xfId="1" applyFont="1" applyAlignment="1" applyProtection="1">
      <alignment horizontal="center" vertical="center"/>
      <protection hidden="1"/>
    </xf>
    <xf numFmtId="0" fontId="40" fillId="0" borderId="1" xfId="1" applyFont="1" applyAlignment="1" applyProtection="1">
      <alignment horizontal="center" vertical="center"/>
      <protection hidden="1"/>
    </xf>
    <xf numFmtId="0" fontId="2" fillId="0" borderId="1" xfId="1" applyFont="1" applyAlignment="1">
      <alignment horizontal="left" vertical="center" shrinkToFit="1"/>
    </xf>
    <xf numFmtId="0" fontId="50" fillId="15" borderId="95" xfId="0" applyFont="1" applyFill="1" applyBorder="1"/>
    <xf numFmtId="0" fontId="50" fillId="15" borderId="94" xfId="0" applyFont="1" applyFill="1" applyBorder="1"/>
    <xf numFmtId="0" fontId="37" fillId="16" borderId="95" xfId="0" applyFont="1" applyFill="1" applyBorder="1"/>
    <xf numFmtId="0" fontId="37" fillId="16" borderId="94" xfId="0" applyFont="1" applyFill="1" applyBorder="1"/>
  </cellXfs>
  <cellStyles count="4">
    <cellStyle name="Normal" xfId="0" builtinId="0"/>
    <cellStyle name="Normal 2" xfId="1" xr:uid="{2A3141E2-9B13-B141-BE19-440E16C8305D}"/>
    <cellStyle name="Normal 7" xfId="3" xr:uid="{7C9E9AE1-3687-8D43-8A1B-5625E055F349}"/>
    <cellStyle name="Normal 8 2" xfId="2" xr:uid="{AAE7CB6A-DD0E-014E-A7D5-7EBD603EDD94}"/>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5" t="s">
        <v>0</v>
      </c>
      <c r="B1" s="204"/>
      <c r="C1" s="204"/>
      <c r="D1" s="204"/>
      <c r="E1" s="204"/>
      <c r="F1" s="204"/>
      <c r="G1" s="204"/>
      <c r="H1" s="204"/>
      <c r="I1" s="204"/>
      <c r="J1" s="204"/>
      <c r="K1" s="204"/>
      <c r="L1" s="204"/>
      <c r="M1" s="204"/>
      <c r="N1" s="204"/>
      <c r="O1" s="204"/>
      <c r="P1" s="204"/>
      <c r="Q1" s="204"/>
      <c r="R1" s="204"/>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5" t="s">
        <v>2</v>
      </c>
      <c r="B2" s="204"/>
      <c r="C2" s="204"/>
      <c r="D2" s="204"/>
      <c r="E2" s="204"/>
      <c r="F2" s="204"/>
      <c r="G2" s="204"/>
      <c r="H2" s="204"/>
      <c r="I2" s="204"/>
      <c r="J2" s="204"/>
      <c r="K2" s="204"/>
      <c r="L2" s="204"/>
      <c r="M2" s="204"/>
      <c r="N2" s="204"/>
      <c r="O2" s="204"/>
      <c r="P2" s="204"/>
      <c r="Q2" s="204"/>
      <c r="R2" s="204"/>
      <c r="S2" s="204"/>
      <c r="T2" s="204"/>
      <c r="U2" s="204"/>
      <c r="V2" s="5"/>
      <c r="W2" s="2"/>
      <c r="X2" s="2"/>
      <c r="Y2" s="4"/>
      <c r="Z2" s="4"/>
      <c r="AA2" s="4"/>
      <c r="AB2" s="4"/>
      <c r="AC2" s="4"/>
      <c r="AD2" s="4"/>
      <c r="AE2" s="4"/>
      <c r="AF2" s="4"/>
      <c r="AG2" s="4"/>
      <c r="AH2" s="4"/>
      <c r="AI2" s="4"/>
      <c r="AJ2" s="4"/>
      <c r="AK2" s="4"/>
      <c r="AL2" s="4"/>
      <c r="AM2" s="4"/>
      <c r="AN2" s="4"/>
      <c r="AO2" s="4"/>
    </row>
    <row r="3" spans="1:41" ht="13.5" customHeight="1">
      <c r="A3" s="265" t="s">
        <v>3</v>
      </c>
      <c r="B3" s="204"/>
      <c r="C3" s="204"/>
      <c r="D3" s="204"/>
      <c r="E3" s="204"/>
      <c r="F3" s="204"/>
      <c r="G3" s="204"/>
      <c r="H3" s="204"/>
      <c r="I3" s="204"/>
      <c r="J3" s="204"/>
      <c r="K3" s="204"/>
      <c r="L3" s="204"/>
      <c r="M3" s="204"/>
      <c r="N3" s="204"/>
      <c r="O3" s="204"/>
      <c r="P3" s="204"/>
      <c r="Q3" s="204"/>
      <c r="R3" s="204"/>
      <c r="S3" s="1"/>
      <c r="T3" s="1"/>
      <c r="U3" s="1"/>
      <c r="V3" s="5"/>
      <c r="W3" s="2"/>
      <c r="X3" s="2"/>
      <c r="Y3" s="4"/>
      <c r="Z3" s="4"/>
      <c r="AA3" s="4"/>
      <c r="AB3" s="4"/>
      <c r="AC3" s="4"/>
      <c r="AD3" s="4"/>
      <c r="AE3" s="4"/>
      <c r="AF3" s="4"/>
      <c r="AG3" s="4"/>
      <c r="AH3" s="4"/>
      <c r="AI3" s="4"/>
      <c r="AJ3" s="4"/>
      <c r="AK3" s="4"/>
      <c r="AL3" s="4"/>
      <c r="AM3" s="4"/>
      <c r="AN3" s="4"/>
      <c r="AO3" s="4"/>
    </row>
    <row r="4" spans="1:41" ht="13.5" customHeight="1">
      <c r="A4" s="266" t="s">
        <v>4</v>
      </c>
      <c r="B4" s="204"/>
      <c r="C4" s="204"/>
      <c r="D4" s="204"/>
      <c r="E4" s="204"/>
      <c r="F4" s="204"/>
      <c r="G4" s="204"/>
      <c r="H4" s="204"/>
      <c r="I4" s="204"/>
      <c r="J4" s="204"/>
      <c r="K4" s="204"/>
      <c r="L4" s="204"/>
      <c r="M4" s="204"/>
      <c r="N4" s="204"/>
      <c r="O4" s="204"/>
      <c r="P4" s="204"/>
      <c r="Q4" s="204"/>
      <c r="R4" s="204"/>
      <c r="S4" s="204"/>
      <c r="T4" s="204"/>
      <c r="U4" s="204"/>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7"/>
      <c r="D6" s="231"/>
      <c r="E6" s="231"/>
      <c r="F6" s="231"/>
      <c r="G6" s="231"/>
      <c r="H6" s="4"/>
      <c r="I6" s="2"/>
      <c r="J6" s="11" t="s">
        <v>6</v>
      </c>
      <c r="K6" s="4"/>
      <c r="L6" s="268" t="s">
        <v>7</v>
      </c>
      <c r="M6" s="231"/>
      <c r="N6" s="231"/>
      <c r="O6" s="231"/>
      <c r="P6" s="231"/>
      <c r="Q6" s="231"/>
      <c r="R6" s="231"/>
      <c r="S6" s="23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70"/>
      <c r="D7" s="229"/>
      <c r="E7" s="229"/>
      <c r="F7" s="229"/>
      <c r="G7" s="229"/>
      <c r="H7" s="4"/>
      <c r="I7" s="12"/>
      <c r="J7" s="13" t="s">
        <v>9</v>
      </c>
      <c r="K7" s="13"/>
      <c r="L7" s="13"/>
      <c r="M7" s="13"/>
      <c r="N7" s="268"/>
      <c r="O7" s="231"/>
      <c r="P7" s="231"/>
      <c r="Q7" s="231"/>
      <c r="R7" s="231"/>
      <c r="S7" s="23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70"/>
      <c r="D8" s="229"/>
      <c r="E8" s="229"/>
      <c r="F8" s="229"/>
      <c r="G8" s="229"/>
      <c r="H8" s="4"/>
      <c r="I8" s="12"/>
      <c r="J8" s="13" t="s">
        <v>11</v>
      </c>
      <c r="K8" s="13"/>
      <c r="L8" s="13"/>
      <c r="M8" s="268"/>
      <c r="N8" s="231"/>
      <c r="O8" s="231"/>
      <c r="P8" s="231"/>
      <c r="Q8" s="231"/>
      <c r="R8" s="231"/>
      <c r="S8" s="23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70" t="s">
        <v>13</v>
      </c>
      <c r="D9" s="229"/>
      <c r="E9" s="229"/>
      <c r="F9" s="229"/>
      <c r="G9" s="229"/>
      <c r="H9" s="4"/>
      <c r="I9" s="4"/>
      <c r="J9" s="13" t="s">
        <v>14</v>
      </c>
      <c r="K9" s="13"/>
      <c r="L9" s="13"/>
      <c r="M9" s="280"/>
      <c r="N9" s="22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81"/>
      <c r="L10" s="231"/>
      <c r="M10" s="16"/>
      <c r="N10" s="17"/>
      <c r="O10" s="13" t="s">
        <v>16</v>
      </c>
      <c r="P10" s="4"/>
      <c r="Q10" s="282"/>
      <c r="R10" s="231"/>
      <c r="S10" s="231"/>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71" t="s">
        <v>18</v>
      </c>
      <c r="B12" s="272"/>
      <c r="C12" s="249"/>
      <c r="D12" s="277" t="s">
        <v>19</v>
      </c>
      <c r="E12" s="213"/>
      <c r="F12" s="213"/>
      <c r="G12" s="216"/>
      <c r="H12" s="20">
        <f>D27+E40</f>
        <v>0</v>
      </c>
      <c r="I12" s="17"/>
      <c r="J12" s="283" t="s">
        <v>20</v>
      </c>
      <c r="K12" s="213"/>
      <c r="L12" s="213"/>
      <c r="M12" s="216"/>
      <c r="N12" s="284" t="s">
        <v>21</v>
      </c>
      <c r="O12" s="213"/>
      <c r="P12" s="213"/>
      <c r="Q12" s="213"/>
      <c r="R12" s="213"/>
      <c r="S12" s="213"/>
      <c r="T12" s="213"/>
      <c r="U12" s="214"/>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73"/>
      <c r="B13" s="204"/>
      <c r="C13" s="238"/>
      <c r="D13" s="278" t="s">
        <v>22</v>
      </c>
      <c r="E13" s="218"/>
      <c r="F13" s="218"/>
      <c r="G13" s="219"/>
      <c r="H13" s="21">
        <f>U27</f>
        <v>0</v>
      </c>
      <c r="I13" s="17"/>
      <c r="J13" s="259" t="s">
        <v>23</v>
      </c>
      <c r="K13" s="218"/>
      <c r="L13" s="219"/>
      <c r="M13" s="22"/>
      <c r="N13" s="23" t="s">
        <v>24</v>
      </c>
      <c r="O13" s="23"/>
      <c r="P13" s="23"/>
      <c r="Q13" s="22"/>
      <c r="R13" s="263" t="s">
        <v>25</v>
      </c>
      <c r="S13" s="218"/>
      <c r="T13" s="219"/>
      <c r="U13" s="178"/>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74"/>
      <c r="B14" s="275"/>
      <c r="C14" s="276"/>
      <c r="D14" s="279" t="s">
        <v>26</v>
      </c>
      <c r="E14" s="221"/>
      <c r="F14" s="221"/>
      <c r="G14" s="222"/>
      <c r="H14" s="24">
        <f>H12+H13</f>
        <v>0</v>
      </c>
      <c r="I14" s="17"/>
      <c r="J14" s="259" t="s">
        <v>27</v>
      </c>
      <c r="K14" s="218"/>
      <c r="L14" s="219"/>
      <c r="M14" s="22"/>
      <c r="N14" s="23" t="s">
        <v>28</v>
      </c>
      <c r="O14" s="23"/>
      <c r="P14" s="23"/>
      <c r="Q14" s="22"/>
      <c r="R14" s="263" t="s">
        <v>29</v>
      </c>
      <c r="S14" s="218"/>
      <c r="T14" s="219"/>
      <c r="U14" s="178"/>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260" t="s">
        <v>30</v>
      </c>
      <c r="K15" s="218"/>
      <c r="L15" s="219"/>
      <c r="M15" s="22"/>
      <c r="N15" s="26" t="s">
        <v>31</v>
      </c>
      <c r="O15" s="26"/>
      <c r="P15" s="26"/>
      <c r="Q15" s="22"/>
      <c r="R15" s="269" t="s">
        <v>32</v>
      </c>
      <c r="S15" s="218"/>
      <c r="T15" s="219"/>
      <c r="U15" s="178"/>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5" t="s">
        <v>33</v>
      </c>
      <c r="B16" s="213"/>
      <c r="C16" s="216"/>
      <c r="D16" s="27" t="s">
        <v>34</v>
      </c>
      <c r="E16" s="27" t="s">
        <v>35</v>
      </c>
      <c r="F16" s="28" t="s">
        <v>26</v>
      </c>
      <c r="G16" s="29"/>
      <c r="H16" s="29"/>
      <c r="I16" s="29"/>
      <c r="J16" s="177"/>
      <c r="K16" s="177"/>
      <c r="L16" s="177"/>
      <c r="M16" s="177"/>
      <c r="N16" s="177"/>
      <c r="O16" s="177"/>
      <c r="P16" s="177"/>
      <c r="Q16" s="177"/>
      <c r="R16" s="182"/>
      <c r="S16" s="177"/>
      <c r="T16" s="177"/>
      <c r="U16" s="179"/>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7" t="s">
        <v>36</v>
      </c>
      <c r="B17" s="218"/>
      <c r="C17" s="219"/>
      <c r="D17" s="30">
        <f>D30+E42-D33-E44</f>
        <v>0</v>
      </c>
      <c r="E17" s="30">
        <f>+U30-U33</f>
        <v>0</v>
      </c>
      <c r="F17" s="31">
        <f t="shared" ref="F17:F21" si="0">+E17+D17</f>
        <v>0</v>
      </c>
      <c r="G17" s="32"/>
      <c r="H17" s="33"/>
      <c r="I17" s="261" t="s">
        <v>37</v>
      </c>
      <c r="J17" s="262" t="s">
        <v>38</v>
      </c>
      <c r="K17" s="218"/>
      <c r="L17" s="219"/>
      <c r="M17" s="264" t="s">
        <v>35</v>
      </c>
      <c r="N17" s="218"/>
      <c r="O17" s="219"/>
      <c r="P17" s="246" t="s">
        <v>26</v>
      </c>
      <c r="Q17" s="247"/>
      <c r="R17" s="254" t="s">
        <v>39</v>
      </c>
      <c r="S17" s="218"/>
      <c r="T17" s="219"/>
      <c r="U17" s="180"/>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7" t="s">
        <v>40</v>
      </c>
      <c r="B18" s="218"/>
      <c r="C18" s="219"/>
      <c r="D18" s="34">
        <f>D33+E44</f>
        <v>0</v>
      </c>
      <c r="E18" s="35">
        <f>U33</f>
        <v>0</v>
      </c>
      <c r="F18" s="31">
        <f t="shared" si="0"/>
        <v>0</v>
      </c>
      <c r="G18" s="32"/>
      <c r="H18" s="33"/>
      <c r="I18" s="206"/>
      <c r="J18" s="36" t="s">
        <v>41</v>
      </c>
      <c r="K18" s="36" t="s">
        <v>42</v>
      </c>
      <c r="L18" s="36" t="s">
        <v>43</v>
      </c>
      <c r="M18" s="36" t="s">
        <v>41</v>
      </c>
      <c r="N18" s="36" t="s">
        <v>42</v>
      </c>
      <c r="O18" s="36" t="s">
        <v>43</v>
      </c>
      <c r="P18" s="206"/>
      <c r="Q18" s="204"/>
      <c r="R18" s="254" t="s">
        <v>44</v>
      </c>
      <c r="S18" s="218"/>
      <c r="T18" s="219"/>
      <c r="U18" s="180"/>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7" t="s">
        <v>45</v>
      </c>
      <c r="B19" s="218"/>
      <c r="C19" s="219"/>
      <c r="D19" s="37"/>
      <c r="E19" s="38"/>
      <c r="F19" s="31">
        <f t="shared" si="0"/>
        <v>0</v>
      </c>
      <c r="G19" s="32"/>
      <c r="H19" s="33"/>
      <c r="I19" s="39" t="s">
        <v>46</v>
      </c>
      <c r="J19" s="39"/>
      <c r="K19" s="39"/>
      <c r="L19" s="39"/>
      <c r="M19" s="39"/>
      <c r="N19" s="39"/>
      <c r="O19" s="39"/>
      <c r="P19" s="40">
        <f t="shared" ref="P19:P20" si="1">J19+K19+L19+M19+N19+O19</f>
        <v>0</v>
      </c>
      <c r="Q19" s="41"/>
      <c r="R19" s="254" t="s">
        <v>47</v>
      </c>
      <c r="S19" s="218"/>
      <c r="T19" s="219"/>
      <c r="U19" s="180"/>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7" t="s">
        <v>48</v>
      </c>
      <c r="B20" s="218"/>
      <c r="C20" s="219"/>
      <c r="D20" s="35">
        <f t="shared" ref="D20:E20" si="2">T35</f>
        <v>0</v>
      </c>
      <c r="E20" s="35">
        <f t="shared" si="2"/>
        <v>0</v>
      </c>
      <c r="F20" s="31">
        <f t="shared" si="0"/>
        <v>0</v>
      </c>
      <c r="G20" s="17"/>
      <c r="H20" s="17"/>
      <c r="I20" s="39" t="s">
        <v>49</v>
      </c>
      <c r="J20" s="39"/>
      <c r="K20" s="39"/>
      <c r="L20" s="39"/>
      <c r="M20" s="39"/>
      <c r="N20" s="39"/>
      <c r="O20" s="39"/>
      <c r="P20" s="40">
        <f t="shared" si="1"/>
        <v>0</v>
      </c>
      <c r="Q20" s="41"/>
      <c r="R20" s="17"/>
      <c r="S20" s="17"/>
      <c r="T20" s="42"/>
      <c r="U20" s="181"/>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220" t="s">
        <v>50</v>
      </c>
      <c r="B21" s="221"/>
      <c r="C21" s="222"/>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85"/>
      <c r="B22" s="183"/>
      <c r="C22" s="183"/>
      <c r="D22" s="183"/>
      <c r="E22" s="183"/>
      <c r="F22" s="183"/>
      <c r="G22" s="183"/>
      <c r="H22" s="183"/>
      <c r="I22" s="184"/>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23" t="s">
        <v>52</v>
      </c>
      <c r="B24" s="225" t="s">
        <v>53</v>
      </c>
      <c r="C24" s="213"/>
      <c r="D24" s="214"/>
      <c r="E24" s="225" t="s">
        <v>54</v>
      </c>
      <c r="F24" s="213"/>
      <c r="G24" s="213"/>
      <c r="H24" s="213"/>
      <c r="I24" s="213"/>
      <c r="J24" s="213"/>
      <c r="K24" s="213"/>
      <c r="L24" s="213"/>
      <c r="M24" s="213"/>
      <c r="N24" s="213"/>
      <c r="O24" s="213"/>
      <c r="P24" s="213"/>
      <c r="Q24" s="213"/>
      <c r="R24" s="213"/>
      <c r="S24" s="213"/>
      <c r="T24" s="216"/>
      <c r="U24" s="255" t="s">
        <v>55</v>
      </c>
      <c r="V24" s="3"/>
      <c r="W24" s="4"/>
      <c r="X24" s="4"/>
      <c r="Y24" s="4"/>
      <c r="Z24" s="4"/>
      <c r="AA24" s="4"/>
      <c r="AB24" s="4"/>
      <c r="AC24" s="4"/>
      <c r="AD24" s="4"/>
      <c r="AE24" s="4"/>
      <c r="AF24" s="4"/>
      <c r="AG24" s="4"/>
      <c r="AH24" s="4"/>
      <c r="AI24" s="4"/>
      <c r="AJ24" s="4"/>
      <c r="AK24" s="4"/>
      <c r="AL24" s="4"/>
      <c r="AM24" s="4"/>
      <c r="AN24" s="4"/>
      <c r="AO24" s="4"/>
    </row>
    <row r="25" spans="1:41" ht="76.5" customHeight="1">
      <c r="A25" s="190"/>
      <c r="B25" s="47" t="s">
        <v>56</v>
      </c>
      <c r="C25" s="48" t="s">
        <v>57</v>
      </c>
      <c r="D25" s="226" t="s">
        <v>58</v>
      </c>
      <c r="E25" s="49" t="s">
        <v>59</v>
      </c>
      <c r="F25" s="50" t="s">
        <v>60</v>
      </c>
      <c r="G25" s="50" t="s">
        <v>61</v>
      </c>
      <c r="H25" s="50" t="s">
        <v>62</v>
      </c>
      <c r="I25" s="50" t="s">
        <v>63</v>
      </c>
      <c r="J25" s="50" t="s">
        <v>64</v>
      </c>
      <c r="K25" s="50" t="s">
        <v>65</v>
      </c>
      <c r="L25" s="50" t="s">
        <v>66</v>
      </c>
      <c r="M25" s="258" t="s">
        <v>67</v>
      </c>
      <c r="N25" s="218"/>
      <c r="O25" s="219"/>
      <c r="P25" s="258" t="s">
        <v>68</v>
      </c>
      <c r="Q25" s="218"/>
      <c r="R25" s="219"/>
      <c r="S25" s="256" t="s">
        <v>69</v>
      </c>
      <c r="T25" s="219"/>
      <c r="U25" s="199"/>
      <c r="V25" s="3"/>
      <c r="W25" s="4"/>
      <c r="X25" s="4"/>
      <c r="Y25" s="4"/>
      <c r="Z25" s="4"/>
      <c r="AA25" s="4"/>
      <c r="AB25" s="4"/>
      <c r="AC25" s="4"/>
      <c r="AD25" s="4"/>
      <c r="AE25" s="4"/>
      <c r="AF25" s="4"/>
      <c r="AG25" s="4"/>
      <c r="AH25" s="4"/>
      <c r="AI25" s="4"/>
      <c r="AJ25" s="4"/>
      <c r="AK25" s="4"/>
      <c r="AL25" s="4"/>
      <c r="AM25" s="4"/>
      <c r="AN25" s="4"/>
      <c r="AO25" s="4"/>
    </row>
    <row r="26" spans="1:41" ht="22.5" customHeight="1">
      <c r="A26" s="191"/>
      <c r="B26" s="51" t="s">
        <v>70</v>
      </c>
      <c r="C26" s="52" t="s">
        <v>71</v>
      </c>
      <c r="D26" s="200"/>
      <c r="E26" s="51" t="s">
        <v>72</v>
      </c>
      <c r="F26" s="52" t="s">
        <v>73</v>
      </c>
      <c r="G26" s="52" t="s">
        <v>74</v>
      </c>
      <c r="H26" s="52" t="s">
        <v>75</v>
      </c>
      <c r="I26" s="52" t="s">
        <v>76</v>
      </c>
      <c r="J26" s="52" t="s">
        <v>77</v>
      </c>
      <c r="K26" s="52" t="s">
        <v>78</v>
      </c>
      <c r="L26" s="52" t="s">
        <v>79</v>
      </c>
      <c r="M26" s="257" t="s">
        <v>80</v>
      </c>
      <c r="N26" s="221"/>
      <c r="O26" s="222"/>
      <c r="P26" s="257" t="s">
        <v>81</v>
      </c>
      <c r="Q26" s="221"/>
      <c r="R26" s="222"/>
      <c r="S26" s="257" t="s">
        <v>82</v>
      </c>
      <c r="T26" s="222"/>
      <c r="U26" s="200"/>
      <c r="V26" s="3"/>
      <c r="W26" s="4"/>
      <c r="X26" s="4"/>
      <c r="Y26" s="4"/>
      <c r="Z26" s="4"/>
      <c r="AA26" s="4"/>
      <c r="AB26" s="4"/>
      <c r="AC26" s="4"/>
      <c r="AD26" s="4"/>
      <c r="AE26" s="4"/>
      <c r="AF26" s="4"/>
      <c r="AG26" s="4"/>
      <c r="AH26" s="4"/>
      <c r="AI26" s="4"/>
      <c r="AJ26" s="4"/>
      <c r="AK26" s="4"/>
      <c r="AL26" s="4"/>
      <c r="AM26" s="4"/>
      <c r="AN26" s="4"/>
      <c r="AO26" s="4"/>
    </row>
    <row r="27" spans="1:41" ht="13.5" customHeight="1">
      <c r="A27" s="296" t="s">
        <v>83</v>
      </c>
      <c r="B27" s="297"/>
      <c r="C27" s="298"/>
      <c r="D27" s="299">
        <f>B27+C27</f>
        <v>0</v>
      </c>
      <c r="E27" s="300"/>
      <c r="F27" s="227"/>
      <c r="G27" s="227"/>
      <c r="H27" s="227"/>
      <c r="I27" s="227"/>
      <c r="J27" s="227"/>
      <c r="K27" s="227"/>
      <c r="L27" s="227"/>
      <c r="M27" s="285" t="s">
        <v>84</v>
      </c>
      <c r="N27" s="286"/>
      <c r="O27" s="53"/>
      <c r="P27" s="285" t="s">
        <v>84</v>
      </c>
      <c r="Q27" s="286"/>
      <c r="R27" s="53"/>
      <c r="S27" s="248">
        <f>M41+M42+M43+N41+N42+N43+O41+O42</f>
        <v>0</v>
      </c>
      <c r="T27" s="249"/>
      <c r="U27" s="250">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90"/>
      <c r="B28" s="193"/>
      <c r="C28" s="196"/>
      <c r="D28" s="199"/>
      <c r="E28" s="193"/>
      <c r="F28" s="196"/>
      <c r="G28" s="196"/>
      <c r="H28" s="196"/>
      <c r="I28" s="196"/>
      <c r="J28" s="196"/>
      <c r="K28" s="196"/>
      <c r="L28" s="196"/>
      <c r="M28" s="287" t="s">
        <v>85</v>
      </c>
      <c r="N28" s="288"/>
      <c r="O28" s="54"/>
      <c r="P28" s="287" t="s">
        <v>85</v>
      </c>
      <c r="Q28" s="288"/>
      <c r="R28" s="54"/>
      <c r="S28" s="237"/>
      <c r="T28" s="238"/>
      <c r="U28" s="199"/>
      <c r="V28" s="3"/>
      <c r="W28" s="4"/>
      <c r="X28" s="4"/>
      <c r="Y28" s="4"/>
      <c r="Z28" s="4"/>
      <c r="AA28" s="4"/>
      <c r="AB28" s="4"/>
      <c r="AC28" s="4"/>
      <c r="AD28" s="4"/>
      <c r="AE28" s="4"/>
      <c r="AF28" s="4"/>
      <c r="AG28" s="4"/>
      <c r="AH28" s="4"/>
      <c r="AI28" s="4"/>
      <c r="AJ28" s="4"/>
      <c r="AK28" s="4"/>
      <c r="AL28" s="4"/>
      <c r="AM28" s="4"/>
      <c r="AN28" s="4"/>
      <c r="AO28" s="4"/>
    </row>
    <row r="29" spans="1:41" ht="13.5" customHeight="1">
      <c r="A29" s="224"/>
      <c r="B29" s="208"/>
      <c r="C29" s="206"/>
      <c r="D29" s="211"/>
      <c r="E29" s="208"/>
      <c r="F29" s="206"/>
      <c r="G29" s="206"/>
      <c r="H29" s="206"/>
      <c r="I29" s="206"/>
      <c r="J29" s="206"/>
      <c r="K29" s="206"/>
      <c r="L29" s="206"/>
      <c r="M29" s="287" t="s">
        <v>86</v>
      </c>
      <c r="N29" s="288"/>
      <c r="O29" s="54"/>
      <c r="P29" s="287" t="s">
        <v>86</v>
      </c>
      <c r="Q29" s="288"/>
      <c r="R29" s="54"/>
      <c r="S29" s="239"/>
      <c r="T29" s="241"/>
      <c r="U29" s="211"/>
      <c r="V29" s="3"/>
      <c r="W29" s="4"/>
      <c r="X29" s="4"/>
      <c r="Y29" s="4"/>
      <c r="Z29" s="4"/>
      <c r="AA29" s="4"/>
      <c r="AB29" s="4"/>
      <c r="AC29" s="4"/>
      <c r="AD29" s="4"/>
      <c r="AE29" s="4"/>
      <c r="AF29" s="4"/>
      <c r="AG29" s="4"/>
      <c r="AH29" s="4"/>
      <c r="AI29" s="4"/>
      <c r="AJ29" s="4"/>
      <c r="AK29" s="4"/>
      <c r="AL29" s="4"/>
      <c r="AM29" s="4"/>
      <c r="AN29" s="4"/>
      <c r="AO29" s="4"/>
    </row>
    <row r="30" spans="1:41" ht="13.5" customHeight="1">
      <c r="A30" s="189" t="s">
        <v>87</v>
      </c>
      <c r="B30" s="192"/>
      <c r="C30" s="195"/>
      <c r="D30" s="198">
        <f>B30+C30</f>
        <v>0</v>
      </c>
      <c r="E30" s="201"/>
      <c r="F30" s="202"/>
      <c r="G30" s="202"/>
      <c r="H30" s="202"/>
      <c r="I30" s="202"/>
      <c r="J30" s="202"/>
      <c r="K30" s="202"/>
      <c r="L30" s="202"/>
      <c r="M30" s="287" t="s">
        <v>84</v>
      </c>
      <c r="N30" s="288"/>
      <c r="O30" s="54"/>
      <c r="P30" s="287" t="s">
        <v>84</v>
      </c>
      <c r="Q30" s="288"/>
      <c r="R30" s="54"/>
      <c r="S30" s="289">
        <f>P41+P42+P43+Q41+Q42+Q43+R41+R42</f>
        <v>0</v>
      </c>
      <c r="T30" s="236"/>
      <c r="U30" s="290">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90"/>
      <c r="B31" s="193"/>
      <c r="C31" s="196"/>
      <c r="D31" s="199"/>
      <c r="E31" s="193"/>
      <c r="F31" s="196"/>
      <c r="G31" s="196"/>
      <c r="H31" s="196"/>
      <c r="I31" s="196"/>
      <c r="J31" s="196"/>
      <c r="K31" s="196"/>
      <c r="L31" s="196"/>
      <c r="M31" s="287" t="s">
        <v>85</v>
      </c>
      <c r="N31" s="288"/>
      <c r="O31" s="54"/>
      <c r="P31" s="287" t="s">
        <v>85</v>
      </c>
      <c r="Q31" s="288"/>
      <c r="R31" s="54"/>
      <c r="S31" s="237"/>
      <c r="T31" s="238"/>
      <c r="U31" s="199"/>
      <c r="V31" s="3"/>
      <c r="W31" s="4"/>
      <c r="X31" s="4"/>
      <c r="Y31" s="4"/>
      <c r="Z31" s="4"/>
      <c r="AA31" s="4"/>
      <c r="AB31" s="4"/>
      <c r="AC31" s="4"/>
      <c r="AD31" s="4"/>
      <c r="AE31" s="4"/>
      <c r="AF31" s="4"/>
      <c r="AG31" s="4"/>
      <c r="AH31" s="4"/>
      <c r="AI31" s="4"/>
      <c r="AJ31" s="4"/>
      <c r="AK31" s="4"/>
      <c r="AL31" s="4"/>
      <c r="AM31" s="4"/>
      <c r="AN31" s="4"/>
      <c r="AO31" s="4"/>
    </row>
    <row r="32" spans="1:41" ht="13.5" customHeight="1">
      <c r="A32" s="224"/>
      <c r="B32" s="208"/>
      <c r="C32" s="206"/>
      <c r="D32" s="211"/>
      <c r="E32" s="208"/>
      <c r="F32" s="206"/>
      <c r="G32" s="206"/>
      <c r="H32" s="206"/>
      <c r="I32" s="206"/>
      <c r="J32" s="206"/>
      <c r="K32" s="206"/>
      <c r="L32" s="206"/>
      <c r="M32" s="287" t="s">
        <v>86</v>
      </c>
      <c r="N32" s="288"/>
      <c r="O32" s="54"/>
      <c r="P32" s="287" t="s">
        <v>86</v>
      </c>
      <c r="Q32" s="288"/>
      <c r="R32" s="54"/>
      <c r="S32" s="239"/>
      <c r="T32" s="241"/>
      <c r="U32" s="211"/>
      <c r="V32" s="3"/>
      <c r="W32" s="4"/>
      <c r="X32" s="4"/>
      <c r="Y32" s="4"/>
      <c r="Z32" s="4"/>
      <c r="AA32" s="4"/>
      <c r="AB32" s="4"/>
      <c r="AC32" s="4"/>
      <c r="AD32" s="4"/>
      <c r="AE32" s="4"/>
      <c r="AF32" s="4"/>
      <c r="AG32" s="4"/>
      <c r="AH32" s="4"/>
      <c r="AI32" s="4"/>
      <c r="AJ32" s="4"/>
      <c r="AK32" s="4"/>
      <c r="AL32" s="4"/>
      <c r="AM32" s="4"/>
      <c r="AN32" s="4"/>
      <c r="AO32" s="4"/>
    </row>
    <row r="33" spans="1:41" ht="13.5" customHeight="1">
      <c r="A33" s="189" t="s">
        <v>88</v>
      </c>
      <c r="B33" s="192"/>
      <c r="C33" s="195"/>
      <c r="D33" s="198">
        <f>B33+C33</f>
        <v>0</v>
      </c>
      <c r="E33" s="201"/>
      <c r="F33" s="202"/>
      <c r="G33" s="202"/>
      <c r="H33" s="202"/>
      <c r="I33" s="202"/>
      <c r="J33" s="202"/>
      <c r="K33" s="202"/>
      <c r="L33" s="202"/>
      <c r="M33" s="287" t="s">
        <v>84</v>
      </c>
      <c r="N33" s="288"/>
      <c r="O33" s="54"/>
      <c r="P33" s="287" t="s">
        <v>84</v>
      </c>
      <c r="Q33" s="288"/>
      <c r="R33" s="54"/>
      <c r="S33" s="289">
        <f>S41+S42+S43+T41+T42+T43+U41+U42</f>
        <v>0</v>
      </c>
      <c r="T33" s="236"/>
      <c r="U33" s="290">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90"/>
      <c r="B34" s="193"/>
      <c r="C34" s="196"/>
      <c r="D34" s="199"/>
      <c r="E34" s="193"/>
      <c r="F34" s="196"/>
      <c r="G34" s="196"/>
      <c r="H34" s="196"/>
      <c r="I34" s="196"/>
      <c r="J34" s="196"/>
      <c r="K34" s="196"/>
      <c r="L34" s="196"/>
      <c r="M34" s="287" t="s">
        <v>85</v>
      </c>
      <c r="N34" s="288"/>
      <c r="O34" s="54"/>
      <c r="P34" s="287" t="s">
        <v>85</v>
      </c>
      <c r="Q34" s="288"/>
      <c r="R34" s="54"/>
      <c r="S34" s="237"/>
      <c r="T34" s="238"/>
      <c r="U34" s="199"/>
      <c r="V34" s="3"/>
      <c r="W34" s="4"/>
      <c r="X34" s="4"/>
      <c r="Y34" s="4"/>
      <c r="Z34" s="4"/>
      <c r="AA34" s="4"/>
      <c r="AB34" s="4"/>
      <c r="AC34" s="4"/>
      <c r="AD34" s="4"/>
      <c r="AE34" s="4"/>
      <c r="AF34" s="4"/>
      <c r="AG34" s="4"/>
      <c r="AH34" s="4"/>
      <c r="AI34" s="4"/>
      <c r="AJ34" s="4"/>
      <c r="AK34" s="4"/>
      <c r="AL34" s="4"/>
      <c r="AM34" s="4"/>
      <c r="AN34" s="4"/>
      <c r="AO34" s="4"/>
    </row>
    <row r="35" spans="1:41" ht="13.5" customHeight="1">
      <c r="A35" s="191"/>
      <c r="B35" s="194"/>
      <c r="C35" s="197"/>
      <c r="D35" s="200"/>
      <c r="E35" s="194"/>
      <c r="F35" s="197"/>
      <c r="G35" s="197"/>
      <c r="H35" s="197"/>
      <c r="I35" s="197"/>
      <c r="J35" s="197"/>
      <c r="K35" s="197"/>
      <c r="L35" s="197"/>
      <c r="M35" s="294" t="s">
        <v>86</v>
      </c>
      <c r="N35" s="295"/>
      <c r="O35" s="55"/>
      <c r="P35" s="294" t="s">
        <v>86</v>
      </c>
      <c r="Q35" s="295"/>
      <c r="R35" s="55"/>
      <c r="S35" s="293"/>
      <c r="T35" s="276"/>
      <c r="U35" s="20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2" t="s">
        <v>90</v>
      </c>
      <c r="B38" s="213"/>
      <c r="C38" s="213"/>
      <c r="D38" s="213"/>
      <c r="E38" s="214"/>
      <c r="F38" s="56"/>
      <c r="G38" s="251" t="s">
        <v>91</v>
      </c>
      <c r="H38" s="236"/>
      <c r="I38" s="4"/>
      <c r="J38" s="212" t="s">
        <v>92</v>
      </c>
      <c r="K38" s="213"/>
      <c r="L38" s="213"/>
      <c r="M38" s="213"/>
      <c r="N38" s="213"/>
      <c r="O38" s="213"/>
      <c r="P38" s="213"/>
      <c r="Q38" s="213"/>
      <c r="R38" s="213"/>
      <c r="S38" s="213"/>
      <c r="T38" s="213"/>
      <c r="U38" s="214"/>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239"/>
      <c r="H39" s="241"/>
      <c r="I39" s="4"/>
      <c r="J39" s="252" t="s">
        <v>94</v>
      </c>
      <c r="K39" s="235"/>
      <c r="L39" s="236"/>
      <c r="M39" s="291" t="s">
        <v>95</v>
      </c>
      <c r="N39" s="218"/>
      <c r="O39" s="219"/>
      <c r="P39" s="291" t="s">
        <v>87</v>
      </c>
      <c r="Q39" s="218"/>
      <c r="R39" s="219"/>
      <c r="S39" s="291" t="s">
        <v>88</v>
      </c>
      <c r="T39" s="218"/>
      <c r="U39" s="292"/>
      <c r="V39" s="3"/>
      <c r="W39" s="4"/>
      <c r="X39" s="4"/>
      <c r="Y39" s="4"/>
      <c r="Z39" s="4"/>
      <c r="AA39" s="4"/>
      <c r="AB39" s="4"/>
      <c r="AC39" s="4"/>
      <c r="AD39" s="4"/>
      <c r="AE39" s="4"/>
      <c r="AF39" s="4"/>
      <c r="AG39" s="4"/>
      <c r="AH39" s="4"/>
      <c r="AI39" s="4"/>
      <c r="AJ39" s="4"/>
      <c r="AK39" s="4"/>
      <c r="AL39" s="4"/>
      <c r="AM39" s="4"/>
      <c r="AN39" s="4"/>
      <c r="AO39" s="4"/>
    </row>
    <row r="40" spans="1:41" ht="15" customHeight="1">
      <c r="A40" s="207" t="s">
        <v>96</v>
      </c>
      <c r="B40" s="209"/>
      <c r="C40" s="209"/>
      <c r="D40" s="209"/>
      <c r="E40" s="210">
        <f>B40+C40+D40</f>
        <v>0</v>
      </c>
      <c r="F40" s="203"/>
      <c r="G40" s="205" t="s">
        <v>97</v>
      </c>
      <c r="H40" s="209">
        <f>$E$17+$F$18</f>
        <v>0</v>
      </c>
      <c r="I40" s="4"/>
      <c r="J40" s="253"/>
      <c r="K40" s="240"/>
      <c r="L40" s="241"/>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208"/>
      <c r="B41" s="206"/>
      <c r="C41" s="206"/>
      <c r="D41" s="206"/>
      <c r="E41" s="211"/>
      <c r="F41" s="204"/>
      <c r="G41" s="206"/>
      <c r="H41" s="206"/>
      <c r="I41" s="4"/>
      <c r="J41" s="244" t="s">
        <v>101</v>
      </c>
      <c r="K41" s="218"/>
      <c r="L41" s="219"/>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07" t="s">
        <v>102</v>
      </c>
      <c r="B42" s="209"/>
      <c r="C42" s="209"/>
      <c r="D42" s="209"/>
      <c r="E42" s="210">
        <f>B42+C42+D42</f>
        <v>0</v>
      </c>
      <c r="F42" s="203"/>
      <c r="G42" s="205" t="s">
        <v>103</v>
      </c>
      <c r="H42" s="209"/>
      <c r="I42" s="4"/>
      <c r="J42" s="244" t="s">
        <v>104</v>
      </c>
      <c r="K42" s="218"/>
      <c r="L42" s="219"/>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208"/>
      <c r="B43" s="206"/>
      <c r="C43" s="206"/>
      <c r="D43" s="206"/>
      <c r="E43" s="211"/>
      <c r="F43" s="204"/>
      <c r="G43" s="206"/>
      <c r="H43" s="206"/>
      <c r="I43" s="4"/>
      <c r="J43" s="245" t="s">
        <v>105</v>
      </c>
      <c r="K43" s="221"/>
      <c r="L43" s="222"/>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07" t="s">
        <v>106</v>
      </c>
      <c r="B44" s="209"/>
      <c r="C44" s="209"/>
      <c r="D44" s="209"/>
      <c r="E44" s="210">
        <f>B44+C44+D44</f>
        <v>0</v>
      </c>
      <c r="F44" s="203"/>
      <c r="G44" s="205" t="s">
        <v>107</v>
      </c>
      <c r="H44" s="209"/>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194"/>
      <c r="B45" s="197"/>
      <c r="C45" s="197"/>
      <c r="D45" s="197"/>
      <c r="E45" s="200"/>
      <c r="F45" s="204"/>
      <c r="G45" s="206"/>
      <c r="H45" s="206"/>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2" t="s">
        <v>109</v>
      </c>
      <c r="G46" s="204"/>
      <c r="H46" s="204"/>
      <c r="I46" s="4"/>
      <c r="J46" s="4"/>
      <c r="K46" s="4"/>
      <c r="L46" s="67" t="s">
        <v>110</v>
      </c>
      <c r="M46" s="67"/>
      <c r="N46" s="67"/>
      <c r="O46" s="67"/>
      <c r="P46" s="67"/>
      <c r="Q46" s="243"/>
      <c r="R46" s="231"/>
      <c r="S46" s="231"/>
      <c r="T46" s="231"/>
      <c r="U46" s="231"/>
      <c r="V46" s="3"/>
      <c r="W46" s="4"/>
      <c r="X46" s="4"/>
      <c r="Y46" s="4"/>
      <c r="Z46" s="4"/>
      <c r="AA46" s="4"/>
      <c r="AB46" s="4"/>
      <c r="AC46" s="4"/>
      <c r="AD46" s="4"/>
      <c r="AE46" s="4"/>
      <c r="AF46" s="4"/>
      <c r="AG46" s="4"/>
      <c r="AH46" s="4"/>
      <c r="AI46" s="4"/>
      <c r="AJ46" s="4"/>
      <c r="AK46" s="4"/>
      <c r="AL46" s="4"/>
      <c r="AM46" s="4"/>
      <c r="AN46" s="4"/>
      <c r="AO46" s="4"/>
    </row>
    <row r="47" spans="1:41" ht="13.5" customHeight="1">
      <c r="A47" s="233"/>
      <c r="B47" s="69"/>
      <c r="C47" s="69"/>
      <c r="D47" s="69"/>
      <c r="E47" s="234"/>
      <c r="F47" s="235"/>
      <c r="G47" s="235"/>
      <c r="H47" s="235"/>
      <c r="I47" s="235"/>
      <c r="J47" s="236"/>
      <c r="K47" s="67"/>
      <c r="L47" s="67" t="s">
        <v>111</v>
      </c>
      <c r="M47" s="243"/>
      <c r="N47" s="231"/>
      <c r="O47" s="231"/>
      <c r="P47" s="231"/>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4"/>
      <c r="B48" s="69"/>
      <c r="C48" s="69"/>
      <c r="D48" s="69"/>
      <c r="E48" s="237"/>
      <c r="F48" s="204"/>
      <c r="G48" s="204"/>
      <c r="H48" s="204"/>
      <c r="I48" s="204"/>
      <c r="J48" s="238"/>
      <c r="K48" s="67"/>
      <c r="L48" s="67" t="s">
        <v>112</v>
      </c>
      <c r="M48" s="228"/>
      <c r="N48" s="229"/>
      <c r="O48" s="229"/>
      <c r="P48" s="229"/>
      <c r="Q48" s="67"/>
      <c r="R48" s="70" t="s">
        <v>113</v>
      </c>
      <c r="S48" s="230"/>
      <c r="T48" s="231"/>
      <c r="U48" s="4"/>
      <c r="V48" s="3"/>
      <c r="W48" s="4"/>
      <c r="X48" s="4"/>
      <c r="Y48" s="4"/>
      <c r="Z48" s="4"/>
      <c r="AA48" s="4"/>
      <c r="AB48" s="4"/>
      <c r="AC48" s="4"/>
      <c r="AD48" s="4"/>
      <c r="AE48" s="4"/>
      <c r="AF48" s="4"/>
      <c r="AG48" s="4"/>
      <c r="AH48" s="4"/>
      <c r="AI48" s="4"/>
      <c r="AJ48" s="4"/>
      <c r="AK48" s="4"/>
      <c r="AL48" s="4"/>
      <c r="AM48" s="4"/>
      <c r="AN48" s="4"/>
      <c r="AO48" s="4"/>
    </row>
    <row r="49" spans="1:41" ht="13.5" customHeight="1">
      <c r="A49" s="203"/>
      <c r="B49" s="60"/>
      <c r="C49" s="60"/>
      <c r="D49" s="60"/>
      <c r="E49" s="237"/>
      <c r="F49" s="204"/>
      <c r="G49" s="204"/>
      <c r="H49" s="204"/>
      <c r="I49" s="204"/>
      <c r="J49" s="238"/>
      <c r="K49" s="67"/>
      <c r="L49" s="67" t="s">
        <v>114</v>
      </c>
      <c r="M49" s="232"/>
      <c r="N49" s="229"/>
      <c r="O49" s="229"/>
      <c r="P49" s="229"/>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4"/>
      <c r="B50" s="60"/>
      <c r="C50" s="60"/>
      <c r="D50" s="60"/>
      <c r="E50" s="239"/>
      <c r="F50" s="240"/>
      <c r="G50" s="240"/>
      <c r="H50" s="240"/>
      <c r="I50" s="240"/>
      <c r="J50" s="241"/>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4" t="s">
        <v>398</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t="s">
        <v>168</v>
      </c>
      <c r="F315" s="71" t="s">
        <v>171</v>
      </c>
      <c r="G315" s="71" t="s">
        <v>399</v>
      </c>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c r="F316" s="71"/>
      <c r="G316" s="71"/>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174</v>
      </c>
      <c r="G317" s="71" t="s">
        <v>400</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401</v>
      </c>
      <c r="G318" s="71" t="s">
        <v>402</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403</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404</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174</v>
      </c>
      <c r="G321" s="71" t="s">
        <v>405</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406</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407</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408</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409</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176</v>
      </c>
      <c r="G326" s="71" t="s">
        <v>410</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412</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413</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414</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415</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416</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417</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418</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411</v>
      </c>
      <c r="G334" s="71" t="s">
        <v>419</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420</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421</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422</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178</v>
      </c>
      <c r="G338" s="71" t="s">
        <v>423</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424</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180</v>
      </c>
      <c r="G340" s="71" t="s">
        <v>425</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426</v>
      </c>
      <c r="G341" s="71" t="s">
        <v>427</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180</v>
      </c>
      <c r="G342" s="71" t="s">
        <v>428</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430</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431</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432</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429</v>
      </c>
      <c r="G346" s="71" t="s">
        <v>433</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434</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1" t="s">
        <v>435</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436</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4" t="s">
        <v>437</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438</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439</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182</v>
      </c>
      <c r="G353" s="71" t="s">
        <v>440</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441</v>
      </c>
      <c r="G354" s="71" t="s">
        <v>442</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444</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t="s">
        <v>168</v>
      </c>
      <c r="F356" s="71" t="s">
        <v>443</v>
      </c>
      <c r="G356" s="71" t="s">
        <v>445</v>
      </c>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c r="F357" s="71"/>
      <c r="G357" s="71"/>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446</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4" t="s">
        <v>447</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t="s">
        <v>168</v>
      </c>
      <c r="F360" s="71" t="s">
        <v>443</v>
      </c>
      <c r="G360" s="71" t="s">
        <v>448</v>
      </c>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c r="F361" s="71"/>
      <c r="G361" s="71"/>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449</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450</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451</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185</v>
      </c>
      <c r="G365" s="71" t="s">
        <v>452</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454</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455</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t="s">
        <v>168</v>
      </c>
      <c r="F368" s="71" t="s">
        <v>453</v>
      </c>
      <c r="G368" s="71" t="s">
        <v>456</v>
      </c>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c r="F369" s="71"/>
      <c r="G369" s="71"/>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457</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458</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t="s">
        <v>168</v>
      </c>
      <c r="F372" s="71" t="s">
        <v>186</v>
      </c>
      <c r="G372" s="71" t="s">
        <v>459</v>
      </c>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c r="F374" s="71"/>
      <c r="G374" s="71"/>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460</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461</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t="s">
        <v>168</v>
      </c>
      <c r="F377" s="71" t="s">
        <v>187</v>
      </c>
      <c r="G377" s="71" t="s">
        <v>462</v>
      </c>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c r="F378" s="71"/>
      <c r="G378" s="71"/>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463</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464</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188</v>
      </c>
      <c r="G381" s="71" t="s">
        <v>465</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467</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466</v>
      </c>
      <c r="G383" s="71" t="s">
        <v>468</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1" t="s">
        <v>469</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470</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471</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472</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473</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474</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475</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476</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2" t="s">
        <v>477</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168</v>
      </c>
      <c r="F393" s="71" t="s">
        <v>188</v>
      </c>
      <c r="G393" s="71" t="s">
        <v>478</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479</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480</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481</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482</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483</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484</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190</v>
      </c>
      <c r="G400" s="71" t="s">
        <v>485</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192</v>
      </c>
      <c r="G401" s="71" t="s">
        <v>486</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488</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489</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490</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487</v>
      </c>
      <c r="G405" s="71" t="s">
        <v>491</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487</v>
      </c>
      <c r="G406" s="71" t="s">
        <v>492</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194</v>
      </c>
      <c r="G407" s="71" t="s">
        <v>493</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494</v>
      </c>
      <c r="G408" s="71" t="s">
        <v>495</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497</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498</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499</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500</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496</v>
      </c>
      <c r="G413" s="71" t="s">
        <v>501</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496</v>
      </c>
      <c r="G414" s="71" t="s">
        <v>502</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503</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504</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505</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506</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507</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196</v>
      </c>
      <c r="G420" s="71" t="s">
        <v>508</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196</v>
      </c>
      <c r="G421" s="71" t="s">
        <v>509</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510</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189</v>
      </c>
      <c r="G423" s="71" t="s">
        <v>511</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512</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514</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189</v>
      </c>
      <c r="G426" s="71" t="s">
        <v>515</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516</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517</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513</v>
      </c>
      <c r="G429" s="71" t="s">
        <v>518</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513</v>
      </c>
      <c r="G430" s="71" t="s">
        <v>519</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199</v>
      </c>
      <c r="G431" s="71" t="s">
        <v>520</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521</v>
      </c>
      <c r="G432" s="71" t="s">
        <v>522</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521</v>
      </c>
      <c r="G433" s="71" t="s">
        <v>523</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524</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199</v>
      </c>
      <c r="G435" s="71" t="s">
        <v>525</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199</v>
      </c>
      <c r="G436" s="71" t="s">
        <v>526</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527</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t="s">
        <v>189</v>
      </c>
      <c r="F438" s="71" t="s">
        <v>202</v>
      </c>
      <c r="G438" s="71" t="s">
        <v>528</v>
      </c>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t="s">
        <v>189</v>
      </c>
      <c r="F439" s="71" t="s">
        <v>202</v>
      </c>
      <c r="G439" s="71" t="s">
        <v>529</v>
      </c>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c r="F440" s="71"/>
      <c r="G440" s="71"/>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c r="F441" s="71"/>
      <c r="G441" s="71"/>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530</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t="s">
        <v>189</v>
      </c>
      <c r="F443" s="71" t="s">
        <v>204</v>
      </c>
      <c r="G443" s="71" t="s">
        <v>531</v>
      </c>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204</v>
      </c>
      <c r="G444" s="71" t="s">
        <v>532</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204</v>
      </c>
      <c r="G445" s="71" t="s">
        <v>533</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c r="F446" s="71"/>
      <c r="G446" s="71"/>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t="s">
        <v>189</v>
      </c>
      <c r="F447" s="71" t="s">
        <v>534</v>
      </c>
      <c r="G447" s="71" t="s">
        <v>535</v>
      </c>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206</v>
      </c>
      <c r="G448" s="72" t="s">
        <v>536</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206</v>
      </c>
      <c r="G449" s="71" t="s">
        <v>537</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c r="F450" s="71"/>
      <c r="G450" s="71"/>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538</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539</v>
      </c>
      <c r="G452" s="71" t="s">
        <v>540</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541</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542</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543</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189</v>
      </c>
      <c r="F456" s="71" t="s">
        <v>208</v>
      </c>
      <c r="G456" s="71" t="s">
        <v>544</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189</v>
      </c>
      <c r="F457" s="71" t="s">
        <v>208</v>
      </c>
      <c r="G457" s="71" t="s">
        <v>545</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189</v>
      </c>
      <c r="F458" s="71" t="s">
        <v>208</v>
      </c>
      <c r="G458" s="71" t="s">
        <v>546</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547</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548</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549</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550</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551</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t="s">
        <v>210</v>
      </c>
      <c r="F464" s="71" t="s">
        <v>211</v>
      </c>
      <c r="G464" s="71" t="s">
        <v>552</v>
      </c>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210</v>
      </c>
      <c r="F465" s="71" t="s">
        <v>211</v>
      </c>
      <c r="G465" s="71" t="s">
        <v>553</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211</v>
      </c>
      <c r="G466" s="71" t="s">
        <v>554</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c r="F467" s="71"/>
      <c r="G467" s="71"/>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555</v>
      </c>
      <c r="F468" s="71" t="s">
        <v>555</v>
      </c>
      <c r="G468" s="71" t="s">
        <v>556</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210</v>
      </c>
      <c r="G469" s="71" t="s">
        <v>557</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559</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560</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558</v>
      </c>
      <c r="G472" s="71" t="s">
        <v>561</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558</v>
      </c>
      <c r="G473" s="71" t="s">
        <v>562</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563</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564</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565</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566</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567</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t="s">
        <v>210</v>
      </c>
      <c r="F479" s="71" t="s">
        <v>210</v>
      </c>
      <c r="G479" s="71" t="s">
        <v>568</v>
      </c>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t="s">
        <v>210</v>
      </c>
      <c r="F480" s="71" t="s">
        <v>210</v>
      </c>
      <c r="G480" s="71" t="s">
        <v>569</v>
      </c>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t="s">
        <v>210</v>
      </c>
      <c r="F481" s="71" t="s">
        <v>210</v>
      </c>
      <c r="G481" s="71" t="s">
        <v>570</v>
      </c>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c r="F482" s="71"/>
      <c r="G482" s="71"/>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c r="F483" s="71"/>
      <c r="G483" s="71"/>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c r="F484" s="71"/>
      <c r="G484" s="71"/>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571</v>
      </c>
      <c r="G485" s="71" t="s">
        <v>572</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574</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575</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576</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577</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578</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579</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580</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573</v>
      </c>
      <c r="G493" s="71" t="s">
        <v>581</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573</v>
      </c>
      <c r="G494" s="71" t="s">
        <v>582</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573</v>
      </c>
      <c r="G495" s="71" t="s">
        <v>583</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584</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585</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586</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210</v>
      </c>
      <c r="F499" s="71" t="s">
        <v>216</v>
      </c>
      <c r="G499" s="71" t="s">
        <v>587</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210</v>
      </c>
      <c r="F500" s="71" t="s">
        <v>216</v>
      </c>
      <c r="G500" s="71" t="s">
        <v>588</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210</v>
      </c>
      <c r="F501" s="71" t="s">
        <v>216</v>
      </c>
      <c r="G501" s="71" t="s">
        <v>589</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219</v>
      </c>
      <c r="G502" s="71" t="s">
        <v>590</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591</v>
      </c>
      <c r="G503" s="71" t="s">
        <v>592</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593</v>
      </c>
      <c r="G504" s="71" t="s">
        <v>594</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593</v>
      </c>
      <c r="G505" s="71" t="s">
        <v>595</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596</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597</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598</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599</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600</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601</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602</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603</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219</v>
      </c>
      <c r="G514" s="71" t="s">
        <v>604</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219</v>
      </c>
      <c r="G515" s="71" t="s">
        <v>605</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219</v>
      </c>
      <c r="G516" s="71" t="s">
        <v>606</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607</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1" t="s">
        <v>608</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609</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t="s">
        <v>218</v>
      </c>
      <c r="F520" s="71" t="s">
        <v>226</v>
      </c>
      <c r="G520" s="71" t="s">
        <v>610</v>
      </c>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226</v>
      </c>
      <c r="G521" s="74" t="s">
        <v>611</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226</v>
      </c>
      <c r="G522" s="71" t="s">
        <v>612</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c r="F523" s="71"/>
      <c r="G523" s="71"/>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613</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t="s">
        <v>218</v>
      </c>
      <c r="F525" s="71" t="s">
        <v>221</v>
      </c>
      <c r="G525" s="71" t="s">
        <v>614</v>
      </c>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t="s">
        <v>218</v>
      </c>
      <c r="F526" s="71" t="s">
        <v>221</v>
      </c>
      <c r="G526" s="71" t="s">
        <v>615</v>
      </c>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221</v>
      </c>
      <c r="G527" s="71" t="s">
        <v>616</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c r="F528" s="71"/>
      <c r="G528" s="71"/>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c r="F529" s="71"/>
      <c r="G529" s="71"/>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617</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618</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619</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620</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223</v>
      </c>
      <c r="G534" s="71" t="s">
        <v>621</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223</v>
      </c>
      <c r="G535" s="71" t="s">
        <v>622</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223</v>
      </c>
      <c r="G536" s="71" t="s">
        <v>623</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225</v>
      </c>
      <c r="G537" s="71" t="s">
        <v>624</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225</v>
      </c>
      <c r="G538" s="71" t="s">
        <v>625</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626</v>
      </c>
      <c r="G539" s="71" t="s">
        <v>627</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626</v>
      </c>
      <c r="G540" s="71" t="s">
        <v>628</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626</v>
      </c>
      <c r="G541" s="71" t="s">
        <v>629</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630</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225</v>
      </c>
      <c r="G543" s="71" t="s">
        <v>631</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225</v>
      </c>
      <c r="G544" s="71" t="s">
        <v>632</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225</v>
      </c>
      <c r="G545" s="71" t="s">
        <v>633</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634</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635</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636</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229</v>
      </c>
      <c r="G549" s="71" t="s">
        <v>637</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229</v>
      </c>
      <c r="G550" s="71" t="s">
        <v>638</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229</v>
      </c>
      <c r="G551" s="71" t="s">
        <v>639</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641</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640</v>
      </c>
      <c r="G553" s="71" t="s">
        <v>642</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640</v>
      </c>
      <c r="G554" s="71" t="s">
        <v>643</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640</v>
      </c>
      <c r="G555" s="71" t="s">
        <v>644</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218</v>
      </c>
      <c r="G556" s="71" t="s">
        <v>645</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218</v>
      </c>
      <c r="G557" s="71" t="s">
        <v>646</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648</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649</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650</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651</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652</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653</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647</v>
      </c>
      <c r="G564" s="71" t="s">
        <v>654</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647</v>
      </c>
      <c r="G565" s="71" t="s">
        <v>655</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647</v>
      </c>
      <c r="G566" s="71" t="s">
        <v>656</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657</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231</v>
      </c>
      <c r="G568" s="71" t="s">
        <v>658</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231</v>
      </c>
      <c r="G569" s="71" t="s">
        <v>659</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231</v>
      </c>
      <c r="G570" s="71" t="s">
        <v>660</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662</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663</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t="s">
        <v>218</v>
      </c>
      <c r="F573" s="71" t="s">
        <v>661</v>
      </c>
      <c r="G573" s="71" t="s">
        <v>664</v>
      </c>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218</v>
      </c>
      <c r="F574" s="71" t="s">
        <v>661</v>
      </c>
      <c r="G574" s="71" t="s">
        <v>665</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218</v>
      </c>
      <c r="F575" s="71" t="s">
        <v>661</v>
      </c>
      <c r="G575" s="71" t="s">
        <v>666</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c r="F576" s="71"/>
      <c r="G576" s="71"/>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667</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668</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669</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670</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671</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672</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673</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674</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675</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233</v>
      </c>
      <c r="G586" s="71" t="s">
        <v>676</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233</v>
      </c>
      <c r="G587" s="71" t="s">
        <v>677</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233</v>
      </c>
      <c r="G588" s="71" t="s">
        <v>678</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236</v>
      </c>
      <c r="G589" s="71" t="s">
        <v>679</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680</v>
      </c>
      <c r="G590" s="71" t="s">
        <v>681</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683</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684</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685</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686</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682</v>
      </c>
      <c r="G595" s="71" t="s">
        <v>687</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682</v>
      </c>
      <c r="G596" s="71" t="s">
        <v>688</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682</v>
      </c>
      <c r="G597" s="71" t="s">
        <v>689</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239</v>
      </c>
      <c r="G598" s="71" t="s">
        <v>690</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692</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693</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691</v>
      </c>
      <c r="G601" s="71" t="s">
        <v>694</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691</v>
      </c>
      <c r="G602" s="71" t="s">
        <v>695</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691</v>
      </c>
      <c r="G603" s="71" t="s">
        <v>696</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697</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t="s">
        <v>232</v>
      </c>
      <c r="F605" s="71" t="s">
        <v>241</v>
      </c>
      <c r="G605" s="71" t="s">
        <v>698</v>
      </c>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241</v>
      </c>
      <c r="G606" s="71" t="s">
        <v>699</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241</v>
      </c>
      <c r="G607" s="71" t="s">
        <v>700</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c r="F608" s="71"/>
      <c r="G608" s="71"/>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701</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702</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703</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704</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705</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243</v>
      </c>
      <c r="G614" s="71" t="s">
        <v>706</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243</v>
      </c>
      <c r="G615" s="71" t="s">
        <v>707</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243</v>
      </c>
      <c r="G616" s="71" t="s">
        <v>708</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709</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710</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t="s">
        <v>232</v>
      </c>
      <c r="F619" s="71" t="s">
        <v>245</v>
      </c>
      <c r="G619" s="71" t="s">
        <v>711</v>
      </c>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245</v>
      </c>
      <c r="G620" s="71" t="s">
        <v>712</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245</v>
      </c>
      <c r="G621" s="71" t="s">
        <v>713</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c r="F622" s="71"/>
      <c r="G622" s="71"/>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714</v>
      </c>
      <c r="G623" s="71" t="s">
        <v>715</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716</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717</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718</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719</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720</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232</v>
      </c>
      <c r="G629" s="71" t="s">
        <v>721</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232</v>
      </c>
      <c r="G630" s="71" t="s">
        <v>722</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232</v>
      </c>
      <c r="G631" s="71" t="s">
        <v>723</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724</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725</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726</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232</v>
      </c>
      <c r="F635" s="71" t="s">
        <v>248</v>
      </c>
      <c r="G635" s="71" t="s">
        <v>727</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232</v>
      </c>
      <c r="F636" s="71" t="s">
        <v>248</v>
      </c>
      <c r="G636" s="71" t="s">
        <v>728</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232</v>
      </c>
      <c r="F637" s="71" t="s">
        <v>248</v>
      </c>
      <c r="G637" s="71" t="s">
        <v>729</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251</v>
      </c>
      <c r="G638" s="71" t="s">
        <v>730</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251</v>
      </c>
      <c r="G639" s="71" t="s">
        <v>731</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733</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734</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735</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736</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t="s">
        <v>250</v>
      </c>
      <c r="F644" s="71" t="s">
        <v>732</v>
      </c>
      <c r="G644" s="71" t="s">
        <v>737</v>
      </c>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t="s">
        <v>250</v>
      </c>
      <c r="F645" s="71" t="s">
        <v>732</v>
      </c>
      <c r="G645" s="71" t="s">
        <v>738</v>
      </c>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732</v>
      </c>
      <c r="G646" s="71" t="s">
        <v>739</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c r="F647" s="71"/>
      <c r="G647" s="71"/>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c r="F648" s="71"/>
      <c r="G648" s="71"/>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252</v>
      </c>
      <c r="G649" s="71" t="s">
        <v>740</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252</v>
      </c>
      <c r="G650" s="71" t="s">
        <v>741</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743</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744</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742</v>
      </c>
      <c r="G653" s="71" t="s">
        <v>745</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742</v>
      </c>
      <c r="G654" s="71" t="s">
        <v>746</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742</v>
      </c>
      <c r="G655" s="71" t="s">
        <v>747</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254</v>
      </c>
      <c r="G656" s="71" t="s">
        <v>748</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254</v>
      </c>
      <c r="G657" s="71" t="s">
        <v>749</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751</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752</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753</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754</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750</v>
      </c>
      <c r="G662" s="71" t="s">
        <v>755</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750</v>
      </c>
      <c r="G663" s="71" t="s">
        <v>756</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750</v>
      </c>
      <c r="G664" s="71" t="s">
        <v>757</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250</v>
      </c>
      <c r="G665" s="71" t="s">
        <v>758</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759</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760</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761</v>
      </c>
      <c r="G668" s="71" t="s">
        <v>762</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250</v>
      </c>
      <c r="G669" s="71" t="s">
        <v>763</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250</v>
      </c>
      <c r="G670" s="71" t="s">
        <v>764</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250</v>
      </c>
      <c r="G671" s="71" t="s">
        <v>765</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2" t="s">
        <v>766</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767</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t="s">
        <v>250</v>
      </c>
      <c r="F674" s="71" t="s">
        <v>761</v>
      </c>
      <c r="G674" s="71" t="s">
        <v>768</v>
      </c>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t="s">
        <v>250</v>
      </c>
      <c r="F675" s="71" t="s">
        <v>761</v>
      </c>
      <c r="G675" s="71" t="s">
        <v>769</v>
      </c>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t="s">
        <v>250</v>
      </c>
      <c r="F676" s="71" t="s">
        <v>761</v>
      </c>
      <c r="G676" s="71" t="s">
        <v>770</v>
      </c>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71"/>
      <c r="B774" s="71"/>
      <c r="C774" s="71"/>
      <c r="D774" s="71"/>
      <c r="E774" s="71"/>
      <c r="F774" s="71"/>
      <c r="G774" s="71"/>
      <c r="H774" s="71"/>
      <c r="I774" s="71"/>
      <c r="J774" s="71"/>
      <c r="K774" s="71"/>
      <c r="L774" s="71"/>
      <c r="M774" s="71"/>
      <c r="N774" s="71"/>
      <c r="O774" s="71"/>
      <c r="P774" s="71"/>
      <c r="Q774" s="71"/>
      <c r="R774" s="71"/>
      <c r="S774" s="71"/>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row>
    <row r="775" spans="1:41" ht="25.5" hidden="1" customHeight="1">
      <c r="A775" s="71"/>
      <c r="B775" s="71"/>
      <c r="C775" s="71"/>
      <c r="D775" s="71"/>
      <c r="E775" s="71"/>
      <c r="F775" s="71"/>
      <c r="G775" s="71"/>
      <c r="H775" s="71"/>
      <c r="I775" s="71"/>
      <c r="J775" s="71"/>
      <c r="K775" s="71"/>
      <c r="L775" s="71"/>
      <c r="M775" s="71"/>
      <c r="N775" s="71"/>
      <c r="O775" s="71"/>
      <c r="P775" s="71"/>
      <c r="Q775" s="71"/>
      <c r="R775" s="71"/>
      <c r="S775" s="71"/>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row>
    <row r="776" spans="1:41" ht="25.5" hidden="1" customHeight="1">
      <c r="A776" s="71"/>
      <c r="B776" s="71"/>
      <c r="C776" s="71"/>
      <c r="D776" s="71"/>
      <c r="E776" s="71"/>
      <c r="F776" s="71"/>
      <c r="G776" s="71"/>
      <c r="H776" s="71"/>
      <c r="I776" s="71"/>
      <c r="J776" s="71"/>
      <c r="K776" s="71"/>
      <c r="L776" s="71"/>
      <c r="M776" s="71"/>
      <c r="N776" s="71"/>
      <c r="O776" s="71"/>
      <c r="P776" s="71"/>
      <c r="Q776" s="71"/>
      <c r="R776" s="71"/>
      <c r="S776" s="71"/>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5" t="s">
        <v>0</v>
      </c>
      <c r="B1" s="204"/>
      <c r="C1" s="204"/>
      <c r="D1" s="204"/>
      <c r="E1" s="204"/>
      <c r="F1" s="204"/>
      <c r="G1" s="204"/>
      <c r="H1" s="204"/>
      <c r="I1" s="204"/>
      <c r="J1" s="204"/>
      <c r="K1" s="204"/>
      <c r="L1" s="204"/>
      <c r="M1" s="204"/>
      <c r="N1" s="204"/>
      <c r="O1" s="204"/>
      <c r="P1" s="204"/>
      <c r="Q1" s="204"/>
      <c r="R1" s="204"/>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5" t="s">
        <v>2</v>
      </c>
      <c r="B2" s="204"/>
      <c r="C2" s="204"/>
      <c r="D2" s="204"/>
      <c r="E2" s="204"/>
      <c r="F2" s="204"/>
      <c r="G2" s="204"/>
      <c r="H2" s="204"/>
      <c r="I2" s="204"/>
      <c r="J2" s="204"/>
      <c r="K2" s="204"/>
      <c r="L2" s="204"/>
      <c r="M2" s="204"/>
      <c r="N2" s="204"/>
      <c r="O2" s="204"/>
      <c r="P2" s="204"/>
      <c r="Q2" s="204"/>
      <c r="R2" s="204"/>
      <c r="S2" s="204"/>
      <c r="T2" s="204"/>
      <c r="U2" s="204"/>
      <c r="V2" s="5"/>
      <c r="W2" s="2"/>
      <c r="X2" s="2"/>
      <c r="Y2" s="4"/>
      <c r="Z2" s="4"/>
      <c r="AA2" s="4"/>
      <c r="AB2" s="4"/>
      <c r="AC2" s="4"/>
      <c r="AD2" s="4"/>
      <c r="AE2" s="4"/>
      <c r="AF2" s="4"/>
      <c r="AG2" s="4"/>
      <c r="AH2" s="4"/>
      <c r="AI2" s="4"/>
      <c r="AJ2" s="4"/>
      <c r="AK2" s="4"/>
      <c r="AL2" s="4"/>
      <c r="AM2" s="4"/>
      <c r="AN2" s="4"/>
      <c r="AO2" s="4"/>
    </row>
    <row r="3" spans="1:41" ht="13.5" customHeight="1">
      <c r="A3" s="265" t="s">
        <v>3</v>
      </c>
      <c r="B3" s="204"/>
      <c r="C3" s="204"/>
      <c r="D3" s="204"/>
      <c r="E3" s="204"/>
      <c r="F3" s="204"/>
      <c r="G3" s="204"/>
      <c r="H3" s="204"/>
      <c r="I3" s="204"/>
      <c r="J3" s="204"/>
      <c r="K3" s="204"/>
      <c r="L3" s="204"/>
      <c r="M3" s="204"/>
      <c r="N3" s="204"/>
      <c r="O3" s="204"/>
      <c r="P3" s="204"/>
      <c r="Q3" s="204"/>
      <c r="R3" s="204"/>
      <c r="S3" s="1"/>
      <c r="T3" s="1"/>
      <c r="U3" s="1"/>
      <c r="V3" s="5"/>
      <c r="W3" s="2"/>
      <c r="X3" s="2"/>
      <c r="Y3" s="4"/>
      <c r="Z3" s="4"/>
      <c r="AA3" s="4"/>
      <c r="AB3" s="4"/>
      <c r="AC3" s="4"/>
      <c r="AD3" s="4"/>
      <c r="AE3" s="4"/>
      <c r="AF3" s="4"/>
      <c r="AG3" s="4"/>
      <c r="AH3" s="4"/>
      <c r="AI3" s="4"/>
      <c r="AJ3" s="4"/>
      <c r="AK3" s="4"/>
      <c r="AL3" s="4"/>
      <c r="AM3" s="4"/>
      <c r="AN3" s="4"/>
      <c r="AO3" s="4"/>
    </row>
    <row r="4" spans="1:41" ht="13.5" customHeight="1">
      <c r="A4" s="266" t="s">
        <v>4</v>
      </c>
      <c r="B4" s="204"/>
      <c r="C4" s="204"/>
      <c r="D4" s="204"/>
      <c r="E4" s="204"/>
      <c r="F4" s="204"/>
      <c r="G4" s="204"/>
      <c r="H4" s="204"/>
      <c r="I4" s="204"/>
      <c r="J4" s="204"/>
      <c r="K4" s="204"/>
      <c r="L4" s="204"/>
      <c r="M4" s="204"/>
      <c r="N4" s="204"/>
      <c r="O4" s="204"/>
      <c r="P4" s="204"/>
      <c r="Q4" s="204"/>
      <c r="R4" s="204"/>
      <c r="S4" s="204"/>
      <c r="T4" s="204"/>
      <c r="U4" s="204"/>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7">
        <f>'DR-TB 10A (Sputum &amp; EP Sample)'!C6:G6</f>
        <v>0</v>
      </c>
      <c r="D6" s="231"/>
      <c r="E6" s="231"/>
      <c r="F6" s="231"/>
      <c r="G6" s="231"/>
      <c r="H6" s="4"/>
      <c r="I6" s="2"/>
      <c r="J6" s="11" t="s">
        <v>6</v>
      </c>
      <c r="K6" s="4"/>
      <c r="L6" s="268" t="str">
        <f>'DR-TB 10A (Sputum &amp; EP Sample)'!L6</f>
        <v>&lt;Dates&gt;</v>
      </c>
      <c r="M6" s="231"/>
      <c r="N6" s="231"/>
      <c r="O6" s="231"/>
      <c r="P6" s="231"/>
      <c r="Q6" s="231"/>
      <c r="R6" s="231"/>
      <c r="S6" s="23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70">
        <f>'DR-TB 10A (Sputum &amp; EP Sample)'!C7:G7</f>
        <v>0</v>
      </c>
      <c r="D7" s="229"/>
      <c r="E7" s="229"/>
      <c r="F7" s="229"/>
      <c r="G7" s="229"/>
      <c r="H7" s="4"/>
      <c r="I7" s="12"/>
      <c r="J7" s="13" t="s">
        <v>9</v>
      </c>
      <c r="K7" s="13"/>
      <c r="L7" s="13"/>
      <c r="M7" s="13"/>
      <c r="N7" s="268">
        <f>'DR-TB 10A (Sputum &amp; EP Sample)'!N7</f>
        <v>0</v>
      </c>
      <c r="O7" s="231"/>
      <c r="P7" s="231"/>
      <c r="Q7" s="231"/>
      <c r="R7" s="231"/>
      <c r="S7" s="23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70">
        <f>'DR-TB 10A (Sputum &amp; EP Sample)'!C8:G8</f>
        <v>0</v>
      </c>
      <c r="D8" s="229"/>
      <c r="E8" s="229"/>
      <c r="F8" s="229"/>
      <c r="G8" s="229"/>
      <c r="H8" s="4"/>
      <c r="I8" s="12"/>
      <c r="J8" s="13" t="s">
        <v>11</v>
      </c>
      <c r="K8" s="13"/>
      <c r="L8" s="13"/>
      <c r="M8" s="268">
        <f>'DR-TB 10A (Sputum &amp; EP Sample)'!M8</f>
        <v>0</v>
      </c>
      <c r="N8" s="231"/>
      <c r="O8" s="231"/>
      <c r="P8" s="231"/>
      <c r="Q8" s="231"/>
      <c r="R8" s="231"/>
      <c r="S8" s="23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70" t="s">
        <v>771</v>
      </c>
      <c r="D9" s="229"/>
      <c r="E9" s="229"/>
      <c r="F9" s="229"/>
      <c r="G9" s="229"/>
      <c r="H9" s="4"/>
      <c r="I9" s="4"/>
      <c r="J9" s="13" t="s">
        <v>14</v>
      </c>
      <c r="K9" s="13"/>
      <c r="L9" s="13"/>
      <c r="M9" s="280">
        <f>'DR-TB 10A (Sputum &amp; EP Sample)'!M9</f>
        <v>0</v>
      </c>
      <c r="N9" s="22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81">
        <f>'DR-TB 10A (Sputum &amp; EP Sample)'!K10:L10</f>
        <v>0</v>
      </c>
      <c r="L10" s="231"/>
      <c r="M10" s="16"/>
      <c r="N10" s="17"/>
      <c r="O10" s="13"/>
      <c r="P10" s="4" t="s">
        <v>772</v>
      </c>
      <c r="Q10" s="282">
        <f>'DR-TB 10A (Sputum &amp; EP Sample)'!Q10:S10</f>
        <v>0</v>
      </c>
      <c r="R10" s="231"/>
      <c r="S10" s="231"/>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71" t="s">
        <v>18</v>
      </c>
      <c r="B12" s="272"/>
      <c r="C12" s="249"/>
      <c r="D12" s="277" t="s">
        <v>19</v>
      </c>
      <c r="E12" s="213"/>
      <c r="F12" s="213"/>
      <c r="G12" s="216"/>
      <c r="H12" s="20">
        <f>D27+E40</f>
        <v>0</v>
      </c>
      <c r="I12" s="17"/>
      <c r="J12" s="283" t="s">
        <v>20</v>
      </c>
      <c r="K12" s="213"/>
      <c r="L12" s="213"/>
      <c r="M12" s="216"/>
      <c r="N12" s="284" t="s">
        <v>21</v>
      </c>
      <c r="O12" s="213"/>
      <c r="P12" s="213"/>
      <c r="Q12" s="213"/>
      <c r="R12" s="213"/>
      <c r="S12" s="213"/>
      <c r="T12" s="213"/>
      <c r="U12" s="214"/>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73"/>
      <c r="B13" s="204"/>
      <c r="C13" s="238"/>
      <c r="D13" s="278" t="s">
        <v>22</v>
      </c>
      <c r="E13" s="218"/>
      <c r="F13" s="218"/>
      <c r="G13" s="219"/>
      <c r="H13" s="21">
        <f>U27</f>
        <v>0</v>
      </c>
      <c r="I13" s="17"/>
      <c r="J13" s="259" t="s">
        <v>23</v>
      </c>
      <c r="K13" s="218"/>
      <c r="L13" s="219"/>
      <c r="M13" s="22">
        <f>'DR-TB 10A (Sputum &amp; EP Sample)'!M13</f>
        <v>0</v>
      </c>
      <c r="N13" s="23" t="s">
        <v>24</v>
      </c>
      <c r="O13" s="23"/>
      <c r="P13" s="23"/>
      <c r="Q13" s="22">
        <f>'DR-TB 10A (Sputum &amp; EP Sample)'!Q13</f>
        <v>0</v>
      </c>
      <c r="R13" s="263" t="s">
        <v>25</v>
      </c>
      <c r="S13" s="218"/>
      <c r="T13" s="219"/>
      <c r="U13" s="178">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74"/>
      <c r="B14" s="275"/>
      <c r="C14" s="276"/>
      <c r="D14" s="279" t="s">
        <v>26</v>
      </c>
      <c r="E14" s="221"/>
      <c r="F14" s="221"/>
      <c r="G14" s="222"/>
      <c r="H14" s="24">
        <f>H12+H13</f>
        <v>0</v>
      </c>
      <c r="I14" s="17"/>
      <c r="J14" s="259" t="s">
        <v>27</v>
      </c>
      <c r="K14" s="218"/>
      <c r="L14" s="219"/>
      <c r="M14" s="22">
        <f>'DR-TB 10A (Sputum &amp; EP Sample)'!M14</f>
        <v>0</v>
      </c>
      <c r="N14" s="23" t="s">
        <v>28</v>
      </c>
      <c r="O14" s="23"/>
      <c r="P14" s="23"/>
      <c r="Q14" s="22">
        <f>'DR-TB 10A (Sputum &amp; EP Sample)'!Q14</f>
        <v>0</v>
      </c>
      <c r="R14" s="263" t="s">
        <v>29</v>
      </c>
      <c r="S14" s="218"/>
      <c r="T14" s="219"/>
      <c r="U14" s="178">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260" t="s">
        <v>30</v>
      </c>
      <c r="K15" s="218"/>
      <c r="L15" s="219"/>
      <c r="M15" s="22">
        <f>'DR-TB 10A (Sputum &amp; EP Sample)'!M15</f>
        <v>0</v>
      </c>
      <c r="N15" s="26" t="s">
        <v>31</v>
      </c>
      <c r="O15" s="26"/>
      <c r="P15" s="26"/>
      <c r="Q15" s="22">
        <f>'DR-TB 10A (Sputum &amp; EP Sample)'!Q15</f>
        <v>0</v>
      </c>
      <c r="R15" s="269" t="s">
        <v>32</v>
      </c>
      <c r="S15" s="218"/>
      <c r="T15" s="219"/>
      <c r="U15" s="178">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5" t="s">
        <v>33</v>
      </c>
      <c r="B16" s="213"/>
      <c r="C16" s="216"/>
      <c r="D16" s="27" t="s">
        <v>34</v>
      </c>
      <c r="E16" s="27" t="s">
        <v>35</v>
      </c>
      <c r="F16" s="28" t="s">
        <v>26</v>
      </c>
      <c r="G16" s="29"/>
      <c r="H16" s="29"/>
      <c r="I16" s="29"/>
      <c r="J16" s="177"/>
      <c r="K16" s="177"/>
      <c r="L16" s="177"/>
      <c r="M16" s="177"/>
      <c r="N16" s="177"/>
      <c r="O16" s="177"/>
      <c r="P16" s="177"/>
      <c r="Q16" s="177"/>
      <c r="R16" s="182"/>
      <c r="S16" s="177"/>
      <c r="T16" s="177"/>
      <c r="U16" s="179"/>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7" t="s">
        <v>36</v>
      </c>
      <c r="B17" s="218"/>
      <c r="C17" s="219"/>
      <c r="D17" s="30">
        <f>D30+E42-D33-E44</f>
        <v>0</v>
      </c>
      <c r="E17" s="30">
        <f>+U30-U33</f>
        <v>0</v>
      </c>
      <c r="F17" s="31">
        <f t="shared" ref="F17:F21" si="0">+E17+D17</f>
        <v>0</v>
      </c>
      <c r="G17" s="32"/>
      <c r="H17" s="33"/>
      <c r="I17" s="261" t="s">
        <v>37</v>
      </c>
      <c r="J17" s="262" t="s">
        <v>38</v>
      </c>
      <c r="K17" s="218"/>
      <c r="L17" s="219"/>
      <c r="M17" s="264" t="s">
        <v>35</v>
      </c>
      <c r="N17" s="218"/>
      <c r="O17" s="219"/>
      <c r="P17" s="246" t="s">
        <v>26</v>
      </c>
      <c r="Q17" s="247"/>
      <c r="R17" s="254" t="s">
        <v>39</v>
      </c>
      <c r="S17" s="218"/>
      <c r="T17" s="219"/>
      <c r="U17" s="180">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7" t="s">
        <v>40</v>
      </c>
      <c r="B18" s="218"/>
      <c r="C18" s="219"/>
      <c r="D18" s="34">
        <f>D33+E44</f>
        <v>0</v>
      </c>
      <c r="E18" s="35">
        <f>U33</f>
        <v>0</v>
      </c>
      <c r="F18" s="31">
        <f t="shared" si="0"/>
        <v>0</v>
      </c>
      <c r="G18" s="32"/>
      <c r="H18" s="33"/>
      <c r="I18" s="206"/>
      <c r="J18" s="36" t="s">
        <v>41</v>
      </c>
      <c r="K18" s="36" t="s">
        <v>42</v>
      </c>
      <c r="L18" s="36" t="s">
        <v>43</v>
      </c>
      <c r="M18" s="36" t="s">
        <v>41</v>
      </c>
      <c r="N18" s="36" t="s">
        <v>42</v>
      </c>
      <c r="O18" s="36" t="s">
        <v>43</v>
      </c>
      <c r="P18" s="206"/>
      <c r="Q18" s="204"/>
      <c r="R18" s="254" t="s">
        <v>44</v>
      </c>
      <c r="S18" s="218"/>
      <c r="T18" s="219"/>
      <c r="U18" s="180">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7" t="s">
        <v>45</v>
      </c>
      <c r="B19" s="218"/>
      <c r="C19" s="219"/>
      <c r="D19" s="37"/>
      <c r="E19" s="38"/>
      <c r="F19" s="31">
        <f t="shared" si="0"/>
        <v>0</v>
      </c>
      <c r="G19" s="32"/>
      <c r="H19" s="33"/>
      <c r="I19" s="39" t="s">
        <v>46</v>
      </c>
      <c r="J19" s="39"/>
      <c r="K19" s="39"/>
      <c r="L19" s="39"/>
      <c r="M19" s="39"/>
      <c r="N19" s="39"/>
      <c r="O19" s="39"/>
      <c r="P19" s="40">
        <f t="shared" ref="P19:P20" si="1">J19+K19+L19+M19+N19+O19</f>
        <v>0</v>
      </c>
      <c r="Q19" s="41"/>
      <c r="R19" s="254" t="s">
        <v>47</v>
      </c>
      <c r="S19" s="218"/>
      <c r="T19" s="219"/>
      <c r="U19" s="180">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7" t="s">
        <v>48</v>
      </c>
      <c r="B20" s="218"/>
      <c r="C20" s="219"/>
      <c r="D20" s="35"/>
      <c r="E20" s="35"/>
      <c r="F20" s="31">
        <f t="shared" si="0"/>
        <v>0</v>
      </c>
      <c r="G20" s="17"/>
      <c r="H20" s="17"/>
      <c r="I20" s="39" t="s">
        <v>49</v>
      </c>
      <c r="J20" s="39"/>
      <c r="K20" s="39"/>
      <c r="L20" s="39"/>
      <c r="M20" s="39"/>
      <c r="N20" s="39"/>
      <c r="O20" s="39"/>
      <c r="P20" s="40">
        <f t="shared" si="1"/>
        <v>0</v>
      </c>
      <c r="Q20" s="41"/>
      <c r="R20" s="17"/>
      <c r="S20" s="17"/>
      <c r="T20" s="42"/>
      <c r="U20" s="181"/>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220" t="s">
        <v>50</v>
      </c>
      <c r="B21" s="221"/>
      <c r="C21" s="222"/>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83"/>
      <c r="B22" s="183"/>
      <c r="C22" s="183"/>
      <c r="D22" s="183"/>
      <c r="E22" s="183"/>
      <c r="F22" s="183"/>
      <c r="G22" s="183"/>
      <c r="H22" s="183"/>
      <c r="I22" s="184"/>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23" t="s">
        <v>52</v>
      </c>
      <c r="B24" s="225" t="s">
        <v>53</v>
      </c>
      <c r="C24" s="213"/>
      <c r="D24" s="214"/>
      <c r="E24" s="225" t="s">
        <v>54</v>
      </c>
      <c r="F24" s="213"/>
      <c r="G24" s="213"/>
      <c r="H24" s="213"/>
      <c r="I24" s="213"/>
      <c r="J24" s="213"/>
      <c r="K24" s="213"/>
      <c r="L24" s="213"/>
      <c r="M24" s="213"/>
      <c r="N24" s="213"/>
      <c r="O24" s="213"/>
      <c r="P24" s="213"/>
      <c r="Q24" s="213"/>
      <c r="R24" s="213"/>
      <c r="S24" s="213"/>
      <c r="T24" s="216"/>
      <c r="U24" s="255" t="s">
        <v>55</v>
      </c>
      <c r="V24" s="3"/>
      <c r="W24" s="4"/>
      <c r="X24" s="4"/>
      <c r="Y24" s="4"/>
      <c r="Z24" s="4"/>
      <c r="AA24" s="4"/>
      <c r="AB24" s="4"/>
      <c r="AC24" s="4"/>
      <c r="AD24" s="4"/>
      <c r="AE24" s="4"/>
      <c r="AF24" s="4"/>
      <c r="AG24" s="4"/>
      <c r="AH24" s="4"/>
      <c r="AI24" s="4"/>
      <c r="AJ24" s="4"/>
      <c r="AK24" s="4"/>
      <c r="AL24" s="4"/>
      <c r="AM24" s="4"/>
      <c r="AN24" s="4"/>
      <c r="AO24" s="4"/>
    </row>
    <row r="25" spans="1:41" ht="76.5" customHeight="1">
      <c r="A25" s="190"/>
      <c r="B25" s="47" t="s">
        <v>56</v>
      </c>
      <c r="C25" s="48" t="s">
        <v>57</v>
      </c>
      <c r="D25" s="226" t="s">
        <v>58</v>
      </c>
      <c r="E25" s="49" t="s">
        <v>59</v>
      </c>
      <c r="F25" s="50" t="s">
        <v>60</v>
      </c>
      <c r="G25" s="50" t="s">
        <v>61</v>
      </c>
      <c r="H25" s="50" t="s">
        <v>62</v>
      </c>
      <c r="I25" s="50" t="s">
        <v>63</v>
      </c>
      <c r="J25" s="50" t="s">
        <v>64</v>
      </c>
      <c r="K25" s="50" t="s">
        <v>65</v>
      </c>
      <c r="L25" s="50" t="s">
        <v>66</v>
      </c>
      <c r="M25" s="258" t="s">
        <v>67</v>
      </c>
      <c r="N25" s="218"/>
      <c r="O25" s="219"/>
      <c r="P25" s="258" t="s">
        <v>68</v>
      </c>
      <c r="Q25" s="218"/>
      <c r="R25" s="219"/>
      <c r="S25" s="256" t="s">
        <v>69</v>
      </c>
      <c r="T25" s="219"/>
      <c r="U25" s="199"/>
      <c r="V25" s="3"/>
      <c r="W25" s="4"/>
      <c r="X25" s="4"/>
      <c r="Y25" s="4"/>
      <c r="Z25" s="4"/>
      <c r="AA25" s="4"/>
      <c r="AB25" s="4"/>
      <c r="AC25" s="4"/>
      <c r="AD25" s="4"/>
      <c r="AE25" s="4"/>
      <c r="AF25" s="4"/>
      <c r="AG25" s="4"/>
      <c r="AH25" s="4"/>
      <c r="AI25" s="4"/>
      <c r="AJ25" s="4"/>
      <c r="AK25" s="4"/>
      <c r="AL25" s="4"/>
      <c r="AM25" s="4"/>
      <c r="AN25" s="4"/>
      <c r="AO25" s="4"/>
    </row>
    <row r="26" spans="1:41" ht="22.5" customHeight="1">
      <c r="A26" s="191"/>
      <c r="B26" s="51" t="s">
        <v>70</v>
      </c>
      <c r="C26" s="52" t="s">
        <v>71</v>
      </c>
      <c r="D26" s="200"/>
      <c r="E26" s="51" t="s">
        <v>72</v>
      </c>
      <c r="F26" s="52" t="s">
        <v>73</v>
      </c>
      <c r="G26" s="52" t="s">
        <v>74</v>
      </c>
      <c r="H26" s="52" t="s">
        <v>75</v>
      </c>
      <c r="I26" s="52" t="s">
        <v>76</v>
      </c>
      <c r="J26" s="52" t="s">
        <v>77</v>
      </c>
      <c r="K26" s="52" t="s">
        <v>78</v>
      </c>
      <c r="L26" s="52" t="s">
        <v>79</v>
      </c>
      <c r="M26" s="257" t="s">
        <v>80</v>
      </c>
      <c r="N26" s="221"/>
      <c r="O26" s="222"/>
      <c r="P26" s="257" t="s">
        <v>81</v>
      </c>
      <c r="Q26" s="221"/>
      <c r="R26" s="222"/>
      <c r="S26" s="257" t="s">
        <v>82</v>
      </c>
      <c r="T26" s="222"/>
      <c r="U26" s="200"/>
      <c r="V26" s="3"/>
      <c r="W26" s="4"/>
      <c r="X26" s="4"/>
      <c r="Y26" s="4"/>
      <c r="Z26" s="4"/>
      <c r="AA26" s="4"/>
      <c r="AB26" s="4"/>
      <c r="AC26" s="4"/>
      <c r="AD26" s="4"/>
      <c r="AE26" s="4"/>
      <c r="AF26" s="4"/>
      <c r="AG26" s="4"/>
      <c r="AH26" s="4"/>
      <c r="AI26" s="4"/>
      <c r="AJ26" s="4"/>
      <c r="AK26" s="4"/>
      <c r="AL26" s="4"/>
      <c r="AM26" s="4"/>
      <c r="AN26" s="4"/>
      <c r="AO26" s="4"/>
    </row>
    <row r="27" spans="1:41" ht="13.5" customHeight="1">
      <c r="A27" s="296" t="s">
        <v>83</v>
      </c>
      <c r="B27" s="297"/>
      <c r="C27" s="298"/>
      <c r="D27" s="299">
        <f>B27+C27</f>
        <v>0</v>
      </c>
      <c r="E27" s="300"/>
      <c r="F27" s="227"/>
      <c r="G27" s="227"/>
      <c r="H27" s="227"/>
      <c r="I27" s="227"/>
      <c r="J27" s="227"/>
      <c r="K27" s="227"/>
      <c r="L27" s="227"/>
      <c r="M27" s="285" t="s">
        <v>84</v>
      </c>
      <c r="N27" s="286"/>
      <c r="O27" s="53"/>
      <c r="P27" s="285" t="s">
        <v>84</v>
      </c>
      <c r="Q27" s="286"/>
      <c r="R27" s="53"/>
      <c r="S27" s="248">
        <f>M41+M42+M43+N41+N42+N43+O41+O42</f>
        <v>0</v>
      </c>
      <c r="T27" s="249"/>
      <c r="U27" s="250">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90"/>
      <c r="B28" s="193"/>
      <c r="C28" s="196"/>
      <c r="D28" s="199"/>
      <c r="E28" s="193"/>
      <c r="F28" s="196"/>
      <c r="G28" s="196"/>
      <c r="H28" s="196"/>
      <c r="I28" s="196"/>
      <c r="J28" s="196"/>
      <c r="K28" s="196"/>
      <c r="L28" s="196"/>
      <c r="M28" s="287" t="s">
        <v>85</v>
      </c>
      <c r="N28" s="288"/>
      <c r="O28" s="54"/>
      <c r="P28" s="287" t="s">
        <v>85</v>
      </c>
      <c r="Q28" s="288"/>
      <c r="R28" s="54"/>
      <c r="S28" s="237"/>
      <c r="T28" s="238"/>
      <c r="U28" s="199"/>
      <c r="V28" s="3"/>
      <c r="W28" s="4"/>
      <c r="X28" s="4"/>
      <c r="Y28" s="4"/>
      <c r="Z28" s="4"/>
      <c r="AA28" s="4"/>
      <c r="AB28" s="4"/>
      <c r="AC28" s="4"/>
      <c r="AD28" s="4"/>
      <c r="AE28" s="4"/>
      <c r="AF28" s="4"/>
      <c r="AG28" s="4"/>
      <c r="AH28" s="4"/>
      <c r="AI28" s="4"/>
      <c r="AJ28" s="4"/>
      <c r="AK28" s="4"/>
      <c r="AL28" s="4"/>
      <c r="AM28" s="4"/>
      <c r="AN28" s="4"/>
      <c r="AO28" s="4"/>
    </row>
    <row r="29" spans="1:41" ht="13.5" customHeight="1">
      <c r="A29" s="224"/>
      <c r="B29" s="208"/>
      <c r="C29" s="206"/>
      <c r="D29" s="211"/>
      <c r="E29" s="208"/>
      <c r="F29" s="206"/>
      <c r="G29" s="206"/>
      <c r="H29" s="206"/>
      <c r="I29" s="206"/>
      <c r="J29" s="206"/>
      <c r="K29" s="206"/>
      <c r="L29" s="206"/>
      <c r="M29" s="287" t="s">
        <v>86</v>
      </c>
      <c r="N29" s="288"/>
      <c r="O29" s="54"/>
      <c r="P29" s="287" t="s">
        <v>86</v>
      </c>
      <c r="Q29" s="288"/>
      <c r="R29" s="54"/>
      <c r="S29" s="239"/>
      <c r="T29" s="241"/>
      <c r="U29" s="211"/>
      <c r="V29" s="3"/>
      <c r="W29" s="4"/>
      <c r="X29" s="4"/>
      <c r="Y29" s="4"/>
      <c r="Z29" s="4"/>
      <c r="AA29" s="4"/>
      <c r="AB29" s="4"/>
      <c r="AC29" s="4"/>
      <c r="AD29" s="4"/>
      <c r="AE29" s="4"/>
      <c r="AF29" s="4"/>
      <c r="AG29" s="4"/>
      <c r="AH29" s="4"/>
      <c r="AI29" s="4"/>
      <c r="AJ29" s="4"/>
      <c r="AK29" s="4"/>
      <c r="AL29" s="4"/>
      <c r="AM29" s="4"/>
      <c r="AN29" s="4"/>
      <c r="AO29" s="4"/>
    </row>
    <row r="30" spans="1:41" ht="13.5" customHeight="1">
      <c r="A30" s="189" t="s">
        <v>87</v>
      </c>
      <c r="B30" s="192"/>
      <c r="C30" s="195"/>
      <c r="D30" s="198">
        <f>B30+C30</f>
        <v>0</v>
      </c>
      <c r="E30" s="201"/>
      <c r="F30" s="202"/>
      <c r="G30" s="202"/>
      <c r="H30" s="202"/>
      <c r="I30" s="202"/>
      <c r="J30" s="202"/>
      <c r="K30" s="202"/>
      <c r="L30" s="202"/>
      <c r="M30" s="287" t="s">
        <v>84</v>
      </c>
      <c r="N30" s="288"/>
      <c r="O30" s="54"/>
      <c r="P30" s="287" t="s">
        <v>84</v>
      </c>
      <c r="Q30" s="288"/>
      <c r="R30" s="54"/>
      <c r="S30" s="289">
        <f>P41+P42+P43+Q41+Q42+Q43+R41+R42</f>
        <v>0</v>
      </c>
      <c r="T30" s="236"/>
      <c r="U30" s="290">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90"/>
      <c r="B31" s="193"/>
      <c r="C31" s="196"/>
      <c r="D31" s="199"/>
      <c r="E31" s="193"/>
      <c r="F31" s="196"/>
      <c r="G31" s="196"/>
      <c r="H31" s="196"/>
      <c r="I31" s="196"/>
      <c r="J31" s="196"/>
      <c r="K31" s="196"/>
      <c r="L31" s="196"/>
      <c r="M31" s="287" t="s">
        <v>85</v>
      </c>
      <c r="N31" s="288"/>
      <c r="O31" s="54"/>
      <c r="P31" s="287" t="s">
        <v>85</v>
      </c>
      <c r="Q31" s="288"/>
      <c r="R31" s="54"/>
      <c r="S31" s="237"/>
      <c r="T31" s="238"/>
      <c r="U31" s="199"/>
      <c r="V31" s="3"/>
      <c r="W31" s="4"/>
      <c r="X31" s="4"/>
      <c r="Y31" s="4"/>
      <c r="Z31" s="4"/>
      <c r="AA31" s="4"/>
      <c r="AB31" s="4"/>
      <c r="AC31" s="4"/>
      <c r="AD31" s="4"/>
      <c r="AE31" s="4"/>
      <c r="AF31" s="4"/>
      <c r="AG31" s="4"/>
      <c r="AH31" s="4"/>
      <c r="AI31" s="4"/>
      <c r="AJ31" s="4"/>
      <c r="AK31" s="4"/>
      <c r="AL31" s="4"/>
      <c r="AM31" s="4"/>
      <c r="AN31" s="4"/>
      <c r="AO31" s="4"/>
    </row>
    <row r="32" spans="1:41" ht="13.5" customHeight="1">
      <c r="A32" s="224"/>
      <c r="B32" s="208"/>
      <c r="C32" s="206"/>
      <c r="D32" s="211"/>
      <c r="E32" s="208"/>
      <c r="F32" s="206"/>
      <c r="G32" s="206"/>
      <c r="H32" s="206"/>
      <c r="I32" s="206"/>
      <c r="J32" s="206"/>
      <c r="K32" s="206"/>
      <c r="L32" s="206"/>
      <c r="M32" s="287" t="s">
        <v>86</v>
      </c>
      <c r="N32" s="288"/>
      <c r="O32" s="54"/>
      <c r="P32" s="287" t="s">
        <v>86</v>
      </c>
      <c r="Q32" s="288"/>
      <c r="R32" s="54"/>
      <c r="S32" s="239"/>
      <c r="T32" s="241"/>
      <c r="U32" s="211"/>
      <c r="V32" s="3"/>
      <c r="W32" s="4"/>
      <c r="X32" s="4"/>
      <c r="Y32" s="4"/>
      <c r="Z32" s="4"/>
      <c r="AA32" s="4"/>
      <c r="AB32" s="4"/>
      <c r="AC32" s="4"/>
      <c r="AD32" s="4"/>
      <c r="AE32" s="4"/>
      <c r="AF32" s="4"/>
      <c r="AG32" s="4"/>
      <c r="AH32" s="4"/>
      <c r="AI32" s="4"/>
      <c r="AJ32" s="4"/>
      <c r="AK32" s="4"/>
      <c r="AL32" s="4"/>
      <c r="AM32" s="4"/>
      <c r="AN32" s="4"/>
      <c r="AO32" s="4"/>
    </row>
    <row r="33" spans="1:41" ht="13.5" customHeight="1">
      <c r="A33" s="189" t="s">
        <v>88</v>
      </c>
      <c r="B33" s="192"/>
      <c r="C33" s="195"/>
      <c r="D33" s="198">
        <f>B33+C33</f>
        <v>0</v>
      </c>
      <c r="E33" s="201"/>
      <c r="F33" s="202"/>
      <c r="G33" s="202"/>
      <c r="H33" s="202"/>
      <c r="I33" s="202"/>
      <c r="J33" s="202"/>
      <c r="K33" s="202"/>
      <c r="L33" s="202"/>
      <c r="M33" s="287" t="s">
        <v>84</v>
      </c>
      <c r="N33" s="288"/>
      <c r="O33" s="54"/>
      <c r="P33" s="287" t="s">
        <v>84</v>
      </c>
      <c r="Q33" s="288"/>
      <c r="R33" s="54"/>
      <c r="S33" s="289">
        <f>S41+S42+S43+T41+T42+T43+U41+U42</f>
        <v>0</v>
      </c>
      <c r="T33" s="236"/>
      <c r="U33" s="290">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90"/>
      <c r="B34" s="193"/>
      <c r="C34" s="196"/>
      <c r="D34" s="199"/>
      <c r="E34" s="193"/>
      <c r="F34" s="196"/>
      <c r="G34" s="196"/>
      <c r="H34" s="196"/>
      <c r="I34" s="196"/>
      <c r="J34" s="196"/>
      <c r="K34" s="196"/>
      <c r="L34" s="196"/>
      <c r="M34" s="287" t="s">
        <v>85</v>
      </c>
      <c r="N34" s="288"/>
      <c r="O34" s="54"/>
      <c r="P34" s="287" t="s">
        <v>85</v>
      </c>
      <c r="Q34" s="288"/>
      <c r="R34" s="54"/>
      <c r="S34" s="237"/>
      <c r="T34" s="238"/>
      <c r="U34" s="199"/>
      <c r="V34" s="3"/>
      <c r="W34" s="4"/>
      <c r="X34" s="4"/>
      <c r="Y34" s="4"/>
      <c r="Z34" s="4"/>
      <c r="AA34" s="4"/>
      <c r="AB34" s="4"/>
      <c r="AC34" s="4"/>
      <c r="AD34" s="4"/>
      <c r="AE34" s="4"/>
      <c r="AF34" s="4"/>
      <c r="AG34" s="4"/>
      <c r="AH34" s="4"/>
      <c r="AI34" s="4"/>
      <c r="AJ34" s="4"/>
      <c r="AK34" s="4"/>
      <c r="AL34" s="4"/>
      <c r="AM34" s="4"/>
      <c r="AN34" s="4"/>
      <c r="AO34" s="4"/>
    </row>
    <row r="35" spans="1:41" ht="13.5" customHeight="1">
      <c r="A35" s="191"/>
      <c r="B35" s="194"/>
      <c r="C35" s="197"/>
      <c r="D35" s="200"/>
      <c r="E35" s="194"/>
      <c r="F35" s="197"/>
      <c r="G35" s="197"/>
      <c r="H35" s="197"/>
      <c r="I35" s="197"/>
      <c r="J35" s="197"/>
      <c r="K35" s="197"/>
      <c r="L35" s="197"/>
      <c r="M35" s="294" t="s">
        <v>86</v>
      </c>
      <c r="N35" s="295"/>
      <c r="O35" s="55"/>
      <c r="P35" s="294" t="s">
        <v>86</v>
      </c>
      <c r="Q35" s="295"/>
      <c r="R35" s="55"/>
      <c r="S35" s="293"/>
      <c r="T35" s="276"/>
      <c r="U35" s="20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2" t="s">
        <v>90</v>
      </c>
      <c r="B38" s="213"/>
      <c r="C38" s="213"/>
      <c r="D38" s="213"/>
      <c r="E38" s="214"/>
      <c r="F38" s="56"/>
      <c r="G38" s="251" t="s">
        <v>91</v>
      </c>
      <c r="H38" s="236"/>
      <c r="I38" s="4"/>
      <c r="J38" s="212" t="s">
        <v>92</v>
      </c>
      <c r="K38" s="213"/>
      <c r="L38" s="213"/>
      <c r="M38" s="213"/>
      <c r="N38" s="213"/>
      <c r="O38" s="213"/>
      <c r="P38" s="213"/>
      <c r="Q38" s="213"/>
      <c r="R38" s="213"/>
      <c r="S38" s="213"/>
      <c r="T38" s="213"/>
      <c r="U38" s="214"/>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239"/>
      <c r="H39" s="241"/>
      <c r="I39" s="4"/>
      <c r="J39" s="252" t="s">
        <v>94</v>
      </c>
      <c r="K39" s="235"/>
      <c r="L39" s="236"/>
      <c r="M39" s="291" t="s">
        <v>95</v>
      </c>
      <c r="N39" s="218"/>
      <c r="O39" s="219"/>
      <c r="P39" s="291" t="s">
        <v>87</v>
      </c>
      <c r="Q39" s="218"/>
      <c r="R39" s="219"/>
      <c r="S39" s="291" t="s">
        <v>88</v>
      </c>
      <c r="T39" s="218"/>
      <c r="U39" s="292"/>
      <c r="V39" s="3"/>
      <c r="W39" s="4"/>
      <c r="X39" s="4"/>
      <c r="Y39" s="4"/>
      <c r="Z39" s="4"/>
      <c r="AA39" s="4"/>
      <c r="AB39" s="4"/>
      <c r="AC39" s="4"/>
      <c r="AD39" s="4"/>
      <c r="AE39" s="4"/>
      <c r="AF39" s="4"/>
      <c r="AG39" s="4"/>
      <c r="AH39" s="4"/>
      <c r="AI39" s="4"/>
      <c r="AJ39" s="4"/>
      <c r="AK39" s="4"/>
      <c r="AL39" s="4"/>
      <c r="AM39" s="4"/>
      <c r="AN39" s="4"/>
      <c r="AO39" s="4"/>
    </row>
    <row r="40" spans="1:41" ht="15" customHeight="1">
      <c r="A40" s="207" t="s">
        <v>96</v>
      </c>
      <c r="B40" s="209"/>
      <c r="C40" s="209"/>
      <c r="D40" s="209"/>
      <c r="E40" s="210">
        <f>B40+C40+D40</f>
        <v>0</v>
      </c>
      <c r="F40" s="203"/>
      <c r="G40" s="205" t="s">
        <v>97</v>
      </c>
      <c r="H40" s="209">
        <f>$E$17+$F$18</f>
        <v>0</v>
      </c>
      <c r="I40" s="4"/>
      <c r="J40" s="253"/>
      <c r="K40" s="240"/>
      <c r="L40" s="241"/>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208"/>
      <c r="B41" s="206"/>
      <c r="C41" s="206"/>
      <c r="D41" s="206"/>
      <c r="E41" s="211"/>
      <c r="F41" s="204"/>
      <c r="G41" s="206"/>
      <c r="H41" s="206"/>
      <c r="I41" s="4"/>
      <c r="J41" s="244" t="s">
        <v>101</v>
      </c>
      <c r="K41" s="218"/>
      <c r="L41" s="219"/>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07" t="s">
        <v>102</v>
      </c>
      <c r="B42" s="209"/>
      <c r="C42" s="209"/>
      <c r="D42" s="209"/>
      <c r="E42" s="210">
        <f>B42+C42+D42</f>
        <v>0</v>
      </c>
      <c r="F42" s="203"/>
      <c r="G42" s="205" t="s">
        <v>103</v>
      </c>
      <c r="H42" s="209"/>
      <c r="I42" s="4"/>
      <c r="J42" s="244" t="s">
        <v>104</v>
      </c>
      <c r="K42" s="218"/>
      <c r="L42" s="219"/>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208"/>
      <c r="B43" s="206"/>
      <c r="C43" s="206"/>
      <c r="D43" s="206"/>
      <c r="E43" s="211"/>
      <c r="F43" s="204"/>
      <c r="G43" s="206"/>
      <c r="H43" s="206"/>
      <c r="I43" s="4"/>
      <c r="J43" s="245" t="s">
        <v>105</v>
      </c>
      <c r="K43" s="221"/>
      <c r="L43" s="222"/>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07" t="s">
        <v>106</v>
      </c>
      <c r="B44" s="209"/>
      <c r="C44" s="209"/>
      <c r="D44" s="209"/>
      <c r="E44" s="210">
        <f>B44+C44+D44</f>
        <v>0</v>
      </c>
      <c r="F44" s="203"/>
      <c r="G44" s="205" t="s">
        <v>107</v>
      </c>
      <c r="H44" s="209"/>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194"/>
      <c r="B45" s="197"/>
      <c r="C45" s="197"/>
      <c r="D45" s="197"/>
      <c r="E45" s="200"/>
      <c r="F45" s="204"/>
      <c r="G45" s="206"/>
      <c r="H45" s="206"/>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2" t="s">
        <v>109</v>
      </c>
      <c r="G46" s="204"/>
      <c r="H46" s="204"/>
      <c r="I46" s="4"/>
      <c r="J46" s="4"/>
      <c r="K46" s="4"/>
      <c r="L46" s="67" t="s">
        <v>110</v>
      </c>
      <c r="M46" s="67"/>
      <c r="N46" s="67"/>
      <c r="O46" s="67"/>
      <c r="P46" s="67"/>
      <c r="Q46" s="243"/>
      <c r="R46" s="231"/>
      <c r="S46" s="231"/>
      <c r="T46" s="231"/>
      <c r="U46" s="231"/>
      <c r="V46" s="3"/>
      <c r="W46" s="4"/>
      <c r="X46" s="4"/>
      <c r="Y46" s="4"/>
      <c r="Z46" s="4"/>
      <c r="AA46" s="4"/>
      <c r="AB46" s="4"/>
      <c r="AC46" s="4"/>
      <c r="AD46" s="4"/>
      <c r="AE46" s="4"/>
      <c r="AF46" s="4"/>
      <c r="AG46" s="4"/>
      <c r="AH46" s="4"/>
      <c r="AI46" s="4"/>
      <c r="AJ46" s="4"/>
      <c r="AK46" s="4"/>
      <c r="AL46" s="4"/>
      <c r="AM46" s="4"/>
      <c r="AN46" s="4"/>
      <c r="AO46" s="4"/>
    </row>
    <row r="47" spans="1:41" ht="13.5" customHeight="1">
      <c r="A47" s="233"/>
      <c r="B47" s="69"/>
      <c r="C47" s="69"/>
      <c r="D47" s="69"/>
      <c r="E47" s="234"/>
      <c r="F47" s="235"/>
      <c r="G47" s="235"/>
      <c r="H47" s="235"/>
      <c r="I47" s="235"/>
      <c r="J47" s="236"/>
      <c r="K47" s="67"/>
      <c r="L47" s="67" t="s">
        <v>111</v>
      </c>
      <c r="M47" s="243"/>
      <c r="N47" s="231"/>
      <c r="O47" s="231"/>
      <c r="P47" s="231"/>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4"/>
      <c r="B48" s="69"/>
      <c r="C48" s="69"/>
      <c r="D48" s="69"/>
      <c r="E48" s="237"/>
      <c r="F48" s="204"/>
      <c r="G48" s="204"/>
      <c r="H48" s="204"/>
      <c r="I48" s="204"/>
      <c r="J48" s="238"/>
      <c r="K48" s="67"/>
      <c r="L48" s="67" t="s">
        <v>112</v>
      </c>
      <c r="M48" s="228"/>
      <c r="N48" s="229"/>
      <c r="O48" s="229"/>
      <c r="P48" s="229"/>
      <c r="Q48" s="67"/>
      <c r="R48" s="70" t="s">
        <v>113</v>
      </c>
      <c r="S48" s="230"/>
      <c r="T48" s="231"/>
      <c r="U48" s="4"/>
      <c r="V48" s="3"/>
      <c r="W48" s="4"/>
      <c r="X48" s="4"/>
      <c r="Y48" s="4"/>
      <c r="Z48" s="4"/>
      <c r="AA48" s="4"/>
      <c r="AB48" s="4"/>
      <c r="AC48" s="4"/>
      <c r="AD48" s="4"/>
      <c r="AE48" s="4"/>
      <c r="AF48" s="4"/>
      <c r="AG48" s="4"/>
      <c r="AH48" s="4"/>
      <c r="AI48" s="4"/>
      <c r="AJ48" s="4"/>
      <c r="AK48" s="4"/>
      <c r="AL48" s="4"/>
      <c r="AM48" s="4"/>
      <c r="AN48" s="4"/>
      <c r="AO48" s="4"/>
    </row>
    <row r="49" spans="1:41" ht="13.5" customHeight="1">
      <c r="A49" s="203"/>
      <c r="B49" s="60"/>
      <c r="C49" s="60"/>
      <c r="D49" s="60"/>
      <c r="E49" s="237"/>
      <c r="F49" s="204"/>
      <c r="G49" s="204"/>
      <c r="H49" s="204"/>
      <c r="I49" s="204"/>
      <c r="J49" s="238"/>
      <c r="K49" s="67"/>
      <c r="L49" s="67" t="s">
        <v>114</v>
      </c>
      <c r="M49" s="232"/>
      <c r="N49" s="229"/>
      <c r="O49" s="229"/>
      <c r="P49" s="229"/>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4"/>
      <c r="B50" s="60"/>
      <c r="C50" s="60"/>
      <c r="D50" s="60"/>
      <c r="E50" s="239"/>
      <c r="F50" s="240"/>
      <c r="G50" s="240"/>
      <c r="H50" s="240"/>
      <c r="I50" s="240"/>
      <c r="J50" s="241"/>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1" t="s">
        <v>399</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c r="F315" s="71"/>
      <c r="G315" s="71"/>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t="s">
        <v>168</v>
      </c>
      <c r="F316" s="71" t="s">
        <v>174</v>
      </c>
      <c r="G316" s="71" t="s">
        <v>400</v>
      </c>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401</v>
      </c>
      <c r="G317" s="71" t="s">
        <v>402</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174</v>
      </c>
      <c r="G318" s="71" t="s">
        <v>403</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404</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405</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176</v>
      </c>
      <c r="G321" s="71" t="s">
        <v>406</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407</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408</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409</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410</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411</v>
      </c>
      <c r="G326" s="71" t="s">
        <v>412</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413</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414</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415</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416</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417</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418</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419</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178</v>
      </c>
      <c r="G334" s="71" t="s">
        <v>420</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421</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422</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423</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180</v>
      </c>
      <c r="G338" s="71" t="s">
        <v>424</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425</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426</v>
      </c>
      <c r="G340" s="71" t="s">
        <v>427</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180</v>
      </c>
      <c r="G341" s="71" t="s">
        <v>428</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429</v>
      </c>
      <c r="G342" s="71" t="s">
        <v>430</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431</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432</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433</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182</v>
      </c>
      <c r="G346" s="71" t="s">
        <v>434</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435</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4" t="s">
        <v>436</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437</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1" t="s">
        <v>438</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439</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440</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441</v>
      </c>
      <c r="G353" s="71" t="s">
        <v>442</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443</v>
      </c>
      <c r="G354" s="71" t="s">
        <v>444</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445</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c r="F356" s="71"/>
      <c r="G356" s="71"/>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t="s">
        <v>168</v>
      </c>
      <c r="F357" s="71" t="s">
        <v>443</v>
      </c>
      <c r="G357" s="74" t="s">
        <v>446</v>
      </c>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447</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1" t="s">
        <v>448</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c r="F360" s="71"/>
      <c r="G360" s="71"/>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t="s">
        <v>168</v>
      </c>
      <c r="F361" s="71" t="s">
        <v>185</v>
      </c>
      <c r="G361" s="71" t="s">
        <v>449</v>
      </c>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450</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451</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452</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453</v>
      </c>
      <c r="G365" s="71" t="s">
        <v>454</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455</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456</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c r="F368" s="71"/>
      <c r="G368" s="71"/>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t="s">
        <v>168</v>
      </c>
      <c r="F369" s="71" t="s">
        <v>186</v>
      </c>
      <c r="G369" s="71" t="s">
        <v>457</v>
      </c>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458</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459</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c r="F372" s="71"/>
      <c r="G372" s="71"/>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t="s">
        <v>168</v>
      </c>
      <c r="F374" s="71" t="s">
        <v>187</v>
      </c>
      <c r="G374" s="71" t="s">
        <v>460</v>
      </c>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461</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462</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c r="F377" s="71"/>
      <c r="G377" s="71"/>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t="s">
        <v>168</v>
      </c>
      <c r="F378" s="71" t="s">
        <v>188</v>
      </c>
      <c r="G378" s="71" t="s">
        <v>463</v>
      </c>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464</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465</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466</v>
      </c>
      <c r="G381" s="71" t="s">
        <v>467</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468</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188</v>
      </c>
      <c r="G383" s="71" t="s">
        <v>469</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2" t="s">
        <v>470</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471</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472</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473</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474</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475</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476</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477</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1" t="s">
        <v>478</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189</v>
      </c>
      <c r="F393" s="71" t="s">
        <v>190</v>
      </c>
      <c r="G393" s="71" t="s">
        <v>479</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480</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481</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482</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483</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484</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485</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192</v>
      </c>
      <c r="G400" s="71" t="s">
        <v>486</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487</v>
      </c>
      <c r="G401" s="71" t="s">
        <v>488</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490</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491</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492</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194</v>
      </c>
      <c r="G405" s="71" t="s">
        <v>493</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494</v>
      </c>
      <c r="G406" s="71" t="s">
        <v>495</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496</v>
      </c>
      <c r="G407" s="71" t="s">
        <v>497</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496</v>
      </c>
      <c r="G408" s="71" t="s">
        <v>498</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499</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500</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501</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502</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196</v>
      </c>
      <c r="G413" s="71" t="s">
        <v>503</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196</v>
      </c>
      <c r="G414" s="71" t="s">
        <v>504</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505</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506</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507</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508</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509</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189</v>
      </c>
      <c r="G420" s="71" t="s">
        <v>510</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189</v>
      </c>
      <c r="G421" s="71" t="s">
        <v>511</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512</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513</v>
      </c>
      <c r="G423" s="71" t="s">
        <v>514</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515</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516</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513</v>
      </c>
      <c r="G426" s="71" t="s">
        <v>517</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518</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519</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199</v>
      </c>
      <c r="G429" s="71" t="s">
        <v>520</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521</v>
      </c>
      <c r="G430" s="71" t="s">
        <v>522</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521</v>
      </c>
      <c r="G431" s="71" t="s">
        <v>523</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199</v>
      </c>
      <c r="G432" s="71" t="s">
        <v>524</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199</v>
      </c>
      <c r="G433" s="71" t="s">
        <v>525</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526</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202</v>
      </c>
      <c r="G435" s="71" t="s">
        <v>527</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202</v>
      </c>
      <c r="G436" s="71" t="s">
        <v>528</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529</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c r="F438" s="71"/>
      <c r="G438" s="71"/>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c r="F439" s="71"/>
      <c r="G439" s="71"/>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t="s">
        <v>189</v>
      </c>
      <c r="F440" s="71" t="s">
        <v>204</v>
      </c>
      <c r="G440" s="71" t="s">
        <v>530</v>
      </c>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t="s">
        <v>189</v>
      </c>
      <c r="F441" s="71" t="s">
        <v>204</v>
      </c>
      <c r="G441" s="71" t="s">
        <v>532</v>
      </c>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533</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c r="F443" s="71"/>
      <c r="G443" s="71"/>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534</v>
      </c>
      <c r="G444" s="71" t="s">
        <v>535</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206</v>
      </c>
      <c r="G445" s="72" t="s">
        <v>536</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t="s">
        <v>189</v>
      </c>
      <c r="F446" s="71" t="s">
        <v>206</v>
      </c>
      <c r="G446" s="71" t="s">
        <v>537</v>
      </c>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208</v>
      </c>
      <c r="G448" s="71" t="s">
        <v>538</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539</v>
      </c>
      <c r="G449" s="71" t="s">
        <v>540</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t="s">
        <v>189</v>
      </c>
      <c r="F450" s="71" t="s">
        <v>208</v>
      </c>
      <c r="G450" s="71" t="s">
        <v>541</v>
      </c>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542</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208</v>
      </c>
      <c r="G452" s="71" t="s">
        <v>543</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544</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545</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546</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210</v>
      </c>
      <c r="F456" s="71" t="s">
        <v>211</v>
      </c>
      <c r="G456" s="71" t="s">
        <v>547</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210</v>
      </c>
      <c r="F457" s="71" t="s">
        <v>211</v>
      </c>
      <c r="G457" s="71" t="s">
        <v>548</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210</v>
      </c>
      <c r="F458" s="71" t="s">
        <v>211</v>
      </c>
      <c r="G458" s="71" t="s">
        <v>549</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550</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551</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552</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553</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554</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c r="F464" s="71"/>
      <c r="G464" s="71"/>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555</v>
      </c>
      <c r="F465" s="71" t="s">
        <v>555</v>
      </c>
      <c r="G465" s="71" t="s">
        <v>556</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210</v>
      </c>
      <c r="G466" s="71" t="s">
        <v>557</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t="s">
        <v>210</v>
      </c>
      <c r="F467" s="71" t="s">
        <v>558</v>
      </c>
      <c r="G467" s="71" t="s">
        <v>559</v>
      </c>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210</v>
      </c>
      <c r="F468" s="71" t="s">
        <v>210</v>
      </c>
      <c r="G468" s="71" t="s">
        <v>560</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558</v>
      </c>
      <c r="G469" s="71" t="s">
        <v>561</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562</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563</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210</v>
      </c>
      <c r="G472" s="71" t="s">
        <v>564</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210</v>
      </c>
      <c r="G473" s="71" t="s">
        <v>565</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566</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567</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568</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569</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570</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c r="F479" s="71"/>
      <c r="G479" s="71"/>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c r="F480" s="71"/>
      <c r="G480" s="71"/>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c r="F481" s="71"/>
      <c r="G481" s="71"/>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t="s">
        <v>210</v>
      </c>
      <c r="F482" s="71" t="s">
        <v>571</v>
      </c>
      <c r="G482" s="71" t="s">
        <v>572</v>
      </c>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t="s">
        <v>210</v>
      </c>
      <c r="F483" s="71" t="s">
        <v>573</v>
      </c>
      <c r="G483" s="71" t="s">
        <v>574</v>
      </c>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t="s">
        <v>210</v>
      </c>
      <c r="F484" s="71" t="s">
        <v>573</v>
      </c>
      <c r="G484" s="71" t="s">
        <v>575</v>
      </c>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573</v>
      </c>
      <c r="G485" s="71" t="s">
        <v>576</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577</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578</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579</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580</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581</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582</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583</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216</v>
      </c>
      <c r="G493" s="71" t="s">
        <v>584</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216</v>
      </c>
      <c r="G494" s="71" t="s">
        <v>585</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216</v>
      </c>
      <c r="G495" s="71" t="s">
        <v>586</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587</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588</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589</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218</v>
      </c>
      <c r="F499" s="71" t="s">
        <v>219</v>
      </c>
      <c r="G499" s="71" t="s">
        <v>590</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218</v>
      </c>
      <c r="F500" s="71" t="s">
        <v>591</v>
      </c>
      <c r="G500" s="71" t="s">
        <v>592</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218</v>
      </c>
      <c r="F501" s="71" t="s">
        <v>593</v>
      </c>
      <c r="G501" s="71" t="s">
        <v>594</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593</v>
      </c>
      <c r="G502" s="71" t="s">
        <v>595</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219</v>
      </c>
      <c r="G503" s="71" t="s">
        <v>596</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219</v>
      </c>
      <c r="G504" s="71" t="s">
        <v>597</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219</v>
      </c>
      <c r="G505" s="71" t="s">
        <v>598</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599</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600</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601</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602</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603</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604</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605</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606</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226</v>
      </c>
      <c r="G514" s="71" t="s">
        <v>607</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226</v>
      </c>
      <c r="G515" s="71" t="s">
        <v>608</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226</v>
      </c>
      <c r="G516" s="71" t="s">
        <v>609</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610</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4" t="s">
        <v>611</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612</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c r="F520" s="71"/>
      <c r="G520" s="71"/>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221</v>
      </c>
      <c r="G521" s="71" t="s">
        <v>613</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221</v>
      </c>
      <c r="G522" s="71" t="s">
        <v>614</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t="s">
        <v>218</v>
      </c>
      <c r="F523" s="71" t="s">
        <v>221</v>
      </c>
      <c r="G523" s="71" t="s">
        <v>615</v>
      </c>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616</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c r="F525" s="71"/>
      <c r="G525" s="71"/>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c r="F526" s="71"/>
      <c r="G526" s="71"/>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223</v>
      </c>
      <c r="G527" s="71" t="s">
        <v>617</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t="s">
        <v>218</v>
      </c>
      <c r="F528" s="71" t="s">
        <v>223</v>
      </c>
      <c r="G528" s="71" t="s">
        <v>618</v>
      </c>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t="s">
        <v>218</v>
      </c>
      <c r="F529" s="71" t="s">
        <v>223</v>
      </c>
      <c r="G529" s="71" t="s">
        <v>619</v>
      </c>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620</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621</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622</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623</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225</v>
      </c>
      <c r="G534" s="71" t="s">
        <v>624</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225</v>
      </c>
      <c r="G535" s="71" t="s">
        <v>625</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626</v>
      </c>
      <c r="G536" s="71" t="s">
        <v>627</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626</v>
      </c>
      <c r="G537" s="71" t="s">
        <v>628</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626</v>
      </c>
      <c r="G538" s="71" t="s">
        <v>629</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225</v>
      </c>
      <c r="G539" s="71" t="s">
        <v>630</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225</v>
      </c>
      <c r="G540" s="71" t="s">
        <v>631</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225</v>
      </c>
      <c r="G541" s="71" t="s">
        <v>632</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633</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229</v>
      </c>
      <c r="G543" s="71" t="s">
        <v>634</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229</v>
      </c>
      <c r="G544" s="71" t="s">
        <v>635</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229</v>
      </c>
      <c r="G545" s="71" t="s">
        <v>636</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637</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638</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639</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640</v>
      </c>
      <c r="G549" s="71" t="s">
        <v>641</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640</v>
      </c>
      <c r="G550" s="71" t="s">
        <v>642</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640</v>
      </c>
      <c r="G551" s="71" t="s">
        <v>643</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644</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218</v>
      </c>
      <c r="G553" s="71" t="s">
        <v>645</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218</v>
      </c>
      <c r="G554" s="71" t="s">
        <v>646</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647</v>
      </c>
      <c r="G555" s="71" t="s">
        <v>648</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647</v>
      </c>
      <c r="G556" s="71" t="s">
        <v>649</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647</v>
      </c>
      <c r="G557" s="71" t="s">
        <v>650</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651</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652</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653</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654</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655</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656</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231</v>
      </c>
      <c r="G564" s="71" t="s">
        <v>657</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231</v>
      </c>
      <c r="G565" s="71" t="s">
        <v>658</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231</v>
      </c>
      <c r="G566" s="71" t="s">
        <v>659</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660</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661</v>
      </c>
      <c r="G568" s="71" t="s">
        <v>662</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661</v>
      </c>
      <c r="G569" s="71" t="s">
        <v>663</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661</v>
      </c>
      <c r="G570" s="71" t="s">
        <v>664</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665</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666</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c r="F573" s="71"/>
      <c r="G573" s="71"/>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232</v>
      </c>
      <c r="F574" s="71" t="s">
        <v>233</v>
      </c>
      <c r="G574" s="71" t="s">
        <v>667</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232</v>
      </c>
      <c r="F575" s="71" t="s">
        <v>233</v>
      </c>
      <c r="G575" s="71" t="s">
        <v>668</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t="s">
        <v>232</v>
      </c>
      <c r="F576" s="71" t="s">
        <v>233</v>
      </c>
      <c r="G576" s="71" t="s">
        <v>669</v>
      </c>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670</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671</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672</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673</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674</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675</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676</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677</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678</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236</v>
      </c>
      <c r="G586" s="71" t="s">
        <v>679</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680</v>
      </c>
      <c r="G587" s="71" t="s">
        <v>681</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682</v>
      </c>
      <c r="G588" s="71" t="s">
        <v>683</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682</v>
      </c>
      <c r="G589" s="71" t="s">
        <v>684</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682</v>
      </c>
      <c r="G590" s="71" t="s">
        <v>685</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686</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687</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688</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689</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239</v>
      </c>
      <c r="G595" s="71" t="s">
        <v>690</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691</v>
      </c>
      <c r="G596" s="71" t="s">
        <v>692</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691</v>
      </c>
      <c r="G597" s="71" t="s">
        <v>693</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691</v>
      </c>
      <c r="G598" s="71" t="s">
        <v>694</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695</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696</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241</v>
      </c>
      <c r="G601" s="71" t="s">
        <v>697</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241</v>
      </c>
      <c r="G602" s="71" t="s">
        <v>698</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241</v>
      </c>
      <c r="G603" s="71" t="s">
        <v>699</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700</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c r="F605" s="71"/>
      <c r="G605" s="71"/>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243</v>
      </c>
      <c r="G606" s="71" t="s">
        <v>701</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243</v>
      </c>
      <c r="G607" s="71" t="s">
        <v>702</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t="s">
        <v>232</v>
      </c>
      <c r="F608" s="71" t="s">
        <v>243</v>
      </c>
      <c r="G608" s="71" t="s">
        <v>703</v>
      </c>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704</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705</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706</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707</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708</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245</v>
      </c>
      <c r="G614" s="71" t="s">
        <v>709</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245</v>
      </c>
      <c r="G615" s="71" t="s">
        <v>710</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245</v>
      </c>
      <c r="G616" s="71" t="s">
        <v>711</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712</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713</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c r="F619" s="71"/>
      <c r="G619" s="71"/>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714</v>
      </c>
      <c r="G620" s="71" t="s">
        <v>715</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232</v>
      </c>
      <c r="G621" s="71" t="s">
        <v>716</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t="s">
        <v>232</v>
      </c>
      <c r="F622" s="71" t="s">
        <v>232</v>
      </c>
      <c r="G622" s="71" t="s">
        <v>717</v>
      </c>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232</v>
      </c>
      <c r="G623" s="71" t="s">
        <v>718</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719</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720</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721</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722</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723</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248</v>
      </c>
      <c r="G629" s="71" t="s">
        <v>724</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248</v>
      </c>
      <c r="G630" s="71" t="s">
        <v>725</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248</v>
      </c>
      <c r="G631" s="71" t="s">
        <v>726</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727</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728</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729</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250</v>
      </c>
      <c r="F635" s="71" t="s">
        <v>251</v>
      </c>
      <c r="G635" s="71" t="s">
        <v>730</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250</v>
      </c>
      <c r="F636" s="71" t="s">
        <v>251</v>
      </c>
      <c r="G636" s="71" t="s">
        <v>731</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250</v>
      </c>
      <c r="F637" s="71" t="s">
        <v>732</v>
      </c>
      <c r="G637" s="71" t="s">
        <v>733</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732</v>
      </c>
      <c r="G638" s="71" t="s">
        <v>734</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732</v>
      </c>
      <c r="G639" s="71" t="s">
        <v>735</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736</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737</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738</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739</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c r="F644" s="71"/>
      <c r="G644" s="71"/>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c r="F645" s="71"/>
      <c r="G645" s="71"/>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252</v>
      </c>
      <c r="G646" s="71" t="s">
        <v>740</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t="s">
        <v>250</v>
      </c>
      <c r="F647" s="71" t="s">
        <v>252</v>
      </c>
      <c r="G647" s="71" t="s">
        <v>741</v>
      </c>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t="s">
        <v>250</v>
      </c>
      <c r="F648" s="71" t="s">
        <v>742</v>
      </c>
      <c r="G648" s="71" t="s">
        <v>743</v>
      </c>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742</v>
      </c>
      <c r="G649" s="71" t="s">
        <v>744</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742</v>
      </c>
      <c r="G650" s="71" t="s">
        <v>745</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746</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747</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254</v>
      </c>
      <c r="G653" s="71" t="s">
        <v>748</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254</v>
      </c>
      <c r="G654" s="71" t="s">
        <v>749</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750</v>
      </c>
      <c r="G655" s="71" t="s">
        <v>751</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750</v>
      </c>
      <c r="G656" s="71" t="s">
        <v>752</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750</v>
      </c>
      <c r="G657" s="71" t="s">
        <v>753</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754</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755</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756</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757</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250</v>
      </c>
      <c r="G662" s="71" t="s">
        <v>758</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250</v>
      </c>
      <c r="G663" s="71" t="s">
        <v>759</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250</v>
      </c>
      <c r="G664" s="71" t="s">
        <v>760</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761</v>
      </c>
      <c r="G665" s="71" t="s">
        <v>762</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763</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764</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250</v>
      </c>
      <c r="G668" s="71" t="s">
        <v>765</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761</v>
      </c>
      <c r="G669" s="72" t="s">
        <v>766</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761</v>
      </c>
      <c r="G670" s="71" t="s">
        <v>767</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761</v>
      </c>
      <c r="G671" s="71" t="s">
        <v>768</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1" t="s">
        <v>769</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770</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c r="F674" s="71"/>
      <c r="G674" s="71"/>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c r="F675" s="71"/>
      <c r="G675" s="71"/>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c r="F676" s="71"/>
      <c r="G676" s="71"/>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workbookViewId="0">
      <selection activeCell="A13" sqref="A13"/>
    </sheetView>
  </sheetViews>
  <sheetFormatPr baseColWidth="10" defaultColWidth="14.5" defaultRowHeight="15" customHeight="1"/>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 r="A1" s="306" t="s">
        <v>773</v>
      </c>
      <c r="B1" s="204"/>
      <c r="C1" s="204"/>
      <c r="D1" s="204"/>
      <c r="E1" s="204"/>
      <c r="F1" s="204"/>
      <c r="G1" s="204"/>
      <c r="H1" s="204"/>
      <c r="I1" s="204"/>
      <c r="J1" s="204"/>
      <c r="K1" s="204"/>
      <c r="L1" s="204"/>
      <c r="M1" s="204"/>
      <c r="N1" s="204"/>
      <c r="O1" s="204"/>
      <c r="P1" s="204"/>
      <c r="Q1" s="204"/>
      <c r="R1" s="76"/>
      <c r="S1" s="76"/>
      <c r="T1" s="76"/>
      <c r="U1" s="76"/>
      <c r="V1" s="76"/>
      <c r="W1" s="76"/>
      <c r="X1" s="76"/>
      <c r="Y1" s="76"/>
      <c r="Z1" s="76"/>
      <c r="AA1" s="76"/>
      <c r="AB1" s="76"/>
      <c r="AC1" s="76"/>
      <c r="AD1" s="76"/>
      <c r="AE1" s="76"/>
      <c r="AF1" s="76"/>
      <c r="AG1" s="76"/>
      <c r="AH1" s="76"/>
      <c r="AI1" s="76"/>
      <c r="AJ1" s="76"/>
      <c r="AK1" s="76"/>
      <c r="AL1" s="76"/>
      <c r="AM1" s="76"/>
      <c r="AN1" s="76"/>
      <c r="AO1" s="76"/>
      <c r="AP1" s="76"/>
      <c r="AQ1" s="76"/>
      <c r="AR1" s="76"/>
    </row>
    <row r="2" spans="1:44" ht="16">
      <c r="A2" s="306" t="s">
        <v>774</v>
      </c>
      <c r="B2" s="204"/>
      <c r="C2" s="204"/>
      <c r="D2" s="204"/>
      <c r="E2" s="204"/>
      <c r="F2" s="204"/>
      <c r="G2" s="204"/>
      <c r="H2" s="204"/>
      <c r="I2" s="204"/>
      <c r="J2" s="204"/>
      <c r="K2" s="204"/>
      <c r="L2" s="204"/>
      <c r="M2" s="204"/>
      <c r="N2" s="204"/>
      <c r="O2" s="204"/>
      <c r="P2" s="204"/>
      <c r="Q2" s="204"/>
      <c r="R2" s="76"/>
      <c r="S2" s="76"/>
      <c r="T2" s="76"/>
      <c r="U2" s="76"/>
      <c r="V2" s="76"/>
      <c r="W2" s="76"/>
      <c r="X2" s="76"/>
      <c r="Y2" s="76"/>
      <c r="Z2" s="76"/>
      <c r="AA2" s="76"/>
      <c r="AB2" s="76"/>
      <c r="AC2" s="76"/>
      <c r="AD2" s="76"/>
      <c r="AE2" s="76"/>
      <c r="AF2" s="76"/>
      <c r="AG2" s="76"/>
      <c r="AH2" s="76"/>
      <c r="AI2" s="76"/>
      <c r="AJ2" s="76"/>
      <c r="AK2" s="76"/>
      <c r="AL2" s="76"/>
      <c r="AM2" s="76"/>
      <c r="AN2" s="76"/>
      <c r="AO2" s="76"/>
      <c r="AP2" s="76"/>
      <c r="AQ2" s="76"/>
      <c r="AR2" s="76"/>
    </row>
    <row r="3" spans="1:44" ht="16">
      <c r="A3" s="306" t="s">
        <v>775</v>
      </c>
      <c r="B3" s="204"/>
      <c r="C3" s="204"/>
      <c r="D3" s="204"/>
      <c r="E3" s="204"/>
      <c r="F3" s="204"/>
      <c r="G3" s="204"/>
      <c r="H3" s="204"/>
      <c r="I3" s="204"/>
      <c r="J3" s="204"/>
      <c r="K3" s="204"/>
      <c r="L3" s="204"/>
      <c r="M3" s="204"/>
      <c r="N3" s="204"/>
      <c r="O3" s="204"/>
      <c r="P3" s="204"/>
      <c r="Q3" s="204"/>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row>
    <row r="4" spans="1:44" ht="16">
      <c r="A4" s="306" t="s">
        <v>776</v>
      </c>
      <c r="B4" s="204"/>
      <c r="C4" s="204"/>
      <c r="D4" s="204"/>
      <c r="E4" s="204"/>
      <c r="F4" s="204"/>
      <c r="G4" s="204"/>
      <c r="H4" s="204"/>
      <c r="I4" s="204"/>
      <c r="J4" s="204"/>
      <c r="K4" s="204"/>
      <c r="L4" s="204"/>
      <c r="M4" s="204"/>
      <c r="N4" s="204"/>
      <c r="O4" s="204"/>
      <c r="P4" s="204"/>
      <c r="Q4" s="204"/>
      <c r="R4" s="76"/>
      <c r="S4" s="76"/>
      <c r="T4" s="76"/>
      <c r="U4" s="76"/>
      <c r="V4" s="76"/>
      <c r="W4" s="76"/>
      <c r="X4" s="76"/>
      <c r="Y4" s="76"/>
      <c r="Z4" s="76"/>
      <c r="AA4" s="76"/>
      <c r="AB4" s="76"/>
      <c r="AC4" s="76"/>
      <c r="AD4" s="76"/>
      <c r="AE4" s="76"/>
      <c r="AF4" s="76"/>
      <c r="AG4" s="76"/>
      <c r="AH4" s="76"/>
      <c r="AI4" s="76"/>
      <c r="AJ4" s="76"/>
      <c r="AK4" s="76"/>
      <c r="AL4" s="76"/>
      <c r="AM4" s="76"/>
      <c r="AN4" s="76"/>
      <c r="AO4" s="76"/>
      <c r="AP4" s="76"/>
      <c r="AQ4" s="76"/>
      <c r="AR4" s="76"/>
    </row>
    <row r="5" spans="1:44" ht="16">
      <c r="A5" s="306" t="s">
        <v>777</v>
      </c>
      <c r="B5" s="204"/>
      <c r="C5" s="204"/>
      <c r="D5" s="204"/>
      <c r="E5" s="204"/>
      <c r="F5" s="204"/>
      <c r="G5" s="204"/>
      <c r="H5" s="204"/>
      <c r="I5" s="204"/>
      <c r="J5" s="204"/>
      <c r="K5" s="204"/>
      <c r="L5" s="204"/>
      <c r="M5" s="204"/>
      <c r="N5" s="204"/>
      <c r="O5" s="204"/>
      <c r="P5" s="204"/>
      <c r="Q5" s="204"/>
      <c r="R5" s="77"/>
      <c r="S5" s="77"/>
      <c r="T5" s="77"/>
      <c r="U5" s="77"/>
      <c r="V5" s="77"/>
      <c r="W5" s="77"/>
      <c r="X5" s="77"/>
      <c r="Y5" s="77"/>
      <c r="Z5" s="77"/>
      <c r="AA5" s="77"/>
      <c r="AB5" s="77"/>
      <c r="AC5" s="77"/>
      <c r="AD5" s="77"/>
      <c r="AE5" s="77"/>
      <c r="AF5" s="77"/>
      <c r="AG5" s="77"/>
      <c r="AH5" s="77"/>
      <c r="AI5" s="77"/>
      <c r="AJ5" s="77"/>
      <c r="AK5" s="77"/>
      <c r="AL5" s="77"/>
      <c r="AM5" s="77"/>
      <c r="AN5" s="77"/>
      <c r="AO5" s="77"/>
      <c r="AP5" s="77"/>
      <c r="AQ5" s="77"/>
      <c r="AR5" s="77"/>
    </row>
    <row r="6" spans="1:44" ht="9.75" customHeight="1">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c r="AK6" s="77"/>
      <c r="AL6" s="77"/>
      <c r="AM6" s="77"/>
      <c r="AN6" s="77"/>
      <c r="AO6" s="77"/>
      <c r="AP6" s="77"/>
      <c r="AQ6" s="77"/>
      <c r="AR6" s="77"/>
    </row>
    <row r="7" spans="1:44">
      <c r="A7" s="78" t="s">
        <v>778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c r="AK7" s="77"/>
      <c r="AL7" s="77"/>
      <c r="AM7" s="77"/>
      <c r="AN7" s="77"/>
      <c r="AO7" s="77"/>
      <c r="AP7" s="77"/>
      <c r="AQ7" s="77"/>
      <c r="AR7" s="77"/>
    </row>
    <row r="8" spans="1:44" ht="17.25" customHeight="1">
      <c r="A8" s="79" t="s">
        <v>779</v>
      </c>
      <c r="B8" s="77"/>
      <c r="C8" s="77"/>
      <c r="D8" s="304" t="str">
        <f>IF('DR-TB 10A (Sputum &amp; EP Sample)'!C8="","",'DR-TB 10A (Sputum &amp; EP Sample)'!C8)</f>
        <v/>
      </c>
      <c r="E8" s="231"/>
      <c r="F8" s="231"/>
      <c r="G8" s="77"/>
      <c r="H8" s="80" t="s">
        <v>780</v>
      </c>
      <c r="I8" s="268" t="str">
        <f>'DR-TB 10A (Sputum &amp; EP Sample)'!L6</f>
        <v>&lt;Dates&gt;</v>
      </c>
      <c r="J8" s="231"/>
      <c r="K8" s="231"/>
      <c r="L8" s="231"/>
      <c r="M8" s="231"/>
      <c r="N8" s="231"/>
      <c r="O8" s="231"/>
      <c r="P8" s="231"/>
      <c r="Q8" s="231"/>
      <c r="R8" s="231"/>
      <c r="S8" s="77"/>
      <c r="T8" s="77"/>
      <c r="U8" s="77"/>
      <c r="V8" s="77"/>
      <c r="W8" s="77"/>
      <c r="X8" s="77"/>
      <c r="Y8" s="77"/>
      <c r="Z8" s="77"/>
      <c r="AA8" s="77"/>
      <c r="AB8" s="77"/>
      <c r="AC8" s="77"/>
      <c r="AD8" s="77"/>
      <c r="AE8" s="77"/>
      <c r="AF8" s="77"/>
      <c r="AG8" s="77"/>
      <c r="AH8" s="77"/>
      <c r="AI8" s="77"/>
      <c r="AJ8" s="77"/>
      <c r="AK8" s="77"/>
      <c r="AL8" s="77"/>
      <c r="AM8" s="77"/>
      <c r="AN8" s="77"/>
      <c r="AO8" s="77"/>
      <c r="AP8" s="77"/>
      <c r="AQ8" s="77"/>
      <c r="AR8" s="77"/>
    </row>
    <row r="9" spans="1:44" ht="17.25" customHeight="1">
      <c r="A9" s="17" t="s">
        <v>781</v>
      </c>
      <c r="B9" s="77"/>
      <c r="C9" s="77"/>
      <c r="D9" s="77"/>
      <c r="E9" s="77"/>
      <c r="F9" s="81">
        <f>'DR-TB 10A (Sputum &amp; EP Sample)'!F18+'DR-TB 10A (Stool)'!F18</f>
        <v>0</v>
      </c>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77"/>
    </row>
    <row r="10" spans="1:44" ht="24" customHeight="1">
      <c r="A10" s="77" t="s">
        <v>782</v>
      </c>
      <c r="B10" s="77">
        <v>2</v>
      </c>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c r="AK10" s="77"/>
      <c r="AL10" s="77"/>
      <c r="AM10" s="77"/>
      <c r="AN10" s="77"/>
      <c r="AO10" s="77"/>
      <c r="AP10" s="77"/>
      <c r="AQ10" s="77"/>
      <c r="AR10" s="77"/>
    </row>
    <row r="11" spans="1:44" ht="54.75" customHeight="1">
      <c r="A11" s="305" t="s">
        <v>783</v>
      </c>
      <c r="B11" s="301" t="s">
        <v>784</v>
      </c>
      <c r="C11" s="301" t="s">
        <v>785</v>
      </c>
      <c r="D11" s="301" t="s">
        <v>786</v>
      </c>
      <c r="E11" s="301" t="s">
        <v>787</v>
      </c>
      <c r="F11" s="301" t="s">
        <v>788</v>
      </c>
      <c r="G11" s="301" t="s">
        <v>789</v>
      </c>
      <c r="H11" s="301" t="s">
        <v>790</v>
      </c>
      <c r="I11" s="301" t="s">
        <v>791</v>
      </c>
      <c r="J11" s="82"/>
      <c r="K11" s="301" t="s">
        <v>792</v>
      </c>
      <c r="L11" s="301" t="s">
        <v>793</v>
      </c>
      <c r="M11" s="301" t="s">
        <v>794</v>
      </c>
      <c r="N11" s="301" t="s">
        <v>795</v>
      </c>
      <c r="O11" s="302" t="s">
        <v>796</v>
      </c>
      <c r="P11" s="218"/>
      <c r="Q11" s="218"/>
      <c r="R11" s="218"/>
      <c r="S11" s="218"/>
      <c r="T11" s="218"/>
      <c r="U11" s="219"/>
      <c r="V11" s="301" t="s">
        <v>797</v>
      </c>
      <c r="W11" s="301" t="s">
        <v>798</v>
      </c>
      <c r="X11" s="301" t="s">
        <v>799</v>
      </c>
      <c r="Y11" s="301" t="s">
        <v>800</v>
      </c>
      <c r="Z11" s="301" t="s">
        <v>801</v>
      </c>
      <c r="AA11" s="301" t="s">
        <v>802</v>
      </c>
      <c r="AB11" s="83"/>
      <c r="AC11" s="83"/>
      <c r="AD11" s="83"/>
      <c r="AE11" s="83"/>
      <c r="AF11" s="83"/>
      <c r="AG11" s="83"/>
      <c r="AH11" s="83"/>
      <c r="AI11" s="83"/>
      <c r="AJ11" s="83"/>
      <c r="AK11" s="83"/>
      <c r="AL11" s="83"/>
      <c r="AM11" s="83"/>
      <c r="AN11" s="83"/>
      <c r="AO11" s="83"/>
      <c r="AP11" s="83"/>
      <c r="AQ11" s="83"/>
      <c r="AR11" s="83"/>
    </row>
    <row r="12" spans="1:44" ht="54.75" customHeight="1">
      <c r="A12" s="206"/>
      <c r="B12" s="206"/>
      <c r="C12" s="206"/>
      <c r="D12" s="206"/>
      <c r="E12" s="206"/>
      <c r="F12" s="206"/>
      <c r="G12" s="206"/>
      <c r="H12" s="206"/>
      <c r="I12" s="206"/>
      <c r="J12" s="84" t="s">
        <v>803</v>
      </c>
      <c r="K12" s="206"/>
      <c r="L12" s="206"/>
      <c r="M12" s="206"/>
      <c r="N12" s="206"/>
      <c r="O12" s="85" t="s">
        <v>46</v>
      </c>
      <c r="P12" s="85" t="s">
        <v>804</v>
      </c>
      <c r="Q12" s="85" t="s">
        <v>805</v>
      </c>
      <c r="R12" s="85" t="s">
        <v>806</v>
      </c>
      <c r="S12" s="85" t="s">
        <v>807</v>
      </c>
      <c r="T12" s="85" t="s">
        <v>808</v>
      </c>
      <c r="U12" s="85" t="s">
        <v>809</v>
      </c>
      <c r="V12" s="206"/>
      <c r="W12" s="206"/>
      <c r="X12" s="206"/>
      <c r="Y12" s="206"/>
      <c r="Z12" s="206"/>
      <c r="AA12" s="206"/>
      <c r="AB12" s="83"/>
      <c r="AC12" s="83"/>
      <c r="AD12" s="83"/>
      <c r="AE12" s="83"/>
      <c r="AF12" s="83"/>
      <c r="AG12" s="83"/>
      <c r="AH12" s="83"/>
      <c r="AI12" s="83"/>
      <c r="AJ12" s="83"/>
      <c r="AK12" s="83"/>
      <c r="AL12" s="83"/>
      <c r="AM12" s="83"/>
      <c r="AN12" s="83"/>
      <c r="AO12" s="83"/>
      <c r="AP12" s="83"/>
      <c r="AQ12" s="83"/>
      <c r="AR12" s="83"/>
    </row>
    <row r="13" spans="1:44" ht="54.75" customHeight="1">
      <c r="A13" s="86" t="s">
        <v>810</v>
      </c>
      <c r="B13" s="86" t="s">
        <v>811</v>
      </c>
      <c r="C13" s="86" t="s">
        <v>812</v>
      </c>
      <c r="D13" s="86" t="s">
        <v>813</v>
      </c>
      <c r="E13" s="86" t="s">
        <v>814</v>
      </c>
      <c r="F13" s="87" t="s">
        <v>815</v>
      </c>
      <c r="G13" s="87" t="s">
        <v>816</v>
      </c>
      <c r="H13" s="88" t="s">
        <v>817</v>
      </c>
      <c r="I13" s="89" t="s">
        <v>818</v>
      </c>
      <c r="J13" s="86" t="s">
        <v>819</v>
      </c>
      <c r="K13" s="86" t="s">
        <v>820</v>
      </c>
      <c r="L13" s="86" t="s">
        <v>821</v>
      </c>
      <c r="M13" s="86" t="s">
        <v>822</v>
      </c>
      <c r="N13" s="86" t="s">
        <v>823</v>
      </c>
      <c r="O13" s="89" t="s">
        <v>824</v>
      </c>
      <c r="P13" s="89" t="s">
        <v>825</v>
      </c>
      <c r="Q13" s="89" t="s">
        <v>826</v>
      </c>
      <c r="R13" s="89" t="s">
        <v>827</v>
      </c>
      <c r="S13" s="89" t="s">
        <v>828</v>
      </c>
      <c r="T13" s="89" t="s">
        <v>829</v>
      </c>
      <c r="U13" s="89" t="s">
        <v>830</v>
      </c>
      <c r="V13" s="86" t="s">
        <v>831</v>
      </c>
      <c r="W13" s="86" t="s">
        <v>832</v>
      </c>
      <c r="X13" s="86" t="s">
        <v>833</v>
      </c>
      <c r="Y13" s="90" t="s">
        <v>820</v>
      </c>
      <c r="Z13" s="86" t="s">
        <v>834</v>
      </c>
      <c r="AA13" s="91" t="s">
        <v>835</v>
      </c>
      <c r="AB13" s="83"/>
      <c r="AC13" s="83"/>
      <c r="AD13" s="83"/>
      <c r="AE13" s="83"/>
      <c r="AF13" s="83"/>
      <c r="AG13" s="83"/>
      <c r="AH13" s="83"/>
      <c r="AI13" s="83"/>
      <c r="AJ13" s="83"/>
      <c r="AK13" s="83"/>
      <c r="AL13" s="83"/>
      <c r="AM13" s="83"/>
      <c r="AN13" s="83"/>
      <c r="AO13" s="83"/>
      <c r="AP13" s="83"/>
      <c r="AQ13" s="83"/>
      <c r="AR13" s="83"/>
    </row>
    <row r="14" spans="1:44" hidden="1">
      <c r="A14" s="77"/>
      <c r="B14" s="77"/>
      <c r="C14" s="92"/>
      <c r="D14" s="77"/>
      <c r="E14" s="77"/>
      <c r="F14" s="77"/>
      <c r="G14" s="77"/>
      <c r="H14" s="77"/>
      <c r="I14" s="89"/>
      <c r="J14" s="93"/>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c r="AK14" s="77"/>
      <c r="AL14" s="77"/>
      <c r="AM14" s="77"/>
      <c r="AN14" s="77"/>
      <c r="AO14" s="77"/>
      <c r="AP14" s="77"/>
      <c r="AQ14" s="77"/>
      <c r="AR14" s="77"/>
    </row>
    <row r="15" spans="1:44">
      <c r="A15" s="77"/>
      <c r="B15" s="77"/>
      <c r="C15" s="92"/>
      <c r="D15" s="77"/>
      <c r="E15" s="77"/>
      <c r="F15" s="77"/>
      <c r="G15" s="77"/>
      <c r="H15" s="77"/>
      <c r="I15" s="93"/>
      <c r="J15" s="93"/>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c r="AK15" s="77"/>
      <c r="AL15" s="77"/>
      <c r="AM15" s="77"/>
      <c r="AN15" s="77"/>
      <c r="AO15" s="77"/>
      <c r="AP15" s="77"/>
      <c r="AQ15" s="77"/>
      <c r="AR15" s="77"/>
    </row>
    <row r="16" spans="1:44" ht="54.75" customHeight="1">
      <c r="A16" s="303" t="s">
        <v>836</v>
      </c>
      <c r="B16" s="204"/>
      <c r="C16" s="204"/>
      <c r="D16" s="204"/>
      <c r="E16" s="204"/>
      <c r="F16" s="204"/>
      <c r="G16" s="204"/>
      <c r="H16" s="204"/>
      <c r="I16" s="204"/>
      <c r="J16" s="204"/>
      <c r="K16" s="204"/>
      <c r="L16" s="204"/>
      <c r="M16" s="204"/>
      <c r="N16" s="204"/>
      <c r="O16" s="204"/>
      <c r="P16" s="204"/>
      <c r="Q16" s="204"/>
      <c r="R16" s="77"/>
      <c r="S16" s="77"/>
      <c r="T16" s="77"/>
      <c r="U16" s="77"/>
      <c r="V16" s="77"/>
      <c r="W16" s="77"/>
      <c r="X16" s="77"/>
      <c r="Y16" s="77"/>
      <c r="Z16" s="77"/>
      <c r="AA16" s="77"/>
      <c r="AB16" s="77"/>
      <c r="AC16" s="77"/>
      <c r="AD16" s="77"/>
      <c r="AE16" s="77"/>
      <c r="AF16" s="77"/>
      <c r="AG16" s="77"/>
      <c r="AH16" s="77"/>
      <c r="AI16" s="77"/>
      <c r="AJ16" s="77"/>
      <c r="AK16" s="77"/>
      <c r="AL16" s="77"/>
      <c r="AM16" s="77"/>
      <c r="AN16" s="77"/>
      <c r="AO16" s="77"/>
      <c r="AP16" s="77"/>
      <c r="AQ16" s="77"/>
      <c r="AR16" s="77"/>
    </row>
    <row r="17" spans="1:44" ht="16.5" customHeight="1">
      <c r="A17" s="94" t="s">
        <v>837</v>
      </c>
      <c r="B17" s="10"/>
      <c r="C17" s="10"/>
      <c r="D17" s="10"/>
      <c r="E17" s="10"/>
      <c r="F17" s="10"/>
      <c r="G17" s="10"/>
      <c r="H17" s="10"/>
      <c r="I17" s="10"/>
      <c r="J17" s="10"/>
      <c r="K17" s="10"/>
      <c r="L17" s="10"/>
      <c r="M17" s="10"/>
      <c r="N17" s="10"/>
      <c r="O17" s="10"/>
      <c r="P17" s="10"/>
      <c r="Q17" s="10"/>
      <c r="R17" s="77"/>
      <c r="S17" s="77"/>
      <c r="T17" s="77"/>
      <c r="U17" s="77"/>
      <c r="V17" s="77"/>
      <c r="W17" s="77"/>
      <c r="X17" s="77"/>
      <c r="Y17" s="77"/>
      <c r="Z17" s="77"/>
      <c r="AA17" s="77"/>
      <c r="AB17" s="77"/>
      <c r="AC17" s="77"/>
      <c r="AD17" s="77"/>
      <c r="AE17" s="77"/>
      <c r="AF17" s="77"/>
      <c r="AG17" s="77"/>
      <c r="AH17" s="77"/>
      <c r="AI17" s="77"/>
      <c r="AJ17" s="77"/>
      <c r="AK17" s="77"/>
      <c r="AL17" s="77"/>
      <c r="AM17" s="77"/>
      <c r="AN17" s="77"/>
      <c r="AO17" s="77"/>
      <c r="AP17" s="77"/>
      <c r="AQ17" s="77"/>
      <c r="AR17" s="77"/>
    </row>
    <row r="18" spans="1:44">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c r="AK18" s="77"/>
      <c r="AL18" s="77"/>
      <c r="AM18" s="77"/>
      <c r="AN18" s="77"/>
      <c r="AO18" s="77"/>
      <c r="AP18" s="77"/>
      <c r="AQ18" s="77"/>
      <c r="AR18" s="77"/>
    </row>
    <row r="19" spans="1:44">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c r="AK19" s="77"/>
      <c r="AL19" s="77"/>
      <c r="AM19" s="77"/>
      <c r="AN19" s="77"/>
      <c r="AO19" s="77"/>
      <c r="AP19" s="77"/>
      <c r="AQ19" s="77"/>
      <c r="AR19" s="77"/>
    </row>
    <row r="20" spans="1:44">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c r="AK20" s="77"/>
      <c r="AL20" s="77"/>
      <c r="AM20" s="77"/>
      <c r="AN20" s="77"/>
      <c r="AO20" s="77"/>
      <c r="AP20" s="77"/>
      <c r="AQ20" s="77"/>
      <c r="AR20" s="77"/>
    </row>
    <row r="21" spans="1:44" ht="15.75" customHeight="1">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c r="AK21" s="77"/>
      <c r="AL21" s="77"/>
      <c r="AM21" s="77"/>
      <c r="AN21" s="77"/>
      <c r="AO21" s="77"/>
      <c r="AP21" s="77"/>
      <c r="AQ21" s="77"/>
      <c r="AR21" s="77"/>
    </row>
    <row r="22" spans="1:44" ht="15.75" customHeight="1">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c r="AK22" s="77"/>
      <c r="AL22" s="77"/>
      <c r="AM22" s="77"/>
      <c r="AN22" s="77"/>
      <c r="AO22" s="77"/>
      <c r="AP22" s="77"/>
      <c r="AQ22" s="77"/>
      <c r="AR22" s="77"/>
    </row>
    <row r="23" spans="1:44" ht="15.75" customHeight="1">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c r="AK23" s="77"/>
      <c r="AL23" s="77"/>
      <c r="AM23" s="77"/>
      <c r="AN23" s="77"/>
      <c r="AO23" s="77"/>
      <c r="AP23" s="77"/>
      <c r="AQ23" s="77"/>
      <c r="AR23" s="77"/>
    </row>
    <row r="24" spans="1:44" ht="15.75" customHeight="1">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c r="AK24" s="77"/>
      <c r="AL24" s="77"/>
      <c r="AM24" s="77"/>
      <c r="AN24" s="77"/>
      <c r="AO24" s="77"/>
      <c r="AP24" s="77"/>
      <c r="AQ24" s="77"/>
      <c r="AR24" s="77"/>
    </row>
    <row r="25" spans="1:44" ht="15.75" customHeight="1">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c r="AK25" s="77"/>
      <c r="AL25" s="77"/>
      <c r="AM25" s="77"/>
      <c r="AN25" s="77"/>
      <c r="AO25" s="77"/>
      <c r="AP25" s="77"/>
      <c r="AQ25" s="77"/>
      <c r="AR25" s="77"/>
    </row>
    <row r="26" spans="1:44" ht="15.75" customHeight="1">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c r="AK26" s="77"/>
      <c r="AL26" s="77"/>
      <c r="AM26" s="77"/>
      <c r="AN26" s="77"/>
      <c r="AO26" s="77"/>
      <c r="AP26" s="77"/>
      <c r="AQ26" s="77"/>
      <c r="AR26" s="77"/>
    </row>
    <row r="27" spans="1:44" ht="15.75" customHeight="1">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c r="AK27" s="77"/>
      <c r="AL27" s="77"/>
      <c r="AM27" s="77"/>
      <c r="AN27" s="77"/>
      <c r="AO27" s="77"/>
      <c r="AP27" s="77"/>
      <c r="AQ27" s="77"/>
      <c r="AR27" s="77"/>
    </row>
    <row r="28" spans="1:44" ht="15.75" customHeight="1">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c r="AK28" s="77"/>
      <c r="AL28" s="77"/>
      <c r="AM28" s="77"/>
      <c r="AN28" s="77"/>
      <c r="AO28" s="77"/>
      <c r="AP28" s="77"/>
      <c r="AQ28" s="77"/>
      <c r="AR28" s="77"/>
    </row>
    <row r="29" spans="1:44" ht="15.75" customHeight="1">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c r="AK29" s="77"/>
      <c r="AL29" s="77"/>
      <c r="AM29" s="77"/>
      <c r="AN29" s="77"/>
      <c r="AO29" s="77"/>
      <c r="AP29" s="77"/>
      <c r="AQ29" s="77"/>
      <c r="AR29" s="77"/>
    </row>
    <row r="30" spans="1:44" ht="15.75" customHeight="1">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c r="AK30" s="77"/>
      <c r="AL30" s="77"/>
      <c r="AM30" s="77"/>
      <c r="AN30" s="77"/>
      <c r="AO30" s="77"/>
      <c r="AP30" s="77"/>
      <c r="AQ30" s="77"/>
      <c r="AR30" s="77"/>
    </row>
    <row r="31" spans="1:44" ht="15.75" customHeight="1">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c r="AK31" s="77"/>
      <c r="AL31" s="77"/>
      <c r="AM31" s="77"/>
      <c r="AN31" s="77"/>
      <c r="AO31" s="77"/>
      <c r="AP31" s="77"/>
      <c r="AQ31" s="77"/>
      <c r="AR31" s="77"/>
    </row>
    <row r="32" spans="1:44" ht="15.75" customHeight="1">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c r="AK32" s="77"/>
      <c r="AL32" s="77"/>
      <c r="AM32" s="77"/>
      <c r="AN32" s="77"/>
      <c r="AO32" s="77"/>
      <c r="AP32" s="77"/>
      <c r="AQ32" s="77"/>
      <c r="AR32" s="77"/>
    </row>
    <row r="33" spans="1:44" ht="15.75" customHeight="1">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c r="AK33" s="77"/>
      <c r="AL33" s="77"/>
      <c r="AM33" s="77"/>
      <c r="AN33" s="77"/>
      <c r="AO33" s="77"/>
      <c r="AP33" s="77"/>
      <c r="AQ33" s="77"/>
      <c r="AR33" s="77"/>
    </row>
    <row r="34" spans="1:44" ht="15.75" customHeight="1">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c r="AK34" s="77"/>
      <c r="AL34" s="77"/>
      <c r="AM34" s="77"/>
      <c r="AN34" s="77"/>
      <c r="AO34" s="77"/>
      <c r="AP34" s="77"/>
      <c r="AQ34" s="77"/>
      <c r="AR34" s="77"/>
    </row>
    <row r="35" spans="1:44" ht="15.75" customHeight="1">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row>
    <row r="36" spans="1:44" ht="15.75" customHeight="1">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row>
    <row r="37" spans="1:44" ht="15.75" customHeight="1">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c r="AK37" s="77"/>
      <c r="AL37" s="77"/>
      <c r="AM37" s="77"/>
      <c r="AN37" s="77"/>
      <c r="AO37" s="77"/>
      <c r="AP37" s="77"/>
      <c r="AQ37" s="77"/>
      <c r="AR37" s="77"/>
    </row>
    <row r="38" spans="1:44" ht="15.75" customHeight="1">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c r="AK38" s="77"/>
      <c r="AL38" s="77"/>
      <c r="AM38" s="77"/>
      <c r="AN38" s="77"/>
      <c r="AO38" s="77"/>
      <c r="AP38" s="77"/>
      <c r="AQ38" s="77"/>
      <c r="AR38" s="77"/>
    </row>
    <row r="39" spans="1:44" ht="15.75" customHeight="1">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c r="AK39" s="77"/>
      <c r="AL39" s="77"/>
      <c r="AM39" s="77"/>
      <c r="AN39" s="77"/>
      <c r="AO39" s="77"/>
      <c r="AP39" s="77"/>
      <c r="AQ39" s="77"/>
      <c r="AR39" s="77"/>
    </row>
    <row r="40" spans="1:44" ht="15.75" customHeight="1">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c r="AK40" s="77"/>
      <c r="AL40" s="77"/>
      <c r="AM40" s="77"/>
      <c r="AN40" s="77"/>
      <c r="AO40" s="77"/>
      <c r="AP40" s="77"/>
      <c r="AQ40" s="77"/>
      <c r="AR40" s="77"/>
    </row>
    <row r="41" spans="1:44" ht="15.75" customHeight="1">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c r="AK41" s="77"/>
      <c r="AL41" s="77"/>
      <c r="AM41" s="77"/>
      <c r="AN41" s="77"/>
      <c r="AO41" s="77"/>
      <c r="AP41" s="77"/>
      <c r="AQ41" s="77"/>
      <c r="AR41" s="77"/>
    </row>
    <row r="42" spans="1:44" ht="15.75" customHeight="1">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c r="AK42" s="77"/>
      <c r="AL42" s="77"/>
      <c r="AM42" s="77"/>
      <c r="AN42" s="77"/>
      <c r="AO42" s="77"/>
      <c r="AP42" s="77"/>
      <c r="AQ42" s="77"/>
      <c r="AR42" s="77"/>
    </row>
    <row r="43" spans="1:44" ht="15.75" customHeight="1">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c r="AK43" s="77"/>
      <c r="AL43" s="77"/>
      <c r="AM43" s="77"/>
      <c r="AN43" s="77"/>
      <c r="AO43" s="77"/>
      <c r="AP43" s="77"/>
      <c r="AQ43" s="77"/>
      <c r="AR43" s="77"/>
    </row>
    <row r="44" spans="1:44" ht="15.75" customHeight="1">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77"/>
      <c r="AQ44" s="77"/>
      <c r="AR44" s="77"/>
    </row>
    <row r="45" spans="1:44" ht="15.75" customHeight="1">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c r="AK45" s="77"/>
      <c r="AL45" s="77"/>
      <c r="AM45" s="77"/>
      <c r="AN45" s="77"/>
      <c r="AO45" s="77"/>
      <c r="AP45" s="77"/>
      <c r="AQ45" s="77"/>
      <c r="AR45" s="77"/>
    </row>
    <row r="46" spans="1:44" ht="15.75" customHeight="1">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c r="AK46" s="77"/>
      <c r="AL46" s="77"/>
      <c r="AM46" s="77"/>
      <c r="AN46" s="77"/>
      <c r="AO46" s="77"/>
      <c r="AP46" s="77"/>
      <c r="AQ46" s="77"/>
      <c r="AR46" s="77"/>
    </row>
    <row r="47" spans="1:44" ht="15.75" customHeight="1">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c r="AK47" s="77"/>
      <c r="AL47" s="77"/>
      <c r="AM47" s="77"/>
      <c r="AN47" s="77"/>
      <c r="AO47" s="77"/>
      <c r="AP47" s="77"/>
      <c r="AQ47" s="77"/>
      <c r="AR47" s="77"/>
    </row>
    <row r="48" spans="1:44" ht="15.75" customHeight="1">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c r="AK48" s="77"/>
      <c r="AL48" s="77"/>
      <c r="AM48" s="77"/>
      <c r="AN48" s="77"/>
      <c r="AO48" s="77"/>
      <c r="AP48" s="77"/>
      <c r="AQ48" s="77"/>
      <c r="AR48" s="77"/>
    </row>
    <row r="49" spans="1:44" ht="15.75" customHeight="1">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c r="AK49" s="77"/>
      <c r="AL49" s="77"/>
      <c r="AM49" s="77"/>
      <c r="AN49" s="77"/>
      <c r="AO49" s="77"/>
      <c r="AP49" s="77"/>
      <c r="AQ49" s="77"/>
      <c r="AR49" s="77"/>
    </row>
    <row r="50" spans="1:44" ht="15.75" customHeight="1">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c r="AK50" s="77"/>
      <c r="AL50" s="77"/>
      <c r="AM50" s="77"/>
      <c r="AN50" s="77"/>
      <c r="AO50" s="77"/>
      <c r="AP50" s="77"/>
      <c r="AQ50" s="77"/>
      <c r="AR50" s="77"/>
    </row>
    <row r="51" spans="1:44" ht="15.75" customHeight="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c r="AK51" s="77"/>
      <c r="AL51" s="77"/>
      <c r="AM51" s="77"/>
      <c r="AN51" s="77"/>
      <c r="AO51" s="77"/>
      <c r="AP51" s="77"/>
      <c r="AQ51" s="77"/>
      <c r="AR51" s="77"/>
    </row>
    <row r="52" spans="1:44" ht="15.75" customHeight="1">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77"/>
      <c r="AL52" s="77"/>
      <c r="AM52" s="77"/>
      <c r="AN52" s="77"/>
      <c r="AO52" s="77"/>
      <c r="AP52" s="77"/>
      <c r="AQ52" s="77"/>
      <c r="AR52" s="77"/>
    </row>
    <row r="53" spans="1:44" ht="15.75" customHeight="1">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c r="AK53" s="77"/>
      <c r="AL53" s="77"/>
      <c r="AM53" s="77"/>
      <c r="AN53" s="77"/>
      <c r="AO53" s="77"/>
      <c r="AP53" s="77"/>
      <c r="AQ53" s="77"/>
      <c r="AR53" s="77"/>
    </row>
    <row r="54" spans="1:44" ht="15.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row>
    <row r="55" spans="1:44" ht="15.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row>
    <row r="56" spans="1:44" ht="15.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c r="AK56" s="77"/>
      <c r="AL56" s="77"/>
      <c r="AM56" s="77"/>
      <c r="AN56" s="77"/>
      <c r="AO56" s="77"/>
      <c r="AP56" s="77"/>
      <c r="AQ56" s="77"/>
      <c r="AR56" s="77"/>
    </row>
    <row r="57" spans="1:44" ht="15.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c r="AK57" s="77"/>
      <c r="AL57" s="77"/>
      <c r="AM57" s="77"/>
      <c r="AN57" s="77"/>
      <c r="AO57" s="77"/>
      <c r="AP57" s="77"/>
      <c r="AQ57" s="77"/>
      <c r="AR57" s="77"/>
    </row>
    <row r="58" spans="1:44" ht="15.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row>
    <row r="59" spans="1:44" ht="15.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c r="AK59" s="77"/>
      <c r="AL59" s="77"/>
      <c r="AM59" s="77"/>
      <c r="AN59" s="77"/>
      <c r="AO59" s="77"/>
      <c r="AP59" s="77"/>
      <c r="AQ59" s="77"/>
      <c r="AR59" s="77"/>
    </row>
    <row r="60" spans="1:44" ht="15.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row>
    <row r="61" spans="1:44" ht="15.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row>
    <row r="62" spans="1:44" ht="15.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c r="AK62" s="77"/>
      <c r="AL62" s="77"/>
      <c r="AM62" s="77"/>
      <c r="AN62" s="77"/>
      <c r="AO62" s="77"/>
      <c r="AP62" s="77"/>
      <c r="AQ62" s="77"/>
      <c r="AR62" s="77"/>
    </row>
    <row r="63" spans="1:44" ht="15.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c r="AK63" s="77"/>
      <c r="AL63" s="77"/>
      <c r="AM63" s="77"/>
      <c r="AN63" s="77"/>
      <c r="AO63" s="77"/>
      <c r="AP63" s="77"/>
      <c r="AQ63" s="77"/>
      <c r="AR63" s="77"/>
    </row>
    <row r="64" spans="1:44" ht="15.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row>
    <row r="65" spans="1:44" ht="15.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row>
    <row r="66" spans="1:44" ht="15.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row>
    <row r="67" spans="1:44" ht="15.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row>
    <row r="68" spans="1:44" ht="15.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row>
    <row r="69" spans="1:44" ht="15.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row>
    <row r="70" spans="1:44" ht="15.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row>
    <row r="71" spans="1:44" ht="15.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row>
    <row r="72" spans="1:44" ht="15.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row>
    <row r="73" spans="1:44" ht="15.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row>
    <row r="74" spans="1:44" ht="15.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row>
    <row r="75" spans="1:44" ht="15.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row>
    <row r="76" spans="1:44" ht="15.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row>
    <row r="77" spans="1:44" ht="15.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row>
    <row r="78" spans="1:44" ht="15.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row>
    <row r="79" spans="1:44" ht="15.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row>
    <row r="80" spans="1:44" ht="15.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row>
    <row r="81" spans="1:44" ht="15.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row>
    <row r="82" spans="1:44" ht="15.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row>
    <row r="83" spans="1:44" ht="15.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row>
    <row r="84" spans="1:44" ht="15.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row>
    <row r="85" spans="1:44" ht="15.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row>
    <row r="86" spans="1:44" ht="15.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row>
    <row r="87" spans="1:44" ht="15.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row>
    <row r="88" spans="1:44" ht="15.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row>
    <row r="89" spans="1:44" ht="15.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row>
    <row r="90" spans="1:44" ht="15.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row>
    <row r="91" spans="1:44" ht="15.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row>
    <row r="92" spans="1:44" ht="15.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row>
    <row r="93" spans="1:44" ht="15.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row>
    <row r="94" spans="1:44" ht="15.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row>
    <row r="95" spans="1:44" ht="15.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row>
    <row r="96" spans="1:44" ht="15.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row>
    <row r="97" spans="1:44" ht="15.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row>
    <row r="98" spans="1:44" ht="15.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row>
    <row r="99" spans="1:44" ht="15.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row>
    <row r="100" spans="1:44"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row>
    <row r="101" spans="1:44" ht="15.75" customHeight="1">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row>
    <row r="102" spans="1:44" ht="15.75" customHeight="1">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row>
    <row r="103" spans="1:44" ht="15.75" customHeight="1">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row>
    <row r="104" spans="1:44" ht="15.75" customHeight="1">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row>
    <row r="105" spans="1:44" ht="15.75" customHeight="1">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row>
    <row r="106" spans="1:44" ht="15.75" customHeight="1">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row>
    <row r="107" spans="1:44" ht="15.75" customHeight="1">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row>
    <row r="108" spans="1:44" ht="15.75" customHeight="1">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row>
    <row r="109" spans="1:44" ht="15.75" customHeight="1">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row>
    <row r="110" spans="1:44" ht="15.75" customHeight="1">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row>
    <row r="111" spans="1:44" ht="15.75" customHeight="1">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row>
    <row r="112" spans="1:44" ht="15.75" customHeight="1">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row>
    <row r="113" spans="1:44" ht="15.75" customHeight="1">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row>
    <row r="114" spans="1:44" ht="15.75" customHeight="1">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row>
    <row r="115" spans="1:44" ht="15.75" customHeight="1">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row>
    <row r="116" spans="1:44" ht="15.75" customHeight="1">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row>
    <row r="117" spans="1:44" ht="15.75" customHeight="1">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row>
    <row r="118" spans="1:44" ht="15.75" customHeight="1">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row>
    <row r="119" spans="1:44" ht="15.75" customHeight="1">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row>
    <row r="120" spans="1:44" ht="15.75" customHeight="1">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row>
    <row r="121" spans="1:44" ht="15.75" customHeight="1">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row>
    <row r="122" spans="1:44" ht="15.75" customHeight="1">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row>
    <row r="123" spans="1:44" ht="15.75" customHeight="1">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row>
    <row r="124" spans="1:44" ht="15.75" customHeight="1">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row>
    <row r="125" spans="1:44" ht="15.75" customHeight="1">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row>
    <row r="126" spans="1:44" ht="15.75" customHeight="1">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row>
    <row r="127" spans="1:44" ht="15.75" customHeight="1">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row>
    <row r="128" spans="1:44" ht="15.75" customHeight="1">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row>
    <row r="129" spans="1:44" ht="15.75" customHeight="1">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row>
    <row r="130" spans="1:44" ht="15.75" customHeight="1">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row>
    <row r="131" spans="1:44" ht="15.75" customHeight="1">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row>
    <row r="132" spans="1:44" ht="15.75" customHeight="1">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row>
    <row r="133" spans="1:44" ht="15.75" customHeight="1">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row>
    <row r="134" spans="1:44" ht="15.75" customHeight="1">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row>
    <row r="135" spans="1:44" ht="15.75" customHeight="1">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row>
    <row r="136" spans="1:44" ht="15.75" customHeight="1">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row>
    <row r="137" spans="1:44" ht="15.75" customHeight="1">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row>
    <row r="138" spans="1:44" ht="15.75" customHeight="1">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row>
    <row r="139" spans="1:44" ht="15.75" customHeight="1">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row>
    <row r="140" spans="1:44" ht="15.75" customHeight="1">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row>
    <row r="141" spans="1:44" ht="15.75" customHeight="1">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row>
    <row r="142" spans="1:44" ht="15.75" customHeight="1">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row>
    <row r="143" spans="1:44" ht="15.75" customHeight="1">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row>
    <row r="144" spans="1:44" ht="15.75" customHeight="1">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row>
    <row r="145" spans="1:44" ht="15.75" customHeight="1">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row>
    <row r="146" spans="1:44" ht="15.75" customHeight="1">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row>
    <row r="147" spans="1:44" ht="15.75" customHeight="1">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row>
    <row r="148" spans="1:44" ht="15.75" customHeight="1">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row>
    <row r="149" spans="1:44" ht="15.75" customHeight="1">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row>
    <row r="150" spans="1:44" ht="15.75" customHeight="1">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row>
    <row r="151" spans="1:44" ht="15.75" customHeight="1">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row>
    <row r="152" spans="1:44" ht="15.75" customHeight="1">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row>
    <row r="153" spans="1:44" ht="15.75" customHeight="1">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row>
    <row r="154" spans="1:44" ht="15.75" customHeight="1">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row>
    <row r="155" spans="1:44" ht="15.75" customHeight="1">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row>
    <row r="156" spans="1:44" ht="15.75" customHeight="1">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row>
    <row r="157" spans="1:44" ht="15.75" customHeight="1">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row>
    <row r="158" spans="1:44" ht="15.75" customHeight="1">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row>
    <row r="159" spans="1:44" ht="15.75" customHeight="1">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row>
    <row r="160" spans="1:44" ht="15.75" customHeight="1">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row>
    <row r="161" spans="1:44" ht="15.75" customHeight="1">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row>
    <row r="162" spans="1:44" ht="15.75" customHeight="1">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row>
    <row r="163" spans="1:44" ht="15.75" customHeight="1">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row>
    <row r="164" spans="1:44" ht="15.75" customHeight="1">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row>
    <row r="165" spans="1:44" ht="15.75" customHeight="1">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row>
    <row r="166" spans="1:44" ht="15.75" customHeight="1">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row>
    <row r="167" spans="1:44" ht="15.75" customHeight="1">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row>
    <row r="168" spans="1:44" ht="15.75" customHeight="1">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row>
    <row r="169" spans="1:44" ht="15.75" customHeight="1">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row>
    <row r="170" spans="1:44" ht="15.75" customHeight="1">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row>
    <row r="171" spans="1:44" ht="15.75" customHeight="1">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row>
    <row r="172" spans="1:44" ht="15.75" customHeight="1">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row>
    <row r="173" spans="1:44" ht="15.75" customHeight="1">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row>
    <row r="174" spans="1:44" ht="15.75" customHeight="1">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row>
    <row r="175" spans="1:44" ht="15.75" customHeight="1">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row>
    <row r="176" spans="1:44" ht="15.75" customHeight="1">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row>
    <row r="177" spans="1:44" ht="15.75" customHeight="1">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row>
    <row r="178" spans="1:44" ht="15.75" customHeight="1">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row>
    <row r="179" spans="1:44" ht="15.75" customHeight="1">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row>
    <row r="180" spans="1:44" ht="15.75" customHeight="1">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row>
    <row r="181" spans="1:44" ht="15.75" customHeight="1">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row>
    <row r="182" spans="1:44" ht="15.75" customHeight="1">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row>
    <row r="183" spans="1:44" ht="15.75" customHeight="1">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row>
    <row r="184" spans="1:44" ht="15.75" customHeight="1">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row>
    <row r="185" spans="1:44" ht="15.75" customHeight="1">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row>
    <row r="186" spans="1:44" ht="15.75" customHeight="1">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row>
    <row r="187" spans="1:44" ht="15.75" customHeight="1">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row>
    <row r="188" spans="1:44" ht="15.75" customHeight="1">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row>
    <row r="189" spans="1:44" ht="15.75" customHeight="1">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row>
    <row r="190" spans="1:44" ht="15.75" customHeight="1">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row>
    <row r="191" spans="1:44" ht="15.75" customHeight="1">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row>
    <row r="192" spans="1:44" ht="15.75" customHeight="1">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row>
    <row r="193" spans="1:44" ht="15.75" customHeight="1">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row>
    <row r="194" spans="1:44" ht="15.75" customHeight="1">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row>
    <row r="195" spans="1:44" ht="15.75" customHeight="1">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row>
    <row r="196" spans="1:44" ht="15.75" customHeight="1">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row>
    <row r="197" spans="1:44" ht="15.75" customHeight="1">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row>
    <row r="198" spans="1:44" ht="15.75" customHeight="1">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row>
    <row r="199" spans="1:44" ht="15.75" customHeight="1">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row>
    <row r="200" spans="1:44" ht="15.75" customHeight="1">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row>
    <row r="201" spans="1:44" ht="15.75" customHeight="1">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row>
    <row r="202" spans="1:44" ht="15.75" customHeight="1">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row>
    <row r="203" spans="1:44" ht="15.75" customHeight="1">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row>
    <row r="204" spans="1:44" ht="15.75" customHeight="1">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row>
    <row r="205" spans="1:44" ht="15.75" customHeight="1">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row>
    <row r="206" spans="1:44" ht="15.75" customHeight="1">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row>
    <row r="207" spans="1:44" ht="15.75" customHeight="1">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row>
    <row r="208" spans="1:44" ht="15.75" customHeight="1">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row>
    <row r="209" spans="1:44" ht="15.75" customHeight="1">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row>
    <row r="210" spans="1:44" ht="15.75" customHeight="1">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row>
    <row r="211" spans="1:44" ht="15.75" customHeight="1">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row>
    <row r="212" spans="1:44" ht="15.75" customHeight="1">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row>
    <row r="213" spans="1:44" ht="15.75" customHeight="1">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row>
    <row r="214" spans="1:44" ht="15.75" customHeight="1">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row>
    <row r="215" spans="1:44" ht="15.75" customHeight="1">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row>
    <row r="216" spans="1:44" ht="15.75" customHeight="1">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row>
    <row r="217" spans="1:44" ht="15.75" customHeight="1">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row>
    <row r="218" spans="1:44" ht="15.75" customHeight="1">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row>
    <row r="219" spans="1:44" ht="15.75" customHeight="1">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row>
    <row r="220" spans="1:44" ht="15.75" customHeight="1">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row>
    <row r="221" spans="1:44" ht="15.75" customHeight="1">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row>
    <row r="222" spans="1:44" ht="15.75" customHeight="1">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row>
    <row r="223" spans="1:44" ht="15.75" customHeight="1">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row>
    <row r="224" spans="1:44" ht="15.75" customHeight="1">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row>
    <row r="225" spans="1:44" ht="15.75" customHeight="1">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row>
    <row r="226" spans="1:44" ht="15.75" customHeight="1">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row>
    <row r="227" spans="1:44" ht="15.75" customHeight="1">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row>
    <row r="228" spans="1:44" ht="15.75" customHeight="1">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row>
    <row r="229" spans="1:44" ht="15.75" customHeight="1">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row>
    <row r="230" spans="1:44" ht="15.75" customHeight="1">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row>
    <row r="231" spans="1:44" ht="15.75" customHeight="1">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row>
    <row r="232" spans="1:44" ht="15.75" customHeight="1">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row>
    <row r="233" spans="1:44" ht="15.75" customHeight="1">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row>
    <row r="234" spans="1:44" ht="15.75" customHeight="1">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row>
    <row r="235" spans="1:44" ht="15.75" customHeight="1">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row>
    <row r="236" spans="1:44" ht="15.75" customHeight="1">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row>
    <row r="237" spans="1:44" ht="15.75" customHeight="1">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row>
    <row r="238" spans="1:44" ht="15.75" customHeight="1">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row>
    <row r="239" spans="1:44" ht="15.75" customHeight="1">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row>
    <row r="240" spans="1:44" ht="15.75" customHeight="1">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row>
    <row r="241" spans="1:44" ht="15.75" customHeight="1">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row>
    <row r="242" spans="1:44" ht="15.75" customHeight="1">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row>
    <row r="243" spans="1:44" ht="15.75" customHeight="1">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row>
    <row r="244" spans="1:44" ht="15.75" customHeight="1">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row>
    <row r="245" spans="1:44" ht="15.75" customHeight="1">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row>
    <row r="246" spans="1:44" ht="15.75" customHeight="1">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row>
    <row r="247" spans="1:44" ht="15.75" customHeight="1">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row>
    <row r="248" spans="1:44" ht="15.75" customHeight="1">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row>
    <row r="249" spans="1:44" ht="15.75" customHeight="1">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row>
    <row r="250" spans="1:44" ht="15.75" customHeight="1">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row>
    <row r="251" spans="1:44" ht="15.75" customHeight="1">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row>
    <row r="252" spans="1:44" ht="15.75" customHeight="1">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row>
    <row r="253" spans="1:44" ht="15.75" customHeight="1">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row>
    <row r="254" spans="1:44" ht="15.75" customHeight="1">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row>
    <row r="255" spans="1:44" ht="15.75" customHeight="1">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row>
    <row r="256" spans="1:44" ht="15.75" customHeight="1">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row>
    <row r="257" spans="1:44" ht="15.75" customHeight="1">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row>
    <row r="258" spans="1:44" ht="15.75" customHeight="1">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row>
    <row r="259" spans="1:44" ht="15.75" customHeight="1">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row>
    <row r="260" spans="1:44" ht="15.75" customHeight="1">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row>
    <row r="261" spans="1:44" ht="15.75" customHeight="1">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row>
    <row r="262" spans="1:44" ht="15.75" customHeight="1">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row>
    <row r="263" spans="1:44" ht="15.75" customHeight="1">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row>
    <row r="264" spans="1:44" ht="15.75" customHeight="1">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row>
    <row r="265" spans="1:44" ht="15.75" customHeight="1">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row>
    <row r="266" spans="1:44" ht="15.75" customHeight="1">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row>
    <row r="267" spans="1:44" ht="15.75" customHeight="1">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row>
    <row r="268" spans="1:44" ht="15.75" customHeight="1">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row>
    <row r="269" spans="1:44" ht="15.75" customHeight="1">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row>
    <row r="270" spans="1:44" ht="15.75" customHeight="1">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row>
    <row r="271" spans="1:44" ht="15.75" customHeight="1">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row>
    <row r="272" spans="1:44" ht="15.75" customHeight="1">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row>
    <row r="273" spans="1:44" ht="15.75" customHeight="1">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row>
    <row r="274" spans="1:44" ht="15.75" customHeight="1">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row>
    <row r="275" spans="1:44" ht="15.75" customHeight="1">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row>
    <row r="276" spans="1:44" ht="15.75" customHeight="1">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row>
    <row r="277" spans="1:44" ht="15.75" customHeight="1">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row>
    <row r="278" spans="1:44" ht="15.75" customHeight="1">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row>
    <row r="279" spans="1:44" ht="15.75" customHeight="1">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row>
    <row r="280" spans="1:44" ht="15.75" customHeight="1">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row>
    <row r="281" spans="1:44" ht="15.75" customHeight="1">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row>
    <row r="282" spans="1:44" ht="15.75" customHeight="1">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row>
    <row r="283" spans="1:44" ht="15.75" customHeight="1">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row>
    <row r="284" spans="1:44" ht="15.75" customHeight="1">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row>
    <row r="285" spans="1:44" ht="15.75" customHeight="1">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row>
    <row r="286" spans="1:44" ht="15.75" customHeight="1">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row>
    <row r="287" spans="1:44" ht="15.75" customHeight="1">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row>
    <row r="288" spans="1:44" ht="15.75" customHeight="1">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row>
    <row r="289" spans="1:44" ht="15.75" customHeight="1">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row>
    <row r="290" spans="1:44" ht="15.75" customHeight="1">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row>
    <row r="291" spans="1:44" ht="15.75" customHeight="1">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row>
    <row r="292" spans="1:44" ht="15.75" customHeight="1">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row>
    <row r="293" spans="1:44" ht="15.75" customHeight="1">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row>
    <row r="294" spans="1:44" ht="15.75" customHeight="1">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row>
    <row r="295" spans="1:44" ht="15.75" customHeight="1">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row>
    <row r="296" spans="1:44" ht="15.75" customHeight="1">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row>
    <row r="297" spans="1:44" ht="15.75" customHeight="1">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row>
    <row r="298" spans="1:44" ht="15.75" customHeight="1">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row>
    <row r="299" spans="1:44" ht="15.75" customHeight="1">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row>
    <row r="300" spans="1:44" ht="15.75" customHeight="1">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row>
    <row r="301" spans="1:44" ht="15.75" customHeight="1">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row>
    <row r="302" spans="1:44" ht="15.75" customHeight="1">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row>
    <row r="303" spans="1:44" ht="15.75" customHeight="1">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row>
    <row r="304" spans="1:44" ht="15.75" customHeight="1">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row>
    <row r="305" spans="1:44" ht="15.75" customHeight="1">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row>
    <row r="306" spans="1:44" ht="15.75" customHeight="1">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row>
    <row r="307" spans="1:44" ht="15.75" customHeight="1">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row>
    <row r="308" spans="1:44" ht="15.75" customHeight="1">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row>
    <row r="309" spans="1:44" ht="15.75" customHeight="1">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row>
    <row r="310" spans="1:44" ht="15.75" customHeight="1">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row>
    <row r="311" spans="1:44" ht="15.75" customHeight="1">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row>
    <row r="312" spans="1:44" ht="15.75" customHeight="1">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row>
    <row r="313" spans="1:44" ht="15.75" customHeight="1">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row>
    <row r="314" spans="1:44" ht="15.75" customHeight="1">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row>
    <row r="315" spans="1:44" ht="15.75" customHeight="1">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row>
    <row r="316" spans="1:44" ht="15.75" customHeight="1">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row>
    <row r="317" spans="1:44" ht="15.75" customHeight="1">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row>
    <row r="318" spans="1:44" ht="15.75" customHeight="1">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row>
    <row r="319" spans="1:44" ht="15.75" customHeight="1">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row>
    <row r="320" spans="1:44" ht="15.75" customHeight="1">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row>
    <row r="321" spans="1:44" ht="15.75" customHeight="1">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row>
    <row r="322" spans="1:44" ht="15.75" customHeight="1">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row>
    <row r="323" spans="1:44" ht="15.75" customHeight="1">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row>
    <row r="324" spans="1:44" ht="15.75" customHeight="1">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row>
    <row r="325" spans="1:44" ht="15.75" customHeight="1">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row>
    <row r="326" spans="1:44" ht="15.75" customHeight="1">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row>
    <row r="327" spans="1:44" ht="15.75" customHeight="1">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row>
    <row r="328" spans="1:44" ht="15.75" customHeight="1">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row>
    <row r="329" spans="1:44" ht="15.75" customHeight="1">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row>
    <row r="330" spans="1:44" ht="15.75" customHeight="1">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row>
    <row r="331" spans="1:44" ht="15.75" customHeight="1">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row>
    <row r="332" spans="1:44" ht="15.75" customHeight="1">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row>
    <row r="333" spans="1:44" ht="15.75" customHeight="1">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row>
    <row r="334" spans="1:44" ht="15.75" customHeight="1">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row>
    <row r="335" spans="1:44" ht="15.75" customHeight="1">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row>
    <row r="336" spans="1:44" ht="15.75" customHeight="1">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row>
    <row r="337" spans="1:44" ht="15.75" customHeight="1">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row>
    <row r="338" spans="1:44" ht="15.75" customHeight="1">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row>
    <row r="339" spans="1:44" ht="15.75" customHeight="1">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row>
    <row r="340" spans="1:44" ht="15.75" customHeight="1">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row>
    <row r="341" spans="1:44" ht="15.75" customHeight="1">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row>
    <row r="342" spans="1:44" ht="15.75" customHeight="1">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row>
    <row r="343" spans="1:44" ht="15.75" customHeight="1">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row>
    <row r="344" spans="1:44" ht="15.75" customHeight="1">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row>
    <row r="345" spans="1:44" ht="15.75" customHeight="1">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row>
    <row r="346" spans="1:44" ht="15.75" customHeight="1">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row>
    <row r="347" spans="1:44" ht="15.75" customHeight="1">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row>
    <row r="348" spans="1:44" ht="15.75" customHeight="1">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row>
    <row r="349" spans="1:44" ht="15.75" customHeight="1">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row>
    <row r="350" spans="1:44" ht="15.75" customHeight="1">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row>
    <row r="351" spans="1:44" ht="15.75" customHeight="1">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row>
    <row r="352" spans="1:44" ht="15.75" customHeight="1">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row>
    <row r="353" spans="1:44" ht="15.75" customHeight="1">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row>
    <row r="354" spans="1:44" ht="15.75" customHeight="1">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row>
    <row r="355" spans="1:44" ht="15.75" customHeight="1">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row>
    <row r="356" spans="1:44" ht="15.75" customHeight="1">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row>
    <row r="357" spans="1:44" ht="15.75" customHeight="1">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row>
    <row r="358" spans="1:44" ht="15.75" customHeight="1">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row>
    <row r="359" spans="1:44" ht="15.75" customHeight="1">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row>
    <row r="360" spans="1:44" ht="15.75" customHeight="1">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row>
    <row r="361" spans="1:44" ht="15.75" customHeight="1">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row>
    <row r="362" spans="1:44" ht="15.75" customHeight="1">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row>
    <row r="363" spans="1:44" ht="15.75" customHeight="1">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row>
    <row r="364" spans="1:44" ht="15.75" customHeight="1">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row>
    <row r="365" spans="1:44" ht="15.75" customHeight="1">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row>
    <row r="366" spans="1:44" ht="15.75" customHeight="1">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row>
    <row r="367" spans="1:44" ht="15.75" customHeight="1">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row>
    <row r="368" spans="1:44" ht="15.75" customHeight="1">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row>
    <row r="369" spans="1:44" ht="15.75" customHeight="1">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row>
    <row r="370" spans="1:44" ht="15.75" customHeight="1">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row>
    <row r="371" spans="1:44" ht="15.75" customHeight="1">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row>
    <row r="372" spans="1:44" ht="15.75" customHeight="1">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row>
    <row r="373" spans="1:44" ht="15.75" customHeight="1">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row>
    <row r="374" spans="1:44" ht="15.75" customHeight="1">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row>
    <row r="375" spans="1:44" ht="15.75" customHeight="1">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row>
    <row r="376" spans="1:44" ht="15.75" customHeight="1">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row>
    <row r="377" spans="1:44" ht="15.75" customHeight="1">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row>
    <row r="378" spans="1:44" ht="15.75" customHeight="1">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row>
    <row r="379" spans="1:44" ht="15.75" customHeight="1">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row>
    <row r="380" spans="1:44" ht="15.75" customHeight="1">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row>
    <row r="381" spans="1:44" ht="15.75" customHeight="1">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row>
    <row r="382" spans="1:44" ht="15.75" customHeight="1">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row>
    <row r="383" spans="1:44" ht="15.75" customHeight="1">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row>
    <row r="384" spans="1:44" ht="15.75" customHeight="1">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row>
    <row r="385" spans="1:44" ht="15.75" customHeight="1">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row>
    <row r="386" spans="1:44" ht="15.75" customHeight="1">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row>
    <row r="387" spans="1:44" ht="15.75" customHeight="1">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row>
    <row r="388" spans="1:44" ht="15.75" customHeight="1">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row>
    <row r="389" spans="1:44" ht="15.75" customHeight="1">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row>
    <row r="390" spans="1:44" ht="15.75" customHeight="1">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row>
    <row r="391" spans="1:44" ht="15.75" customHeight="1">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row>
    <row r="392" spans="1:44" ht="15.75" customHeight="1">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row>
    <row r="393" spans="1:44" ht="15.75" customHeight="1">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row>
    <row r="394" spans="1:44" ht="15.75" customHeight="1">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row>
    <row r="395" spans="1:44" ht="15.75" customHeight="1">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row>
    <row r="396" spans="1:44" ht="15.75" customHeight="1">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row>
    <row r="397" spans="1:44" ht="15.75" customHeight="1">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row>
    <row r="398" spans="1:44" ht="15.75" customHeight="1">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row>
    <row r="399" spans="1:44" ht="15.75" customHeight="1">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row>
    <row r="400" spans="1:44" ht="15.75" customHeight="1">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row>
    <row r="401" spans="1:44" ht="15.75" customHeight="1">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row>
    <row r="402" spans="1:44" ht="15.75" customHeight="1">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row>
    <row r="403" spans="1:44" ht="15.75" customHeight="1">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row>
    <row r="404" spans="1:44" ht="15.75" customHeight="1">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row>
    <row r="405" spans="1:44" ht="15.75" customHeight="1">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row>
    <row r="406" spans="1:44" ht="15.75" customHeight="1">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row>
    <row r="407" spans="1:44" ht="15.75" customHeight="1">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row>
    <row r="408" spans="1:44" ht="15.75" customHeight="1">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row>
    <row r="409" spans="1:44" ht="15.75" customHeight="1">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row>
    <row r="410" spans="1:44" ht="15.75" customHeight="1">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row>
    <row r="411" spans="1:44" ht="15.75" customHeight="1">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row>
    <row r="412" spans="1:44" ht="15.75" customHeight="1">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row>
    <row r="413" spans="1:44" ht="15.75" customHeight="1">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row>
    <row r="414" spans="1:44" ht="15.75" customHeight="1">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row>
    <row r="415" spans="1:44" ht="15.75" customHeight="1">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row>
    <row r="416" spans="1:44" ht="15.75" customHeight="1">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row>
    <row r="417" spans="1:44" ht="15.75" customHeight="1">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row>
    <row r="418" spans="1:44" ht="15.75" customHeight="1">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row>
    <row r="419" spans="1:44" ht="15.75" customHeight="1">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row>
    <row r="420" spans="1:44" ht="15.75" customHeight="1">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row>
    <row r="421" spans="1:44" ht="15.75" customHeight="1">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row>
    <row r="422" spans="1:44" ht="15.75" customHeight="1">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row>
    <row r="423" spans="1:44" ht="15.75" customHeight="1">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row>
    <row r="424" spans="1:44" ht="15.75" customHeight="1">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row>
    <row r="425" spans="1:44" ht="15.75" customHeight="1">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row>
    <row r="426" spans="1:44" ht="15.75" customHeight="1">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row>
    <row r="427" spans="1:44" ht="15.75" customHeight="1">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row>
    <row r="428" spans="1:44" ht="15.75" customHeight="1">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row>
    <row r="429" spans="1:44" ht="15.75" customHeight="1">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row>
    <row r="430" spans="1:44" ht="15.75" customHeight="1">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row>
    <row r="431" spans="1:44" ht="15.75" customHeight="1">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row>
    <row r="432" spans="1:44" ht="15.75" customHeight="1">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row>
    <row r="433" spans="1:44" ht="15.75" customHeight="1">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row>
    <row r="434" spans="1:44" ht="15.75" customHeight="1">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c r="AK434" s="77"/>
      <c r="AL434" s="77"/>
      <c r="AM434" s="77"/>
      <c r="AN434" s="77"/>
      <c r="AO434" s="77"/>
      <c r="AP434" s="77"/>
      <c r="AQ434" s="77"/>
      <c r="AR434" s="77"/>
    </row>
    <row r="435" spans="1:44" ht="15.75" customHeight="1">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c r="AK435" s="77"/>
      <c r="AL435" s="77"/>
      <c r="AM435" s="77"/>
      <c r="AN435" s="77"/>
      <c r="AO435" s="77"/>
      <c r="AP435" s="77"/>
      <c r="AQ435" s="77"/>
      <c r="AR435" s="77"/>
    </row>
    <row r="436" spans="1:44" ht="15.75" customHeight="1">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c r="AK436" s="77"/>
      <c r="AL436" s="77"/>
      <c r="AM436" s="77"/>
      <c r="AN436" s="77"/>
      <c r="AO436" s="77"/>
      <c r="AP436" s="77"/>
      <c r="AQ436" s="77"/>
      <c r="AR436" s="77"/>
    </row>
    <row r="437" spans="1:44" ht="15.75" customHeight="1">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c r="AK437" s="77"/>
      <c r="AL437" s="77"/>
      <c r="AM437" s="77"/>
      <c r="AN437" s="77"/>
      <c r="AO437" s="77"/>
      <c r="AP437" s="77"/>
      <c r="AQ437" s="77"/>
      <c r="AR437" s="77"/>
    </row>
    <row r="438" spans="1:44" ht="15.75" customHeight="1">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c r="AK438" s="77"/>
      <c r="AL438" s="77"/>
      <c r="AM438" s="77"/>
      <c r="AN438" s="77"/>
      <c r="AO438" s="77"/>
      <c r="AP438" s="77"/>
      <c r="AQ438" s="77"/>
      <c r="AR438" s="77"/>
    </row>
    <row r="439" spans="1:44" ht="15.75" customHeight="1">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c r="AK439" s="77"/>
      <c r="AL439" s="77"/>
      <c r="AM439" s="77"/>
      <c r="AN439" s="77"/>
      <c r="AO439" s="77"/>
      <c r="AP439" s="77"/>
      <c r="AQ439" s="77"/>
      <c r="AR439" s="77"/>
    </row>
    <row r="440" spans="1:44" ht="15.75" customHeight="1">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c r="AK440" s="77"/>
      <c r="AL440" s="77"/>
      <c r="AM440" s="77"/>
      <c r="AN440" s="77"/>
      <c r="AO440" s="77"/>
      <c r="AP440" s="77"/>
      <c r="AQ440" s="77"/>
      <c r="AR440" s="77"/>
    </row>
    <row r="441" spans="1:44" ht="15.75" customHeight="1">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c r="AK441" s="77"/>
      <c r="AL441" s="77"/>
      <c r="AM441" s="77"/>
      <c r="AN441" s="77"/>
      <c r="AO441" s="77"/>
      <c r="AP441" s="77"/>
      <c r="AQ441" s="77"/>
      <c r="AR441" s="77"/>
    </row>
    <row r="442" spans="1:44" ht="15.75" customHeight="1">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c r="AK442" s="77"/>
      <c r="AL442" s="77"/>
      <c r="AM442" s="77"/>
      <c r="AN442" s="77"/>
      <c r="AO442" s="77"/>
      <c r="AP442" s="77"/>
      <c r="AQ442" s="77"/>
      <c r="AR442" s="77"/>
    </row>
    <row r="443" spans="1:44" ht="15.75" customHeight="1">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c r="AK443" s="77"/>
      <c r="AL443" s="77"/>
      <c r="AM443" s="77"/>
      <c r="AN443" s="77"/>
      <c r="AO443" s="77"/>
      <c r="AP443" s="77"/>
      <c r="AQ443" s="77"/>
      <c r="AR443" s="77"/>
    </row>
    <row r="444" spans="1:44" ht="15.75" customHeight="1">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c r="AK444" s="77"/>
      <c r="AL444" s="77"/>
      <c r="AM444" s="77"/>
      <c r="AN444" s="77"/>
      <c r="AO444" s="77"/>
      <c r="AP444" s="77"/>
      <c r="AQ444" s="77"/>
      <c r="AR444" s="77"/>
    </row>
    <row r="445" spans="1:44" ht="15.75" customHeight="1">
      <c r="A445" s="77"/>
      <c r="B445" s="77"/>
      <c r="C445" s="77"/>
      <c r="D445" s="77"/>
      <c r="E445" s="77"/>
      <c r="F445" s="77"/>
      <c r="G445" s="77"/>
      <c r="H445" s="77"/>
      <c r="I445" s="77"/>
      <c r="J445" s="77"/>
      <c r="K445" s="77"/>
      <c r="L445" s="77"/>
      <c r="M445" s="77"/>
      <c r="N445" s="77"/>
      <c r="O445" s="77"/>
      <c r="P445" s="77"/>
      <c r="Q445" s="77"/>
      <c r="R445" s="77"/>
      <c r="S445" s="77"/>
      <c r="T445" s="77"/>
      <c r="U445" s="77"/>
      <c r="V445" s="77"/>
      <c r="W445" s="77"/>
      <c r="X445" s="77"/>
      <c r="Y445" s="77"/>
      <c r="Z445" s="77"/>
      <c r="AA445" s="77"/>
      <c r="AB445" s="77"/>
      <c r="AC445" s="77"/>
      <c r="AD445" s="77"/>
      <c r="AE445" s="77"/>
      <c r="AF445" s="77"/>
      <c r="AG445" s="77"/>
      <c r="AH445" s="77"/>
      <c r="AI445" s="77"/>
      <c r="AJ445" s="77"/>
      <c r="AK445" s="77"/>
      <c r="AL445" s="77"/>
      <c r="AM445" s="77"/>
      <c r="AN445" s="77"/>
      <c r="AO445" s="77"/>
      <c r="AP445" s="77"/>
      <c r="AQ445" s="77"/>
      <c r="AR445" s="77"/>
    </row>
    <row r="446" spans="1:44" ht="15.75" customHeight="1">
      <c r="A446" s="77"/>
      <c r="B446" s="77"/>
      <c r="C446" s="77"/>
      <c r="D446" s="77"/>
      <c r="E446" s="77"/>
      <c r="F446" s="77"/>
      <c r="G446" s="77"/>
      <c r="H446" s="77"/>
      <c r="I446" s="77"/>
      <c r="J446" s="77"/>
      <c r="K446" s="77"/>
      <c r="L446" s="77"/>
      <c r="M446" s="77"/>
      <c r="N446" s="77"/>
      <c r="O446" s="77"/>
      <c r="P446" s="77"/>
      <c r="Q446" s="77"/>
      <c r="R446" s="77"/>
      <c r="S446" s="77"/>
      <c r="T446" s="77"/>
      <c r="U446" s="77"/>
      <c r="V446" s="77"/>
      <c r="W446" s="77"/>
      <c r="X446" s="77"/>
      <c r="Y446" s="77"/>
      <c r="Z446" s="77"/>
      <c r="AA446" s="77"/>
      <c r="AB446" s="77"/>
      <c r="AC446" s="77"/>
      <c r="AD446" s="77"/>
      <c r="AE446" s="77"/>
      <c r="AF446" s="77"/>
      <c r="AG446" s="77"/>
      <c r="AH446" s="77"/>
      <c r="AI446" s="77"/>
      <c r="AJ446" s="77"/>
      <c r="AK446" s="77"/>
      <c r="AL446" s="77"/>
      <c r="AM446" s="77"/>
      <c r="AN446" s="77"/>
      <c r="AO446" s="77"/>
      <c r="AP446" s="77"/>
      <c r="AQ446" s="77"/>
      <c r="AR446" s="77"/>
    </row>
    <row r="447" spans="1:44" ht="15.75" customHeight="1">
      <c r="A447" s="77"/>
      <c r="B447" s="77"/>
      <c r="C447" s="77"/>
      <c r="D447" s="77"/>
      <c r="E447" s="77"/>
      <c r="F447" s="77"/>
      <c r="G447" s="77"/>
      <c r="H447" s="77"/>
      <c r="I447" s="77"/>
      <c r="J447" s="77"/>
      <c r="K447" s="77"/>
      <c r="L447" s="77"/>
      <c r="M447" s="77"/>
      <c r="N447" s="77"/>
      <c r="O447" s="77"/>
      <c r="P447" s="77"/>
      <c r="Q447" s="77"/>
      <c r="R447" s="77"/>
      <c r="S447" s="77"/>
      <c r="T447" s="77"/>
      <c r="U447" s="77"/>
      <c r="V447" s="77"/>
      <c r="W447" s="77"/>
      <c r="X447" s="77"/>
      <c r="Y447" s="77"/>
      <c r="Z447" s="77"/>
      <c r="AA447" s="77"/>
      <c r="AB447" s="77"/>
      <c r="AC447" s="77"/>
      <c r="AD447" s="77"/>
      <c r="AE447" s="77"/>
      <c r="AF447" s="77"/>
      <c r="AG447" s="77"/>
      <c r="AH447" s="77"/>
      <c r="AI447" s="77"/>
      <c r="AJ447" s="77"/>
      <c r="AK447" s="77"/>
      <c r="AL447" s="77"/>
      <c r="AM447" s="77"/>
      <c r="AN447" s="77"/>
      <c r="AO447" s="77"/>
      <c r="AP447" s="77"/>
      <c r="AQ447" s="77"/>
      <c r="AR447" s="77"/>
    </row>
    <row r="448" spans="1:44" ht="15.75" customHeight="1">
      <c r="A448" s="77"/>
      <c r="B448" s="77"/>
      <c r="C448" s="77"/>
      <c r="D448" s="77"/>
      <c r="E448" s="77"/>
      <c r="F448" s="77"/>
      <c r="G448" s="77"/>
      <c r="H448" s="77"/>
      <c r="I448" s="77"/>
      <c r="J448" s="77"/>
      <c r="K448" s="77"/>
      <c r="L448" s="77"/>
      <c r="M448" s="77"/>
      <c r="N448" s="77"/>
      <c r="O448" s="77"/>
      <c r="P448" s="77"/>
      <c r="Q448" s="77"/>
      <c r="R448" s="77"/>
      <c r="S448" s="77"/>
      <c r="T448" s="77"/>
      <c r="U448" s="77"/>
      <c r="V448" s="77"/>
      <c r="W448" s="77"/>
      <c r="X448" s="77"/>
      <c r="Y448" s="77"/>
      <c r="Z448" s="77"/>
      <c r="AA448" s="77"/>
      <c r="AB448" s="77"/>
      <c r="AC448" s="77"/>
      <c r="AD448" s="77"/>
      <c r="AE448" s="77"/>
      <c r="AF448" s="77"/>
      <c r="AG448" s="77"/>
      <c r="AH448" s="77"/>
      <c r="AI448" s="77"/>
      <c r="AJ448" s="77"/>
      <c r="AK448" s="77"/>
      <c r="AL448" s="77"/>
      <c r="AM448" s="77"/>
      <c r="AN448" s="77"/>
      <c r="AO448" s="77"/>
      <c r="AP448" s="77"/>
      <c r="AQ448" s="77"/>
      <c r="AR448" s="77"/>
    </row>
    <row r="449" spans="1:44" ht="15.75" customHeight="1">
      <c r="A449" s="77"/>
      <c r="B449" s="77"/>
      <c r="C449" s="77"/>
      <c r="D449" s="77"/>
      <c r="E449" s="77"/>
      <c r="F449" s="77"/>
      <c r="G449" s="77"/>
      <c r="H449" s="77"/>
      <c r="I449" s="77"/>
      <c r="J449" s="77"/>
      <c r="K449" s="77"/>
      <c r="L449" s="77"/>
      <c r="M449" s="77"/>
      <c r="N449" s="77"/>
      <c r="O449" s="77"/>
      <c r="P449" s="77"/>
      <c r="Q449" s="77"/>
      <c r="R449" s="77"/>
      <c r="S449" s="77"/>
      <c r="T449" s="77"/>
      <c r="U449" s="77"/>
      <c r="V449" s="77"/>
      <c r="W449" s="77"/>
      <c r="X449" s="77"/>
      <c r="Y449" s="77"/>
      <c r="Z449" s="77"/>
      <c r="AA449" s="77"/>
      <c r="AB449" s="77"/>
      <c r="AC449" s="77"/>
      <c r="AD449" s="77"/>
      <c r="AE449" s="77"/>
      <c r="AF449" s="77"/>
      <c r="AG449" s="77"/>
      <c r="AH449" s="77"/>
      <c r="AI449" s="77"/>
      <c r="AJ449" s="77"/>
      <c r="AK449" s="77"/>
      <c r="AL449" s="77"/>
      <c r="AM449" s="77"/>
      <c r="AN449" s="77"/>
      <c r="AO449" s="77"/>
      <c r="AP449" s="77"/>
      <c r="AQ449" s="77"/>
      <c r="AR449" s="77"/>
    </row>
    <row r="450" spans="1:44" ht="15.75" customHeight="1">
      <c r="A450" s="77"/>
      <c r="B450" s="77"/>
      <c r="C450" s="77"/>
      <c r="D450" s="77"/>
      <c r="E450" s="77"/>
      <c r="F450" s="77"/>
      <c r="G450" s="77"/>
      <c r="H450" s="77"/>
      <c r="I450" s="77"/>
      <c r="J450" s="77"/>
      <c r="K450" s="77"/>
      <c r="L450" s="77"/>
      <c r="M450" s="77"/>
      <c r="N450" s="77"/>
      <c r="O450" s="77"/>
      <c r="P450" s="77"/>
      <c r="Q450" s="77"/>
      <c r="R450" s="77"/>
      <c r="S450" s="77"/>
      <c r="T450" s="77"/>
      <c r="U450" s="77"/>
      <c r="V450" s="77"/>
      <c r="W450" s="77"/>
      <c r="X450" s="77"/>
      <c r="Y450" s="77"/>
      <c r="Z450" s="77"/>
      <c r="AA450" s="77"/>
      <c r="AB450" s="77"/>
      <c r="AC450" s="77"/>
      <c r="AD450" s="77"/>
      <c r="AE450" s="77"/>
      <c r="AF450" s="77"/>
      <c r="AG450" s="77"/>
      <c r="AH450" s="77"/>
      <c r="AI450" s="77"/>
      <c r="AJ450" s="77"/>
      <c r="AK450" s="77"/>
      <c r="AL450" s="77"/>
      <c r="AM450" s="77"/>
      <c r="AN450" s="77"/>
      <c r="AO450" s="77"/>
      <c r="AP450" s="77"/>
      <c r="AQ450" s="77"/>
      <c r="AR450" s="77"/>
    </row>
    <row r="451" spans="1:44" ht="15.75" customHeight="1">
      <c r="A451" s="77"/>
      <c r="B451" s="77"/>
      <c r="C451" s="77"/>
      <c r="D451" s="77"/>
      <c r="E451" s="77"/>
      <c r="F451" s="77"/>
      <c r="G451" s="77"/>
      <c r="H451" s="77"/>
      <c r="I451" s="77"/>
      <c r="J451" s="77"/>
      <c r="K451" s="77"/>
      <c r="L451" s="77"/>
      <c r="M451" s="77"/>
      <c r="N451" s="77"/>
      <c r="O451" s="77"/>
      <c r="P451" s="77"/>
      <c r="Q451" s="77"/>
      <c r="R451" s="77"/>
      <c r="S451" s="77"/>
      <c r="T451" s="77"/>
      <c r="U451" s="77"/>
      <c r="V451" s="77"/>
      <c r="W451" s="77"/>
      <c r="X451" s="77"/>
      <c r="Y451" s="77"/>
      <c r="Z451" s="77"/>
      <c r="AA451" s="77"/>
      <c r="AB451" s="77"/>
      <c r="AC451" s="77"/>
      <c r="AD451" s="77"/>
      <c r="AE451" s="77"/>
      <c r="AF451" s="77"/>
      <c r="AG451" s="77"/>
      <c r="AH451" s="77"/>
      <c r="AI451" s="77"/>
      <c r="AJ451" s="77"/>
      <c r="AK451" s="77"/>
      <c r="AL451" s="77"/>
      <c r="AM451" s="77"/>
      <c r="AN451" s="77"/>
      <c r="AO451" s="77"/>
      <c r="AP451" s="77"/>
      <c r="AQ451" s="77"/>
      <c r="AR451" s="77"/>
    </row>
    <row r="452" spans="1:44" ht="15.75" customHeight="1">
      <c r="A452" s="77"/>
      <c r="B452" s="77"/>
      <c r="C452" s="77"/>
      <c r="D452" s="77"/>
      <c r="E452" s="77"/>
      <c r="F452" s="77"/>
      <c r="G452" s="77"/>
      <c r="H452" s="77"/>
      <c r="I452" s="77"/>
      <c r="J452" s="77"/>
      <c r="K452" s="77"/>
      <c r="L452" s="77"/>
      <c r="M452" s="77"/>
      <c r="N452" s="77"/>
      <c r="O452" s="77"/>
      <c r="P452" s="77"/>
      <c r="Q452" s="77"/>
      <c r="R452" s="77"/>
      <c r="S452" s="77"/>
      <c r="T452" s="77"/>
      <c r="U452" s="77"/>
      <c r="V452" s="77"/>
      <c r="W452" s="77"/>
      <c r="X452" s="77"/>
      <c r="Y452" s="77"/>
      <c r="Z452" s="77"/>
      <c r="AA452" s="77"/>
      <c r="AB452" s="77"/>
      <c r="AC452" s="77"/>
      <c r="AD452" s="77"/>
      <c r="AE452" s="77"/>
      <c r="AF452" s="77"/>
      <c r="AG452" s="77"/>
      <c r="AH452" s="77"/>
      <c r="AI452" s="77"/>
      <c r="AJ452" s="77"/>
      <c r="AK452" s="77"/>
      <c r="AL452" s="77"/>
      <c r="AM452" s="77"/>
      <c r="AN452" s="77"/>
      <c r="AO452" s="77"/>
      <c r="AP452" s="77"/>
      <c r="AQ452" s="77"/>
      <c r="AR452" s="77"/>
    </row>
    <row r="453" spans="1:44" ht="15.75" customHeight="1">
      <c r="A453" s="77"/>
      <c r="B453" s="77"/>
      <c r="C453" s="77"/>
      <c r="D453" s="77"/>
      <c r="E453" s="77"/>
      <c r="F453" s="77"/>
      <c r="G453" s="77"/>
      <c r="H453" s="77"/>
      <c r="I453" s="77"/>
      <c r="J453" s="77"/>
      <c r="K453" s="77"/>
      <c r="L453" s="77"/>
      <c r="M453" s="77"/>
      <c r="N453" s="77"/>
      <c r="O453" s="77"/>
      <c r="P453" s="77"/>
      <c r="Q453" s="77"/>
      <c r="R453" s="77"/>
      <c r="S453" s="77"/>
      <c r="T453" s="77"/>
      <c r="U453" s="77"/>
      <c r="V453" s="77"/>
      <c r="W453" s="77"/>
      <c r="X453" s="77"/>
      <c r="Y453" s="77"/>
      <c r="Z453" s="77"/>
      <c r="AA453" s="77"/>
      <c r="AB453" s="77"/>
      <c r="AC453" s="77"/>
      <c r="AD453" s="77"/>
      <c r="AE453" s="77"/>
      <c r="AF453" s="77"/>
      <c r="AG453" s="77"/>
      <c r="AH453" s="77"/>
      <c r="AI453" s="77"/>
      <c r="AJ453" s="77"/>
      <c r="AK453" s="77"/>
      <c r="AL453" s="77"/>
      <c r="AM453" s="77"/>
      <c r="AN453" s="77"/>
      <c r="AO453" s="77"/>
      <c r="AP453" s="77"/>
      <c r="AQ453" s="77"/>
      <c r="AR453" s="77"/>
    </row>
    <row r="454" spans="1:44" ht="15.75" customHeight="1">
      <c r="A454" s="77"/>
      <c r="B454" s="77"/>
      <c r="C454" s="77"/>
      <c r="D454" s="77"/>
      <c r="E454" s="77"/>
      <c r="F454" s="77"/>
      <c r="G454" s="77"/>
      <c r="H454" s="77"/>
      <c r="I454" s="77"/>
      <c r="J454" s="77"/>
      <c r="K454" s="77"/>
      <c r="L454" s="77"/>
      <c r="M454" s="77"/>
      <c r="N454" s="77"/>
      <c r="O454" s="77"/>
      <c r="P454" s="77"/>
      <c r="Q454" s="77"/>
      <c r="R454" s="77"/>
      <c r="S454" s="77"/>
      <c r="T454" s="77"/>
      <c r="U454" s="77"/>
      <c r="V454" s="77"/>
      <c r="W454" s="77"/>
      <c r="X454" s="77"/>
      <c r="Y454" s="77"/>
      <c r="Z454" s="77"/>
      <c r="AA454" s="77"/>
      <c r="AB454" s="77"/>
      <c r="AC454" s="77"/>
      <c r="AD454" s="77"/>
      <c r="AE454" s="77"/>
      <c r="AF454" s="77"/>
      <c r="AG454" s="77"/>
      <c r="AH454" s="77"/>
      <c r="AI454" s="77"/>
      <c r="AJ454" s="77"/>
      <c r="AK454" s="77"/>
      <c r="AL454" s="77"/>
      <c r="AM454" s="77"/>
      <c r="AN454" s="77"/>
      <c r="AO454" s="77"/>
      <c r="AP454" s="77"/>
      <c r="AQ454" s="77"/>
      <c r="AR454" s="77"/>
    </row>
    <row r="455" spans="1:44" ht="15.75" customHeight="1">
      <c r="A455" s="77"/>
      <c r="B455" s="77"/>
      <c r="C455" s="77"/>
      <c r="D455" s="77"/>
      <c r="E455" s="77"/>
      <c r="F455" s="77"/>
      <c r="G455" s="77"/>
      <c r="H455" s="77"/>
      <c r="I455" s="77"/>
      <c r="J455" s="77"/>
      <c r="K455" s="77"/>
      <c r="L455" s="77"/>
      <c r="M455" s="77"/>
      <c r="N455" s="77"/>
      <c r="O455" s="77"/>
      <c r="P455" s="77"/>
      <c r="Q455" s="77"/>
      <c r="R455" s="77"/>
      <c r="S455" s="77"/>
      <c r="T455" s="77"/>
      <c r="U455" s="77"/>
      <c r="V455" s="77"/>
      <c r="W455" s="77"/>
      <c r="X455" s="77"/>
      <c r="Y455" s="77"/>
      <c r="Z455" s="77"/>
      <c r="AA455" s="77"/>
      <c r="AB455" s="77"/>
      <c r="AC455" s="77"/>
      <c r="AD455" s="77"/>
      <c r="AE455" s="77"/>
      <c r="AF455" s="77"/>
      <c r="AG455" s="77"/>
      <c r="AH455" s="77"/>
      <c r="AI455" s="77"/>
      <c r="AJ455" s="77"/>
      <c r="AK455" s="77"/>
      <c r="AL455" s="77"/>
      <c r="AM455" s="77"/>
      <c r="AN455" s="77"/>
      <c r="AO455" s="77"/>
      <c r="AP455" s="77"/>
      <c r="AQ455" s="77"/>
      <c r="AR455" s="77"/>
    </row>
    <row r="456" spans="1:44" ht="15.75" customHeight="1">
      <c r="A456" s="77"/>
      <c r="B456" s="77"/>
      <c r="C456" s="77"/>
      <c r="D456" s="77"/>
      <c r="E456" s="77"/>
      <c r="F456" s="77"/>
      <c r="G456" s="77"/>
      <c r="H456" s="77"/>
      <c r="I456" s="77"/>
      <c r="J456" s="77"/>
      <c r="K456" s="77"/>
      <c r="L456" s="77"/>
      <c r="M456" s="77"/>
      <c r="N456" s="77"/>
      <c r="O456" s="77"/>
      <c r="P456" s="77"/>
      <c r="Q456" s="77"/>
      <c r="R456" s="77"/>
      <c r="S456" s="77"/>
      <c r="T456" s="77"/>
      <c r="U456" s="77"/>
      <c r="V456" s="77"/>
      <c r="W456" s="77"/>
      <c r="X456" s="77"/>
      <c r="Y456" s="77"/>
      <c r="Z456" s="77"/>
      <c r="AA456" s="77"/>
      <c r="AB456" s="77"/>
      <c r="AC456" s="77"/>
      <c r="AD456" s="77"/>
      <c r="AE456" s="77"/>
      <c r="AF456" s="77"/>
      <c r="AG456" s="77"/>
      <c r="AH456" s="77"/>
      <c r="AI456" s="77"/>
      <c r="AJ456" s="77"/>
      <c r="AK456" s="77"/>
      <c r="AL456" s="77"/>
      <c r="AM456" s="77"/>
      <c r="AN456" s="77"/>
      <c r="AO456" s="77"/>
      <c r="AP456" s="77"/>
      <c r="AQ456" s="77"/>
      <c r="AR456" s="77"/>
    </row>
    <row r="457" spans="1:44" ht="15.75" customHeight="1">
      <c r="A457" s="77"/>
      <c r="B457" s="77"/>
      <c r="C457" s="77"/>
      <c r="D457" s="77"/>
      <c r="E457" s="77"/>
      <c r="F457" s="77"/>
      <c r="G457" s="77"/>
      <c r="H457" s="77"/>
      <c r="I457" s="77"/>
      <c r="J457" s="77"/>
      <c r="K457" s="77"/>
      <c r="L457" s="77"/>
      <c r="M457" s="77"/>
      <c r="N457" s="77"/>
      <c r="O457" s="77"/>
      <c r="P457" s="77"/>
      <c r="Q457" s="77"/>
      <c r="R457" s="77"/>
      <c r="S457" s="77"/>
      <c r="T457" s="77"/>
      <c r="U457" s="77"/>
      <c r="V457" s="77"/>
      <c r="W457" s="77"/>
      <c r="X457" s="77"/>
      <c r="Y457" s="77"/>
      <c r="Z457" s="77"/>
      <c r="AA457" s="77"/>
      <c r="AB457" s="77"/>
      <c r="AC457" s="77"/>
      <c r="AD457" s="77"/>
      <c r="AE457" s="77"/>
      <c r="AF457" s="77"/>
      <c r="AG457" s="77"/>
      <c r="AH457" s="77"/>
      <c r="AI457" s="77"/>
      <c r="AJ457" s="77"/>
      <c r="AK457" s="77"/>
      <c r="AL457" s="77"/>
      <c r="AM457" s="77"/>
      <c r="AN457" s="77"/>
      <c r="AO457" s="77"/>
      <c r="AP457" s="77"/>
      <c r="AQ457" s="77"/>
      <c r="AR457" s="77"/>
    </row>
    <row r="458" spans="1:44" ht="15.75" customHeight="1">
      <c r="A458" s="77"/>
      <c r="B458" s="77"/>
      <c r="C458" s="77"/>
      <c r="D458" s="77"/>
      <c r="E458" s="77"/>
      <c r="F458" s="77"/>
      <c r="G458" s="77"/>
      <c r="H458" s="77"/>
      <c r="I458" s="77"/>
      <c r="J458" s="77"/>
      <c r="K458" s="77"/>
      <c r="L458" s="77"/>
      <c r="M458" s="77"/>
      <c r="N458" s="77"/>
      <c r="O458" s="77"/>
      <c r="P458" s="77"/>
      <c r="Q458" s="77"/>
      <c r="R458" s="77"/>
      <c r="S458" s="77"/>
      <c r="T458" s="77"/>
      <c r="U458" s="77"/>
      <c r="V458" s="77"/>
      <c r="W458" s="77"/>
      <c r="X458" s="77"/>
      <c r="Y458" s="77"/>
      <c r="Z458" s="77"/>
      <c r="AA458" s="77"/>
      <c r="AB458" s="77"/>
      <c r="AC458" s="77"/>
      <c r="AD458" s="77"/>
      <c r="AE458" s="77"/>
      <c r="AF458" s="77"/>
      <c r="AG458" s="77"/>
      <c r="AH458" s="77"/>
      <c r="AI458" s="77"/>
      <c r="AJ458" s="77"/>
      <c r="AK458" s="77"/>
      <c r="AL458" s="77"/>
      <c r="AM458" s="77"/>
      <c r="AN458" s="77"/>
      <c r="AO458" s="77"/>
      <c r="AP458" s="77"/>
      <c r="AQ458" s="77"/>
      <c r="AR458" s="77"/>
    </row>
    <row r="459" spans="1:44" ht="15.75" customHeight="1">
      <c r="A459" s="77"/>
      <c r="B459" s="77"/>
      <c r="C459" s="77"/>
      <c r="D459" s="77"/>
      <c r="E459" s="77"/>
      <c r="F459" s="77"/>
      <c r="G459" s="77"/>
      <c r="H459" s="77"/>
      <c r="I459" s="77"/>
      <c r="J459" s="77"/>
      <c r="K459" s="77"/>
      <c r="L459" s="77"/>
      <c r="M459" s="77"/>
      <c r="N459" s="77"/>
      <c r="O459" s="77"/>
      <c r="P459" s="77"/>
      <c r="Q459" s="77"/>
      <c r="R459" s="77"/>
      <c r="S459" s="77"/>
      <c r="T459" s="77"/>
      <c r="U459" s="77"/>
      <c r="V459" s="77"/>
      <c r="W459" s="77"/>
      <c r="X459" s="77"/>
      <c r="Y459" s="77"/>
      <c r="Z459" s="77"/>
      <c r="AA459" s="77"/>
      <c r="AB459" s="77"/>
      <c r="AC459" s="77"/>
      <c r="AD459" s="77"/>
      <c r="AE459" s="77"/>
      <c r="AF459" s="77"/>
      <c r="AG459" s="77"/>
      <c r="AH459" s="77"/>
      <c r="AI459" s="77"/>
      <c r="AJ459" s="77"/>
      <c r="AK459" s="77"/>
      <c r="AL459" s="77"/>
      <c r="AM459" s="77"/>
      <c r="AN459" s="77"/>
      <c r="AO459" s="77"/>
      <c r="AP459" s="77"/>
      <c r="AQ459" s="77"/>
      <c r="AR459" s="77"/>
    </row>
    <row r="460" spans="1:44" ht="15.75" customHeight="1">
      <c r="A460" s="77"/>
      <c r="B460" s="77"/>
      <c r="C460" s="77"/>
      <c r="D460" s="77"/>
      <c r="E460" s="77"/>
      <c r="F460" s="77"/>
      <c r="G460" s="77"/>
      <c r="H460" s="77"/>
      <c r="I460" s="77"/>
      <c r="J460" s="77"/>
      <c r="K460" s="77"/>
      <c r="L460" s="77"/>
      <c r="M460" s="77"/>
      <c r="N460" s="77"/>
      <c r="O460" s="77"/>
      <c r="P460" s="77"/>
      <c r="Q460" s="77"/>
      <c r="R460" s="77"/>
      <c r="S460" s="77"/>
      <c r="T460" s="77"/>
      <c r="U460" s="77"/>
      <c r="V460" s="77"/>
      <c r="W460" s="77"/>
      <c r="X460" s="77"/>
      <c r="Y460" s="77"/>
      <c r="Z460" s="77"/>
      <c r="AA460" s="77"/>
      <c r="AB460" s="77"/>
      <c r="AC460" s="77"/>
      <c r="AD460" s="77"/>
      <c r="AE460" s="77"/>
      <c r="AF460" s="77"/>
      <c r="AG460" s="77"/>
      <c r="AH460" s="77"/>
      <c r="AI460" s="77"/>
      <c r="AJ460" s="77"/>
      <c r="AK460" s="77"/>
      <c r="AL460" s="77"/>
      <c r="AM460" s="77"/>
      <c r="AN460" s="77"/>
      <c r="AO460" s="77"/>
      <c r="AP460" s="77"/>
      <c r="AQ460" s="77"/>
      <c r="AR460" s="77"/>
    </row>
    <row r="461" spans="1:44" ht="15.75" customHeight="1">
      <c r="A461" s="77"/>
      <c r="B461" s="77"/>
      <c r="C461" s="77"/>
      <c r="D461" s="77"/>
      <c r="E461" s="77"/>
      <c r="F461" s="77"/>
      <c r="G461" s="77"/>
      <c r="H461" s="77"/>
      <c r="I461" s="77"/>
      <c r="J461" s="77"/>
      <c r="K461" s="77"/>
      <c r="L461" s="77"/>
      <c r="M461" s="77"/>
      <c r="N461" s="77"/>
      <c r="O461" s="77"/>
      <c r="P461" s="77"/>
      <c r="Q461" s="77"/>
      <c r="R461" s="77"/>
      <c r="S461" s="77"/>
      <c r="T461" s="77"/>
      <c r="U461" s="77"/>
      <c r="V461" s="77"/>
      <c r="W461" s="77"/>
      <c r="X461" s="77"/>
      <c r="Y461" s="77"/>
      <c r="Z461" s="77"/>
      <c r="AA461" s="77"/>
      <c r="AB461" s="77"/>
      <c r="AC461" s="77"/>
      <c r="AD461" s="77"/>
      <c r="AE461" s="77"/>
      <c r="AF461" s="77"/>
      <c r="AG461" s="77"/>
      <c r="AH461" s="77"/>
      <c r="AI461" s="77"/>
      <c r="AJ461" s="77"/>
      <c r="AK461" s="77"/>
      <c r="AL461" s="77"/>
      <c r="AM461" s="77"/>
      <c r="AN461" s="77"/>
      <c r="AO461" s="77"/>
      <c r="AP461" s="77"/>
      <c r="AQ461" s="77"/>
      <c r="AR461" s="77"/>
    </row>
    <row r="462" spans="1:44" ht="15.75" customHeight="1">
      <c r="A462" s="77"/>
      <c r="B462" s="77"/>
      <c r="C462" s="77"/>
      <c r="D462" s="77"/>
      <c r="E462" s="77"/>
      <c r="F462" s="77"/>
      <c r="G462" s="77"/>
      <c r="H462" s="77"/>
      <c r="I462" s="77"/>
      <c r="J462" s="77"/>
      <c r="K462" s="77"/>
      <c r="L462" s="77"/>
      <c r="M462" s="77"/>
      <c r="N462" s="77"/>
      <c r="O462" s="77"/>
      <c r="P462" s="77"/>
      <c r="Q462" s="77"/>
      <c r="R462" s="77"/>
      <c r="S462" s="77"/>
      <c r="T462" s="77"/>
      <c r="U462" s="77"/>
      <c r="V462" s="77"/>
      <c r="W462" s="77"/>
      <c r="X462" s="77"/>
      <c r="Y462" s="77"/>
      <c r="Z462" s="77"/>
      <c r="AA462" s="77"/>
      <c r="AB462" s="77"/>
      <c r="AC462" s="77"/>
      <c r="AD462" s="77"/>
      <c r="AE462" s="77"/>
      <c r="AF462" s="77"/>
      <c r="AG462" s="77"/>
      <c r="AH462" s="77"/>
      <c r="AI462" s="77"/>
      <c r="AJ462" s="77"/>
      <c r="AK462" s="77"/>
      <c r="AL462" s="77"/>
      <c r="AM462" s="77"/>
      <c r="AN462" s="77"/>
      <c r="AO462" s="77"/>
      <c r="AP462" s="77"/>
      <c r="AQ462" s="77"/>
      <c r="AR462" s="77"/>
    </row>
    <row r="463" spans="1:44" ht="15.75" customHeight="1">
      <c r="A463" s="77"/>
      <c r="B463" s="77"/>
      <c r="C463" s="77"/>
      <c r="D463" s="77"/>
      <c r="E463" s="77"/>
      <c r="F463" s="77"/>
      <c r="G463" s="77"/>
      <c r="H463" s="77"/>
      <c r="I463" s="77"/>
      <c r="J463" s="77"/>
      <c r="K463" s="77"/>
      <c r="L463" s="77"/>
      <c r="M463" s="77"/>
      <c r="N463" s="77"/>
      <c r="O463" s="77"/>
      <c r="P463" s="77"/>
      <c r="Q463" s="77"/>
      <c r="R463" s="77"/>
      <c r="S463" s="77"/>
      <c r="T463" s="77"/>
      <c r="U463" s="77"/>
      <c r="V463" s="77"/>
      <c r="W463" s="77"/>
      <c r="X463" s="77"/>
      <c r="Y463" s="77"/>
      <c r="Z463" s="77"/>
      <c r="AA463" s="77"/>
      <c r="AB463" s="77"/>
      <c r="AC463" s="77"/>
      <c r="AD463" s="77"/>
      <c r="AE463" s="77"/>
      <c r="AF463" s="77"/>
      <c r="AG463" s="77"/>
      <c r="AH463" s="77"/>
      <c r="AI463" s="77"/>
      <c r="AJ463" s="77"/>
      <c r="AK463" s="77"/>
      <c r="AL463" s="77"/>
      <c r="AM463" s="77"/>
      <c r="AN463" s="77"/>
      <c r="AO463" s="77"/>
      <c r="AP463" s="77"/>
      <c r="AQ463" s="77"/>
      <c r="AR463" s="77"/>
    </row>
    <row r="464" spans="1:44" ht="15.75" customHeight="1">
      <c r="A464" s="77"/>
      <c r="B464" s="77"/>
      <c r="C464" s="77"/>
      <c r="D464" s="77"/>
      <c r="E464" s="77"/>
      <c r="F464" s="77"/>
      <c r="G464" s="77"/>
      <c r="H464" s="77"/>
      <c r="I464" s="77"/>
      <c r="J464" s="77"/>
      <c r="K464" s="77"/>
      <c r="L464" s="77"/>
      <c r="M464" s="77"/>
      <c r="N464" s="77"/>
      <c r="O464" s="77"/>
      <c r="P464" s="77"/>
      <c r="Q464" s="77"/>
      <c r="R464" s="77"/>
      <c r="S464" s="77"/>
      <c r="T464" s="77"/>
      <c r="U464" s="77"/>
      <c r="V464" s="77"/>
      <c r="W464" s="77"/>
      <c r="X464" s="77"/>
      <c r="Y464" s="77"/>
      <c r="Z464" s="77"/>
      <c r="AA464" s="77"/>
      <c r="AB464" s="77"/>
      <c r="AC464" s="77"/>
      <c r="AD464" s="77"/>
      <c r="AE464" s="77"/>
      <c r="AF464" s="77"/>
      <c r="AG464" s="77"/>
      <c r="AH464" s="77"/>
      <c r="AI464" s="77"/>
      <c r="AJ464" s="77"/>
      <c r="AK464" s="77"/>
      <c r="AL464" s="77"/>
      <c r="AM464" s="77"/>
      <c r="AN464" s="77"/>
      <c r="AO464" s="77"/>
      <c r="AP464" s="77"/>
      <c r="AQ464" s="77"/>
      <c r="AR464" s="77"/>
    </row>
    <row r="465" spans="1:44" ht="15.75" customHeight="1">
      <c r="A465" s="77"/>
      <c r="B465" s="77"/>
      <c r="C465" s="77"/>
      <c r="D465" s="77"/>
      <c r="E465" s="77"/>
      <c r="F465" s="77"/>
      <c r="G465" s="77"/>
      <c r="H465" s="77"/>
      <c r="I465" s="77"/>
      <c r="J465" s="77"/>
      <c r="K465" s="77"/>
      <c r="L465" s="77"/>
      <c r="M465" s="77"/>
      <c r="N465" s="77"/>
      <c r="O465" s="77"/>
      <c r="P465" s="77"/>
      <c r="Q465" s="77"/>
      <c r="R465" s="77"/>
      <c r="S465" s="77"/>
      <c r="T465" s="77"/>
      <c r="U465" s="77"/>
      <c r="V465" s="77"/>
      <c r="W465" s="77"/>
      <c r="X465" s="77"/>
      <c r="Y465" s="77"/>
      <c r="Z465" s="77"/>
      <c r="AA465" s="77"/>
      <c r="AB465" s="77"/>
      <c r="AC465" s="77"/>
      <c r="AD465" s="77"/>
      <c r="AE465" s="77"/>
      <c r="AF465" s="77"/>
      <c r="AG465" s="77"/>
      <c r="AH465" s="77"/>
      <c r="AI465" s="77"/>
      <c r="AJ465" s="77"/>
      <c r="AK465" s="77"/>
      <c r="AL465" s="77"/>
      <c r="AM465" s="77"/>
      <c r="AN465" s="77"/>
      <c r="AO465" s="77"/>
      <c r="AP465" s="77"/>
      <c r="AQ465" s="77"/>
      <c r="AR465" s="77"/>
    </row>
    <row r="466" spans="1:44" ht="15.75" customHeight="1">
      <c r="A466" s="77"/>
      <c r="B466" s="77"/>
      <c r="C466" s="77"/>
      <c r="D466" s="77"/>
      <c r="E466" s="77"/>
      <c r="F466" s="77"/>
      <c r="G466" s="77"/>
      <c r="H466" s="77"/>
      <c r="I466" s="77"/>
      <c r="J466" s="77"/>
      <c r="K466" s="77"/>
      <c r="L466" s="77"/>
      <c r="M466" s="77"/>
      <c r="N466" s="77"/>
      <c r="O466" s="77"/>
      <c r="P466" s="77"/>
      <c r="Q466" s="77"/>
      <c r="R466" s="77"/>
      <c r="S466" s="77"/>
      <c r="T466" s="77"/>
      <c r="U466" s="77"/>
      <c r="V466" s="77"/>
      <c r="W466" s="77"/>
      <c r="X466" s="77"/>
      <c r="Y466" s="77"/>
      <c r="Z466" s="77"/>
      <c r="AA466" s="77"/>
      <c r="AB466" s="77"/>
      <c r="AC466" s="77"/>
      <c r="AD466" s="77"/>
      <c r="AE466" s="77"/>
      <c r="AF466" s="77"/>
      <c r="AG466" s="77"/>
      <c r="AH466" s="77"/>
      <c r="AI466" s="77"/>
      <c r="AJ466" s="77"/>
      <c r="AK466" s="77"/>
      <c r="AL466" s="77"/>
      <c r="AM466" s="77"/>
      <c r="AN466" s="77"/>
      <c r="AO466" s="77"/>
      <c r="AP466" s="77"/>
      <c r="AQ466" s="77"/>
      <c r="AR466" s="77"/>
    </row>
    <row r="467" spans="1:44" ht="15.75" customHeight="1">
      <c r="A467" s="77"/>
      <c r="B467" s="77"/>
      <c r="C467" s="77"/>
      <c r="D467" s="77"/>
      <c r="E467" s="77"/>
      <c r="F467" s="77"/>
      <c r="G467" s="77"/>
      <c r="H467" s="77"/>
      <c r="I467" s="77"/>
      <c r="J467" s="77"/>
      <c r="K467" s="77"/>
      <c r="L467" s="77"/>
      <c r="M467" s="77"/>
      <c r="N467" s="77"/>
      <c r="O467" s="77"/>
      <c r="P467" s="77"/>
      <c r="Q467" s="77"/>
      <c r="R467" s="77"/>
      <c r="S467" s="77"/>
      <c r="T467" s="77"/>
      <c r="U467" s="77"/>
      <c r="V467" s="77"/>
      <c r="W467" s="77"/>
      <c r="X467" s="77"/>
      <c r="Y467" s="77"/>
      <c r="Z467" s="77"/>
      <c r="AA467" s="77"/>
      <c r="AB467" s="77"/>
      <c r="AC467" s="77"/>
      <c r="AD467" s="77"/>
      <c r="AE467" s="77"/>
      <c r="AF467" s="77"/>
      <c r="AG467" s="77"/>
      <c r="AH467" s="77"/>
      <c r="AI467" s="77"/>
      <c r="AJ467" s="77"/>
      <c r="AK467" s="77"/>
      <c r="AL467" s="77"/>
      <c r="AM467" s="77"/>
      <c r="AN467" s="77"/>
      <c r="AO467" s="77"/>
      <c r="AP467" s="77"/>
      <c r="AQ467" s="77"/>
      <c r="AR467" s="77"/>
    </row>
    <row r="468" spans="1:44" ht="15.75" customHeight="1">
      <c r="A468" s="77"/>
      <c r="B468" s="77"/>
      <c r="C468" s="77"/>
      <c r="D468" s="77"/>
      <c r="E468" s="77"/>
      <c r="F468" s="77"/>
      <c r="G468" s="77"/>
      <c r="H468" s="77"/>
      <c r="I468" s="77"/>
      <c r="J468" s="77"/>
      <c r="K468" s="77"/>
      <c r="L468" s="77"/>
      <c r="M468" s="77"/>
      <c r="N468" s="77"/>
      <c r="O468" s="77"/>
      <c r="P468" s="77"/>
      <c r="Q468" s="77"/>
      <c r="R468" s="77"/>
      <c r="S468" s="77"/>
      <c r="T468" s="77"/>
      <c r="U468" s="77"/>
      <c r="V468" s="77"/>
      <c r="W468" s="77"/>
      <c r="X468" s="77"/>
      <c r="Y468" s="77"/>
      <c r="Z468" s="77"/>
      <c r="AA468" s="77"/>
      <c r="AB468" s="77"/>
      <c r="AC468" s="77"/>
      <c r="AD468" s="77"/>
      <c r="AE468" s="77"/>
      <c r="AF468" s="77"/>
      <c r="AG468" s="77"/>
      <c r="AH468" s="77"/>
      <c r="AI468" s="77"/>
      <c r="AJ468" s="77"/>
      <c r="AK468" s="77"/>
      <c r="AL468" s="77"/>
      <c r="AM468" s="77"/>
      <c r="AN468" s="77"/>
      <c r="AO468" s="77"/>
      <c r="AP468" s="77"/>
      <c r="AQ468" s="77"/>
      <c r="AR468" s="77"/>
    </row>
    <row r="469" spans="1:44" ht="15.75" customHeight="1">
      <c r="A469" s="77"/>
      <c r="B469" s="77"/>
      <c r="C469" s="77"/>
      <c r="D469" s="77"/>
      <c r="E469" s="77"/>
      <c r="F469" s="77"/>
      <c r="G469" s="77"/>
      <c r="H469" s="77"/>
      <c r="I469" s="77"/>
      <c r="J469" s="77"/>
      <c r="K469" s="77"/>
      <c r="L469" s="77"/>
      <c r="M469" s="77"/>
      <c r="N469" s="77"/>
      <c r="O469" s="77"/>
      <c r="P469" s="77"/>
      <c r="Q469" s="77"/>
      <c r="R469" s="77"/>
      <c r="S469" s="77"/>
      <c r="T469" s="77"/>
      <c r="U469" s="77"/>
      <c r="V469" s="77"/>
      <c r="W469" s="77"/>
      <c r="X469" s="77"/>
      <c r="Y469" s="77"/>
      <c r="Z469" s="77"/>
      <c r="AA469" s="77"/>
      <c r="AB469" s="77"/>
      <c r="AC469" s="77"/>
      <c r="AD469" s="77"/>
      <c r="AE469" s="77"/>
      <c r="AF469" s="77"/>
      <c r="AG469" s="77"/>
      <c r="AH469" s="77"/>
      <c r="AI469" s="77"/>
      <c r="AJ469" s="77"/>
      <c r="AK469" s="77"/>
      <c r="AL469" s="77"/>
      <c r="AM469" s="77"/>
      <c r="AN469" s="77"/>
      <c r="AO469" s="77"/>
      <c r="AP469" s="77"/>
      <c r="AQ469" s="77"/>
      <c r="AR469" s="77"/>
    </row>
    <row r="470" spans="1:44" ht="15.75" customHeight="1">
      <c r="A470" s="77"/>
      <c r="B470" s="77"/>
      <c r="C470" s="77"/>
      <c r="D470" s="77"/>
      <c r="E470" s="77"/>
      <c r="F470" s="77"/>
      <c r="G470" s="77"/>
      <c r="H470" s="77"/>
      <c r="I470" s="77"/>
      <c r="J470" s="77"/>
      <c r="K470" s="77"/>
      <c r="L470" s="77"/>
      <c r="M470" s="77"/>
      <c r="N470" s="77"/>
      <c r="O470" s="77"/>
      <c r="P470" s="77"/>
      <c r="Q470" s="77"/>
      <c r="R470" s="77"/>
      <c r="S470" s="77"/>
      <c r="T470" s="77"/>
      <c r="U470" s="77"/>
      <c r="V470" s="77"/>
      <c r="W470" s="77"/>
      <c r="X470" s="77"/>
      <c r="Y470" s="77"/>
      <c r="Z470" s="77"/>
      <c r="AA470" s="77"/>
      <c r="AB470" s="77"/>
      <c r="AC470" s="77"/>
      <c r="AD470" s="77"/>
      <c r="AE470" s="77"/>
      <c r="AF470" s="77"/>
      <c r="AG470" s="77"/>
      <c r="AH470" s="77"/>
      <c r="AI470" s="77"/>
      <c r="AJ470" s="77"/>
      <c r="AK470" s="77"/>
      <c r="AL470" s="77"/>
      <c r="AM470" s="77"/>
      <c r="AN470" s="77"/>
      <c r="AO470" s="77"/>
      <c r="AP470" s="77"/>
      <c r="AQ470" s="77"/>
      <c r="AR470" s="77"/>
    </row>
    <row r="471" spans="1:44" ht="15.75" customHeight="1">
      <c r="A471" s="77"/>
      <c r="B471" s="77"/>
      <c r="C471" s="77"/>
      <c r="D471" s="77"/>
      <c r="E471" s="77"/>
      <c r="F471" s="77"/>
      <c r="G471" s="77"/>
      <c r="H471" s="77"/>
      <c r="I471" s="77"/>
      <c r="J471" s="77"/>
      <c r="K471" s="77"/>
      <c r="L471" s="77"/>
      <c r="M471" s="77"/>
      <c r="N471" s="77"/>
      <c r="O471" s="77"/>
      <c r="P471" s="77"/>
      <c r="Q471" s="77"/>
      <c r="R471" s="77"/>
      <c r="S471" s="77"/>
      <c r="T471" s="77"/>
      <c r="U471" s="77"/>
      <c r="V471" s="77"/>
      <c r="W471" s="77"/>
      <c r="X471" s="77"/>
      <c r="Y471" s="77"/>
      <c r="Z471" s="77"/>
      <c r="AA471" s="77"/>
      <c r="AB471" s="77"/>
      <c r="AC471" s="77"/>
      <c r="AD471" s="77"/>
      <c r="AE471" s="77"/>
      <c r="AF471" s="77"/>
      <c r="AG471" s="77"/>
      <c r="AH471" s="77"/>
      <c r="AI471" s="77"/>
      <c r="AJ471" s="77"/>
      <c r="AK471" s="77"/>
      <c r="AL471" s="77"/>
      <c r="AM471" s="77"/>
      <c r="AN471" s="77"/>
      <c r="AO471" s="77"/>
      <c r="AP471" s="77"/>
      <c r="AQ471" s="77"/>
      <c r="AR471" s="77"/>
    </row>
    <row r="472" spans="1:44" ht="15.75" customHeight="1">
      <c r="A472" s="77"/>
      <c r="B472" s="77"/>
      <c r="C472" s="77"/>
      <c r="D472" s="77"/>
      <c r="E472" s="77"/>
      <c r="F472" s="77"/>
      <c r="G472" s="77"/>
      <c r="H472" s="77"/>
      <c r="I472" s="77"/>
      <c r="J472" s="77"/>
      <c r="K472" s="77"/>
      <c r="L472" s="77"/>
      <c r="M472" s="77"/>
      <c r="N472" s="77"/>
      <c r="O472" s="77"/>
      <c r="P472" s="77"/>
      <c r="Q472" s="77"/>
      <c r="R472" s="77"/>
      <c r="S472" s="77"/>
      <c r="T472" s="77"/>
      <c r="U472" s="77"/>
      <c r="V472" s="77"/>
      <c r="W472" s="77"/>
      <c r="X472" s="77"/>
      <c r="Y472" s="77"/>
      <c r="Z472" s="77"/>
      <c r="AA472" s="77"/>
      <c r="AB472" s="77"/>
      <c r="AC472" s="77"/>
      <c r="AD472" s="77"/>
      <c r="AE472" s="77"/>
      <c r="AF472" s="77"/>
      <c r="AG472" s="77"/>
      <c r="AH472" s="77"/>
      <c r="AI472" s="77"/>
      <c r="AJ472" s="77"/>
      <c r="AK472" s="77"/>
      <c r="AL472" s="77"/>
      <c r="AM472" s="77"/>
      <c r="AN472" s="77"/>
      <c r="AO472" s="77"/>
      <c r="AP472" s="77"/>
      <c r="AQ472" s="77"/>
      <c r="AR472" s="77"/>
    </row>
    <row r="473" spans="1:44" ht="15.75" customHeight="1">
      <c r="A473" s="77"/>
      <c r="B473" s="77"/>
      <c r="C473" s="77"/>
      <c r="D473" s="77"/>
      <c r="E473" s="77"/>
      <c r="F473" s="77"/>
      <c r="G473" s="77"/>
      <c r="H473" s="77"/>
      <c r="I473" s="77"/>
      <c r="J473" s="77"/>
      <c r="K473" s="77"/>
      <c r="L473" s="77"/>
      <c r="M473" s="77"/>
      <c r="N473" s="77"/>
      <c r="O473" s="77"/>
      <c r="P473" s="77"/>
      <c r="Q473" s="77"/>
      <c r="R473" s="77"/>
      <c r="S473" s="77"/>
      <c r="T473" s="77"/>
      <c r="U473" s="77"/>
      <c r="V473" s="77"/>
      <c r="W473" s="77"/>
      <c r="X473" s="77"/>
      <c r="Y473" s="77"/>
      <c r="Z473" s="77"/>
      <c r="AA473" s="77"/>
      <c r="AB473" s="77"/>
      <c r="AC473" s="77"/>
      <c r="AD473" s="77"/>
      <c r="AE473" s="77"/>
      <c r="AF473" s="77"/>
      <c r="AG473" s="77"/>
      <c r="AH473" s="77"/>
      <c r="AI473" s="77"/>
      <c r="AJ473" s="77"/>
      <c r="AK473" s="77"/>
      <c r="AL473" s="77"/>
      <c r="AM473" s="77"/>
      <c r="AN473" s="77"/>
      <c r="AO473" s="77"/>
      <c r="AP473" s="77"/>
      <c r="AQ473" s="77"/>
      <c r="AR473" s="77"/>
    </row>
    <row r="474" spans="1:44" ht="15.75" customHeight="1">
      <c r="A474" s="77"/>
      <c r="B474" s="77"/>
      <c r="C474" s="77"/>
      <c r="D474" s="77"/>
      <c r="E474" s="77"/>
      <c r="F474" s="77"/>
      <c r="G474" s="77"/>
      <c r="H474" s="77"/>
      <c r="I474" s="77"/>
      <c r="J474" s="77"/>
      <c r="K474" s="77"/>
      <c r="L474" s="77"/>
      <c r="M474" s="77"/>
      <c r="N474" s="77"/>
      <c r="O474" s="77"/>
      <c r="P474" s="77"/>
      <c r="Q474" s="77"/>
      <c r="R474" s="77"/>
      <c r="S474" s="77"/>
      <c r="T474" s="77"/>
      <c r="U474" s="77"/>
      <c r="V474" s="77"/>
      <c r="W474" s="77"/>
      <c r="X474" s="77"/>
      <c r="Y474" s="77"/>
      <c r="Z474" s="77"/>
      <c r="AA474" s="77"/>
      <c r="AB474" s="77"/>
      <c r="AC474" s="77"/>
      <c r="AD474" s="77"/>
      <c r="AE474" s="77"/>
      <c r="AF474" s="77"/>
      <c r="AG474" s="77"/>
      <c r="AH474" s="77"/>
      <c r="AI474" s="77"/>
      <c r="AJ474" s="77"/>
      <c r="AK474" s="77"/>
      <c r="AL474" s="77"/>
      <c r="AM474" s="77"/>
      <c r="AN474" s="77"/>
      <c r="AO474" s="77"/>
      <c r="AP474" s="77"/>
      <c r="AQ474" s="77"/>
      <c r="AR474" s="77"/>
    </row>
    <row r="475" spans="1:44" ht="15.75" customHeight="1">
      <c r="A475" s="77"/>
      <c r="B475" s="77"/>
      <c r="C475" s="77"/>
      <c r="D475" s="77"/>
      <c r="E475" s="77"/>
      <c r="F475" s="77"/>
      <c r="G475" s="77"/>
      <c r="H475" s="77"/>
      <c r="I475" s="77"/>
      <c r="J475" s="77"/>
      <c r="K475" s="77"/>
      <c r="L475" s="77"/>
      <c r="M475" s="77"/>
      <c r="N475" s="77"/>
      <c r="O475" s="77"/>
      <c r="P475" s="77"/>
      <c r="Q475" s="77"/>
      <c r="R475" s="77"/>
      <c r="S475" s="77"/>
      <c r="T475" s="77"/>
      <c r="U475" s="77"/>
      <c r="V475" s="77"/>
      <c r="W475" s="77"/>
      <c r="X475" s="77"/>
      <c r="Y475" s="77"/>
      <c r="Z475" s="77"/>
      <c r="AA475" s="77"/>
      <c r="AB475" s="77"/>
      <c r="AC475" s="77"/>
      <c r="AD475" s="77"/>
      <c r="AE475" s="77"/>
      <c r="AF475" s="77"/>
      <c r="AG475" s="77"/>
      <c r="AH475" s="77"/>
      <c r="AI475" s="77"/>
      <c r="AJ475" s="77"/>
      <c r="AK475" s="77"/>
      <c r="AL475" s="77"/>
      <c r="AM475" s="77"/>
      <c r="AN475" s="77"/>
      <c r="AO475" s="77"/>
      <c r="AP475" s="77"/>
      <c r="AQ475" s="77"/>
      <c r="AR475" s="77"/>
    </row>
    <row r="476" spans="1:44" ht="15.75" customHeight="1">
      <c r="A476" s="77"/>
      <c r="B476" s="77"/>
      <c r="C476" s="77"/>
      <c r="D476" s="77"/>
      <c r="E476" s="77"/>
      <c r="F476" s="77"/>
      <c r="G476" s="77"/>
      <c r="H476" s="77"/>
      <c r="I476" s="77"/>
      <c r="J476" s="77"/>
      <c r="K476" s="77"/>
      <c r="L476" s="77"/>
      <c r="M476" s="77"/>
      <c r="N476" s="77"/>
      <c r="O476" s="77"/>
      <c r="P476" s="77"/>
      <c r="Q476" s="77"/>
      <c r="R476" s="77"/>
      <c r="S476" s="77"/>
      <c r="T476" s="77"/>
      <c r="U476" s="77"/>
      <c r="V476" s="77"/>
      <c r="W476" s="77"/>
      <c r="X476" s="77"/>
      <c r="Y476" s="77"/>
      <c r="Z476" s="77"/>
      <c r="AA476" s="77"/>
      <c r="AB476" s="77"/>
      <c r="AC476" s="77"/>
      <c r="AD476" s="77"/>
      <c r="AE476" s="77"/>
      <c r="AF476" s="77"/>
      <c r="AG476" s="77"/>
      <c r="AH476" s="77"/>
      <c r="AI476" s="77"/>
      <c r="AJ476" s="77"/>
      <c r="AK476" s="77"/>
      <c r="AL476" s="77"/>
      <c r="AM476" s="77"/>
      <c r="AN476" s="77"/>
      <c r="AO476" s="77"/>
      <c r="AP476" s="77"/>
      <c r="AQ476" s="77"/>
      <c r="AR476" s="77"/>
    </row>
    <row r="477" spans="1:44" ht="15.75" customHeight="1">
      <c r="A477" s="77"/>
      <c r="B477" s="77"/>
      <c r="C477" s="77"/>
      <c r="D477" s="77"/>
      <c r="E477" s="77"/>
      <c r="F477" s="77"/>
      <c r="G477" s="77"/>
      <c r="H477" s="77"/>
      <c r="I477" s="77"/>
      <c r="J477" s="77"/>
      <c r="K477" s="77"/>
      <c r="L477" s="77"/>
      <c r="M477" s="77"/>
      <c r="N477" s="77"/>
      <c r="O477" s="77"/>
      <c r="P477" s="77"/>
      <c r="Q477" s="77"/>
      <c r="R477" s="77"/>
      <c r="S477" s="77"/>
      <c r="T477" s="77"/>
      <c r="U477" s="77"/>
      <c r="V477" s="77"/>
      <c r="W477" s="77"/>
      <c r="X477" s="77"/>
      <c r="Y477" s="77"/>
      <c r="Z477" s="77"/>
      <c r="AA477" s="77"/>
      <c r="AB477" s="77"/>
      <c r="AC477" s="77"/>
      <c r="AD477" s="77"/>
      <c r="AE477" s="77"/>
      <c r="AF477" s="77"/>
      <c r="AG477" s="77"/>
      <c r="AH477" s="77"/>
      <c r="AI477" s="77"/>
      <c r="AJ477" s="77"/>
      <c r="AK477" s="77"/>
      <c r="AL477" s="77"/>
      <c r="AM477" s="77"/>
      <c r="AN477" s="77"/>
      <c r="AO477" s="77"/>
      <c r="AP477" s="77"/>
      <c r="AQ477" s="77"/>
      <c r="AR477" s="77"/>
    </row>
    <row r="478" spans="1:44" ht="15.75" customHeight="1">
      <c r="A478" s="77"/>
      <c r="B478" s="77"/>
      <c r="C478" s="77"/>
      <c r="D478" s="77"/>
      <c r="E478" s="77"/>
      <c r="F478" s="77"/>
      <c r="G478" s="77"/>
      <c r="H478" s="77"/>
      <c r="I478" s="77"/>
      <c r="J478" s="77"/>
      <c r="K478" s="77"/>
      <c r="L478" s="77"/>
      <c r="M478" s="77"/>
      <c r="N478" s="77"/>
      <c r="O478" s="77"/>
      <c r="P478" s="77"/>
      <c r="Q478" s="77"/>
      <c r="R478" s="77"/>
      <c r="S478" s="77"/>
      <c r="T478" s="77"/>
      <c r="U478" s="77"/>
      <c r="V478" s="77"/>
      <c r="W478" s="77"/>
      <c r="X478" s="77"/>
      <c r="Y478" s="77"/>
      <c r="Z478" s="77"/>
      <c r="AA478" s="77"/>
      <c r="AB478" s="77"/>
      <c r="AC478" s="77"/>
      <c r="AD478" s="77"/>
      <c r="AE478" s="77"/>
      <c r="AF478" s="77"/>
      <c r="AG478" s="77"/>
      <c r="AH478" s="77"/>
      <c r="AI478" s="77"/>
      <c r="AJ478" s="77"/>
      <c r="AK478" s="77"/>
      <c r="AL478" s="77"/>
      <c r="AM478" s="77"/>
      <c r="AN478" s="77"/>
      <c r="AO478" s="77"/>
      <c r="AP478" s="77"/>
      <c r="AQ478" s="77"/>
      <c r="AR478" s="77"/>
    </row>
    <row r="479" spans="1:44" ht="15.75" customHeight="1">
      <c r="A479" s="77"/>
      <c r="B479" s="77"/>
      <c r="C479" s="77"/>
      <c r="D479" s="77"/>
      <c r="E479" s="77"/>
      <c r="F479" s="77"/>
      <c r="G479" s="77"/>
      <c r="H479" s="77"/>
      <c r="I479" s="77"/>
      <c r="J479" s="77"/>
      <c r="K479" s="77"/>
      <c r="L479" s="77"/>
      <c r="M479" s="77"/>
      <c r="N479" s="77"/>
      <c r="O479" s="77"/>
      <c r="P479" s="77"/>
      <c r="Q479" s="77"/>
      <c r="R479" s="77"/>
      <c r="S479" s="77"/>
      <c r="T479" s="77"/>
      <c r="U479" s="77"/>
      <c r="V479" s="77"/>
      <c r="W479" s="77"/>
      <c r="X479" s="77"/>
      <c r="Y479" s="77"/>
      <c r="Z479" s="77"/>
      <c r="AA479" s="77"/>
      <c r="AB479" s="77"/>
      <c r="AC479" s="77"/>
      <c r="AD479" s="77"/>
      <c r="AE479" s="77"/>
      <c r="AF479" s="77"/>
      <c r="AG479" s="77"/>
      <c r="AH479" s="77"/>
      <c r="AI479" s="77"/>
      <c r="AJ479" s="77"/>
      <c r="AK479" s="77"/>
      <c r="AL479" s="77"/>
      <c r="AM479" s="77"/>
      <c r="AN479" s="77"/>
      <c r="AO479" s="77"/>
      <c r="AP479" s="77"/>
      <c r="AQ479" s="77"/>
      <c r="AR479" s="77"/>
    </row>
    <row r="480" spans="1:44" ht="15.75" customHeight="1">
      <c r="A480" s="77"/>
      <c r="B480" s="77"/>
      <c r="C480" s="77"/>
      <c r="D480" s="77"/>
      <c r="E480" s="77"/>
      <c r="F480" s="77"/>
      <c r="G480" s="77"/>
      <c r="H480" s="77"/>
      <c r="I480" s="77"/>
      <c r="J480" s="77"/>
      <c r="K480" s="77"/>
      <c r="L480" s="77"/>
      <c r="M480" s="77"/>
      <c r="N480" s="77"/>
      <c r="O480" s="77"/>
      <c r="P480" s="77"/>
      <c r="Q480" s="77"/>
      <c r="R480" s="77"/>
      <c r="S480" s="77"/>
      <c r="T480" s="77"/>
      <c r="U480" s="77"/>
      <c r="V480" s="77"/>
      <c r="W480" s="77"/>
      <c r="X480" s="77"/>
      <c r="Y480" s="77"/>
      <c r="Z480" s="77"/>
      <c r="AA480" s="77"/>
      <c r="AB480" s="77"/>
      <c r="AC480" s="77"/>
      <c r="AD480" s="77"/>
      <c r="AE480" s="77"/>
      <c r="AF480" s="77"/>
      <c r="AG480" s="77"/>
      <c r="AH480" s="77"/>
      <c r="AI480" s="77"/>
      <c r="AJ480" s="77"/>
      <c r="AK480" s="77"/>
      <c r="AL480" s="77"/>
      <c r="AM480" s="77"/>
      <c r="AN480" s="77"/>
      <c r="AO480" s="77"/>
      <c r="AP480" s="77"/>
      <c r="AQ480" s="77"/>
      <c r="AR480" s="77"/>
    </row>
    <row r="481" spans="1:44" ht="15.75" customHeight="1">
      <c r="A481" s="77"/>
      <c r="B481" s="77"/>
      <c r="C481" s="77"/>
      <c r="D481" s="77"/>
      <c r="E481" s="77"/>
      <c r="F481" s="77"/>
      <c r="G481" s="77"/>
      <c r="H481" s="77"/>
      <c r="I481" s="77"/>
      <c r="J481" s="77"/>
      <c r="K481" s="77"/>
      <c r="L481" s="77"/>
      <c r="M481" s="77"/>
      <c r="N481" s="77"/>
      <c r="O481" s="77"/>
      <c r="P481" s="77"/>
      <c r="Q481" s="77"/>
      <c r="R481" s="77"/>
      <c r="S481" s="77"/>
      <c r="T481" s="77"/>
      <c r="U481" s="77"/>
      <c r="V481" s="77"/>
      <c r="W481" s="77"/>
      <c r="X481" s="77"/>
      <c r="Y481" s="77"/>
      <c r="Z481" s="77"/>
      <c r="AA481" s="77"/>
      <c r="AB481" s="77"/>
      <c r="AC481" s="77"/>
      <c r="AD481" s="77"/>
      <c r="AE481" s="77"/>
      <c r="AF481" s="77"/>
      <c r="AG481" s="77"/>
      <c r="AH481" s="77"/>
      <c r="AI481" s="77"/>
      <c r="AJ481" s="77"/>
      <c r="AK481" s="77"/>
      <c r="AL481" s="77"/>
      <c r="AM481" s="77"/>
      <c r="AN481" s="77"/>
      <c r="AO481" s="77"/>
      <c r="AP481" s="77"/>
      <c r="AQ481" s="77"/>
      <c r="AR481" s="77"/>
    </row>
    <row r="482" spans="1:44" ht="15.75" customHeight="1">
      <c r="A482" s="77"/>
      <c r="B482" s="77"/>
      <c r="C482" s="77"/>
      <c r="D482" s="77"/>
      <c r="E482" s="77"/>
      <c r="F482" s="77"/>
      <c r="G482" s="77"/>
      <c r="H482" s="77"/>
      <c r="I482" s="77"/>
      <c r="J482" s="77"/>
      <c r="K482" s="77"/>
      <c r="L482" s="77"/>
      <c r="M482" s="77"/>
      <c r="N482" s="77"/>
      <c r="O482" s="77"/>
      <c r="P482" s="77"/>
      <c r="Q482" s="77"/>
      <c r="R482" s="77"/>
      <c r="S482" s="77"/>
      <c r="T482" s="77"/>
      <c r="U482" s="77"/>
      <c r="V482" s="77"/>
      <c r="W482" s="77"/>
      <c r="X482" s="77"/>
      <c r="Y482" s="77"/>
      <c r="Z482" s="77"/>
      <c r="AA482" s="77"/>
      <c r="AB482" s="77"/>
      <c r="AC482" s="77"/>
      <c r="AD482" s="77"/>
      <c r="AE482" s="77"/>
      <c r="AF482" s="77"/>
      <c r="AG482" s="77"/>
      <c r="AH482" s="77"/>
      <c r="AI482" s="77"/>
      <c r="AJ482" s="77"/>
      <c r="AK482" s="77"/>
      <c r="AL482" s="77"/>
      <c r="AM482" s="77"/>
      <c r="AN482" s="77"/>
      <c r="AO482" s="77"/>
      <c r="AP482" s="77"/>
      <c r="AQ482" s="77"/>
      <c r="AR482" s="77"/>
    </row>
    <row r="483" spans="1:44" ht="15.75" customHeight="1">
      <c r="A483" s="77"/>
      <c r="B483" s="77"/>
      <c r="C483" s="77"/>
      <c r="D483" s="77"/>
      <c r="E483" s="77"/>
      <c r="F483" s="77"/>
      <c r="G483" s="77"/>
      <c r="H483" s="77"/>
      <c r="I483" s="77"/>
      <c r="J483" s="77"/>
      <c r="K483" s="77"/>
      <c r="L483" s="77"/>
      <c r="M483" s="77"/>
      <c r="N483" s="77"/>
      <c r="O483" s="77"/>
      <c r="P483" s="77"/>
      <c r="Q483" s="77"/>
      <c r="R483" s="77"/>
      <c r="S483" s="77"/>
      <c r="T483" s="77"/>
      <c r="U483" s="77"/>
      <c r="V483" s="77"/>
      <c r="W483" s="77"/>
      <c r="X483" s="77"/>
      <c r="Y483" s="77"/>
      <c r="Z483" s="77"/>
      <c r="AA483" s="77"/>
      <c r="AB483" s="77"/>
      <c r="AC483" s="77"/>
      <c r="AD483" s="77"/>
      <c r="AE483" s="77"/>
      <c r="AF483" s="77"/>
      <c r="AG483" s="77"/>
      <c r="AH483" s="77"/>
      <c r="AI483" s="77"/>
      <c r="AJ483" s="77"/>
      <c r="AK483" s="77"/>
      <c r="AL483" s="77"/>
      <c r="AM483" s="77"/>
      <c r="AN483" s="77"/>
      <c r="AO483" s="77"/>
      <c r="AP483" s="77"/>
      <c r="AQ483" s="77"/>
      <c r="AR483" s="77"/>
    </row>
    <row r="484" spans="1:44" ht="15.75" customHeight="1">
      <c r="A484" s="77"/>
      <c r="B484" s="77"/>
      <c r="C484" s="77"/>
      <c r="D484" s="77"/>
      <c r="E484" s="77"/>
      <c r="F484" s="77"/>
      <c r="G484" s="77"/>
      <c r="H484" s="77"/>
      <c r="I484" s="77"/>
      <c r="J484" s="77"/>
      <c r="K484" s="77"/>
      <c r="L484" s="77"/>
      <c r="M484" s="77"/>
      <c r="N484" s="77"/>
      <c r="O484" s="77"/>
      <c r="P484" s="77"/>
      <c r="Q484" s="77"/>
      <c r="R484" s="77"/>
      <c r="S484" s="77"/>
      <c r="T484" s="77"/>
      <c r="U484" s="77"/>
      <c r="V484" s="77"/>
      <c r="W484" s="77"/>
      <c r="X484" s="77"/>
      <c r="Y484" s="77"/>
      <c r="Z484" s="77"/>
      <c r="AA484" s="77"/>
      <c r="AB484" s="77"/>
      <c r="AC484" s="77"/>
      <c r="AD484" s="77"/>
      <c r="AE484" s="77"/>
      <c r="AF484" s="77"/>
      <c r="AG484" s="77"/>
      <c r="AH484" s="77"/>
      <c r="AI484" s="77"/>
      <c r="AJ484" s="77"/>
      <c r="AK484" s="77"/>
      <c r="AL484" s="77"/>
      <c r="AM484" s="77"/>
      <c r="AN484" s="77"/>
      <c r="AO484" s="77"/>
      <c r="AP484" s="77"/>
      <c r="AQ484" s="77"/>
      <c r="AR484" s="77"/>
    </row>
    <row r="485" spans="1:44" ht="15.75" customHeight="1">
      <c r="A485" s="77"/>
      <c r="B485" s="77"/>
      <c r="C485" s="77"/>
      <c r="D485" s="77"/>
      <c r="E485" s="77"/>
      <c r="F485" s="77"/>
      <c r="G485" s="77"/>
      <c r="H485" s="77"/>
      <c r="I485" s="77"/>
      <c r="J485" s="77"/>
      <c r="K485" s="77"/>
      <c r="L485" s="77"/>
      <c r="M485" s="77"/>
      <c r="N485" s="77"/>
      <c r="O485" s="77"/>
      <c r="P485" s="77"/>
      <c r="Q485" s="77"/>
      <c r="R485" s="77"/>
      <c r="S485" s="77"/>
      <c r="T485" s="77"/>
      <c r="U485" s="77"/>
      <c r="V485" s="77"/>
      <c r="W485" s="77"/>
      <c r="X485" s="77"/>
      <c r="Y485" s="77"/>
      <c r="Z485" s="77"/>
      <c r="AA485" s="77"/>
      <c r="AB485" s="77"/>
      <c r="AC485" s="77"/>
      <c r="AD485" s="77"/>
      <c r="AE485" s="77"/>
      <c r="AF485" s="77"/>
      <c r="AG485" s="77"/>
      <c r="AH485" s="77"/>
      <c r="AI485" s="77"/>
      <c r="AJ485" s="77"/>
      <c r="AK485" s="77"/>
      <c r="AL485" s="77"/>
      <c r="AM485" s="77"/>
      <c r="AN485" s="77"/>
      <c r="AO485" s="77"/>
      <c r="AP485" s="77"/>
      <c r="AQ485" s="77"/>
      <c r="AR485" s="77"/>
    </row>
    <row r="486" spans="1:44" ht="15.75" customHeight="1">
      <c r="A486" s="77"/>
      <c r="B486" s="77"/>
      <c r="C486" s="77"/>
      <c r="D486" s="77"/>
      <c r="E486" s="77"/>
      <c r="F486" s="77"/>
      <c r="G486" s="77"/>
      <c r="H486" s="77"/>
      <c r="I486" s="77"/>
      <c r="J486" s="77"/>
      <c r="K486" s="77"/>
      <c r="L486" s="77"/>
      <c r="M486" s="77"/>
      <c r="N486" s="77"/>
      <c r="O486" s="77"/>
      <c r="P486" s="77"/>
      <c r="Q486" s="77"/>
      <c r="R486" s="77"/>
      <c r="S486" s="77"/>
      <c r="T486" s="77"/>
      <c r="U486" s="77"/>
      <c r="V486" s="77"/>
      <c r="W486" s="77"/>
      <c r="X486" s="77"/>
      <c r="Y486" s="77"/>
      <c r="Z486" s="77"/>
      <c r="AA486" s="77"/>
      <c r="AB486" s="77"/>
      <c r="AC486" s="77"/>
      <c r="AD486" s="77"/>
      <c r="AE486" s="77"/>
      <c r="AF486" s="77"/>
      <c r="AG486" s="77"/>
      <c r="AH486" s="77"/>
      <c r="AI486" s="77"/>
      <c r="AJ486" s="77"/>
      <c r="AK486" s="77"/>
      <c r="AL486" s="77"/>
      <c r="AM486" s="77"/>
      <c r="AN486" s="77"/>
      <c r="AO486" s="77"/>
      <c r="AP486" s="77"/>
      <c r="AQ486" s="77"/>
      <c r="AR486" s="77"/>
    </row>
    <row r="487" spans="1:44" ht="15.75" customHeight="1">
      <c r="A487" s="77"/>
      <c r="B487" s="77"/>
      <c r="C487" s="77"/>
      <c r="D487" s="77"/>
      <c r="E487" s="77"/>
      <c r="F487" s="77"/>
      <c r="G487" s="77"/>
      <c r="H487" s="77"/>
      <c r="I487" s="77"/>
      <c r="J487" s="77"/>
      <c r="K487" s="77"/>
      <c r="L487" s="77"/>
      <c r="M487" s="77"/>
      <c r="N487" s="77"/>
      <c r="O487" s="77"/>
      <c r="P487" s="77"/>
      <c r="Q487" s="77"/>
      <c r="R487" s="77"/>
      <c r="S487" s="77"/>
      <c r="T487" s="77"/>
      <c r="U487" s="77"/>
      <c r="V487" s="77"/>
      <c r="W487" s="77"/>
      <c r="X487" s="77"/>
      <c r="Y487" s="77"/>
      <c r="Z487" s="77"/>
      <c r="AA487" s="77"/>
      <c r="AB487" s="77"/>
      <c r="AC487" s="77"/>
      <c r="AD487" s="77"/>
      <c r="AE487" s="77"/>
      <c r="AF487" s="77"/>
      <c r="AG487" s="77"/>
      <c r="AH487" s="77"/>
      <c r="AI487" s="77"/>
      <c r="AJ487" s="77"/>
      <c r="AK487" s="77"/>
      <c r="AL487" s="77"/>
      <c r="AM487" s="77"/>
      <c r="AN487" s="77"/>
      <c r="AO487" s="77"/>
      <c r="AP487" s="77"/>
      <c r="AQ487" s="77"/>
      <c r="AR487" s="77"/>
    </row>
    <row r="488" spans="1:44" ht="15.75" customHeight="1">
      <c r="A488" s="77"/>
      <c r="B488" s="77"/>
      <c r="C488" s="77"/>
      <c r="D488" s="77"/>
      <c r="E488" s="77"/>
      <c r="F488" s="77"/>
      <c r="G488" s="77"/>
      <c r="H488" s="77"/>
      <c r="I488" s="77"/>
      <c r="J488" s="77"/>
      <c r="K488" s="77"/>
      <c r="L488" s="77"/>
      <c r="M488" s="77"/>
      <c r="N488" s="77"/>
      <c r="O488" s="77"/>
      <c r="P488" s="77"/>
      <c r="Q488" s="77"/>
      <c r="R488" s="77"/>
      <c r="S488" s="77"/>
      <c r="T488" s="77"/>
      <c r="U488" s="77"/>
      <c r="V488" s="77"/>
      <c r="W488" s="77"/>
      <c r="X488" s="77"/>
      <c r="Y488" s="77"/>
      <c r="Z488" s="77"/>
      <c r="AA488" s="77"/>
      <c r="AB488" s="77"/>
      <c r="AC488" s="77"/>
      <c r="AD488" s="77"/>
      <c r="AE488" s="77"/>
      <c r="AF488" s="77"/>
      <c r="AG488" s="77"/>
      <c r="AH488" s="77"/>
      <c r="AI488" s="77"/>
      <c r="AJ488" s="77"/>
      <c r="AK488" s="77"/>
      <c r="AL488" s="77"/>
      <c r="AM488" s="77"/>
      <c r="AN488" s="77"/>
      <c r="AO488" s="77"/>
      <c r="AP488" s="77"/>
      <c r="AQ488" s="77"/>
      <c r="AR488" s="77"/>
    </row>
    <row r="489" spans="1:44" ht="15.75" customHeight="1">
      <c r="A489" s="77"/>
      <c r="B489" s="77"/>
      <c r="C489" s="77"/>
      <c r="D489" s="77"/>
      <c r="E489" s="77"/>
      <c r="F489" s="77"/>
      <c r="G489" s="77"/>
      <c r="H489" s="77"/>
      <c r="I489" s="77"/>
      <c r="J489" s="77"/>
      <c r="K489" s="77"/>
      <c r="L489" s="77"/>
      <c r="M489" s="77"/>
      <c r="N489" s="77"/>
      <c r="O489" s="77"/>
      <c r="P489" s="77"/>
      <c r="Q489" s="77"/>
      <c r="R489" s="77"/>
      <c r="S489" s="77"/>
      <c r="T489" s="77"/>
      <c r="U489" s="77"/>
      <c r="V489" s="77"/>
      <c r="W489" s="77"/>
      <c r="X489" s="77"/>
      <c r="Y489" s="77"/>
      <c r="Z489" s="77"/>
      <c r="AA489" s="77"/>
      <c r="AB489" s="77"/>
      <c r="AC489" s="77"/>
      <c r="AD489" s="77"/>
      <c r="AE489" s="77"/>
      <c r="AF489" s="77"/>
      <c r="AG489" s="77"/>
      <c r="AH489" s="77"/>
      <c r="AI489" s="77"/>
      <c r="AJ489" s="77"/>
      <c r="AK489" s="77"/>
      <c r="AL489" s="77"/>
      <c r="AM489" s="77"/>
      <c r="AN489" s="77"/>
      <c r="AO489" s="77"/>
      <c r="AP489" s="77"/>
      <c r="AQ489" s="77"/>
      <c r="AR489" s="77"/>
    </row>
    <row r="490" spans="1:44" ht="15.75" customHeight="1">
      <c r="A490" s="77"/>
      <c r="B490" s="77"/>
      <c r="C490" s="77"/>
      <c r="D490" s="77"/>
      <c r="E490" s="77"/>
      <c r="F490" s="77"/>
      <c r="G490" s="77"/>
      <c r="H490" s="77"/>
      <c r="I490" s="77"/>
      <c r="J490" s="77"/>
      <c r="K490" s="77"/>
      <c r="L490" s="77"/>
      <c r="M490" s="77"/>
      <c r="N490" s="77"/>
      <c r="O490" s="77"/>
      <c r="P490" s="77"/>
      <c r="Q490" s="77"/>
      <c r="R490" s="77"/>
      <c r="S490" s="77"/>
      <c r="T490" s="77"/>
      <c r="U490" s="77"/>
      <c r="V490" s="77"/>
      <c r="W490" s="77"/>
      <c r="X490" s="77"/>
      <c r="Y490" s="77"/>
      <c r="Z490" s="77"/>
      <c r="AA490" s="77"/>
      <c r="AB490" s="77"/>
      <c r="AC490" s="77"/>
      <c r="AD490" s="77"/>
      <c r="AE490" s="77"/>
      <c r="AF490" s="77"/>
      <c r="AG490" s="77"/>
      <c r="AH490" s="77"/>
      <c r="AI490" s="77"/>
      <c r="AJ490" s="77"/>
      <c r="AK490" s="77"/>
      <c r="AL490" s="77"/>
      <c r="AM490" s="77"/>
      <c r="AN490" s="77"/>
      <c r="AO490" s="77"/>
      <c r="AP490" s="77"/>
      <c r="AQ490" s="77"/>
      <c r="AR490" s="77"/>
    </row>
    <row r="491" spans="1:44" ht="15.75" customHeight="1">
      <c r="A491" s="77"/>
      <c r="B491" s="77"/>
      <c r="C491" s="77"/>
      <c r="D491" s="77"/>
      <c r="E491" s="77"/>
      <c r="F491" s="77"/>
      <c r="G491" s="77"/>
      <c r="H491" s="77"/>
      <c r="I491" s="77"/>
      <c r="J491" s="77"/>
      <c r="K491" s="77"/>
      <c r="L491" s="77"/>
      <c r="M491" s="77"/>
      <c r="N491" s="77"/>
      <c r="O491" s="77"/>
      <c r="P491" s="77"/>
      <c r="Q491" s="77"/>
      <c r="R491" s="77"/>
      <c r="S491" s="77"/>
      <c r="T491" s="77"/>
      <c r="U491" s="77"/>
      <c r="V491" s="77"/>
      <c r="W491" s="77"/>
      <c r="X491" s="77"/>
      <c r="Y491" s="77"/>
      <c r="Z491" s="77"/>
      <c r="AA491" s="77"/>
      <c r="AB491" s="77"/>
      <c r="AC491" s="77"/>
      <c r="AD491" s="77"/>
      <c r="AE491" s="77"/>
      <c r="AF491" s="77"/>
      <c r="AG491" s="77"/>
      <c r="AH491" s="77"/>
      <c r="AI491" s="77"/>
      <c r="AJ491" s="77"/>
      <c r="AK491" s="77"/>
      <c r="AL491" s="77"/>
      <c r="AM491" s="77"/>
      <c r="AN491" s="77"/>
      <c r="AO491" s="77"/>
      <c r="AP491" s="77"/>
      <c r="AQ491" s="77"/>
      <c r="AR491" s="77"/>
    </row>
    <row r="492" spans="1:44" ht="15.75" customHeight="1">
      <c r="A492" s="77"/>
      <c r="B492" s="77"/>
      <c r="C492" s="77"/>
      <c r="D492" s="77"/>
      <c r="E492" s="77"/>
      <c r="F492" s="77"/>
      <c r="G492" s="77"/>
      <c r="H492" s="77"/>
      <c r="I492" s="77"/>
      <c r="J492" s="77"/>
      <c r="K492" s="77"/>
      <c r="L492" s="77"/>
      <c r="M492" s="77"/>
      <c r="N492" s="77"/>
      <c r="O492" s="77"/>
      <c r="P492" s="77"/>
      <c r="Q492" s="77"/>
      <c r="R492" s="77"/>
      <c r="S492" s="77"/>
      <c r="T492" s="77"/>
      <c r="U492" s="77"/>
      <c r="V492" s="77"/>
      <c r="W492" s="77"/>
      <c r="X492" s="77"/>
      <c r="Y492" s="77"/>
      <c r="Z492" s="77"/>
      <c r="AA492" s="77"/>
      <c r="AB492" s="77"/>
      <c r="AC492" s="77"/>
      <c r="AD492" s="77"/>
      <c r="AE492" s="77"/>
      <c r="AF492" s="77"/>
      <c r="AG492" s="77"/>
      <c r="AH492" s="77"/>
      <c r="AI492" s="77"/>
      <c r="AJ492" s="77"/>
      <c r="AK492" s="77"/>
      <c r="AL492" s="77"/>
      <c r="AM492" s="77"/>
      <c r="AN492" s="77"/>
      <c r="AO492" s="77"/>
      <c r="AP492" s="77"/>
      <c r="AQ492" s="77"/>
      <c r="AR492" s="77"/>
    </row>
    <row r="493" spans="1:44" ht="15.75" customHeight="1">
      <c r="A493" s="77"/>
      <c r="B493" s="77"/>
      <c r="C493" s="77"/>
      <c r="D493" s="77"/>
      <c r="E493" s="77"/>
      <c r="F493" s="77"/>
      <c r="G493" s="77"/>
      <c r="H493" s="77"/>
      <c r="I493" s="77"/>
      <c r="J493" s="77"/>
      <c r="K493" s="77"/>
      <c r="L493" s="77"/>
      <c r="M493" s="77"/>
      <c r="N493" s="77"/>
      <c r="O493" s="77"/>
      <c r="P493" s="77"/>
      <c r="Q493" s="77"/>
      <c r="R493" s="77"/>
      <c r="S493" s="77"/>
      <c r="T493" s="77"/>
      <c r="U493" s="77"/>
      <c r="V493" s="77"/>
      <c r="W493" s="77"/>
      <c r="X493" s="77"/>
      <c r="Y493" s="77"/>
      <c r="Z493" s="77"/>
      <c r="AA493" s="77"/>
      <c r="AB493" s="77"/>
      <c r="AC493" s="77"/>
      <c r="AD493" s="77"/>
      <c r="AE493" s="77"/>
      <c r="AF493" s="77"/>
      <c r="AG493" s="77"/>
      <c r="AH493" s="77"/>
      <c r="AI493" s="77"/>
      <c r="AJ493" s="77"/>
      <c r="AK493" s="77"/>
      <c r="AL493" s="77"/>
      <c r="AM493" s="77"/>
      <c r="AN493" s="77"/>
      <c r="AO493" s="77"/>
      <c r="AP493" s="77"/>
      <c r="AQ493" s="77"/>
      <c r="AR493" s="77"/>
    </row>
    <row r="494" spans="1:44" ht="15.75" customHeight="1">
      <c r="A494" s="77"/>
      <c r="B494" s="77"/>
      <c r="C494" s="77"/>
      <c r="D494" s="77"/>
      <c r="E494" s="77"/>
      <c r="F494" s="77"/>
      <c r="G494" s="77"/>
      <c r="H494" s="77"/>
      <c r="I494" s="77"/>
      <c r="J494" s="77"/>
      <c r="K494" s="77"/>
      <c r="L494" s="77"/>
      <c r="M494" s="77"/>
      <c r="N494" s="77"/>
      <c r="O494" s="77"/>
      <c r="P494" s="77"/>
      <c r="Q494" s="77"/>
      <c r="R494" s="77"/>
      <c r="S494" s="77"/>
      <c r="T494" s="77"/>
      <c r="U494" s="77"/>
      <c r="V494" s="77"/>
      <c r="W494" s="77"/>
      <c r="X494" s="77"/>
      <c r="Y494" s="77"/>
      <c r="Z494" s="77"/>
      <c r="AA494" s="77"/>
      <c r="AB494" s="77"/>
      <c r="AC494" s="77"/>
      <c r="AD494" s="77"/>
      <c r="AE494" s="77"/>
      <c r="AF494" s="77"/>
      <c r="AG494" s="77"/>
      <c r="AH494" s="77"/>
      <c r="AI494" s="77"/>
      <c r="AJ494" s="77"/>
      <c r="AK494" s="77"/>
      <c r="AL494" s="77"/>
      <c r="AM494" s="77"/>
      <c r="AN494" s="77"/>
      <c r="AO494" s="77"/>
      <c r="AP494" s="77"/>
      <c r="AQ494" s="77"/>
      <c r="AR494" s="77"/>
    </row>
    <row r="495" spans="1:44" ht="15.75" customHeight="1">
      <c r="A495" s="77"/>
      <c r="B495" s="77"/>
      <c r="C495" s="77"/>
      <c r="D495" s="77"/>
      <c r="E495" s="77"/>
      <c r="F495" s="77"/>
      <c r="G495" s="77"/>
      <c r="H495" s="77"/>
      <c r="I495" s="77"/>
      <c r="J495" s="77"/>
      <c r="K495" s="77"/>
      <c r="L495" s="77"/>
      <c r="M495" s="77"/>
      <c r="N495" s="77"/>
      <c r="O495" s="77"/>
      <c r="P495" s="77"/>
      <c r="Q495" s="77"/>
      <c r="R495" s="77"/>
      <c r="S495" s="77"/>
      <c r="T495" s="77"/>
      <c r="U495" s="77"/>
      <c r="V495" s="77"/>
      <c r="W495" s="77"/>
      <c r="X495" s="77"/>
      <c r="Y495" s="77"/>
      <c r="Z495" s="77"/>
      <c r="AA495" s="77"/>
      <c r="AB495" s="77"/>
      <c r="AC495" s="77"/>
      <c r="AD495" s="77"/>
      <c r="AE495" s="77"/>
      <c r="AF495" s="77"/>
      <c r="AG495" s="77"/>
      <c r="AH495" s="77"/>
      <c r="AI495" s="77"/>
      <c r="AJ495" s="77"/>
      <c r="AK495" s="77"/>
      <c r="AL495" s="77"/>
      <c r="AM495" s="77"/>
      <c r="AN495" s="77"/>
      <c r="AO495" s="77"/>
      <c r="AP495" s="77"/>
      <c r="AQ495" s="77"/>
      <c r="AR495" s="77"/>
    </row>
    <row r="496" spans="1:44" ht="15.75" customHeight="1">
      <c r="A496" s="77"/>
      <c r="B496" s="77"/>
      <c r="C496" s="77"/>
      <c r="D496" s="77"/>
      <c r="E496" s="77"/>
      <c r="F496" s="77"/>
      <c r="G496" s="77"/>
      <c r="H496" s="77"/>
      <c r="I496" s="77"/>
      <c r="J496" s="77"/>
      <c r="K496" s="77"/>
      <c r="L496" s="77"/>
      <c r="M496" s="77"/>
      <c r="N496" s="77"/>
      <c r="O496" s="77"/>
      <c r="P496" s="77"/>
      <c r="Q496" s="77"/>
      <c r="R496" s="77"/>
      <c r="S496" s="77"/>
      <c r="T496" s="77"/>
      <c r="U496" s="77"/>
      <c r="V496" s="77"/>
      <c r="W496" s="77"/>
      <c r="X496" s="77"/>
      <c r="Y496" s="77"/>
      <c r="Z496" s="77"/>
      <c r="AA496" s="77"/>
      <c r="AB496" s="77"/>
      <c r="AC496" s="77"/>
      <c r="AD496" s="77"/>
      <c r="AE496" s="77"/>
      <c r="AF496" s="77"/>
      <c r="AG496" s="77"/>
      <c r="AH496" s="77"/>
      <c r="AI496" s="77"/>
      <c r="AJ496" s="77"/>
      <c r="AK496" s="77"/>
      <c r="AL496" s="77"/>
      <c r="AM496" s="77"/>
      <c r="AN496" s="77"/>
      <c r="AO496" s="77"/>
      <c r="AP496" s="77"/>
      <c r="AQ496" s="77"/>
      <c r="AR496" s="77"/>
    </row>
    <row r="497" spans="1:44" ht="15.75" customHeight="1">
      <c r="A497" s="77"/>
      <c r="B497" s="77"/>
      <c r="C497" s="77"/>
      <c r="D497" s="77"/>
      <c r="E497" s="77"/>
      <c r="F497" s="77"/>
      <c r="G497" s="77"/>
      <c r="H497" s="77"/>
      <c r="I497" s="77"/>
      <c r="J497" s="77"/>
      <c r="K497" s="77"/>
      <c r="L497" s="77"/>
      <c r="M497" s="77"/>
      <c r="N497" s="77"/>
      <c r="O497" s="77"/>
      <c r="P497" s="77"/>
      <c r="Q497" s="77"/>
      <c r="R497" s="77"/>
      <c r="S497" s="77"/>
      <c r="T497" s="77"/>
      <c r="U497" s="77"/>
      <c r="V497" s="77"/>
      <c r="W497" s="77"/>
      <c r="X497" s="77"/>
      <c r="Y497" s="77"/>
      <c r="Z497" s="77"/>
      <c r="AA497" s="77"/>
      <c r="AB497" s="77"/>
      <c r="AC497" s="77"/>
      <c r="AD497" s="77"/>
      <c r="AE497" s="77"/>
      <c r="AF497" s="77"/>
      <c r="AG497" s="77"/>
      <c r="AH497" s="77"/>
      <c r="AI497" s="77"/>
      <c r="AJ497" s="77"/>
      <c r="AK497" s="77"/>
      <c r="AL497" s="77"/>
      <c r="AM497" s="77"/>
      <c r="AN497" s="77"/>
      <c r="AO497" s="77"/>
      <c r="AP497" s="77"/>
      <c r="AQ497" s="77"/>
      <c r="AR497" s="77"/>
    </row>
    <row r="498" spans="1:44" ht="15.75" customHeight="1">
      <c r="A498" s="77"/>
      <c r="B498" s="77"/>
      <c r="C498" s="77"/>
      <c r="D498" s="77"/>
      <c r="E498" s="77"/>
      <c r="F498" s="77"/>
      <c r="G498" s="77"/>
      <c r="H498" s="77"/>
      <c r="I498" s="77"/>
      <c r="J498" s="77"/>
      <c r="K498" s="77"/>
      <c r="L498" s="77"/>
      <c r="M498" s="77"/>
      <c r="N498" s="77"/>
      <c r="O498" s="77"/>
      <c r="P498" s="77"/>
      <c r="Q498" s="77"/>
      <c r="R498" s="77"/>
      <c r="S498" s="77"/>
      <c r="T498" s="77"/>
      <c r="U498" s="77"/>
      <c r="V498" s="77"/>
      <c r="W498" s="77"/>
      <c r="X498" s="77"/>
      <c r="Y498" s="77"/>
      <c r="Z498" s="77"/>
      <c r="AA498" s="77"/>
      <c r="AB498" s="77"/>
      <c r="AC498" s="77"/>
      <c r="AD498" s="77"/>
      <c r="AE498" s="77"/>
      <c r="AF498" s="77"/>
      <c r="AG498" s="77"/>
      <c r="AH498" s="77"/>
      <c r="AI498" s="77"/>
      <c r="AJ498" s="77"/>
      <c r="AK498" s="77"/>
      <c r="AL498" s="77"/>
      <c r="AM498" s="77"/>
      <c r="AN498" s="77"/>
      <c r="AO498" s="77"/>
      <c r="AP498" s="77"/>
      <c r="AQ498" s="77"/>
      <c r="AR498" s="77"/>
    </row>
    <row r="499" spans="1:44" ht="15.75" customHeight="1">
      <c r="A499" s="77"/>
      <c r="B499" s="77"/>
      <c r="C499" s="77"/>
      <c r="D499" s="77"/>
      <c r="E499" s="77"/>
      <c r="F499" s="77"/>
      <c r="G499" s="77"/>
      <c r="H499" s="77"/>
      <c r="I499" s="77"/>
      <c r="J499" s="77"/>
      <c r="K499" s="77"/>
      <c r="L499" s="77"/>
      <c r="M499" s="77"/>
      <c r="N499" s="77"/>
      <c r="O499" s="77"/>
      <c r="P499" s="77"/>
      <c r="Q499" s="77"/>
      <c r="R499" s="77"/>
      <c r="S499" s="77"/>
      <c r="T499" s="77"/>
      <c r="U499" s="77"/>
      <c r="V499" s="77"/>
      <c r="W499" s="77"/>
      <c r="X499" s="77"/>
      <c r="Y499" s="77"/>
      <c r="Z499" s="77"/>
      <c r="AA499" s="77"/>
      <c r="AB499" s="77"/>
      <c r="AC499" s="77"/>
      <c r="AD499" s="77"/>
      <c r="AE499" s="77"/>
      <c r="AF499" s="77"/>
      <c r="AG499" s="77"/>
      <c r="AH499" s="77"/>
      <c r="AI499" s="77"/>
      <c r="AJ499" s="77"/>
      <c r="AK499" s="77"/>
      <c r="AL499" s="77"/>
      <c r="AM499" s="77"/>
      <c r="AN499" s="77"/>
      <c r="AO499" s="77"/>
      <c r="AP499" s="77"/>
      <c r="AQ499" s="77"/>
      <c r="AR499" s="77"/>
    </row>
    <row r="500" spans="1:44" ht="15.75" customHeight="1">
      <c r="A500" s="77"/>
      <c r="B500" s="77"/>
      <c r="C500" s="77"/>
      <c r="D500" s="77"/>
      <c r="E500" s="77"/>
      <c r="F500" s="77"/>
      <c r="G500" s="77"/>
      <c r="H500" s="77"/>
      <c r="I500" s="77"/>
      <c r="J500" s="77"/>
      <c r="K500" s="77"/>
      <c r="L500" s="77"/>
      <c r="M500" s="77"/>
      <c r="N500" s="77"/>
      <c r="O500" s="77"/>
      <c r="P500" s="77"/>
      <c r="Q500" s="77"/>
      <c r="R500" s="77"/>
      <c r="S500" s="77"/>
      <c r="T500" s="77"/>
      <c r="U500" s="77"/>
      <c r="V500" s="77"/>
      <c r="W500" s="77"/>
      <c r="X500" s="77"/>
      <c r="Y500" s="77"/>
      <c r="Z500" s="77"/>
      <c r="AA500" s="77"/>
      <c r="AB500" s="77"/>
      <c r="AC500" s="77"/>
      <c r="AD500" s="77"/>
      <c r="AE500" s="77"/>
      <c r="AF500" s="77"/>
      <c r="AG500" s="77"/>
      <c r="AH500" s="77"/>
      <c r="AI500" s="77"/>
      <c r="AJ500" s="77"/>
      <c r="AK500" s="77"/>
      <c r="AL500" s="77"/>
      <c r="AM500" s="77"/>
      <c r="AN500" s="77"/>
      <c r="AO500" s="77"/>
      <c r="AP500" s="77"/>
      <c r="AQ500" s="77"/>
      <c r="AR500" s="77"/>
    </row>
    <row r="501" spans="1:44" ht="15.75" customHeight="1">
      <c r="A501" s="77"/>
      <c r="B501" s="77"/>
      <c r="C501" s="77"/>
      <c r="D501" s="77"/>
      <c r="E501" s="77"/>
      <c r="F501" s="77"/>
      <c r="G501" s="77"/>
      <c r="H501" s="77"/>
      <c r="I501" s="77"/>
      <c r="J501" s="77"/>
      <c r="K501" s="77"/>
      <c r="L501" s="77"/>
      <c r="M501" s="77"/>
      <c r="N501" s="77"/>
      <c r="O501" s="77"/>
      <c r="P501" s="77"/>
      <c r="Q501" s="77"/>
      <c r="R501" s="77"/>
      <c r="S501" s="77"/>
      <c r="T501" s="77"/>
      <c r="U501" s="77"/>
      <c r="V501" s="77"/>
      <c r="W501" s="77"/>
      <c r="X501" s="77"/>
      <c r="Y501" s="77"/>
      <c r="Z501" s="77"/>
      <c r="AA501" s="77"/>
      <c r="AB501" s="77"/>
      <c r="AC501" s="77"/>
      <c r="AD501" s="77"/>
      <c r="AE501" s="77"/>
      <c r="AF501" s="77"/>
      <c r="AG501" s="77"/>
      <c r="AH501" s="77"/>
      <c r="AI501" s="77"/>
      <c r="AJ501" s="77"/>
      <c r="AK501" s="77"/>
      <c r="AL501" s="77"/>
      <c r="AM501" s="77"/>
      <c r="AN501" s="77"/>
      <c r="AO501" s="77"/>
      <c r="AP501" s="77"/>
      <c r="AQ501" s="77"/>
      <c r="AR501" s="77"/>
    </row>
    <row r="502" spans="1:44" ht="15.75" customHeight="1">
      <c r="A502" s="77"/>
      <c r="B502" s="77"/>
      <c r="C502" s="77"/>
      <c r="D502" s="77"/>
      <c r="E502" s="77"/>
      <c r="F502" s="77"/>
      <c r="G502" s="77"/>
      <c r="H502" s="77"/>
      <c r="I502" s="77"/>
      <c r="J502" s="77"/>
      <c r="K502" s="77"/>
      <c r="L502" s="77"/>
      <c r="M502" s="77"/>
      <c r="N502" s="77"/>
      <c r="O502" s="77"/>
      <c r="P502" s="77"/>
      <c r="Q502" s="77"/>
      <c r="R502" s="77"/>
      <c r="S502" s="77"/>
      <c r="T502" s="77"/>
      <c r="U502" s="77"/>
      <c r="V502" s="77"/>
      <c r="W502" s="77"/>
      <c r="X502" s="77"/>
      <c r="Y502" s="77"/>
      <c r="Z502" s="77"/>
      <c r="AA502" s="77"/>
      <c r="AB502" s="77"/>
      <c r="AC502" s="77"/>
      <c r="AD502" s="77"/>
      <c r="AE502" s="77"/>
      <c r="AF502" s="77"/>
      <c r="AG502" s="77"/>
      <c r="AH502" s="77"/>
      <c r="AI502" s="77"/>
      <c r="AJ502" s="77"/>
      <c r="AK502" s="77"/>
      <c r="AL502" s="77"/>
      <c r="AM502" s="77"/>
      <c r="AN502" s="77"/>
      <c r="AO502" s="77"/>
      <c r="AP502" s="77"/>
      <c r="AQ502" s="77"/>
      <c r="AR502" s="77"/>
    </row>
    <row r="503" spans="1:44" ht="15.75" customHeight="1">
      <c r="A503" s="77"/>
      <c r="B503" s="77"/>
      <c r="C503" s="77"/>
      <c r="D503" s="77"/>
      <c r="E503" s="77"/>
      <c r="F503" s="77"/>
      <c r="G503" s="77"/>
      <c r="H503" s="77"/>
      <c r="I503" s="77"/>
      <c r="J503" s="77"/>
      <c r="K503" s="77"/>
      <c r="L503" s="77"/>
      <c r="M503" s="77"/>
      <c r="N503" s="77"/>
      <c r="O503" s="77"/>
      <c r="P503" s="77"/>
      <c r="Q503" s="77"/>
      <c r="R503" s="77"/>
      <c r="S503" s="77"/>
      <c r="T503" s="77"/>
      <c r="U503" s="77"/>
      <c r="V503" s="77"/>
      <c r="W503" s="77"/>
      <c r="X503" s="77"/>
      <c r="Y503" s="77"/>
      <c r="Z503" s="77"/>
      <c r="AA503" s="77"/>
      <c r="AB503" s="77"/>
      <c r="AC503" s="77"/>
      <c r="AD503" s="77"/>
      <c r="AE503" s="77"/>
      <c r="AF503" s="77"/>
      <c r="AG503" s="77"/>
      <c r="AH503" s="77"/>
      <c r="AI503" s="77"/>
      <c r="AJ503" s="77"/>
      <c r="AK503" s="77"/>
      <c r="AL503" s="77"/>
      <c r="AM503" s="77"/>
      <c r="AN503" s="77"/>
      <c r="AO503" s="77"/>
      <c r="AP503" s="77"/>
      <c r="AQ503" s="77"/>
      <c r="AR503" s="77"/>
    </row>
    <row r="504" spans="1:44" ht="15.75" customHeight="1">
      <c r="A504" s="77"/>
      <c r="B504" s="77"/>
      <c r="C504" s="77"/>
      <c r="D504" s="77"/>
      <c r="E504" s="77"/>
      <c r="F504" s="77"/>
      <c r="G504" s="77"/>
      <c r="H504" s="77"/>
      <c r="I504" s="77"/>
      <c r="J504" s="77"/>
      <c r="K504" s="77"/>
      <c r="L504" s="77"/>
      <c r="M504" s="77"/>
      <c r="N504" s="77"/>
      <c r="O504" s="77"/>
      <c r="P504" s="77"/>
      <c r="Q504" s="77"/>
      <c r="R504" s="77"/>
      <c r="S504" s="77"/>
      <c r="T504" s="77"/>
      <c r="U504" s="77"/>
      <c r="V504" s="77"/>
      <c r="W504" s="77"/>
      <c r="X504" s="77"/>
      <c r="Y504" s="77"/>
      <c r="Z504" s="77"/>
      <c r="AA504" s="77"/>
      <c r="AB504" s="77"/>
      <c r="AC504" s="77"/>
      <c r="AD504" s="77"/>
      <c r="AE504" s="77"/>
      <c r="AF504" s="77"/>
      <c r="AG504" s="77"/>
      <c r="AH504" s="77"/>
      <c r="AI504" s="77"/>
      <c r="AJ504" s="77"/>
      <c r="AK504" s="77"/>
      <c r="AL504" s="77"/>
      <c r="AM504" s="77"/>
      <c r="AN504" s="77"/>
      <c r="AO504" s="77"/>
      <c r="AP504" s="77"/>
      <c r="AQ504" s="77"/>
      <c r="AR504" s="77"/>
    </row>
    <row r="505" spans="1:44" ht="15.75" customHeight="1">
      <c r="A505" s="77"/>
      <c r="B505" s="77"/>
      <c r="C505" s="77"/>
      <c r="D505" s="77"/>
      <c r="E505" s="77"/>
      <c r="F505" s="77"/>
      <c r="G505" s="77"/>
      <c r="H505" s="77"/>
      <c r="I505" s="77"/>
      <c r="J505" s="77"/>
      <c r="K505" s="77"/>
      <c r="L505" s="77"/>
      <c r="M505" s="77"/>
      <c r="N505" s="77"/>
      <c r="O505" s="77"/>
      <c r="P505" s="77"/>
      <c r="Q505" s="77"/>
      <c r="R505" s="77"/>
      <c r="S505" s="77"/>
      <c r="T505" s="77"/>
      <c r="U505" s="77"/>
      <c r="V505" s="77"/>
      <c r="W505" s="77"/>
      <c r="X505" s="77"/>
      <c r="Y505" s="77"/>
      <c r="Z505" s="77"/>
      <c r="AA505" s="77"/>
      <c r="AB505" s="77"/>
      <c r="AC505" s="77"/>
      <c r="AD505" s="77"/>
      <c r="AE505" s="77"/>
      <c r="AF505" s="77"/>
      <c r="AG505" s="77"/>
      <c r="AH505" s="77"/>
      <c r="AI505" s="77"/>
      <c r="AJ505" s="77"/>
      <c r="AK505" s="77"/>
      <c r="AL505" s="77"/>
      <c r="AM505" s="77"/>
      <c r="AN505" s="77"/>
      <c r="AO505" s="77"/>
      <c r="AP505" s="77"/>
      <c r="AQ505" s="77"/>
      <c r="AR505" s="77"/>
    </row>
    <row r="506" spans="1:44" ht="15.75" customHeight="1">
      <c r="A506" s="77"/>
      <c r="B506" s="77"/>
      <c r="C506" s="77"/>
      <c r="D506" s="77"/>
      <c r="E506" s="77"/>
      <c r="F506" s="77"/>
      <c r="G506" s="77"/>
      <c r="H506" s="77"/>
      <c r="I506" s="77"/>
      <c r="J506" s="77"/>
      <c r="K506" s="77"/>
      <c r="L506" s="77"/>
      <c r="M506" s="77"/>
      <c r="N506" s="77"/>
      <c r="O506" s="77"/>
      <c r="P506" s="77"/>
      <c r="Q506" s="77"/>
      <c r="R506" s="77"/>
      <c r="S506" s="77"/>
      <c r="T506" s="77"/>
      <c r="U506" s="77"/>
      <c r="V506" s="77"/>
      <c r="W506" s="77"/>
      <c r="X506" s="77"/>
      <c r="Y506" s="77"/>
      <c r="Z506" s="77"/>
      <c r="AA506" s="77"/>
      <c r="AB506" s="77"/>
      <c r="AC506" s="77"/>
      <c r="AD506" s="77"/>
      <c r="AE506" s="77"/>
      <c r="AF506" s="77"/>
      <c r="AG506" s="77"/>
      <c r="AH506" s="77"/>
      <c r="AI506" s="77"/>
      <c r="AJ506" s="77"/>
      <c r="AK506" s="77"/>
      <c r="AL506" s="77"/>
      <c r="AM506" s="77"/>
      <c r="AN506" s="77"/>
      <c r="AO506" s="77"/>
      <c r="AP506" s="77"/>
      <c r="AQ506" s="77"/>
      <c r="AR506" s="77"/>
    </row>
    <row r="507" spans="1:44" ht="15.75" customHeight="1">
      <c r="A507" s="77"/>
      <c r="B507" s="77"/>
      <c r="C507" s="77"/>
      <c r="D507" s="77"/>
      <c r="E507" s="77"/>
      <c r="F507" s="77"/>
      <c r="G507" s="77"/>
      <c r="H507" s="77"/>
      <c r="I507" s="77"/>
      <c r="J507" s="77"/>
      <c r="K507" s="77"/>
      <c r="L507" s="77"/>
      <c r="M507" s="77"/>
      <c r="N507" s="77"/>
      <c r="O507" s="77"/>
      <c r="P507" s="77"/>
      <c r="Q507" s="77"/>
      <c r="R507" s="77"/>
      <c r="S507" s="77"/>
      <c r="T507" s="77"/>
      <c r="U507" s="77"/>
      <c r="V507" s="77"/>
      <c r="W507" s="77"/>
      <c r="X507" s="77"/>
      <c r="Y507" s="77"/>
      <c r="Z507" s="77"/>
      <c r="AA507" s="77"/>
      <c r="AB507" s="77"/>
      <c r="AC507" s="77"/>
      <c r="AD507" s="77"/>
      <c r="AE507" s="77"/>
      <c r="AF507" s="77"/>
      <c r="AG507" s="77"/>
      <c r="AH507" s="77"/>
      <c r="AI507" s="77"/>
      <c r="AJ507" s="77"/>
      <c r="AK507" s="77"/>
      <c r="AL507" s="77"/>
      <c r="AM507" s="77"/>
      <c r="AN507" s="77"/>
      <c r="AO507" s="77"/>
      <c r="AP507" s="77"/>
      <c r="AQ507" s="77"/>
      <c r="AR507" s="77"/>
    </row>
    <row r="508" spans="1:44" ht="15.75" customHeight="1">
      <c r="A508" s="77"/>
      <c r="B508" s="77"/>
      <c r="C508" s="77"/>
      <c r="D508" s="77"/>
      <c r="E508" s="77"/>
      <c r="F508" s="77"/>
      <c r="G508" s="77"/>
      <c r="H508" s="77"/>
      <c r="I508" s="77"/>
      <c r="J508" s="77"/>
      <c r="K508" s="77"/>
      <c r="L508" s="77"/>
      <c r="M508" s="77"/>
      <c r="N508" s="77"/>
      <c r="O508" s="77"/>
      <c r="P508" s="77"/>
      <c r="Q508" s="77"/>
      <c r="R508" s="77"/>
      <c r="S508" s="77"/>
      <c r="T508" s="77"/>
      <c r="U508" s="77"/>
      <c r="V508" s="77"/>
      <c r="W508" s="77"/>
      <c r="X508" s="77"/>
      <c r="Y508" s="77"/>
      <c r="Z508" s="77"/>
      <c r="AA508" s="77"/>
      <c r="AB508" s="77"/>
      <c r="AC508" s="77"/>
      <c r="AD508" s="77"/>
      <c r="AE508" s="77"/>
      <c r="AF508" s="77"/>
      <c r="AG508" s="77"/>
      <c r="AH508" s="77"/>
      <c r="AI508" s="77"/>
      <c r="AJ508" s="77"/>
      <c r="AK508" s="77"/>
      <c r="AL508" s="77"/>
      <c r="AM508" s="77"/>
      <c r="AN508" s="77"/>
      <c r="AO508" s="77"/>
      <c r="AP508" s="77"/>
      <c r="AQ508" s="77"/>
      <c r="AR508" s="77"/>
    </row>
    <row r="509" spans="1:44" ht="15.75" customHeight="1">
      <c r="A509" s="77"/>
      <c r="B509" s="77"/>
      <c r="C509" s="77"/>
      <c r="D509" s="77"/>
      <c r="E509" s="77"/>
      <c r="F509" s="77"/>
      <c r="G509" s="77"/>
      <c r="H509" s="77"/>
      <c r="I509" s="77"/>
      <c r="J509" s="77"/>
      <c r="K509" s="77"/>
      <c r="L509" s="77"/>
      <c r="M509" s="77"/>
      <c r="N509" s="77"/>
      <c r="O509" s="77"/>
      <c r="P509" s="77"/>
      <c r="Q509" s="77"/>
      <c r="R509" s="77"/>
      <c r="S509" s="77"/>
      <c r="T509" s="77"/>
      <c r="U509" s="77"/>
      <c r="V509" s="77"/>
      <c r="W509" s="77"/>
      <c r="X509" s="77"/>
      <c r="Y509" s="77"/>
      <c r="Z509" s="77"/>
      <c r="AA509" s="77"/>
      <c r="AB509" s="77"/>
      <c r="AC509" s="77"/>
      <c r="AD509" s="77"/>
      <c r="AE509" s="77"/>
      <c r="AF509" s="77"/>
      <c r="AG509" s="77"/>
      <c r="AH509" s="77"/>
      <c r="AI509" s="77"/>
      <c r="AJ509" s="77"/>
      <c r="AK509" s="77"/>
      <c r="AL509" s="77"/>
      <c r="AM509" s="77"/>
      <c r="AN509" s="77"/>
      <c r="AO509" s="77"/>
      <c r="AP509" s="77"/>
      <c r="AQ509" s="77"/>
      <c r="AR509" s="77"/>
    </row>
    <row r="510" spans="1:44" ht="15.75" customHeight="1">
      <c r="A510" s="77"/>
      <c r="B510" s="77"/>
      <c r="C510" s="77"/>
      <c r="D510" s="77"/>
      <c r="E510" s="77"/>
      <c r="F510" s="77"/>
      <c r="G510" s="77"/>
      <c r="H510" s="77"/>
      <c r="I510" s="77"/>
      <c r="J510" s="77"/>
      <c r="K510" s="77"/>
      <c r="L510" s="77"/>
      <c r="M510" s="77"/>
      <c r="N510" s="77"/>
      <c r="O510" s="77"/>
      <c r="P510" s="77"/>
      <c r="Q510" s="77"/>
      <c r="R510" s="77"/>
      <c r="S510" s="77"/>
      <c r="T510" s="77"/>
      <c r="U510" s="77"/>
      <c r="V510" s="77"/>
      <c r="W510" s="77"/>
      <c r="X510" s="77"/>
      <c r="Y510" s="77"/>
      <c r="Z510" s="77"/>
      <c r="AA510" s="77"/>
      <c r="AB510" s="77"/>
      <c r="AC510" s="77"/>
      <c r="AD510" s="77"/>
      <c r="AE510" s="77"/>
      <c r="AF510" s="77"/>
      <c r="AG510" s="77"/>
      <c r="AH510" s="77"/>
      <c r="AI510" s="77"/>
      <c r="AJ510" s="77"/>
      <c r="AK510" s="77"/>
      <c r="AL510" s="77"/>
      <c r="AM510" s="77"/>
      <c r="AN510" s="77"/>
      <c r="AO510" s="77"/>
      <c r="AP510" s="77"/>
      <c r="AQ510" s="77"/>
      <c r="AR510" s="77"/>
    </row>
    <row r="511" spans="1:44" ht="15.75" customHeight="1">
      <c r="A511" s="77"/>
      <c r="B511" s="77"/>
      <c r="C511" s="77"/>
      <c r="D511" s="77"/>
      <c r="E511" s="77"/>
      <c r="F511" s="77"/>
      <c r="G511" s="77"/>
      <c r="H511" s="77"/>
      <c r="I511" s="77"/>
      <c r="J511" s="77"/>
      <c r="K511" s="77"/>
      <c r="L511" s="77"/>
      <c r="M511" s="77"/>
      <c r="N511" s="77"/>
      <c r="O511" s="77"/>
      <c r="P511" s="77"/>
      <c r="Q511" s="77"/>
      <c r="R511" s="77"/>
      <c r="S511" s="77"/>
      <c r="T511" s="77"/>
      <c r="U511" s="77"/>
      <c r="V511" s="77"/>
      <c r="W511" s="77"/>
      <c r="X511" s="77"/>
      <c r="Y511" s="77"/>
      <c r="Z511" s="77"/>
      <c r="AA511" s="77"/>
      <c r="AB511" s="77"/>
      <c r="AC511" s="77"/>
      <c r="AD511" s="77"/>
      <c r="AE511" s="77"/>
      <c r="AF511" s="77"/>
      <c r="AG511" s="77"/>
      <c r="AH511" s="77"/>
      <c r="AI511" s="77"/>
      <c r="AJ511" s="77"/>
      <c r="AK511" s="77"/>
      <c r="AL511" s="77"/>
      <c r="AM511" s="77"/>
      <c r="AN511" s="77"/>
      <c r="AO511" s="77"/>
      <c r="AP511" s="77"/>
      <c r="AQ511" s="77"/>
      <c r="AR511" s="77"/>
    </row>
    <row r="512" spans="1:44" ht="15.75" customHeight="1">
      <c r="A512" s="77"/>
      <c r="B512" s="77"/>
      <c r="C512" s="77"/>
      <c r="D512" s="77"/>
      <c r="E512" s="77"/>
      <c r="F512" s="77"/>
      <c r="G512" s="77"/>
      <c r="H512" s="77"/>
      <c r="I512" s="77"/>
      <c r="J512" s="77"/>
      <c r="K512" s="77"/>
      <c r="L512" s="77"/>
      <c r="M512" s="77"/>
      <c r="N512" s="77"/>
      <c r="O512" s="77"/>
      <c r="P512" s="77"/>
      <c r="Q512" s="77"/>
      <c r="R512" s="77"/>
      <c r="S512" s="77"/>
      <c r="T512" s="77"/>
      <c r="U512" s="77"/>
      <c r="V512" s="77"/>
      <c r="W512" s="77"/>
      <c r="X512" s="77"/>
      <c r="Y512" s="77"/>
      <c r="Z512" s="77"/>
      <c r="AA512" s="77"/>
      <c r="AB512" s="77"/>
      <c r="AC512" s="77"/>
      <c r="AD512" s="77"/>
      <c r="AE512" s="77"/>
      <c r="AF512" s="77"/>
      <c r="AG512" s="77"/>
      <c r="AH512" s="77"/>
      <c r="AI512" s="77"/>
      <c r="AJ512" s="77"/>
      <c r="AK512" s="77"/>
      <c r="AL512" s="77"/>
      <c r="AM512" s="77"/>
      <c r="AN512" s="77"/>
      <c r="AO512" s="77"/>
      <c r="AP512" s="77"/>
      <c r="AQ512" s="77"/>
      <c r="AR512" s="77"/>
    </row>
    <row r="513" spans="1:44" ht="15.75" customHeight="1">
      <c r="A513" s="77"/>
      <c r="B513" s="77"/>
      <c r="C513" s="77"/>
      <c r="D513" s="77"/>
      <c r="E513" s="77"/>
      <c r="F513" s="77"/>
      <c r="G513" s="77"/>
      <c r="H513" s="77"/>
      <c r="I513" s="77"/>
      <c r="J513" s="77"/>
      <c r="K513" s="77"/>
      <c r="L513" s="77"/>
      <c r="M513" s="77"/>
      <c r="N513" s="77"/>
      <c r="O513" s="77"/>
      <c r="P513" s="77"/>
      <c r="Q513" s="77"/>
      <c r="R513" s="77"/>
      <c r="S513" s="77"/>
      <c r="T513" s="77"/>
      <c r="U513" s="77"/>
      <c r="V513" s="77"/>
      <c r="W513" s="77"/>
      <c r="X513" s="77"/>
      <c r="Y513" s="77"/>
      <c r="Z513" s="77"/>
      <c r="AA513" s="77"/>
      <c r="AB513" s="77"/>
      <c r="AC513" s="77"/>
      <c r="AD513" s="77"/>
      <c r="AE513" s="77"/>
      <c r="AF513" s="77"/>
      <c r="AG513" s="77"/>
      <c r="AH513" s="77"/>
      <c r="AI513" s="77"/>
      <c r="AJ513" s="77"/>
      <c r="AK513" s="77"/>
      <c r="AL513" s="77"/>
      <c r="AM513" s="77"/>
      <c r="AN513" s="77"/>
      <c r="AO513" s="77"/>
      <c r="AP513" s="77"/>
      <c r="AQ513" s="77"/>
      <c r="AR513" s="77"/>
    </row>
    <row r="514" spans="1:44" ht="15.75" customHeight="1">
      <c r="A514" s="77"/>
      <c r="B514" s="77"/>
      <c r="C514" s="77"/>
      <c r="D514" s="77"/>
      <c r="E514" s="77"/>
      <c r="F514" s="77"/>
      <c r="G514" s="77"/>
      <c r="H514" s="77"/>
      <c r="I514" s="77"/>
      <c r="J514" s="77"/>
      <c r="K514" s="77"/>
      <c r="L514" s="77"/>
      <c r="M514" s="77"/>
      <c r="N514" s="77"/>
      <c r="O514" s="77"/>
      <c r="P514" s="77"/>
      <c r="Q514" s="77"/>
      <c r="R514" s="77"/>
      <c r="S514" s="77"/>
      <c r="T514" s="77"/>
      <c r="U514" s="77"/>
      <c r="V514" s="77"/>
      <c r="W514" s="77"/>
      <c r="X514" s="77"/>
      <c r="Y514" s="77"/>
      <c r="Z514" s="77"/>
      <c r="AA514" s="77"/>
      <c r="AB514" s="77"/>
      <c r="AC514" s="77"/>
      <c r="AD514" s="77"/>
      <c r="AE514" s="77"/>
      <c r="AF514" s="77"/>
      <c r="AG514" s="77"/>
      <c r="AH514" s="77"/>
      <c r="AI514" s="77"/>
      <c r="AJ514" s="77"/>
      <c r="AK514" s="77"/>
      <c r="AL514" s="77"/>
      <c r="AM514" s="77"/>
      <c r="AN514" s="77"/>
      <c r="AO514" s="77"/>
      <c r="AP514" s="77"/>
      <c r="AQ514" s="77"/>
      <c r="AR514" s="77"/>
    </row>
    <row r="515" spans="1:44" ht="15.75" customHeight="1">
      <c r="A515" s="77"/>
      <c r="B515" s="77"/>
      <c r="C515" s="77"/>
      <c r="D515" s="77"/>
      <c r="E515" s="77"/>
      <c r="F515" s="77"/>
      <c r="G515" s="77"/>
      <c r="H515" s="77"/>
      <c r="I515" s="77"/>
      <c r="J515" s="77"/>
      <c r="K515" s="77"/>
      <c r="L515" s="77"/>
      <c r="M515" s="77"/>
      <c r="N515" s="77"/>
      <c r="O515" s="77"/>
      <c r="P515" s="77"/>
      <c r="Q515" s="77"/>
      <c r="R515" s="77"/>
      <c r="S515" s="77"/>
      <c r="T515" s="77"/>
      <c r="U515" s="77"/>
      <c r="V515" s="77"/>
      <c r="W515" s="77"/>
      <c r="X515" s="77"/>
      <c r="Y515" s="77"/>
      <c r="Z515" s="77"/>
      <c r="AA515" s="77"/>
      <c r="AB515" s="77"/>
      <c r="AC515" s="77"/>
      <c r="AD515" s="77"/>
      <c r="AE515" s="77"/>
      <c r="AF515" s="77"/>
      <c r="AG515" s="77"/>
      <c r="AH515" s="77"/>
      <c r="AI515" s="77"/>
      <c r="AJ515" s="77"/>
      <c r="AK515" s="77"/>
      <c r="AL515" s="77"/>
      <c r="AM515" s="77"/>
      <c r="AN515" s="77"/>
      <c r="AO515" s="77"/>
      <c r="AP515" s="77"/>
      <c r="AQ515" s="77"/>
      <c r="AR515" s="77"/>
    </row>
    <row r="516" spans="1:44" ht="15.75" customHeight="1">
      <c r="A516" s="77"/>
      <c r="B516" s="77"/>
      <c r="C516" s="77"/>
      <c r="D516" s="77"/>
      <c r="E516" s="77"/>
      <c r="F516" s="77"/>
      <c r="G516" s="77"/>
      <c r="H516" s="77"/>
      <c r="I516" s="77"/>
      <c r="J516" s="77"/>
      <c r="K516" s="77"/>
      <c r="L516" s="77"/>
      <c r="M516" s="77"/>
      <c r="N516" s="77"/>
      <c r="O516" s="77"/>
      <c r="P516" s="77"/>
      <c r="Q516" s="77"/>
      <c r="R516" s="77"/>
      <c r="S516" s="77"/>
      <c r="T516" s="77"/>
      <c r="U516" s="77"/>
      <c r="V516" s="77"/>
      <c r="W516" s="77"/>
      <c r="X516" s="77"/>
      <c r="Y516" s="77"/>
      <c r="Z516" s="77"/>
      <c r="AA516" s="77"/>
      <c r="AB516" s="77"/>
      <c r="AC516" s="77"/>
      <c r="AD516" s="77"/>
      <c r="AE516" s="77"/>
      <c r="AF516" s="77"/>
      <c r="AG516" s="77"/>
      <c r="AH516" s="77"/>
      <c r="AI516" s="77"/>
      <c r="AJ516" s="77"/>
      <c r="AK516" s="77"/>
      <c r="AL516" s="77"/>
      <c r="AM516" s="77"/>
      <c r="AN516" s="77"/>
      <c r="AO516" s="77"/>
      <c r="AP516" s="77"/>
      <c r="AQ516" s="77"/>
      <c r="AR516" s="77"/>
    </row>
    <row r="517" spans="1:44" ht="15.75" customHeight="1">
      <c r="A517" s="77"/>
      <c r="B517" s="77"/>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77"/>
      <c r="AQ517" s="77"/>
      <c r="AR517" s="77"/>
    </row>
    <row r="518" spans="1:44" ht="15.75" customHeight="1">
      <c r="A518" s="77"/>
      <c r="B518" s="77"/>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77"/>
      <c r="AQ518" s="77"/>
      <c r="AR518" s="77"/>
    </row>
    <row r="519" spans="1:44" ht="15.75" customHeight="1">
      <c r="A519" s="77"/>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77"/>
      <c r="AQ519" s="77"/>
      <c r="AR519" s="77"/>
    </row>
    <row r="520" spans="1:44" ht="15.75" customHeight="1">
      <c r="A520" s="77"/>
      <c r="B520" s="77"/>
      <c r="C520" s="77"/>
      <c r="D520" s="77"/>
      <c r="E520" s="77"/>
      <c r="F520" s="77"/>
      <c r="G520" s="77"/>
      <c r="H520" s="77"/>
      <c r="I520" s="77"/>
      <c r="J520" s="77"/>
      <c r="K520" s="77"/>
      <c r="L520" s="77"/>
      <c r="M520" s="77"/>
      <c r="N520" s="77"/>
      <c r="O520" s="77"/>
      <c r="P520" s="77"/>
      <c r="Q520" s="77"/>
      <c r="R520" s="77"/>
      <c r="S520" s="77"/>
      <c r="T520" s="77"/>
      <c r="U520" s="77"/>
      <c r="V520" s="77"/>
      <c r="W520" s="77"/>
      <c r="X520" s="77"/>
      <c r="Y520" s="77"/>
      <c r="Z520" s="77"/>
      <c r="AA520" s="77"/>
      <c r="AB520" s="77"/>
      <c r="AC520" s="77"/>
      <c r="AD520" s="77"/>
      <c r="AE520" s="77"/>
      <c r="AF520" s="77"/>
      <c r="AG520" s="77"/>
      <c r="AH520" s="77"/>
      <c r="AI520" s="77"/>
      <c r="AJ520" s="77"/>
      <c r="AK520" s="77"/>
      <c r="AL520" s="77"/>
      <c r="AM520" s="77"/>
      <c r="AN520" s="77"/>
      <c r="AO520" s="77"/>
      <c r="AP520" s="77"/>
      <c r="AQ520" s="77"/>
      <c r="AR520" s="77"/>
    </row>
    <row r="521" spans="1:44" ht="15.75" customHeight="1">
      <c r="A521" s="77"/>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77"/>
      <c r="AQ521" s="77"/>
      <c r="AR521" s="77"/>
    </row>
    <row r="522" spans="1:44" ht="15.75" customHeight="1">
      <c r="A522" s="77"/>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77"/>
      <c r="AQ522" s="77"/>
      <c r="AR522" s="77"/>
    </row>
    <row r="523" spans="1:44" ht="15.75" customHeight="1">
      <c r="A523" s="77"/>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77"/>
      <c r="AQ523" s="77"/>
      <c r="AR523" s="77"/>
    </row>
    <row r="524" spans="1:44" ht="15.75" customHeight="1">
      <c r="A524" s="77"/>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77"/>
      <c r="AQ524" s="77"/>
      <c r="AR524" s="77"/>
    </row>
    <row r="525" spans="1:44" ht="15.75" customHeight="1">
      <c r="A525" s="77"/>
      <c r="B525" s="77"/>
      <c r="C525" s="77"/>
      <c r="D525" s="77"/>
      <c r="E525" s="77"/>
      <c r="F525" s="77"/>
      <c r="G525" s="77"/>
      <c r="H525" s="77"/>
      <c r="I525" s="77"/>
      <c r="J525" s="77"/>
      <c r="K525" s="77"/>
      <c r="L525" s="77"/>
      <c r="M525" s="77"/>
      <c r="N525" s="77"/>
      <c r="O525" s="77"/>
      <c r="P525" s="77"/>
      <c r="Q525" s="77"/>
      <c r="R525" s="77"/>
      <c r="S525" s="77"/>
      <c r="T525" s="77"/>
      <c r="U525" s="77"/>
      <c r="V525" s="77"/>
      <c r="W525" s="77"/>
      <c r="X525" s="77"/>
      <c r="Y525" s="77"/>
      <c r="Z525" s="77"/>
      <c r="AA525" s="77"/>
      <c r="AB525" s="77"/>
      <c r="AC525" s="77"/>
      <c r="AD525" s="77"/>
      <c r="AE525" s="77"/>
      <c r="AF525" s="77"/>
      <c r="AG525" s="77"/>
      <c r="AH525" s="77"/>
      <c r="AI525" s="77"/>
      <c r="AJ525" s="77"/>
      <c r="AK525" s="77"/>
      <c r="AL525" s="77"/>
      <c r="AM525" s="77"/>
      <c r="AN525" s="77"/>
      <c r="AO525" s="77"/>
      <c r="AP525" s="77"/>
      <c r="AQ525" s="77"/>
      <c r="AR525" s="77"/>
    </row>
    <row r="526" spans="1:44" ht="15.75" customHeight="1">
      <c r="A526" s="77"/>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77"/>
      <c r="AQ526" s="77"/>
      <c r="AR526" s="77"/>
    </row>
    <row r="527" spans="1:44" ht="15.75" customHeight="1">
      <c r="A527" s="77"/>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77"/>
      <c r="AQ527" s="77"/>
      <c r="AR527" s="77"/>
    </row>
    <row r="528" spans="1:44" ht="15.75" customHeight="1">
      <c r="A528" s="77"/>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77"/>
      <c r="AQ528" s="77"/>
      <c r="AR528" s="77"/>
    </row>
    <row r="529" spans="1:44" ht="15.75" customHeight="1">
      <c r="A529" s="77"/>
      <c r="B529" s="77"/>
      <c r="C529" s="77"/>
      <c r="D529" s="77"/>
      <c r="E529" s="77"/>
      <c r="F529" s="77"/>
      <c r="G529" s="77"/>
      <c r="H529" s="77"/>
      <c r="I529" s="77"/>
      <c r="J529" s="77"/>
      <c r="K529" s="77"/>
      <c r="L529" s="77"/>
      <c r="M529" s="77"/>
      <c r="N529" s="77"/>
      <c r="O529" s="77"/>
      <c r="P529" s="77"/>
      <c r="Q529" s="77"/>
      <c r="R529" s="77"/>
      <c r="S529" s="77"/>
      <c r="T529" s="77"/>
      <c r="U529" s="77"/>
      <c r="V529" s="77"/>
      <c r="W529" s="77"/>
      <c r="X529" s="77"/>
      <c r="Y529" s="77"/>
      <c r="Z529" s="77"/>
      <c r="AA529" s="77"/>
      <c r="AB529" s="77"/>
      <c r="AC529" s="77"/>
      <c r="AD529" s="77"/>
      <c r="AE529" s="77"/>
      <c r="AF529" s="77"/>
      <c r="AG529" s="77"/>
      <c r="AH529" s="77"/>
      <c r="AI529" s="77"/>
      <c r="AJ529" s="77"/>
      <c r="AK529" s="77"/>
      <c r="AL529" s="77"/>
      <c r="AM529" s="77"/>
      <c r="AN529" s="77"/>
      <c r="AO529" s="77"/>
      <c r="AP529" s="77"/>
      <c r="AQ529" s="77"/>
      <c r="AR529" s="77"/>
    </row>
    <row r="530" spans="1:44" ht="15.75" customHeight="1">
      <c r="A530" s="77"/>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77"/>
      <c r="AQ530" s="77"/>
      <c r="AR530" s="77"/>
    </row>
    <row r="531" spans="1:44" ht="15.75" customHeight="1">
      <c r="A531" s="77"/>
      <c r="B531" s="77"/>
      <c r="C531" s="77"/>
      <c r="D531" s="77"/>
      <c r="E531" s="77"/>
      <c r="F531" s="77"/>
      <c r="G531" s="77"/>
      <c r="H531" s="77"/>
      <c r="I531" s="77"/>
      <c r="J531" s="77"/>
      <c r="K531" s="77"/>
      <c r="L531" s="77"/>
      <c r="M531" s="77"/>
      <c r="N531" s="77"/>
      <c r="O531" s="77"/>
      <c r="P531" s="77"/>
      <c r="Q531" s="77"/>
      <c r="R531" s="77"/>
      <c r="S531" s="77"/>
      <c r="T531" s="77"/>
      <c r="U531" s="77"/>
      <c r="V531" s="77"/>
      <c r="W531" s="77"/>
      <c r="X531" s="77"/>
      <c r="Y531" s="77"/>
      <c r="Z531" s="77"/>
      <c r="AA531" s="77"/>
      <c r="AB531" s="77"/>
      <c r="AC531" s="77"/>
      <c r="AD531" s="77"/>
      <c r="AE531" s="77"/>
      <c r="AF531" s="77"/>
      <c r="AG531" s="77"/>
      <c r="AH531" s="77"/>
      <c r="AI531" s="77"/>
      <c r="AJ531" s="77"/>
      <c r="AK531" s="77"/>
      <c r="AL531" s="77"/>
      <c r="AM531" s="77"/>
      <c r="AN531" s="77"/>
      <c r="AO531" s="77"/>
      <c r="AP531" s="77"/>
      <c r="AQ531" s="77"/>
      <c r="AR531" s="77"/>
    </row>
    <row r="532" spans="1:44" ht="15.75" customHeight="1">
      <c r="A532" s="77"/>
      <c r="B532" s="77"/>
      <c r="C532" s="77"/>
      <c r="D532" s="77"/>
      <c r="E532" s="77"/>
      <c r="F532" s="77"/>
      <c r="G532" s="77"/>
      <c r="H532" s="77"/>
      <c r="I532" s="77"/>
      <c r="J532" s="77"/>
      <c r="K532" s="77"/>
      <c r="L532" s="77"/>
      <c r="M532" s="77"/>
      <c r="N532" s="77"/>
      <c r="O532" s="77"/>
      <c r="P532" s="77"/>
      <c r="Q532" s="77"/>
      <c r="R532" s="77"/>
      <c r="S532" s="77"/>
      <c r="T532" s="77"/>
      <c r="U532" s="77"/>
      <c r="V532" s="77"/>
      <c r="W532" s="77"/>
      <c r="X532" s="77"/>
      <c r="Y532" s="77"/>
      <c r="Z532" s="77"/>
      <c r="AA532" s="77"/>
      <c r="AB532" s="77"/>
      <c r="AC532" s="77"/>
      <c r="AD532" s="77"/>
      <c r="AE532" s="77"/>
      <c r="AF532" s="77"/>
      <c r="AG532" s="77"/>
      <c r="AH532" s="77"/>
      <c r="AI532" s="77"/>
      <c r="AJ532" s="77"/>
      <c r="AK532" s="77"/>
      <c r="AL532" s="77"/>
      <c r="AM532" s="77"/>
      <c r="AN532" s="77"/>
      <c r="AO532" s="77"/>
      <c r="AP532" s="77"/>
      <c r="AQ532" s="77"/>
      <c r="AR532" s="77"/>
    </row>
    <row r="533" spans="1:44" ht="15.75" customHeight="1">
      <c r="A533" s="77"/>
      <c r="B533" s="77"/>
      <c r="C533" s="77"/>
      <c r="D533" s="77"/>
      <c r="E533" s="77"/>
      <c r="F533" s="77"/>
      <c r="G533" s="77"/>
      <c r="H533" s="77"/>
      <c r="I533" s="77"/>
      <c r="J533" s="77"/>
      <c r="K533" s="77"/>
      <c r="L533" s="77"/>
      <c r="M533" s="77"/>
      <c r="N533" s="77"/>
      <c r="O533" s="77"/>
      <c r="P533" s="77"/>
      <c r="Q533" s="77"/>
      <c r="R533" s="77"/>
      <c r="S533" s="77"/>
      <c r="T533" s="77"/>
      <c r="U533" s="77"/>
      <c r="V533" s="77"/>
      <c r="W533" s="77"/>
      <c r="X533" s="77"/>
      <c r="Y533" s="77"/>
      <c r="Z533" s="77"/>
      <c r="AA533" s="77"/>
      <c r="AB533" s="77"/>
      <c r="AC533" s="77"/>
      <c r="AD533" s="77"/>
      <c r="AE533" s="77"/>
      <c r="AF533" s="77"/>
      <c r="AG533" s="77"/>
      <c r="AH533" s="77"/>
      <c r="AI533" s="77"/>
      <c r="AJ533" s="77"/>
      <c r="AK533" s="77"/>
      <c r="AL533" s="77"/>
      <c r="AM533" s="77"/>
      <c r="AN533" s="77"/>
      <c r="AO533" s="77"/>
      <c r="AP533" s="77"/>
      <c r="AQ533" s="77"/>
      <c r="AR533" s="77"/>
    </row>
    <row r="534" spans="1:44" ht="15.75" customHeight="1">
      <c r="A534" s="77"/>
      <c r="B534" s="77"/>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77"/>
      <c r="AQ534" s="77"/>
      <c r="AR534" s="77"/>
    </row>
    <row r="535" spans="1:44" ht="15.75" customHeight="1">
      <c r="A535" s="77"/>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77"/>
      <c r="AQ535" s="77"/>
      <c r="AR535" s="77"/>
    </row>
    <row r="536" spans="1:44" ht="15.75" customHeight="1">
      <c r="A536" s="77"/>
      <c r="B536" s="77"/>
      <c r="C536" s="77"/>
      <c r="D536" s="77"/>
      <c r="E536" s="77"/>
      <c r="F536" s="77"/>
      <c r="G536" s="77"/>
      <c r="H536" s="77"/>
      <c r="I536" s="77"/>
      <c r="J536" s="77"/>
      <c r="K536" s="77"/>
      <c r="L536" s="77"/>
      <c r="M536" s="77"/>
      <c r="N536" s="77"/>
      <c r="O536" s="77"/>
      <c r="P536" s="77"/>
      <c r="Q536" s="77"/>
      <c r="R536" s="77"/>
      <c r="S536" s="77"/>
      <c r="T536" s="77"/>
      <c r="U536" s="77"/>
      <c r="V536" s="77"/>
      <c r="W536" s="77"/>
      <c r="X536" s="77"/>
      <c r="Y536" s="77"/>
      <c r="Z536" s="77"/>
      <c r="AA536" s="77"/>
      <c r="AB536" s="77"/>
      <c r="AC536" s="77"/>
      <c r="AD536" s="77"/>
      <c r="AE536" s="77"/>
      <c r="AF536" s="77"/>
      <c r="AG536" s="77"/>
      <c r="AH536" s="77"/>
      <c r="AI536" s="77"/>
      <c r="AJ536" s="77"/>
      <c r="AK536" s="77"/>
      <c r="AL536" s="77"/>
      <c r="AM536" s="77"/>
      <c r="AN536" s="77"/>
      <c r="AO536" s="77"/>
      <c r="AP536" s="77"/>
      <c r="AQ536" s="77"/>
      <c r="AR536" s="77"/>
    </row>
    <row r="537" spans="1:44" ht="15.75" customHeight="1">
      <c r="A537" s="77"/>
      <c r="B537" s="77"/>
      <c r="C537" s="77"/>
      <c r="D537" s="77"/>
      <c r="E537" s="77"/>
      <c r="F537" s="77"/>
      <c r="G537" s="77"/>
      <c r="H537" s="77"/>
      <c r="I537" s="77"/>
      <c r="J537" s="77"/>
      <c r="K537" s="77"/>
      <c r="L537" s="77"/>
      <c r="M537" s="77"/>
      <c r="N537" s="77"/>
      <c r="O537" s="77"/>
      <c r="P537" s="77"/>
      <c r="Q537" s="77"/>
      <c r="R537" s="77"/>
      <c r="S537" s="77"/>
      <c r="T537" s="77"/>
      <c r="U537" s="77"/>
      <c r="V537" s="77"/>
      <c r="W537" s="77"/>
      <c r="X537" s="77"/>
      <c r="Y537" s="77"/>
      <c r="Z537" s="77"/>
      <c r="AA537" s="77"/>
      <c r="AB537" s="77"/>
      <c r="AC537" s="77"/>
      <c r="AD537" s="77"/>
      <c r="AE537" s="77"/>
      <c r="AF537" s="77"/>
      <c r="AG537" s="77"/>
      <c r="AH537" s="77"/>
      <c r="AI537" s="77"/>
      <c r="AJ537" s="77"/>
      <c r="AK537" s="77"/>
      <c r="AL537" s="77"/>
      <c r="AM537" s="77"/>
      <c r="AN537" s="77"/>
      <c r="AO537" s="77"/>
      <c r="AP537" s="77"/>
      <c r="AQ537" s="77"/>
      <c r="AR537" s="77"/>
    </row>
    <row r="538" spans="1:44" ht="15.75" customHeight="1">
      <c r="A538" s="77"/>
      <c r="B538" s="77"/>
      <c r="C538" s="77"/>
      <c r="D538" s="77"/>
      <c r="E538" s="77"/>
      <c r="F538" s="77"/>
      <c r="G538" s="77"/>
      <c r="H538" s="77"/>
      <c r="I538" s="77"/>
      <c r="J538" s="77"/>
      <c r="K538" s="77"/>
      <c r="L538" s="77"/>
      <c r="M538" s="77"/>
      <c r="N538" s="77"/>
      <c r="O538" s="77"/>
      <c r="P538" s="77"/>
      <c r="Q538" s="77"/>
      <c r="R538" s="77"/>
      <c r="S538" s="77"/>
      <c r="T538" s="77"/>
      <c r="U538" s="77"/>
      <c r="V538" s="77"/>
      <c r="W538" s="77"/>
      <c r="X538" s="77"/>
      <c r="Y538" s="77"/>
      <c r="Z538" s="77"/>
      <c r="AA538" s="77"/>
      <c r="AB538" s="77"/>
      <c r="AC538" s="77"/>
      <c r="AD538" s="77"/>
      <c r="AE538" s="77"/>
      <c r="AF538" s="77"/>
      <c r="AG538" s="77"/>
      <c r="AH538" s="77"/>
      <c r="AI538" s="77"/>
      <c r="AJ538" s="77"/>
      <c r="AK538" s="77"/>
      <c r="AL538" s="77"/>
      <c r="AM538" s="77"/>
      <c r="AN538" s="77"/>
      <c r="AO538" s="77"/>
      <c r="AP538" s="77"/>
      <c r="AQ538" s="77"/>
      <c r="AR538" s="77"/>
    </row>
    <row r="539" spans="1:44" ht="15.75" customHeight="1">
      <c r="A539" s="77"/>
      <c r="B539" s="77"/>
      <c r="C539" s="77"/>
      <c r="D539" s="77"/>
      <c r="E539" s="77"/>
      <c r="F539" s="77"/>
      <c r="G539" s="77"/>
      <c r="H539" s="77"/>
      <c r="I539" s="77"/>
      <c r="J539" s="77"/>
      <c r="K539" s="77"/>
      <c r="L539" s="77"/>
      <c r="M539" s="77"/>
      <c r="N539" s="77"/>
      <c r="O539" s="77"/>
      <c r="P539" s="77"/>
      <c r="Q539" s="77"/>
      <c r="R539" s="77"/>
      <c r="S539" s="77"/>
      <c r="T539" s="77"/>
      <c r="U539" s="77"/>
      <c r="V539" s="77"/>
      <c r="W539" s="77"/>
      <c r="X539" s="77"/>
      <c r="Y539" s="77"/>
      <c r="Z539" s="77"/>
      <c r="AA539" s="77"/>
      <c r="AB539" s="77"/>
      <c r="AC539" s="77"/>
      <c r="AD539" s="77"/>
      <c r="AE539" s="77"/>
      <c r="AF539" s="77"/>
      <c r="AG539" s="77"/>
      <c r="AH539" s="77"/>
      <c r="AI539" s="77"/>
      <c r="AJ539" s="77"/>
      <c r="AK539" s="77"/>
      <c r="AL539" s="77"/>
      <c r="AM539" s="77"/>
      <c r="AN539" s="77"/>
      <c r="AO539" s="77"/>
      <c r="AP539" s="77"/>
      <c r="AQ539" s="77"/>
      <c r="AR539" s="77"/>
    </row>
    <row r="540" spans="1:44" ht="15.75" customHeight="1">
      <c r="A540" s="77"/>
      <c r="B540" s="77"/>
      <c r="C540" s="77"/>
      <c r="D540" s="77"/>
      <c r="E540" s="77"/>
      <c r="F540" s="77"/>
      <c r="G540" s="77"/>
      <c r="H540" s="77"/>
      <c r="I540" s="77"/>
      <c r="J540" s="77"/>
      <c r="K540" s="77"/>
      <c r="L540" s="77"/>
      <c r="M540" s="77"/>
      <c r="N540" s="77"/>
      <c r="O540" s="77"/>
      <c r="P540" s="77"/>
      <c r="Q540" s="77"/>
      <c r="R540" s="77"/>
      <c r="S540" s="77"/>
      <c r="T540" s="77"/>
      <c r="U540" s="77"/>
      <c r="V540" s="77"/>
      <c r="W540" s="77"/>
      <c r="X540" s="77"/>
      <c r="Y540" s="77"/>
      <c r="Z540" s="77"/>
      <c r="AA540" s="77"/>
      <c r="AB540" s="77"/>
      <c r="AC540" s="77"/>
      <c r="AD540" s="77"/>
      <c r="AE540" s="77"/>
      <c r="AF540" s="77"/>
      <c r="AG540" s="77"/>
      <c r="AH540" s="77"/>
      <c r="AI540" s="77"/>
      <c r="AJ540" s="77"/>
      <c r="AK540" s="77"/>
      <c r="AL540" s="77"/>
      <c r="AM540" s="77"/>
      <c r="AN540" s="77"/>
      <c r="AO540" s="77"/>
      <c r="AP540" s="77"/>
      <c r="AQ540" s="77"/>
      <c r="AR540" s="77"/>
    </row>
    <row r="541" spans="1:44" ht="15.75" customHeight="1">
      <c r="A541" s="77"/>
      <c r="B541" s="77"/>
      <c r="C541" s="77"/>
      <c r="D541" s="77"/>
      <c r="E541" s="77"/>
      <c r="F541" s="77"/>
      <c r="G541" s="77"/>
      <c r="H541" s="77"/>
      <c r="I541" s="77"/>
      <c r="J541" s="77"/>
      <c r="K541" s="77"/>
      <c r="L541" s="77"/>
      <c r="M541" s="77"/>
      <c r="N541" s="77"/>
      <c r="O541" s="77"/>
      <c r="P541" s="77"/>
      <c r="Q541" s="77"/>
      <c r="R541" s="77"/>
      <c r="S541" s="77"/>
      <c r="T541" s="77"/>
      <c r="U541" s="77"/>
      <c r="V541" s="77"/>
      <c r="W541" s="77"/>
      <c r="X541" s="77"/>
      <c r="Y541" s="77"/>
      <c r="Z541" s="77"/>
      <c r="AA541" s="77"/>
      <c r="AB541" s="77"/>
      <c r="AC541" s="77"/>
      <c r="AD541" s="77"/>
      <c r="AE541" s="77"/>
      <c r="AF541" s="77"/>
      <c r="AG541" s="77"/>
      <c r="AH541" s="77"/>
      <c r="AI541" s="77"/>
      <c r="AJ541" s="77"/>
      <c r="AK541" s="77"/>
      <c r="AL541" s="77"/>
      <c r="AM541" s="77"/>
      <c r="AN541" s="77"/>
      <c r="AO541" s="77"/>
      <c r="AP541" s="77"/>
      <c r="AQ541" s="77"/>
      <c r="AR541" s="77"/>
    </row>
    <row r="542" spans="1:44" ht="15.75" customHeight="1">
      <c r="A542" s="77"/>
      <c r="B542" s="77"/>
      <c r="C542" s="77"/>
      <c r="D542" s="77"/>
      <c r="E542" s="77"/>
      <c r="F542" s="77"/>
      <c r="G542" s="77"/>
      <c r="H542" s="77"/>
      <c r="I542" s="77"/>
      <c r="J542" s="77"/>
      <c r="K542" s="77"/>
      <c r="L542" s="77"/>
      <c r="M542" s="77"/>
      <c r="N542" s="77"/>
      <c r="O542" s="77"/>
      <c r="P542" s="77"/>
      <c r="Q542" s="77"/>
      <c r="R542" s="77"/>
      <c r="S542" s="77"/>
      <c r="T542" s="77"/>
      <c r="U542" s="77"/>
      <c r="V542" s="77"/>
      <c r="W542" s="77"/>
      <c r="X542" s="77"/>
      <c r="Y542" s="77"/>
      <c r="Z542" s="77"/>
      <c r="AA542" s="77"/>
      <c r="AB542" s="77"/>
      <c r="AC542" s="77"/>
      <c r="AD542" s="77"/>
      <c r="AE542" s="77"/>
      <c r="AF542" s="77"/>
      <c r="AG542" s="77"/>
      <c r="AH542" s="77"/>
      <c r="AI542" s="77"/>
      <c r="AJ542" s="77"/>
      <c r="AK542" s="77"/>
      <c r="AL542" s="77"/>
      <c r="AM542" s="77"/>
      <c r="AN542" s="77"/>
      <c r="AO542" s="77"/>
      <c r="AP542" s="77"/>
      <c r="AQ542" s="77"/>
      <c r="AR542" s="77"/>
    </row>
    <row r="543" spans="1:44" ht="15.75" customHeight="1">
      <c r="A543" s="77"/>
      <c r="B543" s="77"/>
      <c r="C543" s="77"/>
      <c r="D543" s="77"/>
      <c r="E543" s="77"/>
      <c r="F543" s="77"/>
      <c r="G543" s="77"/>
      <c r="H543" s="77"/>
      <c r="I543" s="77"/>
      <c r="J543" s="77"/>
      <c r="K543" s="77"/>
      <c r="L543" s="77"/>
      <c r="M543" s="77"/>
      <c r="N543" s="77"/>
      <c r="O543" s="77"/>
      <c r="P543" s="77"/>
      <c r="Q543" s="77"/>
      <c r="R543" s="77"/>
      <c r="S543" s="77"/>
      <c r="T543" s="77"/>
      <c r="U543" s="77"/>
      <c r="V543" s="77"/>
      <c r="W543" s="77"/>
      <c r="X543" s="77"/>
      <c r="Y543" s="77"/>
      <c r="Z543" s="77"/>
      <c r="AA543" s="77"/>
      <c r="AB543" s="77"/>
      <c r="AC543" s="77"/>
      <c r="AD543" s="77"/>
      <c r="AE543" s="77"/>
      <c r="AF543" s="77"/>
      <c r="AG543" s="77"/>
      <c r="AH543" s="77"/>
      <c r="AI543" s="77"/>
      <c r="AJ543" s="77"/>
      <c r="AK543" s="77"/>
      <c r="AL543" s="77"/>
      <c r="AM543" s="77"/>
      <c r="AN543" s="77"/>
      <c r="AO543" s="77"/>
      <c r="AP543" s="77"/>
      <c r="AQ543" s="77"/>
      <c r="AR543" s="77"/>
    </row>
    <row r="544" spans="1:44" ht="15.75" customHeight="1">
      <c r="A544" s="77"/>
      <c r="B544" s="77"/>
      <c r="C544" s="77"/>
      <c r="D544" s="77"/>
      <c r="E544" s="77"/>
      <c r="F544" s="77"/>
      <c r="G544" s="77"/>
      <c r="H544" s="77"/>
      <c r="I544" s="77"/>
      <c r="J544" s="77"/>
      <c r="K544" s="77"/>
      <c r="L544" s="77"/>
      <c r="M544" s="77"/>
      <c r="N544" s="77"/>
      <c r="O544" s="77"/>
      <c r="P544" s="77"/>
      <c r="Q544" s="77"/>
      <c r="R544" s="77"/>
      <c r="S544" s="77"/>
      <c r="T544" s="77"/>
      <c r="U544" s="77"/>
      <c r="V544" s="77"/>
      <c r="W544" s="77"/>
      <c r="X544" s="77"/>
      <c r="Y544" s="77"/>
      <c r="Z544" s="77"/>
      <c r="AA544" s="77"/>
      <c r="AB544" s="77"/>
      <c r="AC544" s="77"/>
      <c r="AD544" s="77"/>
      <c r="AE544" s="77"/>
      <c r="AF544" s="77"/>
      <c r="AG544" s="77"/>
      <c r="AH544" s="77"/>
      <c r="AI544" s="77"/>
      <c r="AJ544" s="77"/>
      <c r="AK544" s="77"/>
      <c r="AL544" s="77"/>
      <c r="AM544" s="77"/>
      <c r="AN544" s="77"/>
      <c r="AO544" s="77"/>
      <c r="AP544" s="77"/>
      <c r="AQ544" s="77"/>
      <c r="AR544" s="77"/>
    </row>
    <row r="545" spans="1:44" ht="15.75" customHeight="1">
      <c r="A545" s="77"/>
      <c r="B545" s="77"/>
      <c r="C545" s="77"/>
      <c r="D545" s="77"/>
      <c r="E545" s="77"/>
      <c r="F545" s="77"/>
      <c r="G545" s="77"/>
      <c r="H545" s="77"/>
      <c r="I545" s="77"/>
      <c r="J545" s="77"/>
      <c r="K545" s="77"/>
      <c r="L545" s="77"/>
      <c r="M545" s="77"/>
      <c r="N545" s="77"/>
      <c r="O545" s="77"/>
      <c r="P545" s="77"/>
      <c r="Q545" s="77"/>
      <c r="R545" s="77"/>
      <c r="S545" s="77"/>
      <c r="T545" s="77"/>
      <c r="U545" s="77"/>
      <c r="V545" s="77"/>
      <c r="W545" s="77"/>
      <c r="X545" s="77"/>
      <c r="Y545" s="77"/>
      <c r="Z545" s="77"/>
      <c r="AA545" s="77"/>
      <c r="AB545" s="77"/>
      <c r="AC545" s="77"/>
      <c r="AD545" s="77"/>
      <c r="AE545" s="77"/>
      <c r="AF545" s="77"/>
      <c r="AG545" s="77"/>
      <c r="AH545" s="77"/>
      <c r="AI545" s="77"/>
      <c r="AJ545" s="77"/>
      <c r="AK545" s="77"/>
      <c r="AL545" s="77"/>
      <c r="AM545" s="77"/>
      <c r="AN545" s="77"/>
      <c r="AO545" s="77"/>
      <c r="AP545" s="77"/>
      <c r="AQ545" s="77"/>
      <c r="AR545" s="77"/>
    </row>
    <row r="546" spans="1:44" ht="15.75" customHeight="1">
      <c r="A546" s="77"/>
      <c r="B546" s="77"/>
      <c r="C546" s="77"/>
      <c r="D546" s="77"/>
      <c r="E546" s="77"/>
      <c r="F546" s="77"/>
      <c r="G546" s="77"/>
      <c r="H546" s="77"/>
      <c r="I546" s="77"/>
      <c r="J546" s="77"/>
      <c r="K546" s="77"/>
      <c r="L546" s="77"/>
      <c r="M546" s="77"/>
      <c r="N546" s="77"/>
      <c r="O546" s="77"/>
      <c r="P546" s="77"/>
      <c r="Q546" s="77"/>
      <c r="R546" s="77"/>
      <c r="S546" s="77"/>
      <c r="T546" s="77"/>
      <c r="U546" s="77"/>
      <c r="V546" s="77"/>
      <c r="W546" s="77"/>
      <c r="X546" s="77"/>
      <c r="Y546" s="77"/>
      <c r="Z546" s="77"/>
      <c r="AA546" s="77"/>
      <c r="AB546" s="77"/>
      <c r="AC546" s="77"/>
      <c r="AD546" s="77"/>
      <c r="AE546" s="77"/>
      <c r="AF546" s="77"/>
      <c r="AG546" s="77"/>
      <c r="AH546" s="77"/>
      <c r="AI546" s="77"/>
      <c r="AJ546" s="77"/>
      <c r="AK546" s="77"/>
      <c r="AL546" s="77"/>
      <c r="AM546" s="77"/>
      <c r="AN546" s="77"/>
      <c r="AO546" s="77"/>
      <c r="AP546" s="77"/>
      <c r="AQ546" s="77"/>
      <c r="AR546" s="77"/>
    </row>
    <row r="547" spans="1:44" ht="15.75" customHeight="1">
      <c r="A547" s="77"/>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77"/>
      <c r="AQ547" s="77"/>
      <c r="AR547" s="77"/>
    </row>
    <row r="548" spans="1:44" ht="15.75" customHeight="1">
      <c r="A548" s="77"/>
      <c r="B548" s="77"/>
      <c r="C548" s="77"/>
      <c r="D548" s="77"/>
      <c r="E548" s="77"/>
      <c r="F548" s="77"/>
      <c r="G548" s="77"/>
      <c r="H548" s="77"/>
      <c r="I548" s="77"/>
      <c r="J548" s="77"/>
      <c r="K548" s="77"/>
      <c r="L548" s="77"/>
      <c r="M548" s="77"/>
      <c r="N548" s="77"/>
      <c r="O548" s="77"/>
      <c r="P548" s="77"/>
      <c r="Q548" s="77"/>
      <c r="R548" s="77"/>
      <c r="S548" s="77"/>
      <c r="T548" s="77"/>
      <c r="U548" s="77"/>
      <c r="V548" s="77"/>
      <c r="W548" s="77"/>
      <c r="X548" s="77"/>
      <c r="Y548" s="77"/>
      <c r="Z548" s="77"/>
      <c r="AA548" s="77"/>
      <c r="AB548" s="77"/>
      <c r="AC548" s="77"/>
      <c r="AD548" s="77"/>
      <c r="AE548" s="77"/>
      <c r="AF548" s="77"/>
      <c r="AG548" s="77"/>
      <c r="AH548" s="77"/>
      <c r="AI548" s="77"/>
      <c r="AJ548" s="77"/>
      <c r="AK548" s="77"/>
      <c r="AL548" s="77"/>
      <c r="AM548" s="77"/>
      <c r="AN548" s="77"/>
      <c r="AO548" s="77"/>
      <c r="AP548" s="77"/>
      <c r="AQ548" s="77"/>
      <c r="AR548" s="77"/>
    </row>
    <row r="549" spans="1:44" ht="15.75" customHeight="1">
      <c r="A549" s="77"/>
      <c r="B549" s="77"/>
      <c r="C549" s="77"/>
      <c r="D549" s="77"/>
      <c r="E549" s="77"/>
      <c r="F549" s="77"/>
      <c r="G549" s="77"/>
      <c r="H549" s="77"/>
      <c r="I549" s="77"/>
      <c r="J549" s="77"/>
      <c r="K549" s="77"/>
      <c r="L549" s="77"/>
      <c r="M549" s="77"/>
      <c r="N549" s="77"/>
      <c r="O549" s="77"/>
      <c r="P549" s="77"/>
      <c r="Q549" s="77"/>
      <c r="R549" s="77"/>
      <c r="S549" s="77"/>
      <c r="T549" s="77"/>
      <c r="U549" s="77"/>
      <c r="V549" s="77"/>
      <c r="W549" s="77"/>
      <c r="X549" s="77"/>
      <c r="Y549" s="77"/>
      <c r="Z549" s="77"/>
      <c r="AA549" s="77"/>
      <c r="AB549" s="77"/>
      <c r="AC549" s="77"/>
      <c r="AD549" s="77"/>
      <c r="AE549" s="77"/>
      <c r="AF549" s="77"/>
      <c r="AG549" s="77"/>
      <c r="AH549" s="77"/>
      <c r="AI549" s="77"/>
      <c r="AJ549" s="77"/>
      <c r="AK549" s="77"/>
      <c r="AL549" s="77"/>
      <c r="AM549" s="77"/>
      <c r="AN549" s="77"/>
      <c r="AO549" s="77"/>
      <c r="AP549" s="77"/>
      <c r="AQ549" s="77"/>
      <c r="AR549" s="77"/>
    </row>
    <row r="550" spans="1:44" ht="15.75" customHeight="1">
      <c r="A550" s="77"/>
      <c r="B550" s="77"/>
      <c r="C550" s="77"/>
      <c r="D550" s="77"/>
      <c r="E550" s="77"/>
      <c r="F550" s="77"/>
      <c r="G550" s="77"/>
      <c r="H550" s="77"/>
      <c r="I550" s="77"/>
      <c r="J550" s="77"/>
      <c r="K550" s="77"/>
      <c r="L550" s="77"/>
      <c r="M550" s="77"/>
      <c r="N550" s="77"/>
      <c r="O550" s="77"/>
      <c r="P550" s="77"/>
      <c r="Q550" s="77"/>
      <c r="R550" s="77"/>
      <c r="S550" s="77"/>
      <c r="T550" s="77"/>
      <c r="U550" s="77"/>
      <c r="V550" s="77"/>
      <c r="W550" s="77"/>
      <c r="X550" s="77"/>
      <c r="Y550" s="77"/>
      <c r="Z550" s="77"/>
      <c r="AA550" s="77"/>
      <c r="AB550" s="77"/>
      <c r="AC550" s="77"/>
      <c r="AD550" s="77"/>
      <c r="AE550" s="77"/>
      <c r="AF550" s="77"/>
      <c r="AG550" s="77"/>
      <c r="AH550" s="77"/>
      <c r="AI550" s="77"/>
      <c r="AJ550" s="77"/>
      <c r="AK550" s="77"/>
      <c r="AL550" s="77"/>
      <c r="AM550" s="77"/>
      <c r="AN550" s="77"/>
      <c r="AO550" s="77"/>
      <c r="AP550" s="77"/>
      <c r="AQ550" s="77"/>
      <c r="AR550" s="77"/>
    </row>
    <row r="551" spans="1:44" ht="15.75" customHeight="1">
      <c r="A551" s="77"/>
      <c r="B551" s="77"/>
      <c r="C551" s="77"/>
      <c r="D551" s="77"/>
      <c r="E551" s="77"/>
      <c r="F551" s="77"/>
      <c r="G551" s="77"/>
      <c r="H551" s="77"/>
      <c r="I551" s="77"/>
      <c r="J551" s="77"/>
      <c r="K551" s="77"/>
      <c r="L551" s="77"/>
      <c r="M551" s="77"/>
      <c r="N551" s="77"/>
      <c r="O551" s="77"/>
      <c r="P551" s="77"/>
      <c r="Q551" s="77"/>
      <c r="R551" s="77"/>
      <c r="S551" s="77"/>
      <c r="T551" s="77"/>
      <c r="U551" s="77"/>
      <c r="V551" s="77"/>
      <c r="W551" s="77"/>
      <c r="X551" s="77"/>
      <c r="Y551" s="77"/>
      <c r="Z551" s="77"/>
      <c r="AA551" s="77"/>
      <c r="AB551" s="77"/>
      <c r="AC551" s="77"/>
      <c r="AD551" s="77"/>
      <c r="AE551" s="77"/>
      <c r="AF551" s="77"/>
      <c r="AG551" s="77"/>
      <c r="AH551" s="77"/>
      <c r="AI551" s="77"/>
      <c r="AJ551" s="77"/>
      <c r="AK551" s="77"/>
      <c r="AL551" s="77"/>
      <c r="AM551" s="77"/>
      <c r="AN551" s="77"/>
      <c r="AO551" s="77"/>
      <c r="AP551" s="77"/>
      <c r="AQ551" s="77"/>
      <c r="AR551" s="77"/>
    </row>
    <row r="552" spans="1:44" ht="15.75" customHeight="1">
      <c r="A552" s="77"/>
      <c r="B552" s="77"/>
      <c r="C552" s="77"/>
      <c r="D552" s="77"/>
      <c r="E552" s="77"/>
      <c r="F552" s="77"/>
      <c r="G552" s="77"/>
      <c r="H552" s="77"/>
      <c r="I552" s="77"/>
      <c r="J552" s="77"/>
      <c r="K552" s="77"/>
      <c r="L552" s="77"/>
      <c r="M552" s="77"/>
      <c r="N552" s="77"/>
      <c r="O552" s="77"/>
      <c r="P552" s="77"/>
      <c r="Q552" s="77"/>
      <c r="R552" s="77"/>
      <c r="S552" s="77"/>
      <c r="T552" s="77"/>
      <c r="U552" s="77"/>
      <c r="V552" s="77"/>
      <c r="W552" s="77"/>
      <c r="X552" s="77"/>
      <c r="Y552" s="77"/>
      <c r="Z552" s="77"/>
      <c r="AA552" s="77"/>
      <c r="AB552" s="77"/>
      <c r="AC552" s="77"/>
      <c r="AD552" s="77"/>
      <c r="AE552" s="77"/>
      <c r="AF552" s="77"/>
      <c r="AG552" s="77"/>
      <c r="AH552" s="77"/>
      <c r="AI552" s="77"/>
      <c r="AJ552" s="77"/>
      <c r="AK552" s="77"/>
      <c r="AL552" s="77"/>
      <c r="AM552" s="77"/>
      <c r="AN552" s="77"/>
      <c r="AO552" s="77"/>
      <c r="AP552" s="77"/>
      <c r="AQ552" s="77"/>
      <c r="AR552" s="77"/>
    </row>
    <row r="553" spans="1:44" ht="15.75" customHeight="1">
      <c r="A553" s="77"/>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77"/>
      <c r="AQ553" s="77"/>
      <c r="AR553" s="77"/>
    </row>
    <row r="554" spans="1:44" ht="15.75" customHeight="1">
      <c r="A554" s="77"/>
      <c r="B554" s="77"/>
      <c r="C554" s="77"/>
      <c r="D554" s="77"/>
      <c r="E554" s="77"/>
      <c r="F554" s="77"/>
      <c r="G554" s="77"/>
      <c r="H554" s="77"/>
      <c r="I554" s="77"/>
      <c r="J554" s="77"/>
      <c r="K554" s="77"/>
      <c r="L554" s="77"/>
      <c r="M554" s="77"/>
      <c r="N554" s="77"/>
      <c r="O554" s="77"/>
      <c r="P554" s="77"/>
      <c r="Q554" s="77"/>
      <c r="R554" s="77"/>
      <c r="S554" s="77"/>
      <c r="T554" s="77"/>
      <c r="U554" s="77"/>
      <c r="V554" s="77"/>
      <c r="W554" s="77"/>
      <c r="X554" s="77"/>
      <c r="Y554" s="77"/>
      <c r="Z554" s="77"/>
      <c r="AA554" s="77"/>
      <c r="AB554" s="77"/>
      <c r="AC554" s="77"/>
      <c r="AD554" s="77"/>
      <c r="AE554" s="77"/>
      <c r="AF554" s="77"/>
      <c r="AG554" s="77"/>
      <c r="AH554" s="77"/>
      <c r="AI554" s="77"/>
      <c r="AJ554" s="77"/>
      <c r="AK554" s="77"/>
      <c r="AL554" s="77"/>
      <c r="AM554" s="77"/>
      <c r="AN554" s="77"/>
      <c r="AO554" s="77"/>
      <c r="AP554" s="77"/>
      <c r="AQ554" s="77"/>
      <c r="AR554" s="77"/>
    </row>
    <row r="555" spans="1:44" ht="15.75" customHeight="1">
      <c r="A555" s="77"/>
      <c r="B555" s="77"/>
      <c r="C555" s="77"/>
      <c r="D555" s="77"/>
      <c r="E555" s="77"/>
      <c r="F555" s="77"/>
      <c r="G555" s="77"/>
      <c r="H555" s="77"/>
      <c r="I555" s="77"/>
      <c r="J555" s="77"/>
      <c r="K555" s="77"/>
      <c r="L555" s="77"/>
      <c r="M555" s="77"/>
      <c r="N555" s="77"/>
      <c r="O555" s="77"/>
      <c r="P555" s="77"/>
      <c r="Q555" s="77"/>
      <c r="R555" s="77"/>
      <c r="S555" s="77"/>
      <c r="T555" s="77"/>
      <c r="U555" s="77"/>
      <c r="V555" s="77"/>
      <c r="W555" s="77"/>
      <c r="X555" s="77"/>
      <c r="Y555" s="77"/>
      <c r="Z555" s="77"/>
      <c r="AA555" s="77"/>
      <c r="AB555" s="77"/>
      <c r="AC555" s="77"/>
      <c r="AD555" s="77"/>
      <c r="AE555" s="77"/>
      <c r="AF555" s="77"/>
      <c r="AG555" s="77"/>
      <c r="AH555" s="77"/>
      <c r="AI555" s="77"/>
      <c r="AJ555" s="77"/>
      <c r="AK555" s="77"/>
      <c r="AL555" s="77"/>
      <c r="AM555" s="77"/>
      <c r="AN555" s="77"/>
      <c r="AO555" s="77"/>
      <c r="AP555" s="77"/>
      <c r="AQ555" s="77"/>
      <c r="AR555" s="77"/>
    </row>
    <row r="556" spans="1:44" ht="15.75" customHeight="1">
      <c r="A556" s="77"/>
      <c r="B556" s="77"/>
      <c r="C556" s="77"/>
      <c r="D556" s="77"/>
      <c r="E556" s="77"/>
      <c r="F556" s="77"/>
      <c r="G556" s="77"/>
      <c r="H556" s="77"/>
      <c r="I556" s="77"/>
      <c r="J556" s="77"/>
      <c r="K556" s="77"/>
      <c r="L556" s="77"/>
      <c r="M556" s="77"/>
      <c r="N556" s="77"/>
      <c r="O556" s="77"/>
      <c r="P556" s="77"/>
      <c r="Q556" s="77"/>
      <c r="R556" s="77"/>
      <c r="S556" s="77"/>
      <c r="T556" s="77"/>
      <c r="U556" s="77"/>
      <c r="V556" s="77"/>
      <c r="W556" s="77"/>
      <c r="X556" s="77"/>
      <c r="Y556" s="77"/>
      <c r="Z556" s="77"/>
      <c r="AA556" s="77"/>
      <c r="AB556" s="77"/>
      <c r="AC556" s="77"/>
      <c r="AD556" s="77"/>
      <c r="AE556" s="77"/>
      <c r="AF556" s="77"/>
      <c r="AG556" s="77"/>
      <c r="AH556" s="77"/>
      <c r="AI556" s="77"/>
      <c r="AJ556" s="77"/>
      <c r="AK556" s="77"/>
      <c r="AL556" s="77"/>
      <c r="AM556" s="77"/>
      <c r="AN556" s="77"/>
      <c r="AO556" s="77"/>
      <c r="AP556" s="77"/>
      <c r="AQ556" s="77"/>
      <c r="AR556" s="77"/>
    </row>
    <row r="557" spans="1:44" ht="15.75" customHeight="1">
      <c r="A557" s="77"/>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77"/>
      <c r="AQ557" s="77"/>
      <c r="AR557" s="77"/>
    </row>
    <row r="558" spans="1:44" ht="15.75" customHeight="1">
      <c r="A558" s="77"/>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77"/>
      <c r="AQ558" s="77"/>
      <c r="AR558" s="77"/>
    </row>
    <row r="559" spans="1:44" ht="15.75" customHeight="1">
      <c r="A559" s="77"/>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77"/>
      <c r="AQ559" s="77"/>
      <c r="AR559" s="77"/>
    </row>
    <row r="560" spans="1:44" ht="15.75" customHeight="1">
      <c r="A560" s="77"/>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77"/>
      <c r="AQ560" s="77"/>
      <c r="AR560" s="77"/>
    </row>
    <row r="561" spans="1:44" ht="15.75" customHeight="1">
      <c r="A561" s="77"/>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77"/>
      <c r="AQ561" s="77"/>
      <c r="AR561" s="77"/>
    </row>
    <row r="562" spans="1:44" ht="15.75" customHeight="1">
      <c r="A562" s="77"/>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77"/>
      <c r="AQ562" s="77"/>
      <c r="AR562" s="77"/>
    </row>
    <row r="563" spans="1:44" ht="15.75" customHeight="1">
      <c r="A563" s="77"/>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77"/>
      <c r="AQ563" s="77"/>
      <c r="AR563" s="77"/>
    </row>
    <row r="564" spans="1:44" ht="15.75" customHeight="1">
      <c r="A564" s="77"/>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77"/>
      <c r="AQ564" s="77"/>
      <c r="AR564" s="77"/>
    </row>
    <row r="565" spans="1:44" ht="15.75" customHeight="1">
      <c r="A565" s="77"/>
      <c r="B565" s="77"/>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77"/>
      <c r="AQ565" s="77"/>
      <c r="AR565" s="77"/>
    </row>
    <row r="566" spans="1:44" ht="15.75" customHeight="1">
      <c r="A566" s="77"/>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77"/>
      <c r="AQ566" s="77"/>
      <c r="AR566" s="77"/>
    </row>
    <row r="567" spans="1:44" ht="15.75" customHeight="1">
      <c r="A567" s="77"/>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77"/>
      <c r="AQ567" s="77"/>
      <c r="AR567" s="77"/>
    </row>
    <row r="568" spans="1:44" ht="15.75" customHeight="1">
      <c r="A568" s="77"/>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77"/>
      <c r="AQ568" s="77"/>
      <c r="AR568" s="77"/>
    </row>
    <row r="569" spans="1:44" ht="15.75" customHeight="1">
      <c r="A569" s="77"/>
      <c r="B569" s="77"/>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77"/>
      <c r="AQ569" s="77"/>
      <c r="AR569" s="77"/>
    </row>
    <row r="570" spans="1:44" ht="15.75" customHeight="1">
      <c r="A570" s="77"/>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77"/>
      <c r="AQ570" s="77"/>
      <c r="AR570" s="77"/>
    </row>
    <row r="571" spans="1:44" ht="15.75" customHeight="1">
      <c r="A571" s="77"/>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77"/>
      <c r="AQ571" s="77"/>
      <c r="AR571" s="77"/>
    </row>
    <row r="572" spans="1:44" ht="15.75" customHeight="1">
      <c r="A572" s="77"/>
      <c r="B572" s="77"/>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77"/>
      <c r="AQ572" s="77"/>
      <c r="AR572" s="77"/>
    </row>
    <row r="573" spans="1:44" ht="15.75" customHeight="1">
      <c r="A573" s="77"/>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77"/>
      <c r="AQ573" s="77"/>
      <c r="AR573" s="77"/>
    </row>
    <row r="574" spans="1:44" ht="15.75" customHeight="1">
      <c r="A574" s="77"/>
      <c r="B574" s="77"/>
      <c r="C574" s="77"/>
      <c r="D574" s="77"/>
      <c r="E574" s="77"/>
      <c r="F574" s="77"/>
      <c r="G574" s="77"/>
      <c r="H574" s="77"/>
      <c r="I574" s="77"/>
      <c r="J574" s="77"/>
      <c r="K574" s="77"/>
      <c r="L574" s="77"/>
      <c r="M574" s="77"/>
      <c r="N574" s="77"/>
      <c r="O574" s="77"/>
      <c r="P574" s="77"/>
      <c r="Q574" s="77"/>
      <c r="R574" s="77"/>
      <c r="S574" s="77"/>
      <c r="T574" s="77"/>
      <c r="U574" s="77"/>
      <c r="V574" s="77"/>
      <c r="W574" s="77"/>
      <c r="X574" s="77"/>
      <c r="Y574" s="77"/>
      <c r="Z574" s="77"/>
      <c r="AA574" s="77"/>
      <c r="AB574" s="77"/>
      <c r="AC574" s="77"/>
      <c r="AD574" s="77"/>
      <c r="AE574" s="77"/>
      <c r="AF574" s="77"/>
      <c r="AG574" s="77"/>
      <c r="AH574" s="77"/>
      <c r="AI574" s="77"/>
      <c r="AJ574" s="77"/>
      <c r="AK574" s="77"/>
      <c r="AL574" s="77"/>
      <c r="AM574" s="77"/>
      <c r="AN574" s="77"/>
      <c r="AO574" s="77"/>
      <c r="AP574" s="77"/>
      <c r="AQ574" s="77"/>
      <c r="AR574" s="77"/>
    </row>
    <row r="575" spans="1:44" ht="15.75" customHeight="1">
      <c r="A575" s="77"/>
      <c r="B575" s="77"/>
      <c r="C575" s="77"/>
      <c r="D575" s="77"/>
      <c r="E575" s="77"/>
      <c r="F575" s="77"/>
      <c r="G575" s="77"/>
      <c r="H575" s="77"/>
      <c r="I575" s="77"/>
      <c r="J575" s="77"/>
      <c r="K575" s="77"/>
      <c r="L575" s="77"/>
      <c r="M575" s="77"/>
      <c r="N575" s="77"/>
      <c r="O575" s="77"/>
      <c r="P575" s="77"/>
      <c r="Q575" s="77"/>
      <c r="R575" s="77"/>
      <c r="S575" s="77"/>
      <c r="T575" s="77"/>
      <c r="U575" s="77"/>
      <c r="V575" s="77"/>
      <c r="W575" s="77"/>
      <c r="X575" s="77"/>
      <c r="Y575" s="77"/>
      <c r="Z575" s="77"/>
      <c r="AA575" s="77"/>
      <c r="AB575" s="77"/>
      <c r="AC575" s="77"/>
      <c r="AD575" s="77"/>
      <c r="AE575" s="77"/>
      <c r="AF575" s="77"/>
      <c r="AG575" s="77"/>
      <c r="AH575" s="77"/>
      <c r="AI575" s="77"/>
      <c r="AJ575" s="77"/>
      <c r="AK575" s="77"/>
      <c r="AL575" s="77"/>
      <c r="AM575" s="77"/>
      <c r="AN575" s="77"/>
      <c r="AO575" s="77"/>
      <c r="AP575" s="77"/>
      <c r="AQ575" s="77"/>
      <c r="AR575" s="77"/>
    </row>
    <row r="576" spans="1:44" ht="15.75" customHeight="1">
      <c r="A576" s="77"/>
      <c r="B576" s="77"/>
      <c r="C576" s="77"/>
      <c r="D576" s="77"/>
      <c r="E576" s="77"/>
      <c r="F576" s="77"/>
      <c r="G576" s="77"/>
      <c r="H576" s="77"/>
      <c r="I576" s="77"/>
      <c r="J576" s="77"/>
      <c r="K576" s="77"/>
      <c r="L576" s="77"/>
      <c r="M576" s="77"/>
      <c r="N576" s="77"/>
      <c r="O576" s="77"/>
      <c r="P576" s="77"/>
      <c r="Q576" s="77"/>
      <c r="R576" s="77"/>
      <c r="S576" s="77"/>
      <c r="T576" s="77"/>
      <c r="U576" s="77"/>
      <c r="V576" s="77"/>
      <c r="W576" s="77"/>
      <c r="X576" s="77"/>
      <c r="Y576" s="77"/>
      <c r="Z576" s="77"/>
      <c r="AA576" s="77"/>
      <c r="AB576" s="77"/>
      <c r="AC576" s="77"/>
      <c r="AD576" s="77"/>
      <c r="AE576" s="77"/>
      <c r="AF576" s="77"/>
      <c r="AG576" s="77"/>
      <c r="AH576" s="77"/>
      <c r="AI576" s="77"/>
      <c r="AJ576" s="77"/>
      <c r="AK576" s="77"/>
      <c r="AL576" s="77"/>
      <c r="AM576" s="77"/>
      <c r="AN576" s="77"/>
      <c r="AO576" s="77"/>
      <c r="AP576" s="77"/>
      <c r="AQ576" s="77"/>
      <c r="AR576" s="77"/>
    </row>
    <row r="577" spans="1:44" ht="15.75" customHeight="1">
      <c r="A577" s="77"/>
      <c r="B577" s="77"/>
      <c r="C577" s="77"/>
      <c r="D577" s="77"/>
      <c r="E577" s="77"/>
      <c r="F577" s="77"/>
      <c r="G577" s="77"/>
      <c r="H577" s="77"/>
      <c r="I577" s="77"/>
      <c r="J577" s="77"/>
      <c r="K577" s="77"/>
      <c r="L577" s="77"/>
      <c r="M577" s="77"/>
      <c r="N577" s="77"/>
      <c r="O577" s="77"/>
      <c r="P577" s="77"/>
      <c r="Q577" s="77"/>
      <c r="R577" s="77"/>
      <c r="S577" s="77"/>
      <c r="T577" s="77"/>
      <c r="U577" s="77"/>
      <c r="V577" s="77"/>
      <c r="W577" s="77"/>
      <c r="X577" s="77"/>
      <c r="Y577" s="77"/>
      <c r="Z577" s="77"/>
      <c r="AA577" s="77"/>
      <c r="AB577" s="77"/>
      <c r="AC577" s="77"/>
      <c r="AD577" s="77"/>
      <c r="AE577" s="77"/>
      <c r="AF577" s="77"/>
      <c r="AG577" s="77"/>
      <c r="AH577" s="77"/>
      <c r="AI577" s="77"/>
      <c r="AJ577" s="77"/>
      <c r="AK577" s="77"/>
      <c r="AL577" s="77"/>
      <c r="AM577" s="77"/>
      <c r="AN577" s="77"/>
      <c r="AO577" s="77"/>
      <c r="AP577" s="77"/>
      <c r="AQ577" s="77"/>
      <c r="AR577" s="77"/>
    </row>
    <row r="578" spans="1:44" ht="15.75" customHeight="1">
      <c r="A578" s="77"/>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77"/>
      <c r="AQ578" s="77"/>
      <c r="AR578" s="77"/>
    </row>
    <row r="579" spans="1:44" ht="15.75" customHeight="1">
      <c r="A579" s="77"/>
      <c r="B579" s="77"/>
      <c r="C579" s="77"/>
      <c r="D579" s="77"/>
      <c r="E579" s="77"/>
      <c r="F579" s="77"/>
      <c r="G579" s="77"/>
      <c r="H579" s="77"/>
      <c r="I579" s="77"/>
      <c r="J579" s="77"/>
      <c r="K579" s="77"/>
      <c r="L579" s="77"/>
      <c r="M579" s="77"/>
      <c r="N579" s="77"/>
      <c r="O579" s="77"/>
      <c r="P579" s="77"/>
      <c r="Q579" s="77"/>
      <c r="R579" s="77"/>
      <c r="S579" s="77"/>
      <c r="T579" s="77"/>
      <c r="U579" s="77"/>
      <c r="V579" s="77"/>
      <c r="W579" s="77"/>
      <c r="X579" s="77"/>
      <c r="Y579" s="77"/>
      <c r="Z579" s="77"/>
      <c r="AA579" s="77"/>
      <c r="AB579" s="77"/>
      <c r="AC579" s="77"/>
      <c r="AD579" s="77"/>
      <c r="AE579" s="77"/>
      <c r="AF579" s="77"/>
      <c r="AG579" s="77"/>
      <c r="AH579" s="77"/>
      <c r="AI579" s="77"/>
      <c r="AJ579" s="77"/>
      <c r="AK579" s="77"/>
      <c r="AL579" s="77"/>
      <c r="AM579" s="77"/>
      <c r="AN579" s="77"/>
      <c r="AO579" s="77"/>
      <c r="AP579" s="77"/>
      <c r="AQ579" s="77"/>
      <c r="AR579" s="77"/>
    </row>
    <row r="580" spans="1:44" ht="15.75" customHeight="1">
      <c r="A580" s="77"/>
      <c r="B580" s="77"/>
      <c r="C580" s="77"/>
      <c r="D580" s="77"/>
      <c r="E580" s="77"/>
      <c r="F580" s="77"/>
      <c r="G580" s="77"/>
      <c r="H580" s="77"/>
      <c r="I580" s="77"/>
      <c r="J580" s="77"/>
      <c r="K580" s="77"/>
      <c r="L580" s="77"/>
      <c r="M580" s="77"/>
      <c r="N580" s="77"/>
      <c r="O580" s="77"/>
      <c r="P580" s="77"/>
      <c r="Q580" s="77"/>
      <c r="R580" s="77"/>
      <c r="S580" s="77"/>
      <c r="T580" s="77"/>
      <c r="U580" s="77"/>
      <c r="V580" s="77"/>
      <c r="W580" s="77"/>
      <c r="X580" s="77"/>
      <c r="Y580" s="77"/>
      <c r="Z580" s="77"/>
      <c r="AA580" s="77"/>
      <c r="AB580" s="77"/>
      <c r="AC580" s="77"/>
      <c r="AD580" s="77"/>
      <c r="AE580" s="77"/>
      <c r="AF580" s="77"/>
      <c r="AG580" s="77"/>
      <c r="AH580" s="77"/>
      <c r="AI580" s="77"/>
      <c r="AJ580" s="77"/>
      <c r="AK580" s="77"/>
      <c r="AL580" s="77"/>
      <c r="AM580" s="77"/>
      <c r="AN580" s="77"/>
      <c r="AO580" s="77"/>
      <c r="AP580" s="77"/>
      <c r="AQ580" s="77"/>
      <c r="AR580" s="77"/>
    </row>
    <row r="581" spans="1:44" ht="15.75" customHeight="1">
      <c r="A581" s="77"/>
      <c r="B581" s="77"/>
      <c r="C581" s="77"/>
      <c r="D581" s="77"/>
      <c r="E581" s="77"/>
      <c r="F581" s="77"/>
      <c r="G581" s="77"/>
      <c r="H581" s="77"/>
      <c r="I581" s="77"/>
      <c r="J581" s="77"/>
      <c r="K581" s="77"/>
      <c r="L581" s="77"/>
      <c r="M581" s="77"/>
      <c r="N581" s="77"/>
      <c r="O581" s="77"/>
      <c r="P581" s="77"/>
      <c r="Q581" s="77"/>
      <c r="R581" s="77"/>
      <c r="S581" s="77"/>
      <c r="T581" s="77"/>
      <c r="U581" s="77"/>
      <c r="V581" s="77"/>
      <c r="W581" s="77"/>
      <c r="X581" s="77"/>
      <c r="Y581" s="77"/>
      <c r="Z581" s="77"/>
      <c r="AA581" s="77"/>
      <c r="AB581" s="77"/>
      <c r="AC581" s="77"/>
      <c r="AD581" s="77"/>
      <c r="AE581" s="77"/>
      <c r="AF581" s="77"/>
      <c r="AG581" s="77"/>
      <c r="AH581" s="77"/>
      <c r="AI581" s="77"/>
      <c r="AJ581" s="77"/>
      <c r="AK581" s="77"/>
      <c r="AL581" s="77"/>
      <c r="AM581" s="77"/>
      <c r="AN581" s="77"/>
      <c r="AO581" s="77"/>
      <c r="AP581" s="77"/>
      <c r="AQ581" s="77"/>
      <c r="AR581" s="77"/>
    </row>
    <row r="582" spans="1:44" ht="15.75" customHeight="1">
      <c r="A582" s="77"/>
      <c r="B582" s="77"/>
      <c r="C582" s="77"/>
      <c r="D582" s="77"/>
      <c r="E582" s="77"/>
      <c r="F582" s="77"/>
      <c r="G582" s="77"/>
      <c r="H582" s="77"/>
      <c r="I582" s="77"/>
      <c r="J582" s="77"/>
      <c r="K582" s="77"/>
      <c r="L582" s="77"/>
      <c r="M582" s="77"/>
      <c r="N582" s="77"/>
      <c r="O582" s="77"/>
      <c r="P582" s="77"/>
      <c r="Q582" s="77"/>
      <c r="R582" s="77"/>
      <c r="S582" s="77"/>
      <c r="T582" s="77"/>
      <c r="U582" s="77"/>
      <c r="V582" s="77"/>
      <c r="W582" s="77"/>
      <c r="X582" s="77"/>
      <c r="Y582" s="77"/>
      <c r="Z582" s="77"/>
      <c r="AA582" s="77"/>
      <c r="AB582" s="77"/>
      <c r="AC582" s="77"/>
      <c r="AD582" s="77"/>
      <c r="AE582" s="77"/>
      <c r="AF582" s="77"/>
      <c r="AG582" s="77"/>
      <c r="AH582" s="77"/>
      <c r="AI582" s="77"/>
      <c r="AJ582" s="77"/>
      <c r="AK582" s="77"/>
      <c r="AL582" s="77"/>
      <c r="AM582" s="77"/>
      <c r="AN582" s="77"/>
      <c r="AO582" s="77"/>
      <c r="AP582" s="77"/>
      <c r="AQ582" s="77"/>
      <c r="AR582" s="77"/>
    </row>
    <row r="583" spans="1:44" ht="15.75" customHeight="1">
      <c r="A583" s="77"/>
      <c r="B583" s="77"/>
      <c r="C583" s="77"/>
      <c r="D583" s="77"/>
      <c r="E583" s="77"/>
      <c r="F583" s="77"/>
      <c r="G583" s="77"/>
      <c r="H583" s="77"/>
      <c r="I583" s="77"/>
      <c r="J583" s="77"/>
      <c r="K583" s="77"/>
      <c r="L583" s="77"/>
      <c r="M583" s="77"/>
      <c r="N583" s="77"/>
      <c r="O583" s="77"/>
      <c r="P583" s="77"/>
      <c r="Q583" s="77"/>
      <c r="R583" s="77"/>
      <c r="S583" s="77"/>
      <c r="T583" s="77"/>
      <c r="U583" s="77"/>
      <c r="V583" s="77"/>
      <c r="W583" s="77"/>
      <c r="X583" s="77"/>
      <c r="Y583" s="77"/>
      <c r="Z583" s="77"/>
      <c r="AA583" s="77"/>
      <c r="AB583" s="77"/>
      <c r="AC583" s="77"/>
      <c r="AD583" s="77"/>
      <c r="AE583" s="77"/>
      <c r="AF583" s="77"/>
      <c r="AG583" s="77"/>
      <c r="AH583" s="77"/>
      <c r="AI583" s="77"/>
      <c r="AJ583" s="77"/>
      <c r="AK583" s="77"/>
      <c r="AL583" s="77"/>
      <c r="AM583" s="77"/>
      <c r="AN583" s="77"/>
      <c r="AO583" s="77"/>
      <c r="AP583" s="77"/>
      <c r="AQ583" s="77"/>
      <c r="AR583" s="77"/>
    </row>
    <row r="584" spans="1:44" ht="15.75" customHeight="1">
      <c r="A584" s="77"/>
      <c r="B584" s="77"/>
      <c r="C584" s="77"/>
      <c r="D584" s="77"/>
      <c r="E584" s="77"/>
      <c r="F584" s="77"/>
      <c r="G584" s="77"/>
      <c r="H584" s="77"/>
      <c r="I584" s="77"/>
      <c r="J584" s="77"/>
      <c r="K584" s="77"/>
      <c r="L584" s="77"/>
      <c r="M584" s="77"/>
      <c r="N584" s="77"/>
      <c r="O584" s="77"/>
      <c r="P584" s="77"/>
      <c r="Q584" s="77"/>
      <c r="R584" s="77"/>
      <c r="S584" s="77"/>
      <c r="T584" s="77"/>
      <c r="U584" s="77"/>
      <c r="V584" s="77"/>
      <c r="W584" s="77"/>
      <c r="X584" s="77"/>
      <c r="Y584" s="77"/>
      <c r="Z584" s="77"/>
      <c r="AA584" s="77"/>
      <c r="AB584" s="77"/>
      <c r="AC584" s="77"/>
      <c r="AD584" s="77"/>
      <c r="AE584" s="77"/>
      <c r="AF584" s="77"/>
      <c r="AG584" s="77"/>
      <c r="AH584" s="77"/>
      <c r="AI584" s="77"/>
      <c r="AJ584" s="77"/>
      <c r="AK584" s="77"/>
      <c r="AL584" s="77"/>
      <c r="AM584" s="77"/>
      <c r="AN584" s="77"/>
      <c r="AO584" s="77"/>
      <c r="AP584" s="77"/>
      <c r="AQ584" s="77"/>
      <c r="AR584" s="77"/>
    </row>
    <row r="585" spans="1:44" ht="15.75" customHeight="1">
      <c r="A585" s="77"/>
      <c r="B585" s="77"/>
      <c r="C585" s="77"/>
      <c r="D585" s="77"/>
      <c r="E585" s="77"/>
      <c r="F585" s="77"/>
      <c r="G585" s="77"/>
      <c r="H585" s="77"/>
      <c r="I585" s="77"/>
      <c r="J585" s="77"/>
      <c r="K585" s="77"/>
      <c r="L585" s="77"/>
      <c r="M585" s="77"/>
      <c r="N585" s="77"/>
      <c r="O585" s="77"/>
      <c r="P585" s="77"/>
      <c r="Q585" s="77"/>
      <c r="R585" s="77"/>
      <c r="S585" s="77"/>
      <c r="T585" s="77"/>
      <c r="U585" s="77"/>
      <c r="V585" s="77"/>
      <c r="W585" s="77"/>
      <c r="X585" s="77"/>
      <c r="Y585" s="77"/>
      <c r="Z585" s="77"/>
      <c r="AA585" s="77"/>
      <c r="AB585" s="77"/>
      <c r="AC585" s="77"/>
      <c r="AD585" s="77"/>
      <c r="AE585" s="77"/>
      <c r="AF585" s="77"/>
      <c r="AG585" s="77"/>
      <c r="AH585" s="77"/>
      <c r="AI585" s="77"/>
      <c r="AJ585" s="77"/>
      <c r="AK585" s="77"/>
      <c r="AL585" s="77"/>
      <c r="AM585" s="77"/>
      <c r="AN585" s="77"/>
      <c r="AO585" s="77"/>
      <c r="AP585" s="77"/>
      <c r="AQ585" s="77"/>
      <c r="AR585" s="77"/>
    </row>
    <row r="586" spans="1:44" ht="15.75" customHeight="1">
      <c r="A586" s="77"/>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77"/>
      <c r="AQ586" s="77"/>
      <c r="AR586" s="77"/>
    </row>
    <row r="587" spans="1:44" ht="15.75" customHeight="1">
      <c r="A587" s="77"/>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77"/>
      <c r="AQ587" s="77"/>
      <c r="AR587" s="77"/>
    </row>
    <row r="588" spans="1:44" ht="15.75" customHeight="1">
      <c r="A588" s="77"/>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77"/>
      <c r="AQ588" s="77"/>
      <c r="AR588" s="77"/>
    </row>
    <row r="589" spans="1:44" ht="15.75" customHeight="1">
      <c r="A589" s="77"/>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77"/>
      <c r="AQ589" s="77"/>
      <c r="AR589" s="77"/>
    </row>
    <row r="590" spans="1:44" ht="15.75" customHeight="1">
      <c r="A590" s="77"/>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77"/>
      <c r="AQ590" s="77"/>
      <c r="AR590" s="77"/>
    </row>
    <row r="591" spans="1:44" ht="15.75" customHeight="1">
      <c r="A591" s="77"/>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77"/>
      <c r="AQ591" s="77"/>
      <c r="AR591" s="77"/>
    </row>
    <row r="592" spans="1:44" ht="15.75" customHeight="1">
      <c r="A592" s="77"/>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77"/>
      <c r="AQ592" s="77"/>
      <c r="AR592" s="77"/>
    </row>
    <row r="593" spans="1:44" ht="15.75" customHeight="1">
      <c r="A593" s="77"/>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77"/>
      <c r="AQ593" s="77"/>
      <c r="AR593" s="77"/>
    </row>
    <row r="594" spans="1:44" ht="15.75" customHeight="1">
      <c r="A594" s="77"/>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77"/>
      <c r="AQ594" s="77"/>
      <c r="AR594" s="77"/>
    </row>
    <row r="595" spans="1:44" ht="15.75" customHeight="1">
      <c r="A595" s="77"/>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77"/>
      <c r="AQ595" s="77"/>
      <c r="AR595" s="77"/>
    </row>
    <row r="596" spans="1:44" ht="15.75" customHeight="1">
      <c r="A596" s="77"/>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77"/>
      <c r="AQ596" s="77"/>
      <c r="AR596" s="77"/>
    </row>
    <row r="597" spans="1:44" ht="15.75" customHeight="1">
      <c r="A597" s="77"/>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77"/>
      <c r="AQ597" s="77"/>
      <c r="AR597" s="77"/>
    </row>
    <row r="598" spans="1:44" ht="15.75" customHeight="1">
      <c r="A598" s="77"/>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77"/>
      <c r="AQ598" s="77"/>
      <c r="AR598" s="77"/>
    </row>
    <row r="599" spans="1:44" ht="15.75" customHeight="1">
      <c r="A599" s="77"/>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77"/>
      <c r="AQ599" s="77"/>
      <c r="AR599" s="77"/>
    </row>
    <row r="600" spans="1:44" ht="15.75" customHeight="1">
      <c r="A600" s="77"/>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77"/>
      <c r="AQ600" s="77"/>
      <c r="AR600" s="77"/>
    </row>
    <row r="601" spans="1:44" ht="15.75" customHeight="1">
      <c r="A601" s="77"/>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77"/>
      <c r="AQ601" s="77"/>
      <c r="AR601" s="77"/>
    </row>
    <row r="602" spans="1:44" ht="15.75" customHeight="1">
      <c r="A602" s="77"/>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77"/>
      <c r="AQ602" s="77"/>
      <c r="AR602" s="77"/>
    </row>
    <row r="603" spans="1:44" ht="15.75" customHeight="1">
      <c r="A603" s="77"/>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77"/>
      <c r="AQ603" s="77"/>
      <c r="AR603" s="77"/>
    </row>
    <row r="604" spans="1:44" ht="15.75" customHeight="1">
      <c r="A604" s="77"/>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77"/>
      <c r="AQ604" s="77"/>
      <c r="AR604" s="77"/>
    </row>
    <row r="605" spans="1:44" ht="15.75" customHeight="1">
      <c r="A605" s="77"/>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77"/>
      <c r="AQ605" s="77"/>
      <c r="AR605" s="77"/>
    </row>
    <row r="606" spans="1:44" ht="15.75" customHeight="1">
      <c r="A606" s="77"/>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77"/>
      <c r="AQ606" s="77"/>
      <c r="AR606" s="77"/>
    </row>
    <row r="607" spans="1:44" ht="15.75" customHeight="1">
      <c r="A607" s="77"/>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77"/>
      <c r="AQ607" s="77"/>
      <c r="AR607" s="77"/>
    </row>
    <row r="608" spans="1:44" ht="15.75" customHeight="1">
      <c r="A608" s="77"/>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77"/>
      <c r="AQ608" s="77"/>
      <c r="AR608" s="77"/>
    </row>
    <row r="609" spans="1:44" ht="15.75" customHeight="1">
      <c r="A609" s="77"/>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77"/>
      <c r="AQ609" s="77"/>
      <c r="AR609" s="77"/>
    </row>
    <row r="610" spans="1:44" ht="15.75" customHeight="1">
      <c r="A610" s="77"/>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77"/>
      <c r="AQ610" s="77"/>
      <c r="AR610" s="77"/>
    </row>
    <row r="611" spans="1:44" ht="15.75" customHeight="1">
      <c r="A611" s="77"/>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77"/>
      <c r="AQ611" s="77"/>
      <c r="AR611" s="77"/>
    </row>
    <row r="612" spans="1:44" ht="15.75" customHeight="1">
      <c r="A612" s="77"/>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77"/>
      <c r="AQ612" s="77"/>
      <c r="AR612" s="77"/>
    </row>
    <row r="613" spans="1:44" ht="15.75" customHeight="1">
      <c r="A613" s="77"/>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77"/>
      <c r="AQ613" s="77"/>
      <c r="AR613" s="77"/>
    </row>
    <row r="614" spans="1:44" ht="15.75" customHeight="1">
      <c r="A614" s="77"/>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77"/>
      <c r="AQ614" s="77"/>
      <c r="AR614" s="77"/>
    </row>
    <row r="615" spans="1:44" ht="15.75" customHeight="1">
      <c r="A615" s="77"/>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77"/>
      <c r="AQ615" s="77"/>
      <c r="AR615" s="77"/>
    </row>
    <row r="616" spans="1:44" ht="15.75" customHeight="1">
      <c r="A616" s="77"/>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77"/>
      <c r="AQ616" s="77"/>
      <c r="AR616" s="77"/>
    </row>
    <row r="617" spans="1:44" ht="15.75" customHeight="1">
      <c r="A617" s="77"/>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77"/>
      <c r="AQ617" s="77"/>
      <c r="AR617" s="77"/>
    </row>
    <row r="618" spans="1:44" ht="15.75" customHeight="1">
      <c r="A618" s="77"/>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77"/>
      <c r="AQ618" s="77"/>
      <c r="AR618" s="77"/>
    </row>
    <row r="619" spans="1:44" ht="15.75" customHeight="1">
      <c r="A619" s="77"/>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77"/>
      <c r="AQ619" s="77"/>
      <c r="AR619" s="77"/>
    </row>
    <row r="620" spans="1:44" ht="15.75" customHeight="1">
      <c r="A620" s="77"/>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77"/>
      <c r="AQ620" s="77"/>
      <c r="AR620" s="77"/>
    </row>
    <row r="621" spans="1:44" ht="15.75" customHeight="1">
      <c r="A621" s="77"/>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77"/>
      <c r="AQ621" s="77"/>
      <c r="AR621" s="77"/>
    </row>
    <row r="622" spans="1:44" ht="15.75" customHeight="1">
      <c r="A622" s="77"/>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77"/>
      <c r="AQ622" s="77"/>
      <c r="AR622" s="77"/>
    </row>
    <row r="623" spans="1:44" ht="15.75" customHeight="1">
      <c r="A623" s="77"/>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77"/>
      <c r="AQ623" s="77"/>
      <c r="AR623" s="77"/>
    </row>
    <row r="624" spans="1:44" ht="15.75" customHeight="1">
      <c r="A624" s="77"/>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77"/>
      <c r="AQ624" s="77"/>
      <c r="AR624" s="77"/>
    </row>
    <row r="625" spans="1:44" ht="15.75" customHeight="1">
      <c r="A625" s="77"/>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77"/>
      <c r="AQ625" s="77"/>
      <c r="AR625" s="77"/>
    </row>
    <row r="626" spans="1:44" ht="15.75" customHeight="1">
      <c r="A626" s="77"/>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77"/>
      <c r="AQ626" s="77"/>
      <c r="AR626" s="77"/>
    </row>
    <row r="627" spans="1:44" ht="15.75" customHeight="1">
      <c r="A627" s="77"/>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77"/>
      <c r="AQ627" s="77"/>
      <c r="AR627" s="77"/>
    </row>
    <row r="628" spans="1:44" ht="15.75" customHeight="1">
      <c r="A628" s="77"/>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77"/>
      <c r="AQ628" s="77"/>
      <c r="AR628" s="77"/>
    </row>
    <row r="629" spans="1:44" ht="15.75" customHeight="1">
      <c r="A629" s="77"/>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77"/>
      <c r="AQ629" s="77"/>
      <c r="AR629" s="77"/>
    </row>
    <row r="630" spans="1:44" ht="15.75" customHeight="1">
      <c r="A630" s="77"/>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77"/>
      <c r="AQ630" s="77"/>
      <c r="AR630" s="77"/>
    </row>
    <row r="631" spans="1:44" ht="15.75" customHeight="1">
      <c r="A631" s="77"/>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77"/>
      <c r="AQ631" s="77"/>
      <c r="AR631" s="77"/>
    </row>
    <row r="632" spans="1:44" ht="15.75" customHeight="1">
      <c r="A632" s="77"/>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77"/>
      <c r="AQ632" s="77"/>
      <c r="AR632" s="77"/>
    </row>
    <row r="633" spans="1:44" ht="15.75" customHeight="1">
      <c r="A633" s="77"/>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77"/>
      <c r="AQ633" s="77"/>
      <c r="AR633" s="77"/>
    </row>
    <row r="634" spans="1:44" ht="15.75" customHeight="1">
      <c r="A634" s="77"/>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77"/>
      <c r="AQ634" s="77"/>
      <c r="AR634" s="77"/>
    </row>
    <row r="635" spans="1:44" ht="15.75" customHeight="1">
      <c r="A635" s="77"/>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77"/>
      <c r="AQ635" s="77"/>
      <c r="AR635" s="77"/>
    </row>
    <row r="636" spans="1:44" ht="15.75" customHeight="1">
      <c r="A636" s="77"/>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77"/>
      <c r="AQ636" s="77"/>
      <c r="AR636" s="77"/>
    </row>
    <row r="637" spans="1:44" ht="15.75" customHeight="1">
      <c r="A637" s="77"/>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77"/>
      <c r="AQ637" s="77"/>
      <c r="AR637" s="77"/>
    </row>
    <row r="638" spans="1:44" ht="15.75" customHeight="1">
      <c r="A638" s="77"/>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77"/>
      <c r="AQ638" s="77"/>
      <c r="AR638" s="77"/>
    </row>
    <row r="639" spans="1:44" ht="15.75" customHeight="1">
      <c r="A639" s="77"/>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77"/>
      <c r="AQ639" s="77"/>
      <c r="AR639" s="77"/>
    </row>
    <row r="640" spans="1:44" ht="15.75" customHeight="1">
      <c r="A640" s="77"/>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77"/>
      <c r="AQ640" s="77"/>
      <c r="AR640" s="77"/>
    </row>
    <row r="641" spans="1:44" ht="15.75" customHeight="1">
      <c r="A641" s="77"/>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77"/>
      <c r="AQ641" s="77"/>
      <c r="AR641" s="77"/>
    </row>
    <row r="642" spans="1:44" ht="15.75" customHeight="1">
      <c r="A642" s="77"/>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77"/>
      <c r="AQ642" s="77"/>
      <c r="AR642" s="77"/>
    </row>
    <row r="643" spans="1:44" ht="15.75" customHeight="1">
      <c r="A643" s="77"/>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77"/>
      <c r="AQ643" s="77"/>
      <c r="AR643" s="77"/>
    </row>
    <row r="644" spans="1:44" ht="15.75" customHeight="1">
      <c r="A644" s="77"/>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77"/>
      <c r="AQ644" s="77"/>
      <c r="AR644" s="77"/>
    </row>
    <row r="645" spans="1:44" ht="15.75" customHeight="1">
      <c r="A645" s="77"/>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77"/>
      <c r="AQ645" s="77"/>
      <c r="AR645" s="77"/>
    </row>
    <row r="646" spans="1:44" ht="15.75" customHeight="1">
      <c r="A646" s="77"/>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77"/>
      <c r="AQ646" s="77"/>
      <c r="AR646" s="77"/>
    </row>
    <row r="647" spans="1:44" ht="15.75" customHeight="1">
      <c r="A647" s="77"/>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77"/>
      <c r="AQ647" s="77"/>
      <c r="AR647" s="77"/>
    </row>
    <row r="648" spans="1:44" ht="15.75" customHeight="1">
      <c r="A648" s="77"/>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77"/>
      <c r="AQ648" s="77"/>
      <c r="AR648" s="77"/>
    </row>
    <row r="649" spans="1:44" ht="15.75" customHeight="1">
      <c r="A649" s="77"/>
      <c r="B649" s="77"/>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77"/>
      <c r="AQ649" s="77"/>
      <c r="AR649" s="77"/>
    </row>
    <row r="650" spans="1:44" ht="15.75" customHeight="1">
      <c r="A650" s="77"/>
      <c r="B650" s="77"/>
      <c r="C650" s="77"/>
      <c r="D650" s="77"/>
      <c r="E650" s="77"/>
      <c r="F650" s="77"/>
      <c r="G650" s="77"/>
      <c r="H650" s="77"/>
      <c r="I650" s="77"/>
      <c r="J650" s="77"/>
      <c r="K650" s="77"/>
      <c r="L650" s="77"/>
      <c r="M650" s="77"/>
      <c r="N650" s="77"/>
      <c r="O650" s="77"/>
      <c r="P650" s="77"/>
      <c r="Q650" s="77"/>
      <c r="R650" s="77"/>
      <c r="S650" s="77"/>
      <c r="T650" s="77"/>
      <c r="U650" s="77"/>
      <c r="V650" s="77"/>
      <c r="W650" s="77"/>
      <c r="X650" s="77"/>
      <c r="Y650" s="77"/>
      <c r="Z650" s="77"/>
      <c r="AA650" s="77"/>
      <c r="AB650" s="77"/>
      <c r="AC650" s="77"/>
      <c r="AD650" s="77"/>
      <c r="AE650" s="77"/>
      <c r="AF650" s="77"/>
      <c r="AG650" s="77"/>
      <c r="AH650" s="77"/>
      <c r="AI650" s="77"/>
      <c r="AJ650" s="77"/>
      <c r="AK650" s="77"/>
      <c r="AL650" s="77"/>
      <c r="AM650" s="77"/>
      <c r="AN650" s="77"/>
      <c r="AO650" s="77"/>
      <c r="AP650" s="77"/>
      <c r="AQ650" s="77"/>
      <c r="AR650" s="77"/>
    </row>
    <row r="651" spans="1:44" ht="15.75" customHeight="1">
      <c r="A651" s="77"/>
      <c r="B651" s="77"/>
      <c r="C651" s="77"/>
      <c r="D651" s="77"/>
      <c r="E651" s="77"/>
      <c r="F651" s="77"/>
      <c r="G651" s="77"/>
      <c r="H651" s="77"/>
      <c r="I651" s="77"/>
      <c r="J651" s="77"/>
      <c r="K651" s="77"/>
      <c r="L651" s="77"/>
      <c r="M651" s="77"/>
      <c r="N651" s="77"/>
      <c r="O651" s="77"/>
      <c r="P651" s="77"/>
      <c r="Q651" s="77"/>
      <c r="R651" s="77"/>
      <c r="S651" s="77"/>
      <c r="T651" s="77"/>
      <c r="U651" s="77"/>
      <c r="V651" s="77"/>
      <c r="W651" s="77"/>
      <c r="X651" s="77"/>
      <c r="Y651" s="77"/>
      <c r="Z651" s="77"/>
      <c r="AA651" s="77"/>
      <c r="AB651" s="77"/>
      <c r="AC651" s="77"/>
      <c r="AD651" s="77"/>
      <c r="AE651" s="77"/>
      <c r="AF651" s="77"/>
      <c r="AG651" s="77"/>
      <c r="AH651" s="77"/>
      <c r="AI651" s="77"/>
      <c r="AJ651" s="77"/>
      <c r="AK651" s="77"/>
      <c r="AL651" s="77"/>
      <c r="AM651" s="77"/>
      <c r="AN651" s="77"/>
      <c r="AO651" s="77"/>
      <c r="AP651" s="77"/>
      <c r="AQ651" s="77"/>
      <c r="AR651" s="77"/>
    </row>
    <row r="652" spans="1:44" ht="15.75" customHeight="1">
      <c r="A652" s="77"/>
      <c r="B652" s="77"/>
      <c r="C652" s="77"/>
      <c r="D652" s="77"/>
      <c r="E652" s="77"/>
      <c r="F652" s="77"/>
      <c r="G652" s="77"/>
      <c r="H652" s="77"/>
      <c r="I652" s="77"/>
      <c r="J652" s="77"/>
      <c r="K652" s="77"/>
      <c r="L652" s="77"/>
      <c r="M652" s="77"/>
      <c r="N652" s="77"/>
      <c r="O652" s="77"/>
      <c r="P652" s="77"/>
      <c r="Q652" s="77"/>
      <c r="R652" s="77"/>
      <c r="S652" s="77"/>
      <c r="T652" s="77"/>
      <c r="U652" s="77"/>
      <c r="V652" s="77"/>
      <c r="W652" s="77"/>
      <c r="X652" s="77"/>
      <c r="Y652" s="77"/>
      <c r="Z652" s="77"/>
      <c r="AA652" s="77"/>
      <c r="AB652" s="77"/>
      <c r="AC652" s="77"/>
      <c r="AD652" s="77"/>
      <c r="AE652" s="77"/>
      <c r="AF652" s="77"/>
      <c r="AG652" s="77"/>
      <c r="AH652" s="77"/>
      <c r="AI652" s="77"/>
      <c r="AJ652" s="77"/>
      <c r="AK652" s="77"/>
      <c r="AL652" s="77"/>
      <c r="AM652" s="77"/>
      <c r="AN652" s="77"/>
      <c r="AO652" s="77"/>
      <c r="AP652" s="77"/>
      <c r="AQ652" s="77"/>
      <c r="AR652" s="77"/>
    </row>
    <row r="653" spans="1:44" ht="15.75" customHeight="1">
      <c r="A653" s="77"/>
      <c r="B653" s="77"/>
      <c r="C653" s="77"/>
      <c r="D653" s="77"/>
      <c r="E653" s="77"/>
      <c r="F653" s="77"/>
      <c r="G653" s="77"/>
      <c r="H653" s="77"/>
      <c r="I653" s="77"/>
      <c r="J653" s="77"/>
      <c r="K653" s="77"/>
      <c r="L653" s="77"/>
      <c r="M653" s="77"/>
      <c r="N653" s="77"/>
      <c r="O653" s="77"/>
      <c r="P653" s="77"/>
      <c r="Q653" s="77"/>
      <c r="R653" s="77"/>
      <c r="S653" s="77"/>
      <c r="T653" s="77"/>
      <c r="U653" s="77"/>
      <c r="V653" s="77"/>
      <c r="W653" s="77"/>
      <c r="X653" s="77"/>
      <c r="Y653" s="77"/>
      <c r="Z653" s="77"/>
      <c r="AA653" s="77"/>
      <c r="AB653" s="77"/>
      <c r="AC653" s="77"/>
      <c r="AD653" s="77"/>
      <c r="AE653" s="77"/>
      <c r="AF653" s="77"/>
      <c r="AG653" s="77"/>
      <c r="AH653" s="77"/>
      <c r="AI653" s="77"/>
      <c r="AJ653" s="77"/>
      <c r="AK653" s="77"/>
      <c r="AL653" s="77"/>
      <c r="AM653" s="77"/>
      <c r="AN653" s="77"/>
      <c r="AO653" s="77"/>
      <c r="AP653" s="77"/>
      <c r="AQ653" s="77"/>
      <c r="AR653" s="77"/>
    </row>
    <row r="654" spans="1:44" ht="15.75" customHeight="1">
      <c r="A654" s="77"/>
      <c r="B654" s="77"/>
      <c r="C654" s="77"/>
      <c r="D654" s="77"/>
      <c r="E654" s="77"/>
      <c r="F654" s="77"/>
      <c r="G654" s="77"/>
      <c r="H654" s="77"/>
      <c r="I654" s="77"/>
      <c r="J654" s="77"/>
      <c r="K654" s="77"/>
      <c r="L654" s="77"/>
      <c r="M654" s="77"/>
      <c r="N654" s="77"/>
      <c r="O654" s="77"/>
      <c r="P654" s="77"/>
      <c r="Q654" s="77"/>
      <c r="R654" s="77"/>
      <c r="S654" s="77"/>
      <c r="T654" s="77"/>
      <c r="U654" s="77"/>
      <c r="V654" s="77"/>
      <c r="W654" s="77"/>
      <c r="X654" s="77"/>
      <c r="Y654" s="77"/>
      <c r="Z654" s="77"/>
      <c r="AA654" s="77"/>
      <c r="AB654" s="77"/>
      <c r="AC654" s="77"/>
      <c r="AD654" s="77"/>
      <c r="AE654" s="77"/>
      <c r="AF654" s="77"/>
      <c r="AG654" s="77"/>
      <c r="AH654" s="77"/>
      <c r="AI654" s="77"/>
      <c r="AJ654" s="77"/>
      <c r="AK654" s="77"/>
      <c r="AL654" s="77"/>
      <c r="AM654" s="77"/>
      <c r="AN654" s="77"/>
      <c r="AO654" s="77"/>
      <c r="AP654" s="77"/>
      <c r="AQ654" s="77"/>
      <c r="AR654" s="77"/>
    </row>
    <row r="655" spans="1:44" ht="15.75" customHeight="1">
      <c r="A655" s="77"/>
      <c r="B655" s="77"/>
      <c r="C655" s="77"/>
      <c r="D655" s="77"/>
      <c r="E655" s="77"/>
      <c r="F655" s="77"/>
      <c r="G655" s="77"/>
      <c r="H655" s="77"/>
      <c r="I655" s="77"/>
      <c r="J655" s="77"/>
      <c r="K655" s="77"/>
      <c r="L655" s="77"/>
      <c r="M655" s="77"/>
      <c r="N655" s="77"/>
      <c r="O655" s="77"/>
      <c r="P655" s="77"/>
      <c r="Q655" s="77"/>
      <c r="R655" s="77"/>
      <c r="S655" s="77"/>
      <c r="T655" s="77"/>
      <c r="U655" s="77"/>
      <c r="V655" s="77"/>
      <c r="W655" s="77"/>
      <c r="X655" s="77"/>
      <c r="Y655" s="77"/>
      <c r="Z655" s="77"/>
      <c r="AA655" s="77"/>
      <c r="AB655" s="77"/>
      <c r="AC655" s="77"/>
      <c r="AD655" s="77"/>
      <c r="AE655" s="77"/>
      <c r="AF655" s="77"/>
      <c r="AG655" s="77"/>
      <c r="AH655" s="77"/>
      <c r="AI655" s="77"/>
      <c r="AJ655" s="77"/>
      <c r="AK655" s="77"/>
      <c r="AL655" s="77"/>
      <c r="AM655" s="77"/>
      <c r="AN655" s="77"/>
      <c r="AO655" s="77"/>
      <c r="AP655" s="77"/>
      <c r="AQ655" s="77"/>
      <c r="AR655" s="77"/>
    </row>
    <row r="656" spans="1:44" ht="15.75" customHeight="1">
      <c r="A656" s="77"/>
      <c r="B656" s="77"/>
      <c r="C656" s="77"/>
      <c r="D656" s="77"/>
      <c r="E656" s="77"/>
      <c r="F656" s="77"/>
      <c r="G656" s="77"/>
      <c r="H656" s="77"/>
      <c r="I656" s="77"/>
      <c r="J656" s="77"/>
      <c r="K656" s="77"/>
      <c r="L656" s="77"/>
      <c r="M656" s="77"/>
      <c r="N656" s="77"/>
      <c r="O656" s="77"/>
      <c r="P656" s="77"/>
      <c r="Q656" s="77"/>
      <c r="R656" s="77"/>
      <c r="S656" s="77"/>
      <c r="T656" s="77"/>
      <c r="U656" s="77"/>
      <c r="V656" s="77"/>
      <c r="W656" s="77"/>
      <c r="X656" s="77"/>
      <c r="Y656" s="77"/>
      <c r="Z656" s="77"/>
      <c r="AA656" s="77"/>
      <c r="AB656" s="77"/>
      <c r="AC656" s="77"/>
      <c r="AD656" s="77"/>
      <c r="AE656" s="77"/>
      <c r="AF656" s="77"/>
      <c r="AG656" s="77"/>
      <c r="AH656" s="77"/>
      <c r="AI656" s="77"/>
      <c r="AJ656" s="77"/>
      <c r="AK656" s="77"/>
      <c r="AL656" s="77"/>
      <c r="AM656" s="77"/>
      <c r="AN656" s="77"/>
      <c r="AO656" s="77"/>
      <c r="AP656" s="77"/>
      <c r="AQ656" s="77"/>
      <c r="AR656" s="77"/>
    </row>
    <row r="657" spans="1:44" ht="15.75" customHeight="1">
      <c r="A657" s="77"/>
      <c r="B657" s="77"/>
      <c r="C657" s="77"/>
      <c r="D657" s="77"/>
      <c r="E657" s="77"/>
      <c r="F657" s="77"/>
      <c r="G657" s="77"/>
      <c r="H657" s="77"/>
      <c r="I657" s="77"/>
      <c r="J657" s="77"/>
      <c r="K657" s="77"/>
      <c r="L657" s="77"/>
      <c r="M657" s="77"/>
      <c r="N657" s="77"/>
      <c r="O657" s="77"/>
      <c r="P657" s="77"/>
      <c r="Q657" s="77"/>
      <c r="R657" s="77"/>
      <c r="S657" s="77"/>
      <c r="T657" s="77"/>
      <c r="U657" s="77"/>
      <c r="V657" s="77"/>
      <c r="W657" s="77"/>
      <c r="X657" s="77"/>
      <c r="Y657" s="77"/>
      <c r="Z657" s="77"/>
      <c r="AA657" s="77"/>
      <c r="AB657" s="77"/>
      <c r="AC657" s="77"/>
      <c r="AD657" s="77"/>
      <c r="AE657" s="77"/>
      <c r="AF657" s="77"/>
      <c r="AG657" s="77"/>
      <c r="AH657" s="77"/>
      <c r="AI657" s="77"/>
      <c r="AJ657" s="77"/>
      <c r="AK657" s="77"/>
      <c r="AL657" s="77"/>
      <c r="AM657" s="77"/>
      <c r="AN657" s="77"/>
      <c r="AO657" s="77"/>
      <c r="AP657" s="77"/>
      <c r="AQ657" s="77"/>
      <c r="AR657" s="77"/>
    </row>
    <row r="658" spans="1:44" ht="15.75" customHeight="1">
      <c r="A658" s="77"/>
      <c r="B658" s="77"/>
      <c r="C658" s="77"/>
      <c r="D658" s="77"/>
      <c r="E658" s="77"/>
      <c r="F658" s="77"/>
      <c r="G658" s="77"/>
      <c r="H658" s="77"/>
      <c r="I658" s="77"/>
      <c r="J658" s="77"/>
      <c r="K658" s="77"/>
      <c r="L658" s="77"/>
      <c r="M658" s="77"/>
      <c r="N658" s="77"/>
      <c r="O658" s="77"/>
      <c r="P658" s="77"/>
      <c r="Q658" s="77"/>
      <c r="R658" s="77"/>
      <c r="S658" s="77"/>
      <c r="T658" s="77"/>
      <c r="U658" s="77"/>
      <c r="V658" s="77"/>
      <c r="W658" s="77"/>
      <c r="X658" s="77"/>
      <c r="Y658" s="77"/>
      <c r="Z658" s="77"/>
      <c r="AA658" s="77"/>
      <c r="AB658" s="77"/>
      <c r="AC658" s="77"/>
      <c r="AD658" s="77"/>
      <c r="AE658" s="77"/>
      <c r="AF658" s="77"/>
      <c r="AG658" s="77"/>
      <c r="AH658" s="77"/>
      <c r="AI658" s="77"/>
      <c r="AJ658" s="77"/>
      <c r="AK658" s="77"/>
      <c r="AL658" s="77"/>
      <c r="AM658" s="77"/>
      <c r="AN658" s="77"/>
      <c r="AO658" s="77"/>
      <c r="AP658" s="77"/>
      <c r="AQ658" s="77"/>
      <c r="AR658" s="77"/>
    </row>
    <row r="659" spans="1:44" ht="15.75" customHeight="1">
      <c r="A659" s="77"/>
      <c r="B659" s="77"/>
      <c r="C659" s="77"/>
      <c r="D659" s="77"/>
      <c r="E659" s="77"/>
      <c r="F659" s="77"/>
      <c r="G659" s="77"/>
      <c r="H659" s="77"/>
      <c r="I659" s="77"/>
      <c r="J659" s="77"/>
      <c r="K659" s="77"/>
      <c r="L659" s="77"/>
      <c r="M659" s="77"/>
      <c r="N659" s="77"/>
      <c r="O659" s="77"/>
      <c r="P659" s="77"/>
      <c r="Q659" s="77"/>
      <c r="R659" s="77"/>
      <c r="S659" s="77"/>
      <c r="T659" s="77"/>
      <c r="U659" s="77"/>
      <c r="V659" s="77"/>
      <c r="W659" s="77"/>
      <c r="X659" s="77"/>
      <c r="Y659" s="77"/>
      <c r="Z659" s="77"/>
      <c r="AA659" s="77"/>
      <c r="AB659" s="77"/>
      <c r="AC659" s="77"/>
      <c r="AD659" s="77"/>
      <c r="AE659" s="77"/>
      <c r="AF659" s="77"/>
      <c r="AG659" s="77"/>
      <c r="AH659" s="77"/>
      <c r="AI659" s="77"/>
      <c r="AJ659" s="77"/>
      <c r="AK659" s="77"/>
      <c r="AL659" s="77"/>
      <c r="AM659" s="77"/>
      <c r="AN659" s="77"/>
      <c r="AO659" s="77"/>
      <c r="AP659" s="77"/>
      <c r="AQ659" s="77"/>
      <c r="AR659" s="77"/>
    </row>
    <row r="660" spans="1:44" ht="15.75" customHeight="1">
      <c r="A660" s="77"/>
      <c r="B660" s="77"/>
      <c r="C660" s="77"/>
      <c r="D660" s="77"/>
      <c r="E660" s="77"/>
      <c r="F660" s="77"/>
      <c r="G660" s="77"/>
      <c r="H660" s="77"/>
      <c r="I660" s="77"/>
      <c r="J660" s="77"/>
      <c r="K660" s="77"/>
      <c r="L660" s="77"/>
      <c r="M660" s="77"/>
      <c r="N660" s="77"/>
      <c r="O660" s="77"/>
      <c r="P660" s="77"/>
      <c r="Q660" s="77"/>
      <c r="R660" s="77"/>
      <c r="S660" s="77"/>
      <c r="T660" s="77"/>
      <c r="U660" s="77"/>
      <c r="V660" s="77"/>
      <c r="W660" s="77"/>
      <c r="X660" s="77"/>
      <c r="Y660" s="77"/>
      <c r="Z660" s="77"/>
      <c r="AA660" s="77"/>
      <c r="AB660" s="77"/>
      <c r="AC660" s="77"/>
      <c r="AD660" s="77"/>
      <c r="AE660" s="77"/>
      <c r="AF660" s="77"/>
      <c r="AG660" s="77"/>
      <c r="AH660" s="77"/>
      <c r="AI660" s="77"/>
      <c r="AJ660" s="77"/>
      <c r="AK660" s="77"/>
      <c r="AL660" s="77"/>
      <c r="AM660" s="77"/>
      <c r="AN660" s="77"/>
      <c r="AO660" s="77"/>
      <c r="AP660" s="77"/>
      <c r="AQ660" s="77"/>
      <c r="AR660" s="77"/>
    </row>
    <row r="661" spans="1:44" ht="15.75" customHeight="1">
      <c r="A661" s="77"/>
      <c r="B661" s="77"/>
      <c r="C661" s="77"/>
      <c r="D661" s="77"/>
      <c r="E661" s="77"/>
      <c r="F661" s="77"/>
      <c r="G661" s="77"/>
      <c r="H661" s="77"/>
      <c r="I661" s="77"/>
      <c r="J661" s="77"/>
      <c r="K661" s="77"/>
      <c r="L661" s="77"/>
      <c r="M661" s="77"/>
      <c r="N661" s="77"/>
      <c r="O661" s="77"/>
      <c r="P661" s="77"/>
      <c r="Q661" s="77"/>
      <c r="R661" s="77"/>
      <c r="S661" s="77"/>
      <c r="T661" s="77"/>
      <c r="U661" s="77"/>
      <c r="V661" s="77"/>
      <c r="W661" s="77"/>
      <c r="X661" s="77"/>
      <c r="Y661" s="77"/>
      <c r="Z661" s="77"/>
      <c r="AA661" s="77"/>
      <c r="AB661" s="77"/>
      <c r="AC661" s="77"/>
      <c r="AD661" s="77"/>
      <c r="AE661" s="77"/>
      <c r="AF661" s="77"/>
      <c r="AG661" s="77"/>
      <c r="AH661" s="77"/>
      <c r="AI661" s="77"/>
      <c r="AJ661" s="77"/>
      <c r="AK661" s="77"/>
      <c r="AL661" s="77"/>
      <c r="AM661" s="77"/>
      <c r="AN661" s="77"/>
      <c r="AO661" s="77"/>
      <c r="AP661" s="77"/>
      <c r="AQ661" s="77"/>
      <c r="AR661" s="77"/>
    </row>
    <row r="662" spans="1:44" ht="15.75" customHeight="1">
      <c r="A662" s="77"/>
      <c r="B662" s="77"/>
      <c r="C662" s="77"/>
      <c r="D662" s="77"/>
      <c r="E662" s="77"/>
      <c r="F662" s="77"/>
      <c r="G662" s="77"/>
      <c r="H662" s="77"/>
      <c r="I662" s="77"/>
      <c r="J662" s="77"/>
      <c r="K662" s="77"/>
      <c r="L662" s="77"/>
      <c r="M662" s="77"/>
      <c r="N662" s="77"/>
      <c r="O662" s="77"/>
      <c r="P662" s="77"/>
      <c r="Q662" s="77"/>
      <c r="R662" s="77"/>
      <c r="S662" s="77"/>
      <c r="T662" s="77"/>
      <c r="U662" s="77"/>
      <c r="V662" s="77"/>
      <c r="W662" s="77"/>
      <c r="X662" s="77"/>
      <c r="Y662" s="77"/>
      <c r="Z662" s="77"/>
      <c r="AA662" s="77"/>
      <c r="AB662" s="77"/>
      <c r="AC662" s="77"/>
      <c r="AD662" s="77"/>
      <c r="AE662" s="77"/>
      <c r="AF662" s="77"/>
      <c r="AG662" s="77"/>
      <c r="AH662" s="77"/>
      <c r="AI662" s="77"/>
      <c r="AJ662" s="77"/>
      <c r="AK662" s="77"/>
      <c r="AL662" s="77"/>
      <c r="AM662" s="77"/>
      <c r="AN662" s="77"/>
      <c r="AO662" s="77"/>
      <c r="AP662" s="77"/>
      <c r="AQ662" s="77"/>
      <c r="AR662" s="77"/>
    </row>
    <row r="663" spans="1:44" ht="15.75" customHeight="1">
      <c r="A663" s="77"/>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77"/>
      <c r="AQ663" s="77"/>
      <c r="AR663" s="77"/>
    </row>
    <row r="664" spans="1:44" ht="15.75" customHeight="1">
      <c r="A664" s="77"/>
      <c r="B664" s="77"/>
      <c r="C664" s="77"/>
      <c r="D664" s="77"/>
      <c r="E664" s="77"/>
      <c r="F664" s="77"/>
      <c r="G664" s="77"/>
      <c r="H664" s="77"/>
      <c r="I664" s="77"/>
      <c r="J664" s="77"/>
      <c r="K664" s="77"/>
      <c r="L664" s="77"/>
      <c r="M664" s="77"/>
      <c r="N664" s="77"/>
      <c r="O664" s="77"/>
      <c r="P664" s="77"/>
      <c r="Q664" s="77"/>
      <c r="R664" s="77"/>
      <c r="S664" s="77"/>
      <c r="T664" s="77"/>
      <c r="U664" s="77"/>
      <c r="V664" s="77"/>
      <c r="W664" s="77"/>
      <c r="X664" s="77"/>
      <c r="Y664" s="77"/>
      <c r="Z664" s="77"/>
      <c r="AA664" s="77"/>
      <c r="AB664" s="77"/>
      <c r="AC664" s="77"/>
      <c r="AD664" s="77"/>
      <c r="AE664" s="77"/>
      <c r="AF664" s="77"/>
      <c r="AG664" s="77"/>
      <c r="AH664" s="77"/>
      <c r="AI664" s="77"/>
      <c r="AJ664" s="77"/>
      <c r="AK664" s="77"/>
      <c r="AL664" s="77"/>
      <c r="AM664" s="77"/>
      <c r="AN664" s="77"/>
      <c r="AO664" s="77"/>
      <c r="AP664" s="77"/>
      <c r="AQ664" s="77"/>
      <c r="AR664" s="77"/>
    </row>
    <row r="665" spans="1:44" ht="15.75" customHeight="1">
      <c r="A665" s="77"/>
      <c r="B665" s="77"/>
      <c r="C665" s="77"/>
      <c r="D665" s="77"/>
      <c r="E665" s="77"/>
      <c r="F665" s="77"/>
      <c r="G665" s="77"/>
      <c r="H665" s="77"/>
      <c r="I665" s="77"/>
      <c r="J665" s="77"/>
      <c r="K665" s="77"/>
      <c r="L665" s="77"/>
      <c r="M665" s="77"/>
      <c r="N665" s="77"/>
      <c r="O665" s="77"/>
      <c r="P665" s="77"/>
      <c r="Q665" s="77"/>
      <c r="R665" s="77"/>
      <c r="S665" s="77"/>
      <c r="T665" s="77"/>
      <c r="U665" s="77"/>
      <c r="V665" s="77"/>
      <c r="W665" s="77"/>
      <c r="X665" s="77"/>
      <c r="Y665" s="77"/>
      <c r="Z665" s="77"/>
      <c r="AA665" s="77"/>
      <c r="AB665" s="77"/>
      <c r="AC665" s="77"/>
      <c r="AD665" s="77"/>
      <c r="AE665" s="77"/>
      <c r="AF665" s="77"/>
      <c r="AG665" s="77"/>
      <c r="AH665" s="77"/>
      <c r="AI665" s="77"/>
      <c r="AJ665" s="77"/>
      <c r="AK665" s="77"/>
      <c r="AL665" s="77"/>
      <c r="AM665" s="77"/>
      <c r="AN665" s="77"/>
      <c r="AO665" s="77"/>
      <c r="AP665" s="77"/>
      <c r="AQ665" s="77"/>
      <c r="AR665" s="77"/>
    </row>
    <row r="666" spans="1:44" ht="15.75" customHeight="1">
      <c r="A666" s="77"/>
      <c r="B666" s="77"/>
      <c r="C666" s="77"/>
      <c r="D666" s="77"/>
      <c r="E666" s="77"/>
      <c r="F666" s="77"/>
      <c r="G666" s="77"/>
      <c r="H666" s="77"/>
      <c r="I666" s="77"/>
      <c r="J666" s="77"/>
      <c r="K666" s="77"/>
      <c r="L666" s="77"/>
      <c r="M666" s="77"/>
      <c r="N666" s="77"/>
      <c r="O666" s="77"/>
      <c r="P666" s="77"/>
      <c r="Q666" s="77"/>
      <c r="R666" s="77"/>
      <c r="S666" s="77"/>
      <c r="T666" s="77"/>
      <c r="U666" s="77"/>
      <c r="V666" s="77"/>
      <c r="W666" s="77"/>
      <c r="X666" s="77"/>
      <c r="Y666" s="77"/>
      <c r="Z666" s="77"/>
      <c r="AA666" s="77"/>
      <c r="AB666" s="77"/>
      <c r="AC666" s="77"/>
      <c r="AD666" s="77"/>
      <c r="AE666" s="77"/>
      <c r="AF666" s="77"/>
      <c r="AG666" s="77"/>
      <c r="AH666" s="77"/>
      <c r="AI666" s="77"/>
      <c r="AJ666" s="77"/>
      <c r="AK666" s="77"/>
      <c r="AL666" s="77"/>
      <c r="AM666" s="77"/>
      <c r="AN666" s="77"/>
      <c r="AO666" s="77"/>
      <c r="AP666" s="77"/>
      <c r="AQ666" s="77"/>
      <c r="AR666" s="77"/>
    </row>
    <row r="667" spans="1:44" ht="15.75" customHeight="1">
      <c r="A667" s="77"/>
      <c r="B667" s="77"/>
      <c r="C667" s="77"/>
      <c r="D667" s="77"/>
      <c r="E667" s="77"/>
      <c r="F667" s="77"/>
      <c r="G667" s="77"/>
      <c r="H667" s="77"/>
      <c r="I667" s="77"/>
      <c r="J667" s="77"/>
      <c r="K667" s="77"/>
      <c r="L667" s="77"/>
      <c r="M667" s="77"/>
      <c r="N667" s="77"/>
      <c r="O667" s="77"/>
      <c r="P667" s="77"/>
      <c r="Q667" s="77"/>
      <c r="R667" s="77"/>
      <c r="S667" s="77"/>
      <c r="T667" s="77"/>
      <c r="U667" s="77"/>
      <c r="V667" s="77"/>
      <c r="W667" s="77"/>
      <c r="X667" s="77"/>
      <c r="Y667" s="77"/>
      <c r="Z667" s="77"/>
      <c r="AA667" s="77"/>
      <c r="AB667" s="77"/>
      <c r="AC667" s="77"/>
      <c r="AD667" s="77"/>
      <c r="AE667" s="77"/>
      <c r="AF667" s="77"/>
      <c r="AG667" s="77"/>
      <c r="AH667" s="77"/>
      <c r="AI667" s="77"/>
      <c r="AJ667" s="77"/>
      <c r="AK667" s="77"/>
      <c r="AL667" s="77"/>
      <c r="AM667" s="77"/>
      <c r="AN667" s="77"/>
      <c r="AO667" s="77"/>
      <c r="AP667" s="77"/>
      <c r="AQ667" s="77"/>
      <c r="AR667" s="77"/>
    </row>
    <row r="668" spans="1:44" ht="15.75" customHeight="1">
      <c r="A668" s="77"/>
      <c r="B668" s="77"/>
      <c r="C668" s="77"/>
      <c r="D668" s="77"/>
      <c r="E668" s="77"/>
      <c r="F668" s="77"/>
      <c r="G668" s="77"/>
      <c r="H668" s="77"/>
      <c r="I668" s="77"/>
      <c r="J668" s="77"/>
      <c r="K668" s="77"/>
      <c r="L668" s="77"/>
      <c r="M668" s="77"/>
      <c r="N668" s="77"/>
      <c r="O668" s="77"/>
      <c r="P668" s="77"/>
      <c r="Q668" s="77"/>
      <c r="R668" s="77"/>
      <c r="S668" s="77"/>
      <c r="T668" s="77"/>
      <c r="U668" s="77"/>
      <c r="V668" s="77"/>
      <c r="W668" s="77"/>
      <c r="X668" s="77"/>
      <c r="Y668" s="77"/>
      <c r="Z668" s="77"/>
      <c r="AA668" s="77"/>
      <c r="AB668" s="77"/>
      <c r="AC668" s="77"/>
      <c r="AD668" s="77"/>
      <c r="AE668" s="77"/>
      <c r="AF668" s="77"/>
      <c r="AG668" s="77"/>
      <c r="AH668" s="77"/>
      <c r="AI668" s="77"/>
      <c r="AJ668" s="77"/>
      <c r="AK668" s="77"/>
      <c r="AL668" s="77"/>
      <c r="AM668" s="77"/>
      <c r="AN668" s="77"/>
      <c r="AO668" s="77"/>
      <c r="AP668" s="77"/>
      <c r="AQ668" s="77"/>
      <c r="AR668" s="77"/>
    </row>
    <row r="669" spans="1:44" ht="15.75" customHeight="1">
      <c r="A669" s="77"/>
      <c r="B669" s="77"/>
      <c r="C669" s="77"/>
      <c r="D669" s="77"/>
      <c r="E669" s="77"/>
      <c r="F669" s="77"/>
      <c r="G669" s="77"/>
      <c r="H669" s="77"/>
      <c r="I669" s="77"/>
      <c r="J669" s="77"/>
      <c r="K669" s="77"/>
      <c r="L669" s="77"/>
      <c r="M669" s="77"/>
      <c r="N669" s="77"/>
      <c r="O669" s="77"/>
      <c r="P669" s="77"/>
      <c r="Q669" s="77"/>
      <c r="R669" s="77"/>
      <c r="S669" s="77"/>
      <c r="T669" s="77"/>
      <c r="U669" s="77"/>
      <c r="V669" s="77"/>
      <c r="W669" s="77"/>
      <c r="X669" s="77"/>
      <c r="Y669" s="77"/>
      <c r="Z669" s="77"/>
      <c r="AA669" s="77"/>
      <c r="AB669" s="77"/>
      <c r="AC669" s="77"/>
      <c r="AD669" s="77"/>
      <c r="AE669" s="77"/>
      <c r="AF669" s="77"/>
      <c r="AG669" s="77"/>
      <c r="AH669" s="77"/>
      <c r="AI669" s="77"/>
      <c r="AJ669" s="77"/>
      <c r="AK669" s="77"/>
      <c r="AL669" s="77"/>
      <c r="AM669" s="77"/>
      <c r="AN669" s="77"/>
      <c r="AO669" s="77"/>
      <c r="AP669" s="77"/>
      <c r="AQ669" s="77"/>
      <c r="AR669" s="77"/>
    </row>
    <row r="670" spans="1:44" ht="15.75" customHeight="1">
      <c r="A670" s="77"/>
      <c r="B670" s="77"/>
      <c r="C670" s="77"/>
      <c r="D670" s="77"/>
      <c r="E670" s="77"/>
      <c r="F670" s="77"/>
      <c r="G670" s="77"/>
      <c r="H670" s="77"/>
      <c r="I670" s="77"/>
      <c r="J670" s="77"/>
      <c r="K670" s="77"/>
      <c r="L670" s="77"/>
      <c r="M670" s="77"/>
      <c r="N670" s="77"/>
      <c r="O670" s="77"/>
      <c r="P670" s="77"/>
      <c r="Q670" s="77"/>
      <c r="R670" s="77"/>
      <c r="S670" s="77"/>
      <c r="T670" s="77"/>
      <c r="U670" s="77"/>
      <c r="V670" s="77"/>
      <c r="W670" s="77"/>
      <c r="X670" s="77"/>
      <c r="Y670" s="77"/>
      <c r="Z670" s="77"/>
      <c r="AA670" s="77"/>
      <c r="AB670" s="77"/>
      <c r="AC670" s="77"/>
      <c r="AD670" s="77"/>
      <c r="AE670" s="77"/>
      <c r="AF670" s="77"/>
      <c r="AG670" s="77"/>
      <c r="AH670" s="77"/>
      <c r="AI670" s="77"/>
      <c r="AJ670" s="77"/>
      <c r="AK670" s="77"/>
      <c r="AL670" s="77"/>
      <c r="AM670" s="77"/>
      <c r="AN670" s="77"/>
      <c r="AO670" s="77"/>
      <c r="AP670" s="77"/>
      <c r="AQ670" s="77"/>
      <c r="AR670" s="77"/>
    </row>
    <row r="671" spans="1:44" ht="15.75" customHeight="1">
      <c r="A671" s="77"/>
      <c r="B671" s="77"/>
      <c r="C671" s="77"/>
      <c r="D671" s="77"/>
      <c r="E671" s="77"/>
      <c r="F671" s="77"/>
      <c r="G671" s="77"/>
      <c r="H671" s="77"/>
      <c r="I671" s="77"/>
      <c r="J671" s="77"/>
      <c r="K671" s="77"/>
      <c r="L671" s="77"/>
      <c r="M671" s="77"/>
      <c r="N671" s="77"/>
      <c r="O671" s="77"/>
      <c r="P671" s="77"/>
      <c r="Q671" s="77"/>
      <c r="R671" s="77"/>
      <c r="S671" s="77"/>
      <c r="T671" s="77"/>
      <c r="U671" s="77"/>
      <c r="V671" s="77"/>
      <c r="W671" s="77"/>
      <c r="X671" s="77"/>
      <c r="Y671" s="77"/>
      <c r="Z671" s="77"/>
      <c r="AA671" s="77"/>
      <c r="AB671" s="77"/>
      <c r="AC671" s="77"/>
      <c r="AD671" s="77"/>
      <c r="AE671" s="77"/>
      <c r="AF671" s="77"/>
      <c r="AG671" s="77"/>
      <c r="AH671" s="77"/>
      <c r="AI671" s="77"/>
      <c r="AJ671" s="77"/>
      <c r="AK671" s="77"/>
      <c r="AL671" s="77"/>
      <c r="AM671" s="77"/>
      <c r="AN671" s="77"/>
      <c r="AO671" s="77"/>
      <c r="AP671" s="77"/>
      <c r="AQ671" s="77"/>
      <c r="AR671" s="77"/>
    </row>
    <row r="672" spans="1:44" ht="15.75" customHeight="1">
      <c r="A672" s="77"/>
      <c r="B672" s="77"/>
      <c r="C672" s="77"/>
      <c r="D672" s="77"/>
      <c r="E672" s="77"/>
      <c r="F672" s="77"/>
      <c r="G672" s="77"/>
      <c r="H672" s="77"/>
      <c r="I672" s="77"/>
      <c r="J672" s="77"/>
      <c r="K672" s="77"/>
      <c r="L672" s="77"/>
      <c r="M672" s="77"/>
      <c r="N672" s="77"/>
      <c r="O672" s="77"/>
      <c r="P672" s="77"/>
      <c r="Q672" s="77"/>
      <c r="R672" s="77"/>
      <c r="S672" s="77"/>
      <c r="T672" s="77"/>
      <c r="U672" s="77"/>
      <c r="V672" s="77"/>
      <c r="W672" s="77"/>
      <c r="X672" s="77"/>
      <c r="Y672" s="77"/>
      <c r="Z672" s="77"/>
      <c r="AA672" s="77"/>
      <c r="AB672" s="77"/>
      <c r="AC672" s="77"/>
      <c r="AD672" s="77"/>
      <c r="AE672" s="77"/>
      <c r="AF672" s="77"/>
      <c r="AG672" s="77"/>
      <c r="AH672" s="77"/>
      <c r="AI672" s="77"/>
      <c r="AJ672" s="77"/>
      <c r="AK672" s="77"/>
      <c r="AL672" s="77"/>
      <c r="AM672" s="77"/>
      <c r="AN672" s="77"/>
      <c r="AO672" s="77"/>
      <c r="AP672" s="77"/>
      <c r="AQ672" s="77"/>
      <c r="AR672" s="77"/>
    </row>
    <row r="673" spans="1:44" ht="15.75" customHeight="1">
      <c r="A673" s="77"/>
      <c r="B673" s="77"/>
      <c r="C673" s="77"/>
      <c r="D673" s="77"/>
      <c r="E673" s="77"/>
      <c r="F673" s="77"/>
      <c r="G673" s="77"/>
      <c r="H673" s="77"/>
      <c r="I673" s="77"/>
      <c r="J673" s="77"/>
      <c r="K673" s="77"/>
      <c r="L673" s="77"/>
      <c r="M673" s="77"/>
      <c r="N673" s="77"/>
      <c r="O673" s="77"/>
      <c r="P673" s="77"/>
      <c r="Q673" s="77"/>
      <c r="R673" s="77"/>
      <c r="S673" s="77"/>
      <c r="T673" s="77"/>
      <c r="U673" s="77"/>
      <c r="V673" s="77"/>
      <c r="W673" s="77"/>
      <c r="X673" s="77"/>
      <c r="Y673" s="77"/>
      <c r="Z673" s="77"/>
      <c r="AA673" s="77"/>
      <c r="AB673" s="77"/>
      <c r="AC673" s="77"/>
      <c r="AD673" s="77"/>
      <c r="AE673" s="77"/>
      <c r="AF673" s="77"/>
      <c r="AG673" s="77"/>
      <c r="AH673" s="77"/>
      <c r="AI673" s="77"/>
      <c r="AJ673" s="77"/>
      <c r="AK673" s="77"/>
      <c r="AL673" s="77"/>
      <c r="AM673" s="77"/>
      <c r="AN673" s="77"/>
      <c r="AO673" s="77"/>
      <c r="AP673" s="77"/>
      <c r="AQ673" s="77"/>
      <c r="AR673" s="77"/>
    </row>
    <row r="674" spans="1:44" ht="15.75" customHeight="1">
      <c r="A674" s="77"/>
      <c r="B674" s="77"/>
      <c r="C674" s="77"/>
      <c r="D674" s="77"/>
      <c r="E674" s="77"/>
      <c r="F674" s="77"/>
      <c r="G674" s="77"/>
      <c r="H674" s="77"/>
      <c r="I674" s="77"/>
      <c r="J674" s="77"/>
      <c r="K674" s="77"/>
      <c r="L674" s="77"/>
      <c r="M674" s="77"/>
      <c r="N674" s="77"/>
      <c r="O674" s="77"/>
      <c r="P674" s="77"/>
      <c r="Q674" s="77"/>
      <c r="R674" s="77"/>
      <c r="S674" s="77"/>
      <c r="T674" s="77"/>
      <c r="U674" s="77"/>
      <c r="V674" s="77"/>
      <c r="W674" s="77"/>
      <c r="X674" s="77"/>
      <c r="Y674" s="77"/>
      <c r="Z674" s="77"/>
      <c r="AA674" s="77"/>
      <c r="AB674" s="77"/>
      <c r="AC674" s="77"/>
      <c r="AD674" s="77"/>
      <c r="AE674" s="77"/>
      <c r="AF674" s="77"/>
      <c r="AG674" s="77"/>
      <c r="AH674" s="77"/>
      <c r="AI674" s="77"/>
      <c r="AJ674" s="77"/>
      <c r="AK674" s="77"/>
      <c r="AL674" s="77"/>
      <c r="AM674" s="77"/>
      <c r="AN674" s="77"/>
      <c r="AO674" s="77"/>
      <c r="AP674" s="77"/>
      <c r="AQ674" s="77"/>
      <c r="AR674" s="77"/>
    </row>
    <row r="675" spans="1:44" ht="15.75" customHeight="1">
      <c r="A675" s="77"/>
      <c r="B675" s="77"/>
      <c r="C675" s="77"/>
      <c r="D675" s="77"/>
      <c r="E675" s="77"/>
      <c r="F675" s="77"/>
      <c r="G675" s="77"/>
      <c r="H675" s="77"/>
      <c r="I675" s="77"/>
      <c r="J675" s="77"/>
      <c r="K675" s="77"/>
      <c r="L675" s="77"/>
      <c r="M675" s="77"/>
      <c r="N675" s="77"/>
      <c r="O675" s="77"/>
      <c r="P675" s="77"/>
      <c r="Q675" s="77"/>
      <c r="R675" s="77"/>
      <c r="S675" s="77"/>
      <c r="T675" s="77"/>
      <c r="U675" s="77"/>
      <c r="V675" s="77"/>
      <c r="W675" s="77"/>
      <c r="X675" s="77"/>
      <c r="Y675" s="77"/>
      <c r="Z675" s="77"/>
      <c r="AA675" s="77"/>
      <c r="AB675" s="77"/>
      <c r="AC675" s="77"/>
      <c r="AD675" s="77"/>
      <c r="AE675" s="77"/>
      <c r="AF675" s="77"/>
      <c r="AG675" s="77"/>
      <c r="AH675" s="77"/>
      <c r="AI675" s="77"/>
      <c r="AJ675" s="77"/>
      <c r="AK675" s="77"/>
      <c r="AL675" s="77"/>
      <c r="AM675" s="77"/>
      <c r="AN675" s="77"/>
      <c r="AO675" s="77"/>
      <c r="AP675" s="77"/>
      <c r="AQ675" s="77"/>
      <c r="AR675" s="77"/>
    </row>
    <row r="676" spans="1:44" ht="15.75" customHeight="1">
      <c r="A676" s="77"/>
      <c r="B676" s="77"/>
      <c r="C676" s="77"/>
      <c r="D676" s="77"/>
      <c r="E676" s="77"/>
      <c r="F676" s="77"/>
      <c r="G676" s="77"/>
      <c r="H676" s="77"/>
      <c r="I676" s="77"/>
      <c r="J676" s="77"/>
      <c r="K676" s="77"/>
      <c r="L676" s="77"/>
      <c r="M676" s="77"/>
      <c r="N676" s="77"/>
      <c r="O676" s="77"/>
      <c r="P676" s="77"/>
      <c r="Q676" s="77"/>
      <c r="R676" s="77"/>
      <c r="S676" s="77"/>
      <c r="T676" s="77"/>
      <c r="U676" s="77"/>
      <c r="V676" s="77"/>
      <c r="W676" s="77"/>
      <c r="X676" s="77"/>
      <c r="Y676" s="77"/>
      <c r="Z676" s="77"/>
      <c r="AA676" s="77"/>
      <c r="AB676" s="77"/>
      <c r="AC676" s="77"/>
      <c r="AD676" s="77"/>
      <c r="AE676" s="77"/>
      <c r="AF676" s="77"/>
      <c r="AG676" s="77"/>
      <c r="AH676" s="77"/>
      <c r="AI676" s="77"/>
      <c r="AJ676" s="77"/>
      <c r="AK676" s="77"/>
      <c r="AL676" s="77"/>
      <c r="AM676" s="77"/>
      <c r="AN676" s="77"/>
      <c r="AO676" s="77"/>
      <c r="AP676" s="77"/>
      <c r="AQ676" s="77"/>
      <c r="AR676" s="77"/>
    </row>
    <row r="677" spans="1:44" ht="15.75" customHeight="1">
      <c r="A677" s="77"/>
      <c r="B677" s="77"/>
      <c r="C677" s="77"/>
      <c r="D677" s="77"/>
      <c r="E677" s="77"/>
      <c r="F677" s="77"/>
      <c r="G677" s="77"/>
      <c r="H677" s="77"/>
      <c r="I677" s="77"/>
      <c r="J677" s="77"/>
      <c r="K677" s="77"/>
      <c r="L677" s="77"/>
      <c r="M677" s="77"/>
      <c r="N677" s="77"/>
      <c r="O677" s="77"/>
      <c r="P677" s="77"/>
      <c r="Q677" s="77"/>
      <c r="R677" s="77"/>
      <c r="S677" s="77"/>
      <c r="T677" s="77"/>
      <c r="U677" s="77"/>
      <c r="V677" s="77"/>
      <c r="W677" s="77"/>
      <c r="X677" s="77"/>
      <c r="Y677" s="77"/>
      <c r="Z677" s="77"/>
      <c r="AA677" s="77"/>
      <c r="AB677" s="77"/>
      <c r="AC677" s="77"/>
      <c r="AD677" s="77"/>
      <c r="AE677" s="77"/>
      <c r="AF677" s="77"/>
      <c r="AG677" s="77"/>
      <c r="AH677" s="77"/>
      <c r="AI677" s="77"/>
      <c r="AJ677" s="77"/>
      <c r="AK677" s="77"/>
      <c r="AL677" s="77"/>
      <c r="AM677" s="77"/>
      <c r="AN677" s="77"/>
      <c r="AO677" s="77"/>
      <c r="AP677" s="77"/>
      <c r="AQ677" s="77"/>
      <c r="AR677" s="77"/>
    </row>
    <row r="678" spans="1:44" ht="15.75" customHeight="1">
      <c r="A678" s="77"/>
      <c r="B678" s="77"/>
      <c r="C678" s="77"/>
      <c r="D678" s="77"/>
      <c r="E678" s="77"/>
      <c r="F678" s="77"/>
      <c r="G678" s="77"/>
      <c r="H678" s="77"/>
      <c r="I678" s="77"/>
      <c r="J678" s="77"/>
      <c r="K678" s="77"/>
      <c r="L678" s="77"/>
      <c r="M678" s="77"/>
      <c r="N678" s="77"/>
      <c r="O678" s="77"/>
      <c r="P678" s="77"/>
      <c r="Q678" s="77"/>
      <c r="R678" s="77"/>
      <c r="S678" s="77"/>
      <c r="T678" s="77"/>
      <c r="U678" s="77"/>
      <c r="V678" s="77"/>
      <c r="W678" s="77"/>
      <c r="X678" s="77"/>
      <c r="Y678" s="77"/>
      <c r="Z678" s="77"/>
      <c r="AA678" s="77"/>
      <c r="AB678" s="77"/>
      <c r="AC678" s="77"/>
      <c r="AD678" s="77"/>
      <c r="AE678" s="77"/>
      <c r="AF678" s="77"/>
      <c r="AG678" s="77"/>
      <c r="AH678" s="77"/>
      <c r="AI678" s="77"/>
      <c r="AJ678" s="77"/>
      <c r="AK678" s="77"/>
      <c r="AL678" s="77"/>
      <c r="AM678" s="77"/>
      <c r="AN678" s="77"/>
      <c r="AO678" s="77"/>
      <c r="AP678" s="77"/>
      <c r="AQ678" s="77"/>
      <c r="AR678" s="77"/>
    </row>
    <row r="679" spans="1:44" ht="15.75" customHeight="1">
      <c r="A679" s="77"/>
      <c r="B679" s="77"/>
      <c r="C679" s="77"/>
      <c r="D679" s="77"/>
      <c r="E679" s="77"/>
      <c r="F679" s="77"/>
      <c r="G679" s="77"/>
      <c r="H679" s="77"/>
      <c r="I679" s="77"/>
      <c r="J679" s="77"/>
      <c r="K679" s="77"/>
      <c r="L679" s="77"/>
      <c r="M679" s="77"/>
      <c r="N679" s="77"/>
      <c r="O679" s="77"/>
      <c r="P679" s="77"/>
      <c r="Q679" s="77"/>
      <c r="R679" s="77"/>
      <c r="S679" s="77"/>
      <c r="T679" s="77"/>
      <c r="U679" s="77"/>
      <c r="V679" s="77"/>
      <c r="W679" s="77"/>
      <c r="X679" s="77"/>
      <c r="Y679" s="77"/>
      <c r="Z679" s="77"/>
      <c r="AA679" s="77"/>
      <c r="AB679" s="77"/>
      <c r="AC679" s="77"/>
      <c r="AD679" s="77"/>
      <c r="AE679" s="77"/>
      <c r="AF679" s="77"/>
      <c r="AG679" s="77"/>
      <c r="AH679" s="77"/>
      <c r="AI679" s="77"/>
      <c r="AJ679" s="77"/>
      <c r="AK679" s="77"/>
      <c r="AL679" s="77"/>
      <c r="AM679" s="77"/>
      <c r="AN679" s="77"/>
      <c r="AO679" s="77"/>
      <c r="AP679" s="77"/>
      <c r="AQ679" s="77"/>
      <c r="AR679" s="77"/>
    </row>
    <row r="680" spans="1:44" ht="15.75" customHeight="1">
      <c r="A680" s="77"/>
      <c r="B680" s="77"/>
      <c r="C680" s="77"/>
      <c r="D680" s="77"/>
      <c r="E680" s="77"/>
      <c r="F680" s="77"/>
      <c r="G680" s="77"/>
      <c r="H680" s="77"/>
      <c r="I680" s="77"/>
      <c r="J680" s="77"/>
      <c r="K680" s="77"/>
      <c r="L680" s="77"/>
      <c r="M680" s="77"/>
      <c r="N680" s="77"/>
      <c r="O680" s="77"/>
      <c r="P680" s="77"/>
      <c r="Q680" s="77"/>
      <c r="R680" s="77"/>
      <c r="S680" s="77"/>
      <c r="T680" s="77"/>
      <c r="U680" s="77"/>
      <c r="V680" s="77"/>
      <c r="W680" s="77"/>
      <c r="X680" s="77"/>
      <c r="Y680" s="77"/>
      <c r="Z680" s="77"/>
      <c r="AA680" s="77"/>
      <c r="AB680" s="77"/>
      <c r="AC680" s="77"/>
      <c r="AD680" s="77"/>
      <c r="AE680" s="77"/>
      <c r="AF680" s="77"/>
      <c r="AG680" s="77"/>
      <c r="AH680" s="77"/>
      <c r="AI680" s="77"/>
      <c r="AJ680" s="77"/>
      <c r="AK680" s="77"/>
      <c r="AL680" s="77"/>
      <c r="AM680" s="77"/>
      <c r="AN680" s="77"/>
      <c r="AO680" s="77"/>
      <c r="AP680" s="77"/>
      <c r="AQ680" s="77"/>
      <c r="AR680" s="77"/>
    </row>
    <row r="681" spans="1:44" ht="15.75" customHeight="1">
      <c r="A681" s="77"/>
      <c r="B681" s="77"/>
      <c r="C681" s="77"/>
      <c r="D681" s="77"/>
      <c r="E681" s="77"/>
      <c r="F681" s="77"/>
      <c r="G681" s="77"/>
      <c r="H681" s="77"/>
      <c r="I681" s="77"/>
      <c r="J681" s="77"/>
      <c r="K681" s="77"/>
      <c r="L681" s="77"/>
      <c r="M681" s="77"/>
      <c r="N681" s="77"/>
      <c r="O681" s="77"/>
      <c r="P681" s="77"/>
      <c r="Q681" s="77"/>
      <c r="R681" s="77"/>
      <c r="S681" s="77"/>
      <c r="T681" s="77"/>
      <c r="U681" s="77"/>
      <c r="V681" s="77"/>
      <c r="W681" s="77"/>
      <c r="X681" s="77"/>
      <c r="Y681" s="77"/>
      <c r="Z681" s="77"/>
      <c r="AA681" s="77"/>
      <c r="AB681" s="77"/>
      <c r="AC681" s="77"/>
      <c r="AD681" s="77"/>
      <c r="AE681" s="77"/>
      <c r="AF681" s="77"/>
      <c r="AG681" s="77"/>
      <c r="AH681" s="77"/>
      <c r="AI681" s="77"/>
      <c r="AJ681" s="77"/>
      <c r="AK681" s="77"/>
      <c r="AL681" s="77"/>
      <c r="AM681" s="77"/>
      <c r="AN681" s="77"/>
      <c r="AO681" s="77"/>
      <c r="AP681" s="77"/>
      <c r="AQ681" s="77"/>
      <c r="AR681" s="77"/>
    </row>
    <row r="682" spans="1:44" ht="15.75" customHeight="1">
      <c r="A682" s="77"/>
      <c r="B682" s="77"/>
      <c r="C682" s="77"/>
      <c r="D682" s="77"/>
      <c r="E682" s="77"/>
      <c r="F682" s="77"/>
      <c r="G682" s="77"/>
      <c r="H682" s="77"/>
      <c r="I682" s="77"/>
      <c r="J682" s="77"/>
      <c r="K682" s="77"/>
      <c r="L682" s="77"/>
      <c r="M682" s="77"/>
      <c r="N682" s="77"/>
      <c r="O682" s="77"/>
      <c r="P682" s="77"/>
      <c r="Q682" s="77"/>
      <c r="R682" s="77"/>
      <c r="S682" s="77"/>
      <c r="T682" s="77"/>
      <c r="U682" s="77"/>
      <c r="V682" s="77"/>
      <c r="W682" s="77"/>
      <c r="X682" s="77"/>
      <c r="Y682" s="77"/>
      <c r="Z682" s="77"/>
      <c r="AA682" s="77"/>
      <c r="AB682" s="77"/>
      <c r="AC682" s="77"/>
      <c r="AD682" s="77"/>
      <c r="AE682" s="77"/>
      <c r="AF682" s="77"/>
      <c r="AG682" s="77"/>
      <c r="AH682" s="77"/>
      <c r="AI682" s="77"/>
      <c r="AJ682" s="77"/>
      <c r="AK682" s="77"/>
      <c r="AL682" s="77"/>
      <c r="AM682" s="77"/>
      <c r="AN682" s="77"/>
      <c r="AO682" s="77"/>
      <c r="AP682" s="77"/>
      <c r="AQ682" s="77"/>
      <c r="AR682" s="77"/>
    </row>
    <row r="683" spans="1:44" ht="15.75" customHeight="1">
      <c r="A683" s="77"/>
      <c r="B683" s="77"/>
      <c r="C683" s="77"/>
      <c r="D683" s="77"/>
      <c r="E683" s="77"/>
      <c r="F683" s="77"/>
      <c r="G683" s="77"/>
      <c r="H683" s="77"/>
      <c r="I683" s="77"/>
      <c r="J683" s="77"/>
      <c r="K683" s="77"/>
      <c r="L683" s="77"/>
      <c r="M683" s="77"/>
      <c r="N683" s="77"/>
      <c r="O683" s="77"/>
      <c r="P683" s="77"/>
      <c r="Q683" s="77"/>
      <c r="R683" s="77"/>
      <c r="S683" s="77"/>
      <c r="T683" s="77"/>
      <c r="U683" s="77"/>
      <c r="V683" s="77"/>
      <c r="W683" s="77"/>
      <c r="X683" s="77"/>
      <c r="Y683" s="77"/>
      <c r="Z683" s="77"/>
      <c r="AA683" s="77"/>
      <c r="AB683" s="77"/>
      <c r="AC683" s="77"/>
      <c r="AD683" s="77"/>
      <c r="AE683" s="77"/>
      <c r="AF683" s="77"/>
      <c r="AG683" s="77"/>
      <c r="AH683" s="77"/>
      <c r="AI683" s="77"/>
      <c r="AJ683" s="77"/>
      <c r="AK683" s="77"/>
      <c r="AL683" s="77"/>
      <c r="AM683" s="77"/>
      <c r="AN683" s="77"/>
      <c r="AO683" s="77"/>
      <c r="AP683" s="77"/>
      <c r="AQ683" s="77"/>
      <c r="AR683" s="77"/>
    </row>
    <row r="684" spans="1:44" ht="15.75" customHeight="1">
      <c r="A684" s="77"/>
      <c r="B684" s="77"/>
      <c r="C684" s="77"/>
      <c r="D684" s="77"/>
      <c r="E684" s="77"/>
      <c r="F684" s="77"/>
      <c r="G684" s="77"/>
      <c r="H684" s="77"/>
      <c r="I684" s="77"/>
      <c r="J684" s="77"/>
      <c r="K684" s="77"/>
      <c r="L684" s="77"/>
      <c r="M684" s="77"/>
      <c r="N684" s="77"/>
      <c r="O684" s="77"/>
      <c r="P684" s="77"/>
      <c r="Q684" s="77"/>
      <c r="R684" s="77"/>
      <c r="S684" s="77"/>
      <c r="T684" s="77"/>
      <c r="U684" s="77"/>
      <c r="V684" s="77"/>
      <c r="W684" s="77"/>
      <c r="X684" s="77"/>
      <c r="Y684" s="77"/>
      <c r="Z684" s="77"/>
      <c r="AA684" s="77"/>
      <c r="AB684" s="77"/>
      <c r="AC684" s="77"/>
      <c r="AD684" s="77"/>
      <c r="AE684" s="77"/>
      <c r="AF684" s="77"/>
      <c r="AG684" s="77"/>
      <c r="AH684" s="77"/>
      <c r="AI684" s="77"/>
      <c r="AJ684" s="77"/>
      <c r="AK684" s="77"/>
      <c r="AL684" s="77"/>
      <c r="AM684" s="77"/>
      <c r="AN684" s="77"/>
      <c r="AO684" s="77"/>
      <c r="AP684" s="77"/>
      <c r="AQ684" s="77"/>
      <c r="AR684" s="77"/>
    </row>
    <row r="685" spans="1:44" ht="15.75" customHeight="1">
      <c r="A685" s="77"/>
      <c r="B685" s="77"/>
      <c r="C685" s="77"/>
      <c r="D685" s="77"/>
      <c r="E685" s="77"/>
      <c r="F685" s="77"/>
      <c r="G685" s="77"/>
      <c r="H685" s="77"/>
      <c r="I685" s="77"/>
      <c r="J685" s="77"/>
      <c r="K685" s="77"/>
      <c r="L685" s="77"/>
      <c r="M685" s="77"/>
      <c r="N685" s="77"/>
      <c r="O685" s="77"/>
      <c r="P685" s="77"/>
      <c r="Q685" s="77"/>
      <c r="R685" s="77"/>
      <c r="S685" s="77"/>
      <c r="T685" s="77"/>
      <c r="U685" s="77"/>
      <c r="V685" s="77"/>
      <c r="W685" s="77"/>
      <c r="X685" s="77"/>
      <c r="Y685" s="77"/>
      <c r="Z685" s="77"/>
      <c r="AA685" s="77"/>
      <c r="AB685" s="77"/>
      <c r="AC685" s="77"/>
      <c r="AD685" s="77"/>
      <c r="AE685" s="77"/>
      <c r="AF685" s="77"/>
      <c r="AG685" s="77"/>
      <c r="AH685" s="77"/>
      <c r="AI685" s="77"/>
      <c r="AJ685" s="77"/>
      <c r="AK685" s="77"/>
      <c r="AL685" s="77"/>
      <c r="AM685" s="77"/>
      <c r="AN685" s="77"/>
      <c r="AO685" s="77"/>
      <c r="AP685" s="77"/>
      <c r="AQ685" s="77"/>
      <c r="AR685" s="77"/>
    </row>
    <row r="686" spans="1:44" ht="15.75" customHeight="1">
      <c r="A686" s="77"/>
      <c r="B686" s="77"/>
      <c r="C686" s="77"/>
      <c r="D686" s="77"/>
      <c r="E686" s="77"/>
      <c r="F686" s="77"/>
      <c r="G686" s="77"/>
      <c r="H686" s="77"/>
      <c r="I686" s="77"/>
      <c r="J686" s="77"/>
      <c r="K686" s="77"/>
      <c r="L686" s="77"/>
      <c r="M686" s="77"/>
      <c r="N686" s="77"/>
      <c r="O686" s="77"/>
      <c r="P686" s="77"/>
      <c r="Q686" s="77"/>
      <c r="R686" s="77"/>
      <c r="S686" s="77"/>
      <c r="T686" s="77"/>
      <c r="U686" s="77"/>
      <c r="V686" s="77"/>
      <c r="W686" s="77"/>
      <c r="X686" s="77"/>
      <c r="Y686" s="77"/>
      <c r="Z686" s="77"/>
      <c r="AA686" s="77"/>
      <c r="AB686" s="77"/>
      <c r="AC686" s="77"/>
      <c r="AD686" s="77"/>
      <c r="AE686" s="77"/>
      <c r="AF686" s="77"/>
      <c r="AG686" s="77"/>
      <c r="AH686" s="77"/>
      <c r="AI686" s="77"/>
      <c r="AJ686" s="77"/>
      <c r="AK686" s="77"/>
      <c r="AL686" s="77"/>
      <c r="AM686" s="77"/>
      <c r="AN686" s="77"/>
      <c r="AO686" s="77"/>
      <c r="AP686" s="77"/>
      <c r="AQ686" s="77"/>
      <c r="AR686" s="77"/>
    </row>
    <row r="687" spans="1:44" ht="15.75" customHeight="1">
      <c r="A687" s="77"/>
      <c r="B687" s="77"/>
      <c r="C687" s="77"/>
      <c r="D687" s="77"/>
      <c r="E687" s="77"/>
      <c r="F687" s="77"/>
      <c r="G687" s="77"/>
      <c r="H687" s="77"/>
      <c r="I687" s="77"/>
      <c r="J687" s="77"/>
      <c r="K687" s="77"/>
      <c r="L687" s="77"/>
      <c r="M687" s="77"/>
      <c r="N687" s="77"/>
      <c r="O687" s="77"/>
      <c r="P687" s="77"/>
      <c r="Q687" s="77"/>
      <c r="R687" s="77"/>
      <c r="S687" s="77"/>
      <c r="T687" s="77"/>
      <c r="U687" s="77"/>
      <c r="V687" s="77"/>
      <c r="W687" s="77"/>
      <c r="X687" s="77"/>
      <c r="Y687" s="77"/>
      <c r="Z687" s="77"/>
      <c r="AA687" s="77"/>
      <c r="AB687" s="77"/>
      <c r="AC687" s="77"/>
      <c r="AD687" s="77"/>
      <c r="AE687" s="77"/>
      <c r="AF687" s="77"/>
      <c r="AG687" s="77"/>
      <c r="AH687" s="77"/>
      <c r="AI687" s="77"/>
      <c r="AJ687" s="77"/>
      <c r="AK687" s="77"/>
      <c r="AL687" s="77"/>
      <c r="AM687" s="77"/>
      <c r="AN687" s="77"/>
      <c r="AO687" s="77"/>
      <c r="AP687" s="77"/>
      <c r="AQ687" s="77"/>
      <c r="AR687" s="77"/>
    </row>
    <row r="688" spans="1:44" ht="15.75" customHeight="1">
      <c r="A688" s="77"/>
      <c r="B688" s="77"/>
      <c r="C688" s="77"/>
      <c r="D688" s="77"/>
      <c r="E688" s="77"/>
      <c r="F688" s="77"/>
      <c r="G688" s="77"/>
      <c r="H688" s="77"/>
      <c r="I688" s="77"/>
      <c r="J688" s="77"/>
      <c r="K688" s="77"/>
      <c r="L688" s="77"/>
      <c r="M688" s="77"/>
      <c r="N688" s="77"/>
      <c r="O688" s="77"/>
      <c r="P688" s="77"/>
      <c r="Q688" s="77"/>
      <c r="R688" s="77"/>
      <c r="S688" s="77"/>
      <c r="T688" s="77"/>
      <c r="U688" s="77"/>
      <c r="V688" s="77"/>
      <c r="W688" s="77"/>
      <c r="X688" s="77"/>
      <c r="Y688" s="77"/>
      <c r="Z688" s="77"/>
      <c r="AA688" s="77"/>
      <c r="AB688" s="77"/>
      <c r="AC688" s="77"/>
      <c r="AD688" s="77"/>
      <c r="AE688" s="77"/>
      <c r="AF688" s="77"/>
      <c r="AG688" s="77"/>
      <c r="AH688" s="77"/>
      <c r="AI688" s="77"/>
      <c r="AJ688" s="77"/>
      <c r="AK688" s="77"/>
      <c r="AL688" s="77"/>
      <c r="AM688" s="77"/>
      <c r="AN688" s="77"/>
      <c r="AO688" s="77"/>
      <c r="AP688" s="77"/>
      <c r="AQ688" s="77"/>
      <c r="AR688" s="77"/>
    </row>
    <row r="689" spans="1:44" ht="15.75" customHeight="1">
      <c r="A689" s="77"/>
      <c r="B689" s="77"/>
      <c r="C689" s="77"/>
      <c r="D689" s="77"/>
      <c r="E689" s="77"/>
      <c r="F689" s="77"/>
      <c r="G689" s="77"/>
      <c r="H689" s="77"/>
      <c r="I689" s="77"/>
      <c r="J689" s="77"/>
      <c r="K689" s="77"/>
      <c r="L689" s="77"/>
      <c r="M689" s="77"/>
      <c r="N689" s="77"/>
      <c r="O689" s="77"/>
      <c r="P689" s="77"/>
      <c r="Q689" s="77"/>
      <c r="R689" s="77"/>
      <c r="S689" s="77"/>
      <c r="T689" s="77"/>
      <c r="U689" s="77"/>
      <c r="V689" s="77"/>
      <c r="W689" s="77"/>
      <c r="X689" s="77"/>
      <c r="Y689" s="77"/>
      <c r="Z689" s="77"/>
      <c r="AA689" s="77"/>
      <c r="AB689" s="77"/>
      <c r="AC689" s="77"/>
      <c r="AD689" s="77"/>
      <c r="AE689" s="77"/>
      <c r="AF689" s="77"/>
      <c r="AG689" s="77"/>
      <c r="AH689" s="77"/>
      <c r="AI689" s="77"/>
      <c r="AJ689" s="77"/>
      <c r="AK689" s="77"/>
      <c r="AL689" s="77"/>
      <c r="AM689" s="77"/>
      <c r="AN689" s="77"/>
      <c r="AO689" s="77"/>
      <c r="AP689" s="77"/>
      <c r="AQ689" s="77"/>
      <c r="AR689" s="77"/>
    </row>
    <row r="690" spans="1:44" ht="15.75" customHeight="1">
      <c r="A690" s="77"/>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77"/>
      <c r="AQ690" s="77"/>
      <c r="AR690" s="77"/>
    </row>
    <row r="691" spans="1:44" ht="15.75" customHeight="1">
      <c r="A691" s="77"/>
      <c r="B691" s="77"/>
      <c r="C691" s="77"/>
      <c r="D691" s="77"/>
      <c r="E691" s="77"/>
      <c r="F691" s="77"/>
      <c r="G691" s="77"/>
      <c r="H691" s="77"/>
      <c r="I691" s="77"/>
      <c r="J691" s="77"/>
      <c r="K691" s="77"/>
      <c r="L691" s="77"/>
      <c r="M691" s="77"/>
      <c r="N691" s="77"/>
      <c r="O691" s="77"/>
      <c r="P691" s="77"/>
      <c r="Q691" s="77"/>
      <c r="R691" s="77"/>
      <c r="S691" s="77"/>
      <c r="T691" s="77"/>
      <c r="U691" s="77"/>
      <c r="V691" s="77"/>
      <c r="W691" s="77"/>
      <c r="X691" s="77"/>
      <c r="Y691" s="77"/>
      <c r="Z691" s="77"/>
      <c r="AA691" s="77"/>
      <c r="AB691" s="77"/>
      <c r="AC691" s="77"/>
      <c r="AD691" s="77"/>
      <c r="AE691" s="77"/>
      <c r="AF691" s="77"/>
      <c r="AG691" s="77"/>
      <c r="AH691" s="77"/>
      <c r="AI691" s="77"/>
      <c r="AJ691" s="77"/>
      <c r="AK691" s="77"/>
      <c r="AL691" s="77"/>
      <c r="AM691" s="77"/>
      <c r="AN691" s="77"/>
      <c r="AO691" s="77"/>
      <c r="AP691" s="77"/>
      <c r="AQ691" s="77"/>
      <c r="AR691" s="77"/>
    </row>
    <row r="692" spans="1:44" ht="15.75" customHeight="1">
      <c r="A692" s="77"/>
      <c r="B692" s="77"/>
      <c r="C692" s="77"/>
      <c r="D692" s="77"/>
      <c r="E692" s="77"/>
      <c r="F692" s="77"/>
      <c r="G692" s="77"/>
      <c r="H692" s="77"/>
      <c r="I692" s="77"/>
      <c r="J692" s="77"/>
      <c r="K692" s="77"/>
      <c r="L692" s="77"/>
      <c r="M692" s="77"/>
      <c r="N692" s="77"/>
      <c r="O692" s="77"/>
      <c r="P692" s="77"/>
      <c r="Q692" s="77"/>
      <c r="R692" s="77"/>
      <c r="S692" s="77"/>
      <c r="T692" s="77"/>
      <c r="U692" s="77"/>
      <c r="V692" s="77"/>
      <c r="W692" s="77"/>
      <c r="X692" s="77"/>
      <c r="Y692" s="77"/>
      <c r="Z692" s="77"/>
      <c r="AA692" s="77"/>
      <c r="AB692" s="77"/>
      <c r="AC692" s="77"/>
      <c r="AD692" s="77"/>
      <c r="AE692" s="77"/>
      <c r="AF692" s="77"/>
      <c r="AG692" s="77"/>
      <c r="AH692" s="77"/>
      <c r="AI692" s="77"/>
      <c r="AJ692" s="77"/>
      <c r="AK692" s="77"/>
      <c r="AL692" s="77"/>
      <c r="AM692" s="77"/>
      <c r="AN692" s="77"/>
      <c r="AO692" s="77"/>
      <c r="AP692" s="77"/>
      <c r="AQ692" s="77"/>
      <c r="AR692" s="77"/>
    </row>
    <row r="693" spans="1:44" ht="15.75" customHeight="1">
      <c r="A693" s="77"/>
      <c r="B693" s="77"/>
      <c r="C693" s="77"/>
      <c r="D693" s="77"/>
      <c r="E693" s="77"/>
      <c r="F693" s="77"/>
      <c r="G693" s="77"/>
      <c r="H693" s="77"/>
      <c r="I693" s="77"/>
      <c r="J693" s="77"/>
      <c r="K693" s="77"/>
      <c r="L693" s="77"/>
      <c r="M693" s="77"/>
      <c r="N693" s="77"/>
      <c r="O693" s="77"/>
      <c r="P693" s="77"/>
      <c r="Q693" s="77"/>
      <c r="R693" s="77"/>
      <c r="S693" s="77"/>
      <c r="T693" s="77"/>
      <c r="U693" s="77"/>
      <c r="V693" s="77"/>
      <c r="W693" s="77"/>
      <c r="X693" s="77"/>
      <c r="Y693" s="77"/>
      <c r="Z693" s="77"/>
      <c r="AA693" s="77"/>
      <c r="AB693" s="77"/>
      <c r="AC693" s="77"/>
      <c r="AD693" s="77"/>
      <c r="AE693" s="77"/>
      <c r="AF693" s="77"/>
      <c r="AG693" s="77"/>
      <c r="AH693" s="77"/>
      <c r="AI693" s="77"/>
      <c r="AJ693" s="77"/>
      <c r="AK693" s="77"/>
      <c r="AL693" s="77"/>
      <c r="AM693" s="77"/>
      <c r="AN693" s="77"/>
      <c r="AO693" s="77"/>
      <c r="AP693" s="77"/>
      <c r="AQ693" s="77"/>
      <c r="AR693" s="77"/>
    </row>
    <row r="694" spans="1:44" ht="15.75" customHeight="1">
      <c r="A694" s="77"/>
      <c r="B694" s="77"/>
      <c r="C694" s="77"/>
      <c r="D694" s="77"/>
      <c r="E694" s="77"/>
      <c r="F694" s="77"/>
      <c r="G694" s="77"/>
      <c r="H694" s="77"/>
      <c r="I694" s="77"/>
      <c r="J694" s="77"/>
      <c r="K694" s="77"/>
      <c r="L694" s="77"/>
      <c r="M694" s="77"/>
      <c r="N694" s="77"/>
      <c r="O694" s="77"/>
      <c r="P694" s="77"/>
      <c r="Q694" s="77"/>
      <c r="R694" s="77"/>
      <c r="S694" s="77"/>
      <c r="T694" s="77"/>
      <c r="U694" s="77"/>
      <c r="V694" s="77"/>
      <c r="W694" s="77"/>
      <c r="X694" s="77"/>
      <c r="Y694" s="77"/>
      <c r="Z694" s="77"/>
      <c r="AA694" s="77"/>
      <c r="AB694" s="77"/>
      <c r="AC694" s="77"/>
      <c r="AD694" s="77"/>
      <c r="AE694" s="77"/>
      <c r="AF694" s="77"/>
      <c r="AG694" s="77"/>
      <c r="AH694" s="77"/>
      <c r="AI694" s="77"/>
      <c r="AJ694" s="77"/>
      <c r="AK694" s="77"/>
      <c r="AL694" s="77"/>
      <c r="AM694" s="77"/>
      <c r="AN694" s="77"/>
      <c r="AO694" s="77"/>
      <c r="AP694" s="77"/>
      <c r="AQ694" s="77"/>
      <c r="AR694" s="77"/>
    </row>
    <row r="695" spans="1:44" ht="15.75" customHeight="1">
      <c r="A695" s="77"/>
      <c r="B695" s="77"/>
      <c r="C695" s="77"/>
      <c r="D695" s="77"/>
      <c r="E695" s="77"/>
      <c r="F695" s="77"/>
      <c r="G695" s="77"/>
      <c r="H695" s="77"/>
      <c r="I695" s="77"/>
      <c r="J695" s="77"/>
      <c r="K695" s="77"/>
      <c r="L695" s="77"/>
      <c r="M695" s="77"/>
      <c r="N695" s="77"/>
      <c r="O695" s="77"/>
      <c r="P695" s="77"/>
      <c r="Q695" s="77"/>
      <c r="R695" s="77"/>
      <c r="S695" s="77"/>
      <c r="T695" s="77"/>
      <c r="U695" s="77"/>
      <c r="V695" s="77"/>
      <c r="W695" s="77"/>
      <c r="X695" s="77"/>
      <c r="Y695" s="77"/>
      <c r="Z695" s="77"/>
      <c r="AA695" s="77"/>
      <c r="AB695" s="77"/>
      <c r="AC695" s="77"/>
      <c r="AD695" s="77"/>
      <c r="AE695" s="77"/>
      <c r="AF695" s="77"/>
      <c r="AG695" s="77"/>
      <c r="AH695" s="77"/>
      <c r="AI695" s="77"/>
      <c r="AJ695" s="77"/>
      <c r="AK695" s="77"/>
      <c r="AL695" s="77"/>
      <c r="AM695" s="77"/>
      <c r="AN695" s="77"/>
      <c r="AO695" s="77"/>
      <c r="AP695" s="77"/>
      <c r="AQ695" s="77"/>
      <c r="AR695" s="77"/>
    </row>
    <row r="696" spans="1:44" ht="15.75" customHeight="1">
      <c r="A696" s="77"/>
      <c r="B696" s="77"/>
      <c r="C696" s="77"/>
      <c r="D696" s="77"/>
      <c r="E696" s="77"/>
      <c r="F696" s="77"/>
      <c r="G696" s="77"/>
      <c r="H696" s="77"/>
      <c r="I696" s="77"/>
      <c r="J696" s="77"/>
      <c r="K696" s="77"/>
      <c r="L696" s="77"/>
      <c r="M696" s="77"/>
      <c r="N696" s="77"/>
      <c r="O696" s="77"/>
      <c r="P696" s="77"/>
      <c r="Q696" s="77"/>
      <c r="R696" s="77"/>
      <c r="S696" s="77"/>
      <c r="T696" s="77"/>
      <c r="U696" s="77"/>
      <c r="V696" s="77"/>
      <c r="W696" s="77"/>
      <c r="X696" s="77"/>
      <c r="Y696" s="77"/>
      <c r="Z696" s="77"/>
      <c r="AA696" s="77"/>
      <c r="AB696" s="77"/>
      <c r="AC696" s="77"/>
      <c r="AD696" s="77"/>
      <c r="AE696" s="77"/>
      <c r="AF696" s="77"/>
      <c r="AG696" s="77"/>
      <c r="AH696" s="77"/>
      <c r="AI696" s="77"/>
      <c r="AJ696" s="77"/>
      <c r="AK696" s="77"/>
      <c r="AL696" s="77"/>
      <c r="AM696" s="77"/>
      <c r="AN696" s="77"/>
      <c r="AO696" s="77"/>
      <c r="AP696" s="77"/>
      <c r="AQ696" s="77"/>
      <c r="AR696" s="77"/>
    </row>
    <row r="697" spans="1:44" ht="15.75" customHeight="1">
      <c r="A697" s="77"/>
      <c r="B697" s="77"/>
      <c r="C697" s="77"/>
      <c r="D697" s="77"/>
      <c r="E697" s="77"/>
      <c r="F697" s="77"/>
      <c r="G697" s="77"/>
      <c r="H697" s="77"/>
      <c r="I697" s="77"/>
      <c r="J697" s="77"/>
      <c r="K697" s="77"/>
      <c r="L697" s="77"/>
      <c r="M697" s="77"/>
      <c r="N697" s="77"/>
      <c r="O697" s="77"/>
      <c r="P697" s="77"/>
      <c r="Q697" s="77"/>
      <c r="R697" s="77"/>
      <c r="S697" s="77"/>
      <c r="T697" s="77"/>
      <c r="U697" s="77"/>
      <c r="V697" s="77"/>
      <c r="W697" s="77"/>
      <c r="X697" s="77"/>
      <c r="Y697" s="77"/>
      <c r="Z697" s="77"/>
      <c r="AA697" s="77"/>
      <c r="AB697" s="77"/>
      <c r="AC697" s="77"/>
      <c r="AD697" s="77"/>
      <c r="AE697" s="77"/>
      <c r="AF697" s="77"/>
      <c r="AG697" s="77"/>
      <c r="AH697" s="77"/>
      <c r="AI697" s="77"/>
      <c r="AJ697" s="77"/>
      <c r="AK697" s="77"/>
      <c r="AL697" s="77"/>
      <c r="AM697" s="77"/>
      <c r="AN697" s="77"/>
      <c r="AO697" s="77"/>
      <c r="AP697" s="77"/>
      <c r="AQ697" s="77"/>
      <c r="AR697" s="77"/>
    </row>
    <row r="698" spans="1:44" ht="15.75" customHeight="1">
      <c r="A698" s="77"/>
      <c r="B698" s="77"/>
      <c r="C698" s="77"/>
      <c r="D698" s="77"/>
      <c r="E698" s="77"/>
      <c r="F698" s="77"/>
      <c r="G698" s="77"/>
      <c r="H698" s="77"/>
      <c r="I698" s="77"/>
      <c r="J698" s="77"/>
      <c r="K698" s="77"/>
      <c r="L698" s="77"/>
      <c r="M698" s="77"/>
      <c r="N698" s="77"/>
      <c r="O698" s="77"/>
      <c r="P698" s="77"/>
      <c r="Q698" s="77"/>
      <c r="R698" s="77"/>
      <c r="S698" s="77"/>
      <c r="T698" s="77"/>
      <c r="U698" s="77"/>
      <c r="V698" s="77"/>
      <c r="W698" s="77"/>
      <c r="X698" s="77"/>
      <c r="Y698" s="77"/>
      <c r="Z698" s="77"/>
      <c r="AA698" s="77"/>
      <c r="AB698" s="77"/>
      <c r="AC698" s="77"/>
      <c r="AD698" s="77"/>
      <c r="AE698" s="77"/>
      <c r="AF698" s="77"/>
      <c r="AG698" s="77"/>
      <c r="AH698" s="77"/>
      <c r="AI698" s="77"/>
      <c r="AJ698" s="77"/>
      <c r="AK698" s="77"/>
      <c r="AL698" s="77"/>
      <c r="AM698" s="77"/>
      <c r="AN698" s="77"/>
      <c r="AO698" s="77"/>
      <c r="AP698" s="77"/>
      <c r="AQ698" s="77"/>
      <c r="AR698" s="77"/>
    </row>
    <row r="699" spans="1:44" ht="15.75" customHeight="1">
      <c r="A699" s="77"/>
      <c r="B699" s="77"/>
      <c r="C699" s="77"/>
      <c r="D699" s="77"/>
      <c r="E699" s="77"/>
      <c r="F699" s="77"/>
      <c r="G699" s="77"/>
      <c r="H699" s="77"/>
      <c r="I699" s="77"/>
      <c r="J699" s="77"/>
      <c r="K699" s="77"/>
      <c r="L699" s="77"/>
      <c r="M699" s="77"/>
      <c r="N699" s="77"/>
      <c r="O699" s="77"/>
      <c r="P699" s="77"/>
      <c r="Q699" s="77"/>
      <c r="R699" s="77"/>
      <c r="S699" s="77"/>
      <c r="T699" s="77"/>
      <c r="U699" s="77"/>
      <c r="V699" s="77"/>
      <c r="W699" s="77"/>
      <c r="X699" s="77"/>
      <c r="Y699" s="77"/>
      <c r="Z699" s="77"/>
      <c r="AA699" s="77"/>
      <c r="AB699" s="77"/>
      <c r="AC699" s="77"/>
      <c r="AD699" s="77"/>
      <c r="AE699" s="77"/>
      <c r="AF699" s="77"/>
      <c r="AG699" s="77"/>
      <c r="AH699" s="77"/>
      <c r="AI699" s="77"/>
      <c r="AJ699" s="77"/>
      <c r="AK699" s="77"/>
      <c r="AL699" s="77"/>
      <c r="AM699" s="77"/>
      <c r="AN699" s="77"/>
      <c r="AO699" s="77"/>
      <c r="AP699" s="77"/>
      <c r="AQ699" s="77"/>
      <c r="AR699" s="77"/>
    </row>
    <row r="700" spans="1:44" ht="15.75" customHeight="1">
      <c r="A700" s="77"/>
      <c r="B700" s="77"/>
      <c r="C700" s="77"/>
      <c r="D700" s="77"/>
      <c r="E700" s="77"/>
      <c r="F700" s="77"/>
      <c r="G700" s="77"/>
      <c r="H700" s="77"/>
      <c r="I700" s="77"/>
      <c r="J700" s="77"/>
      <c r="K700" s="77"/>
      <c r="L700" s="77"/>
      <c r="M700" s="77"/>
      <c r="N700" s="77"/>
      <c r="O700" s="77"/>
      <c r="P700" s="77"/>
      <c r="Q700" s="77"/>
      <c r="R700" s="77"/>
      <c r="S700" s="77"/>
      <c r="T700" s="77"/>
      <c r="U700" s="77"/>
      <c r="V700" s="77"/>
      <c r="W700" s="77"/>
      <c r="X700" s="77"/>
      <c r="Y700" s="77"/>
      <c r="Z700" s="77"/>
      <c r="AA700" s="77"/>
      <c r="AB700" s="77"/>
      <c r="AC700" s="77"/>
      <c r="AD700" s="77"/>
      <c r="AE700" s="77"/>
      <c r="AF700" s="77"/>
      <c r="AG700" s="77"/>
      <c r="AH700" s="77"/>
      <c r="AI700" s="77"/>
      <c r="AJ700" s="77"/>
      <c r="AK700" s="77"/>
      <c r="AL700" s="77"/>
      <c r="AM700" s="77"/>
      <c r="AN700" s="77"/>
      <c r="AO700" s="77"/>
      <c r="AP700" s="77"/>
      <c r="AQ700" s="77"/>
      <c r="AR700" s="77"/>
    </row>
    <row r="701" spans="1:44" ht="15.75" customHeight="1">
      <c r="A701" s="77"/>
      <c r="B701" s="77"/>
      <c r="C701" s="77"/>
      <c r="D701" s="77"/>
      <c r="E701" s="77"/>
      <c r="F701" s="77"/>
      <c r="G701" s="77"/>
      <c r="H701" s="77"/>
      <c r="I701" s="77"/>
      <c r="J701" s="77"/>
      <c r="K701" s="77"/>
      <c r="L701" s="77"/>
      <c r="M701" s="77"/>
      <c r="N701" s="77"/>
      <c r="O701" s="77"/>
      <c r="P701" s="77"/>
      <c r="Q701" s="77"/>
      <c r="R701" s="77"/>
      <c r="S701" s="77"/>
      <c r="T701" s="77"/>
      <c r="U701" s="77"/>
      <c r="V701" s="77"/>
      <c r="W701" s="77"/>
      <c r="X701" s="77"/>
      <c r="Y701" s="77"/>
      <c r="Z701" s="77"/>
      <c r="AA701" s="77"/>
      <c r="AB701" s="77"/>
      <c r="AC701" s="77"/>
      <c r="AD701" s="77"/>
      <c r="AE701" s="77"/>
      <c r="AF701" s="77"/>
      <c r="AG701" s="77"/>
      <c r="AH701" s="77"/>
      <c r="AI701" s="77"/>
      <c r="AJ701" s="77"/>
      <c r="AK701" s="77"/>
      <c r="AL701" s="77"/>
      <c r="AM701" s="77"/>
      <c r="AN701" s="77"/>
      <c r="AO701" s="77"/>
      <c r="AP701" s="77"/>
      <c r="AQ701" s="77"/>
      <c r="AR701" s="77"/>
    </row>
    <row r="702" spans="1:44" ht="15.75" customHeight="1">
      <c r="A702" s="77"/>
      <c r="B702" s="77"/>
      <c r="C702" s="77"/>
      <c r="D702" s="77"/>
      <c r="E702" s="77"/>
      <c r="F702" s="77"/>
      <c r="G702" s="77"/>
      <c r="H702" s="77"/>
      <c r="I702" s="77"/>
      <c r="J702" s="77"/>
      <c r="K702" s="77"/>
      <c r="L702" s="77"/>
      <c r="M702" s="77"/>
      <c r="N702" s="77"/>
      <c r="O702" s="77"/>
      <c r="P702" s="77"/>
      <c r="Q702" s="77"/>
      <c r="R702" s="77"/>
      <c r="S702" s="77"/>
      <c r="T702" s="77"/>
      <c r="U702" s="77"/>
      <c r="V702" s="77"/>
      <c r="W702" s="77"/>
      <c r="X702" s="77"/>
      <c r="Y702" s="77"/>
      <c r="Z702" s="77"/>
      <c r="AA702" s="77"/>
      <c r="AB702" s="77"/>
      <c r="AC702" s="77"/>
      <c r="AD702" s="77"/>
      <c r="AE702" s="77"/>
      <c r="AF702" s="77"/>
      <c r="AG702" s="77"/>
      <c r="AH702" s="77"/>
      <c r="AI702" s="77"/>
      <c r="AJ702" s="77"/>
      <c r="AK702" s="77"/>
      <c r="AL702" s="77"/>
      <c r="AM702" s="77"/>
      <c r="AN702" s="77"/>
      <c r="AO702" s="77"/>
      <c r="AP702" s="77"/>
      <c r="AQ702" s="77"/>
      <c r="AR702" s="77"/>
    </row>
    <row r="703" spans="1:44" ht="15.75" customHeight="1">
      <c r="A703" s="77"/>
      <c r="B703" s="77"/>
      <c r="C703" s="77"/>
      <c r="D703" s="77"/>
      <c r="E703" s="77"/>
      <c r="F703" s="77"/>
      <c r="G703" s="77"/>
      <c r="H703" s="77"/>
      <c r="I703" s="77"/>
      <c r="J703" s="77"/>
      <c r="K703" s="77"/>
      <c r="L703" s="77"/>
      <c r="M703" s="77"/>
      <c r="N703" s="77"/>
      <c r="O703" s="77"/>
      <c r="P703" s="77"/>
      <c r="Q703" s="77"/>
      <c r="R703" s="77"/>
      <c r="S703" s="77"/>
      <c r="T703" s="77"/>
      <c r="U703" s="77"/>
      <c r="V703" s="77"/>
      <c r="W703" s="77"/>
      <c r="X703" s="77"/>
      <c r="Y703" s="77"/>
      <c r="Z703" s="77"/>
      <c r="AA703" s="77"/>
      <c r="AB703" s="77"/>
      <c r="AC703" s="77"/>
      <c r="AD703" s="77"/>
      <c r="AE703" s="77"/>
      <c r="AF703" s="77"/>
      <c r="AG703" s="77"/>
      <c r="AH703" s="77"/>
      <c r="AI703" s="77"/>
      <c r="AJ703" s="77"/>
      <c r="AK703" s="77"/>
      <c r="AL703" s="77"/>
      <c r="AM703" s="77"/>
      <c r="AN703" s="77"/>
      <c r="AO703" s="77"/>
      <c r="AP703" s="77"/>
      <c r="AQ703" s="77"/>
      <c r="AR703" s="77"/>
    </row>
    <row r="704" spans="1:44" ht="15.75" customHeight="1">
      <c r="A704" s="77"/>
      <c r="B704" s="77"/>
      <c r="C704" s="77"/>
      <c r="D704" s="77"/>
      <c r="E704" s="77"/>
      <c r="F704" s="77"/>
      <c r="G704" s="77"/>
      <c r="H704" s="77"/>
      <c r="I704" s="77"/>
      <c r="J704" s="77"/>
      <c r="K704" s="77"/>
      <c r="L704" s="77"/>
      <c r="M704" s="77"/>
      <c r="N704" s="77"/>
      <c r="O704" s="77"/>
      <c r="P704" s="77"/>
      <c r="Q704" s="77"/>
      <c r="R704" s="77"/>
      <c r="S704" s="77"/>
      <c r="T704" s="77"/>
      <c r="U704" s="77"/>
      <c r="V704" s="77"/>
      <c r="W704" s="77"/>
      <c r="X704" s="77"/>
      <c r="Y704" s="77"/>
      <c r="Z704" s="77"/>
      <c r="AA704" s="77"/>
      <c r="AB704" s="77"/>
      <c r="AC704" s="77"/>
      <c r="AD704" s="77"/>
      <c r="AE704" s="77"/>
      <c r="AF704" s="77"/>
      <c r="AG704" s="77"/>
      <c r="AH704" s="77"/>
      <c r="AI704" s="77"/>
      <c r="AJ704" s="77"/>
      <c r="AK704" s="77"/>
      <c r="AL704" s="77"/>
      <c r="AM704" s="77"/>
      <c r="AN704" s="77"/>
      <c r="AO704" s="77"/>
      <c r="AP704" s="77"/>
      <c r="AQ704" s="77"/>
      <c r="AR704" s="77"/>
    </row>
    <row r="705" spans="1:44" ht="15.75" customHeight="1">
      <c r="A705" s="77"/>
      <c r="B705" s="77"/>
      <c r="C705" s="77"/>
      <c r="D705" s="77"/>
      <c r="E705" s="77"/>
      <c r="F705" s="77"/>
      <c r="G705" s="77"/>
      <c r="H705" s="77"/>
      <c r="I705" s="77"/>
      <c r="J705" s="77"/>
      <c r="K705" s="77"/>
      <c r="L705" s="77"/>
      <c r="M705" s="77"/>
      <c r="N705" s="77"/>
      <c r="O705" s="77"/>
      <c r="P705" s="77"/>
      <c r="Q705" s="77"/>
      <c r="R705" s="77"/>
      <c r="S705" s="77"/>
      <c r="T705" s="77"/>
      <c r="U705" s="77"/>
      <c r="V705" s="77"/>
      <c r="W705" s="77"/>
      <c r="X705" s="77"/>
      <c r="Y705" s="77"/>
      <c r="Z705" s="77"/>
      <c r="AA705" s="77"/>
      <c r="AB705" s="77"/>
      <c r="AC705" s="77"/>
      <c r="AD705" s="77"/>
      <c r="AE705" s="77"/>
      <c r="AF705" s="77"/>
      <c r="AG705" s="77"/>
      <c r="AH705" s="77"/>
      <c r="AI705" s="77"/>
      <c r="AJ705" s="77"/>
      <c r="AK705" s="77"/>
      <c r="AL705" s="77"/>
      <c r="AM705" s="77"/>
      <c r="AN705" s="77"/>
      <c r="AO705" s="77"/>
      <c r="AP705" s="77"/>
      <c r="AQ705" s="77"/>
      <c r="AR705" s="77"/>
    </row>
    <row r="706" spans="1:44" ht="15.75" customHeight="1">
      <c r="A706" s="77"/>
      <c r="B706" s="77"/>
      <c r="C706" s="77"/>
      <c r="D706" s="77"/>
      <c r="E706" s="77"/>
      <c r="F706" s="77"/>
      <c r="G706" s="77"/>
      <c r="H706" s="77"/>
      <c r="I706" s="77"/>
      <c r="J706" s="77"/>
      <c r="K706" s="77"/>
      <c r="L706" s="77"/>
      <c r="M706" s="77"/>
      <c r="N706" s="77"/>
      <c r="O706" s="77"/>
      <c r="P706" s="77"/>
      <c r="Q706" s="77"/>
      <c r="R706" s="77"/>
      <c r="S706" s="77"/>
      <c r="T706" s="77"/>
      <c r="U706" s="77"/>
      <c r="V706" s="77"/>
      <c r="W706" s="77"/>
      <c r="X706" s="77"/>
      <c r="Y706" s="77"/>
      <c r="Z706" s="77"/>
      <c r="AA706" s="77"/>
      <c r="AB706" s="77"/>
      <c r="AC706" s="77"/>
      <c r="AD706" s="77"/>
      <c r="AE706" s="77"/>
      <c r="AF706" s="77"/>
      <c r="AG706" s="77"/>
      <c r="AH706" s="77"/>
      <c r="AI706" s="77"/>
      <c r="AJ706" s="77"/>
      <c r="AK706" s="77"/>
      <c r="AL706" s="77"/>
      <c r="AM706" s="77"/>
      <c r="AN706" s="77"/>
      <c r="AO706" s="77"/>
      <c r="AP706" s="77"/>
      <c r="AQ706" s="77"/>
      <c r="AR706" s="77"/>
    </row>
    <row r="707" spans="1:44" ht="15.75" customHeight="1">
      <c r="A707" s="77"/>
      <c r="B707" s="77"/>
      <c r="C707" s="77"/>
      <c r="D707" s="77"/>
      <c r="E707" s="77"/>
      <c r="F707" s="77"/>
      <c r="G707" s="77"/>
      <c r="H707" s="77"/>
      <c r="I707" s="77"/>
      <c r="J707" s="77"/>
      <c r="K707" s="77"/>
      <c r="L707" s="77"/>
      <c r="M707" s="77"/>
      <c r="N707" s="77"/>
      <c r="O707" s="77"/>
      <c r="P707" s="77"/>
      <c r="Q707" s="77"/>
      <c r="R707" s="77"/>
      <c r="S707" s="77"/>
      <c r="T707" s="77"/>
      <c r="U707" s="77"/>
      <c r="V707" s="77"/>
      <c r="W707" s="77"/>
      <c r="X707" s="77"/>
      <c r="Y707" s="77"/>
      <c r="Z707" s="77"/>
      <c r="AA707" s="77"/>
      <c r="AB707" s="77"/>
      <c r="AC707" s="77"/>
      <c r="AD707" s="77"/>
      <c r="AE707" s="77"/>
      <c r="AF707" s="77"/>
      <c r="AG707" s="77"/>
      <c r="AH707" s="77"/>
      <c r="AI707" s="77"/>
      <c r="AJ707" s="77"/>
      <c r="AK707" s="77"/>
      <c r="AL707" s="77"/>
      <c r="AM707" s="77"/>
      <c r="AN707" s="77"/>
      <c r="AO707" s="77"/>
      <c r="AP707" s="77"/>
      <c r="AQ707" s="77"/>
      <c r="AR707" s="77"/>
    </row>
    <row r="708" spans="1:44" ht="15.75" customHeight="1">
      <c r="A708" s="77"/>
      <c r="B708" s="77"/>
      <c r="C708" s="77"/>
      <c r="D708" s="77"/>
      <c r="E708" s="77"/>
      <c r="F708" s="77"/>
      <c r="G708" s="77"/>
      <c r="H708" s="77"/>
      <c r="I708" s="77"/>
      <c r="J708" s="77"/>
      <c r="K708" s="77"/>
      <c r="L708" s="77"/>
      <c r="M708" s="77"/>
      <c r="N708" s="77"/>
      <c r="O708" s="77"/>
      <c r="P708" s="77"/>
      <c r="Q708" s="77"/>
      <c r="R708" s="77"/>
      <c r="S708" s="77"/>
      <c r="T708" s="77"/>
      <c r="U708" s="77"/>
      <c r="V708" s="77"/>
      <c r="W708" s="77"/>
      <c r="X708" s="77"/>
      <c r="Y708" s="77"/>
      <c r="Z708" s="77"/>
      <c r="AA708" s="77"/>
      <c r="AB708" s="77"/>
      <c r="AC708" s="77"/>
      <c r="AD708" s="77"/>
      <c r="AE708" s="77"/>
      <c r="AF708" s="77"/>
      <c r="AG708" s="77"/>
      <c r="AH708" s="77"/>
      <c r="AI708" s="77"/>
      <c r="AJ708" s="77"/>
      <c r="AK708" s="77"/>
      <c r="AL708" s="77"/>
      <c r="AM708" s="77"/>
      <c r="AN708" s="77"/>
      <c r="AO708" s="77"/>
      <c r="AP708" s="77"/>
      <c r="AQ708" s="77"/>
      <c r="AR708" s="77"/>
    </row>
    <row r="709" spans="1:44" ht="15.75" customHeight="1">
      <c r="A709" s="77"/>
      <c r="B709" s="77"/>
      <c r="C709" s="77"/>
      <c r="D709" s="77"/>
      <c r="E709" s="77"/>
      <c r="F709" s="77"/>
      <c r="G709" s="77"/>
      <c r="H709" s="77"/>
      <c r="I709" s="77"/>
      <c r="J709" s="77"/>
      <c r="K709" s="77"/>
      <c r="L709" s="77"/>
      <c r="M709" s="77"/>
      <c r="N709" s="77"/>
      <c r="O709" s="77"/>
      <c r="P709" s="77"/>
      <c r="Q709" s="77"/>
      <c r="R709" s="77"/>
      <c r="S709" s="77"/>
      <c r="T709" s="77"/>
      <c r="U709" s="77"/>
      <c r="V709" s="77"/>
      <c r="W709" s="77"/>
      <c r="X709" s="77"/>
      <c r="Y709" s="77"/>
      <c r="Z709" s="77"/>
      <c r="AA709" s="77"/>
      <c r="AB709" s="77"/>
      <c r="AC709" s="77"/>
      <c r="AD709" s="77"/>
      <c r="AE709" s="77"/>
      <c r="AF709" s="77"/>
      <c r="AG709" s="77"/>
      <c r="AH709" s="77"/>
      <c r="AI709" s="77"/>
      <c r="AJ709" s="77"/>
      <c r="AK709" s="77"/>
      <c r="AL709" s="77"/>
      <c r="AM709" s="77"/>
      <c r="AN709" s="77"/>
      <c r="AO709" s="77"/>
      <c r="AP709" s="77"/>
      <c r="AQ709" s="77"/>
      <c r="AR709" s="77"/>
    </row>
    <row r="710" spans="1:44" ht="15.75" customHeight="1">
      <c r="A710" s="77"/>
      <c r="B710" s="77"/>
      <c r="C710" s="77"/>
      <c r="D710" s="77"/>
      <c r="E710" s="77"/>
      <c r="F710" s="77"/>
      <c r="G710" s="77"/>
      <c r="H710" s="77"/>
      <c r="I710" s="77"/>
      <c r="J710" s="77"/>
      <c r="K710" s="77"/>
      <c r="L710" s="77"/>
      <c r="M710" s="77"/>
      <c r="N710" s="77"/>
      <c r="O710" s="77"/>
      <c r="P710" s="77"/>
      <c r="Q710" s="77"/>
      <c r="R710" s="77"/>
      <c r="S710" s="77"/>
      <c r="T710" s="77"/>
      <c r="U710" s="77"/>
      <c r="V710" s="77"/>
      <c r="W710" s="77"/>
      <c r="X710" s="77"/>
      <c r="Y710" s="77"/>
      <c r="Z710" s="77"/>
      <c r="AA710" s="77"/>
      <c r="AB710" s="77"/>
      <c r="AC710" s="77"/>
      <c r="AD710" s="77"/>
      <c r="AE710" s="77"/>
      <c r="AF710" s="77"/>
      <c r="AG710" s="77"/>
      <c r="AH710" s="77"/>
      <c r="AI710" s="77"/>
      <c r="AJ710" s="77"/>
      <c r="AK710" s="77"/>
      <c r="AL710" s="77"/>
      <c r="AM710" s="77"/>
      <c r="AN710" s="77"/>
      <c r="AO710" s="77"/>
      <c r="AP710" s="77"/>
      <c r="AQ710" s="77"/>
      <c r="AR710" s="77"/>
    </row>
    <row r="711" spans="1:44" ht="15.75" customHeight="1">
      <c r="A711" s="77"/>
      <c r="B711" s="77"/>
      <c r="C711" s="77"/>
      <c r="D711" s="77"/>
      <c r="E711" s="77"/>
      <c r="F711" s="77"/>
      <c r="G711" s="77"/>
      <c r="H711" s="77"/>
      <c r="I711" s="77"/>
      <c r="J711" s="77"/>
      <c r="K711" s="77"/>
      <c r="L711" s="77"/>
      <c r="M711" s="77"/>
      <c r="N711" s="77"/>
      <c r="O711" s="77"/>
      <c r="P711" s="77"/>
      <c r="Q711" s="77"/>
      <c r="R711" s="77"/>
      <c r="S711" s="77"/>
      <c r="T711" s="77"/>
      <c r="U711" s="77"/>
      <c r="V711" s="77"/>
      <c r="W711" s="77"/>
      <c r="X711" s="77"/>
      <c r="Y711" s="77"/>
      <c r="Z711" s="77"/>
      <c r="AA711" s="77"/>
      <c r="AB711" s="77"/>
      <c r="AC711" s="77"/>
      <c r="AD711" s="77"/>
      <c r="AE711" s="77"/>
      <c r="AF711" s="77"/>
      <c r="AG711" s="77"/>
      <c r="AH711" s="77"/>
      <c r="AI711" s="77"/>
      <c r="AJ711" s="77"/>
      <c r="AK711" s="77"/>
      <c r="AL711" s="77"/>
      <c r="AM711" s="77"/>
      <c r="AN711" s="77"/>
      <c r="AO711" s="77"/>
      <c r="AP711" s="77"/>
      <c r="AQ711" s="77"/>
      <c r="AR711" s="77"/>
    </row>
    <row r="712" spans="1:44" ht="15.75" customHeight="1">
      <c r="A712" s="77"/>
      <c r="B712" s="77"/>
      <c r="C712" s="77"/>
      <c r="D712" s="77"/>
      <c r="E712" s="77"/>
      <c r="F712" s="77"/>
      <c r="G712" s="77"/>
      <c r="H712" s="77"/>
      <c r="I712" s="77"/>
      <c r="J712" s="77"/>
      <c r="K712" s="77"/>
      <c r="L712" s="77"/>
      <c r="M712" s="77"/>
      <c r="N712" s="77"/>
      <c r="O712" s="77"/>
      <c r="P712" s="77"/>
      <c r="Q712" s="77"/>
      <c r="R712" s="77"/>
      <c r="S712" s="77"/>
      <c r="T712" s="77"/>
      <c r="U712" s="77"/>
      <c r="V712" s="77"/>
      <c r="W712" s="77"/>
      <c r="X712" s="77"/>
      <c r="Y712" s="77"/>
      <c r="Z712" s="77"/>
      <c r="AA712" s="77"/>
      <c r="AB712" s="77"/>
      <c r="AC712" s="77"/>
      <c r="AD712" s="77"/>
      <c r="AE712" s="77"/>
      <c r="AF712" s="77"/>
      <c r="AG712" s="77"/>
      <c r="AH712" s="77"/>
      <c r="AI712" s="77"/>
      <c r="AJ712" s="77"/>
      <c r="AK712" s="77"/>
      <c r="AL712" s="77"/>
      <c r="AM712" s="77"/>
      <c r="AN712" s="77"/>
      <c r="AO712" s="77"/>
      <c r="AP712" s="77"/>
      <c r="AQ712" s="77"/>
      <c r="AR712" s="77"/>
    </row>
    <row r="713" spans="1:44" ht="15.75" customHeight="1">
      <c r="A713" s="77"/>
      <c r="B713" s="77"/>
      <c r="C713" s="77"/>
      <c r="D713" s="77"/>
      <c r="E713" s="77"/>
      <c r="F713" s="77"/>
      <c r="G713" s="77"/>
      <c r="H713" s="77"/>
      <c r="I713" s="77"/>
      <c r="J713" s="77"/>
      <c r="K713" s="77"/>
      <c r="L713" s="77"/>
      <c r="M713" s="77"/>
      <c r="N713" s="77"/>
      <c r="O713" s="77"/>
      <c r="P713" s="77"/>
      <c r="Q713" s="77"/>
      <c r="R713" s="77"/>
      <c r="S713" s="77"/>
      <c r="T713" s="77"/>
      <c r="U713" s="77"/>
      <c r="V713" s="77"/>
      <c r="W713" s="77"/>
      <c r="X713" s="77"/>
      <c r="Y713" s="77"/>
      <c r="Z713" s="77"/>
      <c r="AA713" s="77"/>
      <c r="AB713" s="77"/>
      <c r="AC713" s="77"/>
      <c r="AD713" s="77"/>
      <c r="AE713" s="77"/>
      <c r="AF713" s="77"/>
      <c r="AG713" s="77"/>
      <c r="AH713" s="77"/>
      <c r="AI713" s="77"/>
      <c r="AJ713" s="77"/>
      <c r="AK713" s="77"/>
      <c r="AL713" s="77"/>
      <c r="AM713" s="77"/>
      <c r="AN713" s="77"/>
      <c r="AO713" s="77"/>
      <c r="AP713" s="77"/>
      <c r="AQ713" s="77"/>
      <c r="AR713" s="77"/>
    </row>
    <row r="714" spans="1:44" ht="15.75" customHeight="1">
      <c r="A714" s="77"/>
      <c r="B714" s="77"/>
      <c r="C714" s="77"/>
      <c r="D714" s="77"/>
      <c r="E714" s="77"/>
      <c r="F714" s="77"/>
      <c r="G714" s="77"/>
      <c r="H714" s="77"/>
      <c r="I714" s="77"/>
      <c r="J714" s="77"/>
      <c r="K714" s="77"/>
      <c r="L714" s="77"/>
      <c r="M714" s="77"/>
      <c r="N714" s="77"/>
      <c r="O714" s="77"/>
      <c r="P714" s="77"/>
      <c r="Q714" s="77"/>
      <c r="R714" s="77"/>
      <c r="S714" s="77"/>
      <c r="T714" s="77"/>
      <c r="U714" s="77"/>
      <c r="V714" s="77"/>
      <c r="W714" s="77"/>
      <c r="X714" s="77"/>
      <c r="Y714" s="77"/>
      <c r="Z714" s="77"/>
      <c r="AA714" s="77"/>
      <c r="AB714" s="77"/>
      <c r="AC714" s="77"/>
      <c r="AD714" s="77"/>
      <c r="AE714" s="77"/>
      <c r="AF714" s="77"/>
      <c r="AG714" s="77"/>
      <c r="AH714" s="77"/>
      <c r="AI714" s="77"/>
      <c r="AJ714" s="77"/>
      <c r="AK714" s="77"/>
      <c r="AL714" s="77"/>
      <c r="AM714" s="77"/>
      <c r="AN714" s="77"/>
      <c r="AO714" s="77"/>
      <c r="AP714" s="77"/>
      <c r="AQ714" s="77"/>
      <c r="AR714" s="77"/>
    </row>
    <row r="715" spans="1:44" ht="15.75" customHeight="1">
      <c r="A715" s="77"/>
      <c r="B715" s="77"/>
      <c r="C715" s="77"/>
      <c r="D715" s="77"/>
      <c r="E715" s="77"/>
      <c r="F715" s="77"/>
      <c r="G715" s="77"/>
      <c r="H715" s="77"/>
      <c r="I715" s="77"/>
      <c r="J715" s="77"/>
      <c r="K715" s="77"/>
      <c r="L715" s="77"/>
      <c r="M715" s="77"/>
      <c r="N715" s="77"/>
      <c r="O715" s="77"/>
      <c r="P715" s="77"/>
      <c r="Q715" s="77"/>
      <c r="R715" s="77"/>
      <c r="S715" s="77"/>
      <c r="T715" s="77"/>
      <c r="U715" s="77"/>
      <c r="V715" s="77"/>
      <c r="W715" s="77"/>
      <c r="X715" s="77"/>
      <c r="Y715" s="77"/>
      <c r="Z715" s="77"/>
      <c r="AA715" s="77"/>
      <c r="AB715" s="77"/>
      <c r="AC715" s="77"/>
      <c r="AD715" s="77"/>
      <c r="AE715" s="77"/>
      <c r="AF715" s="77"/>
      <c r="AG715" s="77"/>
      <c r="AH715" s="77"/>
      <c r="AI715" s="77"/>
      <c r="AJ715" s="77"/>
      <c r="AK715" s="77"/>
      <c r="AL715" s="77"/>
      <c r="AM715" s="77"/>
      <c r="AN715" s="77"/>
      <c r="AO715" s="77"/>
      <c r="AP715" s="77"/>
      <c r="AQ715" s="77"/>
      <c r="AR715" s="77"/>
    </row>
    <row r="716" spans="1:44" ht="15.75" customHeight="1">
      <c r="A716" s="77"/>
      <c r="B716" s="77"/>
      <c r="C716" s="77"/>
      <c r="D716" s="77"/>
      <c r="E716" s="77"/>
      <c r="F716" s="77"/>
      <c r="G716" s="77"/>
      <c r="H716" s="77"/>
      <c r="I716" s="77"/>
      <c r="J716" s="77"/>
      <c r="K716" s="77"/>
      <c r="L716" s="77"/>
      <c r="M716" s="77"/>
      <c r="N716" s="77"/>
      <c r="O716" s="77"/>
      <c r="P716" s="77"/>
      <c r="Q716" s="77"/>
      <c r="R716" s="77"/>
      <c r="S716" s="77"/>
      <c r="T716" s="77"/>
      <c r="U716" s="77"/>
      <c r="V716" s="77"/>
      <c r="W716" s="77"/>
      <c r="X716" s="77"/>
      <c r="Y716" s="77"/>
      <c r="Z716" s="77"/>
      <c r="AA716" s="77"/>
      <c r="AB716" s="77"/>
      <c r="AC716" s="77"/>
      <c r="AD716" s="77"/>
      <c r="AE716" s="77"/>
      <c r="AF716" s="77"/>
      <c r="AG716" s="77"/>
      <c r="AH716" s="77"/>
      <c r="AI716" s="77"/>
      <c r="AJ716" s="77"/>
      <c r="AK716" s="77"/>
      <c r="AL716" s="77"/>
      <c r="AM716" s="77"/>
      <c r="AN716" s="77"/>
      <c r="AO716" s="77"/>
      <c r="AP716" s="77"/>
      <c r="AQ716" s="77"/>
      <c r="AR716" s="77"/>
    </row>
    <row r="717" spans="1:44" ht="15.75" customHeight="1">
      <c r="A717" s="77"/>
      <c r="B717" s="77"/>
      <c r="C717" s="77"/>
      <c r="D717" s="77"/>
      <c r="E717" s="77"/>
      <c r="F717" s="77"/>
      <c r="G717" s="77"/>
      <c r="H717" s="77"/>
      <c r="I717" s="77"/>
      <c r="J717" s="77"/>
      <c r="K717" s="77"/>
      <c r="L717" s="77"/>
      <c r="M717" s="77"/>
      <c r="N717" s="77"/>
      <c r="O717" s="77"/>
      <c r="P717" s="77"/>
      <c r="Q717" s="77"/>
      <c r="R717" s="77"/>
      <c r="S717" s="77"/>
      <c r="T717" s="77"/>
      <c r="U717" s="77"/>
      <c r="V717" s="77"/>
      <c r="W717" s="77"/>
      <c r="X717" s="77"/>
      <c r="Y717" s="77"/>
      <c r="Z717" s="77"/>
      <c r="AA717" s="77"/>
      <c r="AB717" s="77"/>
      <c r="AC717" s="77"/>
      <c r="AD717" s="77"/>
      <c r="AE717" s="77"/>
      <c r="AF717" s="77"/>
      <c r="AG717" s="77"/>
      <c r="AH717" s="77"/>
      <c r="AI717" s="77"/>
      <c r="AJ717" s="77"/>
      <c r="AK717" s="77"/>
      <c r="AL717" s="77"/>
      <c r="AM717" s="77"/>
      <c r="AN717" s="77"/>
      <c r="AO717" s="77"/>
      <c r="AP717" s="77"/>
      <c r="AQ717" s="77"/>
      <c r="AR717" s="77"/>
    </row>
    <row r="718" spans="1:44" ht="15.75" customHeight="1">
      <c r="A718" s="77"/>
      <c r="B718" s="77"/>
      <c r="C718" s="77"/>
      <c r="D718" s="77"/>
      <c r="E718" s="77"/>
      <c r="F718" s="77"/>
      <c r="G718" s="77"/>
      <c r="H718" s="77"/>
      <c r="I718" s="77"/>
      <c r="J718" s="77"/>
      <c r="K718" s="77"/>
      <c r="L718" s="77"/>
      <c r="M718" s="77"/>
      <c r="N718" s="77"/>
      <c r="O718" s="77"/>
      <c r="P718" s="77"/>
      <c r="Q718" s="77"/>
      <c r="R718" s="77"/>
      <c r="S718" s="77"/>
      <c r="T718" s="77"/>
      <c r="U718" s="77"/>
      <c r="V718" s="77"/>
      <c r="W718" s="77"/>
      <c r="X718" s="77"/>
      <c r="Y718" s="77"/>
      <c r="Z718" s="77"/>
      <c r="AA718" s="77"/>
      <c r="AB718" s="77"/>
      <c r="AC718" s="77"/>
      <c r="AD718" s="77"/>
      <c r="AE718" s="77"/>
      <c r="AF718" s="77"/>
      <c r="AG718" s="77"/>
      <c r="AH718" s="77"/>
      <c r="AI718" s="77"/>
      <c r="AJ718" s="77"/>
      <c r="AK718" s="77"/>
      <c r="AL718" s="77"/>
      <c r="AM718" s="77"/>
      <c r="AN718" s="77"/>
      <c r="AO718" s="77"/>
      <c r="AP718" s="77"/>
      <c r="AQ718" s="77"/>
      <c r="AR718" s="77"/>
    </row>
    <row r="719" spans="1:44" ht="15.75" customHeight="1">
      <c r="A719" s="77"/>
      <c r="B719" s="77"/>
      <c r="C719" s="77"/>
      <c r="D719" s="77"/>
      <c r="E719" s="77"/>
      <c r="F719" s="77"/>
      <c r="G719" s="77"/>
      <c r="H719" s="77"/>
      <c r="I719" s="77"/>
      <c r="J719" s="77"/>
      <c r="K719" s="77"/>
      <c r="L719" s="77"/>
      <c r="M719" s="77"/>
      <c r="N719" s="77"/>
      <c r="O719" s="77"/>
      <c r="P719" s="77"/>
      <c r="Q719" s="77"/>
      <c r="R719" s="77"/>
      <c r="S719" s="77"/>
      <c r="T719" s="77"/>
      <c r="U719" s="77"/>
      <c r="V719" s="77"/>
      <c r="W719" s="77"/>
      <c r="X719" s="77"/>
      <c r="Y719" s="77"/>
      <c r="Z719" s="77"/>
      <c r="AA719" s="77"/>
      <c r="AB719" s="77"/>
      <c r="AC719" s="77"/>
      <c r="AD719" s="77"/>
      <c r="AE719" s="77"/>
      <c r="AF719" s="77"/>
      <c r="AG719" s="77"/>
      <c r="AH719" s="77"/>
      <c r="AI719" s="77"/>
      <c r="AJ719" s="77"/>
      <c r="AK719" s="77"/>
      <c r="AL719" s="77"/>
      <c r="AM719" s="77"/>
      <c r="AN719" s="77"/>
      <c r="AO719" s="77"/>
      <c r="AP719" s="77"/>
      <c r="AQ719" s="77"/>
      <c r="AR719" s="77"/>
    </row>
    <row r="720" spans="1:44" ht="15.75" customHeight="1">
      <c r="A720" s="77"/>
      <c r="B720" s="77"/>
      <c r="C720" s="77"/>
      <c r="D720" s="77"/>
      <c r="E720" s="77"/>
      <c r="F720" s="77"/>
      <c r="G720" s="77"/>
      <c r="H720" s="77"/>
      <c r="I720" s="77"/>
      <c r="J720" s="77"/>
      <c r="K720" s="77"/>
      <c r="L720" s="77"/>
      <c r="M720" s="77"/>
      <c r="N720" s="77"/>
      <c r="O720" s="77"/>
      <c r="P720" s="77"/>
      <c r="Q720" s="77"/>
      <c r="R720" s="77"/>
      <c r="S720" s="77"/>
      <c r="T720" s="77"/>
      <c r="U720" s="77"/>
      <c r="V720" s="77"/>
      <c r="W720" s="77"/>
      <c r="X720" s="77"/>
      <c r="Y720" s="77"/>
      <c r="Z720" s="77"/>
      <c r="AA720" s="77"/>
      <c r="AB720" s="77"/>
      <c r="AC720" s="77"/>
      <c r="AD720" s="77"/>
      <c r="AE720" s="77"/>
      <c r="AF720" s="77"/>
      <c r="AG720" s="77"/>
      <c r="AH720" s="77"/>
      <c r="AI720" s="77"/>
      <c r="AJ720" s="77"/>
      <c r="AK720" s="77"/>
      <c r="AL720" s="77"/>
      <c r="AM720" s="77"/>
      <c r="AN720" s="77"/>
      <c r="AO720" s="77"/>
      <c r="AP720" s="77"/>
      <c r="AQ720" s="77"/>
      <c r="AR720" s="77"/>
    </row>
    <row r="721" spans="1:44" ht="15.75" customHeight="1">
      <c r="A721" s="77"/>
      <c r="B721" s="77"/>
      <c r="C721" s="77"/>
      <c r="D721" s="77"/>
      <c r="E721" s="77"/>
      <c r="F721" s="77"/>
      <c r="G721" s="77"/>
      <c r="H721" s="77"/>
      <c r="I721" s="77"/>
      <c r="J721" s="77"/>
      <c r="K721" s="77"/>
      <c r="L721" s="77"/>
      <c r="M721" s="77"/>
      <c r="N721" s="77"/>
      <c r="O721" s="77"/>
      <c r="P721" s="77"/>
      <c r="Q721" s="77"/>
      <c r="R721" s="77"/>
      <c r="S721" s="77"/>
      <c r="T721" s="77"/>
      <c r="U721" s="77"/>
      <c r="V721" s="77"/>
      <c r="W721" s="77"/>
      <c r="X721" s="77"/>
      <c r="Y721" s="77"/>
      <c r="Z721" s="77"/>
      <c r="AA721" s="77"/>
      <c r="AB721" s="77"/>
      <c r="AC721" s="77"/>
      <c r="AD721" s="77"/>
      <c r="AE721" s="77"/>
      <c r="AF721" s="77"/>
      <c r="AG721" s="77"/>
      <c r="AH721" s="77"/>
      <c r="AI721" s="77"/>
      <c r="AJ721" s="77"/>
      <c r="AK721" s="77"/>
      <c r="AL721" s="77"/>
      <c r="AM721" s="77"/>
      <c r="AN721" s="77"/>
      <c r="AO721" s="77"/>
      <c r="AP721" s="77"/>
      <c r="AQ721" s="77"/>
      <c r="AR721" s="77"/>
    </row>
    <row r="722" spans="1:44" ht="15.75" customHeight="1">
      <c r="A722" s="77"/>
      <c r="B722" s="77"/>
      <c r="C722" s="77"/>
      <c r="D722" s="77"/>
      <c r="E722" s="77"/>
      <c r="F722" s="77"/>
      <c r="G722" s="77"/>
      <c r="H722" s="77"/>
      <c r="I722" s="77"/>
      <c r="J722" s="77"/>
      <c r="K722" s="77"/>
      <c r="L722" s="77"/>
      <c r="M722" s="77"/>
      <c r="N722" s="77"/>
      <c r="O722" s="77"/>
      <c r="P722" s="77"/>
      <c r="Q722" s="77"/>
      <c r="R722" s="77"/>
      <c r="S722" s="77"/>
      <c r="T722" s="77"/>
      <c r="U722" s="77"/>
      <c r="V722" s="77"/>
      <c r="W722" s="77"/>
      <c r="X722" s="77"/>
      <c r="Y722" s="77"/>
      <c r="Z722" s="77"/>
      <c r="AA722" s="77"/>
      <c r="AB722" s="77"/>
      <c r="AC722" s="77"/>
      <c r="AD722" s="77"/>
      <c r="AE722" s="77"/>
      <c r="AF722" s="77"/>
      <c r="AG722" s="77"/>
      <c r="AH722" s="77"/>
      <c r="AI722" s="77"/>
      <c r="AJ722" s="77"/>
      <c r="AK722" s="77"/>
      <c r="AL722" s="77"/>
      <c r="AM722" s="77"/>
      <c r="AN722" s="77"/>
      <c r="AO722" s="77"/>
      <c r="AP722" s="77"/>
      <c r="AQ722" s="77"/>
      <c r="AR722" s="77"/>
    </row>
    <row r="723" spans="1:44" ht="15.75" customHeight="1">
      <c r="A723" s="77"/>
      <c r="B723" s="77"/>
      <c r="C723" s="77"/>
      <c r="D723" s="77"/>
      <c r="E723" s="77"/>
      <c r="F723" s="77"/>
      <c r="G723" s="77"/>
      <c r="H723" s="77"/>
      <c r="I723" s="77"/>
      <c r="J723" s="77"/>
      <c r="K723" s="77"/>
      <c r="L723" s="77"/>
      <c r="M723" s="77"/>
      <c r="N723" s="77"/>
      <c r="O723" s="77"/>
      <c r="P723" s="77"/>
      <c r="Q723" s="77"/>
      <c r="R723" s="77"/>
      <c r="S723" s="77"/>
      <c r="T723" s="77"/>
      <c r="U723" s="77"/>
      <c r="V723" s="77"/>
      <c r="W723" s="77"/>
      <c r="X723" s="77"/>
      <c r="Y723" s="77"/>
      <c r="Z723" s="77"/>
      <c r="AA723" s="77"/>
      <c r="AB723" s="77"/>
      <c r="AC723" s="77"/>
      <c r="AD723" s="77"/>
      <c r="AE723" s="77"/>
      <c r="AF723" s="77"/>
      <c r="AG723" s="77"/>
      <c r="AH723" s="77"/>
      <c r="AI723" s="77"/>
      <c r="AJ723" s="77"/>
      <c r="AK723" s="77"/>
      <c r="AL723" s="77"/>
      <c r="AM723" s="77"/>
      <c r="AN723" s="77"/>
      <c r="AO723" s="77"/>
      <c r="AP723" s="77"/>
      <c r="AQ723" s="77"/>
      <c r="AR723" s="77"/>
    </row>
    <row r="724" spans="1:44" ht="15.75" customHeight="1">
      <c r="A724" s="77"/>
      <c r="B724" s="77"/>
      <c r="C724" s="77"/>
      <c r="D724" s="77"/>
      <c r="E724" s="77"/>
      <c r="F724" s="77"/>
      <c r="G724" s="77"/>
      <c r="H724" s="77"/>
      <c r="I724" s="77"/>
      <c r="J724" s="77"/>
      <c r="K724" s="77"/>
      <c r="L724" s="77"/>
      <c r="M724" s="77"/>
      <c r="N724" s="77"/>
      <c r="O724" s="77"/>
      <c r="P724" s="77"/>
      <c r="Q724" s="77"/>
      <c r="R724" s="77"/>
      <c r="S724" s="77"/>
      <c r="T724" s="77"/>
      <c r="U724" s="77"/>
      <c r="V724" s="77"/>
      <c r="W724" s="77"/>
      <c r="X724" s="77"/>
      <c r="Y724" s="77"/>
      <c r="Z724" s="77"/>
      <c r="AA724" s="77"/>
      <c r="AB724" s="77"/>
      <c r="AC724" s="77"/>
      <c r="AD724" s="77"/>
      <c r="AE724" s="77"/>
      <c r="AF724" s="77"/>
      <c r="AG724" s="77"/>
      <c r="AH724" s="77"/>
      <c r="AI724" s="77"/>
      <c r="AJ724" s="77"/>
      <c r="AK724" s="77"/>
      <c r="AL724" s="77"/>
      <c r="AM724" s="77"/>
      <c r="AN724" s="77"/>
      <c r="AO724" s="77"/>
      <c r="AP724" s="77"/>
      <c r="AQ724" s="77"/>
      <c r="AR724" s="77"/>
    </row>
    <row r="725" spans="1:44" ht="15.75" customHeight="1">
      <c r="A725" s="77"/>
      <c r="B725" s="77"/>
      <c r="C725" s="77"/>
      <c r="D725" s="77"/>
      <c r="E725" s="77"/>
      <c r="F725" s="77"/>
      <c r="G725" s="77"/>
      <c r="H725" s="77"/>
      <c r="I725" s="77"/>
      <c r="J725" s="77"/>
      <c r="K725" s="77"/>
      <c r="L725" s="77"/>
      <c r="M725" s="77"/>
      <c r="N725" s="77"/>
      <c r="O725" s="77"/>
      <c r="P725" s="77"/>
      <c r="Q725" s="77"/>
      <c r="R725" s="77"/>
      <c r="S725" s="77"/>
      <c r="T725" s="77"/>
      <c r="U725" s="77"/>
      <c r="V725" s="77"/>
      <c r="W725" s="77"/>
      <c r="X725" s="77"/>
      <c r="Y725" s="77"/>
      <c r="Z725" s="77"/>
      <c r="AA725" s="77"/>
      <c r="AB725" s="77"/>
      <c r="AC725" s="77"/>
      <c r="AD725" s="77"/>
      <c r="AE725" s="77"/>
      <c r="AF725" s="77"/>
      <c r="AG725" s="77"/>
      <c r="AH725" s="77"/>
      <c r="AI725" s="77"/>
      <c r="AJ725" s="77"/>
      <c r="AK725" s="77"/>
      <c r="AL725" s="77"/>
      <c r="AM725" s="77"/>
      <c r="AN725" s="77"/>
      <c r="AO725" s="77"/>
      <c r="AP725" s="77"/>
      <c r="AQ725" s="77"/>
      <c r="AR725" s="77"/>
    </row>
    <row r="726" spans="1:44" ht="15.75" customHeight="1">
      <c r="A726" s="77"/>
      <c r="B726" s="77"/>
      <c r="C726" s="77"/>
      <c r="D726" s="77"/>
      <c r="E726" s="77"/>
      <c r="F726" s="77"/>
      <c r="G726" s="77"/>
      <c r="H726" s="77"/>
      <c r="I726" s="77"/>
      <c r="J726" s="77"/>
      <c r="K726" s="77"/>
      <c r="L726" s="77"/>
      <c r="M726" s="77"/>
      <c r="N726" s="77"/>
      <c r="O726" s="77"/>
      <c r="P726" s="77"/>
      <c r="Q726" s="77"/>
      <c r="R726" s="77"/>
      <c r="S726" s="77"/>
      <c r="T726" s="77"/>
      <c r="U726" s="77"/>
      <c r="V726" s="77"/>
      <c r="W726" s="77"/>
      <c r="X726" s="77"/>
      <c r="Y726" s="77"/>
      <c r="Z726" s="77"/>
      <c r="AA726" s="77"/>
      <c r="AB726" s="77"/>
      <c r="AC726" s="77"/>
      <c r="AD726" s="77"/>
      <c r="AE726" s="77"/>
      <c r="AF726" s="77"/>
      <c r="AG726" s="77"/>
      <c r="AH726" s="77"/>
      <c r="AI726" s="77"/>
      <c r="AJ726" s="77"/>
      <c r="AK726" s="77"/>
      <c r="AL726" s="77"/>
      <c r="AM726" s="77"/>
      <c r="AN726" s="77"/>
      <c r="AO726" s="77"/>
      <c r="AP726" s="77"/>
      <c r="AQ726" s="77"/>
      <c r="AR726" s="77"/>
    </row>
    <row r="727" spans="1:44" ht="15.75" customHeight="1">
      <c r="A727" s="77"/>
      <c r="B727" s="77"/>
      <c r="C727" s="77"/>
      <c r="D727" s="77"/>
      <c r="E727" s="77"/>
      <c r="F727" s="77"/>
      <c r="G727" s="77"/>
      <c r="H727" s="77"/>
      <c r="I727" s="77"/>
      <c r="J727" s="77"/>
      <c r="K727" s="77"/>
      <c r="L727" s="77"/>
      <c r="M727" s="77"/>
      <c r="N727" s="77"/>
      <c r="O727" s="77"/>
      <c r="P727" s="77"/>
      <c r="Q727" s="77"/>
      <c r="R727" s="77"/>
      <c r="S727" s="77"/>
      <c r="T727" s="77"/>
      <c r="U727" s="77"/>
      <c r="V727" s="77"/>
      <c r="W727" s="77"/>
      <c r="X727" s="77"/>
      <c r="Y727" s="77"/>
      <c r="Z727" s="77"/>
      <c r="AA727" s="77"/>
      <c r="AB727" s="77"/>
      <c r="AC727" s="77"/>
      <c r="AD727" s="77"/>
      <c r="AE727" s="77"/>
      <c r="AF727" s="77"/>
      <c r="AG727" s="77"/>
      <c r="AH727" s="77"/>
      <c r="AI727" s="77"/>
      <c r="AJ727" s="77"/>
      <c r="AK727" s="77"/>
      <c r="AL727" s="77"/>
      <c r="AM727" s="77"/>
      <c r="AN727" s="77"/>
      <c r="AO727" s="77"/>
      <c r="AP727" s="77"/>
      <c r="AQ727" s="77"/>
      <c r="AR727" s="77"/>
    </row>
    <row r="728" spans="1:44" ht="15.75" customHeight="1">
      <c r="A728" s="77"/>
      <c r="B728" s="77"/>
      <c r="C728" s="77"/>
      <c r="D728" s="77"/>
      <c r="E728" s="77"/>
      <c r="F728" s="77"/>
      <c r="G728" s="77"/>
      <c r="H728" s="77"/>
      <c r="I728" s="77"/>
      <c r="J728" s="77"/>
      <c r="K728" s="77"/>
      <c r="L728" s="77"/>
      <c r="M728" s="77"/>
      <c r="N728" s="77"/>
      <c r="O728" s="77"/>
      <c r="P728" s="77"/>
      <c r="Q728" s="77"/>
      <c r="R728" s="77"/>
      <c r="S728" s="77"/>
      <c r="T728" s="77"/>
      <c r="U728" s="77"/>
      <c r="V728" s="77"/>
      <c r="W728" s="77"/>
      <c r="X728" s="77"/>
      <c r="Y728" s="77"/>
      <c r="Z728" s="77"/>
      <c r="AA728" s="77"/>
      <c r="AB728" s="77"/>
      <c r="AC728" s="77"/>
      <c r="AD728" s="77"/>
      <c r="AE728" s="77"/>
      <c r="AF728" s="77"/>
      <c r="AG728" s="77"/>
      <c r="AH728" s="77"/>
      <c r="AI728" s="77"/>
      <c r="AJ728" s="77"/>
      <c r="AK728" s="77"/>
      <c r="AL728" s="77"/>
      <c r="AM728" s="77"/>
      <c r="AN728" s="77"/>
      <c r="AO728" s="77"/>
      <c r="AP728" s="77"/>
      <c r="AQ728" s="77"/>
      <c r="AR728" s="77"/>
    </row>
    <row r="729" spans="1:44" ht="15.75" customHeight="1">
      <c r="A729" s="77"/>
      <c r="B729" s="77"/>
      <c r="C729" s="77"/>
      <c r="D729" s="77"/>
      <c r="E729" s="77"/>
      <c r="F729" s="77"/>
      <c r="G729" s="77"/>
      <c r="H729" s="77"/>
      <c r="I729" s="77"/>
      <c r="J729" s="77"/>
      <c r="K729" s="77"/>
      <c r="L729" s="77"/>
      <c r="M729" s="77"/>
      <c r="N729" s="77"/>
      <c r="O729" s="77"/>
      <c r="P729" s="77"/>
      <c r="Q729" s="77"/>
      <c r="R729" s="77"/>
      <c r="S729" s="77"/>
      <c r="T729" s="77"/>
      <c r="U729" s="77"/>
      <c r="V729" s="77"/>
      <c r="W729" s="77"/>
      <c r="X729" s="77"/>
      <c r="Y729" s="77"/>
      <c r="Z729" s="77"/>
      <c r="AA729" s="77"/>
      <c r="AB729" s="77"/>
      <c r="AC729" s="77"/>
      <c r="AD729" s="77"/>
      <c r="AE729" s="77"/>
      <c r="AF729" s="77"/>
      <c r="AG729" s="77"/>
      <c r="AH729" s="77"/>
      <c r="AI729" s="77"/>
      <c r="AJ729" s="77"/>
      <c r="AK729" s="77"/>
      <c r="AL729" s="77"/>
      <c r="AM729" s="77"/>
      <c r="AN729" s="77"/>
      <c r="AO729" s="77"/>
      <c r="AP729" s="77"/>
      <c r="AQ729" s="77"/>
      <c r="AR729" s="77"/>
    </row>
    <row r="730" spans="1:44" ht="15.75" customHeight="1">
      <c r="A730" s="77"/>
      <c r="B730" s="77"/>
      <c r="C730" s="77"/>
      <c r="D730" s="77"/>
      <c r="E730" s="77"/>
      <c r="F730" s="77"/>
      <c r="G730" s="77"/>
      <c r="H730" s="77"/>
      <c r="I730" s="77"/>
      <c r="J730" s="77"/>
      <c r="K730" s="77"/>
      <c r="L730" s="77"/>
      <c r="M730" s="77"/>
      <c r="N730" s="77"/>
      <c r="O730" s="77"/>
      <c r="P730" s="77"/>
      <c r="Q730" s="77"/>
      <c r="R730" s="77"/>
      <c r="S730" s="77"/>
      <c r="T730" s="77"/>
      <c r="U730" s="77"/>
      <c r="V730" s="77"/>
      <c r="W730" s="77"/>
      <c r="X730" s="77"/>
      <c r="Y730" s="77"/>
      <c r="Z730" s="77"/>
      <c r="AA730" s="77"/>
      <c r="AB730" s="77"/>
      <c r="AC730" s="77"/>
      <c r="AD730" s="77"/>
      <c r="AE730" s="77"/>
      <c r="AF730" s="77"/>
      <c r="AG730" s="77"/>
      <c r="AH730" s="77"/>
      <c r="AI730" s="77"/>
      <c r="AJ730" s="77"/>
      <c r="AK730" s="77"/>
      <c r="AL730" s="77"/>
      <c r="AM730" s="77"/>
      <c r="AN730" s="77"/>
      <c r="AO730" s="77"/>
      <c r="AP730" s="77"/>
      <c r="AQ730" s="77"/>
      <c r="AR730" s="77"/>
    </row>
    <row r="731" spans="1:44" ht="15.75" customHeight="1">
      <c r="A731" s="77"/>
      <c r="B731" s="77"/>
      <c r="C731" s="77"/>
      <c r="D731" s="77"/>
      <c r="E731" s="77"/>
      <c r="F731" s="77"/>
      <c r="G731" s="77"/>
      <c r="H731" s="77"/>
      <c r="I731" s="77"/>
      <c r="J731" s="77"/>
      <c r="K731" s="77"/>
      <c r="L731" s="77"/>
      <c r="M731" s="77"/>
      <c r="N731" s="77"/>
      <c r="O731" s="77"/>
      <c r="P731" s="77"/>
      <c r="Q731" s="77"/>
      <c r="R731" s="77"/>
      <c r="S731" s="77"/>
      <c r="T731" s="77"/>
      <c r="U731" s="77"/>
      <c r="V731" s="77"/>
      <c r="W731" s="77"/>
      <c r="X731" s="77"/>
      <c r="Y731" s="77"/>
      <c r="Z731" s="77"/>
      <c r="AA731" s="77"/>
      <c r="AB731" s="77"/>
      <c r="AC731" s="77"/>
      <c r="AD731" s="77"/>
      <c r="AE731" s="77"/>
      <c r="AF731" s="77"/>
      <c r="AG731" s="77"/>
      <c r="AH731" s="77"/>
      <c r="AI731" s="77"/>
      <c r="AJ731" s="77"/>
      <c r="AK731" s="77"/>
      <c r="AL731" s="77"/>
      <c r="AM731" s="77"/>
      <c r="AN731" s="77"/>
      <c r="AO731" s="77"/>
      <c r="AP731" s="77"/>
      <c r="AQ731" s="77"/>
      <c r="AR731" s="77"/>
    </row>
    <row r="732" spans="1:44" ht="15.75" customHeight="1">
      <c r="A732" s="77"/>
      <c r="B732" s="77"/>
      <c r="C732" s="77"/>
      <c r="D732" s="77"/>
      <c r="E732" s="77"/>
      <c r="F732" s="77"/>
      <c r="G732" s="77"/>
      <c r="H732" s="77"/>
      <c r="I732" s="77"/>
      <c r="J732" s="77"/>
      <c r="K732" s="77"/>
      <c r="L732" s="77"/>
      <c r="M732" s="77"/>
      <c r="N732" s="77"/>
      <c r="O732" s="77"/>
      <c r="P732" s="77"/>
      <c r="Q732" s="77"/>
      <c r="R732" s="77"/>
      <c r="S732" s="77"/>
      <c r="T732" s="77"/>
      <c r="U732" s="77"/>
      <c r="V732" s="77"/>
      <c r="W732" s="77"/>
      <c r="X732" s="77"/>
      <c r="Y732" s="77"/>
      <c r="Z732" s="77"/>
      <c r="AA732" s="77"/>
      <c r="AB732" s="77"/>
      <c r="AC732" s="77"/>
      <c r="AD732" s="77"/>
      <c r="AE732" s="77"/>
      <c r="AF732" s="77"/>
      <c r="AG732" s="77"/>
      <c r="AH732" s="77"/>
      <c r="AI732" s="77"/>
      <c r="AJ732" s="77"/>
      <c r="AK732" s="77"/>
      <c r="AL732" s="77"/>
      <c r="AM732" s="77"/>
      <c r="AN732" s="77"/>
      <c r="AO732" s="77"/>
      <c r="AP732" s="77"/>
      <c r="AQ732" s="77"/>
      <c r="AR732" s="77"/>
    </row>
    <row r="733" spans="1:44" ht="15.75" customHeight="1">
      <c r="A733" s="77"/>
      <c r="B733" s="77"/>
      <c r="C733" s="77"/>
      <c r="D733" s="77"/>
      <c r="E733" s="77"/>
      <c r="F733" s="77"/>
      <c r="G733" s="77"/>
      <c r="H733" s="77"/>
      <c r="I733" s="77"/>
      <c r="J733" s="77"/>
      <c r="K733" s="77"/>
      <c r="L733" s="77"/>
      <c r="M733" s="77"/>
      <c r="N733" s="77"/>
      <c r="O733" s="77"/>
      <c r="P733" s="77"/>
      <c r="Q733" s="77"/>
      <c r="R733" s="77"/>
      <c r="S733" s="77"/>
      <c r="T733" s="77"/>
      <c r="U733" s="77"/>
      <c r="V733" s="77"/>
      <c r="W733" s="77"/>
      <c r="X733" s="77"/>
      <c r="Y733" s="77"/>
      <c r="Z733" s="77"/>
      <c r="AA733" s="77"/>
      <c r="AB733" s="77"/>
      <c r="AC733" s="77"/>
      <c r="AD733" s="77"/>
      <c r="AE733" s="77"/>
      <c r="AF733" s="77"/>
      <c r="AG733" s="77"/>
      <c r="AH733" s="77"/>
      <c r="AI733" s="77"/>
      <c r="AJ733" s="77"/>
      <c r="AK733" s="77"/>
      <c r="AL733" s="77"/>
      <c r="AM733" s="77"/>
      <c r="AN733" s="77"/>
      <c r="AO733" s="77"/>
      <c r="AP733" s="77"/>
      <c r="AQ733" s="77"/>
      <c r="AR733" s="77"/>
    </row>
    <row r="734" spans="1:44" ht="15.75" customHeight="1">
      <c r="A734" s="77"/>
      <c r="B734" s="77"/>
      <c r="C734" s="77"/>
      <c r="D734" s="77"/>
      <c r="E734" s="77"/>
      <c r="F734" s="77"/>
      <c r="G734" s="77"/>
      <c r="H734" s="77"/>
      <c r="I734" s="77"/>
      <c r="J734" s="77"/>
      <c r="K734" s="77"/>
      <c r="L734" s="77"/>
      <c r="M734" s="77"/>
      <c r="N734" s="77"/>
      <c r="O734" s="77"/>
      <c r="P734" s="77"/>
      <c r="Q734" s="77"/>
      <c r="R734" s="77"/>
      <c r="S734" s="77"/>
      <c r="T734" s="77"/>
      <c r="U734" s="77"/>
      <c r="V734" s="77"/>
      <c r="W734" s="77"/>
      <c r="X734" s="77"/>
      <c r="Y734" s="77"/>
      <c r="Z734" s="77"/>
      <c r="AA734" s="77"/>
      <c r="AB734" s="77"/>
      <c r="AC734" s="77"/>
      <c r="AD734" s="77"/>
      <c r="AE734" s="77"/>
      <c r="AF734" s="77"/>
      <c r="AG734" s="77"/>
      <c r="AH734" s="77"/>
      <c r="AI734" s="77"/>
      <c r="AJ734" s="77"/>
      <c r="AK734" s="77"/>
      <c r="AL734" s="77"/>
      <c r="AM734" s="77"/>
      <c r="AN734" s="77"/>
      <c r="AO734" s="77"/>
      <c r="AP734" s="77"/>
      <c r="AQ734" s="77"/>
      <c r="AR734" s="77"/>
    </row>
    <row r="735" spans="1:44" ht="15.75" customHeight="1">
      <c r="A735" s="77"/>
      <c r="B735" s="77"/>
      <c r="C735" s="77"/>
      <c r="D735" s="77"/>
      <c r="E735" s="77"/>
      <c r="F735" s="77"/>
      <c r="G735" s="77"/>
      <c r="H735" s="77"/>
      <c r="I735" s="77"/>
      <c r="J735" s="77"/>
      <c r="K735" s="77"/>
      <c r="L735" s="77"/>
      <c r="M735" s="77"/>
      <c r="N735" s="77"/>
      <c r="O735" s="77"/>
      <c r="P735" s="77"/>
      <c r="Q735" s="77"/>
      <c r="R735" s="77"/>
      <c r="S735" s="77"/>
      <c r="T735" s="77"/>
      <c r="U735" s="77"/>
      <c r="V735" s="77"/>
      <c r="W735" s="77"/>
      <c r="X735" s="77"/>
      <c r="Y735" s="77"/>
      <c r="Z735" s="77"/>
      <c r="AA735" s="77"/>
      <c r="AB735" s="77"/>
      <c r="AC735" s="77"/>
      <c r="AD735" s="77"/>
      <c r="AE735" s="77"/>
      <c r="AF735" s="77"/>
      <c r="AG735" s="77"/>
      <c r="AH735" s="77"/>
      <c r="AI735" s="77"/>
      <c r="AJ735" s="77"/>
      <c r="AK735" s="77"/>
      <c r="AL735" s="77"/>
      <c r="AM735" s="77"/>
      <c r="AN735" s="77"/>
      <c r="AO735" s="77"/>
      <c r="AP735" s="77"/>
      <c r="AQ735" s="77"/>
      <c r="AR735" s="77"/>
    </row>
    <row r="736" spans="1:44" ht="15.75" customHeight="1">
      <c r="A736" s="77"/>
      <c r="B736" s="77"/>
      <c r="C736" s="77"/>
      <c r="D736" s="77"/>
      <c r="E736" s="77"/>
      <c r="F736" s="77"/>
      <c r="G736" s="77"/>
      <c r="H736" s="77"/>
      <c r="I736" s="77"/>
      <c r="J736" s="77"/>
      <c r="K736" s="77"/>
      <c r="L736" s="77"/>
      <c r="M736" s="77"/>
      <c r="N736" s="77"/>
      <c r="O736" s="77"/>
      <c r="P736" s="77"/>
      <c r="Q736" s="77"/>
      <c r="R736" s="77"/>
      <c r="S736" s="77"/>
      <c r="T736" s="77"/>
      <c r="U736" s="77"/>
      <c r="V736" s="77"/>
      <c r="W736" s="77"/>
      <c r="X736" s="77"/>
      <c r="Y736" s="77"/>
      <c r="Z736" s="77"/>
      <c r="AA736" s="77"/>
      <c r="AB736" s="77"/>
      <c r="AC736" s="77"/>
      <c r="AD736" s="77"/>
      <c r="AE736" s="77"/>
      <c r="AF736" s="77"/>
      <c r="AG736" s="77"/>
      <c r="AH736" s="77"/>
      <c r="AI736" s="77"/>
      <c r="AJ736" s="77"/>
      <c r="AK736" s="77"/>
      <c r="AL736" s="77"/>
      <c r="AM736" s="77"/>
      <c r="AN736" s="77"/>
      <c r="AO736" s="77"/>
      <c r="AP736" s="77"/>
      <c r="AQ736" s="77"/>
      <c r="AR736" s="77"/>
    </row>
    <row r="737" spans="1:44" ht="15.75" customHeight="1">
      <c r="A737" s="77"/>
      <c r="B737" s="77"/>
      <c r="C737" s="77"/>
      <c r="D737" s="77"/>
      <c r="E737" s="77"/>
      <c r="F737" s="77"/>
      <c r="G737" s="77"/>
      <c r="H737" s="77"/>
      <c r="I737" s="77"/>
      <c r="J737" s="77"/>
      <c r="K737" s="77"/>
      <c r="L737" s="77"/>
      <c r="M737" s="77"/>
      <c r="N737" s="77"/>
      <c r="O737" s="77"/>
      <c r="P737" s="77"/>
      <c r="Q737" s="77"/>
      <c r="R737" s="77"/>
      <c r="S737" s="77"/>
      <c r="T737" s="77"/>
      <c r="U737" s="77"/>
      <c r="V737" s="77"/>
      <c r="W737" s="77"/>
      <c r="X737" s="77"/>
      <c r="Y737" s="77"/>
      <c r="Z737" s="77"/>
      <c r="AA737" s="77"/>
      <c r="AB737" s="77"/>
      <c r="AC737" s="77"/>
      <c r="AD737" s="77"/>
      <c r="AE737" s="77"/>
      <c r="AF737" s="77"/>
      <c r="AG737" s="77"/>
      <c r="AH737" s="77"/>
      <c r="AI737" s="77"/>
      <c r="AJ737" s="77"/>
      <c r="AK737" s="77"/>
      <c r="AL737" s="77"/>
      <c r="AM737" s="77"/>
      <c r="AN737" s="77"/>
      <c r="AO737" s="77"/>
      <c r="AP737" s="77"/>
      <c r="AQ737" s="77"/>
      <c r="AR737" s="77"/>
    </row>
    <row r="738" spans="1:44" ht="15.75" customHeight="1">
      <c r="A738" s="77"/>
      <c r="B738" s="77"/>
      <c r="C738" s="77"/>
      <c r="D738" s="77"/>
      <c r="E738" s="77"/>
      <c r="F738" s="77"/>
      <c r="G738" s="77"/>
      <c r="H738" s="77"/>
      <c r="I738" s="77"/>
      <c r="J738" s="77"/>
      <c r="K738" s="77"/>
      <c r="L738" s="77"/>
      <c r="M738" s="77"/>
      <c r="N738" s="77"/>
      <c r="O738" s="77"/>
      <c r="P738" s="77"/>
      <c r="Q738" s="77"/>
      <c r="R738" s="77"/>
      <c r="S738" s="77"/>
      <c r="T738" s="77"/>
      <c r="U738" s="77"/>
      <c r="V738" s="77"/>
      <c r="W738" s="77"/>
      <c r="X738" s="77"/>
      <c r="Y738" s="77"/>
      <c r="Z738" s="77"/>
      <c r="AA738" s="77"/>
      <c r="AB738" s="77"/>
      <c r="AC738" s="77"/>
      <c r="AD738" s="77"/>
      <c r="AE738" s="77"/>
      <c r="AF738" s="77"/>
      <c r="AG738" s="77"/>
      <c r="AH738" s="77"/>
      <c r="AI738" s="77"/>
      <c r="AJ738" s="77"/>
      <c r="AK738" s="77"/>
      <c r="AL738" s="77"/>
      <c r="AM738" s="77"/>
      <c r="AN738" s="77"/>
      <c r="AO738" s="77"/>
      <c r="AP738" s="77"/>
      <c r="AQ738" s="77"/>
      <c r="AR738" s="77"/>
    </row>
    <row r="739" spans="1:44" ht="15.75" customHeight="1">
      <c r="A739" s="77"/>
      <c r="B739" s="77"/>
      <c r="C739" s="77"/>
      <c r="D739" s="77"/>
      <c r="E739" s="77"/>
      <c r="F739" s="77"/>
      <c r="G739" s="77"/>
      <c r="H739" s="77"/>
      <c r="I739" s="77"/>
      <c r="J739" s="77"/>
      <c r="K739" s="77"/>
      <c r="L739" s="77"/>
      <c r="M739" s="77"/>
      <c r="N739" s="77"/>
      <c r="O739" s="77"/>
      <c r="P739" s="77"/>
      <c r="Q739" s="77"/>
      <c r="R739" s="77"/>
      <c r="S739" s="77"/>
      <c r="T739" s="77"/>
      <c r="U739" s="77"/>
      <c r="V739" s="77"/>
      <c r="W739" s="77"/>
      <c r="X739" s="77"/>
      <c r="Y739" s="77"/>
      <c r="Z739" s="77"/>
      <c r="AA739" s="77"/>
      <c r="AB739" s="77"/>
      <c r="AC739" s="77"/>
      <c r="AD739" s="77"/>
      <c r="AE739" s="77"/>
      <c r="AF739" s="77"/>
      <c r="AG739" s="77"/>
      <c r="AH739" s="77"/>
      <c r="AI739" s="77"/>
      <c r="AJ739" s="77"/>
      <c r="AK739" s="77"/>
      <c r="AL739" s="77"/>
      <c r="AM739" s="77"/>
      <c r="AN739" s="77"/>
      <c r="AO739" s="77"/>
      <c r="AP739" s="77"/>
      <c r="AQ739" s="77"/>
      <c r="AR739" s="77"/>
    </row>
    <row r="740" spans="1:44" ht="15.75" customHeight="1">
      <c r="A740" s="77"/>
      <c r="B740" s="77"/>
      <c r="C740" s="77"/>
      <c r="D740" s="77"/>
      <c r="E740" s="77"/>
      <c r="F740" s="77"/>
      <c r="G740" s="77"/>
      <c r="H740" s="77"/>
      <c r="I740" s="77"/>
      <c r="J740" s="77"/>
      <c r="K740" s="77"/>
      <c r="L740" s="77"/>
      <c r="M740" s="77"/>
      <c r="N740" s="77"/>
      <c r="O740" s="77"/>
      <c r="P740" s="77"/>
      <c r="Q740" s="77"/>
      <c r="R740" s="77"/>
      <c r="S740" s="77"/>
      <c r="T740" s="77"/>
      <c r="U740" s="77"/>
      <c r="V740" s="77"/>
      <c r="W740" s="77"/>
      <c r="X740" s="77"/>
      <c r="Y740" s="77"/>
      <c r="Z740" s="77"/>
      <c r="AA740" s="77"/>
      <c r="AB740" s="77"/>
      <c r="AC740" s="77"/>
      <c r="AD740" s="77"/>
      <c r="AE740" s="77"/>
      <c r="AF740" s="77"/>
      <c r="AG740" s="77"/>
      <c r="AH740" s="77"/>
      <c r="AI740" s="77"/>
      <c r="AJ740" s="77"/>
      <c r="AK740" s="77"/>
      <c r="AL740" s="77"/>
      <c r="AM740" s="77"/>
      <c r="AN740" s="77"/>
      <c r="AO740" s="77"/>
      <c r="AP740" s="77"/>
      <c r="AQ740" s="77"/>
      <c r="AR740" s="77"/>
    </row>
    <row r="741" spans="1:44" ht="15.75" customHeight="1">
      <c r="A741" s="77"/>
      <c r="B741" s="77"/>
      <c r="C741" s="77"/>
      <c r="D741" s="77"/>
      <c r="E741" s="77"/>
      <c r="F741" s="77"/>
      <c r="G741" s="77"/>
      <c r="H741" s="77"/>
      <c r="I741" s="77"/>
      <c r="J741" s="77"/>
      <c r="K741" s="77"/>
      <c r="L741" s="77"/>
      <c r="M741" s="77"/>
      <c r="N741" s="77"/>
      <c r="O741" s="77"/>
      <c r="P741" s="77"/>
      <c r="Q741" s="77"/>
      <c r="R741" s="77"/>
      <c r="S741" s="77"/>
      <c r="T741" s="77"/>
      <c r="U741" s="77"/>
      <c r="V741" s="77"/>
      <c r="W741" s="77"/>
      <c r="X741" s="77"/>
      <c r="Y741" s="77"/>
      <c r="Z741" s="77"/>
      <c r="AA741" s="77"/>
      <c r="AB741" s="77"/>
      <c r="AC741" s="77"/>
      <c r="AD741" s="77"/>
      <c r="AE741" s="77"/>
      <c r="AF741" s="77"/>
      <c r="AG741" s="77"/>
      <c r="AH741" s="77"/>
      <c r="AI741" s="77"/>
      <c r="AJ741" s="77"/>
      <c r="AK741" s="77"/>
      <c r="AL741" s="77"/>
      <c r="AM741" s="77"/>
      <c r="AN741" s="77"/>
      <c r="AO741" s="77"/>
      <c r="AP741" s="77"/>
      <c r="AQ741" s="77"/>
      <c r="AR741" s="77"/>
    </row>
    <row r="742" spans="1:44" ht="15.75" customHeight="1">
      <c r="A742" s="77"/>
      <c r="B742" s="77"/>
      <c r="C742" s="77"/>
      <c r="D742" s="77"/>
      <c r="E742" s="77"/>
      <c r="F742" s="77"/>
      <c r="G742" s="77"/>
      <c r="H742" s="77"/>
      <c r="I742" s="77"/>
      <c r="J742" s="77"/>
      <c r="K742" s="77"/>
      <c r="L742" s="77"/>
      <c r="M742" s="77"/>
      <c r="N742" s="77"/>
      <c r="O742" s="77"/>
      <c r="P742" s="77"/>
      <c r="Q742" s="77"/>
      <c r="R742" s="77"/>
      <c r="S742" s="77"/>
      <c r="T742" s="77"/>
      <c r="U742" s="77"/>
      <c r="V742" s="77"/>
      <c r="W742" s="77"/>
      <c r="X742" s="77"/>
      <c r="Y742" s="77"/>
      <c r="Z742" s="77"/>
      <c r="AA742" s="77"/>
      <c r="AB742" s="77"/>
      <c r="AC742" s="77"/>
      <c r="AD742" s="77"/>
      <c r="AE742" s="77"/>
      <c r="AF742" s="77"/>
      <c r="AG742" s="77"/>
      <c r="AH742" s="77"/>
      <c r="AI742" s="77"/>
      <c r="AJ742" s="77"/>
      <c r="AK742" s="77"/>
      <c r="AL742" s="77"/>
      <c r="AM742" s="77"/>
      <c r="AN742" s="77"/>
      <c r="AO742" s="77"/>
      <c r="AP742" s="77"/>
      <c r="AQ742" s="77"/>
      <c r="AR742" s="77"/>
    </row>
    <row r="743" spans="1:44" ht="15.75" customHeight="1">
      <c r="A743" s="77"/>
      <c r="B743" s="77"/>
      <c r="C743" s="77"/>
      <c r="D743" s="77"/>
      <c r="E743" s="77"/>
      <c r="F743" s="77"/>
      <c r="G743" s="77"/>
      <c r="H743" s="77"/>
      <c r="I743" s="77"/>
      <c r="J743" s="77"/>
      <c r="K743" s="77"/>
      <c r="L743" s="77"/>
      <c r="M743" s="77"/>
      <c r="N743" s="77"/>
      <c r="O743" s="77"/>
      <c r="P743" s="77"/>
      <c r="Q743" s="77"/>
      <c r="R743" s="77"/>
      <c r="S743" s="77"/>
      <c r="T743" s="77"/>
      <c r="U743" s="77"/>
      <c r="V743" s="77"/>
      <c r="W743" s="77"/>
      <c r="X743" s="77"/>
      <c r="Y743" s="77"/>
      <c r="Z743" s="77"/>
      <c r="AA743" s="77"/>
      <c r="AB743" s="77"/>
      <c r="AC743" s="77"/>
      <c r="AD743" s="77"/>
      <c r="AE743" s="77"/>
      <c r="AF743" s="77"/>
      <c r="AG743" s="77"/>
      <c r="AH743" s="77"/>
      <c r="AI743" s="77"/>
      <c r="AJ743" s="77"/>
      <c r="AK743" s="77"/>
      <c r="AL743" s="77"/>
      <c r="AM743" s="77"/>
      <c r="AN743" s="77"/>
      <c r="AO743" s="77"/>
      <c r="AP743" s="77"/>
      <c r="AQ743" s="77"/>
      <c r="AR743" s="77"/>
    </row>
    <row r="744" spans="1:44" ht="15.75" customHeight="1">
      <c r="A744" s="77"/>
      <c r="B744" s="77"/>
      <c r="C744" s="77"/>
      <c r="D744" s="77"/>
      <c r="E744" s="77"/>
      <c r="F744" s="77"/>
      <c r="G744" s="77"/>
      <c r="H744" s="77"/>
      <c r="I744" s="77"/>
      <c r="J744" s="77"/>
      <c r="K744" s="77"/>
      <c r="L744" s="77"/>
      <c r="M744" s="77"/>
      <c r="N744" s="77"/>
      <c r="O744" s="77"/>
      <c r="P744" s="77"/>
      <c r="Q744" s="77"/>
      <c r="R744" s="77"/>
      <c r="S744" s="77"/>
      <c r="T744" s="77"/>
      <c r="U744" s="77"/>
      <c r="V744" s="77"/>
      <c r="W744" s="77"/>
      <c r="X744" s="77"/>
      <c r="Y744" s="77"/>
      <c r="Z744" s="77"/>
      <c r="AA744" s="77"/>
      <c r="AB744" s="77"/>
      <c r="AC744" s="77"/>
      <c r="AD744" s="77"/>
      <c r="AE744" s="77"/>
      <c r="AF744" s="77"/>
      <c r="AG744" s="77"/>
      <c r="AH744" s="77"/>
      <c r="AI744" s="77"/>
      <c r="AJ744" s="77"/>
      <c r="AK744" s="77"/>
      <c r="AL744" s="77"/>
      <c r="AM744" s="77"/>
      <c r="AN744" s="77"/>
      <c r="AO744" s="77"/>
      <c r="AP744" s="77"/>
      <c r="AQ744" s="77"/>
      <c r="AR744" s="77"/>
    </row>
    <row r="745" spans="1:44" ht="15.75" customHeight="1">
      <c r="A745" s="77"/>
      <c r="B745" s="77"/>
      <c r="C745" s="77"/>
      <c r="D745" s="77"/>
      <c r="E745" s="77"/>
      <c r="F745" s="77"/>
      <c r="G745" s="77"/>
      <c r="H745" s="77"/>
      <c r="I745" s="77"/>
      <c r="J745" s="77"/>
      <c r="K745" s="77"/>
      <c r="L745" s="77"/>
      <c r="M745" s="77"/>
      <c r="N745" s="77"/>
      <c r="O745" s="77"/>
      <c r="P745" s="77"/>
      <c r="Q745" s="77"/>
      <c r="R745" s="77"/>
      <c r="S745" s="77"/>
      <c r="T745" s="77"/>
      <c r="U745" s="77"/>
      <c r="V745" s="77"/>
      <c r="W745" s="77"/>
      <c r="X745" s="77"/>
      <c r="Y745" s="77"/>
      <c r="Z745" s="77"/>
      <c r="AA745" s="77"/>
      <c r="AB745" s="77"/>
      <c r="AC745" s="77"/>
      <c r="AD745" s="77"/>
      <c r="AE745" s="77"/>
      <c r="AF745" s="77"/>
      <c r="AG745" s="77"/>
      <c r="AH745" s="77"/>
      <c r="AI745" s="77"/>
      <c r="AJ745" s="77"/>
      <c r="AK745" s="77"/>
      <c r="AL745" s="77"/>
      <c r="AM745" s="77"/>
      <c r="AN745" s="77"/>
      <c r="AO745" s="77"/>
      <c r="AP745" s="77"/>
      <c r="AQ745" s="77"/>
      <c r="AR745" s="77"/>
    </row>
    <row r="746" spans="1:44" ht="15.75" customHeight="1">
      <c r="A746" s="77"/>
      <c r="B746" s="77"/>
      <c r="C746" s="77"/>
      <c r="D746" s="77"/>
      <c r="E746" s="77"/>
      <c r="F746" s="77"/>
      <c r="G746" s="77"/>
      <c r="H746" s="77"/>
      <c r="I746" s="77"/>
      <c r="J746" s="77"/>
      <c r="K746" s="77"/>
      <c r="L746" s="77"/>
      <c r="M746" s="77"/>
      <c r="N746" s="77"/>
      <c r="O746" s="77"/>
      <c r="P746" s="77"/>
      <c r="Q746" s="77"/>
      <c r="R746" s="77"/>
      <c r="S746" s="77"/>
      <c r="T746" s="77"/>
      <c r="U746" s="77"/>
      <c r="V746" s="77"/>
      <c r="W746" s="77"/>
      <c r="X746" s="77"/>
      <c r="Y746" s="77"/>
      <c r="Z746" s="77"/>
      <c r="AA746" s="77"/>
      <c r="AB746" s="77"/>
      <c r="AC746" s="77"/>
      <c r="AD746" s="77"/>
      <c r="AE746" s="77"/>
      <c r="AF746" s="77"/>
      <c r="AG746" s="77"/>
      <c r="AH746" s="77"/>
      <c r="AI746" s="77"/>
      <c r="AJ746" s="77"/>
      <c r="AK746" s="77"/>
      <c r="AL746" s="77"/>
      <c r="AM746" s="77"/>
      <c r="AN746" s="77"/>
      <c r="AO746" s="77"/>
      <c r="AP746" s="77"/>
      <c r="AQ746" s="77"/>
      <c r="AR746" s="77"/>
    </row>
    <row r="747" spans="1:44" ht="15.75" customHeight="1">
      <c r="A747" s="77"/>
      <c r="B747" s="77"/>
      <c r="C747" s="77"/>
      <c r="D747" s="77"/>
      <c r="E747" s="77"/>
      <c r="F747" s="77"/>
      <c r="G747" s="77"/>
      <c r="H747" s="77"/>
      <c r="I747" s="77"/>
      <c r="J747" s="77"/>
      <c r="K747" s="77"/>
      <c r="L747" s="77"/>
      <c r="M747" s="77"/>
      <c r="N747" s="77"/>
      <c r="O747" s="77"/>
      <c r="P747" s="77"/>
      <c r="Q747" s="77"/>
      <c r="R747" s="77"/>
      <c r="S747" s="77"/>
      <c r="T747" s="77"/>
      <c r="U747" s="77"/>
      <c r="V747" s="77"/>
      <c r="W747" s="77"/>
      <c r="X747" s="77"/>
      <c r="Y747" s="77"/>
      <c r="Z747" s="77"/>
      <c r="AA747" s="77"/>
      <c r="AB747" s="77"/>
      <c r="AC747" s="77"/>
      <c r="AD747" s="77"/>
      <c r="AE747" s="77"/>
      <c r="AF747" s="77"/>
      <c r="AG747" s="77"/>
      <c r="AH747" s="77"/>
      <c r="AI747" s="77"/>
      <c r="AJ747" s="77"/>
      <c r="AK747" s="77"/>
      <c r="AL747" s="77"/>
      <c r="AM747" s="77"/>
      <c r="AN747" s="77"/>
      <c r="AO747" s="77"/>
      <c r="AP747" s="77"/>
      <c r="AQ747" s="77"/>
      <c r="AR747" s="77"/>
    </row>
    <row r="748" spans="1:44" ht="15.75" customHeight="1">
      <c r="A748" s="77"/>
      <c r="B748" s="77"/>
      <c r="C748" s="77"/>
      <c r="D748" s="77"/>
      <c r="E748" s="77"/>
      <c r="F748" s="77"/>
      <c r="G748" s="77"/>
      <c r="H748" s="77"/>
      <c r="I748" s="77"/>
      <c r="J748" s="77"/>
      <c r="K748" s="77"/>
      <c r="L748" s="77"/>
      <c r="M748" s="77"/>
      <c r="N748" s="77"/>
      <c r="O748" s="77"/>
      <c r="P748" s="77"/>
      <c r="Q748" s="77"/>
      <c r="R748" s="77"/>
      <c r="S748" s="77"/>
      <c r="T748" s="77"/>
      <c r="U748" s="77"/>
      <c r="V748" s="77"/>
      <c r="W748" s="77"/>
      <c r="X748" s="77"/>
      <c r="Y748" s="77"/>
      <c r="Z748" s="77"/>
      <c r="AA748" s="77"/>
      <c r="AB748" s="77"/>
      <c r="AC748" s="77"/>
      <c r="AD748" s="77"/>
      <c r="AE748" s="77"/>
      <c r="AF748" s="77"/>
      <c r="AG748" s="77"/>
      <c r="AH748" s="77"/>
      <c r="AI748" s="77"/>
      <c r="AJ748" s="77"/>
      <c r="AK748" s="77"/>
      <c r="AL748" s="77"/>
      <c r="AM748" s="77"/>
      <c r="AN748" s="77"/>
      <c r="AO748" s="77"/>
      <c r="AP748" s="77"/>
      <c r="AQ748" s="77"/>
      <c r="AR748" s="77"/>
    </row>
    <row r="749" spans="1:44" ht="15.75" customHeight="1">
      <c r="A749" s="77"/>
      <c r="B749" s="77"/>
      <c r="C749" s="77"/>
      <c r="D749" s="77"/>
      <c r="E749" s="77"/>
      <c r="F749" s="77"/>
      <c r="G749" s="77"/>
      <c r="H749" s="77"/>
      <c r="I749" s="77"/>
      <c r="J749" s="77"/>
      <c r="K749" s="77"/>
      <c r="L749" s="77"/>
      <c r="M749" s="77"/>
      <c r="N749" s="77"/>
      <c r="O749" s="77"/>
      <c r="P749" s="77"/>
      <c r="Q749" s="77"/>
      <c r="R749" s="77"/>
      <c r="S749" s="77"/>
      <c r="T749" s="77"/>
      <c r="U749" s="77"/>
      <c r="V749" s="77"/>
      <c r="W749" s="77"/>
      <c r="X749" s="77"/>
      <c r="Y749" s="77"/>
      <c r="Z749" s="77"/>
      <c r="AA749" s="77"/>
      <c r="AB749" s="77"/>
      <c r="AC749" s="77"/>
      <c r="AD749" s="77"/>
      <c r="AE749" s="77"/>
      <c r="AF749" s="77"/>
      <c r="AG749" s="77"/>
      <c r="AH749" s="77"/>
      <c r="AI749" s="77"/>
      <c r="AJ749" s="77"/>
      <c r="AK749" s="77"/>
      <c r="AL749" s="77"/>
      <c r="AM749" s="77"/>
      <c r="AN749" s="77"/>
      <c r="AO749" s="77"/>
      <c r="AP749" s="77"/>
      <c r="AQ749" s="77"/>
      <c r="AR749" s="77"/>
    </row>
    <row r="750" spans="1:44" ht="15.75" customHeight="1">
      <c r="A750" s="77"/>
      <c r="B750" s="77"/>
      <c r="C750" s="77"/>
      <c r="D750" s="77"/>
      <c r="E750" s="77"/>
      <c r="F750" s="77"/>
      <c r="G750" s="77"/>
      <c r="H750" s="77"/>
      <c r="I750" s="77"/>
      <c r="J750" s="77"/>
      <c r="K750" s="77"/>
      <c r="L750" s="77"/>
      <c r="M750" s="77"/>
      <c r="N750" s="77"/>
      <c r="O750" s="77"/>
      <c r="P750" s="77"/>
      <c r="Q750" s="77"/>
      <c r="R750" s="77"/>
      <c r="S750" s="77"/>
      <c r="T750" s="77"/>
      <c r="U750" s="77"/>
      <c r="V750" s="77"/>
      <c r="W750" s="77"/>
      <c r="X750" s="77"/>
      <c r="Y750" s="77"/>
      <c r="Z750" s="77"/>
      <c r="AA750" s="77"/>
      <c r="AB750" s="77"/>
      <c r="AC750" s="77"/>
      <c r="AD750" s="77"/>
      <c r="AE750" s="77"/>
      <c r="AF750" s="77"/>
      <c r="AG750" s="77"/>
      <c r="AH750" s="77"/>
      <c r="AI750" s="77"/>
      <c r="AJ750" s="77"/>
      <c r="AK750" s="77"/>
      <c r="AL750" s="77"/>
      <c r="AM750" s="77"/>
      <c r="AN750" s="77"/>
      <c r="AO750" s="77"/>
      <c r="AP750" s="77"/>
      <c r="AQ750" s="77"/>
      <c r="AR750" s="77"/>
    </row>
    <row r="751" spans="1:44" ht="15.75" customHeight="1">
      <c r="A751" s="77"/>
      <c r="B751" s="77"/>
      <c r="C751" s="77"/>
      <c r="D751" s="77"/>
      <c r="E751" s="77"/>
      <c r="F751" s="77"/>
      <c r="G751" s="77"/>
      <c r="H751" s="77"/>
      <c r="I751" s="77"/>
      <c r="J751" s="77"/>
      <c r="K751" s="77"/>
      <c r="L751" s="77"/>
      <c r="M751" s="77"/>
      <c r="N751" s="77"/>
      <c r="O751" s="77"/>
      <c r="P751" s="77"/>
      <c r="Q751" s="77"/>
      <c r="R751" s="77"/>
      <c r="S751" s="77"/>
      <c r="T751" s="77"/>
      <c r="U751" s="77"/>
      <c r="V751" s="77"/>
      <c r="W751" s="77"/>
      <c r="X751" s="77"/>
      <c r="Y751" s="77"/>
      <c r="Z751" s="77"/>
      <c r="AA751" s="77"/>
      <c r="AB751" s="77"/>
      <c r="AC751" s="77"/>
      <c r="AD751" s="77"/>
      <c r="AE751" s="77"/>
      <c r="AF751" s="77"/>
      <c r="AG751" s="77"/>
      <c r="AH751" s="77"/>
      <c r="AI751" s="77"/>
      <c r="AJ751" s="77"/>
      <c r="AK751" s="77"/>
      <c r="AL751" s="77"/>
      <c r="AM751" s="77"/>
      <c r="AN751" s="77"/>
      <c r="AO751" s="77"/>
      <c r="AP751" s="77"/>
      <c r="AQ751" s="77"/>
      <c r="AR751" s="77"/>
    </row>
    <row r="752" spans="1:44" ht="15.75" customHeight="1">
      <c r="A752" s="77"/>
      <c r="B752" s="77"/>
      <c r="C752" s="77"/>
      <c r="D752" s="77"/>
      <c r="E752" s="77"/>
      <c r="F752" s="77"/>
      <c r="G752" s="77"/>
      <c r="H752" s="77"/>
      <c r="I752" s="77"/>
      <c r="J752" s="77"/>
      <c r="K752" s="77"/>
      <c r="L752" s="77"/>
      <c r="M752" s="77"/>
      <c r="N752" s="77"/>
      <c r="O752" s="77"/>
      <c r="P752" s="77"/>
      <c r="Q752" s="77"/>
      <c r="R752" s="77"/>
      <c r="S752" s="77"/>
      <c r="T752" s="77"/>
      <c r="U752" s="77"/>
      <c r="V752" s="77"/>
      <c r="W752" s="77"/>
      <c r="X752" s="77"/>
      <c r="Y752" s="77"/>
      <c r="Z752" s="77"/>
      <c r="AA752" s="77"/>
      <c r="AB752" s="77"/>
      <c r="AC752" s="77"/>
      <c r="AD752" s="77"/>
      <c r="AE752" s="77"/>
      <c r="AF752" s="77"/>
      <c r="AG752" s="77"/>
      <c r="AH752" s="77"/>
      <c r="AI752" s="77"/>
      <c r="AJ752" s="77"/>
      <c r="AK752" s="77"/>
      <c r="AL752" s="77"/>
      <c r="AM752" s="77"/>
      <c r="AN752" s="77"/>
      <c r="AO752" s="77"/>
      <c r="AP752" s="77"/>
      <c r="AQ752" s="77"/>
      <c r="AR752" s="77"/>
    </row>
    <row r="753" spans="1:44" ht="15.75" customHeight="1">
      <c r="A753" s="77"/>
      <c r="B753" s="77"/>
      <c r="C753" s="77"/>
      <c r="D753" s="77"/>
      <c r="E753" s="77"/>
      <c r="F753" s="77"/>
      <c r="G753" s="77"/>
      <c r="H753" s="77"/>
      <c r="I753" s="77"/>
      <c r="J753" s="77"/>
      <c r="K753" s="77"/>
      <c r="L753" s="77"/>
      <c r="M753" s="77"/>
      <c r="N753" s="77"/>
      <c r="O753" s="77"/>
      <c r="P753" s="77"/>
      <c r="Q753" s="77"/>
      <c r="R753" s="77"/>
      <c r="S753" s="77"/>
      <c r="T753" s="77"/>
      <c r="U753" s="77"/>
      <c r="V753" s="77"/>
      <c r="W753" s="77"/>
      <c r="X753" s="77"/>
      <c r="Y753" s="77"/>
      <c r="Z753" s="77"/>
      <c r="AA753" s="77"/>
      <c r="AB753" s="77"/>
      <c r="AC753" s="77"/>
      <c r="AD753" s="77"/>
      <c r="AE753" s="77"/>
      <c r="AF753" s="77"/>
      <c r="AG753" s="77"/>
      <c r="AH753" s="77"/>
      <c r="AI753" s="77"/>
      <c r="AJ753" s="77"/>
      <c r="AK753" s="77"/>
      <c r="AL753" s="77"/>
      <c r="AM753" s="77"/>
      <c r="AN753" s="77"/>
      <c r="AO753" s="77"/>
      <c r="AP753" s="77"/>
      <c r="AQ753" s="77"/>
      <c r="AR753" s="77"/>
    </row>
    <row r="754" spans="1:44" ht="15.75" customHeight="1">
      <c r="A754" s="77"/>
      <c r="B754" s="77"/>
      <c r="C754" s="77"/>
      <c r="D754" s="77"/>
      <c r="E754" s="77"/>
      <c r="F754" s="77"/>
      <c r="G754" s="77"/>
      <c r="H754" s="77"/>
      <c r="I754" s="77"/>
      <c r="J754" s="77"/>
      <c r="K754" s="77"/>
      <c r="L754" s="77"/>
      <c r="M754" s="77"/>
      <c r="N754" s="77"/>
      <c r="O754" s="77"/>
      <c r="P754" s="77"/>
      <c r="Q754" s="77"/>
      <c r="R754" s="77"/>
      <c r="S754" s="77"/>
      <c r="T754" s="77"/>
      <c r="U754" s="77"/>
      <c r="V754" s="77"/>
      <c r="W754" s="77"/>
      <c r="X754" s="77"/>
      <c r="Y754" s="77"/>
      <c r="Z754" s="77"/>
      <c r="AA754" s="77"/>
      <c r="AB754" s="77"/>
      <c r="AC754" s="77"/>
      <c r="AD754" s="77"/>
      <c r="AE754" s="77"/>
      <c r="AF754" s="77"/>
      <c r="AG754" s="77"/>
      <c r="AH754" s="77"/>
      <c r="AI754" s="77"/>
      <c r="AJ754" s="77"/>
      <c r="AK754" s="77"/>
      <c r="AL754" s="77"/>
      <c r="AM754" s="77"/>
      <c r="AN754" s="77"/>
      <c r="AO754" s="77"/>
      <c r="AP754" s="77"/>
      <c r="AQ754" s="77"/>
      <c r="AR754" s="77"/>
    </row>
    <row r="755" spans="1:44" ht="15.75" customHeight="1">
      <c r="A755" s="77"/>
      <c r="B755" s="77"/>
      <c r="C755" s="77"/>
      <c r="D755" s="77"/>
      <c r="E755" s="77"/>
      <c r="F755" s="77"/>
      <c r="G755" s="77"/>
      <c r="H755" s="77"/>
      <c r="I755" s="77"/>
      <c r="J755" s="77"/>
      <c r="K755" s="77"/>
      <c r="L755" s="77"/>
      <c r="M755" s="77"/>
      <c r="N755" s="77"/>
      <c r="O755" s="77"/>
      <c r="P755" s="77"/>
      <c r="Q755" s="77"/>
      <c r="R755" s="77"/>
      <c r="S755" s="77"/>
      <c r="T755" s="77"/>
      <c r="U755" s="77"/>
      <c r="V755" s="77"/>
      <c r="W755" s="77"/>
      <c r="X755" s="77"/>
      <c r="Y755" s="77"/>
      <c r="Z755" s="77"/>
      <c r="AA755" s="77"/>
      <c r="AB755" s="77"/>
      <c r="AC755" s="77"/>
      <c r="AD755" s="77"/>
      <c r="AE755" s="77"/>
      <c r="AF755" s="77"/>
      <c r="AG755" s="77"/>
      <c r="AH755" s="77"/>
      <c r="AI755" s="77"/>
      <c r="AJ755" s="77"/>
      <c r="AK755" s="77"/>
      <c r="AL755" s="77"/>
      <c r="AM755" s="77"/>
      <c r="AN755" s="77"/>
      <c r="AO755" s="77"/>
      <c r="AP755" s="77"/>
      <c r="AQ755" s="77"/>
      <c r="AR755" s="77"/>
    </row>
    <row r="756" spans="1:44" ht="15.75" customHeight="1">
      <c r="A756" s="77"/>
      <c r="B756" s="77"/>
      <c r="C756" s="77"/>
      <c r="D756" s="77"/>
      <c r="E756" s="77"/>
      <c r="F756" s="77"/>
      <c r="G756" s="77"/>
      <c r="H756" s="77"/>
      <c r="I756" s="77"/>
      <c r="J756" s="77"/>
      <c r="K756" s="77"/>
      <c r="L756" s="77"/>
      <c r="M756" s="77"/>
      <c r="N756" s="77"/>
      <c r="O756" s="77"/>
      <c r="P756" s="77"/>
      <c r="Q756" s="77"/>
      <c r="R756" s="77"/>
      <c r="S756" s="77"/>
      <c r="T756" s="77"/>
      <c r="U756" s="77"/>
      <c r="V756" s="77"/>
      <c r="W756" s="77"/>
      <c r="X756" s="77"/>
      <c r="Y756" s="77"/>
      <c r="Z756" s="77"/>
      <c r="AA756" s="77"/>
      <c r="AB756" s="77"/>
      <c r="AC756" s="77"/>
      <c r="AD756" s="77"/>
      <c r="AE756" s="77"/>
      <c r="AF756" s="77"/>
      <c r="AG756" s="77"/>
      <c r="AH756" s="77"/>
      <c r="AI756" s="77"/>
      <c r="AJ756" s="77"/>
      <c r="AK756" s="77"/>
      <c r="AL756" s="77"/>
      <c r="AM756" s="77"/>
      <c r="AN756" s="77"/>
      <c r="AO756" s="77"/>
      <c r="AP756" s="77"/>
      <c r="AQ756" s="77"/>
      <c r="AR756" s="77"/>
    </row>
    <row r="757" spans="1:44" ht="15.75" customHeight="1">
      <c r="A757" s="77"/>
      <c r="B757" s="77"/>
      <c r="C757" s="77"/>
      <c r="D757" s="77"/>
      <c r="E757" s="77"/>
      <c r="F757" s="77"/>
      <c r="G757" s="77"/>
      <c r="H757" s="77"/>
      <c r="I757" s="77"/>
      <c r="J757" s="77"/>
      <c r="K757" s="77"/>
      <c r="L757" s="77"/>
      <c r="M757" s="77"/>
      <c r="N757" s="77"/>
      <c r="O757" s="77"/>
      <c r="P757" s="77"/>
      <c r="Q757" s="77"/>
      <c r="R757" s="77"/>
      <c r="S757" s="77"/>
      <c r="T757" s="77"/>
      <c r="U757" s="77"/>
      <c r="V757" s="77"/>
      <c r="W757" s="77"/>
      <c r="X757" s="77"/>
      <c r="Y757" s="77"/>
      <c r="Z757" s="77"/>
      <c r="AA757" s="77"/>
      <c r="AB757" s="77"/>
      <c r="AC757" s="77"/>
      <c r="AD757" s="77"/>
      <c r="AE757" s="77"/>
      <c r="AF757" s="77"/>
      <c r="AG757" s="77"/>
      <c r="AH757" s="77"/>
      <c r="AI757" s="77"/>
      <c r="AJ757" s="77"/>
      <c r="AK757" s="77"/>
      <c r="AL757" s="77"/>
      <c r="AM757" s="77"/>
      <c r="AN757" s="77"/>
      <c r="AO757" s="77"/>
      <c r="AP757" s="77"/>
      <c r="AQ757" s="77"/>
      <c r="AR757" s="77"/>
    </row>
    <row r="758" spans="1:44" ht="15.75" customHeight="1">
      <c r="A758" s="77"/>
      <c r="B758" s="77"/>
      <c r="C758" s="77"/>
      <c r="D758" s="77"/>
      <c r="E758" s="77"/>
      <c r="F758" s="77"/>
      <c r="G758" s="77"/>
      <c r="H758" s="77"/>
      <c r="I758" s="77"/>
      <c r="J758" s="77"/>
      <c r="K758" s="77"/>
      <c r="L758" s="77"/>
      <c r="M758" s="77"/>
      <c r="N758" s="77"/>
      <c r="O758" s="77"/>
      <c r="P758" s="77"/>
      <c r="Q758" s="77"/>
      <c r="R758" s="77"/>
      <c r="S758" s="77"/>
      <c r="T758" s="77"/>
      <c r="U758" s="77"/>
      <c r="V758" s="77"/>
      <c r="W758" s="77"/>
      <c r="X758" s="77"/>
      <c r="Y758" s="77"/>
      <c r="Z758" s="77"/>
      <c r="AA758" s="77"/>
      <c r="AB758" s="77"/>
      <c r="AC758" s="77"/>
      <c r="AD758" s="77"/>
      <c r="AE758" s="77"/>
      <c r="AF758" s="77"/>
      <c r="AG758" s="77"/>
      <c r="AH758" s="77"/>
      <c r="AI758" s="77"/>
      <c r="AJ758" s="77"/>
      <c r="AK758" s="77"/>
      <c r="AL758" s="77"/>
      <c r="AM758" s="77"/>
      <c r="AN758" s="77"/>
      <c r="AO758" s="77"/>
      <c r="AP758" s="77"/>
      <c r="AQ758" s="77"/>
      <c r="AR758" s="77"/>
    </row>
    <row r="759" spans="1:44" ht="15.75" customHeight="1">
      <c r="A759" s="77"/>
      <c r="B759" s="77"/>
      <c r="C759" s="77"/>
      <c r="D759" s="77"/>
      <c r="E759" s="77"/>
      <c r="F759" s="77"/>
      <c r="G759" s="77"/>
      <c r="H759" s="77"/>
      <c r="I759" s="77"/>
      <c r="J759" s="77"/>
      <c r="K759" s="77"/>
      <c r="L759" s="77"/>
      <c r="M759" s="77"/>
      <c r="N759" s="77"/>
      <c r="O759" s="77"/>
      <c r="P759" s="77"/>
      <c r="Q759" s="77"/>
      <c r="R759" s="77"/>
      <c r="S759" s="77"/>
      <c r="T759" s="77"/>
      <c r="U759" s="77"/>
      <c r="V759" s="77"/>
      <c r="W759" s="77"/>
      <c r="X759" s="77"/>
      <c r="Y759" s="77"/>
      <c r="Z759" s="77"/>
      <c r="AA759" s="77"/>
      <c r="AB759" s="77"/>
      <c r="AC759" s="77"/>
      <c r="AD759" s="77"/>
      <c r="AE759" s="77"/>
      <c r="AF759" s="77"/>
      <c r="AG759" s="77"/>
      <c r="AH759" s="77"/>
      <c r="AI759" s="77"/>
      <c r="AJ759" s="77"/>
      <c r="AK759" s="77"/>
      <c r="AL759" s="77"/>
      <c r="AM759" s="77"/>
      <c r="AN759" s="77"/>
      <c r="AO759" s="77"/>
      <c r="AP759" s="77"/>
      <c r="AQ759" s="77"/>
      <c r="AR759" s="77"/>
    </row>
    <row r="760" spans="1:44" ht="15.75" customHeight="1">
      <c r="A760" s="77"/>
      <c r="B760" s="77"/>
      <c r="C760" s="77"/>
      <c r="D760" s="77"/>
      <c r="E760" s="77"/>
      <c r="F760" s="77"/>
      <c r="G760" s="77"/>
      <c r="H760" s="77"/>
      <c r="I760" s="77"/>
      <c r="J760" s="77"/>
      <c r="K760" s="77"/>
      <c r="L760" s="77"/>
      <c r="M760" s="77"/>
      <c r="N760" s="77"/>
      <c r="O760" s="77"/>
      <c r="P760" s="77"/>
      <c r="Q760" s="77"/>
      <c r="R760" s="77"/>
      <c r="S760" s="77"/>
      <c r="T760" s="77"/>
      <c r="U760" s="77"/>
      <c r="V760" s="77"/>
      <c r="W760" s="77"/>
      <c r="X760" s="77"/>
      <c r="Y760" s="77"/>
      <c r="Z760" s="77"/>
      <c r="AA760" s="77"/>
      <c r="AB760" s="77"/>
      <c r="AC760" s="77"/>
      <c r="AD760" s="77"/>
      <c r="AE760" s="77"/>
      <c r="AF760" s="77"/>
      <c r="AG760" s="77"/>
      <c r="AH760" s="77"/>
      <c r="AI760" s="77"/>
      <c r="AJ760" s="77"/>
      <c r="AK760" s="77"/>
      <c r="AL760" s="77"/>
      <c r="AM760" s="77"/>
      <c r="AN760" s="77"/>
      <c r="AO760" s="77"/>
      <c r="AP760" s="77"/>
      <c r="AQ760" s="77"/>
      <c r="AR760" s="77"/>
    </row>
    <row r="761" spans="1:44" ht="15.75" customHeight="1">
      <c r="A761" s="77"/>
      <c r="B761" s="77"/>
      <c r="C761" s="77"/>
      <c r="D761" s="77"/>
      <c r="E761" s="77"/>
      <c r="F761" s="77"/>
      <c r="G761" s="77"/>
      <c r="H761" s="77"/>
      <c r="I761" s="77"/>
      <c r="J761" s="77"/>
      <c r="K761" s="77"/>
      <c r="L761" s="77"/>
      <c r="M761" s="77"/>
      <c r="N761" s="77"/>
      <c r="O761" s="77"/>
      <c r="P761" s="77"/>
      <c r="Q761" s="77"/>
      <c r="R761" s="77"/>
      <c r="S761" s="77"/>
      <c r="T761" s="77"/>
      <c r="U761" s="77"/>
      <c r="V761" s="77"/>
      <c r="W761" s="77"/>
      <c r="X761" s="77"/>
      <c r="Y761" s="77"/>
      <c r="Z761" s="77"/>
      <c r="AA761" s="77"/>
      <c r="AB761" s="77"/>
      <c r="AC761" s="77"/>
      <c r="AD761" s="77"/>
      <c r="AE761" s="77"/>
      <c r="AF761" s="77"/>
      <c r="AG761" s="77"/>
      <c r="AH761" s="77"/>
      <c r="AI761" s="77"/>
      <c r="AJ761" s="77"/>
      <c r="AK761" s="77"/>
      <c r="AL761" s="77"/>
      <c r="AM761" s="77"/>
      <c r="AN761" s="77"/>
      <c r="AO761" s="77"/>
      <c r="AP761" s="77"/>
      <c r="AQ761" s="77"/>
      <c r="AR761" s="77"/>
    </row>
    <row r="762" spans="1:44" ht="15.75" customHeight="1">
      <c r="A762" s="77"/>
      <c r="B762" s="77"/>
      <c r="C762" s="77"/>
      <c r="D762" s="77"/>
      <c r="E762" s="77"/>
      <c r="F762" s="77"/>
      <c r="G762" s="77"/>
      <c r="H762" s="77"/>
      <c r="I762" s="77"/>
      <c r="J762" s="77"/>
      <c r="K762" s="77"/>
      <c r="L762" s="77"/>
      <c r="M762" s="77"/>
      <c r="N762" s="77"/>
      <c r="O762" s="77"/>
      <c r="P762" s="77"/>
      <c r="Q762" s="77"/>
      <c r="R762" s="77"/>
      <c r="S762" s="77"/>
      <c r="T762" s="77"/>
      <c r="U762" s="77"/>
      <c r="V762" s="77"/>
      <c r="W762" s="77"/>
      <c r="X762" s="77"/>
      <c r="Y762" s="77"/>
      <c r="Z762" s="77"/>
      <c r="AA762" s="77"/>
      <c r="AB762" s="77"/>
      <c r="AC762" s="77"/>
      <c r="AD762" s="77"/>
      <c r="AE762" s="77"/>
      <c r="AF762" s="77"/>
      <c r="AG762" s="77"/>
      <c r="AH762" s="77"/>
      <c r="AI762" s="77"/>
      <c r="AJ762" s="77"/>
      <c r="AK762" s="77"/>
      <c r="AL762" s="77"/>
      <c r="AM762" s="77"/>
      <c r="AN762" s="77"/>
      <c r="AO762" s="77"/>
      <c r="AP762" s="77"/>
      <c r="AQ762" s="77"/>
      <c r="AR762" s="77"/>
    </row>
    <row r="763" spans="1:44" ht="15.75" customHeight="1">
      <c r="A763" s="77"/>
      <c r="B763" s="77"/>
      <c r="C763" s="77"/>
      <c r="D763" s="77"/>
      <c r="E763" s="77"/>
      <c r="F763" s="77"/>
      <c r="G763" s="77"/>
      <c r="H763" s="77"/>
      <c r="I763" s="77"/>
      <c r="J763" s="77"/>
      <c r="K763" s="77"/>
      <c r="L763" s="77"/>
      <c r="M763" s="77"/>
      <c r="N763" s="77"/>
      <c r="O763" s="77"/>
      <c r="P763" s="77"/>
      <c r="Q763" s="77"/>
      <c r="R763" s="77"/>
      <c r="S763" s="77"/>
      <c r="T763" s="77"/>
      <c r="U763" s="77"/>
      <c r="V763" s="77"/>
      <c r="W763" s="77"/>
      <c r="X763" s="77"/>
      <c r="Y763" s="77"/>
      <c r="Z763" s="77"/>
      <c r="AA763" s="77"/>
      <c r="AB763" s="77"/>
      <c r="AC763" s="77"/>
      <c r="AD763" s="77"/>
      <c r="AE763" s="77"/>
      <c r="AF763" s="77"/>
      <c r="AG763" s="77"/>
      <c r="AH763" s="77"/>
      <c r="AI763" s="77"/>
      <c r="AJ763" s="77"/>
      <c r="AK763" s="77"/>
      <c r="AL763" s="77"/>
      <c r="AM763" s="77"/>
      <c r="AN763" s="77"/>
      <c r="AO763" s="77"/>
      <c r="AP763" s="77"/>
      <c r="AQ763" s="77"/>
      <c r="AR763" s="77"/>
    </row>
    <row r="764" spans="1:44" ht="15.75" customHeight="1">
      <c r="A764" s="77"/>
      <c r="B764" s="77"/>
      <c r="C764" s="77"/>
      <c r="D764" s="77"/>
      <c r="E764" s="77"/>
      <c r="F764" s="77"/>
      <c r="G764" s="77"/>
      <c r="H764" s="77"/>
      <c r="I764" s="77"/>
      <c r="J764" s="77"/>
      <c r="K764" s="77"/>
      <c r="L764" s="77"/>
      <c r="M764" s="77"/>
      <c r="N764" s="77"/>
      <c r="O764" s="77"/>
      <c r="P764" s="77"/>
      <c r="Q764" s="77"/>
      <c r="R764" s="77"/>
      <c r="S764" s="77"/>
      <c r="T764" s="77"/>
      <c r="U764" s="77"/>
      <c r="V764" s="77"/>
      <c r="W764" s="77"/>
      <c r="X764" s="77"/>
      <c r="Y764" s="77"/>
      <c r="Z764" s="77"/>
      <c r="AA764" s="77"/>
      <c r="AB764" s="77"/>
      <c r="AC764" s="77"/>
      <c r="AD764" s="77"/>
      <c r="AE764" s="77"/>
      <c r="AF764" s="77"/>
      <c r="AG764" s="77"/>
      <c r="AH764" s="77"/>
      <c r="AI764" s="77"/>
      <c r="AJ764" s="77"/>
      <c r="AK764" s="77"/>
      <c r="AL764" s="77"/>
      <c r="AM764" s="77"/>
      <c r="AN764" s="77"/>
      <c r="AO764" s="77"/>
      <c r="AP764" s="77"/>
      <c r="AQ764" s="77"/>
      <c r="AR764" s="77"/>
    </row>
    <row r="765" spans="1:44" ht="15.75" customHeight="1">
      <c r="A765" s="77"/>
      <c r="B765" s="77"/>
      <c r="C765" s="77"/>
      <c r="D765" s="77"/>
      <c r="E765" s="77"/>
      <c r="F765" s="77"/>
      <c r="G765" s="77"/>
      <c r="H765" s="77"/>
      <c r="I765" s="77"/>
      <c r="J765" s="77"/>
      <c r="K765" s="77"/>
      <c r="L765" s="77"/>
      <c r="M765" s="77"/>
      <c r="N765" s="77"/>
      <c r="O765" s="77"/>
      <c r="P765" s="77"/>
      <c r="Q765" s="77"/>
      <c r="R765" s="77"/>
      <c r="S765" s="77"/>
      <c r="T765" s="77"/>
      <c r="U765" s="77"/>
      <c r="V765" s="77"/>
      <c r="W765" s="77"/>
      <c r="X765" s="77"/>
      <c r="Y765" s="77"/>
      <c r="Z765" s="77"/>
      <c r="AA765" s="77"/>
      <c r="AB765" s="77"/>
      <c r="AC765" s="77"/>
      <c r="AD765" s="77"/>
      <c r="AE765" s="77"/>
      <c r="AF765" s="77"/>
      <c r="AG765" s="77"/>
      <c r="AH765" s="77"/>
      <c r="AI765" s="77"/>
      <c r="AJ765" s="77"/>
      <c r="AK765" s="77"/>
      <c r="AL765" s="77"/>
      <c r="AM765" s="77"/>
      <c r="AN765" s="77"/>
      <c r="AO765" s="77"/>
      <c r="AP765" s="77"/>
      <c r="AQ765" s="77"/>
      <c r="AR765" s="77"/>
    </row>
    <row r="766" spans="1:44" ht="15.75" customHeight="1">
      <c r="A766" s="77"/>
      <c r="B766" s="77"/>
      <c r="C766" s="77"/>
      <c r="D766" s="77"/>
      <c r="E766" s="77"/>
      <c r="F766" s="77"/>
      <c r="G766" s="77"/>
      <c r="H766" s="77"/>
      <c r="I766" s="77"/>
      <c r="J766" s="77"/>
      <c r="K766" s="77"/>
      <c r="L766" s="77"/>
      <c r="M766" s="77"/>
      <c r="N766" s="77"/>
      <c r="O766" s="77"/>
      <c r="P766" s="77"/>
      <c r="Q766" s="77"/>
      <c r="R766" s="77"/>
      <c r="S766" s="77"/>
      <c r="T766" s="77"/>
      <c r="U766" s="77"/>
      <c r="V766" s="77"/>
      <c r="W766" s="77"/>
      <c r="X766" s="77"/>
      <c r="Y766" s="77"/>
      <c r="Z766" s="77"/>
      <c r="AA766" s="77"/>
      <c r="AB766" s="77"/>
      <c r="AC766" s="77"/>
      <c r="AD766" s="77"/>
      <c r="AE766" s="77"/>
      <c r="AF766" s="77"/>
      <c r="AG766" s="77"/>
      <c r="AH766" s="77"/>
      <c r="AI766" s="77"/>
      <c r="AJ766" s="77"/>
      <c r="AK766" s="77"/>
      <c r="AL766" s="77"/>
      <c r="AM766" s="77"/>
      <c r="AN766" s="77"/>
      <c r="AO766" s="77"/>
      <c r="AP766" s="77"/>
      <c r="AQ766" s="77"/>
      <c r="AR766" s="77"/>
    </row>
    <row r="767" spans="1:44" ht="15.75" customHeight="1">
      <c r="A767" s="77"/>
      <c r="B767" s="77"/>
      <c r="C767" s="77"/>
      <c r="D767" s="77"/>
      <c r="E767" s="77"/>
      <c r="F767" s="77"/>
      <c r="G767" s="77"/>
      <c r="H767" s="77"/>
      <c r="I767" s="77"/>
      <c r="J767" s="77"/>
      <c r="K767" s="77"/>
      <c r="L767" s="77"/>
      <c r="M767" s="77"/>
      <c r="N767" s="77"/>
      <c r="O767" s="77"/>
      <c r="P767" s="77"/>
      <c r="Q767" s="77"/>
      <c r="R767" s="77"/>
      <c r="S767" s="77"/>
      <c r="T767" s="77"/>
      <c r="U767" s="77"/>
      <c r="V767" s="77"/>
      <c r="W767" s="77"/>
      <c r="X767" s="77"/>
      <c r="Y767" s="77"/>
      <c r="Z767" s="77"/>
      <c r="AA767" s="77"/>
      <c r="AB767" s="77"/>
      <c r="AC767" s="77"/>
      <c r="AD767" s="77"/>
      <c r="AE767" s="77"/>
      <c r="AF767" s="77"/>
      <c r="AG767" s="77"/>
      <c r="AH767" s="77"/>
      <c r="AI767" s="77"/>
      <c r="AJ767" s="77"/>
      <c r="AK767" s="77"/>
      <c r="AL767" s="77"/>
      <c r="AM767" s="77"/>
      <c r="AN767" s="77"/>
      <c r="AO767" s="77"/>
      <c r="AP767" s="77"/>
      <c r="AQ767" s="77"/>
      <c r="AR767" s="77"/>
    </row>
    <row r="768" spans="1:44" ht="15.75" customHeight="1">
      <c r="A768" s="77"/>
      <c r="B768" s="77"/>
      <c r="C768" s="77"/>
      <c r="D768" s="77"/>
      <c r="E768" s="77"/>
      <c r="F768" s="77"/>
      <c r="G768" s="77"/>
      <c r="H768" s="77"/>
      <c r="I768" s="77"/>
      <c r="J768" s="77"/>
      <c r="K768" s="77"/>
      <c r="L768" s="77"/>
      <c r="M768" s="77"/>
      <c r="N768" s="77"/>
      <c r="O768" s="77"/>
      <c r="P768" s="77"/>
      <c r="Q768" s="77"/>
      <c r="R768" s="77"/>
      <c r="S768" s="77"/>
      <c r="T768" s="77"/>
      <c r="U768" s="77"/>
      <c r="V768" s="77"/>
      <c r="W768" s="77"/>
      <c r="X768" s="77"/>
      <c r="Y768" s="77"/>
      <c r="Z768" s="77"/>
      <c r="AA768" s="77"/>
      <c r="AB768" s="77"/>
      <c r="AC768" s="77"/>
      <c r="AD768" s="77"/>
      <c r="AE768" s="77"/>
      <c r="AF768" s="77"/>
      <c r="AG768" s="77"/>
      <c r="AH768" s="77"/>
      <c r="AI768" s="77"/>
      <c r="AJ768" s="77"/>
      <c r="AK768" s="77"/>
      <c r="AL768" s="77"/>
      <c r="AM768" s="77"/>
      <c r="AN768" s="77"/>
      <c r="AO768" s="77"/>
      <c r="AP768" s="77"/>
      <c r="AQ768" s="77"/>
      <c r="AR768" s="77"/>
    </row>
    <row r="769" spans="1:44" ht="15.75" customHeight="1">
      <c r="A769" s="77"/>
      <c r="B769" s="77"/>
      <c r="C769" s="77"/>
      <c r="D769" s="77"/>
      <c r="E769" s="77"/>
      <c r="F769" s="77"/>
      <c r="G769" s="77"/>
      <c r="H769" s="77"/>
      <c r="I769" s="77"/>
      <c r="J769" s="77"/>
      <c r="K769" s="77"/>
      <c r="L769" s="77"/>
      <c r="M769" s="77"/>
      <c r="N769" s="77"/>
      <c r="O769" s="77"/>
      <c r="P769" s="77"/>
      <c r="Q769" s="77"/>
      <c r="R769" s="77"/>
      <c r="S769" s="77"/>
      <c r="T769" s="77"/>
      <c r="U769" s="77"/>
      <c r="V769" s="77"/>
      <c r="W769" s="77"/>
      <c r="X769" s="77"/>
      <c r="Y769" s="77"/>
      <c r="Z769" s="77"/>
      <c r="AA769" s="77"/>
      <c r="AB769" s="77"/>
      <c r="AC769" s="77"/>
      <c r="AD769" s="77"/>
      <c r="AE769" s="77"/>
      <c r="AF769" s="77"/>
      <c r="AG769" s="77"/>
      <c r="AH769" s="77"/>
      <c r="AI769" s="77"/>
      <c r="AJ769" s="77"/>
      <c r="AK769" s="77"/>
      <c r="AL769" s="77"/>
      <c r="AM769" s="77"/>
      <c r="AN769" s="77"/>
      <c r="AO769" s="77"/>
      <c r="AP769" s="77"/>
      <c r="AQ769" s="77"/>
      <c r="AR769" s="77"/>
    </row>
    <row r="770" spans="1:44" ht="15.75" customHeight="1">
      <c r="A770" s="77"/>
      <c r="B770" s="77"/>
      <c r="C770" s="77"/>
      <c r="D770" s="77"/>
      <c r="E770" s="77"/>
      <c r="F770" s="77"/>
      <c r="G770" s="77"/>
      <c r="H770" s="77"/>
      <c r="I770" s="77"/>
      <c r="J770" s="77"/>
      <c r="K770" s="77"/>
      <c r="L770" s="77"/>
      <c r="M770" s="77"/>
      <c r="N770" s="77"/>
      <c r="O770" s="77"/>
      <c r="P770" s="77"/>
      <c r="Q770" s="77"/>
      <c r="R770" s="77"/>
      <c r="S770" s="77"/>
      <c r="T770" s="77"/>
      <c r="U770" s="77"/>
      <c r="V770" s="77"/>
      <c r="W770" s="77"/>
      <c r="X770" s="77"/>
      <c r="Y770" s="77"/>
      <c r="Z770" s="77"/>
      <c r="AA770" s="77"/>
      <c r="AB770" s="77"/>
      <c r="AC770" s="77"/>
      <c r="AD770" s="77"/>
      <c r="AE770" s="77"/>
      <c r="AF770" s="77"/>
      <c r="AG770" s="77"/>
      <c r="AH770" s="77"/>
      <c r="AI770" s="77"/>
      <c r="AJ770" s="77"/>
      <c r="AK770" s="77"/>
      <c r="AL770" s="77"/>
      <c r="AM770" s="77"/>
      <c r="AN770" s="77"/>
      <c r="AO770" s="77"/>
      <c r="AP770" s="77"/>
      <c r="AQ770" s="77"/>
      <c r="AR770" s="77"/>
    </row>
    <row r="771" spans="1:44" ht="15.75" customHeight="1">
      <c r="A771" s="77"/>
      <c r="B771" s="77"/>
      <c r="C771" s="77"/>
      <c r="D771" s="77"/>
      <c r="E771" s="77"/>
      <c r="F771" s="77"/>
      <c r="G771" s="77"/>
      <c r="H771" s="77"/>
      <c r="I771" s="77"/>
      <c r="J771" s="77"/>
      <c r="K771" s="77"/>
      <c r="L771" s="77"/>
      <c r="M771" s="77"/>
      <c r="N771" s="77"/>
      <c r="O771" s="77"/>
      <c r="P771" s="77"/>
      <c r="Q771" s="77"/>
      <c r="R771" s="77"/>
      <c r="S771" s="77"/>
      <c r="T771" s="77"/>
      <c r="U771" s="77"/>
      <c r="V771" s="77"/>
      <c r="W771" s="77"/>
      <c r="X771" s="77"/>
      <c r="Y771" s="77"/>
      <c r="Z771" s="77"/>
      <c r="AA771" s="77"/>
      <c r="AB771" s="77"/>
      <c r="AC771" s="77"/>
      <c r="AD771" s="77"/>
      <c r="AE771" s="77"/>
      <c r="AF771" s="77"/>
      <c r="AG771" s="77"/>
      <c r="AH771" s="77"/>
      <c r="AI771" s="77"/>
      <c r="AJ771" s="77"/>
      <c r="AK771" s="77"/>
      <c r="AL771" s="77"/>
      <c r="AM771" s="77"/>
      <c r="AN771" s="77"/>
      <c r="AO771" s="77"/>
      <c r="AP771" s="77"/>
      <c r="AQ771" s="77"/>
      <c r="AR771" s="77"/>
    </row>
    <row r="772" spans="1:44" ht="15.75" customHeight="1">
      <c r="A772" s="77"/>
      <c r="B772" s="77"/>
      <c r="C772" s="77"/>
      <c r="D772" s="77"/>
      <c r="E772" s="77"/>
      <c r="F772" s="77"/>
      <c r="G772" s="77"/>
      <c r="H772" s="77"/>
      <c r="I772" s="77"/>
      <c r="J772" s="77"/>
      <c r="K772" s="77"/>
      <c r="L772" s="77"/>
      <c r="M772" s="77"/>
      <c r="N772" s="77"/>
      <c r="O772" s="77"/>
      <c r="P772" s="77"/>
      <c r="Q772" s="77"/>
      <c r="R772" s="77"/>
      <c r="S772" s="77"/>
      <c r="T772" s="77"/>
      <c r="U772" s="77"/>
      <c r="V772" s="77"/>
      <c r="W772" s="77"/>
      <c r="X772" s="77"/>
      <c r="Y772" s="77"/>
      <c r="Z772" s="77"/>
      <c r="AA772" s="77"/>
      <c r="AB772" s="77"/>
      <c r="AC772" s="77"/>
      <c r="AD772" s="77"/>
      <c r="AE772" s="77"/>
      <c r="AF772" s="77"/>
      <c r="AG772" s="77"/>
      <c r="AH772" s="77"/>
      <c r="AI772" s="77"/>
      <c r="AJ772" s="77"/>
      <c r="AK772" s="77"/>
      <c r="AL772" s="77"/>
      <c r="AM772" s="77"/>
      <c r="AN772" s="77"/>
      <c r="AO772" s="77"/>
      <c r="AP772" s="77"/>
      <c r="AQ772" s="77"/>
      <c r="AR772" s="77"/>
    </row>
    <row r="773" spans="1:44" ht="15.75" customHeight="1">
      <c r="A773" s="77"/>
      <c r="B773" s="77"/>
      <c r="C773" s="77"/>
      <c r="D773" s="77"/>
      <c r="E773" s="77"/>
      <c r="F773" s="77"/>
      <c r="G773" s="77"/>
      <c r="H773" s="77"/>
      <c r="I773" s="77"/>
      <c r="J773" s="77"/>
      <c r="K773" s="77"/>
      <c r="L773" s="77"/>
      <c r="M773" s="77"/>
      <c r="N773" s="77"/>
      <c r="O773" s="77"/>
      <c r="P773" s="77"/>
      <c r="Q773" s="77"/>
      <c r="R773" s="77"/>
      <c r="S773" s="77"/>
      <c r="T773" s="77"/>
      <c r="U773" s="77"/>
      <c r="V773" s="77"/>
      <c r="W773" s="77"/>
      <c r="X773" s="77"/>
      <c r="Y773" s="77"/>
      <c r="Z773" s="77"/>
      <c r="AA773" s="77"/>
      <c r="AB773" s="77"/>
      <c r="AC773" s="77"/>
      <c r="AD773" s="77"/>
      <c r="AE773" s="77"/>
      <c r="AF773" s="77"/>
      <c r="AG773" s="77"/>
      <c r="AH773" s="77"/>
      <c r="AI773" s="77"/>
      <c r="AJ773" s="77"/>
      <c r="AK773" s="77"/>
      <c r="AL773" s="77"/>
      <c r="AM773" s="77"/>
      <c r="AN773" s="77"/>
      <c r="AO773" s="77"/>
      <c r="AP773" s="77"/>
      <c r="AQ773" s="77"/>
      <c r="AR773" s="77"/>
    </row>
    <row r="774" spans="1:44" ht="15.75" customHeight="1">
      <c r="A774" s="77"/>
      <c r="B774" s="77"/>
      <c r="C774" s="77"/>
      <c r="D774" s="77"/>
      <c r="E774" s="77"/>
      <c r="F774" s="77"/>
      <c r="G774" s="77"/>
      <c r="H774" s="77"/>
      <c r="I774" s="77"/>
      <c r="J774" s="77"/>
      <c r="K774" s="77"/>
      <c r="L774" s="77"/>
      <c r="M774" s="77"/>
      <c r="N774" s="77"/>
      <c r="O774" s="77"/>
      <c r="P774" s="77"/>
      <c r="Q774" s="77"/>
      <c r="R774" s="77"/>
      <c r="S774" s="77"/>
      <c r="T774" s="77"/>
      <c r="U774" s="77"/>
      <c r="V774" s="77"/>
      <c r="W774" s="77"/>
      <c r="X774" s="77"/>
      <c r="Y774" s="77"/>
      <c r="Z774" s="77"/>
      <c r="AA774" s="77"/>
      <c r="AB774" s="77"/>
      <c r="AC774" s="77"/>
      <c r="AD774" s="77"/>
      <c r="AE774" s="77"/>
      <c r="AF774" s="77"/>
      <c r="AG774" s="77"/>
      <c r="AH774" s="77"/>
      <c r="AI774" s="77"/>
      <c r="AJ774" s="77"/>
      <c r="AK774" s="77"/>
      <c r="AL774" s="77"/>
      <c r="AM774" s="77"/>
      <c r="AN774" s="77"/>
      <c r="AO774" s="77"/>
      <c r="AP774" s="77"/>
      <c r="AQ774" s="77"/>
      <c r="AR774" s="77"/>
    </row>
    <row r="775" spans="1:44" ht="15.75" customHeight="1">
      <c r="A775" s="77"/>
      <c r="B775" s="77"/>
      <c r="C775" s="77"/>
      <c r="D775" s="77"/>
      <c r="E775" s="77"/>
      <c r="F775" s="77"/>
      <c r="G775" s="77"/>
      <c r="H775" s="77"/>
      <c r="I775" s="77"/>
      <c r="J775" s="77"/>
      <c r="K775" s="77"/>
      <c r="L775" s="77"/>
      <c r="M775" s="77"/>
      <c r="N775" s="77"/>
      <c r="O775" s="77"/>
      <c r="P775" s="77"/>
      <c r="Q775" s="77"/>
      <c r="R775" s="77"/>
      <c r="S775" s="77"/>
      <c r="T775" s="77"/>
      <c r="U775" s="77"/>
      <c r="V775" s="77"/>
      <c r="W775" s="77"/>
      <c r="X775" s="77"/>
      <c r="Y775" s="77"/>
      <c r="Z775" s="77"/>
      <c r="AA775" s="77"/>
      <c r="AB775" s="77"/>
      <c r="AC775" s="77"/>
      <c r="AD775" s="77"/>
      <c r="AE775" s="77"/>
      <c r="AF775" s="77"/>
      <c r="AG775" s="77"/>
      <c r="AH775" s="77"/>
      <c r="AI775" s="77"/>
      <c r="AJ775" s="77"/>
      <c r="AK775" s="77"/>
      <c r="AL775" s="77"/>
      <c r="AM775" s="77"/>
      <c r="AN775" s="77"/>
      <c r="AO775" s="77"/>
      <c r="AP775" s="77"/>
      <c r="AQ775" s="77"/>
      <c r="AR775" s="77"/>
    </row>
    <row r="776" spans="1:44" ht="15.75" customHeight="1">
      <c r="A776" s="77"/>
      <c r="B776" s="77"/>
      <c r="C776" s="77"/>
      <c r="D776" s="77"/>
      <c r="E776" s="77"/>
      <c r="F776" s="77"/>
      <c r="G776" s="77"/>
      <c r="H776" s="77"/>
      <c r="I776" s="77"/>
      <c r="J776" s="77"/>
      <c r="K776" s="77"/>
      <c r="L776" s="77"/>
      <c r="M776" s="77"/>
      <c r="N776" s="77"/>
      <c r="O776" s="77"/>
      <c r="P776" s="77"/>
      <c r="Q776" s="77"/>
      <c r="R776" s="77"/>
      <c r="S776" s="77"/>
      <c r="T776" s="77"/>
      <c r="U776" s="77"/>
      <c r="V776" s="77"/>
      <c r="W776" s="77"/>
      <c r="X776" s="77"/>
      <c r="Y776" s="77"/>
      <c r="Z776" s="77"/>
      <c r="AA776" s="77"/>
      <c r="AB776" s="77"/>
      <c r="AC776" s="77"/>
      <c r="AD776" s="77"/>
      <c r="AE776" s="77"/>
      <c r="AF776" s="77"/>
      <c r="AG776" s="77"/>
      <c r="AH776" s="77"/>
      <c r="AI776" s="77"/>
      <c r="AJ776" s="77"/>
      <c r="AK776" s="77"/>
      <c r="AL776" s="77"/>
      <c r="AM776" s="77"/>
      <c r="AN776" s="77"/>
      <c r="AO776" s="77"/>
      <c r="AP776" s="77"/>
      <c r="AQ776" s="77"/>
      <c r="AR776" s="77"/>
    </row>
    <row r="777" spans="1:44" ht="15.75" customHeight="1">
      <c r="A777" s="77"/>
      <c r="B777" s="77"/>
      <c r="C777" s="77"/>
      <c r="D777" s="77"/>
      <c r="E777" s="77"/>
      <c r="F777" s="77"/>
      <c r="G777" s="77"/>
      <c r="H777" s="77"/>
      <c r="I777" s="77"/>
      <c r="J777" s="77"/>
      <c r="K777" s="77"/>
      <c r="L777" s="77"/>
      <c r="M777" s="77"/>
      <c r="N777" s="77"/>
      <c r="O777" s="77"/>
      <c r="P777" s="77"/>
      <c r="Q777" s="77"/>
      <c r="R777" s="77"/>
      <c r="S777" s="77"/>
      <c r="T777" s="77"/>
      <c r="U777" s="77"/>
      <c r="V777" s="77"/>
      <c r="W777" s="77"/>
      <c r="X777" s="77"/>
      <c r="Y777" s="77"/>
      <c r="Z777" s="77"/>
      <c r="AA777" s="77"/>
      <c r="AB777" s="77"/>
      <c r="AC777" s="77"/>
      <c r="AD777" s="77"/>
      <c r="AE777" s="77"/>
      <c r="AF777" s="77"/>
      <c r="AG777" s="77"/>
      <c r="AH777" s="77"/>
      <c r="AI777" s="77"/>
      <c r="AJ777" s="77"/>
      <c r="AK777" s="77"/>
      <c r="AL777" s="77"/>
      <c r="AM777" s="77"/>
      <c r="AN777" s="77"/>
      <c r="AO777" s="77"/>
      <c r="AP777" s="77"/>
      <c r="AQ777" s="77"/>
      <c r="AR777" s="77"/>
    </row>
    <row r="778" spans="1:44" ht="15.75" customHeight="1">
      <c r="A778" s="77"/>
      <c r="B778" s="77"/>
      <c r="C778" s="77"/>
      <c r="D778" s="77"/>
      <c r="E778" s="77"/>
      <c r="F778" s="77"/>
      <c r="G778" s="77"/>
      <c r="H778" s="77"/>
      <c r="I778" s="77"/>
      <c r="J778" s="77"/>
      <c r="K778" s="77"/>
      <c r="L778" s="77"/>
      <c r="M778" s="77"/>
      <c r="N778" s="77"/>
      <c r="O778" s="77"/>
      <c r="P778" s="77"/>
      <c r="Q778" s="77"/>
      <c r="R778" s="77"/>
      <c r="S778" s="77"/>
      <c r="T778" s="77"/>
      <c r="U778" s="77"/>
      <c r="V778" s="77"/>
      <c r="W778" s="77"/>
      <c r="X778" s="77"/>
      <c r="Y778" s="77"/>
      <c r="Z778" s="77"/>
      <c r="AA778" s="77"/>
      <c r="AB778" s="77"/>
      <c r="AC778" s="77"/>
      <c r="AD778" s="77"/>
      <c r="AE778" s="77"/>
      <c r="AF778" s="77"/>
      <c r="AG778" s="77"/>
      <c r="AH778" s="77"/>
      <c r="AI778" s="77"/>
      <c r="AJ778" s="77"/>
      <c r="AK778" s="77"/>
      <c r="AL778" s="77"/>
      <c r="AM778" s="77"/>
      <c r="AN778" s="77"/>
      <c r="AO778" s="77"/>
      <c r="AP778" s="77"/>
      <c r="AQ778" s="77"/>
      <c r="AR778" s="77"/>
    </row>
    <row r="779" spans="1:44" ht="15.75" customHeight="1">
      <c r="A779" s="77"/>
      <c r="B779" s="77"/>
      <c r="C779" s="77"/>
      <c r="D779" s="77"/>
      <c r="E779" s="77"/>
      <c r="F779" s="77"/>
      <c r="G779" s="77"/>
      <c r="H779" s="77"/>
      <c r="I779" s="77"/>
      <c r="J779" s="77"/>
      <c r="K779" s="77"/>
      <c r="L779" s="77"/>
      <c r="M779" s="77"/>
      <c r="N779" s="77"/>
      <c r="O779" s="77"/>
      <c r="P779" s="77"/>
      <c r="Q779" s="77"/>
      <c r="R779" s="77"/>
      <c r="S779" s="77"/>
      <c r="T779" s="77"/>
      <c r="U779" s="77"/>
      <c r="V779" s="77"/>
      <c r="W779" s="77"/>
      <c r="X779" s="77"/>
      <c r="Y779" s="77"/>
      <c r="Z779" s="77"/>
      <c r="AA779" s="77"/>
      <c r="AB779" s="77"/>
      <c r="AC779" s="77"/>
      <c r="AD779" s="77"/>
      <c r="AE779" s="77"/>
      <c r="AF779" s="77"/>
      <c r="AG779" s="77"/>
      <c r="AH779" s="77"/>
      <c r="AI779" s="77"/>
      <c r="AJ779" s="77"/>
      <c r="AK779" s="77"/>
      <c r="AL779" s="77"/>
      <c r="AM779" s="77"/>
      <c r="AN779" s="77"/>
      <c r="AO779" s="77"/>
      <c r="AP779" s="77"/>
      <c r="AQ779" s="77"/>
      <c r="AR779" s="77"/>
    </row>
    <row r="780" spans="1:44" ht="15.75" customHeight="1">
      <c r="A780" s="77"/>
      <c r="B780" s="77"/>
      <c r="C780" s="77"/>
      <c r="D780" s="77"/>
      <c r="E780" s="77"/>
      <c r="F780" s="77"/>
      <c r="G780" s="77"/>
      <c r="H780" s="77"/>
      <c r="I780" s="77"/>
      <c r="J780" s="77"/>
      <c r="K780" s="77"/>
      <c r="L780" s="77"/>
      <c r="M780" s="77"/>
      <c r="N780" s="77"/>
      <c r="O780" s="77"/>
      <c r="P780" s="77"/>
      <c r="Q780" s="77"/>
      <c r="R780" s="77"/>
      <c r="S780" s="77"/>
      <c r="T780" s="77"/>
      <c r="U780" s="77"/>
      <c r="V780" s="77"/>
      <c r="W780" s="77"/>
      <c r="X780" s="77"/>
      <c r="Y780" s="77"/>
      <c r="Z780" s="77"/>
      <c r="AA780" s="77"/>
      <c r="AB780" s="77"/>
      <c r="AC780" s="77"/>
      <c r="AD780" s="77"/>
      <c r="AE780" s="77"/>
      <c r="AF780" s="77"/>
      <c r="AG780" s="77"/>
      <c r="AH780" s="77"/>
      <c r="AI780" s="77"/>
      <c r="AJ780" s="77"/>
      <c r="AK780" s="77"/>
      <c r="AL780" s="77"/>
      <c r="AM780" s="77"/>
      <c r="AN780" s="77"/>
      <c r="AO780" s="77"/>
      <c r="AP780" s="77"/>
      <c r="AQ780" s="77"/>
      <c r="AR780" s="77"/>
    </row>
    <row r="781" spans="1:44" ht="15.75" customHeight="1">
      <c r="A781" s="77"/>
      <c r="B781" s="77"/>
      <c r="C781" s="77"/>
      <c r="D781" s="77"/>
      <c r="E781" s="77"/>
      <c r="F781" s="77"/>
      <c r="G781" s="77"/>
      <c r="H781" s="77"/>
      <c r="I781" s="77"/>
      <c r="J781" s="77"/>
      <c r="K781" s="77"/>
      <c r="L781" s="77"/>
      <c r="M781" s="77"/>
      <c r="N781" s="77"/>
      <c r="O781" s="77"/>
      <c r="P781" s="77"/>
      <c r="Q781" s="77"/>
      <c r="R781" s="77"/>
      <c r="S781" s="77"/>
      <c r="T781" s="77"/>
      <c r="U781" s="77"/>
      <c r="V781" s="77"/>
      <c r="W781" s="77"/>
      <c r="X781" s="77"/>
      <c r="Y781" s="77"/>
      <c r="Z781" s="77"/>
      <c r="AA781" s="77"/>
      <c r="AB781" s="77"/>
      <c r="AC781" s="77"/>
      <c r="AD781" s="77"/>
      <c r="AE781" s="77"/>
      <c r="AF781" s="77"/>
      <c r="AG781" s="77"/>
      <c r="AH781" s="77"/>
      <c r="AI781" s="77"/>
      <c r="AJ781" s="77"/>
      <c r="AK781" s="77"/>
      <c r="AL781" s="77"/>
      <c r="AM781" s="77"/>
      <c r="AN781" s="77"/>
      <c r="AO781" s="77"/>
      <c r="AP781" s="77"/>
      <c r="AQ781" s="77"/>
      <c r="AR781" s="77"/>
    </row>
    <row r="782" spans="1:44" ht="15.75" customHeight="1">
      <c r="A782" s="77"/>
      <c r="B782" s="77"/>
      <c r="C782" s="77"/>
      <c r="D782" s="77"/>
      <c r="E782" s="77"/>
      <c r="F782" s="77"/>
      <c r="G782" s="77"/>
      <c r="H782" s="77"/>
      <c r="I782" s="77"/>
      <c r="J782" s="77"/>
      <c r="K782" s="77"/>
      <c r="L782" s="77"/>
      <c r="M782" s="77"/>
      <c r="N782" s="77"/>
      <c r="O782" s="77"/>
      <c r="P782" s="77"/>
      <c r="Q782" s="77"/>
      <c r="R782" s="77"/>
      <c r="S782" s="77"/>
      <c r="T782" s="77"/>
      <c r="U782" s="77"/>
      <c r="V782" s="77"/>
      <c r="W782" s="77"/>
      <c r="X782" s="77"/>
      <c r="Y782" s="77"/>
      <c r="Z782" s="77"/>
      <c r="AA782" s="77"/>
      <c r="AB782" s="77"/>
      <c r="AC782" s="77"/>
      <c r="AD782" s="77"/>
      <c r="AE782" s="77"/>
      <c r="AF782" s="77"/>
      <c r="AG782" s="77"/>
      <c r="AH782" s="77"/>
      <c r="AI782" s="77"/>
      <c r="AJ782" s="77"/>
      <c r="AK782" s="77"/>
      <c r="AL782" s="77"/>
      <c r="AM782" s="77"/>
      <c r="AN782" s="77"/>
      <c r="AO782" s="77"/>
      <c r="AP782" s="77"/>
      <c r="AQ782" s="77"/>
      <c r="AR782" s="77"/>
    </row>
    <row r="783" spans="1:44" ht="15.75" customHeight="1">
      <c r="A783" s="77"/>
      <c r="B783" s="77"/>
      <c r="C783" s="77"/>
      <c r="D783" s="77"/>
      <c r="E783" s="77"/>
      <c r="F783" s="77"/>
      <c r="G783" s="77"/>
      <c r="H783" s="77"/>
      <c r="I783" s="77"/>
      <c r="J783" s="77"/>
      <c r="K783" s="77"/>
      <c r="L783" s="77"/>
      <c r="M783" s="77"/>
      <c r="N783" s="77"/>
      <c r="O783" s="77"/>
      <c r="P783" s="77"/>
      <c r="Q783" s="77"/>
      <c r="R783" s="77"/>
      <c r="S783" s="77"/>
      <c r="T783" s="77"/>
      <c r="U783" s="77"/>
      <c r="V783" s="77"/>
      <c r="W783" s="77"/>
      <c r="X783" s="77"/>
      <c r="Y783" s="77"/>
      <c r="Z783" s="77"/>
      <c r="AA783" s="77"/>
      <c r="AB783" s="77"/>
      <c r="AC783" s="77"/>
      <c r="AD783" s="77"/>
      <c r="AE783" s="77"/>
      <c r="AF783" s="77"/>
      <c r="AG783" s="77"/>
      <c r="AH783" s="77"/>
      <c r="AI783" s="77"/>
      <c r="AJ783" s="77"/>
      <c r="AK783" s="77"/>
      <c r="AL783" s="77"/>
      <c r="AM783" s="77"/>
      <c r="AN783" s="77"/>
      <c r="AO783" s="77"/>
      <c r="AP783" s="77"/>
      <c r="AQ783" s="77"/>
      <c r="AR783" s="77"/>
    </row>
    <row r="784" spans="1:44" ht="15.75" customHeight="1">
      <c r="A784" s="77"/>
      <c r="B784" s="77"/>
      <c r="C784" s="77"/>
      <c r="D784" s="77"/>
      <c r="E784" s="77"/>
      <c r="F784" s="77"/>
      <c r="G784" s="77"/>
      <c r="H784" s="77"/>
      <c r="I784" s="77"/>
      <c r="J784" s="77"/>
      <c r="K784" s="77"/>
      <c r="L784" s="77"/>
      <c r="M784" s="77"/>
      <c r="N784" s="77"/>
      <c r="O784" s="77"/>
      <c r="P784" s="77"/>
      <c r="Q784" s="77"/>
      <c r="R784" s="77"/>
      <c r="S784" s="77"/>
      <c r="T784" s="77"/>
      <c r="U784" s="77"/>
      <c r="V784" s="77"/>
      <c r="W784" s="77"/>
      <c r="X784" s="77"/>
      <c r="Y784" s="77"/>
      <c r="Z784" s="77"/>
      <c r="AA784" s="77"/>
      <c r="AB784" s="77"/>
      <c r="AC784" s="77"/>
      <c r="AD784" s="77"/>
      <c r="AE784" s="77"/>
      <c r="AF784" s="77"/>
      <c r="AG784" s="77"/>
      <c r="AH784" s="77"/>
      <c r="AI784" s="77"/>
      <c r="AJ784" s="77"/>
      <c r="AK784" s="77"/>
      <c r="AL784" s="77"/>
      <c r="AM784" s="77"/>
      <c r="AN784" s="77"/>
      <c r="AO784" s="77"/>
      <c r="AP784" s="77"/>
      <c r="AQ784" s="77"/>
      <c r="AR784" s="77"/>
    </row>
    <row r="785" spans="1:44" ht="15.75" customHeight="1">
      <c r="A785" s="77"/>
      <c r="B785" s="77"/>
      <c r="C785" s="77"/>
      <c r="D785" s="77"/>
      <c r="E785" s="77"/>
      <c r="F785" s="77"/>
      <c r="G785" s="77"/>
      <c r="H785" s="77"/>
      <c r="I785" s="77"/>
      <c r="J785" s="77"/>
      <c r="K785" s="77"/>
      <c r="L785" s="77"/>
      <c r="M785" s="77"/>
      <c r="N785" s="77"/>
      <c r="O785" s="77"/>
      <c r="P785" s="77"/>
      <c r="Q785" s="77"/>
      <c r="R785" s="77"/>
      <c r="S785" s="77"/>
      <c r="T785" s="77"/>
      <c r="U785" s="77"/>
      <c r="V785" s="77"/>
      <c r="W785" s="77"/>
      <c r="X785" s="77"/>
      <c r="Y785" s="77"/>
      <c r="Z785" s="77"/>
      <c r="AA785" s="77"/>
      <c r="AB785" s="77"/>
      <c r="AC785" s="77"/>
      <c r="AD785" s="77"/>
      <c r="AE785" s="77"/>
      <c r="AF785" s="77"/>
      <c r="AG785" s="77"/>
      <c r="AH785" s="77"/>
      <c r="AI785" s="77"/>
      <c r="AJ785" s="77"/>
      <c r="AK785" s="77"/>
      <c r="AL785" s="77"/>
      <c r="AM785" s="77"/>
      <c r="AN785" s="77"/>
      <c r="AO785" s="77"/>
      <c r="AP785" s="77"/>
      <c r="AQ785" s="77"/>
      <c r="AR785" s="77"/>
    </row>
    <row r="786" spans="1:44" ht="15.75" customHeight="1">
      <c r="A786" s="77"/>
      <c r="B786" s="77"/>
      <c r="C786" s="77"/>
      <c r="D786" s="77"/>
      <c r="E786" s="77"/>
      <c r="F786" s="77"/>
      <c r="G786" s="77"/>
      <c r="H786" s="77"/>
      <c r="I786" s="77"/>
      <c r="J786" s="77"/>
      <c r="K786" s="77"/>
      <c r="L786" s="77"/>
      <c r="M786" s="77"/>
      <c r="N786" s="77"/>
      <c r="O786" s="77"/>
      <c r="P786" s="77"/>
      <c r="Q786" s="77"/>
      <c r="R786" s="77"/>
      <c r="S786" s="77"/>
      <c r="T786" s="77"/>
      <c r="U786" s="77"/>
      <c r="V786" s="77"/>
      <c r="W786" s="77"/>
      <c r="X786" s="77"/>
      <c r="Y786" s="77"/>
      <c r="Z786" s="77"/>
      <c r="AA786" s="77"/>
      <c r="AB786" s="77"/>
      <c r="AC786" s="77"/>
      <c r="AD786" s="77"/>
      <c r="AE786" s="77"/>
      <c r="AF786" s="77"/>
      <c r="AG786" s="77"/>
      <c r="AH786" s="77"/>
      <c r="AI786" s="77"/>
      <c r="AJ786" s="77"/>
      <c r="AK786" s="77"/>
      <c r="AL786" s="77"/>
      <c r="AM786" s="77"/>
      <c r="AN786" s="77"/>
      <c r="AO786" s="77"/>
      <c r="AP786" s="77"/>
      <c r="AQ786" s="77"/>
      <c r="AR786" s="77"/>
    </row>
    <row r="787" spans="1:44" ht="15.75" customHeight="1">
      <c r="A787" s="77"/>
      <c r="B787" s="77"/>
      <c r="C787" s="77"/>
      <c r="D787" s="77"/>
      <c r="E787" s="77"/>
      <c r="F787" s="77"/>
      <c r="G787" s="77"/>
      <c r="H787" s="77"/>
      <c r="I787" s="77"/>
      <c r="J787" s="77"/>
      <c r="K787" s="77"/>
      <c r="L787" s="77"/>
      <c r="M787" s="77"/>
      <c r="N787" s="77"/>
      <c r="O787" s="77"/>
      <c r="P787" s="77"/>
      <c r="Q787" s="77"/>
      <c r="R787" s="77"/>
      <c r="S787" s="77"/>
      <c r="T787" s="77"/>
      <c r="U787" s="77"/>
      <c r="V787" s="77"/>
      <c r="W787" s="77"/>
      <c r="X787" s="77"/>
      <c r="Y787" s="77"/>
      <c r="Z787" s="77"/>
      <c r="AA787" s="77"/>
      <c r="AB787" s="77"/>
      <c r="AC787" s="77"/>
      <c r="AD787" s="77"/>
      <c r="AE787" s="77"/>
      <c r="AF787" s="77"/>
      <c r="AG787" s="77"/>
      <c r="AH787" s="77"/>
      <c r="AI787" s="77"/>
      <c r="AJ787" s="77"/>
      <c r="AK787" s="77"/>
      <c r="AL787" s="77"/>
      <c r="AM787" s="77"/>
      <c r="AN787" s="77"/>
      <c r="AO787" s="77"/>
      <c r="AP787" s="77"/>
      <c r="AQ787" s="77"/>
      <c r="AR787" s="77"/>
    </row>
    <row r="788" spans="1:44" ht="15.75" customHeight="1">
      <c r="A788" s="77"/>
      <c r="B788" s="77"/>
      <c r="C788" s="77"/>
      <c r="D788" s="77"/>
      <c r="E788" s="77"/>
      <c r="F788" s="77"/>
      <c r="G788" s="77"/>
      <c r="H788" s="77"/>
      <c r="I788" s="77"/>
      <c r="J788" s="77"/>
      <c r="K788" s="77"/>
      <c r="L788" s="77"/>
      <c r="M788" s="77"/>
      <c r="N788" s="77"/>
      <c r="O788" s="77"/>
      <c r="P788" s="77"/>
      <c r="Q788" s="77"/>
      <c r="R788" s="77"/>
      <c r="S788" s="77"/>
      <c r="T788" s="77"/>
      <c r="U788" s="77"/>
      <c r="V788" s="77"/>
      <c r="W788" s="77"/>
      <c r="X788" s="77"/>
      <c r="Y788" s="77"/>
      <c r="Z788" s="77"/>
      <c r="AA788" s="77"/>
      <c r="AB788" s="77"/>
      <c r="AC788" s="77"/>
      <c r="AD788" s="77"/>
      <c r="AE788" s="77"/>
      <c r="AF788" s="77"/>
      <c r="AG788" s="77"/>
      <c r="AH788" s="77"/>
      <c r="AI788" s="77"/>
      <c r="AJ788" s="77"/>
      <c r="AK788" s="77"/>
      <c r="AL788" s="77"/>
      <c r="AM788" s="77"/>
      <c r="AN788" s="77"/>
      <c r="AO788" s="77"/>
      <c r="AP788" s="77"/>
      <c r="AQ788" s="77"/>
      <c r="AR788" s="77"/>
    </row>
    <row r="789" spans="1:44" ht="15.75" customHeight="1">
      <c r="A789" s="77"/>
      <c r="B789" s="77"/>
      <c r="C789" s="77"/>
      <c r="D789" s="77"/>
      <c r="E789" s="77"/>
      <c r="F789" s="77"/>
      <c r="G789" s="77"/>
      <c r="H789" s="77"/>
      <c r="I789" s="77"/>
      <c r="J789" s="77"/>
      <c r="K789" s="77"/>
      <c r="L789" s="77"/>
      <c r="M789" s="77"/>
      <c r="N789" s="77"/>
      <c r="O789" s="77"/>
      <c r="P789" s="77"/>
      <c r="Q789" s="77"/>
      <c r="R789" s="77"/>
      <c r="S789" s="77"/>
      <c r="T789" s="77"/>
      <c r="U789" s="77"/>
      <c r="V789" s="77"/>
      <c r="W789" s="77"/>
      <c r="X789" s="77"/>
      <c r="Y789" s="77"/>
      <c r="Z789" s="77"/>
      <c r="AA789" s="77"/>
      <c r="AB789" s="77"/>
      <c r="AC789" s="77"/>
      <c r="AD789" s="77"/>
      <c r="AE789" s="77"/>
      <c r="AF789" s="77"/>
      <c r="AG789" s="77"/>
      <c r="AH789" s="77"/>
      <c r="AI789" s="77"/>
      <c r="AJ789" s="77"/>
      <c r="AK789" s="77"/>
      <c r="AL789" s="77"/>
      <c r="AM789" s="77"/>
      <c r="AN789" s="77"/>
      <c r="AO789" s="77"/>
      <c r="AP789" s="77"/>
      <c r="AQ789" s="77"/>
      <c r="AR789" s="77"/>
    </row>
    <row r="790" spans="1:44" ht="15.75" customHeight="1">
      <c r="A790" s="77"/>
      <c r="B790" s="77"/>
      <c r="C790" s="77"/>
      <c r="D790" s="77"/>
      <c r="E790" s="77"/>
      <c r="F790" s="77"/>
      <c r="G790" s="77"/>
      <c r="H790" s="77"/>
      <c r="I790" s="77"/>
      <c r="J790" s="77"/>
      <c r="K790" s="77"/>
      <c r="L790" s="77"/>
      <c r="M790" s="77"/>
      <c r="N790" s="77"/>
      <c r="O790" s="77"/>
      <c r="P790" s="77"/>
      <c r="Q790" s="77"/>
      <c r="R790" s="77"/>
      <c r="S790" s="77"/>
      <c r="T790" s="77"/>
      <c r="U790" s="77"/>
      <c r="V790" s="77"/>
      <c r="W790" s="77"/>
      <c r="X790" s="77"/>
      <c r="Y790" s="77"/>
      <c r="Z790" s="77"/>
      <c r="AA790" s="77"/>
      <c r="AB790" s="77"/>
      <c r="AC790" s="77"/>
      <c r="AD790" s="77"/>
      <c r="AE790" s="77"/>
      <c r="AF790" s="77"/>
      <c r="AG790" s="77"/>
      <c r="AH790" s="77"/>
      <c r="AI790" s="77"/>
      <c r="AJ790" s="77"/>
      <c r="AK790" s="77"/>
      <c r="AL790" s="77"/>
      <c r="AM790" s="77"/>
      <c r="AN790" s="77"/>
      <c r="AO790" s="77"/>
      <c r="AP790" s="77"/>
      <c r="AQ790" s="77"/>
      <c r="AR790" s="77"/>
    </row>
    <row r="791" spans="1:44" ht="15.75" customHeight="1">
      <c r="A791" s="77"/>
      <c r="B791" s="77"/>
      <c r="C791" s="77"/>
      <c r="D791" s="77"/>
      <c r="E791" s="77"/>
      <c r="F791" s="77"/>
      <c r="G791" s="77"/>
      <c r="H791" s="77"/>
      <c r="I791" s="77"/>
      <c r="J791" s="77"/>
      <c r="K791" s="77"/>
      <c r="L791" s="77"/>
      <c r="M791" s="77"/>
      <c r="N791" s="77"/>
      <c r="O791" s="77"/>
      <c r="P791" s="77"/>
      <c r="Q791" s="77"/>
      <c r="R791" s="77"/>
      <c r="S791" s="77"/>
      <c r="T791" s="77"/>
      <c r="U791" s="77"/>
      <c r="V791" s="77"/>
      <c r="W791" s="77"/>
      <c r="X791" s="77"/>
      <c r="Y791" s="77"/>
      <c r="Z791" s="77"/>
      <c r="AA791" s="77"/>
      <c r="AB791" s="77"/>
      <c r="AC791" s="77"/>
      <c r="AD791" s="77"/>
      <c r="AE791" s="77"/>
      <c r="AF791" s="77"/>
      <c r="AG791" s="77"/>
      <c r="AH791" s="77"/>
      <c r="AI791" s="77"/>
      <c r="AJ791" s="77"/>
      <c r="AK791" s="77"/>
      <c r="AL791" s="77"/>
      <c r="AM791" s="77"/>
      <c r="AN791" s="77"/>
      <c r="AO791" s="77"/>
      <c r="AP791" s="77"/>
      <c r="AQ791" s="77"/>
      <c r="AR791" s="77"/>
    </row>
    <row r="792" spans="1:44" ht="15.75" customHeight="1">
      <c r="A792" s="77"/>
      <c r="B792" s="77"/>
      <c r="C792" s="77"/>
      <c r="D792" s="77"/>
      <c r="E792" s="77"/>
      <c r="F792" s="77"/>
      <c r="G792" s="77"/>
      <c r="H792" s="77"/>
      <c r="I792" s="77"/>
      <c r="J792" s="77"/>
      <c r="K792" s="77"/>
      <c r="L792" s="77"/>
      <c r="M792" s="77"/>
      <c r="N792" s="77"/>
      <c r="O792" s="77"/>
      <c r="P792" s="77"/>
      <c r="Q792" s="77"/>
      <c r="R792" s="77"/>
      <c r="S792" s="77"/>
      <c r="T792" s="77"/>
      <c r="U792" s="77"/>
      <c r="V792" s="77"/>
      <c r="W792" s="77"/>
      <c r="X792" s="77"/>
      <c r="Y792" s="77"/>
      <c r="Z792" s="77"/>
      <c r="AA792" s="77"/>
      <c r="AB792" s="77"/>
      <c r="AC792" s="77"/>
      <c r="AD792" s="77"/>
      <c r="AE792" s="77"/>
      <c r="AF792" s="77"/>
      <c r="AG792" s="77"/>
      <c r="AH792" s="77"/>
      <c r="AI792" s="77"/>
      <c r="AJ792" s="77"/>
      <c r="AK792" s="77"/>
      <c r="AL792" s="77"/>
      <c r="AM792" s="77"/>
      <c r="AN792" s="77"/>
      <c r="AO792" s="77"/>
      <c r="AP792" s="77"/>
      <c r="AQ792" s="77"/>
      <c r="AR792" s="77"/>
    </row>
    <row r="793" spans="1:44" ht="15.75" customHeight="1">
      <c r="A793" s="77"/>
      <c r="B793" s="77"/>
      <c r="C793" s="77"/>
      <c r="D793" s="77"/>
      <c r="E793" s="77"/>
      <c r="F793" s="77"/>
      <c r="G793" s="77"/>
      <c r="H793" s="77"/>
      <c r="I793" s="77"/>
      <c r="J793" s="77"/>
      <c r="K793" s="77"/>
      <c r="L793" s="77"/>
      <c r="M793" s="77"/>
      <c r="N793" s="77"/>
      <c r="O793" s="77"/>
      <c r="P793" s="77"/>
      <c r="Q793" s="77"/>
      <c r="R793" s="77"/>
      <c r="S793" s="77"/>
      <c r="T793" s="77"/>
      <c r="U793" s="77"/>
      <c r="V793" s="77"/>
      <c r="W793" s="77"/>
      <c r="X793" s="77"/>
      <c r="Y793" s="77"/>
      <c r="Z793" s="77"/>
      <c r="AA793" s="77"/>
      <c r="AB793" s="77"/>
      <c r="AC793" s="77"/>
      <c r="AD793" s="77"/>
      <c r="AE793" s="77"/>
      <c r="AF793" s="77"/>
      <c r="AG793" s="77"/>
      <c r="AH793" s="77"/>
      <c r="AI793" s="77"/>
      <c r="AJ793" s="77"/>
      <c r="AK793" s="77"/>
      <c r="AL793" s="77"/>
      <c r="AM793" s="77"/>
      <c r="AN793" s="77"/>
      <c r="AO793" s="77"/>
      <c r="AP793" s="77"/>
      <c r="AQ793" s="77"/>
      <c r="AR793" s="77"/>
    </row>
    <row r="794" spans="1:44" ht="15.75" customHeight="1">
      <c r="A794" s="77"/>
      <c r="B794" s="77"/>
      <c r="C794" s="77"/>
      <c r="D794" s="77"/>
      <c r="E794" s="77"/>
      <c r="F794" s="77"/>
      <c r="G794" s="77"/>
      <c r="H794" s="77"/>
      <c r="I794" s="77"/>
      <c r="J794" s="77"/>
      <c r="K794" s="77"/>
      <c r="L794" s="77"/>
      <c r="M794" s="77"/>
      <c r="N794" s="77"/>
      <c r="O794" s="77"/>
      <c r="P794" s="77"/>
      <c r="Q794" s="77"/>
      <c r="R794" s="77"/>
      <c r="S794" s="77"/>
      <c r="T794" s="77"/>
      <c r="U794" s="77"/>
      <c r="V794" s="77"/>
      <c r="W794" s="77"/>
      <c r="X794" s="77"/>
      <c r="Y794" s="77"/>
      <c r="Z794" s="77"/>
      <c r="AA794" s="77"/>
      <c r="AB794" s="77"/>
      <c r="AC794" s="77"/>
      <c r="AD794" s="77"/>
      <c r="AE794" s="77"/>
      <c r="AF794" s="77"/>
      <c r="AG794" s="77"/>
      <c r="AH794" s="77"/>
      <c r="AI794" s="77"/>
      <c r="AJ794" s="77"/>
      <c r="AK794" s="77"/>
      <c r="AL794" s="77"/>
      <c r="AM794" s="77"/>
      <c r="AN794" s="77"/>
      <c r="AO794" s="77"/>
      <c r="AP794" s="77"/>
      <c r="AQ794" s="77"/>
      <c r="AR794" s="77"/>
    </row>
    <row r="795" spans="1:44" ht="15.75" customHeight="1">
      <c r="A795" s="77"/>
      <c r="B795" s="77"/>
      <c r="C795" s="77"/>
      <c r="D795" s="77"/>
      <c r="E795" s="77"/>
      <c r="F795" s="77"/>
      <c r="G795" s="77"/>
      <c r="H795" s="77"/>
      <c r="I795" s="77"/>
      <c r="J795" s="77"/>
      <c r="K795" s="77"/>
      <c r="L795" s="77"/>
      <c r="M795" s="77"/>
      <c r="N795" s="77"/>
      <c r="O795" s="77"/>
      <c r="P795" s="77"/>
      <c r="Q795" s="77"/>
      <c r="R795" s="77"/>
      <c r="S795" s="77"/>
      <c r="T795" s="77"/>
      <c r="U795" s="77"/>
      <c r="V795" s="77"/>
      <c r="W795" s="77"/>
      <c r="X795" s="77"/>
      <c r="Y795" s="77"/>
      <c r="Z795" s="77"/>
      <c r="AA795" s="77"/>
      <c r="AB795" s="77"/>
      <c r="AC795" s="77"/>
      <c r="AD795" s="77"/>
      <c r="AE795" s="77"/>
      <c r="AF795" s="77"/>
      <c r="AG795" s="77"/>
      <c r="AH795" s="77"/>
      <c r="AI795" s="77"/>
      <c r="AJ795" s="77"/>
      <c r="AK795" s="77"/>
      <c r="AL795" s="77"/>
      <c r="AM795" s="77"/>
      <c r="AN795" s="77"/>
      <c r="AO795" s="77"/>
      <c r="AP795" s="77"/>
      <c r="AQ795" s="77"/>
      <c r="AR795" s="77"/>
    </row>
    <row r="796" spans="1:44" ht="15.75" customHeight="1">
      <c r="A796" s="77"/>
      <c r="B796" s="77"/>
      <c r="C796" s="77"/>
      <c r="D796" s="77"/>
      <c r="E796" s="77"/>
      <c r="F796" s="77"/>
      <c r="G796" s="77"/>
      <c r="H796" s="77"/>
      <c r="I796" s="77"/>
      <c r="J796" s="77"/>
      <c r="K796" s="77"/>
      <c r="L796" s="77"/>
      <c r="M796" s="77"/>
      <c r="N796" s="77"/>
      <c r="O796" s="77"/>
      <c r="P796" s="77"/>
      <c r="Q796" s="77"/>
      <c r="R796" s="77"/>
      <c r="S796" s="77"/>
      <c r="T796" s="77"/>
      <c r="U796" s="77"/>
      <c r="V796" s="77"/>
      <c r="W796" s="77"/>
      <c r="X796" s="77"/>
      <c r="Y796" s="77"/>
      <c r="Z796" s="77"/>
      <c r="AA796" s="77"/>
      <c r="AB796" s="77"/>
      <c r="AC796" s="77"/>
      <c r="AD796" s="77"/>
      <c r="AE796" s="77"/>
      <c r="AF796" s="77"/>
      <c r="AG796" s="77"/>
      <c r="AH796" s="77"/>
      <c r="AI796" s="77"/>
      <c r="AJ796" s="77"/>
      <c r="AK796" s="77"/>
      <c r="AL796" s="77"/>
      <c r="AM796" s="77"/>
      <c r="AN796" s="77"/>
      <c r="AO796" s="77"/>
      <c r="AP796" s="77"/>
      <c r="AQ796" s="77"/>
      <c r="AR796" s="77"/>
    </row>
    <row r="797" spans="1:44" ht="15.75" customHeight="1">
      <c r="A797" s="77"/>
      <c r="B797" s="77"/>
      <c r="C797" s="77"/>
      <c r="D797" s="77"/>
      <c r="E797" s="77"/>
      <c r="F797" s="77"/>
      <c r="G797" s="77"/>
      <c r="H797" s="77"/>
      <c r="I797" s="77"/>
      <c r="J797" s="77"/>
      <c r="K797" s="77"/>
      <c r="L797" s="77"/>
      <c r="M797" s="77"/>
      <c r="N797" s="77"/>
      <c r="O797" s="77"/>
      <c r="P797" s="77"/>
      <c r="Q797" s="77"/>
      <c r="R797" s="77"/>
      <c r="S797" s="77"/>
      <c r="T797" s="77"/>
      <c r="U797" s="77"/>
      <c r="V797" s="77"/>
      <c r="W797" s="77"/>
      <c r="X797" s="77"/>
      <c r="Y797" s="77"/>
      <c r="Z797" s="77"/>
      <c r="AA797" s="77"/>
      <c r="AB797" s="77"/>
      <c r="AC797" s="77"/>
      <c r="AD797" s="77"/>
      <c r="AE797" s="77"/>
      <c r="AF797" s="77"/>
      <c r="AG797" s="77"/>
      <c r="AH797" s="77"/>
      <c r="AI797" s="77"/>
      <c r="AJ797" s="77"/>
      <c r="AK797" s="77"/>
      <c r="AL797" s="77"/>
      <c r="AM797" s="77"/>
      <c r="AN797" s="77"/>
      <c r="AO797" s="77"/>
      <c r="AP797" s="77"/>
      <c r="AQ797" s="77"/>
      <c r="AR797" s="77"/>
    </row>
    <row r="798" spans="1:44" ht="15.75" customHeight="1">
      <c r="A798" s="77"/>
      <c r="B798" s="77"/>
      <c r="C798" s="77"/>
      <c r="D798" s="77"/>
      <c r="E798" s="77"/>
      <c r="F798" s="77"/>
      <c r="G798" s="77"/>
      <c r="H798" s="77"/>
      <c r="I798" s="77"/>
      <c r="J798" s="77"/>
      <c r="K798" s="77"/>
      <c r="L798" s="77"/>
      <c r="M798" s="77"/>
      <c r="N798" s="77"/>
      <c r="O798" s="77"/>
      <c r="P798" s="77"/>
      <c r="Q798" s="77"/>
      <c r="R798" s="77"/>
      <c r="S798" s="77"/>
      <c r="T798" s="77"/>
      <c r="U798" s="77"/>
      <c r="V798" s="77"/>
      <c r="W798" s="77"/>
      <c r="X798" s="77"/>
      <c r="Y798" s="77"/>
      <c r="Z798" s="77"/>
      <c r="AA798" s="77"/>
      <c r="AB798" s="77"/>
      <c r="AC798" s="77"/>
      <c r="AD798" s="77"/>
      <c r="AE798" s="77"/>
      <c r="AF798" s="77"/>
      <c r="AG798" s="77"/>
      <c r="AH798" s="77"/>
      <c r="AI798" s="77"/>
      <c r="AJ798" s="77"/>
      <c r="AK798" s="77"/>
      <c r="AL798" s="77"/>
      <c r="AM798" s="77"/>
      <c r="AN798" s="77"/>
      <c r="AO798" s="77"/>
      <c r="AP798" s="77"/>
      <c r="AQ798" s="77"/>
      <c r="AR798" s="77"/>
    </row>
    <row r="799" spans="1:44" ht="15.75" customHeight="1">
      <c r="A799" s="77"/>
      <c r="B799" s="77"/>
      <c r="C799" s="77"/>
      <c r="D799" s="77"/>
      <c r="E799" s="77"/>
      <c r="F799" s="77"/>
      <c r="G799" s="77"/>
      <c r="H799" s="77"/>
      <c r="I799" s="77"/>
      <c r="J799" s="77"/>
      <c r="K799" s="77"/>
      <c r="L799" s="77"/>
      <c r="M799" s="77"/>
      <c r="N799" s="77"/>
      <c r="O799" s="77"/>
      <c r="P799" s="77"/>
      <c r="Q799" s="77"/>
      <c r="R799" s="77"/>
      <c r="S799" s="77"/>
      <c r="T799" s="77"/>
      <c r="U799" s="77"/>
      <c r="V799" s="77"/>
      <c r="W799" s="77"/>
      <c r="X799" s="77"/>
      <c r="Y799" s="77"/>
      <c r="Z799" s="77"/>
      <c r="AA799" s="77"/>
      <c r="AB799" s="77"/>
      <c r="AC799" s="77"/>
      <c r="AD799" s="77"/>
      <c r="AE799" s="77"/>
      <c r="AF799" s="77"/>
      <c r="AG799" s="77"/>
      <c r="AH799" s="77"/>
      <c r="AI799" s="77"/>
      <c r="AJ799" s="77"/>
      <c r="AK799" s="77"/>
      <c r="AL799" s="77"/>
      <c r="AM799" s="77"/>
      <c r="AN799" s="77"/>
      <c r="AO799" s="77"/>
      <c r="AP799" s="77"/>
      <c r="AQ799" s="77"/>
      <c r="AR799" s="77"/>
    </row>
    <row r="800" spans="1:44" ht="15.75" customHeight="1">
      <c r="A800" s="77"/>
      <c r="B800" s="77"/>
      <c r="C800" s="77"/>
      <c r="D800" s="77"/>
      <c r="E800" s="77"/>
      <c r="F800" s="77"/>
      <c r="G800" s="77"/>
      <c r="H800" s="77"/>
      <c r="I800" s="77"/>
      <c r="J800" s="77"/>
      <c r="K800" s="77"/>
      <c r="L800" s="77"/>
      <c r="M800" s="77"/>
      <c r="N800" s="77"/>
      <c r="O800" s="77"/>
      <c r="P800" s="77"/>
      <c r="Q800" s="77"/>
      <c r="R800" s="77"/>
      <c r="S800" s="77"/>
      <c r="T800" s="77"/>
      <c r="U800" s="77"/>
      <c r="V800" s="77"/>
      <c r="W800" s="77"/>
      <c r="X800" s="77"/>
      <c r="Y800" s="77"/>
      <c r="Z800" s="77"/>
      <c r="AA800" s="77"/>
      <c r="AB800" s="77"/>
      <c r="AC800" s="77"/>
      <c r="AD800" s="77"/>
      <c r="AE800" s="77"/>
      <c r="AF800" s="77"/>
      <c r="AG800" s="77"/>
      <c r="AH800" s="77"/>
      <c r="AI800" s="77"/>
      <c r="AJ800" s="77"/>
      <c r="AK800" s="77"/>
      <c r="AL800" s="77"/>
      <c r="AM800" s="77"/>
      <c r="AN800" s="77"/>
      <c r="AO800" s="77"/>
      <c r="AP800" s="77"/>
      <c r="AQ800" s="77"/>
      <c r="AR800" s="77"/>
    </row>
    <row r="801" spans="1:44" ht="15.75" customHeight="1">
      <c r="A801" s="77"/>
      <c r="B801" s="77"/>
      <c r="C801" s="77"/>
      <c r="D801" s="77"/>
      <c r="E801" s="77"/>
      <c r="F801" s="77"/>
      <c r="G801" s="77"/>
      <c r="H801" s="77"/>
      <c r="I801" s="77"/>
      <c r="J801" s="77"/>
      <c r="K801" s="77"/>
      <c r="L801" s="77"/>
      <c r="M801" s="77"/>
      <c r="N801" s="77"/>
      <c r="O801" s="77"/>
      <c r="P801" s="77"/>
      <c r="Q801" s="77"/>
      <c r="R801" s="77"/>
      <c r="S801" s="77"/>
      <c r="T801" s="77"/>
      <c r="U801" s="77"/>
      <c r="V801" s="77"/>
      <c r="W801" s="77"/>
      <c r="X801" s="77"/>
      <c r="Y801" s="77"/>
      <c r="Z801" s="77"/>
      <c r="AA801" s="77"/>
      <c r="AB801" s="77"/>
      <c r="AC801" s="77"/>
      <c r="AD801" s="77"/>
      <c r="AE801" s="77"/>
      <c r="AF801" s="77"/>
      <c r="AG801" s="77"/>
      <c r="AH801" s="77"/>
      <c r="AI801" s="77"/>
      <c r="AJ801" s="77"/>
      <c r="AK801" s="77"/>
      <c r="AL801" s="77"/>
      <c r="AM801" s="77"/>
      <c r="AN801" s="77"/>
      <c r="AO801" s="77"/>
      <c r="AP801" s="77"/>
      <c r="AQ801" s="77"/>
      <c r="AR801" s="77"/>
    </row>
    <row r="802" spans="1:44" ht="15.75" customHeight="1">
      <c r="A802" s="77"/>
      <c r="B802" s="77"/>
      <c r="C802" s="77"/>
      <c r="D802" s="77"/>
      <c r="E802" s="77"/>
      <c r="F802" s="77"/>
      <c r="G802" s="77"/>
      <c r="H802" s="77"/>
      <c r="I802" s="77"/>
      <c r="J802" s="77"/>
      <c r="K802" s="77"/>
      <c r="L802" s="77"/>
      <c r="M802" s="77"/>
      <c r="N802" s="77"/>
      <c r="O802" s="77"/>
      <c r="P802" s="77"/>
      <c r="Q802" s="77"/>
      <c r="R802" s="77"/>
      <c r="S802" s="77"/>
      <c r="T802" s="77"/>
      <c r="U802" s="77"/>
      <c r="V802" s="77"/>
      <c r="W802" s="77"/>
      <c r="X802" s="77"/>
      <c r="Y802" s="77"/>
      <c r="Z802" s="77"/>
      <c r="AA802" s="77"/>
      <c r="AB802" s="77"/>
      <c r="AC802" s="77"/>
      <c r="AD802" s="77"/>
      <c r="AE802" s="77"/>
      <c r="AF802" s="77"/>
      <c r="AG802" s="77"/>
      <c r="AH802" s="77"/>
      <c r="AI802" s="77"/>
      <c r="AJ802" s="77"/>
      <c r="AK802" s="77"/>
      <c r="AL802" s="77"/>
      <c r="AM802" s="77"/>
      <c r="AN802" s="77"/>
      <c r="AO802" s="77"/>
      <c r="AP802" s="77"/>
      <c r="AQ802" s="77"/>
      <c r="AR802" s="77"/>
    </row>
    <row r="803" spans="1:44" ht="15.75" customHeight="1">
      <c r="A803" s="77"/>
      <c r="B803" s="77"/>
      <c r="C803" s="77"/>
      <c r="D803" s="77"/>
      <c r="E803" s="77"/>
      <c r="F803" s="77"/>
      <c r="G803" s="77"/>
      <c r="H803" s="77"/>
      <c r="I803" s="77"/>
      <c r="J803" s="77"/>
      <c r="K803" s="77"/>
      <c r="L803" s="77"/>
      <c r="M803" s="77"/>
      <c r="N803" s="77"/>
      <c r="O803" s="77"/>
      <c r="P803" s="77"/>
      <c r="Q803" s="77"/>
      <c r="R803" s="77"/>
      <c r="S803" s="77"/>
      <c r="T803" s="77"/>
      <c r="U803" s="77"/>
      <c r="V803" s="77"/>
      <c r="W803" s="77"/>
      <c r="X803" s="77"/>
      <c r="Y803" s="77"/>
      <c r="Z803" s="77"/>
      <c r="AA803" s="77"/>
      <c r="AB803" s="77"/>
      <c r="AC803" s="77"/>
      <c r="AD803" s="77"/>
      <c r="AE803" s="77"/>
      <c r="AF803" s="77"/>
      <c r="AG803" s="77"/>
      <c r="AH803" s="77"/>
      <c r="AI803" s="77"/>
      <c r="AJ803" s="77"/>
      <c r="AK803" s="77"/>
      <c r="AL803" s="77"/>
      <c r="AM803" s="77"/>
      <c r="AN803" s="77"/>
      <c r="AO803" s="77"/>
      <c r="AP803" s="77"/>
      <c r="AQ803" s="77"/>
      <c r="AR803" s="77"/>
    </row>
    <row r="804" spans="1:44" ht="15.75" customHeight="1">
      <c r="A804" s="77"/>
      <c r="B804" s="77"/>
      <c r="C804" s="77"/>
      <c r="D804" s="77"/>
      <c r="E804" s="77"/>
      <c r="F804" s="77"/>
      <c r="G804" s="77"/>
      <c r="H804" s="77"/>
      <c r="I804" s="77"/>
      <c r="J804" s="77"/>
      <c r="K804" s="77"/>
      <c r="L804" s="77"/>
      <c r="M804" s="77"/>
      <c r="N804" s="77"/>
      <c r="O804" s="77"/>
      <c r="P804" s="77"/>
      <c r="Q804" s="77"/>
      <c r="R804" s="77"/>
      <c r="S804" s="77"/>
      <c r="T804" s="77"/>
      <c r="U804" s="77"/>
      <c r="V804" s="77"/>
      <c r="W804" s="77"/>
      <c r="X804" s="77"/>
      <c r="Y804" s="77"/>
      <c r="Z804" s="77"/>
      <c r="AA804" s="77"/>
      <c r="AB804" s="77"/>
      <c r="AC804" s="77"/>
      <c r="AD804" s="77"/>
      <c r="AE804" s="77"/>
      <c r="AF804" s="77"/>
      <c r="AG804" s="77"/>
      <c r="AH804" s="77"/>
      <c r="AI804" s="77"/>
      <c r="AJ804" s="77"/>
      <c r="AK804" s="77"/>
      <c r="AL804" s="77"/>
      <c r="AM804" s="77"/>
      <c r="AN804" s="77"/>
      <c r="AO804" s="77"/>
      <c r="AP804" s="77"/>
      <c r="AQ804" s="77"/>
      <c r="AR804" s="77"/>
    </row>
    <row r="805" spans="1:44" ht="15.75" customHeight="1">
      <c r="A805" s="77"/>
      <c r="B805" s="77"/>
      <c r="C805" s="77"/>
      <c r="D805" s="77"/>
      <c r="E805" s="77"/>
      <c r="F805" s="77"/>
      <c r="G805" s="77"/>
      <c r="H805" s="77"/>
      <c r="I805" s="77"/>
      <c r="J805" s="77"/>
      <c r="K805" s="77"/>
      <c r="L805" s="77"/>
      <c r="M805" s="77"/>
      <c r="N805" s="77"/>
      <c r="O805" s="77"/>
      <c r="P805" s="77"/>
      <c r="Q805" s="77"/>
      <c r="R805" s="77"/>
      <c r="S805" s="77"/>
      <c r="T805" s="77"/>
      <c r="U805" s="77"/>
      <c r="V805" s="77"/>
      <c r="W805" s="77"/>
      <c r="X805" s="77"/>
      <c r="Y805" s="77"/>
      <c r="Z805" s="77"/>
      <c r="AA805" s="77"/>
      <c r="AB805" s="77"/>
      <c r="AC805" s="77"/>
      <c r="AD805" s="77"/>
      <c r="AE805" s="77"/>
      <c r="AF805" s="77"/>
      <c r="AG805" s="77"/>
      <c r="AH805" s="77"/>
      <c r="AI805" s="77"/>
      <c r="AJ805" s="77"/>
      <c r="AK805" s="77"/>
      <c r="AL805" s="77"/>
      <c r="AM805" s="77"/>
      <c r="AN805" s="77"/>
      <c r="AO805" s="77"/>
      <c r="AP805" s="77"/>
      <c r="AQ805" s="77"/>
      <c r="AR805" s="77"/>
    </row>
    <row r="806" spans="1:44" ht="15.75" customHeight="1">
      <c r="A806" s="77"/>
      <c r="B806" s="77"/>
      <c r="C806" s="77"/>
      <c r="D806" s="77"/>
      <c r="E806" s="77"/>
      <c r="F806" s="77"/>
      <c r="G806" s="77"/>
      <c r="H806" s="77"/>
      <c r="I806" s="77"/>
      <c r="J806" s="77"/>
      <c r="K806" s="77"/>
      <c r="L806" s="77"/>
      <c r="M806" s="77"/>
      <c r="N806" s="77"/>
      <c r="O806" s="77"/>
      <c r="P806" s="77"/>
      <c r="Q806" s="77"/>
      <c r="R806" s="77"/>
      <c r="S806" s="77"/>
      <c r="T806" s="77"/>
      <c r="U806" s="77"/>
      <c r="V806" s="77"/>
      <c r="W806" s="77"/>
      <c r="X806" s="77"/>
      <c r="Y806" s="77"/>
      <c r="Z806" s="77"/>
      <c r="AA806" s="77"/>
      <c r="AB806" s="77"/>
      <c r="AC806" s="77"/>
      <c r="AD806" s="77"/>
      <c r="AE806" s="77"/>
      <c r="AF806" s="77"/>
      <c r="AG806" s="77"/>
      <c r="AH806" s="77"/>
      <c r="AI806" s="77"/>
      <c r="AJ806" s="77"/>
      <c r="AK806" s="77"/>
      <c r="AL806" s="77"/>
      <c r="AM806" s="77"/>
      <c r="AN806" s="77"/>
      <c r="AO806" s="77"/>
      <c r="AP806" s="77"/>
      <c r="AQ806" s="77"/>
      <c r="AR806" s="77"/>
    </row>
    <row r="807" spans="1:44" ht="15.75" customHeight="1">
      <c r="A807" s="77"/>
      <c r="B807" s="77"/>
      <c r="C807" s="77"/>
      <c r="D807" s="77"/>
      <c r="E807" s="77"/>
      <c r="F807" s="77"/>
      <c r="G807" s="77"/>
      <c r="H807" s="77"/>
      <c r="I807" s="77"/>
      <c r="J807" s="77"/>
      <c r="K807" s="77"/>
      <c r="L807" s="77"/>
      <c r="M807" s="77"/>
      <c r="N807" s="77"/>
      <c r="O807" s="77"/>
      <c r="P807" s="77"/>
      <c r="Q807" s="77"/>
      <c r="R807" s="77"/>
      <c r="S807" s="77"/>
      <c r="T807" s="77"/>
      <c r="U807" s="77"/>
      <c r="V807" s="77"/>
      <c r="W807" s="77"/>
      <c r="X807" s="77"/>
      <c r="Y807" s="77"/>
      <c r="Z807" s="77"/>
      <c r="AA807" s="77"/>
      <c r="AB807" s="77"/>
      <c r="AC807" s="77"/>
      <c r="AD807" s="77"/>
      <c r="AE807" s="77"/>
      <c r="AF807" s="77"/>
      <c r="AG807" s="77"/>
      <c r="AH807" s="77"/>
      <c r="AI807" s="77"/>
      <c r="AJ807" s="77"/>
      <c r="AK807" s="77"/>
      <c r="AL807" s="77"/>
      <c r="AM807" s="77"/>
      <c r="AN807" s="77"/>
      <c r="AO807" s="77"/>
      <c r="AP807" s="77"/>
      <c r="AQ807" s="77"/>
      <c r="AR807" s="77"/>
    </row>
    <row r="808" spans="1:44" ht="15.75" customHeight="1">
      <c r="A808" s="77"/>
      <c r="B808" s="77"/>
      <c r="C808" s="77"/>
      <c r="D808" s="77"/>
      <c r="E808" s="77"/>
      <c r="F808" s="77"/>
      <c r="G808" s="77"/>
      <c r="H808" s="77"/>
      <c r="I808" s="77"/>
      <c r="J808" s="77"/>
      <c r="K808" s="77"/>
      <c r="L808" s="77"/>
      <c r="M808" s="77"/>
      <c r="N808" s="77"/>
      <c r="O808" s="77"/>
      <c r="P808" s="77"/>
      <c r="Q808" s="77"/>
      <c r="R808" s="77"/>
      <c r="S808" s="77"/>
      <c r="T808" s="77"/>
      <c r="U808" s="77"/>
      <c r="V808" s="77"/>
      <c r="W808" s="77"/>
      <c r="X808" s="77"/>
      <c r="Y808" s="77"/>
      <c r="Z808" s="77"/>
      <c r="AA808" s="77"/>
      <c r="AB808" s="77"/>
      <c r="AC808" s="77"/>
      <c r="AD808" s="77"/>
      <c r="AE808" s="77"/>
      <c r="AF808" s="77"/>
      <c r="AG808" s="77"/>
      <c r="AH808" s="77"/>
      <c r="AI808" s="77"/>
      <c r="AJ808" s="77"/>
      <c r="AK808" s="77"/>
      <c r="AL808" s="77"/>
      <c r="AM808" s="77"/>
      <c r="AN808" s="77"/>
      <c r="AO808" s="77"/>
      <c r="AP808" s="77"/>
      <c r="AQ808" s="77"/>
      <c r="AR808" s="77"/>
    </row>
    <row r="809" spans="1:44" ht="15.75" customHeight="1">
      <c r="A809" s="77"/>
      <c r="B809" s="77"/>
      <c r="C809" s="77"/>
      <c r="D809" s="77"/>
      <c r="E809" s="77"/>
      <c r="F809" s="77"/>
      <c r="G809" s="77"/>
      <c r="H809" s="77"/>
      <c r="I809" s="77"/>
      <c r="J809" s="77"/>
      <c r="K809" s="77"/>
      <c r="L809" s="77"/>
      <c r="M809" s="77"/>
      <c r="N809" s="77"/>
      <c r="O809" s="77"/>
      <c r="P809" s="77"/>
      <c r="Q809" s="77"/>
      <c r="R809" s="77"/>
      <c r="S809" s="77"/>
      <c r="T809" s="77"/>
      <c r="U809" s="77"/>
      <c r="V809" s="77"/>
      <c r="W809" s="77"/>
      <c r="X809" s="77"/>
      <c r="Y809" s="77"/>
      <c r="Z809" s="77"/>
      <c r="AA809" s="77"/>
      <c r="AB809" s="77"/>
      <c r="AC809" s="77"/>
      <c r="AD809" s="77"/>
      <c r="AE809" s="77"/>
      <c r="AF809" s="77"/>
      <c r="AG809" s="77"/>
      <c r="AH809" s="77"/>
      <c r="AI809" s="77"/>
      <c r="AJ809" s="77"/>
      <c r="AK809" s="77"/>
      <c r="AL809" s="77"/>
      <c r="AM809" s="77"/>
      <c r="AN809" s="77"/>
      <c r="AO809" s="77"/>
      <c r="AP809" s="77"/>
      <c r="AQ809" s="77"/>
      <c r="AR809" s="77"/>
    </row>
    <row r="810" spans="1:44" ht="15.75" customHeight="1">
      <c r="A810" s="77"/>
      <c r="B810" s="77"/>
      <c r="C810" s="77"/>
      <c r="D810" s="77"/>
      <c r="E810" s="77"/>
      <c r="F810" s="77"/>
      <c r="G810" s="77"/>
      <c r="H810" s="77"/>
      <c r="I810" s="77"/>
      <c r="J810" s="77"/>
      <c r="K810" s="77"/>
      <c r="L810" s="77"/>
      <c r="M810" s="77"/>
      <c r="N810" s="77"/>
      <c r="O810" s="77"/>
      <c r="P810" s="77"/>
      <c r="Q810" s="77"/>
      <c r="R810" s="77"/>
      <c r="S810" s="77"/>
      <c r="T810" s="77"/>
      <c r="U810" s="77"/>
      <c r="V810" s="77"/>
      <c r="W810" s="77"/>
      <c r="X810" s="77"/>
      <c r="Y810" s="77"/>
      <c r="Z810" s="77"/>
      <c r="AA810" s="77"/>
      <c r="AB810" s="77"/>
      <c r="AC810" s="77"/>
      <c r="AD810" s="77"/>
      <c r="AE810" s="77"/>
      <c r="AF810" s="77"/>
      <c r="AG810" s="77"/>
      <c r="AH810" s="77"/>
      <c r="AI810" s="77"/>
      <c r="AJ810" s="77"/>
      <c r="AK810" s="77"/>
      <c r="AL810" s="77"/>
      <c r="AM810" s="77"/>
      <c r="AN810" s="77"/>
      <c r="AO810" s="77"/>
      <c r="AP810" s="77"/>
      <c r="AQ810" s="77"/>
      <c r="AR810" s="77"/>
    </row>
    <row r="811" spans="1:44" ht="15.75" customHeight="1">
      <c r="A811" s="77"/>
      <c r="B811" s="77"/>
      <c r="C811" s="77"/>
      <c r="D811" s="77"/>
      <c r="E811" s="77"/>
      <c r="F811" s="77"/>
      <c r="G811" s="77"/>
      <c r="H811" s="77"/>
      <c r="I811" s="77"/>
      <c r="J811" s="77"/>
      <c r="K811" s="77"/>
      <c r="L811" s="77"/>
      <c r="M811" s="77"/>
      <c r="N811" s="77"/>
      <c r="O811" s="77"/>
      <c r="P811" s="77"/>
      <c r="Q811" s="77"/>
      <c r="R811" s="77"/>
      <c r="S811" s="77"/>
      <c r="T811" s="77"/>
      <c r="U811" s="77"/>
      <c r="V811" s="77"/>
      <c r="W811" s="77"/>
      <c r="X811" s="77"/>
      <c r="Y811" s="77"/>
      <c r="Z811" s="77"/>
      <c r="AA811" s="77"/>
      <c r="AB811" s="77"/>
      <c r="AC811" s="77"/>
      <c r="AD811" s="77"/>
      <c r="AE811" s="77"/>
      <c r="AF811" s="77"/>
      <c r="AG811" s="77"/>
      <c r="AH811" s="77"/>
      <c r="AI811" s="77"/>
      <c r="AJ811" s="77"/>
      <c r="AK811" s="77"/>
      <c r="AL811" s="77"/>
      <c r="AM811" s="77"/>
      <c r="AN811" s="77"/>
      <c r="AO811" s="77"/>
      <c r="AP811" s="77"/>
      <c r="AQ811" s="77"/>
      <c r="AR811" s="77"/>
    </row>
    <row r="812" spans="1:44" ht="15.75" customHeight="1">
      <c r="A812" s="77"/>
      <c r="B812" s="77"/>
      <c r="C812" s="77"/>
      <c r="D812" s="77"/>
      <c r="E812" s="77"/>
      <c r="F812" s="77"/>
      <c r="G812" s="77"/>
      <c r="H812" s="77"/>
      <c r="I812" s="77"/>
      <c r="J812" s="77"/>
      <c r="K812" s="77"/>
      <c r="L812" s="77"/>
      <c r="M812" s="77"/>
      <c r="N812" s="77"/>
      <c r="O812" s="77"/>
      <c r="P812" s="77"/>
      <c r="Q812" s="77"/>
      <c r="R812" s="77"/>
      <c r="S812" s="77"/>
      <c r="T812" s="77"/>
      <c r="U812" s="77"/>
      <c r="V812" s="77"/>
      <c r="W812" s="77"/>
      <c r="X812" s="77"/>
      <c r="Y812" s="77"/>
      <c r="Z812" s="77"/>
      <c r="AA812" s="77"/>
      <c r="AB812" s="77"/>
      <c r="AC812" s="77"/>
      <c r="AD812" s="77"/>
      <c r="AE812" s="77"/>
      <c r="AF812" s="77"/>
      <c r="AG812" s="77"/>
      <c r="AH812" s="77"/>
      <c r="AI812" s="77"/>
      <c r="AJ812" s="77"/>
      <c r="AK812" s="77"/>
      <c r="AL812" s="77"/>
      <c r="AM812" s="77"/>
      <c r="AN812" s="77"/>
      <c r="AO812" s="77"/>
      <c r="AP812" s="77"/>
      <c r="AQ812" s="77"/>
      <c r="AR812" s="77"/>
    </row>
    <row r="813" spans="1:44" ht="15.75" customHeight="1">
      <c r="A813" s="77"/>
      <c r="B813" s="77"/>
      <c r="C813" s="77"/>
      <c r="D813" s="77"/>
      <c r="E813" s="77"/>
      <c r="F813" s="77"/>
      <c r="G813" s="77"/>
      <c r="H813" s="77"/>
      <c r="I813" s="77"/>
      <c r="J813" s="77"/>
      <c r="K813" s="77"/>
      <c r="L813" s="77"/>
      <c r="M813" s="77"/>
      <c r="N813" s="77"/>
      <c r="O813" s="77"/>
      <c r="P813" s="77"/>
      <c r="Q813" s="77"/>
      <c r="R813" s="77"/>
      <c r="S813" s="77"/>
      <c r="T813" s="77"/>
      <c r="U813" s="77"/>
      <c r="V813" s="77"/>
      <c r="W813" s="77"/>
      <c r="X813" s="77"/>
      <c r="Y813" s="77"/>
      <c r="Z813" s="77"/>
      <c r="AA813" s="77"/>
      <c r="AB813" s="77"/>
      <c r="AC813" s="77"/>
      <c r="AD813" s="77"/>
      <c r="AE813" s="77"/>
      <c r="AF813" s="77"/>
      <c r="AG813" s="77"/>
      <c r="AH813" s="77"/>
      <c r="AI813" s="77"/>
      <c r="AJ813" s="77"/>
      <c r="AK813" s="77"/>
      <c r="AL813" s="77"/>
      <c r="AM813" s="77"/>
      <c r="AN813" s="77"/>
      <c r="AO813" s="77"/>
      <c r="AP813" s="77"/>
      <c r="AQ813" s="77"/>
      <c r="AR813" s="77"/>
    </row>
    <row r="814" spans="1:44" ht="15.75" customHeight="1">
      <c r="A814" s="77"/>
      <c r="B814" s="77"/>
      <c r="C814" s="77"/>
      <c r="D814" s="77"/>
      <c r="E814" s="77"/>
      <c r="F814" s="77"/>
      <c r="G814" s="77"/>
      <c r="H814" s="77"/>
      <c r="I814" s="77"/>
      <c r="J814" s="77"/>
      <c r="K814" s="77"/>
      <c r="L814" s="77"/>
      <c r="M814" s="77"/>
      <c r="N814" s="77"/>
      <c r="O814" s="77"/>
      <c r="P814" s="77"/>
      <c r="Q814" s="77"/>
      <c r="R814" s="77"/>
      <c r="S814" s="77"/>
      <c r="T814" s="77"/>
      <c r="U814" s="77"/>
      <c r="V814" s="77"/>
      <c r="W814" s="77"/>
      <c r="X814" s="77"/>
      <c r="Y814" s="77"/>
      <c r="Z814" s="77"/>
      <c r="AA814" s="77"/>
      <c r="AB814" s="77"/>
      <c r="AC814" s="77"/>
      <c r="AD814" s="77"/>
      <c r="AE814" s="77"/>
      <c r="AF814" s="77"/>
      <c r="AG814" s="77"/>
      <c r="AH814" s="77"/>
      <c r="AI814" s="77"/>
      <c r="AJ814" s="77"/>
      <c r="AK814" s="77"/>
      <c r="AL814" s="77"/>
      <c r="AM814" s="77"/>
      <c r="AN814" s="77"/>
      <c r="AO814" s="77"/>
      <c r="AP814" s="77"/>
      <c r="AQ814" s="77"/>
      <c r="AR814" s="77"/>
    </row>
    <row r="815" spans="1:44" ht="15.75" customHeight="1">
      <c r="A815" s="77"/>
      <c r="B815" s="77"/>
      <c r="C815" s="77"/>
      <c r="D815" s="77"/>
      <c r="E815" s="77"/>
      <c r="F815" s="77"/>
      <c r="G815" s="77"/>
      <c r="H815" s="77"/>
      <c r="I815" s="77"/>
      <c r="J815" s="77"/>
      <c r="K815" s="77"/>
      <c r="L815" s="77"/>
      <c r="M815" s="77"/>
      <c r="N815" s="77"/>
      <c r="O815" s="77"/>
      <c r="P815" s="77"/>
      <c r="Q815" s="77"/>
      <c r="R815" s="77"/>
      <c r="S815" s="77"/>
      <c r="T815" s="77"/>
      <c r="U815" s="77"/>
      <c r="V815" s="77"/>
      <c r="W815" s="77"/>
      <c r="X815" s="77"/>
      <c r="Y815" s="77"/>
      <c r="Z815" s="77"/>
      <c r="AA815" s="77"/>
      <c r="AB815" s="77"/>
      <c r="AC815" s="77"/>
      <c r="AD815" s="77"/>
      <c r="AE815" s="77"/>
      <c r="AF815" s="77"/>
      <c r="AG815" s="77"/>
      <c r="AH815" s="77"/>
      <c r="AI815" s="77"/>
      <c r="AJ815" s="77"/>
      <c r="AK815" s="77"/>
      <c r="AL815" s="77"/>
      <c r="AM815" s="77"/>
      <c r="AN815" s="77"/>
      <c r="AO815" s="77"/>
      <c r="AP815" s="77"/>
      <c r="AQ815" s="77"/>
      <c r="AR815" s="77"/>
    </row>
    <row r="816" spans="1:44" ht="15.75" customHeight="1">
      <c r="A816" s="77"/>
      <c r="B816" s="77"/>
      <c r="C816" s="77"/>
      <c r="D816" s="77"/>
      <c r="E816" s="77"/>
      <c r="F816" s="77"/>
      <c r="G816" s="77"/>
      <c r="H816" s="77"/>
      <c r="I816" s="77"/>
      <c r="J816" s="77"/>
      <c r="K816" s="77"/>
      <c r="L816" s="77"/>
      <c r="M816" s="77"/>
      <c r="N816" s="77"/>
      <c r="O816" s="77"/>
      <c r="P816" s="77"/>
      <c r="Q816" s="77"/>
      <c r="R816" s="77"/>
      <c r="S816" s="77"/>
      <c r="T816" s="77"/>
      <c r="U816" s="77"/>
      <c r="V816" s="77"/>
      <c r="W816" s="77"/>
      <c r="X816" s="77"/>
      <c r="Y816" s="77"/>
      <c r="Z816" s="77"/>
      <c r="AA816" s="77"/>
      <c r="AB816" s="77"/>
      <c r="AC816" s="77"/>
      <c r="AD816" s="77"/>
      <c r="AE816" s="77"/>
      <c r="AF816" s="77"/>
      <c r="AG816" s="77"/>
      <c r="AH816" s="77"/>
      <c r="AI816" s="77"/>
      <c r="AJ816" s="77"/>
      <c r="AK816" s="77"/>
      <c r="AL816" s="77"/>
      <c r="AM816" s="77"/>
      <c r="AN816" s="77"/>
      <c r="AO816" s="77"/>
      <c r="AP816" s="77"/>
      <c r="AQ816" s="77"/>
      <c r="AR816" s="77"/>
    </row>
    <row r="817" spans="1:44" ht="15.75" customHeight="1">
      <c r="A817" s="77"/>
      <c r="B817" s="77"/>
      <c r="C817" s="77"/>
      <c r="D817" s="77"/>
      <c r="E817" s="77"/>
      <c r="F817" s="77"/>
      <c r="G817" s="77"/>
      <c r="H817" s="77"/>
      <c r="I817" s="77"/>
      <c r="J817" s="77"/>
      <c r="K817" s="77"/>
      <c r="L817" s="77"/>
      <c r="M817" s="77"/>
      <c r="N817" s="77"/>
      <c r="O817" s="77"/>
      <c r="P817" s="77"/>
      <c r="Q817" s="77"/>
      <c r="R817" s="77"/>
      <c r="S817" s="77"/>
      <c r="T817" s="77"/>
      <c r="U817" s="77"/>
      <c r="V817" s="77"/>
      <c r="W817" s="77"/>
      <c r="X817" s="77"/>
      <c r="Y817" s="77"/>
      <c r="Z817" s="77"/>
      <c r="AA817" s="77"/>
      <c r="AB817" s="77"/>
      <c r="AC817" s="77"/>
      <c r="AD817" s="77"/>
      <c r="AE817" s="77"/>
      <c r="AF817" s="77"/>
      <c r="AG817" s="77"/>
      <c r="AH817" s="77"/>
      <c r="AI817" s="77"/>
      <c r="AJ817" s="77"/>
      <c r="AK817" s="77"/>
      <c r="AL817" s="77"/>
      <c r="AM817" s="77"/>
      <c r="AN817" s="77"/>
      <c r="AO817" s="77"/>
      <c r="AP817" s="77"/>
      <c r="AQ817" s="77"/>
      <c r="AR817" s="77"/>
    </row>
    <row r="818" spans="1:44" ht="15.75" customHeight="1">
      <c r="A818" s="77"/>
      <c r="B818" s="77"/>
      <c r="C818" s="77"/>
      <c r="D818" s="77"/>
      <c r="E818" s="77"/>
      <c r="F818" s="77"/>
      <c r="G818" s="77"/>
      <c r="H818" s="77"/>
      <c r="I818" s="77"/>
      <c r="J818" s="77"/>
      <c r="K818" s="77"/>
      <c r="L818" s="77"/>
      <c r="M818" s="77"/>
      <c r="N818" s="77"/>
      <c r="O818" s="77"/>
      <c r="P818" s="77"/>
      <c r="Q818" s="77"/>
      <c r="R818" s="77"/>
      <c r="S818" s="77"/>
      <c r="T818" s="77"/>
      <c r="U818" s="77"/>
      <c r="V818" s="77"/>
      <c r="W818" s="77"/>
      <c r="X818" s="77"/>
      <c r="Y818" s="77"/>
      <c r="Z818" s="77"/>
      <c r="AA818" s="77"/>
      <c r="AB818" s="77"/>
      <c r="AC818" s="77"/>
      <c r="AD818" s="77"/>
      <c r="AE818" s="77"/>
      <c r="AF818" s="77"/>
      <c r="AG818" s="77"/>
      <c r="AH818" s="77"/>
      <c r="AI818" s="77"/>
      <c r="AJ818" s="77"/>
      <c r="AK818" s="77"/>
      <c r="AL818" s="77"/>
      <c r="AM818" s="77"/>
      <c r="AN818" s="77"/>
      <c r="AO818" s="77"/>
      <c r="AP818" s="77"/>
      <c r="AQ818" s="77"/>
      <c r="AR818" s="77"/>
    </row>
    <row r="819" spans="1:44" ht="15.75" customHeight="1">
      <c r="A819" s="77"/>
      <c r="B819" s="77"/>
      <c r="C819" s="77"/>
      <c r="D819" s="77"/>
      <c r="E819" s="77"/>
      <c r="F819" s="77"/>
      <c r="G819" s="77"/>
      <c r="H819" s="77"/>
      <c r="I819" s="77"/>
      <c r="J819" s="77"/>
      <c r="K819" s="77"/>
      <c r="L819" s="77"/>
      <c r="M819" s="77"/>
      <c r="N819" s="77"/>
      <c r="O819" s="77"/>
      <c r="P819" s="77"/>
      <c r="Q819" s="77"/>
      <c r="R819" s="77"/>
      <c r="S819" s="77"/>
      <c r="T819" s="77"/>
      <c r="U819" s="77"/>
      <c r="V819" s="77"/>
      <c r="W819" s="77"/>
      <c r="X819" s="77"/>
      <c r="Y819" s="77"/>
      <c r="Z819" s="77"/>
      <c r="AA819" s="77"/>
      <c r="AB819" s="77"/>
      <c r="AC819" s="77"/>
      <c r="AD819" s="77"/>
      <c r="AE819" s="77"/>
      <c r="AF819" s="77"/>
      <c r="AG819" s="77"/>
      <c r="AH819" s="77"/>
      <c r="AI819" s="77"/>
      <c r="AJ819" s="77"/>
      <c r="AK819" s="77"/>
      <c r="AL819" s="77"/>
      <c r="AM819" s="77"/>
      <c r="AN819" s="77"/>
      <c r="AO819" s="77"/>
      <c r="AP819" s="77"/>
      <c r="AQ819" s="77"/>
      <c r="AR819" s="77"/>
    </row>
    <row r="820" spans="1:44" ht="15.75" customHeight="1">
      <c r="A820" s="77"/>
      <c r="B820" s="77"/>
      <c r="C820" s="77"/>
      <c r="D820" s="77"/>
      <c r="E820" s="77"/>
      <c r="F820" s="77"/>
      <c r="G820" s="77"/>
      <c r="H820" s="77"/>
      <c r="I820" s="77"/>
      <c r="J820" s="77"/>
      <c r="K820" s="77"/>
      <c r="L820" s="77"/>
      <c r="M820" s="77"/>
      <c r="N820" s="77"/>
      <c r="O820" s="77"/>
      <c r="P820" s="77"/>
      <c r="Q820" s="77"/>
      <c r="R820" s="77"/>
      <c r="S820" s="77"/>
      <c r="T820" s="77"/>
      <c r="U820" s="77"/>
      <c r="V820" s="77"/>
      <c r="W820" s="77"/>
      <c r="X820" s="77"/>
      <c r="Y820" s="77"/>
      <c r="Z820" s="77"/>
      <c r="AA820" s="77"/>
      <c r="AB820" s="77"/>
      <c r="AC820" s="77"/>
      <c r="AD820" s="77"/>
      <c r="AE820" s="77"/>
      <c r="AF820" s="77"/>
      <c r="AG820" s="77"/>
      <c r="AH820" s="77"/>
      <c r="AI820" s="77"/>
      <c r="AJ820" s="77"/>
      <c r="AK820" s="77"/>
      <c r="AL820" s="77"/>
      <c r="AM820" s="77"/>
      <c r="AN820" s="77"/>
      <c r="AO820" s="77"/>
      <c r="AP820" s="77"/>
      <c r="AQ820" s="77"/>
      <c r="AR820" s="77"/>
    </row>
    <row r="821" spans="1:44" ht="15.75" customHeight="1">
      <c r="A821" s="77"/>
      <c r="B821" s="77"/>
      <c r="C821" s="77"/>
      <c r="D821" s="77"/>
      <c r="E821" s="77"/>
      <c r="F821" s="77"/>
      <c r="G821" s="77"/>
      <c r="H821" s="77"/>
      <c r="I821" s="77"/>
      <c r="J821" s="77"/>
      <c r="K821" s="77"/>
      <c r="L821" s="77"/>
      <c r="M821" s="77"/>
      <c r="N821" s="77"/>
      <c r="O821" s="77"/>
      <c r="P821" s="77"/>
      <c r="Q821" s="77"/>
      <c r="R821" s="77"/>
      <c r="S821" s="77"/>
      <c r="T821" s="77"/>
      <c r="U821" s="77"/>
      <c r="V821" s="77"/>
      <c r="W821" s="77"/>
      <c r="X821" s="77"/>
      <c r="Y821" s="77"/>
      <c r="Z821" s="77"/>
      <c r="AA821" s="77"/>
      <c r="AB821" s="77"/>
      <c r="AC821" s="77"/>
      <c r="AD821" s="77"/>
      <c r="AE821" s="77"/>
      <c r="AF821" s="77"/>
      <c r="AG821" s="77"/>
      <c r="AH821" s="77"/>
      <c r="AI821" s="77"/>
      <c r="AJ821" s="77"/>
      <c r="AK821" s="77"/>
      <c r="AL821" s="77"/>
      <c r="AM821" s="77"/>
      <c r="AN821" s="77"/>
      <c r="AO821" s="77"/>
      <c r="AP821" s="77"/>
      <c r="AQ821" s="77"/>
      <c r="AR821" s="77"/>
    </row>
    <row r="822" spans="1:44" ht="15.75" customHeight="1">
      <c r="A822" s="77"/>
      <c r="B822" s="77"/>
      <c r="C822" s="77"/>
      <c r="D822" s="77"/>
      <c r="E822" s="77"/>
      <c r="F822" s="77"/>
      <c r="G822" s="77"/>
      <c r="H822" s="77"/>
      <c r="I822" s="77"/>
      <c r="J822" s="77"/>
      <c r="K822" s="77"/>
      <c r="L822" s="77"/>
      <c r="M822" s="77"/>
      <c r="N822" s="77"/>
      <c r="O822" s="77"/>
      <c r="P822" s="77"/>
      <c r="Q822" s="77"/>
      <c r="R822" s="77"/>
      <c r="S822" s="77"/>
      <c r="T822" s="77"/>
      <c r="U822" s="77"/>
      <c r="V822" s="77"/>
      <c r="W822" s="77"/>
      <c r="X822" s="77"/>
      <c r="Y822" s="77"/>
      <c r="Z822" s="77"/>
      <c r="AA822" s="77"/>
      <c r="AB822" s="77"/>
      <c r="AC822" s="77"/>
      <c r="AD822" s="77"/>
      <c r="AE822" s="77"/>
      <c r="AF822" s="77"/>
      <c r="AG822" s="77"/>
      <c r="AH822" s="77"/>
      <c r="AI822" s="77"/>
      <c r="AJ822" s="77"/>
      <c r="AK822" s="77"/>
      <c r="AL822" s="77"/>
      <c r="AM822" s="77"/>
      <c r="AN822" s="77"/>
      <c r="AO822" s="77"/>
      <c r="AP822" s="77"/>
      <c r="AQ822" s="77"/>
      <c r="AR822" s="77"/>
    </row>
    <row r="823" spans="1:44" ht="15.75" customHeight="1">
      <c r="A823" s="77"/>
      <c r="B823" s="77"/>
      <c r="C823" s="77"/>
      <c r="D823" s="77"/>
      <c r="E823" s="77"/>
      <c r="F823" s="77"/>
      <c r="G823" s="77"/>
      <c r="H823" s="77"/>
      <c r="I823" s="77"/>
      <c r="J823" s="77"/>
      <c r="K823" s="77"/>
      <c r="L823" s="77"/>
      <c r="M823" s="77"/>
      <c r="N823" s="77"/>
      <c r="O823" s="77"/>
      <c r="P823" s="77"/>
      <c r="Q823" s="77"/>
      <c r="R823" s="77"/>
      <c r="S823" s="77"/>
      <c r="T823" s="77"/>
      <c r="U823" s="77"/>
      <c r="V823" s="77"/>
      <c r="W823" s="77"/>
      <c r="X823" s="77"/>
      <c r="Y823" s="77"/>
      <c r="Z823" s="77"/>
      <c r="AA823" s="77"/>
      <c r="AB823" s="77"/>
      <c r="AC823" s="77"/>
      <c r="AD823" s="77"/>
      <c r="AE823" s="77"/>
      <c r="AF823" s="77"/>
      <c r="AG823" s="77"/>
      <c r="AH823" s="77"/>
      <c r="AI823" s="77"/>
      <c r="AJ823" s="77"/>
      <c r="AK823" s="77"/>
      <c r="AL823" s="77"/>
      <c r="AM823" s="77"/>
      <c r="AN823" s="77"/>
      <c r="AO823" s="77"/>
      <c r="AP823" s="77"/>
      <c r="AQ823" s="77"/>
      <c r="AR823" s="77"/>
    </row>
    <row r="824" spans="1:44" ht="15.75" customHeight="1">
      <c r="A824" s="77"/>
      <c r="B824" s="77"/>
      <c r="C824" s="77"/>
      <c r="D824" s="77"/>
      <c r="E824" s="77"/>
      <c r="F824" s="77"/>
      <c r="G824" s="77"/>
      <c r="H824" s="77"/>
      <c r="I824" s="77"/>
      <c r="J824" s="77"/>
      <c r="K824" s="77"/>
      <c r="L824" s="77"/>
      <c r="M824" s="77"/>
      <c r="N824" s="77"/>
      <c r="O824" s="77"/>
      <c r="P824" s="77"/>
      <c r="Q824" s="77"/>
      <c r="R824" s="77"/>
      <c r="S824" s="77"/>
      <c r="T824" s="77"/>
      <c r="U824" s="77"/>
      <c r="V824" s="77"/>
      <c r="W824" s="77"/>
      <c r="X824" s="77"/>
      <c r="Y824" s="77"/>
      <c r="Z824" s="77"/>
      <c r="AA824" s="77"/>
      <c r="AB824" s="77"/>
      <c r="AC824" s="77"/>
      <c r="AD824" s="77"/>
      <c r="AE824" s="77"/>
      <c r="AF824" s="77"/>
      <c r="AG824" s="77"/>
      <c r="AH824" s="77"/>
      <c r="AI824" s="77"/>
      <c r="AJ824" s="77"/>
      <c r="AK824" s="77"/>
      <c r="AL824" s="77"/>
      <c r="AM824" s="77"/>
      <c r="AN824" s="77"/>
      <c r="AO824" s="77"/>
      <c r="AP824" s="77"/>
      <c r="AQ824" s="77"/>
      <c r="AR824" s="77"/>
    </row>
    <row r="825" spans="1:44" ht="15.75" customHeight="1">
      <c r="A825" s="77"/>
      <c r="B825" s="77"/>
      <c r="C825" s="77"/>
      <c r="D825" s="77"/>
      <c r="E825" s="77"/>
      <c r="F825" s="77"/>
      <c r="G825" s="77"/>
      <c r="H825" s="77"/>
      <c r="I825" s="77"/>
      <c r="J825" s="77"/>
      <c r="K825" s="77"/>
      <c r="L825" s="77"/>
      <c r="M825" s="77"/>
      <c r="N825" s="77"/>
      <c r="O825" s="77"/>
      <c r="P825" s="77"/>
      <c r="Q825" s="77"/>
      <c r="R825" s="77"/>
      <c r="S825" s="77"/>
      <c r="T825" s="77"/>
      <c r="U825" s="77"/>
      <c r="V825" s="77"/>
      <c r="W825" s="77"/>
      <c r="X825" s="77"/>
      <c r="Y825" s="77"/>
      <c r="Z825" s="77"/>
      <c r="AA825" s="77"/>
      <c r="AB825" s="77"/>
      <c r="AC825" s="77"/>
      <c r="AD825" s="77"/>
      <c r="AE825" s="77"/>
      <c r="AF825" s="77"/>
      <c r="AG825" s="77"/>
      <c r="AH825" s="77"/>
      <c r="AI825" s="77"/>
      <c r="AJ825" s="77"/>
      <c r="AK825" s="77"/>
      <c r="AL825" s="77"/>
      <c r="AM825" s="77"/>
      <c r="AN825" s="77"/>
      <c r="AO825" s="77"/>
      <c r="AP825" s="77"/>
      <c r="AQ825" s="77"/>
      <c r="AR825" s="77"/>
    </row>
    <row r="826" spans="1:44" ht="15.75" customHeight="1">
      <c r="A826" s="77"/>
      <c r="B826" s="77"/>
      <c r="C826" s="77"/>
      <c r="D826" s="77"/>
      <c r="E826" s="77"/>
      <c r="F826" s="77"/>
      <c r="G826" s="77"/>
      <c r="H826" s="77"/>
      <c r="I826" s="77"/>
      <c r="J826" s="77"/>
      <c r="K826" s="77"/>
      <c r="L826" s="77"/>
      <c r="M826" s="77"/>
      <c r="N826" s="77"/>
      <c r="O826" s="77"/>
      <c r="P826" s="77"/>
      <c r="Q826" s="77"/>
      <c r="R826" s="77"/>
      <c r="S826" s="77"/>
      <c r="T826" s="77"/>
      <c r="U826" s="77"/>
      <c r="V826" s="77"/>
      <c r="W826" s="77"/>
      <c r="X826" s="77"/>
      <c r="Y826" s="77"/>
      <c r="Z826" s="77"/>
      <c r="AA826" s="77"/>
      <c r="AB826" s="77"/>
      <c r="AC826" s="77"/>
      <c r="AD826" s="77"/>
      <c r="AE826" s="77"/>
      <c r="AF826" s="77"/>
      <c r="AG826" s="77"/>
      <c r="AH826" s="77"/>
      <c r="AI826" s="77"/>
      <c r="AJ826" s="77"/>
      <c r="AK826" s="77"/>
      <c r="AL826" s="77"/>
      <c r="AM826" s="77"/>
      <c r="AN826" s="77"/>
      <c r="AO826" s="77"/>
      <c r="AP826" s="77"/>
      <c r="AQ826" s="77"/>
      <c r="AR826" s="77"/>
    </row>
    <row r="827" spans="1:44" ht="15.75" customHeight="1">
      <c r="A827" s="77"/>
      <c r="B827" s="77"/>
      <c r="C827" s="77"/>
      <c r="D827" s="77"/>
      <c r="E827" s="77"/>
      <c r="F827" s="77"/>
      <c r="G827" s="77"/>
      <c r="H827" s="77"/>
      <c r="I827" s="77"/>
      <c r="J827" s="77"/>
      <c r="K827" s="77"/>
      <c r="L827" s="77"/>
      <c r="M827" s="77"/>
      <c r="N827" s="77"/>
      <c r="O827" s="77"/>
      <c r="P827" s="77"/>
      <c r="Q827" s="77"/>
      <c r="R827" s="77"/>
      <c r="S827" s="77"/>
      <c r="T827" s="77"/>
      <c r="U827" s="77"/>
      <c r="V827" s="77"/>
      <c r="W827" s="77"/>
      <c r="X827" s="77"/>
      <c r="Y827" s="77"/>
      <c r="Z827" s="77"/>
      <c r="AA827" s="77"/>
      <c r="AB827" s="77"/>
      <c r="AC827" s="77"/>
      <c r="AD827" s="77"/>
      <c r="AE827" s="77"/>
      <c r="AF827" s="77"/>
      <c r="AG827" s="77"/>
      <c r="AH827" s="77"/>
      <c r="AI827" s="77"/>
      <c r="AJ827" s="77"/>
      <c r="AK827" s="77"/>
      <c r="AL827" s="77"/>
      <c r="AM827" s="77"/>
      <c r="AN827" s="77"/>
      <c r="AO827" s="77"/>
      <c r="AP827" s="77"/>
      <c r="AQ827" s="77"/>
      <c r="AR827" s="77"/>
    </row>
    <row r="828" spans="1:44" ht="15.75" customHeight="1">
      <c r="A828" s="77"/>
      <c r="B828" s="77"/>
      <c r="C828" s="77"/>
      <c r="D828" s="77"/>
      <c r="E828" s="77"/>
      <c r="F828" s="77"/>
      <c r="G828" s="77"/>
      <c r="H828" s="77"/>
      <c r="I828" s="77"/>
      <c r="J828" s="77"/>
      <c r="K828" s="77"/>
      <c r="L828" s="77"/>
      <c r="M828" s="77"/>
      <c r="N828" s="77"/>
      <c r="O828" s="77"/>
      <c r="P828" s="77"/>
      <c r="Q828" s="77"/>
      <c r="R828" s="77"/>
      <c r="S828" s="77"/>
      <c r="T828" s="77"/>
      <c r="U828" s="77"/>
      <c r="V828" s="77"/>
      <c r="W828" s="77"/>
      <c r="X828" s="77"/>
      <c r="Y828" s="77"/>
      <c r="Z828" s="77"/>
      <c r="AA828" s="77"/>
      <c r="AB828" s="77"/>
      <c r="AC828" s="77"/>
      <c r="AD828" s="77"/>
      <c r="AE828" s="77"/>
      <c r="AF828" s="77"/>
      <c r="AG828" s="77"/>
      <c r="AH828" s="77"/>
      <c r="AI828" s="77"/>
      <c r="AJ828" s="77"/>
      <c r="AK828" s="77"/>
      <c r="AL828" s="77"/>
      <c r="AM828" s="77"/>
      <c r="AN828" s="77"/>
      <c r="AO828" s="77"/>
      <c r="AP828" s="77"/>
      <c r="AQ828" s="77"/>
      <c r="AR828" s="77"/>
    </row>
    <row r="829" spans="1:44" ht="15.75" customHeight="1">
      <c r="A829" s="77"/>
      <c r="B829" s="77"/>
      <c r="C829" s="77"/>
      <c r="D829" s="77"/>
      <c r="E829" s="77"/>
      <c r="F829" s="77"/>
      <c r="G829" s="77"/>
      <c r="H829" s="77"/>
      <c r="I829" s="77"/>
      <c r="J829" s="77"/>
      <c r="K829" s="77"/>
      <c r="L829" s="77"/>
      <c r="M829" s="77"/>
      <c r="N829" s="77"/>
      <c r="O829" s="77"/>
      <c r="P829" s="77"/>
      <c r="Q829" s="77"/>
      <c r="R829" s="77"/>
      <c r="S829" s="77"/>
      <c r="T829" s="77"/>
      <c r="U829" s="77"/>
      <c r="V829" s="77"/>
      <c r="W829" s="77"/>
      <c r="X829" s="77"/>
      <c r="Y829" s="77"/>
      <c r="Z829" s="77"/>
      <c r="AA829" s="77"/>
      <c r="AB829" s="77"/>
      <c r="AC829" s="77"/>
      <c r="AD829" s="77"/>
      <c r="AE829" s="77"/>
      <c r="AF829" s="77"/>
      <c r="AG829" s="77"/>
      <c r="AH829" s="77"/>
      <c r="AI829" s="77"/>
      <c r="AJ829" s="77"/>
      <c r="AK829" s="77"/>
      <c r="AL829" s="77"/>
      <c r="AM829" s="77"/>
      <c r="AN829" s="77"/>
      <c r="AO829" s="77"/>
      <c r="AP829" s="77"/>
      <c r="AQ829" s="77"/>
      <c r="AR829" s="77"/>
    </row>
    <row r="830" spans="1:44" ht="15.75" customHeight="1">
      <c r="A830" s="77"/>
      <c r="B830" s="77"/>
      <c r="C830" s="77"/>
      <c r="D830" s="77"/>
      <c r="E830" s="77"/>
      <c r="F830" s="77"/>
      <c r="G830" s="77"/>
      <c r="H830" s="77"/>
      <c r="I830" s="77"/>
      <c r="J830" s="77"/>
      <c r="K830" s="77"/>
      <c r="L830" s="77"/>
      <c r="M830" s="77"/>
      <c r="N830" s="77"/>
      <c r="O830" s="77"/>
      <c r="P830" s="77"/>
      <c r="Q830" s="77"/>
      <c r="R830" s="77"/>
      <c r="S830" s="77"/>
      <c r="T830" s="77"/>
      <c r="U830" s="77"/>
      <c r="V830" s="77"/>
      <c r="W830" s="77"/>
      <c r="X830" s="77"/>
      <c r="Y830" s="77"/>
      <c r="Z830" s="77"/>
      <c r="AA830" s="77"/>
      <c r="AB830" s="77"/>
      <c r="AC830" s="77"/>
      <c r="AD830" s="77"/>
      <c r="AE830" s="77"/>
      <c r="AF830" s="77"/>
      <c r="AG830" s="77"/>
      <c r="AH830" s="77"/>
      <c r="AI830" s="77"/>
      <c r="AJ830" s="77"/>
      <c r="AK830" s="77"/>
      <c r="AL830" s="77"/>
      <c r="AM830" s="77"/>
      <c r="AN830" s="77"/>
      <c r="AO830" s="77"/>
      <c r="AP830" s="77"/>
      <c r="AQ830" s="77"/>
      <c r="AR830" s="77"/>
    </row>
    <row r="831" spans="1:44" ht="15.75" customHeight="1">
      <c r="A831" s="77"/>
      <c r="B831" s="77"/>
      <c r="C831" s="77"/>
      <c r="D831" s="77"/>
      <c r="E831" s="77"/>
      <c r="F831" s="77"/>
      <c r="G831" s="77"/>
      <c r="H831" s="77"/>
      <c r="I831" s="77"/>
      <c r="J831" s="77"/>
      <c r="K831" s="77"/>
      <c r="L831" s="77"/>
      <c r="M831" s="77"/>
      <c r="N831" s="77"/>
      <c r="O831" s="77"/>
      <c r="P831" s="77"/>
      <c r="Q831" s="77"/>
      <c r="R831" s="77"/>
      <c r="S831" s="77"/>
      <c r="T831" s="77"/>
      <c r="U831" s="77"/>
      <c r="V831" s="77"/>
      <c r="W831" s="77"/>
      <c r="X831" s="77"/>
      <c r="Y831" s="77"/>
      <c r="Z831" s="77"/>
      <c r="AA831" s="77"/>
      <c r="AB831" s="77"/>
      <c r="AC831" s="77"/>
      <c r="AD831" s="77"/>
      <c r="AE831" s="77"/>
      <c r="AF831" s="77"/>
      <c r="AG831" s="77"/>
      <c r="AH831" s="77"/>
      <c r="AI831" s="77"/>
      <c r="AJ831" s="77"/>
      <c r="AK831" s="77"/>
      <c r="AL831" s="77"/>
      <c r="AM831" s="77"/>
      <c r="AN831" s="77"/>
      <c r="AO831" s="77"/>
      <c r="AP831" s="77"/>
      <c r="AQ831" s="77"/>
      <c r="AR831" s="77"/>
    </row>
    <row r="832" spans="1:44" ht="15.75" customHeight="1">
      <c r="A832" s="77"/>
      <c r="B832" s="77"/>
      <c r="C832" s="77"/>
      <c r="D832" s="77"/>
      <c r="E832" s="77"/>
      <c r="F832" s="77"/>
      <c r="G832" s="77"/>
      <c r="H832" s="77"/>
      <c r="I832" s="77"/>
      <c r="J832" s="77"/>
      <c r="K832" s="77"/>
      <c r="L832" s="77"/>
      <c r="M832" s="77"/>
      <c r="N832" s="77"/>
      <c r="O832" s="77"/>
      <c r="P832" s="77"/>
      <c r="Q832" s="77"/>
      <c r="R832" s="77"/>
      <c r="S832" s="77"/>
      <c r="T832" s="77"/>
      <c r="U832" s="77"/>
      <c r="V832" s="77"/>
      <c r="W832" s="77"/>
      <c r="X832" s="77"/>
      <c r="Y832" s="77"/>
      <c r="Z832" s="77"/>
      <c r="AA832" s="77"/>
      <c r="AB832" s="77"/>
      <c r="AC832" s="77"/>
      <c r="AD832" s="77"/>
      <c r="AE832" s="77"/>
      <c r="AF832" s="77"/>
      <c r="AG832" s="77"/>
      <c r="AH832" s="77"/>
      <c r="AI832" s="77"/>
      <c r="AJ832" s="77"/>
      <c r="AK832" s="77"/>
      <c r="AL832" s="77"/>
      <c r="AM832" s="77"/>
      <c r="AN832" s="77"/>
      <c r="AO832" s="77"/>
      <c r="AP832" s="77"/>
      <c r="AQ832" s="77"/>
      <c r="AR832" s="77"/>
    </row>
    <row r="833" spans="1:44" ht="15.75" customHeight="1">
      <c r="A833" s="77"/>
      <c r="B833" s="77"/>
      <c r="C833" s="77"/>
      <c r="D833" s="77"/>
      <c r="E833" s="77"/>
      <c r="F833" s="77"/>
      <c r="G833" s="77"/>
      <c r="H833" s="77"/>
      <c r="I833" s="77"/>
      <c r="J833" s="77"/>
      <c r="K833" s="77"/>
      <c r="L833" s="77"/>
      <c r="M833" s="77"/>
      <c r="N833" s="77"/>
      <c r="O833" s="77"/>
      <c r="P833" s="77"/>
      <c r="Q833" s="77"/>
      <c r="R833" s="77"/>
      <c r="S833" s="77"/>
      <c r="T833" s="77"/>
      <c r="U833" s="77"/>
      <c r="V833" s="77"/>
      <c r="W833" s="77"/>
      <c r="X833" s="77"/>
      <c r="Y833" s="77"/>
      <c r="Z833" s="77"/>
      <c r="AA833" s="77"/>
      <c r="AB833" s="77"/>
      <c r="AC833" s="77"/>
      <c r="AD833" s="77"/>
      <c r="AE833" s="77"/>
      <c r="AF833" s="77"/>
      <c r="AG833" s="77"/>
      <c r="AH833" s="77"/>
      <c r="AI833" s="77"/>
      <c r="AJ833" s="77"/>
      <c r="AK833" s="77"/>
      <c r="AL833" s="77"/>
      <c r="AM833" s="77"/>
      <c r="AN833" s="77"/>
      <c r="AO833" s="77"/>
      <c r="AP833" s="77"/>
      <c r="AQ833" s="77"/>
      <c r="AR833" s="77"/>
    </row>
    <row r="834" spans="1:44" ht="15.75" customHeight="1">
      <c r="A834" s="77"/>
      <c r="B834" s="77"/>
      <c r="C834" s="77"/>
      <c r="D834" s="77"/>
      <c r="E834" s="77"/>
      <c r="F834" s="77"/>
      <c r="G834" s="77"/>
      <c r="H834" s="77"/>
      <c r="I834" s="77"/>
      <c r="J834" s="77"/>
      <c r="K834" s="77"/>
      <c r="L834" s="77"/>
      <c r="M834" s="77"/>
      <c r="N834" s="77"/>
      <c r="O834" s="77"/>
      <c r="P834" s="77"/>
      <c r="Q834" s="77"/>
      <c r="R834" s="77"/>
      <c r="S834" s="77"/>
      <c r="T834" s="77"/>
      <c r="U834" s="77"/>
      <c r="V834" s="77"/>
      <c r="W834" s="77"/>
      <c r="X834" s="77"/>
      <c r="Y834" s="77"/>
      <c r="Z834" s="77"/>
      <c r="AA834" s="77"/>
      <c r="AB834" s="77"/>
      <c r="AC834" s="77"/>
      <c r="AD834" s="77"/>
      <c r="AE834" s="77"/>
      <c r="AF834" s="77"/>
      <c r="AG834" s="77"/>
      <c r="AH834" s="77"/>
      <c r="AI834" s="77"/>
      <c r="AJ834" s="77"/>
      <c r="AK834" s="77"/>
      <c r="AL834" s="77"/>
      <c r="AM834" s="77"/>
      <c r="AN834" s="77"/>
      <c r="AO834" s="77"/>
      <c r="AP834" s="77"/>
      <c r="AQ834" s="77"/>
      <c r="AR834" s="77"/>
    </row>
    <row r="835" spans="1:44" ht="15.75" customHeight="1">
      <c r="A835" s="77"/>
      <c r="B835" s="77"/>
      <c r="C835" s="77"/>
      <c r="D835" s="77"/>
      <c r="E835" s="77"/>
      <c r="F835" s="77"/>
      <c r="G835" s="77"/>
      <c r="H835" s="77"/>
      <c r="I835" s="77"/>
      <c r="J835" s="77"/>
      <c r="K835" s="77"/>
      <c r="L835" s="77"/>
      <c r="M835" s="77"/>
      <c r="N835" s="77"/>
      <c r="O835" s="77"/>
      <c r="P835" s="77"/>
      <c r="Q835" s="77"/>
      <c r="R835" s="77"/>
      <c r="S835" s="77"/>
      <c r="T835" s="77"/>
      <c r="U835" s="77"/>
      <c r="V835" s="77"/>
      <c r="W835" s="77"/>
      <c r="X835" s="77"/>
      <c r="Y835" s="77"/>
      <c r="Z835" s="77"/>
      <c r="AA835" s="77"/>
      <c r="AB835" s="77"/>
      <c r="AC835" s="77"/>
      <c r="AD835" s="77"/>
      <c r="AE835" s="77"/>
      <c r="AF835" s="77"/>
      <c r="AG835" s="77"/>
      <c r="AH835" s="77"/>
      <c r="AI835" s="77"/>
      <c r="AJ835" s="77"/>
      <c r="AK835" s="77"/>
      <c r="AL835" s="77"/>
      <c r="AM835" s="77"/>
      <c r="AN835" s="77"/>
      <c r="AO835" s="77"/>
      <c r="AP835" s="77"/>
      <c r="AQ835" s="77"/>
      <c r="AR835" s="77"/>
    </row>
    <row r="836" spans="1:44" ht="15.75" customHeight="1">
      <c r="A836" s="77"/>
      <c r="B836" s="77"/>
      <c r="C836" s="77"/>
      <c r="D836" s="77"/>
      <c r="E836" s="77"/>
      <c r="F836" s="77"/>
      <c r="G836" s="77"/>
      <c r="H836" s="77"/>
      <c r="I836" s="77"/>
      <c r="J836" s="77"/>
      <c r="K836" s="77"/>
      <c r="L836" s="77"/>
      <c r="M836" s="77"/>
      <c r="N836" s="77"/>
      <c r="O836" s="77"/>
      <c r="P836" s="77"/>
      <c r="Q836" s="77"/>
      <c r="R836" s="77"/>
      <c r="S836" s="77"/>
      <c r="T836" s="77"/>
      <c r="U836" s="77"/>
      <c r="V836" s="77"/>
      <c r="W836" s="77"/>
      <c r="X836" s="77"/>
      <c r="Y836" s="77"/>
      <c r="Z836" s="77"/>
      <c r="AA836" s="77"/>
      <c r="AB836" s="77"/>
      <c r="AC836" s="77"/>
      <c r="AD836" s="77"/>
      <c r="AE836" s="77"/>
      <c r="AF836" s="77"/>
      <c r="AG836" s="77"/>
      <c r="AH836" s="77"/>
      <c r="AI836" s="77"/>
      <c r="AJ836" s="77"/>
      <c r="AK836" s="77"/>
      <c r="AL836" s="77"/>
      <c r="AM836" s="77"/>
      <c r="AN836" s="77"/>
      <c r="AO836" s="77"/>
      <c r="AP836" s="77"/>
      <c r="AQ836" s="77"/>
      <c r="AR836" s="77"/>
    </row>
    <row r="837" spans="1:44" ht="15.75" customHeight="1">
      <c r="A837" s="77"/>
      <c r="B837" s="77"/>
      <c r="C837" s="77"/>
      <c r="D837" s="77"/>
      <c r="E837" s="77"/>
      <c r="F837" s="77"/>
      <c r="G837" s="77"/>
      <c r="H837" s="77"/>
      <c r="I837" s="77"/>
      <c r="J837" s="77"/>
      <c r="K837" s="77"/>
      <c r="L837" s="77"/>
      <c r="M837" s="77"/>
      <c r="N837" s="77"/>
      <c r="O837" s="77"/>
      <c r="P837" s="77"/>
      <c r="Q837" s="77"/>
      <c r="R837" s="77"/>
      <c r="S837" s="77"/>
      <c r="T837" s="77"/>
      <c r="U837" s="77"/>
      <c r="V837" s="77"/>
      <c r="W837" s="77"/>
      <c r="X837" s="77"/>
      <c r="Y837" s="77"/>
      <c r="Z837" s="77"/>
      <c r="AA837" s="77"/>
      <c r="AB837" s="77"/>
      <c r="AC837" s="77"/>
      <c r="AD837" s="77"/>
      <c r="AE837" s="77"/>
      <c r="AF837" s="77"/>
      <c r="AG837" s="77"/>
      <c r="AH837" s="77"/>
      <c r="AI837" s="77"/>
      <c r="AJ837" s="77"/>
      <c r="AK837" s="77"/>
      <c r="AL837" s="77"/>
      <c r="AM837" s="77"/>
      <c r="AN837" s="77"/>
      <c r="AO837" s="77"/>
      <c r="AP837" s="77"/>
      <c r="AQ837" s="77"/>
      <c r="AR837" s="77"/>
    </row>
    <row r="838" spans="1:44" ht="15.75" customHeight="1">
      <c r="A838" s="77"/>
      <c r="B838" s="77"/>
      <c r="C838" s="77"/>
      <c r="D838" s="77"/>
      <c r="E838" s="77"/>
      <c r="F838" s="77"/>
      <c r="G838" s="77"/>
      <c r="H838" s="77"/>
      <c r="I838" s="77"/>
      <c r="J838" s="77"/>
      <c r="K838" s="77"/>
      <c r="L838" s="77"/>
      <c r="M838" s="77"/>
      <c r="N838" s="77"/>
      <c r="O838" s="77"/>
      <c r="P838" s="77"/>
      <c r="Q838" s="77"/>
      <c r="R838" s="77"/>
      <c r="S838" s="77"/>
      <c r="T838" s="77"/>
      <c r="U838" s="77"/>
      <c r="V838" s="77"/>
      <c r="W838" s="77"/>
      <c r="X838" s="77"/>
      <c r="Y838" s="77"/>
      <c r="Z838" s="77"/>
      <c r="AA838" s="77"/>
      <c r="AB838" s="77"/>
      <c r="AC838" s="77"/>
      <c r="AD838" s="77"/>
      <c r="AE838" s="77"/>
      <c r="AF838" s="77"/>
      <c r="AG838" s="77"/>
      <c r="AH838" s="77"/>
      <c r="AI838" s="77"/>
      <c r="AJ838" s="77"/>
      <c r="AK838" s="77"/>
      <c r="AL838" s="77"/>
      <c r="AM838" s="77"/>
      <c r="AN838" s="77"/>
      <c r="AO838" s="77"/>
      <c r="AP838" s="77"/>
      <c r="AQ838" s="77"/>
      <c r="AR838" s="77"/>
    </row>
    <row r="839" spans="1:44" ht="15.75" customHeight="1">
      <c r="A839" s="77"/>
      <c r="B839" s="77"/>
      <c r="C839" s="77"/>
      <c r="D839" s="77"/>
      <c r="E839" s="77"/>
      <c r="F839" s="77"/>
      <c r="G839" s="77"/>
      <c r="H839" s="77"/>
      <c r="I839" s="77"/>
      <c r="J839" s="77"/>
      <c r="K839" s="77"/>
      <c r="L839" s="77"/>
      <c r="M839" s="77"/>
      <c r="N839" s="77"/>
      <c r="O839" s="77"/>
      <c r="P839" s="77"/>
      <c r="Q839" s="77"/>
      <c r="R839" s="77"/>
      <c r="S839" s="77"/>
      <c r="T839" s="77"/>
      <c r="U839" s="77"/>
      <c r="V839" s="77"/>
      <c r="W839" s="77"/>
      <c r="X839" s="77"/>
      <c r="Y839" s="77"/>
      <c r="Z839" s="77"/>
      <c r="AA839" s="77"/>
      <c r="AB839" s="77"/>
      <c r="AC839" s="77"/>
      <c r="AD839" s="77"/>
      <c r="AE839" s="77"/>
      <c r="AF839" s="77"/>
      <c r="AG839" s="77"/>
      <c r="AH839" s="77"/>
      <c r="AI839" s="77"/>
      <c r="AJ839" s="77"/>
      <c r="AK839" s="77"/>
      <c r="AL839" s="77"/>
      <c r="AM839" s="77"/>
      <c r="AN839" s="77"/>
      <c r="AO839" s="77"/>
      <c r="AP839" s="77"/>
      <c r="AQ839" s="77"/>
      <c r="AR839" s="77"/>
    </row>
    <row r="840" spans="1:44" ht="15.75" customHeight="1">
      <c r="A840" s="77"/>
      <c r="B840" s="77"/>
      <c r="C840" s="77"/>
      <c r="D840" s="77"/>
      <c r="E840" s="77"/>
      <c r="F840" s="77"/>
      <c r="G840" s="77"/>
      <c r="H840" s="77"/>
      <c r="I840" s="77"/>
      <c r="J840" s="77"/>
      <c r="K840" s="77"/>
      <c r="L840" s="77"/>
      <c r="M840" s="77"/>
      <c r="N840" s="77"/>
      <c r="O840" s="77"/>
      <c r="P840" s="77"/>
      <c r="Q840" s="77"/>
      <c r="R840" s="77"/>
      <c r="S840" s="77"/>
      <c r="T840" s="77"/>
      <c r="U840" s="77"/>
      <c r="V840" s="77"/>
      <c r="W840" s="77"/>
      <c r="X840" s="77"/>
      <c r="Y840" s="77"/>
      <c r="Z840" s="77"/>
      <c r="AA840" s="77"/>
      <c r="AB840" s="77"/>
      <c r="AC840" s="77"/>
      <c r="AD840" s="77"/>
      <c r="AE840" s="77"/>
      <c r="AF840" s="77"/>
      <c r="AG840" s="77"/>
      <c r="AH840" s="77"/>
      <c r="AI840" s="77"/>
      <c r="AJ840" s="77"/>
      <c r="AK840" s="77"/>
      <c r="AL840" s="77"/>
      <c r="AM840" s="77"/>
      <c r="AN840" s="77"/>
      <c r="AO840" s="77"/>
      <c r="AP840" s="77"/>
      <c r="AQ840" s="77"/>
      <c r="AR840" s="77"/>
    </row>
    <row r="841" spans="1:44" ht="15.75" customHeight="1">
      <c r="A841" s="77"/>
      <c r="B841" s="77"/>
      <c r="C841" s="77"/>
      <c r="D841" s="77"/>
      <c r="E841" s="77"/>
      <c r="F841" s="77"/>
      <c r="G841" s="77"/>
      <c r="H841" s="77"/>
      <c r="I841" s="77"/>
      <c r="J841" s="77"/>
      <c r="K841" s="77"/>
      <c r="L841" s="77"/>
      <c r="M841" s="77"/>
      <c r="N841" s="77"/>
      <c r="O841" s="77"/>
      <c r="P841" s="77"/>
      <c r="Q841" s="77"/>
      <c r="R841" s="77"/>
      <c r="S841" s="77"/>
      <c r="T841" s="77"/>
      <c r="U841" s="77"/>
      <c r="V841" s="77"/>
      <c r="W841" s="77"/>
      <c r="X841" s="77"/>
      <c r="Y841" s="77"/>
      <c r="Z841" s="77"/>
      <c r="AA841" s="77"/>
      <c r="AB841" s="77"/>
      <c r="AC841" s="77"/>
      <c r="AD841" s="77"/>
      <c r="AE841" s="77"/>
      <c r="AF841" s="77"/>
      <c r="AG841" s="77"/>
      <c r="AH841" s="77"/>
      <c r="AI841" s="77"/>
      <c r="AJ841" s="77"/>
      <c r="AK841" s="77"/>
      <c r="AL841" s="77"/>
      <c r="AM841" s="77"/>
      <c r="AN841" s="77"/>
      <c r="AO841" s="77"/>
      <c r="AP841" s="77"/>
      <c r="AQ841" s="77"/>
      <c r="AR841" s="77"/>
    </row>
    <row r="842" spans="1:44" ht="15.75" customHeight="1">
      <c r="A842" s="77"/>
      <c r="B842" s="77"/>
      <c r="C842" s="77"/>
      <c r="D842" s="77"/>
      <c r="E842" s="77"/>
      <c r="F842" s="77"/>
      <c r="G842" s="77"/>
      <c r="H842" s="77"/>
      <c r="I842" s="77"/>
      <c r="J842" s="77"/>
      <c r="K842" s="77"/>
      <c r="L842" s="77"/>
      <c r="M842" s="77"/>
      <c r="N842" s="77"/>
      <c r="O842" s="77"/>
      <c r="P842" s="77"/>
      <c r="Q842" s="77"/>
      <c r="R842" s="77"/>
      <c r="S842" s="77"/>
      <c r="T842" s="77"/>
      <c r="U842" s="77"/>
      <c r="V842" s="77"/>
      <c r="W842" s="77"/>
      <c r="X842" s="77"/>
      <c r="Y842" s="77"/>
      <c r="Z842" s="77"/>
      <c r="AA842" s="77"/>
      <c r="AB842" s="77"/>
      <c r="AC842" s="77"/>
      <c r="AD842" s="77"/>
      <c r="AE842" s="77"/>
      <c r="AF842" s="77"/>
      <c r="AG842" s="77"/>
      <c r="AH842" s="77"/>
      <c r="AI842" s="77"/>
      <c r="AJ842" s="77"/>
      <c r="AK842" s="77"/>
      <c r="AL842" s="77"/>
      <c r="AM842" s="77"/>
      <c r="AN842" s="77"/>
      <c r="AO842" s="77"/>
      <c r="AP842" s="77"/>
      <c r="AQ842" s="77"/>
      <c r="AR842" s="77"/>
    </row>
    <row r="843" spans="1:44" ht="15.75" customHeight="1">
      <c r="A843" s="77"/>
      <c r="B843" s="77"/>
      <c r="C843" s="77"/>
      <c r="D843" s="77"/>
      <c r="E843" s="77"/>
      <c r="F843" s="77"/>
      <c r="G843" s="77"/>
      <c r="H843" s="77"/>
      <c r="I843" s="77"/>
      <c r="J843" s="77"/>
      <c r="K843" s="77"/>
      <c r="L843" s="77"/>
      <c r="M843" s="77"/>
      <c r="N843" s="77"/>
      <c r="O843" s="77"/>
      <c r="P843" s="77"/>
      <c r="Q843" s="77"/>
      <c r="R843" s="77"/>
      <c r="S843" s="77"/>
      <c r="T843" s="77"/>
      <c r="U843" s="77"/>
      <c r="V843" s="77"/>
      <c r="W843" s="77"/>
      <c r="X843" s="77"/>
      <c r="Y843" s="77"/>
      <c r="Z843" s="77"/>
      <c r="AA843" s="77"/>
      <c r="AB843" s="77"/>
      <c r="AC843" s="77"/>
      <c r="AD843" s="77"/>
      <c r="AE843" s="77"/>
      <c r="AF843" s="77"/>
      <c r="AG843" s="77"/>
      <c r="AH843" s="77"/>
      <c r="AI843" s="77"/>
      <c r="AJ843" s="77"/>
      <c r="AK843" s="77"/>
      <c r="AL843" s="77"/>
      <c r="AM843" s="77"/>
      <c r="AN843" s="77"/>
      <c r="AO843" s="77"/>
      <c r="AP843" s="77"/>
      <c r="AQ843" s="77"/>
      <c r="AR843" s="77"/>
    </row>
    <row r="844" spans="1:44" ht="15.75" customHeight="1">
      <c r="A844" s="77"/>
      <c r="B844" s="77"/>
      <c r="C844" s="77"/>
      <c r="D844" s="77"/>
      <c r="E844" s="77"/>
      <c r="F844" s="77"/>
      <c r="G844" s="77"/>
      <c r="H844" s="77"/>
      <c r="I844" s="77"/>
      <c r="J844" s="77"/>
      <c r="K844" s="77"/>
      <c r="L844" s="77"/>
      <c r="M844" s="77"/>
      <c r="N844" s="77"/>
      <c r="O844" s="77"/>
      <c r="P844" s="77"/>
      <c r="Q844" s="77"/>
      <c r="R844" s="77"/>
      <c r="S844" s="77"/>
      <c r="T844" s="77"/>
      <c r="U844" s="77"/>
      <c r="V844" s="77"/>
      <c r="W844" s="77"/>
      <c r="X844" s="77"/>
      <c r="Y844" s="77"/>
      <c r="Z844" s="77"/>
      <c r="AA844" s="77"/>
      <c r="AB844" s="77"/>
      <c r="AC844" s="77"/>
      <c r="AD844" s="77"/>
      <c r="AE844" s="77"/>
      <c r="AF844" s="77"/>
      <c r="AG844" s="77"/>
      <c r="AH844" s="77"/>
      <c r="AI844" s="77"/>
      <c r="AJ844" s="77"/>
      <c r="AK844" s="77"/>
      <c r="AL844" s="77"/>
      <c r="AM844" s="77"/>
      <c r="AN844" s="77"/>
      <c r="AO844" s="77"/>
      <c r="AP844" s="77"/>
      <c r="AQ844" s="77"/>
      <c r="AR844" s="77"/>
    </row>
    <row r="845" spans="1:44" ht="15.75" customHeight="1">
      <c r="A845" s="77"/>
      <c r="B845" s="77"/>
      <c r="C845" s="77"/>
      <c r="D845" s="77"/>
      <c r="E845" s="77"/>
      <c r="F845" s="77"/>
      <c r="G845" s="77"/>
      <c r="H845" s="77"/>
      <c r="I845" s="77"/>
      <c r="J845" s="77"/>
      <c r="K845" s="77"/>
      <c r="L845" s="77"/>
      <c r="M845" s="77"/>
      <c r="N845" s="77"/>
      <c r="O845" s="77"/>
      <c r="P845" s="77"/>
      <c r="Q845" s="77"/>
      <c r="R845" s="77"/>
      <c r="S845" s="77"/>
      <c r="T845" s="77"/>
      <c r="U845" s="77"/>
      <c r="V845" s="77"/>
      <c r="W845" s="77"/>
      <c r="X845" s="77"/>
      <c r="Y845" s="77"/>
      <c r="Z845" s="77"/>
      <c r="AA845" s="77"/>
      <c r="AB845" s="77"/>
      <c r="AC845" s="77"/>
      <c r="AD845" s="77"/>
      <c r="AE845" s="77"/>
      <c r="AF845" s="77"/>
      <c r="AG845" s="77"/>
      <c r="AH845" s="77"/>
      <c r="AI845" s="77"/>
      <c r="AJ845" s="77"/>
      <c r="AK845" s="77"/>
      <c r="AL845" s="77"/>
      <c r="AM845" s="77"/>
      <c r="AN845" s="77"/>
      <c r="AO845" s="77"/>
      <c r="AP845" s="77"/>
      <c r="AQ845" s="77"/>
      <c r="AR845" s="77"/>
    </row>
    <row r="846" spans="1:44" ht="15.75" customHeight="1">
      <c r="A846" s="77"/>
      <c r="B846" s="77"/>
      <c r="C846" s="77"/>
      <c r="D846" s="77"/>
      <c r="E846" s="77"/>
      <c r="F846" s="77"/>
      <c r="G846" s="77"/>
      <c r="H846" s="77"/>
      <c r="I846" s="77"/>
      <c r="J846" s="77"/>
      <c r="K846" s="77"/>
      <c r="L846" s="77"/>
      <c r="M846" s="77"/>
      <c r="N846" s="77"/>
      <c r="O846" s="77"/>
      <c r="P846" s="77"/>
      <c r="Q846" s="77"/>
      <c r="R846" s="77"/>
      <c r="S846" s="77"/>
      <c r="T846" s="77"/>
      <c r="U846" s="77"/>
      <c r="V846" s="77"/>
      <c r="W846" s="77"/>
      <c r="X846" s="77"/>
      <c r="Y846" s="77"/>
      <c r="Z846" s="77"/>
      <c r="AA846" s="77"/>
      <c r="AB846" s="77"/>
      <c r="AC846" s="77"/>
      <c r="AD846" s="77"/>
      <c r="AE846" s="77"/>
      <c r="AF846" s="77"/>
      <c r="AG846" s="77"/>
      <c r="AH846" s="77"/>
      <c r="AI846" s="77"/>
      <c r="AJ846" s="77"/>
      <c r="AK846" s="77"/>
      <c r="AL846" s="77"/>
      <c r="AM846" s="77"/>
      <c r="AN846" s="77"/>
      <c r="AO846" s="77"/>
      <c r="AP846" s="77"/>
      <c r="AQ846" s="77"/>
      <c r="AR846" s="77"/>
    </row>
    <row r="847" spans="1:44" ht="15.75" customHeight="1">
      <c r="A847" s="77"/>
      <c r="B847" s="77"/>
      <c r="C847" s="77"/>
      <c r="D847" s="77"/>
      <c r="E847" s="77"/>
      <c r="F847" s="77"/>
      <c r="G847" s="77"/>
      <c r="H847" s="77"/>
      <c r="I847" s="77"/>
      <c r="J847" s="77"/>
      <c r="K847" s="77"/>
      <c r="L847" s="77"/>
      <c r="M847" s="77"/>
      <c r="N847" s="77"/>
      <c r="O847" s="77"/>
      <c r="P847" s="77"/>
      <c r="Q847" s="77"/>
      <c r="R847" s="77"/>
      <c r="S847" s="77"/>
      <c r="T847" s="77"/>
      <c r="U847" s="77"/>
      <c r="V847" s="77"/>
      <c r="W847" s="77"/>
      <c r="X847" s="77"/>
      <c r="Y847" s="77"/>
      <c r="Z847" s="77"/>
      <c r="AA847" s="77"/>
      <c r="AB847" s="77"/>
      <c r="AC847" s="77"/>
      <c r="AD847" s="77"/>
      <c r="AE847" s="77"/>
      <c r="AF847" s="77"/>
      <c r="AG847" s="77"/>
      <c r="AH847" s="77"/>
      <c r="AI847" s="77"/>
      <c r="AJ847" s="77"/>
      <c r="AK847" s="77"/>
      <c r="AL847" s="77"/>
      <c r="AM847" s="77"/>
      <c r="AN847" s="77"/>
      <c r="AO847" s="77"/>
      <c r="AP847" s="77"/>
      <c r="AQ847" s="77"/>
      <c r="AR847" s="77"/>
    </row>
    <row r="848" spans="1:44" ht="15.75" customHeight="1">
      <c r="A848" s="77"/>
      <c r="B848" s="77"/>
      <c r="C848" s="77"/>
      <c r="D848" s="77"/>
      <c r="E848" s="77"/>
      <c r="F848" s="77"/>
      <c r="G848" s="77"/>
      <c r="H848" s="77"/>
      <c r="I848" s="77"/>
      <c r="J848" s="77"/>
      <c r="K848" s="77"/>
      <c r="L848" s="77"/>
      <c r="M848" s="77"/>
      <c r="N848" s="77"/>
      <c r="O848" s="77"/>
      <c r="P848" s="77"/>
      <c r="Q848" s="77"/>
      <c r="R848" s="77"/>
      <c r="S848" s="77"/>
      <c r="T848" s="77"/>
      <c r="U848" s="77"/>
      <c r="V848" s="77"/>
      <c r="W848" s="77"/>
      <c r="X848" s="77"/>
      <c r="Y848" s="77"/>
      <c r="Z848" s="77"/>
      <c r="AA848" s="77"/>
      <c r="AB848" s="77"/>
      <c r="AC848" s="77"/>
      <c r="AD848" s="77"/>
      <c r="AE848" s="77"/>
      <c r="AF848" s="77"/>
      <c r="AG848" s="77"/>
      <c r="AH848" s="77"/>
      <c r="AI848" s="77"/>
      <c r="AJ848" s="77"/>
      <c r="AK848" s="77"/>
      <c r="AL848" s="77"/>
      <c r="AM848" s="77"/>
      <c r="AN848" s="77"/>
      <c r="AO848" s="77"/>
      <c r="AP848" s="77"/>
      <c r="AQ848" s="77"/>
      <c r="AR848" s="77"/>
    </row>
    <row r="849" spans="1:44" ht="15.75" customHeight="1">
      <c r="A849" s="77"/>
      <c r="B849" s="77"/>
      <c r="C849" s="77"/>
      <c r="D849" s="77"/>
      <c r="E849" s="77"/>
      <c r="F849" s="77"/>
      <c r="G849" s="77"/>
      <c r="H849" s="77"/>
      <c r="I849" s="77"/>
      <c r="J849" s="77"/>
      <c r="K849" s="77"/>
      <c r="L849" s="77"/>
      <c r="M849" s="77"/>
      <c r="N849" s="77"/>
      <c r="O849" s="77"/>
      <c r="P849" s="77"/>
      <c r="Q849" s="77"/>
      <c r="R849" s="77"/>
      <c r="S849" s="77"/>
      <c r="T849" s="77"/>
      <c r="U849" s="77"/>
      <c r="V849" s="77"/>
      <c r="W849" s="77"/>
      <c r="X849" s="77"/>
      <c r="Y849" s="77"/>
      <c r="Z849" s="77"/>
      <c r="AA849" s="77"/>
      <c r="AB849" s="77"/>
      <c r="AC849" s="77"/>
      <c r="AD849" s="77"/>
      <c r="AE849" s="77"/>
      <c r="AF849" s="77"/>
      <c r="AG849" s="77"/>
      <c r="AH849" s="77"/>
      <c r="AI849" s="77"/>
      <c r="AJ849" s="77"/>
      <c r="AK849" s="77"/>
      <c r="AL849" s="77"/>
      <c r="AM849" s="77"/>
      <c r="AN849" s="77"/>
      <c r="AO849" s="77"/>
      <c r="AP849" s="77"/>
      <c r="AQ849" s="77"/>
      <c r="AR849" s="77"/>
    </row>
    <row r="850" spans="1:44" ht="15.75" customHeight="1">
      <c r="A850" s="77"/>
      <c r="B850" s="77"/>
      <c r="C850" s="77"/>
      <c r="D850" s="77"/>
      <c r="E850" s="77"/>
      <c r="F850" s="77"/>
      <c r="G850" s="77"/>
      <c r="H850" s="77"/>
      <c r="I850" s="77"/>
      <c r="J850" s="77"/>
      <c r="K850" s="77"/>
      <c r="L850" s="77"/>
      <c r="M850" s="77"/>
      <c r="N850" s="77"/>
      <c r="O850" s="77"/>
      <c r="P850" s="77"/>
      <c r="Q850" s="77"/>
      <c r="R850" s="77"/>
      <c r="S850" s="77"/>
      <c r="T850" s="77"/>
      <c r="U850" s="77"/>
      <c r="V850" s="77"/>
      <c r="W850" s="77"/>
      <c r="X850" s="77"/>
      <c r="Y850" s="77"/>
      <c r="Z850" s="77"/>
      <c r="AA850" s="77"/>
      <c r="AB850" s="77"/>
      <c r="AC850" s="77"/>
      <c r="AD850" s="77"/>
      <c r="AE850" s="77"/>
      <c r="AF850" s="77"/>
      <c r="AG850" s="77"/>
      <c r="AH850" s="77"/>
      <c r="AI850" s="77"/>
      <c r="AJ850" s="77"/>
      <c r="AK850" s="77"/>
      <c r="AL850" s="77"/>
      <c r="AM850" s="77"/>
      <c r="AN850" s="77"/>
      <c r="AO850" s="77"/>
      <c r="AP850" s="77"/>
      <c r="AQ850" s="77"/>
      <c r="AR850" s="77"/>
    </row>
    <row r="851" spans="1:44" ht="15.75" customHeight="1">
      <c r="A851" s="77"/>
      <c r="B851" s="77"/>
      <c r="C851" s="77"/>
      <c r="D851" s="77"/>
      <c r="E851" s="77"/>
      <c r="F851" s="77"/>
      <c r="G851" s="77"/>
      <c r="H851" s="77"/>
      <c r="I851" s="77"/>
      <c r="J851" s="77"/>
      <c r="K851" s="77"/>
      <c r="L851" s="77"/>
      <c r="M851" s="77"/>
      <c r="N851" s="77"/>
      <c r="O851" s="77"/>
      <c r="P851" s="77"/>
      <c r="Q851" s="77"/>
      <c r="R851" s="77"/>
      <c r="S851" s="77"/>
      <c r="T851" s="77"/>
      <c r="U851" s="77"/>
      <c r="V851" s="77"/>
      <c r="W851" s="77"/>
      <c r="X851" s="77"/>
      <c r="Y851" s="77"/>
      <c r="Z851" s="77"/>
      <c r="AA851" s="77"/>
      <c r="AB851" s="77"/>
      <c r="AC851" s="77"/>
      <c r="AD851" s="77"/>
      <c r="AE851" s="77"/>
      <c r="AF851" s="77"/>
      <c r="AG851" s="77"/>
      <c r="AH851" s="77"/>
      <c r="AI851" s="77"/>
      <c r="AJ851" s="77"/>
      <c r="AK851" s="77"/>
      <c r="AL851" s="77"/>
      <c r="AM851" s="77"/>
      <c r="AN851" s="77"/>
      <c r="AO851" s="77"/>
      <c r="AP851" s="77"/>
      <c r="AQ851" s="77"/>
      <c r="AR851" s="77"/>
    </row>
    <row r="852" spans="1:44" ht="15.75" customHeight="1">
      <c r="A852" s="77"/>
      <c r="B852" s="77"/>
      <c r="C852" s="77"/>
      <c r="D852" s="77"/>
      <c r="E852" s="77"/>
      <c r="F852" s="77"/>
      <c r="G852" s="77"/>
      <c r="H852" s="77"/>
      <c r="I852" s="77"/>
      <c r="J852" s="77"/>
      <c r="K852" s="77"/>
      <c r="L852" s="77"/>
      <c r="M852" s="77"/>
      <c r="N852" s="77"/>
      <c r="O852" s="77"/>
      <c r="P852" s="77"/>
      <c r="Q852" s="77"/>
      <c r="R852" s="77"/>
      <c r="S852" s="77"/>
      <c r="T852" s="77"/>
      <c r="U852" s="77"/>
      <c r="V852" s="77"/>
      <c r="W852" s="77"/>
      <c r="X852" s="77"/>
      <c r="Y852" s="77"/>
      <c r="Z852" s="77"/>
      <c r="AA852" s="77"/>
      <c r="AB852" s="77"/>
      <c r="AC852" s="77"/>
      <c r="AD852" s="77"/>
      <c r="AE852" s="77"/>
      <c r="AF852" s="77"/>
      <c r="AG852" s="77"/>
      <c r="AH852" s="77"/>
      <c r="AI852" s="77"/>
      <c r="AJ852" s="77"/>
      <c r="AK852" s="77"/>
      <c r="AL852" s="77"/>
      <c r="AM852" s="77"/>
      <c r="AN852" s="77"/>
      <c r="AO852" s="77"/>
      <c r="AP852" s="77"/>
      <c r="AQ852" s="77"/>
      <c r="AR852" s="77"/>
    </row>
    <row r="853" spans="1:44" ht="15.75" customHeight="1">
      <c r="A853" s="77"/>
      <c r="B853" s="77"/>
      <c r="C853" s="77"/>
      <c r="D853" s="77"/>
      <c r="E853" s="77"/>
      <c r="F853" s="77"/>
      <c r="G853" s="77"/>
      <c r="H853" s="77"/>
      <c r="I853" s="77"/>
      <c r="J853" s="77"/>
      <c r="K853" s="77"/>
      <c r="L853" s="77"/>
      <c r="M853" s="77"/>
      <c r="N853" s="77"/>
      <c r="O853" s="77"/>
      <c r="P853" s="77"/>
      <c r="Q853" s="77"/>
      <c r="R853" s="77"/>
      <c r="S853" s="77"/>
      <c r="T853" s="77"/>
      <c r="U853" s="77"/>
      <c r="V853" s="77"/>
      <c r="W853" s="77"/>
      <c r="X853" s="77"/>
      <c r="Y853" s="77"/>
      <c r="Z853" s="77"/>
      <c r="AA853" s="77"/>
      <c r="AB853" s="77"/>
      <c r="AC853" s="77"/>
      <c r="AD853" s="77"/>
      <c r="AE853" s="77"/>
      <c r="AF853" s="77"/>
      <c r="AG853" s="77"/>
      <c r="AH853" s="77"/>
      <c r="AI853" s="77"/>
      <c r="AJ853" s="77"/>
      <c r="AK853" s="77"/>
      <c r="AL853" s="77"/>
      <c r="AM853" s="77"/>
      <c r="AN853" s="77"/>
      <c r="AO853" s="77"/>
      <c r="AP853" s="77"/>
      <c r="AQ853" s="77"/>
      <c r="AR853" s="77"/>
    </row>
    <row r="854" spans="1:44" ht="15.75" customHeight="1">
      <c r="A854" s="77"/>
      <c r="B854" s="77"/>
      <c r="C854" s="77"/>
      <c r="D854" s="77"/>
      <c r="E854" s="77"/>
      <c r="F854" s="77"/>
      <c r="G854" s="77"/>
      <c r="H854" s="77"/>
      <c r="I854" s="77"/>
      <c r="J854" s="77"/>
      <c r="K854" s="77"/>
      <c r="L854" s="77"/>
      <c r="M854" s="77"/>
      <c r="N854" s="77"/>
      <c r="O854" s="77"/>
      <c r="P854" s="77"/>
      <c r="Q854" s="77"/>
      <c r="R854" s="77"/>
      <c r="S854" s="77"/>
      <c r="T854" s="77"/>
      <c r="U854" s="77"/>
      <c r="V854" s="77"/>
      <c r="W854" s="77"/>
      <c r="X854" s="77"/>
      <c r="Y854" s="77"/>
      <c r="Z854" s="77"/>
      <c r="AA854" s="77"/>
      <c r="AB854" s="77"/>
      <c r="AC854" s="77"/>
      <c r="AD854" s="77"/>
      <c r="AE854" s="77"/>
      <c r="AF854" s="77"/>
      <c r="AG854" s="77"/>
      <c r="AH854" s="77"/>
      <c r="AI854" s="77"/>
      <c r="AJ854" s="77"/>
      <c r="AK854" s="77"/>
      <c r="AL854" s="77"/>
      <c r="AM854" s="77"/>
      <c r="AN854" s="77"/>
      <c r="AO854" s="77"/>
      <c r="AP854" s="77"/>
      <c r="AQ854" s="77"/>
      <c r="AR854" s="77"/>
    </row>
    <row r="855" spans="1:44" ht="15.75" customHeight="1">
      <c r="A855" s="77"/>
      <c r="B855" s="77"/>
      <c r="C855" s="77"/>
      <c r="D855" s="77"/>
      <c r="E855" s="77"/>
      <c r="F855" s="77"/>
      <c r="G855" s="77"/>
      <c r="H855" s="77"/>
      <c r="I855" s="77"/>
      <c r="J855" s="77"/>
      <c r="K855" s="77"/>
      <c r="L855" s="77"/>
      <c r="M855" s="77"/>
      <c r="N855" s="77"/>
      <c r="O855" s="77"/>
      <c r="P855" s="77"/>
      <c r="Q855" s="77"/>
      <c r="R855" s="77"/>
      <c r="S855" s="77"/>
      <c r="T855" s="77"/>
      <c r="U855" s="77"/>
      <c r="V855" s="77"/>
      <c r="W855" s="77"/>
      <c r="X855" s="77"/>
      <c r="Y855" s="77"/>
      <c r="Z855" s="77"/>
      <c r="AA855" s="77"/>
      <c r="AB855" s="77"/>
      <c r="AC855" s="77"/>
      <c r="AD855" s="77"/>
      <c r="AE855" s="77"/>
      <c r="AF855" s="77"/>
      <c r="AG855" s="77"/>
      <c r="AH855" s="77"/>
      <c r="AI855" s="77"/>
      <c r="AJ855" s="77"/>
      <c r="AK855" s="77"/>
      <c r="AL855" s="77"/>
      <c r="AM855" s="77"/>
      <c r="AN855" s="77"/>
      <c r="AO855" s="77"/>
      <c r="AP855" s="77"/>
      <c r="AQ855" s="77"/>
      <c r="AR855" s="77"/>
    </row>
    <row r="856" spans="1:44" ht="15.75" customHeight="1">
      <c r="A856" s="77"/>
      <c r="B856" s="77"/>
      <c r="C856" s="77"/>
      <c r="D856" s="77"/>
      <c r="E856" s="77"/>
      <c r="F856" s="77"/>
      <c r="G856" s="77"/>
      <c r="H856" s="77"/>
      <c r="I856" s="77"/>
      <c r="J856" s="77"/>
      <c r="K856" s="77"/>
      <c r="L856" s="77"/>
      <c r="M856" s="77"/>
      <c r="N856" s="77"/>
      <c r="O856" s="77"/>
      <c r="P856" s="77"/>
      <c r="Q856" s="77"/>
      <c r="R856" s="77"/>
      <c r="S856" s="77"/>
      <c r="T856" s="77"/>
      <c r="U856" s="77"/>
      <c r="V856" s="77"/>
      <c r="W856" s="77"/>
      <c r="X856" s="77"/>
      <c r="Y856" s="77"/>
      <c r="Z856" s="77"/>
      <c r="AA856" s="77"/>
      <c r="AB856" s="77"/>
      <c r="AC856" s="77"/>
      <c r="AD856" s="77"/>
      <c r="AE856" s="77"/>
      <c r="AF856" s="77"/>
      <c r="AG856" s="77"/>
      <c r="AH856" s="77"/>
      <c r="AI856" s="77"/>
      <c r="AJ856" s="77"/>
      <c r="AK856" s="77"/>
      <c r="AL856" s="77"/>
      <c r="AM856" s="77"/>
      <c r="AN856" s="77"/>
      <c r="AO856" s="77"/>
      <c r="AP856" s="77"/>
      <c r="AQ856" s="77"/>
      <c r="AR856" s="77"/>
    </row>
    <row r="857" spans="1:44" ht="15.75" customHeight="1">
      <c r="A857" s="77"/>
      <c r="B857" s="77"/>
      <c r="C857" s="77"/>
      <c r="D857" s="77"/>
      <c r="E857" s="77"/>
      <c r="F857" s="77"/>
      <c r="G857" s="77"/>
      <c r="H857" s="77"/>
      <c r="I857" s="77"/>
      <c r="J857" s="77"/>
      <c r="K857" s="77"/>
      <c r="L857" s="77"/>
      <c r="M857" s="77"/>
      <c r="N857" s="77"/>
      <c r="O857" s="77"/>
      <c r="P857" s="77"/>
      <c r="Q857" s="77"/>
      <c r="R857" s="77"/>
      <c r="S857" s="77"/>
      <c r="T857" s="77"/>
      <c r="U857" s="77"/>
      <c r="V857" s="77"/>
      <c r="W857" s="77"/>
      <c r="X857" s="77"/>
      <c r="Y857" s="77"/>
      <c r="Z857" s="77"/>
      <c r="AA857" s="77"/>
      <c r="AB857" s="77"/>
      <c r="AC857" s="77"/>
      <c r="AD857" s="77"/>
      <c r="AE857" s="77"/>
      <c r="AF857" s="77"/>
      <c r="AG857" s="77"/>
      <c r="AH857" s="77"/>
      <c r="AI857" s="77"/>
      <c r="AJ857" s="77"/>
      <c r="AK857" s="77"/>
      <c r="AL857" s="77"/>
      <c r="AM857" s="77"/>
      <c r="AN857" s="77"/>
      <c r="AO857" s="77"/>
      <c r="AP857" s="77"/>
      <c r="AQ857" s="77"/>
      <c r="AR857" s="77"/>
    </row>
    <row r="858" spans="1:44" ht="15.75" customHeight="1">
      <c r="A858" s="77"/>
      <c r="B858" s="77"/>
      <c r="C858" s="77"/>
      <c r="D858" s="77"/>
      <c r="E858" s="77"/>
      <c r="F858" s="77"/>
      <c r="G858" s="77"/>
      <c r="H858" s="77"/>
      <c r="I858" s="77"/>
      <c r="J858" s="77"/>
      <c r="K858" s="77"/>
      <c r="L858" s="77"/>
      <c r="M858" s="77"/>
      <c r="N858" s="77"/>
      <c r="O858" s="77"/>
      <c r="P858" s="77"/>
      <c r="Q858" s="77"/>
      <c r="R858" s="77"/>
      <c r="S858" s="77"/>
      <c r="T858" s="77"/>
      <c r="U858" s="77"/>
      <c r="V858" s="77"/>
      <c r="W858" s="77"/>
      <c r="X858" s="77"/>
      <c r="Y858" s="77"/>
      <c r="Z858" s="77"/>
      <c r="AA858" s="77"/>
      <c r="AB858" s="77"/>
      <c r="AC858" s="77"/>
      <c r="AD858" s="77"/>
      <c r="AE858" s="77"/>
      <c r="AF858" s="77"/>
      <c r="AG858" s="77"/>
      <c r="AH858" s="77"/>
      <c r="AI858" s="77"/>
      <c r="AJ858" s="77"/>
      <c r="AK858" s="77"/>
      <c r="AL858" s="77"/>
      <c r="AM858" s="77"/>
      <c r="AN858" s="77"/>
      <c r="AO858" s="77"/>
      <c r="AP858" s="77"/>
      <c r="AQ858" s="77"/>
      <c r="AR858" s="77"/>
    </row>
    <row r="859" spans="1:44" ht="15.75" customHeight="1">
      <c r="A859" s="77"/>
      <c r="B859" s="77"/>
      <c r="C859" s="77"/>
      <c r="D859" s="77"/>
      <c r="E859" s="77"/>
      <c r="F859" s="77"/>
      <c r="G859" s="77"/>
      <c r="H859" s="77"/>
      <c r="I859" s="77"/>
      <c r="J859" s="77"/>
      <c r="K859" s="77"/>
      <c r="L859" s="77"/>
      <c r="M859" s="77"/>
      <c r="N859" s="77"/>
      <c r="O859" s="77"/>
      <c r="P859" s="77"/>
      <c r="Q859" s="77"/>
      <c r="R859" s="77"/>
      <c r="S859" s="77"/>
      <c r="T859" s="77"/>
      <c r="U859" s="77"/>
      <c r="V859" s="77"/>
      <c r="W859" s="77"/>
      <c r="X859" s="77"/>
      <c r="Y859" s="77"/>
      <c r="Z859" s="77"/>
      <c r="AA859" s="77"/>
      <c r="AB859" s="77"/>
      <c r="AC859" s="77"/>
      <c r="AD859" s="77"/>
      <c r="AE859" s="77"/>
      <c r="AF859" s="77"/>
      <c r="AG859" s="77"/>
      <c r="AH859" s="77"/>
      <c r="AI859" s="77"/>
      <c r="AJ859" s="77"/>
      <c r="AK859" s="77"/>
      <c r="AL859" s="77"/>
      <c r="AM859" s="77"/>
      <c r="AN859" s="77"/>
      <c r="AO859" s="77"/>
      <c r="AP859" s="77"/>
      <c r="AQ859" s="77"/>
      <c r="AR859" s="77"/>
    </row>
    <row r="860" spans="1:44" ht="15.75" customHeight="1">
      <c r="A860" s="77"/>
      <c r="B860" s="77"/>
      <c r="C860" s="77"/>
      <c r="D860" s="77"/>
      <c r="E860" s="77"/>
      <c r="F860" s="77"/>
      <c r="G860" s="77"/>
      <c r="H860" s="77"/>
      <c r="I860" s="77"/>
      <c r="J860" s="77"/>
      <c r="K860" s="77"/>
      <c r="L860" s="77"/>
      <c r="M860" s="77"/>
      <c r="N860" s="77"/>
      <c r="O860" s="77"/>
      <c r="P860" s="77"/>
      <c r="Q860" s="77"/>
      <c r="R860" s="77"/>
      <c r="S860" s="77"/>
      <c r="T860" s="77"/>
      <c r="U860" s="77"/>
      <c r="V860" s="77"/>
      <c r="W860" s="77"/>
      <c r="X860" s="77"/>
      <c r="Y860" s="77"/>
      <c r="Z860" s="77"/>
      <c r="AA860" s="77"/>
      <c r="AB860" s="77"/>
      <c r="AC860" s="77"/>
      <c r="AD860" s="77"/>
      <c r="AE860" s="77"/>
      <c r="AF860" s="77"/>
      <c r="AG860" s="77"/>
      <c r="AH860" s="77"/>
      <c r="AI860" s="77"/>
      <c r="AJ860" s="77"/>
      <c r="AK860" s="77"/>
      <c r="AL860" s="77"/>
      <c r="AM860" s="77"/>
      <c r="AN860" s="77"/>
      <c r="AO860" s="77"/>
      <c r="AP860" s="77"/>
      <c r="AQ860" s="77"/>
      <c r="AR860" s="77"/>
    </row>
    <row r="861" spans="1:44" ht="15.75" customHeight="1">
      <c r="A861" s="77"/>
      <c r="B861" s="77"/>
      <c r="C861" s="77"/>
      <c r="D861" s="77"/>
      <c r="E861" s="77"/>
      <c r="F861" s="77"/>
      <c r="G861" s="77"/>
      <c r="H861" s="77"/>
      <c r="I861" s="77"/>
      <c r="J861" s="77"/>
      <c r="K861" s="77"/>
      <c r="L861" s="77"/>
      <c r="M861" s="77"/>
      <c r="N861" s="77"/>
      <c r="O861" s="77"/>
      <c r="P861" s="77"/>
      <c r="Q861" s="77"/>
      <c r="R861" s="77"/>
      <c r="S861" s="77"/>
      <c r="T861" s="77"/>
      <c r="U861" s="77"/>
      <c r="V861" s="77"/>
      <c r="W861" s="77"/>
      <c r="X861" s="77"/>
      <c r="Y861" s="77"/>
      <c r="Z861" s="77"/>
      <c r="AA861" s="77"/>
      <c r="AB861" s="77"/>
      <c r="AC861" s="77"/>
      <c r="AD861" s="77"/>
      <c r="AE861" s="77"/>
      <c r="AF861" s="77"/>
      <c r="AG861" s="77"/>
      <c r="AH861" s="77"/>
      <c r="AI861" s="77"/>
      <c r="AJ861" s="77"/>
      <c r="AK861" s="77"/>
      <c r="AL861" s="77"/>
      <c r="AM861" s="77"/>
      <c r="AN861" s="77"/>
      <c r="AO861" s="77"/>
      <c r="AP861" s="77"/>
      <c r="AQ861" s="77"/>
      <c r="AR861" s="77"/>
    </row>
    <row r="862" spans="1:44" ht="15.75" customHeight="1">
      <c r="A862" s="77"/>
      <c r="B862" s="77"/>
      <c r="C862" s="77"/>
      <c r="D862" s="77"/>
      <c r="E862" s="77"/>
      <c r="F862" s="77"/>
      <c r="G862" s="77"/>
      <c r="H862" s="77"/>
      <c r="I862" s="77"/>
      <c r="J862" s="77"/>
      <c r="K862" s="77"/>
      <c r="L862" s="77"/>
      <c r="M862" s="77"/>
      <c r="N862" s="77"/>
      <c r="O862" s="77"/>
      <c r="P862" s="77"/>
      <c r="Q862" s="77"/>
      <c r="R862" s="77"/>
      <c r="S862" s="77"/>
      <c r="T862" s="77"/>
      <c r="U862" s="77"/>
      <c r="V862" s="77"/>
      <c r="W862" s="77"/>
      <c r="X862" s="77"/>
      <c r="Y862" s="77"/>
      <c r="Z862" s="77"/>
      <c r="AA862" s="77"/>
      <c r="AB862" s="77"/>
      <c r="AC862" s="77"/>
      <c r="AD862" s="77"/>
      <c r="AE862" s="77"/>
      <c r="AF862" s="77"/>
      <c r="AG862" s="77"/>
      <c r="AH862" s="77"/>
      <c r="AI862" s="77"/>
      <c r="AJ862" s="77"/>
      <c r="AK862" s="77"/>
      <c r="AL862" s="77"/>
      <c r="AM862" s="77"/>
      <c r="AN862" s="77"/>
      <c r="AO862" s="77"/>
      <c r="AP862" s="77"/>
      <c r="AQ862" s="77"/>
      <c r="AR862" s="77"/>
    </row>
    <row r="863" spans="1:44" ht="15.75" customHeight="1">
      <c r="A863" s="77"/>
      <c r="B863" s="77"/>
      <c r="C863" s="77"/>
      <c r="D863" s="77"/>
      <c r="E863" s="77"/>
      <c r="F863" s="77"/>
      <c r="G863" s="77"/>
      <c r="H863" s="77"/>
      <c r="I863" s="77"/>
      <c r="J863" s="77"/>
      <c r="K863" s="77"/>
      <c r="L863" s="77"/>
      <c r="M863" s="77"/>
      <c r="N863" s="77"/>
      <c r="O863" s="77"/>
      <c r="P863" s="77"/>
      <c r="Q863" s="77"/>
      <c r="R863" s="77"/>
      <c r="S863" s="77"/>
      <c r="T863" s="77"/>
      <c r="U863" s="77"/>
      <c r="V863" s="77"/>
      <c r="W863" s="77"/>
      <c r="X863" s="77"/>
      <c r="Y863" s="77"/>
      <c r="Z863" s="77"/>
      <c r="AA863" s="77"/>
      <c r="AB863" s="77"/>
      <c r="AC863" s="77"/>
      <c r="AD863" s="77"/>
      <c r="AE863" s="77"/>
      <c r="AF863" s="77"/>
      <c r="AG863" s="77"/>
      <c r="AH863" s="77"/>
      <c r="AI863" s="77"/>
      <c r="AJ863" s="77"/>
      <c r="AK863" s="77"/>
      <c r="AL863" s="77"/>
      <c r="AM863" s="77"/>
      <c r="AN863" s="77"/>
      <c r="AO863" s="77"/>
      <c r="AP863" s="77"/>
      <c r="AQ863" s="77"/>
      <c r="AR863" s="77"/>
    </row>
    <row r="864" spans="1:44" ht="15.75" customHeight="1">
      <c r="A864" s="77"/>
      <c r="B864" s="77"/>
      <c r="C864" s="77"/>
      <c r="D864" s="77"/>
      <c r="E864" s="77"/>
      <c r="F864" s="77"/>
      <c r="G864" s="77"/>
      <c r="H864" s="77"/>
      <c r="I864" s="77"/>
      <c r="J864" s="77"/>
      <c r="K864" s="77"/>
      <c r="L864" s="77"/>
      <c r="M864" s="77"/>
      <c r="N864" s="77"/>
      <c r="O864" s="77"/>
      <c r="P864" s="77"/>
      <c r="Q864" s="77"/>
      <c r="R864" s="77"/>
      <c r="S864" s="77"/>
      <c r="T864" s="77"/>
      <c r="U864" s="77"/>
      <c r="V864" s="77"/>
      <c r="W864" s="77"/>
      <c r="X864" s="77"/>
      <c r="Y864" s="77"/>
      <c r="Z864" s="77"/>
      <c r="AA864" s="77"/>
      <c r="AB864" s="77"/>
      <c r="AC864" s="77"/>
      <c r="AD864" s="77"/>
      <c r="AE864" s="77"/>
      <c r="AF864" s="77"/>
      <c r="AG864" s="77"/>
      <c r="AH864" s="77"/>
      <c r="AI864" s="77"/>
      <c r="AJ864" s="77"/>
      <c r="AK864" s="77"/>
      <c r="AL864" s="77"/>
      <c r="AM864" s="77"/>
      <c r="AN864" s="77"/>
      <c r="AO864" s="77"/>
      <c r="AP864" s="77"/>
      <c r="AQ864" s="77"/>
      <c r="AR864" s="77"/>
    </row>
    <row r="865" spans="1:44" ht="15.75" customHeight="1">
      <c r="A865" s="77"/>
      <c r="B865" s="77"/>
      <c r="C865" s="77"/>
      <c r="D865" s="77"/>
      <c r="E865" s="77"/>
      <c r="F865" s="77"/>
      <c r="G865" s="77"/>
      <c r="H865" s="77"/>
      <c r="I865" s="77"/>
      <c r="J865" s="77"/>
      <c r="K865" s="77"/>
      <c r="L865" s="77"/>
      <c r="M865" s="77"/>
      <c r="N865" s="77"/>
      <c r="O865" s="77"/>
      <c r="P865" s="77"/>
      <c r="Q865" s="77"/>
      <c r="R865" s="77"/>
      <c r="S865" s="77"/>
      <c r="T865" s="77"/>
      <c r="U865" s="77"/>
      <c r="V865" s="77"/>
      <c r="W865" s="77"/>
      <c r="X865" s="77"/>
      <c r="Y865" s="77"/>
      <c r="Z865" s="77"/>
      <c r="AA865" s="77"/>
      <c r="AB865" s="77"/>
      <c r="AC865" s="77"/>
      <c r="AD865" s="77"/>
      <c r="AE865" s="77"/>
      <c r="AF865" s="77"/>
      <c r="AG865" s="77"/>
      <c r="AH865" s="77"/>
      <c r="AI865" s="77"/>
      <c r="AJ865" s="77"/>
      <c r="AK865" s="77"/>
      <c r="AL865" s="77"/>
      <c r="AM865" s="77"/>
      <c r="AN865" s="77"/>
      <c r="AO865" s="77"/>
      <c r="AP865" s="77"/>
      <c r="AQ865" s="77"/>
      <c r="AR865" s="77"/>
    </row>
    <row r="866" spans="1:44" ht="15.75" customHeight="1">
      <c r="A866" s="77"/>
      <c r="B866" s="77"/>
      <c r="C866" s="77"/>
      <c r="D866" s="77"/>
      <c r="E866" s="77"/>
      <c r="F866" s="77"/>
      <c r="G866" s="77"/>
      <c r="H866" s="77"/>
      <c r="I866" s="77"/>
      <c r="J866" s="77"/>
      <c r="K866" s="77"/>
      <c r="L866" s="77"/>
      <c r="M866" s="77"/>
      <c r="N866" s="77"/>
      <c r="O866" s="77"/>
      <c r="P866" s="77"/>
      <c r="Q866" s="77"/>
      <c r="R866" s="77"/>
      <c r="S866" s="77"/>
      <c r="T866" s="77"/>
      <c r="U866" s="77"/>
      <c r="V866" s="77"/>
      <c r="W866" s="77"/>
      <c r="X866" s="77"/>
      <c r="Y866" s="77"/>
      <c r="Z866" s="77"/>
      <c r="AA866" s="77"/>
      <c r="AB866" s="77"/>
      <c r="AC866" s="77"/>
      <c r="AD866" s="77"/>
      <c r="AE866" s="77"/>
      <c r="AF866" s="77"/>
      <c r="AG866" s="77"/>
      <c r="AH866" s="77"/>
      <c r="AI866" s="77"/>
      <c r="AJ866" s="77"/>
      <c r="AK866" s="77"/>
      <c r="AL866" s="77"/>
      <c r="AM866" s="77"/>
      <c r="AN866" s="77"/>
      <c r="AO866" s="77"/>
      <c r="AP866" s="77"/>
      <c r="AQ866" s="77"/>
      <c r="AR866" s="77"/>
    </row>
    <row r="867" spans="1:44" ht="15.75" customHeight="1">
      <c r="A867" s="77"/>
      <c r="B867" s="77"/>
      <c r="C867" s="77"/>
      <c r="D867" s="77"/>
      <c r="E867" s="77"/>
      <c r="F867" s="77"/>
      <c r="G867" s="77"/>
      <c r="H867" s="77"/>
      <c r="I867" s="77"/>
      <c r="J867" s="77"/>
      <c r="K867" s="77"/>
      <c r="L867" s="77"/>
      <c r="M867" s="77"/>
      <c r="N867" s="77"/>
      <c r="O867" s="77"/>
      <c r="P867" s="77"/>
      <c r="Q867" s="77"/>
      <c r="R867" s="77"/>
      <c r="S867" s="77"/>
      <c r="T867" s="77"/>
      <c r="U867" s="77"/>
      <c r="V867" s="77"/>
      <c r="W867" s="77"/>
      <c r="X867" s="77"/>
      <c r="Y867" s="77"/>
      <c r="Z867" s="77"/>
      <c r="AA867" s="77"/>
      <c r="AB867" s="77"/>
      <c r="AC867" s="77"/>
      <c r="AD867" s="77"/>
      <c r="AE867" s="77"/>
      <c r="AF867" s="77"/>
      <c r="AG867" s="77"/>
      <c r="AH867" s="77"/>
      <c r="AI867" s="77"/>
      <c r="AJ867" s="77"/>
      <c r="AK867" s="77"/>
      <c r="AL867" s="77"/>
      <c r="AM867" s="77"/>
      <c r="AN867" s="77"/>
      <c r="AO867" s="77"/>
      <c r="AP867" s="77"/>
      <c r="AQ867" s="77"/>
      <c r="AR867" s="77"/>
    </row>
    <row r="868" spans="1:44" ht="15.75" customHeight="1">
      <c r="A868" s="77"/>
      <c r="B868" s="77"/>
      <c r="C868" s="77"/>
      <c r="D868" s="77"/>
      <c r="E868" s="77"/>
      <c r="F868" s="77"/>
      <c r="G868" s="77"/>
      <c r="H868" s="77"/>
      <c r="I868" s="77"/>
      <c r="J868" s="77"/>
      <c r="K868" s="77"/>
      <c r="L868" s="77"/>
      <c r="M868" s="77"/>
      <c r="N868" s="77"/>
      <c r="O868" s="77"/>
      <c r="P868" s="77"/>
      <c r="Q868" s="77"/>
      <c r="R868" s="77"/>
      <c r="S868" s="77"/>
      <c r="T868" s="77"/>
      <c r="U868" s="77"/>
      <c r="V868" s="77"/>
      <c r="W868" s="77"/>
      <c r="X868" s="77"/>
      <c r="Y868" s="77"/>
      <c r="Z868" s="77"/>
      <c r="AA868" s="77"/>
      <c r="AB868" s="77"/>
      <c r="AC868" s="77"/>
      <c r="AD868" s="77"/>
      <c r="AE868" s="77"/>
      <c r="AF868" s="77"/>
      <c r="AG868" s="77"/>
      <c r="AH868" s="77"/>
      <c r="AI868" s="77"/>
      <c r="AJ868" s="77"/>
      <c r="AK868" s="77"/>
      <c r="AL868" s="77"/>
      <c r="AM868" s="77"/>
      <c r="AN868" s="77"/>
      <c r="AO868" s="77"/>
      <c r="AP868" s="77"/>
      <c r="AQ868" s="77"/>
      <c r="AR868" s="77"/>
    </row>
    <row r="869" spans="1:44" ht="15.75" customHeight="1">
      <c r="A869" s="77"/>
      <c r="B869" s="77"/>
      <c r="C869" s="77"/>
      <c r="D869" s="77"/>
      <c r="E869" s="77"/>
      <c r="F869" s="77"/>
      <c r="G869" s="77"/>
      <c r="H869" s="77"/>
      <c r="I869" s="77"/>
      <c r="J869" s="77"/>
      <c r="K869" s="77"/>
      <c r="L869" s="77"/>
      <c r="M869" s="77"/>
      <c r="N869" s="77"/>
      <c r="O869" s="77"/>
      <c r="P869" s="77"/>
      <c r="Q869" s="77"/>
      <c r="R869" s="77"/>
      <c r="S869" s="77"/>
      <c r="T869" s="77"/>
      <c r="U869" s="77"/>
      <c r="V869" s="77"/>
      <c r="W869" s="77"/>
      <c r="X869" s="77"/>
      <c r="Y869" s="77"/>
      <c r="Z869" s="77"/>
      <c r="AA869" s="77"/>
      <c r="AB869" s="77"/>
      <c r="AC869" s="77"/>
      <c r="AD869" s="77"/>
      <c r="AE869" s="77"/>
      <c r="AF869" s="77"/>
      <c r="AG869" s="77"/>
      <c r="AH869" s="77"/>
      <c r="AI869" s="77"/>
      <c r="AJ869" s="77"/>
      <c r="AK869" s="77"/>
      <c r="AL869" s="77"/>
      <c r="AM869" s="77"/>
      <c r="AN869" s="77"/>
      <c r="AO869" s="77"/>
      <c r="AP869" s="77"/>
      <c r="AQ869" s="77"/>
      <c r="AR869" s="77"/>
    </row>
    <row r="870" spans="1:44" ht="15.75" customHeight="1">
      <c r="A870" s="77"/>
      <c r="B870" s="77"/>
      <c r="C870" s="77"/>
      <c r="D870" s="77"/>
      <c r="E870" s="77"/>
      <c r="F870" s="77"/>
      <c r="G870" s="77"/>
      <c r="H870" s="77"/>
      <c r="I870" s="77"/>
      <c r="J870" s="77"/>
      <c r="K870" s="77"/>
      <c r="L870" s="77"/>
      <c r="M870" s="77"/>
      <c r="N870" s="77"/>
      <c r="O870" s="77"/>
      <c r="P870" s="77"/>
      <c r="Q870" s="77"/>
      <c r="R870" s="77"/>
      <c r="S870" s="77"/>
      <c r="T870" s="77"/>
      <c r="U870" s="77"/>
      <c r="V870" s="77"/>
      <c r="W870" s="77"/>
      <c r="X870" s="77"/>
      <c r="Y870" s="77"/>
      <c r="Z870" s="77"/>
      <c r="AA870" s="77"/>
      <c r="AB870" s="77"/>
      <c r="AC870" s="77"/>
      <c r="AD870" s="77"/>
      <c r="AE870" s="77"/>
      <c r="AF870" s="77"/>
      <c r="AG870" s="77"/>
      <c r="AH870" s="77"/>
      <c r="AI870" s="77"/>
      <c r="AJ870" s="77"/>
      <c r="AK870" s="77"/>
      <c r="AL870" s="77"/>
      <c r="AM870" s="77"/>
      <c r="AN870" s="77"/>
      <c r="AO870" s="77"/>
      <c r="AP870" s="77"/>
      <c r="AQ870" s="77"/>
      <c r="AR870" s="77"/>
    </row>
    <row r="871" spans="1:44" ht="15.75" customHeight="1">
      <c r="A871" s="77"/>
      <c r="B871" s="77"/>
      <c r="C871" s="77"/>
      <c r="D871" s="77"/>
      <c r="E871" s="77"/>
      <c r="F871" s="77"/>
      <c r="G871" s="77"/>
      <c r="H871" s="77"/>
      <c r="I871" s="77"/>
      <c r="J871" s="77"/>
      <c r="K871" s="77"/>
      <c r="L871" s="77"/>
      <c r="M871" s="77"/>
      <c r="N871" s="77"/>
      <c r="O871" s="77"/>
      <c r="P871" s="77"/>
      <c r="Q871" s="77"/>
      <c r="R871" s="77"/>
      <c r="S871" s="77"/>
      <c r="T871" s="77"/>
      <c r="U871" s="77"/>
      <c r="V871" s="77"/>
      <c r="W871" s="77"/>
      <c r="X871" s="77"/>
      <c r="Y871" s="77"/>
      <c r="Z871" s="77"/>
      <c r="AA871" s="77"/>
      <c r="AB871" s="77"/>
      <c r="AC871" s="77"/>
      <c r="AD871" s="77"/>
      <c r="AE871" s="77"/>
      <c r="AF871" s="77"/>
      <c r="AG871" s="77"/>
      <c r="AH871" s="77"/>
      <c r="AI871" s="77"/>
      <c r="AJ871" s="77"/>
      <c r="AK871" s="77"/>
      <c r="AL871" s="77"/>
      <c r="AM871" s="77"/>
      <c r="AN871" s="77"/>
      <c r="AO871" s="77"/>
      <c r="AP871" s="77"/>
      <c r="AQ871" s="77"/>
      <c r="AR871" s="77"/>
    </row>
    <row r="872" spans="1:44" ht="15.75" customHeight="1">
      <c r="A872" s="77"/>
      <c r="B872" s="77"/>
      <c r="C872" s="77"/>
      <c r="D872" s="77"/>
      <c r="E872" s="77"/>
      <c r="F872" s="77"/>
      <c r="G872" s="77"/>
      <c r="H872" s="77"/>
      <c r="I872" s="77"/>
      <c r="J872" s="77"/>
      <c r="K872" s="77"/>
      <c r="L872" s="77"/>
      <c r="M872" s="77"/>
      <c r="N872" s="77"/>
      <c r="O872" s="77"/>
      <c r="P872" s="77"/>
      <c r="Q872" s="77"/>
      <c r="R872" s="77"/>
      <c r="S872" s="77"/>
      <c r="T872" s="77"/>
      <c r="U872" s="77"/>
      <c r="V872" s="77"/>
      <c r="W872" s="77"/>
      <c r="X872" s="77"/>
      <c r="Y872" s="77"/>
      <c r="Z872" s="77"/>
      <c r="AA872" s="77"/>
      <c r="AB872" s="77"/>
      <c r="AC872" s="77"/>
      <c r="AD872" s="77"/>
      <c r="AE872" s="77"/>
      <c r="AF872" s="77"/>
      <c r="AG872" s="77"/>
      <c r="AH872" s="77"/>
      <c r="AI872" s="77"/>
      <c r="AJ872" s="77"/>
      <c r="AK872" s="77"/>
      <c r="AL872" s="77"/>
      <c r="AM872" s="77"/>
      <c r="AN872" s="77"/>
      <c r="AO872" s="77"/>
      <c r="AP872" s="77"/>
      <c r="AQ872" s="77"/>
      <c r="AR872" s="77"/>
    </row>
    <row r="873" spans="1:44" ht="15.75" customHeight="1">
      <c r="A873" s="77"/>
      <c r="B873" s="77"/>
      <c r="C873" s="77"/>
      <c r="D873" s="77"/>
      <c r="E873" s="77"/>
      <c r="F873" s="77"/>
      <c r="G873" s="77"/>
      <c r="H873" s="77"/>
      <c r="I873" s="77"/>
      <c r="J873" s="77"/>
      <c r="K873" s="77"/>
      <c r="L873" s="77"/>
      <c r="M873" s="77"/>
      <c r="N873" s="77"/>
      <c r="O873" s="77"/>
      <c r="P873" s="77"/>
      <c r="Q873" s="77"/>
      <c r="R873" s="77"/>
      <c r="S873" s="77"/>
      <c r="T873" s="77"/>
      <c r="U873" s="77"/>
      <c r="V873" s="77"/>
      <c r="W873" s="77"/>
      <c r="X873" s="77"/>
      <c r="Y873" s="77"/>
      <c r="Z873" s="77"/>
      <c r="AA873" s="77"/>
      <c r="AB873" s="77"/>
      <c r="AC873" s="77"/>
      <c r="AD873" s="77"/>
      <c r="AE873" s="77"/>
      <c r="AF873" s="77"/>
      <c r="AG873" s="77"/>
      <c r="AH873" s="77"/>
      <c r="AI873" s="77"/>
      <c r="AJ873" s="77"/>
      <c r="AK873" s="77"/>
      <c r="AL873" s="77"/>
      <c r="AM873" s="77"/>
      <c r="AN873" s="77"/>
      <c r="AO873" s="77"/>
      <c r="AP873" s="77"/>
      <c r="AQ873" s="77"/>
      <c r="AR873" s="77"/>
    </row>
    <row r="874" spans="1:44" ht="15.75" customHeight="1">
      <c r="A874" s="77"/>
      <c r="B874" s="77"/>
      <c r="C874" s="77"/>
      <c r="D874" s="77"/>
      <c r="E874" s="77"/>
      <c r="F874" s="77"/>
      <c r="G874" s="77"/>
      <c r="H874" s="77"/>
      <c r="I874" s="77"/>
      <c r="J874" s="77"/>
      <c r="K874" s="77"/>
      <c r="L874" s="77"/>
      <c r="M874" s="77"/>
      <c r="N874" s="77"/>
      <c r="O874" s="77"/>
      <c r="P874" s="77"/>
      <c r="Q874" s="77"/>
      <c r="R874" s="77"/>
      <c r="S874" s="77"/>
      <c r="T874" s="77"/>
      <c r="U874" s="77"/>
      <c r="V874" s="77"/>
      <c r="W874" s="77"/>
      <c r="X874" s="77"/>
      <c r="Y874" s="77"/>
      <c r="Z874" s="77"/>
      <c r="AA874" s="77"/>
      <c r="AB874" s="77"/>
      <c r="AC874" s="77"/>
      <c r="AD874" s="77"/>
      <c r="AE874" s="77"/>
      <c r="AF874" s="77"/>
      <c r="AG874" s="77"/>
      <c r="AH874" s="77"/>
      <c r="AI874" s="77"/>
      <c r="AJ874" s="77"/>
      <c r="AK874" s="77"/>
      <c r="AL874" s="77"/>
      <c r="AM874" s="77"/>
      <c r="AN874" s="77"/>
      <c r="AO874" s="77"/>
      <c r="AP874" s="77"/>
      <c r="AQ874" s="77"/>
      <c r="AR874" s="77"/>
    </row>
    <row r="875" spans="1:44" ht="15.75" customHeight="1">
      <c r="A875" s="77"/>
      <c r="B875" s="77"/>
      <c r="C875" s="77"/>
      <c r="D875" s="77"/>
      <c r="E875" s="77"/>
      <c r="F875" s="77"/>
      <c r="G875" s="77"/>
      <c r="H875" s="77"/>
      <c r="I875" s="77"/>
      <c r="J875" s="77"/>
      <c r="K875" s="77"/>
      <c r="L875" s="77"/>
      <c r="M875" s="77"/>
      <c r="N875" s="77"/>
      <c r="O875" s="77"/>
      <c r="P875" s="77"/>
      <c r="Q875" s="77"/>
      <c r="R875" s="77"/>
      <c r="S875" s="77"/>
      <c r="T875" s="77"/>
      <c r="U875" s="77"/>
      <c r="V875" s="77"/>
      <c r="W875" s="77"/>
      <c r="X875" s="77"/>
      <c r="Y875" s="77"/>
      <c r="Z875" s="77"/>
      <c r="AA875" s="77"/>
      <c r="AB875" s="77"/>
      <c r="AC875" s="77"/>
      <c r="AD875" s="77"/>
      <c r="AE875" s="77"/>
      <c r="AF875" s="77"/>
      <c r="AG875" s="77"/>
      <c r="AH875" s="77"/>
      <c r="AI875" s="77"/>
      <c r="AJ875" s="77"/>
      <c r="AK875" s="77"/>
      <c r="AL875" s="77"/>
      <c r="AM875" s="77"/>
      <c r="AN875" s="77"/>
      <c r="AO875" s="77"/>
      <c r="AP875" s="77"/>
      <c r="AQ875" s="77"/>
      <c r="AR875" s="77"/>
    </row>
    <row r="876" spans="1:44" ht="15.75" customHeight="1">
      <c r="A876" s="77"/>
      <c r="B876" s="77"/>
      <c r="C876" s="77"/>
      <c r="D876" s="77"/>
      <c r="E876" s="77"/>
      <c r="F876" s="77"/>
      <c r="G876" s="77"/>
      <c r="H876" s="77"/>
      <c r="I876" s="77"/>
      <c r="J876" s="77"/>
      <c r="K876" s="77"/>
      <c r="L876" s="77"/>
      <c r="M876" s="77"/>
      <c r="N876" s="77"/>
      <c r="O876" s="77"/>
      <c r="P876" s="77"/>
      <c r="Q876" s="77"/>
      <c r="R876" s="77"/>
      <c r="S876" s="77"/>
      <c r="T876" s="77"/>
      <c r="U876" s="77"/>
      <c r="V876" s="77"/>
      <c r="W876" s="77"/>
      <c r="X876" s="77"/>
      <c r="Y876" s="77"/>
      <c r="Z876" s="77"/>
      <c r="AA876" s="77"/>
      <c r="AB876" s="77"/>
      <c r="AC876" s="77"/>
      <c r="AD876" s="77"/>
      <c r="AE876" s="77"/>
      <c r="AF876" s="77"/>
      <c r="AG876" s="77"/>
      <c r="AH876" s="77"/>
      <c r="AI876" s="77"/>
      <c r="AJ876" s="77"/>
      <c r="AK876" s="77"/>
      <c r="AL876" s="77"/>
      <c r="AM876" s="77"/>
      <c r="AN876" s="77"/>
      <c r="AO876" s="77"/>
      <c r="AP876" s="77"/>
      <c r="AQ876" s="77"/>
      <c r="AR876" s="77"/>
    </row>
    <row r="877" spans="1:44" ht="15.75" customHeight="1">
      <c r="A877" s="77"/>
      <c r="B877" s="77"/>
      <c r="C877" s="77"/>
      <c r="D877" s="77"/>
      <c r="E877" s="77"/>
      <c r="F877" s="77"/>
      <c r="G877" s="77"/>
      <c r="H877" s="77"/>
      <c r="I877" s="77"/>
      <c r="J877" s="77"/>
      <c r="K877" s="77"/>
      <c r="L877" s="77"/>
      <c r="M877" s="77"/>
      <c r="N877" s="77"/>
      <c r="O877" s="77"/>
      <c r="P877" s="77"/>
      <c r="Q877" s="77"/>
      <c r="R877" s="77"/>
      <c r="S877" s="77"/>
      <c r="T877" s="77"/>
      <c r="U877" s="77"/>
      <c r="V877" s="77"/>
      <c r="W877" s="77"/>
      <c r="X877" s="77"/>
      <c r="Y877" s="77"/>
      <c r="Z877" s="77"/>
      <c r="AA877" s="77"/>
      <c r="AB877" s="77"/>
      <c r="AC877" s="77"/>
      <c r="AD877" s="77"/>
      <c r="AE877" s="77"/>
      <c r="AF877" s="77"/>
      <c r="AG877" s="77"/>
      <c r="AH877" s="77"/>
      <c r="AI877" s="77"/>
      <c r="AJ877" s="77"/>
      <c r="AK877" s="77"/>
      <c r="AL877" s="77"/>
      <c r="AM877" s="77"/>
      <c r="AN877" s="77"/>
      <c r="AO877" s="77"/>
      <c r="AP877" s="77"/>
      <c r="AQ877" s="77"/>
      <c r="AR877" s="77"/>
    </row>
    <row r="878" spans="1:44" ht="15.75" customHeight="1">
      <c r="A878" s="77"/>
      <c r="B878" s="77"/>
      <c r="C878" s="77"/>
      <c r="D878" s="77"/>
      <c r="E878" s="77"/>
      <c r="F878" s="77"/>
      <c r="G878" s="77"/>
      <c r="H878" s="77"/>
      <c r="I878" s="77"/>
      <c r="J878" s="77"/>
      <c r="K878" s="77"/>
      <c r="L878" s="77"/>
      <c r="M878" s="77"/>
      <c r="N878" s="77"/>
      <c r="O878" s="77"/>
      <c r="P878" s="77"/>
      <c r="Q878" s="77"/>
      <c r="R878" s="77"/>
      <c r="S878" s="77"/>
      <c r="T878" s="77"/>
      <c r="U878" s="77"/>
      <c r="V878" s="77"/>
      <c r="W878" s="77"/>
      <c r="X878" s="77"/>
      <c r="Y878" s="77"/>
      <c r="Z878" s="77"/>
      <c r="AA878" s="77"/>
      <c r="AB878" s="77"/>
      <c r="AC878" s="77"/>
      <c r="AD878" s="77"/>
      <c r="AE878" s="77"/>
      <c r="AF878" s="77"/>
      <c r="AG878" s="77"/>
      <c r="AH878" s="77"/>
      <c r="AI878" s="77"/>
      <c r="AJ878" s="77"/>
      <c r="AK878" s="77"/>
      <c r="AL878" s="77"/>
      <c r="AM878" s="77"/>
      <c r="AN878" s="77"/>
      <c r="AO878" s="77"/>
      <c r="AP878" s="77"/>
      <c r="AQ878" s="77"/>
      <c r="AR878" s="77"/>
    </row>
    <row r="879" spans="1:44" ht="15.75" customHeight="1">
      <c r="A879" s="77"/>
      <c r="B879" s="77"/>
      <c r="C879" s="77"/>
      <c r="D879" s="77"/>
      <c r="E879" s="77"/>
      <c r="F879" s="77"/>
      <c r="G879" s="77"/>
      <c r="H879" s="77"/>
      <c r="I879" s="77"/>
      <c r="J879" s="77"/>
      <c r="K879" s="77"/>
      <c r="L879" s="77"/>
      <c r="M879" s="77"/>
      <c r="N879" s="77"/>
      <c r="O879" s="77"/>
      <c r="P879" s="77"/>
      <c r="Q879" s="77"/>
      <c r="R879" s="77"/>
      <c r="S879" s="77"/>
      <c r="T879" s="77"/>
      <c r="U879" s="77"/>
      <c r="V879" s="77"/>
      <c r="W879" s="77"/>
      <c r="X879" s="77"/>
      <c r="Y879" s="77"/>
      <c r="Z879" s="77"/>
      <c r="AA879" s="77"/>
      <c r="AB879" s="77"/>
      <c r="AC879" s="77"/>
      <c r="AD879" s="77"/>
      <c r="AE879" s="77"/>
      <c r="AF879" s="77"/>
      <c r="AG879" s="77"/>
      <c r="AH879" s="77"/>
      <c r="AI879" s="77"/>
      <c r="AJ879" s="77"/>
      <c r="AK879" s="77"/>
      <c r="AL879" s="77"/>
      <c r="AM879" s="77"/>
      <c r="AN879" s="77"/>
      <c r="AO879" s="77"/>
      <c r="AP879" s="77"/>
      <c r="AQ879" s="77"/>
      <c r="AR879" s="77"/>
    </row>
    <row r="880" spans="1:44" ht="15.75" customHeight="1">
      <c r="A880" s="77"/>
      <c r="B880" s="77"/>
      <c r="C880" s="77"/>
      <c r="D880" s="77"/>
      <c r="E880" s="77"/>
      <c r="F880" s="77"/>
      <c r="G880" s="77"/>
      <c r="H880" s="77"/>
      <c r="I880" s="77"/>
      <c r="J880" s="77"/>
      <c r="K880" s="77"/>
      <c r="L880" s="77"/>
      <c r="M880" s="77"/>
      <c r="N880" s="77"/>
      <c r="O880" s="77"/>
      <c r="P880" s="77"/>
      <c r="Q880" s="77"/>
      <c r="R880" s="77"/>
      <c r="S880" s="77"/>
      <c r="T880" s="77"/>
      <c r="U880" s="77"/>
      <c r="V880" s="77"/>
      <c r="W880" s="77"/>
      <c r="X880" s="77"/>
      <c r="Y880" s="77"/>
      <c r="Z880" s="77"/>
      <c r="AA880" s="77"/>
      <c r="AB880" s="77"/>
      <c r="AC880" s="77"/>
      <c r="AD880" s="77"/>
      <c r="AE880" s="77"/>
      <c r="AF880" s="77"/>
      <c r="AG880" s="77"/>
      <c r="AH880" s="77"/>
      <c r="AI880" s="77"/>
      <c r="AJ880" s="77"/>
      <c r="AK880" s="77"/>
      <c r="AL880" s="77"/>
      <c r="AM880" s="77"/>
      <c r="AN880" s="77"/>
      <c r="AO880" s="77"/>
      <c r="AP880" s="77"/>
      <c r="AQ880" s="77"/>
      <c r="AR880" s="77"/>
    </row>
    <row r="881" spans="1:44" ht="15.75" customHeight="1">
      <c r="A881" s="77"/>
      <c r="B881" s="77"/>
      <c r="C881" s="77"/>
      <c r="D881" s="77"/>
      <c r="E881" s="77"/>
      <c r="F881" s="77"/>
      <c r="G881" s="77"/>
      <c r="H881" s="77"/>
      <c r="I881" s="77"/>
      <c r="J881" s="77"/>
      <c r="K881" s="77"/>
      <c r="L881" s="77"/>
      <c r="M881" s="77"/>
      <c r="N881" s="77"/>
      <c r="O881" s="77"/>
      <c r="P881" s="77"/>
      <c r="Q881" s="77"/>
      <c r="R881" s="77"/>
      <c r="S881" s="77"/>
      <c r="T881" s="77"/>
      <c r="U881" s="77"/>
      <c r="V881" s="77"/>
      <c r="W881" s="77"/>
      <c r="X881" s="77"/>
      <c r="Y881" s="77"/>
      <c r="Z881" s="77"/>
      <c r="AA881" s="77"/>
      <c r="AB881" s="77"/>
      <c r="AC881" s="77"/>
      <c r="AD881" s="77"/>
      <c r="AE881" s="77"/>
      <c r="AF881" s="77"/>
      <c r="AG881" s="77"/>
      <c r="AH881" s="77"/>
      <c r="AI881" s="77"/>
      <c r="AJ881" s="77"/>
      <c r="AK881" s="77"/>
      <c r="AL881" s="77"/>
      <c r="AM881" s="77"/>
      <c r="AN881" s="77"/>
      <c r="AO881" s="77"/>
      <c r="AP881" s="77"/>
      <c r="AQ881" s="77"/>
      <c r="AR881" s="77"/>
    </row>
    <row r="882" spans="1:44" ht="15.75" customHeight="1">
      <c r="A882" s="77"/>
      <c r="B882" s="77"/>
      <c r="C882" s="77"/>
      <c r="D882" s="77"/>
      <c r="E882" s="77"/>
      <c r="F882" s="77"/>
      <c r="G882" s="77"/>
      <c r="H882" s="77"/>
      <c r="I882" s="77"/>
      <c r="J882" s="77"/>
      <c r="K882" s="77"/>
      <c r="L882" s="77"/>
      <c r="M882" s="77"/>
      <c r="N882" s="77"/>
      <c r="O882" s="77"/>
      <c r="P882" s="77"/>
      <c r="Q882" s="77"/>
      <c r="R882" s="77"/>
      <c r="S882" s="77"/>
      <c r="T882" s="77"/>
      <c r="U882" s="77"/>
      <c r="V882" s="77"/>
      <c r="W882" s="77"/>
      <c r="X882" s="77"/>
      <c r="Y882" s="77"/>
      <c r="Z882" s="77"/>
      <c r="AA882" s="77"/>
      <c r="AB882" s="77"/>
      <c r="AC882" s="77"/>
      <c r="AD882" s="77"/>
      <c r="AE882" s="77"/>
      <c r="AF882" s="77"/>
      <c r="AG882" s="77"/>
      <c r="AH882" s="77"/>
      <c r="AI882" s="77"/>
      <c r="AJ882" s="77"/>
      <c r="AK882" s="77"/>
      <c r="AL882" s="77"/>
      <c r="AM882" s="77"/>
      <c r="AN882" s="77"/>
      <c r="AO882" s="77"/>
      <c r="AP882" s="77"/>
      <c r="AQ882" s="77"/>
      <c r="AR882" s="77"/>
    </row>
    <row r="883" spans="1:44" ht="15.75" customHeight="1">
      <c r="A883" s="77"/>
      <c r="B883" s="77"/>
      <c r="C883" s="77"/>
      <c r="D883" s="77"/>
      <c r="E883" s="77"/>
      <c r="F883" s="77"/>
      <c r="G883" s="77"/>
      <c r="H883" s="77"/>
      <c r="I883" s="77"/>
      <c r="J883" s="77"/>
      <c r="K883" s="77"/>
      <c r="L883" s="77"/>
      <c r="M883" s="77"/>
      <c r="N883" s="77"/>
      <c r="O883" s="77"/>
      <c r="P883" s="77"/>
      <c r="Q883" s="77"/>
      <c r="R883" s="77"/>
      <c r="S883" s="77"/>
      <c r="T883" s="77"/>
      <c r="U883" s="77"/>
      <c r="V883" s="77"/>
      <c r="W883" s="77"/>
      <c r="X883" s="77"/>
      <c r="Y883" s="77"/>
      <c r="Z883" s="77"/>
      <c r="AA883" s="77"/>
      <c r="AB883" s="77"/>
      <c r="AC883" s="77"/>
      <c r="AD883" s="77"/>
      <c r="AE883" s="77"/>
      <c r="AF883" s="77"/>
      <c r="AG883" s="77"/>
      <c r="AH883" s="77"/>
      <c r="AI883" s="77"/>
      <c r="AJ883" s="77"/>
      <c r="AK883" s="77"/>
      <c r="AL883" s="77"/>
      <c r="AM883" s="77"/>
      <c r="AN883" s="77"/>
      <c r="AO883" s="77"/>
      <c r="AP883" s="77"/>
      <c r="AQ883" s="77"/>
      <c r="AR883" s="77"/>
    </row>
    <row r="884" spans="1:44" ht="15.75" customHeight="1">
      <c r="A884" s="77"/>
      <c r="B884" s="77"/>
      <c r="C884" s="77"/>
      <c r="D884" s="77"/>
      <c r="E884" s="77"/>
      <c r="F884" s="77"/>
      <c r="G884" s="77"/>
      <c r="H884" s="77"/>
      <c r="I884" s="77"/>
      <c r="J884" s="77"/>
      <c r="K884" s="77"/>
      <c r="L884" s="77"/>
      <c r="M884" s="77"/>
      <c r="N884" s="77"/>
      <c r="O884" s="77"/>
      <c r="P884" s="77"/>
      <c r="Q884" s="77"/>
      <c r="R884" s="77"/>
      <c r="S884" s="77"/>
      <c r="T884" s="77"/>
      <c r="U884" s="77"/>
      <c r="V884" s="77"/>
      <c r="W884" s="77"/>
      <c r="X884" s="77"/>
      <c r="Y884" s="77"/>
      <c r="Z884" s="77"/>
      <c r="AA884" s="77"/>
      <c r="AB884" s="77"/>
      <c r="AC884" s="77"/>
      <c r="AD884" s="77"/>
      <c r="AE884" s="77"/>
      <c r="AF884" s="77"/>
      <c r="AG884" s="77"/>
      <c r="AH884" s="77"/>
      <c r="AI884" s="77"/>
      <c r="AJ884" s="77"/>
      <c r="AK884" s="77"/>
      <c r="AL884" s="77"/>
      <c r="AM884" s="77"/>
      <c r="AN884" s="77"/>
      <c r="AO884" s="77"/>
      <c r="AP884" s="77"/>
      <c r="AQ884" s="77"/>
      <c r="AR884" s="77"/>
    </row>
    <row r="885" spans="1:44" ht="15.75" customHeight="1">
      <c r="A885" s="77"/>
      <c r="B885" s="77"/>
      <c r="C885" s="77"/>
      <c r="D885" s="77"/>
      <c r="E885" s="77"/>
      <c r="F885" s="77"/>
      <c r="G885" s="77"/>
      <c r="H885" s="77"/>
      <c r="I885" s="77"/>
      <c r="J885" s="77"/>
      <c r="K885" s="77"/>
      <c r="L885" s="77"/>
      <c r="M885" s="77"/>
      <c r="N885" s="77"/>
      <c r="O885" s="77"/>
      <c r="P885" s="77"/>
      <c r="Q885" s="77"/>
      <c r="R885" s="77"/>
      <c r="S885" s="77"/>
      <c r="T885" s="77"/>
      <c r="U885" s="77"/>
      <c r="V885" s="77"/>
      <c r="W885" s="77"/>
      <c r="X885" s="77"/>
      <c r="Y885" s="77"/>
      <c r="Z885" s="77"/>
      <c r="AA885" s="77"/>
      <c r="AB885" s="77"/>
      <c r="AC885" s="77"/>
      <c r="AD885" s="77"/>
      <c r="AE885" s="77"/>
      <c r="AF885" s="77"/>
      <c r="AG885" s="77"/>
      <c r="AH885" s="77"/>
      <c r="AI885" s="77"/>
      <c r="AJ885" s="77"/>
      <c r="AK885" s="77"/>
      <c r="AL885" s="77"/>
      <c r="AM885" s="77"/>
      <c r="AN885" s="77"/>
      <c r="AO885" s="77"/>
      <c r="AP885" s="77"/>
      <c r="AQ885" s="77"/>
      <c r="AR885" s="77"/>
    </row>
    <row r="886" spans="1:44" ht="15.75" customHeight="1">
      <c r="A886" s="77"/>
      <c r="B886" s="77"/>
      <c r="C886" s="77"/>
      <c r="D886" s="77"/>
      <c r="E886" s="77"/>
      <c r="F886" s="77"/>
      <c r="G886" s="77"/>
      <c r="H886" s="77"/>
      <c r="I886" s="77"/>
      <c r="J886" s="77"/>
      <c r="K886" s="77"/>
      <c r="L886" s="77"/>
      <c r="M886" s="77"/>
      <c r="N886" s="77"/>
      <c r="O886" s="77"/>
      <c r="P886" s="77"/>
      <c r="Q886" s="77"/>
      <c r="R886" s="77"/>
      <c r="S886" s="77"/>
      <c r="T886" s="77"/>
      <c r="U886" s="77"/>
      <c r="V886" s="77"/>
      <c r="W886" s="77"/>
      <c r="X886" s="77"/>
      <c r="Y886" s="77"/>
      <c r="Z886" s="77"/>
      <c r="AA886" s="77"/>
      <c r="AB886" s="77"/>
      <c r="AC886" s="77"/>
      <c r="AD886" s="77"/>
      <c r="AE886" s="77"/>
      <c r="AF886" s="77"/>
      <c r="AG886" s="77"/>
      <c r="AH886" s="77"/>
      <c r="AI886" s="77"/>
      <c r="AJ886" s="77"/>
      <c r="AK886" s="77"/>
      <c r="AL886" s="77"/>
      <c r="AM886" s="77"/>
      <c r="AN886" s="77"/>
      <c r="AO886" s="77"/>
      <c r="AP886" s="77"/>
      <c r="AQ886" s="77"/>
      <c r="AR886" s="77"/>
    </row>
    <row r="887" spans="1:44" ht="15.75" customHeight="1">
      <c r="A887" s="77"/>
      <c r="B887" s="77"/>
      <c r="C887" s="77"/>
      <c r="D887" s="77"/>
      <c r="E887" s="77"/>
      <c r="F887" s="77"/>
      <c r="G887" s="77"/>
      <c r="H887" s="77"/>
      <c r="I887" s="77"/>
      <c r="J887" s="77"/>
      <c r="K887" s="77"/>
      <c r="L887" s="77"/>
      <c r="M887" s="77"/>
      <c r="N887" s="77"/>
      <c r="O887" s="77"/>
      <c r="P887" s="77"/>
      <c r="Q887" s="77"/>
      <c r="R887" s="77"/>
      <c r="S887" s="77"/>
      <c r="T887" s="77"/>
      <c r="U887" s="77"/>
      <c r="V887" s="77"/>
      <c r="W887" s="77"/>
      <c r="X887" s="77"/>
      <c r="Y887" s="77"/>
      <c r="Z887" s="77"/>
      <c r="AA887" s="77"/>
      <c r="AB887" s="77"/>
      <c r="AC887" s="77"/>
      <c r="AD887" s="77"/>
      <c r="AE887" s="77"/>
      <c r="AF887" s="77"/>
      <c r="AG887" s="77"/>
      <c r="AH887" s="77"/>
      <c r="AI887" s="77"/>
      <c r="AJ887" s="77"/>
      <c r="AK887" s="77"/>
      <c r="AL887" s="77"/>
      <c r="AM887" s="77"/>
      <c r="AN887" s="77"/>
      <c r="AO887" s="77"/>
      <c r="AP887" s="77"/>
      <c r="AQ887" s="77"/>
      <c r="AR887" s="77"/>
    </row>
    <row r="888" spans="1:44" ht="15.75" customHeight="1">
      <c r="A888" s="77"/>
      <c r="B888" s="77"/>
      <c r="C888" s="77"/>
      <c r="D888" s="77"/>
      <c r="E888" s="77"/>
      <c r="F888" s="77"/>
      <c r="G888" s="77"/>
      <c r="H888" s="77"/>
      <c r="I888" s="77"/>
      <c r="J888" s="77"/>
      <c r="K888" s="77"/>
      <c r="L888" s="77"/>
      <c r="M888" s="77"/>
      <c r="N888" s="77"/>
      <c r="O888" s="77"/>
      <c r="P888" s="77"/>
      <c r="Q888" s="77"/>
      <c r="R888" s="77"/>
      <c r="S888" s="77"/>
      <c r="T888" s="77"/>
      <c r="U888" s="77"/>
      <c r="V888" s="77"/>
      <c r="W888" s="77"/>
      <c r="X888" s="77"/>
      <c r="Y888" s="77"/>
      <c r="Z888" s="77"/>
      <c r="AA888" s="77"/>
      <c r="AB888" s="77"/>
      <c r="AC888" s="77"/>
      <c r="AD888" s="77"/>
      <c r="AE888" s="77"/>
      <c r="AF888" s="77"/>
      <c r="AG888" s="77"/>
      <c r="AH888" s="77"/>
      <c r="AI888" s="77"/>
      <c r="AJ888" s="77"/>
      <c r="AK888" s="77"/>
      <c r="AL888" s="77"/>
      <c r="AM888" s="77"/>
      <c r="AN888" s="77"/>
      <c r="AO888" s="77"/>
      <c r="AP888" s="77"/>
      <c r="AQ888" s="77"/>
      <c r="AR888" s="77"/>
    </row>
    <row r="889" spans="1:44" ht="15.75" customHeight="1">
      <c r="A889" s="77"/>
      <c r="B889" s="77"/>
      <c r="C889" s="77"/>
      <c r="D889" s="77"/>
      <c r="E889" s="77"/>
      <c r="F889" s="77"/>
      <c r="G889" s="77"/>
      <c r="H889" s="77"/>
      <c r="I889" s="77"/>
      <c r="J889" s="77"/>
      <c r="K889" s="77"/>
      <c r="L889" s="77"/>
      <c r="M889" s="77"/>
      <c r="N889" s="77"/>
      <c r="O889" s="77"/>
      <c r="P889" s="77"/>
      <c r="Q889" s="77"/>
      <c r="R889" s="77"/>
      <c r="S889" s="77"/>
      <c r="T889" s="77"/>
      <c r="U889" s="77"/>
      <c r="V889" s="77"/>
      <c r="W889" s="77"/>
      <c r="X889" s="77"/>
      <c r="Y889" s="77"/>
      <c r="Z889" s="77"/>
      <c r="AA889" s="77"/>
      <c r="AB889" s="77"/>
      <c r="AC889" s="77"/>
      <c r="AD889" s="77"/>
      <c r="AE889" s="77"/>
      <c r="AF889" s="77"/>
      <c r="AG889" s="77"/>
      <c r="AH889" s="77"/>
      <c r="AI889" s="77"/>
      <c r="AJ889" s="77"/>
      <c r="AK889" s="77"/>
      <c r="AL889" s="77"/>
      <c r="AM889" s="77"/>
      <c r="AN889" s="77"/>
      <c r="AO889" s="77"/>
      <c r="AP889" s="77"/>
      <c r="AQ889" s="77"/>
      <c r="AR889" s="77"/>
    </row>
    <row r="890" spans="1:44" ht="15.75" customHeight="1">
      <c r="A890" s="77"/>
      <c r="B890" s="77"/>
      <c r="C890" s="77"/>
      <c r="D890" s="77"/>
      <c r="E890" s="77"/>
      <c r="F890" s="77"/>
      <c r="G890" s="77"/>
      <c r="H890" s="77"/>
      <c r="I890" s="77"/>
      <c r="J890" s="77"/>
      <c r="K890" s="77"/>
      <c r="L890" s="77"/>
      <c r="M890" s="77"/>
      <c r="N890" s="77"/>
      <c r="O890" s="77"/>
      <c r="P890" s="77"/>
      <c r="Q890" s="77"/>
      <c r="R890" s="77"/>
      <c r="S890" s="77"/>
      <c r="T890" s="77"/>
      <c r="U890" s="77"/>
      <c r="V890" s="77"/>
      <c r="W890" s="77"/>
      <c r="X890" s="77"/>
      <c r="Y890" s="77"/>
      <c r="Z890" s="77"/>
      <c r="AA890" s="77"/>
      <c r="AB890" s="77"/>
      <c r="AC890" s="77"/>
      <c r="AD890" s="77"/>
      <c r="AE890" s="77"/>
      <c r="AF890" s="77"/>
      <c r="AG890" s="77"/>
      <c r="AH890" s="77"/>
      <c r="AI890" s="77"/>
      <c r="AJ890" s="77"/>
      <c r="AK890" s="77"/>
      <c r="AL890" s="77"/>
      <c r="AM890" s="77"/>
      <c r="AN890" s="77"/>
      <c r="AO890" s="77"/>
      <c r="AP890" s="77"/>
      <c r="AQ890" s="77"/>
      <c r="AR890" s="77"/>
    </row>
    <row r="891" spans="1:44" ht="15.75" customHeight="1">
      <c r="A891" s="77"/>
      <c r="B891" s="77"/>
      <c r="C891" s="77"/>
      <c r="D891" s="77"/>
      <c r="E891" s="77"/>
      <c r="F891" s="77"/>
      <c r="G891" s="77"/>
      <c r="H891" s="77"/>
      <c r="I891" s="77"/>
      <c r="J891" s="77"/>
      <c r="K891" s="77"/>
      <c r="L891" s="77"/>
      <c r="M891" s="77"/>
      <c r="N891" s="77"/>
      <c r="O891" s="77"/>
      <c r="P891" s="77"/>
      <c r="Q891" s="77"/>
      <c r="R891" s="77"/>
      <c r="S891" s="77"/>
      <c r="T891" s="77"/>
      <c r="U891" s="77"/>
      <c r="V891" s="77"/>
      <c r="W891" s="77"/>
      <c r="X891" s="77"/>
      <c r="Y891" s="77"/>
      <c r="Z891" s="77"/>
      <c r="AA891" s="77"/>
      <c r="AB891" s="77"/>
      <c r="AC891" s="77"/>
      <c r="AD891" s="77"/>
      <c r="AE891" s="77"/>
      <c r="AF891" s="77"/>
      <c r="AG891" s="77"/>
      <c r="AH891" s="77"/>
      <c r="AI891" s="77"/>
      <c r="AJ891" s="77"/>
      <c r="AK891" s="77"/>
      <c r="AL891" s="77"/>
      <c r="AM891" s="77"/>
      <c r="AN891" s="77"/>
      <c r="AO891" s="77"/>
      <c r="AP891" s="77"/>
      <c r="AQ891" s="77"/>
      <c r="AR891" s="77"/>
    </row>
    <row r="892" spans="1:44" ht="15.75" customHeight="1">
      <c r="A892" s="77"/>
      <c r="B892" s="77"/>
      <c r="C892" s="77"/>
      <c r="D892" s="77"/>
      <c r="E892" s="77"/>
      <c r="F892" s="77"/>
      <c r="G892" s="77"/>
      <c r="H892" s="77"/>
      <c r="I892" s="77"/>
      <c r="J892" s="77"/>
      <c r="K892" s="77"/>
      <c r="L892" s="77"/>
      <c r="M892" s="77"/>
      <c r="N892" s="77"/>
      <c r="O892" s="77"/>
      <c r="P892" s="77"/>
      <c r="Q892" s="77"/>
      <c r="R892" s="77"/>
      <c r="S892" s="77"/>
      <c r="T892" s="77"/>
      <c r="U892" s="77"/>
      <c r="V892" s="77"/>
      <c r="W892" s="77"/>
      <c r="X892" s="77"/>
      <c r="Y892" s="77"/>
      <c r="Z892" s="77"/>
      <c r="AA892" s="77"/>
      <c r="AB892" s="77"/>
      <c r="AC892" s="77"/>
      <c r="AD892" s="77"/>
      <c r="AE892" s="77"/>
      <c r="AF892" s="77"/>
      <c r="AG892" s="77"/>
      <c r="AH892" s="77"/>
      <c r="AI892" s="77"/>
      <c r="AJ892" s="77"/>
      <c r="AK892" s="77"/>
      <c r="AL892" s="77"/>
      <c r="AM892" s="77"/>
      <c r="AN892" s="77"/>
      <c r="AO892" s="77"/>
      <c r="AP892" s="77"/>
      <c r="AQ892" s="77"/>
      <c r="AR892" s="77"/>
    </row>
    <row r="893" spans="1:44" ht="15.75" customHeight="1">
      <c r="A893" s="77"/>
      <c r="B893" s="77"/>
      <c r="C893" s="77"/>
      <c r="D893" s="77"/>
      <c r="E893" s="77"/>
      <c r="F893" s="77"/>
      <c r="G893" s="77"/>
      <c r="H893" s="77"/>
      <c r="I893" s="77"/>
      <c r="J893" s="77"/>
      <c r="K893" s="77"/>
      <c r="L893" s="77"/>
      <c r="M893" s="77"/>
      <c r="N893" s="77"/>
      <c r="O893" s="77"/>
      <c r="P893" s="77"/>
      <c r="Q893" s="77"/>
      <c r="R893" s="77"/>
      <c r="S893" s="77"/>
      <c r="T893" s="77"/>
      <c r="U893" s="77"/>
      <c r="V893" s="77"/>
      <c r="W893" s="77"/>
      <c r="X893" s="77"/>
      <c r="Y893" s="77"/>
      <c r="Z893" s="77"/>
      <c r="AA893" s="77"/>
      <c r="AB893" s="77"/>
      <c r="AC893" s="77"/>
      <c r="AD893" s="77"/>
      <c r="AE893" s="77"/>
      <c r="AF893" s="77"/>
      <c r="AG893" s="77"/>
      <c r="AH893" s="77"/>
      <c r="AI893" s="77"/>
      <c r="AJ893" s="77"/>
      <c r="AK893" s="77"/>
      <c r="AL893" s="77"/>
      <c r="AM893" s="77"/>
      <c r="AN893" s="77"/>
      <c r="AO893" s="77"/>
      <c r="AP893" s="77"/>
      <c r="AQ893" s="77"/>
      <c r="AR893" s="77"/>
    </row>
    <row r="894" spans="1:44" ht="15.75" customHeight="1">
      <c r="A894" s="77"/>
      <c r="B894" s="77"/>
      <c r="C894" s="77"/>
      <c r="D894" s="77"/>
      <c r="E894" s="77"/>
      <c r="F894" s="77"/>
      <c r="G894" s="77"/>
      <c r="H894" s="77"/>
      <c r="I894" s="77"/>
      <c r="J894" s="77"/>
      <c r="K894" s="77"/>
      <c r="L894" s="77"/>
      <c r="M894" s="77"/>
      <c r="N894" s="77"/>
      <c r="O894" s="77"/>
      <c r="P894" s="77"/>
      <c r="Q894" s="77"/>
      <c r="R894" s="77"/>
      <c r="S894" s="77"/>
      <c r="T894" s="77"/>
      <c r="U894" s="77"/>
      <c r="V894" s="77"/>
      <c r="W894" s="77"/>
      <c r="X894" s="77"/>
      <c r="Y894" s="77"/>
      <c r="Z894" s="77"/>
      <c r="AA894" s="77"/>
      <c r="AB894" s="77"/>
      <c r="AC894" s="77"/>
      <c r="AD894" s="77"/>
      <c r="AE894" s="77"/>
      <c r="AF894" s="77"/>
      <c r="AG894" s="77"/>
      <c r="AH894" s="77"/>
      <c r="AI894" s="77"/>
      <c r="AJ894" s="77"/>
      <c r="AK894" s="77"/>
      <c r="AL894" s="77"/>
      <c r="AM894" s="77"/>
      <c r="AN894" s="77"/>
      <c r="AO894" s="77"/>
      <c r="AP894" s="77"/>
      <c r="AQ894" s="77"/>
      <c r="AR894" s="77"/>
    </row>
    <row r="895" spans="1:44" ht="15.75" customHeight="1">
      <c r="A895" s="77"/>
      <c r="B895" s="77"/>
      <c r="C895" s="77"/>
      <c r="D895" s="77"/>
      <c r="E895" s="77"/>
      <c r="F895" s="77"/>
      <c r="G895" s="77"/>
      <c r="H895" s="77"/>
      <c r="I895" s="77"/>
      <c r="J895" s="77"/>
      <c r="K895" s="77"/>
      <c r="L895" s="77"/>
      <c r="M895" s="77"/>
      <c r="N895" s="77"/>
      <c r="O895" s="77"/>
      <c r="P895" s="77"/>
      <c r="Q895" s="77"/>
      <c r="R895" s="77"/>
      <c r="S895" s="77"/>
      <c r="T895" s="77"/>
      <c r="U895" s="77"/>
      <c r="V895" s="77"/>
      <c r="W895" s="77"/>
      <c r="X895" s="77"/>
      <c r="Y895" s="77"/>
      <c r="Z895" s="77"/>
      <c r="AA895" s="77"/>
      <c r="AB895" s="77"/>
      <c r="AC895" s="77"/>
      <c r="AD895" s="77"/>
      <c r="AE895" s="77"/>
      <c r="AF895" s="77"/>
      <c r="AG895" s="77"/>
      <c r="AH895" s="77"/>
      <c r="AI895" s="77"/>
      <c r="AJ895" s="77"/>
      <c r="AK895" s="77"/>
      <c r="AL895" s="77"/>
      <c r="AM895" s="77"/>
      <c r="AN895" s="77"/>
      <c r="AO895" s="77"/>
      <c r="AP895" s="77"/>
      <c r="AQ895" s="77"/>
      <c r="AR895" s="77"/>
    </row>
    <row r="896" spans="1:44" ht="15.75" customHeight="1">
      <c r="A896" s="77"/>
      <c r="B896" s="77"/>
      <c r="C896" s="77"/>
      <c r="D896" s="77"/>
      <c r="E896" s="77"/>
      <c r="F896" s="77"/>
      <c r="G896" s="77"/>
      <c r="H896" s="77"/>
      <c r="I896" s="77"/>
      <c r="J896" s="77"/>
      <c r="K896" s="77"/>
      <c r="L896" s="77"/>
      <c r="M896" s="77"/>
      <c r="N896" s="77"/>
      <c r="O896" s="77"/>
      <c r="P896" s="77"/>
      <c r="Q896" s="77"/>
      <c r="R896" s="77"/>
      <c r="S896" s="77"/>
      <c r="T896" s="77"/>
      <c r="U896" s="77"/>
      <c r="V896" s="77"/>
      <c r="W896" s="77"/>
      <c r="X896" s="77"/>
      <c r="Y896" s="77"/>
      <c r="Z896" s="77"/>
      <c r="AA896" s="77"/>
      <c r="AB896" s="77"/>
      <c r="AC896" s="77"/>
      <c r="AD896" s="77"/>
      <c r="AE896" s="77"/>
      <c r="AF896" s="77"/>
      <c r="AG896" s="77"/>
      <c r="AH896" s="77"/>
      <c r="AI896" s="77"/>
      <c r="AJ896" s="77"/>
      <c r="AK896" s="77"/>
      <c r="AL896" s="77"/>
      <c r="AM896" s="77"/>
      <c r="AN896" s="77"/>
      <c r="AO896" s="77"/>
      <c r="AP896" s="77"/>
      <c r="AQ896" s="77"/>
      <c r="AR896" s="77"/>
    </row>
    <row r="897" spans="1:44" ht="15.75" customHeight="1">
      <c r="A897" s="77"/>
      <c r="B897" s="77"/>
      <c r="C897" s="77"/>
      <c r="D897" s="77"/>
      <c r="E897" s="77"/>
      <c r="F897" s="77"/>
      <c r="G897" s="77"/>
      <c r="H897" s="77"/>
      <c r="I897" s="77"/>
      <c r="J897" s="77"/>
      <c r="K897" s="77"/>
      <c r="L897" s="77"/>
      <c r="M897" s="77"/>
      <c r="N897" s="77"/>
      <c r="O897" s="77"/>
      <c r="P897" s="77"/>
      <c r="Q897" s="77"/>
      <c r="R897" s="77"/>
      <c r="S897" s="77"/>
      <c r="T897" s="77"/>
      <c r="U897" s="77"/>
      <c r="V897" s="77"/>
      <c r="W897" s="77"/>
      <c r="X897" s="77"/>
      <c r="Y897" s="77"/>
      <c r="Z897" s="77"/>
      <c r="AA897" s="77"/>
      <c r="AB897" s="77"/>
      <c r="AC897" s="77"/>
      <c r="AD897" s="77"/>
      <c r="AE897" s="77"/>
      <c r="AF897" s="77"/>
      <c r="AG897" s="77"/>
      <c r="AH897" s="77"/>
      <c r="AI897" s="77"/>
      <c r="AJ897" s="77"/>
      <c r="AK897" s="77"/>
      <c r="AL897" s="77"/>
      <c r="AM897" s="77"/>
      <c r="AN897" s="77"/>
      <c r="AO897" s="77"/>
      <c r="AP897" s="77"/>
      <c r="AQ897" s="77"/>
      <c r="AR897" s="77"/>
    </row>
    <row r="898" spans="1:44" ht="15.75" customHeight="1">
      <c r="A898" s="77"/>
      <c r="B898" s="77"/>
      <c r="C898" s="77"/>
      <c r="D898" s="77"/>
      <c r="E898" s="77"/>
      <c r="F898" s="77"/>
      <c r="G898" s="77"/>
      <c r="H898" s="77"/>
      <c r="I898" s="77"/>
      <c r="J898" s="77"/>
      <c r="K898" s="77"/>
      <c r="L898" s="77"/>
      <c r="M898" s="77"/>
      <c r="N898" s="77"/>
      <c r="O898" s="77"/>
      <c r="P898" s="77"/>
      <c r="Q898" s="77"/>
      <c r="R898" s="77"/>
      <c r="S898" s="77"/>
      <c r="T898" s="77"/>
      <c r="U898" s="77"/>
      <c r="V898" s="77"/>
      <c r="W898" s="77"/>
      <c r="X898" s="77"/>
      <c r="Y898" s="77"/>
      <c r="Z898" s="77"/>
      <c r="AA898" s="77"/>
      <c r="AB898" s="77"/>
      <c r="AC898" s="77"/>
      <c r="AD898" s="77"/>
      <c r="AE898" s="77"/>
      <c r="AF898" s="77"/>
      <c r="AG898" s="77"/>
      <c r="AH898" s="77"/>
      <c r="AI898" s="77"/>
      <c r="AJ898" s="77"/>
      <c r="AK898" s="77"/>
      <c r="AL898" s="77"/>
      <c r="AM898" s="77"/>
      <c r="AN898" s="77"/>
      <c r="AO898" s="77"/>
      <c r="AP898" s="77"/>
      <c r="AQ898" s="77"/>
      <c r="AR898" s="77"/>
    </row>
    <row r="899" spans="1:44" ht="15.75" customHeight="1">
      <c r="A899" s="77"/>
      <c r="B899" s="77"/>
      <c r="C899" s="77"/>
      <c r="D899" s="77"/>
      <c r="E899" s="77"/>
      <c r="F899" s="77"/>
      <c r="G899" s="77"/>
      <c r="H899" s="77"/>
      <c r="I899" s="77"/>
      <c r="J899" s="77"/>
      <c r="K899" s="77"/>
      <c r="L899" s="77"/>
      <c r="M899" s="77"/>
      <c r="N899" s="77"/>
      <c r="O899" s="77"/>
      <c r="P899" s="77"/>
      <c r="Q899" s="77"/>
      <c r="R899" s="77"/>
      <c r="S899" s="77"/>
      <c r="T899" s="77"/>
      <c r="U899" s="77"/>
      <c r="V899" s="77"/>
      <c r="W899" s="77"/>
      <c r="X899" s="77"/>
      <c r="Y899" s="77"/>
      <c r="Z899" s="77"/>
      <c r="AA899" s="77"/>
      <c r="AB899" s="77"/>
      <c r="AC899" s="77"/>
      <c r="AD899" s="77"/>
      <c r="AE899" s="77"/>
      <c r="AF899" s="77"/>
      <c r="AG899" s="77"/>
      <c r="AH899" s="77"/>
      <c r="AI899" s="77"/>
      <c r="AJ899" s="77"/>
      <c r="AK899" s="77"/>
      <c r="AL899" s="77"/>
      <c r="AM899" s="77"/>
      <c r="AN899" s="77"/>
      <c r="AO899" s="77"/>
      <c r="AP899" s="77"/>
      <c r="AQ899" s="77"/>
      <c r="AR899" s="77"/>
    </row>
    <row r="900" spans="1:44" ht="15.75" customHeight="1">
      <c r="A900" s="77"/>
      <c r="B900" s="77"/>
      <c r="C900" s="77"/>
      <c r="D900" s="77"/>
      <c r="E900" s="77"/>
      <c r="F900" s="77"/>
      <c r="G900" s="77"/>
      <c r="H900" s="77"/>
      <c r="I900" s="77"/>
      <c r="J900" s="77"/>
      <c r="K900" s="77"/>
      <c r="L900" s="77"/>
      <c r="M900" s="77"/>
      <c r="N900" s="77"/>
      <c r="O900" s="77"/>
      <c r="P900" s="77"/>
      <c r="Q900" s="77"/>
      <c r="R900" s="77"/>
      <c r="S900" s="77"/>
      <c r="T900" s="77"/>
      <c r="U900" s="77"/>
      <c r="V900" s="77"/>
      <c r="W900" s="77"/>
      <c r="X900" s="77"/>
      <c r="Y900" s="77"/>
      <c r="Z900" s="77"/>
      <c r="AA900" s="77"/>
      <c r="AB900" s="77"/>
      <c r="AC900" s="77"/>
      <c r="AD900" s="77"/>
      <c r="AE900" s="77"/>
      <c r="AF900" s="77"/>
      <c r="AG900" s="77"/>
      <c r="AH900" s="77"/>
      <c r="AI900" s="77"/>
      <c r="AJ900" s="77"/>
      <c r="AK900" s="77"/>
      <c r="AL900" s="77"/>
      <c r="AM900" s="77"/>
      <c r="AN900" s="77"/>
      <c r="AO900" s="77"/>
      <c r="AP900" s="77"/>
      <c r="AQ900" s="77"/>
      <c r="AR900" s="77"/>
    </row>
    <row r="901" spans="1:44" ht="15.75" customHeight="1">
      <c r="A901" s="77"/>
      <c r="B901" s="77"/>
      <c r="C901" s="77"/>
      <c r="D901" s="77"/>
      <c r="E901" s="77"/>
      <c r="F901" s="77"/>
      <c r="G901" s="77"/>
      <c r="H901" s="77"/>
      <c r="I901" s="77"/>
      <c r="J901" s="77"/>
      <c r="K901" s="77"/>
      <c r="L901" s="77"/>
      <c r="M901" s="77"/>
      <c r="N901" s="77"/>
      <c r="O901" s="77"/>
      <c r="P901" s="77"/>
      <c r="Q901" s="77"/>
      <c r="R901" s="77"/>
      <c r="S901" s="77"/>
      <c r="T901" s="77"/>
      <c r="U901" s="77"/>
      <c r="V901" s="77"/>
      <c r="W901" s="77"/>
      <c r="X901" s="77"/>
      <c r="Y901" s="77"/>
      <c r="Z901" s="77"/>
      <c r="AA901" s="77"/>
      <c r="AB901" s="77"/>
      <c r="AC901" s="77"/>
      <c r="AD901" s="77"/>
      <c r="AE901" s="77"/>
      <c r="AF901" s="77"/>
      <c r="AG901" s="77"/>
      <c r="AH901" s="77"/>
      <c r="AI901" s="77"/>
      <c r="AJ901" s="77"/>
      <c r="AK901" s="77"/>
      <c r="AL901" s="77"/>
      <c r="AM901" s="77"/>
      <c r="AN901" s="77"/>
      <c r="AO901" s="77"/>
      <c r="AP901" s="77"/>
      <c r="AQ901" s="77"/>
      <c r="AR901" s="77"/>
    </row>
    <row r="902" spans="1:44" ht="15.75" customHeight="1">
      <c r="A902" s="77"/>
      <c r="B902" s="77"/>
      <c r="C902" s="77"/>
      <c r="D902" s="77"/>
      <c r="E902" s="77"/>
      <c r="F902" s="77"/>
      <c r="G902" s="77"/>
      <c r="H902" s="77"/>
      <c r="I902" s="77"/>
      <c r="J902" s="77"/>
      <c r="K902" s="77"/>
      <c r="L902" s="77"/>
      <c r="M902" s="77"/>
      <c r="N902" s="77"/>
      <c r="O902" s="77"/>
      <c r="P902" s="77"/>
      <c r="Q902" s="77"/>
      <c r="R902" s="77"/>
      <c r="S902" s="77"/>
      <c r="T902" s="77"/>
      <c r="U902" s="77"/>
      <c r="V902" s="77"/>
      <c r="W902" s="77"/>
      <c r="X902" s="77"/>
      <c r="Y902" s="77"/>
      <c r="Z902" s="77"/>
      <c r="AA902" s="77"/>
      <c r="AB902" s="77"/>
      <c r="AC902" s="77"/>
      <c r="AD902" s="77"/>
      <c r="AE902" s="77"/>
      <c r="AF902" s="77"/>
      <c r="AG902" s="77"/>
      <c r="AH902" s="77"/>
      <c r="AI902" s="77"/>
      <c r="AJ902" s="77"/>
      <c r="AK902" s="77"/>
      <c r="AL902" s="77"/>
      <c r="AM902" s="77"/>
      <c r="AN902" s="77"/>
      <c r="AO902" s="77"/>
      <c r="AP902" s="77"/>
      <c r="AQ902" s="77"/>
      <c r="AR902" s="77"/>
    </row>
    <row r="903" spans="1:44" ht="15.75" customHeight="1">
      <c r="A903" s="77"/>
      <c r="B903" s="77"/>
      <c r="C903" s="77"/>
      <c r="D903" s="77"/>
      <c r="E903" s="77"/>
      <c r="F903" s="77"/>
      <c r="G903" s="77"/>
      <c r="H903" s="77"/>
      <c r="I903" s="77"/>
      <c r="J903" s="77"/>
      <c r="K903" s="77"/>
      <c r="L903" s="77"/>
      <c r="M903" s="77"/>
      <c r="N903" s="77"/>
      <c r="O903" s="77"/>
      <c r="P903" s="77"/>
      <c r="Q903" s="77"/>
      <c r="R903" s="77"/>
      <c r="S903" s="77"/>
      <c r="T903" s="77"/>
      <c r="U903" s="77"/>
      <c r="V903" s="77"/>
      <c r="W903" s="77"/>
      <c r="X903" s="77"/>
      <c r="Y903" s="77"/>
      <c r="Z903" s="77"/>
      <c r="AA903" s="77"/>
      <c r="AB903" s="77"/>
      <c r="AC903" s="77"/>
      <c r="AD903" s="77"/>
      <c r="AE903" s="77"/>
      <c r="AF903" s="77"/>
      <c r="AG903" s="77"/>
      <c r="AH903" s="77"/>
      <c r="AI903" s="77"/>
      <c r="AJ903" s="77"/>
      <c r="AK903" s="77"/>
      <c r="AL903" s="77"/>
      <c r="AM903" s="77"/>
      <c r="AN903" s="77"/>
      <c r="AO903" s="77"/>
      <c r="AP903" s="77"/>
      <c r="AQ903" s="77"/>
      <c r="AR903" s="77"/>
    </row>
    <row r="904" spans="1:44" ht="15.75" customHeight="1">
      <c r="A904" s="77"/>
      <c r="B904" s="77"/>
      <c r="C904" s="77"/>
      <c r="D904" s="77"/>
      <c r="E904" s="77"/>
      <c r="F904" s="77"/>
      <c r="G904" s="77"/>
      <c r="H904" s="77"/>
      <c r="I904" s="77"/>
      <c r="J904" s="77"/>
      <c r="K904" s="77"/>
      <c r="L904" s="77"/>
      <c r="M904" s="77"/>
      <c r="N904" s="77"/>
      <c r="O904" s="77"/>
      <c r="P904" s="77"/>
      <c r="Q904" s="77"/>
      <c r="R904" s="77"/>
      <c r="S904" s="77"/>
      <c r="T904" s="77"/>
      <c r="U904" s="77"/>
      <c r="V904" s="77"/>
      <c r="W904" s="77"/>
      <c r="X904" s="77"/>
      <c r="Y904" s="77"/>
      <c r="Z904" s="77"/>
      <c r="AA904" s="77"/>
      <c r="AB904" s="77"/>
      <c r="AC904" s="77"/>
      <c r="AD904" s="77"/>
      <c r="AE904" s="77"/>
      <c r="AF904" s="77"/>
      <c r="AG904" s="77"/>
      <c r="AH904" s="77"/>
      <c r="AI904" s="77"/>
      <c r="AJ904" s="77"/>
      <c r="AK904" s="77"/>
      <c r="AL904" s="77"/>
      <c r="AM904" s="77"/>
      <c r="AN904" s="77"/>
      <c r="AO904" s="77"/>
      <c r="AP904" s="77"/>
      <c r="AQ904" s="77"/>
      <c r="AR904" s="77"/>
    </row>
    <row r="905" spans="1:44" ht="15.75" customHeight="1">
      <c r="A905" s="77"/>
      <c r="B905" s="77"/>
      <c r="C905" s="77"/>
      <c r="D905" s="77"/>
      <c r="E905" s="77"/>
      <c r="F905" s="77"/>
      <c r="G905" s="77"/>
      <c r="H905" s="77"/>
      <c r="I905" s="77"/>
      <c r="J905" s="77"/>
      <c r="K905" s="77"/>
      <c r="L905" s="77"/>
      <c r="M905" s="77"/>
      <c r="N905" s="77"/>
      <c r="O905" s="77"/>
      <c r="P905" s="77"/>
      <c r="Q905" s="77"/>
      <c r="R905" s="77"/>
      <c r="S905" s="77"/>
      <c r="T905" s="77"/>
      <c r="U905" s="77"/>
      <c r="V905" s="77"/>
      <c r="W905" s="77"/>
      <c r="X905" s="77"/>
      <c r="Y905" s="77"/>
      <c r="Z905" s="77"/>
      <c r="AA905" s="77"/>
      <c r="AB905" s="77"/>
      <c r="AC905" s="77"/>
      <c r="AD905" s="77"/>
      <c r="AE905" s="77"/>
      <c r="AF905" s="77"/>
      <c r="AG905" s="77"/>
      <c r="AH905" s="77"/>
      <c r="AI905" s="77"/>
      <c r="AJ905" s="77"/>
      <c r="AK905" s="77"/>
      <c r="AL905" s="77"/>
      <c r="AM905" s="77"/>
      <c r="AN905" s="77"/>
      <c r="AO905" s="77"/>
      <c r="AP905" s="77"/>
      <c r="AQ905" s="77"/>
      <c r="AR905" s="77"/>
    </row>
    <row r="906" spans="1:44" ht="15.75" customHeight="1">
      <c r="A906" s="77"/>
      <c r="B906" s="77"/>
      <c r="C906" s="77"/>
      <c r="D906" s="77"/>
      <c r="E906" s="77"/>
      <c r="F906" s="77"/>
      <c r="G906" s="77"/>
      <c r="H906" s="77"/>
      <c r="I906" s="77"/>
      <c r="J906" s="77"/>
      <c r="K906" s="77"/>
      <c r="L906" s="77"/>
      <c r="M906" s="77"/>
      <c r="N906" s="77"/>
      <c r="O906" s="77"/>
      <c r="P906" s="77"/>
      <c r="Q906" s="77"/>
      <c r="R906" s="77"/>
      <c r="S906" s="77"/>
      <c r="T906" s="77"/>
      <c r="U906" s="77"/>
      <c r="V906" s="77"/>
      <c r="W906" s="77"/>
      <c r="X906" s="77"/>
      <c r="Y906" s="77"/>
      <c r="Z906" s="77"/>
      <c r="AA906" s="77"/>
      <c r="AB906" s="77"/>
      <c r="AC906" s="77"/>
      <c r="AD906" s="77"/>
      <c r="AE906" s="77"/>
      <c r="AF906" s="77"/>
      <c r="AG906" s="77"/>
      <c r="AH906" s="77"/>
      <c r="AI906" s="77"/>
      <c r="AJ906" s="77"/>
      <c r="AK906" s="77"/>
      <c r="AL906" s="77"/>
      <c r="AM906" s="77"/>
      <c r="AN906" s="77"/>
      <c r="AO906" s="77"/>
      <c r="AP906" s="77"/>
      <c r="AQ906" s="77"/>
      <c r="AR906" s="77"/>
    </row>
    <row r="907" spans="1:44" ht="15.75" customHeight="1">
      <c r="A907" s="77"/>
      <c r="B907" s="77"/>
      <c r="C907" s="77"/>
      <c r="D907" s="77"/>
      <c r="E907" s="77"/>
      <c r="F907" s="77"/>
      <c r="G907" s="77"/>
      <c r="H907" s="77"/>
      <c r="I907" s="77"/>
      <c r="J907" s="77"/>
      <c r="K907" s="77"/>
      <c r="L907" s="77"/>
      <c r="M907" s="77"/>
      <c r="N907" s="77"/>
      <c r="O907" s="77"/>
      <c r="P907" s="77"/>
      <c r="Q907" s="77"/>
      <c r="R907" s="77"/>
      <c r="S907" s="77"/>
      <c r="T907" s="77"/>
      <c r="U907" s="77"/>
      <c r="V907" s="77"/>
      <c r="W907" s="77"/>
      <c r="X907" s="77"/>
      <c r="Y907" s="77"/>
      <c r="Z907" s="77"/>
      <c r="AA907" s="77"/>
      <c r="AB907" s="77"/>
      <c r="AC907" s="77"/>
      <c r="AD907" s="77"/>
      <c r="AE907" s="77"/>
      <c r="AF907" s="77"/>
      <c r="AG907" s="77"/>
      <c r="AH907" s="77"/>
      <c r="AI907" s="77"/>
      <c r="AJ907" s="77"/>
      <c r="AK907" s="77"/>
      <c r="AL907" s="77"/>
      <c r="AM907" s="77"/>
      <c r="AN907" s="77"/>
      <c r="AO907" s="77"/>
      <c r="AP907" s="77"/>
      <c r="AQ907" s="77"/>
      <c r="AR907" s="77"/>
    </row>
    <row r="908" spans="1:44" ht="15.75" customHeight="1">
      <c r="A908" s="77"/>
      <c r="B908" s="77"/>
      <c r="C908" s="77"/>
      <c r="D908" s="77"/>
      <c r="E908" s="77"/>
      <c r="F908" s="77"/>
      <c r="G908" s="77"/>
      <c r="H908" s="77"/>
      <c r="I908" s="77"/>
      <c r="J908" s="77"/>
      <c r="K908" s="77"/>
      <c r="L908" s="77"/>
      <c r="M908" s="77"/>
      <c r="N908" s="77"/>
      <c r="O908" s="77"/>
      <c r="P908" s="77"/>
      <c r="Q908" s="77"/>
      <c r="R908" s="77"/>
      <c r="S908" s="77"/>
      <c r="T908" s="77"/>
      <c r="U908" s="77"/>
      <c r="V908" s="77"/>
      <c r="W908" s="77"/>
      <c r="X908" s="77"/>
      <c r="Y908" s="77"/>
      <c r="Z908" s="77"/>
      <c r="AA908" s="77"/>
      <c r="AB908" s="77"/>
      <c r="AC908" s="77"/>
      <c r="AD908" s="77"/>
      <c r="AE908" s="77"/>
      <c r="AF908" s="77"/>
      <c r="AG908" s="77"/>
      <c r="AH908" s="77"/>
      <c r="AI908" s="77"/>
      <c r="AJ908" s="77"/>
      <c r="AK908" s="77"/>
      <c r="AL908" s="77"/>
      <c r="AM908" s="77"/>
      <c r="AN908" s="77"/>
      <c r="AO908" s="77"/>
      <c r="AP908" s="77"/>
      <c r="AQ908" s="77"/>
      <c r="AR908" s="77"/>
    </row>
    <row r="909" spans="1:44" ht="15.75" customHeight="1">
      <c r="A909" s="77"/>
      <c r="B909" s="77"/>
      <c r="C909" s="77"/>
      <c r="D909" s="77"/>
      <c r="E909" s="77"/>
      <c r="F909" s="77"/>
      <c r="G909" s="77"/>
      <c r="H909" s="77"/>
      <c r="I909" s="77"/>
      <c r="J909" s="77"/>
      <c r="K909" s="77"/>
      <c r="L909" s="77"/>
      <c r="M909" s="77"/>
      <c r="N909" s="77"/>
      <c r="O909" s="77"/>
      <c r="P909" s="77"/>
      <c r="Q909" s="77"/>
      <c r="R909" s="77"/>
      <c r="S909" s="77"/>
      <c r="T909" s="77"/>
      <c r="U909" s="77"/>
      <c r="V909" s="77"/>
      <c r="W909" s="77"/>
      <c r="X909" s="77"/>
      <c r="Y909" s="77"/>
      <c r="Z909" s="77"/>
      <c r="AA909" s="77"/>
      <c r="AB909" s="77"/>
      <c r="AC909" s="77"/>
      <c r="AD909" s="77"/>
      <c r="AE909" s="77"/>
      <c r="AF909" s="77"/>
      <c r="AG909" s="77"/>
      <c r="AH909" s="77"/>
      <c r="AI909" s="77"/>
      <c r="AJ909" s="77"/>
      <c r="AK909" s="77"/>
      <c r="AL909" s="77"/>
      <c r="AM909" s="77"/>
      <c r="AN909" s="77"/>
      <c r="AO909" s="77"/>
      <c r="AP909" s="77"/>
      <c r="AQ909" s="77"/>
      <c r="AR909" s="77"/>
    </row>
    <row r="910" spans="1:44" ht="15.75" customHeight="1">
      <c r="A910" s="77"/>
      <c r="B910" s="77"/>
      <c r="C910" s="77"/>
      <c r="D910" s="77"/>
      <c r="E910" s="77"/>
      <c r="F910" s="77"/>
      <c r="G910" s="77"/>
      <c r="H910" s="77"/>
      <c r="I910" s="77"/>
      <c r="J910" s="77"/>
      <c r="K910" s="77"/>
      <c r="L910" s="77"/>
      <c r="M910" s="77"/>
      <c r="N910" s="77"/>
      <c r="O910" s="77"/>
      <c r="P910" s="77"/>
      <c r="Q910" s="77"/>
      <c r="R910" s="77"/>
      <c r="S910" s="77"/>
      <c r="T910" s="77"/>
      <c r="U910" s="77"/>
      <c r="V910" s="77"/>
      <c r="W910" s="77"/>
      <c r="X910" s="77"/>
      <c r="Y910" s="77"/>
      <c r="Z910" s="77"/>
      <c r="AA910" s="77"/>
      <c r="AB910" s="77"/>
      <c r="AC910" s="77"/>
      <c r="AD910" s="77"/>
      <c r="AE910" s="77"/>
      <c r="AF910" s="77"/>
      <c r="AG910" s="77"/>
      <c r="AH910" s="77"/>
      <c r="AI910" s="77"/>
      <c r="AJ910" s="77"/>
      <c r="AK910" s="77"/>
      <c r="AL910" s="77"/>
      <c r="AM910" s="77"/>
      <c r="AN910" s="77"/>
      <c r="AO910" s="77"/>
      <c r="AP910" s="77"/>
      <c r="AQ910" s="77"/>
      <c r="AR910" s="77"/>
    </row>
    <row r="911" spans="1:44" ht="15.75" customHeight="1">
      <c r="A911" s="77"/>
      <c r="B911" s="77"/>
      <c r="C911" s="77"/>
      <c r="D911" s="77"/>
      <c r="E911" s="77"/>
      <c r="F911" s="77"/>
      <c r="G911" s="77"/>
      <c r="H911" s="77"/>
      <c r="I911" s="77"/>
      <c r="J911" s="77"/>
      <c r="K911" s="77"/>
      <c r="L911" s="77"/>
      <c r="M911" s="77"/>
      <c r="N911" s="77"/>
      <c r="O911" s="77"/>
      <c r="P911" s="77"/>
      <c r="Q911" s="77"/>
      <c r="R911" s="77"/>
      <c r="S911" s="77"/>
      <c r="T911" s="77"/>
      <c r="U911" s="77"/>
      <c r="V911" s="77"/>
      <c r="W911" s="77"/>
      <c r="X911" s="77"/>
      <c r="Y911" s="77"/>
      <c r="Z911" s="77"/>
      <c r="AA911" s="77"/>
      <c r="AB911" s="77"/>
      <c r="AC911" s="77"/>
      <c r="AD911" s="77"/>
      <c r="AE911" s="77"/>
      <c r="AF911" s="77"/>
      <c r="AG911" s="77"/>
      <c r="AH911" s="77"/>
      <c r="AI911" s="77"/>
      <c r="AJ911" s="77"/>
      <c r="AK911" s="77"/>
      <c r="AL911" s="77"/>
      <c r="AM911" s="77"/>
      <c r="AN911" s="77"/>
      <c r="AO911" s="77"/>
      <c r="AP911" s="77"/>
      <c r="AQ911" s="77"/>
      <c r="AR911" s="77"/>
    </row>
    <row r="912" spans="1:44" ht="15.75" customHeight="1">
      <c r="A912" s="77"/>
      <c r="B912" s="77"/>
      <c r="C912" s="77"/>
      <c r="D912" s="77"/>
      <c r="E912" s="77"/>
      <c r="F912" s="77"/>
      <c r="G912" s="77"/>
      <c r="H912" s="77"/>
      <c r="I912" s="77"/>
      <c r="J912" s="77"/>
      <c r="K912" s="77"/>
      <c r="L912" s="77"/>
      <c r="M912" s="77"/>
      <c r="N912" s="77"/>
      <c r="O912" s="77"/>
      <c r="P912" s="77"/>
      <c r="Q912" s="77"/>
      <c r="R912" s="77"/>
      <c r="S912" s="77"/>
      <c r="T912" s="77"/>
      <c r="U912" s="77"/>
      <c r="V912" s="77"/>
      <c r="W912" s="77"/>
      <c r="X912" s="77"/>
      <c r="Y912" s="77"/>
      <c r="Z912" s="77"/>
      <c r="AA912" s="77"/>
      <c r="AB912" s="77"/>
      <c r="AC912" s="77"/>
      <c r="AD912" s="77"/>
      <c r="AE912" s="77"/>
      <c r="AF912" s="77"/>
      <c r="AG912" s="77"/>
      <c r="AH912" s="77"/>
      <c r="AI912" s="77"/>
      <c r="AJ912" s="77"/>
      <c r="AK912" s="77"/>
      <c r="AL912" s="77"/>
      <c r="AM912" s="77"/>
      <c r="AN912" s="77"/>
      <c r="AO912" s="77"/>
      <c r="AP912" s="77"/>
      <c r="AQ912" s="77"/>
      <c r="AR912" s="77"/>
    </row>
    <row r="913" spans="1:44" ht="15.75" customHeight="1">
      <c r="A913" s="77"/>
      <c r="B913" s="77"/>
      <c r="C913" s="77"/>
      <c r="D913" s="77"/>
      <c r="E913" s="77"/>
      <c r="F913" s="77"/>
      <c r="G913" s="77"/>
      <c r="H913" s="77"/>
      <c r="I913" s="77"/>
      <c r="J913" s="77"/>
      <c r="K913" s="77"/>
      <c r="L913" s="77"/>
      <c r="M913" s="77"/>
      <c r="N913" s="77"/>
      <c r="O913" s="77"/>
      <c r="P913" s="77"/>
      <c r="Q913" s="77"/>
      <c r="R913" s="77"/>
      <c r="S913" s="77"/>
      <c r="T913" s="77"/>
      <c r="U913" s="77"/>
      <c r="V913" s="77"/>
      <c r="W913" s="77"/>
      <c r="X913" s="77"/>
      <c r="Y913" s="77"/>
      <c r="Z913" s="77"/>
      <c r="AA913" s="77"/>
      <c r="AB913" s="77"/>
      <c r="AC913" s="77"/>
      <c r="AD913" s="77"/>
      <c r="AE913" s="77"/>
      <c r="AF913" s="77"/>
      <c r="AG913" s="77"/>
      <c r="AH913" s="77"/>
      <c r="AI913" s="77"/>
      <c r="AJ913" s="77"/>
      <c r="AK913" s="77"/>
      <c r="AL913" s="77"/>
      <c r="AM913" s="77"/>
      <c r="AN913" s="77"/>
      <c r="AO913" s="77"/>
      <c r="AP913" s="77"/>
      <c r="AQ913" s="77"/>
      <c r="AR913" s="77"/>
    </row>
    <row r="914" spans="1:44" ht="15.75" customHeight="1">
      <c r="A914" s="77"/>
      <c r="B914" s="77"/>
      <c r="C914" s="77"/>
      <c r="D914" s="77"/>
      <c r="E914" s="77"/>
      <c r="F914" s="77"/>
      <c r="G914" s="77"/>
      <c r="H914" s="77"/>
      <c r="I914" s="77"/>
      <c r="J914" s="77"/>
      <c r="K914" s="77"/>
      <c r="L914" s="77"/>
      <c r="M914" s="77"/>
      <c r="N914" s="77"/>
      <c r="O914" s="77"/>
      <c r="P914" s="77"/>
      <c r="Q914" s="77"/>
      <c r="R914" s="77"/>
      <c r="S914" s="77"/>
      <c r="T914" s="77"/>
      <c r="U914" s="77"/>
      <c r="V914" s="77"/>
      <c r="W914" s="77"/>
      <c r="X914" s="77"/>
      <c r="Y914" s="77"/>
      <c r="Z914" s="77"/>
      <c r="AA914" s="77"/>
      <c r="AB914" s="77"/>
      <c r="AC914" s="77"/>
      <c r="AD914" s="77"/>
      <c r="AE914" s="77"/>
      <c r="AF914" s="77"/>
      <c r="AG914" s="77"/>
      <c r="AH914" s="77"/>
      <c r="AI914" s="77"/>
      <c r="AJ914" s="77"/>
      <c r="AK914" s="77"/>
      <c r="AL914" s="77"/>
      <c r="AM914" s="77"/>
      <c r="AN914" s="77"/>
      <c r="AO914" s="77"/>
      <c r="AP914" s="77"/>
      <c r="AQ914" s="77"/>
      <c r="AR914" s="77"/>
    </row>
    <row r="915" spans="1:44" ht="15.75" customHeight="1">
      <c r="A915" s="77"/>
      <c r="B915" s="77"/>
      <c r="C915" s="77"/>
      <c r="D915" s="77"/>
      <c r="E915" s="77"/>
      <c r="F915" s="77"/>
      <c r="G915" s="77"/>
      <c r="H915" s="77"/>
      <c r="I915" s="77"/>
      <c r="J915" s="77"/>
      <c r="K915" s="77"/>
      <c r="L915" s="77"/>
      <c r="M915" s="77"/>
      <c r="N915" s="77"/>
      <c r="O915" s="77"/>
      <c r="P915" s="77"/>
      <c r="Q915" s="77"/>
      <c r="R915" s="77"/>
      <c r="S915" s="77"/>
      <c r="T915" s="77"/>
      <c r="U915" s="77"/>
      <c r="V915" s="77"/>
      <c r="W915" s="77"/>
      <c r="X915" s="77"/>
      <c r="Y915" s="77"/>
      <c r="Z915" s="77"/>
      <c r="AA915" s="77"/>
      <c r="AB915" s="77"/>
      <c r="AC915" s="77"/>
      <c r="AD915" s="77"/>
      <c r="AE915" s="77"/>
      <c r="AF915" s="77"/>
      <c r="AG915" s="77"/>
      <c r="AH915" s="77"/>
      <c r="AI915" s="77"/>
      <c r="AJ915" s="77"/>
      <c r="AK915" s="77"/>
      <c r="AL915" s="77"/>
      <c r="AM915" s="77"/>
      <c r="AN915" s="77"/>
      <c r="AO915" s="77"/>
      <c r="AP915" s="77"/>
      <c r="AQ915" s="77"/>
      <c r="AR915" s="77"/>
    </row>
    <row r="916" spans="1:44" ht="15.75" customHeight="1">
      <c r="A916" s="77"/>
      <c r="B916" s="77"/>
      <c r="C916" s="77"/>
      <c r="D916" s="77"/>
      <c r="E916" s="77"/>
      <c r="F916" s="77"/>
      <c r="G916" s="77"/>
      <c r="H916" s="77"/>
      <c r="I916" s="77"/>
      <c r="J916" s="77"/>
      <c r="K916" s="77"/>
      <c r="L916" s="77"/>
      <c r="M916" s="77"/>
      <c r="N916" s="77"/>
      <c r="O916" s="77"/>
      <c r="P916" s="77"/>
      <c r="Q916" s="77"/>
      <c r="R916" s="77"/>
      <c r="S916" s="77"/>
      <c r="T916" s="77"/>
      <c r="U916" s="77"/>
      <c r="V916" s="77"/>
      <c r="W916" s="77"/>
      <c r="X916" s="77"/>
      <c r="Y916" s="77"/>
      <c r="Z916" s="77"/>
      <c r="AA916" s="77"/>
      <c r="AB916" s="77"/>
      <c r="AC916" s="77"/>
      <c r="AD916" s="77"/>
      <c r="AE916" s="77"/>
      <c r="AF916" s="77"/>
      <c r="AG916" s="77"/>
      <c r="AH916" s="77"/>
      <c r="AI916" s="77"/>
      <c r="AJ916" s="77"/>
      <c r="AK916" s="77"/>
      <c r="AL916" s="77"/>
      <c r="AM916" s="77"/>
      <c r="AN916" s="77"/>
      <c r="AO916" s="77"/>
      <c r="AP916" s="77"/>
      <c r="AQ916" s="77"/>
      <c r="AR916" s="77"/>
    </row>
    <row r="917" spans="1:44" ht="15.75" customHeight="1">
      <c r="A917" s="77"/>
      <c r="B917" s="77"/>
      <c r="C917" s="77"/>
      <c r="D917" s="77"/>
      <c r="E917" s="77"/>
      <c r="F917" s="77"/>
      <c r="G917" s="77"/>
      <c r="H917" s="77"/>
      <c r="I917" s="77"/>
      <c r="J917" s="77"/>
      <c r="K917" s="77"/>
      <c r="L917" s="77"/>
      <c r="M917" s="77"/>
      <c r="N917" s="77"/>
      <c r="O917" s="77"/>
      <c r="P917" s="77"/>
      <c r="Q917" s="77"/>
      <c r="R917" s="77"/>
      <c r="S917" s="77"/>
      <c r="T917" s="77"/>
      <c r="U917" s="77"/>
      <c r="V917" s="77"/>
      <c r="W917" s="77"/>
      <c r="X917" s="77"/>
      <c r="Y917" s="77"/>
      <c r="Z917" s="77"/>
      <c r="AA917" s="77"/>
      <c r="AB917" s="77"/>
      <c r="AC917" s="77"/>
      <c r="AD917" s="77"/>
      <c r="AE917" s="77"/>
      <c r="AF917" s="77"/>
      <c r="AG917" s="77"/>
      <c r="AH917" s="77"/>
      <c r="AI917" s="77"/>
      <c r="AJ917" s="77"/>
      <c r="AK917" s="77"/>
      <c r="AL917" s="77"/>
      <c r="AM917" s="77"/>
      <c r="AN917" s="77"/>
      <c r="AO917" s="77"/>
      <c r="AP917" s="77"/>
      <c r="AQ917" s="77"/>
      <c r="AR917" s="77"/>
    </row>
    <row r="918" spans="1:44" ht="15.75" customHeight="1">
      <c r="A918" s="77"/>
      <c r="B918" s="77"/>
      <c r="C918" s="77"/>
      <c r="D918" s="77"/>
      <c r="E918" s="77"/>
      <c r="F918" s="77"/>
      <c r="G918" s="77"/>
      <c r="H918" s="77"/>
      <c r="I918" s="77"/>
      <c r="J918" s="77"/>
      <c r="K918" s="77"/>
      <c r="L918" s="77"/>
      <c r="M918" s="77"/>
      <c r="N918" s="77"/>
      <c r="O918" s="77"/>
      <c r="P918" s="77"/>
      <c r="Q918" s="77"/>
      <c r="R918" s="77"/>
      <c r="S918" s="77"/>
      <c r="T918" s="77"/>
      <c r="U918" s="77"/>
      <c r="V918" s="77"/>
      <c r="W918" s="77"/>
      <c r="X918" s="77"/>
      <c r="Y918" s="77"/>
      <c r="Z918" s="77"/>
      <c r="AA918" s="77"/>
      <c r="AB918" s="77"/>
      <c r="AC918" s="77"/>
      <c r="AD918" s="77"/>
      <c r="AE918" s="77"/>
      <c r="AF918" s="77"/>
      <c r="AG918" s="77"/>
      <c r="AH918" s="77"/>
      <c r="AI918" s="77"/>
      <c r="AJ918" s="77"/>
      <c r="AK918" s="77"/>
      <c r="AL918" s="77"/>
      <c r="AM918" s="77"/>
      <c r="AN918" s="77"/>
      <c r="AO918" s="77"/>
      <c r="AP918" s="77"/>
      <c r="AQ918" s="77"/>
      <c r="AR918" s="77"/>
    </row>
    <row r="919" spans="1:44" ht="15.75" customHeight="1">
      <c r="A919" s="77"/>
      <c r="B919" s="77"/>
      <c r="C919" s="77"/>
      <c r="D919" s="77"/>
      <c r="E919" s="77"/>
      <c r="F919" s="77"/>
      <c r="G919" s="77"/>
      <c r="H919" s="77"/>
      <c r="I919" s="77"/>
      <c r="J919" s="77"/>
      <c r="K919" s="77"/>
      <c r="L919" s="77"/>
      <c r="M919" s="77"/>
      <c r="N919" s="77"/>
      <c r="O919" s="77"/>
      <c r="P919" s="77"/>
      <c r="Q919" s="77"/>
      <c r="R919" s="77"/>
      <c r="S919" s="77"/>
      <c r="T919" s="77"/>
      <c r="U919" s="77"/>
      <c r="V919" s="77"/>
      <c r="W919" s="77"/>
      <c r="X919" s="77"/>
      <c r="Y919" s="77"/>
      <c r="Z919" s="77"/>
      <c r="AA919" s="77"/>
      <c r="AB919" s="77"/>
      <c r="AC919" s="77"/>
      <c r="AD919" s="77"/>
      <c r="AE919" s="77"/>
      <c r="AF919" s="77"/>
      <c r="AG919" s="77"/>
      <c r="AH919" s="77"/>
      <c r="AI919" s="77"/>
      <c r="AJ919" s="77"/>
      <c r="AK919" s="77"/>
      <c r="AL919" s="77"/>
      <c r="AM919" s="77"/>
      <c r="AN919" s="77"/>
      <c r="AO919" s="77"/>
      <c r="AP919" s="77"/>
      <c r="AQ919" s="77"/>
      <c r="AR919" s="77"/>
    </row>
    <row r="920" spans="1:44" ht="15.75" customHeight="1">
      <c r="A920" s="77"/>
      <c r="B920" s="77"/>
      <c r="C920" s="77"/>
      <c r="D920" s="77"/>
      <c r="E920" s="77"/>
      <c r="F920" s="77"/>
      <c r="G920" s="77"/>
      <c r="H920" s="77"/>
      <c r="I920" s="77"/>
      <c r="J920" s="77"/>
      <c r="K920" s="77"/>
      <c r="L920" s="77"/>
      <c r="M920" s="77"/>
      <c r="N920" s="77"/>
      <c r="O920" s="77"/>
      <c r="P920" s="77"/>
      <c r="Q920" s="77"/>
      <c r="R920" s="77"/>
      <c r="S920" s="77"/>
      <c r="T920" s="77"/>
      <c r="U920" s="77"/>
      <c r="V920" s="77"/>
      <c r="W920" s="77"/>
      <c r="X920" s="77"/>
      <c r="Y920" s="77"/>
      <c r="Z920" s="77"/>
      <c r="AA920" s="77"/>
      <c r="AB920" s="77"/>
      <c r="AC920" s="77"/>
      <c r="AD920" s="77"/>
      <c r="AE920" s="77"/>
      <c r="AF920" s="77"/>
      <c r="AG920" s="77"/>
      <c r="AH920" s="77"/>
      <c r="AI920" s="77"/>
      <c r="AJ920" s="77"/>
      <c r="AK920" s="77"/>
      <c r="AL920" s="77"/>
      <c r="AM920" s="77"/>
      <c r="AN920" s="77"/>
      <c r="AO920" s="77"/>
      <c r="AP920" s="77"/>
      <c r="AQ920" s="77"/>
      <c r="AR920" s="77"/>
    </row>
    <row r="921" spans="1:44" ht="15.75" customHeight="1">
      <c r="A921" s="77"/>
      <c r="B921" s="77"/>
      <c r="C921" s="77"/>
      <c r="D921" s="77"/>
      <c r="E921" s="77"/>
      <c r="F921" s="77"/>
      <c r="G921" s="77"/>
      <c r="H921" s="77"/>
      <c r="I921" s="77"/>
      <c r="J921" s="77"/>
      <c r="K921" s="77"/>
      <c r="L921" s="77"/>
      <c r="M921" s="77"/>
      <c r="N921" s="77"/>
      <c r="O921" s="77"/>
      <c r="P921" s="77"/>
      <c r="Q921" s="77"/>
      <c r="R921" s="77"/>
      <c r="S921" s="77"/>
      <c r="T921" s="77"/>
      <c r="U921" s="77"/>
      <c r="V921" s="77"/>
      <c r="W921" s="77"/>
      <c r="X921" s="77"/>
      <c r="Y921" s="77"/>
      <c r="Z921" s="77"/>
      <c r="AA921" s="77"/>
      <c r="AB921" s="77"/>
      <c r="AC921" s="77"/>
      <c r="AD921" s="77"/>
      <c r="AE921" s="77"/>
      <c r="AF921" s="77"/>
      <c r="AG921" s="77"/>
      <c r="AH921" s="77"/>
      <c r="AI921" s="77"/>
      <c r="AJ921" s="77"/>
      <c r="AK921" s="77"/>
      <c r="AL921" s="77"/>
      <c r="AM921" s="77"/>
      <c r="AN921" s="77"/>
      <c r="AO921" s="77"/>
      <c r="AP921" s="77"/>
      <c r="AQ921" s="77"/>
      <c r="AR921" s="77"/>
    </row>
    <row r="922" spans="1:44" ht="15.75" customHeight="1">
      <c r="A922" s="77"/>
      <c r="B922" s="77"/>
      <c r="C922" s="77"/>
      <c r="D922" s="77"/>
      <c r="E922" s="77"/>
      <c r="F922" s="77"/>
      <c r="G922" s="77"/>
      <c r="H922" s="77"/>
      <c r="I922" s="77"/>
      <c r="J922" s="77"/>
      <c r="K922" s="77"/>
      <c r="L922" s="77"/>
      <c r="M922" s="77"/>
      <c r="N922" s="77"/>
      <c r="O922" s="77"/>
      <c r="P922" s="77"/>
      <c r="Q922" s="77"/>
      <c r="R922" s="77"/>
      <c r="S922" s="77"/>
      <c r="T922" s="77"/>
      <c r="U922" s="77"/>
      <c r="V922" s="77"/>
      <c r="W922" s="77"/>
      <c r="X922" s="77"/>
      <c r="Y922" s="77"/>
      <c r="Z922" s="77"/>
      <c r="AA922" s="77"/>
      <c r="AB922" s="77"/>
      <c r="AC922" s="77"/>
      <c r="AD922" s="77"/>
      <c r="AE922" s="77"/>
      <c r="AF922" s="77"/>
      <c r="AG922" s="77"/>
      <c r="AH922" s="77"/>
      <c r="AI922" s="77"/>
      <c r="AJ922" s="77"/>
      <c r="AK922" s="77"/>
      <c r="AL922" s="77"/>
      <c r="AM922" s="77"/>
      <c r="AN922" s="77"/>
      <c r="AO922" s="77"/>
      <c r="AP922" s="77"/>
      <c r="AQ922" s="77"/>
      <c r="AR922" s="77"/>
    </row>
    <row r="923" spans="1:44" ht="15.75" customHeight="1">
      <c r="A923" s="77"/>
      <c r="B923" s="77"/>
      <c r="C923" s="77"/>
      <c r="D923" s="77"/>
      <c r="E923" s="77"/>
      <c r="F923" s="77"/>
      <c r="G923" s="77"/>
      <c r="H923" s="77"/>
      <c r="I923" s="77"/>
      <c r="J923" s="77"/>
      <c r="K923" s="77"/>
      <c r="L923" s="77"/>
      <c r="M923" s="77"/>
      <c r="N923" s="77"/>
      <c r="O923" s="77"/>
      <c r="P923" s="77"/>
      <c r="Q923" s="77"/>
      <c r="R923" s="77"/>
      <c r="S923" s="77"/>
      <c r="T923" s="77"/>
      <c r="U923" s="77"/>
      <c r="V923" s="77"/>
      <c r="W923" s="77"/>
      <c r="X923" s="77"/>
      <c r="Y923" s="77"/>
      <c r="Z923" s="77"/>
      <c r="AA923" s="77"/>
      <c r="AB923" s="77"/>
      <c r="AC923" s="77"/>
      <c r="AD923" s="77"/>
      <c r="AE923" s="77"/>
      <c r="AF923" s="77"/>
      <c r="AG923" s="77"/>
      <c r="AH923" s="77"/>
      <c r="AI923" s="77"/>
      <c r="AJ923" s="77"/>
      <c r="AK923" s="77"/>
      <c r="AL923" s="77"/>
      <c r="AM923" s="77"/>
      <c r="AN923" s="77"/>
      <c r="AO923" s="77"/>
      <c r="AP923" s="77"/>
      <c r="AQ923" s="77"/>
      <c r="AR923" s="77"/>
    </row>
    <row r="924" spans="1:44" ht="15.75" customHeight="1">
      <c r="A924" s="77"/>
      <c r="B924" s="77"/>
      <c r="C924" s="77"/>
      <c r="D924" s="77"/>
      <c r="E924" s="77"/>
      <c r="F924" s="77"/>
      <c r="G924" s="77"/>
      <c r="H924" s="77"/>
      <c r="I924" s="77"/>
      <c r="J924" s="77"/>
      <c r="K924" s="77"/>
      <c r="L924" s="77"/>
      <c r="M924" s="77"/>
      <c r="N924" s="77"/>
      <c r="O924" s="77"/>
      <c r="P924" s="77"/>
      <c r="Q924" s="77"/>
      <c r="R924" s="77"/>
      <c r="S924" s="77"/>
      <c r="T924" s="77"/>
      <c r="U924" s="77"/>
      <c r="V924" s="77"/>
      <c r="W924" s="77"/>
      <c r="X924" s="77"/>
      <c r="Y924" s="77"/>
      <c r="Z924" s="77"/>
      <c r="AA924" s="77"/>
      <c r="AB924" s="77"/>
      <c r="AC924" s="77"/>
      <c r="AD924" s="77"/>
      <c r="AE924" s="77"/>
      <c r="AF924" s="77"/>
      <c r="AG924" s="77"/>
      <c r="AH924" s="77"/>
      <c r="AI924" s="77"/>
      <c r="AJ924" s="77"/>
      <c r="AK924" s="77"/>
      <c r="AL924" s="77"/>
      <c r="AM924" s="77"/>
      <c r="AN924" s="77"/>
      <c r="AO924" s="77"/>
      <c r="AP924" s="77"/>
      <c r="AQ924" s="77"/>
      <c r="AR924" s="77"/>
    </row>
    <row r="925" spans="1:44" ht="15.75" customHeight="1">
      <c r="A925" s="77"/>
      <c r="B925" s="77"/>
      <c r="C925" s="77"/>
      <c r="D925" s="77"/>
      <c r="E925" s="77"/>
      <c r="F925" s="77"/>
      <c r="G925" s="77"/>
      <c r="H925" s="77"/>
      <c r="I925" s="77"/>
      <c r="J925" s="77"/>
      <c r="K925" s="77"/>
      <c r="L925" s="77"/>
      <c r="M925" s="77"/>
      <c r="N925" s="77"/>
      <c r="O925" s="77"/>
      <c r="P925" s="77"/>
      <c r="Q925" s="77"/>
      <c r="R925" s="77"/>
      <c r="S925" s="77"/>
      <c r="T925" s="77"/>
      <c r="U925" s="77"/>
      <c r="V925" s="77"/>
      <c r="W925" s="77"/>
      <c r="X925" s="77"/>
      <c r="Y925" s="77"/>
      <c r="Z925" s="77"/>
      <c r="AA925" s="77"/>
      <c r="AB925" s="77"/>
      <c r="AC925" s="77"/>
      <c r="AD925" s="77"/>
      <c r="AE925" s="77"/>
      <c r="AF925" s="77"/>
      <c r="AG925" s="77"/>
      <c r="AH925" s="77"/>
      <c r="AI925" s="77"/>
      <c r="AJ925" s="77"/>
      <c r="AK925" s="77"/>
      <c r="AL925" s="77"/>
      <c r="AM925" s="77"/>
      <c r="AN925" s="77"/>
      <c r="AO925" s="77"/>
      <c r="AP925" s="77"/>
      <c r="AQ925" s="77"/>
      <c r="AR925" s="77"/>
    </row>
    <row r="926" spans="1:44" ht="15.75" customHeight="1">
      <c r="A926" s="77"/>
      <c r="B926" s="77"/>
      <c r="C926" s="77"/>
      <c r="D926" s="77"/>
      <c r="E926" s="77"/>
      <c r="F926" s="77"/>
      <c r="G926" s="77"/>
      <c r="H926" s="77"/>
      <c r="I926" s="77"/>
      <c r="J926" s="77"/>
      <c r="K926" s="77"/>
      <c r="L926" s="77"/>
      <c r="M926" s="77"/>
      <c r="N926" s="77"/>
      <c r="O926" s="77"/>
      <c r="P926" s="77"/>
      <c r="Q926" s="77"/>
      <c r="R926" s="77"/>
      <c r="S926" s="77"/>
      <c r="T926" s="77"/>
      <c r="U926" s="77"/>
      <c r="V926" s="77"/>
      <c r="W926" s="77"/>
      <c r="X926" s="77"/>
      <c r="Y926" s="77"/>
      <c r="Z926" s="77"/>
      <c r="AA926" s="77"/>
      <c r="AB926" s="77"/>
      <c r="AC926" s="77"/>
      <c r="AD926" s="77"/>
      <c r="AE926" s="77"/>
      <c r="AF926" s="77"/>
      <c r="AG926" s="77"/>
      <c r="AH926" s="77"/>
      <c r="AI926" s="77"/>
      <c r="AJ926" s="77"/>
      <c r="AK926" s="77"/>
      <c r="AL926" s="77"/>
      <c r="AM926" s="77"/>
      <c r="AN926" s="77"/>
      <c r="AO926" s="77"/>
      <c r="AP926" s="77"/>
      <c r="AQ926" s="77"/>
      <c r="AR926" s="77"/>
    </row>
    <row r="927" spans="1:44" ht="15.75" customHeight="1">
      <c r="A927" s="77"/>
      <c r="B927" s="77"/>
      <c r="C927" s="77"/>
      <c r="D927" s="77"/>
      <c r="E927" s="77"/>
      <c r="F927" s="77"/>
      <c r="G927" s="77"/>
      <c r="H927" s="77"/>
      <c r="I927" s="77"/>
      <c r="J927" s="77"/>
      <c r="K927" s="77"/>
      <c r="L927" s="77"/>
      <c r="M927" s="77"/>
      <c r="N927" s="77"/>
      <c r="O927" s="77"/>
      <c r="P927" s="77"/>
      <c r="Q927" s="77"/>
      <c r="R927" s="77"/>
      <c r="S927" s="77"/>
      <c r="T927" s="77"/>
      <c r="U927" s="77"/>
      <c r="V927" s="77"/>
      <c r="W927" s="77"/>
      <c r="X927" s="77"/>
      <c r="Y927" s="77"/>
      <c r="Z927" s="77"/>
      <c r="AA927" s="77"/>
      <c r="AB927" s="77"/>
      <c r="AC927" s="77"/>
      <c r="AD927" s="77"/>
      <c r="AE927" s="77"/>
      <c r="AF927" s="77"/>
      <c r="AG927" s="77"/>
      <c r="AH927" s="77"/>
      <c r="AI927" s="77"/>
      <c r="AJ927" s="77"/>
      <c r="AK927" s="77"/>
      <c r="AL927" s="77"/>
      <c r="AM927" s="77"/>
      <c r="AN927" s="77"/>
      <c r="AO927" s="77"/>
      <c r="AP927" s="77"/>
      <c r="AQ927" s="77"/>
      <c r="AR927" s="77"/>
    </row>
    <row r="928" spans="1:44" ht="15.75" customHeight="1">
      <c r="A928" s="77"/>
      <c r="B928" s="77"/>
      <c r="C928" s="77"/>
      <c r="D928" s="77"/>
      <c r="E928" s="77"/>
      <c r="F928" s="77"/>
      <c r="G928" s="77"/>
      <c r="H928" s="77"/>
      <c r="I928" s="77"/>
      <c r="J928" s="77"/>
      <c r="K928" s="77"/>
      <c r="L928" s="77"/>
      <c r="M928" s="77"/>
      <c r="N928" s="77"/>
      <c r="O928" s="77"/>
      <c r="P928" s="77"/>
      <c r="Q928" s="77"/>
      <c r="R928" s="77"/>
      <c r="S928" s="77"/>
      <c r="T928" s="77"/>
      <c r="U928" s="77"/>
      <c r="V928" s="77"/>
      <c r="W928" s="77"/>
      <c r="X928" s="77"/>
      <c r="Y928" s="77"/>
      <c r="Z928" s="77"/>
      <c r="AA928" s="77"/>
      <c r="AB928" s="77"/>
      <c r="AC928" s="77"/>
      <c r="AD928" s="77"/>
      <c r="AE928" s="77"/>
      <c r="AF928" s="77"/>
      <c r="AG928" s="77"/>
      <c r="AH928" s="77"/>
      <c r="AI928" s="77"/>
      <c r="AJ928" s="77"/>
      <c r="AK928" s="77"/>
      <c r="AL928" s="77"/>
      <c r="AM928" s="77"/>
      <c r="AN928" s="77"/>
      <c r="AO928" s="77"/>
      <c r="AP928" s="77"/>
      <c r="AQ928" s="77"/>
      <c r="AR928" s="77"/>
    </row>
    <row r="929" spans="1:44" ht="15.75" customHeight="1">
      <c r="A929" s="77"/>
      <c r="B929" s="77"/>
      <c r="C929" s="77"/>
      <c r="D929" s="77"/>
      <c r="E929" s="77"/>
      <c r="F929" s="77"/>
      <c r="G929" s="77"/>
      <c r="H929" s="77"/>
      <c r="I929" s="77"/>
      <c r="J929" s="77"/>
      <c r="K929" s="77"/>
      <c r="L929" s="77"/>
      <c r="M929" s="77"/>
      <c r="N929" s="77"/>
      <c r="O929" s="77"/>
      <c r="P929" s="77"/>
      <c r="Q929" s="77"/>
      <c r="R929" s="77"/>
      <c r="S929" s="77"/>
      <c r="T929" s="77"/>
      <c r="U929" s="77"/>
      <c r="V929" s="77"/>
      <c r="W929" s="77"/>
      <c r="X929" s="77"/>
      <c r="Y929" s="77"/>
      <c r="Z929" s="77"/>
      <c r="AA929" s="77"/>
      <c r="AB929" s="77"/>
      <c r="AC929" s="77"/>
      <c r="AD929" s="77"/>
      <c r="AE929" s="77"/>
      <c r="AF929" s="77"/>
      <c r="AG929" s="77"/>
      <c r="AH929" s="77"/>
      <c r="AI929" s="77"/>
      <c r="AJ929" s="77"/>
      <c r="AK929" s="77"/>
      <c r="AL929" s="77"/>
      <c r="AM929" s="77"/>
      <c r="AN929" s="77"/>
      <c r="AO929" s="77"/>
      <c r="AP929" s="77"/>
      <c r="AQ929" s="77"/>
      <c r="AR929" s="77"/>
    </row>
    <row r="930" spans="1:44" ht="15.75" customHeight="1">
      <c r="A930" s="77"/>
      <c r="B930" s="77"/>
      <c r="C930" s="77"/>
      <c r="D930" s="77"/>
      <c r="E930" s="77"/>
      <c r="F930" s="77"/>
      <c r="G930" s="77"/>
      <c r="H930" s="77"/>
      <c r="I930" s="77"/>
      <c r="J930" s="77"/>
      <c r="K930" s="77"/>
      <c r="L930" s="77"/>
      <c r="M930" s="77"/>
      <c r="N930" s="77"/>
      <c r="O930" s="77"/>
      <c r="P930" s="77"/>
      <c r="Q930" s="77"/>
      <c r="R930" s="77"/>
      <c r="S930" s="77"/>
      <c r="T930" s="77"/>
      <c r="U930" s="77"/>
      <c r="V930" s="77"/>
      <c r="W930" s="77"/>
      <c r="X930" s="77"/>
      <c r="Y930" s="77"/>
      <c r="Z930" s="77"/>
      <c r="AA930" s="77"/>
      <c r="AB930" s="77"/>
      <c r="AC930" s="77"/>
      <c r="AD930" s="77"/>
      <c r="AE930" s="77"/>
      <c r="AF930" s="77"/>
      <c r="AG930" s="77"/>
      <c r="AH930" s="77"/>
      <c r="AI930" s="77"/>
      <c r="AJ930" s="77"/>
      <c r="AK930" s="77"/>
      <c r="AL930" s="77"/>
      <c r="AM930" s="77"/>
      <c r="AN930" s="77"/>
      <c r="AO930" s="77"/>
      <c r="AP930" s="77"/>
      <c r="AQ930" s="77"/>
      <c r="AR930" s="77"/>
    </row>
    <row r="931" spans="1:44" ht="15.75" customHeight="1">
      <c r="A931" s="77"/>
      <c r="B931" s="77"/>
      <c r="C931" s="77"/>
      <c r="D931" s="77"/>
      <c r="E931" s="77"/>
      <c r="F931" s="77"/>
      <c r="G931" s="77"/>
      <c r="H931" s="77"/>
      <c r="I931" s="77"/>
      <c r="J931" s="77"/>
      <c r="K931" s="77"/>
      <c r="L931" s="77"/>
      <c r="M931" s="77"/>
      <c r="N931" s="77"/>
      <c r="O931" s="77"/>
      <c r="P931" s="77"/>
      <c r="Q931" s="77"/>
      <c r="R931" s="77"/>
      <c r="S931" s="77"/>
      <c r="T931" s="77"/>
      <c r="U931" s="77"/>
      <c r="V931" s="77"/>
      <c r="W931" s="77"/>
      <c r="X931" s="77"/>
      <c r="Y931" s="77"/>
      <c r="Z931" s="77"/>
      <c r="AA931" s="77"/>
      <c r="AB931" s="77"/>
      <c r="AC931" s="77"/>
      <c r="AD931" s="77"/>
      <c r="AE931" s="77"/>
      <c r="AF931" s="77"/>
      <c r="AG931" s="77"/>
      <c r="AH931" s="77"/>
      <c r="AI931" s="77"/>
      <c r="AJ931" s="77"/>
      <c r="AK931" s="77"/>
      <c r="AL931" s="77"/>
      <c r="AM931" s="77"/>
      <c r="AN931" s="77"/>
      <c r="AO931" s="77"/>
      <c r="AP931" s="77"/>
      <c r="AQ931" s="77"/>
      <c r="AR931" s="77"/>
    </row>
    <row r="932" spans="1:44" ht="15.75" customHeight="1">
      <c r="A932" s="77"/>
      <c r="B932" s="77"/>
      <c r="C932" s="77"/>
      <c r="D932" s="77"/>
      <c r="E932" s="77"/>
      <c r="F932" s="77"/>
      <c r="G932" s="77"/>
      <c r="H932" s="77"/>
      <c r="I932" s="77"/>
      <c r="J932" s="77"/>
      <c r="K932" s="77"/>
      <c r="L932" s="77"/>
      <c r="M932" s="77"/>
      <c r="N932" s="77"/>
      <c r="O932" s="77"/>
      <c r="P932" s="77"/>
      <c r="Q932" s="77"/>
      <c r="R932" s="77"/>
      <c r="S932" s="77"/>
      <c r="T932" s="77"/>
      <c r="U932" s="77"/>
      <c r="V932" s="77"/>
      <c r="W932" s="77"/>
      <c r="X932" s="77"/>
      <c r="Y932" s="77"/>
      <c r="Z932" s="77"/>
      <c r="AA932" s="77"/>
      <c r="AB932" s="77"/>
      <c r="AC932" s="77"/>
      <c r="AD932" s="77"/>
      <c r="AE932" s="77"/>
      <c r="AF932" s="77"/>
      <c r="AG932" s="77"/>
      <c r="AH932" s="77"/>
      <c r="AI932" s="77"/>
      <c r="AJ932" s="77"/>
      <c r="AK932" s="77"/>
      <c r="AL932" s="77"/>
      <c r="AM932" s="77"/>
      <c r="AN932" s="77"/>
      <c r="AO932" s="77"/>
      <c r="AP932" s="77"/>
      <c r="AQ932" s="77"/>
      <c r="AR932" s="77"/>
    </row>
    <row r="933" spans="1:44" ht="15.75" customHeight="1">
      <c r="A933" s="77"/>
      <c r="B933" s="77"/>
      <c r="C933" s="77"/>
      <c r="D933" s="77"/>
      <c r="E933" s="77"/>
      <c r="F933" s="77"/>
      <c r="G933" s="77"/>
      <c r="H933" s="77"/>
      <c r="I933" s="77"/>
      <c r="J933" s="77"/>
      <c r="K933" s="77"/>
      <c r="L933" s="77"/>
      <c r="M933" s="77"/>
      <c r="N933" s="77"/>
      <c r="O933" s="77"/>
      <c r="P933" s="77"/>
      <c r="Q933" s="77"/>
      <c r="R933" s="77"/>
      <c r="S933" s="77"/>
      <c r="T933" s="77"/>
      <c r="U933" s="77"/>
      <c r="V933" s="77"/>
      <c r="W933" s="77"/>
      <c r="X933" s="77"/>
      <c r="Y933" s="77"/>
      <c r="Z933" s="77"/>
      <c r="AA933" s="77"/>
      <c r="AB933" s="77"/>
      <c r="AC933" s="77"/>
      <c r="AD933" s="77"/>
      <c r="AE933" s="77"/>
      <c r="AF933" s="77"/>
      <c r="AG933" s="77"/>
      <c r="AH933" s="77"/>
      <c r="AI933" s="77"/>
      <c r="AJ933" s="77"/>
      <c r="AK933" s="77"/>
      <c r="AL933" s="77"/>
      <c r="AM933" s="77"/>
      <c r="AN933" s="77"/>
      <c r="AO933" s="77"/>
      <c r="AP933" s="77"/>
      <c r="AQ933" s="77"/>
      <c r="AR933" s="77"/>
    </row>
    <row r="934" spans="1:44" ht="15.75" customHeight="1">
      <c r="A934" s="77"/>
      <c r="B934" s="77"/>
      <c r="C934" s="77"/>
      <c r="D934" s="77"/>
      <c r="E934" s="77"/>
      <c r="F934" s="77"/>
      <c r="G934" s="77"/>
      <c r="H934" s="77"/>
      <c r="I934" s="77"/>
      <c r="J934" s="77"/>
      <c r="K934" s="77"/>
      <c r="L934" s="77"/>
      <c r="M934" s="77"/>
      <c r="N934" s="77"/>
      <c r="O934" s="77"/>
      <c r="P934" s="77"/>
      <c r="Q934" s="77"/>
      <c r="R934" s="77"/>
      <c r="S934" s="77"/>
      <c r="T934" s="77"/>
      <c r="U934" s="77"/>
      <c r="V934" s="77"/>
      <c r="W934" s="77"/>
      <c r="X934" s="77"/>
      <c r="Y934" s="77"/>
      <c r="Z934" s="77"/>
      <c r="AA934" s="77"/>
      <c r="AB934" s="77"/>
      <c r="AC934" s="77"/>
      <c r="AD934" s="77"/>
      <c r="AE934" s="77"/>
      <c r="AF934" s="77"/>
      <c r="AG934" s="77"/>
      <c r="AH934" s="77"/>
      <c r="AI934" s="77"/>
      <c r="AJ934" s="77"/>
      <c r="AK934" s="77"/>
      <c r="AL934" s="77"/>
      <c r="AM934" s="77"/>
      <c r="AN934" s="77"/>
      <c r="AO934" s="77"/>
      <c r="AP934" s="77"/>
      <c r="AQ934" s="77"/>
      <c r="AR934" s="77"/>
    </row>
    <row r="935" spans="1:44" ht="15.75" customHeight="1">
      <c r="A935" s="77"/>
      <c r="B935" s="77"/>
      <c r="C935" s="77"/>
      <c r="D935" s="77"/>
      <c r="E935" s="77"/>
      <c r="F935" s="77"/>
      <c r="G935" s="77"/>
      <c r="H935" s="77"/>
      <c r="I935" s="77"/>
      <c r="J935" s="77"/>
      <c r="K935" s="77"/>
      <c r="L935" s="77"/>
      <c r="M935" s="77"/>
      <c r="N935" s="77"/>
      <c r="O935" s="77"/>
      <c r="P935" s="77"/>
      <c r="Q935" s="77"/>
      <c r="R935" s="77"/>
      <c r="S935" s="77"/>
      <c r="T935" s="77"/>
      <c r="U935" s="77"/>
      <c r="V935" s="77"/>
      <c r="W935" s="77"/>
      <c r="X935" s="77"/>
      <c r="Y935" s="77"/>
      <c r="Z935" s="77"/>
      <c r="AA935" s="77"/>
      <c r="AB935" s="77"/>
      <c r="AC935" s="77"/>
      <c r="AD935" s="77"/>
      <c r="AE935" s="77"/>
      <c r="AF935" s="77"/>
      <c r="AG935" s="77"/>
      <c r="AH935" s="77"/>
      <c r="AI935" s="77"/>
      <c r="AJ935" s="77"/>
      <c r="AK935" s="77"/>
      <c r="AL935" s="77"/>
      <c r="AM935" s="77"/>
      <c r="AN935" s="77"/>
      <c r="AO935" s="77"/>
      <c r="AP935" s="77"/>
      <c r="AQ935" s="77"/>
      <c r="AR935" s="77"/>
    </row>
    <row r="936" spans="1:44" ht="15.75" customHeight="1">
      <c r="A936" s="77"/>
      <c r="B936" s="77"/>
      <c r="C936" s="77"/>
      <c r="D936" s="77"/>
      <c r="E936" s="77"/>
      <c r="F936" s="77"/>
      <c r="G936" s="77"/>
      <c r="H936" s="77"/>
      <c r="I936" s="77"/>
      <c r="J936" s="77"/>
      <c r="K936" s="77"/>
      <c r="L936" s="77"/>
      <c r="M936" s="77"/>
      <c r="N936" s="77"/>
      <c r="O936" s="77"/>
      <c r="P936" s="77"/>
      <c r="Q936" s="77"/>
      <c r="R936" s="77"/>
      <c r="S936" s="77"/>
      <c r="T936" s="77"/>
      <c r="U936" s="77"/>
      <c r="V936" s="77"/>
      <c r="W936" s="77"/>
      <c r="X936" s="77"/>
      <c r="Y936" s="77"/>
      <c r="Z936" s="77"/>
      <c r="AA936" s="77"/>
      <c r="AB936" s="77"/>
      <c r="AC936" s="77"/>
      <c r="AD936" s="77"/>
      <c r="AE936" s="77"/>
      <c r="AF936" s="77"/>
      <c r="AG936" s="77"/>
      <c r="AH936" s="77"/>
      <c r="AI936" s="77"/>
      <c r="AJ936" s="77"/>
      <c r="AK936" s="77"/>
      <c r="AL936" s="77"/>
      <c r="AM936" s="77"/>
      <c r="AN936" s="77"/>
      <c r="AO936" s="77"/>
      <c r="AP936" s="77"/>
      <c r="AQ936" s="77"/>
      <c r="AR936" s="77"/>
    </row>
    <row r="937" spans="1:44" ht="15.75" customHeight="1">
      <c r="A937" s="77"/>
      <c r="B937" s="77"/>
      <c r="C937" s="77"/>
      <c r="D937" s="77"/>
      <c r="E937" s="77"/>
      <c r="F937" s="77"/>
      <c r="G937" s="77"/>
      <c r="H937" s="77"/>
      <c r="I937" s="77"/>
      <c r="J937" s="77"/>
      <c r="K937" s="77"/>
      <c r="L937" s="77"/>
      <c r="M937" s="77"/>
      <c r="N937" s="77"/>
      <c r="O937" s="77"/>
      <c r="P937" s="77"/>
      <c r="Q937" s="77"/>
      <c r="R937" s="77"/>
      <c r="S937" s="77"/>
      <c r="T937" s="77"/>
      <c r="U937" s="77"/>
      <c r="V937" s="77"/>
      <c r="W937" s="77"/>
      <c r="X937" s="77"/>
      <c r="Y937" s="77"/>
      <c r="Z937" s="77"/>
      <c r="AA937" s="77"/>
      <c r="AB937" s="77"/>
      <c r="AC937" s="77"/>
      <c r="AD937" s="77"/>
      <c r="AE937" s="77"/>
      <c r="AF937" s="77"/>
      <c r="AG937" s="77"/>
      <c r="AH937" s="77"/>
      <c r="AI937" s="77"/>
      <c r="AJ937" s="77"/>
      <c r="AK937" s="77"/>
      <c r="AL937" s="77"/>
      <c r="AM937" s="77"/>
      <c r="AN937" s="77"/>
      <c r="AO937" s="77"/>
      <c r="AP937" s="77"/>
      <c r="AQ937" s="77"/>
      <c r="AR937" s="77"/>
    </row>
    <row r="938" spans="1:44" ht="15.75" customHeight="1">
      <c r="A938" s="77"/>
      <c r="B938" s="77"/>
      <c r="C938" s="77"/>
      <c r="D938" s="77"/>
      <c r="E938" s="77"/>
      <c r="F938" s="77"/>
      <c r="G938" s="77"/>
      <c r="H938" s="77"/>
      <c r="I938" s="77"/>
      <c r="J938" s="77"/>
      <c r="K938" s="77"/>
      <c r="L938" s="77"/>
      <c r="M938" s="77"/>
      <c r="N938" s="77"/>
      <c r="O938" s="77"/>
      <c r="P938" s="77"/>
      <c r="Q938" s="77"/>
      <c r="R938" s="77"/>
      <c r="S938" s="77"/>
      <c r="T938" s="77"/>
      <c r="U938" s="77"/>
      <c r="V938" s="77"/>
      <c r="W938" s="77"/>
      <c r="X938" s="77"/>
      <c r="Y938" s="77"/>
      <c r="Z938" s="77"/>
      <c r="AA938" s="77"/>
      <c r="AB938" s="77"/>
      <c r="AC938" s="77"/>
      <c r="AD938" s="77"/>
      <c r="AE938" s="77"/>
      <c r="AF938" s="77"/>
      <c r="AG938" s="77"/>
      <c r="AH938" s="77"/>
      <c r="AI938" s="77"/>
      <c r="AJ938" s="77"/>
      <c r="AK938" s="77"/>
      <c r="AL938" s="77"/>
      <c r="AM938" s="77"/>
      <c r="AN938" s="77"/>
      <c r="AO938" s="77"/>
      <c r="AP938" s="77"/>
      <c r="AQ938" s="77"/>
      <c r="AR938" s="77"/>
    </row>
    <row r="939" spans="1:44" ht="15.75" customHeight="1">
      <c r="A939" s="77"/>
      <c r="B939" s="77"/>
      <c r="C939" s="77"/>
      <c r="D939" s="77"/>
      <c r="E939" s="77"/>
      <c r="F939" s="77"/>
      <c r="G939" s="77"/>
      <c r="H939" s="77"/>
      <c r="I939" s="77"/>
      <c r="J939" s="77"/>
      <c r="K939" s="77"/>
      <c r="L939" s="77"/>
      <c r="M939" s="77"/>
      <c r="N939" s="77"/>
      <c r="O939" s="77"/>
      <c r="P939" s="77"/>
      <c r="Q939" s="77"/>
      <c r="R939" s="77"/>
      <c r="S939" s="77"/>
      <c r="T939" s="77"/>
      <c r="U939" s="77"/>
      <c r="V939" s="77"/>
      <c r="W939" s="77"/>
      <c r="X939" s="77"/>
      <c r="Y939" s="77"/>
      <c r="Z939" s="77"/>
      <c r="AA939" s="77"/>
      <c r="AB939" s="77"/>
      <c r="AC939" s="77"/>
      <c r="AD939" s="77"/>
      <c r="AE939" s="77"/>
      <c r="AF939" s="77"/>
      <c r="AG939" s="77"/>
      <c r="AH939" s="77"/>
      <c r="AI939" s="77"/>
      <c r="AJ939" s="77"/>
      <c r="AK939" s="77"/>
      <c r="AL939" s="77"/>
      <c r="AM939" s="77"/>
      <c r="AN939" s="77"/>
      <c r="AO939" s="77"/>
      <c r="AP939" s="77"/>
      <c r="AQ939" s="77"/>
      <c r="AR939" s="77"/>
    </row>
    <row r="940" spans="1:44" ht="15.75" customHeight="1">
      <c r="A940" s="77"/>
      <c r="B940" s="77"/>
      <c r="C940" s="77"/>
      <c r="D940" s="77"/>
      <c r="E940" s="77"/>
      <c r="F940" s="77"/>
      <c r="G940" s="77"/>
      <c r="H940" s="77"/>
      <c r="I940" s="77"/>
      <c r="J940" s="77"/>
      <c r="K940" s="77"/>
      <c r="L940" s="77"/>
      <c r="M940" s="77"/>
      <c r="N940" s="77"/>
      <c r="O940" s="77"/>
      <c r="P940" s="77"/>
      <c r="Q940" s="77"/>
      <c r="R940" s="77"/>
      <c r="S940" s="77"/>
      <c r="T940" s="77"/>
      <c r="U940" s="77"/>
      <c r="V940" s="77"/>
      <c r="W940" s="77"/>
      <c r="X940" s="77"/>
      <c r="Y940" s="77"/>
      <c r="Z940" s="77"/>
      <c r="AA940" s="77"/>
      <c r="AB940" s="77"/>
      <c r="AC940" s="77"/>
      <c r="AD940" s="77"/>
      <c r="AE940" s="77"/>
      <c r="AF940" s="77"/>
      <c r="AG940" s="77"/>
      <c r="AH940" s="77"/>
      <c r="AI940" s="77"/>
      <c r="AJ940" s="77"/>
      <c r="AK940" s="77"/>
      <c r="AL940" s="77"/>
      <c r="AM940" s="77"/>
      <c r="AN940" s="77"/>
      <c r="AO940" s="77"/>
      <c r="AP940" s="77"/>
      <c r="AQ940" s="77"/>
      <c r="AR940" s="77"/>
    </row>
    <row r="941" spans="1:44" ht="15.75" customHeight="1">
      <c r="A941" s="77"/>
      <c r="B941" s="77"/>
      <c r="C941" s="77"/>
      <c r="D941" s="77"/>
      <c r="E941" s="77"/>
      <c r="F941" s="77"/>
      <c r="G941" s="77"/>
      <c r="H941" s="77"/>
      <c r="I941" s="77"/>
      <c r="J941" s="77"/>
      <c r="K941" s="77"/>
      <c r="L941" s="77"/>
      <c r="M941" s="77"/>
      <c r="N941" s="77"/>
      <c r="O941" s="77"/>
      <c r="P941" s="77"/>
      <c r="Q941" s="77"/>
      <c r="R941" s="77"/>
      <c r="S941" s="77"/>
      <c r="T941" s="77"/>
      <c r="U941" s="77"/>
      <c r="V941" s="77"/>
      <c r="W941" s="77"/>
      <c r="X941" s="77"/>
      <c r="Y941" s="77"/>
      <c r="Z941" s="77"/>
      <c r="AA941" s="77"/>
      <c r="AB941" s="77"/>
      <c r="AC941" s="77"/>
      <c r="AD941" s="77"/>
      <c r="AE941" s="77"/>
      <c r="AF941" s="77"/>
      <c r="AG941" s="77"/>
      <c r="AH941" s="77"/>
      <c r="AI941" s="77"/>
      <c r="AJ941" s="77"/>
      <c r="AK941" s="77"/>
      <c r="AL941" s="77"/>
      <c r="AM941" s="77"/>
      <c r="AN941" s="77"/>
      <c r="AO941" s="77"/>
      <c r="AP941" s="77"/>
      <c r="AQ941" s="77"/>
      <c r="AR941" s="77"/>
    </row>
    <row r="942" spans="1:44" ht="15.75" customHeight="1">
      <c r="A942" s="77"/>
      <c r="B942" s="77"/>
      <c r="C942" s="77"/>
      <c r="D942" s="77"/>
      <c r="E942" s="77"/>
      <c r="F942" s="77"/>
      <c r="G942" s="77"/>
      <c r="H942" s="77"/>
      <c r="I942" s="77"/>
      <c r="J942" s="77"/>
      <c r="K942" s="77"/>
      <c r="L942" s="77"/>
      <c r="M942" s="77"/>
      <c r="N942" s="77"/>
      <c r="O942" s="77"/>
      <c r="P942" s="77"/>
      <c r="Q942" s="77"/>
      <c r="R942" s="77"/>
      <c r="S942" s="77"/>
      <c r="T942" s="77"/>
      <c r="U942" s="77"/>
      <c r="V942" s="77"/>
      <c r="W942" s="77"/>
      <c r="X942" s="77"/>
      <c r="Y942" s="77"/>
      <c r="Z942" s="77"/>
      <c r="AA942" s="77"/>
      <c r="AB942" s="77"/>
      <c r="AC942" s="77"/>
      <c r="AD942" s="77"/>
      <c r="AE942" s="77"/>
      <c r="AF942" s="77"/>
      <c r="AG942" s="77"/>
      <c r="AH942" s="77"/>
      <c r="AI942" s="77"/>
      <c r="AJ942" s="77"/>
      <c r="AK942" s="77"/>
      <c r="AL942" s="77"/>
      <c r="AM942" s="77"/>
      <c r="AN942" s="77"/>
      <c r="AO942" s="77"/>
      <c r="AP942" s="77"/>
      <c r="AQ942" s="77"/>
      <c r="AR942" s="77"/>
    </row>
    <row r="943" spans="1:44" ht="15.75" customHeight="1">
      <c r="A943" s="77"/>
      <c r="B943" s="77"/>
      <c r="C943" s="77"/>
      <c r="D943" s="77"/>
      <c r="E943" s="77"/>
      <c r="F943" s="77"/>
      <c r="G943" s="77"/>
      <c r="H943" s="77"/>
      <c r="I943" s="77"/>
      <c r="J943" s="77"/>
      <c r="K943" s="77"/>
      <c r="L943" s="77"/>
      <c r="M943" s="77"/>
      <c r="N943" s="77"/>
      <c r="O943" s="77"/>
      <c r="P943" s="77"/>
      <c r="Q943" s="77"/>
      <c r="R943" s="77"/>
      <c r="S943" s="77"/>
      <c r="T943" s="77"/>
      <c r="U943" s="77"/>
      <c r="V943" s="77"/>
      <c r="W943" s="77"/>
      <c r="X943" s="77"/>
      <c r="Y943" s="77"/>
      <c r="Z943" s="77"/>
      <c r="AA943" s="77"/>
      <c r="AB943" s="77"/>
      <c r="AC943" s="77"/>
      <c r="AD943" s="77"/>
      <c r="AE943" s="77"/>
      <c r="AF943" s="77"/>
      <c r="AG943" s="77"/>
      <c r="AH943" s="77"/>
      <c r="AI943" s="77"/>
      <c r="AJ943" s="77"/>
      <c r="AK943" s="77"/>
      <c r="AL943" s="77"/>
      <c r="AM943" s="77"/>
      <c r="AN943" s="77"/>
      <c r="AO943" s="77"/>
      <c r="AP943" s="77"/>
      <c r="AQ943" s="77"/>
      <c r="AR943" s="77"/>
    </row>
    <row r="944" spans="1:44" ht="15.75" customHeight="1">
      <c r="A944" s="77"/>
      <c r="B944" s="77"/>
      <c r="C944" s="77"/>
      <c r="D944" s="77"/>
      <c r="E944" s="77"/>
      <c r="F944" s="77"/>
      <c r="G944" s="77"/>
      <c r="H944" s="77"/>
      <c r="I944" s="77"/>
      <c r="J944" s="77"/>
      <c r="K944" s="77"/>
      <c r="L944" s="77"/>
      <c r="M944" s="77"/>
      <c r="N944" s="77"/>
      <c r="O944" s="77"/>
      <c r="P944" s="77"/>
      <c r="Q944" s="77"/>
      <c r="R944" s="77"/>
      <c r="S944" s="77"/>
      <c r="T944" s="77"/>
      <c r="U944" s="77"/>
      <c r="V944" s="77"/>
      <c r="W944" s="77"/>
      <c r="X944" s="77"/>
      <c r="Y944" s="77"/>
      <c r="Z944" s="77"/>
      <c r="AA944" s="77"/>
      <c r="AB944" s="77"/>
      <c r="AC944" s="77"/>
      <c r="AD944" s="77"/>
      <c r="AE944" s="77"/>
      <c r="AF944" s="77"/>
      <c r="AG944" s="77"/>
      <c r="AH944" s="77"/>
      <c r="AI944" s="77"/>
      <c r="AJ944" s="77"/>
      <c r="AK944" s="77"/>
      <c r="AL944" s="77"/>
      <c r="AM944" s="77"/>
      <c r="AN944" s="77"/>
      <c r="AO944" s="77"/>
      <c r="AP944" s="77"/>
      <c r="AQ944" s="77"/>
      <c r="AR944" s="77"/>
    </row>
    <row r="945" spans="1:44" ht="15.75" customHeight="1">
      <c r="A945" s="77"/>
      <c r="B945" s="77"/>
      <c r="C945" s="77"/>
      <c r="D945" s="77"/>
      <c r="E945" s="77"/>
      <c r="F945" s="77"/>
      <c r="G945" s="77"/>
      <c r="H945" s="77"/>
      <c r="I945" s="77"/>
      <c r="J945" s="77"/>
      <c r="K945" s="77"/>
      <c r="L945" s="77"/>
      <c r="M945" s="77"/>
      <c r="N945" s="77"/>
      <c r="O945" s="77"/>
      <c r="P945" s="77"/>
      <c r="Q945" s="77"/>
      <c r="R945" s="77"/>
      <c r="S945" s="77"/>
      <c r="T945" s="77"/>
      <c r="U945" s="77"/>
      <c r="V945" s="77"/>
      <c r="W945" s="77"/>
      <c r="X945" s="77"/>
      <c r="Y945" s="77"/>
      <c r="Z945" s="77"/>
      <c r="AA945" s="77"/>
      <c r="AB945" s="77"/>
      <c r="AC945" s="77"/>
      <c r="AD945" s="77"/>
      <c r="AE945" s="77"/>
      <c r="AF945" s="77"/>
      <c r="AG945" s="77"/>
      <c r="AH945" s="77"/>
      <c r="AI945" s="77"/>
      <c r="AJ945" s="77"/>
      <c r="AK945" s="77"/>
      <c r="AL945" s="77"/>
      <c r="AM945" s="77"/>
      <c r="AN945" s="77"/>
      <c r="AO945" s="77"/>
      <c r="AP945" s="77"/>
      <c r="AQ945" s="77"/>
      <c r="AR945" s="77"/>
    </row>
    <row r="946" spans="1:44" ht="15.75" customHeight="1">
      <c r="A946" s="77"/>
      <c r="B946" s="77"/>
      <c r="C946" s="77"/>
      <c r="D946" s="77"/>
      <c r="E946" s="77"/>
      <c r="F946" s="77"/>
      <c r="G946" s="77"/>
      <c r="H946" s="77"/>
      <c r="I946" s="77"/>
      <c r="J946" s="77"/>
      <c r="K946" s="77"/>
      <c r="L946" s="77"/>
      <c r="M946" s="77"/>
      <c r="N946" s="77"/>
      <c r="O946" s="77"/>
      <c r="P946" s="77"/>
      <c r="Q946" s="77"/>
      <c r="R946" s="77"/>
      <c r="S946" s="77"/>
      <c r="T946" s="77"/>
      <c r="U946" s="77"/>
      <c r="V946" s="77"/>
      <c r="W946" s="77"/>
      <c r="X946" s="77"/>
      <c r="Y946" s="77"/>
      <c r="Z946" s="77"/>
      <c r="AA946" s="77"/>
      <c r="AB946" s="77"/>
      <c r="AC946" s="77"/>
      <c r="AD946" s="77"/>
      <c r="AE946" s="77"/>
      <c r="AF946" s="77"/>
      <c r="AG946" s="77"/>
      <c r="AH946" s="77"/>
      <c r="AI946" s="77"/>
      <c r="AJ946" s="77"/>
      <c r="AK946" s="77"/>
      <c r="AL946" s="77"/>
      <c r="AM946" s="77"/>
      <c r="AN946" s="77"/>
      <c r="AO946" s="77"/>
      <c r="AP946" s="77"/>
      <c r="AQ946" s="77"/>
      <c r="AR946" s="77"/>
    </row>
    <row r="947" spans="1:44" ht="15.75" customHeight="1">
      <c r="A947" s="77"/>
      <c r="B947" s="77"/>
      <c r="C947" s="77"/>
      <c r="D947" s="77"/>
      <c r="E947" s="77"/>
      <c r="F947" s="77"/>
      <c r="G947" s="77"/>
      <c r="H947" s="77"/>
      <c r="I947" s="77"/>
      <c r="J947" s="77"/>
      <c r="K947" s="77"/>
      <c r="L947" s="77"/>
      <c r="M947" s="77"/>
      <c r="N947" s="77"/>
      <c r="O947" s="77"/>
      <c r="P947" s="77"/>
      <c r="Q947" s="77"/>
      <c r="R947" s="77"/>
      <c r="S947" s="77"/>
      <c r="T947" s="77"/>
      <c r="U947" s="77"/>
      <c r="V947" s="77"/>
      <c r="W947" s="77"/>
      <c r="X947" s="77"/>
      <c r="Y947" s="77"/>
      <c r="Z947" s="77"/>
      <c r="AA947" s="77"/>
      <c r="AB947" s="77"/>
      <c r="AC947" s="77"/>
      <c r="AD947" s="77"/>
      <c r="AE947" s="77"/>
      <c r="AF947" s="77"/>
      <c r="AG947" s="77"/>
      <c r="AH947" s="77"/>
      <c r="AI947" s="77"/>
      <c r="AJ947" s="77"/>
      <c r="AK947" s="77"/>
      <c r="AL947" s="77"/>
      <c r="AM947" s="77"/>
      <c r="AN947" s="77"/>
      <c r="AO947" s="77"/>
      <c r="AP947" s="77"/>
      <c r="AQ947" s="77"/>
      <c r="AR947" s="77"/>
    </row>
    <row r="948" spans="1:44" ht="15.75" customHeight="1">
      <c r="A948" s="77"/>
      <c r="B948" s="77"/>
      <c r="C948" s="77"/>
      <c r="D948" s="77"/>
      <c r="E948" s="77"/>
      <c r="F948" s="77"/>
      <c r="G948" s="77"/>
      <c r="H948" s="77"/>
      <c r="I948" s="77"/>
      <c r="J948" s="77"/>
      <c r="K948" s="77"/>
      <c r="L948" s="77"/>
      <c r="M948" s="77"/>
      <c r="N948" s="77"/>
      <c r="O948" s="77"/>
      <c r="P948" s="77"/>
      <c r="Q948" s="77"/>
      <c r="R948" s="77"/>
      <c r="S948" s="77"/>
      <c r="T948" s="77"/>
      <c r="U948" s="77"/>
      <c r="V948" s="77"/>
      <c r="W948" s="77"/>
      <c r="X948" s="77"/>
      <c r="Y948" s="77"/>
      <c r="Z948" s="77"/>
      <c r="AA948" s="77"/>
      <c r="AB948" s="77"/>
      <c r="AC948" s="77"/>
      <c r="AD948" s="77"/>
      <c r="AE948" s="77"/>
      <c r="AF948" s="77"/>
      <c r="AG948" s="77"/>
      <c r="AH948" s="77"/>
      <c r="AI948" s="77"/>
      <c r="AJ948" s="77"/>
      <c r="AK948" s="77"/>
      <c r="AL948" s="77"/>
      <c r="AM948" s="77"/>
      <c r="AN948" s="77"/>
      <c r="AO948" s="77"/>
      <c r="AP948" s="77"/>
      <c r="AQ948" s="77"/>
      <c r="AR948" s="77"/>
    </row>
    <row r="949" spans="1:44" ht="15.75" customHeight="1">
      <c r="A949" s="77"/>
      <c r="B949" s="77"/>
      <c r="C949" s="77"/>
      <c r="D949" s="77"/>
      <c r="E949" s="77"/>
      <c r="F949" s="77"/>
      <c r="G949" s="77"/>
      <c r="H949" s="77"/>
      <c r="I949" s="77"/>
      <c r="J949" s="77"/>
      <c r="K949" s="77"/>
      <c r="L949" s="77"/>
      <c r="M949" s="77"/>
      <c r="N949" s="77"/>
      <c r="O949" s="77"/>
      <c r="P949" s="77"/>
      <c r="Q949" s="77"/>
      <c r="R949" s="77"/>
      <c r="S949" s="77"/>
      <c r="T949" s="77"/>
      <c r="U949" s="77"/>
      <c r="V949" s="77"/>
      <c r="W949" s="77"/>
      <c r="X949" s="77"/>
      <c r="Y949" s="77"/>
      <c r="Z949" s="77"/>
      <c r="AA949" s="77"/>
      <c r="AB949" s="77"/>
      <c r="AC949" s="77"/>
      <c r="AD949" s="77"/>
      <c r="AE949" s="77"/>
      <c r="AF949" s="77"/>
      <c r="AG949" s="77"/>
      <c r="AH949" s="77"/>
      <c r="AI949" s="77"/>
      <c r="AJ949" s="77"/>
      <c r="AK949" s="77"/>
      <c r="AL949" s="77"/>
      <c r="AM949" s="77"/>
      <c r="AN949" s="77"/>
      <c r="AO949" s="77"/>
      <c r="AP949" s="77"/>
      <c r="AQ949" s="77"/>
      <c r="AR949" s="77"/>
    </row>
    <row r="950" spans="1:44" ht="15.75" customHeight="1">
      <c r="A950" s="77"/>
      <c r="B950" s="77"/>
      <c r="C950" s="77"/>
      <c r="D950" s="77"/>
      <c r="E950" s="77"/>
      <c r="F950" s="77"/>
      <c r="G950" s="77"/>
      <c r="H950" s="77"/>
      <c r="I950" s="77"/>
      <c r="J950" s="77"/>
      <c r="K950" s="77"/>
      <c r="L950" s="77"/>
      <c r="M950" s="77"/>
      <c r="N950" s="77"/>
      <c r="O950" s="77"/>
      <c r="P950" s="77"/>
      <c r="Q950" s="77"/>
      <c r="R950" s="77"/>
      <c r="S950" s="77"/>
      <c r="T950" s="77"/>
      <c r="U950" s="77"/>
      <c r="V950" s="77"/>
      <c r="W950" s="77"/>
      <c r="X950" s="77"/>
      <c r="Y950" s="77"/>
      <c r="Z950" s="77"/>
      <c r="AA950" s="77"/>
      <c r="AB950" s="77"/>
      <c r="AC950" s="77"/>
      <c r="AD950" s="77"/>
      <c r="AE950" s="77"/>
      <c r="AF950" s="77"/>
      <c r="AG950" s="77"/>
      <c r="AH950" s="77"/>
      <c r="AI950" s="77"/>
      <c r="AJ950" s="77"/>
      <c r="AK950" s="77"/>
      <c r="AL950" s="77"/>
      <c r="AM950" s="77"/>
      <c r="AN950" s="77"/>
      <c r="AO950" s="77"/>
      <c r="AP950" s="77"/>
      <c r="AQ950" s="77"/>
      <c r="AR950" s="77"/>
    </row>
    <row r="951" spans="1:44" ht="15.75" customHeight="1">
      <c r="A951" s="77"/>
      <c r="B951" s="77"/>
      <c r="C951" s="77"/>
      <c r="D951" s="77"/>
      <c r="E951" s="77"/>
      <c r="F951" s="77"/>
      <c r="G951" s="77"/>
      <c r="H951" s="77"/>
      <c r="I951" s="77"/>
      <c r="J951" s="77"/>
      <c r="K951" s="77"/>
      <c r="L951" s="77"/>
      <c r="M951" s="77"/>
      <c r="N951" s="77"/>
      <c r="O951" s="77"/>
      <c r="P951" s="77"/>
      <c r="Q951" s="77"/>
      <c r="R951" s="77"/>
      <c r="S951" s="77"/>
      <c r="T951" s="77"/>
      <c r="U951" s="77"/>
      <c r="V951" s="77"/>
      <c r="W951" s="77"/>
      <c r="X951" s="77"/>
      <c r="Y951" s="77"/>
      <c r="Z951" s="77"/>
      <c r="AA951" s="77"/>
      <c r="AB951" s="77"/>
      <c r="AC951" s="77"/>
      <c r="AD951" s="77"/>
      <c r="AE951" s="77"/>
      <c r="AF951" s="77"/>
      <c r="AG951" s="77"/>
      <c r="AH951" s="77"/>
      <c r="AI951" s="77"/>
      <c r="AJ951" s="77"/>
      <c r="AK951" s="77"/>
      <c r="AL951" s="77"/>
      <c r="AM951" s="77"/>
      <c r="AN951" s="77"/>
      <c r="AO951" s="77"/>
      <c r="AP951" s="77"/>
      <c r="AQ951" s="77"/>
      <c r="AR951" s="77"/>
    </row>
    <row r="952" spans="1:44" ht="15.75" customHeight="1">
      <c r="A952" s="77"/>
      <c r="B952" s="77"/>
      <c r="C952" s="77"/>
      <c r="D952" s="77"/>
      <c r="E952" s="77"/>
      <c r="F952" s="77"/>
      <c r="G952" s="77"/>
      <c r="H952" s="77"/>
      <c r="I952" s="77"/>
      <c r="J952" s="77"/>
      <c r="K952" s="77"/>
      <c r="L952" s="77"/>
      <c r="M952" s="77"/>
      <c r="N952" s="77"/>
      <c r="O952" s="77"/>
      <c r="P952" s="77"/>
      <c r="Q952" s="77"/>
      <c r="R952" s="77"/>
      <c r="S952" s="77"/>
      <c r="T952" s="77"/>
      <c r="U952" s="77"/>
      <c r="V952" s="77"/>
      <c r="W952" s="77"/>
      <c r="X952" s="77"/>
      <c r="Y952" s="77"/>
      <c r="Z952" s="77"/>
      <c r="AA952" s="77"/>
      <c r="AB952" s="77"/>
      <c r="AC952" s="77"/>
      <c r="AD952" s="77"/>
      <c r="AE952" s="77"/>
      <c r="AF952" s="77"/>
      <c r="AG952" s="77"/>
      <c r="AH952" s="77"/>
      <c r="AI952" s="77"/>
      <c r="AJ952" s="77"/>
      <c r="AK952" s="77"/>
      <c r="AL952" s="77"/>
      <c r="AM952" s="77"/>
      <c r="AN952" s="77"/>
      <c r="AO952" s="77"/>
      <c r="AP952" s="77"/>
      <c r="AQ952" s="77"/>
      <c r="AR952" s="77"/>
    </row>
    <row r="953" spans="1:44" ht="15.75" customHeight="1">
      <c r="A953" s="77"/>
      <c r="B953" s="77"/>
      <c r="C953" s="77"/>
      <c r="D953" s="77"/>
      <c r="E953" s="77"/>
      <c r="F953" s="77"/>
      <c r="G953" s="77"/>
      <c r="H953" s="77"/>
      <c r="I953" s="77"/>
      <c r="J953" s="77"/>
      <c r="K953" s="77"/>
      <c r="L953" s="77"/>
      <c r="M953" s="77"/>
      <c r="N953" s="77"/>
      <c r="O953" s="77"/>
      <c r="P953" s="77"/>
      <c r="Q953" s="77"/>
      <c r="R953" s="77"/>
      <c r="S953" s="77"/>
      <c r="T953" s="77"/>
      <c r="U953" s="77"/>
      <c r="V953" s="77"/>
      <c r="W953" s="77"/>
      <c r="X953" s="77"/>
      <c r="Y953" s="77"/>
      <c r="Z953" s="77"/>
      <c r="AA953" s="77"/>
      <c r="AB953" s="77"/>
      <c r="AC953" s="77"/>
      <c r="AD953" s="77"/>
      <c r="AE953" s="77"/>
      <c r="AF953" s="77"/>
      <c r="AG953" s="77"/>
      <c r="AH953" s="77"/>
      <c r="AI953" s="77"/>
      <c r="AJ953" s="77"/>
      <c r="AK953" s="77"/>
      <c r="AL953" s="77"/>
      <c r="AM953" s="77"/>
      <c r="AN953" s="77"/>
      <c r="AO953" s="77"/>
      <c r="AP953" s="77"/>
      <c r="AQ953" s="77"/>
      <c r="AR953" s="77"/>
    </row>
    <row r="954" spans="1:44" ht="15.75" customHeight="1">
      <c r="A954" s="77"/>
      <c r="B954" s="77"/>
      <c r="C954" s="77"/>
      <c r="D954" s="77"/>
      <c r="E954" s="77"/>
      <c r="F954" s="77"/>
      <c r="G954" s="77"/>
      <c r="H954" s="77"/>
      <c r="I954" s="77"/>
      <c r="J954" s="77"/>
      <c r="K954" s="77"/>
      <c r="L954" s="77"/>
      <c r="M954" s="77"/>
      <c r="N954" s="77"/>
      <c r="O954" s="77"/>
      <c r="P954" s="77"/>
      <c r="Q954" s="77"/>
      <c r="R954" s="77"/>
      <c r="S954" s="77"/>
      <c r="T954" s="77"/>
      <c r="U954" s="77"/>
      <c r="V954" s="77"/>
      <c r="W954" s="77"/>
      <c r="X954" s="77"/>
      <c r="Y954" s="77"/>
      <c r="Z954" s="77"/>
      <c r="AA954" s="77"/>
      <c r="AB954" s="77"/>
      <c r="AC954" s="77"/>
      <c r="AD954" s="77"/>
      <c r="AE954" s="77"/>
      <c r="AF954" s="77"/>
      <c r="AG954" s="77"/>
      <c r="AH954" s="77"/>
      <c r="AI954" s="77"/>
      <c r="AJ954" s="77"/>
      <c r="AK954" s="77"/>
      <c r="AL954" s="77"/>
      <c r="AM954" s="77"/>
      <c r="AN954" s="77"/>
      <c r="AO954" s="77"/>
      <c r="AP954" s="77"/>
      <c r="AQ954" s="77"/>
      <c r="AR954" s="77"/>
    </row>
    <row r="955" spans="1:44" ht="15.75" customHeight="1">
      <c r="A955" s="77"/>
      <c r="B955" s="77"/>
      <c r="C955" s="77"/>
      <c r="D955" s="77"/>
      <c r="E955" s="77"/>
      <c r="F955" s="77"/>
      <c r="G955" s="77"/>
      <c r="H955" s="77"/>
      <c r="I955" s="77"/>
      <c r="J955" s="77"/>
      <c r="K955" s="77"/>
      <c r="L955" s="77"/>
      <c r="M955" s="77"/>
      <c r="N955" s="77"/>
      <c r="O955" s="77"/>
      <c r="P955" s="77"/>
      <c r="Q955" s="77"/>
      <c r="R955" s="77"/>
      <c r="S955" s="77"/>
      <c r="T955" s="77"/>
      <c r="U955" s="77"/>
      <c r="V955" s="77"/>
      <c r="W955" s="77"/>
      <c r="X955" s="77"/>
      <c r="Y955" s="77"/>
      <c r="Z955" s="77"/>
      <c r="AA955" s="77"/>
      <c r="AB955" s="77"/>
      <c r="AC955" s="77"/>
      <c r="AD955" s="77"/>
      <c r="AE955" s="77"/>
      <c r="AF955" s="77"/>
      <c r="AG955" s="77"/>
      <c r="AH955" s="77"/>
      <c r="AI955" s="77"/>
      <c r="AJ955" s="77"/>
      <c r="AK955" s="77"/>
      <c r="AL955" s="77"/>
      <c r="AM955" s="77"/>
      <c r="AN955" s="77"/>
      <c r="AO955" s="77"/>
      <c r="AP955" s="77"/>
      <c r="AQ955" s="77"/>
      <c r="AR955" s="77"/>
    </row>
    <row r="956" spans="1:44" ht="15.75" customHeight="1">
      <c r="A956" s="77"/>
      <c r="B956" s="77"/>
      <c r="C956" s="77"/>
      <c r="D956" s="77"/>
      <c r="E956" s="77"/>
      <c r="F956" s="77"/>
      <c r="G956" s="77"/>
      <c r="H956" s="77"/>
      <c r="I956" s="77"/>
      <c r="J956" s="77"/>
      <c r="K956" s="77"/>
      <c r="L956" s="77"/>
      <c r="M956" s="77"/>
      <c r="N956" s="77"/>
      <c r="O956" s="77"/>
      <c r="P956" s="77"/>
      <c r="Q956" s="77"/>
      <c r="R956" s="77"/>
      <c r="S956" s="77"/>
      <c r="T956" s="77"/>
      <c r="U956" s="77"/>
      <c r="V956" s="77"/>
      <c r="W956" s="77"/>
      <c r="X956" s="77"/>
      <c r="Y956" s="77"/>
      <c r="Z956" s="77"/>
      <c r="AA956" s="77"/>
      <c r="AB956" s="77"/>
      <c r="AC956" s="77"/>
      <c r="AD956" s="77"/>
      <c r="AE956" s="77"/>
      <c r="AF956" s="77"/>
      <c r="AG956" s="77"/>
      <c r="AH956" s="77"/>
      <c r="AI956" s="77"/>
      <c r="AJ956" s="77"/>
      <c r="AK956" s="77"/>
      <c r="AL956" s="77"/>
      <c r="AM956" s="77"/>
      <c r="AN956" s="77"/>
      <c r="AO956" s="77"/>
      <c r="AP956" s="77"/>
      <c r="AQ956" s="77"/>
      <c r="AR956" s="77"/>
    </row>
    <row r="957" spans="1:44" ht="15.75" customHeight="1">
      <c r="A957" s="77"/>
      <c r="B957" s="77"/>
      <c r="C957" s="77"/>
      <c r="D957" s="77"/>
      <c r="E957" s="77"/>
      <c r="F957" s="77"/>
      <c r="G957" s="77"/>
      <c r="H957" s="77"/>
      <c r="I957" s="77"/>
      <c r="J957" s="77"/>
      <c r="K957" s="77"/>
      <c r="L957" s="77"/>
      <c r="M957" s="77"/>
      <c r="N957" s="77"/>
      <c r="O957" s="77"/>
      <c r="P957" s="77"/>
      <c r="Q957" s="77"/>
      <c r="R957" s="77"/>
      <c r="S957" s="77"/>
      <c r="T957" s="77"/>
      <c r="U957" s="77"/>
      <c r="V957" s="77"/>
      <c r="W957" s="77"/>
      <c r="X957" s="77"/>
      <c r="Y957" s="77"/>
      <c r="Z957" s="77"/>
      <c r="AA957" s="77"/>
      <c r="AB957" s="77"/>
      <c r="AC957" s="77"/>
      <c r="AD957" s="77"/>
      <c r="AE957" s="77"/>
      <c r="AF957" s="77"/>
      <c r="AG957" s="77"/>
      <c r="AH957" s="77"/>
      <c r="AI957" s="77"/>
      <c r="AJ957" s="77"/>
      <c r="AK957" s="77"/>
      <c r="AL957" s="77"/>
      <c r="AM957" s="77"/>
      <c r="AN957" s="77"/>
      <c r="AO957" s="77"/>
      <c r="AP957" s="77"/>
      <c r="AQ957" s="77"/>
      <c r="AR957" s="77"/>
    </row>
    <row r="958" spans="1:44" ht="15.75" customHeight="1">
      <c r="A958" s="77"/>
      <c r="B958" s="77"/>
      <c r="C958" s="77"/>
      <c r="D958" s="77"/>
      <c r="E958" s="77"/>
      <c r="F958" s="77"/>
      <c r="G958" s="77"/>
      <c r="H958" s="77"/>
      <c r="I958" s="77"/>
      <c r="J958" s="77"/>
      <c r="K958" s="77"/>
      <c r="L958" s="77"/>
      <c r="M958" s="77"/>
      <c r="N958" s="77"/>
      <c r="O958" s="77"/>
      <c r="P958" s="77"/>
      <c r="Q958" s="77"/>
      <c r="R958" s="77"/>
      <c r="S958" s="77"/>
      <c r="T958" s="77"/>
      <c r="U958" s="77"/>
      <c r="V958" s="77"/>
      <c r="W958" s="77"/>
      <c r="X958" s="77"/>
      <c r="Y958" s="77"/>
      <c r="Z958" s="77"/>
      <c r="AA958" s="77"/>
      <c r="AB958" s="77"/>
      <c r="AC958" s="77"/>
      <c r="AD958" s="77"/>
      <c r="AE958" s="77"/>
      <c r="AF958" s="77"/>
      <c r="AG958" s="77"/>
      <c r="AH958" s="77"/>
      <c r="AI958" s="77"/>
      <c r="AJ958" s="77"/>
      <c r="AK958" s="77"/>
      <c r="AL958" s="77"/>
      <c r="AM958" s="77"/>
      <c r="AN958" s="77"/>
      <c r="AO958" s="77"/>
      <c r="AP958" s="77"/>
      <c r="AQ958" s="77"/>
      <c r="AR958" s="77"/>
    </row>
    <row r="959" spans="1:44" ht="15.75" customHeight="1">
      <c r="A959" s="77"/>
      <c r="B959" s="77"/>
      <c r="C959" s="77"/>
      <c r="D959" s="77"/>
      <c r="E959" s="77"/>
      <c r="F959" s="77"/>
      <c r="G959" s="77"/>
      <c r="H959" s="77"/>
      <c r="I959" s="77"/>
      <c r="J959" s="77"/>
      <c r="K959" s="77"/>
      <c r="L959" s="77"/>
      <c r="M959" s="77"/>
      <c r="N959" s="77"/>
      <c r="O959" s="77"/>
      <c r="P959" s="77"/>
      <c r="Q959" s="77"/>
      <c r="R959" s="77"/>
      <c r="S959" s="77"/>
      <c r="T959" s="77"/>
      <c r="U959" s="77"/>
      <c r="V959" s="77"/>
      <c r="W959" s="77"/>
      <c r="X959" s="77"/>
      <c r="Y959" s="77"/>
      <c r="Z959" s="77"/>
      <c r="AA959" s="77"/>
      <c r="AB959" s="77"/>
      <c r="AC959" s="77"/>
      <c r="AD959" s="77"/>
      <c r="AE959" s="77"/>
      <c r="AF959" s="77"/>
      <c r="AG959" s="77"/>
      <c r="AH959" s="77"/>
      <c r="AI959" s="77"/>
      <c r="AJ959" s="77"/>
      <c r="AK959" s="77"/>
      <c r="AL959" s="77"/>
      <c r="AM959" s="77"/>
      <c r="AN959" s="77"/>
      <c r="AO959" s="77"/>
      <c r="AP959" s="77"/>
      <c r="AQ959" s="77"/>
      <c r="AR959" s="77"/>
    </row>
    <row r="960" spans="1:44" ht="15.75" customHeight="1">
      <c r="A960" s="77"/>
      <c r="B960" s="77"/>
      <c r="C960" s="77"/>
      <c r="D960" s="77"/>
      <c r="E960" s="77"/>
      <c r="F960" s="77"/>
      <c r="G960" s="77"/>
      <c r="H960" s="77"/>
      <c r="I960" s="77"/>
      <c r="J960" s="77"/>
      <c r="K960" s="77"/>
      <c r="L960" s="77"/>
      <c r="M960" s="77"/>
      <c r="N960" s="77"/>
      <c r="O960" s="77"/>
      <c r="P960" s="77"/>
      <c r="Q960" s="77"/>
      <c r="R960" s="77"/>
      <c r="S960" s="77"/>
      <c r="T960" s="77"/>
      <c r="U960" s="77"/>
      <c r="V960" s="77"/>
      <c r="W960" s="77"/>
      <c r="X960" s="77"/>
      <c r="Y960" s="77"/>
      <c r="Z960" s="77"/>
      <c r="AA960" s="77"/>
      <c r="AB960" s="77"/>
      <c r="AC960" s="77"/>
      <c r="AD960" s="77"/>
      <c r="AE960" s="77"/>
      <c r="AF960" s="77"/>
      <c r="AG960" s="77"/>
      <c r="AH960" s="77"/>
      <c r="AI960" s="77"/>
      <c r="AJ960" s="77"/>
      <c r="AK960" s="77"/>
      <c r="AL960" s="77"/>
      <c r="AM960" s="77"/>
      <c r="AN960" s="77"/>
      <c r="AO960" s="77"/>
      <c r="AP960" s="77"/>
      <c r="AQ960" s="77"/>
      <c r="AR960" s="77"/>
    </row>
    <row r="961" spans="1:44" ht="15.75" customHeight="1">
      <c r="A961" s="77"/>
      <c r="B961" s="77"/>
      <c r="C961" s="77"/>
      <c r="D961" s="77"/>
      <c r="E961" s="77"/>
      <c r="F961" s="77"/>
      <c r="G961" s="77"/>
      <c r="H961" s="77"/>
      <c r="I961" s="77"/>
      <c r="J961" s="77"/>
      <c r="K961" s="77"/>
      <c r="L961" s="77"/>
      <c r="M961" s="77"/>
      <c r="N961" s="77"/>
      <c r="O961" s="77"/>
      <c r="P961" s="77"/>
      <c r="Q961" s="77"/>
      <c r="R961" s="77"/>
      <c r="S961" s="77"/>
      <c r="T961" s="77"/>
      <c r="U961" s="77"/>
      <c r="V961" s="77"/>
      <c r="W961" s="77"/>
      <c r="X961" s="77"/>
      <c r="Y961" s="77"/>
      <c r="Z961" s="77"/>
      <c r="AA961" s="77"/>
      <c r="AB961" s="77"/>
      <c r="AC961" s="77"/>
      <c r="AD961" s="77"/>
      <c r="AE961" s="77"/>
      <c r="AF961" s="77"/>
      <c r="AG961" s="77"/>
      <c r="AH961" s="77"/>
      <c r="AI961" s="77"/>
      <c r="AJ961" s="77"/>
      <c r="AK961" s="77"/>
      <c r="AL961" s="77"/>
      <c r="AM961" s="77"/>
      <c r="AN961" s="77"/>
      <c r="AO961" s="77"/>
      <c r="AP961" s="77"/>
      <c r="AQ961" s="77"/>
      <c r="AR961" s="77"/>
    </row>
    <row r="962" spans="1:44" ht="15.75" customHeight="1">
      <c r="A962" s="77"/>
      <c r="B962" s="77"/>
      <c r="C962" s="77"/>
      <c r="D962" s="77"/>
      <c r="E962" s="77"/>
      <c r="F962" s="77"/>
      <c r="G962" s="77"/>
      <c r="H962" s="77"/>
      <c r="I962" s="77"/>
      <c r="J962" s="77"/>
      <c r="K962" s="77"/>
      <c r="L962" s="77"/>
      <c r="M962" s="77"/>
      <c r="N962" s="77"/>
      <c r="O962" s="77"/>
      <c r="P962" s="77"/>
      <c r="Q962" s="77"/>
      <c r="R962" s="77"/>
      <c r="S962" s="77"/>
      <c r="T962" s="77"/>
      <c r="U962" s="77"/>
      <c r="V962" s="77"/>
      <c r="W962" s="77"/>
      <c r="X962" s="77"/>
      <c r="Y962" s="77"/>
      <c r="Z962" s="77"/>
      <c r="AA962" s="77"/>
      <c r="AB962" s="77"/>
      <c r="AC962" s="77"/>
      <c r="AD962" s="77"/>
      <c r="AE962" s="77"/>
      <c r="AF962" s="77"/>
      <c r="AG962" s="77"/>
      <c r="AH962" s="77"/>
      <c r="AI962" s="77"/>
      <c r="AJ962" s="77"/>
      <c r="AK962" s="77"/>
      <c r="AL962" s="77"/>
      <c r="AM962" s="77"/>
      <c r="AN962" s="77"/>
      <c r="AO962" s="77"/>
      <c r="AP962" s="77"/>
      <c r="AQ962" s="77"/>
      <c r="AR962" s="77"/>
    </row>
    <row r="963" spans="1:44" ht="15.75" customHeight="1">
      <c r="A963" s="77"/>
      <c r="B963" s="77"/>
      <c r="C963" s="77"/>
      <c r="D963" s="77"/>
      <c r="E963" s="77"/>
      <c r="F963" s="77"/>
      <c r="G963" s="77"/>
      <c r="H963" s="77"/>
      <c r="I963" s="77"/>
      <c r="J963" s="77"/>
      <c r="K963" s="77"/>
      <c r="L963" s="77"/>
      <c r="M963" s="77"/>
      <c r="N963" s="77"/>
      <c r="O963" s="77"/>
      <c r="P963" s="77"/>
      <c r="Q963" s="77"/>
      <c r="R963" s="77"/>
      <c r="S963" s="77"/>
      <c r="T963" s="77"/>
      <c r="U963" s="77"/>
      <c r="V963" s="77"/>
      <c r="W963" s="77"/>
      <c r="X963" s="77"/>
      <c r="Y963" s="77"/>
      <c r="Z963" s="77"/>
      <c r="AA963" s="77"/>
      <c r="AB963" s="77"/>
      <c r="AC963" s="77"/>
      <c r="AD963" s="77"/>
      <c r="AE963" s="77"/>
      <c r="AF963" s="77"/>
      <c r="AG963" s="77"/>
      <c r="AH963" s="77"/>
      <c r="AI963" s="77"/>
      <c r="AJ963" s="77"/>
      <c r="AK963" s="77"/>
      <c r="AL963" s="77"/>
      <c r="AM963" s="77"/>
      <c r="AN963" s="77"/>
      <c r="AO963" s="77"/>
      <c r="AP963" s="77"/>
      <c r="AQ963" s="77"/>
      <c r="AR963" s="77"/>
    </row>
    <row r="964" spans="1:44" ht="15.75" customHeight="1">
      <c r="A964" s="77"/>
      <c r="B964" s="77"/>
      <c r="C964" s="77"/>
      <c r="D964" s="77"/>
      <c r="E964" s="77"/>
      <c r="F964" s="77"/>
      <c r="G964" s="77"/>
      <c r="H964" s="77"/>
      <c r="I964" s="77"/>
      <c r="J964" s="77"/>
      <c r="K964" s="77"/>
      <c r="L964" s="77"/>
      <c r="M964" s="77"/>
      <c r="N964" s="77"/>
      <c r="O964" s="77"/>
      <c r="P964" s="77"/>
      <c r="Q964" s="77"/>
      <c r="R964" s="77"/>
      <c r="S964" s="77"/>
      <c r="T964" s="77"/>
      <c r="U964" s="77"/>
      <c r="V964" s="77"/>
      <c r="W964" s="77"/>
      <c r="X964" s="77"/>
      <c r="Y964" s="77"/>
      <c r="Z964" s="77"/>
      <c r="AA964" s="77"/>
      <c r="AB964" s="77"/>
      <c r="AC964" s="77"/>
      <c r="AD964" s="77"/>
      <c r="AE964" s="77"/>
      <c r="AF964" s="77"/>
      <c r="AG964" s="77"/>
      <c r="AH964" s="77"/>
      <c r="AI964" s="77"/>
      <c r="AJ964" s="77"/>
      <c r="AK964" s="77"/>
      <c r="AL964" s="77"/>
      <c r="AM964" s="77"/>
      <c r="AN964" s="77"/>
      <c r="AO964" s="77"/>
      <c r="AP964" s="77"/>
      <c r="AQ964" s="77"/>
      <c r="AR964" s="77"/>
    </row>
    <row r="965" spans="1:44" ht="15.75" customHeight="1">
      <c r="A965" s="77"/>
      <c r="B965" s="77"/>
      <c r="C965" s="77"/>
      <c r="D965" s="77"/>
      <c r="E965" s="77"/>
      <c r="F965" s="77"/>
      <c r="G965" s="77"/>
      <c r="H965" s="77"/>
      <c r="I965" s="77"/>
      <c r="J965" s="77"/>
      <c r="K965" s="77"/>
      <c r="L965" s="77"/>
      <c r="M965" s="77"/>
      <c r="N965" s="77"/>
      <c r="O965" s="77"/>
      <c r="P965" s="77"/>
      <c r="Q965" s="77"/>
      <c r="R965" s="77"/>
      <c r="S965" s="77"/>
      <c r="T965" s="77"/>
      <c r="U965" s="77"/>
      <c r="V965" s="77"/>
      <c r="W965" s="77"/>
      <c r="X965" s="77"/>
      <c r="Y965" s="77"/>
      <c r="Z965" s="77"/>
      <c r="AA965" s="77"/>
      <c r="AB965" s="77"/>
      <c r="AC965" s="77"/>
      <c r="AD965" s="77"/>
      <c r="AE965" s="77"/>
      <c r="AF965" s="77"/>
      <c r="AG965" s="77"/>
      <c r="AH965" s="77"/>
      <c r="AI965" s="77"/>
      <c r="AJ965" s="77"/>
      <c r="AK965" s="77"/>
      <c r="AL965" s="77"/>
      <c r="AM965" s="77"/>
      <c r="AN965" s="77"/>
      <c r="AO965" s="77"/>
      <c r="AP965" s="77"/>
      <c r="AQ965" s="77"/>
      <c r="AR965" s="77"/>
    </row>
    <row r="966" spans="1:44" ht="15.75" customHeight="1">
      <c r="A966" s="77"/>
      <c r="B966" s="77"/>
      <c r="C966" s="77"/>
      <c r="D966" s="77"/>
      <c r="E966" s="77"/>
      <c r="F966" s="77"/>
      <c r="G966" s="77"/>
      <c r="H966" s="77"/>
      <c r="I966" s="77"/>
      <c r="J966" s="77"/>
      <c r="K966" s="77"/>
      <c r="L966" s="77"/>
      <c r="M966" s="77"/>
      <c r="N966" s="77"/>
      <c r="O966" s="77"/>
      <c r="P966" s="77"/>
      <c r="Q966" s="77"/>
      <c r="R966" s="77"/>
      <c r="S966" s="77"/>
      <c r="T966" s="77"/>
      <c r="U966" s="77"/>
      <c r="V966" s="77"/>
      <c r="W966" s="77"/>
      <c r="X966" s="77"/>
      <c r="Y966" s="77"/>
      <c r="Z966" s="77"/>
      <c r="AA966" s="77"/>
      <c r="AB966" s="77"/>
      <c r="AC966" s="77"/>
      <c r="AD966" s="77"/>
      <c r="AE966" s="77"/>
      <c r="AF966" s="77"/>
      <c r="AG966" s="77"/>
      <c r="AH966" s="77"/>
      <c r="AI966" s="77"/>
      <c r="AJ966" s="77"/>
      <c r="AK966" s="77"/>
      <c r="AL966" s="77"/>
      <c r="AM966" s="77"/>
      <c r="AN966" s="77"/>
      <c r="AO966" s="77"/>
      <c r="AP966" s="77"/>
      <c r="AQ966" s="77"/>
      <c r="AR966" s="77"/>
    </row>
    <row r="967" spans="1:44" ht="15.75" customHeight="1">
      <c r="A967" s="77"/>
      <c r="B967" s="77"/>
      <c r="C967" s="77"/>
      <c r="D967" s="77"/>
      <c r="E967" s="77"/>
      <c r="F967" s="77"/>
      <c r="G967" s="77"/>
      <c r="H967" s="77"/>
      <c r="I967" s="77"/>
      <c r="J967" s="77"/>
      <c r="K967" s="77"/>
      <c r="L967" s="77"/>
      <c r="M967" s="77"/>
      <c r="N967" s="77"/>
      <c r="O967" s="77"/>
      <c r="P967" s="77"/>
      <c r="Q967" s="77"/>
      <c r="R967" s="77"/>
      <c r="S967" s="77"/>
      <c r="T967" s="77"/>
      <c r="U967" s="77"/>
      <c r="V967" s="77"/>
      <c r="W967" s="77"/>
      <c r="X967" s="77"/>
      <c r="Y967" s="77"/>
      <c r="Z967" s="77"/>
      <c r="AA967" s="77"/>
      <c r="AB967" s="77"/>
      <c r="AC967" s="77"/>
      <c r="AD967" s="77"/>
      <c r="AE967" s="77"/>
      <c r="AF967" s="77"/>
      <c r="AG967" s="77"/>
      <c r="AH967" s="77"/>
      <c r="AI967" s="77"/>
      <c r="AJ967" s="77"/>
      <c r="AK967" s="77"/>
      <c r="AL967" s="77"/>
      <c r="AM967" s="77"/>
      <c r="AN967" s="77"/>
      <c r="AO967" s="77"/>
      <c r="AP967" s="77"/>
      <c r="AQ967" s="77"/>
      <c r="AR967" s="77"/>
    </row>
    <row r="968" spans="1:44" ht="15.75" customHeight="1">
      <c r="A968" s="77"/>
      <c r="B968" s="77"/>
      <c r="C968" s="77"/>
      <c r="D968" s="77"/>
      <c r="E968" s="77"/>
      <c r="F968" s="77"/>
      <c r="G968" s="77"/>
      <c r="H968" s="77"/>
      <c r="I968" s="77"/>
      <c r="J968" s="77"/>
      <c r="K968" s="77"/>
      <c r="L968" s="77"/>
      <c r="M968" s="77"/>
      <c r="N968" s="77"/>
      <c r="O968" s="77"/>
      <c r="P968" s="77"/>
      <c r="Q968" s="77"/>
      <c r="R968" s="77"/>
      <c r="S968" s="77"/>
      <c r="T968" s="77"/>
      <c r="U968" s="77"/>
      <c r="V968" s="77"/>
      <c r="W968" s="77"/>
      <c r="X968" s="77"/>
      <c r="Y968" s="77"/>
      <c r="Z968" s="77"/>
      <c r="AA968" s="77"/>
      <c r="AB968" s="77"/>
      <c r="AC968" s="77"/>
      <c r="AD968" s="77"/>
      <c r="AE968" s="77"/>
      <c r="AF968" s="77"/>
      <c r="AG968" s="77"/>
      <c r="AH968" s="77"/>
      <c r="AI968" s="77"/>
      <c r="AJ968" s="77"/>
      <c r="AK968" s="77"/>
      <c r="AL968" s="77"/>
      <c r="AM968" s="77"/>
      <c r="AN968" s="77"/>
      <c r="AO968" s="77"/>
      <c r="AP968" s="77"/>
      <c r="AQ968" s="77"/>
      <c r="AR968" s="77"/>
    </row>
    <row r="969" spans="1:44" ht="15.75" customHeight="1">
      <c r="A969" s="77"/>
      <c r="B969" s="77"/>
      <c r="C969" s="77"/>
      <c r="D969" s="77"/>
      <c r="E969" s="77"/>
      <c r="F969" s="77"/>
      <c r="G969" s="77"/>
      <c r="H969" s="77"/>
      <c r="I969" s="77"/>
      <c r="J969" s="77"/>
      <c r="K969" s="77"/>
      <c r="L969" s="77"/>
      <c r="M969" s="77"/>
      <c r="N969" s="77"/>
      <c r="O969" s="77"/>
      <c r="P969" s="77"/>
      <c r="Q969" s="77"/>
      <c r="R969" s="77"/>
      <c r="S969" s="77"/>
      <c r="T969" s="77"/>
      <c r="U969" s="77"/>
      <c r="V969" s="77"/>
      <c r="W969" s="77"/>
      <c r="X969" s="77"/>
      <c r="Y969" s="77"/>
      <c r="Z969" s="77"/>
      <c r="AA969" s="77"/>
      <c r="AB969" s="77"/>
      <c r="AC969" s="77"/>
      <c r="AD969" s="77"/>
      <c r="AE969" s="77"/>
      <c r="AF969" s="77"/>
      <c r="AG969" s="77"/>
      <c r="AH969" s="77"/>
      <c r="AI969" s="77"/>
      <c r="AJ969" s="77"/>
      <c r="AK969" s="77"/>
      <c r="AL969" s="77"/>
      <c r="AM969" s="77"/>
      <c r="AN969" s="77"/>
      <c r="AO969" s="77"/>
      <c r="AP969" s="77"/>
      <c r="AQ969" s="77"/>
      <c r="AR969" s="77"/>
    </row>
    <row r="970" spans="1:44" ht="15.75" customHeight="1">
      <c r="A970" s="77"/>
      <c r="B970" s="77"/>
      <c r="C970" s="77"/>
      <c r="D970" s="77"/>
      <c r="E970" s="77"/>
      <c r="F970" s="77"/>
      <c r="G970" s="77"/>
      <c r="H970" s="77"/>
      <c r="I970" s="77"/>
      <c r="J970" s="77"/>
      <c r="K970" s="77"/>
      <c r="L970" s="77"/>
      <c r="M970" s="77"/>
      <c r="N970" s="77"/>
      <c r="O970" s="77"/>
      <c r="P970" s="77"/>
      <c r="Q970" s="77"/>
      <c r="R970" s="77"/>
      <c r="S970" s="77"/>
      <c r="T970" s="77"/>
      <c r="U970" s="77"/>
      <c r="V970" s="77"/>
      <c r="W970" s="77"/>
      <c r="X970" s="77"/>
      <c r="Y970" s="77"/>
      <c r="Z970" s="77"/>
      <c r="AA970" s="77"/>
      <c r="AB970" s="77"/>
      <c r="AC970" s="77"/>
      <c r="AD970" s="77"/>
      <c r="AE970" s="77"/>
      <c r="AF970" s="77"/>
      <c r="AG970" s="77"/>
      <c r="AH970" s="77"/>
      <c r="AI970" s="77"/>
      <c r="AJ970" s="77"/>
      <c r="AK970" s="77"/>
      <c r="AL970" s="77"/>
      <c r="AM970" s="77"/>
      <c r="AN970" s="77"/>
      <c r="AO970" s="77"/>
      <c r="AP970" s="77"/>
      <c r="AQ970" s="77"/>
      <c r="AR970" s="77"/>
    </row>
    <row r="971" spans="1:44" ht="15.75" customHeight="1">
      <c r="A971" s="77"/>
      <c r="B971" s="77"/>
      <c r="C971" s="77"/>
      <c r="D971" s="77"/>
      <c r="E971" s="77"/>
      <c r="F971" s="77"/>
      <c r="G971" s="77"/>
      <c r="H971" s="77"/>
      <c r="I971" s="77"/>
      <c r="J971" s="77"/>
      <c r="K971" s="77"/>
      <c r="L971" s="77"/>
      <c r="M971" s="77"/>
      <c r="N971" s="77"/>
      <c r="O971" s="77"/>
      <c r="P971" s="77"/>
      <c r="Q971" s="77"/>
      <c r="R971" s="77"/>
      <c r="S971" s="77"/>
      <c r="T971" s="77"/>
      <c r="U971" s="77"/>
      <c r="V971" s="77"/>
      <c r="W971" s="77"/>
      <c r="X971" s="77"/>
      <c r="Y971" s="77"/>
      <c r="Z971" s="77"/>
      <c r="AA971" s="77"/>
      <c r="AB971" s="77"/>
      <c r="AC971" s="77"/>
      <c r="AD971" s="77"/>
      <c r="AE971" s="77"/>
      <c r="AF971" s="77"/>
      <c r="AG971" s="77"/>
      <c r="AH971" s="77"/>
      <c r="AI971" s="77"/>
      <c r="AJ971" s="77"/>
      <c r="AK971" s="77"/>
      <c r="AL971" s="77"/>
      <c r="AM971" s="77"/>
      <c r="AN971" s="77"/>
      <c r="AO971" s="77"/>
      <c r="AP971" s="77"/>
      <c r="AQ971" s="77"/>
      <c r="AR971" s="77"/>
    </row>
    <row r="972" spans="1:44" ht="15.75" customHeight="1">
      <c r="A972" s="77"/>
      <c r="B972" s="77"/>
      <c r="C972" s="77"/>
      <c r="D972" s="77"/>
      <c r="E972" s="77"/>
      <c r="F972" s="77"/>
      <c r="G972" s="77"/>
      <c r="H972" s="77"/>
      <c r="I972" s="77"/>
      <c r="J972" s="77"/>
      <c r="K972" s="77"/>
      <c r="L972" s="77"/>
      <c r="M972" s="77"/>
      <c r="N972" s="77"/>
      <c r="O972" s="77"/>
      <c r="P972" s="77"/>
      <c r="Q972" s="77"/>
      <c r="R972" s="77"/>
      <c r="S972" s="77"/>
      <c r="T972" s="77"/>
      <c r="U972" s="77"/>
      <c r="V972" s="77"/>
      <c r="W972" s="77"/>
      <c r="X972" s="77"/>
      <c r="Y972" s="77"/>
      <c r="Z972" s="77"/>
      <c r="AA972" s="77"/>
      <c r="AB972" s="77"/>
      <c r="AC972" s="77"/>
      <c r="AD972" s="77"/>
      <c r="AE972" s="77"/>
      <c r="AF972" s="77"/>
      <c r="AG972" s="77"/>
      <c r="AH972" s="77"/>
      <c r="AI972" s="77"/>
      <c r="AJ972" s="77"/>
      <c r="AK972" s="77"/>
      <c r="AL972" s="77"/>
      <c r="AM972" s="77"/>
      <c r="AN972" s="77"/>
      <c r="AO972" s="77"/>
      <c r="AP972" s="77"/>
      <c r="AQ972" s="77"/>
      <c r="AR972" s="77"/>
    </row>
    <row r="973" spans="1:44" ht="15.75" customHeight="1">
      <c r="A973" s="77"/>
      <c r="B973" s="77"/>
      <c r="C973" s="77"/>
      <c r="D973" s="77"/>
      <c r="E973" s="77"/>
      <c r="F973" s="77"/>
      <c r="G973" s="77"/>
      <c r="H973" s="77"/>
      <c r="I973" s="77"/>
      <c r="J973" s="77"/>
      <c r="K973" s="77"/>
      <c r="L973" s="77"/>
      <c r="M973" s="77"/>
      <c r="N973" s="77"/>
      <c r="O973" s="77"/>
      <c r="P973" s="77"/>
      <c r="Q973" s="77"/>
      <c r="R973" s="77"/>
      <c r="S973" s="77"/>
      <c r="T973" s="77"/>
      <c r="U973" s="77"/>
      <c r="V973" s="77"/>
      <c r="W973" s="77"/>
      <c r="X973" s="77"/>
      <c r="Y973" s="77"/>
      <c r="Z973" s="77"/>
      <c r="AA973" s="77"/>
      <c r="AB973" s="77"/>
      <c r="AC973" s="77"/>
      <c r="AD973" s="77"/>
      <c r="AE973" s="77"/>
      <c r="AF973" s="77"/>
      <c r="AG973" s="77"/>
      <c r="AH973" s="77"/>
      <c r="AI973" s="77"/>
      <c r="AJ973" s="77"/>
      <c r="AK973" s="77"/>
      <c r="AL973" s="77"/>
      <c r="AM973" s="77"/>
      <c r="AN973" s="77"/>
      <c r="AO973" s="77"/>
      <c r="AP973" s="77"/>
      <c r="AQ973" s="77"/>
      <c r="AR973" s="77"/>
    </row>
    <row r="974" spans="1:44" ht="15.75" customHeight="1">
      <c r="A974" s="77"/>
      <c r="B974" s="77"/>
      <c r="C974" s="77"/>
      <c r="D974" s="77"/>
      <c r="E974" s="77"/>
      <c r="F974" s="77"/>
      <c r="G974" s="77"/>
      <c r="H974" s="77"/>
      <c r="I974" s="77"/>
      <c r="J974" s="77"/>
      <c r="K974" s="77"/>
      <c r="L974" s="77"/>
      <c r="M974" s="77"/>
      <c r="N974" s="77"/>
      <c r="O974" s="77"/>
      <c r="P974" s="77"/>
      <c r="Q974" s="77"/>
      <c r="R974" s="77"/>
      <c r="S974" s="77"/>
      <c r="T974" s="77"/>
      <c r="U974" s="77"/>
      <c r="V974" s="77"/>
      <c r="W974" s="77"/>
      <c r="X974" s="77"/>
      <c r="Y974" s="77"/>
      <c r="Z974" s="77"/>
      <c r="AA974" s="77"/>
      <c r="AB974" s="77"/>
      <c r="AC974" s="77"/>
      <c r="AD974" s="77"/>
      <c r="AE974" s="77"/>
      <c r="AF974" s="77"/>
      <c r="AG974" s="77"/>
      <c r="AH974" s="77"/>
      <c r="AI974" s="77"/>
      <c r="AJ974" s="77"/>
      <c r="AK974" s="77"/>
      <c r="AL974" s="77"/>
      <c r="AM974" s="77"/>
      <c r="AN974" s="77"/>
      <c r="AO974" s="77"/>
      <c r="AP974" s="77"/>
      <c r="AQ974" s="77"/>
      <c r="AR974" s="77"/>
    </row>
    <row r="975" spans="1:44" ht="15.75" customHeight="1">
      <c r="A975" s="77"/>
      <c r="B975" s="77"/>
      <c r="C975" s="77"/>
      <c r="D975" s="77"/>
      <c r="E975" s="77"/>
      <c r="F975" s="77"/>
      <c r="G975" s="77"/>
      <c r="H975" s="77"/>
      <c r="I975" s="77"/>
      <c r="J975" s="77"/>
      <c r="K975" s="77"/>
      <c r="L975" s="77"/>
      <c r="M975" s="77"/>
      <c r="N975" s="77"/>
      <c r="O975" s="77"/>
      <c r="P975" s="77"/>
      <c r="Q975" s="77"/>
      <c r="R975" s="77"/>
      <c r="S975" s="77"/>
      <c r="T975" s="77"/>
      <c r="U975" s="77"/>
      <c r="V975" s="77"/>
      <c r="W975" s="77"/>
      <c r="X975" s="77"/>
      <c r="Y975" s="77"/>
      <c r="Z975" s="77"/>
      <c r="AA975" s="77"/>
      <c r="AB975" s="77"/>
      <c r="AC975" s="77"/>
      <c r="AD975" s="77"/>
      <c r="AE975" s="77"/>
      <c r="AF975" s="77"/>
      <c r="AG975" s="77"/>
      <c r="AH975" s="77"/>
      <c r="AI975" s="77"/>
      <c r="AJ975" s="77"/>
      <c r="AK975" s="77"/>
      <c r="AL975" s="77"/>
      <c r="AM975" s="77"/>
      <c r="AN975" s="77"/>
      <c r="AO975" s="77"/>
      <c r="AP975" s="77"/>
      <c r="AQ975" s="77"/>
      <c r="AR975" s="77"/>
    </row>
    <row r="976" spans="1:44" ht="15.75" customHeight="1">
      <c r="A976" s="77"/>
      <c r="B976" s="77"/>
      <c r="C976" s="77"/>
      <c r="D976" s="77"/>
      <c r="E976" s="77"/>
      <c r="F976" s="77"/>
      <c r="G976" s="77"/>
      <c r="H976" s="77"/>
      <c r="I976" s="77"/>
      <c r="J976" s="77"/>
      <c r="K976" s="77"/>
      <c r="L976" s="77"/>
      <c r="M976" s="77"/>
      <c r="N976" s="77"/>
      <c r="O976" s="77"/>
      <c r="P976" s="77"/>
      <c r="Q976" s="77"/>
      <c r="R976" s="77"/>
      <c r="S976" s="77"/>
      <c r="T976" s="77"/>
      <c r="U976" s="77"/>
      <c r="V976" s="77"/>
      <c r="W976" s="77"/>
      <c r="X976" s="77"/>
      <c r="Y976" s="77"/>
      <c r="Z976" s="77"/>
      <c r="AA976" s="77"/>
      <c r="AB976" s="77"/>
      <c r="AC976" s="77"/>
      <c r="AD976" s="77"/>
      <c r="AE976" s="77"/>
      <c r="AF976" s="77"/>
      <c r="AG976" s="77"/>
      <c r="AH976" s="77"/>
      <c r="AI976" s="77"/>
      <c r="AJ976" s="77"/>
      <c r="AK976" s="77"/>
      <c r="AL976" s="77"/>
      <c r="AM976" s="77"/>
      <c r="AN976" s="77"/>
      <c r="AO976" s="77"/>
      <c r="AP976" s="77"/>
      <c r="AQ976" s="77"/>
      <c r="AR976" s="77"/>
    </row>
    <row r="977" spans="1:44" ht="15.75" customHeight="1">
      <c r="A977" s="77"/>
      <c r="B977" s="77"/>
      <c r="C977" s="77"/>
      <c r="D977" s="77"/>
      <c r="E977" s="77"/>
      <c r="F977" s="77"/>
      <c r="G977" s="77"/>
      <c r="H977" s="77"/>
      <c r="I977" s="77"/>
      <c r="J977" s="77"/>
      <c r="K977" s="77"/>
      <c r="L977" s="77"/>
      <c r="M977" s="77"/>
      <c r="N977" s="77"/>
      <c r="O977" s="77"/>
      <c r="P977" s="77"/>
      <c r="Q977" s="77"/>
      <c r="R977" s="77"/>
      <c r="S977" s="77"/>
      <c r="T977" s="77"/>
      <c r="U977" s="77"/>
      <c r="V977" s="77"/>
      <c r="W977" s="77"/>
      <c r="X977" s="77"/>
      <c r="Y977" s="77"/>
      <c r="Z977" s="77"/>
      <c r="AA977" s="77"/>
      <c r="AB977" s="77"/>
      <c r="AC977" s="77"/>
      <c r="AD977" s="77"/>
      <c r="AE977" s="77"/>
      <c r="AF977" s="77"/>
      <c r="AG977" s="77"/>
      <c r="AH977" s="77"/>
      <c r="AI977" s="77"/>
      <c r="AJ977" s="77"/>
      <c r="AK977" s="77"/>
      <c r="AL977" s="77"/>
      <c r="AM977" s="77"/>
      <c r="AN977" s="77"/>
      <c r="AO977" s="77"/>
      <c r="AP977" s="77"/>
      <c r="AQ977" s="77"/>
      <c r="AR977" s="77"/>
    </row>
    <row r="978" spans="1:44" ht="15.75" customHeight="1">
      <c r="A978" s="77"/>
      <c r="B978" s="77"/>
      <c r="C978" s="77"/>
      <c r="D978" s="77"/>
      <c r="E978" s="77"/>
      <c r="F978" s="77"/>
      <c r="G978" s="77"/>
      <c r="H978" s="77"/>
      <c r="I978" s="77"/>
      <c r="J978" s="77"/>
      <c r="K978" s="77"/>
      <c r="L978" s="77"/>
      <c r="M978" s="77"/>
      <c r="N978" s="77"/>
      <c r="O978" s="77"/>
      <c r="P978" s="77"/>
      <c r="Q978" s="77"/>
      <c r="R978" s="77"/>
      <c r="S978" s="77"/>
      <c r="T978" s="77"/>
      <c r="U978" s="77"/>
      <c r="V978" s="77"/>
      <c r="W978" s="77"/>
      <c r="X978" s="77"/>
      <c r="Y978" s="77"/>
      <c r="Z978" s="77"/>
      <c r="AA978" s="77"/>
      <c r="AB978" s="77"/>
      <c r="AC978" s="77"/>
      <c r="AD978" s="77"/>
      <c r="AE978" s="77"/>
      <c r="AF978" s="77"/>
      <c r="AG978" s="77"/>
      <c r="AH978" s="77"/>
      <c r="AI978" s="77"/>
      <c r="AJ978" s="77"/>
      <c r="AK978" s="77"/>
      <c r="AL978" s="77"/>
      <c r="AM978" s="77"/>
      <c r="AN978" s="77"/>
      <c r="AO978" s="77"/>
      <c r="AP978" s="77"/>
      <c r="AQ978" s="77"/>
      <c r="AR978" s="77"/>
    </row>
    <row r="979" spans="1:44" ht="15.75" customHeight="1">
      <c r="A979" s="77"/>
      <c r="B979" s="77"/>
      <c r="C979" s="77"/>
      <c r="D979" s="77"/>
      <c r="E979" s="77"/>
      <c r="F979" s="77"/>
      <c r="G979" s="77"/>
      <c r="H979" s="77"/>
      <c r="I979" s="77"/>
      <c r="J979" s="77"/>
      <c r="K979" s="77"/>
      <c r="L979" s="77"/>
      <c r="M979" s="77"/>
      <c r="N979" s="77"/>
      <c r="O979" s="77"/>
      <c r="P979" s="77"/>
      <c r="Q979" s="77"/>
      <c r="R979" s="77"/>
      <c r="S979" s="77"/>
      <c r="T979" s="77"/>
      <c r="U979" s="77"/>
      <c r="V979" s="77"/>
      <c r="W979" s="77"/>
      <c r="X979" s="77"/>
      <c r="Y979" s="77"/>
      <c r="Z979" s="77"/>
      <c r="AA979" s="77"/>
      <c r="AB979" s="77"/>
      <c r="AC979" s="77"/>
      <c r="AD979" s="77"/>
      <c r="AE979" s="77"/>
      <c r="AF979" s="77"/>
      <c r="AG979" s="77"/>
      <c r="AH979" s="77"/>
      <c r="AI979" s="77"/>
      <c r="AJ979" s="77"/>
      <c r="AK979" s="77"/>
      <c r="AL979" s="77"/>
      <c r="AM979" s="77"/>
      <c r="AN979" s="77"/>
      <c r="AO979" s="77"/>
      <c r="AP979" s="77"/>
      <c r="AQ979" s="77"/>
      <c r="AR979" s="77"/>
    </row>
    <row r="980" spans="1:44" ht="15.75" customHeight="1">
      <c r="A980" s="77"/>
      <c r="B980" s="77"/>
      <c r="C980" s="77"/>
      <c r="D980" s="77"/>
      <c r="E980" s="77"/>
      <c r="F980" s="77"/>
      <c r="G980" s="77"/>
      <c r="H980" s="77"/>
      <c r="I980" s="77"/>
      <c r="J980" s="77"/>
      <c r="K980" s="77"/>
      <c r="L980" s="77"/>
      <c r="M980" s="77"/>
      <c r="N980" s="77"/>
      <c r="O980" s="77"/>
      <c r="P980" s="77"/>
      <c r="Q980" s="77"/>
      <c r="R980" s="77"/>
      <c r="S980" s="77"/>
      <c r="T980" s="77"/>
      <c r="U980" s="77"/>
      <c r="V980" s="77"/>
      <c r="W980" s="77"/>
      <c r="X980" s="77"/>
      <c r="Y980" s="77"/>
      <c r="Z980" s="77"/>
      <c r="AA980" s="77"/>
      <c r="AB980" s="77"/>
      <c r="AC980" s="77"/>
      <c r="AD980" s="77"/>
      <c r="AE980" s="77"/>
      <c r="AF980" s="77"/>
      <c r="AG980" s="77"/>
      <c r="AH980" s="77"/>
      <c r="AI980" s="77"/>
      <c r="AJ980" s="77"/>
      <c r="AK980" s="77"/>
      <c r="AL980" s="77"/>
      <c r="AM980" s="77"/>
      <c r="AN980" s="77"/>
      <c r="AO980" s="77"/>
      <c r="AP980" s="77"/>
      <c r="AQ980" s="77"/>
      <c r="AR980" s="77"/>
    </row>
    <row r="981" spans="1:44" ht="15.75" customHeight="1">
      <c r="A981" s="77"/>
      <c r="B981" s="77"/>
      <c r="C981" s="77"/>
      <c r="D981" s="77"/>
      <c r="E981" s="77"/>
      <c r="F981" s="77"/>
      <c r="G981" s="77"/>
      <c r="H981" s="77"/>
      <c r="I981" s="77"/>
      <c r="J981" s="77"/>
      <c r="K981" s="77"/>
      <c r="L981" s="77"/>
      <c r="M981" s="77"/>
      <c r="N981" s="77"/>
      <c r="O981" s="77"/>
      <c r="P981" s="77"/>
      <c r="Q981" s="77"/>
      <c r="R981" s="77"/>
      <c r="S981" s="77"/>
      <c r="T981" s="77"/>
      <c r="U981" s="77"/>
      <c r="V981" s="77"/>
      <c r="W981" s="77"/>
      <c r="X981" s="77"/>
      <c r="Y981" s="77"/>
      <c r="Z981" s="77"/>
      <c r="AA981" s="77"/>
      <c r="AB981" s="77"/>
      <c r="AC981" s="77"/>
      <c r="AD981" s="77"/>
      <c r="AE981" s="77"/>
      <c r="AF981" s="77"/>
      <c r="AG981" s="77"/>
      <c r="AH981" s="77"/>
      <c r="AI981" s="77"/>
      <c r="AJ981" s="77"/>
      <c r="AK981" s="77"/>
      <c r="AL981" s="77"/>
      <c r="AM981" s="77"/>
      <c r="AN981" s="77"/>
      <c r="AO981" s="77"/>
      <c r="AP981" s="77"/>
      <c r="AQ981" s="77"/>
      <c r="AR981" s="77"/>
    </row>
    <row r="982" spans="1:44" ht="15.75" customHeight="1">
      <c r="A982" s="77"/>
      <c r="B982" s="77"/>
      <c r="C982" s="77"/>
      <c r="D982" s="77"/>
      <c r="E982" s="77"/>
      <c r="F982" s="77"/>
      <c r="G982" s="77"/>
      <c r="H982" s="77"/>
      <c r="I982" s="77"/>
      <c r="J982" s="77"/>
      <c r="K982" s="77"/>
      <c r="L982" s="77"/>
      <c r="M982" s="77"/>
      <c r="N982" s="77"/>
      <c r="O982" s="77"/>
      <c r="P982" s="77"/>
      <c r="Q982" s="77"/>
      <c r="R982" s="77"/>
      <c r="S982" s="77"/>
      <c r="T982" s="77"/>
      <c r="U982" s="77"/>
      <c r="V982" s="77"/>
      <c r="W982" s="77"/>
      <c r="X982" s="77"/>
      <c r="Y982" s="77"/>
      <c r="Z982" s="77"/>
      <c r="AA982" s="77"/>
      <c r="AB982" s="77"/>
      <c r="AC982" s="77"/>
      <c r="AD982" s="77"/>
      <c r="AE982" s="77"/>
      <c r="AF982" s="77"/>
      <c r="AG982" s="77"/>
      <c r="AH982" s="77"/>
      <c r="AI982" s="77"/>
      <c r="AJ982" s="77"/>
      <c r="AK982" s="77"/>
      <c r="AL982" s="77"/>
      <c r="AM982" s="77"/>
      <c r="AN982" s="77"/>
      <c r="AO982" s="77"/>
      <c r="AP982" s="77"/>
      <c r="AQ982" s="77"/>
      <c r="AR982" s="77"/>
    </row>
    <row r="983" spans="1:44" ht="15.75" customHeight="1">
      <c r="A983" s="77"/>
      <c r="B983" s="77"/>
      <c r="C983" s="77"/>
      <c r="D983" s="77"/>
      <c r="E983" s="77"/>
      <c r="F983" s="77"/>
      <c r="G983" s="77"/>
      <c r="H983" s="77"/>
      <c r="I983" s="77"/>
      <c r="J983" s="77"/>
      <c r="K983" s="77"/>
      <c r="L983" s="77"/>
      <c r="M983" s="77"/>
      <c r="N983" s="77"/>
      <c r="O983" s="77"/>
      <c r="P983" s="77"/>
      <c r="Q983" s="77"/>
      <c r="R983" s="77"/>
      <c r="S983" s="77"/>
      <c r="T983" s="77"/>
      <c r="U983" s="77"/>
      <c r="V983" s="77"/>
      <c r="W983" s="77"/>
      <c r="X983" s="77"/>
      <c r="Y983" s="77"/>
      <c r="Z983" s="77"/>
      <c r="AA983" s="77"/>
      <c r="AB983" s="77"/>
      <c r="AC983" s="77"/>
      <c r="AD983" s="77"/>
      <c r="AE983" s="77"/>
      <c r="AF983" s="77"/>
      <c r="AG983" s="77"/>
      <c r="AH983" s="77"/>
      <c r="AI983" s="77"/>
      <c r="AJ983" s="77"/>
      <c r="AK983" s="77"/>
      <c r="AL983" s="77"/>
      <c r="AM983" s="77"/>
      <c r="AN983" s="77"/>
      <c r="AO983" s="77"/>
      <c r="AP983" s="77"/>
      <c r="AQ983" s="77"/>
      <c r="AR983" s="77"/>
    </row>
    <row r="984" spans="1:44" ht="15.75" customHeight="1">
      <c r="A984" s="77"/>
      <c r="B984" s="77"/>
      <c r="C984" s="77"/>
      <c r="D984" s="77"/>
      <c r="E984" s="77"/>
      <c r="F984" s="77"/>
      <c r="G984" s="77"/>
      <c r="H984" s="77"/>
      <c r="I984" s="77"/>
      <c r="J984" s="77"/>
      <c r="K984" s="77"/>
      <c r="L984" s="77"/>
      <c r="M984" s="77"/>
      <c r="N984" s="77"/>
      <c r="O984" s="77"/>
      <c r="P984" s="77"/>
      <c r="Q984" s="77"/>
      <c r="R984" s="77"/>
      <c r="S984" s="77"/>
      <c r="T984" s="77"/>
      <c r="U984" s="77"/>
      <c r="V984" s="77"/>
      <c r="W984" s="77"/>
      <c r="X984" s="77"/>
      <c r="Y984" s="77"/>
      <c r="Z984" s="77"/>
      <c r="AA984" s="77"/>
      <c r="AB984" s="77"/>
      <c r="AC984" s="77"/>
      <c r="AD984" s="77"/>
      <c r="AE984" s="77"/>
      <c r="AF984" s="77"/>
      <c r="AG984" s="77"/>
      <c r="AH984" s="77"/>
      <c r="AI984" s="77"/>
      <c r="AJ984" s="77"/>
      <c r="AK984" s="77"/>
      <c r="AL984" s="77"/>
      <c r="AM984" s="77"/>
      <c r="AN984" s="77"/>
      <c r="AO984" s="77"/>
      <c r="AP984" s="77"/>
      <c r="AQ984" s="77"/>
      <c r="AR984" s="77"/>
    </row>
    <row r="985" spans="1:44" ht="15.75" customHeight="1">
      <c r="A985" s="77"/>
      <c r="B985" s="77"/>
      <c r="C985" s="77"/>
      <c r="D985" s="77"/>
      <c r="E985" s="77"/>
      <c r="F985" s="77"/>
      <c r="G985" s="77"/>
      <c r="H985" s="77"/>
      <c r="I985" s="77"/>
      <c r="J985" s="77"/>
      <c r="K985" s="77"/>
      <c r="L985" s="77"/>
      <c r="M985" s="77"/>
      <c r="N985" s="77"/>
      <c r="O985" s="77"/>
      <c r="P985" s="77"/>
      <c r="Q985" s="77"/>
      <c r="R985" s="77"/>
      <c r="S985" s="77"/>
      <c r="T985" s="77"/>
      <c r="U985" s="77"/>
      <c r="V985" s="77"/>
      <c r="W985" s="77"/>
      <c r="X985" s="77"/>
      <c r="Y985" s="77"/>
      <c r="Z985" s="77"/>
      <c r="AA985" s="77"/>
      <c r="AB985" s="77"/>
      <c r="AC985" s="77"/>
      <c r="AD985" s="77"/>
      <c r="AE985" s="77"/>
      <c r="AF985" s="77"/>
      <c r="AG985" s="77"/>
      <c r="AH985" s="77"/>
      <c r="AI985" s="77"/>
      <c r="AJ985" s="77"/>
      <c r="AK985" s="77"/>
      <c r="AL985" s="77"/>
      <c r="AM985" s="77"/>
      <c r="AN985" s="77"/>
      <c r="AO985" s="77"/>
      <c r="AP985" s="77"/>
      <c r="AQ985" s="77"/>
      <c r="AR985" s="77"/>
    </row>
    <row r="986" spans="1:44" ht="15.75" customHeight="1">
      <c r="A986" s="77"/>
      <c r="B986" s="77"/>
      <c r="C986" s="77"/>
      <c r="D986" s="77"/>
      <c r="E986" s="77"/>
      <c r="F986" s="77"/>
      <c r="G986" s="77"/>
      <c r="H986" s="77"/>
      <c r="I986" s="77"/>
      <c r="J986" s="77"/>
      <c r="K986" s="77"/>
      <c r="L986" s="77"/>
      <c r="M986" s="77"/>
      <c r="N986" s="77"/>
      <c r="O986" s="77"/>
      <c r="P986" s="77"/>
      <c r="Q986" s="77"/>
      <c r="R986" s="77"/>
      <c r="S986" s="77"/>
      <c r="T986" s="77"/>
      <c r="U986" s="77"/>
      <c r="V986" s="77"/>
      <c r="W986" s="77"/>
      <c r="X986" s="77"/>
      <c r="Y986" s="77"/>
      <c r="Z986" s="77"/>
      <c r="AA986" s="77"/>
      <c r="AB986" s="77"/>
      <c r="AC986" s="77"/>
      <c r="AD986" s="77"/>
      <c r="AE986" s="77"/>
      <c r="AF986" s="77"/>
      <c r="AG986" s="77"/>
      <c r="AH986" s="77"/>
      <c r="AI986" s="77"/>
      <c r="AJ986" s="77"/>
      <c r="AK986" s="77"/>
      <c r="AL986" s="77"/>
      <c r="AM986" s="77"/>
      <c r="AN986" s="77"/>
      <c r="AO986" s="77"/>
      <c r="AP986" s="77"/>
      <c r="AQ986" s="77"/>
      <c r="AR986" s="77"/>
    </row>
    <row r="987" spans="1:44" ht="15.75" customHeight="1">
      <c r="A987" s="77"/>
      <c r="B987" s="77"/>
      <c r="C987" s="77"/>
      <c r="D987" s="77"/>
      <c r="E987" s="77"/>
      <c r="F987" s="77"/>
      <c r="G987" s="77"/>
      <c r="H987" s="77"/>
      <c r="I987" s="77"/>
      <c r="J987" s="77"/>
      <c r="K987" s="77"/>
      <c r="L987" s="77"/>
      <c r="M987" s="77"/>
      <c r="N987" s="77"/>
      <c r="O987" s="77"/>
      <c r="P987" s="77"/>
      <c r="Q987" s="77"/>
      <c r="R987" s="77"/>
      <c r="S987" s="77"/>
      <c r="T987" s="77"/>
      <c r="U987" s="77"/>
      <c r="V987" s="77"/>
      <c r="W987" s="77"/>
      <c r="X987" s="77"/>
      <c r="Y987" s="77"/>
      <c r="Z987" s="77"/>
      <c r="AA987" s="77"/>
      <c r="AB987" s="77"/>
      <c r="AC987" s="77"/>
      <c r="AD987" s="77"/>
      <c r="AE987" s="77"/>
      <c r="AF987" s="77"/>
      <c r="AG987" s="77"/>
      <c r="AH987" s="77"/>
      <c r="AI987" s="77"/>
      <c r="AJ987" s="77"/>
      <c r="AK987" s="77"/>
      <c r="AL987" s="77"/>
      <c r="AM987" s="77"/>
      <c r="AN987" s="77"/>
      <c r="AO987" s="77"/>
      <c r="AP987" s="77"/>
      <c r="AQ987" s="77"/>
      <c r="AR987" s="77"/>
    </row>
    <row r="988" spans="1:44" ht="15.75" customHeight="1">
      <c r="A988" s="77"/>
      <c r="B988" s="77"/>
      <c r="C988" s="77"/>
      <c r="D988" s="77"/>
      <c r="E988" s="77"/>
      <c r="F988" s="77"/>
      <c r="G988" s="77"/>
      <c r="H988" s="77"/>
      <c r="I988" s="77"/>
      <c r="J988" s="77"/>
      <c r="K988" s="77"/>
      <c r="L988" s="77"/>
      <c r="M988" s="77"/>
      <c r="N988" s="77"/>
      <c r="O988" s="77"/>
      <c r="P988" s="77"/>
      <c r="Q988" s="77"/>
      <c r="R988" s="77"/>
      <c r="S988" s="77"/>
      <c r="T988" s="77"/>
      <c r="U988" s="77"/>
      <c r="V988" s="77"/>
      <c r="W988" s="77"/>
      <c r="X988" s="77"/>
      <c r="Y988" s="77"/>
      <c r="Z988" s="77"/>
      <c r="AA988" s="77"/>
      <c r="AB988" s="77"/>
      <c r="AC988" s="77"/>
      <c r="AD988" s="77"/>
      <c r="AE988" s="77"/>
      <c r="AF988" s="77"/>
      <c r="AG988" s="77"/>
      <c r="AH988" s="77"/>
      <c r="AI988" s="77"/>
      <c r="AJ988" s="77"/>
      <c r="AK988" s="77"/>
      <c r="AL988" s="77"/>
      <c r="AM988" s="77"/>
      <c r="AN988" s="77"/>
      <c r="AO988" s="77"/>
      <c r="AP988" s="77"/>
      <c r="AQ988" s="77"/>
      <c r="AR988" s="77"/>
    </row>
    <row r="989" spans="1:44" ht="15.75" customHeight="1">
      <c r="A989" s="77"/>
      <c r="B989" s="77"/>
      <c r="C989" s="77"/>
      <c r="D989" s="77"/>
      <c r="E989" s="77"/>
      <c r="F989" s="77"/>
      <c r="G989" s="77"/>
      <c r="H989" s="77"/>
      <c r="I989" s="77"/>
      <c r="J989" s="77"/>
      <c r="K989" s="77"/>
      <c r="L989" s="77"/>
      <c r="M989" s="77"/>
      <c r="N989" s="77"/>
      <c r="O989" s="77"/>
      <c r="P989" s="77"/>
      <c r="Q989" s="77"/>
      <c r="R989" s="77"/>
      <c r="S989" s="77"/>
      <c r="T989" s="77"/>
      <c r="U989" s="77"/>
      <c r="V989" s="77"/>
      <c r="W989" s="77"/>
      <c r="X989" s="77"/>
      <c r="Y989" s="77"/>
      <c r="Z989" s="77"/>
      <c r="AA989" s="77"/>
      <c r="AB989" s="77"/>
      <c r="AC989" s="77"/>
      <c r="AD989" s="77"/>
      <c r="AE989" s="77"/>
      <c r="AF989" s="77"/>
      <c r="AG989" s="77"/>
      <c r="AH989" s="77"/>
      <c r="AI989" s="77"/>
      <c r="AJ989" s="77"/>
      <c r="AK989" s="77"/>
      <c r="AL989" s="77"/>
      <c r="AM989" s="77"/>
      <c r="AN989" s="77"/>
      <c r="AO989" s="77"/>
      <c r="AP989" s="77"/>
      <c r="AQ989" s="77"/>
      <c r="AR989" s="77"/>
    </row>
    <row r="990" spans="1:44" ht="15.75" customHeight="1">
      <c r="A990" s="77"/>
      <c r="B990" s="77"/>
      <c r="C990" s="77"/>
      <c r="D990" s="77"/>
      <c r="E990" s="77"/>
      <c r="F990" s="77"/>
      <c r="G990" s="77"/>
      <c r="H990" s="77"/>
      <c r="I990" s="77"/>
      <c r="J990" s="77"/>
      <c r="K990" s="77"/>
      <c r="L990" s="77"/>
      <c r="M990" s="77"/>
      <c r="N990" s="77"/>
      <c r="O990" s="77"/>
      <c r="P990" s="77"/>
      <c r="Q990" s="77"/>
      <c r="R990" s="77"/>
      <c r="S990" s="77"/>
      <c r="T990" s="77"/>
      <c r="U990" s="77"/>
      <c r="V990" s="77"/>
      <c r="W990" s="77"/>
      <c r="X990" s="77"/>
      <c r="Y990" s="77"/>
      <c r="Z990" s="77"/>
      <c r="AA990" s="77"/>
      <c r="AB990" s="77"/>
      <c r="AC990" s="77"/>
      <c r="AD990" s="77"/>
      <c r="AE990" s="77"/>
      <c r="AF990" s="77"/>
      <c r="AG990" s="77"/>
      <c r="AH990" s="77"/>
      <c r="AI990" s="77"/>
      <c r="AJ990" s="77"/>
      <c r="AK990" s="77"/>
      <c r="AL990" s="77"/>
      <c r="AM990" s="77"/>
      <c r="AN990" s="77"/>
      <c r="AO990" s="77"/>
      <c r="AP990" s="77"/>
      <c r="AQ990" s="77"/>
      <c r="AR990" s="77"/>
    </row>
    <row r="991" spans="1:44" ht="15.75" customHeight="1">
      <c r="A991" s="77"/>
      <c r="B991" s="77"/>
      <c r="C991" s="77"/>
      <c r="D991" s="77"/>
      <c r="E991" s="77"/>
      <c r="F991" s="77"/>
      <c r="G991" s="77"/>
      <c r="H991" s="77"/>
      <c r="I991" s="77"/>
      <c r="J991" s="77"/>
      <c r="K991" s="77"/>
      <c r="L991" s="77"/>
      <c r="M991" s="77"/>
      <c r="N991" s="77"/>
      <c r="O991" s="77"/>
      <c r="P991" s="77"/>
      <c r="Q991" s="77"/>
      <c r="R991" s="77"/>
      <c r="S991" s="77"/>
      <c r="T991" s="77"/>
      <c r="U991" s="77"/>
      <c r="V991" s="77"/>
      <c r="W991" s="77"/>
      <c r="X991" s="77"/>
      <c r="Y991" s="77"/>
      <c r="Z991" s="77"/>
      <c r="AA991" s="77"/>
      <c r="AB991" s="77"/>
      <c r="AC991" s="77"/>
      <c r="AD991" s="77"/>
      <c r="AE991" s="77"/>
      <c r="AF991" s="77"/>
      <c r="AG991" s="77"/>
      <c r="AH991" s="77"/>
      <c r="AI991" s="77"/>
      <c r="AJ991" s="77"/>
      <c r="AK991" s="77"/>
      <c r="AL991" s="77"/>
      <c r="AM991" s="77"/>
      <c r="AN991" s="77"/>
      <c r="AO991" s="77"/>
      <c r="AP991" s="77"/>
      <c r="AQ991" s="77"/>
      <c r="AR991" s="77"/>
    </row>
    <row r="992" spans="1:44" ht="15.75" customHeight="1">
      <c r="A992" s="77"/>
      <c r="B992" s="77"/>
      <c r="C992" s="77"/>
      <c r="D992" s="77"/>
      <c r="E992" s="77"/>
      <c r="F992" s="77"/>
      <c r="G992" s="77"/>
      <c r="H992" s="77"/>
      <c r="I992" s="77"/>
      <c r="J992" s="77"/>
      <c r="K992" s="77"/>
      <c r="L992" s="77"/>
      <c r="M992" s="77"/>
      <c r="N992" s="77"/>
      <c r="O992" s="77"/>
      <c r="P992" s="77"/>
      <c r="Q992" s="77"/>
      <c r="R992" s="77"/>
      <c r="S992" s="77"/>
      <c r="T992" s="77"/>
      <c r="U992" s="77"/>
      <c r="V992" s="77"/>
      <c r="W992" s="77"/>
      <c r="X992" s="77"/>
      <c r="Y992" s="77"/>
      <c r="Z992" s="77"/>
      <c r="AA992" s="77"/>
      <c r="AB992" s="77"/>
      <c r="AC992" s="77"/>
      <c r="AD992" s="77"/>
      <c r="AE992" s="77"/>
      <c r="AF992" s="77"/>
      <c r="AG992" s="77"/>
      <c r="AH992" s="77"/>
      <c r="AI992" s="77"/>
      <c r="AJ992" s="77"/>
      <c r="AK992" s="77"/>
      <c r="AL992" s="77"/>
      <c r="AM992" s="77"/>
      <c r="AN992" s="77"/>
      <c r="AO992" s="77"/>
      <c r="AP992" s="77"/>
      <c r="AQ992" s="77"/>
      <c r="AR992" s="77"/>
    </row>
    <row r="993" spans="1:44" ht="15.75" customHeight="1">
      <c r="A993" s="77"/>
      <c r="B993" s="77"/>
      <c r="C993" s="77"/>
      <c r="D993" s="77"/>
      <c r="E993" s="77"/>
      <c r="F993" s="77"/>
      <c r="G993" s="77"/>
      <c r="H993" s="77"/>
      <c r="I993" s="77"/>
      <c r="J993" s="77"/>
      <c r="K993" s="77"/>
      <c r="L993" s="77"/>
      <c r="M993" s="77"/>
      <c r="N993" s="77"/>
      <c r="O993" s="77"/>
      <c r="P993" s="77"/>
      <c r="Q993" s="77"/>
      <c r="R993" s="77"/>
      <c r="S993" s="77"/>
      <c r="T993" s="77"/>
      <c r="U993" s="77"/>
      <c r="V993" s="77"/>
      <c r="W993" s="77"/>
      <c r="X993" s="77"/>
      <c r="Y993" s="77"/>
      <c r="Z993" s="77"/>
      <c r="AA993" s="77"/>
      <c r="AB993" s="77"/>
      <c r="AC993" s="77"/>
      <c r="AD993" s="77"/>
      <c r="AE993" s="77"/>
      <c r="AF993" s="77"/>
      <c r="AG993" s="77"/>
      <c r="AH993" s="77"/>
      <c r="AI993" s="77"/>
      <c r="AJ993" s="77"/>
      <c r="AK993" s="77"/>
      <c r="AL993" s="77"/>
      <c r="AM993" s="77"/>
      <c r="AN993" s="77"/>
      <c r="AO993" s="77"/>
      <c r="AP993" s="77"/>
      <c r="AQ993" s="77"/>
      <c r="AR993" s="77"/>
    </row>
    <row r="994" spans="1:44" ht="15.75" customHeight="1">
      <c r="A994" s="77"/>
      <c r="B994" s="77"/>
      <c r="C994" s="77"/>
      <c r="D994" s="77"/>
      <c r="E994" s="77"/>
      <c r="F994" s="77"/>
      <c r="G994" s="77"/>
      <c r="H994" s="77"/>
      <c r="I994" s="77"/>
      <c r="J994" s="77"/>
      <c r="K994" s="77"/>
      <c r="L994" s="77"/>
      <c r="M994" s="77"/>
      <c r="N994" s="77"/>
      <c r="O994" s="77"/>
      <c r="P994" s="77"/>
      <c r="Q994" s="77"/>
      <c r="R994" s="77"/>
      <c r="S994" s="77"/>
      <c r="T994" s="77"/>
      <c r="U994" s="77"/>
      <c r="V994" s="77"/>
      <c r="W994" s="77"/>
      <c r="X994" s="77"/>
      <c r="Y994" s="77"/>
      <c r="Z994" s="77"/>
      <c r="AA994" s="77"/>
      <c r="AB994" s="77"/>
      <c r="AC994" s="77"/>
      <c r="AD994" s="77"/>
      <c r="AE994" s="77"/>
      <c r="AF994" s="77"/>
      <c r="AG994" s="77"/>
      <c r="AH994" s="77"/>
      <c r="AI994" s="77"/>
      <c r="AJ994" s="77"/>
      <c r="AK994" s="77"/>
      <c r="AL994" s="77"/>
      <c r="AM994" s="77"/>
      <c r="AN994" s="77"/>
      <c r="AO994" s="77"/>
      <c r="AP994" s="77"/>
      <c r="AQ994" s="77"/>
      <c r="AR994" s="77"/>
    </row>
    <row r="995" spans="1:44" ht="15.75" customHeight="1">
      <c r="A995" s="77"/>
      <c r="B995" s="77"/>
      <c r="C995" s="77"/>
      <c r="D995" s="77"/>
      <c r="E995" s="77"/>
      <c r="F995" s="77"/>
      <c r="G995" s="77"/>
      <c r="H995" s="77"/>
      <c r="I995" s="77"/>
      <c r="J995" s="77"/>
      <c r="K995" s="77"/>
      <c r="L995" s="77"/>
      <c r="M995" s="77"/>
      <c r="N995" s="77"/>
      <c r="O995" s="77"/>
      <c r="P995" s="77"/>
      <c r="Q995" s="77"/>
      <c r="R995" s="77"/>
      <c r="S995" s="77"/>
      <c r="T995" s="77"/>
      <c r="U995" s="77"/>
      <c r="V995" s="77"/>
      <c r="W995" s="77"/>
      <c r="X995" s="77"/>
      <c r="Y995" s="77"/>
      <c r="Z995" s="77"/>
      <c r="AA995" s="77"/>
      <c r="AB995" s="77"/>
      <c r="AC995" s="77"/>
      <c r="AD995" s="77"/>
      <c r="AE995" s="77"/>
      <c r="AF995" s="77"/>
      <c r="AG995" s="77"/>
      <c r="AH995" s="77"/>
      <c r="AI995" s="77"/>
      <c r="AJ995" s="77"/>
      <c r="AK995" s="77"/>
      <c r="AL995" s="77"/>
      <c r="AM995" s="77"/>
      <c r="AN995" s="77"/>
      <c r="AO995" s="77"/>
      <c r="AP995" s="77"/>
      <c r="AQ995" s="77"/>
      <c r="AR995" s="77"/>
    </row>
    <row r="996" spans="1:44" ht="15.75" customHeight="1">
      <c r="A996" s="77"/>
      <c r="B996" s="77"/>
      <c r="C996" s="77"/>
      <c r="D996" s="77"/>
      <c r="E996" s="77"/>
      <c r="F996" s="77"/>
      <c r="G996" s="77"/>
      <c r="H996" s="77"/>
      <c r="I996" s="77"/>
      <c r="J996" s="77"/>
      <c r="K996" s="77"/>
      <c r="L996" s="77"/>
      <c r="M996" s="77"/>
      <c r="N996" s="77"/>
      <c r="O996" s="77"/>
      <c r="P996" s="77"/>
      <c r="Q996" s="77"/>
      <c r="R996" s="77"/>
      <c r="S996" s="77"/>
      <c r="T996" s="77"/>
      <c r="U996" s="77"/>
      <c r="V996" s="77"/>
      <c r="W996" s="77"/>
      <c r="X996" s="77"/>
      <c r="Y996" s="77"/>
      <c r="Z996" s="77"/>
      <c r="AA996" s="77"/>
      <c r="AB996" s="77"/>
      <c r="AC996" s="77"/>
      <c r="AD996" s="77"/>
      <c r="AE996" s="77"/>
      <c r="AF996" s="77"/>
      <c r="AG996" s="77"/>
      <c r="AH996" s="77"/>
      <c r="AI996" s="77"/>
      <c r="AJ996" s="77"/>
      <c r="AK996" s="77"/>
      <c r="AL996" s="77"/>
      <c r="AM996" s="77"/>
      <c r="AN996" s="77"/>
      <c r="AO996" s="77"/>
      <c r="AP996" s="77"/>
      <c r="AQ996" s="77"/>
      <c r="AR996" s="77"/>
    </row>
    <row r="997" spans="1:44" ht="15.75" customHeight="1">
      <c r="A997" s="77"/>
      <c r="B997" s="77"/>
      <c r="C997" s="77"/>
      <c r="D997" s="77"/>
      <c r="E997" s="77"/>
      <c r="F997" s="77"/>
      <c r="G997" s="77"/>
      <c r="H997" s="77"/>
      <c r="I997" s="77"/>
      <c r="J997" s="77"/>
      <c r="K997" s="77"/>
      <c r="L997" s="77"/>
      <c r="M997" s="77"/>
      <c r="N997" s="77"/>
      <c r="O997" s="77"/>
      <c r="P997" s="77"/>
      <c r="Q997" s="77"/>
      <c r="R997" s="77"/>
      <c r="S997" s="77"/>
      <c r="T997" s="77"/>
      <c r="U997" s="77"/>
      <c r="V997" s="77"/>
      <c r="W997" s="77"/>
      <c r="X997" s="77"/>
      <c r="Y997" s="77"/>
      <c r="Z997" s="77"/>
      <c r="AA997" s="77"/>
      <c r="AB997" s="77"/>
      <c r="AC997" s="77"/>
      <c r="AD997" s="77"/>
      <c r="AE997" s="77"/>
      <c r="AF997" s="77"/>
      <c r="AG997" s="77"/>
      <c r="AH997" s="77"/>
      <c r="AI997" s="77"/>
      <c r="AJ997" s="77"/>
      <c r="AK997" s="77"/>
      <c r="AL997" s="77"/>
      <c r="AM997" s="77"/>
      <c r="AN997" s="77"/>
      <c r="AO997" s="77"/>
      <c r="AP997" s="77"/>
      <c r="AQ997" s="77"/>
      <c r="AR997" s="77"/>
    </row>
    <row r="998" spans="1:44" ht="15.75" customHeight="1">
      <c r="A998" s="77"/>
      <c r="B998" s="77"/>
      <c r="C998" s="77"/>
      <c r="D998" s="77"/>
      <c r="E998" s="77"/>
      <c r="F998" s="77"/>
      <c r="G998" s="77"/>
      <c r="H998" s="77"/>
      <c r="I998" s="77"/>
      <c r="J998" s="77"/>
      <c r="K998" s="77"/>
      <c r="L998" s="77"/>
      <c r="M998" s="77"/>
      <c r="N998" s="77"/>
      <c r="O998" s="77"/>
      <c r="P998" s="77"/>
      <c r="Q998" s="77"/>
      <c r="R998" s="77"/>
      <c r="S998" s="77"/>
      <c r="T998" s="77"/>
      <c r="U998" s="77"/>
      <c r="V998" s="77"/>
      <c r="W998" s="77"/>
      <c r="X998" s="77"/>
      <c r="Y998" s="77"/>
      <c r="Z998" s="77"/>
      <c r="AA998" s="77"/>
      <c r="AB998" s="77"/>
      <c r="AC998" s="77"/>
      <c r="AD998" s="77"/>
      <c r="AE998" s="77"/>
      <c r="AF998" s="77"/>
      <c r="AG998" s="77"/>
      <c r="AH998" s="77"/>
      <c r="AI998" s="77"/>
      <c r="AJ998" s="77"/>
      <c r="AK998" s="77"/>
      <c r="AL998" s="77"/>
      <c r="AM998" s="77"/>
      <c r="AN998" s="77"/>
      <c r="AO998" s="77"/>
      <c r="AP998" s="77"/>
      <c r="AQ998" s="77"/>
      <c r="AR998" s="77"/>
    </row>
    <row r="999" spans="1:44" ht="15.75" customHeight="1">
      <c r="A999" s="77"/>
      <c r="B999" s="77"/>
      <c r="C999" s="77"/>
      <c r="D999" s="77"/>
      <c r="E999" s="77"/>
      <c r="F999" s="77"/>
      <c r="G999" s="77"/>
      <c r="H999" s="77"/>
      <c r="I999" s="77"/>
      <c r="J999" s="77"/>
      <c r="K999" s="77"/>
      <c r="L999" s="77"/>
      <c r="M999" s="77"/>
      <c r="N999" s="77"/>
      <c r="O999" s="77"/>
      <c r="P999" s="77"/>
      <c r="Q999" s="77"/>
      <c r="R999" s="77"/>
      <c r="S999" s="77"/>
      <c r="T999" s="77"/>
      <c r="U999" s="77"/>
      <c r="V999" s="77"/>
      <c r="W999" s="77"/>
      <c r="X999" s="77"/>
      <c r="Y999" s="77"/>
      <c r="Z999" s="77"/>
      <c r="AA999" s="77"/>
      <c r="AB999" s="77"/>
      <c r="AC999" s="77"/>
      <c r="AD999" s="77"/>
      <c r="AE999" s="77"/>
      <c r="AF999" s="77"/>
      <c r="AG999" s="77"/>
      <c r="AH999" s="77"/>
      <c r="AI999" s="77"/>
      <c r="AJ999" s="77"/>
      <c r="AK999" s="77"/>
      <c r="AL999" s="77"/>
      <c r="AM999" s="77"/>
      <c r="AN999" s="77"/>
      <c r="AO999" s="77"/>
      <c r="AP999" s="77"/>
      <c r="AQ999" s="77"/>
      <c r="AR999" s="77"/>
    </row>
    <row r="1000" spans="1:44" ht="15.75" customHeight="1">
      <c r="A1000" s="77"/>
      <c r="B1000" s="77"/>
      <c r="C1000" s="77"/>
      <c r="D1000" s="77"/>
      <c r="E1000" s="77"/>
      <c r="F1000" s="77"/>
      <c r="G1000" s="77"/>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c r="AD1000" s="77"/>
      <c r="AE1000" s="77"/>
      <c r="AF1000" s="77"/>
      <c r="AG1000" s="77"/>
      <c r="AH1000" s="77"/>
      <c r="AI1000" s="77"/>
      <c r="AJ1000" s="77"/>
      <c r="AK1000" s="77"/>
      <c r="AL1000" s="77"/>
      <c r="AM1000" s="77"/>
      <c r="AN1000" s="77"/>
      <c r="AO1000" s="77"/>
      <c r="AP1000" s="77"/>
      <c r="AQ1000" s="77"/>
      <c r="AR1000" s="77"/>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C20" sqref="C20:C22"/>
    </sheetView>
  </sheetViews>
  <sheetFormatPr baseColWidth="10" defaultColWidth="14.5" defaultRowHeight="15" customHeight="1"/>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 r="A1" s="334" t="s">
        <v>838</v>
      </c>
      <c r="B1" s="204"/>
      <c r="C1" s="204"/>
      <c r="D1" s="204"/>
      <c r="E1" s="204"/>
      <c r="F1" s="204"/>
      <c r="G1" s="204"/>
      <c r="H1" s="204"/>
      <c r="I1" s="204"/>
      <c r="J1" s="204"/>
      <c r="K1" s="204"/>
      <c r="L1" s="204"/>
      <c r="M1" s="204"/>
      <c r="N1" s="204"/>
      <c r="O1" s="204"/>
      <c r="P1" s="334" t="s">
        <v>839</v>
      </c>
      <c r="Q1" s="204"/>
      <c r="R1" s="204"/>
      <c r="S1" s="204"/>
      <c r="T1" s="96"/>
      <c r="U1" s="96"/>
      <c r="V1" s="97"/>
      <c r="W1" s="97"/>
      <c r="X1" s="97"/>
      <c r="Y1" s="97"/>
      <c r="Z1" s="97"/>
    </row>
    <row r="2" spans="1:26" ht="18">
      <c r="A2" s="334" t="s">
        <v>2</v>
      </c>
      <c r="B2" s="204"/>
      <c r="C2" s="204"/>
      <c r="D2" s="204"/>
      <c r="E2" s="204"/>
      <c r="F2" s="204"/>
      <c r="G2" s="204"/>
      <c r="H2" s="204"/>
      <c r="I2" s="204"/>
      <c r="J2" s="204"/>
      <c r="K2" s="204"/>
      <c r="L2" s="204"/>
      <c r="M2" s="204"/>
      <c r="N2" s="204"/>
      <c r="O2" s="204"/>
      <c r="P2" s="204"/>
      <c r="Q2" s="204"/>
      <c r="R2" s="204"/>
      <c r="S2" s="204"/>
      <c r="T2" s="204"/>
      <c r="U2" s="204"/>
      <c r="V2" s="97"/>
      <c r="W2" s="97"/>
      <c r="X2" s="97"/>
      <c r="Y2" s="97"/>
      <c r="Z2" s="97"/>
    </row>
    <row r="3" spans="1:26" ht="18">
      <c r="A3" s="334" t="s">
        <v>840</v>
      </c>
      <c r="B3" s="204"/>
      <c r="C3" s="204"/>
      <c r="D3" s="204"/>
      <c r="E3" s="204"/>
      <c r="F3" s="204"/>
      <c r="G3" s="204"/>
      <c r="H3" s="204"/>
      <c r="I3" s="204"/>
      <c r="J3" s="204"/>
      <c r="K3" s="204"/>
      <c r="L3" s="204"/>
      <c r="M3" s="204"/>
      <c r="N3" s="204"/>
      <c r="O3" s="204"/>
      <c r="P3" s="204"/>
      <c r="Q3" s="204"/>
      <c r="R3" s="204"/>
      <c r="S3" s="95"/>
      <c r="T3" s="95"/>
      <c r="U3" s="95"/>
      <c r="V3" s="97"/>
      <c r="W3" s="97"/>
      <c r="X3" s="97"/>
      <c r="Y3" s="97"/>
      <c r="Z3" s="97"/>
    </row>
    <row r="4" spans="1:26" ht="18">
      <c r="A4" s="95"/>
      <c r="B4" s="95"/>
      <c r="C4" s="95"/>
      <c r="D4" s="95"/>
      <c r="E4" s="95"/>
      <c r="F4" s="95"/>
      <c r="G4" s="95"/>
      <c r="H4" s="95"/>
      <c r="I4" s="95"/>
      <c r="J4" s="95"/>
      <c r="K4" s="95"/>
      <c r="L4" s="95"/>
      <c r="M4" s="95"/>
      <c r="N4" s="95"/>
      <c r="O4" s="95"/>
      <c r="P4" s="95"/>
      <c r="Q4" s="95"/>
      <c r="R4" s="95"/>
      <c r="S4" s="95"/>
      <c r="T4" s="95"/>
      <c r="U4" s="95"/>
      <c r="V4" s="97"/>
      <c r="W4" s="97"/>
      <c r="X4" s="97"/>
      <c r="Y4" s="97"/>
      <c r="Z4" s="97"/>
    </row>
    <row r="5" spans="1:26" ht="18">
      <c r="A5" s="334" t="s">
        <v>841</v>
      </c>
      <c r="B5" s="204"/>
      <c r="C5" s="204"/>
      <c r="D5" s="204"/>
      <c r="E5" s="204"/>
      <c r="F5" s="204"/>
      <c r="G5" s="204"/>
      <c r="H5" s="204"/>
      <c r="I5" s="204"/>
      <c r="J5" s="204"/>
      <c r="K5" s="204"/>
      <c r="L5" s="204"/>
      <c r="M5" s="204"/>
      <c r="N5" s="204"/>
      <c r="O5" s="204"/>
      <c r="P5" s="204"/>
      <c r="Q5" s="204"/>
      <c r="R5" s="204"/>
      <c r="S5" s="204"/>
      <c r="T5" s="204"/>
      <c r="U5" s="204"/>
      <c r="V5" s="97"/>
      <c r="W5" s="97"/>
      <c r="X5" s="97"/>
      <c r="Y5" s="97"/>
      <c r="Z5" s="97"/>
    </row>
    <row r="6" spans="1:26" ht="16">
      <c r="A6" s="7"/>
      <c r="B6" s="7"/>
      <c r="C6" s="7"/>
      <c r="D6" s="7"/>
      <c r="E6" s="7"/>
      <c r="F6" s="7"/>
      <c r="G6" s="7"/>
      <c r="H6" s="7"/>
      <c r="I6" s="7"/>
      <c r="J6" s="7"/>
      <c r="K6" s="7"/>
      <c r="L6" s="7"/>
      <c r="M6" s="7"/>
      <c r="N6" s="7"/>
      <c r="O6" s="7"/>
      <c r="P6" s="7"/>
      <c r="Q6" s="7"/>
      <c r="R6" s="7"/>
      <c r="S6" s="7"/>
      <c r="T6" s="7"/>
      <c r="U6" s="7"/>
      <c r="V6" s="97"/>
      <c r="W6" s="97"/>
      <c r="X6" s="97"/>
      <c r="Y6" s="97"/>
      <c r="Z6" s="97"/>
    </row>
    <row r="7" spans="1:26" ht="16">
      <c r="A7" s="7" t="s">
        <v>5</v>
      </c>
      <c r="B7" s="7"/>
      <c r="C7" s="324">
        <f>'DR-TB 10A (Sputum &amp; EP Sample)'!C6:G6</f>
        <v>0</v>
      </c>
      <c r="D7" s="231"/>
      <c r="E7" s="231"/>
      <c r="F7" s="231"/>
      <c r="G7" s="231"/>
      <c r="H7" s="97"/>
      <c r="I7" s="7"/>
      <c r="J7" s="98" t="s">
        <v>6</v>
      </c>
      <c r="K7" s="97"/>
      <c r="L7" s="314" t="str">
        <f>'DR-TB 10A (Sputum &amp; EP Sample)'!L6</f>
        <v>&lt;Dates&gt;</v>
      </c>
      <c r="M7" s="314"/>
      <c r="N7" s="314"/>
      <c r="O7" s="314"/>
      <c r="P7" s="314"/>
      <c r="Q7" s="314"/>
      <c r="R7" s="314"/>
      <c r="S7" s="314"/>
      <c r="T7" s="97"/>
      <c r="U7" s="97"/>
      <c r="V7" s="97"/>
      <c r="W7" s="97"/>
      <c r="X7" s="97"/>
      <c r="Y7" s="97"/>
      <c r="Z7" s="97"/>
    </row>
    <row r="8" spans="1:26" ht="17">
      <c r="A8" s="7" t="s">
        <v>8</v>
      </c>
      <c r="B8" s="7"/>
      <c r="C8" s="325">
        <f>'DR-TB 10A (Sputum &amp; EP Sample)'!C7:G7</f>
        <v>0</v>
      </c>
      <c r="D8" s="229"/>
      <c r="E8" s="229"/>
      <c r="F8" s="229"/>
      <c r="G8" s="229"/>
      <c r="H8" s="97"/>
      <c r="I8" s="99"/>
      <c r="J8" s="2" t="s">
        <v>842</v>
      </c>
      <c r="K8" s="100"/>
      <c r="L8" s="100"/>
      <c r="M8" s="100"/>
      <c r="N8" s="318">
        <f>'DR-TB 10A (Sputum &amp; EP Sample)'!N7:S7</f>
        <v>0</v>
      </c>
      <c r="O8" s="231"/>
      <c r="P8" s="231"/>
      <c r="Q8" s="231"/>
      <c r="R8" s="231"/>
      <c r="S8" s="231"/>
      <c r="T8" s="97"/>
      <c r="U8" s="97"/>
      <c r="V8" s="97"/>
      <c r="W8" s="97"/>
      <c r="X8" s="97"/>
      <c r="Y8" s="97"/>
      <c r="Z8" s="97"/>
    </row>
    <row r="9" spans="1:26" ht="17">
      <c r="A9" s="7" t="s">
        <v>10</v>
      </c>
      <c r="B9" s="7"/>
      <c r="C9" s="325">
        <f>'DR-TB 10A (Sputum &amp; EP Sample)'!C8:G8</f>
        <v>0</v>
      </c>
      <c r="D9" s="229"/>
      <c r="E9" s="229"/>
      <c r="F9" s="229"/>
      <c r="G9" s="229"/>
      <c r="H9" s="97"/>
      <c r="I9" s="99"/>
      <c r="J9" s="99" t="s">
        <v>11</v>
      </c>
      <c r="K9" s="99"/>
      <c r="L9" s="99"/>
      <c r="M9" s="318">
        <f>'DR-TB 10A (Sputum &amp; EP Sample)'!M8:S8</f>
        <v>0</v>
      </c>
      <c r="N9" s="231"/>
      <c r="O9" s="231"/>
      <c r="P9" s="231"/>
      <c r="Q9" s="231"/>
      <c r="R9" s="231"/>
      <c r="S9" s="231"/>
      <c r="T9" s="97"/>
      <c r="U9" s="97"/>
      <c r="V9" s="97"/>
      <c r="W9" s="97"/>
      <c r="X9" s="97"/>
      <c r="Y9" s="97"/>
      <c r="Z9" s="97"/>
    </row>
    <row r="10" spans="1:26" ht="17">
      <c r="A10" s="97"/>
      <c r="B10" s="97"/>
      <c r="C10" s="97"/>
      <c r="D10" s="97"/>
      <c r="E10" s="97"/>
      <c r="F10" s="97"/>
      <c r="G10" s="97"/>
      <c r="H10" s="97"/>
      <c r="I10" s="97"/>
      <c r="J10" s="99" t="s">
        <v>14</v>
      </c>
      <c r="K10" s="99"/>
      <c r="L10" s="99"/>
      <c r="M10" s="322">
        <f>'DR-TB 10A (Sputum &amp; EP Sample)'!M9:N9</f>
        <v>0</v>
      </c>
      <c r="N10" s="229"/>
      <c r="O10" s="101"/>
      <c r="P10" s="102"/>
      <c r="Q10" s="97"/>
      <c r="R10" s="97"/>
      <c r="S10" s="97"/>
      <c r="T10" s="97"/>
      <c r="U10" s="97"/>
      <c r="V10" s="97"/>
      <c r="W10" s="97"/>
      <c r="X10" s="97"/>
      <c r="Y10" s="97"/>
      <c r="Z10" s="97"/>
    </row>
    <row r="11" spans="1:26" ht="17">
      <c r="A11" s="97"/>
      <c r="B11" s="97"/>
      <c r="C11" s="97"/>
      <c r="D11" s="97"/>
      <c r="E11" s="97"/>
      <c r="F11" s="97"/>
      <c r="G11" s="97"/>
      <c r="H11" s="97"/>
      <c r="I11" s="97"/>
      <c r="J11" s="103" t="s">
        <v>15</v>
      </c>
      <c r="K11" s="335">
        <f>'DR-TB 10A (Sputum &amp; EP Sample)'!K10:L10</f>
        <v>0</v>
      </c>
      <c r="L11" s="231"/>
      <c r="M11" s="103"/>
      <c r="N11" s="104"/>
      <c r="O11" s="99" t="s">
        <v>16</v>
      </c>
      <c r="P11" s="97"/>
      <c r="Q11" s="329">
        <f>'DR-TB 10A (Sputum &amp; EP Sample)'!Q10:S10</f>
        <v>0</v>
      </c>
      <c r="R11" s="231"/>
      <c r="S11" s="231"/>
      <c r="T11" s="105"/>
      <c r="U11" s="97"/>
      <c r="V11" s="97"/>
      <c r="W11" s="97"/>
      <c r="X11" s="97"/>
      <c r="Y11" s="97"/>
      <c r="Z11" s="97"/>
    </row>
    <row r="12" spans="1:26" ht="16">
      <c r="A12" s="97"/>
      <c r="B12" s="97"/>
      <c r="C12" s="97"/>
      <c r="D12" s="97"/>
      <c r="E12" s="97"/>
      <c r="F12" s="97"/>
      <c r="G12" s="97"/>
      <c r="H12" s="97"/>
      <c r="I12" s="97"/>
      <c r="J12" s="103"/>
      <c r="K12" s="106"/>
      <c r="L12" s="106"/>
      <c r="M12" s="103"/>
      <c r="N12" s="104"/>
      <c r="O12" s="99"/>
      <c r="P12" s="97"/>
      <c r="Q12" s="107"/>
      <c r="R12" s="107"/>
      <c r="S12" s="107"/>
      <c r="T12" s="105"/>
      <c r="U12" s="97"/>
      <c r="V12" s="97"/>
      <c r="W12" s="97"/>
      <c r="X12" s="97"/>
      <c r="Y12" s="97"/>
      <c r="Z12" s="97"/>
    </row>
    <row r="13" spans="1:26" ht="17">
      <c r="A13" s="328" t="s">
        <v>843</v>
      </c>
      <c r="B13" s="326" t="s">
        <v>844</v>
      </c>
      <c r="C13" s="219"/>
      <c r="D13" s="326" t="s">
        <v>845</v>
      </c>
      <c r="E13" s="219"/>
      <c r="F13" s="97"/>
      <c r="G13" s="97"/>
      <c r="H13" s="319" t="s">
        <v>846</v>
      </c>
      <c r="I13" s="272"/>
      <c r="J13" s="272"/>
      <c r="K13" s="320"/>
      <c r="L13" s="330" t="s">
        <v>847</v>
      </c>
      <c r="M13" s="213"/>
      <c r="N13" s="213"/>
      <c r="O13" s="331" t="s">
        <v>26</v>
      </c>
      <c r="P13" s="332"/>
      <c r="Q13" s="105"/>
      <c r="R13" s="97"/>
      <c r="S13" s="97"/>
      <c r="T13" s="97"/>
      <c r="U13" s="97"/>
      <c r="V13" s="97"/>
      <c r="W13" s="97"/>
      <c r="X13" s="97"/>
      <c r="Y13" s="97"/>
      <c r="Z13" s="97"/>
    </row>
    <row r="14" spans="1:26" ht="16">
      <c r="A14" s="206"/>
      <c r="B14" s="327"/>
      <c r="C14" s="219"/>
      <c r="D14" s="327"/>
      <c r="E14" s="219"/>
      <c r="F14" s="97"/>
      <c r="G14" s="97"/>
      <c r="H14" s="274"/>
      <c r="I14" s="275"/>
      <c r="J14" s="275"/>
      <c r="K14" s="321"/>
      <c r="L14" s="108"/>
      <c r="M14" s="109"/>
      <c r="N14" s="110"/>
      <c r="O14" s="333">
        <f>L14+M14+N14</f>
        <v>0</v>
      </c>
      <c r="P14" s="321"/>
      <c r="Q14" s="105"/>
      <c r="R14" s="97"/>
      <c r="S14" s="97"/>
      <c r="T14" s="97"/>
      <c r="U14" s="97"/>
      <c r="V14" s="97"/>
      <c r="W14" s="97"/>
      <c r="X14" s="97"/>
      <c r="Y14" s="97"/>
      <c r="Z14" s="97"/>
    </row>
    <row r="15" spans="1:26" ht="16">
      <c r="A15" s="7"/>
      <c r="B15" s="111"/>
      <c r="C15" s="111"/>
      <c r="D15" s="111"/>
      <c r="E15" s="111"/>
      <c r="F15" s="105"/>
      <c r="G15" s="104"/>
      <c r="H15" s="104"/>
      <c r="I15" s="104"/>
      <c r="J15" s="104"/>
      <c r="K15" s="104"/>
      <c r="L15" s="104"/>
      <c r="M15" s="104"/>
      <c r="N15" s="104"/>
      <c r="O15" s="104"/>
      <c r="P15" s="104"/>
      <c r="Q15" s="104"/>
      <c r="R15" s="104"/>
      <c r="S15" s="104"/>
      <c r="T15" s="104"/>
      <c r="U15" s="104"/>
      <c r="V15" s="97"/>
      <c r="W15" s="97"/>
      <c r="X15" s="97"/>
      <c r="Y15" s="97"/>
      <c r="Z15" s="97"/>
    </row>
    <row r="16" spans="1:26" ht="16">
      <c r="A16" s="112"/>
      <c r="B16" s="111"/>
      <c r="C16" s="111"/>
      <c r="D16" s="111"/>
      <c r="E16" s="111"/>
      <c r="F16" s="111"/>
      <c r="G16" s="111"/>
      <c r="H16" s="111"/>
      <c r="I16" s="105"/>
      <c r="J16" s="104"/>
      <c r="K16" s="104"/>
      <c r="L16" s="104"/>
      <c r="M16" s="104"/>
      <c r="N16" s="104"/>
      <c r="O16" s="104"/>
      <c r="P16" s="104"/>
      <c r="Q16" s="104"/>
      <c r="R16" s="104"/>
      <c r="S16" s="104"/>
      <c r="T16" s="104"/>
      <c r="U16" s="113"/>
      <c r="V16" s="97"/>
      <c r="W16" s="97"/>
      <c r="X16" s="97"/>
      <c r="Y16" s="97"/>
      <c r="Z16" s="97"/>
    </row>
    <row r="17" spans="1:26">
      <c r="A17" s="310"/>
      <c r="B17" s="236"/>
      <c r="C17" s="308" t="s">
        <v>848</v>
      </c>
      <c r="D17" s="218"/>
      <c r="E17" s="219"/>
      <c r="F17" s="316" t="s">
        <v>849</v>
      </c>
      <c r="G17" s="218"/>
      <c r="H17" s="218"/>
      <c r="I17" s="218"/>
      <c r="J17" s="218"/>
      <c r="K17" s="219"/>
      <c r="L17" s="308" t="s">
        <v>850</v>
      </c>
      <c r="M17" s="218"/>
      <c r="N17" s="218"/>
      <c r="O17" s="218"/>
      <c r="P17" s="218"/>
      <c r="Q17" s="219"/>
      <c r="R17" s="97"/>
      <c r="S17" s="97"/>
      <c r="T17" s="97"/>
      <c r="U17" s="309"/>
      <c r="V17" s="97"/>
      <c r="W17" s="97"/>
      <c r="X17" s="97"/>
      <c r="Y17" s="97"/>
      <c r="Z17" s="97"/>
    </row>
    <row r="18" spans="1:26">
      <c r="A18" s="237"/>
      <c r="B18" s="238"/>
      <c r="C18" s="312" t="s">
        <v>851</v>
      </c>
      <c r="D18" s="312" t="s">
        <v>852</v>
      </c>
      <c r="E18" s="312" t="s">
        <v>26</v>
      </c>
      <c r="F18" s="317" t="s">
        <v>851</v>
      </c>
      <c r="G18" s="236"/>
      <c r="H18" s="317" t="s">
        <v>852</v>
      </c>
      <c r="I18" s="236"/>
      <c r="J18" s="317" t="s">
        <v>26</v>
      </c>
      <c r="K18" s="236"/>
      <c r="L18" s="310" t="s">
        <v>851</v>
      </c>
      <c r="M18" s="236"/>
      <c r="N18" s="310" t="s">
        <v>852</v>
      </c>
      <c r="O18" s="236"/>
      <c r="P18" s="311" t="s">
        <v>26</v>
      </c>
      <c r="Q18" s="236"/>
      <c r="R18" s="97"/>
      <c r="S18" s="97"/>
      <c r="T18" s="97"/>
      <c r="U18" s="204"/>
      <c r="V18" s="97"/>
      <c r="W18" s="97"/>
      <c r="X18" s="97"/>
      <c r="Y18" s="97"/>
      <c r="Z18" s="97"/>
    </row>
    <row r="19" spans="1:26">
      <c r="A19" s="239"/>
      <c r="B19" s="241"/>
      <c r="C19" s="206"/>
      <c r="D19" s="206"/>
      <c r="E19" s="206"/>
      <c r="F19" s="239"/>
      <c r="G19" s="241"/>
      <c r="H19" s="239"/>
      <c r="I19" s="241"/>
      <c r="J19" s="239"/>
      <c r="K19" s="241"/>
      <c r="L19" s="239"/>
      <c r="M19" s="241"/>
      <c r="N19" s="239"/>
      <c r="O19" s="241"/>
      <c r="P19" s="239"/>
      <c r="Q19" s="241"/>
      <c r="R19" s="97"/>
      <c r="S19" s="97"/>
      <c r="T19" s="97"/>
      <c r="U19" s="204"/>
      <c r="V19" s="97"/>
      <c r="W19" s="97"/>
      <c r="X19" s="97"/>
      <c r="Y19" s="97"/>
      <c r="Z19" s="97"/>
    </row>
    <row r="20" spans="1:26" ht="15" customHeight="1">
      <c r="A20" s="310" t="s">
        <v>853</v>
      </c>
      <c r="B20" s="236"/>
      <c r="C20" s="323"/>
      <c r="D20" s="323"/>
      <c r="E20" s="312">
        <f>C20+D20</f>
        <v>0</v>
      </c>
      <c r="F20" s="313"/>
      <c r="G20" s="236"/>
      <c r="H20" s="315"/>
      <c r="I20" s="236"/>
      <c r="J20" s="313">
        <f>F20+H20</f>
        <v>0</v>
      </c>
      <c r="K20" s="236"/>
      <c r="L20" s="311">
        <f>C20+F20</f>
        <v>0</v>
      </c>
      <c r="M20" s="236"/>
      <c r="N20" s="311">
        <f>D20+H20</f>
        <v>0</v>
      </c>
      <c r="O20" s="236"/>
      <c r="P20" s="311">
        <f>L20+N20</f>
        <v>0</v>
      </c>
      <c r="Q20" s="236"/>
      <c r="R20" s="97"/>
      <c r="S20" s="97"/>
      <c r="T20" s="97"/>
      <c r="U20" s="307"/>
      <c r="V20" s="97"/>
      <c r="W20" s="97"/>
      <c r="X20" s="97"/>
      <c r="Y20" s="97"/>
      <c r="Z20" s="97"/>
    </row>
    <row r="21" spans="1:26" ht="15" customHeight="1">
      <c r="A21" s="237"/>
      <c r="B21" s="238"/>
      <c r="C21" s="196"/>
      <c r="D21" s="196"/>
      <c r="E21" s="196"/>
      <c r="F21" s="237"/>
      <c r="G21" s="238"/>
      <c r="H21" s="237"/>
      <c r="I21" s="238"/>
      <c r="J21" s="237"/>
      <c r="K21" s="238"/>
      <c r="L21" s="237"/>
      <c r="M21" s="238"/>
      <c r="N21" s="237"/>
      <c r="O21" s="238"/>
      <c r="P21" s="237"/>
      <c r="Q21" s="238"/>
      <c r="R21" s="97"/>
      <c r="S21" s="97"/>
      <c r="T21" s="97"/>
      <c r="U21" s="204"/>
      <c r="V21" s="97"/>
      <c r="W21" s="97"/>
      <c r="X21" s="97"/>
      <c r="Y21" s="97"/>
      <c r="Z21" s="97"/>
    </row>
    <row r="22" spans="1:26" ht="15" customHeight="1">
      <c r="A22" s="239"/>
      <c r="B22" s="241"/>
      <c r="C22" s="206"/>
      <c r="D22" s="206"/>
      <c r="E22" s="206"/>
      <c r="F22" s="239"/>
      <c r="G22" s="241"/>
      <c r="H22" s="239"/>
      <c r="I22" s="241"/>
      <c r="J22" s="239"/>
      <c r="K22" s="241"/>
      <c r="L22" s="239"/>
      <c r="M22" s="241"/>
      <c r="N22" s="239"/>
      <c r="O22" s="241"/>
      <c r="P22" s="239"/>
      <c r="Q22" s="241"/>
      <c r="R22" s="97"/>
      <c r="S22" s="97"/>
      <c r="T22" s="97"/>
      <c r="U22" s="204"/>
      <c r="V22" s="97"/>
      <c r="W22" s="97"/>
      <c r="X22" s="97"/>
      <c r="Y22" s="97"/>
      <c r="Z22" s="97"/>
    </row>
    <row r="23" spans="1:26" ht="15.75" customHeight="1">
      <c r="A23" s="310" t="s">
        <v>854</v>
      </c>
      <c r="B23" s="236"/>
      <c r="C23" s="323"/>
      <c r="D23" s="323"/>
      <c r="E23" s="312">
        <f>C23+D23</f>
        <v>0</v>
      </c>
      <c r="F23" s="313"/>
      <c r="G23" s="236"/>
      <c r="H23" s="315"/>
      <c r="I23" s="236"/>
      <c r="J23" s="313">
        <f>F23+H23</f>
        <v>0</v>
      </c>
      <c r="K23" s="236"/>
      <c r="L23" s="311">
        <f>C23+F23</f>
        <v>0</v>
      </c>
      <c r="M23" s="236"/>
      <c r="N23" s="311">
        <f>D23+H23</f>
        <v>0</v>
      </c>
      <c r="O23" s="236"/>
      <c r="P23" s="311">
        <f>L23+N23</f>
        <v>0</v>
      </c>
      <c r="Q23" s="236"/>
      <c r="R23" s="97"/>
      <c r="S23" s="97"/>
      <c r="T23" s="97"/>
      <c r="U23" s="115"/>
      <c r="V23" s="97"/>
      <c r="W23" s="97"/>
      <c r="X23" s="97"/>
      <c r="Y23" s="97"/>
      <c r="Z23" s="97"/>
    </row>
    <row r="24" spans="1:26" ht="15.75" customHeight="1">
      <c r="A24" s="237"/>
      <c r="B24" s="238"/>
      <c r="C24" s="196"/>
      <c r="D24" s="196"/>
      <c r="E24" s="196"/>
      <c r="F24" s="237"/>
      <c r="G24" s="238"/>
      <c r="H24" s="237"/>
      <c r="I24" s="238"/>
      <c r="J24" s="237"/>
      <c r="K24" s="238"/>
      <c r="L24" s="237"/>
      <c r="M24" s="238"/>
      <c r="N24" s="237"/>
      <c r="O24" s="238"/>
      <c r="P24" s="237"/>
      <c r="Q24" s="238"/>
      <c r="R24" s="97"/>
      <c r="S24" s="97"/>
      <c r="T24" s="97"/>
      <c r="U24" s="115"/>
      <c r="V24" s="97"/>
      <c r="W24" s="97"/>
      <c r="X24" s="97"/>
      <c r="Y24" s="97"/>
      <c r="Z24" s="97"/>
    </row>
    <row r="25" spans="1:26" ht="15.75" customHeight="1">
      <c r="A25" s="239"/>
      <c r="B25" s="241"/>
      <c r="C25" s="206"/>
      <c r="D25" s="206"/>
      <c r="E25" s="206"/>
      <c r="F25" s="239"/>
      <c r="G25" s="241"/>
      <c r="H25" s="239"/>
      <c r="I25" s="241"/>
      <c r="J25" s="239"/>
      <c r="K25" s="241"/>
      <c r="L25" s="239"/>
      <c r="M25" s="241"/>
      <c r="N25" s="239"/>
      <c r="O25" s="241"/>
      <c r="P25" s="239"/>
      <c r="Q25" s="241"/>
      <c r="R25" s="97"/>
      <c r="S25" s="97"/>
      <c r="T25" s="97"/>
      <c r="U25" s="115"/>
      <c r="V25" s="97"/>
      <c r="W25" s="97"/>
      <c r="X25" s="97"/>
      <c r="Y25" s="97"/>
      <c r="Z25" s="97"/>
    </row>
    <row r="26" spans="1:26" ht="15.75" customHeight="1">
      <c r="A26" s="310" t="s">
        <v>855</v>
      </c>
      <c r="B26" s="236"/>
      <c r="C26" s="323"/>
      <c r="D26" s="323"/>
      <c r="E26" s="312">
        <f>C26+D26</f>
        <v>0</v>
      </c>
      <c r="F26" s="313"/>
      <c r="G26" s="236"/>
      <c r="H26" s="315"/>
      <c r="I26" s="236"/>
      <c r="J26" s="313">
        <f>F26+H26</f>
        <v>0</v>
      </c>
      <c r="K26" s="236"/>
      <c r="L26" s="311">
        <f>C26+F26</f>
        <v>0</v>
      </c>
      <c r="M26" s="236"/>
      <c r="N26" s="311">
        <f>D26+H26</f>
        <v>0</v>
      </c>
      <c r="O26" s="236"/>
      <c r="P26" s="311">
        <f>L26+N26</f>
        <v>0</v>
      </c>
      <c r="Q26" s="236"/>
      <c r="R26" s="114"/>
      <c r="S26" s="115"/>
      <c r="T26" s="115"/>
      <c r="U26" s="115"/>
      <c r="V26" s="97"/>
      <c r="W26" s="97"/>
      <c r="X26" s="97"/>
      <c r="Y26" s="97"/>
      <c r="Z26" s="97"/>
    </row>
    <row r="27" spans="1:26" ht="15.75" customHeight="1">
      <c r="A27" s="237"/>
      <c r="B27" s="238"/>
      <c r="C27" s="196"/>
      <c r="D27" s="196"/>
      <c r="E27" s="196"/>
      <c r="F27" s="237"/>
      <c r="G27" s="238"/>
      <c r="H27" s="237"/>
      <c r="I27" s="238"/>
      <c r="J27" s="237"/>
      <c r="K27" s="238"/>
      <c r="L27" s="237"/>
      <c r="M27" s="238"/>
      <c r="N27" s="237"/>
      <c r="O27" s="238"/>
      <c r="P27" s="237"/>
      <c r="Q27" s="238"/>
      <c r="R27" s="114"/>
      <c r="S27" s="115"/>
      <c r="T27" s="115"/>
      <c r="U27" s="115"/>
      <c r="V27" s="97"/>
      <c r="W27" s="97"/>
      <c r="X27" s="97"/>
      <c r="Y27" s="97"/>
      <c r="Z27" s="97"/>
    </row>
    <row r="28" spans="1:26" ht="15.75" customHeight="1">
      <c r="A28" s="239"/>
      <c r="B28" s="241"/>
      <c r="C28" s="206"/>
      <c r="D28" s="206"/>
      <c r="E28" s="206"/>
      <c r="F28" s="239"/>
      <c r="G28" s="241"/>
      <c r="H28" s="239"/>
      <c r="I28" s="241"/>
      <c r="J28" s="239"/>
      <c r="K28" s="241"/>
      <c r="L28" s="239"/>
      <c r="M28" s="241"/>
      <c r="N28" s="239"/>
      <c r="O28" s="241"/>
      <c r="P28" s="239"/>
      <c r="Q28" s="241"/>
      <c r="R28" s="114"/>
      <c r="S28" s="115"/>
      <c r="T28" s="115"/>
      <c r="U28" s="115"/>
      <c r="V28" s="97"/>
      <c r="W28" s="97"/>
      <c r="X28" s="97"/>
      <c r="Y28" s="97"/>
      <c r="Z28" s="97"/>
    </row>
    <row r="29" spans="1:26" ht="15.75" customHeight="1">
      <c r="A29" s="114"/>
      <c r="B29" s="114"/>
      <c r="C29" s="114"/>
      <c r="D29" s="114"/>
      <c r="E29" s="116"/>
      <c r="F29" s="115"/>
      <c r="G29" s="115"/>
      <c r="H29" s="116"/>
      <c r="I29" s="116"/>
      <c r="J29" s="115"/>
      <c r="K29" s="115"/>
      <c r="L29" s="116"/>
      <c r="M29" s="116"/>
      <c r="N29" s="116"/>
      <c r="O29" s="116"/>
      <c r="P29" s="116"/>
      <c r="Q29" s="116"/>
      <c r="R29" s="114"/>
      <c r="S29" s="115"/>
      <c r="T29" s="115"/>
      <c r="U29" s="115"/>
      <c r="V29" s="97"/>
      <c r="W29" s="97"/>
      <c r="X29" s="97"/>
      <c r="Y29" s="97"/>
      <c r="Z29" s="97"/>
    </row>
    <row r="30" spans="1:26" ht="15.75" customHeight="1">
      <c r="A30" s="7"/>
      <c r="B30" s="7"/>
      <c r="C30" s="7"/>
      <c r="D30" s="7"/>
      <c r="E30" s="97"/>
      <c r="F30" s="97"/>
      <c r="G30" s="97"/>
      <c r="H30" s="105" t="s">
        <v>856</v>
      </c>
      <c r="I30" s="105"/>
      <c r="J30" s="105"/>
      <c r="K30" s="105"/>
      <c r="L30" s="105"/>
      <c r="M30" s="337"/>
      <c r="N30" s="240"/>
      <c r="O30" s="240"/>
      <c r="P30" s="240"/>
      <c r="Q30" s="240"/>
      <c r="R30" s="240"/>
      <c r="S30" s="240"/>
      <c r="T30" s="97"/>
      <c r="U30" s="97"/>
      <c r="V30" s="97"/>
      <c r="W30" s="97"/>
      <c r="X30" s="97"/>
      <c r="Y30" s="97"/>
      <c r="Z30" s="97"/>
    </row>
    <row r="31" spans="1:26" ht="15.75" customHeight="1">
      <c r="A31" s="117"/>
      <c r="B31" s="117"/>
      <c r="C31" s="117"/>
      <c r="D31" s="117"/>
      <c r="E31" s="118"/>
      <c r="F31" s="118"/>
      <c r="G31" s="98"/>
      <c r="H31" s="105" t="s">
        <v>112</v>
      </c>
      <c r="I31" s="338"/>
      <c r="J31" s="240"/>
      <c r="K31" s="240"/>
      <c r="L31" s="240"/>
      <c r="M31" s="97"/>
      <c r="N31" s="119" t="s">
        <v>113</v>
      </c>
      <c r="O31" s="339"/>
      <c r="P31" s="218"/>
      <c r="Q31" s="218"/>
      <c r="R31" s="97"/>
      <c r="S31" s="97"/>
      <c r="T31" s="97"/>
      <c r="U31" s="97"/>
      <c r="V31" s="97"/>
      <c r="W31" s="97"/>
      <c r="X31" s="97"/>
      <c r="Y31" s="97"/>
      <c r="Z31" s="97"/>
    </row>
    <row r="32" spans="1:26" ht="15.75" customHeight="1">
      <c r="A32" s="98"/>
      <c r="B32" s="116"/>
      <c r="C32" s="116"/>
      <c r="D32" s="116"/>
      <c r="E32" s="98"/>
      <c r="F32" s="98"/>
      <c r="G32" s="118"/>
      <c r="H32" s="105" t="s">
        <v>114</v>
      </c>
      <c r="I32" s="336"/>
      <c r="J32" s="240"/>
      <c r="K32" s="240"/>
      <c r="L32" s="240"/>
      <c r="M32" s="240"/>
      <c r="N32" s="97"/>
      <c r="O32" s="97"/>
      <c r="P32" s="97"/>
      <c r="Q32" s="97"/>
      <c r="R32" s="97"/>
      <c r="S32" s="97"/>
      <c r="T32" s="97"/>
      <c r="U32" s="97"/>
      <c r="V32" s="97"/>
      <c r="W32" s="97"/>
      <c r="X32" s="97"/>
      <c r="Y32" s="97"/>
      <c r="Z32" s="97"/>
    </row>
    <row r="33" spans="1:26" ht="15.75" customHeight="1">
      <c r="A33" s="98"/>
      <c r="B33" s="116"/>
      <c r="C33" s="116"/>
      <c r="D33" s="116"/>
      <c r="E33" s="98"/>
      <c r="F33" s="98"/>
      <c r="G33" s="118"/>
      <c r="H33" s="118"/>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5.75" customHeight="1">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5.75" customHeight="1">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5.75" customHeight="1">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5.75" customHeight="1">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5.75" customHeight="1">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5.75" customHeight="1">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5.75" customHeight="1">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5.75" customHeight="1">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5.75" customHeight="1">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5.75" customHeight="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5.75" customHeight="1">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5.75" customHeight="1">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5.75" customHeight="1">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5.75" customHeight="1">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5.75" customHeight="1">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5.75" customHeight="1">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5.75" customHeight="1">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5.75" customHeight="1">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5.75" customHeight="1">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5.75" customHeight="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5.75" customHeight="1">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5.75" customHeight="1">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5.75" customHeight="1">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5.75" customHeight="1">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5.75" customHeight="1">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5.75" customHeight="1">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5.75" customHeight="1">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5.75" customHeight="1">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5.75" customHeight="1">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5.75" customHeight="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5.75" customHeight="1">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5.75" customHeight="1">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5.75" customHeight="1">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5.75" customHeight="1">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5.75" customHeight="1">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5.75" customHeight="1">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5.75" customHeight="1">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5.75" customHeight="1">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5.75" customHeight="1">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5.75" customHeight="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5.75" customHeight="1">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5.75" customHeight="1">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5.75" customHeight="1">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5.75" customHeight="1">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5.75" customHeight="1">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5.75" customHeight="1">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5.75" customHeight="1">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5.75" customHeight="1">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5.75" customHeight="1">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5.75" customHeight="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5.75" customHeight="1">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5.75" customHeight="1">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5.75" customHeight="1">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5.75" customHeight="1">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5.75" customHeight="1">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5.75" customHeight="1">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5.75" customHeight="1">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5.75" customHeight="1">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5.75" customHeight="1">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5.75" customHeight="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5.75" customHeight="1">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5.75" customHeight="1">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5.75" customHeight="1">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5.75" customHeight="1">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5.75" customHeight="1">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5.75" customHeight="1">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5.75" customHeight="1">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5.75" customHeight="1">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5.75" customHeight="1">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5.75" customHeight="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5.75" customHeight="1">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5.75" customHeight="1">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5.75" customHeight="1">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5.75" customHeight="1">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5.75" customHeight="1">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5.75" customHeight="1">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5.75" customHeight="1">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5.75" customHeight="1">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5.75" customHeight="1">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5.75" customHeight="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5.75" customHeight="1">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5.75" customHeight="1">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5.75" customHeight="1">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5.75" customHeight="1">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5.75" customHeight="1">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5.75" customHeight="1">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5.75" customHeight="1">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5.75" customHeight="1">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5.75" customHeight="1">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5.75" customHeight="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5.75" customHeight="1">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5.75" customHeight="1">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5.75" customHeight="1">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5.75" customHeight="1">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5.75" customHeight="1">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5.75" customHeight="1">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5.75" customHeight="1">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5.75" customHeight="1">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5.75" customHeight="1">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5.75" customHeight="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5.75" customHeight="1">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5.75" customHeight="1">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5.75" customHeight="1">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5.75" customHeight="1">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5.75" customHeight="1">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5.75" customHeight="1">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5.75" customHeight="1">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5.75" customHeight="1">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5.75" customHeight="1">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5.75" customHeight="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5.75" customHeight="1">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5.75" customHeight="1">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5.75" customHeight="1">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5.75" customHeight="1">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5.75" customHeight="1">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5.75" customHeight="1">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5.75" customHeight="1">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5.75" customHeight="1">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5.75" customHeight="1">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5.75" customHeight="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5.75" customHeight="1">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5.75" customHeight="1">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5.75" customHeight="1">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5.75" customHeight="1">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5.75" customHeight="1">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5.75" customHeight="1">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5.75" customHeight="1">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5.75" customHeight="1">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5.75" customHeight="1">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5.75" customHeight="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5.75" customHeight="1">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5.75" customHeight="1">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5.75" customHeight="1">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5.75" customHeight="1">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5.75" customHeight="1">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5.75" customHeight="1">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5.75" customHeight="1">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5.75" customHeight="1">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5.75" customHeight="1">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5.75" customHeight="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5.75" customHeight="1">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5.75" customHeight="1">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5.75" customHeight="1">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5.75" customHeight="1">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5.75" customHeight="1">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5.75" customHeight="1">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5.75" customHeight="1">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5.75" customHeight="1">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5.75" customHeight="1">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5.75" customHeight="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5.75" customHeight="1">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5.75" customHeight="1">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5.75" customHeight="1">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5.75" customHeight="1">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5.75" customHeight="1">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5.75" customHeight="1">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5.75" customHeight="1">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5.75" customHeight="1">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5.75" customHeight="1">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5.75" customHeight="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5.75" customHeight="1">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5.75" customHeight="1">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5.75" customHeight="1">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5.75" customHeight="1">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5.75" customHeight="1">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5.75" customHeight="1">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5.75" customHeight="1">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5.75" customHeight="1">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5.75" customHeight="1">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5.75" customHeight="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5.75" customHeight="1">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5.75" customHeight="1">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5.75" customHeight="1">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5.75" customHeight="1">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5.75" customHeight="1">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5.75" customHeight="1">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5.75" customHeight="1">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5.75" customHeight="1">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5.75" customHeight="1">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5.75" customHeight="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5.75" customHeight="1">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5.75" customHeight="1">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5.75" customHeight="1">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5.75" customHeight="1">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5.75" customHeight="1">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5.75" customHeight="1">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5.75" customHeight="1">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5.75" customHeight="1">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5.75" customHeight="1">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5.75" customHeight="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5.75" customHeight="1">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5.75" customHeight="1">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5.75" customHeight="1">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5.75" customHeight="1">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5.75" customHeight="1">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5.75" customHeight="1">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5.75" customHeight="1">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5.75" customHeight="1">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5.75" customHeight="1">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5.75" customHeight="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5.75" customHeight="1">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5.75" customHeight="1">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5.75" customHeight="1">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5.75" customHeight="1">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5.75" customHeight="1">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5.75" customHeight="1">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5.75" customHeight="1">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5.75" customHeight="1">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5.75" customHeight="1">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5.75" customHeight="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5.75" customHeight="1">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5.75" customHeight="1">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5.75" customHeight="1">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5.75" customHeight="1">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5.75" customHeight="1">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5.75" customHeight="1">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5.75" customHeight="1">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5.75" customHeight="1">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5.75" customHeight="1">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5.75" customHeight="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5.75" customHeight="1">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5.75" customHeight="1">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5.75" customHeight="1">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5.75" customHeight="1">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5.75" customHeight="1">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5.75" customHeight="1">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5.75" customHeight="1">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5.75" customHeight="1">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5.75" customHeight="1">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5.75" customHeight="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5.75" customHeight="1">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5.75" customHeight="1">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5.75" customHeight="1">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5.75" customHeight="1">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5.75" customHeight="1">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5.75" customHeight="1">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5.75" customHeight="1">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5.75" customHeight="1">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5.75" customHeight="1">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5.75" customHeight="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5.75" customHeight="1">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5.75" customHeight="1">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5.75" customHeight="1">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5.75" customHeight="1">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5.75" customHeight="1">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5.75" customHeight="1">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5.75" customHeight="1">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5.75" customHeight="1">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5.75" customHeight="1">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5.75" customHeight="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5.75" customHeight="1">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5.75" customHeight="1">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5.75" customHeight="1">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5.75" customHeight="1">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5.75" customHeight="1">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5.75" customHeight="1">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5.75" customHeight="1">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5.75" customHeight="1">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5.75" customHeight="1">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5.75" customHeight="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5.75" customHeight="1">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5.75" customHeight="1">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5.75" customHeight="1">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5.75" customHeight="1">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5.75" customHeight="1">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5.75" customHeight="1">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5.75" customHeight="1">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5.75" customHeight="1">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5.75" customHeight="1">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5.75" customHeight="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5.75" customHeight="1">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5.75" customHeight="1">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5.75" customHeight="1">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5.75" customHeight="1">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5.75" customHeight="1">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5.75" customHeight="1">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5.75" customHeight="1">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5.75" customHeight="1">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5.75" customHeight="1">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5.75" customHeight="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5.75" customHeight="1">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5.75" customHeight="1">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5.75" customHeight="1">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5.75" customHeight="1">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5.75" customHeight="1">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5.75" customHeight="1">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5.75" customHeight="1">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5.75" customHeight="1">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5.75" customHeight="1">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5.75" customHeight="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5.75" customHeight="1">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5.75" customHeight="1">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5.75" customHeight="1">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5.75" customHeight="1">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5.75" customHeight="1">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5.75" customHeight="1">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5.75" customHeight="1">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5.75" customHeight="1">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5.75" customHeight="1">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5.75" customHeight="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5.75" customHeight="1">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5.75" customHeight="1">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5.75" customHeight="1">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5.75" customHeight="1">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5.75" customHeight="1">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5.75" customHeight="1">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5.75" customHeight="1">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5.75" customHeight="1">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5.75" customHeight="1">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5.75" customHeight="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5.75" customHeight="1">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5.75" customHeight="1">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5.75" customHeight="1">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5.75" customHeight="1">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5.75" customHeight="1">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5.75" customHeight="1">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5.75" customHeight="1">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5.75" customHeight="1">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5.75" customHeight="1">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5.75" customHeight="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5.75" customHeight="1">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5.75" customHeight="1">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5.75" customHeight="1">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5.75" customHeight="1">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5.75" customHeight="1">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5.75" customHeight="1">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5.75" customHeight="1">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5.75" customHeight="1">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5.75" customHeight="1">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5.75" customHeight="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5.75" customHeight="1">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5.75" customHeight="1">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5.75" customHeight="1">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5.75" customHeight="1">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5.75" customHeight="1">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5.75" customHeight="1">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5.75" customHeight="1">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5.75" customHeight="1">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5.75" customHeight="1">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5.75" customHeight="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5.75" customHeight="1">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5.75" customHeight="1">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5.75" customHeight="1">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5.75" customHeight="1">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5.75" customHeight="1">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5.75" customHeight="1">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5.75" customHeight="1">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5.75" customHeight="1">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5.75" customHeight="1">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5.75" customHeight="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5.75" customHeight="1">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5.75" customHeight="1">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5.75" customHeight="1">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5.75" customHeight="1">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5.75" customHeight="1">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5.75" customHeight="1">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5.75" customHeight="1">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5.75" customHeight="1">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5.75" customHeight="1">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5.75" customHeight="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5.75" customHeight="1">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5.75" customHeight="1">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5.75" customHeight="1">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5.75" customHeight="1">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5.75" customHeight="1">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5.75" customHeight="1">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5.75" customHeight="1">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5.75" customHeight="1">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5.75" customHeight="1">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5.75" customHeight="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5.75" customHeight="1">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5.75" customHeight="1">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5.75" customHeight="1">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5.75" customHeight="1">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5.75" customHeight="1">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5.75" customHeight="1">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5.75" customHeight="1">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5.75" customHeight="1">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5.75" customHeight="1">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5.75" customHeight="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5.75" customHeight="1">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5.75" customHeight="1">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5.75" customHeight="1">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5.75" customHeight="1">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5.75" customHeight="1">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5.75" customHeight="1">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5.75" customHeight="1">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5.75" customHeight="1">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5.75" customHeight="1">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5.75" customHeight="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5.75" customHeight="1">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5.75" customHeight="1">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5.75" customHeight="1">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5.75" customHeight="1">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5.75" customHeight="1">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5.75" customHeight="1">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5.75" customHeight="1">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5.75" customHeight="1">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5.75" customHeight="1">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5.75" customHeight="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5.75" customHeight="1">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5.75" customHeight="1">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5.75" customHeight="1">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5.75" customHeight="1">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5.75" customHeight="1">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5.75" customHeight="1">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5.75" customHeight="1">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5.75" customHeight="1">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5.75" customHeight="1">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5.75" customHeight="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5.75" customHeight="1">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5.75" customHeight="1">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5.75" customHeight="1">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5.75" customHeight="1">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5.75" customHeight="1">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5.75" customHeight="1">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5.75" customHeight="1">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5.75" customHeight="1">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5.75" customHeight="1">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5.75" customHeight="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5.75" customHeight="1">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5.75" customHeight="1">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5.75" customHeight="1">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5.75" customHeight="1">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5.75" customHeight="1">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5.75" customHeight="1">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5.75" customHeight="1">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5.75" customHeight="1">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5.75" customHeight="1">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5.75" customHeight="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5.75" customHeight="1">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5.75" customHeight="1">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5.75" customHeight="1">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5.75" customHeight="1">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5.75" customHeight="1">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5.75" customHeight="1">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5.75" customHeight="1">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5.75" customHeight="1">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5.75" customHeight="1">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5.75" customHeight="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5.75" customHeight="1">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5.75" customHeight="1">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5.75" customHeight="1">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5.75" customHeight="1">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5.75" customHeight="1">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5.75" customHeight="1">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5.75" customHeight="1">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5.75" customHeight="1">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5.75" customHeight="1">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5.75" customHeight="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5.75" customHeight="1">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5.75" customHeight="1">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5.75" customHeight="1">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5.75" customHeight="1">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5.75" customHeight="1">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5.75" customHeight="1">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5.75" customHeight="1">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5.75" customHeight="1">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5.75" customHeight="1">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5.75" customHeight="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5.75" customHeight="1">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5.75" customHeight="1">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5.75" customHeight="1">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5.75" customHeight="1">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5.75" customHeight="1">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5.75" customHeight="1">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5.75" customHeight="1">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5.75" customHeight="1">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5.75" customHeight="1">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5.75" customHeight="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5.75" customHeight="1">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5.75" customHeight="1">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5.75" customHeight="1">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5.75" customHeight="1">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5.75" customHeight="1">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5.75" customHeight="1">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5.75" customHeight="1">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5.75" customHeight="1">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5.75" customHeight="1">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5.75" customHeight="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5.75" customHeight="1">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5.75" customHeight="1">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5.75" customHeight="1">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5.75" customHeight="1">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5.75" customHeight="1">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5.75" customHeight="1">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5.75" customHeight="1">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5.75" customHeight="1">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5.75" customHeight="1">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5.75" customHeight="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5.75" customHeight="1">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5.75" customHeight="1">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5.75" customHeight="1">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5.75" customHeight="1">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5.75" customHeight="1">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5.75" customHeight="1">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5.75" customHeight="1">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5.75" customHeight="1">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5.75" customHeight="1">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5.75" customHeight="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5.75" customHeight="1">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5.75" customHeight="1">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5.75" customHeight="1">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5.75" customHeight="1">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5.75" customHeight="1">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5.75" customHeight="1">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5.75" customHeight="1">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5.75" customHeight="1">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5.75" customHeight="1">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5.75" customHeight="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5.75" customHeight="1">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5.75" customHeight="1">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5.75" customHeight="1">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5.75" customHeight="1">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5.75" customHeight="1">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5.75" customHeight="1">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5.75" customHeight="1">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5.75" customHeight="1">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5.75" customHeight="1">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5.75" customHeight="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5.75" customHeight="1">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5.75" customHeight="1">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5.75" customHeight="1">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5.75" customHeight="1">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5.75" customHeight="1">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5.75" customHeight="1">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5.75" customHeight="1">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5.75" customHeight="1">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5.75" customHeight="1">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5.75" customHeight="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5.75" customHeight="1">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5.75" customHeight="1">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5.75" customHeight="1">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5.75" customHeight="1">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5.75" customHeight="1">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5.75" customHeight="1">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5.75" customHeight="1">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5.75" customHeight="1">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5.75" customHeight="1">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5.75" customHeight="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5.75" customHeight="1">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5.75" customHeight="1">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5.75" customHeight="1">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5.75" customHeight="1">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5.75" customHeight="1">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5.75" customHeight="1">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5.75" customHeight="1">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5.75" customHeight="1">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5.75" customHeight="1">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5.75" customHeight="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5.75" customHeight="1">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5.75" customHeight="1">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5.75" customHeight="1">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5.75" customHeight="1">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5.75" customHeight="1">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5.75" customHeight="1">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5.75" customHeight="1">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5.75" customHeight="1">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5.75" customHeight="1">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5.75" customHeight="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5.75" customHeight="1">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5.75" customHeight="1">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5.75" customHeight="1">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5.75" customHeight="1">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5.75" customHeight="1">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5.75" customHeight="1">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5.75" customHeight="1">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5.75" customHeight="1">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5.75" customHeight="1">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5.75" customHeight="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5.75" customHeight="1">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5.75" customHeight="1">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5.75" customHeight="1">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5.75" customHeight="1">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5.75" customHeight="1">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5.75" customHeight="1">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5.75" customHeight="1">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5.75" customHeight="1">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5.75" customHeight="1">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5.75" customHeight="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5.75" customHeight="1">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5.75" customHeight="1">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5.75" customHeight="1">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5.75" customHeight="1">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5.75" customHeight="1">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5.75" customHeight="1">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5.75" customHeight="1">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5.75" customHeight="1">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5.75" customHeight="1">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5.75" customHeight="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5.75" customHeight="1">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5.75" customHeight="1">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5.75" customHeight="1">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5.75" customHeight="1">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5.75" customHeight="1">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5.75" customHeight="1">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5.75" customHeight="1">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5.75" customHeight="1">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5.75" customHeight="1">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5.75" customHeight="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5.75" customHeight="1">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5.75" customHeight="1">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5.75" customHeight="1">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5.75" customHeight="1">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5.75" customHeight="1">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5.75" customHeight="1">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5.75" customHeight="1">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5.75" customHeight="1">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5.75" customHeight="1">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5.75" customHeight="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5.75" customHeight="1">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5.75" customHeight="1">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5.75" customHeight="1">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5.75" customHeight="1">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5.75" customHeight="1">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5.75" customHeight="1">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5.75" customHeight="1">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5.75" customHeight="1">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5.75" customHeight="1">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5.75" customHeight="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5.75" customHeight="1">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5.75" customHeight="1">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5.75" customHeight="1">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5.75" customHeight="1">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5.75" customHeight="1">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5.75" customHeight="1">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5.75" customHeight="1">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5.75" customHeight="1">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5.75" customHeight="1">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5.75" customHeight="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5.75" customHeight="1">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5.75" customHeight="1">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5.75" customHeight="1">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5.75" customHeight="1">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5.75" customHeight="1">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5.75" customHeight="1">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5.75" customHeight="1">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5.75" customHeight="1">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5.75" customHeight="1">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5.75" customHeight="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5.75" customHeight="1">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5.75" customHeight="1">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5.75" customHeight="1">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5.75" customHeight="1">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5.75" customHeight="1">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5.75" customHeight="1">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5.75" customHeight="1">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5.75" customHeight="1">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5.75" customHeight="1">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5.75" customHeight="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5.75" customHeight="1">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5.75" customHeight="1">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5.75" customHeight="1">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5.75" customHeight="1">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5.75" customHeight="1">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5.75" customHeight="1">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5.75" customHeight="1">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5.75" customHeight="1">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5.75" customHeight="1">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5.75" customHeight="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5.75" customHeight="1">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5.75" customHeight="1">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5.75" customHeight="1">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5.75" customHeight="1">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5.75" customHeight="1">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5.75" customHeight="1">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5.75" customHeight="1">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5.75" customHeight="1">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5.75" customHeight="1">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5.75" customHeight="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5.75" customHeight="1">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5.75" customHeight="1">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5.75" customHeight="1">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5.75" customHeight="1">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5.75" customHeight="1">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5.75" customHeight="1">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5.75" customHeight="1">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5.75" customHeight="1">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5.75" customHeight="1">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5.75" customHeight="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5.75" customHeight="1">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5.75" customHeight="1">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5.75" customHeight="1">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5.75" customHeight="1">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5.75" customHeight="1">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5.75" customHeight="1">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5.75" customHeight="1">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5.75" customHeight="1">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5.75" customHeight="1">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5.75" customHeight="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5.75" customHeight="1">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5.75" customHeight="1">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5.75" customHeight="1">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5.75" customHeight="1">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5.75" customHeight="1">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5.75" customHeight="1">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5.75" customHeight="1">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5.75" customHeight="1">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5.75" customHeight="1">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5.75" customHeight="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5.75" customHeight="1">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5.75" customHeight="1">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5.75" customHeight="1">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5.75" customHeight="1">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5.75" customHeight="1">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5.75" customHeight="1">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5.75" customHeight="1">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5.75" customHeight="1">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5.75" customHeight="1">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5.75" customHeight="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5.75" customHeight="1">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5.75" customHeight="1">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5.75" customHeight="1">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5.75" customHeight="1">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5.75" customHeight="1">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5.75" customHeight="1">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5.75" customHeight="1">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5.75" customHeight="1">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5.75" customHeight="1">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5.75" customHeight="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5.75" customHeight="1">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5.75" customHeight="1">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5.75" customHeight="1">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5.75" customHeight="1">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5.75" customHeight="1">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5.75" customHeight="1">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5.75" customHeight="1">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5.75" customHeight="1">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5.75" customHeight="1">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5.75" customHeight="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5.75" customHeight="1">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5.75" customHeight="1">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5.75" customHeight="1">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5.75" customHeight="1">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5.75" customHeight="1">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5.75" customHeight="1">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5.75" customHeight="1">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5.75" customHeight="1">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5.75" customHeight="1">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5.75" customHeight="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5.75" customHeight="1">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5.75" customHeight="1">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5.75" customHeight="1">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5.75" customHeight="1">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5.75" customHeight="1">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5.75" customHeight="1">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5.75" customHeight="1">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5.75" customHeight="1">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5.75" customHeight="1">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5.75" customHeight="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5.75" customHeight="1">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5.75" customHeight="1">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5.75" customHeight="1">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5.75" customHeight="1">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5.75" customHeight="1">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5.75" customHeight="1">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5.75" customHeight="1">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5.75" customHeight="1">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5.75" customHeight="1">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5.75" customHeight="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5.75" customHeight="1">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5.75" customHeight="1">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5.75" customHeight="1">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5.75" customHeight="1">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5.75" customHeight="1">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5.75" customHeight="1">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5.75" customHeight="1">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5.75" customHeight="1">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5.75" customHeight="1">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5.75" customHeight="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5.75" customHeight="1">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5.75" customHeight="1">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5.75" customHeight="1">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5.75" customHeight="1">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5.75" customHeight="1">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5.75" customHeight="1">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5.75" customHeight="1">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5.75" customHeight="1">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5.75" customHeight="1">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sheetData>
  <mergeCells count="72">
    <mergeCell ref="L23:M25"/>
    <mergeCell ref="N23:O25"/>
    <mergeCell ref="P23:Q25"/>
    <mergeCell ref="A23:B25"/>
    <mergeCell ref="C23:C25"/>
    <mergeCell ref="D23:D25"/>
    <mergeCell ref="E23:E25"/>
    <mergeCell ref="F23:G25"/>
    <mergeCell ref="H23:I25"/>
    <mergeCell ref="J23:K25"/>
    <mergeCell ref="N26:O28"/>
    <mergeCell ref="P26:Q28"/>
    <mergeCell ref="M30:S30"/>
    <mergeCell ref="I31:L31"/>
    <mergeCell ref="O31:Q31"/>
    <mergeCell ref="I32:M32"/>
    <mergeCell ref="A26:B28"/>
    <mergeCell ref="C26:C28"/>
    <mergeCell ref="D26:D28"/>
    <mergeCell ref="E26:E28"/>
    <mergeCell ref="F26:G28"/>
    <mergeCell ref="H26:I28"/>
    <mergeCell ref="J26:K28"/>
    <mergeCell ref="L26:M28"/>
    <mergeCell ref="Q11:S11"/>
    <mergeCell ref="L13:N13"/>
    <mergeCell ref="O13:P13"/>
    <mergeCell ref="O14:P14"/>
    <mergeCell ref="A1:O1"/>
    <mergeCell ref="P1:S1"/>
    <mergeCell ref="A2:U2"/>
    <mergeCell ref="A3:R3"/>
    <mergeCell ref="A5:U5"/>
    <mergeCell ref="K11:L11"/>
    <mergeCell ref="A20:B22"/>
    <mergeCell ref="C20:C22"/>
    <mergeCell ref="D20:D22"/>
    <mergeCell ref="E20:E22"/>
    <mergeCell ref="C7:G7"/>
    <mergeCell ref="C8:G8"/>
    <mergeCell ref="C9:G9"/>
    <mergeCell ref="B13:C13"/>
    <mergeCell ref="D13:E13"/>
    <mergeCell ref="B14:C14"/>
    <mergeCell ref="D14:E14"/>
    <mergeCell ref="A13:A14"/>
    <mergeCell ref="A17:B19"/>
    <mergeCell ref="C17:E17"/>
    <mergeCell ref="C18:C19"/>
    <mergeCell ref="D18:D19"/>
    <mergeCell ref="E18:E19"/>
    <mergeCell ref="F20:G22"/>
    <mergeCell ref="L7:S7"/>
    <mergeCell ref="L20:M22"/>
    <mergeCell ref="N20:O22"/>
    <mergeCell ref="P20:Q22"/>
    <mergeCell ref="H20:I22"/>
    <mergeCell ref="J20:K22"/>
    <mergeCell ref="F17:K17"/>
    <mergeCell ref="H18:I19"/>
    <mergeCell ref="J18:K19"/>
    <mergeCell ref="F18:G19"/>
    <mergeCell ref="N8:S8"/>
    <mergeCell ref="H13:K14"/>
    <mergeCell ref="M9:S9"/>
    <mergeCell ref="M10:N10"/>
    <mergeCell ref="U20:U22"/>
    <mergeCell ref="L17:Q17"/>
    <mergeCell ref="U17:U19"/>
    <mergeCell ref="L18:M19"/>
    <mergeCell ref="N18:O19"/>
    <mergeCell ref="P18:Q19"/>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workbookViewId="0">
      <selection activeCell="AA15" sqref="AA15"/>
    </sheetView>
  </sheetViews>
  <sheetFormatPr baseColWidth="10" defaultColWidth="14.5" defaultRowHeight="15" customHeight="1"/>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59" t="s">
        <v>115</v>
      </c>
      <c r="B1" s="359" t="s">
        <v>857</v>
      </c>
      <c r="C1" s="359" t="s">
        <v>858</v>
      </c>
      <c r="D1" s="360"/>
      <c r="E1" s="361" t="s">
        <v>859</v>
      </c>
      <c r="F1" s="218"/>
      <c r="G1" s="219"/>
      <c r="H1" s="362" t="s">
        <v>860</v>
      </c>
      <c r="I1" s="218"/>
      <c r="J1" s="218"/>
      <c r="K1" s="218"/>
      <c r="L1" s="218"/>
      <c r="M1" s="218"/>
      <c r="N1" s="218"/>
      <c r="O1" s="218"/>
      <c r="P1" s="218"/>
      <c r="Q1" s="218"/>
      <c r="R1" s="218"/>
      <c r="S1" s="218"/>
      <c r="T1" s="218"/>
      <c r="U1" s="218"/>
      <c r="V1" s="218"/>
      <c r="W1" s="218"/>
      <c r="X1" s="218"/>
      <c r="Y1" s="218"/>
      <c r="Z1" s="218"/>
      <c r="AA1" s="218"/>
      <c r="AB1" s="218"/>
      <c r="AC1" s="218"/>
      <c r="AD1" s="218"/>
      <c r="AE1" s="218"/>
      <c r="AF1" s="219"/>
      <c r="AG1" s="362" t="s">
        <v>861</v>
      </c>
      <c r="AH1" s="218"/>
      <c r="AI1" s="218"/>
      <c r="AJ1" s="219"/>
      <c r="AK1" s="343" t="s">
        <v>862</v>
      </c>
      <c r="AL1" s="343" t="s">
        <v>863</v>
      </c>
      <c r="AM1" s="343" t="s">
        <v>864</v>
      </c>
      <c r="AN1" s="350" t="s">
        <v>865</v>
      </c>
      <c r="AO1" s="218"/>
      <c r="AP1" s="218"/>
      <c r="AQ1" s="219"/>
      <c r="AR1" s="343" t="s">
        <v>866</v>
      </c>
      <c r="AS1" s="350" t="s">
        <v>867</v>
      </c>
      <c r="AT1" s="218"/>
      <c r="AU1" s="218"/>
      <c r="AV1" s="219"/>
      <c r="AW1" s="347" t="s">
        <v>868</v>
      </c>
      <c r="AX1" s="350" t="s">
        <v>869</v>
      </c>
      <c r="AY1" s="218"/>
      <c r="AZ1" s="218"/>
      <c r="BA1" s="219"/>
      <c r="BB1" s="347" t="s">
        <v>870</v>
      </c>
      <c r="BC1" s="345" t="s">
        <v>37</v>
      </c>
      <c r="BD1" s="351" t="s">
        <v>38</v>
      </c>
      <c r="BE1" s="235"/>
      <c r="BF1" s="236"/>
      <c r="BG1" s="351" t="s">
        <v>35</v>
      </c>
      <c r="BH1" s="235"/>
      <c r="BI1" s="236"/>
      <c r="BJ1" s="352" t="s">
        <v>26</v>
      </c>
      <c r="BK1" s="343" t="str">
        <f>'DR-TB 10A (Sputum &amp; EP Sample)'!J7</f>
        <v>Name of the person completing the report :</v>
      </c>
      <c r="BL1" s="343" t="str">
        <f>'DR-TB 10A (Sputum &amp; EP Sample)'!J8</f>
        <v>Designation and organization :</v>
      </c>
      <c r="BM1" s="343" t="str">
        <f>'DR-TB 10A (Sputum &amp; EP Sample)'!O10</f>
        <v>Cell Number :</v>
      </c>
      <c r="BN1" s="345" t="str">
        <f>'COVID19 Reporting Form'!B13</f>
        <v>Cartridges Received</v>
      </c>
      <c r="BO1" s="345" t="str">
        <f>'COVID19 Reporting Form'!D13</f>
        <v>Cartridges in Hand</v>
      </c>
      <c r="BP1" s="346" t="str">
        <f>'COVID19 Reporting Form'!C17</f>
        <v>Type of test : New</v>
      </c>
      <c r="BQ1" s="218"/>
      <c r="BR1" s="218"/>
      <c r="BS1" s="218"/>
      <c r="BT1" s="218"/>
      <c r="BU1" s="219"/>
      <c r="BV1" s="346" t="str">
        <f>'COVID19 Reporting Form'!F17</f>
        <v xml:space="preserve">Type of Test : Follow up </v>
      </c>
      <c r="BW1" s="218"/>
      <c r="BX1" s="218"/>
      <c r="BY1" s="218"/>
      <c r="BZ1" s="218"/>
      <c r="CA1" s="219"/>
      <c r="CB1" s="344" t="s">
        <v>846</v>
      </c>
      <c r="CC1" s="235"/>
      <c r="CD1" s="236"/>
      <c r="CE1" s="346" t="str">
        <f>'DR-TB 10A (Sputum &amp; EP Sample)'!J12</f>
        <v>For Xpert</v>
      </c>
      <c r="CF1" s="218"/>
      <c r="CG1" s="219"/>
      <c r="CH1" s="346" t="str">
        <f>'DR-TB 10A (Sputum &amp; EP Sample)'!N12</f>
        <v>For Truenat</v>
      </c>
      <c r="CI1" s="218"/>
      <c r="CJ1" s="218"/>
      <c r="CK1" s="218"/>
      <c r="CL1" s="218"/>
      <c r="CM1" s="218"/>
      <c r="CN1" s="218"/>
      <c r="CO1" s="218"/>
      <c r="CP1" s="219"/>
      <c r="CQ1" s="346" t="str">
        <f>'DR-TB 10A (Sputum &amp; EP Sample)'!G38</f>
        <v>Number of Xpert XDR Assay</v>
      </c>
      <c r="CR1" s="219"/>
      <c r="CS1" s="361" t="s">
        <v>859</v>
      </c>
      <c r="CT1" s="218"/>
      <c r="CU1" s="219"/>
      <c r="CV1" s="362" t="s">
        <v>860</v>
      </c>
      <c r="CW1" s="218"/>
      <c r="CX1" s="218"/>
      <c r="CY1" s="218"/>
      <c r="CZ1" s="218"/>
      <c r="DA1" s="218"/>
      <c r="DB1" s="218"/>
      <c r="DC1" s="218"/>
      <c r="DD1" s="218"/>
      <c r="DE1" s="218"/>
      <c r="DF1" s="218"/>
      <c r="DG1" s="218"/>
      <c r="DH1" s="218"/>
      <c r="DI1" s="218"/>
      <c r="DJ1" s="218"/>
      <c r="DK1" s="218"/>
      <c r="DL1" s="218"/>
      <c r="DM1" s="218"/>
      <c r="DN1" s="218"/>
      <c r="DO1" s="218"/>
      <c r="DP1" s="218"/>
      <c r="DQ1" s="218"/>
      <c r="DR1" s="218"/>
      <c r="DS1" s="218"/>
      <c r="DT1" s="219"/>
      <c r="DU1" s="362" t="s">
        <v>861</v>
      </c>
      <c r="DV1" s="218"/>
      <c r="DW1" s="218"/>
      <c r="DX1" s="219"/>
      <c r="DY1" s="343" t="s">
        <v>862</v>
      </c>
      <c r="DZ1" s="343" t="s">
        <v>863</v>
      </c>
      <c r="EA1" s="343" t="s">
        <v>864</v>
      </c>
      <c r="EB1" s="350" t="s">
        <v>865</v>
      </c>
      <c r="EC1" s="218"/>
      <c r="ED1" s="218"/>
      <c r="EE1" s="219"/>
      <c r="EF1" s="343" t="s">
        <v>866</v>
      </c>
      <c r="EG1" s="350" t="s">
        <v>867</v>
      </c>
      <c r="EH1" s="218"/>
      <c r="EI1" s="218"/>
      <c r="EJ1" s="219"/>
      <c r="EK1" s="347" t="s">
        <v>868</v>
      </c>
      <c r="EL1" s="350" t="s">
        <v>869</v>
      </c>
      <c r="EM1" s="218"/>
      <c r="EN1" s="218"/>
      <c r="EO1" s="219"/>
      <c r="EP1" s="347" t="s">
        <v>870</v>
      </c>
      <c r="EQ1" s="350" t="s">
        <v>91</v>
      </c>
      <c r="ER1" s="218"/>
      <c r="ES1" s="219"/>
      <c r="ET1" s="120" t="s">
        <v>871</v>
      </c>
    </row>
    <row r="2" spans="1:151" ht="33.75" customHeight="1">
      <c r="A2" s="196"/>
      <c r="B2" s="196"/>
      <c r="C2" s="196"/>
      <c r="D2" s="196"/>
      <c r="E2" s="366" t="s">
        <v>56</v>
      </c>
      <c r="F2" s="367" t="s">
        <v>57</v>
      </c>
      <c r="G2" s="354" t="s">
        <v>872</v>
      </c>
      <c r="H2" s="364" t="s">
        <v>59</v>
      </c>
      <c r="I2" s="354" t="s">
        <v>60</v>
      </c>
      <c r="J2" s="354" t="s">
        <v>61</v>
      </c>
      <c r="K2" s="354" t="s">
        <v>62</v>
      </c>
      <c r="L2" s="354" t="s">
        <v>63</v>
      </c>
      <c r="M2" s="354" t="s">
        <v>64</v>
      </c>
      <c r="N2" s="354" t="s">
        <v>65</v>
      </c>
      <c r="O2" s="354" t="s">
        <v>66</v>
      </c>
      <c r="P2" s="353" t="s">
        <v>67</v>
      </c>
      <c r="Q2" s="218"/>
      <c r="R2" s="219"/>
      <c r="S2" s="353" t="s">
        <v>68</v>
      </c>
      <c r="T2" s="218"/>
      <c r="U2" s="219"/>
      <c r="V2" s="353" t="s">
        <v>873</v>
      </c>
      <c r="W2" s="218"/>
      <c r="X2" s="219"/>
      <c r="Y2" s="353" t="s">
        <v>874</v>
      </c>
      <c r="Z2" s="218"/>
      <c r="AA2" s="219"/>
      <c r="AB2" s="353" t="s">
        <v>875</v>
      </c>
      <c r="AC2" s="218"/>
      <c r="AD2" s="219"/>
      <c r="AE2" s="354" t="s">
        <v>876</v>
      </c>
      <c r="AF2" s="355" t="s">
        <v>26</v>
      </c>
      <c r="AG2" s="354" t="s">
        <v>56</v>
      </c>
      <c r="AH2" s="354" t="s">
        <v>57</v>
      </c>
      <c r="AI2" s="354" t="s">
        <v>877</v>
      </c>
      <c r="AJ2" s="355" t="s">
        <v>26</v>
      </c>
      <c r="AK2" s="196"/>
      <c r="AL2" s="196"/>
      <c r="AM2" s="196"/>
      <c r="AN2" s="343" t="s">
        <v>878</v>
      </c>
      <c r="AO2" s="343" t="s">
        <v>879</v>
      </c>
      <c r="AP2" s="343" t="s">
        <v>880</v>
      </c>
      <c r="AQ2" s="349" t="s">
        <v>881</v>
      </c>
      <c r="AR2" s="196"/>
      <c r="AS2" s="343" t="s">
        <v>878</v>
      </c>
      <c r="AT2" s="343" t="s">
        <v>879</v>
      </c>
      <c r="AU2" s="343" t="s">
        <v>880</v>
      </c>
      <c r="AV2" s="349" t="s">
        <v>881</v>
      </c>
      <c r="AW2" s="238"/>
      <c r="AX2" s="348" t="s">
        <v>878</v>
      </c>
      <c r="AY2" s="348" t="s">
        <v>879</v>
      </c>
      <c r="AZ2" s="348" t="s">
        <v>880</v>
      </c>
      <c r="BA2" s="349" t="s">
        <v>881</v>
      </c>
      <c r="BB2" s="238"/>
      <c r="BC2" s="196"/>
      <c r="BD2" s="239"/>
      <c r="BE2" s="240"/>
      <c r="BF2" s="241"/>
      <c r="BG2" s="239"/>
      <c r="BH2" s="240"/>
      <c r="BI2" s="241"/>
      <c r="BJ2" s="196"/>
      <c r="BK2" s="196"/>
      <c r="BL2" s="196"/>
      <c r="BM2" s="196"/>
      <c r="BN2" s="196"/>
      <c r="BO2" s="196"/>
      <c r="BP2" s="346" t="str">
        <f>'COVID19 Reporting Form'!A20</f>
        <v>Number Of COVID19 Test</v>
      </c>
      <c r="BQ2" s="219"/>
      <c r="BR2" s="346" t="str">
        <f>'COVID19 Reporting Form'!A23</f>
        <v>Number of COVID 19 Positive Detected</v>
      </c>
      <c r="BS2" s="219"/>
      <c r="BT2" s="346" t="str">
        <f>'COVID19 Reporting Form'!A26</f>
        <v>Number of COVID 19 Negative Detected</v>
      </c>
      <c r="BU2" s="219"/>
      <c r="BV2" s="346" t="str">
        <f>'COVID19 Reporting Form'!A20</f>
        <v>Number Of COVID19 Test</v>
      </c>
      <c r="BW2" s="219"/>
      <c r="BX2" s="346" t="str">
        <f>'COVID19 Reporting Form'!A23</f>
        <v>Number of COVID 19 Positive Detected</v>
      </c>
      <c r="BY2" s="219"/>
      <c r="BZ2" s="346" t="str">
        <f>'COVID19 Reporting Form'!A26</f>
        <v>Number of COVID 19 Negative Detected</v>
      </c>
      <c r="CA2" s="219"/>
      <c r="CB2" s="237"/>
      <c r="CC2" s="204"/>
      <c r="CD2" s="238"/>
      <c r="CE2" s="345" t="str">
        <f>'DR-TB 10A (Sputum &amp; EP Sample)'!J13</f>
        <v>Number of Gene Xpert Machine:</v>
      </c>
      <c r="CF2" s="345" t="str">
        <f>'DR-TB 10A (Sputum &amp; EP Sample)'!J14</f>
        <v>Total Number Of Module:</v>
      </c>
      <c r="CG2" s="345" t="str">
        <f>'DR-TB 10A (Sputum &amp; EP Sample)'!J15</f>
        <v>Number of Module Functional:</v>
      </c>
      <c r="CH2" s="345" t="str">
        <f>'DR-TB 10A (Sputum &amp; EP Sample)'!N13</f>
        <v>No. of TruePrep Device</v>
      </c>
      <c r="CI2" s="345" t="str">
        <f>'DR-TB 10A (Sputum &amp; EP Sample)'!N14</f>
        <v>No.of TrueLab Device</v>
      </c>
      <c r="CJ2" s="345" t="str">
        <f>'DR-TB 10A (Sputum &amp; EP Sample)'!N15</f>
        <v>Total No. of Chip Ports</v>
      </c>
      <c r="CK2" s="345" t="str">
        <f>'DR-TB 10A (Sputum &amp; EP Sample)'!R13</f>
        <v>Functional TruePrep Device</v>
      </c>
      <c r="CL2" s="345" t="str">
        <f>'DR-TB 10A (Sputum &amp; EP Sample)'!R14</f>
        <v>Functional TrueLab Device</v>
      </c>
      <c r="CM2" s="345" t="str">
        <f>'DR-TB 10A (Sputum &amp; EP Sample)'!R15</f>
        <v>Total functional Chip Ports</v>
      </c>
      <c r="CN2" s="345" t="str">
        <f>'DR-TB 10A (Sputum &amp; EP Sample)'!R17</f>
        <v>No. of Truenat Cartriage Used</v>
      </c>
      <c r="CO2" s="345" t="str">
        <f>'DR-TB 10A (Sputum &amp; EP Sample)'!R18</f>
        <v>No. of Truenat MTB Chip Used</v>
      </c>
      <c r="CP2" s="345" t="str">
        <f>'DR-TB 10A (Sputum &amp; EP Sample)'!R19</f>
        <v>No. of Truenat RIF Dx Chip Used</v>
      </c>
      <c r="CQ2" s="345" t="str">
        <f>'DR-TB 10A (Sputum &amp; EP Sample)'!G40</f>
        <v>Eligible for XDR Testing</v>
      </c>
      <c r="CR2" s="345" t="str">
        <f>'DR-TB 10A (Sputum &amp; EP Sample)'!G42</f>
        <v>Tested from Eligible</v>
      </c>
      <c r="CS2" s="366" t="s">
        <v>56</v>
      </c>
      <c r="CT2" s="367" t="s">
        <v>57</v>
      </c>
      <c r="CU2" s="354" t="s">
        <v>872</v>
      </c>
      <c r="CV2" s="364" t="s">
        <v>59</v>
      </c>
      <c r="CW2" s="354" t="s">
        <v>60</v>
      </c>
      <c r="CX2" s="354" t="s">
        <v>61</v>
      </c>
      <c r="CY2" s="354" t="s">
        <v>62</v>
      </c>
      <c r="CZ2" s="354" t="s">
        <v>63</v>
      </c>
      <c r="DA2" s="354" t="s">
        <v>64</v>
      </c>
      <c r="DB2" s="354" t="s">
        <v>65</v>
      </c>
      <c r="DC2" s="354" t="s">
        <v>66</v>
      </c>
      <c r="DD2" s="353" t="s">
        <v>67</v>
      </c>
      <c r="DE2" s="218"/>
      <c r="DF2" s="219"/>
      <c r="DG2" s="353" t="s">
        <v>68</v>
      </c>
      <c r="DH2" s="218"/>
      <c r="DI2" s="219"/>
      <c r="DJ2" s="353" t="s">
        <v>873</v>
      </c>
      <c r="DK2" s="218"/>
      <c r="DL2" s="219"/>
      <c r="DM2" s="353" t="s">
        <v>874</v>
      </c>
      <c r="DN2" s="218"/>
      <c r="DO2" s="219"/>
      <c r="DP2" s="353" t="s">
        <v>875</v>
      </c>
      <c r="DQ2" s="218"/>
      <c r="DR2" s="219"/>
      <c r="DS2" s="354" t="s">
        <v>876</v>
      </c>
      <c r="DT2" s="355" t="s">
        <v>26</v>
      </c>
      <c r="DU2" s="354" t="s">
        <v>56</v>
      </c>
      <c r="DV2" s="354" t="s">
        <v>57</v>
      </c>
      <c r="DW2" s="354" t="s">
        <v>877</v>
      </c>
      <c r="DX2" s="355" t="s">
        <v>26</v>
      </c>
      <c r="DY2" s="196"/>
      <c r="DZ2" s="196"/>
      <c r="EA2" s="196"/>
      <c r="EB2" s="343" t="s">
        <v>878</v>
      </c>
      <c r="EC2" s="343" t="s">
        <v>879</v>
      </c>
      <c r="ED2" s="343" t="s">
        <v>880</v>
      </c>
      <c r="EE2" s="349" t="s">
        <v>881</v>
      </c>
      <c r="EF2" s="196"/>
      <c r="EG2" s="343" t="s">
        <v>878</v>
      </c>
      <c r="EH2" s="343" t="s">
        <v>879</v>
      </c>
      <c r="EI2" s="343" t="s">
        <v>880</v>
      </c>
      <c r="EJ2" s="349" t="s">
        <v>881</v>
      </c>
      <c r="EK2" s="238"/>
      <c r="EL2" s="348" t="s">
        <v>878</v>
      </c>
      <c r="EM2" s="348" t="s">
        <v>879</v>
      </c>
      <c r="EN2" s="348" t="s">
        <v>880</v>
      </c>
      <c r="EO2" s="349" t="s">
        <v>881</v>
      </c>
      <c r="EP2" s="238"/>
      <c r="EQ2" s="343" t="s">
        <v>97</v>
      </c>
      <c r="ER2" s="343" t="s">
        <v>103</v>
      </c>
      <c r="ES2" s="343" t="s">
        <v>107</v>
      </c>
      <c r="ET2" s="345" t="s">
        <v>107</v>
      </c>
    </row>
    <row r="3" spans="1:151" ht="75.75" customHeight="1">
      <c r="A3" s="206"/>
      <c r="B3" s="206"/>
      <c r="C3" s="206"/>
      <c r="D3" s="206"/>
      <c r="E3" s="206"/>
      <c r="F3" s="206"/>
      <c r="G3" s="206"/>
      <c r="H3" s="206"/>
      <c r="I3" s="206"/>
      <c r="J3" s="206"/>
      <c r="K3" s="206"/>
      <c r="L3" s="206"/>
      <c r="M3" s="206"/>
      <c r="N3" s="206"/>
      <c r="O3" s="206"/>
      <c r="P3" s="121" t="s">
        <v>882</v>
      </c>
      <c r="Q3" s="121" t="s">
        <v>57</v>
      </c>
      <c r="R3" s="121" t="s">
        <v>883</v>
      </c>
      <c r="S3" s="121" t="s">
        <v>882</v>
      </c>
      <c r="T3" s="121" t="s">
        <v>57</v>
      </c>
      <c r="U3" s="121" t="s">
        <v>883</v>
      </c>
      <c r="V3" s="121" t="s">
        <v>882</v>
      </c>
      <c r="W3" s="121" t="s">
        <v>57</v>
      </c>
      <c r="X3" s="122" t="s">
        <v>883</v>
      </c>
      <c r="Y3" s="121" t="s">
        <v>882</v>
      </c>
      <c r="Z3" s="121" t="s">
        <v>57</v>
      </c>
      <c r="AA3" s="121" t="s">
        <v>883</v>
      </c>
      <c r="AB3" s="121" t="s">
        <v>882</v>
      </c>
      <c r="AC3" s="121" t="s">
        <v>57</v>
      </c>
      <c r="AD3" s="121" t="s">
        <v>883</v>
      </c>
      <c r="AE3" s="206"/>
      <c r="AF3" s="206"/>
      <c r="AG3" s="206"/>
      <c r="AH3" s="206"/>
      <c r="AI3" s="206"/>
      <c r="AJ3" s="206"/>
      <c r="AK3" s="206"/>
      <c r="AL3" s="206"/>
      <c r="AM3" s="206"/>
      <c r="AN3" s="206"/>
      <c r="AO3" s="206"/>
      <c r="AP3" s="206"/>
      <c r="AQ3" s="206"/>
      <c r="AR3" s="206"/>
      <c r="AS3" s="206"/>
      <c r="AT3" s="206"/>
      <c r="AU3" s="206"/>
      <c r="AV3" s="206"/>
      <c r="AW3" s="241"/>
      <c r="AX3" s="206"/>
      <c r="AY3" s="206"/>
      <c r="AZ3" s="206"/>
      <c r="BA3" s="206"/>
      <c r="BB3" s="241"/>
      <c r="BC3" s="206"/>
      <c r="BD3" s="123" t="s">
        <v>41</v>
      </c>
      <c r="BE3" s="123" t="s">
        <v>884</v>
      </c>
      <c r="BF3" s="123" t="s">
        <v>43</v>
      </c>
      <c r="BG3" s="123" t="s">
        <v>41</v>
      </c>
      <c r="BH3" s="123" t="s">
        <v>884</v>
      </c>
      <c r="BI3" s="123" t="s">
        <v>43</v>
      </c>
      <c r="BJ3" s="206"/>
      <c r="BK3" s="206"/>
      <c r="BL3" s="206"/>
      <c r="BM3" s="206"/>
      <c r="BN3" s="206"/>
      <c r="BO3" s="206"/>
      <c r="BP3" s="124" t="str">
        <f>'COVID19 Reporting Form'!C18</f>
        <v>Male</v>
      </c>
      <c r="BQ3" s="124" t="str">
        <f>'COVID19 Reporting Form'!D18</f>
        <v>Female</v>
      </c>
      <c r="BR3" s="124" t="str">
        <f>'COVID19 Reporting Form'!C18</f>
        <v>Male</v>
      </c>
      <c r="BS3" s="124" t="str">
        <f>'COVID19 Reporting Form'!D18</f>
        <v>Female</v>
      </c>
      <c r="BT3" s="124" t="str">
        <f>'COVID19 Reporting Form'!C18</f>
        <v>Male</v>
      </c>
      <c r="BU3" s="124" t="str">
        <f>'COVID19 Reporting Form'!D18</f>
        <v>Female</v>
      </c>
      <c r="BV3" s="124" t="s">
        <v>851</v>
      </c>
      <c r="BW3" s="124" t="s">
        <v>852</v>
      </c>
      <c r="BX3" s="124" t="s">
        <v>851</v>
      </c>
      <c r="BY3" s="124" t="s">
        <v>852</v>
      </c>
      <c r="BZ3" s="124" t="s">
        <v>851</v>
      </c>
      <c r="CA3" s="124" t="s">
        <v>852</v>
      </c>
      <c r="CB3" s="239"/>
      <c r="CC3" s="240"/>
      <c r="CD3" s="241"/>
      <c r="CE3" s="206"/>
      <c r="CF3" s="206"/>
      <c r="CG3" s="206"/>
      <c r="CH3" s="206"/>
      <c r="CI3" s="206"/>
      <c r="CJ3" s="206"/>
      <c r="CK3" s="206"/>
      <c r="CL3" s="206"/>
      <c r="CM3" s="206"/>
      <c r="CN3" s="206"/>
      <c r="CO3" s="206"/>
      <c r="CP3" s="206"/>
      <c r="CQ3" s="206"/>
      <c r="CR3" s="206"/>
      <c r="CS3" s="206"/>
      <c r="CT3" s="206"/>
      <c r="CU3" s="206"/>
      <c r="CV3" s="206"/>
      <c r="CW3" s="206"/>
      <c r="CX3" s="206"/>
      <c r="CY3" s="206"/>
      <c r="CZ3" s="206"/>
      <c r="DA3" s="206"/>
      <c r="DB3" s="206"/>
      <c r="DC3" s="206"/>
      <c r="DD3" s="121" t="s">
        <v>882</v>
      </c>
      <c r="DE3" s="121" t="s">
        <v>57</v>
      </c>
      <c r="DF3" s="121" t="s">
        <v>883</v>
      </c>
      <c r="DG3" s="121" t="s">
        <v>882</v>
      </c>
      <c r="DH3" s="121" t="s">
        <v>57</v>
      </c>
      <c r="DI3" s="121" t="s">
        <v>883</v>
      </c>
      <c r="DJ3" s="121" t="s">
        <v>882</v>
      </c>
      <c r="DK3" s="121" t="s">
        <v>57</v>
      </c>
      <c r="DL3" s="122" t="s">
        <v>883</v>
      </c>
      <c r="DM3" s="121" t="s">
        <v>882</v>
      </c>
      <c r="DN3" s="121" t="s">
        <v>57</v>
      </c>
      <c r="DO3" s="121" t="s">
        <v>883</v>
      </c>
      <c r="DP3" s="121" t="s">
        <v>882</v>
      </c>
      <c r="DQ3" s="121" t="s">
        <v>57</v>
      </c>
      <c r="DR3" s="121" t="s">
        <v>883</v>
      </c>
      <c r="DS3" s="206"/>
      <c r="DT3" s="206"/>
      <c r="DU3" s="206"/>
      <c r="DV3" s="206"/>
      <c r="DW3" s="206"/>
      <c r="DX3" s="206"/>
      <c r="DY3" s="206"/>
      <c r="DZ3" s="206"/>
      <c r="EA3" s="206"/>
      <c r="EB3" s="206"/>
      <c r="EC3" s="206"/>
      <c r="ED3" s="206"/>
      <c r="EE3" s="206"/>
      <c r="EF3" s="206"/>
      <c r="EG3" s="206"/>
      <c r="EH3" s="206"/>
      <c r="EI3" s="206"/>
      <c r="EJ3" s="206"/>
      <c r="EK3" s="241"/>
      <c r="EL3" s="206"/>
      <c r="EM3" s="206"/>
      <c r="EN3" s="206"/>
      <c r="EO3" s="206"/>
      <c r="EP3" s="241"/>
      <c r="EQ3" s="206"/>
      <c r="ER3" s="206"/>
      <c r="ES3" s="206"/>
      <c r="ET3" s="206"/>
    </row>
    <row r="4" spans="1:151" ht="27.75" customHeight="1">
      <c r="A4" s="365">
        <f>'DR-TB 10A (Sputum &amp; EP Sample)'!$C6</f>
        <v>0</v>
      </c>
      <c r="B4" s="365">
        <f>'DR-TB 10A (Sputum &amp; EP Sample)'!$C7</f>
        <v>0</v>
      </c>
      <c r="C4" s="365">
        <f>'DR-TB 10A (Sputum &amp; EP Sample)'!$C8</f>
        <v>0</v>
      </c>
      <c r="D4" s="125" t="s">
        <v>885</v>
      </c>
      <c r="E4" s="126">
        <f>'DR-TB 10A (Sputum &amp; EP Sample)'!$B27</f>
        <v>0</v>
      </c>
      <c r="F4" s="126">
        <f>'DR-TB 10A (Sputum &amp; EP Sample)'!$C27</f>
        <v>0</v>
      </c>
      <c r="G4" s="126">
        <f>'DR-TB 10A (Sputum &amp; EP Sample)'!$D27</f>
        <v>0</v>
      </c>
      <c r="H4" s="126">
        <f>'DR-TB 10A (Sputum &amp; EP Sample)'!$E27</f>
        <v>0</v>
      </c>
      <c r="I4" s="126">
        <f>'DR-TB 10A (Sputum &amp; EP Sample)'!$F27</f>
        <v>0</v>
      </c>
      <c r="J4" s="126">
        <f>'DR-TB 10A (Sputum &amp; EP Sample)'!$G27</f>
        <v>0</v>
      </c>
      <c r="K4" s="126">
        <f>'DR-TB 10A (Sputum &amp; EP Sample)'!$H27</f>
        <v>0</v>
      </c>
      <c r="L4" s="126">
        <f>'DR-TB 10A (Sputum &amp; EP Sample)'!$I27</f>
        <v>0</v>
      </c>
      <c r="M4" s="126">
        <f>'DR-TB 10A (Sputum &amp; EP Sample)'!$J27</f>
        <v>0</v>
      </c>
      <c r="N4" s="126">
        <f>'DR-TB 10A (Sputum &amp; EP Sample)'!$K27</f>
        <v>0</v>
      </c>
      <c r="O4" s="126">
        <f>'DR-TB 10A (Sputum &amp; EP Sample)'!$L27</f>
        <v>0</v>
      </c>
      <c r="P4" s="127">
        <f>'DR-TB 10A (Sputum &amp; EP Sample)'!$O27</f>
        <v>0</v>
      </c>
      <c r="Q4" s="127">
        <f>'DR-TB 10A (Sputum &amp; EP Sample)'!$O28</f>
        <v>0</v>
      </c>
      <c r="R4" s="127">
        <f>'DR-TB 10A (Sputum &amp; EP Sample)'!$O29</f>
        <v>0</v>
      </c>
      <c r="S4" s="127">
        <f>'DR-TB 10A (Sputum &amp; EP Sample)'!$R27</f>
        <v>0</v>
      </c>
      <c r="T4" s="127">
        <f>'DR-TB 10A (Sputum &amp; EP Sample)'!$R28</f>
        <v>0</v>
      </c>
      <c r="U4" s="127">
        <f>'DR-TB 10A (Sputum &amp; EP Sample)'!$R29</f>
        <v>0</v>
      </c>
      <c r="V4" s="127">
        <f>'DR-TB 10A (Sputum &amp; EP Sample)'!$M41</f>
        <v>0</v>
      </c>
      <c r="W4" s="127">
        <f>'DR-TB 10A (Sputum &amp; EP Sample)'!$N41</f>
        <v>0</v>
      </c>
      <c r="X4" s="127">
        <f>'DR-TB 10A (Sputum &amp; EP Sample)'!$O41</f>
        <v>0</v>
      </c>
      <c r="Y4" s="127">
        <f>'DR-TB 10A (Sputum &amp; EP Sample)'!$M42</f>
        <v>0</v>
      </c>
      <c r="Z4" s="127">
        <f>'DR-TB 10A (Sputum &amp; EP Sample)'!$N42</f>
        <v>0</v>
      </c>
      <c r="AA4" s="127">
        <f>'DR-TB 10A (Sputum &amp; EP Sample)'!$O42</f>
        <v>0</v>
      </c>
      <c r="AB4" s="127">
        <f>'DR-TB 10A (Sputum &amp; EP Sample)'!$M43</f>
        <v>0</v>
      </c>
      <c r="AC4" s="127">
        <f>'DR-TB 10A (Sputum &amp; EP Sample)'!$N43</f>
        <v>0</v>
      </c>
      <c r="AD4" s="127"/>
      <c r="AE4" s="128">
        <f>'DR-TB 10A (Sputum &amp; EP Sample)'!$S27</f>
        <v>0</v>
      </c>
      <c r="AF4" s="128">
        <f>'DR-TB 10A (Sputum &amp; EP Sample)'!$U27</f>
        <v>0</v>
      </c>
      <c r="AG4" s="128">
        <f>'DR-TB 10A (Sputum &amp; EP Sample)'!$B40</f>
        <v>0</v>
      </c>
      <c r="AH4" s="128">
        <f>'DR-TB 10A (Sputum &amp; EP Sample)'!$C40</f>
        <v>0</v>
      </c>
      <c r="AI4" s="128">
        <f>'DR-TB 10A (Sputum &amp; EP Sample)'!$D40</f>
        <v>0</v>
      </c>
      <c r="AJ4" s="128">
        <f>'DR-TB 10A (Sputum &amp; EP Sample)'!$E40</f>
        <v>0</v>
      </c>
      <c r="AK4" s="340">
        <f>'DR-TB 10A (Sputum &amp; EP Sample)'!$H12</f>
        <v>0</v>
      </c>
      <c r="AL4" s="340">
        <f>'DR-TB 10A (Sputum &amp; EP Sample)'!$H13</f>
        <v>0</v>
      </c>
      <c r="AM4" s="340">
        <f>'DR-TB 10A (Sputum &amp; EP Sample)'!$H14</f>
        <v>0</v>
      </c>
      <c r="AN4" s="340">
        <f>'DR-TB 10A (Sputum &amp; EP Sample)'!$D17</f>
        <v>0</v>
      </c>
      <c r="AO4" s="340">
        <f>'DR-TB 10A (Sputum &amp; EP Sample)'!$D18</f>
        <v>0</v>
      </c>
      <c r="AP4" s="340">
        <f>'DR-TB 10A (Sputum &amp; EP Sample)'!$D19</f>
        <v>0</v>
      </c>
      <c r="AQ4" s="340">
        <f>'DR-TB 10A (Sputum &amp; EP Sample)'!$D20</f>
        <v>0</v>
      </c>
      <c r="AR4" s="340">
        <f>'DR-TB 10A (Sputum &amp; EP Sample)'!$D21</f>
        <v>0</v>
      </c>
      <c r="AS4" s="340">
        <f>'DR-TB 10A (Sputum &amp; EP Sample)'!$E17</f>
        <v>0</v>
      </c>
      <c r="AT4" s="340">
        <f>'DR-TB 10A (Sputum &amp; EP Sample)'!$E18</f>
        <v>0</v>
      </c>
      <c r="AU4" s="340">
        <f>'DR-TB 10A (Sputum &amp; EP Sample)'!$E19</f>
        <v>0</v>
      </c>
      <c r="AV4" s="340">
        <f>'DR-TB 10A (Sputum &amp; EP Sample)'!$E20</f>
        <v>0</v>
      </c>
      <c r="AW4" s="340">
        <f>'DR-TB 10A (Sputum &amp; EP Sample)'!$E21</f>
        <v>0</v>
      </c>
      <c r="AX4" s="340">
        <f>'DR-TB 10A (Sputum &amp; EP Sample)'!$F17</f>
        <v>0</v>
      </c>
      <c r="AY4" s="340">
        <f>'DR-TB 10A (Sputum &amp; EP Sample)'!$F18</f>
        <v>0</v>
      </c>
      <c r="AZ4" s="340">
        <f>'DR-TB 10A (Sputum &amp; EP Sample)'!$F19</f>
        <v>0</v>
      </c>
      <c r="BA4" s="340">
        <f>'DR-TB 10A (Sputum &amp; EP Sample)'!$F20</f>
        <v>0</v>
      </c>
      <c r="BB4" s="340">
        <f>'DR-TB 10A (Sputum &amp; EP Sample)'!$F21</f>
        <v>0</v>
      </c>
      <c r="BC4" s="39" t="s">
        <v>46</v>
      </c>
      <c r="BD4" s="73">
        <f>'DR-TB 10A (Sputum &amp; EP Sample)'!J19</f>
        <v>0</v>
      </c>
      <c r="BE4" s="73">
        <f>'DR-TB 10A (Sputum &amp; EP Sample)'!K19</f>
        <v>0</v>
      </c>
      <c r="BF4" s="73">
        <f>'DR-TB 10A (Sputum &amp; EP Sample)'!L19</f>
        <v>0</v>
      </c>
      <c r="BG4" s="73">
        <f>'DR-TB 10A (Sputum &amp; EP Sample)'!M19</f>
        <v>0</v>
      </c>
      <c r="BH4" s="73">
        <f>'DR-TB 10A (Sputum &amp; EP Sample)'!N19</f>
        <v>0</v>
      </c>
      <c r="BI4" s="73">
        <f>'DR-TB 10A (Sputum &amp; EP Sample)'!O19</f>
        <v>0</v>
      </c>
      <c r="BJ4" s="73">
        <f>'DR-TB 10A (Sputum &amp; EP Sample)'!P19</f>
        <v>0</v>
      </c>
      <c r="BK4" s="341">
        <f>'DR-TB 10A (Sputum &amp; EP Sample)'!N7</f>
        <v>0</v>
      </c>
      <c r="BL4" s="341">
        <f>'DR-TB 10A (Sputum &amp; EP Sample)'!M8</f>
        <v>0</v>
      </c>
      <c r="BM4" s="342">
        <f>'DR-TB 10A (Sputum &amp; EP Sample)'!Q10</f>
        <v>0</v>
      </c>
      <c r="BN4" s="340">
        <f>'COVID19 Reporting Form'!B14</f>
        <v>0</v>
      </c>
      <c r="BO4" s="340">
        <f>'COVID19 Reporting Form'!D14</f>
        <v>0</v>
      </c>
      <c r="BP4" s="340">
        <f>'COVID19 Reporting Form'!C20</f>
        <v>0</v>
      </c>
      <c r="BQ4" s="340">
        <f>'COVID19 Reporting Form'!D20</f>
        <v>0</v>
      </c>
      <c r="BR4" s="340">
        <f>'COVID19 Reporting Form'!C23</f>
        <v>0</v>
      </c>
      <c r="BS4" s="340">
        <f>'COVID19 Reporting Form'!D23</f>
        <v>0</v>
      </c>
      <c r="BT4" s="340">
        <f>'COVID19 Reporting Form'!C26</f>
        <v>0</v>
      </c>
      <c r="BU4" s="340">
        <f>'COVID19 Reporting Form'!D26</f>
        <v>0</v>
      </c>
      <c r="BV4" s="340">
        <f>'COVID19 Reporting Form'!F20</f>
        <v>0</v>
      </c>
      <c r="BW4" s="340">
        <f>'COVID19 Reporting Form'!H20</f>
        <v>0</v>
      </c>
      <c r="BX4" s="340">
        <f>'COVID19 Reporting Form'!F23</f>
        <v>0</v>
      </c>
      <c r="BY4" s="340">
        <f>'COVID19 Reporting Form'!H23</f>
        <v>0</v>
      </c>
      <c r="BZ4" s="340">
        <f>'COVID19 Reporting Form'!F26</f>
        <v>0</v>
      </c>
      <c r="CA4" s="340">
        <f>'COVID19 Reporting Form'!H26</f>
        <v>0</v>
      </c>
      <c r="CB4" s="340">
        <f>'COVID19 Reporting Form'!L14</f>
        <v>0</v>
      </c>
      <c r="CC4" s="340">
        <f>'COVID19 Reporting Form'!M14</f>
        <v>0</v>
      </c>
      <c r="CD4" s="340">
        <f>'COVID19 Reporting Form'!N14</f>
        <v>0</v>
      </c>
      <c r="CE4" s="340">
        <f>'DR-TB 10A (Sputum &amp; EP Sample)'!M13</f>
        <v>0</v>
      </c>
      <c r="CF4" s="340">
        <f>'DR-TB 10A (Sputum &amp; EP Sample)'!M14</f>
        <v>0</v>
      </c>
      <c r="CG4" s="340">
        <f>'DR-TB 10A (Sputum &amp; EP Sample)'!M15</f>
        <v>0</v>
      </c>
      <c r="CH4" s="340">
        <f>'DR-TB 10A (Sputum &amp; EP Sample)'!Q13</f>
        <v>0</v>
      </c>
      <c r="CI4" s="340">
        <f>'DR-TB 10A (Sputum &amp; EP Sample)'!Q14</f>
        <v>0</v>
      </c>
      <c r="CJ4" s="340">
        <f>'DR-TB 10A (Sputum &amp; EP Sample)'!Q15</f>
        <v>0</v>
      </c>
      <c r="CK4" s="340">
        <f>'DR-TB 10A (Sputum &amp; EP Sample)'!U13</f>
        <v>0</v>
      </c>
      <c r="CL4" s="340">
        <f>'DR-TB 10A (Sputum &amp; EP Sample)'!U14</f>
        <v>0</v>
      </c>
      <c r="CM4" s="340">
        <f>'DR-TB 10A (Sputum &amp; EP Sample)'!U15</f>
        <v>0</v>
      </c>
      <c r="CN4" s="340">
        <f>'DR-TB 10A (Sputum &amp; EP Sample)'!U17</f>
        <v>0</v>
      </c>
      <c r="CO4" s="340">
        <f>'DR-TB 10A (Sputum &amp; EP Sample)'!U18</f>
        <v>0</v>
      </c>
      <c r="CP4" s="340">
        <f>'DR-TB 10A (Sputum &amp; EP Sample)'!U19</f>
        <v>0</v>
      </c>
      <c r="CQ4" s="341">
        <f>'DR-TB 10A (Sputum &amp; EP Sample)'!H40</f>
        <v>0</v>
      </c>
      <c r="CR4" s="341">
        <f>'DR-TB 10A (Sputum &amp; EP Sample)'!H42</f>
        <v>0</v>
      </c>
      <c r="CS4" s="126">
        <f>'DR-TB 10A (Stool)'!$B27</f>
        <v>0</v>
      </c>
      <c r="CT4" s="126">
        <f>'DR-TB 10A (Stool)'!$C27</f>
        <v>0</v>
      </c>
      <c r="CU4" s="126">
        <f>'DR-TB 10A (Stool)'!$D27</f>
        <v>0</v>
      </c>
      <c r="CV4" s="126">
        <f>'DR-TB 10A (Stool)'!$E27</f>
        <v>0</v>
      </c>
      <c r="CW4" s="126">
        <f>'DR-TB 10A (Stool)'!$F27</f>
        <v>0</v>
      </c>
      <c r="CX4" s="126">
        <f>'DR-TB 10A (Stool)'!$G27</f>
        <v>0</v>
      </c>
      <c r="CY4" s="126">
        <f>'DR-TB 10A (Stool)'!$H27</f>
        <v>0</v>
      </c>
      <c r="CZ4" s="126">
        <f>'DR-TB 10A (Stool)'!$I27</f>
        <v>0</v>
      </c>
      <c r="DA4" s="126">
        <f>'DR-TB 10A (Stool)'!$J27</f>
        <v>0</v>
      </c>
      <c r="DB4" s="126">
        <f>'DR-TB 10A (Stool)'!$K27</f>
        <v>0</v>
      </c>
      <c r="DC4" s="126">
        <f>'DR-TB 10A (Stool)'!$L27</f>
        <v>0</v>
      </c>
      <c r="DD4" s="127">
        <f>'DR-TB 10A (Stool)'!$O27</f>
        <v>0</v>
      </c>
      <c r="DE4" s="127">
        <f>'DR-TB 10A (Stool)'!$O28</f>
        <v>0</v>
      </c>
      <c r="DF4" s="127">
        <f>'DR-TB 10A (Stool)'!$O29</f>
        <v>0</v>
      </c>
      <c r="DG4" s="127">
        <f>'DR-TB 10A (Stool)'!$R27</f>
        <v>0</v>
      </c>
      <c r="DH4" s="127">
        <f>'DR-TB 10A (Stool)'!$R28</f>
        <v>0</v>
      </c>
      <c r="DI4" s="127">
        <f>'DR-TB 10A (Stool)'!$R29</f>
        <v>0</v>
      </c>
      <c r="DJ4" s="127">
        <f>'DR-TB 10A (Stool)'!$M41</f>
        <v>0</v>
      </c>
      <c r="DK4" s="127">
        <f>'DR-TB 10A (Stool)'!$N41</f>
        <v>0</v>
      </c>
      <c r="DL4" s="127">
        <f>'DR-TB 10A (Stool)'!$O41</f>
        <v>0</v>
      </c>
      <c r="DM4" s="127">
        <f>'DR-TB 10A (Stool)'!$M42</f>
        <v>0</v>
      </c>
      <c r="DN4" s="127">
        <f>'DR-TB 10A (Stool)'!$N42</f>
        <v>0</v>
      </c>
      <c r="DO4" s="127">
        <f>'DR-TB 10A (Stool)'!$O42</f>
        <v>0</v>
      </c>
      <c r="DP4" s="127">
        <f>'DR-TB 10A (Stool)'!$M43</f>
        <v>0</v>
      </c>
      <c r="DQ4" s="127">
        <f>'DR-TB 10A (Stool)'!$N43</f>
        <v>0</v>
      </c>
      <c r="DR4" s="127"/>
      <c r="DS4" s="128">
        <f>'DR-TB 10A (Stool)'!$S27</f>
        <v>0</v>
      </c>
      <c r="DT4" s="128">
        <f>'DR-TB 10A (Stool)'!$U27</f>
        <v>0</v>
      </c>
      <c r="DU4" s="128">
        <f>'DR-TB 10A (Stool)'!$B40</f>
        <v>0</v>
      </c>
      <c r="DV4" s="128">
        <f>'DR-TB 10A (Stool)'!$C40</f>
        <v>0</v>
      </c>
      <c r="DW4" s="128">
        <f>'DR-TB 10A (Stool)'!$D40</f>
        <v>0</v>
      </c>
      <c r="DX4" s="128">
        <f>'DR-TB 10A (Stool)'!$E40</f>
        <v>0</v>
      </c>
      <c r="DY4" s="340">
        <f>'DR-TB 10A (Stool)'!$H12</f>
        <v>0</v>
      </c>
      <c r="DZ4" s="340">
        <f>'DR-TB 10A (Stool)'!$H13</f>
        <v>0</v>
      </c>
      <c r="EA4" s="340">
        <f>'DR-TB 10A (Stool)'!$H14</f>
        <v>0</v>
      </c>
      <c r="EB4" s="340">
        <f>'DR-TB 10A (Stool)'!$D17</f>
        <v>0</v>
      </c>
      <c r="EC4" s="340">
        <f>'DR-TB 10A (Stool)'!$D18</f>
        <v>0</v>
      </c>
      <c r="ED4" s="340">
        <f>'DR-TB 10A (Stool)'!$D19</f>
        <v>0</v>
      </c>
      <c r="EE4" s="340">
        <f>'DR-TB 10A (Stool)'!$D20</f>
        <v>0</v>
      </c>
      <c r="EF4" s="340">
        <f>'DR-TB 10A (Stool)'!$D21</f>
        <v>0</v>
      </c>
      <c r="EG4" s="340">
        <f>'DR-TB 10A (Stool)'!$E17</f>
        <v>0</v>
      </c>
      <c r="EH4" s="340">
        <f>'DR-TB 10A (Stool)'!$E18</f>
        <v>0</v>
      </c>
      <c r="EI4" s="340">
        <f>'DR-TB 10A (Stool)'!$E19</f>
        <v>0</v>
      </c>
      <c r="EJ4" s="340">
        <f>'DR-TB 10A (Stool)'!$E20</f>
        <v>0</v>
      </c>
      <c r="EK4" s="340">
        <f>'DR-TB 10A (Stool)'!$E21</f>
        <v>0</v>
      </c>
      <c r="EL4" s="340">
        <f>'DR-TB 10A (Stool)'!$F17</f>
        <v>0</v>
      </c>
      <c r="EM4" s="340">
        <f>'DR-TB 10A (Stool)'!$F18</f>
        <v>0</v>
      </c>
      <c r="EN4" s="340">
        <f>'DR-TB 10A (Stool)'!$F19</f>
        <v>0</v>
      </c>
      <c r="EO4" s="340">
        <f>'DR-TB 10A (Stool)'!$F20</f>
        <v>0</v>
      </c>
      <c r="EP4" s="340">
        <f>'DR-TB 10A (Stool)'!$F21</f>
        <v>0</v>
      </c>
      <c r="EQ4" s="341">
        <f>'DR-TB 10A (Stool)'!$H40</f>
        <v>0</v>
      </c>
      <c r="ER4" s="341">
        <f>'DR-TB 10A (Stool)'!$H42</f>
        <v>0</v>
      </c>
      <c r="ES4" s="341">
        <f>'DR-TB 10A (Stool)'!$H44</f>
        <v>0</v>
      </c>
      <c r="ET4" s="340">
        <f>'DR-TB 10A (Sputum &amp; EP Sample)'!$H44</f>
        <v>0</v>
      </c>
    </row>
    <row r="5" spans="1:151" ht="26.25" customHeight="1">
      <c r="A5" s="196"/>
      <c r="B5" s="196"/>
      <c r="C5" s="196"/>
      <c r="D5" s="125" t="s">
        <v>87</v>
      </c>
      <c r="E5" s="125">
        <f>'DR-TB 10A (Sputum &amp; EP Sample)'!$B30</f>
        <v>0</v>
      </c>
      <c r="F5" s="125">
        <f>'DR-TB 10A (Sputum &amp; EP Sample)'!$C30</f>
        <v>0</v>
      </c>
      <c r="G5" s="125">
        <f>'DR-TB 10A (Sputum &amp; EP Sample)'!$D30</f>
        <v>0</v>
      </c>
      <c r="H5" s="125">
        <f>'DR-TB 10A (Sputum &amp; EP Sample)'!$E30</f>
        <v>0</v>
      </c>
      <c r="I5" s="125">
        <f>'DR-TB 10A (Sputum &amp; EP Sample)'!$F30</f>
        <v>0</v>
      </c>
      <c r="J5" s="125">
        <f>'DR-TB 10A (Sputum &amp; EP Sample)'!$G30</f>
        <v>0</v>
      </c>
      <c r="K5" s="125">
        <f>'DR-TB 10A (Sputum &amp; EP Sample)'!$H30</f>
        <v>0</v>
      </c>
      <c r="L5" s="125">
        <f>'DR-TB 10A (Sputum &amp; EP Sample)'!$I30</f>
        <v>0</v>
      </c>
      <c r="M5" s="125">
        <f>'DR-TB 10A (Sputum &amp; EP Sample)'!$J30</f>
        <v>0</v>
      </c>
      <c r="N5" s="125">
        <f>'DR-TB 10A (Sputum &amp; EP Sample)'!$K30</f>
        <v>0</v>
      </c>
      <c r="O5" s="125">
        <f>'DR-TB 10A (Sputum &amp; EP Sample)'!$L30</f>
        <v>0</v>
      </c>
      <c r="P5" s="127">
        <f>'DR-TB 10A (Sputum &amp; EP Sample)'!$O30</f>
        <v>0</v>
      </c>
      <c r="Q5" s="127">
        <f>'DR-TB 10A (Sputum &amp; EP Sample)'!$O31</f>
        <v>0</v>
      </c>
      <c r="R5" s="127">
        <f>'DR-TB 10A (Sputum &amp; EP Sample)'!$O32</f>
        <v>0</v>
      </c>
      <c r="S5" s="127">
        <f>'DR-TB 10A (Sputum &amp; EP Sample)'!$R30</f>
        <v>0</v>
      </c>
      <c r="T5" s="127">
        <f>'DR-TB 10A (Sputum &amp; EP Sample)'!$R31</f>
        <v>0</v>
      </c>
      <c r="U5" s="127">
        <f>'DR-TB 10A (Sputum &amp; EP Sample)'!$R32</f>
        <v>0</v>
      </c>
      <c r="V5" s="127">
        <f>'DR-TB 10A (Sputum &amp; EP Sample)'!$P41</f>
        <v>0</v>
      </c>
      <c r="W5" s="127">
        <f>'DR-TB 10A (Sputum &amp; EP Sample)'!$Q41</f>
        <v>0</v>
      </c>
      <c r="X5" s="127">
        <f>'DR-TB 10A (Sputum &amp; EP Sample)'!$R41</f>
        <v>0</v>
      </c>
      <c r="Y5" s="127">
        <f>'DR-TB 10A (Sputum &amp; EP Sample)'!$P42</f>
        <v>0</v>
      </c>
      <c r="Z5" s="127">
        <f>'DR-TB 10A (Sputum &amp; EP Sample)'!$Q42</f>
        <v>0</v>
      </c>
      <c r="AA5" s="127">
        <f>'DR-TB 10A (Sputum &amp; EP Sample)'!$R42</f>
        <v>0</v>
      </c>
      <c r="AB5" s="127">
        <f>'DR-TB 10A (Sputum &amp; EP Sample)'!$P43</f>
        <v>0</v>
      </c>
      <c r="AC5" s="127">
        <f>'DR-TB 10A (Sputum &amp; EP Sample)'!$Q43</f>
        <v>0</v>
      </c>
      <c r="AD5" s="127"/>
      <c r="AE5" s="128">
        <f>'DR-TB 10A (Sputum &amp; EP Sample)'!$S30</f>
        <v>0</v>
      </c>
      <c r="AF5" s="128">
        <f>'DR-TB 10A (Sputum &amp; EP Sample)'!$U30</f>
        <v>0</v>
      </c>
      <c r="AG5" s="128">
        <f>'DR-TB 10A (Sputum &amp; EP Sample)'!$B42</f>
        <v>0</v>
      </c>
      <c r="AH5" s="128">
        <f>'DR-TB 10A (Sputum &amp; EP Sample)'!$C42</f>
        <v>0</v>
      </c>
      <c r="AI5" s="128">
        <f>'DR-TB 10A (Sputum &amp; EP Sample)'!$D42</f>
        <v>0</v>
      </c>
      <c r="AJ5" s="128">
        <f>'DR-TB 10A (Sputum &amp; EP Sample)'!$E42</f>
        <v>0</v>
      </c>
      <c r="AK5" s="196"/>
      <c r="AL5" s="196"/>
      <c r="AM5" s="196"/>
      <c r="AN5" s="196"/>
      <c r="AO5" s="196"/>
      <c r="AP5" s="196"/>
      <c r="AQ5" s="196"/>
      <c r="AR5" s="196"/>
      <c r="AS5" s="196"/>
      <c r="AT5" s="196"/>
      <c r="AU5" s="196"/>
      <c r="AV5" s="196"/>
      <c r="AW5" s="196"/>
      <c r="AX5" s="196"/>
      <c r="AY5" s="196"/>
      <c r="AZ5" s="196"/>
      <c r="BA5" s="196"/>
      <c r="BB5" s="196"/>
      <c r="BC5" s="39" t="s">
        <v>49</v>
      </c>
      <c r="BD5" s="73">
        <f>'DR-TB 10A (Sputum &amp; EP Sample)'!J20</f>
        <v>0</v>
      </c>
      <c r="BE5" s="73">
        <f>'DR-TB 10A (Sputum &amp; EP Sample)'!K20</f>
        <v>0</v>
      </c>
      <c r="BF5" s="73">
        <f>'DR-TB 10A (Sputum &amp; EP Sample)'!L20</f>
        <v>0</v>
      </c>
      <c r="BG5" s="73">
        <f>'DR-TB 10A (Sputum &amp; EP Sample)'!M20</f>
        <v>0</v>
      </c>
      <c r="BH5" s="73">
        <f>'DR-TB 10A (Sputum &amp; EP Sample)'!N20</f>
        <v>0</v>
      </c>
      <c r="BI5" s="73">
        <f>'DR-TB 10A (Sputum &amp; EP Sample)'!O20</f>
        <v>0</v>
      </c>
      <c r="BJ5" s="73">
        <f>'DR-TB 10A (Sputum &amp; EP Sample)'!P20</f>
        <v>0</v>
      </c>
      <c r="BK5" s="196"/>
      <c r="BL5" s="196"/>
      <c r="BM5" s="196"/>
      <c r="BN5" s="196"/>
      <c r="BO5" s="196"/>
      <c r="BP5" s="196"/>
      <c r="BQ5" s="196"/>
      <c r="BR5" s="196"/>
      <c r="BS5" s="196"/>
      <c r="BT5" s="196"/>
      <c r="BU5" s="196"/>
      <c r="BV5" s="196"/>
      <c r="BW5" s="196"/>
      <c r="BX5" s="196"/>
      <c r="BY5" s="196"/>
      <c r="BZ5" s="196"/>
      <c r="CA5" s="196"/>
      <c r="CB5" s="196"/>
      <c r="CC5" s="196"/>
      <c r="CD5" s="196"/>
      <c r="CE5" s="196"/>
      <c r="CF5" s="196"/>
      <c r="CG5" s="196"/>
      <c r="CH5" s="196"/>
      <c r="CI5" s="196"/>
      <c r="CJ5" s="196"/>
      <c r="CK5" s="196"/>
      <c r="CL5" s="196"/>
      <c r="CM5" s="196"/>
      <c r="CN5" s="196"/>
      <c r="CO5" s="196"/>
      <c r="CP5" s="196"/>
      <c r="CQ5" s="196"/>
      <c r="CR5" s="196"/>
      <c r="CS5" s="125">
        <f>'DR-TB 10A (Stool)'!$B30</f>
        <v>0</v>
      </c>
      <c r="CT5" s="125">
        <f>'DR-TB 10A (Stool)'!$C30</f>
        <v>0</v>
      </c>
      <c r="CU5" s="125">
        <f>'DR-TB 10A (Stool)'!$D30</f>
        <v>0</v>
      </c>
      <c r="CV5" s="125">
        <f>'DR-TB 10A (Stool)'!$E30</f>
        <v>0</v>
      </c>
      <c r="CW5" s="125">
        <f>'DR-TB 10A (Stool)'!$F30</f>
        <v>0</v>
      </c>
      <c r="CX5" s="125">
        <f>'DR-TB 10A (Stool)'!$G30</f>
        <v>0</v>
      </c>
      <c r="CY5" s="125">
        <f>'DR-TB 10A (Stool)'!$H30</f>
        <v>0</v>
      </c>
      <c r="CZ5" s="125">
        <f>'DR-TB 10A (Stool)'!$I30</f>
        <v>0</v>
      </c>
      <c r="DA5" s="125">
        <f>'DR-TB 10A (Stool)'!$J30</f>
        <v>0</v>
      </c>
      <c r="DB5" s="125">
        <f>'DR-TB 10A (Stool)'!$K30</f>
        <v>0</v>
      </c>
      <c r="DC5" s="125">
        <f>'DR-TB 10A (Stool)'!$L30</f>
        <v>0</v>
      </c>
      <c r="DD5" s="127">
        <f>'DR-TB 10A (Stool)'!$O30</f>
        <v>0</v>
      </c>
      <c r="DE5" s="127">
        <f>'DR-TB 10A (Stool)'!$O31</f>
        <v>0</v>
      </c>
      <c r="DF5" s="127">
        <f>'DR-TB 10A (Stool)'!$O32</f>
        <v>0</v>
      </c>
      <c r="DG5" s="127">
        <f>'DR-TB 10A (Stool)'!$R30</f>
        <v>0</v>
      </c>
      <c r="DH5" s="127">
        <f>'DR-TB 10A (Stool)'!$R31</f>
        <v>0</v>
      </c>
      <c r="DI5" s="127">
        <f>'DR-TB 10A (Stool)'!$R32</f>
        <v>0</v>
      </c>
      <c r="DJ5" s="127">
        <f>'DR-TB 10A (Stool)'!$P41</f>
        <v>0</v>
      </c>
      <c r="DK5" s="127">
        <f>'DR-TB 10A (Stool)'!$Q41</f>
        <v>0</v>
      </c>
      <c r="DL5" s="127">
        <f>'DR-TB 10A (Stool)'!$R41</f>
        <v>0</v>
      </c>
      <c r="DM5" s="127">
        <f>'DR-TB 10A (Stool)'!$P42</f>
        <v>0</v>
      </c>
      <c r="DN5" s="127">
        <f>'DR-TB 10A (Stool)'!$Q42</f>
        <v>0</v>
      </c>
      <c r="DO5" s="127">
        <f>'DR-TB 10A (Stool)'!$R42</f>
        <v>0</v>
      </c>
      <c r="DP5" s="127">
        <f>'DR-TB 10A (Stool)'!$P43</f>
        <v>0</v>
      </c>
      <c r="DQ5" s="127">
        <f>'DR-TB 10A (Stool)'!$Q43</f>
        <v>0</v>
      </c>
      <c r="DR5" s="127"/>
      <c r="DS5" s="128">
        <f>'DR-TB 10A (Stool)'!$S30</f>
        <v>0</v>
      </c>
      <c r="DT5" s="128">
        <f>'DR-TB 10A (Stool)'!$U30</f>
        <v>0</v>
      </c>
      <c r="DU5" s="128">
        <f>'DR-TB 10A (Stool)'!$B42</f>
        <v>0</v>
      </c>
      <c r="DV5" s="128">
        <f>'DR-TB 10A (Stool)'!$C42</f>
        <v>0</v>
      </c>
      <c r="DW5" s="128">
        <f>'DR-TB 10A (Stool)'!$D42</f>
        <v>0</v>
      </c>
      <c r="DX5" s="128">
        <f>'DR-TB 10A (Stool)'!$E42</f>
        <v>0</v>
      </c>
      <c r="DY5" s="196"/>
      <c r="DZ5" s="196"/>
      <c r="EA5" s="196"/>
      <c r="EB5" s="196"/>
      <c r="EC5" s="196"/>
      <c r="ED5" s="196"/>
      <c r="EE5" s="196"/>
      <c r="EF5" s="196"/>
      <c r="EG5" s="196"/>
      <c r="EH5" s="196"/>
      <c r="EI5" s="196"/>
      <c r="EJ5" s="196"/>
      <c r="EK5" s="196"/>
      <c r="EL5" s="196"/>
      <c r="EM5" s="196"/>
      <c r="EN5" s="196"/>
      <c r="EO5" s="196"/>
      <c r="EP5" s="196"/>
      <c r="EQ5" s="196"/>
      <c r="ER5" s="196"/>
      <c r="ES5" s="196"/>
      <c r="ET5" s="196"/>
    </row>
    <row r="6" spans="1:151" ht="28.5" customHeight="1">
      <c r="A6" s="206"/>
      <c r="B6" s="206"/>
      <c r="C6" s="206"/>
      <c r="D6" s="125" t="s">
        <v>88</v>
      </c>
      <c r="E6" s="125">
        <f>'DR-TB 10A (Sputum &amp; EP Sample)'!$B33</f>
        <v>0</v>
      </c>
      <c r="F6" s="125">
        <f>'DR-TB 10A (Sputum &amp; EP Sample)'!$C33</f>
        <v>0</v>
      </c>
      <c r="G6" s="125">
        <f>'DR-TB 10A (Sputum &amp; EP Sample)'!$D33</f>
        <v>0</v>
      </c>
      <c r="H6" s="125">
        <f>'DR-TB 10A (Sputum &amp; EP Sample)'!$E33</f>
        <v>0</v>
      </c>
      <c r="I6" s="125">
        <f>'DR-TB 10A (Sputum &amp; EP Sample)'!$F33</f>
        <v>0</v>
      </c>
      <c r="J6" s="125">
        <f>'DR-TB 10A (Sputum &amp; EP Sample)'!$G33</f>
        <v>0</v>
      </c>
      <c r="K6" s="125">
        <f>'DR-TB 10A (Sputum &amp; EP Sample)'!$H33</f>
        <v>0</v>
      </c>
      <c r="L6" s="125">
        <f>'DR-TB 10A (Sputum &amp; EP Sample)'!$I33</f>
        <v>0</v>
      </c>
      <c r="M6" s="125">
        <f>'DR-TB 10A (Sputum &amp; EP Sample)'!$J33</f>
        <v>0</v>
      </c>
      <c r="N6" s="125">
        <f>'DR-TB 10A (Sputum &amp; EP Sample)'!$K33</f>
        <v>0</v>
      </c>
      <c r="O6" s="125">
        <f>'DR-TB 10A (Sputum &amp; EP Sample)'!$L33</f>
        <v>0</v>
      </c>
      <c r="P6" s="127">
        <f>'DR-TB 10A (Sputum &amp; EP Sample)'!$O33</f>
        <v>0</v>
      </c>
      <c r="Q6" s="127">
        <f>'DR-TB 10A (Sputum &amp; EP Sample)'!$O34</f>
        <v>0</v>
      </c>
      <c r="R6" s="127">
        <f>'DR-TB 10A (Sputum &amp; EP Sample)'!$O35</f>
        <v>0</v>
      </c>
      <c r="S6" s="127">
        <f>'DR-TB 10A (Sputum &amp; EP Sample)'!$R33</f>
        <v>0</v>
      </c>
      <c r="T6" s="127">
        <f>'DR-TB 10A (Sputum &amp; EP Sample)'!$R34</f>
        <v>0</v>
      </c>
      <c r="U6" s="127">
        <f>'DR-TB 10A (Sputum &amp; EP Sample)'!$R35</f>
        <v>0</v>
      </c>
      <c r="V6" s="127">
        <f>'DR-TB 10A (Sputum &amp; EP Sample)'!$S41</f>
        <v>0</v>
      </c>
      <c r="W6" s="127">
        <f>'DR-TB 10A (Sputum &amp; EP Sample)'!$T41</f>
        <v>0</v>
      </c>
      <c r="X6" s="127">
        <f>'DR-TB 10A (Sputum &amp; EP Sample)'!$U41</f>
        <v>0</v>
      </c>
      <c r="Y6" s="127">
        <f>'DR-TB 10A (Sputum &amp; EP Sample)'!$S42</f>
        <v>0</v>
      </c>
      <c r="Z6" s="127">
        <f>'DR-TB 10A (Sputum &amp; EP Sample)'!$T42</f>
        <v>0</v>
      </c>
      <c r="AA6" s="127">
        <f>'DR-TB 10A (Sputum &amp; EP Sample)'!$U42</f>
        <v>0</v>
      </c>
      <c r="AB6" s="127">
        <f>'DR-TB 10A (Sputum &amp; EP Sample)'!$S43</f>
        <v>0</v>
      </c>
      <c r="AC6" s="127">
        <f>'DR-TB 10A (Sputum &amp; EP Sample)'!$T43</f>
        <v>0</v>
      </c>
      <c r="AD6" s="127"/>
      <c r="AE6" s="128">
        <f>'DR-TB 10A (Sputum &amp; EP Sample)'!$S33</f>
        <v>0</v>
      </c>
      <c r="AF6" s="128">
        <f>'DR-TB 10A (Sputum &amp; EP Sample)'!$U33</f>
        <v>0</v>
      </c>
      <c r="AG6" s="128">
        <f>'DR-TB 10A (Sputum &amp; EP Sample)'!$B44</f>
        <v>0</v>
      </c>
      <c r="AH6" s="128">
        <f>'DR-TB 10A (Sputum &amp; EP Sample)'!$C44</f>
        <v>0</v>
      </c>
      <c r="AI6" s="128">
        <f>'DR-TB 10A (Sputum &amp; EP Sample)'!$D44</f>
        <v>0</v>
      </c>
      <c r="AJ6" s="128">
        <f>'DR-TB 10A (Sputum &amp; EP Sample)'!$E44</f>
        <v>0</v>
      </c>
      <c r="AK6" s="206"/>
      <c r="AL6" s="206"/>
      <c r="AM6" s="206"/>
      <c r="AN6" s="206"/>
      <c r="AO6" s="206"/>
      <c r="AP6" s="206"/>
      <c r="AQ6" s="206"/>
      <c r="AR6" s="206"/>
      <c r="AS6" s="206"/>
      <c r="AT6" s="206"/>
      <c r="AU6" s="206"/>
      <c r="AV6" s="206"/>
      <c r="AW6" s="206"/>
      <c r="AX6" s="206"/>
      <c r="AY6" s="206"/>
      <c r="AZ6" s="206"/>
      <c r="BA6" s="206"/>
      <c r="BB6" s="206"/>
      <c r="BC6" s="73"/>
      <c r="BD6" s="73"/>
      <c r="BE6" s="73"/>
      <c r="BF6" s="73"/>
      <c r="BG6" s="73"/>
      <c r="BH6" s="73"/>
      <c r="BI6" s="73"/>
      <c r="BJ6" s="73"/>
      <c r="BK6" s="206"/>
      <c r="BL6" s="206"/>
      <c r="BM6" s="206"/>
      <c r="BN6" s="206"/>
      <c r="BO6" s="206"/>
      <c r="BP6" s="206"/>
      <c r="BQ6" s="206"/>
      <c r="BR6" s="206"/>
      <c r="BS6" s="206"/>
      <c r="BT6" s="206"/>
      <c r="BU6" s="206"/>
      <c r="BV6" s="206"/>
      <c r="BW6" s="206"/>
      <c r="BX6" s="206"/>
      <c r="BY6" s="206"/>
      <c r="BZ6" s="206"/>
      <c r="CA6" s="206"/>
      <c r="CB6" s="206"/>
      <c r="CC6" s="206"/>
      <c r="CD6" s="206"/>
      <c r="CE6" s="206"/>
      <c r="CF6" s="206"/>
      <c r="CG6" s="206"/>
      <c r="CH6" s="206"/>
      <c r="CI6" s="206"/>
      <c r="CJ6" s="206"/>
      <c r="CK6" s="206"/>
      <c r="CL6" s="206"/>
      <c r="CM6" s="206"/>
      <c r="CN6" s="206"/>
      <c r="CO6" s="206"/>
      <c r="CP6" s="206"/>
      <c r="CQ6" s="206"/>
      <c r="CR6" s="206"/>
      <c r="CS6" s="125">
        <f>'DR-TB 10A (Stool)'!$B33</f>
        <v>0</v>
      </c>
      <c r="CT6" s="125">
        <f>'DR-TB 10A (Stool)'!$C33</f>
        <v>0</v>
      </c>
      <c r="CU6" s="125">
        <f>'DR-TB 10A (Stool)'!$D33</f>
        <v>0</v>
      </c>
      <c r="CV6" s="125">
        <f>'DR-TB 10A (Stool)'!$E33</f>
        <v>0</v>
      </c>
      <c r="CW6" s="125">
        <f>'DR-TB 10A (Stool)'!$F33</f>
        <v>0</v>
      </c>
      <c r="CX6" s="125">
        <f>'DR-TB 10A (Stool)'!$G33</f>
        <v>0</v>
      </c>
      <c r="CY6" s="125">
        <f>'DR-TB 10A (Stool)'!$H33</f>
        <v>0</v>
      </c>
      <c r="CZ6" s="125">
        <f>'DR-TB 10A (Stool)'!$I33</f>
        <v>0</v>
      </c>
      <c r="DA6" s="125">
        <f>'DR-TB 10A (Stool)'!$J33</f>
        <v>0</v>
      </c>
      <c r="DB6" s="125">
        <f>'DR-TB 10A (Stool)'!$K33</f>
        <v>0</v>
      </c>
      <c r="DC6" s="125">
        <f>'DR-TB 10A (Stool)'!$L33</f>
        <v>0</v>
      </c>
      <c r="DD6" s="127">
        <f>'DR-TB 10A (Stool)'!$O33</f>
        <v>0</v>
      </c>
      <c r="DE6" s="127">
        <f>'DR-TB 10A (Stool)'!$O34</f>
        <v>0</v>
      </c>
      <c r="DF6" s="127">
        <f>'DR-TB 10A (Stool)'!$O35</f>
        <v>0</v>
      </c>
      <c r="DG6" s="127">
        <f>'DR-TB 10A (Stool)'!$R33</f>
        <v>0</v>
      </c>
      <c r="DH6" s="127">
        <f>'DR-TB 10A (Stool)'!$R34</f>
        <v>0</v>
      </c>
      <c r="DI6" s="127">
        <f>'DR-TB 10A (Stool)'!$R35</f>
        <v>0</v>
      </c>
      <c r="DJ6" s="127">
        <f>'DR-TB 10A (Stool)'!$S41</f>
        <v>0</v>
      </c>
      <c r="DK6" s="127">
        <f>'DR-TB 10A (Stool)'!$T41</f>
        <v>0</v>
      </c>
      <c r="DL6" s="127">
        <f>'DR-TB 10A (Stool)'!$U41</f>
        <v>0</v>
      </c>
      <c r="DM6" s="127">
        <f>'DR-TB 10A (Stool)'!$S42</f>
        <v>0</v>
      </c>
      <c r="DN6" s="127">
        <f>'DR-TB 10A (Stool)'!$T42</f>
        <v>0</v>
      </c>
      <c r="DO6" s="127">
        <f>'DR-TB 10A (Stool)'!$U42</f>
        <v>0</v>
      </c>
      <c r="DP6" s="127">
        <f>'DR-TB 10A (Stool)'!$S43</f>
        <v>0</v>
      </c>
      <c r="DQ6" s="127">
        <f>'DR-TB 10A (Stool)'!$T43</f>
        <v>0</v>
      </c>
      <c r="DR6" s="127"/>
      <c r="DS6" s="128">
        <f>'DR-TB 10A (Stool)'!$S33</f>
        <v>0</v>
      </c>
      <c r="DT6" s="128">
        <f>'DR-TB 10A (Stool)'!$U33</f>
        <v>0</v>
      </c>
      <c r="DU6" s="128">
        <f>'DR-TB 10A (Stool)'!$B44</f>
        <v>0</v>
      </c>
      <c r="DV6" s="128">
        <f>'DR-TB 10A (Stool)'!$C44</f>
        <v>0</v>
      </c>
      <c r="DW6" s="128">
        <f>'DR-TB 10A (Stool)'!$D44</f>
        <v>0</v>
      </c>
      <c r="DX6" s="128">
        <f>'DR-TB 10A (Stool)'!$E44</f>
        <v>0</v>
      </c>
      <c r="DY6" s="206"/>
      <c r="DZ6" s="206"/>
      <c r="EA6" s="206"/>
      <c r="EB6" s="206"/>
      <c r="EC6" s="206"/>
      <c r="ED6" s="206"/>
      <c r="EE6" s="206"/>
      <c r="EF6" s="206"/>
      <c r="EG6" s="206"/>
      <c r="EH6" s="206"/>
      <c r="EI6" s="206"/>
      <c r="EJ6" s="206"/>
      <c r="EK6" s="206"/>
      <c r="EL6" s="206"/>
      <c r="EM6" s="206"/>
      <c r="EN6" s="206"/>
      <c r="EO6" s="206"/>
      <c r="EP6" s="206"/>
      <c r="EQ6" s="206"/>
      <c r="ER6" s="206"/>
      <c r="ES6" s="206"/>
      <c r="ET6" s="206"/>
    </row>
    <row r="7" spans="1:151">
      <c r="A7" s="97"/>
      <c r="B7" s="97"/>
      <c r="C7" s="97"/>
      <c r="D7" s="97"/>
      <c r="E7" s="97"/>
      <c r="F7" s="97"/>
      <c r="G7" s="97"/>
      <c r="H7" s="129"/>
      <c r="I7" s="97"/>
      <c r="J7" s="97"/>
      <c r="K7" s="97"/>
      <c r="L7" s="97"/>
      <c r="M7" s="97"/>
      <c r="N7" s="97"/>
      <c r="O7" s="97"/>
      <c r="P7" s="97"/>
      <c r="Q7" s="97"/>
      <c r="R7" s="97"/>
      <c r="S7" s="97"/>
      <c r="T7" s="97"/>
      <c r="U7" s="97"/>
      <c r="V7" s="97"/>
      <c r="W7" s="97"/>
      <c r="X7" s="129"/>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O7" s="97"/>
      <c r="CP7" s="97"/>
      <c r="CQ7" s="97"/>
      <c r="CR7" s="97"/>
      <c r="CS7" s="97"/>
      <c r="CT7" s="97"/>
      <c r="CU7" s="97"/>
      <c r="CV7" s="97"/>
      <c r="CW7" s="97"/>
      <c r="CX7" s="97"/>
      <c r="CY7" s="97"/>
      <c r="CZ7" s="97"/>
      <c r="DA7" s="97"/>
      <c r="DB7" s="97"/>
      <c r="DC7" s="97"/>
      <c r="DD7" s="97"/>
      <c r="DE7" s="97"/>
      <c r="DF7" s="97"/>
      <c r="DG7" s="97"/>
      <c r="DH7" s="97"/>
      <c r="DI7" s="97"/>
      <c r="DJ7" s="97"/>
      <c r="DK7" s="97"/>
      <c r="DL7" s="97"/>
      <c r="DM7" s="97"/>
      <c r="DN7" s="97"/>
      <c r="DO7" s="97"/>
      <c r="DP7" s="97"/>
      <c r="DQ7" s="97"/>
      <c r="DR7" s="97"/>
      <c r="DS7" s="97"/>
      <c r="DT7" s="97"/>
      <c r="DU7" s="97"/>
      <c r="DV7" s="97"/>
      <c r="DW7" s="97"/>
      <c r="DX7" s="97"/>
      <c r="DY7" s="97"/>
      <c r="DZ7" s="97"/>
      <c r="EA7" s="97"/>
      <c r="EB7" s="97"/>
      <c r="EC7" s="97"/>
      <c r="ED7" s="97"/>
      <c r="EE7" s="97"/>
      <c r="EF7" s="97"/>
      <c r="EG7" s="97"/>
      <c r="EH7" s="97"/>
      <c r="EI7" s="97"/>
      <c r="EJ7" s="97"/>
      <c r="EK7" s="97"/>
      <c r="EL7" s="97"/>
      <c r="EM7" s="97"/>
      <c r="EN7" s="97"/>
      <c r="EO7" s="97"/>
      <c r="EP7" s="97"/>
      <c r="EQ7" s="97"/>
      <c r="ER7" s="97"/>
      <c r="ES7" s="97"/>
      <c r="ET7" s="97"/>
    </row>
    <row r="8" spans="1:151">
      <c r="A8" s="97"/>
      <c r="B8" s="97"/>
      <c r="C8" s="97"/>
      <c r="D8" s="97"/>
      <c r="E8" s="97"/>
      <c r="F8" s="97"/>
      <c r="G8" s="97"/>
      <c r="H8" s="129"/>
      <c r="I8" s="97"/>
      <c r="J8" s="97"/>
      <c r="K8" s="97"/>
      <c r="L8" s="97"/>
      <c r="M8" s="97"/>
      <c r="N8" s="97"/>
      <c r="O8" s="97"/>
      <c r="P8" s="97"/>
      <c r="Q8" s="97"/>
      <c r="R8" s="97"/>
      <c r="S8" s="97"/>
      <c r="T8" s="97"/>
      <c r="U8" s="97"/>
      <c r="V8" s="97"/>
      <c r="W8" s="97"/>
      <c r="X8" s="129"/>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c r="CU8" s="97"/>
      <c r="CV8" s="97"/>
      <c r="CW8" s="97"/>
      <c r="CX8" s="97"/>
      <c r="CY8" s="97"/>
      <c r="CZ8" s="97"/>
      <c r="DA8" s="97"/>
      <c r="DB8" s="97"/>
      <c r="DC8" s="97"/>
      <c r="DD8" s="97"/>
      <c r="DE8" s="97"/>
      <c r="DF8" s="97"/>
      <c r="DG8" s="97"/>
      <c r="DH8" s="97"/>
      <c r="DI8" s="97"/>
      <c r="DJ8" s="97"/>
      <c r="DK8" s="97"/>
      <c r="DL8" s="97"/>
      <c r="DM8" s="97"/>
      <c r="DN8" s="97"/>
      <c r="DO8" s="97"/>
      <c r="DP8" s="97"/>
      <c r="DQ8" s="97"/>
      <c r="DR8" s="97"/>
      <c r="DS8" s="97"/>
      <c r="DT8" s="97"/>
      <c r="DU8" s="97"/>
      <c r="DV8" s="97"/>
      <c r="DW8" s="97"/>
      <c r="DX8" s="97"/>
      <c r="DY8" s="97"/>
      <c r="DZ8" s="97"/>
      <c r="EA8" s="97"/>
      <c r="EB8" s="97"/>
      <c r="EC8" s="97"/>
      <c r="ED8" s="97"/>
      <c r="EE8" s="97"/>
      <c r="EF8" s="97"/>
      <c r="EG8" s="97"/>
      <c r="EH8" s="97"/>
      <c r="EI8" s="97"/>
      <c r="EJ8" s="97"/>
      <c r="EK8" s="97"/>
      <c r="EL8" s="97"/>
      <c r="EM8" s="97"/>
      <c r="EN8" s="97"/>
      <c r="EO8" s="97"/>
      <c r="EP8" s="97"/>
      <c r="EQ8" s="97"/>
      <c r="ER8" s="97"/>
      <c r="ES8" s="97"/>
      <c r="ET8" s="97"/>
    </row>
    <row r="9" spans="1:151">
      <c r="A9" s="97"/>
      <c r="D9" s="97"/>
      <c r="E9" s="97"/>
      <c r="F9" s="97"/>
      <c r="G9" s="97"/>
      <c r="H9" s="129"/>
      <c r="I9" s="97"/>
      <c r="J9" s="97"/>
      <c r="K9" s="97"/>
      <c r="L9" s="97"/>
      <c r="M9" s="97"/>
      <c r="N9" s="97"/>
      <c r="O9" s="97"/>
      <c r="P9" s="97"/>
      <c r="Q9" s="97"/>
      <c r="R9" s="97"/>
      <c r="S9" s="97"/>
      <c r="T9" s="97"/>
      <c r="U9" s="97"/>
      <c r="V9" s="97"/>
      <c r="W9" s="97"/>
      <c r="X9" s="129"/>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O9" s="97"/>
      <c r="CP9" s="97"/>
      <c r="CQ9" s="97"/>
      <c r="CR9" s="97"/>
      <c r="CS9" s="97"/>
      <c r="CT9" s="97"/>
      <c r="CU9" s="97"/>
      <c r="CV9" s="97"/>
      <c r="CW9" s="97"/>
      <c r="CX9" s="97"/>
      <c r="CY9" s="97"/>
      <c r="CZ9" s="97"/>
      <c r="DA9" s="97"/>
      <c r="DB9" s="97"/>
      <c r="DC9" s="97"/>
      <c r="DD9" s="97"/>
      <c r="DE9" s="97"/>
      <c r="DF9" s="97"/>
      <c r="DG9" s="97"/>
      <c r="DH9" s="97"/>
      <c r="DI9" s="97"/>
      <c r="DJ9" s="97"/>
      <c r="DK9" s="97"/>
      <c r="DL9" s="97"/>
      <c r="DM9" s="97"/>
      <c r="DN9" s="97"/>
      <c r="DO9" s="97"/>
      <c r="DP9" s="97"/>
      <c r="DQ9" s="97"/>
      <c r="DR9" s="97"/>
      <c r="DS9" s="97"/>
      <c r="DT9" s="97"/>
      <c r="DU9" s="97"/>
      <c r="DV9" s="97"/>
      <c r="DW9" s="97"/>
      <c r="DX9" s="97"/>
      <c r="DY9" s="97"/>
      <c r="DZ9" s="97"/>
      <c r="EA9" s="97"/>
      <c r="EB9" s="97"/>
      <c r="EC9" s="97"/>
      <c r="ED9" s="97"/>
      <c r="EE9" s="97"/>
      <c r="EF9" s="97"/>
      <c r="EG9" s="97"/>
      <c r="EH9" s="97"/>
      <c r="EI9" s="97"/>
      <c r="EJ9" s="97"/>
      <c r="EK9" s="97"/>
      <c r="EL9" s="97"/>
      <c r="EM9" s="97"/>
      <c r="EN9" s="97"/>
      <c r="EO9" s="97"/>
      <c r="EP9" s="97"/>
      <c r="EQ9" s="97"/>
      <c r="ER9" s="97"/>
      <c r="ES9" s="97"/>
      <c r="ET9" s="97"/>
    </row>
    <row r="10" spans="1:151">
      <c r="A10" s="97"/>
      <c r="D10" s="97"/>
      <c r="E10" s="97"/>
      <c r="F10" s="97"/>
      <c r="G10" s="97"/>
      <c r="H10" s="129"/>
      <c r="I10" s="97"/>
      <c r="J10" s="97"/>
      <c r="K10" s="97"/>
      <c r="L10" s="97"/>
      <c r="M10" s="97"/>
      <c r="N10" s="97"/>
      <c r="O10" s="97"/>
      <c r="P10" s="97"/>
      <c r="Q10" s="97"/>
      <c r="R10" s="97"/>
      <c r="S10" s="97"/>
      <c r="T10" s="97"/>
      <c r="U10" s="97"/>
      <c r="V10" s="97"/>
      <c r="W10" s="97"/>
      <c r="X10" s="129"/>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O10" s="97"/>
      <c r="CP10" s="97"/>
      <c r="CQ10" s="97"/>
      <c r="CR10" s="97"/>
      <c r="CS10" s="97"/>
      <c r="CT10" s="97"/>
      <c r="CU10" s="97"/>
      <c r="CV10" s="97"/>
      <c r="CW10" s="97"/>
      <c r="CX10" s="97"/>
      <c r="CY10" s="97"/>
      <c r="CZ10" s="97"/>
      <c r="DA10" s="97"/>
      <c r="DB10" s="97"/>
      <c r="DC10" s="97"/>
      <c r="DD10" s="97"/>
      <c r="DE10" s="97"/>
      <c r="DF10" s="97"/>
      <c r="DG10" s="97"/>
      <c r="DH10" s="97"/>
      <c r="DI10" s="97"/>
      <c r="DJ10" s="97"/>
      <c r="DK10" s="97"/>
      <c r="DL10" s="97"/>
      <c r="DM10" s="97"/>
      <c r="DN10" s="97"/>
      <c r="DO10" s="97"/>
      <c r="DP10" s="97"/>
      <c r="DQ10" s="97"/>
      <c r="DR10" s="97"/>
      <c r="DS10" s="97"/>
      <c r="DT10" s="97"/>
      <c r="DU10" s="97"/>
      <c r="DV10" s="97"/>
      <c r="DW10" s="97"/>
      <c r="DX10" s="97"/>
      <c r="DY10" s="97"/>
      <c r="DZ10" s="97"/>
      <c r="EA10" s="97"/>
      <c r="EB10" s="97"/>
      <c r="EC10" s="97"/>
      <c r="ED10" s="97"/>
      <c r="EE10" s="97"/>
      <c r="EF10" s="97"/>
      <c r="EG10" s="97"/>
      <c r="EH10" s="97"/>
      <c r="EI10" s="97"/>
      <c r="EJ10" s="97"/>
      <c r="EK10" s="97"/>
      <c r="EL10" s="97"/>
      <c r="EM10" s="97"/>
      <c r="EN10" s="97"/>
      <c r="EO10" s="97"/>
      <c r="EP10" s="97"/>
      <c r="EQ10" s="97"/>
      <c r="ER10" s="97"/>
      <c r="ES10" s="97"/>
      <c r="ET10" s="97"/>
    </row>
    <row r="11" spans="1:151">
      <c r="A11" s="97"/>
      <c r="B11" s="97"/>
      <c r="C11" s="97"/>
      <c r="D11" s="97"/>
      <c r="E11" s="97"/>
      <c r="F11" s="97"/>
      <c r="G11" s="97"/>
      <c r="H11" s="129"/>
      <c r="I11" s="97"/>
      <c r="J11" s="97"/>
      <c r="K11" s="97"/>
      <c r="L11" s="97"/>
      <c r="M11" s="97"/>
      <c r="N11" s="97"/>
      <c r="O11" s="97"/>
      <c r="P11" s="97"/>
      <c r="Q11" s="97"/>
      <c r="R11" s="97"/>
      <c r="S11" s="97"/>
      <c r="T11" s="97"/>
      <c r="U11" s="97"/>
      <c r="V11" s="97"/>
      <c r="W11" s="97"/>
      <c r="X11" s="129"/>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O11" s="97"/>
      <c r="CP11" s="97"/>
      <c r="CQ11" s="97"/>
      <c r="CR11" s="97"/>
      <c r="CS11" s="97"/>
      <c r="CT11" s="97"/>
      <c r="CU11" s="97"/>
      <c r="CV11" s="97"/>
      <c r="CW11" s="97"/>
      <c r="CX11" s="97"/>
      <c r="CY11" s="97"/>
      <c r="CZ11" s="97"/>
      <c r="DA11" s="97"/>
      <c r="DB11" s="97"/>
      <c r="DC11" s="97"/>
      <c r="DD11" s="97"/>
      <c r="DE11" s="97"/>
      <c r="DF11" s="97"/>
      <c r="DG11" s="97"/>
      <c r="DH11" s="97"/>
      <c r="DI11" s="97"/>
      <c r="DJ11" s="97"/>
      <c r="DK11" s="97"/>
      <c r="DL11" s="97"/>
      <c r="DM11" s="97"/>
      <c r="DN11" s="97"/>
      <c r="DO11" s="97"/>
      <c r="DP11" s="97"/>
      <c r="DQ11" s="97"/>
      <c r="DR11" s="97"/>
      <c r="DS11" s="97"/>
      <c r="DT11" s="97"/>
      <c r="DU11" s="97"/>
      <c r="DV11" s="97"/>
      <c r="DW11" s="97"/>
      <c r="DX11" s="97"/>
      <c r="DY11" s="97"/>
      <c r="DZ11" s="97"/>
      <c r="EA11" s="97"/>
      <c r="EB11" s="97"/>
      <c r="EC11" s="97"/>
      <c r="ED11" s="97"/>
      <c r="EE11" s="97"/>
      <c r="EF11" s="97"/>
      <c r="EG11" s="97"/>
      <c r="EH11" s="97"/>
      <c r="EI11" s="97"/>
      <c r="EJ11" s="97"/>
      <c r="EK11" s="97"/>
      <c r="EL11" s="97"/>
      <c r="EM11" s="97"/>
      <c r="EN11" s="97"/>
      <c r="EO11" s="97"/>
      <c r="EP11" s="97"/>
      <c r="EQ11" s="97"/>
      <c r="ER11" s="97"/>
      <c r="ES11" s="97"/>
      <c r="ET11" s="97"/>
    </row>
    <row r="12" spans="1:151">
      <c r="A12" s="77" t="s">
        <v>782</v>
      </c>
      <c r="B12" s="77">
        <v>2</v>
      </c>
      <c r="C12" s="97"/>
      <c r="D12" s="97"/>
      <c r="E12" s="97"/>
      <c r="F12" s="97"/>
      <c r="G12" s="97"/>
      <c r="H12" s="129"/>
      <c r="I12" s="97"/>
      <c r="J12" s="97"/>
      <c r="K12" s="97"/>
      <c r="L12" s="97"/>
      <c r="M12" s="97"/>
      <c r="N12" s="97"/>
      <c r="O12" s="97"/>
      <c r="P12" s="97"/>
      <c r="Q12" s="97"/>
      <c r="R12" s="97"/>
      <c r="S12" s="97"/>
      <c r="T12" s="97"/>
      <c r="U12" s="97"/>
      <c r="V12" s="97"/>
      <c r="W12" s="97"/>
      <c r="X12" s="129"/>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O12" s="97"/>
      <c r="CP12" s="97"/>
      <c r="CQ12" s="97"/>
      <c r="CR12" s="97"/>
      <c r="CS12" s="97"/>
      <c r="CT12" s="97"/>
      <c r="CU12" s="97"/>
      <c r="CV12" s="97"/>
      <c r="CW12" s="97"/>
      <c r="CX12" s="97"/>
      <c r="CY12" s="97"/>
      <c r="CZ12" s="97"/>
      <c r="DA12" s="97"/>
      <c r="DB12" s="97"/>
      <c r="DC12" s="97"/>
      <c r="DD12" s="97"/>
      <c r="DE12" s="97"/>
      <c r="DF12" s="97"/>
      <c r="DG12" s="97"/>
      <c r="DH12" s="97"/>
      <c r="DI12" s="97"/>
      <c r="DJ12" s="97"/>
      <c r="DK12" s="97"/>
      <c r="DL12" s="97"/>
      <c r="DM12" s="97"/>
      <c r="DN12" s="97"/>
      <c r="DO12" s="97"/>
      <c r="DP12" s="97"/>
      <c r="DQ12" s="97"/>
      <c r="DR12" s="97"/>
      <c r="DS12" s="97"/>
      <c r="DT12" s="97"/>
      <c r="DU12" s="97"/>
      <c r="DV12" s="97"/>
      <c r="DW12" s="97"/>
      <c r="DX12" s="97"/>
      <c r="DY12" s="97"/>
      <c r="DZ12" s="97"/>
      <c r="EA12" s="97"/>
      <c r="EB12" s="97"/>
      <c r="EC12" s="97"/>
      <c r="ED12" s="97"/>
      <c r="EE12" s="97"/>
      <c r="EF12" s="97"/>
      <c r="EG12" s="97"/>
      <c r="EH12" s="97"/>
      <c r="EI12" s="97"/>
      <c r="EJ12" s="97"/>
      <c r="EK12" s="97"/>
      <c r="EL12" s="97"/>
      <c r="EM12" s="97"/>
      <c r="EN12" s="97"/>
      <c r="EO12" s="97"/>
      <c r="EP12" s="97"/>
      <c r="EQ12" s="97"/>
      <c r="ER12" s="97"/>
      <c r="ES12" s="97"/>
      <c r="ET12" s="97"/>
    </row>
    <row r="13" spans="1:151" ht="140.25" customHeight="1">
      <c r="A13" s="356" t="s">
        <v>115</v>
      </c>
      <c r="B13" s="356" t="s">
        <v>857</v>
      </c>
      <c r="C13" s="356" t="s">
        <v>858</v>
      </c>
      <c r="D13" s="356" t="str">
        <f>'DR-TB 10B'!A11</f>
        <v>Sl. No</v>
      </c>
      <c r="E13" s="357" t="str">
        <f>'DR-TB 10B'!B11</f>
        <v>Name of the RR                                                                                                                               patient</v>
      </c>
      <c r="F13" s="357" t="str">
        <f>'DR-TB 10B'!C11</f>
        <v>Age</v>
      </c>
      <c r="G13" s="357" t="str">
        <f>'DR-TB 10B'!D11</f>
        <v>Sex
(M/F)</v>
      </c>
      <c r="H13" s="357" t="str">
        <f>'DR-TB 10B'!F11</f>
        <v>Address and                                        cell number</v>
      </c>
      <c r="I13" s="357" t="str">
        <f>'DR-TB 10B'!G11</f>
        <v>Name &amp; address          of the referring unit                                                and cell number</v>
      </c>
      <c r="J13" s="357" t="str">
        <f>'DR-TB 10B'!H11</f>
        <v>* Type of patient</v>
      </c>
      <c r="K13" s="357" t="s">
        <v>803</v>
      </c>
      <c r="L13" s="357" t="str">
        <f>'DR-TB 10B'!K11</f>
        <v>Current and previous (if any)  TB registration number</v>
      </c>
      <c r="M13" s="357" t="str">
        <f>'DR-TB 10B'!L11</f>
        <v>Result of Xpert/Truenat MTB/RIF/Ultra</v>
      </c>
      <c r="N13" s="357" t="str">
        <f>'DR-TB 10B'!M11</f>
        <v>Bacterial Load</v>
      </c>
      <c r="O13" s="357" t="str">
        <f>'DR-TB 10B'!V11</f>
        <v>Name and address of the hospital/ treatment                initiation center            for enrollment of DR TB treatment</v>
      </c>
      <c r="P13" s="357" t="str">
        <f>'DR-TB 10B'!W11</f>
        <v>Enrollment status                   (Y/N)</v>
      </c>
      <c r="Q13" s="357" t="str">
        <f>'DR-TB 10B'!Z11</f>
        <v>** Current status of the patient</v>
      </c>
      <c r="R13" s="357" t="str">
        <f>'DR-TB 10B'!AA11</f>
        <v>Remarks</v>
      </c>
      <c r="S13" s="357" t="str">
        <f>'DR-TB 10B'!E11</f>
        <v>Date of Diagnosis</v>
      </c>
      <c r="T13" s="357" t="str">
        <f>'DR-TB 10B'!X11</f>
        <v>Date Of Enrollment</v>
      </c>
      <c r="U13" s="357" t="str">
        <f>'DR-TB 10B'!Y11</f>
        <v>eTB/ DR TB Registration Number</v>
      </c>
      <c r="V13" s="357" t="str">
        <f>'DR-TB 10B'!I11</f>
        <v>Type Of Specimen</v>
      </c>
      <c r="W13" s="363" t="str">
        <f>'DR-TB 10B'!O11</f>
        <v>Result Of MTB/XDR</v>
      </c>
      <c r="X13" s="218"/>
      <c r="Y13" s="218"/>
      <c r="Z13" s="218"/>
      <c r="AA13" s="218"/>
      <c r="AB13" s="218"/>
      <c r="AC13" s="219"/>
      <c r="AD13" s="358" t="s">
        <v>795</v>
      </c>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O13" s="97"/>
      <c r="CP13" s="97"/>
      <c r="CQ13" s="97"/>
      <c r="CR13" s="97"/>
      <c r="CS13" s="97"/>
      <c r="CT13" s="97"/>
      <c r="CU13" s="97"/>
      <c r="CV13" s="97"/>
      <c r="CW13" s="97"/>
      <c r="CX13" s="97"/>
      <c r="CY13" s="97"/>
      <c r="CZ13" s="97"/>
      <c r="DA13" s="97"/>
      <c r="DB13" s="97"/>
      <c r="DC13" s="97"/>
      <c r="DD13" s="97"/>
      <c r="DE13" s="97"/>
      <c r="DF13" s="97"/>
      <c r="DG13" s="97"/>
      <c r="DH13" s="97"/>
      <c r="DI13" s="97"/>
      <c r="DJ13" s="97"/>
      <c r="DK13" s="97"/>
      <c r="DL13" s="97"/>
      <c r="DM13" s="97"/>
      <c r="DN13" s="97"/>
      <c r="DO13" s="97"/>
      <c r="DP13" s="97"/>
      <c r="DQ13" s="97"/>
      <c r="DR13" s="97"/>
      <c r="DS13" s="97"/>
      <c r="DT13" s="97"/>
      <c r="DU13" s="97"/>
      <c r="DV13" s="97"/>
      <c r="DW13" s="97"/>
      <c r="DX13" s="97"/>
      <c r="DY13" s="97"/>
      <c r="DZ13" s="97"/>
      <c r="EA13" s="97"/>
      <c r="EB13" s="97"/>
      <c r="EC13" s="97"/>
      <c r="ED13" s="97"/>
      <c r="EE13" s="97"/>
      <c r="EF13" s="97"/>
      <c r="EG13" s="97"/>
      <c r="EH13" s="97"/>
      <c r="EI13" s="97"/>
      <c r="EJ13" s="97"/>
      <c r="EK13" s="97"/>
      <c r="EL13" s="97"/>
      <c r="EM13" s="97"/>
      <c r="EN13" s="97"/>
      <c r="EO13" s="97"/>
      <c r="EP13" s="97"/>
      <c r="EQ13" s="97"/>
      <c r="ER13" s="97"/>
      <c r="ES13" s="97"/>
      <c r="ET13" s="97"/>
      <c r="EU13" s="97"/>
    </row>
    <row r="14" spans="1:151" ht="140.25" customHeight="1">
      <c r="A14" s="206"/>
      <c r="B14" s="206"/>
      <c r="C14" s="206"/>
      <c r="D14" s="206"/>
      <c r="E14" s="206"/>
      <c r="F14" s="206"/>
      <c r="G14" s="206"/>
      <c r="H14" s="206"/>
      <c r="I14" s="206"/>
      <c r="J14" s="206"/>
      <c r="K14" s="368"/>
      <c r="L14" s="206"/>
      <c r="M14" s="206"/>
      <c r="N14" s="206"/>
      <c r="O14" s="206"/>
      <c r="P14" s="206"/>
      <c r="Q14" s="206"/>
      <c r="R14" s="206"/>
      <c r="S14" s="206"/>
      <c r="T14" s="206"/>
      <c r="U14" s="206"/>
      <c r="V14" s="206"/>
      <c r="W14" s="130" t="str">
        <f>'DR-TB 10B'!O12</f>
        <v>MTB</v>
      </c>
      <c r="X14" s="130" t="str">
        <f>'DR-TB 10B'!P12</f>
        <v>INH</v>
      </c>
      <c r="Y14" s="130" t="str">
        <f>'DR-TB 10B'!Q12</f>
        <v>FLQ</v>
      </c>
      <c r="Z14" s="130" t="str">
        <f>'DR-TB 10B'!R12</f>
        <v>AMK</v>
      </c>
      <c r="AA14" s="130" t="str">
        <f>'DR-TB 10B'!S12</f>
        <v>KAN</v>
      </c>
      <c r="AB14" s="130" t="str">
        <f>'DR-TB 10B'!T12</f>
        <v>CAP</v>
      </c>
      <c r="AC14" s="130" t="str">
        <f>'DR-TB 10B'!U12</f>
        <v>ETH</v>
      </c>
      <c r="AD14" s="206"/>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O14" s="97"/>
      <c r="CP14" s="97"/>
      <c r="CQ14" s="97"/>
      <c r="CR14" s="97"/>
      <c r="CS14" s="97"/>
      <c r="CT14" s="97"/>
      <c r="CU14" s="97"/>
      <c r="CV14" s="97"/>
      <c r="CW14" s="97"/>
      <c r="CX14" s="97"/>
      <c r="CY14" s="97"/>
      <c r="CZ14" s="97"/>
      <c r="DA14" s="97"/>
      <c r="DB14" s="97"/>
      <c r="DC14" s="97"/>
      <c r="DD14" s="97"/>
      <c r="DE14" s="97"/>
      <c r="DF14" s="97"/>
      <c r="DG14" s="97"/>
      <c r="DH14" s="97"/>
      <c r="DI14" s="97"/>
      <c r="DJ14" s="97"/>
      <c r="DK14" s="97"/>
      <c r="DL14" s="97"/>
      <c r="DM14" s="97"/>
      <c r="DN14" s="97"/>
      <c r="DO14" s="97"/>
      <c r="DP14" s="97"/>
      <c r="DQ14" s="97"/>
      <c r="DR14" s="97"/>
      <c r="DS14" s="97"/>
      <c r="DT14" s="97"/>
      <c r="DU14" s="97"/>
      <c r="DV14" s="97"/>
      <c r="DW14" s="97"/>
      <c r="DX14" s="97"/>
      <c r="DY14" s="97"/>
      <c r="DZ14" s="97"/>
      <c r="EA14" s="97"/>
      <c r="EB14" s="97"/>
      <c r="EC14" s="97"/>
      <c r="ED14" s="97"/>
      <c r="EE14" s="97"/>
      <c r="EF14" s="97"/>
      <c r="EG14" s="97"/>
      <c r="EH14" s="97"/>
      <c r="EI14" s="97"/>
      <c r="EJ14" s="97"/>
      <c r="EK14" s="97"/>
      <c r="EL14" s="97"/>
      <c r="EM14" s="97"/>
      <c r="EN14" s="97"/>
      <c r="EO14" s="97"/>
      <c r="EP14" s="97"/>
      <c r="EQ14" s="97"/>
      <c r="ER14" s="97"/>
      <c r="ES14" s="97"/>
      <c r="ET14" s="97"/>
      <c r="EU14" s="97"/>
    </row>
    <row r="15" spans="1:151">
      <c r="A15" s="97" t="s">
        <v>886</v>
      </c>
      <c r="B15" s="97" t="s">
        <v>887</v>
      </c>
      <c r="C15" s="97" t="s">
        <v>888</v>
      </c>
      <c r="D15" s="97" t="s">
        <v>810</v>
      </c>
      <c r="E15" s="97" t="s">
        <v>811</v>
      </c>
      <c r="F15" s="97" t="s">
        <v>812</v>
      </c>
      <c r="G15" s="131" t="s">
        <v>813</v>
      </c>
      <c r="H15" s="131" t="s">
        <v>815</v>
      </c>
      <c r="I15" s="131" t="s">
        <v>816</v>
      </c>
      <c r="J15" s="131" t="s">
        <v>817</v>
      </c>
      <c r="K15" s="131" t="s">
        <v>819</v>
      </c>
      <c r="L15" s="131" t="s">
        <v>820</v>
      </c>
      <c r="M15" s="131" t="s">
        <v>821</v>
      </c>
      <c r="N15" s="131" t="s">
        <v>822</v>
      </c>
      <c r="O15" s="131" t="s">
        <v>831</v>
      </c>
      <c r="P15" s="131" t="s">
        <v>832</v>
      </c>
      <c r="Q15" s="131" t="s">
        <v>834</v>
      </c>
      <c r="R15" s="131" t="s">
        <v>835</v>
      </c>
      <c r="S15" s="131" t="s">
        <v>814</v>
      </c>
      <c r="T15" s="131" t="s">
        <v>833</v>
      </c>
      <c r="U15" s="131" t="s">
        <v>820</v>
      </c>
      <c r="V15" s="131" t="s">
        <v>818</v>
      </c>
      <c r="W15" s="131" t="s">
        <v>824</v>
      </c>
      <c r="X15" s="131" t="s">
        <v>825</v>
      </c>
      <c r="Y15" s="131" t="s">
        <v>826</v>
      </c>
      <c r="Z15" s="131" t="s">
        <v>827</v>
      </c>
      <c r="AA15" s="131" t="s">
        <v>828</v>
      </c>
      <c r="AB15" s="131" t="s">
        <v>829</v>
      </c>
      <c r="AC15" s="131" t="s">
        <v>830</v>
      </c>
      <c r="AD15" s="131" t="s">
        <v>823</v>
      </c>
      <c r="AE15" s="131"/>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O15" s="97"/>
      <c r="CP15" s="97"/>
      <c r="CQ15" s="97"/>
      <c r="CR15" s="97"/>
      <c r="CS15" s="97"/>
      <c r="CT15" s="97"/>
      <c r="CU15" s="97"/>
      <c r="CV15" s="97"/>
      <c r="CW15" s="97"/>
      <c r="CX15" s="97"/>
      <c r="CY15" s="97"/>
      <c r="CZ15" s="97"/>
      <c r="DA15" s="97"/>
      <c r="DB15" s="97"/>
      <c r="DC15" s="97"/>
      <c r="DD15" s="97"/>
      <c r="DE15" s="97"/>
      <c r="DF15" s="97"/>
      <c r="DG15" s="97"/>
      <c r="DH15" s="97"/>
      <c r="DI15" s="97"/>
      <c r="DJ15" s="97"/>
      <c r="DK15" s="97"/>
      <c r="DL15" s="97"/>
      <c r="DM15" s="97"/>
      <c r="DN15" s="97"/>
      <c r="DO15" s="97"/>
      <c r="DP15" s="97"/>
      <c r="DQ15" s="97"/>
      <c r="DR15" s="97"/>
      <c r="DS15" s="97"/>
      <c r="DT15" s="97"/>
      <c r="DU15" s="97"/>
      <c r="DV15" s="97"/>
      <c r="DW15" s="97"/>
      <c r="DX15" s="97"/>
      <c r="DY15" s="97"/>
      <c r="DZ15" s="97"/>
      <c r="EA15" s="97"/>
      <c r="EB15" s="97"/>
      <c r="EC15" s="97"/>
      <c r="ED15" s="97"/>
      <c r="EE15" s="97"/>
      <c r="EF15" s="97"/>
      <c r="EG15" s="97"/>
      <c r="EH15" s="97"/>
      <c r="EI15" s="97"/>
      <c r="EJ15" s="97"/>
      <c r="EK15" s="97"/>
      <c r="EL15" s="97"/>
      <c r="EM15" s="97"/>
      <c r="EN15" s="97"/>
      <c r="EO15" s="97"/>
      <c r="EP15" s="97"/>
      <c r="EQ15" s="97"/>
      <c r="ER15" s="97"/>
      <c r="ES15" s="97"/>
      <c r="ET15" s="97"/>
      <c r="EU15" s="97"/>
    </row>
    <row r="16" spans="1:151">
      <c r="A16" s="97"/>
      <c r="B16" s="97"/>
      <c r="C16" s="97"/>
      <c r="D16" s="97"/>
      <c r="E16" s="97"/>
      <c r="F16" s="97"/>
      <c r="G16" s="97"/>
      <c r="H16" s="129"/>
      <c r="I16" s="97"/>
      <c r="J16" s="97"/>
      <c r="K16" s="97"/>
      <c r="L16" s="97"/>
      <c r="M16" s="97"/>
      <c r="N16" s="97"/>
      <c r="O16" s="97"/>
      <c r="P16" s="97"/>
      <c r="Q16" s="97"/>
      <c r="R16" s="97"/>
      <c r="S16" s="97"/>
      <c r="T16" s="97"/>
      <c r="U16" s="97"/>
      <c r="V16" s="97"/>
      <c r="W16" s="97"/>
      <c r="X16" s="129"/>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O16" s="97"/>
      <c r="CP16" s="97"/>
      <c r="CQ16" s="97"/>
      <c r="CR16" s="97"/>
      <c r="CS16" s="97"/>
      <c r="CT16" s="97"/>
      <c r="CU16" s="97"/>
      <c r="CV16" s="97"/>
      <c r="CW16" s="97"/>
      <c r="CX16" s="97"/>
      <c r="CY16" s="97"/>
      <c r="CZ16" s="97"/>
      <c r="DA16" s="97"/>
      <c r="DB16" s="97"/>
      <c r="DC16" s="97"/>
      <c r="DD16" s="97"/>
      <c r="DE16" s="97"/>
      <c r="DF16" s="97"/>
      <c r="DG16" s="97"/>
      <c r="DH16" s="97"/>
      <c r="DI16" s="97"/>
      <c r="DJ16" s="97"/>
      <c r="DK16" s="97"/>
      <c r="DL16" s="97"/>
      <c r="DM16" s="97"/>
      <c r="DN16" s="97"/>
      <c r="DO16" s="97"/>
      <c r="DP16" s="97"/>
      <c r="DQ16" s="97"/>
      <c r="DR16" s="97"/>
      <c r="DS16" s="97"/>
      <c r="DT16" s="97"/>
      <c r="DU16" s="97"/>
      <c r="DV16" s="97"/>
      <c r="DW16" s="97"/>
      <c r="DX16" s="97"/>
      <c r="DY16" s="97"/>
      <c r="DZ16" s="97"/>
      <c r="EA16" s="97"/>
      <c r="EB16" s="97"/>
      <c r="EC16" s="97"/>
      <c r="ED16" s="97"/>
      <c r="EE16" s="97"/>
      <c r="EF16" s="97"/>
      <c r="EG16" s="97"/>
      <c r="EH16" s="97"/>
      <c r="EI16" s="97"/>
      <c r="EJ16" s="97"/>
      <c r="EK16" s="97"/>
      <c r="EL16" s="97"/>
      <c r="EM16" s="97"/>
      <c r="EN16" s="97"/>
      <c r="EO16" s="97"/>
      <c r="EP16" s="97"/>
      <c r="EQ16" s="97"/>
      <c r="ER16" s="97"/>
      <c r="ES16" s="97"/>
      <c r="ET16" s="97"/>
    </row>
    <row r="17" spans="1:150">
      <c r="A17" s="97"/>
      <c r="B17" s="97"/>
      <c r="C17" s="97"/>
      <c r="D17" s="97"/>
      <c r="E17" s="97"/>
      <c r="F17" s="97"/>
      <c r="G17" s="97"/>
      <c r="H17" s="129"/>
      <c r="I17" s="97"/>
      <c r="J17" s="97"/>
      <c r="K17" s="97"/>
      <c r="L17" s="97"/>
      <c r="M17" s="97"/>
      <c r="N17" s="97"/>
      <c r="O17" s="97"/>
      <c r="P17" s="97"/>
      <c r="Q17" s="97"/>
      <c r="R17" s="97"/>
      <c r="S17" s="97"/>
      <c r="T17" s="97"/>
      <c r="U17" s="97"/>
      <c r="V17" s="97"/>
      <c r="W17" s="97"/>
      <c r="X17" s="129"/>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O17" s="97"/>
      <c r="CP17" s="97"/>
      <c r="CQ17" s="97"/>
      <c r="CR17" s="97"/>
      <c r="CS17" s="97"/>
      <c r="CT17" s="97"/>
      <c r="CU17" s="97"/>
      <c r="CV17" s="97"/>
      <c r="CW17" s="97"/>
      <c r="CX17" s="97"/>
      <c r="CY17" s="97"/>
      <c r="CZ17" s="97"/>
      <c r="DA17" s="97"/>
      <c r="DB17" s="97"/>
      <c r="DC17" s="97"/>
      <c r="DD17" s="97"/>
      <c r="DE17" s="97"/>
      <c r="DF17" s="97"/>
      <c r="DG17" s="97"/>
      <c r="DH17" s="97"/>
      <c r="DI17" s="97"/>
      <c r="DJ17" s="97"/>
      <c r="DK17" s="97"/>
      <c r="DL17" s="97"/>
      <c r="DM17" s="97"/>
      <c r="DN17" s="97"/>
      <c r="DO17" s="97"/>
      <c r="DP17" s="97"/>
      <c r="DQ17" s="97"/>
      <c r="DR17" s="97"/>
      <c r="DS17" s="97"/>
      <c r="DT17" s="97"/>
      <c r="DU17" s="97"/>
      <c r="DV17" s="97"/>
      <c r="DW17" s="97"/>
      <c r="DX17" s="97"/>
      <c r="DY17" s="97"/>
      <c r="DZ17" s="97"/>
      <c r="EA17" s="97"/>
      <c r="EB17" s="97"/>
      <c r="EC17" s="97"/>
      <c r="ED17" s="97"/>
      <c r="EE17" s="97"/>
      <c r="EF17" s="97"/>
      <c r="EG17" s="97"/>
      <c r="EH17" s="97"/>
      <c r="EI17" s="97"/>
      <c r="EJ17" s="97"/>
      <c r="EK17" s="97"/>
      <c r="EL17" s="97"/>
      <c r="EM17" s="97"/>
      <c r="EN17" s="97"/>
      <c r="EO17" s="97"/>
      <c r="EP17" s="97"/>
      <c r="EQ17" s="97"/>
      <c r="ER17" s="97"/>
      <c r="ES17" s="97"/>
      <c r="ET17" s="97"/>
    </row>
    <row r="18" spans="1:150">
      <c r="A18" s="97"/>
      <c r="B18" s="97"/>
      <c r="C18" s="97"/>
      <c r="D18" s="97"/>
      <c r="E18" s="97"/>
      <c r="F18" s="97"/>
      <c r="G18" s="97"/>
      <c r="H18" s="129"/>
      <c r="I18" s="97"/>
      <c r="J18" s="97"/>
      <c r="K18" s="97"/>
      <c r="L18" s="97"/>
      <c r="M18" s="97"/>
      <c r="N18" s="97"/>
      <c r="O18" s="97"/>
      <c r="P18" s="97"/>
      <c r="Q18" s="97"/>
      <c r="R18" s="97"/>
      <c r="S18" s="97"/>
      <c r="T18" s="97"/>
      <c r="U18" s="97"/>
      <c r="V18" s="97"/>
      <c r="W18" s="97"/>
      <c r="X18" s="129"/>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O18" s="97"/>
      <c r="CP18" s="97"/>
      <c r="CQ18" s="97"/>
      <c r="CR18" s="97"/>
      <c r="CS18" s="97"/>
      <c r="CT18" s="97"/>
      <c r="CU18" s="97"/>
      <c r="CV18" s="97"/>
      <c r="CW18" s="97"/>
      <c r="CX18" s="97"/>
      <c r="CY18" s="97"/>
      <c r="CZ18" s="97"/>
      <c r="DA18" s="97"/>
      <c r="DB18" s="97"/>
      <c r="DC18" s="97"/>
      <c r="DD18" s="97"/>
      <c r="DE18" s="97"/>
      <c r="DF18" s="97"/>
      <c r="DG18" s="97"/>
      <c r="DH18" s="97"/>
      <c r="DI18" s="97"/>
      <c r="DJ18" s="97"/>
      <c r="DK18" s="97"/>
      <c r="DL18" s="97"/>
      <c r="DM18" s="97"/>
      <c r="DN18" s="97"/>
      <c r="DO18" s="97"/>
      <c r="DP18" s="97"/>
      <c r="DQ18" s="97"/>
      <c r="DR18" s="97"/>
      <c r="DS18" s="97"/>
      <c r="DT18" s="97"/>
      <c r="DU18" s="97"/>
      <c r="DV18" s="97"/>
      <c r="DW18" s="97"/>
      <c r="DX18" s="97"/>
      <c r="DY18" s="97"/>
      <c r="DZ18" s="97"/>
      <c r="EA18" s="97"/>
      <c r="EB18" s="97"/>
      <c r="EC18" s="97"/>
      <c r="ED18" s="97"/>
      <c r="EE18" s="97"/>
      <c r="EF18" s="97"/>
      <c r="EG18" s="97"/>
      <c r="EH18" s="97"/>
      <c r="EI18" s="97"/>
      <c r="EJ18" s="97"/>
      <c r="EK18" s="97"/>
      <c r="EL18" s="97"/>
      <c r="EM18" s="97"/>
      <c r="EN18" s="97"/>
      <c r="EO18" s="97"/>
      <c r="EP18" s="97"/>
      <c r="EQ18" s="97"/>
      <c r="ER18" s="97"/>
      <c r="ES18" s="97"/>
      <c r="ET18" s="97"/>
    </row>
    <row r="19" spans="1:150">
      <c r="A19" s="97"/>
      <c r="B19" s="97"/>
      <c r="C19" s="97"/>
      <c r="D19" s="97"/>
      <c r="E19" s="97"/>
      <c r="F19" s="97"/>
      <c r="G19" s="97"/>
      <c r="H19" s="129"/>
      <c r="I19" s="97"/>
      <c r="J19" s="97"/>
      <c r="K19" s="97"/>
      <c r="L19" s="97"/>
      <c r="M19" s="97"/>
      <c r="N19" s="97"/>
      <c r="O19" s="97"/>
      <c r="P19" s="97"/>
      <c r="Q19" s="97"/>
      <c r="R19" s="97"/>
      <c r="S19" s="97"/>
      <c r="T19" s="97"/>
      <c r="U19" s="97"/>
      <c r="V19" s="97"/>
      <c r="W19" s="97"/>
      <c r="X19" s="129"/>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O19" s="97"/>
      <c r="CP19" s="97"/>
      <c r="CQ19" s="97"/>
      <c r="CR19" s="97"/>
      <c r="CS19" s="97"/>
      <c r="CT19" s="97"/>
      <c r="CU19" s="97"/>
      <c r="CV19" s="97"/>
      <c r="CW19" s="97"/>
      <c r="CX19" s="97"/>
      <c r="CY19" s="97"/>
      <c r="CZ19" s="97"/>
      <c r="DA19" s="97"/>
      <c r="DB19" s="97"/>
      <c r="DC19" s="97"/>
      <c r="DD19" s="97"/>
      <c r="DE19" s="97"/>
      <c r="DF19" s="97"/>
      <c r="DG19" s="97"/>
      <c r="DH19" s="97"/>
      <c r="DI19" s="97"/>
      <c r="DJ19" s="97"/>
      <c r="DK19" s="97"/>
      <c r="DL19" s="97"/>
      <c r="DM19" s="97"/>
      <c r="DN19" s="97"/>
      <c r="DO19" s="97"/>
      <c r="DP19" s="97"/>
      <c r="DQ19" s="97"/>
      <c r="DR19" s="97"/>
      <c r="DS19" s="97"/>
      <c r="DT19" s="97"/>
      <c r="DU19" s="97"/>
      <c r="DV19" s="97"/>
      <c r="DW19" s="97"/>
      <c r="DX19" s="97"/>
      <c r="DY19" s="97"/>
      <c r="DZ19" s="97"/>
      <c r="EA19" s="97"/>
      <c r="EB19" s="97"/>
      <c r="EC19" s="97"/>
      <c r="ED19" s="97"/>
      <c r="EE19" s="97"/>
      <c r="EF19" s="97"/>
      <c r="EG19" s="97"/>
      <c r="EH19" s="97"/>
      <c r="EI19" s="97"/>
      <c r="EJ19" s="97"/>
      <c r="EK19" s="97"/>
      <c r="EL19" s="97"/>
      <c r="EM19" s="97"/>
      <c r="EN19" s="97"/>
      <c r="EO19" s="97"/>
      <c r="EP19" s="97"/>
      <c r="EQ19" s="97"/>
      <c r="ER19" s="97"/>
      <c r="ES19" s="97"/>
      <c r="ET19" s="97"/>
    </row>
    <row r="20" spans="1:150">
      <c r="A20" s="97"/>
      <c r="B20" s="97"/>
      <c r="C20" s="97"/>
      <c r="D20" s="97"/>
      <c r="E20" s="97"/>
      <c r="F20" s="97"/>
      <c r="G20" s="97"/>
      <c r="H20" s="129"/>
      <c r="I20" s="97"/>
      <c r="J20" s="97"/>
      <c r="K20" s="97"/>
      <c r="L20" s="97"/>
      <c r="M20" s="97"/>
      <c r="N20" s="97"/>
      <c r="O20" s="97"/>
      <c r="P20" s="97"/>
      <c r="Q20" s="97"/>
      <c r="R20" s="97"/>
      <c r="S20" s="97"/>
      <c r="T20" s="97"/>
      <c r="U20" s="97"/>
      <c r="V20" s="97"/>
      <c r="W20" s="97"/>
      <c r="X20" s="129"/>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O20" s="97"/>
      <c r="CP20" s="97"/>
      <c r="CQ20" s="97"/>
      <c r="CR20" s="97"/>
      <c r="CS20" s="97"/>
      <c r="CT20" s="97"/>
      <c r="CU20" s="97"/>
      <c r="CV20" s="97"/>
      <c r="CW20" s="97"/>
      <c r="CX20" s="97"/>
      <c r="CY20" s="97"/>
      <c r="CZ20" s="97"/>
      <c r="DA20" s="97"/>
      <c r="DB20" s="97"/>
      <c r="DC20" s="97"/>
      <c r="DD20" s="97"/>
      <c r="DE20" s="97"/>
      <c r="DF20" s="97"/>
      <c r="DG20" s="97"/>
      <c r="DH20" s="97"/>
      <c r="DI20" s="97"/>
      <c r="DJ20" s="97"/>
      <c r="DK20" s="97"/>
      <c r="DL20" s="97"/>
      <c r="DM20" s="97"/>
      <c r="DN20" s="97"/>
      <c r="DO20" s="97"/>
      <c r="DP20" s="97"/>
      <c r="DQ20" s="97"/>
      <c r="DR20" s="97"/>
      <c r="DS20" s="97"/>
      <c r="DT20" s="97"/>
      <c r="DU20" s="97"/>
      <c r="DV20" s="97"/>
      <c r="DW20" s="97"/>
      <c r="DX20" s="97"/>
      <c r="DY20" s="97"/>
      <c r="DZ20" s="97"/>
      <c r="EA20" s="97"/>
      <c r="EB20" s="97"/>
      <c r="EC20" s="97"/>
      <c r="ED20" s="97"/>
      <c r="EE20" s="97"/>
      <c r="EF20" s="97"/>
      <c r="EG20" s="97"/>
      <c r="EH20" s="97"/>
      <c r="EI20" s="97"/>
      <c r="EJ20" s="97"/>
      <c r="EK20" s="97"/>
      <c r="EL20" s="97"/>
      <c r="EM20" s="97"/>
      <c r="EN20" s="97"/>
      <c r="EO20" s="97"/>
      <c r="EP20" s="97"/>
      <c r="EQ20" s="97"/>
      <c r="ER20" s="97"/>
      <c r="ES20" s="97"/>
      <c r="ET20" s="97"/>
    </row>
    <row r="21" spans="1:150" ht="15.75" customHeight="1">
      <c r="A21" s="97"/>
      <c r="B21" s="97"/>
      <c r="C21" s="97"/>
      <c r="D21" s="97"/>
      <c r="E21" s="97"/>
      <c r="F21" s="97"/>
      <c r="G21" s="97"/>
      <c r="H21" s="129"/>
      <c r="I21" s="97"/>
      <c r="J21" s="97"/>
      <c r="K21" s="97"/>
      <c r="L21" s="97"/>
      <c r="M21" s="97"/>
      <c r="N21" s="97"/>
      <c r="O21" s="97"/>
      <c r="P21" s="97"/>
      <c r="Q21" s="97"/>
      <c r="R21" s="97"/>
      <c r="S21" s="97"/>
      <c r="T21" s="97"/>
      <c r="U21" s="97"/>
      <c r="V21" s="97"/>
      <c r="W21" s="97"/>
      <c r="X21" s="129"/>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O21" s="97"/>
      <c r="CP21" s="97"/>
      <c r="CQ21" s="97"/>
      <c r="CR21" s="97"/>
      <c r="CS21" s="97"/>
      <c r="CT21" s="97"/>
      <c r="CU21" s="97"/>
      <c r="CV21" s="97"/>
      <c r="CW21" s="97"/>
      <c r="CX21" s="97"/>
      <c r="CY21" s="97"/>
      <c r="CZ21" s="97"/>
      <c r="DA21" s="97"/>
      <c r="DB21" s="97"/>
      <c r="DC21" s="97"/>
      <c r="DD21" s="97"/>
      <c r="DE21" s="97"/>
      <c r="DF21" s="97"/>
      <c r="DG21" s="97"/>
      <c r="DH21" s="97"/>
      <c r="DI21" s="97"/>
      <c r="DJ21" s="97"/>
      <c r="DK21" s="97"/>
      <c r="DL21" s="97"/>
      <c r="DM21" s="97"/>
      <c r="DN21" s="97"/>
      <c r="DO21" s="97"/>
      <c r="DP21" s="97"/>
      <c r="DQ21" s="97"/>
      <c r="DR21" s="97"/>
      <c r="DS21" s="97"/>
      <c r="DT21" s="97"/>
      <c r="DU21" s="97"/>
      <c r="DV21" s="97"/>
      <c r="DW21" s="97"/>
      <c r="DX21" s="97"/>
      <c r="DY21" s="97"/>
      <c r="DZ21" s="97"/>
      <c r="EA21" s="97"/>
      <c r="EB21" s="97"/>
      <c r="EC21" s="97"/>
      <c r="ED21" s="97"/>
      <c r="EE21" s="97"/>
      <c r="EF21" s="97"/>
      <c r="EG21" s="97"/>
      <c r="EH21" s="97"/>
      <c r="EI21" s="97"/>
      <c r="EJ21" s="97"/>
      <c r="EK21" s="97"/>
      <c r="EL21" s="97"/>
      <c r="EM21" s="97"/>
      <c r="EN21" s="97"/>
      <c r="EO21" s="97"/>
      <c r="EP21" s="97"/>
      <c r="EQ21" s="97"/>
      <c r="ER21" s="97"/>
      <c r="ES21" s="97"/>
      <c r="ET21" s="97"/>
    </row>
    <row r="22" spans="1:150" ht="15.75" customHeight="1">
      <c r="A22" s="97"/>
      <c r="B22" s="97"/>
      <c r="C22" s="97"/>
      <c r="D22" s="97"/>
      <c r="E22" s="97"/>
      <c r="F22" s="97"/>
      <c r="G22" s="97"/>
      <c r="H22" s="129"/>
      <c r="I22" s="97"/>
      <c r="J22" s="97"/>
      <c r="K22" s="97"/>
      <c r="L22" s="97"/>
      <c r="M22" s="97"/>
      <c r="N22" s="97"/>
      <c r="O22" s="97"/>
      <c r="P22" s="97"/>
      <c r="Q22" s="97"/>
      <c r="R22" s="97"/>
      <c r="S22" s="97"/>
      <c r="T22" s="97"/>
      <c r="U22" s="97"/>
      <c r="V22" s="97"/>
      <c r="W22" s="97"/>
      <c r="X22" s="129"/>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O22" s="97"/>
      <c r="CP22" s="97"/>
      <c r="CQ22" s="97"/>
      <c r="CR22" s="97"/>
      <c r="CS22" s="97"/>
      <c r="CT22" s="97"/>
      <c r="CU22" s="97"/>
      <c r="CV22" s="97"/>
      <c r="CW22" s="97"/>
      <c r="CX22" s="97"/>
      <c r="CY22" s="97"/>
      <c r="CZ22" s="97"/>
      <c r="DA22" s="97"/>
      <c r="DB22" s="97"/>
      <c r="DC22" s="97"/>
      <c r="DD22" s="97"/>
      <c r="DE22" s="97"/>
      <c r="DF22" s="97"/>
      <c r="DG22" s="97"/>
      <c r="DH22" s="97"/>
      <c r="DI22" s="97"/>
      <c r="DJ22" s="97"/>
      <c r="DK22" s="97"/>
      <c r="DL22" s="97"/>
      <c r="DM22" s="97"/>
      <c r="DN22" s="97"/>
      <c r="DO22" s="97"/>
      <c r="DP22" s="97"/>
      <c r="DQ22" s="97"/>
      <c r="DR22" s="97"/>
      <c r="DS22" s="97"/>
      <c r="DT22" s="97"/>
      <c r="DU22" s="97"/>
      <c r="DV22" s="97"/>
      <c r="DW22" s="97"/>
      <c r="DX22" s="97"/>
      <c r="DY22" s="97"/>
      <c r="DZ22" s="97"/>
      <c r="EA22" s="97"/>
      <c r="EB22" s="97"/>
      <c r="EC22" s="97"/>
      <c r="ED22" s="97"/>
      <c r="EE22" s="97"/>
      <c r="EF22" s="97"/>
      <c r="EG22" s="97"/>
      <c r="EH22" s="97"/>
      <c r="EI22" s="97"/>
      <c r="EJ22" s="97"/>
      <c r="EK22" s="97"/>
      <c r="EL22" s="97"/>
      <c r="EM22" s="97"/>
      <c r="EN22" s="97"/>
      <c r="EO22" s="97"/>
      <c r="EP22" s="97"/>
      <c r="EQ22" s="97"/>
      <c r="ER22" s="97"/>
      <c r="ES22" s="97"/>
      <c r="ET22" s="97"/>
    </row>
    <row r="23" spans="1:150" ht="15.75" customHeight="1">
      <c r="A23" s="97"/>
      <c r="B23" s="97"/>
      <c r="C23" s="97"/>
      <c r="D23" s="97"/>
      <c r="E23" s="97"/>
      <c r="F23" s="97"/>
      <c r="G23" s="97"/>
      <c r="H23" s="129"/>
      <c r="I23" s="97"/>
      <c r="J23" s="97"/>
      <c r="K23" s="97"/>
      <c r="L23" s="97"/>
      <c r="M23" s="97"/>
      <c r="N23" s="97"/>
      <c r="O23" s="97"/>
      <c r="P23" s="97"/>
      <c r="Q23" s="97"/>
      <c r="R23" s="97"/>
      <c r="S23" s="97"/>
      <c r="T23" s="97"/>
      <c r="U23" s="97"/>
      <c r="V23" s="97"/>
      <c r="W23" s="97"/>
      <c r="X23" s="129"/>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O23" s="97"/>
      <c r="CP23" s="97"/>
      <c r="CQ23" s="97"/>
      <c r="CR23" s="97"/>
      <c r="CS23" s="97"/>
      <c r="CT23" s="97"/>
      <c r="CU23" s="97"/>
      <c r="CV23" s="97"/>
      <c r="CW23" s="97"/>
      <c r="CX23" s="97"/>
      <c r="CY23" s="97"/>
      <c r="CZ23" s="97"/>
      <c r="DA23" s="97"/>
      <c r="DB23" s="97"/>
      <c r="DC23" s="97"/>
      <c r="DD23" s="97"/>
      <c r="DE23" s="97"/>
      <c r="DF23" s="97"/>
      <c r="DG23" s="97"/>
      <c r="DH23" s="97"/>
      <c r="DI23" s="97"/>
      <c r="DJ23" s="97"/>
      <c r="DK23" s="97"/>
      <c r="DL23" s="97"/>
      <c r="DM23" s="97"/>
      <c r="DN23" s="97"/>
      <c r="DO23" s="97"/>
      <c r="DP23" s="97"/>
      <c r="DQ23" s="97"/>
      <c r="DR23" s="97"/>
      <c r="DS23" s="97"/>
      <c r="DT23" s="97"/>
      <c r="DU23" s="97"/>
      <c r="DV23" s="97"/>
      <c r="DW23" s="97"/>
      <c r="DX23" s="97"/>
      <c r="DY23" s="97"/>
      <c r="DZ23" s="97"/>
      <c r="EA23" s="97"/>
      <c r="EB23" s="97"/>
      <c r="EC23" s="97"/>
      <c r="ED23" s="97"/>
      <c r="EE23" s="97"/>
      <c r="EF23" s="97"/>
      <c r="EG23" s="97"/>
      <c r="EH23" s="97"/>
      <c r="EI23" s="97"/>
      <c r="EJ23" s="97"/>
      <c r="EK23" s="97"/>
      <c r="EL23" s="97"/>
      <c r="EM23" s="97"/>
      <c r="EN23" s="97"/>
      <c r="EO23" s="97"/>
      <c r="EP23" s="97"/>
      <c r="EQ23" s="97"/>
      <c r="ER23" s="97"/>
      <c r="ES23" s="97"/>
      <c r="ET23" s="97"/>
    </row>
    <row r="24" spans="1:150" ht="15.75" customHeight="1">
      <c r="A24" s="97"/>
      <c r="B24" s="97"/>
      <c r="C24" s="97"/>
      <c r="D24" s="97"/>
      <c r="E24" s="97"/>
      <c r="F24" s="97"/>
      <c r="G24" s="97"/>
      <c r="H24" s="129"/>
      <c r="I24" s="97"/>
      <c r="J24" s="97"/>
      <c r="K24" s="97"/>
      <c r="L24" s="97"/>
      <c r="M24" s="97"/>
      <c r="N24" s="97"/>
      <c r="O24" s="97"/>
      <c r="P24" s="97"/>
      <c r="Q24" s="97"/>
      <c r="R24" s="97"/>
      <c r="S24" s="97"/>
      <c r="T24" s="97"/>
      <c r="U24" s="97"/>
      <c r="V24" s="97"/>
      <c r="W24" s="97"/>
      <c r="X24" s="129"/>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O24" s="97"/>
      <c r="CP24" s="97"/>
      <c r="CQ24" s="97"/>
      <c r="CR24" s="97"/>
      <c r="CS24" s="97"/>
      <c r="CT24" s="97"/>
      <c r="CU24" s="97"/>
      <c r="CV24" s="97"/>
      <c r="CW24" s="97"/>
      <c r="CX24" s="97"/>
      <c r="CY24" s="97"/>
      <c r="CZ24" s="97"/>
      <c r="DA24" s="97"/>
      <c r="DB24" s="97"/>
      <c r="DC24" s="97"/>
      <c r="DD24" s="97"/>
      <c r="DE24" s="97"/>
      <c r="DF24" s="97"/>
      <c r="DG24" s="97"/>
      <c r="DH24" s="97"/>
      <c r="DI24" s="97"/>
      <c r="DJ24" s="97"/>
      <c r="DK24" s="97"/>
      <c r="DL24" s="97"/>
      <c r="DM24" s="97"/>
      <c r="DN24" s="97"/>
      <c r="DO24" s="97"/>
      <c r="DP24" s="97"/>
      <c r="DQ24" s="97"/>
      <c r="DR24" s="97"/>
      <c r="DS24" s="97"/>
      <c r="DT24" s="97"/>
      <c r="DU24" s="97"/>
      <c r="DV24" s="97"/>
      <c r="DW24" s="97"/>
      <c r="DX24" s="97"/>
      <c r="DY24" s="97"/>
      <c r="DZ24" s="97"/>
      <c r="EA24" s="97"/>
      <c r="EB24" s="97"/>
      <c r="EC24" s="97"/>
      <c r="ED24" s="97"/>
      <c r="EE24" s="97"/>
      <c r="EF24" s="97"/>
      <c r="EG24" s="97"/>
      <c r="EH24" s="97"/>
      <c r="EI24" s="97"/>
      <c r="EJ24" s="97"/>
      <c r="EK24" s="97"/>
      <c r="EL24" s="97"/>
      <c r="EM24" s="97"/>
      <c r="EN24" s="97"/>
      <c r="EO24" s="97"/>
      <c r="EP24" s="97"/>
      <c r="EQ24" s="97"/>
      <c r="ER24" s="97"/>
      <c r="ES24" s="97"/>
      <c r="ET24" s="97"/>
    </row>
    <row r="25" spans="1:150" ht="15.75" customHeight="1">
      <c r="A25" s="97"/>
      <c r="B25" s="97"/>
      <c r="C25" s="97"/>
      <c r="D25" s="97"/>
      <c r="E25" s="97"/>
      <c r="F25" s="97"/>
      <c r="G25" s="97"/>
      <c r="H25" s="129"/>
      <c r="I25" s="97"/>
      <c r="J25" s="97"/>
      <c r="K25" s="97"/>
      <c r="L25" s="97"/>
      <c r="M25" s="97"/>
      <c r="N25" s="97"/>
      <c r="O25" s="97"/>
      <c r="P25" s="97"/>
      <c r="Q25" s="97"/>
      <c r="R25" s="97"/>
      <c r="S25" s="97"/>
      <c r="T25" s="97"/>
      <c r="U25" s="97"/>
      <c r="V25" s="97"/>
      <c r="W25" s="97"/>
      <c r="X25" s="129"/>
      <c r="Y25" s="97"/>
      <c r="Z25" s="97"/>
      <c r="AA25" s="97"/>
      <c r="AB25" s="97"/>
      <c r="AC25" s="97"/>
      <c r="AD25" s="97"/>
      <c r="AE25" s="97"/>
      <c r="AF25" s="97"/>
      <c r="AG25" s="97"/>
      <c r="AH25" s="97"/>
      <c r="AI25" s="97"/>
      <c r="AJ25" s="97"/>
      <c r="AK25" s="97"/>
      <c r="AL25" s="97"/>
      <c r="AM25" s="97"/>
      <c r="AN25" s="97"/>
      <c r="AO25" s="97"/>
      <c r="AP25" s="97"/>
      <c r="AQ25" s="97"/>
      <c r="AR25" s="97"/>
      <c r="AS25" s="97"/>
      <c r="AT25" s="97"/>
      <c r="AU25" s="97"/>
      <c r="AV25" s="97"/>
      <c r="AW25" s="97"/>
      <c r="AX25" s="97"/>
      <c r="AY25" s="97"/>
      <c r="AZ25" s="97"/>
      <c r="BA25" s="97"/>
      <c r="BB25" s="97"/>
      <c r="BC25" s="97"/>
      <c r="BD25" s="97"/>
      <c r="BE25" s="97"/>
      <c r="BF25" s="97"/>
      <c r="BG25" s="97"/>
      <c r="BH25" s="97"/>
      <c r="BI25" s="97"/>
      <c r="BJ25" s="97"/>
      <c r="BK25" s="97"/>
      <c r="BL25" s="97"/>
      <c r="BM25" s="97"/>
      <c r="BN25" s="97"/>
      <c r="BO25" s="97"/>
      <c r="BP25" s="97"/>
      <c r="BQ25" s="97"/>
      <c r="BR25" s="97"/>
      <c r="BS25" s="97"/>
      <c r="BT25" s="97"/>
      <c r="BU25" s="97"/>
      <c r="BV25" s="97"/>
      <c r="BW25" s="97"/>
      <c r="BX25" s="97"/>
      <c r="BY25" s="97"/>
      <c r="BZ25" s="97"/>
      <c r="CA25" s="97"/>
      <c r="CB25" s="97"/>
      <c r="CC25" s="97"/>
      <c r="CD25" s="97"/>
      <c r="CE25" s="97"/>
      <c r="CF25" s="97"/>
      <c r="CG25" s="97"/>
      <c r="CH25" s="97"/>
      <c r="CI25" s="97"/>
      <c r="CJ25" s="97"/>
      <c r="CK25" s="97"/>
      <c r="CL25" s="97"/>
      <c r="CM25" s="97"/>
      <c r="CN25" s="97"/>
      <c r="CO25" s="97"/>
      <c r="CP25" s="97"/>
      <c r="CQ25" s="97"/>
      <c r="CR25" s="97"/>
      <c r="CS25" s="97"/>
      <c r="CT25" s="97"/>
      <c r="CU25" s="97"/>
      <c r="CV25" s="97"/>
      <c r="CW25" s="97"/>
      <c r="CX25" s="97"/>
      <c r="CY25" s="97"/>
      <c r="CZ25" s="97"/>
      <c r="DA25" s="97"/>
      <c r="DB25" s="97"/>
      <c r="DC25" s="97"/>
      <c r="DD25" s="97"/>
      <c r="DE25" s="97"/>
      <c r="DF25" s="97"/>
      <c r="DG25" s="97"/>
      <c r="DH25" s="97"/>
      <c r="DI25" s="97"/>
      <c r="DJ25" s="97"/>
      <c r="DK25" s="97"/>
      <c r="DL25" s="97"/>
      <c r="DM25" s="97"/>
      <c r="DN25" s="97"/>
      <c r="DO25" s="97"/>
      <c r="DP25" s="97"/>
      <c r="DQ25" s="97"/>
      <c r="DR25" s="97"/>
      <c r="DS25" s="97"/>
      <c r="DT25" s="97"/>
      <c r="DU25" s="97"/>
      <c r="DV25" s="97"/>
      <c r="DW25" s="97"/>
      <c r="DX25" s="97"/>
      <c r="DY25" s="97"/>
      <c r="DZ25" s="97"/>
      <c r="EA25" s="97"/>
      <c r="EB25" s="97"/>
      <c r="EC25" s="97"/>
      <c r="ED25" s="97"/>
      <c r="EE25" s="97"/>
      <c r="EF25" s="97"/>
      <c r="EG25" s="97"/>
      <c r="EH25" s="97"/>
      <c r="EI25" s="97"/>
      <c r="EJ25" s="97"/>
      <c r="EK25" s="97"/>
      <c r="EL25" s="97"/>
      <c r="EM25" s="97"/>
      <c r="EN25" s="97"/>
      <c r="EO25" s="97"/>
      <c r="EP25" s="97"/>
      <c r="EQ25" s="97"/>
      <c r="ER25" s="97"/>
      <c r="ES25" s="97"/>
      <c r="ET25" s="97"/>
    </row>
    <row r="26" spans="1:150" ht="15.75" customHeight="1">
      <c r="A26" s="97"/>
      <c r="B26" s="97"/>
      <c r="C26" s="97"/>
      <c r="D26" s="97"/>
      <c r="E26" s="97"/>
      <c r="F26" s="97"/>
      <c r="G26" s="97"/>
      <c r="H26" s="129"/>
      <c r="I26" s="97"/>
      <c r="J26" s="97"/>
      <c r="K26" s="97"/>
      <c r="L26" s="97"/>
      <c r="M26" s="97"/>
      <c r="N26" s="97"/>
      <c r="O26" s="97"/>
      <c r="P26" s="97"/>
      <c r="Q26" s="97"/>
      <c r="R26" s="97"/>
      <c r="S26" s="97"/>
      <c r="T26" s="97"/>
      <c r="U26" s="97"/>
      <c r="V26" s="97"/>
      <c r="W26" s="97"/>
      <c r="X26" s="129"/>
      <c r="Y26" s="97"/>
      <c r="Z26" s="97"/>
      <c r="AA26" s="97"/>
      <c r="AB26" s="97"/>
      <c r="AC26" s="97"/>
      <c r="AD26" s="97"/>
      <c r="AE26" s="97"/>
      <c r="AF26" s="97"/>
      <c r="AG26" s="97"/>
      <c r="AH26" s="97"/>
      <c r="AI26" s="97"/>
      <c r="AJ26" s="97"/>
      <c r="AK26" s="97"/>
      <c r="AL26" s="97"/>
      <c r="AM26" s="97"/>
      <c r="AN26" s="97"/>
      <c r="AO26" s="97"/>
      <c r="AP26" s="97"/>
      <c r="AQ26" s="97"/>
      <c r="AR26" s="97"/>
      <c r="AS26" s="97"/>
      <c r="AT26" s="97"/>
      <c r="AU26" s="97"/>
      <c r="AV26" s="97"/>
      <c r="AW26" s="97"/>
      <c r="AX26" s="97"/>
      <c r="AY26" s="97"/>
      <c r="AZ26" s="97"/>
      <c r="BA26" s="97"/>
      <c r="BB26" s="97"/>
      <c r="BC26" s="97"/>
      <c r="BD26" s="97"/>
      <c r="BE26" s="97"/>
      <c r="BF26" s="97"/>
      <c r="BG26" s="97"/>
      <c r="BH26" s="97"/>
      <c r="BI26" s="97"/>
      <c r="BJ26" s="97"/>
      <c r="BK26" s="97"/>
      <c r="BL26" s="97"/>
      <c r="BM26" s="97"/>
      <c r="BN26" s="97"/>
      <c r="BO26" s="97"/>
      <c r="BP26" s="97"/>
      <c r="BQ26" s="97"/>
      <c r="BR26" s="97"/>
      <c r="BS26" s="97"/>
      <c r="BT26" s="97"/>
      <c r="BU26" s="97"/>
      <c r="BV26" s="97"/>
      <c r="BW26" s="97"/>
      <c r="BX26" s="97"/>
      <c r="BY26" s="97"/>
      <c r="BZ26" s="97"/>
      <c r="CA26" s="97"/>
      <c r="CB26" s="97"/>
      <c r="CC26" s="97"/>
      <c r="CD26" s="97"/>
      <c r="CE26" s="97"/>
      <c r="CF26" s="97"/>
      <c r="CG26" s="97"/>
      <c r="CH26" s="97"/>
      <c r="CI26" s="97"/>
      <c r="CJ26" s="97"/>
      <c r="CK26" s="97"/>
      <c r="CL26" s="97"/>
      <c r="CM26" s="97"/>
      <c r="CN26" s="97"/>
      <c r="CO26" s="97"/>
      <c r="CP26" s="97"/>
      <c r="CQ26" s="97"/>
      <c r="CR26" s="97"/>
      <c r="CS26" s="97"/>
      <c r="CT26" s="97"/>
      <c r="CU26" s="97"/>
      <c r="CV26" s="97"/>
      <c r="CW26" s="97"/>
      <c r="CX26" s="97"/>
      <c r="CY26" s="97"/>
      <c r="CZ26" s="97"/>
      <c r="DA26" s="97"/>
      <c r="DB26" s="97"/>
      <c r="DC26" s="97"/>
      <c r="DD26" s="97"/>
      <c r="DE26" s="97"/>
      <c r="DF26" s="97"/>
      <c r="DG26" s="97"/>
      <c r="DH26" s="97"/>
      <c r="DI26" s="97"/>
      <c r="DJ26" s="97"/>
      <c r="DK26" s="97"/>
      <c r="DL26" s="97"/>
      <c r="DM26" s="97"/>
      <c r="DN26" s="97"/>
      <c r="DO26" s="97"/>
      <c r="DP26" s="97"/>
      <c r="DQ26" s="97"/>
      <c r="DR26" s="97"/>
      <c r="DS26" s="97"/>
      <c r="DT26" s="97"/>
      <c r="DU26" s="97"/>
      <c r="DV26" s="97"/>
      <c r="DW26" s="97"/>
      <c r="DX26" s="97"/>
      <c r="DY26" s="97"/>
      <c r="DZ26" s="97"/>
      <c r="EA26" s="97"/>
      <c r="EB26" s="97"/>
      <c r="EC26" s="97"/>
      <c r="ED26" s="97"/>
      <c r="EE26" s="97"/>
      <c r="EF26" s="97"/>
      <c r="EG26" s="97"/>
      <c r="EH26" s="97"/>
      <c r="EI26" s="97"/>
      <c r="EJ26" s="97"/>
      <c r="EK26" s="97"/>
      <c r="EL26" s="97"/>
      <c r="EM26" s="97"/>
      <c r="EN26" s="97"/>
      <c r="EO26" s="97"/>
      <c r="EP26" s="97"/>
      <c r="EQ26" s="97"/>
      <c r="ER26" s="97"/>
      <c r="ES26" s="97"/>
      <c r="ET26" s="97"/>
    </row>
    <row r="27" spans="1:150" ht="15.75" customHeight="1">
      <c r="A27" s="97"/>
      <c r="B27" s="97"/>
      <c r="C27" s="97"/>
      <c r="D27" s="97"/>
      <c r="E27" s="97"/>
      <c r="F27" s="97"/>
      <c r="G27" s="97"/>
      <c r="H27" s="129"/>
      <c r="I27" s="97"/>
      <c r="J27" s="97"/>
      <c r="K27" s="97"/>
      <c r="L27" s="97"/>
      <c r="M27" s="97"/>
      <c r="N27" s="97"/>
      <c r="O27" s="97"/>
      <c r="P27" s="97"/>
      <c r="Q27" s="97"/>
      <c r="R27" s="97"/>
      <c r="S27" s="97"/>
      <c r="T27" s="97"/>
      <c r="U27" s="97"/>
      <c r="V27" s="97"/>
      <c r="W27" s="97"/>
      <c r="X27" s="129"/>
      <c r="Y27" s="97"/>
      <c r="Z27" s="97"/>
      <c r="AA27" s="97"/>
      <c r="AB27" s="97"/>
      <c r="AC27" s="97"/>
      <c r="AD27" s="97"/>
      <c r="AE27" s="97"/>
      <c r="AF27" s="97"/>
      <c r="AG27" s="97"/>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97"/>
      <c r="BX27" s="97"/>
      <c r="BY27" s="97"/>
      <c r="BZ27" s="97"/>
      <c r="CA27" s="97"/>
      <c r="CB27" s="97"/>
      <c r="CC27" s="97"/>
      <c r="CD27" s="97"/>
      <c r="CE27" s="97"/>
      <c r="CF27" s="97"/>
      <c r="CG27" s="97"/>
      <c r="CH27" s="97"/>
      <c r="CI27" s="97"/>
      <c r="CJ27" s="97"/>
      <c r="CK27" s="97"/>
      <c r="CL27" s="97"/>
      <c r="CM27" s="97"/>
      <c r="CN27" s="97"/>
      <c r="CO27" s="97"/>
      <c r="CP27" s="97"/>
      <c r="CQ27" s="97"/>
      <c r="CR27" s="97"/>
      <c r="CS27" s="97"/>
      <c r="CT27" s="97"/>
      <c r="CU27" s="97"/>
      <c r="CV27" s="97"/>
      <c r="CW27" s="97"/>
      <c r="CX27" s="97"/>
      <c r="CY27" s="97"/>
      <c r="CZ27" s="97"/>
      <c r="DA27" s="97"/>
      <c r="DB27" s="97"/>
      <c r="DC27" s="97"/>
      <c r="DD27" s="97"/>
      <c r="DE27" s="97"/>
      <c r="DF27" s="97"/>
      <c r="DG27" s="97"/>
      <c r="DH27" s="97"/>
      <c r="DI27" s="97"/>
      <c r="DJ27" s="97"/>
      <c r="DK27" s="97"/>
      <c r="DL27" s="97"/>
      <c r="DM27" s="97"/>
      <c r="DN27" s="97"/>
      <c r="DO27" s="97"/>
      <c r="DP27" s="97"/>
      <c r="DQ27" s="97"/>
      <c r="DR27" s="97"/>
      <c r="DS27" s="97"/>
      <c r="DT27" s="97"/>
      <c r="DU27" s="97"/>
      <c r="DV27" s="97"/>
      <c r="DW27" s="97"/>
      <c r="DX27" s="97"/>
      <c r="DY27" s="97"/>
      <c r="DZ27" s="97"/>
      <c r="EA27" s="97"/>
      <c r="EB27" s="97"/>
      <c r="EC27" s="97"/>
      <c r="ED27" s="97"/>
      <c r="EE27" s="97"/>
      <c r="EF27" s="97"/>
      <c r="EG27" s="97"/>
      <c r="EH27" s="97"/>
      <c r="EI27" s="97"/>
      <c r="EJ27" s="97"/>
      <c r="EK27" s="97"/>
      <c r="EL27" s="97"/>
      <c r="EM27" s="97"/>
      <c r="EN27" s="97"/>
      <c r="EO27" s="97"/>
      <c r="EP27" s="97"/>
      <c r="EQ27" s="97"/>
      <c r="ER27" s="97"/>
      <c r="ES27" s="97"/>
      <c r="ET27" s="97"/>
    </row>
    <row r="28" spans="1:150" ht="15.75" customHeight="1">
      <c r="A28" s="97"/>
      <c r="B28" s="97"/>
      <c r="C28" s="97"/>
      <c r="D28" s="97"/>
      <c r="E28" s="97"/>
      <c r="F28" s="97"/>
      <c r="G28" s="97"/>
      <c r="H28" s="129"/>
      <c r="I28" s="97"/>
      <c r="J28" s="97"/>
      <c r="K28" s="97"/>
      <c r="L28" s="97"/>
      <c r="M28" s="97"/>
      <c r="N28" s="97"/>
      <c r="O28" s="97"/>
      <c r="P28" s="97"/>
      <c r="Q28" s="97"/>
      <c r="R28" s="97"/>
      <c r="S28" s="97"/>
      <c r="T28" s="97"/>
      <c r="U28" s="97"/>
      <c r="V28" s="97"/>
      <c r="W28" s="97"/>
      <c r="X28" s="129"/>
      <c r="Y28" s="97"/>
      <c r="Z28" s="97"/>
      <c r="AA28" s="97"/>
      <c r="AB28" s="97"/>
      <c r="AC28" s="97"/>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97"/>
      <c r="BH28" s="97"/>
      <c r="BI28" s="97"/>
      <c r="BJ28" s="97"/>
      <c r="BK28" s="97"/>
      <c r="BL28" s="97"/>
      <c r="BM28" s="97"/>
      <c r="BN28" s="97"/>
      <c r="BO28" s="97"/>
      <c r="BP28" s="97"/>
      <c r="BQ28" s="97"/>
      <c r="BR28" s="97"/>
      <c r="BS28" s="97"/>
      <c r="BT28" s="97"/>
      <c r="BU28" s="97"/>
      <c r="BV28" s="97"/>
      <c r="BW28" s="97"/>
      <c r="BX28" s="97"/>
      <c r="BY28" s="97"/>
      <c r="BZ28" s="97"/>
      <c r="CA28" s="97"/>
      <c r="CB28" s="97"/>
      <c r="CC28" s="97"/>
      <c r="CD28" s="97"/>
      <c r="CE28" s="97"/>
      <c r="CF28" s="97"/>
      <c r="CG28" s="97"/>
      <c r="CH28" s="97"/>
      <c r="CI28" s="97"/>
      <c r="CJ28" s="97"/>
      <c r="CK28" s="97"/>
      <c r="CL28" s="97"/>
      <c r="CM28" s="97"/>
      <c r="CN28" s="97"/>
      <c r="CO28" s="97"/>
      <c r="CP28" s="97"/>
      <c r="CQ28" s="97"/>
      <c r="CR28" s="97"/>
      <c r="CS28" s="97"/>
      <c r="CT28" s="97"/>
      <c r="CU28" s="97"/>
      <c r="CV28" s="97"/>
      <c r="CW28" s="97"/>
      <c r="CX28" s="97"/>
      <c r="CY28" s="97"/>
      <c r="CZ28" s="97"/>
      <c r="DA28" s="97"/>
      <c r="DB28" s="97"/>
      <c r="DC28" s="97"/>
      <c r="DD28" s="97"/>
      <c r="DE28" s="97"/>
      <c r="DF28" s="97"/>
      <c r="DG28" s="97"/>
      <c r="DH28" s="97"/>
      <c r="DI28" s="97"/>
      <c r="DJ28" s="97"/>
      <c r="DK28" s="97"/>
      <c r="DL28" s="97"/>
      <c r="DM28" s="97"/>
      <c r="DN28" s="97"/>
      <c r="DO28" s="97"/>
      <c r="DP28" s="97"/>
      <c r="DQ28" s="97"/>
      <c r="DR28" s="97"/>
      <c r="DS28" s="97"/>
      <c r="DT28" s="97"/>
      <c r="DU28" s="97"/>
      <c r="DV28" s="97"/>
      <c r="DW28" s="97"/>
      <c r="DX28" s="97"/>
      <c r="DY28" s="97"/>
      <c r="DZ28" s="97"/>
      <c r="EA28" s="97"/>
      <c r="EB28" s="97"/>
      <c r="EC28" s="97"/>
      <c r="ED28" s="97"/>
      <c r="EE28" s="97"/>
      <c r="EF28" s="97"/>
      <c r="EG28" s="97"/>
      <c r="EH28" s="97"/>
      <c r="EI28" s="97"/>
      <c r="EJ28" s="97"/>
      <c r="EK28" s="97"/>
      <c r="EL28" s="97"/>
      <c r="EM28" s="97"/>
      <c r="EN28" s="97"/>
      <c r="EO28" s="97"/>
      <c r="EP28" s="97"/>
      <c r="EQ28" s="97"/>
      <c r="ER28" s="97"/>
      <c r="ES28" s="97"/>
      <c r="ET28" s="97"/>
    </row>
    <row r="29" spans="1:150" ht="15.75" customHeight="1">
      <c r="A29" s="97"/>
      <c r="B29" s="97"/>
      <c r="C29" s="97"/>
      <c r="D29" s="97"/>
      <c r="E29" s="97"/>
      <c r="F29" s="97"/>
      <c r="G29" s="97"/>
      <c r="H29" s="129"/>
      <c r="I29" s="97"/>
      <c r="J29" s="97"/>
      <c r="K29" s="97"/>
      <c r="L29" s="97"/>
      <c r="M29" s="97"/>
      <c r="N29" s="97"/>
      <c r="O29" s="97"/>
      <c r="P29" s="97"/>
      <c r="Q29" s="97"/>
      <c r="R29" s="97"/>
      <c r="S29" s="97"/>
      <c r="T29" s="97"/>
      <c r="U29" s="97"/>
      <c r="V29" s="97"/>
      <c r="W29" s="97"/>
      <c r="X29" s="129"/>
      <c r="Y29" s="97"/>
      <c r="Z29" s="97"/>
      <c r="AA29" s="97"/>
      <c r="AB29" s="97"/>
      <c r="AC29" s="97"/>
      <c r="AD29" s="97"/>
      <c r="AE29" s="97"/>
      <c r="AF29" s="97"/>
      <c r="AG29" s="97"/>
      <c r="AH29" s="97"/>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97"/>
      <c r="BX29" s="97"/>
      <c r="BY29" s="97"/>
      <c r="BZ29" s="97"/>
      <c r="CA29" s="97"/>
      <c r="CB29" s="97"/>
      <c r="CC29" s="97"/>
      <c r="CD29" s="97"/>
      <c r="CE29" s="97"/>
      <c r="CF29" s="97"/>
      <c r="CG29" s="97"/>
      <c r="CH29" s="97"/>
      <c r="CI29" s="97"/>
      <c r="CJ29" s="97"/>
      <c r="CK29" s="97"/>
      <c r="CL29" s="97"/>
      <c r="CM29" s="97"/>
      <c r="CN29" s="97"/>
      <c r="CO29" s="97"/>
      <c r="CP29" s="97"/>
      <c r="CQ29" s="97"/>
      <c r="CR29" s="97"/>
      <c r="CS29" s="97"/>
      <c r="CT29" s="97"/>
      <c r="CU29" s="97"/>
      <c r="CV29" s="97"/>
      <c r="CW29" s="97"/>
      <c r="CX29" s="97"/>
      <c r="CY29" s="97"/>
      <c r="CZ29" s="97"/>
      <c r="DA29" s="97"/>
      <c r="DB29" s="97"/>
      <c r="DC29" s="97"/>
      <c r="DD29" s="97"/>
      <c r="DE29" s="97"/>
      <c r="DF29" s="97"/>
      <c r="DG29" s="97"/>
      <c r="DH29" s="97"/>
      <c r="DI29" s="97"/>
      <c r="DJ29" s="97"/>
      <c r="DK29" s="97"/>
      <c r="DL29" s="97"/>
      <c r="DM29" s="97"/>
      <c r="DN29" s="97"/>
      <c r="DO29" s="97"/>
      <c r="DP29" s="97"/>
      <c r="DQ29" s="97"/>
      <c r="DR29" s="97"/>
      <c r="DS29" s="97"/>
      <c r="DT29" s="97"/>
      <c r="DU29" s="97"/>
      <c r="DV29" s="97"/>
      <c r="DW29" s="97"/>
      <c r="DX29" s="97"/>
      <c r="DY29" s="97"/>
      <c r="DZ29" s="97"/>
      <c r="EA29" s="97"/>
      <c r="EB29" s="97"/>
      <c r="EC29" s="97"/>
      <c r="ED29" s="97"/>
      <c r="EE29" s="97"/>
      <c r="EF29" s="97"/>
      <c r="EG29" s="97"/>
      <c r="EH29" s="97"/>
      <c r="EI29" s="97"/>
      <c r="EJ29" s="97"/>
      <c r="EK29" s="97"/>
      <c r="EL29" s="97"/>
      <c r="EM29" s="97"/>
      <c r="EN29" s="97"/>
      <c r="EO29" s="97"/>
      <c r="EP29" s="97"/>
      <c r="EQ29" s="97"/>
      <c r="ER29" s="97"/>
      <c r="ES29" s="97"/>
      <c r="ET29" s="97"/>
    </row>
    <row r="30" spans="1:150" ht="15.75" customHeight="1">
      <c r="A30" s="97"/>
      <c r="B30" s="97"/>
      <c r="C30" s="97"/>
      <c r="D30" s="97"/>
      <c r="E30" s="97"/>
      <c r="F30" s="97"/>
      <c r="G30" s="97"/>
      <c r="H30" s="129"/>
      <c r="I30" s="97"/>
      <c r="J30" s="97"/>
      <c r="K30" s="97"/>
      <c r="L30" s="97"/>
      <c r="M30" s="97"/>
      <c r="N30" s="97"/>
      <c r="O30" s="97"/>
      <c r="P30" s="97"/>
      <c r="Q30" s="97"/>
      <c r="R30" s="97"/>
      <c r="S30" s="97"/>
      <c r="T30" s="97"/>
      <c r="U30" s="97"/>
      <c r="V30" s="97"/>
      <c r="W30" s="97"/>
      <c r="X30" s="129"/>
      <c r="Y30" s="97"/>
      <c r="Z30" s="97"/>
      <c r="AA30" s="97"/>
      <c r="AB30" s="97"/>
      <c r="AC30" s="97"/>
      <c r="AD30" s="97"/>
      <c r="AE30" s="97"/>
      <c r="AF30" s="97"/>
      <c r="AG30" s="97"/>
      <c r="AH30" s="97"/>
      <c r="AI30" s="97"/>
      <c r="AJ30" s="97"/>
      <c r="AK30" s="97"/>
      <c r="AL30" s="97"/>
      <c r="AM30" s="97"/>
      <c r="AN30" s="97"/>
      <c r="AO30" s="97"/>
      <c r="AP30" s="97"/>
      <c r="AQ30" s="97"/>
      <c r="AR30" s="97"/>
      <c r="AS30" s="97"/>
      <c r="AT30" s="97"/>
      <c r="AU30" s="97"/>
      <c r="AV30" s="97"/>
      <c r="AW30" s="97"/>
      <c r="AX30" s="97"/>
      <c r="AY30" s="97"/>
      <c r="AZ30" s="97"/>
      <c r="BA30" s="97"/>
      <c r="BB30" s="97"/>
      <c r="BC30" s="97"/>
      <c r="BD30" s="97"/>
      <c r="BE30" s="97"/>
      <c r="BF30" s="97"/>
      <c r="BG30" s="97"/>
      <c r="BH30" s="97"/>
      <c r="BI30" s="97"/>
      <c r="BJ30" s="97"/>
      <c r="BK30" s="97"/>
      <c r="BL30" s="97"/>
      <c r="BM30" s="97"/>
      <c r="BN30" s="97"/>
      <c r="BO30" s="97"/>
      <c r="BP30" s="97"/>
      <c r="BQ30" s="97"/>
      <c r="BR30" s="97"/>
      <c r="BS30" s="97"/>
      <c r="BT30" s="97"/>
      <c r="BU30" s="97"/>
      <c r="BV30" s="97"/>
      <c r="BW30" s="97"/>
      <c r="BX30" s="97"/>
      <c r="BY30" s="97"/>
      <c r="BZ30" s="97"/>
      <c r="CA30" s="97"/>
      <c r="CB30" s="97"/>
      <c r="CC30" s="97"/>
      <c r="CD30" s="97"/>
      <c r="CE30" s="97"/>
      <c r="CF30" s="97"/>
      <c r="CG30" s="97"/>
      <c r="CH30" s="97"/>
      <c r="CI30" s="97"/>
      <c r="CJ30" s="97"/>
      <c r="CK30" s="97"/>
      <c r="CL30" s="97"/>
      <c r="CM30" s="97"/>
      <c r="CN30" s="97"/>
      <c r="CO30" s="97"/>
      <c r="CP30" s="97"/>
      <c r="CQ30" s="97"/>
      <c r="CR30" s="97"/>
      <c r="CS30" s="97"/>
      <c r="CT30" s="97"/>
      <c r="CU30" s="97"/>
      <c r="CV30" s="97"/>
      <c r="CW30" s="97"/>
      <c r="CX30" s="97"/>
      <c r="CY30" s="97"/>
      <c r="CZ30" s="97"/>
      <c r="DA30" s="97"/>
      <c r="DB30" s="97"/>
      <c r="DC30" s="97"/>
      <c r="DD30" s="97"/>
      <c r="DE30" s="97"/>
      <c r="DF30" s="97"/>
      <c r="DG30" s="97"/>
      <c r="DH30" s="97"/>
      <c r="DI30" s="97"/>
      <c r="DJ30" s="97"/>
      <c r="DK30" s="97"/>
      <c r="DL30" s="97"/>
      <c r="DM30" s="97"/>
      <c r="DN30" s="97"/>
      <c r="DO30" s="97"/>
      <c r="DP30" s="97"/>
      <c r="DQ30" s="97"/>
      <c r="DR30" s="97"/>
      <c r="DS30" s="97"/>
      <c r="DT30" s="97"/>
      <c r="DU30" s="97"/>
      <c r="DV30" s="97"/>
      <c r="DW30" s="97"/>
      <c r="DX30" s="97"/>
      <c r="DY30" s="97"/>
      <c r="DZ30" s="97"/>
      <c r="EA30" s="97"/>
      <c r="EB30" s="97"/>
      <c r="EC30" s="97"/>
      <c r="ED30" s="97"/>
      <c r="EE30" s="97"/>
      <c r="EF30" s="97"/>
      <c r="EG30" s="97"/>
      <c r="EH30" s="97"/>
      <c r="EI30" s="97"/>
      <c r="EJ30" s="97"/>
      <c r="EK30" s="97"/>
      <c r="EL30" s="97"/>
      <c r="EM30" s="97"/>
      <c r="EN30" s="97"/>
      <c r="EO30" s="97"/>
      <c r="EP30" s="97"/>
      <c r="EQ30" s="97"/>
      <c r="ER30" s="97"/>
      <c r="ES30" s="97"/>
      <c r="ET30" s="97"/>
    </row>
    <row r="31" spans="1:150" ht="15.75" customHeight="1">
      <c r="A31" s="97"/>
      <c r="B31" s="97"/>
      <c r="C31" s="97"/>
      <c r="D31" s="97"/>
      <c r="E31" s="97"/>
      <c r="F31" s="97"/>
      <c r="G31" s="97"/>
      <c r="H31" s="129"/>
      <c r="I31" s="97"/>
      <c r="J31" s="97"/>
      <c r="K31" s="97"/>
      <c r="L31" s="97"/>
      <c r="M31" s="97"/>
      <c r="N31" s="97"/>
      <c r="O31" s="97"/>
      <c r="P31" s="97"/>
      <c r="Q31" s="97"/>
      <c r="R31" s="97"/>
      <c r="S31" s="97"/>
      <c r="T31" s="97"/>
      <c r="U31" s="97"/>
      <c r="V31" s="97"/>
      <c r="W31" s="97"/>
      <c r="X31" s="129"/>
      <c r="Y31" s="97"/>
      <c r="Z31" s="97"/>
      <c r="AA31" s="97"/>
      <c r="AB31" s="97"/>
      <c r="AC31" s="97"/>
      <c r="AD31" s="97"/>
      <c r="AE31" s="97"/>
      <c r="AF31" s="97"/>
      <c r="AG31" s="97"/>
      <c r="AH31" s="97"/>
      <c r="AI31" s="97"/>
      <c r="AJ31" s="97"/>
      <c r="AK31" s="97"/>
      <c r="AL31" s="97"/>
      <c r="AM31" s="97"/>
      <c r="AN31" s="97"/>
      <c r="AO31" s="97"/>
      <c r="AP31" s="97"/>
      <c r="AQ31" s="97"/>
      <c r="AR31" s="97"/>
      <c r="AS31" s="97"/>
      <c r="AT31" s="97"/>
      <c r="AU31" s="97"/>
      <c r="AV31" s="97"/>
      <c r="AW31" s="97"/>
      <c r="AX31" s="97"/>
      <c r="AY31" s="97"/>
      <c r="AZ31" s="97"/>
      <c r="BA31" s="97"/>
      <c r="BB31" s="97"/>
      <c r="BC31" s="97"/>
      <c r="BD31" s="97"/>
      <c r="BE31" s="97"/>
      <c r="BF31" s="97"/>
      <c r="BG31" s="97"/>
      <c r="BH31" s="97"/>
      <c r="BI31" s="97"/>
      <c r="BJ31" s="97"/>
      <c r="BK31" s="97"/>
      <c r="BL31" s="97"/>
      <c r="BM31" s="97"/>
      <c r="BN31" s="97"/>
      <c r="BO31" s="97"/>
      <c r="BP31" s="97"/>
      <c r="BQ31" s="97"/>
      <c r="BR31" s="97"/>
      <c r="BS31" s="97"/>
      <c r="BT31" s="97"/>
      <c r="BU31" s="97"/>
      <c r="BV31" s="97"/>
      <c r="BW31" s="97"/>
      <c r="BX31" s="97"/>
      <c r="BY31" s="97"/>
      <c r="BZ31" s="97"/>
      <c r="CA31" s="97"/>
      <c r="CB31" s="97"/>
      <c r="CC31" s="97"/>
      <c r="CD31" s="97"/>
      <c r="CE31" s="97"/>
      <c r="CF31" s="97"/>
      <c r="CG31" s="97"/>
      <c r="CH31" s="97"/>
      <c r="CI31" s="97"/>
      <c r="CJ31" s="97"/>
      <c r="CK31" s="97"/>
      <c r="CL31" s="97"/>
      <c r="CM31" s="97"/>
      <c r="CN31" s="97"/>
      <c r="CO31" s="97"/>
      <c r="CP31" s="97"/>
      <c r="CQ31" s="97"/>
      <c r="CR31" s="97"/>
      <c r="CS31" s="97"/>
      <c r="CT31" s="97"/>
      <c r="CU31" s="97"/>
      <c r="CV31" s="97"/>
      <c r="CW31" s="97"/>
      <c r="CX31" s="97"/>
      <c r="CY31" s="97"/>
      <c r="CZ31" s="97"/>
      <c r="DA31" s="97"/>
      <c r="DB31" s="97"/>
      <c r="DC31" s="97"/>
      <c r="DD31" s="97"/>
      <c r="DE31" s="97"/>
      <c r="DF31" s="97"/>
      <c r="DG31" s="97"/>
      <c r="DH31" s="97"/>
      <c r="DI31" s="97"/>
      <c r="DJ31" s="97"/>
      <c r="DK31" s="97"/>
      <c r="DL31" s="97"/>
      <c r="DM31" s="97"/>
      <c r="DN31" s="97"/>
      <c r="DO31" s="97"/>
      <c r="DP31" s="97"/>
      <c r="DQ31" s="97"/>
      <c r="DR31" s="97"/>
      <c r="DS31" s="97"/>
      <c r="DT31" s="97"/>
      <c r="DU31" s="97"/>
      <c r="DV31" s="97"/>
      <c r="DW31" s="97"/>
      <c r="DX31" s="97"/>
      <c r="DY31" s="97"/>
      <c r="DZ31" s="97"/>
      <c r="EA31" s="97"/>
      <c r="EB31" s="97"/>
      <c r="EC31" s="97"/>
      <c r="ED31" s="97"/>
      <c r="EE31" s="97"/>
      <c r="EF31" s="97"/>
      <c r="EG31" s="97"/>
      <c r="EH31" s="97"/>
      <c r="EI31" s="97"/>
      <c r="EJ31" s="97"/>
      <c r="EK31" s="97"/>
      <c r="EL31" s="97"/>
      <c r="EM31" s="97"/>
      <c r="EN31" s="97"/>
      <c r="EO31" s="97"/>
      <c r="EP31" s="97"/>
      <c r="EQ31" s="97"/>
      <c r="ER31" s="97"/>
      <c r="ES31" s="97"/>
      <c r="ET31" s="97"/>
    </row>
    <row r="32" spans="1:150" ht="15.75" customHeight="1">
      <c r="A32" s="97"/>
      <c r="B32" s="97"/>
      <c r="C32" s="97"/>
      <c r="D32" s="97"/>
      <c r="E32" s="97"/>
      <c r="F32" s="97"/>
      <c r="G32" s="97"/>
      <c r="H32" s="129"/>
      <c r="I32" s="97"/>
      <c r="J32" s="97"/>
      <c r="K32" s="97"/>
      <c r="L32" s="97"/>
      <c r="M32" s="97"/>
      <c r="N32" s="97"/>
      <c r="O32" s="97"/>
      <c r="P32" s="97"/>
      <c r="Q32" s="97"/>
      <c r="R32" s="97"/>
      <c r="S32" s="97"/>
      <c r="T32" s="97"/>
      <c r="U32" s="97"/>
      <c r="V32" s="97"/>
      <c r="W32" s="97"/>
      <c r="X32" s="129"/>
      <c r="Y32" s="97"/>
      <c r="Z32" s="97"/>
      <c r="AA32" s="97"/>
      <c r="AB32" s="97"/>
      <c r="AC32" s="97"/>
      <c r="AD32" s="97"/>
      <c r="AE32" s="97"/>
      <c r="AF32" s="97"/>
      <c r="AG32" s="97"/>
      <c r="AH32" s="97"/>
      <c r="AI32" s="97"/>
      <c r="AJ32" s="97"/>
      <c r="AK32" s="97"/>
      <c r="AL32" s="97"/>
      <c r="AM32" s="97"/>
      <c r="AN32" s="97"/>
      <c r="AO32" s="97"/>
      <c r="AP32" s="97"/>
      <c r="AQ32" s="97"/>
      <c r="AR32" s="97"/>
      <c r="AS32" s="97"/>
      <c r="AT32" s="97"/>
      <c r="AU32" s="97"/>
      <c r="AV32" s="97"/>
      <c r="AW32" s="97"/>
      <c r="AX32" s="97"/>
      <c r="AY32" s="97"/>
      <c r="AZ32" s="97"/>
      <c r="BA32" s="97"/>
      <c r="BB32" s="97"/>
      <c r="BC32" s="97"/>
      <c r="BD32" s="97"/>
      <c r="BE32" s="97"/>
      <c r="BF32" s="97"/>
      <c r="BG32" s="97"/>
      <c r="BH32" s="97"/>
      <c r="BI32" s="97"/>
      <c r="BJ32" s="97"/>
      <c r="BK32" s="97"/>
      <c r="BL32" s="97"/>
      <c r="BM32" s="97"/>
      <c r="BN32" s="97"/>
      <c r="BO32" s="97"/>
      <c r="BP32" s="97"/>
      <c r="BQ32" s="97"/>
      <c r="BR32" s="97"/>
      <c r="BS32" s="97"/>
      <c r="BT32" s="97"/>
      <c r="BU32" s="97"/>
      <c r="BV32" s="97"/>
      <c r="BW32" s="97"/>
      <c r="BX32" s="97"/>
      <c r="BY32" s="97"/>
      <c r="BZ32" s="97"/>
      <c r="CA32" s="97"/>
      <c r="CB32" s="97"/>
      <c r="CC32" s="97"/>
      <c r="CD32" s="97"/>
      <c r="CE32" s="97"/>
      <c r="CF32" s="97"/>
      <c r="CG32" s="97"/>
      <c r="CH32" s="97"/>
      <c r="CI32" s="97"/>
      <c r="CJ32" s="97"/>
      <c r="CK32" s="97"/>
      <c r="CL32" s="97"/>
      <c r="CM32" s="97"/>
      <c r="CN32" s="97"/>
      <c r="CO32" s="97"/>
      <c r="CP32" s="97"/>
      <c r="CQ32" s="97"/>
      <c r="CR32" s="97"/>
      <c r="CS32" s="97"/>
      <c r="CT32" s="97"/>
      <c r="CU32" s="97"/>
      <c r="CV32" s="97"/>
      <c r="CW32" s="97"/>
      <c r="CX32" s="97"/>
      <c r="CY32" s="97"/>
      <c r="CZ32" s="97"/>
      <c r="DA32" s="97"/>
      <c r="DB32" s="97"/>
      <c r="DC32" s="97"/>
      <c r="DD32" s="97"/>
      <c r="DE32" s="97"/>
      <c r="DF32" s="97"/>
      <c r="DG32" s="97"/>
      <c r="DH32" s="97"/>
      <c r="DI32" s="97"/>
      <c r="DJ32" s="97"/>
      <c r="DK32" s="97"/>
      <c r="DL32" s="97"/>
      <c r="DM32" s="97"/>
      <c r="DN32" s="97"/>
      <c r="DO32" s="97"/>
      <c r="DP32" s="97"/>
      <c r="DQ32" s="97"/>
      <c r="DR32" s="97"/>
      <c r="DS32" s="97"/>
      <c r="DT32" s="97"/>
      <c r="DU32" s="97"/>
      <c r="DV32" s="97"/>
      <c r="DW32" s="97"/>
      <c r="DX32" s="97"/>
      <c r="DY32" s="97"/>
      <c r="DZ32" s="97"/>
      <c r="EA32" s="97"/>
      <c r="EB32" s="97"/>
      <c r="EC32" s="97"/>
      <c r="ED32" s="97"/>
      <c r="EE32" s="97"/>
      <c r="EF32" s="97"/>
      <c r="EG32" s="97"/>
      <c r="EH32" s="97"/>
      <c r="EI32" s="97"/>
      <c r="EJ32" s="97"/>
      <c r="EK32" s="97"/>
      <c r="EL32" s="97"/>
      <c r="EM32" s="97"/>
      <c r="EN32" s="97"/>
      <c r="EO32" s="97"/>
      <c r="EP32" s="97"/>
      <c r="EQ32" s="97"/>
      <c r="ER32" s="97"/>
      <c r="ES32" s="97"/>
      <c r="ET32" s="97"/>
    </row>
    <row r="33" spans="1:150" ht="15.75" customHeight="1">
      <c r="A33" s="97"/>
      <c r="B33" s="97"/>
      <c r="C33" s="97"/>
      <c r="D33" s="97"/>
      <c r="E33" s="97"/>
      <c r="F33" s="97"/>
      <c r="G33" s="97"/>
      <c r="H33" s="129"/>
      <c r="I33" s="97"/>
      <c r="J33" s="97"/>
      <c r="K33" s="97"/>
      <c r="L33" s="97"/>
      <c r="M33" s="97"/>
      <c r="N33" s="97"/>
      <c r="O33" s="97"/>
      <c r="P33" s="97"/>
      <c r="Q33" s="97"/>
      <c r="R33" s="97"/>
      <c r="S33" s="97"/>
      <c r="T33" s="97"/>
      <c r="U33" s="97"/>
      <c r="V33" s="97"/>
      <c r="W33" s="97"/>
      <c r="X33" s="129"/>
      <c r="Y33" s="97"/>
      <c r="Z33" s="97"/>
      <c r="AA33" s="97"/>
      <c r="AB33" s="97"/>
      <c r="AC33" s="97"/>
      <c r="AD33" s="97"/>
      <c r="AE33" s="97"/>
      <c r="AF33" s="97"/>
      <c r="AG33" s="97"/>
      <c r="AH33" s="97"/>
      <c r="AI33" s="97"/>
      <c r="AJ33" s="97"/>
      <c r="AK33" s="97"/>
      <c r="AL33" s="97"/>
      <c r="AM33" s="97"/>
      <c r="AN33" s="97"/>
      <c r="AO33" s="97"/>
      <c r="AP33" s="97"/>
      <c r="AQ33" s="97"/>
      <c r="AR33" s="97"/>
      <c r="AS33" s="97"/>
      <c r="AT33" s="97"/>
      <c r="AU33" s="97"/>
      <c r="AV33" s="97"/>
      <c r="AW33" s="97"/>
      <c r="AX33" s="97"/>
      <c r="AY33" s="97"/>
      <c r="AZ33" s="97"/>
      <c r="BA33" s="97"/>
      <c r="BB33" s="97"/>
      <c r="BC33" s="97"/>
      <c r="BD33" s="97"/>
      <c r="BE33" s="97"/>
      <c r="BF33" s="97"/>
      <c r="BG33" s="97"/>
      <c r="BH33" s="97"/>
      <c r="BI33" s="97"/>
      <c r="BJ33" s="97"/>
      <c r="BK33" s="97"/>
      <c r="BL33" s="97"/>
      <c r="BM33" s="97"/>
      <c r="BN33" s="97"/>
      <c r="BO33" s="97"/>
      <c r="BP33" s="97"/>
      <c r="BQ33" s="97"/>
      <c r="BR33" s="97"/>
      <c r="BS33" s="97"/>
      <c r="BT33" s="97"/>
      <c r="BU33" s="97"/>
      <c r="BV33" s="97"/>
      <c r="BW33" s="97"/>
      <c r="BX33" s="97"/>
      <c r="BY33" s="97"/>
      <c r="BZ33" s="97"/>
      <c r="CA33" s="97"/>
      <c r="CB33" s="97"/>
      <c r="CC33" s="97"/>
      <c r="CD33" s="97"/>
      <c r="CE33" s="97"/>
      <c r="CF33" s="97"/>
      <c r="CG33" s="97"/>
      <c r="CH33" s="97"/>
      <c r="CI33" s="97"/>
      <c r="CJ33" s="97"/>
      <c r="CK33" s="97"/>
      <c r="CL33" s="97"/>
      <c r="CM33" s="97"/>
      <c r="CN33" s="97"/>
      <c r="CO33" s="97"/>
      <c r="CP33" s="97"/>
      <c r="CQ33" s="97"/>
      <c r="CR33" s="97"/>
      <c r="CS33" s="97"/>
      <c r="CT33" s="97"/>
      <c r="CU33" s="97"/>
      <c r="CV33" s="97"/>
      <c r="CW33" s="97"/>
      <c r="CX33" s="97"/>
      <c r="CY33" s="97"/>
      <c r="CZ33" s="97"/>
      <c r="DA33" s="97"/>
      <c r="DB33" s="97"/>
      <c r="DC33" s="97"/>
      <c r="DD33" s="97"/>
      <c r="DE33" s="97"/>
      <c r="DF33" s="97"/>
      <c r="DG33" s="97"/>
      <c r="DH33" s="97"/>
      <c r="DI33" s="97"/>
      <c r="DJ33" s="97"/>
      <c r="DK33" s="97"/>
      <c r="DL33" s="97"/>
      <c r="DM33" s="97"/>
      <c r="DN33" s="97"/>
      <c r="DO33" s="97"/>
      <c r="DP33" s="97"/>
      <c r="DQ33" s="97"/>
      <c r="DR33" s="97"/>
      <c r="DS33" s="97"/>
      <c r="DT33" s="97"/>
      <c r="DU33" s="97"/>
      <c r="DV33" s="97"/>
      <c r="DW33" s="97"/>
      <c r="DX33" s="97"/>
      <c r="DY33" s="97"/>
      <c r="DZ33" s="97"/>
      <c r="EA33" s="97"/>
      <c r="EB33" s="97"/>
      <c r="EC33" s="97"/>
      <c r="ED33" s="97"/>
      <c r="EE33" s="97"/>
      <c r="EF33" s="97"/>
      <c r="EG33" s="97"/>
      <c r="EH33" s="97"/>
      <c r="EI33" s="97"/>
      <c r="EJ33" s="97"/>
      <c r="EK33" s="97"/>
      <c r="EL33" s="97"/>
      <c r="EM33" s="97"/>
      <c r="EN33" s="97"/>
      <c r="EO33" s="97"/>
      <c r="EP33" s="97"/>
      <c r="EQ33" s="97"/>
      <c r="ER33" s="97"/>
      <c r="ES33" s="97"/>
      <c r="ET33" s="97"/>
    </row>
    <row r="34" spans="1:150" ht="15.75" customHeight="1">
      <c r="A34" s="97"/>
      <c r="B34" s="97"/>
      <c r="C34" s="97"/>
      <c r="D34" s="97"/>
      <c r="E34" s="97"/>
      <c r="F34" s="97"/>
      <c r="G34" s="97"/>
      <c r="H34" s="129"/>
      <c r="I34" s="97"/>
      <c r="J34" s="97"/>
      <c r="K34" s="97"/>
      <c r="L34" s="97"/>
      <c r="M34" s="97"/>
      <c r="N34" s="97"/>
      <c r="O34" s="97"/>
      <c r="P34" s="97"/>
      <c r="Q34" s="97"/>
      <c r="R34" s="97"/>
      <c r="S34" s="97"/>
      <c r="T34" s="97"/>
      <c r="U34" s="97"/>
      <c r="V34" s="97"/>
      <c r="W34" s="97"/>
      <c r="X34" s="129"/>
      <c r="Y34" s="97"/>
      <c r="Z34" s="97"/>
      <c r="AA34" s="97"/>
      <c r="AB34" s="97"/>
      <c r="AC34" s="97"/>
      <c r="AD34" s="97"/>
      <c r="AE34" s="97"/>
      <c r="AF34" s="97"/>
      <c r="AG34" s="97"/>
      <c r="AH34" s="97"/>
      <c r="AI34" s="97"/>
      <c r="AJ34" s="97"/>
      <c r="AK34" s="97"/>
      <c r="AL34" s="97"/>
      <c r="AM34" s="97"/>
      <c r="AN34" s="97"/>
      <c r="AO34" s="97"/>
      <c r="AP34" s="97"/>
      <c r="AQ34" s="97"/>
      <c r="AR34" s="97"/>
      <c r="AS34" s="97"/>
      <c r="AT34" s="97"/>
      <c r="AU34" s="97"/>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97"/>
      <c r="BX34" s="97"/>
      <c r="BY34" s="97"/>
      <c r="BZ34" s="97"/>
      <c r="CA34" s="97"/>
      <c r="CB34" s="97"/>
      <c r="CC34" s="97"/>
      <c r="CD34" s="97"/>
      <c r="CE34" s="97"/>
      <c r="CF34" s="97"/>
      <c r="CG34" s="97"/>
      <c r="CH34" s="97"/>
      <c r="CI34" s="97"/>
      <c r="CJ34" s="97"/>
      <c r="CK34" s="97"/>
      <c r="CL34" s="97"/>
      <c r="CM34" s="97"/>
      <c r="CN34" s="97"/>
      <c r="CO34" s="97"/>
      <c r="CP34" s="97"/>
      <c r="CQ34" s="97"/>
      <c r="CR34" s="97"/>
      <c r="CS34" s="97"/>
      <c r="CT34" s="97"/>
      <c r="CU34" s="97"/>
      <c r="CV34" s="97"/>
      <c r="CW34" s="97"/>
      <c r="CX34" s="97"/>
      <c r="CY34" s="97"/>
      <c r="CZ34" s="97"/>
      <c r="DA34" s="97"/>
      <c r="DB34" s="97"/>
      <c r="DC34" s="97"/>
      <c r="DD34" s="97"/>
      <c r="DE34" s="97"/>
      <c r="DF34" s="97"/>
      <c r="DG34" s="97"/>
      <c r="DH34" s="97"/>
      <c r="DI34" s="97"/>
      <c r="DJ34" s="97"/>
      <c r="DK34" s="97"/>
      <c r="DL34" s="97"/>
      <c r="DM34" s="97"/>
      <c r="DN34" s="97"/>
      <c r="DO34" s="97"/>
      <c r="DP34" s="97"/>
      <c r="DQ34" s="97"/>
      <c r="DR34" s="97"/>
      <c r="DS34" s="97"/>
      <c r="DT34" s="97"/>
      <c r="DU34" s="97"/>
      <c r="DV34" s="97"/>
      <c r="DW34" s="97"/>
      <c r="DX34" s="97"/>
      <c r="DY34" s="97"/>
      <c r="DZ34" s="97"/>
      <c r="EA34" s="97"/>
      <c r="EB34" s="97"/>
      <c r="EC34" s="97"/>
      <c r="ED34" s="97"/>
      <c r="EE34" s="97"/>
      <c r="EF34" s="97"/>
      <c r="EG34" s="97"/>
      <c r="EH34" s="97"/>
      <c r="EI34" s="97"/>
      <c r="EJ34" s="97"/>
      <c r="EK34" s="97"/>
      <c r="EL34" s="97"/>
      <c r="EM34" s="97"/>
      <c r="EN34" s="97"/>
      <c r="EO34" s="97"/>
      <c r="EP34" s="97"/>
      <c r="EQ34" s="97"/>
      <c r="ER34" s="97"/>
      <c r="ES34" s="97"/>
      <c r="ET34" s="97"/>
    </row>
    <row r="35" spans="1:150" ht="15.75" customHeight="1">
      <c r="A35" s="97"/>
      <c r="B35" s="97"/>
      <c r="C35" s="97"/>
      <c r="D35" s="97"/>
      <c r="E35" s="97"/>
      <c r="F35" s="97"/>
      <c r="G35" s="97"/>
      <c r="H35" s="129"/>
      <c r="I35" s="97"/>
      <c r="J35" s="97"/>
      <c r="K35" s="97"/>
      <c r="L35" s="97"/>
      <c r="M35" s="97"/>
      <c r="N35" s="97"/>
      <c r="O35" s="97"/>
      <c r="P35" s="97"/>
      <c r="Q35" s="97"/>
      <c r="R35" s="97"/>
      <c r="S35" s="97"/>
      <c r="T35" s="97"/>
      <c r="U35" s="97"/>
      <c r="V35" s="97"/>
      <c r="W35" s="97"/>
      <c r="X35" s="129"/>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97"/>
      <c r="BX35" s="97"/>
      <c r="BY35" s="97"/>
      <c r="BZ35" s="97"/>
      <c r="CA35" s="97"/>
      <c r="CB35" s="97"/>
      <c r="CC35" s="97"/>
      <c r="CD35" s="97"/>
      <c r="CE35" s="97"/>
      <c r="CF35" s="97"/>
      <c r="CG35" s="97"/>
      <c r="CH35" s="97"/>
      <c r="CI35" s="97"/>
      <c r="CJ35" s="97"/>
      <c r="CK35" s="97"/>
      <c r="CL35" s="97"/>
      <c r="CM35" s="97"/>
      <c r="CN35" s="97"/>
      <c r="CO35" s="97"/>
      <c r="CP35" s="97"/>
      <c r="CQ35" s="97"/>
      <c r="CR35" s="97"/>
      <c r="CS35" s="97"/>
      <c r="CT35" s="97"/>
      <c r="CU35" s="97"/>
      <c r="CV35" s="97"/>
      <c r="CW35" s="97"/>
      <c r="CX35" s="97"/>
      <c r="CY35" s="97"/>
      <c r="CZ35" s="97"/>
      <c r="DA35" s="97"/>
      <c r="DB35" s="97"/>
      <c r="DC35" s="97"/>
      <c r="DD35" s="97"/>
      <c r="DE35" s="97"/>
      <c r="DF35" s="97"/>
      <c r="DG35" s="97"/>
      <c r="DH35" s="97"/>
      <c r="DI35" s="97"/>
      <c r="DJ35" s="97"/>
      <c r="DK35" s="97"/>
      <c r="DL35" s="97"/>
      <c r="DM35" s="97"/>
      <c r="DN35" s="97"/>
      <c r="DO35" s="97"/>
      <c r="DP35" s="97"/>
      <c r="DQ35" s="97"/>
      <c r="DR35" s="97"/>
      <c r="DS35" s="97"/>
      <c r="DT35" s="97"/>
      <c r="DU35" s="97"/>
      <c r="DV35" s="97"/>
      <c r="DW35" s="97"/>
      <c r="DX35" s="97"/>
      <c r="DY35" s="97"/>
      <c r="DZ35" s="97"/>
      <c r="EA35" s="97"/>
      <c r="EB35" s="97"/>
      <c r="EC35" s="97"/>
      <c r="ED35" s="97"/>
      <c r="EE35" s="97"/>
      <c r="EF35" s="97"/>
      <c r="EG35" s="97"/>
      <c r="EH35" s="97"/>
      <c r="EI35" s="97"/>
      <c r="EJ35" s="97"/>
      <c r="EK35" s="97"/>
      <c r="EL35" s="97"/>
      <c r="EM35" s="97"/>
      <c r="EN35" s="97"/>
      <c r="EO35" s="97"/>
      <c r="EP35" s="97"/>
      <c r="EQ35" s="97"/>
      <c r="ER35" s="97"/>
      <c r="ES35" s="97"/>
      <c r="ET35" s="97"/>
    </row>
    <row r="36" spans="1:150" ht="15.75" customHeight="1">
      <c r="A36" s="97"/>
      <c r="B36" s="97"/>
      <c r="C36" s="97"/>
      <c r="D36" s="97"/>
      <c r="E36" s="97"/>
      <c r="F36" s="97"/>
      <c r="G36" s="97"/>
      <c r="H36" s="129"/>
      <c r="I36" s="97"/>
      <c r="J36" s="97"/>
      <c r="K36" s="97"/>
      <c r="L36" s="97"/>
      <c r="M36" s="97"/>
      <c r="N36" s="97"/>
      <c r="O36" s="97"/>
      <c r="P36" s="97"/>
      <c r="Q36" s="97"/>
      <c r="R36" s="97"/>
      <c r="S36" s="97"/>
      <c r="T36" s="97"/>
      <c r="U36" s="97"/>
      <c r="V36" s="97"/>
      <c r="W36" s="97"/>
      <c r="X36" s="129"/>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97"/>
      <c r="BH36" s="97"/>
      <c r="BI36" s="97"/>
      <c r="BJ36" s="97"/>
      <c r="BK36" s="97"/>
      <c r="BL36" s="97"/>
      <c r="BM36" s="97"/>
      <c r="BN36" s="97"/>
      <c r="BO36" s="97"/>
      <c r="BP36" s="97"/>
      <c r="BQ36" s="97"/>
      <c r="BR36" s="97"/>
      <c r="BS36" s="97"/>
      <c r="BT36" s="97"/>
      <c r="BU36" s="97"/>
      <c r="BV36" s="97"/>
      <c r="BW36" s="97"/>
      <c r="BX36" s="97"/>
      <c r="BY36" s="97"/>
      <c r="BZ36" s="97"/>
      <c r="CA36" s="97"/>
      <c r="CB36" s="97"/>
      <c r="CC36" s="97"/>
      <c r="CD36" s="97"/>
      <c r="CE36" s="97"/>
      <c r="CF36" s="97"/>
      <c r="CG36" s="97"/>
      <c r="CH36" s="97"/>
      <c r="CI36" s="97"/>
      <c r="CJ36" s="97"/>
      <c r="CK36" s="97"/>
      <c r="CL36" s="97"/>
      <c r="CM36" s="97"/>
      <c r="CN36" s="97"/>
      <c r="CO36" s="97"/>
      <c r="CP36" s="97"/>
      <c r="CQ36" s="97"/>
      <c r="CR36" s="97"/>
      <c r="CS36" s="97"/>
      <c r="CT36" s="97"/>
      <c r="CU36" s="97"/>
      <c r="CV36" s="97"/>
      <c r="CW36" s="97"/>
      <c r="CX36" s="97"/>
      <c r="CY36" s="97"/>
      <c r="CZ36" s="97"/>
      <c r="DA36" s="97"/>
      <c r="DB36" s="97"/>
      <c r="DC36" s="97"/>
      <c r="DD36" s="97"/>
      <c r="DE36" s="97"/>
      <c r="DF36" s="97"/>
      <c r="DG36" s="97"/>
      <c r="DH36" s="97"/>
      <c r="DI36" s="97"/>
      <c r="DJ36" s="97"/>
      <c r="DK36" s="97"/>
      <c r="DL36" s="97"/>
      <c r="DM36" s="97"/>
      <c r="DN36" s="97"/>
      <c r="DO36" s="97"/>
      <c r="DP36" s="97"/>
      <c r="DQ36" s="97"/>
      <c r="DR36" s="97"/>
      <c r="DS36" s="97"/>
      <c r="DT36" s="97"/>
      <c r="DU36" s="97"/>
      <c r="DV36" s="97"/>
      <c r="DW36" s="97"/>
      <c r="DX36" s="97"/>
      <c r="DY36" s="97"/>
      <c r="DZ36" s="97"/>
      <c r="EA36" s="97"/>
      <c r="EB36" s="97"/>
      <c r="EC36" s="97"/>
      <c r="ED36" s="97"/>
      <c r="EE36" s="97"/>
      <c r="EF36" s="97"/>
      <c r="EG36" s="97"/>
      <c r="EH36" s="97"/>
      <c r="EI36" s="97"/>
      <c r="EJ36" s="97"/>
      <c r="EK36" s="97"/>
      <c r="EL36" s="97"/>
      <c r="EM36" s="97"/>
      <c r="EN36" s="97"/>
      <c r="EO36" s="97"/>
      <c r="EP36" s="97"/>
      <c r="EQ36" s="97"/>
      <c r="ER36" s="97"/>
      <c r="ES36" s="97"/>
      <c r="ET36" s="97"/>
    </row>
    <row r="37" spans="1:150" ht="15.75" customHeight="1">
      <c r="A37" s="97"/>
      <c r="B37" s="97"/>
      <c r="C37" s="97"/>
      <c r="D37" s="97"/>
      <c r="E37" s="97"/>
      <c r="F37" s="97"/>
      <c r="G37" s="97"/>
      <c r="H37" s="129"/>
      <c r="I37" s="97"/>
      <c r="J37" s="97"/>
      <c r="K37" s="97"/>
      <c r="L37" s="97"/>
      <c r="M37" s="97"/>
      <c r="N37" s="97"/>
      <c r="O37" s="97"/>
      <c r="P37" s="97"/>
      <c r="Q37" s="97"/>
      <c r="R37" s="97"/>
      <c r="S37" s="97"/>
      <c r="T37" s="97"/>
      <c r="U37" s="97"/>
      <c r="V37" s="97"/>
      <c r="W37" s="97"/>
      <c r="X37" s="129"/>
      <c r="Y37" s="97"/>
      <c r="Z37" s="97"/>
      <c r="AA37" s="97"/>
      <c r="AB37" s="97"/>
      <c r="AC37" s="97"/>
      <c r="AD37" s="97"/>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97"/>
      <c r="BX37" s="97"/>
      <c r="BY37" s="97"/>
      <c r="BZ37" s="97"/>
      <c r="CA37" s="97"/>
      <c r="CB37" s="97"/>
      <c r="CC37" s="97"/>
      <c r="CD37" s="97"/>
      <c r="CE37" s="97"/>
      <c r="CF37" s="97"/>
      <c r="CG37" s="97"/>
      <c r="CH37" s="97"/>
      <c r="CI37" s="97"/>
      <c r="CJ37" s="97"/>
      <c r="CK37" s="97"/>
      <c r="CL37" s="97"/>
      <c r="CM37" s="97"/>
      <c r="CN37" s="97"/>
      <c r="CO37" s="97"/>
      <c r="CP37" s="97"/>
      <c r="CQ37" s="97"/>
      <c r="CR37" s="97"/>
      <c r="CS37" s="97"/>
      <c r="CT37" s="97"/>
      <c r="CU37" s="97"/>
      <c r="CV37" s="97"/>
      <c r="CW37" s="97"/>
      <c r="CX37" s="97"/>
      <c r="CY37" s="97"/>
      <c r="CZ37" s="97"/>
      <c r="DA37" s="97"/>
      <c r="DB37" s="97"/>
      <c r="DC37" s="97"/>
      <c r="DD37" s="97"/>
      <c r="DE37" s="97"/>
      <c r="DF37" s="97"/>
      <c r="DG37" s="97"/>
      <c r="DH37" s="97"/>
      <c r="DI37" s="97"/>
      <c r="DJ37" s="97"/>
      <c r="DK37" s="97"/>
      <c r="DL37" s="97"/>
      <c r="DM37" s="97"/>
      <c r="DN37" s="97"/>
      <c r="DO37" s="97"/>
      <c r="DP37" s="97"/>
      <c r="DQ37" s="97"/>
      <c r="DR37" s="97"/>
      <c r="DS37" s="97"/>
      <c r="DT37" s="97"/>
      <c r="DU37" s="97"/>
      <c r="DV37" s="97"/>
      <c r="DW37" s="97"/>
      <c r="DX37" s="97"/>
      <c r="DY37" s="97"/>
      <c r="DZ37" s="97"/>
      <c r="EA37" s="97"/>
      <c r="EB37" s="97"/>
      <c r="EC37" s="97"/>
      <c r="ED37" s="97"/>
      <c r="EE37" s="97"/>
      <c r="EF37" s="97"/>
      <c r="EG37" s="97"/>
      <c r="EH37" s="97"/>
      <c r="EI37" s="97"/>
      <c r="EJ37" s="97"/>
      <c r="EK37" s="97"/>
      <c r="EL37" s="97"/>
      <c r="EM37" s="97"/>
      <c r="EN37" s="97"/>
      <c r="EO37" s="97"/>
      <c r="EP37" s="97"/>
      <c r="EQ37" s="97"/>
      <c r="ER37" s="97"/>
      <c r="ES37" s="97"/>
      <c r="ET37" s="97"/>
    </row>
    <row r="38" spans="1:150" ht="15.75" customHeight="1">
      <c r="A38" s="97"/>
      <c r="B38" s="97"/>
      <c r="C38" s="97"/>
      <c r="D38" s="97"/>
      <c r="E38" s="97"/>
      <c r="F38" s="97"/>
      <c r="G38" s="97"/>
      <c r="H38" s="129"/>
      <c r="I38" s="97"/>
      <c r="J38" s="97"/>
      <c r="K38" s="97"/>
      <c r="L38" s="97"/>
      <c r="M38" s="97"/>
      <c r="N38" s="97"/>
      <c r="O38" s="97"/>
      <c r="P38" s="97"/>
      <c r="Q38" s="97"/>
      <c r="R38" s="97"/>
      <c r="S38" s="97"/>
      <c r="T38" s="97"/>
      <c r="U38" s="97"/>
      <c r="V38" s="97"/>
      <c r="W38" s="97"/>
      <c r="X38" s="129"/>
      <c r="Y38" s="97"/>
      <c r="Z38" s="97"/>
      <c r="AA38" s="97"/>
      <c r="AB38" s="97"/>
      <c r="AC38" s="97"/>
      <c r="AD38" s="97"/>
      <c r="AE38" s="97"/>
      <c r="AF38" s="97"/>
      <c r="AG38" s="97"/>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97"/>
      <c r="BH38" s="97"/>
      <c r="BI38" s="97"/>
      <c r="BJ38" s="97"/>
      <c r="BK38" s="97"/>
      <c r="BL38" s="97"/>
      <c r="BM38" s="97"/>
      <c r="BN38" s="97"/>
      <c r="BO38" s="97"/>
      <c r="BP38" s="97"/>
      <c r="BQ38" s="97"/>
      <c r="BR38" s="97"/>
      <c r="BS38" s="97"/>
      <c r="BT38" s="97"/>
      <c r="BU38" s="97"/>
      <c r="BV38" s="97"/>
      <c r="BW38" s="97"/>
      <c r="BX38" s="97"/>
      <c r="BY38" s="97"/>
      <c r="BZ38" s="97"/>
      <c r="CA38" s="97"/>
      <c r="CB38" s="97"/>
      <c r="CC38" s="97"/>
      <c r="CD38" s="97"/>
      <c r="CE38" s="97"/>
      <c r="CF38" s="97"/>
      <c r="CG38" s="97"/>
      <c r="CH38" s="97"/>
      <c r="CI38" s="97"/>
      <c r="CJ38" s="97"/>
      <c r="CK38" s="97"/>
      <c r="CL38" s="97"/>
      <c r="CM38" s="97"/>
      <c r="CN38" s="97"/>
      <c r="CO38" s="97"/>
      <c r="CP38" s="97"/>
      <c r="CQ38" s="97"/>
      <c r="CR38" s="97"/>
      <c r="CS38" s="97"/>
      <c r="CT38" s="97"/>
      <c r="CU38" s="97"/>
      <c r="CV38" s="97"/>
      <c r="CW38" s="97"/>
      <c r="CX38" s="97"/>
      <c r="CY38" s="97"/>
      <c r="CZ38" s="97"/>
      <c r="DA38" s="97"/>
      <c r="DB38" s="97"/>
      <c r="DC38" s="97"/>
      <c r="DD38" s="97"/>
      <c r="DE38" s="97"/>
      <c r="DF38" s="97"/>
      <c r="DG38" s="97"/>
      <c r="DH38" s="97"/>
      <c r="DI38" s="97"/>
      <c r="DJ38" s="97"/>
      <c r="DK38" s="97"/>
      <c r="DL38" s="97"/>
      <c r="DM38" s="97"/>
      <c r="DN38" s="97"/>
      <c r="DO38" s="97"/>
      <c r="DP38" s="97"/>
      <c r="DQ38" s="97"/>
      <c r="DR38" s="97"/>
      <c r="DS38" s="97"/>
      <c r="DT38" s="97"/>
      <c r="DU38" s="97"/>
      <c r="DV38" s="97"/>
      <c r="DW38" s="97"/>
      <c r="DX38" s="97"/>
      <c r="DY38" s="97"/>
      <c r="DZ38" s="97"/>
      <c r="EA38" s="97"/>
      <c r="EB38" s="97"/>
      <c r="EC38" s="97"/>
      <c r="ED38" s="97"/>
      <c r="EE38" s="97"/>
      <c r="EF38" s="97"/>
      <c r="EG38" s="97"/>
      <c r="EH38" s="97"/>
      <c r="EI38" s="97"/>
      <c r="EJ38" s="97"/>
      <c r="EK38" s="97"/>
      <c r="EL38" s="97"/>
      <c r="EM38" s="97"/>
      <c r="EN38" s="97"/>
      <c r="EO38" s="97"/>
      <c r="EP38" s="97"/>
      <c r="EQ38" s="97"/>
      <c r="ER38" s="97"/>
      <c r="ES38" s="97"/>
      <c r="ET38" s="97"/>
    </row>
    <row r="39" spans="1:150" ht="15.75" customHeight="1">
      <c r="A39" s="97"/>
      <c r="B39" s="97"/>
      <c r="C39" s="97"/>
      <c r="D39" s="97"/>
      <c r="E39" s="97"/>
      <c r="F39" s="97"/>
      <c r="G39" s="97"/>
      <c r="H39" s="129"/>
      <c r="I39" s="97"/>
      <c r="J39" s="97"/>
      <c r="K39" s="97"/>
      <c r="L39" s="97"/>
      <c r="M39" s="97"/>
      <c r="N39" s="97"/>
      <c r="O39" s="97"/>
      <c r="P39" s="97"/>
      <c r="Q39" s="97"/>
      <c r="R39" s="97"/>
      <c r="S39" s="97"/>
      <c r="T39" s="97"/>
      <c r="U39" s="97"/>
      <c r="V39" s="97"/>
      <c r="W39" s="97"/>
      <c r="X39" s="129"/>
      <c r="Y39" s="97"/>
      <c r="Z39" s="97"/>
      <c r="AA39" s="97"/>
      <c r="AB39" s="97"/>
      <c r="AC39" s="97"/>
      <c r="AD39" s="97"/>
      <c r="AE39" s="97"/>
      <c r="AF39" s="97"/>
      <c r="AG39" s="97"/>
      <c r="AH39" s="97"/>
      <c r="AI39" s="97"/>
      <c r="AJ39" s="97"/>
      <c r="AK39" s="97"/>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97"/>
      <c r="BX39" s="97"/>
      <c r="BY39" s="97"/>
      <c r="BZ39" s="97"/>
      <c r="CA39" s="97"/>
      <c r="CB39" s="97"/>
      <c r="CC39" s="97"/>
      <c r="CD39" s="97"/>
      <c r="CE39" s="97"/>
      <c r="CF39" s="97"/>
      <c r="CG39" s="97"/>
      <c r="CH39" s="97"/>
      <c r="CI39" s="97"/>
      <c r="CJ39" s="97"/>
      <c r="CK39" s="97"/>
      <c r="CL39" s="97"/>
      <c r="CM39" s="97"/>
      <c r="CN39" s="97"/>
      <c r="CO39" s="97"/>
      <c r="CP39" s="97"/>
      <c r="CQ39" s="97"/>
      <c r="CR39" s="97"/>
      <c r="CS39" s="97"/>
      <c r="CT39" s="97"/>
      <c r="CU39" s="97"/>
      <c r="CV39" s="97"/>
      <c r="CW39" s="97"/>
      <c r="CX39" s="97"/>
      <c r="CY39" s="97"/>
      <c r="CZ39" s="97"/>
      <c r="DA39" s="97"/>
      <c r="DB39" s="97"/>
      <c r="DC39" s="97"/>
      <c r="DD39" s="97"/>
      <c r="DE39" s="97"/>
      <c r="DF39" s="97"/>
      <c r="DG39" s="97"/>
      <c r="DH39" s="97"/>
      <c r="DI39" s="97"/>
      <c r="DJ39" s="97"/>
      <c r="DK39" s="97"/>
      <c r="DL39" s="97"/>
      <c r="DM39" s="97"/>
      <c r="DN39" s="97"/>
      <c r="DO39" s="97"/>
      <c r="DP39" s="97"/>
      <c r="DQ39" s="97"/>
      <c r="DR39" s="97"/>
      <c r="DS39" s="97"/>
      <c r="DT39" s="97"/>
      <c r="DU39" s="97"/>
      <c r="DV39" s="97"/>
      <c r="DW39" s="97"/>
      <c r="DX39" s="97"/>
      <c r="DY39" s="97"/>
      <c r="DZ39" s="97"/>
      <c r="EA39" s="97"/>
      <c r="EB39" s="97"/>
      <c r="EC39" s="97"/>
      <c r="ED39" s="97"/>
      <c r="EE39" s="97"/>
      <c r="EF39" s="97"/>
      <c r="EG39" s="97"/>
      <c r="EH39" s="97"/>
      <c r="EI39" s="97"/>
      <c r="EJ39" s="97"/>
      <c r="EK39" s="97"/>
      <c r="EL39" s="97"/>
      <c r="EM39" s="97"/>
      <c r="EN39" s="97"/>
      <c r="EO39" s="97"/>
      <c r="EP39" s="97"/>
      <c r="EQ39" s="97"/>
      <c r="ER39" s="97"/>
      <c r="ES39" s="97"/>
      <c r="ET39" s="97"/>
    </row>
    <row r="40" spans="1:150" ht="15.75" customHeight="1">
      <c r="A40" s="97"/>
      <c r="B40" s="97"/>
      <c r="C40" s="97"/>
      <c r="D40" s="97"/>
      <c r="E40" s="97"/>
      <c r="F40" s="97"/>
      <c r="G40" s="97"/>
      <c r="H40" s="129"/>
      <c r="I40" s="97"/>
      <c r="J40" s="97"/>
      <c r="K40" s="97"/>
      <c r="L40" s="97"/>
      <c r="M40" s="97"/>
      <c r="N40" s="97"/>
      <c r="O40" s="97"/>
      <c r="P40" s="97"/>
      <c r="Q40" s="97"/>
      <c r="R40" s="97"/>
      <c r="S40" s="97"/>
      <c r="T40" s="97"/>
      <c r="U40" s="97"/>
      <c r="V40" s="97"/>
      <c r="W40" s="97"/>
      <c r="X40" s="129"/>
      <c r="Y40" s="97"/>
      <c r="Z40" s="97"/>
      <c r="AA40" s="97"/>
      <c r="AB40" s="97"/>
      <c r="AC40" s="97"/>
      <c r="AD40" s="97"/>
      <c r="AE40" s="97"/>
      <c r="AF40" s="97"/>
      <c r="AG40" s="97"/>
      <c r="AH40" s="97"/>
      <c r="AI40" s="97"/>
      <c r="AJ40" s="97"/>
      <c r="AK40" s="97"/>
      <c r="AL40" s="97"/>
      <c r="AM40" s="97"/>
      <c r="AN40" s="97"/>
      <c r="AO40" s="97"/>
      <c r="AP40" s="97"/>
      <c r="AQ40" s="97"/>
      <c r="AR40" s="97"/>
      <c r="AS40" s="97"/>
      <c r="AT40" s="97"/>
      <c r="AU40" s="97"/>
      <c r="AV40" s="97"/>
      <c r="AW40" s="97"/>
      <c r="AX40" s="97"/>
      <c r="AY40" s="97"/>
      <c r="AZ40" s="97"/>
      <c r="BA40" s="97"/>
      <c r="BB40" s="97"/>
      <c r="BC40" s="97"/>
      <c r="BD40" s="97"/>
      <c r="BE40" s="97"/>
      <c r="BF40" s="97"/>
      <c r="BG40" s="97"/>
      <c r="BH40" s="97"/>
      <c r="BI40" s="97"/>
      <c r="BJ40" s="97"/>
      <c r="BK40" s="97"/>
      <c r="BL40" s="97"/>
      <c r="BM40" s="97"/>
      <c r="BN40" s="97"/>
      <c r="BO40" s="97"/>
      <c r="BP40" s="97"/>
      <c r="BQ40" s="97"/>
      <c r="BR40" s="97"/>
      <c r="BS40" s="97"/>
      <c r="BT40" s="97"/>
      <c r="BU40" s="97"/>
      <c r="BV40" s="97"/>
      <c r="BW40" s="97"/>
      <c r="BX40" s="97"/>
      <c r="BY40" s="97"/>
      <c r="BZ40" s="97"/>
      <c r="CA40" s="97"/>
      <c r="CB40" s="97"/>
      <c r="CC40" s="97"/>
      <c r="CD40" s="97"/>
      <c r="CE40" s="97"/>
      <c r="CF40" s="97"/>
      <c r="CG40" s="97"/>
      <c r="CH40" s="97"/>
      <c r="CI40" s="97"/>
      <c r="CJ40" s="97"/>
      <c r="CK40" s="97"/>
      <c r="CL40" s="97"/>
      <c r="CM40" s="97"/>
      <c r="CN40" s="97"/>
      <c r="CO40" s="97"/>
      <c r="CP40" s="97"/>
      <c r="CQ40" s="97"/>
      <c r="CR40" s="97"/>
      <c r="CS40" s="97"/>
      <c r="CT40" s="97"/>
      <c r="CU40" s="97"/>
      <c r="CV40" s="97"/>
      <c r="CW40" s="97"/>
      <c r="CX40" s="97"/>
      <c r="CY40" s="97"/>
      <c r="CZ40" s="97"/>
      <c r="DA40" s="97"/>
      <c r="DB40" s="97"/>
      <c r="DC40" s="97"/>
      <c r="DD40" s="97"/>
      <c r="DE40" s="97"/>
      <c r="DF40" s="97"/>
      <c r="DG40" s="97"/>
      <c r="DH40" s="97"/>
      <c r="DI40" s="97"/>
      <c r="DJ40" s="97"/>
      <c r="DK40" s="97"/>
      <c r="DL40" s="97"/>
      <c r="DM40" s="97"/>
      <c r="DN40" s="97"/>
      <c r="DO40" s="97"/>
      <c r="DP40" s="97"/>
      <c r="DQ40" s="97"/>
      <c r="DR40" s="97"/>
      <c r="DS40" s="97"/>
      <c r="DT40" s="97"/>
      <c r="DU40" s="97"/>
      <c r="DV40" s="97"/>
      <c r="DW40" s="97"/>
      <c r="DX40" s="97"/>
      <c r="DY40" s="97"/>
      <c r="DZ40" s="97"/>
      <c r="EA40" s="97"/>
      <c r="EB40" s="97"/>
      <c r="EC40" s="97"/>
      <c r="ED40" s="97"/>
      <c r="EE40" s="97"/>
      <c r="EF40" s="97"/>
      <c r="EG40" s="97"/>
      <c r="EH40" s="97"/>
      <c r="EI40" s="97"/>
      <c r="EJ40" s="97"/>
      <c r="EK40" s="97"/>
      <c r="EL40" s="97"/>
      <c r="EM40" s="97"/>
      <c r="EN40" s="97"/>
      <c r="EO40" s="97"/>
      <c r="EP40" s="97"/>
      <c r="EQ40" s="97"/>
      <c r="ER40" s="97"/>
      <c r="ES40" s="97"/>
      <c r="ET40" s="97"/>
    </row>
    <row r="41" spans="1:150" ht="15.75" customHeight="1">
      <c r="A41" s="97"/>
      <c r="B41" s="97"/>
      <c r="C41" s="97"/>
      <c r="D41" s="97"/>
      <c r="E41" s="97"/>
      <c r="F41" s="97"/>
      <c r="G41" s="97"/>
      <c r="H41" s="129"/>
      <c r="I41" s="97"/>
      <c r="J41" s="97"/>
      <c r="K41" s="97"/>
      <c r="L41" s="97"/>
      <c r="M41" s="97"/>
      <c r="N41" s="97"/>
      <c r="O41" s="97"/>
      <c r="P41" s="97"/>
      <c r="Q41" s="97"/>
      <c r="R41" s="97"/>
      <c r="S41" s="97"/>
      <c r="T41" s="97"/>
      <c r="U41" s="97"/>
      <c r="V41" s="97"/>
      <c r="W41" s="97"/>
      <c r="X41" s="129"/>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97"/>
      <c r="BH41" s="97"/>
      <c r="BI41" s="97"/>
      <c r="BJ41" s="97"/>
      <c r="BK41" s="97"/>
      <c r="BL41" s="97"/>
      <c r="BM41" s="97"/>
      <c r="BN41" s="97"/>
      <c r="BO41" s="97"/>
      <c r="BP41" s="97"/>
      <c r="BQ41" s="97"/>
      <c r="BR41" s="97"/>
      <c r="BS41" s="97"/>
      <c r="BT41" s="97"/>
      <c r="BU41" s="97"/>
      <c r="BV41" s="97"/>
      <c r="BW41" s="97"/>
      <c r="BX41" s="97"/>
      <c r="BY41" s="97"/>
      <c r="BZ41" s="97"/>
      <c r="CA41" s="97"/>
      <c r="CB41" s="97"/>
      <c r="CC41" s="97"/>
      <c r="CD41" s="97"/>
      <c r="CE41" s="97"/>
      <c r="CF41" s="97"/>
      <c r="CG41" s="97"/>
      <c r="CH41" s="97"/>
      <c r="CI41" s="97"/>
      <c r="CJ41" s="97"/>
      <c r="CK41" s="97"/>
      <c r="CL41" s="97"/>
      <c r="CM41" s="97"/>
      <c r="CN41" s="97"/>
      <c r="CO41" s="97"/>
      <c r="CP41" s="97"/>
      <c r="CQ41" s="97"/>
      <c r="CR41" s="97"/>
      <c r="CS41" s="97"/>
      <c r="CT41" s="97"/>
      <c r="CU41" s="97"/>
      <c r="CV41" s="97"/>
      <c r="CW41" s="97"/>
      <c r="CX41" s="97"/>
      <c r="CY41" s="97"/>
      <c r="CZ41" s="97"/>
      <c r="DA41" s="97"/>
      <c r="DB41" s="97"/>
      <c r="DC41" s="97"/>
      <c r="DD41" s="97"/>
      <c r="DE41" s="97"/>
      <c r="DF41" s="97"/>
      <c r="DG41" s="97"/>
      <c r="DH41" s="97"/>
      <c r="DI41" s="97"/>
      <c r="DJ41" s="97"/>
      <c r="DK41" s="97"/>
      <c r="DL41" s="97"/>
      <c r="DM41" s="97"/>
      <c r="DN41" s="97"/>
      <c r="DO41" s="97"/>
      <c r="DP41" s="97"/>
      <c r="DQ41" s="97"/>
      <c r="DR41" s="97"/>
      <c r="DS41" s="97"/>
      <c r="DT41" s="97"/>
      <c r="DU41" s="97"/>
      <c r="DV41" s="97"/>
      <c r="DW41" s="97"/>
      <c r="DX41" s="97"/>
      <c r="DY41" s="97"/>
      <c r="DZ41" s="97"/>
      <c r="EA41" s="97"/>
      <c r="EB41" s="97"/>
      <c r="EC41" s="97"/>
      <c r="ED41" s="97"/>
      <c r="EE41" s="97"/>
      <c r="EF41" s="97"/>
      <c r="EG41" s="97"/>
      <c r="EH41" s="97"/>
      <c r="EI41" s="97"/>
      <c r="EJ41" s="97"/>
      <c r="EK41" s="97"/>
      <c r="EL41" s="97"/>
      <c r="EM41" s="97"/>
      <c r="EN41" s="97"/>
      <c r="EO41" s="97"/>
      <c r="EP41" s="97"/>
      <c r="EQ41" s="97"/>
      <c r="ER41" s="97"/>
      <c r="ES41" s="97"/>
      <c r="ET41" s="97"/>
    </row>
    <row r="42" spans="1:150" ht="15.75" customHeight="1">
      <c r="A42" s="97"/>
      <c r="B42" s="97"/>
      <c r="C42" s="97"/>
      <c r="D42" s="97"/>
      <c r="E42" s="97"/>
      <c r="F42" s="97"/>
      <c r="G42" s="97"/>
      <c r="H42" s="129"/>
      <c r="I42" s="97"/>
      <c r="J42" s="97"/>
      <c r="K42" s="97"/>
      <c r="L42" s="97"/>
      <c r="M42" s="97"/>
      <c r="N42" s="97"/>
      <c r="O42" s="97"/>
      <c r="P42" s="97"/>
      <c r="Q42" s="97"/>
      <c r="R42" s="97"/>
      <c r="S42" s="97"/>
      <c r="T42" s="97"/>
      <c r="U42" s="97"/>
      <c r="V42" s="97"/>
      <c r="W42" s="97"/>
      <c r="X42" s="129"/>
      <c r="Y42" s="97"/>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97"/>
      <c r="BX42" s="97"/>
      <c r="BY42" s="97"/>
      <c r="BZ42" s="97"/>
      <c r="CA42" s="97"/>
      <c r="CB42" s="97"/>
      <c r="CC42" s="97"/>
      <c r="CD42" s="97"/>
      <c r="CE42" s="97"/>
      <c r="CF42" s="97"/>
      <c r="CG42" s="97"/>
      <c r="CH42" s="97"/>
      <c r="CI42" s="97"/>
      <c r="CJ42" s="97"/>
      <c r="CK42" s="97"/>
      <c r="CL42" s="97"/>
      <c r="CM42" s="97"/>
      <c r="CN42" s="97"/>
      <c r="CO42" s="97"/>
      <c r="CP42" s="97"/>
      <c r="CQ42" s="97"/>
      <c r="CR42" s="97"/>
      <c r="CS42" s="97"/>
      <c r="CT42" s="97"/>
      <c r="CU42" s="97"/>
      <c r="CV42" s="97"/>
      <c r="CW42" s="97"/>
      <c r="CX42" s="97"/>
      <c r="CY42" s="97"/>
      <c r="CZ42" s="97"/>
      <c r="DA42" s="97"/>
      <c r="DB42" s="97"/>
      <c r="DC42" s="97"/>
      <c r="DD42" s="97"/>
      <c r="DE42" s="97"/>
      <c r="DF42" s="97"/>
      <c r="DG42" s="97"/>
      <c r="DH42" s="97"/>
      <c r="DI42" s="97"/>
      <c r="DJ42" s="97"/>
      <c r="DK42" s="97"/>
      <c r="DL42" s="97"/>
      <c r="DM42" s="97"/>
      <c r="DN42" s="97"/>
      <c r="DO42" s="97"/>
      <c r="DP42" s="97"/>
      <c r="DQ42" s="97"/>
      <c r="DR42" s="97"/>
      <c r="DS42" s="97"/>
      <c r="DT42" s="97"/>
      <c r="DU42" s="97"/>
      <c r="DV42" s="97"/>
      <c r="DW42" s="97"/>
      <c r="DX42" s="97"/>
      <c r="DY42" s="97"/>
      <c r="DZ42" s="97"/>
      <c r="EA42" s="97"/>
      <c r="EB42" s="97"/>
      <c r="EC42" s="97"/>
      <c r="ED42" s="97"/>
      <c r="EE42" s="97"/>
      <c r="EF42" s="97"/>
      <c r="EG42" s="97"/>
      <c r="EH42" s="97"/>
      <c r="EI42" s="97"/>
      <c r="EJ42" s="97"/>
      <c r="EK42" s="97"/>
      <c r="EL42" s="97"/>
      <c r="EM42" s="97"/>
      <c r="EN42" s="97"/>
      <c r="EO42" s="97"/>
      <c r="EP42" s="97"/>
      <c r="EQ42" s="97"/>
      <c r="ER42" s="97"/>
      <c r="ES42" s="97"/>
      <c r="ET42" s="97"/>
    </row>
    <row r="43" spans="1:150" ht="15.75" customHeight="1">
      <c r="A43" s="97"/>
      <c r="B43" s="97"/>
      <c r="C43" s="97"/>
      <c r="D43" s="97"/>
      <c r="E43" s="97"/>
      <c r="F43" s="97"/>
      <c r="G43" s="97"/>
      <c r="H43" s="129"/>
      <c r="I43" s="97"/>
      <c r="J43" s="97"/>
      <c r="K43" s="97"/>
      <c r="L43" s="97"/>
      <c r="M43" s="97"/>
      <c r="N43" s="97"/>
      <c r="O43" s="97"/>
      <c r="P43" s="97"/>
      <c r="Q43" s="97"/>
      <c r="R43" s="97"/>
      <c r="S43" s="97"/>
      <c r="T43" s="97"/>
      <c r="U43" s="97"/>
      <c r="V43" s="97"/>
      <c r="W43" s="97"/>
      <c r="X43" s="129"/>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97"/>
      <c r="BH43" s="97"/>
      <c r="BI43" s="97"/>
      <c r="BJ43" s="97"/>
      <c r="BK43" s="97"/>
      <c r="BL43" s="97"/>
      <c r="BM43" s="97"/>
      <c r="BN43" s="97"/>
      <c r="BO43" s="97"/>
      <c r="BP43" s="97"/>
      <c r="BQ43" s="97"/>
      <c r="BR43" s="97"/>
      <c r="BS43" s="97"/>
      <c r="BT43" s="97"/>
      <c r="BU43" s="97"/>
      <c r="BV43" s="97"/>
      <c r="BW43" s="97"/>
      <c r="BX43" s="97"/>
      <c r="BY43" s="97"/>
      <c r="BZ43" s="97"/>
      <c r="CA43" s="97"/>
      <c r="CB43" s="97"/>
      <c r="CC43" s="97"/>
      <c r="CD43" s="97"/>
      <c r="CE43" s="97"/>
      <c r="CF43" s="97"/>
      <c r="CG43" s="97"/>
      <c r="CH43" s="97"/>
      <c r="CI43" s="97"/>
      <c r="CJ43" s="97"/>
      <c r="CK43" s="97"/>
      <c r="CL43" s="97"/>
      <c r="CM43" s="97"/>
      <c r="CN43" s="97"/>
      <c r="CO43" s="97"/>
      <c r="CP43" s="97"/>
      <c r="CQ43" s="97"/>
      <c r="CR43" s="97"/>
      <c r="CS43" s="97"/>
      <c r="CT43" s="97"/>
      <c r="CU43" s="97"/>
      <c r="CV43" s="97"/>
      <c r="CW43" s="97"/>
      <c r="CX43" s="97"/>
      <c r="CY43" s="97"/>
      <c r="CZ43" s="97"/>
      <c r="DA43" s="97"/>
      <c r="DB43" s="97"/>
      <c r="DC43" s="97"/>
      <c r="DD43" s="97"/>
      <c r="DE43" s="97"/>
      <c r="DF43" s="97"/>
      <c r="DG43" s="97"/>
      <c r="DH43" s="97"/>
      <c r="DI43" s="97"/>
      <c r="DJ43" s="97"/>
      <c r="DK43" s="97"/>
      <c r="DL43" s="97"/>
      <c r="DM43" s="97"/>
      <c r="DN43" s="97"/>
      <c r="DO43" s="97"/>
      <c r="DP43" s="97"/>
      <c r="DQ43" s="97"/>
      <c r="DR43" s="97"/>
      <c r="DS43" s="97"/>
      <c r="DT43" s="97"/>
      <c r="DU43" s="97"/>
      <c r="DV43" s="97"/>
      <c r="DW43" s="97"/>
      <c r="DX43" s="97"/>
      <c r="DY43" s="97"/>
      <c r="DZ43" s="97"/>
      <c r="EA43" s="97"/>
      <c r="EB43" s="97"/>
      <c r="EC43" s="97"/>
      <c r="ED43" s="97"/>
      <c r="EE43" s="97"/>
      <c r="EF43" s="97"/>
      <c r="EG43" s="97"/>
      <c r="EH43" s="97"/>
      <c r="EI43" s="97"/>
      <c r="EJ43" s="97"/>
      <c r="EK43" s="97"/>
      <c r="EL43" s="97"/>
      <c r="EM43" s="97"/>
      <c r="EN43" s="97"/>
      <c r="EO43" s="97"/>
      <c r="EP43" s="97"/>
      <c r="EQ43" s="97"/>
      <c r="ER43" s="97"/>
      <c r="ES43" s="97"/>
      <c r="ET43" s="97"/>
    </row>
    <row r="44" spans="1:150" ht="15.75" customHeight="1">
      <c r="A44" s="97"/>
      <c r="B44" s="97"/>
      <c r="C44" s="97"/>
      <c r="D44" s="97"/>
      <c r="E44" s="97"/>
      <c r="F44" s="97"/>
      <c r="G44" s="97"/>
      <c r="H44" s="129"/>
      <c r="I44" s="97"/>
      <c r="J44" s="97"/>
      <c r="K44" s="97"/>
      <c r="L44" s="97"/>
      <c r="M44" s="97"/>
      <c r="N44" s="97"/>
      <c r="O44" s="97"/>
      <c r="P44" s="97"/>
      <c r="Q44" s="97"/>
      <c r="R44" s="97"/>
      <c r="S44" s="97"/>
      <c r="T44" s="97"/>
      <c r="U44" s="97"/>
      <c r="V44" s="97"/>
      <c r="W44" s="97"/>
      <c r="X44" s="129"/>
      <c r="Y44" s="97"/>
      <c r="Z44" s="97"/>
      <c r="AA44" s="97"/>
      <c r="AB44" s="97"/>
      <c r="AC44" s="97"/>
      <c r="AD44" s="97"/>
      <c r="AE44" s="97"/>
      <c r="AF44" s="97"/>
      <c r="AG44" s="97"/>
      <c r="AH44" s="97"/>
      <c r="AI44" s="97"/>
      <c r="AJ44" s="97"/>
      <c r="AK44" s="97"/>
      <c r="AL44" s="97"/>
      <c r="AM44" s="97"/>
      <c r="AN44" s="97"/>
      <c r="AO44" s="97"/>
      <c r="AP44" s="97"/>
      <c r="AQ44" s="97"/>
      <c r="AR44" s="97"/>
      <c r="AS44" s="97"/>
      <c r="AT44" s="97"/>
      <c r="AU44" s="97"/>
      <c r="AV44" s="97"/>
      <c r="AW44" s="97"/>
      <c r="AX44" s="97"/>
      <c r="AY44" s="97"/>
      <c r="AZ44" s="97"/>
      <c r="BA44" s="97"/>
      <c r="BB44" s="97"/>
      <c r="BC44" s="97"/>
      <c r="BD44" s="97"/>
      <c r="BE44" s="97"/>
      <c r="BF44" s="97"/>
      <c r="BG44" s="97"/>
      <c r="BH44" s="97"/>
      <c r="BI44" s="97"/>
      <c r="BJ44" s="97"/>
      <c r="BK44" s="97"/>
      <c r="BL44" s="97"/>
      <c r="BM44" s="97"/>
      <c r="BN44" s="97"/>
      <c r="BO44" s="97"/>
      <c r="BP44" s="97"/>
      <c r="BQ44" s="97"/>
      <c r="BR44" s="97"/>
      <c r="BS44" s="97"/>
      <c r="BT44" s="97"/>
      <c r="BU44" s="97"/>
      <c r="BV44" s="97"/>
      <c r="BW44" s="97"/>
      <c r="BX44" s="97"/>
      <c r="BY44" s="97"/>
      <c r="BZ44" s="97"/>
      <c r="CA44" s="97"/>
      <c r="CB44" s="97"/>
      <c r="CC44" s="97"/>
      <c r="CD44" s="97"/>
      <c r="CE44" s="97"/>
      <c r="CF44" s="97"/>
      <c r="CG44" s="97"/>
      <c r="CH44" s="97"/>
      <c r="CI44" s="97"/>
      <c r="CJ44" s="97"/>
      <c r="CK44" s="97"/>
      <c r="CL44" s="97"/>
      <c r="CM44" s="97"/>
      <c r="CN44" s="97"/>
      <c r="CO44" s="97"/>
      <c r="CP44" s="97"/>
      <c r="CQ44" s="97"/>
      <c r="CR44" s="97"/>
      <c r="CS44" s="97"/>
      <c r="CT44" s="97"/>
      <c r="CU44" s="97"/>
      <c r="CV44" s="97"/>
      <c r="CW44" s="97"/>
      <c r="CX44" s="97"/>
      <c r="CY44" s="97"/>
      <c r="CZ44" s="97"/>
      <c r="DA44" s="97"/>
      <c r="DB44" s="97"/>
      <c r="DC44" s="97"/>
      <c r="DD44" s="97"/>
      <c r="DE44" s="97"/>
      <c r="DF44" s="97"/>
      <c r="DG44" s="97"/>
      <c r="DH44" s="97"/>
      <c r="DI44" s="97"/>
      <c r="DJ44" s="97"/>
      <c r="DK44" s="97"/>
      <c r="DL44" s="97"/>
      <c r="DM44" s="97"/>
      <c r="DN44" s="97"/>
      <c r="DO44" s="97"/>
      <c r="DP44" s="97"/>
      <c r="DQ44" s="97"/>
      <c r="DR44" s="97"/>
      <c r="DS44" s="97"/>
      <c r="DT44" s="97"/>
      <c r="DU44" s="97"/>
      <c r="DV44" s="97"/>
      <c r="DW44" s="97"/>
      <c r="DX44" s="97"/>
      <c r="DY44" s="97"/>
      <c r="DZ44" s="97"/>
      <c r="EA44" s="97"/>
      <c r="EB44" s="97"/>
      <c r="EC44" s="97"/>
      <c r="ED44" s="97"/>
      <c r="EE44" s="97"/>
      <c r="EF44" s="97"/>
      <c r="EG44" s="97"/>
      <c r="EH44" s="97"/>
      <c r="EI44" s="97"/>
      <c r="EJ44" s="97"/>
      <c r="EK44" s="97"/>
      <c r="EL44" s="97"/>
      <c r="EM44" s="97"/>
      <c r="EN44" s="97"/>
      <c r="EO44" s="97"/>
      <c r="EP44" s="97"/>
      <c r="EQ44" s="97"/>
      <c r="ER44" s="97"/>
      <c r="ES44" s="97"/>
      <c r="ET44" s="97"/>
    </row>
    <row r="45" spans="1:150" ht="15.75" customHeight="1">
      <c r="A45" s="97"/>
      <c r="B45" s="97"/>
      <c r="C45" s="97"/>
      <c r="D45" s="97"/>
      <c r="E45" s="97"/>
      <c r="F45" s="97"/>
      <c r="G45" s="97"/>
      <c r="H45" s="129"/>
      <c r="I45" s="97"/>
      <c r="J45" s="97"/>
      <c r="K45" s="97"/>
      <c r="L45" s="97"/>
      <c r="M45" s="97"/>
      <c r="N45" s="97"/>
      <c r="O45" s="97"/>
      <c r="P45" s="97"/>
      <c r="Q45" s="97"/>
      <c r="R45" s="97"/>
      <c r="S45" s="97"/>
      <c r="T45" s="97"/>
      <c r="U45" s="97"/>
      <c r="V45" s="97"/>
      <c r="W45" s="97"/>
      <c r="X45" s="129"/>
      <c r="Y45" s="97"/>
      <c r="Z45" s="97"/>
      <c r="AA45" s="97"/>
      <c r="AB45" s="97"/>
      <c r="AC45" s="97"/>
      <c r="AD45" s="97"/>
      <c r="AE45" s="97"/>
      <c r="AF45" s="97"/>
      <c r="AG45" s="97"/>
      <c r="AH45" s="97"/>
      <c r="AI45" s="97"/>
      <c r="AJ45" s="97"/>
      <c r="AK45" s="97"/>
      <c r="AL45" s="97"/>
      <c r="AM45" s="97"/>
      <c r="AN45" s="97"/>
      <c r="AO45" s="97"/>
      <c r="AP45" s="97"/>
      <c r="AQ45" s="97"/>
      <c r="AR45" s="97"/>
      <c r="AS45" s="97"/>
      <c r="AT45" s="97"/>
      <c r="AU45" s="97"/>
      <c r="AV45" s="97"/>
      <c r="AW45" s="97"/>
      <c r="AX45" s="97"/>
      <c r="AY45" s="97"/>
      <c r="AZ45" s="97"/>
      <c r="BA45" s="97"/>
      <c r="BB45" s="97"/>
      <c r="BC45" s="97"/>
      <c r="BD45" s="97"/>
      <c r="BE45" s="97"/>
      <c r="BF45" s="97"/>
      <c r="BG45" s="97"/>
      <c r="BH45" s="97"/>
      <c r="BI45" s="97"/>
      <c r="BJ45" s="97"/>
      <c r="BK45" s="97"/>
      <c r="BL45" s="97"/>
      <c r="BM45" s="97"/>
      <c r="BN45" s="97"/>
      <c r="BO45" s="97"/>
      <c r="BP45" s="97"/>
      <c r="BQ45" s="97"/>
      <c r="BR45" s="97"/>
      <c r="BS45" s="97"/>
      <c r="BT45" s="97"/>
      <c r="BU45" s="97"/>
      <c r="BV45" s="97"/>
      <c r="BW45" s="97"/>
      <c r="BX45" s="97"/>
      <c r="BY45" s="97"/>
      <c r="BZ45" s="97"/>
      <c r="CA45" s="97"/>
      <c r="CB45" s="97"/>
      <c r="CC45" s="97"/>
      <c r="CD45" s="97"/>
      <c r="CE45" s="97"/>
      <c r="CF45" s="97"/>
      <c r="CG45" s="97"/>
      <c r="CH45" s="97"/>
      <c r="CI45" s="97"/>
      <c r="CJ45" s="97"/>
      <c r="CK45" s="97"/>
      <c r="CL45" s="97"/>
      <c r="CM45" s="97"/>
      <c r="CN45" s="97"/>
      <c r="CO45" s="97"/>
      <c r="CP45" s="97"/>
      <c r="CQ45" s="97"/>
      <c r="CR45" s="97"/>
      <c r="CS45" s="97"/>
      <c r="CT45" s="97"/>
      <c r="CU45" s="97"/>
      <c r="CV45" s="97"/>
      <c r="CW45" s="97"/>
      <c r="CX45" s="97"/>
      <c r="CY45" s="97"/>
      <c r="CZ45" s="97"/>
      <c r="DA45" s="97"/>
      <c r="DB45" s="97"/>
      <c r="DC45" s="97"/>
      <c r="DD45" s="97"/>
      <c r="DE45" s="97"/>
      <c r="DF45" s="97"/>
      <c r="DG45" s="97"/>
      <c r="DH45" s="97"/>
      <c r="DI45" s="97"/>
      <c r="DJ45" s="97"/>
      <c r="DK45" s="97"/>
      <c r="DL45" s="97"/>
      <c r="DM45" s="97"/>
      <c r="DN45" s="97"/>
      <c r="DO45" s="97"/>
      <c r="DP45" s="97"/>
      <c r="DQ45" s="97"/>
      <c r="DR45" s="97"/>
      <c r="DS45" s="97"/>
      <c r="DT45" s="97"/>
      <c r="DU45" s="97"/>
      <c r="DV45" s="97"/>
      <c r="DW45" s="97"/>
      <c r="DX45" s="97"/>
      <c r="DY45" s="97"/>
      <c r="DZ45" s="97"/>
      <c r="EA45" s="97"/>
      <c r="EB45" s="97"/>
      <c r="EC45" s="97"/>
      <c r="ED45" s="97"/>
      <c r="EE45" s="97"/>
      <c r="EF45" s="97"/>
      <c r="EG45" s="97"/>
      <c r="EH45" s="97"/>
      <c r="EI45" s="97"/>
      <c r="EJ45" s="97"/>
      <c r="EK45" s="97"/>
      <c r="EL45" s="97"/>
      <c r="EM45" s="97"/>
      <c r="EN45" s="97"/>
      <c r="EO45" s="97"/>
      <c r="EP45" s="97"/>
      <c r="EQ45" s="97"/>
      <c r="ER45" s="97"/>
      <c r="ES45" s="97"/>
      <c r="ET45" s="97"/>
    </row>
    <row r="46" spans="1:150" ht="15.75" customHeight="1">
      <c r="A46" s="97"/>
      <c r="B46" s="97"/>
      <c r="C46" s="97"/>
      <c r="D46" s="97"/>
      <c r="E46" s="97"/>
      <c r="F46" s="97"/>
      <c r="G46" s="97"/>
      <c r="H46" s="129"/>
      <c r="I46" s="97"/>
      <c r="J46" s="97"/>
      <c r="K46" s="97"/>
      <c r="L46" s="97"/>
      <c r="M46" s="97"/>
      <c r="N46" s="97"/>
      <c r="O46" s="97"/>
      <c r="P46" s="97"/>
      <c r="Q46" s="97"/>
      <c r="R46" s="97"/>
      <c r="S46" s="97"/>
      <c r="T46" s="97"/>
      <c r="U46" s="97"/>
      <c r="V46" s="97"/>
      <c r="W46" s="97"/>
      <c r="X46" s="129"/>
      <c r="Y46" s="97"/>
      <c r="Z46" s="97"/>
      <c r="AA46" s="97"/>
      <c r="AB46" s="97"/>
      <c r="AC46" s="97"/>
      <c r="AD46" s="97"/>
      <c r="AE46" s="97"/>
      <c r="AF46" s="97"/>
      <c r="AG46" s="97"/>
      <c r="AH46" s="97"/>
      <c r="AI46" s="97"/>
      <c r="AJ46" s="97"/>
      <c r="AK46" s="97"/>
      <c r="AL46" s="97"/>
      <c r="AM46" s="97"/>
      <c r="AN46" s="97"/>
      <c r="AO46" s="97"/>
      <c r="AP46" s="97"/>
      <c r="AQ46" s="97"/>
      <c r="AR46" s="97"/>
      <c r="AS46" s="97"/>
      <c r="AT46" s="97"/>
      <c r="AU46" s="97"/>
      <c r="AV46" s="97"/>
      <c r="AW46" s="97"/>
      <c r="AX46" s="97"/>
      <c r="AY46" s="97"/>
      <c r="AZ46" s="97"/>
      <c r="BA46" s="97"/>
      <c r="BB46" s="97"/>
      <c r="BC46" s="97"/>
      <c r="BD46" s="97"/>
      <c r="BE46" s="97"/>
      <c r="BF46" s="97"/>
      <c r="BG46" s="97"/>
      <c r="BH46" s="97"/>
      <c r="BI46" s="97"/>
      <c r="BJ46" s="97"/>
      <c r="BK46" s="97"/>
      <c r="BL46" s="97"/>
      <c r="BM46" s="97"/>
      <c r="BN46" s="97"/>
      <c r="BO46" s="97"/>
      <c r="BP46" s="97"/>
      <c r="BQ46" s="97"/>
      <c r="BR46" s="97"/>
      <c r="BS46" s="97"/>
      <c r="BT46" s="97"/>
      <c r="BU46" s="97"/>
      <c r="BV46" s="97"/>
      <c r="BW46" s="97"/>
      <c r="BX46" s="97"/>
      <c r="BY46" s="97"/>
      <c r="BZ46" s="97"/>
      <c r="CA46" s="97"/>
      <c r="CB46" s="97"/>
      <c r="CC46" s="97"/>
      <c r="CD46" s="97"/>
      <c r="CE46" s="97"/>
      <c r="CF46" s="97"/>
      <c r="CG46" s="97"/>
      <c r="CH46" s="97"/>
      <c r="CI46" s="97"/>
      <c r="CJ46" s="97"/>
      <c r="CK46" s="97"/>
      <c r="CL46" s="97"/>
      <c r="CM46" s="97"/>
      <c r="CN46" s="97"/>
      <c r="CO46" s="97"/>
      <c r="CP46" s="97"/>
      <c r="CQ46" s="97"/>
      <c r="CR46" s="97"/>
      <c r="CS46" s="97"/>
      <c r="CT46" s="97"/>
      <c r="CU46" s="97"/>
      <c r="CV46" s="97"/>
      <c r="CW46" s="97"/>
      <c r="CX46" s="97"/>
      <c r="CY46" s="97"/>
      <c r="CZ46" s="97"/>
      <c r="DA46" s="97"/>
      <c r="DB46" s="97"/>
      <c r="DC46" s="97"/>
      <c r="DD46" s="97"/>
      <c r="DE46" s="97"/>
      <c r="DF46" s="97"/>
      <c r="DG46" s="97"/>
      <c r="DH46" s="97"/>
      <c r="DI46" s="97"/>
      <c r="DJ46" s="97"/>
      <c r="DK46" s="97"/>
      <c r="DL46" s="97"/>
      <c r="DM46" s="97"/>
      <c r="DN46" s="97"/>
      <c r="DO46" s="97"/>
      <c r="DP46" s="97"/>
      <c r="DQ46" s="97"/>
      <c r="DR46" s="97"/>
      <c r="DS46" s="97"/>
      <c r="DT46" s="97"/>
      <c r="DU46" s="97"/>
      <c r="DV46" s="97"/>
      <c r="DW46" s="97"/>
      <c r="DX46" s="97"/>
      <c r="DY46" s="97"/>
      <c r="DZ46" s="97"/>
      <c r="EA46" s="97"/>
      <c r="EB46" s="97"/>
      <c r="EC46" s="97"/>
      <c r="ED46" s="97"/>
      <c r="EE46" s="97"/>
      <c r="EF46" s="97"/>
      <c r="EG46" s="97"/>
      <c r="EH46" s="97"/>
      <c r="EI46" s="97"/>
      <c r="EJ46" s="97"/>
      <c r="EK46" s="97"/>
      <c r="EL46" s="97"/>
      <c r="EM46" s="97"/>
      <c r="EN46" s="97"/>
      <c r="EO46" s="97"/>
      <c r="EP46" s="97"/>
      <c r="EQ46" s="97"/>
      <c r="ER46" s="97"/>
      <c r="ES46" s="97"/>
      <c r="ET46" s="97"/>
    </row>
    <row r="47" spans="1:150" ht="15.75" customHeight="1">
      <c r="A47" s="97"/>
      <c r="B47" s="97"/>
      <c r="C47" s="97"/>
      <c r="D47" s="97"/>
      <c r="E47" s="97"/>
      <c r="F47" s="97"/>
      <c r="G47" s="97"/>
      <c r="H47" s="129"/>
      <c r="I47" s="97"/>
      <c r="J47" s="97"/>
      <c r="K47" s="97"/>
      <c r="L47" s="97"/>
      <c r="M47" s="97"/>
      <c r="N47" s="97"/>
      <c r="O47" s="97"/>
      <c r="P47" s="97"/>
      <c r="Q47" s="97"/>
      <c r="R47" s="97"/>
      <c r="S47" s="97"/>
      <c r="T47" s="97"/>
      <c r="U47" s="97"/>
      <c r="V47" s="97"/>
      <c r="W47" s="97"/>
      <c r="X47" s="129"/>
      <c r="Y47" s="97"/>
      <c r="Z47" s="97"/>
      <c r="AA47" s="97"/>
      <c r="AB47" s="97"/>
      <c r="AC47" s="97"/>
      <c r="AD47" s="97"/>
      <c r="AE47" s="97"/>
      <c r="AF47" s="97"/>
      <c r="AG47" s="97"/>
      <c r="AH47" s="97"/>
      <c r="AI47" s="97"/>
      <c r="AJ47" s="97"/>
      <c r="AK47" s="97"/>
      <c r="AL47" s="97"/>
      <c r="AM47" s="97"/>
      <c r="AN47" s="97"/>
      <c r="AO47" s="97"/>
      <c r="AP47" s="97"/>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97"/>
      <c r="BX47" s="97"/>
      <c r="BY47" s="97"/>
      <c r="BZ47" s="97"/>
      <c r="CA47" s="97"/>
      <c r="CB47" s="97"/>
      <c r="CC47" s="97"/>
      <c r="CD47" s="97"/>
      <c r="CE47" s="97"/>
      <c r="CF47" s="97"/>
      <c r="CG47" s="97"/>
      <c r="CH47" s="97"/>
      <c r="CI47" s="97"/>
      <c r="CJ47" s="97"/>
      <c r="CK47" s="97"/>
      <c r="CL47" s="97"/>
      <c r="CM47" s="97"/>
      <c r="CN47" s="97"/>
      <c r="CO47" s="97"/>
      <c r="CP47" s="97"/>
      <c r="CQ47" s="97"/>
      <c r="CR47" s="97"/>
      <c r="CS47" s="97"/>
      <c r="CT47" s="97"/>
      <c r="CU47" s="97"/>
      <c r="CV47" s="97"/>
      <c r="CW47" s="97"/>
      <c r="CX47" s="97"/>
      <c r="CY47" s="97"/>
      <c r="CZ47" s="97"/>
      <c r="DA47" s="97"/>
      <c r="DB47" s="97"/>
      <c r="DC47" s="97"/>
      <c r="DD47" s="97"/>
      <c r="DE47" s="97"/>
      <c r="DF47" s="97"/>
      <c r="DG47" s="97"/>
      <c r="DH47" s="97"/>
      <c r="DI47" s="97"/>
      <c r="DJ47" s="97"/>
      <c r="DK47" s="97"/>
      <c r="DL47" s="97"/>
      <c r="DM47" s="97"/>
      <c r="DN47" s="97"/>
      <c r="DO47" s="97"/>
      <c r="DP47" s="97"/>
      <c r="DQ47" s="97"/>
      <c r="DR47" s="97"/>
      <c r="DS47" s="97"/>
      <c r="DT47" s="97"/>
      <c r="DU47" s="97"/>
      <c r="DV47" s="97"/>
      <c r="DW47" s="97"/>
      <c r="DX47" s="97"/>
      <c r="DY47" s="97"/>
      <c r="DZ47" s="97"/>
      <c r="EA47" s="97"/>
      <c r="EB47" s="97"/>
      <c r="EC47" s="97"/>
      <c r="ED47" s="97"/>
      <c r="EE47" s="97"/>
      <c r="EF47" s="97"/>
      <c r="EG47" s="97"/>
      <c r="EH47" s="97"/>
      <c r="EI47" s="97"/>
      <c r="EJ47" s="97"/>
      <c r="EK47" s="97"/>
      <c r="EL47" s="97"/>
      <c r="EM47" s="97"/>
      <c r="EN47" s="97"/>
      <c r="EO47" s="97"/>
      <c r="EP47" s="97"/>
      <c r="EQ47" s="97"/>
      <c r="ER47" s="97"/>
      <c r="ES47" s="97"/>
      <c r="ET47" s="97"/>
    </row>
    <row r="48" spans="1:150" ht="15.75" customHeight="1">
      <c r="A48" s="97"/>
      <c r="B48" s="97"/>
      <c r="C48" s="97"/>
      <c r="D48" s="97"/>
      <c r="E48" s="97"/>
      <c r="F48" s="97"/>
      <c r="G48" s="97"/>
      <c r="H48" s="129"/>
      <c r="I48" s="97"/>
      <c r="J48" s="97"/>
      <c r="K48" s="97"/>
      <c r="L48" s="97"/>
      <c r="M48" s="97"/>
      <c r="N48" s="97"/>
      <c r="O48" s="97"/>
      <c r="P48" s="97"/>
      <c r="Q48" s="97"/>
      <c r="R48" s="97"/>
      <c r="S48" s="97"/>
      <c r="T48" s="97"/>
      <c r="U48" s="97"/>
      <c r="V48" s="97"/>
      <c r="W48" s="97"/>
      <c r="X48" s="129"/>
      <c r="Y48" s="97"/>
      <c r="Z48" s="97"/>
      <c r="AA48" s="97"/>
      <c r="AB48" s="97"/>
      <c r="AC48" s="97"/>
      <c r="AD48" s="97"/>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97"/>
      <c r="BC48" s="97"/>
      <c r="BD48" s="97"/>
      <c r="BE48" s="97"/>
      <c r="BF48" s="97"/>
      <c r="BG48" s="97"/>
      <c r="BH48" s="97"/>
      <c r="BI48" s="97"/>
      <c r="BJ48" s="97"/>
      <c r="BK48" s="97"/>
      <c r="BL48" s="97"/>
      <c r="BM48" s="97"/>
      <c r="BN48" s="97"/>
      <c r="BO48" s="97"/>
      <c r="BP48" s="97"/>
      <c r="BQ48" s="97"/>
      <c r="BR48" s="97"/>
      <c r="BS48" s="97"/>
      <c r="BT48" s="97"/>
      <c r="BU48" s="97"/>
      <c r="BV48" s="97"/>
      <c r="BW48" s="97"/>
      <c r="BX48" s="97"/>
      <c r="BY48" s="97"/>
      <c r="BZ48" s="97"/>
      <c r="CA48" s="97"/>
      <c r="CB48" s="97"/>
      <c r="CC48" s="97"/>
      <c r="CD48" s="97"/>
      <c r="CE48" s="97"/>
      <c r="CF48" s="97"/>
      <c r="CG48" s="97"/>
      <c r="CH48" s="97"/>
      <c r="CI48" s="97"/>
      <c r="CJ48" s="97"/>
      <c r="CK48" s="97"/>
      <c r="CL48" s="97"/>
      <c r="CM48" s="97"/>
      <c r="CN48" s="97"/>
      <c r="CO48" s="97"/>
      <c r="CP48" s="97"/>
      <c r="CQ48" s="97"/>
      <c r="CR48" s="97"/>
      <c r="CS48" s="97"/>
      <c r="CT48" s="97"/>
      <c r="CU48" s="97"/>
      <c r="CV48" s="97"/>
      <c r="CW48" s="97"/>
      <c r="CX48" s="97"/>
      <c r="CY48" s="97"/>
      <c r="CZ48" s="97"/>
      <c r="DA48" s="97"/>
      <c r="DB48" s="97"/>
      <c r="DC48" s="97"/>
      <c r="DD48" s="97"/>
      <c r="DE48" s="97"/>
      <c r="DF48" s="97"/>
      <c r="DG48" s="97"/>
      <c r="DH48" s="97"/>
      <c r="DI48" s="97"/>
      <c r="DJ48" s="97"/>
      <c r="DK48" s="97"/>
      <c r="DL48" s="97"/>
      <c r="DM48" s="97"/>
      <c r="DN48" s="97"/>
      <c r="DO48" s="97"/>
      <c r="DP48" s="97"/>
      <c r="DQ48" s="97"/>
      <c r="DR48" s="97"/>
      <c r="DS48" s="97"/>
      <c r="DT48" s="97"/>
      <c r="DU48" s="97"/>
      <c r="DV48" s="97"/>
      <c r="DW48" s="97"/>
      <c r="DX48" s="97"/>
      <c r="DY48" s="97"/>
      <c r="DZ48" s="97"/>
      <c r="EA48" s="97"/>
      <c r="EB48" s="97"/>
      <c r="EC48" s="97"/>
      <c r="ED48" s="97"/>
      <c r="EE48" s="97"/>
      <c r="EF48" s="97"/>
      <c r="EG48" s="97"/>
      <c r="EH48" s="97"/>
      <c r="EI48" s="97"/>
      <c r="EJ48" s="97"/>
      <c r="EK48" s="97"/>
      <c r="EL48" s="97"/>
      <c r="EM48" s="97"/>
      <c r="EN48" s="97"/>
      <c r="EO48" s="97"/>
      <c r="EP48" s="97"/>
      <c r="EQ48" s="97"/>
      <c r="ER48" s="97"/>
      <c r="ES48" s="97"/>
      <c r="ET48" s="97"/>
    </row>
    <row r="49" spans="1:150" ht="15.75" customHeight="1">
      <c r="A49" s="97"/>
      <c r="B49" s="97"/>
      <c r="C49" s="97"/>
      <c r="D49" s="97"/>
      <c r="E49" s="97"/>
      <c r="F49" s="97"/>
      <c r="G49" s="97"/>
      <c r="H49" s="129"/>
      <c r="I49" s="97"/>
      <c r="J49" s="97"/>
      <c r="K49" s="97"/>
      <c r="L49" s="97"/>
      <c r="M49" s="97"/>
      <c r="N49" s="97"/>
      <c r="O49" s="97"/>
      <c r="P49" s="97"/>
      <c r="Q49" s="97"/>
      <c r="R49" s="97"/>
      <c r="S49" s="97"/>
      <c r="T49" s="97"/>
      <c r="U49" s="97"/>
      <c r="V49" s="97"/>
      <c r="W49" s="97"/>
      <c r="X49" s="129"/>
      <c r="Y49" s="97"/>
      <c r="Z49" s="97"/>
      <c r="AA49" s="97"/>
      <c r="AB49" s="97"/>
      <c r="AC49" s="97"/>
      <c r="AD49" s="97"/>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97"/>
      <c r="BX49" s="97"/>
      <c r="BY49" s="97"/>
      <c r="BZ49" s="97"/>
      <c r="CA49" s="97"/>
      <c r="CB49" s="97"/>
      <c r="CC49" s="97"/>
      <c r="CD49" s="97"/>
      <c r="CE49" s="97"/>
      <c r="CF49" s="97"/>
      <c r="CG49" s="97"/>
      <c r="CH49" s="97"/>
      <c r="CI49" s="97"/>
      <c r="CJ49" s="97"/>
      <c r="CK49" s="97"/>
      <c r="CL49" s="97"/>
      <c r="CM49" s="97"/>
      <c r="CN49" s="97"/>
      <c r="CO49" s="97"/>
      <c r="CP49" s="97"/>
      <c r="CQ49" s="97"/>
      <c r="CR49" s="97"/>
      <c r="CS49" s="97"/>
      <c r="CT49" s="97"/>
      <c r="CU49" s="97"/>
      <c r="CV49" s="97"/>
      <c r="CW49" s="97"/>
      <c r="CX49" s="97"/>
      <c r="CY49" s="97"/>
      <c r="CZ49" s="97"/>
      <c r="DA49" s="97"/>
      <c r="DB49" s="97"/>
      <c r="DC49" s="97"/>
      <c r="DD49" s="97"/>
      <c r="DE49" s="97"/>
      <c r="DF49" s="97"/>
      <c r="DG49" s="97"/>
      <c r="DH49" s="97"/>
      <c r="DI49" s="97"/>
      <c r="DJ49" s="97"/>
      <c r="DK49" s="97"/>
      <c r="DL49" s="97"/>
      <c r="DM49" s="97"/>
      <c r="DN49" s="97"/>
      <c r="DO49" s="97"/>
      <c r="DP49" s="97"/>
      <c r="DQ49" s="97"/>
      <c r="DR49" s="97"/>
      <c r="DS49" s="97"/>
      <c r="DT49" s="97"/>
      <c r="DU49" s="97"/>
      <c r="DV49" s="97"/>
      <c r="DW49" s="97"/>
      <c r="DX49" s="97"/>
      <c r="DY49" s="97"/>
      <c r="DZ49" s="97"/>
      <c r="EA49" s="97"/>
      <c r="EB49" s="97"/>
      <c r="EC49" s="97"/>
      <c r="ED49" s="97"/>
      <c r="EE49" s="97"/>
      <c r="EF49" s="97"/>
      <c r="EG49" s="97"/>
      <c r="EH49" s="97"/>
      <c r="EI49" s="97"/>
      <c r="EJ49" s="97"/>
      <c r="EK49" s="97"/>
      <c r="EL49" s="97"/>
      <c r="EM49" s="97"/>
      <c r="EN49" s="97"/>
      <c r="EO49" s="97"/>
      <c r="EP49" s="97"/>
      <c r="EQ49" s="97"/>
      <c r="ER49" s="97"/>
      <c r="ES49" s="97"/>
      <c r="ET49" s="97"/>
    </row>
    <row r="50" spans="1:150" ht="15.75" customHeight="1">
      <c r="A50" s="97"/>
      <c r="B50" s="97"/>
      <c r="C50" s="97"/>
      <c r="D50" s="97"/>
      <c r="E50" s="97"/>
      <c r="F50" s="97"/>
      <c r="G50" s="97"/>
      <c r="H50" s="129"/>
      <c r="I50" s="97"/>
      <c r="J50" s="97"/>
      <c r="K50" s="97"/>
      <c r="L50" s="97"/>
      <c r="M50" s="97"/>
      <c r="N50" s="97"/>
      <c r="O50" s="97"/>
      <c r="P50" s="97"/>
      <c r="Q50" s="97"/>
      <c r="R50" s="97"/>
      <c r="S50" s="97"/>
      <c r="T50" s="97"/>
      <c r="U50" s="97"/>
      <c r="V50" s="97"/>
      <c r="W50" s="97"/>
      <c r="X50" s="129"/>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97"/>
      <c r="BX50" s="97"/>
      <c r="BY50" s="97"/>
      <c r="BZ50" s="97"/>
      <c r="CA50" s="97"/>
      <c r="CB50" s="97"/>
      <c r="CC50" s="97"/>
      <c r="CD50" s="97"/>
      <c r="CE50" s="97"/>
      <c r="CF50" s="97"/>
      <c r="CG50" s="97"/>
      <c r="CH50" s="97"/>
      <c r="CI50" s="97"/>
      <c r="CJ50" s="97"/>
      <c r="CK50" s="97"/>
      <c r="CL50" s="97"/>
      <c r="CM50" s="97"/>
      <c r="CN50" s="97"/>
      <c r="CO50" s="97"/>
      <c r="CP50" s="97"/>
      <c r="CQ50" s="97"/>
      <c r="CR50" s="97"/>
      <c r="CS50" s="97"/>
      <c r="CT50" s="97"/>
      <c r="CU50" s="97"/>
      <c r="CV50" s="97"/>
      <c r="CW50" s="97"/>
      <c r="CX50" s="97"/>
      <c r="CY50" s="97"/>
      <c r="CZ50" s="97"/>
      <c r="DA50" s="97"/>
      <c r="DB50" s="97"/>
      <c r="DC50" s="97"/>
      <c r="DD50" s="97"/>
      <c r="DE50" s="97"/>
      <c r="DF50" s="97"/>
      <c r="DG50" s="97"/>
      <c r="DH50" s="97"/>
      <c r="DI50" s="97"/>
      <c r="DJ50" s="97"/>
      <c r="DK50" s="97"/>
      <c r="DL50" s="97"/>
      <c r="DM50" s="97"/>
      <c r="DN50" s="97"/>
      <c r="DO50" s="97"/>
      <c r="DP50" s="97"/>
      <c r="DQ50" s="97"/>
      <c r="DR50" s="97"/>
      <c r="DS50" s="97"/>
      <c r="DT50" s="97"/>
      <c r="DU50" s="97"/>
      <c r="DV50" s="97"/>
      <c r="DW50" s="97"/>
      <c r="DX50" s="97"/>
      <c r="DY50" s="97"/>
      <c r="DZ50" s="97"/>
      <c r="EA50" s="97"/>
      <c r="EB50" s="97"/>
      <c r="EC50" s="97"/>
      <c r="ED50" s="97"/>
      <c r="EE50" s="97"/>
      <c r="EF50" s="97"/>
      <c r="EG50" s="97"/>
      <c r="EH50" s="97"/>
      <c r="EI50" s="97"/>
      <c r="EJ50" s="97"/>
      <c r="EK50" s="97"/>
      <c r="EL50" s="97"/>
      <c r="EM50" s="97"/>
      <c r="EN50" s="97"/>
      <c r="EO50" s="97"/>
      <c r="EP50" s="97"/>
      <c r="EQ50" s="97"/>
      <c r="ER50" s="97"/>
      <c r="ES50" s="97"/>
      <c r="ET50" s="97"/>
    </row>
    <row r="51" spans="1:150" ht="15.75" customHeight="1">
      <c r="A51" s="97"/>
      <c r="B51" s="97"/>
      <c r="C51" s="97"/>
      <c r="D51" s="97"/>
      <c r="E51" s="97"/>
      <c r="F51" s="97"/>
      <c r="G51" s="97"/>
      <c r="H51" s="129"/>
      <c r="I51" s="97"/>
      <c r="J51" s="97"/>
      <c r="K51" s="97"/>
      <c r="L51" s="97"/>
      <c r="M51" s="97"/>
      <c r="N51" s="97"/>
      <c r="O51" s="97"/>
      <c r="P51" s="97"/>
      <c r="Q51" s="97"/>
      <c r="R51" s="97"/>
      <c r="S51" s="97"/>
      <c r="T51" s="97"/>
      <c r="U51" s="97"/>
      <c r="V51" s="97"/>
      <c r="W51" s="97"/>
      <c r="X51" s="129"/>
      <c r="Y51" s="97"/>
      <c r="Z51" s="97"/>
      <c r="AA51" s="97"/>
      <c r="AB51" s="97"/>
      <c r="AC51" s="97"/>
      <c r="AD51" s="97"/>
      <c r="AE51" s="97"/>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97"/>
      <c r="BX51" s="97"/>
      <c r="BY51" s="97"/>
      <c r="BZ51" s="97"/>
      <c r="CA51" s="97"/>
      <c r="CB51" s="97"/>
      <c r="CC51" s="97"/>
      <c r="CD51" s="97"/>
      <c r="CE51" s="97"/>
      <c r="CF51" s="97"/>
      <c r="CG51" s="97"/>
      <c r="CH51" s="97"/>
      <c r="CI51" s="97"/>
      <c r="CJ51" s="97"/>
      <c r="CK51" s="97"/>
      <c r="CL51" s="97"/>
      <c r="CM51" s="97"/>
      <c r="CN51" s="97"/>
      <c r="CO51" s="97"/>
      <c r="CP51" s="97"/>
      <c r="CQ51" s="97"/>
      <c r="CR51" s="97"/>
      <c r="CS51" s="97"/>
      <c r="CT51" s="97"/>
      <c r="CU51" s="97"/>
      <c r="CV51" s="97"/>
      <c r="CW51" s="97"/>
      <c r="CX51" s="97"/>
      <c r="CY51" s="97"/>
      <c r="CZ51" s="97"/>
      <c r="DA51" s="97"/>
      <c r="DB51" s="97"/>
      <c r="DC51" s="97"/>
      <c r="DD51" s="97"/>
      <c r="DE51" s="97"/>
      <c r="DF51" s="97"/>
      <c r="DG51" s="97"/>
      <c r="DH51" s="97"/>
      <c r="DI51" s="97"/>
      <c r="DJ51" s="97"/>
      <c r="DK51" s="97"/>
      <c r="DL51" s="97"/>
      <c r="DM51" s="97"/>
      <c r="DN51" s="97"/>
      <c r="DO51" s="97"/>
      <c r="DP51" s="97"/>
      <c r="DQ51" s="97"/>
      <c r="DR51" s="97"/>
      <c r="DS51" s="97"/>
      <c r="DT51" s="97"/>
      <c r="DU51" s="97"/>
      <c r="DV51" s="97"/>
      <c r="DW51" s="97"/>
      <c r="DX51" s="97"/>
      <c r="DY51" s="97"/>
      <c r="DZ51" s="97"/>
      <c r="EA51" s="97"/>
      <c r="EB51" s="97"/>
      <c r="EC51" s="97"/>
      <c r="ED51" s="97"/>
      <c r="EE51" s="97"/>
      <c r="EF51" s="97"/>
      <c r="EG51" s="97"/>
      <c r="EH51" s="97"/>
      <c r="EI51" s="97"/>
      <c r="EJ51" s="97"/>
      <c r="EK51" s="97"/>
      <c r="EL51" s="97"/>
      <c r="EM51" s="97"/>
      <c r="EN51" s="97"/>
      <c r="EO51" s="97"/>
      <c r="EP51" s="97"/>
      <c r="EQ51" s="97"/>
      <c r="ER51" s="97"/>
      <c r="ES51" s="97"/>
      <c r="ET51" s="97"/>
    </row>
    <row r="52" spans="1:150" ht="15.75" customHeight="1">
      <c r="A52" s="97"/>
      <c r="B52" s="97"/>
      <c r="C52" s="97"/>
      <c r="D52" s="97"/>
      <c r="E52" s="97"/>
      <c r="F52" s="97"/>
      <c r="G52" s="97"/>
      <c r="H52" s="129"/>
      <c r="I52" s="97"/>
      <c r="J52" s="97"/>
      <c r="K52" s="97"/>
      <c r="L52" s="97"/>
      <c r="M52" s="97"/>
      <c r="N52" s="97"/>
      <c r="O52" s="97"/>
      <c r="P52" s="97"/>
      <c r="Q52" s="97"/>
      <c r="R52" s="97"/>
      <c r="S52" s="97"/>
      <c r="T52" s="97"/>
      <c r="U52" s="97"/>
      <c r="V52" s="97"/>
      <c r="W52" s="97"/>
      <c r="X52" s="129"/>
      <c r="Y52" s="97"/>
      <c r="Z52" s="97"/>
      <c r="AA52" s="97"/>
      <c r="AB52" s="97"/>
      <c r="AC52" s="97"/>
      <c r="AD52" s="97"/>
      <c r="AE52" s="97"/>
      <c r="AF52" s="97"/>
      <c r="AG52" s="97"/>
      <c r="AH52" s="97"/>
      <c r="AI52" s="97"/>
      <c r="AJ52" s="97"/>
      <c r="AK52" s="97"/>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97"/>
      <c r="BX52" s="97"/>
      <c r="BY52" s="97"/>
      <c r="BZ52" s="97"/>
      <c r="CA52" s="97"/>
      <c r="CB52" s="97"/>
      <c r="CC52" s="97"/>
      <c r="CD52" s="97"/>
      <c r="CE52" s="97"/>
      <c r="CF52" s="97"/>
      <c r="CG52" s="97"/>
      <c r="CH52" s="97"/>
      <c r="CI52" s="97"/>
      <c r="CJ52" s="97"/>
      <c r="CK52" s="97"/>
      <c r="CL52" s="97"/>
      <c r="CM52" s="97"/>
      <c r="CN52" s="97"/>
      <c r="CO52" s="97"/>
      <c r="CP52" s="97"/>
      <c r="CQ52" s="97"/>
      <c r="CR52" s="97"/>
      <c r="CS52" s="97"/>
      <c r="CT52" s="97"/>
      <c r="CU52" s="97"/>
      <c r="CV52" s="97"/>
      <c r="CW52" s="97"/>
      <c r="CX52" s="97"/>
      <c r="CY52" s="97"/>
      <c r="CZ52" s="97"/>
      <c r="DA52" s="97"/>
      <c r="DB52" s="97"/>
      <c r="DC52" s="97"/>
      <c r="DD52" s="97"/>
      <c r="DE52" s="97"/>
      <c r="DF52" s="97"/>
      <c r="DG52" s="97"/>
      <c r="DH52" s="97"/>
      <c r="DI52" s="97"/>
      <c r="DJ52" s="97"/>
      <c r="DK52" s="97"/>
      <c r="DL52" s="97"/>
      <c r="DM52" s="97"/>
      <c r="DN52" s="97"/>
      <c r="DO52" s="97"/>
      <c r="DP52" s="97"/>
      <c r="DQ52" s="97"/>
      <c r="DR52" s="97"/>
      <c r="DS52" s="97"/>
      <c r="DT52" s="97"/>
      <c r="DU52" s="97"/>
      <c r="DV52" s="97"/>
      <c r="DW52" s="97"/>
      <c r="DX52" s="97"/>
      <c r="DY52" s="97"/>
      <c r="DZ52" s="97"/>
      <c r="EA52" s="97"/>
      <c r="EB52" s="97"/>
      <c r="EC52" s="97"/>
      <c r="ED52" s="97"/>
      <c r="EE52" s="97"/>
      <c r="EF52" s="97"/>
      <c r="EG52" s="97"/>
      <c r="EH52" s="97"/>
      <c r="EI52" s="97"/>
      <c r="EJ52" s="97"/>
      <c r="EK52" s="97"/>
      <c r="EL52" s="97"/>
      <c r="EM52" s="97"/>
      <c r="EN52" s="97"/>
      <c r="EO52" s="97"/>
      <c r="EP52" s="97"/>
      <c r="EQ52" s="97"/>
      <c r="ER52" s="97"/>
      <c r="ES52" s="97"/>
      <c r="ET52" s="97"/>
    </row>
    <row r="53" spans="1:150" ht="15.75" customHeight="1">
      <c r="A53" s="97"/>
      <c r="B53" s="97"/>
      <c r="C53" s="97"/>
      <c r="D53" s="97"/>
      <c r="E53" s="97"/>
      <c r="F53" s="97"/>
      <c r="G53" s="97"/>
      <c r="H53" s="129"/>
      <c r="I53" s="97"/>
      <c r="J53" s="97"/>
      <c r="K53" s="97"/>
      <c r="L53" s="97"/>
      <c r="M53" s="97"/>
      <c r="N53" s="97"/>
      <c r="O53" s="97"/>
      <c r="P53" s="97"/>
      <c r="Q53" s="97"/>
      <c r="R53" s="97"/>
      <c r="S53" s="97"/>
      <c r="T53" s="97"/>
      <c r="U53" s="97"/>
      <c r="V53" s="97"/>
      <c r="W53" s="97"/>
      <c r="X53" s="129"/>
      <c r="Y53" s="97"/>
      <c r="Z53" s="97"/>
      <c r="AA53" s="97"/>
      <c r="AB53" s="97"/>
      <c r="AC53" s="97"/>
      <c r="AD53" s="97"/>
      <c r="AE53" s="97"/>
      <c r="AF53" s="97"/>
      <c r="AG53" s="97"/>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97"/>
      <c r="BH53" s="97"/>
      <c r="BI53" s="97"/>
      <c r="BJ53" s="97"/>
      <c r="BK53" s="97"/>
      <c r="BL53" s="97"/>
      <c r="BM53" s="97"/>
      <c r="BN53" s="97"/>
      <c r="BO53" s="97"/>
      <c r="BP53" s="97"/>
      <c r="BQ53" s="97"/>
      <c r="BR53" s="97"/>
      <c r="BS53" s="97"/>
      <c r="BT53" s="97"/>
      <c r="BU53" s="97"/>
      <c r="BV53" s="97"/>
      <c r="BW53" s="97"/>
      <c r="BX53" s="97"/>
      <c r="BY53" s="97"/>
      <c r="BZ53" s="97"/>
      <c r="CA53" s="97"/>
      <c r="CB53" s="97"/>
      <c r="CC53" s="97"/>
      <c r="CD53" s="97"/>
      <c r="CE53" s="97"/>
      <c r="CF53" s="97"/>
      <c r="CG53" s="97"/>
      <c r="CH53" s="97"/>
      <c r="CI53" s="97"/>
      <c r="CJ53" s="97"/>
      <c r="CK53" s="97"/>
      <c r="CL53" s="97"/>
      <c r="CM53" s="97"/>
      <c r="CN53" s="97"/>
      <c r="CO53" s="97"/>
      <c r="CP53" s="97"/>
      <c r="CQ53" s="97"/>
      <c r="CR53" s="97"/>
      <c r="CS53" s="97"/>
      <c r="CT53" s="97"/>
      <c r="CU53" s="97"/>
      <c r="CV53" s="97"/>
      <c r="CW53" s="97"/>
      <c r="CX53" s="97"/>
      <c r="CY53" s="97"/>
      <c r="CZ53" s="97"/>
      <c r="DA53" s="97"/>
      <c r="DB53" s="97"/>
      <c r="DC53" s="97"/>
      <c r="DD53" s="97"/>
      <c r="DE53" s="97"/>
      <c r="DF53" s="97"/>
      <c r="DG53" s="97"/>
      <c r="DH53" s="97"/>
      <c r="DI53" s="97"/>
      <c r="DJ53" s="97"/>
      <c r="DK53" s="97"/>
      <c r="DL53" s="97"/>
      <c r="DM53" s="97"/>
      <c r="DN53" s="97"/>
      <c r="DO53" s="97"/>
      <c r="DP53" s="97"/>
      <c r="DQ53" s="97"/>
      <c r="DR53" s="97"/>
      <c r="DS53" s="97"/>
      <c r="DT53" s="97"/>
      <c r="DU53" s="97"/>
      <c r="DV53" s="97"/>
      <c r="DW53" s="97"/>
      <c r="DX53" s="97"/>
      <c r="DY53" s="97"/>
      <c r="DZ53" s="97"/>
      <c r="EA53" s="97"/>
      <c r="EB53" s="97"/>
      <c r="EC53" s="97"/>
      <c r="ED53" s="97"/>
      <c r="EE53" s="97"/>
      <c r="EF53" s="97"/>
      <c r="EG53" s="97"/>
      <c r="EH53" s="97"/>
      <c r="EI53" s="97"/>
      <c r="EJ53" s="97"/>
      <c r="EK53" s="97"/>
      <c r="EL53" s="97"/>
      <c r="EM53" s="97"/>
      <c r="EN53" s="97"/>
      <c r="EO53" s="97"/>
      <c r="EP53" s="97"/>
      <c r="EQ53" s="97"/>
      <c r="ER53" s="97"/>
      <c r="ES53" s="97"/>
      <c r="ET53" s="97"/>
    </row>
    <row r="54" spans="1:150" ht="15.75" customHeight="1">
      <c r="A54" s="97"/>
      <c r="B54" s="97"/>
      <c r="C54" s="97"/>
      <c r="D54" s="97"/>
      <c r="E54" s="97"/>
      <c r="F54" s="97"/>
      <c r="G54" s="97"/>
      <c r="H54" s="129"/>
      <c r="I54" s="97"/>
      <c r="J54" s="97"/>
      <c r="K54" s="97"/>
      <c r="L54" s="97"/>
      <c r="M54" s="97"/>
      <c r="N54" s="97"/>
      <c r="O54" s="97"/>
      <c r="P54" s="97"/>
      <c r="Q54" s="97"/>
      <c r="R54" s="97"/>
      <c r="S54" s="97"/>
      <c r="T54" s="97"/>
      <c r="U54" s="97"/>
      <c r="V54" s="97"/>
      <c r="W54" s="97"/>
      <c r="X54" s="129"/>
      <c r="Y54" s="97"/>
      <c r="Z54" s="97"/>
      <c r="AA54" s="97"/>
      <c r="AB54" s="97"/>
      <c r="AC54" s="97"/>
      <c r="AD54" s="97"/>
      <c r="AE54" s="97"/>
      <c r="AF54" s="97"/>
      <c r="AG54" s="97"/>
      <c r="AH54" s="97"/>
      <c r="AI54" s="97"/>
      <c r="AJ54" s="97"/>
      <c r="AK54" s="97"/>
      <c r="AL54" s="97"/>
      <c r="AM54" s="97"/>
      <c r="AN54" s="97"/>
      <c r="AO54" s="97"/>
      <c r="AP54" s="97"/>
      <c r="AQ54" s="97"/>
      <c r="AR54" s="97"/>
      <c r="AS54" s="97"/>
      <c r="AT54" s="97"/>
      <c r="AU54" s="97"/>
      <c r="AV54" s="97"/>
      <c r="AW54" s="97"/>
      <c r="AX54" s="97"/>
      <c r="AY54" s="97"/>
      <c r="AZ54" s="97"/>
      <c r="BA54" s="97"/>
      <c r="BB54" s="97"/>
      <c r="BC54" s="97"/>
      <c r="BD54" s="97"/>
      <c r="BE54" s="97"/>
      <c r="BF54" s="97"/>
      <c r="BG54" s="97"/>
      <c r="BH54" s="97"/>
      <c r="BI54" s="97"/>
      <c r="BJ54" s="97"/>
      <c r="BK54" s="97"/>
      <c r="BL54" s="97"/>
      <c r="BM54" s="97"/>
      <c r="BN54" s="97"/>
      <c r="BO54" s="97"/>
      <c r="BP54" s="97"/>
      <c r="BQ54" s="97"/>
      <c r="BR54" s="97"/>
      <c r="BS54" s="97"/>
      <c r="BT54" s="97"/>
      <c r="BU54" s="97"/>
      <c r="BV54" s="97"/>
      <c r="BW54" s="97"/>
      <c r="BX54" s="97"/>
      <c r="BY54" s="97"/>
      <c r="BZ54" s="97"/>
      <c r="CA54" s="97"/>
      <c r="CB54" s="97"/>
      <c r="CC54" s="97"/>
      <c r="CD54" s="97"/>
      <c r="CE54" s="97"/>
      <c r="CF54" s="97"/>
      <c r="CG54" s="97"/>
      <c r="CH54" s="97"/>
      <c r="CI54" s="97"/>
      <c r="CJ54" s="97"/>
      <c r="CK54" s="97"/>
      <c r="CL54" s="97"/>
      <c r="CM54" s="97"/>
      <c r="CN54" s="97"/>
      <c r="CO54" s="97"/>
      <c r="CP54" s="97"/>
      <c r="CQ54" s="97"/>
      <c r="CR54" s="97"/>
      <c r="CS54" s="97"/>
      <c r="CT54" s="97"/>
      <c r="CU54" s="97"/>
      <c r="CV54" s="97"/>
      <c r="CW54" s="97"/>
      <c r="CX54" s="97"/>
      <c r="CY54" s="97"/>
      <c r="CZ54" s="97"/>
      <c r="DA54" s="97"/>
      <c r="DB54" s="97"/>
      <c r="DC54" s="97"/>
      <c r="DD54" s="97"/>
      <c r="DE54" s="97"/>
      <c r="DF54" s="97"/>
      <c r="DG54" s="97"/>
      <c r="DH54" s="97"/>
      <c r="DI54" s="97"/>
      <c r="DJ54" s="97"/>
      <c r="DK54" s="97"/>
      <c r="DL54" s="97"/>
      <c r="DM54" s="97"/>
      <c r="DN54" s="97"/>
      <c r="DO54" s="97"/>
      <c r="DP54" s="97"/>
      <c r="DQ54" s="97"/>
      <c r="DR54" s="97"/>
      <c r="DS54" s="97"/>
      <c r="DT54" s="97"/>
      <c r="DU54" s="97"/>
      <c r="DV54" s="97"/>
      <c r="DW54" s="97"/>
      <c r="DX54" s="97"/>
      <c r="DY54" s="97"/>
      <c r="DZ54" s="97"/>
      <c r="EA54" s="97"/>
      <c r="EB54" s="97"/>
      <c r="EC54" s="97"/>
      <c r="ED54" s="97"/>
      <c r="EE54" s="97"/>
      <c r="EF54" s="97"/>
      <c r="EG54" s="97"/>
      <c r="EH54" s="97"/>
      <c r="EI54" s="97"/>
      <c r="EJ54" s="97"/>
      <c r="EK54" s="97"/>
      <c r="EL54" s="97"/>
      <c r="EM54" s="97"/>
      <c r="EN54" s="97"/>
      <c r="EO54" s="97"/>
      <c r="EP54" s="97"/>
      <c r="EQ54" s="97"/>
      <c r="ER54" s="97"/>
      <c r="ES54" s="97"/>
      <c r="ET54" s="97"/>
    </row>
    <row r="55" spans="1:150" ht="15.75" customHeight="1">
      <c r="A55" s="97"/>
      <c r="B55" s="97"/>
      <c r="C55" s="97"/>
      <c r="D55" s="97"/>
      <c r="E55" s="97"/>
      <c r="F55" s="97"/>
      <c r="G55" s="97"/>
      <c r="H55" s="129"/>
      <c r="I55" s="97"/>
      <c r="J55" s="97"/>
      <c r="K55" s="97"/>
      <c r="L55" s="97"/>
      <c r="M55" s="97"/>
      <c r="N55" s="97"/>
      <c r="O55" s="97"/>
      <c r="P55" s="97"/>
      <c r="Q55" s="97"/>
      <c r="R55" s="97"/>
      <c r="S55" s="97"/>
      <c r="T55" s="97"/>
      <c r="U55" s="97"/>
      <c r="V55" s="97"/>
      <c r="W55" s="97"/>
      <c r="X55" s="129"/>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97"/>
      <c r="BD55" s="97"/>
      <c r="BE55" s="97"/>
      <c r="BF55" s="97"/>
      <c r="BG55" s="97"/>
      <c r="BH55" s="97"/>
      <c r="BI55" s="97"/>
      <c r="BJ55" s="97"/>
      <c r="BK55" s="97"/>
      <c r="BL55" s="97"/>
      <c r="BM55" s="97"/>
      <c r="BN55" s="97"/>
      <c r="BO55" s="97"/>
      <c r="BP55" s="97"/>
      <c r="BQ55" s="97"/>
      <c r="BR55" s="97"/>
      <c r="BS55" s="97"/>
      <c r="BT55" s="97"/>
      <c r="BU55" s="97"/>
      <c r="BV55" s="97"/>
      <c r="BW55" s="97"/>
      <c r="BX55" s="97"/>
      <c r="BY55" s="97"/>
      <c r="BZ55" s="97"/>
      <c r="CA55" s="97"/>
      <c r="CB55" s="97"/>
      <c r="CC55" s="97"/>
      <c r="CD55" s="97"/>
      <c r="CE55" s="97"/>
      <c r="CF55" s="97"/>
      <c r="CG55" s="97"/>
      <c r="CH55" s="97"/>
      <c r="CI55" s="97"/>
      <c r="CJ55" s="97"/>
      <c r="CK55" s="97"/>
      <c r="CL55" s="97"/>
      <c r="CM55" s="97"/>
      <c r="CN55" s="97"/>
      <c r="CO55" s="97"/>
      <c r="CP55" s="97"/>
      <c r="CQ55" s="97"/>
      <c r="CR55" s="97"/>
      <c r="CS55" s="97"/>
      <c r="CT55" s="97"/>
      <c r="CU55" s="97"/>
      <c r="CV55" s="97"/>
      <c r="CW55" s="97"/>
      <c r="CX55" s="97"/>
      <c r="CY55" s="97"/>
      <c r="CZ55" s="97"/>
      <c r="DA55" s="97"/>
      <c r="DB55" s="97"/>
      <c r="DC55" s="97"/>
      <c r="DD55" s="97"/>
      <c r="DE55" s="97"/>
      <c r="DF55" s="97"/>
      <c r="DG55" s="97"/>
      <c r="DH55" s="97"/>
      <c r="DI55" s="97"/>
      <c r="DJ55" s="97"/>
      <c r="DK55" s="97"/>
      <c r="DL55" s="97"/>
      <c r="DM55" s="97"/>
      <c r="DN55" s="97"/>
      <c r="DO55" s="97"/>
      <c r="DP55" s="97"/>
      <c r="DQ55" s="97"/>
      <c r="DR55" s="97"/>
      <c r="DS55" s="97"/>
      <c r="DT55" s="97"/>
      <c r="DU55" s="97"/>
      <c r="DV55" s="97"/>
      <c r="DW55" s="97"/>
      <c r="DX55" s="97"/>
      <c r="DY55" s="97"/>
      <c r="DZ55" s="97"/>
      <c r="EA55" s="97"/>
      <c r="EB55" s="97"/>
      <c r="EC55" s="97"/>
      <c r="ED55" s="97"/>
      <c r="EE55" s="97"/>
      <c r="EF55" s="97"/>
      <c r="EG55" s="97"/>
      <c r="EH55" s="97"/>
      <c r="EI55" s="97"/>
      <c r="EJ55" s="97"/>
      <c r="EK55" s="97"/>
      <c r="EL55" s="97"/>
      <c r="EM55" s="97"/>
      <c r="EN55" s="97"/>
      <c r="EO55" s="97"/>
      <c r="EP55" s="97"/>
      <c r="EQ55" s="97"/>
      <c r="ER55" s="97"/>
      <c r="ES55" s="97"/>
      <c r="ET55" s="97"/>
    </row>
    <row r="56" spans="1:150" ht="15.75" customHeight="1">
      <c r="A56" s="97"/>
      <c r="B56" s="97"/>
      <c r="C56" s="97"/>
      <c r="D56" s="97"/>
      <c r="E56" s="97"/>
      <c r="F56" s="97"/>
      <c r="G56" s="97"/>
      <c r="H56" s="129"/>
      <c r="I56" s="97"/>
      <c r="J56" s="97"/>
      <c r="K56" s="97"/>
      <c r="L56" s="97"/>
      <c r="M56" s="97"/>
      <c r="N56" s="97"/>
      <c r="O56" s="97"/>
      <c r="P56" s="97"/>
      <c r="Q56" s="97"/>
      <c r="R56" s="97"/>
      <c r="S56" s="97"/>
      <c r="T56" s="97"/>
      <c r="U56" s="97"/>
      <c r="V56" s="97"/>
      <c r="W56" s="97"/>
      <c r="X56" s="129"/>
      <c r="Y56" s="97"/>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97"/>
      <c r="BX56" s="97"/>
      <c r="BY56" s="97"/>
      <c r="BZ56" s="97"/>
      <c r="CA56" s="97"/>
      <c r="CB56" s="97"/>
      <c r="CC56" s="97"/>
      <c r="CD56" s="97"/>
      <c r="CE56" s="97"/>
      <c r="CF56" s="97"/>
      <c r="CG56" s="97"/>
      <c r="CH56" s="97"/>
      <c r="CI56" s="97"/>
      <c r="CJ56" s="97"/>
      <c r="CK56" s="97"/>
      <c r="CL56" s="97"/>
      <c r="CM56" s="97"/>
      <c r="CN56" s="97"/>
      <c r="CO56" s="97"/>
      <c r="CP56" s="97"/>
      <c r="CQ56" s="97"/>
      <c r="CR56" s="97"/>
      <c r="CS56" s="97"/>
      <c r="CT56" s="97"/>
      <c r="CU56" s="97"/>
      <c r="CV56" s="97"/>
      <c r="CW56" s="97"/>
      <c r="CX56" s="97"/>
      <c r="CY56" s="97"/>
      <c r="CZ56" s="97"/>
      <c r="DA56" s="97"/>
      <c r="DB56" s="97"/>
      <c r="DC56" s="97"/>
      <c r="DD56" s="97"/>
      <c r="DE56" s="97"/>
      <c r="DF56" s="97"/>
      <c r="DG56" s="97"/>
      <c r="DH56" s="97"/>
      <c r="DI56" s="97"/>
      <c r="DJ56" s="97"/>
      <c r="DK56" s="97"/>
      <c r="DL56" s="97"/>
      <c r="DM56" s="97"/>
      <c r="DN56" s="97"/>
      <c r="DO56" s="97"/>
      <c r="DP56" s="97"/>
      <c r="DQ56" s="97"/>
      <c r="DR56" s="97"/>
      <c r="DS56" s="97"/>
      <c r="DT56" s="97"/>
      <c r="DU56" s="97"/>
      <c r="DV56" s="97"/>
      <c r="DW56" s="97"/>
      <c r="DX56" s="97"/>
      <c r="DY56" s="97"/>
      <c r="DZ56" s="97"/>
      <c r="EA56" s="97"/>
      <c r="EB56" s="97"/>
      <c r="EC56" s="97"/>
      <c r="ED56" s="97"/>
      <c r="EE56" s="97"/>
      <c r="EF56" s="97"/>
      <c r="EG56" s="97"/>
      <c r="EH56" s="97"/>
      <c r="EI56" s="97"/>
      <c r="EJ56" s="97"/>
      <c r="EK56" s="97"/>
      <c r="EL56" s="97"/>
      <c r="EM56" s="97"/>
      <c r="EN56" s="97"/>
      <c r="EO56" s="97"/>
      <c r="EP56" s="97"/>
      <c r="EQ56" s="97"/>
      <c r="ER56" s="97"/>
      <c r="ES56" s="97"/>
      <c r="ET56" s="97"/>
    </row>
    <row r="57" spans="1:150" ht="15.75" customHeight="1">
      <c r="A57" s="97"/>
      <c r="B57" s="97"/>
      <c r="C57" s="97"/>
      <c r="D57" s="97"/>
      <c r="E57" s="97"/>
      <c r="F57" s="97"/>
      <c r="G57" s="97"/>
      <c r="H57" s="129"/>
      <c r="I57" s="97"/>
      <c r="J57" s="97"/>
      <c r="K57" s="97"/>
      <c r="L57" s="97"/>
      <c r="M57" s="97"/>
      <c r="N57" s="97"/>
      <c r="O57" s="97"/>
      <c r="P57" s="97"/>
      <c r="Q57" s="97"/>
      <c r="R57" s="97"/>
      <c r="S57" s="97"/>
      <c r="T57" s="97"/>
      <c r="U57" s="97"/>
      <c r="V57" s="97"/>
      <c r="W57" s="97"/>
      <c r="X57" s="129"/>
      <c r="Y57" s="97"/>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97"/>
      <c r="BX57" s="97"/>
      <c r="BY57" s="97"/>
      <c r="BZ57" s="97"/>
      <c r="CA57" s="97"/>
      <c r="CB57" s="97"/>
      <c r="CC57" s="97"/>
      <c r="CD57" s="97"/>
      <c r="CE57" s="97"/>
      <c r="CF57" s="97"/>
      <c r="CG57" s="97"/>
      <c r="CH57" s="97"/>
      <c r="CI57" s="97"/>
      <c r="CJ57" s="97"/>
      <c r="CK57" s="97"/>
      <c r="CL57" s="97"/>
      <c r="CM57" s="97"/>
      <c r="CN57" s="97"/>
      <c r="CO57" s="97"/>
      <c r="CP57" s="97"/>
      <c r="CQ57" s="97"/>
      <c r="CR57" s="97"/>
      <c r="CS57" s="97"/>
      <c r="CT57" s="97"/>
      <c r="CU57" s="97"/>
      <c r="CV57" s="97"/>
      <c r="CW57" s="97"/>
      <c r="CX57" s="97"/>
      <c r="CY57" s="97"/>
      <c r="CZ57" s="97"/>
      <c r="DA57" s="97"/>
      <c r="DB57" s="97"/>
      <c r="DC57" s="97"/>
      <c r="DD57" s="97"/>
      <c r="DE57" s="97"/>
      <c r="DF57" s="97"/>
      <c r="DG57" s="97"/>
      <c r="DH57" s="97"/>
      <c r="DI57" s="97"/>
      <c r="DJ57" s="97"/>
      <c r="DK57" s="97"/>
      <c r="DL57" s="97"/>
      <c r="DM57" s="97"/>
      <c r="DN57" s="97"/>
      <c r="DO57" s="97"/>
      <c r="DP57" s="97"/>
      <c r="DQ57" s="97"/>
      <c r="DR57" s="97"/>
      <c r="DS57" s="97"/>
      <c r="DT57" s="97"/>
      <c r="DU57" s="97"/>
      <c r="DV57" s="97"/>
      <c r="DW57" s="97"/>
      <c r="DX57" s="97"/>
      <c r="DY57" s="97"/>
      <c r="DZ57" s="97"/>
      <c r="EA57" s="97"/>
      <c r="EB57" s="97"/>
      <c r="EC57" s="97"/>
      <c r="ED57" s="97"/>
      <c r="EE57" s="97"/>
      <c r="EF57" s="97"/>
      <c r="EG57" s="97"/>
      <c r="EH57" s="97"/>
      <c r="EI57" s="97"/>
      <c r="EJ57" s="97"/>
      <c r="EK57" s="97"/>
      <c r="EL57" s="97"/>
      <c r="EM57" s="97"/>
      <c r="EN57" s="97"/>
      <c r="EO57" s="97"/>
      <c r="EP57" s="97"/>
      <c r="EQ57" s="97"/>
      <c r="ER57" s="97"/>
      <c r="ES57" s="97"/>
      <c r="ET57" s="97"/>
    </row>
    <row r="58" spans="1:150" ht="15.75" customHeight="1">
      <c r="A58" s="97"/>
      <c r="B58" s="97"/>
      <c r="C58" s="97"/>
      <c r="D58" s="97"/>
      <c r="E58" s="97"/>
      <c r="F58" s="97"/>
      <c r="G58" s="97"/>
      <c r="H58" s="129"/>
      <c r="I58" s="97"/>
      <c r="J58" s="97"/>
      <c r="K58" s="97"/>
      <c r="L58" s="97"/>
      <c r="M58" s="97"/>
      <c r="N58" s="97"/>
      <c r="O58" s="97"/>
      <c r="P58" s="97"/>
      <c r="Q58" s="97"/>
      <c r="R58" s="97"/>
      <c r="S58" s="97"/>
      <c r="T58" s="97"/>
      <c r="U58" s="97"/>
      <c r="V58" s="97"/>
      <c r="W58" s="97"/>
      <c r="X58" s="129"/>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97"/>
      <c r="BH58" s="97"/>
      <c r="BI58" s="97"/>
      <c r="BJ58" s="97"/>
      <c r="BK58" s="97"/>
      <c r="BL58" s="97"/>
      <c r="BM58" s="97"/>
      <c r="BN58" s="97"/>
      <c r="BO58" s="97"/>
      <c r="BP58" s="97"/>
      <c r="BQ58" s="97"/>
      <c r="BR58" s="97"/>
      <c r="BS58" s="97"/>
      <c r="BT58" s="97"/>
      <c r="BU58" s="97"/>
      <c r="BV58" s="97"/>
      <c r="BW58" s="97"/>
      <c r="BX58" s="97"/>
      <c r="BY58" s="97"/>
      <c r="BZ58" s="97"/>
      <c r="CA58" s="97"/>
      <c r="CB58" s="97"/>
      <c r="CC58" s="97"/>
      <c r="CD58" s="97"/>
      <c r="CE58" s="97"/>
      <c r="CF58" s="97"/>
      <c r="CG58" s="97"/>
      <c r="CH58" s="97"/>
      <c r="CI58" s="97"/>
      <c r="CJ58" s="97"/>
      <c r="CK58" s="97"/>
      <c r="CL58" s="97"/>
      <c r="CM58" s="97"/>
      <c r="CN58" s="97"/>
      <c r="CO58" s="97"/>
      <c r="CP58" s="97"/>
      <c r="CQ58" s="97"/>
      <c r="CR58" s="97"/>
      <c r="CS58" s="97"/>
      <c r="CT58" s="97"/>
      <c r="CU58" s="97"/>
      <c r="CV58" s="97"/>
      <c r="CW58" s="97"/>
      <c r="CX58" s="97"/>
      <c r="CY58" s="97"/>
      <c r="CZ58" s="97"/>
      <c r="DA58" s="97"/>
      <c r="DB58" s="97"/>
      <c r="DC58" s="97"/>
      <c r="DD58" s="97"/>
      <c r="DE58" s="97"/>
      <c r="DF58" s="97"/>
      <c r="DG58" s="97"/>
      <c r="DH58" s="97"/>
      <c r="DI58" s="97"/>
      <c r="DJ58" s="97"/>
      <c r="DK58" s="97"/>
      <c r="DL58" s="97"/>
      <c r="DM58" s="97"/>
      <c r="DN58" s="97"/>
      <c r="DO58" s="97"/>
      <c r="DP58" s="97"/>
      <c r="DQ58" s="97"/>
      <c r="DR58" s="97"/>
      <c r="DS58" s="97"/>
      <c r="DT58" s="97"/>
      <c r="DU58" s="97"/>
      <c r="DV58" s="97"/>
      <c r="DW58" s="97"/>
      <c r="DX58" s="97"/>
      <c r="DY58" s="97"/>
      <c r="DZ58" s="97"/>
      <c r="EA58" s="97"/>
      <c r="EB58" s="97"/>
      <c r="EC58" s="97"/>
      <c r="ED58" s="97"/>
      <c r="EE58" s="97"/>
      <c r="EF58" s="97"/>
      <c r="EG58" s="97"/>
      <c r="EH58" s="97"/>
      <c r="EI58" s="97"/>
      <c r="EJ58" s="97"/>
      <c r="EK58" s="97"/>
      <c r="EL58" s="97"/>
      <c r="EM58" s="97"/>
      <c r="EN58" s="97"/>
      <c r="EO58" s="97"/>
      <c r="EP58" s="97"/>
      <c r="EQ58" s="97"/>
      <c r="ER58" s="97"/>
      <c r="ES58" s="97"/>
      <c r="ET58" s="97"/>
    </row>
    <row r="59" spans="1:150" ht="15.75" customHeight="1">
      <c r="A59" s="97"/>
      <c r="B59" s="97"/>
      <c r="C59" s="97"/>
      <c r="D59" s="97"/>
      <c r="E59" s="97"/>
      <c r="F59" s="97"/>
      <c r="G59" s="97"/>
      <c r="H59" s="129"/>
      <c r="I59" s="97"/>
      <c r="J59" s="97"/>
      <c r="K59" s="97"/>
      <c r="L59" s="97"/>
      <c r="M59" s="97"/>
      <c r="N59" s="97"/>
      <c r="O59" s="97"/>
      <c r="P59" s="97"/>
      <c r="Q59" s="97"/>
      <c r="R59" s="97"/>
      <c r="S59" s="97"/>
      <c r="T59" s="97"/>
      <c r="U59" s="97"/>
      <c r="V59" s="97"/>
      <c r="W59" s="97"/>
      <c r="X59" s="129"/>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97"/>
      <c r="BH59" s="97"/>
      <c r="BI59" s="97"/>
      <c r="BJ59" s="97"/>
      <c r="BK59" s="97"/>
      <c r="BL59" s="97"/>
      <c r="BM59" s="97"/>
      <c r="BN59" s="97"/>
      <c r="BO59" s="97"/>
      <c r="BP59" s="97"/>
      <c r="BQ59" s="97"/>
      <c r="BR59" s="97"/>
      <c r="BS59" s="97"/>
      <c r="BT59" s="97"/>
      <c r="BU59" s="97"/>
      <c r="BV59" s="97"/>
      <c r="BW59" s="97"/>
      <c r="BX59" s="97"/>
      <c r="BY59" s="97"/>
      <c r="BZ59" s="97"/>
      <c r="CA59" s="97"/>
      <c r="CB59" s="97"/>
      <c r="CC59" s="97"/>
      <c r="CD59" s="97"/>
      <c r="CE59" s="97"/>
      <c r="CF59" s="97"/>
      <c r="CG59" s="97"/>
      <c r="CH59" s="97"/>
      <c r="CI59" s="97"/>
      <c r="CJ59" s="97"/>
      <c r="CK59" s="97"/>
      <c r="CL59" s="97"/>
      <c r="CM59" s="97"/>
      <c r="CN59" s="97"/>
      <c r="CO59" s="97"/>
      <c r="CP59" s="97"/>
      <c r="CQ59" s="97"/>
      <c r="CR59" s="97"/>
      <c r="CS59" s="97"/>
      <c r="CT59" s="97"/>
      <c r="CU59" s="97"/>
      <c r="CV59" s="97"/>
      <c r="CW59" s="97"/>
      <c r="CX59" s="97"/>
      <c r="CY59" s="97"/>
      <c r="CZ59" s="97"/>
      <c r="DA59" s="97"/>
      <c r="DB59" s="97"/>
      <c r="DC59" s="97"/>
      <c r="DD59" s="97"/>
      <c r="DE59" s="97"/>
      <c r="DF59" s="97"/>
      <c r="DG59" s="97"/>
      <c r="DH59" s="97"/>
      <c r="DI59" s="97"/>
      <c r="DJ59" s="97"/>
      <c r="DK59" s="97"/>
      <c r="DL59" s="97"/>
      <c r="DM59" s="97"/>
      <c r="DN59" s="97"/>
      <c r="DO59" s="97"/>
      <c r="DP59" s="97"/>
      <c r="DQ59" s="97"/>
      <c r="DR59" s="97"/>
      <c r="DS59" s="97"/>
      <c r="DT59" s="97"/>
      <c r="DU59" s="97"/>
      <c r="DV59" s="97"/>
      <c r="DW59" s="97"/>
      <c r="DX59" s="97"/>
      <c r="DY59" s="97"/>
      <c r="DZ59" s="97"/>
      <c r="EA59" s="97"/>
      <c r="EB59" s="97"/>
      <c r="EC59" s="97"/>
      <c r="ED59" s="97"/>
      <c r="EE59" s="97"/>
      <c r="EF59" s="97"/>
      <c r="EG59" s="97"/>
      <c r="EH59" s="97"/>
      <c r="EI59" s="97"/>
      <c r="EJ59" s="97"/>
      <c r="EK59" s="97"/>
      <c r="EL59" s="97"/>
      <c r="EM59" s="97"/>
      <c r="EN59" s="97"/>
      <c r="EO59" s="97"/>
      <c r="EP59" s="97"/>
      <c r="EQ59" s="97"/>
      <c r="ER59" s="97"/>
      <c r="ES59" s="97"/>
      <c r="ET59" s="97"/>
    </row>
    <row r="60" spans="1:150" ht="15.75" customHeight="1">
      <c r="A60" s="97"/>
      <c r="B60" s="97"/>
      <c r="C60" s="97"/>
      <c r="D60" s="97"/>
      <c r="E60" s="97"/>
      <c r="F60" s="97"/>
      <c r="G60" s="97"/>
      <c r="H60" s="129"/>
      <c r="I60" s="97"/>
      <c r="J60" s="97"/>
      <c r="K60" s="97"/>
      <c r="L60" s="97"/>
      <c r="M60" s="97"/>
      <c r="N60" s="97"/>
      <c r="O60" s="97"/>
      <c r="P60" s="97"/>
      <c r="Q60" s="97"/>
      <c r="R60" s="97"/>
      <c r="S60" s="97"/>
      <c r="T60" s="97"/>
      <c r="U60" s="97"/>
      <c r="V60" s="97"/>
      <c r="W60" s="97"/>
      <c r="X60" s="129"/>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c r="BE60" s="97"/>
      <c r="BF60" s="97"/>
      <c r="BG60" s="97"/>
      <c r="BH60" s="97"/>
      <c r="BI60" s="97"/>
      <c r="BJ60" s="97"/>
      <c r="BK60" s="97"/>
      <c r="BL60" s="97"/>
      <c r="BM60" s="97"/>
      <c r="BN60" s="97"/>
      <c r="BO60" s="97"/>
      <c r="BP60" s="97"/>
      <c r="BQ60" s="97"/>
      <c r="BR60" s="97"/>
      <c r="BS60" s="97"/>
      <c r="BT60" s="97"/>
      <c r="BU60" s="97"/>
      <c r="BV60" s="97"/>
      <c r="BW60" s="97"/>
      <c r="BX60" s="97"/>
      <c r="BY60" s="97"/>
      <c r="BZ60" s="97"/>
      <c r="CA60" s="97"/>
      <c r="CB60" s="97"/>
      <c r="CC60" s="97"/>
      <c r="CD60" s="97"/>
      <c r="CE60" s="97"/>
      <c r="CF60" s="97"/>
      <c r="CG60" s="97"/>
      <c r="CH60" s="97"/>
      <c r="CI60" s="97"/>
      <c r="CJ60" s="97"/>
      <c r="CK60" s="97"/>
      <c r="CL60" s="97"/>
      <c r="CM60" s="97"/>
      <c r="CN60" s="97"/>
      <c r="CO60" s="97"/>
      <c r="CP60" s="97"/>
      <c r="CQ60" s="97"/>
      <c r="CR60" s="97"/>
      <c r="CS60" s="97"/>
      <c r="CT60" s="97"/>
      <c r="CU60" s="97"/>
      <c r="CV60" s="97"/>
      <c r="CW60" s="97"/>
      <c r="CX60" s="97"/>
      <c r="CY60" s="97"/>
      <c r="CZ60" s="97"/>
      <c r="DA60" s="97"/>
      <c r="DB60" s="97"/>
      <c r="DC60" s="97"/>
      <c r="DD60" s="97"/>
      <c r="DE60" s="97"/>
      <c r="DF60" s="97"/>
      <c r="DG60" s="97"/>
      <c r="DH60" s="97"/>
      <c r="DI60" s="97"/>
      <c r="DJ60" s="97"/>
      <c r="DK60" s="97"/>
      <c r="DL60" s="97"/>
      <c r="DM60" s="97"/>
      <c r="DN60" s="97"/>
      <c r="DO60" s="97"/>
      <c r="DP60" s="97"/>
      <c r="DQ60" s="97"/>
      <c r="DR60" s="97"/>
      <c r="DS60" s="97"/>
      <c r="DT60" s="97"/>
      <c r="DU60" s="97"/>
      <c r="DV60" s="97"/>
      <c r="DW60" s="97"/>
      <c r="DX60" s="97"/>
      <c r="DY60" s="97"/>
      <c r="DZ60" s="97"/>
      <c r="EA60" s="97"/>
      <c r="EB60" s="97"/>
      <c r="EC60" s="97"/>
      <c r="ED60" s="97"/>
      <c r="EE60" s="97"/>
      <c r="EF60" s="97"/>
      <c r="EG60" s="97"/>
      <c r="EH60" s="97"/>
      <c r="EI60" s="97"/>
      <c r="EJ60" s="97"/>
      <c r="EK60" s="97"/>
      <c r="EL60" s="97"/>
      <c r="EM60" s="97"/>
      <c r="EN60" s="97"/>
      <c r="EO60" s="97"/>
      <c r="EP60" s="97"/>
      <c r="EQ60" s="97"/>
      <c r="ER60" s="97"/>
      <c r="ES60" s="97"/>
      <c r="ET60" s="97"/>
    </row>
    <row r="61" spans="1:150" ht="15.75" customHeight="1">
      <c r="A61" s="97"/>
      <c r="B61" s="97"/>
      <c r="C61" s="97"/>
      <c r="D61" s="97"/>
      <c r="E61" s="97"/>
      <c r="F61" s="97"/>
      <c r="G61" s="97"/>
      <c r="H61" s="129"/>
      <c r="I61" s="97"/>
      <c r="J61" s="97"/>
      <c r="K61" s="97"/>
      <c r="L61" s="97"/>
      <c r="M61" s="97"/>
      <c r="N61" s="97"/>
      <c r="O61" s="97"/>
      <c r="P61" s="97"/>
      <c r="Q61" s="97"/>
      <c r="R61" s="97"/>
      <c r="S61" s="97"/>
      <c r="T61" s="97"/>
      <c r="U61" s="97"/>
      <c r="V61" s="97"/>
      <c r="W61" s="97"/>
      <c r="X61" s="129"/>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c r="CA61" s="97"/>
      <c r="CB61" s="97"/>
      <c r="CC61" s="97"/>
      <c r="CD61" s="97"/>
      <c r="CE61" s="97"/>
      <c r="CF61" s="97"/>
      <c r="CG61" s="97"/>
      <c r="CH61" s="97"/>
      <c r="CI61" s="97"/>
      <c r="CJ61" s="97"/>
      <c r="CK61" s="97"/>
      <c r="CL61" s="97"/>
      <c r="CM61" s="97"/>
      <c r="CN61" s="97"/>
      <c r="CO61" s="97"/>
      <c r="CP61" s="97"/>
      <c r="CQ61" s="97"/>
      <c r="CR61" s="97"/>
      <c r="CS61" s="97"/>
      <c r="CT61" s="97"/>
      <c r="CU61" s="97"/>
      <c r="CV61" s="97"/>
      <c r="CW61" s="97"/>
      <c r="CX61" s="97"/>
      <c r="CY61" s="97"/>
      <c r="CZ61" s="97"/>
      <c r="DA61" s="97"/>
      <c r="DB61" s="97"/>
      <c r="DC61" s="97"/>
      <c r="DD61" s="97"/>
      <c r="DE61" s="97"/>
      <c r="DF61" s="97"/>
      <c r="DG61" s="97"/>
      <c r="DH61" s="97"/>
      <c r="DI61" s="97"/>
      <c r="DJ61" s="97"/>
      <c r="DK61" s="97"/>
      <c r="DL61" s="97"/>
      <c r="DM61" s="97"/>
      <c r="DN61" s="97"/>
      <c r="DO61" s="97"/>
      <c r="DP61" s="97"/>
      <c r="DQ61" s="97"/>
      <c r="DR61" s="97"/>
      <c r="DS61" s="97"/>
      <c r="DT61" s="97"/>
      <c r="DU61" s="97"/>
      <c r="DV61" s="97"/>
      <c r="DW61" s="97"/>
      <c r="DX61" s="97"/>
      <c r="DY61" s="97"/>
      <c r="DZ61" s="97"/>
      <c r="EA61" s="97"/>
      <c r="EB61" s="97"/>
      <c r="EC61" s="97"/>
      <c r="ED61" s="97"/>
      <c r="EE61" s="97"/>
      <c r="EF61" s="97"/>
      <c r="EG61" s="97"/>
      <c r="EH61" s="97"/>
      <c r="EI61" s="97"/>
      <c r="EJ61" s="97"/>
      <c r="EK61" s="97"/>
      <c r="EL61" s="97"/>
      <c r="EM61" s="97"/>
      <c r="EN61" s="97"/>
      <c r="EO61" s="97"/>
      <c r="EP61" s="97"/>
      <c r="EQ61" s="97"/>
      <c r="ER61" s="97"/>
      <c r="ES61" s="97"/>
      <c r="ET61" s="97"/>
    </row>
    <row r="62" spans="1:150" ht="15.75" customHeight="1">
      <c r="A62" s="97"/>
      <c r="B62" s="97"/>
      <c r="C62" s="97"/>
      <c r="D62" s="97"/>
      <c r="E62" s="97"/>
      <c r="F62" s="97"/>
      <c r="G62" s="97"/>
      <c r="H62" s="129"/>
      <c r="I62" s="97"/>
      <c r="J62" s="97"/>
      <c r="K62" s="97"/>
      <c r="L62" s="97"/>
      <c r="M62" s="97"/>
      <c r="N62" s="97"/>
      <c r="O62" s="97"/>
      <c r="P62" s="97"/>
      <c r="Q62" s="97"/>
      <c r="R62" s="97"/>
      <c r="S62" s="97"/>
      <c r="T62" s="97"/>
      <c r="U62" s="97"/>
      <c r="V62" s="97"/>
      <c r="W62" s="97"/>
      <c r="X62" s="129"/>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97"/>
      <c r="BH62" s="97"/>
      <c r="BI62" s="97"/>
      <c r="BJ62" s="97"/>
      <c r="BK62" s="97"/>
      <c r="BL62" s="97"/>
      <c r="BM62" s="97"/>
      <c r="BN62" s="97"/>
      <c r="BO62" s="97"/>
      <c r="BP62" s="97"/>
      <c r="BQ62" s="97"/>
      <c r="BR62" s="97"/>
      <c r="BS62" s="97"/>
      <c r="BT62" s="97"/>
      <c r="BU62" s="97"/>
      <c r="BV62" s="97"/>
      <c r="BW62" s="97"/>
      <c r="BX62" s="97"/>
      <c r="BY62" s="97"/>
      <c r="BZ62" s="97"/>
      <c r="CA62" s="97"/>
      <c r="CB62" s="97"/>
      <c r="CC62" s="97"/>
      <c r="CD62" s="97"/>
      <c r="CE62" s="97"/>
      <c r="CF62" s="97"/>
      <c r="CG62" s="97"/>
      <c r="CH62" s="97"/>
      <c r="CI62" s="97"/>
      <c r="CJ62" s="97"/>
      <c r="CK62" s="97"/>
      <c r="CL62" s="97"/>
      <c r="CM62" s="97"/>
      <c r="CN62" s="97"/>
      <c r="CO62" s="97"/>
      <c r="CP62" s="97"/>
      <c r="CQ62" s="97"/>
      <c r="CR62" s="97"/>
      <c r="CS62" s="97"/>
      <c r="CT62" s="97"/>
      <c r="CU62" s="97"/>
      <c r="CV62" s="97"/>
      <c r="CW62" s="97"/>
      <c r="CX62" s="97"/>
      <c r="CY62" s="97"/>
      <c r="CZ62" s="97"/>
      <c r="DA62" s="97"/>
      <c r="DB62" s="97"/>
      <c r="DC62" s="97"/>
      <c r="DD62" s="97"/>
      <c r="DE62" s="97"/>
      <c r="DF62" s="97"/>
      <c r="DG62" s="97"/>
      <c r="DH62" s="97"/>
      <c r="DI62" s="97"/>
      <c r="DJ62" s="97"/>
      <c r="DK62" s="97"/>
      <c r="DL62" s="97"/>
      <c r="DM62" s="97"/>
      <c r="DN62" s="97"/>
      <c r="DO62" s="97"/>
      <c r="DP62" s="97"/>
      <c r="DQ62" s="97"/>
      <c r="DR62" s="97"/>
      <c r="DS62" s="97"/>
      <c r="DT62" s="97"/>
      <c r="DU62" s="97"/>
      <c r="DV62" s="97"/>
      <c r="DW62" s="97"/>
      <c r="DX62" s="97"/>
      <c r="DY62" s="97"/>
      <c r="DZ62" s="97"/>
      <c r="EA62" s="97"/>
      <c r="EB62" s="97"/>
      <c r="EC62" s="97"/>
      <c r="ED62" s="97"/>
      <c r="EE62" s="97"/>
      <c r="EF62" s="97"/>
      <c r="EG62" s="97"/>
      <c r="EH62" s="97"/>
      <c r="EI62" s="97"/>
      <c r="EJ62" s="97"/>
      <c r="EK62" s="97"/>
      <c r="EL62" s="97"/>
      <c r="EM62" s="97"/>
      <c r="EN62" s="97"/>
      <c r="EO62" s="97"/>
      <c r="EP62" s="97"/>
      <c r="EQ62" s="97"/>
      <c r="ER62" s="97"/>
      <c r="ES62" s="97"/>
      <c r="ET62" s="97"/>
    </row>
    <row r="63" spans="1:150" ht="15.75" customHeight="1">
      <c r="A63" s="97"/>
      <c r="B63" s="97"/>
      <c r="C63" s="97"/>
      <c r="D63" s="97"/>
      <c r="E63" s="97"/>
      <c r="F63" s="97"/>
      <c r="G63" s="97"/>
      <c r="H63" s="129"/>
      <c r="I63" s="97"/>
      <c r="J63" s="97"/>
      <c r="K63" s="97"/>
      <c r="L63" s="97"/>
      <c r="M63" s="97"/>
      <c r="N63" s="97"/>
      <c r="O63" s="97"/>
      <c r="P63" s="97"/>
      <c r="Q63" s="97"/>
      <c r="R63" s="97"/>
      <c r="S63" s="97"/>
      <c r="T63" s="97"/>
      <c r="U63" s="97"/>
      <c r="V63" s="97"/>
      <c r="W63" s="97"/>
      <c r="X63" s="129"/>
      <c r="Y63" s="97"/>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97"/>
      <c r="BX63" s="97"/>
      <c r="BY63" s="97"/>
      <c r="BZ63" s="97"/>
      <c r="CA63" s="97"/>
      <c r="CB63" s="97"/>
      <c r="CC63" s="97"/>
      <c r="CD63" s="97"/>
      <c r="CE63" s="97"/>
      <c r="CF63" s="97"/>
      <c r="CG63" s="97"/>
      <c r="CH63" s="97"/>
      <c r="CI63" s="97"/>
      <c r="CJ63" s="97"/>
      <c r="CK63" s="97"/>
      <c r="CL63" s="97"/>
      <c r="CM63" s="97"/>
      <c r="CN63" s="97"/>
      <c r="CO63" s="97"/>
      <c r="CP63" s="97"/>
      <c r="CQ63" s="97"/>
      <c r="CR63" s="97"/>
      <c r="CS63" s="97"/>
      <c r="CT63" s="97"/>
      <c r="CU63" s="97"/>
      <c r="CV63" s="97"/>
      <c r="CW63" s="97"/>
      <c r="CX63" s="97"/>
      <c r="CY63" s="97"/>
      <c r="CZ63" s="97"/>
      <c r="DA63" s="97"/>
      <c r="DB63" s="97"/>
      <c r="DC63" s="97"/>
      <c r="DD63" s="97"/>
      <c r="DE63" s="97"/>
      <c r="DF63" s="97"/>
      <c r="DG63" s="97"/>
      <c r="DH63" s="97"/>
      <c r="DI63" s="97"/>
      <c r="DJ63" s="97"/>
      <c r="DK63" s="97"/>
      <c r="DL63" s="97"/>
      <c r="DM63" s="97"/>
      <c r="DN63" s="97"/>
      <c r="DO63" s="97"/>
      <c r="DP63" s="97"/>
      <c r="DQ63" s="97"/>
      <c r="DR63" s="97"/>
      <c r="DS63" s="97"/>
      <c r="DT63" s="97"/>
      <c r="DU63" s="97"/>
      <c r="DV63" s="97"/>
      <c r="DW63" s="97"/>
      <c r="DX63" s="97"/>
      <c r="DY63" s="97"/>
      <c r="DZ63" s="97"/>
      <c r="EA63" s="97"/>
      <c r="EB63" s="97"/>
      <c r="EC63" s="97"/>
      <c r="ED63" s="97"/>
      <c r="EE63" s="97"/>
      <c r="EF63" s="97"/>
      <c r="EG63" s="97"/>
      <c r="EH63" s="97"/>
      <c r="EI63" s="97"/>
      <c r="EJ63" s="97"/>
      <c r="EK63" s="97"/>
      <c r="EL63" s="97"/>
      <c r="EM63" s="97"/>
      <c r="EN63" s="97"/>
      <c r="EO63" s="97"/>
      <c r="EP63" s="97"/>
      <c r="EQ63" s="97"/>
      <c r="ER63" s="97"/>
      <c r="ES63" s="97"/>
      <c r="ET63" s="97"/>
    </row>
    <row r="64" spans="1:150" ht="15.75" customHeight="1">
      <c r="A64" s="97"/>
      <c r="B64" s="97"/>
      <c r="C64" s="97"/>
      <c r="D64" s="97"/>
      <c r="E64" s="97"/>
      <c r="F64" s="97"/>
      <c r="G64" s="97"/>
      <c r="H64" s="129"/>
      <c r="I64" s="97"/>
      <c r="J64" s="97"/>
      <c r="K64" s="97"/>
      <c r="L64" s="97"/>
      <c r="M64" s="97"/>
      <c r="N64" s="97"/>
      <c r="O64" s="97"/>
      <c r="P64" s="97"/>
      <c r="Q64" s="97"/>
      <c r="R64" s="97"/>
      <c r="S64" s="97"/>
      <c r="T64" s="97"/>
      <c r="U64" s="97"/>
      <c r="V64" s="97"/>
      <c r="W64" s="97"/>
      <c r="X64" s="129"/>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97"/>
      <c r="BX64" s="97"/>
      <c r="BY64" s="97"/>
      <c r="BZ64" s="97"/>
      <c r="CA64" s="97"/>
      <c r="CB64" s="97"/>
      <c r="CC64" s="97"/>
      <c r="CD64" s="97"/>
      <c r="CE64" s="97"/>
      <c r="CF64" s="97"/>
      <c r="CG64" s="97"/>
      <c r="CH64" s="97"/>
      <c r="CI64" s="97"/>
      <c r="CJ64" s="97"/>
      <c r="CK64" s="97"/>
      <c r="CL64" s="97"/>
      <c r="CM64" s="97"/>
      <c r="CN64" s="97"/>
      <c r="CO64" s="97"/>
      <c r="CP64" s="97"/>
      <c r="CQ64" s="97"/>
      <c r="CR64" s="97"/>
      <c r="CS64" s="97"/>
      <c r="CT64" s="97"/>
      <c r="CU64" s="97"/>
      <c r="CV64" s="97"/>
      <c r="CW64" s="97"/>
      <c r="CX64" s="97"/>
      <c r="CY64" s="97"/>
      <c r="CZ64" s="97"/>
      <c r="DA64" s="97"/>
      <c r="DB64" s="97"/>
      <c r="DC64" s="97"/>
      <c r="DD64" s="97"/>
      <c r="DE64" s="97"/>
      <c r="DF64" s="97"/>
      <c r="DG64" s="97"/>
      <c r="DH64" s="97"/>
      <c r="DI64" s="97"/>
      <c r="DJ64" s="97"/>
      <c r="DK64" s="97"/>
      <c r="DL64" s="97"/>
      <c r="DM64" s="97"/>
      <c r="DN64" s="97"/>
      <c r="DO64" s="97"/>
      <c r="DP64" s="97"/>
      <c r="DQ64" s="97"/>
      <c r="DR64" s="97"/>
      <c r="DS64" s="97"/>
      <c r="DT64" s="97"/>
      <c r="DU64" s="97"/>
      <c r="DV64" s="97"/>
      <c r="DW64" s="97"/>
      <c r="DX64" s="97"/>
      <c r="DY64" s="97"/>
      <c r="DZ64" s="97"/>
      <c r="EA64" s="97"/>
      <c r="EB64" s="97"/>
      <c r="EC64" s="97"/>
      <c r="ED64" s="97"/>
      <c r="EE64" s="97"/>
      <c r="EF64" s="97"/>
      <c r="EG64" s="97"/>
      <c r="EH64" s="97"/>
      <c r="EI64" s="97"/>
      <c r="EJ64" s="97"/>
      <c r="EK64" s="97"/>
      <c r="EL64" s="97"/>
      <c r="EM64" s="97"/>
      <c r="EN64" s="97"/>
      <c r="EO64" s="97"/>
      <c r="EP64" s="97"/>
      <c r="EQ64" s="97"/>
      <c r="ER64" s="97"/>
      <c r="ES64" s="97"/>
      <c r="ET64" s="97"/>
    </row>
    <row r="65" spans="1:150" ht="15.75" customHeight="1">
      <c r="A65" s="97"/>
      <c r="B65" s="97"/>
      <c r="C65" s="97"/>
      <c r="D65" s="97"/>
      <c r="E65" s="97"/>
      <c r="F65" s="97"/>
      <c r="G65" s="97"/>
      <c r="H65" s="129"/>
      <c r="I65" s="97"/>
      <c r="J65" s="97"/>
      <c r="K65" s="97"/>
      <c r="L65" s="97"/>
      <c r="M65" s="97"/>
      <c r="N65" s="97"/>
      <c r="O65" s="97"/>
      <c r="P65" s="97"/>
      <c r="Q65" s="97"/>
      <c r="R65" s="97"/>
      <c r="S65" s="97"/>
      <c r="T65" s="97"/>
      <c r="U65" s="97"/>
      <c r="V65" s="97"/>
      <c r="W65" s="97"/>
      <c r="X65" s="129"/>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97"/>
      <c r="BX65" s="97"/>
      <c r="BY65" s="97"/>
      <c r="BZ65" s="97"/>
      <c r="CA65" s="97"/>
      <c r="CB65" s="97"/>
      <c r="CC65" s="97"/>
      <c r="CD65" s="97"/>
      <c r="CE65" s="97"/>
      <c r="CF65" s="97"/>
      <c r="CG65" s="97"/>
      <c r="CH65" s="97"/>
      <c r="CI65" s="97"/>
      <c r="CJ65" s="97"/>
      <c r="CK65" s="97"/>
      <c r="CL65" s="97"/>
      <c r="CM65" s="97"/>
      <c r="CN65" s="97"/>
      <c r="CO65" s="97"/>
      <c r="CP65" s="97"/>
      <c r="CQ65" s="97"/>
      <c r="CR65" s="97"/>
      <c r="CS65" s="97"/>
      <c r="CT65" s="97"/>
      <c r="CU65" s="97"/>
      <c r="CV65" s="97"/>
      <c r="CW65" s="97"/>
      <c r="CX65" s="97"/>
      <c r="CY65" s="97"/>
      <c r="CZ65" s="97"/>
      <c r="DA65" s="97"/>
      <c r="DB65" s="97"/>
      <c r="DC65" s="97"/>
      <c r="DD65" s="97"/>
      <c r="DE65" s="97"/>
      <c r="DF65" s="97"/>
      <c r="DG65" s="97"/>
      <c r="DH65" s="97"/>
      <c r="DI65" s="97"/>
      <c r="DJ65" s="97"/>
      <c r="DK65" s="97"/>
      <c r="DL65" s="97"/>
      <c r="DM65" s="97"/>
      <c r="DN65" s="97"/>
      <c r="DO65" s="97"/>
      <c r="DP65" s="97"/>
      <c r="DQ65" s="97"/>
      <c r="DR65" s="97"/>
      <c r="DS65" s="97"/>
      <c r="DT65" s="97"/>
      <c r="DU65" s="97"/>
      <c r="DV65" s="97"/>
      <c r="DW65" s="97"/>
      <c r="DX65" s="97"/>
      <c r="DY65" s="97"/>
      <c r="DZ65" s="97"/>
      <c r="EA65" s="97"/>
      <c r="EB65" s="97"/>
      <c r="EC65" s="97"/>
      <c r="ED65" s="97"/>
      <c r="EE65" s="97"/>
      <c r="EF65" s="97"/>
      <c r="EG65" s="97"/>
      <c r="EH65" s="97"/>
      <c r="EI65" s="97"/>
      <c r="EJ65" s="97"/>
      <c r="EK65" s="97"/>
      <c r="EL65" s="97"/>
      <c r="EM65" s="97"/>
      <c r="EN65" s="97"/>
      <c r="EO65" s="97"/>
      <c r="EP65" s="97"/>
      <c r="EQ65" s="97"/>
      <c r="ER65" s="97"/>
      <c r="ES65" s="97"/>
      <c r="ET65" s="97"/>
    </row>
    <row r="66" spans="1:150" ht="15.75" customHeight="1">
      <c r="A66" s="97"/>
      <c r="B66" s="97"/>
      <c r="C66" s="97"/>
      <c r="D66" s="97"/>
      <c r="E66" s="97"/>
      <c r="F66" s="97"/>
      <c r="G66" s="97"/>
      <c r="H66" s="129"/>
      <c r="I66" s="97"/>
      <c r="J66" s="97"/>
      <c r="K66" s="97"/>
      <c r="L66" s="97"/>
      <c r="M66" s="97"/>
      <c r="N66" s="97"/>
      <c r="O66" s="97"/>
      <c r="P66" s="97"/>
      <c r="Q66" s="97"/>
      <c r="R66" s="97"/>
      <c r="S66" s="97"/>
      <c r="T66" s="97"/>
      <c r="U66" s="97"/>
      <c r="V66" s="97"/>
      <c r="W66" s="97"/>
      <c r="X66" s="129"/>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97"/>
      <c r="BX66" s="97"/>
      <c r="BY66" s="97"/>
      <c r="BZ66" s="97"/>
      <c r="CA66" s="97"/>
      <c r="CB66" s="97"/>
      <c r="CC66" s="97"/>
      <c r="CD66" s="97"/>
      <c r="CE66" s="97"/>
      <c r="CF66" s="97"/>
      <c r="CG66" s="97"/>
      <c r="CH66" s="97"/>
      <c r="CI66" s="97"/>
      <c r="CJ66" s="97"/>
      <c r="CK66" s="97"/>
      <c r="CL66" s="97"/>
      <c r="CM66" s="97"/>
      <c r="CN66" s="97"/>
      <c r="CO66" s="97"/>
      <c r="CP66" s="97"/>
      <c r="CQ66" s="97"/>
      <c r="CR66" s="97"/>
      <c r="CS66" s="97"/>
      <c r="CT66" s="97"/>
      <c r="CU66" s="97"/>
      <c r="CV66" s="97"/>
      <c r="CW66" s="97"/>
      <c r="CX66" s="97"/>
      <c r="CY66" s="97"/>
      <c r="CZ66" s="97"/>
      <c r="DA66" s="97"/>
      <c r="DB66" s="97"/>
      <c r="DC66" s="97"/>
      <c r="DD66" s="97"/>
      <c r="DE66" s="97"/>
      <c r="DF66" s="97"/>
      <c r="DG66" s="97"/>
      <c r="DH66" s="97"/>
      <c r="DI66" s="97"/>
      <c r="DJ66" s="97"/>
      <c r="DK66" s="97"/>
      <c r="DL66" s="97"/>
      <c r="DM66" s="97"/>
      <c r="DN66" s="97"/>
      <c r="DO66" s="97"/>
      <c r="DP66" s="97"/>
      <c r="DQ66" s="97"/>
      <c r="DR66" s="97"/>
      <c r="DS66" s="97"/>
      <c r="DT66" s="97"/>
      <c r="DU66" s="97"/>
      <c r="DV66" s="97"/>
      <c r="DW66" s="97"/>
      <c r="DX66" s="97"/>
      <c r="DY66" s="97"/>
      <c r="DZ66" s="97"/>
      <c r="EA66" s="97"/>
      <c r="EB66" s="97"/>
      <c r="EC66" s="97"/>
      <c r="ED66" s="97"/>
      <c r="EE66" s="97"/>
      <c r="EF66" s="97"/>
      <c r="EG66" s="97"/>
      <c r="EH66" s="97"/>
      <c r="EI66" s="97"/>
      <c r="EJ66" s="97"/>
      <c r="EK66" s="97"/>
      <c r="EL66" s="97"/>
      <c r="EM66" s="97"/>
      <c r="EN66" s="97"/>
      <c r="EO66" s="97"/>
      <c r="EP66" s="97"/>
      <c r="EQ66" s="97"/>
      <c r="ER66" s="97"/>
      <c r="ES66" s="97"/>
      <c r="ET66" s="97"/>
    </row>
    <row r="67" spans="1:150" ht="15.75" customHeight="1">
      <c r="A67" s="97"/>
      <c r="B67" s="97"/>
      <c r="C67" s="97"/>
      <c r="D67" s="97"/>
      <c r="E67" s="97"/>
      <c r="F67" s="97"/>
      <c r="G67" s="97"/>
      <c r="H67" s="129"/>
      <c r="I67" s="97"/>
      <c r="J67" s="97"/>
      <c r="K67" s="97"/>
      <c r="L67" s="97"/>
      <c r="M67" s="97"/>
      <c r="N67" s="97"/>
      <c r="O67" s="97"/>
      <c r="P67" s="97"/>
      <c r="Q67" s="97"/>
      <c r="R67" s="97"/>
      <c r="S67" s="97"/>
      <c r="T67" s="97"/>
      <c r="U67" s="97"/>
      <c r="V67" s="97"/>
      <c r="W67" s="97"/>
      <c r="X67" s="129"/>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97"/>
      <c r="BX67" s="97"/>
      <c r="BY67" s="97"/>
      <c r="BZ67" s="97"/>
      <c r="CA67" s="97"/>
      <c r="CB67" s="97"/>
      <c r="CC67" s="97"/>
      <c r="CD67" s="97"/>
      <c r="CE67" s="97"/>
      <c r="CF67" s="97"/>
      <c r="CG67" s="97"/>
      <c r="CH67" s="97"/>
      <c r="CI67" s="97"/>
      <c r="CJ67" s="97"/>
      <c r="CK67" s="97"/>
      <c r="CL67" s="97"/>
      <c r="CM67" s="97"/>
      <c r="CN67" s="97"/>
      <c r="CO67" s="97"/>
      <c r="CP67" s="97"/>
      <c r="CQ67" s="97"/>
      <c r="CR67" s="97"/>
      <c r="CS67" s="97"/>
      <c r="CT67" s="97"/>
      <c r="CU67" s="97"/>
      <c r="CV67" s="97"/>
      <c r="CW67" s="97"/>
      <c r="CX67" s="97"/>
      <c r="CY67" s="97"/>
      <c r="CZ67" s="97"/>
      <c r="DA67" s="97"/>
      <c r="DB67" s="97"/>
      <c r="DC67" s="97"/>
      <c r="DD67" s="97"/>
      <c r="DE67" s="97"/>
      <c r="DF67" s="97"/>
      <c r="DG67" s="97"/>
      <c r="DH67" s="97"/>
      <c r="DI67" s="97"/>
      <c r="DJ67" s="97"/>
      <c r="DK67" s="97"/>
      <c r="DL67" s="97"/>
      <c r="DM67" s="97"/>
      <c r="DN67" s="97"/>
      <c r="DO67" s="97"/>
      <c r="DP67" s="97"/>
      <c r="DQ67" s="97"/>
      <c r="DR67" s="97"/>
      <c r="DS67" s="97"/>
      <c r="DT67" s="97"/>
      <c r="DU67" s="97"/>
      <c r="DV67" s="97"/>
      <c r="DW67" s="97"/>
      <c r="DX67" s="97"/>
      <c r="DY67" s="97"/>
      <c r="DZ67" s="97"/>
      <c r="EA67" s="97"/>
      <c r="EB67" s="97"/>
      <c r="EC67" s="97"/>
      <c r="ED67" s="97"/>
      <c r="EE67" s="97"/>
      <c r="EF67" s="97"/>
      <c r="EG67" s="97"/>
      <c r="EH67" s="97"/>
      <c r="EI67" s="97"/>
      <c r="EJ67" s="97"/>
      <c r="EK67" s="97"/>
      <c r="EL67" s="97"/>
      <c r="EM67" s="97"/>
      <c r="EN67" s="97"/>
      <c r="EO67" s="97"/>
      <c r="EP67" s="97"/>
      <c r="EQ67" s="97"/>
      <c r="ER67" s="97"/>
      <c r="ES67" s="97"/>
      <c r="ET67" s="97"/>
    </row>
    <row r="68" spans="1:150" ht="15.75" customHeight="1">
      <c r="A68" s="97"/>
      <c r="B68" s="97"/>
      <c r="C68" s="97"/>
      <c r="D68" s="97"/>
      <c r="E68" s="97"/>
      <c r="F68" s="97"/>
      <c r="G68" s="97"/>
      <c r="H68" s="129"/>
      <c r="I68" s="97"/>
      <c r="J68" s="97"/>
      <c r="K68" s="97"/>
      <c r="L68" s="97"/>
      <c r="M68" s="97"/>
      <c r="N68" s="97"/>
      <c r="O68" s="97"/>
      <c r="P68" s="97"/>
      <c r="Q68" s="97"/>
      <c r="R68" s="97"/>
      <c r="S68" s="97"/>
      <c r="T68" s="97"/>
      <c r="U68" s="97"/>
      <c r="V68" s="97"/>
      <c r="W68" s="97"/>
      <c r="X68" s="129"/>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97"/>
      <c r="BX68" s="97"/>
      <c r="BY68" s="97"/>
      <c r="BZ68" s="97"/>
      <c r="CA68" s="97"/>
      <c r="CB68" s="97"/>
      <c r="CC68" s="97"/>
      <c r="CD68" s="97"/>
      <c r="CE68" s="97"/>
      <c r="CF68" s="97"/>
      <c r="CG68" s="97"/>
      <c r="CH68" s="97"/>
      <c r="CI68" s="97"/>
      <c r="CJ68" s="97"/>
      <c r="CK68" s="97"/>
      <c r="CL68" s="97"/>
      <c r="CM68" s="97"/>
      <c r="CN68" s="97"/>
      <c r="CO68" s="97"/>
      <c r="CP68" s="97"/>
      <c r="CQ68" s="97"/>
      <c r="CR68" s="97"/>
      <c r="CS68" s="97"/>
      <c r="CT68" s="97"/>
      <c r="CU68" s="97"/>
      <c r="CV68" s="97"/>
      <c r="CW68" s="97"/>
      <c r="CX68" s="97"/>
      <c r="CY68" s="97"/>
      <c r="CZ68" s="97"/>
      <c r="DA68" s="97"/>
      <c r="DB68" s="97"/>
      <c r="DC68" s="97"/>
      <c r="DD68" s="97"/>
      <c r="DE68" s="97"/>
      <c r="DF68" s="97"/>
      <c r="DG68" s="97"/>
      <c r="DH68" s="97"/>
      <c r="DI68" s="97"/>
      <c r="DJ68" s="97"/>
      <c r="DK68" s="97"/>
      <c r="DL68" s="97"/>
      <c r="DM68" s="97"/>
      <c r="DN68" s="97"/>
      <c r="DO68" s="97"/>
      <c r="DP68" s="97"/>
      <c r="DQ68" s="97"/>
      <c r="DR68" s="97"/>
      <c r="DS68" s="97"/>
      <c r="DT68" s="97"/>
      <c r="DU68" s="97"/>
      <c r="DV68" s="97"/>
      <c r="DW68" s="97"/>
      <c r="DX68" s="97"/>
      <c r="DY68" s="97"/>
      <c r="DZ68" s="97"/>
      <c r="EA68" s="97"/>
      <c r="EB68" s="97"/>
      <c r="EC68" s="97"/>
      <c r="ED68" s="97"/>
      <c r="EE68" s="97"/>
      <c r="EF68" s="97"/>
      <c r="EG68" s="97"/>
      <c r="EH68" s="97"/>
      <c r="EI68" s="97"/>
      <c r="EJ68" s="97"/>
      <c r="EK68" s="97"/>
      <c r="EL68" s="97"/>
      <c r="EM68" s="97"/>
      <c r="EN68" s="97"/>
      <c r="EO68" s="97"/>
      <c r="EP68" s="97"/>
      <c r="EQ68" s="97"/>
      <c r="ER68" s="97"/>
      <c r="ES68" s="97"/>
      <c r="ET68" s="97"/>
    </row>
    <row r="69" spans="1:150" ht="15.75" customHeight="1">
      <c r="A69" s="97"/>
      <c r="B69" s="97"/>
      <c r="C69" s="97"/>
      <c r="D69" s="97"/>
      <c r="E69" s="97"/>
      <c r="F69" s="97"/>
      <c r="G69" s="97"/>
      <c r="H69" s="129"/>
      <c r="I69" s="97"/>
      <c r="J69" s="97"/>
      <c r="K69" s="97"/>
      <c r="L69" s="97"/>
      <c r="M69" s="97"/>
      <c r="N69" s="97"/>
      <c r="O69" s="97"/>
      <c r="P69" s="97"/>
      <c r="Q69" s="97"/>
      <c r="R69" s="97"/>
      <c r="S69" s="97"/>
      <c r="T69" s="97"/>
      <c r="U69" s="97"/>
      <c r="V69" s="97"/>
      <c r="W69" s="97"/>
      <c r="X69" s="129"/>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97"/>
      <c r="BX69" s="97"/>
      <c r="BY69" s="97"/>
      <c r="BZ69" s="97"/>
      <c r="CA69" s="97"/>
      <c r="CB69" s="97"/>
      <c r="CC69" s="97"/>
      <c r="CD69" s="97"/>
      <c r="CE69" s="97"/>
      <c r="CF69" s="97"/>
      <c r="CG69" s="97"/>
      <c r="CH69" s="97"/>
      <c r="CI69" s="97"/>
      <c r="CJ69" s="97"/>
      <c r="CK69" s="97"/>
      <c r="CL69" s="97"/>
      <c r="CM69" s="97"/>
      <c r="CN69" s="97"/>
      <c r="CO69" s="97"/>
      <c r="CP69" s="97"/>
      <c r="CQ69" s="97"/>
      <c r="CR69" s="97"/>
      <c r="CS69" s="97"/>
      <c r="CT69" s="97"/>
      <c r="CU69" s="97"/>
      <c r="CV69" s="97"/>
      <c r="CW69" s="97"/>
      <c r="CX69" s="97"/>
      <c r="CY69" s="97"/>
      <c r="CZ69" s="97"/>
      <c r="DA69" s="97"/>
      <c r="DB69" s="97"/>
      <c r="DC69" s="97"/>
      <c r="DD69" s="97"/>
      <c r="DE69" s="97"/>
      <c r="DF69" s="97"/>
      <c r="DG69" s="97"/>
      <c r="DH69" s="97"/>
      <c r="DI69" s="97"/>
      <c r="DJ69" s="97"/>
      <c r="DK69" s="97"/>
      <c r="DL69" s="97"/>
      <c r="DM69" s="97"/>
      <c r="DN69" s="97"/>
      <c r="DO69" s="97"/>
      <c r="DP69" s="97"/>
      <c r="DQ69" s="97"/>
      <c r="DR69" s="97"/>
      <c r="DS69" s="97"/>
      <c r="DT69" s="97"/>
      <c r="DU69" s="97"/>
      <c r="DV69" s="97"/>
      <c r="DW69" s="97"/>
      <c r="DX69" s="97"/>
      <c r="DY69" s="97"/>
      <c r="DZ69" s="97"/>
      <c r="EA69" s="97"/>
      <c r="EB69" s="97"/>
      <c r="EC69" s="97"/>
      <c r="ED69" s="97"/>
      <c r="EE69" s="97"/>
      <c r="EF69" s="97"/>
      <c r="EG69" s="97"/>
      <c r="EH69" s="97"/>
      <c r="EI69" s="97"/>
      <c r="EJ69" s="97"/>
      <c r="EK69" s="97"/>
      <c r="EL69" s="97"/>
      <c r="EM69" s="97"/>
      <c r="EN69" s="97"/>
      <c r="EO69" s="97"/>
      <c r="EP69" s="97"/>
      <c r="EQ69" s="97"/>
      <c r="ER69" s="97"/>
      <c r="ES69" s="97"/>
      <c r="ET69" s="97"/>
    </row>
    <row r="70" spans="1:150" ht="15.75" customHeight="1">
      <c r="A70" s="97"/>
      <c r="B70" s="97"/>
      <c r="C70" s="97"/>
      <c r="D70" s="97"/>
      <c r="E70" s="97"/>
      <c r="F70" s="97"/>
      <c r="G70" s="97"/>
      <c r="H70" s="129"/>
      <c r="I70" s="97"/>
      <c r="J70" s="97"/>
      <c r="K70" s="97"/>
      <c r="L70" s="97"/>
      <c r="M70" s="97"/>
      <c r="N70" s="97"/>
      <c r="O70" s="97"/>
      <c r="P70" s="97"/>
      <c r="Q70" s="97"/>
      <c r="R70" s="97"/>
      <c r="S70" s="97"/>
      <c r="T70" s="97"/>
      <c r="U70" s="97"/>
      <c r="V70" s="97"/>
      <c r="W70" s="97"/>
      <c r="X70" s="129"/>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97"/>
      <c r="BX70" s="97"/>
      <c r="BY70" s="97"/>
      <c r="BZ70" s="97"/>
      <c r="CA70" s="97"/>
      <c r="CB70" s="97"/>
      <c r="CC70" s="97"/>
      <c r="CD70" s="97"/>
      <c r="CE70" s="97"/>
      <c r="CF70" s="97"/>
      <c r="CG70" s="97"/>
      <c r="CH70" s="97"/>
      <c r="CI70" s="97"/>
      <c r="CJ70" s="97"/>
      <c r="CK70" s="97"/>
      <c r="CL70" s="97"/>
      <c r="CM70" s="97"/>
      <c r="CN70" s="97"/>
      <c r="CO70" s="97"/>
      <c r="CP70" s="97"/>
      <c r="CQ70" s="97"/>
      <c r="CR70" s="97"/>
      <c r="CS70" s="97"/>
      <c r="CT70" s="97"/>
      <c r="CU70" s="97"/>
      <c r="CV70" s="97"/>
      <c r="CW70" s="97"/>
      <c r="CX70" s="97"/>
      <c r="CY70" s="97"/>
      <c r="CZ70" s="97"/>
      <c r="DA70" s="97"/>
      <c r="DB70" s="97"/>
      <c r="DC70" s="97"/>
      <c r="DD70" s="97"/>
      <c r="DE70" s="97"/>
      <c r="DF70" s="97"/>
      <c r="DG70" s="97"/>
      <c r="DH70" s="97"/>
      <c r="DI70" s="97"/>
      <c r="DJ70" s="97"/>
      <c r="DK70" s="97"/>
      <c r="DL70" s="97"/>
      <c r="DM70" s="97"/>
      <c r="DN70" s="97"/>
      <c r="DO70" s="97"/>
      <c r="DP70" s="97"/>
      <c r="DQ70" s="97"/>
      <c r="DR70" s="97"/>
      <c r="DS70" s="97"/>
      <c r="DT70" s="97"/>
      <c r="DU70" s="97"/>
      <c r="DV70" s="97"/>
      <c r="DW70" s="97"/>
      <c r="DX70" s="97"/>
      <c r="DY70" s="97"/>
      <c r="DZ70" s="97"/>
      <c r="EA70" s="97"/>
      <c r="EB70" s="97"/>
      <c r="EC70" s="97"/>
      <c r="ED70" s="97"/>
      <c r="EE70" s="97"/>
      <c r="EF70" s="97"/>
      <c r="EG70" s="97"/>
      <c r="EH70" s="97"/>
      <c r="EI70" s="97"/>
      <c r="EJ70" s="97"/>
      <c r="EK70" s="97"/>
      <c r="EL70" s="97"/>
      <c r="EM70" s="97"/>
      <c r="EN70" s="97"/>
      <c r="EO70" s="97"/>
      <c r="EP70" s="97"/>
      <c r="EQ70" s="97"/>
      <c r="ER70" s="97"/>
      <c r="ES70" s="97"/>
      <c r="ET70" s="97"/>
    </row>
    <row r="71" spans="1:150" ht="15.75" customHeight="1">
      <c r="A71" s="97"/>
      <c r="B71" s="97"/>
      <c r="C71" s="97"/>
      <c r="D71" s="97"/>
      <c r="E71" s="97"/>
      <c r="F71" s="97"/>
      <c r="G71" s="97"/>
      <c r="H71" s="129"/>
      <c r="I71" s="97"/>
      <c r="J71" s="97"/>
      <c r="K71" s="97"/>
      <c r="L71" s="97"/>
      <c r="M71" s="97"/>
      <c r="N71" s="97"/>
      <c r="O71" s="97"/>
      <c r="P71" s="97"/>
      <c r="Q71" s="97"/>
      <c r="R71" s="97"/>
      <c r="S71" s="97"/>
      <c r="T71" s="97"/>
      <c r="U71" s="97"/>
      <c r="V71" s="97"/>
      <c r="W71" s="97"/>
      <c r="X71" s="129"/>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97"/>
      <c r="BX71" s="97"/>
      <c r="BY71" s="97"/>
      <c r="BZ71" s="97"/>
      <c r="CA71" s="97"/>
      <c r="CB71" s="97"/>
      <c r="CC71" s="97"/>
      <c r="CD71" s="97"/>
      <c r="CE71" s="97"/>
      <c r="CF71" s="97"/>
      <c r="CG71" s="97"/>
      <c r="CH71" s="97"/>
      <c r="CI71" s="97"/>
      <c r="CJ71" s="97"/>
      <c r="CK71" s="97"/>
      <c r="CL71" s="97"/>
      <c r="CM71" s="97"/>
      <c r="CN71" s="97"/>
      <c r="CO71" s="97"/>
      <c r="CP71" s="97"/>
      <c r="CQ71" s="97"/>
      <c r="CR71" s="97"/>
      <c r="CS71" s="97"/>
      <c r="CT71" s="97"/>
      <c r="CU71" s="97"/>
      <c r="CV71" s="97"/>
      <c r="CW71" s="97"/>
      <c r="CX71" s="97"/>
      <c r="CY71" s="97"/>
      <c r="CZ71" s="97"/>
      <c r="DA71" s="97"/>
      <c r="DB71" s="97"/>
      <c r="DC71" s="97"/>
      <c r="DD71" s="97"/>
      <c r="DE71" s="97"/>
      <c r="DF71" s="97"/>
      <c r="DG71" s="97"/>
      <c r="DH71" s="97"/>
      <c r="DI71" s="97"/>
      <c r="DJ71" s="97"/>
      <c r="DK71" s="97"/>
      <c r="DL71" s="97"/>
      <c r="DM71" s="97"/>
      <c r="DN71" s="97"/>
      <c r="DO71" s="97"/>
      <c r="DP71" s="97"/>
      <c r="DQ71" s="97"/>
      <c r="DR71" s="97"/>
      <c r="DS71" s="97"/>
      <c r="DT71" s="97"/>
      <c r="DU71" s="97"/>
      <c r="DV71" s="97"/>
      <c r="DW71" s="97"/>
      <c r="DX71" s="97"/>
      <c r="DY71" s="97"/>
      <c r="DZ71" s="97"/>
      <c r="EA71" s="97"/>
      <c r="EB71" s="97"/>
      <c r="EC71" s="97"/>
      <c r="ED71" s="97"/>
      <c r="EE71" s="97"/>
      <c r="EF71" s="97"/>
      <c r="EG71" s="97"/>
      <c r="EH71" s="97"/>
      <c r="EI71" s="97"/>
      <c r="EJ71" s="97"/>
      <c r="EK71" s="97"/>
      <c r="EL71" s="97"/>
      <c r="EM71" s="97"/>
      <c r="EN71" s="97"/>
      <c r="EO71" s="97"/>
      <c r="EP71" s="97"/>
      <c r="EQ71" s="97"/>
      <c r="ER71" s="97"/>
      <c r="ES71" s="97"/>
      <c r="ET71" s="97"/>
    </row>
    <row r="72" spans="1:150" ht="15.75" customHeight="1">
      <c r="A72" s="97"/>
      <c r="B72" s="97"/>
      <c r="C72" s="97"/>
      <c r="D72" s="97"/>
      <c r="E72" s="97"/>
      <c r="F72" s="97"/>
      <c r="G72" s="97"/>
      <c r="H72" s="129"/>
      <c r="I72" s="97"/>
      <c r="J72" s="97"/>
      <c r="K72" s="97"/>
      <c r="L72" s="97"/>
      <c r="M72" s="97"/>
      <c r="N72" s="97"/>
      <c r="O72" s="97"/>
      <c r="P72" s="97"/>
      <c r="Q72" s="97"/>
      <c r="R72" s="97"/>
      <c r="S72" s="97"/>
      <c r="T72" s="97"/>
      <c r="U72" s="97"/>
      <c r="V72" s="97"/>
      <c r="W72" s="97"/>
      <c r="X72" s="129"/>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97"/>
      <c r="BX72" s="97"/>
      <c r="BY72" s="97"/>
      <c r="BZ72" s="97"/>
      <c r="CA72" s="97"/>
      <c r="CB72" s="97"/>
      <c r="CC72" s="97"/>
      <c r="CD72" s="97"/>
      <c r="CE72" s="97"/>
      <c r="CF72" s="97"/>
      <c r="CG72" s="97"/>
      <c r="CH72" s="97"/>
      <c r="CI72" s="97"/>
      <c r="CJ72" s="97"/>
      <c r="CK72" s="97"/>
      <c r="CL72" s="97"/>
      <c r="CM72" s="97"/>
      <c r="CN72" s="97"/>
      <c r="CO72" s="97"/>
      <c r="CP72" s="97"/>
      <c r="CQ72" s="97"/>
      <c r="CR72" s="97"/>
      <c r="CS72" s="97"/>
      <c r="CT72" s="97"/>
      <c r="CU72" s="97"/>
      <c r="CV72" s="97"/>
      <c r="CW72" s="97"/>
      <c r="CX72" s="97"/>
      <c r="CY72" s="97"/>
      <c r="CZ72" s="97"/>
      <c r="DA72" s="97"/>
      <c r="DB72" s="97"/>
      <c r="DC72" s="97"/>
      <c r="DD72" s="97"/>
      <c r="DE72" s="97"/>
      <c r="DF72" s="97"/>
      <c r="DG72" s="97"/>
      <c r="DH72" s="97"/>
      <c r="DI72" s="97"/>
      <c r="DJ72" s="97"/>
      <c r="DK72" s="97"/>
      <c r="DL72" s="97"/>
      <c r="DM72" s="97"/>
      <c r="DN72" s="97"/>
      <c r="DO72" s="97"/>
      <c r="DP72" s="97"/>
      <c r="DQ72" s="97"/>
      <c r="DR72" s="97"/>
      <c r="DS72" s="97"/>
      <c r="DT72" s="97"/>
      <c r="DU72" s="97"/>
      <c r="DV72" s="97"/>
      <c r="DW72" s="97"/>
      <c r="DX72" s="97"/>
      <c r="DY72" s="97"/>
      <c r="DZ72" s="97"/>
      <c r="EA72" s="97"/>
      <c r="EB72" s="97"/>
      <c r="EC72" s="97"/>
      <c r="ED72" s="97"/>
      <c r="EE72" s="97"/>
      <c r="EF72" s="97"/>
      <c r="EG72" s="97"/>
      <c r="EH72" s="97"/>
      <c r="EI72" s="97"/>
      <c r="EJ72" s="97"/>
      <c r="EK72" s="97"/>
      <c r="EL72" s="97"/>
      <c r="EM72" s="97"/>
      <c r="EN72" s="97"/>
      <c r="EO72" s="97"/>
      <c r="EP72" s="97"/>
      <c r="EQ72" s="97"/>
      <c r="ER72" s="97"/>
      <c r="ES72" s="97"/>
      <c r="ET72" s="97"/>
    </row>
    <row r="73" spans="1:150" ht="15.75" customHeight="1">
      <c r="A73" s="97"/>
      <c r="B73" s="97"/>
      <c r="C73" s="97"/>
      <c r="D73" s="97"/>
      <c r="E73" s="97"/>
      <c r="F73" s="97"/>
      <c r="G73" s="97"/>
      <c r="H73" s="129"/>
      <c r="I73" s="97"/>
      <c r="J73" s="97"/>
      <c r="K73" s="97"/>
      <c r="L73" s="97"/>
      <c r="M73" s="97"/>
      <c r="N73" s="97"/>
      <c r="O73" s="97"/>
      <c r="P73" s="97"/>
      <c r="Q73" s="97"/>
      <c r="R73" s="97"/>
      <c r="S73" s="97"/>
      <c r="T73" s="97"/>
      <c r="U73" s="97"/>
      <c r="V73" s="97"/>
      <c r="W73" s="97"/>
      <c r="X73" s="129"/>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97"/>
      <c r="BX73" s="97"/>
      <c r="BY73" s="97"/>
      <c r="BZ73" s="97"/>
      <c r="CA73" s="97"/>
      <c r="CB73" s="97"/>
      <c r="CC73" s="97"/>
      <c r="CD73" s="97"/>
      <c r="CE73" s="97"/>
      <c r="CF73" s="97"/>
      <c r="CG73" s="97"/>
      <c r="CH73" s="97"/>
      <c r="CI73" s="97"/>
      <c r="CJ73" s="97"/>
      <c r="CK73" s="97"/>
      <c r="CL73" s="97"/>
      <c r="CM73" s="97"/>
      <c r="CN73" s="97"/>
      <c r="CO73" s="97"/>
      <c r="CP73" s="97"/>
      <c r="CQ73" s="97"/>
      <c r="CR73" s="97"/>
      <c r="CS73" s="97"/>
      <c r="CT73" s="97"/>
      <c r="CU73" s="97"/>
      <c r="CV73" s="97"/>
      <c r="CW73" s="97"/>
      <c r="CX73" s="97"/>
      <c r="CY73" s="97"/>
      <c r="CZ73" s="97"/>
      <c r="DA73" s="97"/>
      <c r="DB73" s="97"/>
      <c r="DC73" s="97"/>
      <c r="DD73" s="97"/>
      <c r="DE73" s="97"/>
      <c r="DF73" s="97"/>
      <c r="DG73" s="97"/>
      <c r="DH73" s="97"/>
      <c r="DI73" s="97"/>
      <c r="DJ73" s="97"/>
      <c r="DK73" s="97"/>
      <c r="DL73" s="97"/>
      <c r="DM73" s="97"/>
      <c r="DN73" s="97"/>
      <c r="DO73" s="97"/>
      <c r="DP73" s="97"/>
      <c r="DQ73" s="97"/>
      <c r="DR73" s="97"/>
      <c r="DS73" s="97"/>
      <c r="DT73" s="97"/>
      <c r="DU73" s="97"/>
      <c r="DV73" s="97"/>
      <c r="DW73" s="97"/>
      <c r="DX73" s="97"/>
      <c r="DY73" s="97"/>
      <c r="DZ73" s="97"/>
      <c r="EA73" s="97"/>
      <c r="EB73" s="97"/>
      <c r="EC73" s="97"/>
      <c r="ED73" s="97"/>
      <c r="EE73" s="97"/>
      <c r="EF73" s="97"/>
      <c r="EG73" s="97"/>
      <c r="EH73" s="97"/>
      <c r="EI73" s="97"/>
      <c r="EJ73" s="97"/>
      <c r="EK73" s="97"/>
      <c r="EL73" s="97"/>
      <c r="EM73" s="97"/>
      <c r="EN73" s="97"/>
      <c r="EO73" s="97"/>
      <c r="EP73" s="97"/>
      <c r="EQ73" s="97"/>
      <c r="ER73" s="97"/>
      <c r="ES73" s="97"/>
      <c r="ET73" s="97"/>
    </row>
    <row r="74" spans="1:150" ht="15.75" customHeight="1">
      <c r="A74" s="97"/>
      <c r="B74" s="97"/>
      <c r="C74" s="97"/>
      <c r="D74" s="97"/>
      <c r="E74" s="97"/>
      <c r="F74" s="97"/>
      <c r="G74" s="97"/>
      <c r="H74" s="129"/>
      <c r="I74" s="97"/>
      <c r="J74" s="97"/>
      <c r="K74" s="97"/>
      <c r="L74" s="97"/>
      <c r="M74" s="97"/>
      <c r="N74" s="97"/>
      <c r="O74" s="97"/>
      <c r="P74" s="97"/>
      <c r="Q74" s="97"/>
      <c r="R74" s="97"/>
      <c r="S74" s="97"/>
      <c r="T74" s="97"/>
      <c r="U74" s="97"/>
      <c r="V74" s="97"/>
      <c r="W74" s="97"/>
      <c r="X74" s="129"/>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97"/>
      <c r="BX74" s="97"/>
      <c r="BY74" s="97"/>
      <c r="BZ74" s="97"/>
      <c r="CA74" s="97"/>
      <c r="CB74" s="97"/>
      <c r="CC74" s="97"/>
      <c r="CD74" s="97"/>
      <c r="CE74" s="97"/>
      <c r="CF74" s="97"/>
      <c r="CG74" s="97"/>
      <c r="CH74" s="97"/>
      <c r="CI74" s="97"/>
      <c r="CJ74" s="97"/>
      <c r="CK74" s="97"/>
      <c r="CL74" s="97"/>
      <c r="CM74" s="97"/>
      <c r="CN74" s="97"/>
      <c r="CO74" s="97"/>
      <c r="CP74" s="97"/>
      <c r="CQ74" s="97"/>
      <c r="CR74" s="97"/>
      <c r="CS74" s="97"/>
      <c r="CT74" s="97"/>
      <c r="CU74" s="97"/>
      <c r="CV74" s="97"/>
      <c r="CW74" s="97"/>
      <c r="CX74" s="97"/>
      <c r="CY74" s="97"/>
      <c r="CZ74" s="97"/>
      <c r="DA74" s="97"/>
      <c r="DB74" s="97"/>
      <c r="DC74" s="97"/>
      <c r="DD74" s="97"/>
      <c r="DE74" s="97"/>
      <c r="DF74" s="97"/>
      <c r="DG74" s="97"/>
      <c r="DH74" s="97"/>
      <c r="DI74" s="97"/>
      <c r="DJ74" s="97"/>
      <c r="DK74" s="97"/>
      <c r="DL74" s="97"/>
      <c r="DM74" s="97"/>
      <c r="DN74" s="97"/>
      <c r="DO74" s="97"/>
      <c r="DP74" s="97"/>
      <c r="DQ74" s="97"/>
      <c r="DR74" s="97"/>
      <c r="DS74" s="97"/>
      <c r="DT74" s="97"/>
      <c r="DU74" s="97"/>
      <c r="DV74" s="97"/>
      <c r="DW74" s="97"/>
      <c r="DX74" s="97"/>
      <c r="DY74" s="97"/>
      <c r="DZ74" s="97"/>
      <c r="EA74" s="97"/>
      <c r="EB74" s="97"/>
      <c r="EC74" s="97"/>
      <c r="ED74" s="97"/>
      <c r="EE74" s="97"/>
      <c r="EF74" s="97"/>
      <c r="EG74" s="97"/>
      <c r="EH74" s="97"/>
      <c r="EI74" s="97"/>
      <c r="EJ74" s="97"/>
      <c r="EK74" s="97"/>
      <c r="EL74" s="97"/>
      <c r="EM74" s="97"/>
      <c r="EN74" s="97"/>
      <c r="EO74" s="97"/>
      <c r="EP74" s="97"/>
      <c r="EQ74" s="97"/>
      <c r="ER74" s="97"/>
      <c r="ES74" s="97"/>
      <c r="ET74" s="97"/>
    </row>
    <row r="75" spans="1:150" ht="15.75" customHeight="1">
      <c r="A75" s="97"/>
      <c r="B75" s="97"/>
      <c r="C75" s="97"/>
      <c r="D75" s="97"/>
      <c r="E75" s="97"/>
      <c r="F75" s="97"/>
      <c r="G75" s="97"/>
      <c r="H75" s="129"/>
      <c r="I75" s="97"/>
      <c r="J75" s="97"/>
      <c r="K75" s="97"/>
      <c r="L75" s="97"/>
      <c r="M75" s="97"/>
      <c r="N75" s="97"/>
      <c r="O75" s="97"/>
      <c r="P75" s="97"/>
      <c r="Q75" s="97"/>
      <c r="R75" s="97"/>
      <c r="S75" s="97"/>
      <c r="T75" s="97"/>
      <c r="U75" s="97"/>
      <c r="V75" s="97"/>
      <c r="W75" s="97"/>
      <c r="X75" s="129"/>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97"/>
      <c r="BX75" s="97"/>
      <c r="BY75" s="97"/>
      <c r="BZ75" s="97"/>
      <c r="CA75" s="97"/>
      <c r="CB75" s="97"/>
      <c r="CC75" s="97"/>
      <c r="CD75" s="97"/>
      <c r="CE75" s="97"/>
      <c r="CF75" s="97"/>
      <c r="CG75" s="97"/>
      <c r="CH75" s="97"/>
      <c r="CI75" s="97"/>
      <c r="CJ75" s="97"/>
      <c r="CK75" s="97"/>
      <c r="CL75" s="97"/>
      <c r="CM75" s="97"/>
      <c r="CN75" s="97"/>
      <c r="CO75" s="97"/>
      <c r="CP75" s="97"/>
      <c r="CQ75" s="97"/>
      <c r="CR75" s="97"/>
      <c r="CS75" s="97"/>
      <c r="CT75" s="97"/>
      <c r="CU75" s="97"/>
      <c r="CV75" s="97"/>
      <c r="CW75" s="97"/>
      <c r="CX75" s="97"/>
      <c r="CY75" s="97"/>
      <c r="CZ75" s="97"/>
      <c r="DA75" s="97"/>
      <c r="DB75" s="97"/>
      <c r="DC75" s="97"/>
      <c r="DD75" s="97"/>
      <c r="DE75" s="97"/>
      <c r="DF75" s="97"/>
      <c r="DG75" s="97"/>
      <c r="DH75" s="97"/>
      <c r="DI75" s="97"/>
      <c r="DJ75" s="97"/>
      <c r="DK75" s="97"/>
      <c r="DL75" s="97"/>
      <c r="DM75" s="97"/>
      <c r="DN75" s="97"/>
      <c r="DO75" s="97"/>
      <c r="DP75" s="97"/>
      <c r="DQ75" s="97"/>
      <c r="DR75" s="97"/>
      <c r="DS75" s="97"/>
      <c r="DT75" s="97"/>
      <c r="DU75" s="97"/>
      <c r="DV75" s="97"/>
      <c r="DW75" s="97"/>
      <c r="DX75" s="97"/>
      <c r="DY75" s="97"/>
      <c r="DZ75" s="97"/>
      <c r="EA75" s="97"/>
      <c r="EB75" s="97"/>
      <c r="EC75" s="97"/>
      <c r="ED75" s="97"/>
      <c r="EE75" s="97"/>
      <c r="EF75" s="97"/>
      <c r="EG75" s="97"/>
      <c r="EH75" s="97"/>
      <c r="EI75" s="97"/>
      <c r="EJ75" s="97"/>
      <c r="EK75" s="97"/>
      <c r="EL75" s="97"/>
      <c r="EM75" s="97"/>
      <c r="EN75" s="97"/>
      <c r="EO75" s="97"/>
      <c r="EP75" s="97"/>
      <c r="EQ75" s="97"/>
      <c r="ER75" s="97"/>
      <c r="ES75" s="97"/>
      <c r="ET75" s="97"/>
    </row>
    <row r="76" spans="1:150" ht="15.75" customHeight="1">
      <c r="A76" s="97"/>
      <c r="B76" s="97"/>
      <c r="C76" s="97"/>
      <c r="D76" s="97"/>
      <c r="E76" s="97"/>
      <c r="F76" s="97"/>
      <c r="G76" s="97"/>
      <c r="H76" s="129"/>
      <c r="I76" s="97"/>
      <c r="J76" s="97"/>
      <c r="K76" s="97"/>
      <c r="L76" s="97"/>
      <c r="M76" s="97"/>
      <c r="N76" s="97"/>
      <c r="O76" s="97"/>
      <c r="P76" s="97"/>
      <c r="Q76" s="97"/>
      <c r="R76" s="97"/>
      <c r="S76" s="97"/>
      <c r="T76" s="97"/>
      <c r="U76" s="97"/>
      <c r="V76" s="97"/>
      <c r="W76" s="97"/>
      <c r="X76" s="129"/>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97"/>
      <c r="BX76" s="97"/>
      <c r="BY76" s="97"/>
      <c r="BZ76" s="97"/>
      <c r="CA76" s="97"/>
      <c r="CB76" s="97"/>
      <c r="CC76" s="97"/>
      <c r="CD76" s="97"/>
      <c r="CE76" s="97"/>
      <c r="CF76" s="97"/>
      <c r="CG76" s="97"/>
      <c r="CH76" s="97"/>
      <c r="CI76" s="97"/>
      <c r="CJ76" s="97"/>
      <c r="CK76" s="97"/>
      <c r="CL76" s="97"/>
      <c r="CM76" s="97"/>
      <c r="CN76" s="97"/>
      <c r="CO76" s="97"/>
      <c r="CP76" s="97"/>
      <c r="CQ76" s="97"/>
      <c r="CR76" s="97"/>
      <c r="CS76" s="97"/>
      <c r="CT76" s="97"/>
      <c r="CU76" s="97"/>
      <c r="CV76" s="97"/>
      <c r="CW76" s="97"/>
      <c r="CX76" s="97"/>
      <c r="CY76" s="97"/>
      <c r="CZ76" s="97"/>
      <c r="DA76" s="97"/>
      <c r="DB76" s="97"/>
      <c r="DC76" s="97"/>
      <c r="DD76" s="97"/>
      <c r="DE76" s="97"/>
      <c r="DF76" s="97"/>
      <c r="DG76" s="97"/>
      <c r="DH76" s="97"/>
      <c r="DI76" s="97"/>
      <c r="DJ76" s="97"/>
      <c r="DK76" s="97"/>
      <c r="DL76" s="97"/>
      <c r="DM76" s="97"/>
      <c r="DN76" s="97"/>
      <c r="DO76" s="97"/>
      <c r="DP76" s="97"/>
      <c r="DQ76" s="97"/>
      <c r="DR76" s="97"/>
      <c r="DS76" s="97"/>
      <c r="DT76" s="97"/>
      <c r="DU76" s="97"/>
      <c r="DV76" s="97"/>
      <c r="DW76" s="97"/>
      <c r="DX76" s="97"/>
      <c r="DY76" s="97"/>
      <c r="DZ76" s="97"/>
      <c r="EA76" s="97"/>
      <c r="EB76" s="97"/>
      <c r="EC76" s="97"/>
      <c r="ED76" s="97"/>
      <c r="EE76" s="97"/>
      <c r="EF76" s="97"/>
      <c r="EG76" s="97"/>
      <c r="EH76" s="97"/>
      <c r="EI76" s="97"/>
      <c r="EJ76" s="97"/>
      <c r="EK76" s="97"/>
      <c r="EL76" s="97"/>
      <c r="EM76" s="97"/>
      <c r="EN76" s="97"/>
      <c r="EO76" s="97"/>
      <c r="EP76" s="97"/>
      <c r="EQ76" s="97"/>
      <c r="ER76" s="97"/>
      <c r="ES76" s="97"/>
      <c r="ET76" s="97"/>
    </row>
    <row r="77" spans="1:150" ht="15.75" customHeight="1">
      <c r="A77" s="97"/>
      <c r="B77" s="97"/>
      <c r="C77" s="97"/>
      <c r="D77" s="97"/>
      <c r="E77" s="97"/>
      <c r="F77" s="97"/>
      <c r="G77" s="97"/>
      <c r="H77" s="129"/>
      <c r="I77" s="97"/>
      <c r="J77" s="97"/>
      <c r="K77" s="97"/>
      <c r="L77" s="97"/>
      <c r="M77" s="97"/>
      <c r="N77" s="97"/>
      <c r="O77" s="97"/>
      <c r="P77" s="97"/>
      <c r="Q77" s="97"/>
      <c r="R77" s="97"/>
      <c r="S77" s="97"/>
      <c r="T77" s="97"/>
      <c r="U77" s="97"/>
      <c r="V77" s="97"/>
      <c r="W77" s="97"/>
      <c r="X77" s="129"/>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97"/>
      <c r="BX77" s="97"/>
      <c r="BY77" s="97"/>
      <c r="BZ77" s="97"/>
      <c r="CA77" s="97"/>
      <c r="CB77" s="97"/>
      <c r="CC77" s="97"/>
      <c r="CD77" s="97"/>
      <c r="CE77" s="97"/>
      <c r="CF77" s="97"/>
      <c r="CG77" s="97"/>
      <c r="CH77" s="97"/>
      <c r="CI77" s="97"/>
      <c r="CJ77" s="97"/>
      <c r="CK77" s="97"/>
      <c r="CL77" s="97"/>
      <c r="CM77" s="97"/>
      <c r="CN77" s="97"/>
      <c r="CO77" s="97"/>
      <c r="CP77" s="97"/>
      <c r="CQ77" s="97"/>
      <c r="CR77" s="97"/>
      <c r="CS77" s="97"/>
      <c r="CT77" s="97"/>
      <c r="CU77" s="97"/>
      <c r="CV77" s="97"/>
      <c r="CW77" s="97"/>
      <c r="CX77" s="97"/>
      <c r="CY77" s="97"/>
      <c r="CZ77" s="97"/>
      <c r="DA77" s="97"/>
      <c r="DB77" s="97"/>
      <c r="DC77" s="97"/>
      <c r="DD77" s="97"/>
      <c r="DE77" s="97"/>
      <c r="DF77" s="97"/>
      <c r="DG77" s="97"/>
      <c r="DH77" s="97"/>
      <c r="DI77" s="97"/>
      <c r="DJ77" s="97"/>
      <c r="DK77" s="97"/>
      <c r="DL77" s="97"/>
      <c r="DM77" s="97"/>
      <c r="DN77" s="97"/>
      <c r="DO77" s="97"/>
      <c r="DP77" s="97"/>
      <c r="DQ77" s="97"/>
      <c r="DR77" s="97"/>
      <c r="DS77" s="97"/>
      <c r="DT77" s="97"/>
      <c r="DU77" s="97"/>
      <c r="DV77" s="97"/>
      <c r="DW77" s="97"/>
      <c r="DX77" s="97"/>
      <c r="DY77" s="97"/>
      <c r="DZ77" s="97"/>
      <c r="EA77" s="97"/>
      <c r="EB77" s="97"/>
      <c r="EC77" s="97"/>
      <c r="ED77" s="97"/>
      <c r="EE77" s="97"/>
      <c r="EF77" s="97"/>
      <c r="EG77" s="97"/>
      <c r="EH77" s="97"/>
      <c r="EI77" s="97"/>
      <c r="EJ77" s="97"/>
      <c r="EK77" s="97"/>
      <c r="EL77" s="97"/>
      <c r="EM77" s="97"/>
      <c r="EN77" s="97"/>
      <c r="EO77" s="97"/>
      <c r="EP77" s="97"/>
      <c r="EQ77" s="97"/>
      <c r="ER77" s="97"/>
      <c r="ES77" s="97"/>
      <c r="ET77" s="97"/>
    </row>
    <row r="78" spans="1:150" ht="15.75" customHeight="1">
      <c r="A78" s="97"/>
      <c r="B78" s="97"/>
      <c r="C78" s="97"/>
      <c r="D78" s="97"/>
      <c r="E78" s="97"/>
      <c r="F78" s="97"/>
      <c r="G78" s="97"/>
      <c r="H78" s="129"/>
      <c r="I78" s="97"/>
      <c r="J78" s="97"/>
      <c r="K78" s="97"/>
      <c r="L78" s="97"/>
      <c r="M78" s="97"/>
      <c r="N78" s="97"/>
      <c r="O78" s="97"/>
      <c r="P78" s="97"/>
      <c r="Q78" s="97"/>
      <c r="R78" s="97"/>
      <c r="S78" s="97"/>
      <c r="T78" s="97"/>
      <c r="U78" s="97"/>
      <c r="V78" s="97"/>
      <c r="W78" s="97"/>
      <c r="X78" s="129"/>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97"/>
      <c r="BX78" s="97"/>
      <c r="BY78" s="97"/>
      <c r="BZ78" s="97"/>
      <c r="CA78" s="97"/>
      <c r="CB78" s="97"/>
      <c r="CC78" s="97"/>
      <c r="CD78" s="97"/>
      <c r="CE78" s="97"/>
      <c r="CF78" s="97"/>
      <c r="CG78" s="97"/>
      <c r="CH78" s="97"/>
      <c r="CI78" s="97"/>
      <c r="CJ78" s="97"/>
      <c r="CK78" s="97"/>
      <c r="CL78" s="97"/>
      <c r="CM78" s="97"/>
      <c r="CN78" s="97"/>
      <c r="CO78" s="97"/>
      <c r="CP78" s="97"/>
      <c r="CQ78" s="97"/>
      <c r="CR78" s="97"/>
      <c r="CS78" s="97"/>
      <c r="CT78" s="97"/>
      <c r="CU78" s="97"/>
      <c r="CV78" s="97"/>
      <c r="CW78" s="97"/>
      <c r="CX78" s="97"/>
      <c r="CY78" s="97"/>
      <c r="CZ78" s="97"/>
      <c r="DA78" s="97"/>
      <c r="DB78" s="97"/>
      <c r="DC78" s="97"/>
      <c r="DD78" s="97"/>
      <c r="DE78" s="97"/>
      <c r="DF78" s="97"/>
      <c r="DG78" s="97"/>
      <c r="DH78" s="97"/>
      <c r="DI78" s="97"/>
      <c r="DJ78" s="97"/>
      <c r="DK78" s="97"/>
      <c r="DL78" s="97"/>
      <c r="DM78" s="97"/>
      <c r="DN78" s="97"/>
      <c r="DO78" s="97"/>
      <c r="DP78" s="97"/>
      <c r="DQ78" s="97"/>
      <c r="DR78" s="97"/>
      <c r="DS78" s="97"/>
      <c r="DT78" s="97"/>
      <c r="DU78" s="97"/>
      <c r="DV78" s="97"/>
      <c r="DW78" s="97"/>
      <c r="DX78" s="97"/>
      <c r="DY78" s="97"/>
      <c r="DZ78" s="97"/>
      <c r="EA78" s="97"/>
      <c r="EB78" s="97"/>
      <c r="EC78" s="97"/>
      <c r="ED78" s="97"/>
      <c r="EE78" s="97"/>
      <c r="EF78" s="97"/>
      <c r="EG78" s="97"/>
      <c r="EH78" s="97"/>
      <c r="EI78" s="97"/>
      <c r="EJ78" s="97"/>
      <c r="EK78" s="97"/>
      <c r="EL78" s="97"/>
      <c r="EM78" s="97"/>
      <c r="EN78" s="97"/>
      <c r="EO78" s="97"/>
      <c r="EP78" s="97"/>
      <c r="EQ78" s="97"/>
      <c r="ER78" s="97"/>
      <c r="ES78" s="97"/>
      <c r="ET78" s="97"/>
    </row>
    <row r="79" spans="1:150" ht="15.75" customHeight="1">
      <c r="A79" s="97"/>
      <c r="B79" s="97"/>
      <c r="C79" s="97"/>
      <c r="D79" s="97"/>
      <c r="E79" s="97"/>
      <c r="F79" s="97"/>
      <c r="G79" s="97"/>
      <c r="H79" s="129"/>
      <c r="I79" s="97"/>
      <c r="J79" s="97"/>
      <c r="K79" s="97"/>
      <c r="L79" s="97"/>
      <c r="M79" s="97"/>
      <c r="N79" s="97"/>
      <c r="O79" s="97"/>
      <c r="P79" s="97"/>
      <c r="Q79" s="97"/>
      <c r="R79" s="97"/>
      <c r="S79" s="97"/>
      <c r="T79" s="97"/>
      <c r="U79" s="97"/>
      <c r="V79" s="97"/>
      <c r="W79" s="97"/>
      <c r="X79" s="129"/>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97"/>
      <c r="BX79" s="97"/>
      <c r="BY79" s="97"/>
      <c r="BZ79" s="97"/>
      <c r="CA79" s="97"/>
      <c r="CB79" s="97"/>
      <c r="CC79" s="97"/>
      <c r="CD79" s="97"/>
      <c r="CE79" s="97"/>
      <c r="CF79" s="97"/>
      <c r="CG79" s="97"/>
      <c r="CH79" s="97"/>
      <c r="CI79" s="97"/>
      <c r="CJ79" s="97"/>
      <c r="CK79" s="97"/>
      <c r="CL79" s="97"/>
      <c r="CM79" s="97"/>
      <c r="CN79" s="97"/>
      <c r="CO79" s="97"/>
      <c r="CP79" s="97"/>
      <c r="CQ79" s="97"/>
      <c r="CR79" s="97"/>
      <c r="CS79" s="97"/>
      <c r="CT79" s="97"/>
      <c r="CU79" s="97"/>
      <c r="CV79" s="97"/>
      <c r="CW79" s="97"/>
      <c r="CX79" s="97"/>
      <c r="CY79" s="97"/>
      <c r="CZ79" s="97"/>
      <c r="DA79" s="97"/>
      <c r="DB79" s="97"/>
      <c r="DC79" s="97"/>
      <c r="DD79" s="97"/>
      <c r="DE79" s="97"/>
      <c r="DF79" s="97"/>
      <c r="DG79" s="97"/>
      <c r="DH79" s="97"/>
      <c r="DI79" s="97"/>
      <c r="DJ79" s="97"/>
      <c r="DK79" s="97"/>
      <c r="DL79" s="97"/>
      <c r="DM79" s="97"/>
      <c r="DN79" s="97"/>
      <c r="DO79" s="97"/>
      <c r="DP79" s="97"/>
      <c r="DQ79" s="97"/>
      <c r="DR79" s="97"/>
      <c r="DS79" s="97"/>
      <c r="DT79" s="97"/>
      <c r="DU79" s="97"/>
      <c r="DV79" s="97"/>
      <c r="DW79" s="97"/>
      <c r="DX79" s="97"/>
      <c r="DY79" s="97"/>
      <c r="DZ79" s="97"/>
      <c r="EA79" s="97"/>
      <c r="EB79" s="97"/>
      <c r="EC79" s="97"/>
      <c r="ED79" s="97"/>
      <c r="EE79" s="97"/>
      <c r="EF79" s="97"/>
      <c r="EG79" s="97"/>
      <c r="EH79" s="97"/>
      <c r="EI79" s="97"/>
      <c r="EJ79" s="97"/>
      <c r="EK79" s="97"/>
      <c r="EL79" s="97"/>
      <c r="EM79" s="97"/>
      <c r="EN79" s="97"/>
      <c r="EO79" s="97"/>
      <c r="EP79" s="97"/>
      <c r="EQ79" s="97"/>
      <c r="ER79" s="97"/>
      <c r="ES79" s="97"/>
      <c r="ET79" s="97"/>
    </row>
    <row r="80" spans="1:150" ht="15.75" customHeight="1">
      <c r="A80" s="97"/>
      <c r="B80" s="97"/>
      <c r="C80" s="97"/>
      <c r="D80" s="97"/>
      <c r="E80" s="97"/>
      <c r="F80" s="97"/>
      <c r="G80" s="97"/>
      <c r="H80" s="129"/>
      <c r="I80" s="97"/>
      <c r="J80" s="97"/>
      <c r="K80" s="97"/>
      <c r="L80" s="97"/>
      <c r="M80" s="97"/>
      <c r="N80" s="97"/>
      <c r="O80" s="97"/>
      <c r="P80" s="97"/>
      <c r="Q80" s="97"/>
      <c r="R80" s="97"/>
      <c r="S80" s="97"/>
      <c r="T80" s="97"/>
      <c r="U80" s="97"/>
      <c r="V80" s="97"/>
      <c r="W80" s="97"/>
      <c r="X80" s="129"/>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97"/>
      <c r="BX80" s="97"/>
      <c r="BY80" s="97"/>
      <c r="BZ80" s="97"/>
      <c r="CA80" s="97"/>
      <c r="CB80" s="97"/>
      <c r="CC80" s="97"/>
      <c r="CD80" s="97"/>
      <c r="CE80" s="97"/>
      <c r="CF80" s="97"/>
      <c r="CG80" s="97"/>
      <c r="CH80" s="97"/>
      <c r="CI80" s="97"/>
      <c r="CJ80" s="97"/>
      <c r="CK80" s="97"/>
      <c r="CL80" s="97"/>
      <c r="CM80" s="97"/>
      <c r="CN80" s="97"/>
      <c r="CO80" s="97"/>
      <c r="CP80" s="97"/>
      <c r="CQ80" s="97"/>
      <c r="CR80" s="97"/>
      <c r="CS80" s="97"/>
      <c r="CT80" s="97"/>
      <c r="CU80" s="97"/>
      <c r="CV80" s="97"/>
      <c r="CW80" s="97"/>
      <c r="CX80" s="97"/>
      <c r="CY80" s="97"/>
      <c r="CZ80" s="97"/>
      <c r="DA80" s="97"/>
      <c r="DB80" s="97"/>
      <c r="DC80" s="97"/>
      <c r="DD80" s="97"/>
      <c r="DE80" s="97"/>
      <c r="DF80" s="97"/>
      <c r="DG80" s="97"/>
      <c r="DH80" s="97"/>
      <c r="DI80" s="97"/>
      <c r="DJ80" s="97"/>
      <c r="DK80" s="97"/>
      <c r="DL80" s="97"/>
      <c r="DM80" s="97"/>
      <c r="DN80" s="97"/>
      <c r="DO80" s="97"/>
      <c r="DP80" s="97"/>
      <c r="DQ80" s="97"/>
      <c r="DR80" s="97"/>
      <c r="DS80" s="97"/>
      <c r="DT80" s="97"/>
      <c r="DU80" s="97"/>
      <c r="DV80" s="97"/>
      <c r="DW80" s="97"/>
      <c r="DX80" s="97"/>
      <c r="DY80" s="97"/>
      <c r="DZ80" s="97"/>
      <c r="EA80" s="97"/>
      <c r="EB80" s="97"/>
      <c r="EC80" s="97"/>
      <c r="ED80" s="97"/>
      <c r="EE80" s="97"/>
      <c r="EF80" s="97"/>
      <c r="EG80" s="97"/>
      <c r="EH80" s="97"/>
      <c r="EI80" s="97"/>
      <c r="EJ80" s="97"/>
      <c r="EK80" s="97"/>
      <c r="EL80" s="97"/>
      <c r="EM80" s="97"/>
      <c r="EN80" s="97"/>
      <c r="EO80" s="97"/>
      <c r="EP80" s="97"/>
      <c r="EQ80" s="97"/>
      <c r="ER80" s="97"/>
      <c r="ES80" s="97"/>
      <c r="ET80" s="97"/>
    </row>
    <row r="81" spans="1:150" ht="15.75" customHeight="1">
      <c r="A81" s="97"/>
      <c r="B81" s="97"/>
      <c r="C81" s="97"/>
      <c r="D81" s="97"/>
      <c r="E81" s="97"/>
      <c r="F81" s="97"/>
      <c r="G81" s="97"/>
      <c r="H81" s="129"/>
      <c r="I81" s="97"/>
      <c r="J81" s="97"/>
      <c r="K81" s="97"/>
      <c r="L81" s="97"/>
      <c r="M81" s="97"/>
      <c r="N81" s="97"/>
      <c r="O81" s="97"/>
      <c r="P81" s="97"/>
      <c r="Q81" s="97"/>
      <c r="R81" s="97"/>
      <c r="S81" s="97"/>
      <c r="T81" s="97"/>
      <c r="U81" s="97"/>
      <c r="V81" s="97"/>
      <c r="W81" s="97"/>
      <c r="X81" s="129"/>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97"/>
      <c r="BX81" s="97"/>
      <c r="BY81" s="97"/>
      <c r="BZ81" s="97"/>
      <c r="CA81" s="97"/>
      <c r="CB81" s="97"/>
      <c r="CC81" s="97"/>
      <c r="CD81" s="97"/>
      <c r="CE81" s="97"/>
      <c r="CF81" s="97"/>
      <c r="CG81" s="97"/>
      <c r="CH81" s="97"/>
      <c r="CI81" s="97"/>
      <c r="CJ81" s="97"/>
      <c r="CK81" s="97"/>
      <c r="CL81" s="97"/>
      <c r="CM81" s="97"/>
      <c r="CN81" s="97"/>
      <c r="CO81" s="97"/>
      <c r="CP81" s="97"/>
      <c r="CQ81" s="97"/>
      <c r="CR81" s="97"/>
      <c r="CS81" s="97"/>
      <c r="CT81" s="97"/>
      <c r="CU81" s="97"/>
      <c r="CV81" s="97"/>
      <c r="CW81" s="97"/>
      <c r="CX81" s="97"/>
      <c r="CY81" s="97"/>
      <c r="CZ81" s="97"/>
      <c r="DA81" s="97"/>
      <c r="DB81" s="97"/>
      <c r="DC81" s="97"/>
      <c r="DD81" s="97"/>
      <c r="DE81" s="97"/>
      <c r="DF81" s="97"/>
      <c r="DG81" s="97"/>
      <c r="DH81" s="97"/>
      <c r="DI81" s="97"/>
      <c r="DJ81" s="97"/>
      <c r="DK81" s="97"/>
      <c r="DL81" s="97"/>
      <c r="DM81" s="97"/>
      <c r="DN81" s="97"/>
      <c r="DO81" s="97"/>
      <c r="DP81" s="97"/>
      <c r="DQ81" s="97"/>
      <c r="DR81" s="97"/>
      <c r="DS81" s="97"/>
      <c r="DT81" s="97"/>
      <c r="DU81" s="97"/>
      <c r="DV81" s="97"/>
      <c r="DW81" s="97"/>
      <c r="DX81" s="97"/>
      <c r="DY81" s="97"/>
      <c r="DZ81" s="97"/>
      <c r="EA81" s="97"/>
      <c r="EB81" s="97"/>
      <c r="EC81" s="97"/>
      <c r="ED81" s="97"/>
      <c r="EE81" s="97"/>
      <c r="EF81" s="97"/>
      <c r="EG81" s="97"/>
      <c r="EH81" s="97"/>
      <c r="EI81" s="97"/>
      <c r="EJ81" s="97"/>
      <c r="EK81" s="97"/>
      <c r="EL81" s="97"/>
      <c r="EM81" s="97"/>
      <c r="EN81" s="97"/>
      <c r="EO81" s="97"/>
      <c r="EP81" s="97"/>
      <c r="EQ81" s="97"/>
      <c r="ER81" s="97"/>
      <c r="ES81" s="97"/>
      <c r="ET81" s="97"/>
    </row>
    <row r="82" spans="1:150" ht="15.75" customHeight="1">
      <c r="A82" s="97"/>
      <c r="B82" s="97"/>
      <c r="C82" s="97"/>
      <c r="D82" s="97"/>
      <c r="E82" s="97"/>
      <c r="F82" s="97"/>
      <c r="G82" s="97"/>
      <c r="H82" s="129"/>
      <c r="I82" s="97"/>
      <c r="J82" s="97"/>
      <c r="K82" s="97"/>
      <c r="L82" s="97"/>
      <c r="M82" s="97"/>
      <c r="N82" s="97"/>
      <c r="O82" s="97"/>
      <c r="P82" s="97"/>
      <c r="Q82" s="97"/>
      <c r="R82" s="97"/>
      <c r="S82" s="97"/>
      <c r="T82" s="97"/>
      <c r="U82" s="97"/>
      <c r="V82" s="97"/>
      <c r="W82" s="97"/>
      <c r="X82" s="129"/>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97"/>
      <c r="BX82" s="97"/>
      <c r="BY82" s="97"/>
      <c r="BZ82" s="97"/>
      <c r="CA82" s="97"/>
      <c r="CB82" s="97"/>
      <c r="CC82" s="97"/>
      <c r="CD82" s="97"/>
      <c r="CE82" s="97"/>
      <c r="CF82" s="97"/>
      <c r="CG82" s="97"/>
      <c r="CH82" s="97"/>
      <c r="CI82" s="97"/>
      <c r="CJ82" s="97"/>
      <c r="CK82" s="97"/>
      <c r="CL82" s="97"/>
      <c r="CM82" s="97"/>
      <c r="CN82" s="97"/>
      <c r="CO82" s="97"/>
      <c r="CP82" s="97"/>
      <c r="CQ82" s="97"/>
      <c r="CR82" s="97"/>
      <c r="CS82" s="97"/>
      <c r="CT82" s="97"/>
      <c r="CU82" s="97"/>
      <c r="CV82" s="97"/>
      <c r="CW82" s="97"/>
      <c r="CX82" s="97"/>
      <c r="CY82" s="97"/>
      <c r="CZ82" s="97"/>
      <c r="DA82" s="97"/>
      <c r="DB82" s="97"/>
      <c r="DC82" s="97"/>
      <c r="DD82" s="97"/>
      <c r="DE82" s="97"/>
      <c r="DF82" s="97"/>
      <c r="DG82" s="97"/>
      <c r="DH82" s="97"/>
      <c r="DI82" s="97"/>
      <c r="DJ82" s="97"/>
      <c r="DK82" s="97"/>
      <c r="DL82" s="97"/>
      <c r="DM82" s="97"/>
      <c r="DN82" s="97"/>
      <c r="DO82" s="97"/>
      <c r="DP82" s="97"/>
      <c r="DQ82" s="97"/>
      <c r="DR82" s="97"/>
      <c r="DS82" s="97"/>
      <c r="DT82" s="97"/>
      <c r="DU82" s="97"/>
      <c r="DV82" s="97"/>
      <c r="DW82" s="97"/>
      <c r="DX82" s="97"/>
      <c r="DY82" s="97"/>
      <c r="DZ82" s="97"/>
      <c r="EA82" s="97"/>
      <c r="EB82" s="97"/>
      <c r="EC82" s="97"/>
      <c r="ED82" s="97"/>
      <c r="EE82" s="97"/>
      <c r="EF82" s="97"/>
      <c r="EG82" s="97"/>
      <c r="EH82" s="97"/>
      <c r="EI82" s="97"/>
      <c r="EJ82" s="97"/>
      <c r="EK82" s="97"/>
      <c r="EL82" s="97"/>
      <c r="EM82" s="97"/>
      <c r="EN82" s="97"/>
      <c r="EO82" s="97"/>
      <c r="EP82" s="97"/>
      <c r="EQ82" s="97"/>
      <c r="ER82" s="97"/>
      <c r="ES82" s="97"/>
      <c r="ET82" s="97"/>
    </row>
    <row r="83" spans="1:150" ht="15.75" customHeight="1">
      <c r="A83" s="97"/>
      <c r="B83" s="97"/>
      <c r="C83" s="97"/>
      <c r="D83" s="97"/>
      <c r="E83" s="97"/>
      <c r="F83" s="97"/>
      <c r="G83" s="97"/>
      <c r="H83" s="129"/>
      <c r="I83" s="97"/>
      <c r="J83" s="97"/>
      <c r="K83" s="97"/>
      <c r="L83" s="97"/>
      <c r="M83" s="97"/>
      <c r="N83" s="97"/>
      <c r="O83" s="97"/>
      <c r="P83" s="97"/>
      <c r="Q83" s="97"/>
      <c r="R83" s="97"/>
      <c r="S83" s="97"/>
      <c r="T83" s="97"/>
      <c r="U83" s="97"/>
      <c r="V83" s="97"/>
      <c r="W83" s="97"/>
      <c r="X83" s="129"/>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97"/>
      <c r="BX83" s="97"/>
      <c r="BY83" s="97"/>
      <c r="BZ83" s="97"/>
      <c r="CA83" s="97"/>
      <c r="CB83" s="97"/>
      <c r="CC83" s="97"/>
      <c r="CD83" s="97"/>
      <c r="CE83" s="97"/>
      <c r="CF83" s="97"/>
      <c r="CG83" s="97"/>
      <c r="CH83" s="97"/>
      <c r="CI83" s="97"/>
      <c r="CJ83" s="97"/>
      <c r="CK83" s="97"/>
      <c r="CL83" s="97"/>
      <c r="CM83" s="97"/>
      <c r="CN83" s="97"/>
      <c r="CO83" s="97"/>
      <c r="CP83" s="97"/>
      <c r="CQ83" s="97"/>
      <c r="CR83" s="97"/>
      <c r="CS83" s="97"/>
      <c r="CT83" s="97"/>
      <c r="CU83" s="97"/>
      <c r="CV83" s="97"/>
      <c r="CW83" s="97"/>
      <c r="CX83" s="97"/>
      <c r="CY83" s="97"/>
      <c r="CZ83" s="97"/>
      <c r="DA83" s="97"/>
      <c r="DB83" s="97"/>
      <c r="DC83" s="97"/>
      <c r="DD83" s="97"/>
      <c r="DE83" s="97"/>
      <c r="DF83" s="97"/>
      <c r="DG83" s="97"/>
      <c r="DH83" s="97"/>
      <c r="DI83" s="97"/>
      <c r="DJ83" s="97"/>
      <c r="DK83" s="97"/>
      <c r="DL83" s="97"/>
      <c r="DM83" s="97"/>
      <c r="DN83" s="97"/>
      <c r="DO83" s="97"/>
      <c r="DP83" s="97"/>
      <c r="DQ83" s="97"/>
      <c r="DR83" s="97"/>
      <c r="DS83" s="97"/>
      <c r="DT83" s="97"/>
      <c r="DU83" s="97"/>
      <c r="DV83" s="97"/>
      <c r="DW83" s="97"/>
      <c r="DX83" s="97"/>
      <c r="DY83" s="97"/>
      <c r="DZ83" s="97"/>
      <c r="EA83" s="97"/>
      <c r="EB83" s="97"/>
      <c r="EC83" s="97"/>
      <c r="ED83" s="97"/>
      <c r="EE83" s="97"/>
      <c r="EF83" s="97"/>
      <c r="EG83" s="97"/>
      <c r="EH83" s="97"/>
      <c r="EI83" s="97"/>
      <c r="EJ83" s="97"/>
      <c r="EK83" s="97"/>
      <c r="EL83" s="97"/>
      <c r="EM83" s="97"/>
      <c r="EN83" s="97"/>
      <c r="EO83" s="97"/>
      <c r="EP83" s="97"/>
      <c r="EQ83" s="97"/>
      <c r="ER83" s="97"/>
      <c r="ES83" s="97"/>
      <c r="ET83" s="97"/>
    </row>
    <row r="84" spans="1:150" ht="15.75" customHeight="1">
      <c r="A84" s="97"/>
      <c r="B84" s="97"/>
      <c r="C84" s="97"/>
      <c r="D84" s="97"/>
      <c r="E84" s="97"/>
      <c r="F84" s="97"/>
      <c r="G84" s="97"/>
      <c r="H84" s="129"/>
      <c r="I84" s="97"/>
      <c r="J84" s="97"/>
      <c r="K84" s="97"/>
      <c r="L84" s="97"/>
      <c r="M84" s="97"/>
      <c r="N84" s="97"/>
      <c r="O84" s="97"/>
      <c r="P84" s="97"/>
      <c r="Q84" s="97"/>
      <c r="R84" s="97"/>
      <c r="S84" s="97"/>
      <c r="T84" s="97"/>
      <c r="U84" s="97"/>
      <c r="V84" s="97"/>
      <c r="W84" s="97"/>
      <c r="X84" s="129"/>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97"/>
      <c r="BX84" s="97"/>
      <c r="BY84" s="97"/>
      <c r="BZ84" s="97"/>
      <c r="CA84" s="97"/>
      <c r="CB84" s="97"/>
      <c r="CC84" s="97"/>
      <c r="CD84" s="97"/>
      <c r="CE84" s="97"/>
      <c r="CF84" s="97"/>
      <c r="CG84" s="97"/>
      <c r="CH84" s="97"/>
      <c r="CI84" s="97"/>
      <c r="CJ84" s="97"/>
      <c r="CK84" s="97"/>
      <c r="CL84" s="97"/>
      <c r="CM84" s="97"/>
      <c r="CN84" s="97"/>
      <c r="CO84" s="97"/>
      <c r="CP84" s="97"/>
      <c r="CQ84" s="97"/>
      <c r="CR84" s="97"/>
      <c r="CS84" s="97"/>
      <c r="CT84" s="97"/>
      <c r="CU84" s="97"/>
      <c r="CV84" s="97"/>
      <c r="CW84" s="97"/>
      <c r="CX84" s="97"/>
      <c r="CY84" s="97"/>
      <c r="CZ84" s="97"/>
      <c r="DA84" s="97"/>
      <c r="DB84" s="97"/>
      <c r="DC84" s="97"/>
      <c r="DD84" s="97"/>
      <c r="DE84" s="97"/>
      <c r="DF84" s="97"/>
      <c r="DG84" s="97"/>
      <c r="DH84" s="97"/>
      <c r="DI84" s="97"/>
      <c r="DJ84" s="97"/>
      <c r="DK84" s="97"/>
      <c r="DL84" s="97"/>
      <c r="DM84" s="97"/>
      <c r="DN84" s="97"/>
      <c r="DO84" s="97"/>
      <c r="DP84" s="97"/>
      <c r="DQ84" s="97"/>
      <c r="DR84" s="97"/>
      <c r="DS84" s="97"/>
      <c r="DT84" s="97"/>
      <c r="DU84" s="97"/>
      <c r="DV84" s="97"/>
      <c r="DW84" s="97"/>
      <c r="DX84" s="97"/>
      <c r="DY84" s="97"/>
      <c r="DZ84" s="97"/>
      <c r="EA84" s="97"/>
      <c r="EB84" s="97"/>
      <c r="EC84" s="97"/>
      <c r="ED84" s="97"/>
      <c r="EE84" s="97"/>
      <c r="EF84" s="97"/>
      <c r="EG84" s="97"/>
      <c r="EH84" s="97"/>
      <c r="EI84" s="97"/>
      <c r="EJ84" s="97"/>
      <c r="EK84" s="97"/>
      <c r="EL84" s="97"/>
      <c r="EM84" s="97"/>
      <c r="EN84" s="97"/>
      <c r="EO84" s="97"/>
      <c r="EP84" s="97"/>
      <c r="EQ84" s="97"/>
      <c r="ER84" s="97"/>
      <c r="ES84" s="97"/>
      <c r="ET84" s="97"/>
    </row>
    <row r="85" spans="1:150" ht="15.75" customHeight="1">
      <c r="A85" s="97"/>
      <c r="B85" s="97"/>
      <c r="C85" s="97"/>
      <c r="D85" s="97"/>
      <c r="E85" s="97"/>
      <c r="F85" s="97"/>
      <c r="G85" s="97"/>
      <c r="H85" s="129"/>
      <c r="I85" s="97"/>
      <c r="J85" s="97"/>
      <c r="K85" s="97"/>
      <c r="L85" s="97"/>
      <c r="M85" s="97"/>
      <c r="N85" s="97"/>
      <c r="O85" s="97"/>
      <c r="P85" s="97"/>
      <c r="Q85" s="97"/>
      <c r="R85" s="97"/>
      <c r="S85" s="97"/>
      <c r="T85" s="97"/>
      <c r="U85" s="97"/>
      <c r="V85" s="97"/>
      <c r="W85" s="97"/>
      <c r="X85" s="129"/>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97"/>
      <c r="BX85" s="97"/>
      <c r="BY85" s="97"/>
      <c r="BZ85" s="97"/>
      <c r="CA85" s="97"/>
      <c r="CB85" s="97"/>
      <c r="CC85" s="97"/>
      <c r="CD85" s="97"/>
      <c r="CE85" s="97"/>
      <c r="CF85" s="97"/>
      <c r="CG85" s="97"/>
      <c r="CH85" s="97"/>
      <c r="CI85" s="97"/>
      <c r="CJ85" s="97"/>
      <c r="CK85" s="97"/>
      <c r="CL85" s="97"/>
      <c r="CM85" s="97"/>
      <c r="CN85" s="97"/>
      <c r="CO85" s="97"/>
      <c r="CP85" s="97"/>
      <c r="CQ85" s="97"/>
      <c r="CR85" s="97"/>
      <c r="CS85" s="97"/>
      <c r="CT85" s="97"/>
      <c r="CU85" s="97"/>
      <c r="CV85" s="97"/>
      <c r="CW85" s="97"/>
      <c r="CX85" s="97"/>
      <c r="CY85" s="97"/>
      <c r="CZ85" s="97"/>
      <c r="DA85" s="97"/>
      <c r="DB85" s="97"/>
      <c r="DC85" s="97"/>
      <c r="DD85" s="97"/>
      <c r="DE85" s="97"/>
      <c r="DF85" s="97"/>
      <c r="DG85" s="97"/>
      <c r="DH85" s="97"/>
      <c r="DI85" s="97"/>
      <c r="DJ85" s="97"/>
      <c r="DK85" s="97"/>
      <c r="DL85" s="97"/>
      <c r="DM85" s="97"/>
      <c r="DN85" s="97"/>
      <c r="DO85" s="97"/>
      <c r="DP85" s="97"/>
      <c r="DQ85" s="97"/>
      <c r="DR85" s="97"/>
      <c r="DS85" s="97"/>
      <c r="DT85" s="97"/>
      <c r="DU85" s="97"/>
      <c r="DV85" s="97"/>
      <c r="DW85" s="97"/>
      <c r="DX85" s="97"/>
      <c r="DY85" s="97"/>
      <c r="DZ85" s="97"/>
      <c r="EA85" s="97"/>
      <c r="EB85" s="97"/>
      <c r="EC85" s="97"/>
      <c r="ED85" s="97"/>
      <c r="EE85" s="97"/>
      <c r="EF85" s="97"/>
      <c r="EG85" s="97"/>
      <c r="EH85" s="97"/>
      <c r="EI85" s="97"/>
      <c r="EJ85" s="97"/>
      <c r="EK85" s="97"/>
      <c r="EL85" s="97"/>
      <c r="EM85" s="97"/>
      <c r="EN85" s="97"/>
      <c r="EO85" s="97"/>
      <c r="EP85" s="97"/>
      <c r="EQ85" s="97"/>
      <c r="ER85" s="97"/>
      <c r="ES85" s="97"/>
      <c r="ET85" s="97"/>
    </row>
    <row r="86" spans="1:150" ht="15.75" customHeight="1">
      <c r="A86" s="97"/>
      <c r="B86" s="97"/>
      <c r="C86" s="97"/>
      <c r="D86" s="97"/>
      <c r="E86" s="97"/>
      <c r="F86" s="97"/>
      <c r="G86" s="97"/>
      <c r="H86" s="129"/>
      <c r="I86" s="97"/>
      <c r="J86" s="97"/>
      <c r="K86" s="97"/>
      <c r="L86" s="97"/>
      <c r="M86" s="97"/>
      <c r="N86" s="97"/>
      <c r="O86" s="97"/>
      <c r="P86" s="97"/>
      <c r="Q86" s="97"/>
      <c r="R86" s="97"/>
      <c r="S86" s="97"/>
      <c r="T86" s="97"/>
      <c r="U86" s="97"/>
      <c r="V86" s="97"/>
      <c r="W86" s="97"/>
      <c r="X86" s="129"/>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97"/>
      <c r="BX86" s="97"/>
      <c r="BY86" s="97"/>
      <c r="BZ86" s="97"/>
      <c r="CA86" s="97"/>
      <c r="CB86" s="97"/>
      <c r="CC86" s="97"/>
      <c r="CD86" s="97"/>
      <c r="CE86" s="97"/>
      <c r="CF86" s="97"/>
      <c r="CG86" s="97"/>
      <c r="CH86" s="97"/>
      <c r="CI86" s="97"/>
      <c r="CJ86" s="97"/>
      <c r="CK86" s="97"/>
      <c r="CL86" s="97"/>
      <c r="CM86" s="97"/>
      <c r="CN86" s="97"/>
      <c r="CO86" s="97"/>
      <c r="CP86" s="97"/>
      <c r="CQ86" s="97"/>
      <c r="CR86" s="97"/>
      <c r="CS86" s="97"/>
      <c r="CT86" s="97"/>
      <c r="CU86" s="97"/>
      <c r="CV86" s="97"/>
      <c r="CW86" s="97"/>
      <c r="CX86" s="97"/>
      <c r="CY86" s="97"/>
      <c r="CZ86" s="97"/>
      <c r="DA86" s="97"/>
      <c r="DB86" s="97"/>
      <c r="DC86" s="97"/>
      <c r="DD86" s="97"/>
      <c r="DE86" s="97"/>
      <c r="DF86" s="97"/>
      <c r="DG86" s="97"/>
      <c r="DH86" s="97"/>
      <c r="DI86" s="97"/>
      <c r="DJ86" s="97"/>
      <c r="DK86" s="97"/>
      <c r="DL86" s="97"/>
      <c r="DM86" s="97"/>
      <c r="DN86" s="97"/>
      <c r="DO86" s="97"/>
      <c r="DP86" s="97"/>
      <c r="DQ86" s="97"/>
      <c r="DR86" s="97"/>
      <c r="DS86" s="97"/>
      <c r="DT86" s="97"/>
      <c r="DU86" s="97"/>
      <c r="DV86" s="97"/>
      <c r="DW86" s="97"/>
      <c r="DX86" s="97"/>
      <c r="DY86" s="97"/>
      <c r="DZ86" s="97"/>
      <c r="EA86" s="97"/>
      <c r="EB86" s="97"/>
      <c r="EC86" s="97"/>
      <c r="ED86" s="97"/>
      <c r="EE86" s="97"/>
      <c r="EF86" s="97"/>
      <c r="EG86" s="97"/>
      <c r="EH86" s="97"/>
      <c r="EI86" s="97"/>
      <c r="EJ86" s="97"/>
      <c r="EK86" s="97"/>
      <c r="EL86" s="97"/>
      <c r="EM86" s="97"/>
      <c r="EN86" s="97"/>
      <c r="EO86" s="97"/>
      <c r="EP86" s="97"/>
      <c r="EQ86" s="97"/>
      <c r="ER86" s="97"/>
      <c r="ES86" s="97"/>
      <c r="ET86" s="97"/>
    </row>
    <row r="87" spans="1:150" ht="15.75" customHeight="1">
      <c r="A87" s="97"/>
      <c r="B87" s="97"/>
      <c r="C87" s="97"/>
      <c r="D87" s="97"/>
      <c r="E87" s="97"/>
      <c r="F87" s="97"/>
      <c r="G87" s="97"/>
      <c r="H87" s="129"/>
      <c r="I87" s="97"/>
      <c r="J87" s="97"/>
      <c r="K87" s="97"/>
      <c r="L87" s="97"/>
      <c r="M87" s="97"/>
      <c r="N87" s="97"/>
      <c r="O87" s="97"/>
      <c r="P87" s="97"/>
      <c r="Q87" s="97"/>
      <c r="R87" s="97"/>
      <c r="S87" s="97"/>
      <c r="T87" s="97"/>
      <c r="U87" s="97"/>
      <c r="V87" s="97"/>
      <c r="W87" s="97"/>
      <c r="X87" s="129"/>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97"/>
      <c r="BX87" s="97"/>
      <c r="BY87" s="97"/>
      <c r="BZ87" s="97"/>
      <c r="CA87" s="97"/>
      <c r="CB87" s="97"/>
      <c r="CC87" s="97"/>
      <c r="CD87" s="97"/>
      <c r="CE87" s="97"/>
      <c r="CF87" s="97"/>
      <c r="CG87" s="97"/>
      <c r="CH87" s="97"/>
      <c r="CI87" s="97"/>
      <c r="CJ87" s="97"/>
      <c r="CK87" s="97"/>
      <c r="CL87" s="97"/>
      <c r="CM87" s="97"/>
      <c r="CN87" s="97"/>
      <c r="CO87" s="97"/>
      <c r="CP87" s="97"/>
      <c r="CQ87" s="97"/>
      <c r="CR87" s="97"/>
      <c r="CS87" s="97"/>
      <c r="CT87" s="97"/>
      <c r="CU87" s="97"/>
      <c r="CV87" s="97"/>
      <c r="CW87" s="97"/>
      <c r="CX87" s="97"/>
      <c r="CY87" s="97"/>
      <c r="CZ87" s="97"/>
      <c r="DA87" s="97"/>
      <c r="DB87" s="97"/>
      <c r="DC87" s="97"/>
      <c r="DD87" s="97"/>
      <c r="DE87" s="97"/>
      <c r="DF87" s="97"/>
      <c r="DG87" s="97"/>
      <c r="DH87" s="97"/>
      <c r="DI87" s="97"/>
      <c r="DJ87" s="97"/>
      <c r="DK87" s="97"/>
      <c r="DL87" s="97"/>
      <c r="DM87" s="97"/>
      <c r="DN87" s="97"/>
      <c r="DO87" s="97"/>
      <c r="DP87" s="97"/>
      <c r="DQ87" s="97"/>
      <c r="DR87" s="97"/>
      <c r="DS87" s="97"/>
      <c r="DT87" s="97"/>
      <c r="DU87" s="97"/>
      <c r="DV87" s="97"/>
      <c r="DW87" s="97"/>
      <c r="DX87" s="97"/>
      <c r="DY87" s="97"/>
      <c r="DZ87" s="97"/>
      <c r="EA87" s="97"/>
      <c r="EB87" s="97"/>
      <c r="EC87" s="97"/>
      <c r="ED87" s="97"/>
      <c r="EE87" s="97"/>
      <c r="EF87" s="97"/>
      <c r="EG87" s="97"/>
      <c r="EH87" s="97"/>
      <c r="EI87" s="97"/>
      <c r="EJ87" s="97"/>
      <c r="EK87" s="97"/>
      <c r="EL87" s="97"/>
      <c r="EM87" s="97"/>
      <c r="EN87" s="97"/>
      <c r="EO87" s="97"/>
      <c r="EP87" s="97"/>
      <c r="EQ87" s="97"/>
      <c r="ER87" s="97"/>
      <c r="ES87" s="97"/>
      <c r="ET87" s="97"/>
    </row>
    <row r="88" spans="1:150" ht="15.75" customHeight="1">
      <c r="A88" s="97"/>
      <c r="B88" s="97"/>
      <c r="C88" s="97"/>
      <c r="D88" s="97"/>
      <c r="E88" s="97"/>
      <c r="F88" s="97"/>
      <c r="G88" s="97"/>
      <c r="H88" s="129"/>
      <c r="I88" s="97"/>
      <c r="J88" s="97"/>
      <c r="K88" s="97"/>
      <c r="L88" s="97"/>
      <c r="M88" s="97"/>
      <c r="N88" s="97"/>
      <c r="O88" s="97"/>
      <c r="P88" s="97"/>
      <c r="Q88" s="97"/>
      <c r="R88" s="97"/>
      <c r="S88" s="97"/>
      <c r="T88" s="97"/>
      <c r="U88" s="97"/>
      <c r="V88" s="97"/>
      <c r="W88" s="97"/>
      <c r="X88" s="129"/>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97"/>
      <c r="BX88" s="97"/>
      <c r="BY88" s="97"/>
      <c r="BZ88" s="97"/>
      <c r="CA88" s="97"/>
      <c r="CB88" s="97"/>
      <c r="CC88" s="97"/>
      <c r="CD88" s="97"/>
      <c r="CE88" s="97"/>
      <c r="CF88" s="97"/>
      <c r="CG88" s="97"/>
      <c r="CH88" s="97"/>
      <c r="CI88" s="97"/>
      <c r="CJ88" s="97"/>
      <c r="CK88" s="97"/>
      <c r="CL88" s="97"/>
      <c r="CM88" s="97"/>
      <c r="CN88" s="97"/>
      <c r="CO88" s="97"/>
      <c r="CP88" s="97"/>
      <c r="CQ88" s="97"/>
      <c r="CR88" s="97"/>
      <c r="CS88" s="97"/>
      <c r="CT88" s="97"/>
      <c r="CU88" s="97"/>
      <c r="CV88" s="97"/>
      <c r="CW88" s="97"/>
      <c r="CX88" s="97"/>
      <c r="CY88" s="97"/>
      <c r="CZ88" s="97"/>
      <c r="DA88" s="97"/>
      <c r="DB88" s="97"/>
      <c r="DC88" s="97"/>
      <c r="DD88" s="97"/>
      <c r="DE88" s="97"/>
      <c r="DF88" s="97"/>
      <c r="DG88" s="97"/>
      <c r="DH88" s="97"/>
      <c r="DI88" s="97"/>
      <c r="DJ88" s="97"/>
      <c r="DK88" s="97"/>
      <c r="DL88" s="97"/>
      <c r="DM88" s="97"/>
      <c r="DN88" s="97"/>
      <c r="DO88" s="97"/>
      <c r="DP88" s="97"/>
      <c r="DQ88" s="97"/>
      <c r="DR88" s="97"/>
      <c r="DS88" s="97"/>
      <c r="DT88" s="97"/>
      <c r="DU88" s="97"/>
      <c r="DV88" s="97"/>
      <c r="DW88" s="97"/>
      <c r="DX88" s="97"/>
      <c r="DY88" s="97"/>
      <c r="DZ88" s="97"/>
      <c r="EA88" s="97"/>
      <c r="EB88" s="97"/>
      <c r="EC88" s="97"/>
      <c r="ED88" s="97"/>
      <c r="EE88" s="97"/>
      <c r="EF88" s="97"/>
      <c r="EG88" s="97"/>
      <c r="EH88" s="97"/>
      <c r="EI88" s="97"/>
      <c r="EJ88" s="97"/>
      <c r="EK88" s="97"/>
      <c r="EL88" s="97"/>
      <c r="EM88" s="97"/>
      <c r="EN88" s="97"/>
      <c r="EO88" s="97"/>
      <c r="EP88" s="97"/>
      <c r="EQ88" s="97"/>
      <c r="ER88" s="97"/>
      <c r="ES88" s="97"/>
      <c r="ET88" s="97"/>
    </row>
    <row r="89" spans="1:150" ht="15.75" customHeight="1">
      <c r="A89" s="97"/>
      <c r="B89" s="97"/>
      <c r="C89" s="97"/>
      <c r="D89" s="97"/>
      <c r="E89" s="97"/>
      <c r="F89" s="97"/>
      <c r="G89" s="97"/>
      <c r="H89" s="129"/>
      <c r="I89" s="97"/>
      <c r="J89" s="97"/>
      <c r="K89" s="97"/>
      <c r="L89" s="97"/>
      <c r="M89" s="97"/>
      <c r="N89" s="97"/>
      <c r="O89" s="97"/>
      <c r="P89" s="97"/>
      <c r="Q89" s="97"/>
      <c r="R89" s="97"/>
      <c r="S89" s="97"/>
      <c r="T89" s="97"/>
      <c r="U89" s="97"/>
      <c r="V89" s="97"/>
      <c r="W89" s="97"/>
      <c r="X89" s="129"/>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97"/>
      <c r="BX89" s="97"/>
      <c r="BY89" s="97"/>
      <c r="BZ89" s="97"/>
      <c r="CA89" s="97"/>
      <c r="CB89" s="97"/>
      <c r="CC89" s="97"/>
      <c r="CD89" s="97"/>
      <c r="CE89" s="97"/>
      <c r="CF89" s="97"/>
      <c r="CG89" s="97"/>
      <c r="CH89" s="97"/>
      <c r="CI89" s="97"/>
      <c r="CJ89" s="97"/>
      <c r="CK89" s="97"/>
      <c r="CL89" s="97"/>
      <c r="CM89" s="97"/>
      <c r="CN89" s="97"/>
      <c r="CO89" s="97"/>
      <c r="CP89" s="97"/>
      <c r="CQ89" s="97"/>
      <c r="CR89" s="97"/>
      <c r="CS89" s="97"/>
      <c r="CT89" s="97"/>
      <c r="CU89" s="97"/>
      <c r="CV89" s="97"/>
      <c r="CW89" s="97"/>
      <c r="CX89" s="97"/>
      <c r="CY89" s="97"/>
      <c r="CZ89" s="97"/>
      <c r="DA89" s="97"/>
      <c r="DB89" s="97"/>
      <c r="DC89" s="97"/>
      <c r="DD89" s="97"/>
      <c r="DE89" s="97"/>
      <c r="DF89" s="97"/>
      <c r="DG89" s="97"/>
      <c r="DH89" s="97"/>
      <c r="DI89" s="97"/>
      <c r="DJ89" s="97"/>
      <c r="DK89" s="97"/>
      <c r="DL89" s="97"/>
      <c r="DM89" s="97"/>
      <c r="DN89" s="97"/>
      <c r="DO89" s="97"/>
      <c r="DP89" s="97"/>
      <c r="DQ89" s="97"/>
      <c r="DR89" s="97"/>
      <c r="DS89" s="97"/>
      <c r="DT89" s="97"/>
      <c r="DU89" s="97"/>
      <c r="DV89" s="97"/>
      <c r="DW89" s="97"/>
      <c r="DX89" s="97"/>
      <c r="DY89" s="97"/>
      <c r="DZ89" s="97"/>
      <c r="EA89" s="97"/>
      <c r="EB89" s="97"/>
      <c r="EC89" s="97"/>
      <c r="ED89" s="97"/>
      <c r="EE89" s="97"/>
      <c r="EF89" s="97"/>
      <c r="EG89" s="97"/>
      <c r="EH89" s="97"/>
      <c r="EI89" s="97"/>
      <c r="EJ89" s="97"/>
      <c r="EK89" s="97"/>
      <c r="EL89" s="97"/>
      <c r="EM89" s="97"/>
      <c r="EN89" s="97"/>
      <c r="EO89" s="97"/>
      <c r="EP89" s="97"/>
      <c r="EQ89" s="97"/>
      <c r="ER89" s="97"/>
      <c r="ES89" s="97"/>
      <c r="ET89" s="97"/>
    </row>
    <row r="90" spans="1:150" ht="15.75" customHeight="1">
      <c r="A90" s="97"/>
      <c r="B90" s="97"/>
      <c r="C90" s="97"/>
      <c r="D90" s="97"/>
      <c r="E90" s="97"/>
      <c r="F90" s="97"/>
      <c r="G90" s="97"/>
      <c r="H90" s="129"/>
      <c r="I90" s="97"/>
      <c r="J90" s="97"/>
      <c r="K90" s="97"/>
      <c r="L90" s="97"/>
      <c r="M90" s="97"/>
      <c r="N90" s="97"/>
      <c r="O90" s="97"/>
      <c r="P90" s="97"/>
      <c r="Q90" s="97"/>
      <c r="R90" s="97"/>
      <c r="S90" s="97"/>
      <c r="T90" s="97"/>
      <c r="U90" s="97"/>
      <c r="V90" s="97"/>
      <c r="W90" s="97"/>
      <c r="X90" s="129"/>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97"/>
      <c r="BX90" s="97"/>
      <c r="BY90" s="97"/>
      <c r="BZ90" s="97"/>
      <c r="CA90" s="97"/>
      <c r="CB90" s="97"/>
      <c r="CC90" s="97"/>
      <c r="CD90" s="97"/>
      <c r="CE90" s="97"/>
      <c r="CF90" s="97"/>
      <c r="CG90" s="97"/>
      <c r="CH90" s="97"/>
      <c r="CI90" s="97"/>
      <c r="CJ90" s="97"/>
      <c r="CK90" s="97"/>
      <c r="CL90" s="97"/>
      <c r="CM90" s="97"/>
      <c r="CN90" s="97"/>
      <c r="CO90" s="97"/>
      <c r="CP90" s="97"/>
      <c r="CQ90" s="97"/>
      <c r="CR90" s="97"/>
      <c r="CS90" s="97"/>
      <c r="CT90" s="97"/>
      <c r="CU90" s="97"/>
      <c r="CV90" s="97"/>
      <c r="CW90" s="97"/>
      <c r="CX90" s="97"/>
      <c r="CY90" s="97"/>
      <c r="CZ90" s="97"/>
      <c r="DA90" s="97"/>
      <c r="DB90" s="97"/>
      <c r="DC90" s="97"/>
      <c r="DD90" s="97"/>
      <c r="DE90" s="97"/>
      <c r="DF90" s="97"/>
      <c r="DG90" s="97"/>
      <c r="DH90" s="97"/>
      <c r="DI90" s="97"/>
      <c r="DJ90" s="97"/>
      <c r="DK90" s="97"/>
      <c r="DL90" s="97"/>
      <c r="DM90" s="97"/>
      <c r="DN90" s="97"/>
      <c r="DO90" s="97"/>
      <c r="DP90" s="97"/>
      <c r="DQ90" s="97"/>
      <c r="DR90" s="97"/>
      <c r="DS90" s="97"/>
      <c r="DT90" s="97"/>
      <c r="DU90" s="97"/>
      <c r="DV90" s="97"/>
      <c r="DW90" s="97"/>
      <c r="DX90" s="97"/>
      <c r="DY90" s="97"/>
      <c r="DZ90" s="97"/>
      <c r="EA90" s="97"/>
      <c r="EB90" s="97"/>
      <c r="EC90" s="97"/>
      <c r="ED90" s="97"/>
      <c r="EE90" s="97"/>
      <c r="EF90" s="97"/>
      <c r="EG90" s="97"/>
      <c r="EH90" s="97"/>
      <c r="EI90" s="97"/>
      <c r="EJ90" s="97"/>
      <c r="EK90" s="97"/>
      <c r="EL90" s="97"/>
      <c r="EM90" s="97"/>
      <c r="EN90" s="97"/>
      <c r="EO90" s="97"/>
      <c r="EP90" s="97"/>
      <c r="EQ90" s="97"/>
      <c r="ER90" s="97"/>
      <c r="ES90" s="97"/>
      <c r="ET90" s="97"/>
    </row>
    <row r="91" spans="1:150" ht="15.75" customHeight="1">
      <c r="A91" s="97"/>
      <c r="B91" s="97"/>
      <c r="C91" s="97"/>
      <c r="D91" s="97"/>
      <c r="E91" s="97"/>
      <c r="F91" s="97"/>
      <c r="G91" s="97"/>
      <c r="H91" s="129"/>
      <c r="I91" s="97"/>
      <c r="J91" s="97"/>
      <c r="K91" s="97"/>
      <c r="L91" s="97"/>
      <c r="M91" s="97"/>
      <c r="N91" s="97"/>
      <c r="O91" s="97"/>
      <c r="P91" s="97"/>
      <c r="Q91" s="97"/>
      <c r="R91" s="97"/>
      <c r="S91" s="97"/>
      <c r="T91" s="97"/>
      <c r="U91" s="97"/>
      <c r="V91" s="97"/>
      <c r="W91" s="97"/>
      <c r="X91" s="129"/>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97"/>
      <c r="BX91" s="97"/>
      <c r="BY91" s="97"/>
      <c r="BZ91" s="97"/>
      <c r="CA91" s="97"/>
      <c r="CB91" s="97"/>
      <c r="CC91" s="97"/>
      <c r="CD91" s="97"/>
      <c r="CE91" s="97"/>
      <c r="CF91" s="97"/>
      <c r="CG91" s="97"/>
      <c r="CH91" s="97"/>
      <c r="CI91" s="97"/>
      <c r="CJ91" s="97"/>
      <c r="CK91" s="97"/>
      <c r="CL91" s="97"/>
      <c r="CM91" s="97"/>
      <c r="CN91" s="97"/>
      <c r="CO91" s="97"/>
      <c r="CP91" s="97"/>
      <c r="CQ91" s="97"/>
      <c r="CR91" s="97"/>
      <c r="CS91" s="97"/>
      <c r="CT91" s="97"/>
      <c r="CU91" s="97"/>
      <c r="CV91" s="97"/>
      <c r="CW91" s="97"/>
      <c r="CX91" s="97"/>
      <c r="CY91" s="97"/>
      <c r="CZ91" s="97"/>
      <c r="DA91" s="97"/>
      <c r="DB91" s="97"/>
      <c r="DC91" s="97"/>
      <c r="DD91" s="97"/>
      <c r="DE91" s="97"/>
      <c r="DF91" s="97"/>
      <c r="DG91" s="97"/>
      <c r="DH91" s="97"/>
      <c r="DI91" s="97"/>
      <c r="DJ91" s="97"/>
      <c r="DK91" s="97"/>
      <c r="DL91" s="97"/>
      <c r="DM91" s="97"/>
      <c r="DN91" s="97"/>
      <c r="DO91" s="97"/>
      <c r="DP91" s="97"/>
      <c r="DQ91" s="97"/>
      <c r="DR91" s="97"/>
      <c r="DS91" s="97"/>
      <c r="DT91" s="97"/>
      <c r="DU91" s="97"/>
      <c r="DV91" s="97"/>
      <c r="DW91" s="97"/>
      <c r="DX91" s="97"/>
      <c r="DY91" s="97"/>
      <c r="DZ91" s="97"/>
      <c r="EA91" s="97"/>
      <c r="EB91" s="97"/>
      <c r="EC91" s="97"/>
      <c r="ED91" s="97"/>
      <c r="EE91" s="97"/>
      <c r="EF91" s="97"/>
      <c r="EG91" s="97"/>
      <c r="EH91" s="97"/>
      <c r="EI91" s="97"/>
      <c r="EJ91" s="97"/>
      <c r="EK91" s="97"/>
      <c r="EL91" s="97"/>
      <c r="EM91" s="97"/>
      <c r="EN91" s="97"/>
      <c r="EO91" s="97"/>
      <c r="EP91" s="97"/>
      <c r="EQ91" s="97"/>
      <c r="ER91" s="97"/>
      <c r="ES91" s="97"/>
      <c r="ET91" s="97"/>
    </row>
    <row r="92" spans="1:150" ht="15.75" customHeight="1">
      <c r="A92" s="97"/>
      <c r="B92" s="97"/>
      <c r="C92" s="97"/>
      <c r="D92" s="97"/>
      <c r="E92" s="97"/>
      <c r="F92" s="97"/>
      <c r="G92" s="97"/>
      <c r="H92" s="129"/>
      <c r="I92" s="97"/>
      <c r="J92" s="97"/>
      <c r="K92" s="97"/>
      <c r="L92" s="97"/>
      <c r="M92" s="97"/>
      <c r="N92" s="97"/>
      <c r="O92" s="97"/>
      <c r="P92" s="97"/>
      <c r="Q92" s="97"/>
      <c r="R92" s="97"/>
      <c r="S92" s="97"/>
      <c r="T92" s="97"/>
      <c r="U92" s="97"/>
      <c r="V92" s="97"/>
      <c r="W92" s="97"/>
      <c r="X92" s="129"/>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97"/>
      <c r="BX92" s="97"/>
      <c r="BY92" s="97"/>
      <c r="BZ92" s="97"/>
      <c r="CA92" s="97"/>
      <c r="CB92" s="97"/>
      <c r="CC92" s="97"/>
      <c r="CD92" s="97"/>
      <c r="CE92" s="97"/>
      <c r="CF92" s="97"/>
      <c r="CG92" s="97"/>
      <c r="CH92" s="97"/>
      <c r="CI92" s="97"/>
      <c r="CJ92" s="97"/>
      <c r="CK92" s="97"/>
      <c r="CL92" s="97"/>
      <c r="CM92" s="97"/>
      <c r="CN92" s="97"/>
      <c r="CO92" s="97"/>
      <c r="CP92" s="97"/>
      <c r="CQ92" s="97"/>
      <c r="CR92" s="97"/>
      <c r="CS92" s="97"/>
      <c r="CT92" s="97"/>
      <c r="CU92" s="97"/>
      <c r="CV92" s="97"/>
      <c r="CW92" s="97"/>
      <c r="CX92" s="97"/>
      <c r="CY92" s="97"/>
      <c r="CZ92" s="97"/>
      <c r="DA92" s="97"/>
      <c r="DB92" s="97"/>
      <c r="DC92" s="97"/>
      <c r="DD92" s="97"/>
      <c r="DE92" s="97"/>
      <c r="DF92" s="97"/>
      <c r="DG92" s="97"/>
      <c r="DH92" s="97"/>
      <c r="DI92" s="97"/>
      <c r="DJ92" s="97"/>
      <c r="DK92" s="97"/>
      <c r="DL92" s="97"/>
      <c r="DM92" s="97"/>
      <c r="DN92" s="97"/>
      <c r="DO92" s="97"/>
      <c r="DP92" s="97"/>
      <c r="DQ92" s="97"/>
      <c r="DR92" s="97"/>
      <c r="DS92" s="97"/>
      <c r="DT92" s="97"/>
      <c r="DU92" s="97"/>
      <c r="DV92" s="97"/>
      <c r="DW92" s="97"/>
      <c r="DX92" s="97"/>
      <c r="DY92" s="97"/>
      <c r="DZ92" s="97"/>
      <c r="EA92" s="97"/>
      <c r="EB92" s="97"/>
      <c r="EC92" s="97"/>
      <c r="ED92" s="97"/>
      <c r="EE92" s="97"/>
      <c r="EF92" s="97"/>
      <c r="EG92" s="97"/>
      <c r="EH92" s="97"/>
      <c r="EI92" s="97"/>
      <c r="EJ92" s="97"/>
      <c r="EK92" s="97"/>
      <c r="EL92" s="97"/>
      <c r="EM92" s="97"/>
      <c r="EN92" s="97"/>
      <c r="EO92" s="97"/>
      <c r="EP92" s="97"/>
      <c r="EQ92" s="97"/>
      <c r="ER92" s="97"/>
      <c r="ES92" s="97"/>
      <c r="ET92" s="97"/>
    </row>
    <row r="93" spans="1:150" ht="15.75" customHeight="1">
      <c r="A93" s="97"/>
      <c r="B93" s="97"/>
      <c r="C93" s="97"/>
      <c r="D93" s="97"/>
      <c r="E93" s="97"/>
      <c r="F93" s="97"/>
      <c r="G93" s="97"/>
      <c r="H93" s="129"/>
      <c r="I93" s="97"/>
      <c r="J93" s="97"/>
      <c r="K93" s="97"/>
      <c r="L93" s="97"/>
      <c r="M93" s="97"/>
      <c r="N93" s="97"/>
      <c r="O93" s="97"/>
      <c r="P93" s="97"/>
      <c r="Q93" s="97"/>
      <c r="R93" s="97"/>
      <c r="S93" s="97"/>
      <c r="T93" s="97"/>
      <c r="U93" s="97"/>
      <c r="V93" s="97"/>
      <c r="W93" s="97"/>
      <c r="X93" s="129"/>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97"/>
      <c r="BX93" s="97"/>
      <c r="BY93" s="97"/>
      <c r="BZ93" s="97"/>
      <c r="CA93" s="97"/>
      <c r="CB93" s="97"/>
      <c r="CC93" s="97"/>
      <c r="CD93" s="97"/>
      <c r="CE93" s="97"/>
      <c r="CF93" s="97"/>
      <c r="CG93" s="97"/>
      <c r="CH93" s="97"/>
      <c r="CI93" s="97"/>
      <c r="CJ93" s="97"/>
      <c r="CK93" s="97"/>
      <c r="CL93" s="97"/>
      <c r="CM93" s="97"/>
      <c r="CN93" s="97"/>
      <c r="CO93" s="97"/>
      <c r="CP93" s="97"/>
      <c r="CQ93" s="97"/>
      <c r="CR93" s="97"/>
      <c r="CS93" s="97"/>
      <c r="CT93" s="97"/>
      <c r="CU93" s="97"/>
      <c r="CV93" s="97"/>
      <c r="CW93" s="97"/>
      <c r="CX93" s="97"/>
      <c r="CY93" s="97"/>
      <c r="CZ93" s="97"/>
      <c r="DA93" s="97"/>
      <c r="DB93" s="97"/>
      <c r="DC93" s="97"/>
      <c r="DD93" s="97"/>
      <c r="DE93" s="97"/>
      <c r="DF93" s="97"/>
      <c r="DG93" s="97"/>
      <c r="DH93" s="97"/>
      <c r="DI93" s="97"/>
      <c r="DJ93" s="97"/>
      <c r="DK93" s="97"/>
      <c r="DL93" s="97"/>
      <c r="DM93" s="97"/>
      <c r="DN93" s="97"/>
      <c r="DO93" s="97"/>
      <c r="DP93" s="97"/>
      <c r="DQ93" s="97"/>
      <c r="DR93" s="97"/>
      <c r="DS93" s="97"/>
      <c r="DT93" s="97"/>
      <c r="DU93" s="97"/>
      <c r="DV93" s="97"/>
      <c r="DW93" s="97"/>
      <c r="DX93" s="97"/>
      <c r="DY93" s="97"/>
      <c r="DZ93" s="97"/>
      <c r="EA93" s="97"/>
      <c r="EB93" s="97"/>
      <c r="EC93" s="97"/>
      <c r="ED93" s="97"/>
      <c r="EE93" s="97"/>
      <c r="EF93" s="97"/>
      <c r="EG93" s="97"/>
      <c r="EH93" s="97"/>
      <c r="EI93" s="97"/>
      <c r="EJ93" s="97"/>
      <c r="EK93" s="97"/>
      <c r="EL93" s="97"/>
      <c r="EM93" s="97"/>
      <c r="EN93" s="97"/>
      <c r="EO93" s="97"/>
      <c r="EP93" s="97"/>
      <c r="EQ93" s="97"/>
      <c r="ER93" s="97"/>
      <c r="ES93" s="97"/>
      <c r="ET93" s="97"/>
    </row>
    <row r="94" spans="1:150" ht="15.75" customHeight="1">
      <c r="A94" s="97"/>
      <c r="B94" s="97"/>
      <c r="C94" s="97"/>
      <c r="D94" s="97"/>
      <c r="E94" s="97"/>
      <c r="F94" s="97"/>
      <c r="G94" s="97"/>
      <c r="H94" s="129"/>
      <c r="I94" s="97"/>
      <c r="J94" s="97"/>
      <c r="K94" s="97"/>
      <c r="L94" s="97"/>
      <c r="M94" s="97"/>
      <c r="N94" s="97"/>
      <c r="O94" s="97"/>
      <c r="P94" s="97"/>
      <c r="Q94" s="97"/>
      <c r="R94" s="97"/>
      <c r="S94" s="97"/>
      <c r="T94" s="97"/>
      <c r="U94" s="97"/>
      <c r="V94" s="97"/>
      <c r="W94" s="97"/>
      <c r="X94" s="129"/>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97"/>
      <c r="BX94" s="97"/>
      <c r="BY94" s="97"/>
      <c r="BZ94" s="97"/>
      <c r="CA94" s="97"/>
      <c r="CB94" s="97"/>
      <c r="CC94" s="97"/>
      <c r="CD94" s="97"/>
      <c r="CE94" s="97"/>
      <c r="CF94" s="97"/>
      <c r="CG94" s="97"/>
      <c r="CH94" s="97"/>
      <c r="CI94" s="97"/>
      <c r="CJ94" s="97"/>
      <c r="CK94" s="97"/>
      <c r="CL94" s="97"/>
      <c r="CM94" s="97"/>
      <c r="CN94" s="97"/>
      <c r="CO94" s="97"/>
      <c r="CP94" s="97"/>
      <c r="CQ94" s="97"/>
      <c r="CR94" s="97"/>
      <c r="CS94" s="97"/>
      <c r="CT94" s="97"/>
      <c r="CU94" s="97"/>
      <c r="CV94" s="97"/>
      <c r="CW94" s="97"/>
      <c r="CX94" s="97"/>
      <c r="CY94" s="97"/>
      <c r="CZ94" s="97"/>
      <c r="DA94" s="97"/>
      <c r="DB94" s="97"/>
      <c r="DC94" s="97"/>
      <c r="DD94" s="97"/>
      <c r="DE94" s="97"/>
      <c r="DF94" s="97"/>
      <c r="DG94" s="97"/>
      <c r="DH94" s="97"/>
      <c r="DI94" s="97"/>
      <c r="DJ94" s="97"/>
      <c r="DK94" s="97"/>
      <c r="DL94" s="97"/>
      <c r="DM94" s="97"/>
      <c r="DN94" s="97"/>
      <c r="DO94" s="97"/>
      <c r="DP94" s="97"/>
      <c r="DQ94" s="97"/>
      <c r="DR94" s="97"/>
      <c r="DS94" s="97"/>
      <c r="DT94" s="97"/>
      <c r="DU94" s="97"/>
      <c r="DV94" s="97"/>
      <c r="DW94" s="97"/>
      <c r="DX94" s="97"/>
      <c r="DY94" s="97"/>
      <c r="DZ94" s="97"/>
      <c r="EA94" s="97"/>
      <c r="EB94" s="97"/>
      <c r="EC94" s="97"/>
      <c r="ED94" s="97"/>
      <c r="EE94" s="97"/>
      <c r="EF94" s="97"/>
      <c r="EG94" s="97"/>
      <c r="EH94" s="97"/>
      <c r="EI94" s="97"/>
      <c r="EJ94" s="97"/>
      <c r="EK94" s="97"/>
      <c r="EL94" s="97"/>
      <c r="EM94" s="97"/>
      <c r="EN94" s="97"/>
      <c r="EO94" s="97"/>
      <c r="EP94" s="97"/>
      <c r="EQ94" s="97"/>
      <c r="ER94" s="97"/>
      <c r="ES94" s="97"/>
      <c r="ET94" s="97"/>
    </row>
    <row r="95" spans="1:150" ht="15.75" customHeight="1">
      <c r="A95" s="97"/>
      <c r="B95" s="97"/>
      <c r="C95" s="97"/>
      <c r="D95" s="97"/>
      <c r="E95" s="97"/>
      <c r="F95" s="97"/>
      <c r="G95" s="97"/>
      <c r="H95" s="129"/>
      <c r="I95" s="97"/>
      <c r="J95" s="97"/>
      <c r="K95" s="97"/>
      <c r="L95" s="97"/>
      <c r="M95" s="97"/>
      <c r="N95" s="97"/>
      <c r="O95" s="97"/>
      <c r="P95" s="97"/>
      <c r="Q95" s="97"/>
      <c r="R95" s="97"/>
      <c r="S95" s="97"/>
      <c r="T95" s="97"/>
      <c r="U95" s="97"/>
      <c r="V95" s="97"/>
      <c r="W95" s="97"/>
      <c r="X95" s="129"/>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97"/>
      <c r="BX95" s="97"/>
      <c r="BY95" s="97"/>
      <c r="BZ95" s="97"/>
      <c r="CA95" s="97"/>
      <c r="CB95" s="97"/>
      <c r="CC95" s="97"/>
      <c r="CD95" s="97"/>
      <c r="CE95" s="97"/>
      <c r="CF95" s="97"/>
      <c r="CG95" s="97"/>
      <c r="CH95" s="97"/>
      <c r="CI95" s="97"/>
      <c r="CJ95" s="97"/>
      <c r="CK95" s="97"/>
      <c r="CL95" s="97"/>
      <c r="CM95" s="97"/>
      <c r="CN95" s="97"/>
      <c r="CO95" s="97"/>
      <c r="CP95" s="97"/>
      <c r="CQ95" s="97"/>
      <c r="CR95" s="97"/>
      <c r="CS95" s="97"/>
      <c r="CT95" s="97"/>
      <c r="CU95" s="97"/>
      <c r="CV95" s="97"/>
      <c r="CW95" s="97"/>
      <c r="CX95" s="97"/>
      <c r="CY95" s="97"/>
      <c r="CZ95" s="97"/>
      <c r="DA95" s="97"/>
      <c r="DB95" s="97"/>
      <c r="DC95" s="97"/>
      <c r="DD95" s="97"/>
      <c r="DE95" s="97"/>
      <c r="DF95" s="97"/>
      <c r="DG95" s="97"/>
      <c r="DH95" s="97"/>
      <c r="DI95" s="97"/>
      <c r="DJ95" s="97"/>
      <c r="DK95" s="97"/>
      <c r="DL95" s="97"/>
      <c r="DM95" s="97"/>
      <c r="DN95" s="97"/>
      <c r="DO95" s="97"/>
      <c r="DP95" s="97"/>
      <c r="DQ95" s="97"/>
      <c r="DR95" s="97"/>
      <c r="DS95" s="97"/>
      <c r="DT95" s="97"/>
      <c r="DU95" s="97"/>
      <c r="DV95" s="97"/>
      <c r="DW95" s="97"/>
      <c r="DX95" s="97"/>
      <c r="DY95" s="97"/>
      <c r="DZ95" s="97"/>
      <c r="EA95" s="97"/>
      <c r="EB95" s="97"/>
      <c r="EC95" s="97"/>
      <c r="ED95" s="97"/>
      <c r="EE95" s="97"/>
      <c r="EF95" s="97"/>
      <c r="EG95" s="97"/>
      <c r="EH95" s="97"/>
      <c r="EI95" s="97"/>
      <c r="EJ95" s="97"/>
      <c r="EK95" s="97"/>
      <c r="EL95" s="97"/>
      <c r="EM95" s="97"/>
      <c r="EN95" s="97"/>
      <c r="EO95" s="97"/>
      <c r="EP95" s="97"/>
      <c r="EQ95" s="97"/>
      <c r="ER95" s="97"/>
      <c r="ES95" s="97"/>
      <c r="ET95" s="97"/>
    </row>
    <row r="96" spans="1:150" ht="15.75" customHeight="1">
      <c r="A96" s="97"/>
      <c r="B96" s="97"/>
      <c r="C96" s="97"/>
      <c r="D96" s="97"/>
      <c r="E96" s="97"/>
      <c r="F96" s="97"/>
      <c r="G96" s="97"/>
      <c r="H96" s="129"/>
      <c r="I96" s="97"/>
      <c r="J96" s="97"/>
      <c r="K96" s="97"/>
      <c r="L96" s="97"/>
      <c r="M96" s="97"/>
      <c r="N96" s="97"/>
      <c r="O96" s="97"/>
      <c r="P96" s="97"/>
      <c r="Q96" s="97"/>
      <c r="R96" s="97"/>
      <c r="S96" s="97"/>
      <c r="T96" s="97"/>
      <c r="U96" s="97"/>
      <c r="V96" s="97"/>
      <c r="W96" s="97"/>
      <c r="X96" s="129"/>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97"/>
      <c r="BX96" s="97"/>
      <c r="BY96" s="97"/>
      <c r="BZ96" s="97"/>
      <c r="CA96" s="97"/>
      <c r="CB96" s="97"/>
      <c r="CC96" s="97"/>
      <c r="CD96" s="97"/>
      <c r="CE96" s="97"/>
      <c r="CF96" s="97"/>
      <c r="CG96" s="97"/>
      <c r="CH96" s="97"/>
      <c r="CI96" s="97"/>
      <c r="CJ96" s="97"/>
      <c r="CK96" s="97"/>
      <c r="CL96" s="97"/>
      <c r="CM96" s="97"/>
      <c r="CN96" s="97"/>
      <c r="CO96" s="97"/>
      <c r="CP96" s="97"/>
      <c r="CQ96" s="97"/>
      <c r="CR96" s="97"/>
      <c r="CS96" s="97"/>
      <c r="CT96" s="97"/>
      <c r="CU96" s="97"/>
      <c r="CV96" s="97"/>
      <c r="CW96" s="97"/>
      <c r="CX96" s="97"/>
      <c r="CY96" s="97"/>
      <c r="CZ96" s="97"/>
      <c r="DA96" s="97"/>
      <c r="DB96" s="97"/>
      <c r="DC96" s="97"/>
      <c r="DD96" s="97"/>
      <c r="DE96" s="97"/>
      <c r="DF96" s="97"/>
      <c r="DG96" s="97"/>
      <c r="DH96" s="97"/>
      <c r="DI96" s="97"/>
      <c r="DJ96" s="97"/>
      <c r="DK96" s="97"/>
      <c r="DL96" s="97"/>
      <c r="DM96" s="97"/>
      <c r="DN96" s="97"/>
      <c r="DO96" s="97"/>
      <c r="DP96" s="97"/>
      <c r="DQ96" s="97"/>
      <c r="DR96" s="97"/>
      <c r="DS96" s="97"/>
      <c r="DT96" s="97"/>
      <c r="DU96" s="97"/>
      <c r="DV96" s="97"/>
      <c r="DW96" s="97"/>
      <c r="DX96" s="97"/>
      <c r="DY96" s="97"/>
      <c r="DZ96" s="97"/>
      <c r="EA96" s="97"/>
      <c r="EB96" s="97"/>
      <c r="EC96" s="97"/>
      <c r="ED96" s="97"/>
      <c r="EE96" s="97"/>
      <c r="EF96" s="97"/>
      <c r="EG96" s="97"/>
      <c r="EH96" s="97"/>
      <c r="EI96" s="97"/>
      <c r="EJ96" s="97"/>
      <c r="EK96" s="97"/>
      <c r="EL96" s="97"/>
      <c r="EM96" s="97"/>
      <c r="EN96" s="97"/>
      <c r="EO96" s="97"/>
      <c r="EP96" s="97"/>
      <c r="EQ96" s="97"/>
      <c r="ER96" s="97"/>
      <c r="ES96" s="97"/>
      <c r="ET96" s="97"/>
    </row>
    <row r="97" spans="1:150" ht="15.75" customHeight="1">
      <c r="A97" s="97"/>
      <c r="B97" s="97"/>
      <c r="C97" s="97"/>
      <c r="D97" s="97"/>
      <c r="E97" s="97"/>
      <c r="F97" s="97"/>
      <c r="G97" s="97"/>
      <c r="H97" s="129"/>
      <c r="I97" s="97"/>
      <c r="J97" s="97"/>
      <c r="K97" s="97"/>
      <c r="L97" s="97"/>
      <c r="M97" s="97"/>
      <c r="N97" s="97"/>
      <c r="O97" s="97"/>
      <c r="P97" s="97"/>
      <c r="Q97" s="97"/>
      <c r="R97" s="97"/>
      <c r="S97" s="97"/>
      <c r="T97" s="97"/>
      <c r="U97" s="97"/>
      <c r="V97" s="97"/>
      <c r="W97" s="97"/>
      <c r="X97" s="129"/>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97"/>
      <c r="BX97" s="97"/>
      <c r="BY97" s="97"/>
      <c r="BZ97" s="97"/>
      <c r="CA97" s="97"/>
      <c r="CB97" s="97"/>
      <c r="CC97" s="97"/>
      <c r="CD97" s="97"/>
      <c r="CE97" s="97"/>
      <c r="CF97" s="97"/>
      <c r="CG97" s="97"/>
      <c r="CH97" s="97"/>
      <c r="CI97" s="97"/>
      <c r="CJ97" s="97"/>
      <c r="CK97" s="97"/>
      <c r="CL97" s="97"/>
      <c r="CM97" s="97"/>
      <c r="CN97" s="97"/>
      <c r="CO97" s="97"/>
      <c r="CP97" s="97"/>
      <c r="CQ97" s="97"/>
      <c r="CR97" s="97"/>
      <c r="CS97" s="97"/>
      <c r="CT97" s="97"/>
      <c r="CU97" s="97"/>
      <c r="CV97" s="97"/>
      <c r="CW97" s="97"/>
      <c r="CX97" s="97"/>
      <c r="CY97" s="97"/>
      <c r="CZ97" s="97"/>
      <c r="DA97" s="97"/>
      <c r="DB97" s="97"/>
      <c r="DC97" s="97"/>
      <c r="DD97" s="97"/>
      <c r="DE97" s="97"/>
      <c r="DF97" s="97"/>
      <c r="DG97" s="97"/>
      <c r="DH97" s="97"/>
      <c r="DI97" s="97"/>
      <c r="DJ97" s="97"/>
      <c r="DK97" s="97"/>
      <c r="DL97" s="97"/>
      <c r="DM97" s="97"/>
      <c r="DN97" s="97"/>
      <c r="DO97" s="97"/>
      <c r="DP97" s="97"/>
      <c r="DQ97" s="97"/>
      <c r="DR97" s="97"/>
      <c r="DS97" s="97"/>
      <c r="DT97" s="97"/>
      <c r="DU97" s="97"/>
      <c r="DV97" s="97"/>
      <c r="DW97" s="97"/>
      <c r="DX97" s="97"/>
      <c r="DY97" s="97"/>
      <c r="DZ97" s="97"/>
      <c r="EA97" s="97"/>
      <c r="EB97" s="97"/>
      <c r="EC97" s="97"/>
      <c r="ED97" s="97"/>
      <c r="EE97" s="97"/>
      <c r="EF97" s="97"/>
      <c r="EG97" s="97"/>
      <c r="EH97" s="97"/>
      <c r="EI97" s="97"/>
      <c r="EJ97" s="97"/>
      <c r="EK97" s="97"/>
      <c r="EL97" s="97"/>
      <c r="EM97" s="97"/>
      <c r="EN97" s="97"/>
      <c r="EO97" s="97"/>
      <c r="EP97" s="97"/>
      <c r="EQ97" s="97"/>
      <c r="ER97" s="97"/>
      <c r="ES97" s="97"/>
      <c r="ET97" s="97"/>
    </row>
    <row r="98" spans="1:150" ht="15.75" customHeight="1">
      <c r="A98" s="97"/>
      <c r="B98" s="97"/>
      <c r="C98" s="97"/>
      <c r="D98" s="97"/>
      <c r="E98" s="97"/>
      <c r="F98" s="97"/>
      <c r="G98" s="97"/>
      <c r="H98" s="129"/>
      <c r="I98" s="97"/>
      <c r="J98" s="97"/>
      <c r="K98" s="97"/>
      <c r="L98" s="97"/>
      <c r="M98" s="97"/>
      <c r="N98" s="97"/>
      <c r="O98" s="97"/>
      <c r="P98" s="97"/>
      <c r="Q98" s="97"/>
      <c r="R98" s="97"/>
      <c r="S98" s="97"/>
      <c r="T98" s="97"/>
      <c r="U98" s="97"/>
      <c r="V98" s="97"/>
      <c r="W98" s="97"/>
      <c r="X98" s="129"/>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97"/>
      <c r="BX98" s="97"/>
      <c r="BY98" s="97"/>
      <c r="BZ98" s="97"/>
      <c r="CA98" s="97"/>
      <c r="CB98" s="97"/>
      <c r="CC98" s="97"/>
      <c r="CD98" s="97"/>
      <c r="CE98" s="97"/>
      <c r="CF98" s="97"/>
      <c r="CG98" s="97"/>
      <c r="CH98" s="97"/>
      <c r="CI98" s="97"/>
      <c r="CJ98" s="97"/>
      <c r="CK98" s="97"/>
      <c r="CL98" s="97"/>
      <c r="CM98" s="97"/>
      <c r="CN98" s="97"/>
      <c r="CO98" s="97"/>
      <c r="CP98" s="97"/>
      <c r="CQ98" s="97"/>
      <c r="CR98" s="97"/>
      <c r="CS98" s="97"/>
      <c r="CT98" s="97"/>
      <c r="CU98" s="97"/>
      <c r="CV98" s="97"/>
      <c r="CW98" s="97"/>
      <c r="CX98" s="97"/>
      <c r="CY98" s="97"/>
      <c r="CZ98" s="97"/>
      <c r="DA98" s="97"/>
      <c r="DB98" s="97"/>
      <c r="DC98" s="97"/>
      <c r="DD98" s="97"/>
      <c r="DE98" s="97"/>
      <c r="DF98" s="97"/>
      <c r="DG98" s="97"/>
      <c r="DH98" s="97"/>
      <c r="DI98" s="97"/>
      <c r="DJ98" s="97"/>
      <c r="DK98" s="97"/>
      <c r="DL98" s="97"/>
      <c r="DM98" s="97"/>
      <c r="DN98" s="97"/>
      <c r="DO98" s="97"/>
      <c r="DP98" s="97"/>
      <c r="DQ98" s="97"/>
      <c r="DR98" s="97"/>
      <c r="DS98" s="97"/>
      <c r="DT98" s="97"/>
      <c r="DU98" s="97"/>
      <c r="DV98" s="97"/>
      <c r="DW98" s="97"/>
      <c r="DX98" s="97"/>
      <c r="DY98" s="97"/>
      <c r="DZ98" s="97"/>
      <c r="EA98" s="97"/>
      <c r="EB98" s="97"/>
      <c r="EC98" s="97"/>
      <c r="ED98" s="97"/>
      <c r="EE98" s="97"/>
      <c r="EF98" s="97"/>
      <c r="EG98" s="97"/>
      <c r="EH98" s="97"/>
      <c r="EI98" s="97"/>
      <c r="EJ98" s="97"/>
      <c r="EK98" s="97"/>
      <c r="EL98" s="97"/>
      <c r="EM98" s="97"/>
      <c r="EN98" s="97"/>
      <c r="EO98" s="97"/>
      <c r="EP98" s="97"/>
      <c r="EQ98" s="97"/>
      <c r="ER98" s="97"/>
      <c r="ES98" s="97"/>
      <c r="ET98" s="97"/>
    </row>
    <row r="99" spans="1:150" ht="15.75" customHeight="1">
      <c r="A99" s="97"/>
      <c r="B99" s="97"/>
      <c r="C99" s="97"/>
      <c r="D99" s="97"/>
      <c r="E99" s="97"/>
      <c r="F99" s="97"/>
      <c r="G99" s="97"/>
      <c r="H99" s="129"/>
      <c r="I99" s="97"/>
      <c r="J99" s="97"/>
      <c r="K99" s="97"/>
      <c r="L99" s="97"/>
      <c r="M99" s="97"/>
      <c r="N99" s="97"/>
      <c r="O99" s="97"/>
      <c r="P99" s="97"/>
      <c r="Q99" s="97"/>
      <c r="R99" s="97"/>
      <c r="S99" s="97"/>
      <c r="T99" s="97"/>
      <c r="U99" s="97"/>
      <c r="V99" s="97"/>
      <c r="W99" s="97"/>
      <c r="X99" s="129"/>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97"/>
      <c r="BX99" s="97"/>
      <c r="BY99" s="97"/>
      <c r="BZ99" s="97"/>
      <c r="CA99" s="97"/>
      <c r="CB99" s="97"/>
      <c r="CC99" s="97"/>
      <c r="CD99" s="97"/>
      <c r="CE99" s="97"/>
      <c r="CF99" s="97"/>
      <c r="CG99" s="97"/>
      <c r="CH99" s="97"/>
      <c r="CI99" s="97"/>
      <c r="CJ99" s="97"/>
      <c r="CK99" s="97"/>
      <c r="CL99" s="97"/>
      <c r="CM99" s="97"/>
      <c r="CN99" s="97"/>
      <c r="CO99" s="97"/>
      <c r="CP99" s="97"/>
      <c r="CQ99" s="97"/>
      <c r="CR99" s="97"/>
      <c r="CS99" s="97"/>
      <c r="CT99" s="97"/>
      <c r="CU99" s="97"/>
      <c r="CV99" s="97"/>
      <c r="CW99" s="97"/>
      <c r="CX99" s="97"/>
      <c r="CY99" s="97"/>
      <c r="CZ99" s="97"/>
      <c r="DA99" s="97"/>
      <c r="DB99" s="97"/>
      <c r="DC99" s="97"/>
      <c r="DD99" s="97"/>
      <c r="DE99" s="97"/>
      <c r="DF99" s="97"/>
      <c r="DG99" s="97"/>
      <c r="DH99" s="97"/>
      <c r="DI99" s="97"/>
      <c r="DJ99" s="97"/>
      <c r="DK99" s="97"/>
      <c r="DL99" s="97"/>
      <c r="DM99" s="97"/>
      <c r="DN99" s="97"/>
      <c r="DO99" s="97"/>
      <c r="DP99" s="97"/>
      <c r="DQ99" s="97"/>
      <c r="DR99" s="97"/>
      <c r="DS99" s="97"/>
      <c r="DT99" s="97"/>
      <c r="DU99" s="97"/>
      <c r="DV99" s="97"/>
      <c r="DW99" s="97"/>
      <c r="DX99" s="97"/>
      <c r="DY99" s="97"/>
      <c r="DZ99" s="97"/>
      <c r="EA99" s="97"/>
      <c r="EB99" s="97"/>
      <c r="EC99" s="97"/>
      <c r="ED99" s="97"/>
      <c r="EE99" s="97"/>
      <c r="EF99" s="97"/>
      <c r="EG99" s="97"/>
      <c r="EH99" s="97"/>
      <c r="EI99" s="97"/>
      <c r="EJ99" s="97"/>
      <c r="EK99" s="97"/>
      <c r="EL99" s="97"/>
      <c r="EM99" s="97"/>
      <c r="EN99" s="97"/>
      <c r="EO99" s="97"/>
      <c r="EP99" s="97"/>
      <c r="EQ99" s="97"/>
      <c r="ER99" s="97"/>
      <c r="ES99" s="97"/>
      <c r="ET99" s="97"/>
    </row>
    <row r="100" spans="1:150" ht="15.75" customHeight="1">
      <c r="A100" s="97"/>
      <c r="B100" s="97"/>
      <c r="C100" s="97"/>
      <c r="D100" s="97"/>
      <c r="E100" s="97"/>
      <c r="F100" s="97"/>
      <c r="G100" s="97"/>
      <c r="H100" s="129"/>
      <c r="I100" s="97"/>
      <c r="J100" s="97"/>
      <c r="K100" s="97"/>
      <c r="L100" s="97"/>
      <c r="M100" s="97"/>
      <c r="N100" s="97"/>
      <c r="O100" s="97"/>
      <c r="P100" s="97"/>
      <c r="Q100" s="97"/>
      <c r="R100" s="97"/>
      <c r="S100" s="97"/>
      <c r="T100" s="97"/>
      <c r="U100" s="97"/>
      <c r="V100" s="97"/>
      <c r="W100" s="97"/>
      <c r="X100" s="129"/>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97"/>
      <c r="BX100" s="97"/>
      <c r="BY100" s="97"/>
      <c r="BZ100" s="97"/>
      <c r="CA100" s="97"/>
      <c r="CB100" s="97"/>
      <c r="CC100" s="97"/>
      <c r="CD100" s="97"/>
      <c r="CE100" s="97"/>
      <c r="CF100" s="97"/>
      <c r="CG100" s="97"/>
      <c r="CH100" s="97"/>
      <c r="CI100" s="97"/>
      <c r="CJ100" s="97"/>
      <c r="CK100" s="97"/>
      <c r="CL100" s="97"/>
      <c r="CM100" s="97"/>
      <c r="CN100" s="97"/>
      <c r="CO100" s="97"/>
      <c r="CP100" s="97"/>
      <c r="CQ100" s="97"/>
      <c r="CR100" s="97"/>
      <c r="CS100" s="97"/>
      <c r="CT100" s="97"/>
      <c r="CU100" s="97"/>
      <c r="CV100" s="97"/>
      <c r="CW100" s="97"/>
      <c r="CX100" s="97"/>
      <c r="CY100" s="97"/>
      <c r="CZ100" s="97"/>
      <c r="DA100" s="97"/>
      <c r="DB100" s="97"/>
      <c r="DC100" s="97"/>
      <c r="DD100" s="97"/>
      <c r="DE100" s="97"/>
      <c r="DF100" s="97"/>
      <c r="DG100" s="97"/>
      <c r="DH100" s="97"/>
      <c r="DI100" s="97"/>
      <c r="DJ100" s="97"/>
      <c r="DK100" s="97"/>
      <c r="DL100" s="97"/>
      <c r="DM100" s="97"/>
      <c r="DN100" s="97"/>
      <c r="DO100" s="97"/>
      <c r="DP100" s="97"/>
      <c r="DQ100" s="97"/>
      <c r="DR100" s="97"/>
      <c r="DS100" s="97"/>
      <c r="DT100" s="97"/>
      <c r="DU100" s="97"/>
      <c r="DV100" s="97"/>
      <c r="DW100" s="97"/>
      <c r="DX100" s="97"/>
      <c r="DY100" s="97"/>
      <c r="DZ100" s="97"/>
      <c r="EA100" s="97"/>
      <c r="EB100" s="97"/>
      <c r="EC100" s="97"/>
      <c r="ED100" s="97"/>
      <c r="EE100" s="97"/>
      <c r="EF100" s="97"/>
      <c r="EG100" s="97"/>
      <c r="EH100" s="97"/>
      <c r="EI100" s="97"/>
      <c r="EJ100" s="97"/>
      <c r="EK100" s="97"/>
      <c r="EL100" s="97"/>
      <c r="EM100" s="97"/>
      <c r="EN100" s="97"/>
      <c r="EO100" s="97"/>
      <c r="EP100" s="97"/>
      <c r="EQ100" s="97"/>
      <c r="ER100" s="97"/>
      <c r="ES100" s="97"/>
      <c r="ET100" s="97"/>
    </row>
    <row r="101" spans="1:150" ht="15.75" customHeight="1">
      <c r="A101" s="97"/>
      <c r="B101" s="97"/>
      <c r="C101" s="97"/>
      <c r="D101" s="97"/>
      <c r="E101" s="97"/>
      <c r="F101" s="97"/>
      <c r="G101" s="97"/>
      <c r="H101" s="129"/>
      <c r="I101" s="97"/>
      <c r="J101" s="97"/>
      <c r="K101" s="97"/>
      <c r="L101" s="97"/>
      <c r="M101" s="97"/>
      <c r="N101" s="97"/>
      <c r="O101" s="97"/>
      <c r="P101" s="97"/>
      <c r="Q101" s="97"/>
      <c r="R101" s="97"/>
      <c r="S101" s="97"/>
      <c r="T101" s="97"/>
      <c r="U101" s="97"/>
      <c r="V101" s="97"/>
      <c r="W101" s="97"/>
      <c r="X101" s="129"/>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97"/>
      <c r="BX101" s="97"/>
      <c r="BY101" s="97"/>
      <c r="BZ101" s="97"/>
      <c r="CA101" s="97"/>
      <c r="CB101" s="97"/>
      <c r="CC101" s="97"/>
      <c r="CD101" s="97"/>
      <c r="CE101" s="97"/>
      <c r="CF101" s="97"/>
      <c r="CG101" s="97"/>
      <c r="CH101" s="97"/>
      <c r="CI101" s="97"/>
      <c r="CJ101" s="97"/>
      <c r="CK101" s="97"/>
      <c r="CL101" s="97"/>
      <c r="CM101" s="97"/>
      <c r="CN101" s="97"/>
      <c r="CO101" s="97"/>
      <c r="CP101" s="97"/>
      <c r="CQ101" s="97"/>
      <c r="CR101" s="97"/>
      <c r="CS101" s="97"/>
      <c r="CT101" s="97"/>
      <c r="CU101" s="97"/>
      <c r="CV101" s="97"/>
      <c r="CW101" s="97"/>
      <c r="CX101" s="97"/>
      <c r="CY101" s="97"/>
      <c r="CZ101" s="97"/>
      <c r="DA101" s="97"/>
      <c r="DB101" s="97"/>
      <c r="DC101" s="97"/>
      <c r="DD101" s="97"/>
      <c r="DE101" s="97"/>
      <c r="DF101" s="97"/>
      <c r="DG101" s="97"/>
      <c r="DH101" s="97"/>
      <c r="DI101" s="97"/>
      <c r="DJ101" s="97"/>
      <c r="DK101" s="97"/>
      <c r="DL101" s="97"/>
      <c r="DM101" s="97"/>
      <c r="DN101" s="97"/>
      <c r="DO101" s="97"/>
      <c r="DP101" s="97"/>
      <c r="DQ101" s="97"/>
      <c r="DR101" s="97"/>
      <c r="DS101" s="97"/>
      <c r="DT101" s="97"/>
      <c r="DU101" s="97"/>
      <c r="DV101" s="97"/>
      <c r="DW101" s="97"/>
      <c r="DX101" s="97"/>
      <c r="DY101" s="97"/>
      <c r="DZ101" s="97"/>
      <c r="EA101" s="97"/>
      <c r="EB101" s="97"/>
      <c r="EC101" s="97"/>
      <c r="ED101" s="97"/>
      <c r="EE101" s="97"/>
      <c r="EF101" s="97"/>
      <c r="EG101" s="97"/>
      <c r="EH101" s="97"/>
      <c r="EI101" s="97"/>
      <c r="EJ101" s="97"/>
      <c r="EK101" s="97"/>
      <c r="EL101" s="97"/>
      <c r="EM101" s="97"/>
      <c r="EN101" s="97"/>
      <c r="EO101" s="97"/>
      <c r="EP101" s="97"/>
      <c r="EQ101" s="97"/>
      <c r="ER101" s="97"/>
      <c r="ES101" s="97"/>
      <c r="ET101" s="97"/>
    </row>
    <row r="102" spans="1:150" ht="15.75" customHeight="1">
      <c r="A102" s="97"/>
      <c r="B102" s="97"/>
      <c r="C102" s="97"/>
      <c r="D102" s="97"/>
      <c r="E102" s="97"/>
      <c r="F102" s="97"/>
      <c r="G102" s="97"/>
      <c r="H102" s="129"/>
      <c r="I102" s="97"/>
      <c r="J102" s="97"/>
      <c r="K102" s="97"/>
      <c r="L102" s="97"/>
      <c r="M102" s="97"/>
      <c r="N102" s="97"/>
      <c r="O102" s="97"/>
      <c r="P102" s="97"/>
      <c r="Q102" s="97"/>
      <c r="R102" s="97"/>
      <c r="S102" s="97"/>
      <c r="T102" s="97"/>
      <c r="U102" s="97"/>
      <c r="V102" s="97"/>
      <c r="W102" s="97"/>
      <c r="X102" s="129"/>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97"/>
      <c r="BX102" s="97"/>
      <c r="BY102" s="97"/>
      <c r="BZ102" s="97"/>
      <c r="CA102" s="97"/>
      <c r="CB102" s="97"/>
      <c r="CC102" s="97"/>
      <c r="CD102" s="97"/>
      <c r="CE102" s="97"/>
      <c r="CF102" s="97"/>
      <c r="CG102" s="97"/>
      <c r="CH102" s="97"/>
      <c r="CI102" s="97"/>
      <c r="CJ102" s="97"/>
      <c r="CK102" s="97"/>
      <c r="CL102" s="97"/>
      <c r="CM102" s="97"/>
      <c r="CN102" s="97"/>
      <c r="CO102" s="97"/>
      <c r="CP102" s="97"/>
      <c r="CQ102" s="97"/>
      <c r="CR102" s="97"/>
      <c r="CS102" s="97"/>
      <c r="CT102" s="97"/>
      <c r="CU102" s="97"/>
      <c r="CV102" s="97"/>
      <c r="CW102" s="97"/>
      <c r="CX102" s="97"/>
      <c r="CY102" s="97"/>
      <c r="CZ102" s="97"/>
      <c r="DA102" s="97"/>
      <c r="DB102" s="97"/>
      <c r="DC102" s="97"/>
      <c r="DD102" s="97"/>
      <c r="DE102" s="97"/>
      <c r="DF102" s="97"/>
      <c r="DG102" s="97"/>
      <c r="DH102" s="97"/>
      <c r="DI102" s="97"/>
      <c r="DJ102" s="97"/>
      <c r="DK102" s="97"/>
      <c r="DL102" s="97"/>
      <c r="DM102" s="97"/>
      <c r="DN102" s="97"/>
      <c r="DO102" s="97"/>
      <c r="DP102" s="97"/>
      <c r="DQ102" s="97"/>
      <c r="DR102" s="97"/>
      <c r="DS102" s="97"/>
      <c r="DT102" s="97"/>
      <c r="DU102" s="97"/>
      <c r="DV102" s="97"/>
      <c r="DW102" s="97"/>
      <c r="DX102" s="97"/>
      <c r="DY102" s="97"/>
      <c r="DZ102" s="97"/>
      <c r="EA102" s="97"/>
      <c r="EB102" s="97"/>
      <c r="EC102" s="97"/>
      <c r="ED102" s="97"/>
      <c r="EE102" s="97"/>
      <c r="EF102" s="97"/>
      <c r="EG102" s="97"/>
      <c r="EH102" s="97"/>
      <c r="EI102" s="97"/>
      <c r="EJ102" s="97"/>
      <c r="EK102" s="97"/>
      <c r="EL102" s="97"/>
      <c r="EM102" s="97"/>
      <c r="EN102" s="97"/>
      <c r="EO102" s="97"/>
      <c r="EP102" s="97"/>
      <c r="EQ102" s="97"/>
      <c r="ER102" s="97"/>
      <c r="ES102" s="97"/>
      <c r="ET102" s="97"/>
    </row>
    <row r="103" spans="1:150" ht="15.75" customHeight="1">
      <c r="A103" s="97"/>
      <c r="B103" s="97"/>
      <c r="C103" s="97"/>
      <c r="D103" s="97"/>
      <c r="E103" s="97"/>
      <c r="F103" s="97"/>
      <c r="G103" s="97"/>
      <c r="H103" s="129"/>
      <c r="I103" s="97"/>
      <c r="J103" s="97"/>
      <c r="K103" s="97"/>
      <c r="L103" s="97"/>
      <c r="M103" s="97"/>
      <c r="N103" s="97"/>
      <c r="O103" s="97"/>
      <c r="P103" s="97"/>
      <c r="Q103" s="97"/>
      <c r="R103" s="97"/>
      <c r="S103" s="97"/>
      <c r="T103" s="97"/>
      <c r="U103" s="97"/>
      <c r="V103" s="97"/>
      <c r="W103" s="97"/>
      <c r="X103" s="129"/>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97"/>
      <c r="BX103" s="97"/>
      <c r="BY103" s="97"/>
      <c r="BZ103" s="97"/>
      <c r="CA103" s="97"/>
      <c r="CB103" s="97"/>
      <c r="CC103" s="97"/>
      <c r="CD103" s="97"/>
      <c r="CE103" s="97"/>
      <c r="CF103" s="97"/>
      <c r="CG103" s="97"/>
      <c r="CH103" s="97"/>
      <c r="CI103" s="97"/>
      <c r="CJ103" s="97"/>
      <c r="CK103" s="97"/>
      <c r="CL103" s="97"/>
      <c r="CM103" s="97"/>
      <c r="CN103" s="97"/>
      <c r="CO103" s="97"/>
      <c r="CP103" s="97"/>
      <c r="CQ103" s="97"/>
      <c r="CR103" s="97"/>
      <c r="CS103" s="97"/>
      <c r="CT103" s="97"/>
      <c r="CU103" s="97"/>
      <c r="CV103" s="97"/>
      <c r="CW103" s="97"/>
      <c r="CX103" s="97"/>
      <c r="CY103" s="97"/>
      <c r="CZ103" s="97"/>
      <c r="DA103" s="97"/>
      <c r="DB103" s="97"/>
      <c r="DC103" s="97"/>
      <c r="DD103" s="97"/>
      <c r="DE103" s="97"/>
      <c r="DF103" s="97"/>
      <c r="DG103" s="97"/>
      <c r="DH103" s="97"/>
      <c r="DI103" s="97"/>
      <c r="DJ103" s="97"/>
      <c r="DK103" s="97"/>
      <c r="DL103" s="97"/>
      <c r="DM103" s="97"/>
      <c r="DN103" s="97"/>
      <c r="DO103" s="97"/>
      <c r="DP103" s="97"/>
      <c r="DQ103" s="97"/>
      <c r="DR103" s="97"/>
      <c r="DS103" s="97"/>
      <c r="DT103" s="97"/>
      <c r="DU103" s="97"/>
      <c r="DV103" s="97"/>
      <c r="DW103" s="97"/>
      <c r="DX103" s="97"/>
      <c r="DY103" s="97"/>
      <c r="DZ103" s="97"/>
      <c r="EA103" s="97"/>
      <c r="EB103" s="97"/>
      <c r="EC103" s="97"/>
      <c r="ED103" s="97"/>
      <c r="EE103" s="97"/>
      <c r="EF103" s="97"/>
      <c r="EG103" s="97"/>
      <c r="EH103" s="97"/>
      <c r="EI103" s="97"/>
      <c r="EJ103" s="97"/>
      <c r="EK103" s="97"/>
      <c r="EL103" s="97"/>
      <c r="EM103" s="97"/>
      <c r="EN103" s="97"/>
      <c r="EO103" s="97"/>
      <c r="EP103" s="97"/>
      <c r="EQ103" s="97"/>
      <c r="ER103" s="97"/>
      <c r="ES103" s="97"/>
      <c r="ET103" s="97"/>
    </row>
    <row r="104" spans="1:150" ht="15.75" customHeight="1">
      <c r="A104" s="97"/>
      <c r="B104" s="97"/>
      <c r="C104" s="97"/>
      <c r="D104" s="97"/>
      <c r="E104" s="97"/>
      <c r="F104" s="97"/>
      <c r="G104" s="97"/>
      <c r="H104" s="129"/>
      <c r="I104" s="97"/>
      <c r="J104" s="97"/>
      <c r="K104" s="97"/>
      <c r="L104" s="97"/>
      <c r="M104" s="97"/>
      <c r="N104" s="97"/>
      <c r="O104" s="97"/>
      <c r="P104" s="97"/>
      <c r="Q104" s="97"/>
      <c r="R104" s="97"/>
      <c r="S104" s="97"/>
      <c r="T104" s="97"/>
      <c r="U104" s="97"/>
      <c r="V104" s="97"/>
      <c r="W104" s="97"/>
      <c r="X104" s="129"/>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97"/>
      <c r="BX104" s="97"/>
      <c r="BY104" s="97"/>
      <c r="BZ104" s="97"/>
      <c r="CA104" s="97"/>
      <c r="CB104" s="97"/>
      <c r="CC104" s="97"/>
      <c r="CD104" s="97"/>
      <c r="CE104" s="97"/>
      <c r="CF104" s="97"/>
      <c r="CG104" s="97"/>
      <c r="CH104" s="97"/>
      <c r="CI104" s="97"/>
      <c r="CJ104" s="97"/>
      <c r="CK104" s="97"/>
      <c r="CL104" s="97"/>
      <c r="CM104" s="97"/>
      <c r="CN104" s="97"/>
      <c r="CO104" s="97"/>
      <c r="CP104" s="97"/>
      <c r="CQ104" s="97"/>
      <c r="CR104" s="97"/>
      <c r="CS104" s="97"/>
      <c r="CT104" s="97"/>
      <c r="CU104" s="97"/>
      <c r="CV104" s="97"/>
      <c r="CW104" s="97"/>
      <c r="CX104" s="97"/>
      <c r="CY104" s="97"/>
      <c r="CZ104" s="97"/>
      <c r="DA104" s="97"/>
      <c r="DB104" s="97"/>
      <c r="DC104" s="97"/>
      <c r="DD104" s="97"/>
      <c r="DE104" s="97"/>
      <c r="DF104" s="97"/>
      <c r="DG104" s="97"/>
      <c r="DH104" s="97"/>
      <c r="DI104" s="97"/>
      <c r="DJ104" s="97"/>
      <c r="DK104" s="97"/>
      <c r="DL104" s="97"/>
      <c r="DM104" s="97"/>
      <c r="DN104" s="97"/>
      <c r="DO104" s="97"/>
      <c r="DP104" s="97"/>
      <c r="DQ104" s="97"/>
      <c r="DR104" s="97"/>
      <c r="DS104" s="97"/>
      <c r="DT104" s="97"/>
      <c r="DU104" s="97"/>
      <c r="DV104" s="97"/>
      <c r="DW104" s="97"/>
      <c r="DX104" s="97"/>
      <c r="DY104" s="97"/>
      <c r="DZ104" s="97"/>
      <c r="EA104" s="97"/>
      <c r="EB104" s="97"/>
      <c r="EC104" s="97"/>
      <c r="ED104" s="97"/>
      <c r="EE104" s="97"/>
      <c r="EF104" s="97"/>
      <c r="EG104" s="97"/>
      <c r="EH104" s="97"/>
      <c r="EI104" s="97"/>
      <c r="EJ104" s="97"/>
      <c r="EK104" s="97"/>
      <c r="EL104" s="97"/>
      <c r="EM104" s="97"/>
      <c r="EN104" s="97"/>
      <c r="EO104" s="97"/>
      <c r="EP104" s="97"/>
      <c r="EQ104" s="97"/>
      <c r="ER104" s="97"/>
      <c r="ES104" s="97"/>
      <c r="ET104" s="97"/>
    </row>
    <row r="105" spans="1:150" ht="15.75" customHeight="1">
      <c r="A105" s="97"/>
      <c r="B105" s="97"/>
      <c r="C105" s="97"/>
      <c r="D105" s="97"/>
      <c r="E105" s="97"/>
      <c r="F105" s="97"/>
      <c r="G105" s="97"/>
      <c r="H105" s="129"/>
      <c r="I105" s="97"/>
      <c r="J105" s="97"/>
      <c r="K105" s="97"/>
      <c r="L105" s="97"/>
      <c r="M105" s="97"/>
      <c r="N105" s="97"/>
      <c r="O105" s="97"/>
      <c r="P105" s="97"/>
      <c r="Q105" s="97"/>
      <c r="R105" s="97"/>
      <c r="S105" s="97"/>
      <c r="T105" s="97"/>
      <c r="U105" s="97"/>
      <c r="V105" s="97"/>
      <c r="W105" s="97"/>
      <c r="X105" s="129"/>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97"/>
      <c r="BX105" s="97"/>
      <c r="BY105" s="97"/>
      <c r="BZ105" s="97"/>
      <c r="CA105" s="97"/>
      <c r="CB105" s="97"/>
      <c r="CC105" s="97"/>
      <c r="CD105" s="97"/>
      <c r="CE105" s="97"/>
      <c r="CF105" s="97"/>
      <c r="CG105" s="97"/>
      <c r="CH105" s="97"/>
      <c r="CI105" s="97"/>
      <c r="CJ105" s="97"/>
      <c r="CK105" s="97"/>
      <c r="CL105" s="97"/>
      <c r="CM105" s="97"/>
      <c r="CN105" s="97"/>
      <c r="CO105" s="97"/>
      <c r="CP105" s="97"/>
      <c r="CQ105" s="97"/>
      <c r="CR105" s="97"/>
      <c r="CS105" s="97"/>
      <c r="CT105" s="97"/>
      <c r="CU105" s="97"/>
      <c r="CV105" s="97"/>
      <c r="CW105" s="97"/>
      <c r="CX105" s="97"/>
      <c r="CY105" s="97"/>
      <c r="CZ105" s="97"/>
      <c r="DA105" s="97"/>
      <c r="DB105" s="97"/>
      <c r="DC105" s="97"/>
      <c r="DD105" s="97"/>
      <c r="DE105" s="97"/>
      <c r="DF105" s="97"/>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97"/>
      <c r="EC105" s="97"/>
      <c r="ED105" s="97"/>
      <c r="EE105" s="97"/>
      <c r="EF105" s="97"/>
      <c r="EG105" s="97"/>
      <c r="EH105" s="97"/>
      <c r="EI105" s="97"/>
      <c r="EJ105" s="97"/>
      <c r="EK105" s="97"/>
      <c r="EL105" s="97"/>
      <c r="EM105" s="97"/>
      <c r="EN105" s="97"/>
      <c r="EO105" s="97"/>
      <c r="EP105" s="97"/>
      <c r="EQ105" s="97"/>
      <c r="ER105" s="97"/>
      <c r="ES105" s="97"/>
      <c r="ET105" s="97"/>
    </row>
    <row r="106" spans="1:150" ht="15.75" customHeight="1">
      <c r="A106" s="97"/>
      <c r="B106" s="97"/>
      <c r="C106" s="97"/>
      <c r="D106" s="97"/>
      <c r="E106" s="97"/>
      <c r="F106" s="97"/>
      <c r="G106" s="97"/>
      <c r="H106" s="129"/>
      <c r="I106" s="97"/>
      <c r="J106" s="97"/>
      <c r="K106" s="97"/>
      <c r="L106" s="97"/>
      <c r="M106" s="97"/>
      <c r="N106" s="97"/>
      <c r="O106" s="97"/>
      <c r="P106" s="97"/>
      <c r="Q106" s="97"/>
      <c r="R106" s="97"/>
      <c r="S106" s="97"/>
      <c r="T106" s="97"/>
      <c r="U106" s="97"/>
      <c r="V106" s="97"/>
      <c r="W106" s="97"/>
      <c r="X106" s="129"/>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97"/>
      <c r="BX106" s="97"/>
      <c r="BY106" s="97"/>
      <c r="BZ106" s="97"/>
      <c r="CA106" s="97"/>
      <c r="CB106" s="97"/>
      <c r="CC106" s="97"/>
      <c r="CD106" s="97"/>
      <c r="CE106" s="97"/>
      <c r="CF106" s="97"/>
      <c r="CG106" s="97"/>
      <c r="CH106" s="97"/>
      <c r="CI106" s="97"/>
      <c r="CJ106" s="97"/>
      <c r="CK106" s="97"/>
      <c r="CL106" s="97"/>
      <c r="CM106" s="97"/>
      <c r="CN106" s="97"/>
      <c r="CO106" s="97"/>
      <c r="CP106" s="97"/>
      <c r="CQ106" s="97"/>
      <c r="CR106" s="97"/>
      <c r="CS106" s="97"/>
      <c r="CT106" s="97"/>
      <c r="CU106" s="97"/>
      <c r="CV106" s="97"/>
      <c r="CW106" s="97"/>
      <c r="CX106" s="97"/>
      <c r="CY106" s="97"/>
      <c r="CZ106" s="97"/>
      <c r="DA106" s="97"/>
      <c r="DB106" s="97"/>
      <c r="DC106" s="97"/>
      <c r="DD106" s="97"/>
      <c r="DE106" s="97"/>
      <c r="DF106" s="97"/>
      <c r="DG106" s="97"/>
      <c r="DH106" s="97"/>
      <c r="DI106" s="97"/>
      <c r="DJ106" s="97"/>
      <c r="DK106" s="97"/>
      <c r="DL106" s="97"/>
      <c r="DM106" s="97"/>
      <c r="DN106" s="97"/>
      <c r="DO106" s="97"/>
      <c r="DP106" s="97"/>
      <c r="DQ106" s="97"/>
      <c r="DR106" s="97"/>
      <c r="DS106" s="97"/>
      <c r="DT106" s="97"/>
      <c r="DU106" s="97"/>
      <c r="DV106" s="97"/>
      <c r="DW106" s="97"/>
      <c r="DX106" s="97"/>
      <c r="DY106" s="97"/>
      <c r="DZ106" s="97"/>
      <c r="EA106" s="97"/>
      <c r="EB106" s="97"/>
      <c r="EC106" s="97"/>
      <c r="ED106" s="97"/>
      <c r="EE106" s="97"/>
      <c r="EF106" s="97"/>
      <c r="EG106" s="97"/>
      <c r="EH106" s="97"/>
      <c r="EI106" s="97"/>
      <c r="EJ106" s="97"/>
      <c r="EK106" s="97"/>
      <c r="EL106" s="97"/>
      <c r="EM106" s="97"/>
      <c r="EN106" s="97"/>
      <c r="EO106" s="97"/>
      <c r="EP106" s="97"/>
      <c r="EQ106" s="97"/>
      <c r="ER106" s="97"/>
      <c r="ES106" s="97"/>
      <c r="ET106" s="97"/>
    </row>
    <row r="107" spans="1:150" ht="15.75" customHeight="1">
      <c r="A107" s="97"/>
      <c r="B107" s="97"/>
      <c r="C107" s="97"/>
      <c r="D107" s="97"/>
      <c r="E107" s="97"/>
      <c r="F107" s="97"/>
      <c r="G107" s="97"/>
      <c r="H107" s="129"/>
      <c r="I107" s="97"/>
      <c r="J107" s="97"/>
      <c r="K107" s="97"/>
      <c r="L107" s="97"/>
      <c r="M107" s="97"/>
      <c r="N107" s="97"/>
      <c r="O107" s="97"/>
      <c r="P107" s="97"/>
      <c r="Q107" s="97"/>
      <c r="R107" s="97"/>
      <c r="S107" s="97"/>
      <c r="T107" s="97"/>
      <c r="U107" s="97"/>
      <c r="V107" s="97"/>
      <c r="W107" s="97"/>
      <c r="X107" s="129"/>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97"/>
      <c r="BX107" s="97"/>
      <c r="BY107" s="97"/>
      <c r="BZ107" s="97"/>
      <c r="CA107" s="97"/>
      <c r="CB107" s="97"/>
      <c r="CC107" s="97"/>
      <c r="CD107" s="97"/>
      <c r="CE107" s="97"/>
      <c r="CF107" s="97"/>
      <c r="CG107" s="97"/>
      <c r="CH107" s="97"/>
      <c r="CI107" s="97"/>
      <c r="CJ107" s="97"/>
      <c r="CK107" s="97"/>
      <c r="CL107" s="97"/>
      <c r="CM107" s="97"/>
      <c r="CN107" s="97"/>
      <c r="CO107" s="97"/>
      <c r="CP107" s="97"/>
      <c r="CQ107" s="97"/>
      <c r="CR107" s="97"/>
      <c r="CS107" s="97"/>
      <c r="CT107" s="97"/>
      <c r="CU107" s="97"/>
      <c r="CV107" s="97"/>
      <c r="CW107" s="97"/>
      <c r="CX107" s="97"/>
      <c r="CY107" s="97"/>
      <c r="CZ107" s="97"/>
      <c r="DA107" s="97"/>
      <c r="DB107" s="97"/>
      <c r="DC107" s="97"/>
      <c r="DD107" s="97"/>
      <c r="DE107" s="97"/>
      <c r="DF107" s="97"/>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97"/>
      <c r="EC107" s="97"/>
      <c r="ED107" s="97"/>
      <c r="EE107" s="97"/>
      <c r="EF107" s="97"/>
      <c r="EG107" s="97"/>
      <c r="EH107" s="97"/>
      <c r="EI107" s="97"/>
      <c r="EJ107" s="97"/>
      <c r="EK107" s="97"/>
      <c r="EL107" s="97"/>
      <c r="EM107" s="97"/>
      <c r="EN107" s="97"/>
      <c r="EO107" s="97"/>
      <c r="EP107" s="97"/>
      <c r="EQ107" s="97"/>
      <c r="ER107" s="97"/>
      <c r="ES107" s="97"/>
      <c r="ET107" s="97"/>
    </row>
    <row r="108" spans="1:150" ht="15.75" customHeight="1">
      <c r="A108" s="97"/>
      <c r="B108" s="97"/>
      <c r="C108" s="97"/>
      <c r="D108" s="97"/>
      <c r="E108" s="97"/>
      <c r="F108" s="97"/>
      <c r="G108" s="97"/>
      <c r="H108" s="129"/>
      <c r="I108" s="97"/>
      <c r="J108" s="97"/>
      <c r="K108" s="97"/>
      <c r="L108" s="97"/>
      <c r="M108" s="97"/>
      <c r="N108" s="97"/>
      <c r="O108" s="97"/>
      <c r="P108" s="97"/>
      <c r="Q108" s="97"/>
      <c r="R108" s="97"/>
      <c r="S108" s="97"/>
      <c r="T108" s="97"/>
      <c r="U108" s="97"/>
      <c r="V108" s="97"/>
      <c r="W108" s="97"/>
      <c r="X108" s="129"/>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97"/>
      <c r="BX108" s="97"/>
      <c r="BY108" s="97"/>
      <c r="BZ108" s="97"/>
      <c r="CA108" s="97"/>
      <c r="CB108" s="97"/>
      <c r="CC108" s="97"/>
      <c r="CD108" s="97"/>
      <c r="CE108" s="97"/>
      <c r="CF108" s="97"/>
      <c r="CG108" s="97"/>
      <c r="CH108" s="97"/>
      <c r="CI108" s="97"/>
      <c r="CJ108" s="97"/>
      <c r="CK108" s="97"/>
      <c r="CL108" s="97"/>
      <c r="CM108" s="97"/>
      <c r="CN108" s="97"/>
      <c r="CO108" s="97"/>
      <c r="CP108" s="97"/>
      <c r="CQ108" s="97"/>
      <c r="CR108" s="97"/>
      <c r="CS108" s="97"/>
      <c r="CT108" s="97"/>
      <c r="CU108" s="97"/>
      <c r="CV108" s="97"/>
      <c r="CW108" s="97"/>
      <c r="CX108" s="97"/>
      <c r="CY108" s="97"/>
      <c r="CZ108" s="97"/>
      <c r="DA108" s="97"/>
      <c r="DB108" s="97"/>
      <c r="DC108" s="97"/>
      <c r="DD108" s="97"/>
      <c r="DE108" s="97"/>
      <c r="DF108" s="97"/>
      <c r="DG108" s="97"/>
      <c r="DH108" s="97"/>
      <c r="DI108" s="97"/>
      <c r="DJ108" s="97"/>
      <c r="DK108" s="97"/>
      <c r="DL108" s="97"/>
      <c r="DM108" s="97"/>
      <c r="DN108" s="97"/>
      <c r="DO108" s="97"/>
      <c r="DP108" s="97"/>
      <c r="DQ108" s="97"/>
      <c r="DR108" s="97"/>
      <c r="DS108" s="97"/>
      <c r="DT108" s="97"/>
      <c r="DU108" s="97"/>
      <c r="DV108" s="97"/>
      <c r="DW108" s="97"/>
      <c r="DX108" s="97"/>
      <c r="DY108" s="97"/>
      <c r="DZ108" s="97"/>
      <c r="EA108" s="97"/>
      <c r="EB108" s="97"/>
      <c r="EC108" s="97"/>
      <c r="ED108" s="97"/>
      <c r="EE108" s="97"/>
      <c r="EF108" s="97"/>
      <c r="EG108" s="97"/>
      <c r="EH108" s="97"/>
      <c r="EI108" s="97"/>
      <c r="EJ108" s="97"/>
      <c r="EK108" s="97"/>
      <c r="EL108" s="97"/>
      <c r="EM108" s="97"/>
      <c r="EN108" s="97"/>
      <c r="EO108" s="97"/>
      <c r="EP108" s="97"/>
      <c r="EQ108" s="97"/>
      <c r="ER108" s="97"/>
      <c r="ES108" s="97"/>
      <c r="ET108" s="97"/>
    </row>
    <row r="109" spans="1:150" ht="15.75" customHeight="1">
      <c r="A109" s="97"/>
      <c r="B109" s="97"/>
      <c r="C109" s="97"/>
      <c r="D109" s="97"/>
      <c r="E109" s="97"/>
      <c r="F109" s="97"/>
      <c r="G109" s="97"/>
      <c r="H109" s="129"/>
      <c r="I109" s="97"/>
      <c r="J109" s="97"/>
      <c r="K109" s="97"/>
      <c r="L109" s="97"/>
      <c r="M109" s="97"/>
      <c r="N109" s="97"/>
      <c r="O109" s="97"/>
      <c r="P109" s="97"/>
      <c r="Q109" s="97"/>
      <c r="R109" s="97"/>
      <c r="S109" s="97"/>
      <c r="T109" s="97"/>
      <c r="U109" s="97"/>
      <c r="V109" s="97"/>
      <c r="W109" s="97"/>
      <c r="X109" s="129"/>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97"/>
      <c r="BX109" s="97"/>
      <c r="BY109" s="97"/>
      <c r="BZ109" s="97"/>
      <c r="CA109" s="97"/>
      <c r="CB109" s="97"/>
      <c r="CC109" s="97"/>
      <c r="CD109" s="97"/>
      <c r="CE109" s="97"/>
      <c r="CF109" s="97"/>
      <c r="CG109" s="97"/>
      <c r="CH109" s="97"/>
      <c r="CI109" s="97"/>
      <c r="CJ109" s="97"/>
      <c r="CK109" s="97"/>
      <c r="CL109" s="97"/>
      <c r="CM109" s="97"/>
      <c r="CN109" s="97"/>
      <c r="CO109" s="97"/>
      <c r="CP109" s="97"/>
      <c r="CQ109" s="97"/>
      <c r="CR109" s="97"/>
      <c r="CS109" s="97"/>
      <c r="CT109" s="97"/>
      <c r="CU109" s="97"/>
      <c r="CV109" s="97"/>
      <c r="CW109" s="97"/>
      <c r="CX109" s="97"/>
      <c r="CY109" s="97"/>
      <c r="CZ109" s="97"/>
      <c r="DA109" s="97"/>
      <c r="DB109" s="97"/>
      <c r="DC109" s="97"/>
      <c r="DD109" s="97"/>
      <c r="DE109" s="97"/>
      <c r="DF109" s="97"/>
      <c r="DG109" s="97"/>
      <c r="DH109" s="97"/>
      <c r="DI109" s="97"/>
      <c r="DJ109" s="97"/>
      <c r="DK109" s="97"/>
      <c r="DL109" s="97"/>
      <c r="DM109" s="97"/>
      <c r="DN109" s="97"/>
      <c r="DO109" s="97"/>
      <c r="DP109" s="97"/>
      <c r="DQ109" s="97"/>
      <c r="DR109" s="97"/>
      <c r="DS109" s="97"/>
      <c r="DT109" s="97"/>
      <c r="DU109" s="97"/>
      <c r="DV109" s="97"/>
      <c r="DW109" s="97"/>
      <c r="DX109" s="97"/>
      <c r="DY109" s="97"/>
      <c r="DZ109" s="97"/>
      <c r="EA109" s="97"/>
      <c r="EB109" s="97"/>
      <c r="EC109" s="97"/>
      <c r="ED109" s="97"/>
      <c r="EE109" s="97"/>
      <c r="EF109" s="97"/>
      <c r="EG109" s="97"/>
      <c r="EH109" s="97"/>
      <c r="EI109" s="97"/>
      <c r="EJ109" s="97"/>
      <c r="EK109" s="97"/>
      <c r="EL109" s="97"/>
      <c r="EM109" s="97"/>
      <c r="EN109" s="97"/>
      <c r="EO109" s="97"/>
      <c r="EP109" s="97"/>
      <c r="EQ109" s="97"/>
      <c r="ER109" s="97"/>
      <c r="ES109" s="97"/>
      <c r="ET109" s="97"/>
    </row>
    <row r="110" spans="1:150" ht="15.75" customHeight="1">
      <c r="A110" s="97"/>
      <c r="B110" s="97"/>
      <c r="C110" s="97"/>
      <c r="D110" s="97"/>
      <c r="E110" s="97"/>
      <c r="F110" s="97"/>
      <c r="G110" s="97"/>
      <c r="H110" s="129"/>
      <c r="I110" s="97"/>
      <c r="J110" s="97"/>
      <c r="K110" s="97"/>
      <c r="L110" s="97"/>
      <c r="M110" s="97"/>
      <c r="N110" s="97"/>
      <c r="O110" s="97"/>
      <c r="P110" s="97"/>
      <c r="Q110" s="97"/>
      <c r="R110" s="97"/>
      <c r="S110" s="97"/>
      <c r="T110" s="97"/>
      <c r="U110" s="97"/>
      <c r="V110" s="97"/>
      <c r="W110" s="97"/>
      <c r="X110" s="129"/>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97"/>
      <c r="BX110" s="97"/>
      <c r="BY110" s="97"/>
      <c r="BZ110" s="97"/>
      <c r="CA110" s="97"/>
      <c r="CB110" s="97"/>
      <c r="CC110" s="97"/>
      <c r="CD110" s="97"/>
      <c r="CE110" s="97"/>
      <c r="CF110" s="97"/>
      <c r="CG110" s="97"/>
      <c r="CH110" s="97"/>
      <c r="CI110" s="97"/>
      <c r="CJ110" s="97"/>
      <c r="CK110" s="97"/>
      <c r="CL110" s="97"/>
      <c r="CM110" s="97"/>
      <c r="CN110" s="97"/>
      <c r="CO110" s="97"/>
      <c r="CP110" s="97"/>
      <c r="CQ110" s="97"/>
      <c r="CR110" s="97"/>
      <c r="CS110" s="97"/>
      <c r="CT110" s="97"/>
      <c r="CU110" s="97"/>
      <c r="CV110" s="97"/>
      <c r="CW110" s="97"/>
      <c r="CX110" s="97"/>
      <c r="CY110" s="97"/>
      <c r="CZ110" s="97"/>
      <c r="DA110" s="97"/>
      <c r="DB110" s="97"/>
      <c r="DC110" s="97"/>
      <c r="DD110" s="97"/>
      <c r="DE110" s="97"/>
      <c r="DF110" s="97"/>
      <c r="DG110" s="97"/>
      <c r="DH110" s="97"/>
      <c r="DI110" s="97"/>
      <c r="DJ110" s="97"/>
      <c r="DK110" s="97"/>
      <c r="DL110" s="97"/>
      <c r="DM110" s="97"/>
      <c r="DN110" s="97"/>
      <c r="DO110" s="97"/>
      <c r="DP110" s="97"/>
      <c r="DQ110" s="97"/>
      <c r="DR110" s="97"/>
      <c r="DS110" s="97"/>
      <c r="DT110" s="97"/>
      <c r="DU110" s="97"/>
      <c r="DV110" s="97"/>
      <c r="DW110" s="97"/>
      <c r="DX110" s="97"/>
      <c r="DY110" s="97"/>
      <c r="DZ110" s="97"/>
      <c r="EA110" s="97"/>
      <c r="EB110" s="97"/>
      <c r="EC110" s="97"/>
      <c r="ED110" s="97"/>
      <c r="EE110" s="97"/>
      <c r="EF110" s="97"/>
      <c r="EG110" s="97"/>
      <c r="EH110" s="97"/>
      <c r="EI110" s="97"/>
      <c r="EJ110" s="97"/>
      <c r="EK110" s="97"/>
      <c r="EL110" s="97"/>
      <c r="EM110" s="97"/>
      <c r="EN110" s="97"/>
      <c r="EO110" s="97"/>
      <c r="EP110" s="97"/>
      <c r="EQ110" s="97"/>
      <c r="ER110" s="97"/>
      <c r="ES110" s="97"/>
      <c r="ET110" s="97"/>
    </row>
    <row r="111" spans="1:150" ht="15.75" customHeight="1">
      <c r="A111" s="97"/>
      <c r="B111" s="97"/>
      <c r="C111" s="97"/>
      <c r="D111" s="97"/>
      <c r="E111" s="97"/>
      <c r="F111" s="97"/>
      <c r="G111" s="97"/>
      <c r="H111" s="129"/>
      <c r="I111" s="97"/>
      <c r="J111" s="97"/>
      <c r="K111" s="97"/>
      <c r="L111" s="97"/>
      <c r="M111" s="97"/>
      <c r="N111" s="97"/>
      <c r="O111" s="97"/>
      <c r="P111" s="97"/>
      <c r="Q111" s="97"/>
      <c r="R111" s="97"/>
      <c r="S111" s="97"/>
      <c r="T111" s="97"/>
      <c r="U111" s="97"/>
      <c r="V111" s="97"/>
      <c r="W111" s="97"/>
      <c r="X111" s="129"/>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97"/>
      <c r="BX111" s="97"/>
      <c r="BY111" s="97"/>
      <c r="BZ111" s="97"/>
      <c r="CA111" s="97"/>
      <c r="CB111" s="97"/>
      <c r="CC111" s="97"/>
      <c r="CD111" s="97"/>
      <c r="CE111" s="97"/>
      <c r="CF111" s="97"/>
      <c r="CG111" s="97"/>
      <c r="CH111" s="97"/>
      <c r="CI111" s="97"/>
      <c r="CJ111" s="97"/>
      <c r="CK111" s="97"/>
      <c r="CL111" s="97"/>
      <c r="CM111" s="97"/>
      <c r="CN111" s="97"/>
      <c r="CO111" s="97"/>
      <c r="CP111" s="97"/>
      <c r="CQ111" s="97"/>
      <c r="CR111" s="97"/>
      <c r="CS111" s="97"/>
      <c r="CT111" s="97"/>
      <c r="CU111" s="97"/>
      <c r="CV111" s="97"/>
      <c r="CW111" s="97"/>
      <c r="CX111" s="97"/>
      <c r="CY111" s="97"/>
      <c r="CZ111" s="97"/>
      <c r="DA111" s="97"/>
      <c r="DB111" s="97"/>
      <c r="DC111" s="97"/>
      <c r="DD111" s="97"/>
      <c r="DE111" s="97"/>
      <c r="DF111" s="9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97"/>
      <c r="EC111" s="97"/>
      <c r="ED111" s="97"/>
      <c r="EE111" s="97"/>
      <c r="EF111" s="97"/>
      <c r="EG111" s="97"/>
      <c r="EH111" s="97"/>
      <c r="EI111" s="97"/>
      <c r="EJ111" s="97"/>
      <c r="EK111" s="97"/>
      <c r="EL111" s="97"/>
      <c r="EM111" s="97"/>
      <c r="EN111" s="97"/>
      <c r="EO111" s="97"/>
      <c r="EP111" s="97"/>
      <c r="EQ111" s="97"/>
      <c r="ER111" s="97"/>
      <c r="ES111" s="97"/>
      <c r="ET111" s="97"/>
    </row>
    <row r="112" spans="1:150" ht="15.75" customHeight="1">
      <c r="A112" s="97"/>
      <c r="B112" s="97"/>
      <c r="C112" s="97"/>
      <c r="D112" s="97"/>
      <c r="E112" s="97"/>
      <c r="F112" s="97"/>
      <c r="G112" s="97"/>
      <c r="H112" s="129"/>
      <c r="I112" s="97"/>
      <c r="J112" s="97"/>
      <c r="K112" s="97"/>
      <c r="L112" s="97"/>
      <c r="M112" s="97"/>
      <c r="N112" s="97"/>
      <c r="O112" s="97"/>
      <c r="P112" s="97"/>
      <c r="Q112" s="97"/>
      <c r="R112" s="97"/>
      <c r="S112" s="97"/>
      <c r="T112" s="97"/>
      <c r="U112" s="97"/>
      <c r="V112" s="97"/>
      <c r="W112" s="97"/>
      <c r="X112" s="129"/>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97"/>
      <c r="BX112" s="97"/>
      <c r="BY112" s="97"/>
      <c r="BZ112" s="97"/>
      <c r="CA112" s="97"/>
      <c r="CB112" s="97"/>
      <c r="CC112" s="97"/>
      <c r="CD112" s="97"/>
      <c r="CE112" s="97"/>
      <c r="CF112" s="97"/>
      <c r="CG112" s="97"/>
      <c r="CH112" s="97"/>
      <c r="CI112" s="97"/>
      <c r="CJ112" s="97"/>
      <c r="CK112" s="97"/>
      <c r="CL112" s="97"/>
      <c r="CM112" s="97"/>
      <c r="CN112" s="97"/>
      <c r="CO112" s="97"/>
      <c r="CP112" s="97"/>
      <c r="CQ112" s="97"/>
      <c r="CR112" s="97"/>
      <c r="CS112" s="97"/>
      <c r="CT112" s="97"/>
      <c r="CU112" s="97"/>
      <c r="CV112" s="97"/>
      <c r="CW112" s="97"/>
      <c r="CX112" s="97"/>
      <c r="CY112" s="97"/>
      <c r="CZ112" s="97"/>
      <c r="DA112" s="97"/>
      <c r="DB112" s="97"/>
      <c r="DC112" s="97"/>
      <c r="DD112" s="97"/>
      <c r="DE112" s="97"/>
      <c r="DF112" s="97"/>
      <c r="DG112" s="97"/>
      <c r="DH112" s="97"/>
      <c r="DI112" s="97"/>
      <c r="DJ112" s="97"/>
      <c r="DK112" s="97"/>
      <c r="DL112" s="97"/>
      <c r="DM112" s="97"/>
      <c r="DN112" s="97"/>
      <c r="DO112" s="97"/>
      <c r="DP112" s="97"/>
      <c r="DQ112" s="97"/>
      <c r="DR112" s="97"/>
      <c r="DS112" s="97"/>
      <c r="DT112" s="97"/>
      <c r="DU112" s="97"/>
      <c r="DV112" s="97"/>
      <c r="DW112" s="97"/>
      <c r="DX112" s="97"/>
      <c r="DY112" s="97"/>
      <c r="DZ112" s="97"/>
      <c r="EA112" s="97"/>
      <c r="EB112" s="97"/>
      <c r="EC112" s="97"/>
      <c r="ED112" s="97"/>
      <c r="EE112" s="97"/>
      <c r="EF112" s="97"/>
      <c r="EG112" s="97"/>
      <c r="EH112" s="97"/>
      <c r="EI112" s="97"/>
      <c r="EJ112" s="97"/>
      <c r="EK112" s="97"/>
      <c r="EL112" s="97"/>
      <c r="EM112" s="97"/>
      <c r="EN112" s="97"/>
      <c r="EO112" s="97"/>
      <c r="EP112" s="97"/>
      <c r="EQ112" s="97"/>
      <c r="ER112" s="97"/>
      <c r="ES112" s="97"/>
      <c r="ET112" s="97"/>
    </row>
    <row r="113" spans="1:150" ht="15.75" customHeight="1">
      <c r="A113" s="97"/>
      <c r="B113" s="97"/>
      <c r="C113" s="97"/>
      <c r="D113" s="97"/>
      <c r="E113" s="97"/>
      <c r="F113" s="97"/>
      <c r="G113" s="97"/>
      <c r="H113" s="129"/>
      <c r="I113" s="97"/>
      <c r="J113" s="97"/>
      <c r="K113" s="97"/>
      <c r="L113" s="97"/>
      <c r="M113" s="97"/>
      <c r="N113" s="97"/>
      <c r="O113" s="97"/>
      <c r="P113" s="97"/>
      <c r="Q113" s="97"/>
      <c r="R113" s="97"/>
      <c r="S113" s="97"/>
      <c r="T113" s="97"/>
      <c r="U113" s="97"/>
      <c r="V113" s="97"/>
      <c r="W113" s="97"/>
      <c r="X113" s="129"/>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97"/>
      <c r="BX113" s="97"/>
      <c r="BY113" s="97"/>
      <c r="BZ113" s="97"/>
      <c r="CA113" s="97"/>
      <c r="CB113" s="97"/>
      <c r="CC113" s="97"/>
      <c r="CD113" s="97"/>
      <c r="CE113" s="97"/>
      <c r="CF113" s="97"/>
      <c r="CG113" s="97"/>
      <c r="CH113" s="97"/>
      <c r="CI113" s="97"/>
      <c r="CJ113" s="97"/>
      <c r="CK113" s="97"/>
      <c r="CL113" s="97"/>
      <c r="CM113" s="97"/>
      <c r="CN113" s="97"/>
      <c r="CO113" s="97"/>
      <c r="CP113" s="97"/>
      <c r="CQ113" s="97"/>
      <c r="CR113" s="97"/>
      <c r="CS113" s="97"/>
      <c r="CT113" s="97"/>
      <c r="CU113" s="97"/>
      <c r="CV113" s="97"/>
      <c r="CW113" s="97"/>
      <c r="CX113" s="97"/>
      <c r="CY113" s="97"/>
      <c r="CZ113" s="97"/>
      <c r="DA113" s="97"/>
      <c r="DB113" s="97"/>
      <c r="DC113" s="97"/>
      <c r="DD113" s="97"/>
      <c r="DE113" s="97"/>
      <c r="DF113" s="97"/>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97"/>
      <c r="EC113" s="97"/>
      <c r="ED113" s="97"/>
      <c r="EE113" s="97"/>
      <c r="EF113" s="97"/>
      <c r="EG113" s="97"/>
      <c r="EH113" s="97"/>
      <c r="EI113" s="97"/>
      <c r="EJ113" s="97"/>
      <c r="EK113" s="97"/>
      <c r="EL113" s="97"/>
      <c r="EM113" s="97"/>
      <c r="EN113" s="97"/>
      <c r="EO113" s="97"/>
      <c r="EP113" s="97"/>
      <c r="EQ113" s="97"/>
      <c r="ER113" s="97"/>
      <c r="ES113" s="97"/>
      <c r="ET113" s="97"/>
    </row>
    <row r="114" spans="1:150" ht="15.75" customHeight="1">
      <c r="A114" s="97"/>
      <c r="B114" s="97"/>
      <c r="C114" s="97"/>
      <c r="D114" s="97"/>
      <c r="E114" s="97"/>
      <c r="F114" s="97"/>
      <c r="G114" s="97"/>
      <c r="H114" s="129"/>
      <c r="I114" s="97"/>
      <c r="J114" s="97"/>
      <c r="K114" s="97"/>
      <c r="L114" s="97"/>
      <c r="M114" s="97"/>
      <c r="N114" s="97"/>
      <c r="O114" s="97"/>
      <c r="P114" s="97"/>
      <c r="Q114" s="97"/>
      <c r="R114" s="97"/>
      <c r="S114" s="97"/>
      <c r="T114" s="97"/>
      <c r="U114" s="97"/>
      <c r="V114" s="97"/>
      <c r="W114" s="97"/>
      <c r="X114" s="129"/>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97"/>
      <c r="BX114" s="97"/>
      <c r="BY114" s="97"/>
      <c r="BZ114" s="97"/>
      <c r="CA114" s="97"/>
      <c r="CB114" s="97"/>
      <c r="CC114" s="97"/>
      <c r="CD114" s="97"/>
      <c r="CE114" s="97"/>
      <c r="CF114" s="97"/>
      <c r="CG114" s="97"/>
      <c r="CH114" s="97"/>
      <c r="CI114" s="97"/>
      <c r="CJ114" s="97"/>
      <c r="CK114" s="97"/>
      <c r="CL114" s="97"/>
      <c r="CM114" s="97"/>
      <c r="CN114" s="97"/>
      <c r="CO114" s="97"/>
      <c r="CP114" s="97"/>
      <c r="CQ114" s="97"/>
      <c r="CR114" s="97"/>
      <c r="CS114" s="97"/>
      <c r="CT114" s="97"/>
      <c r="CU114" s="97"/>
      <c r="CV114" s="97"/>
      <c r="CW114" s="97"/>
      <c r="CX114" s="97"/>
      <c r="CY114" s="97"/>
      <c r="CZ114" s="97"/>
      <c r="DA114" s="97"/>
      <c r="DB114" s="97"/>
      <c r="DC114" s="97"/>
      <c r="DD114" s="97"/>
      <c r="DE114" s="97"/>
      <c r="DF114" s="97"/>
      <c r="DG114" s="97"/>
      <c r="DH114" s="97"/>
      <c r="DI114" s="97"/>
      <c r="DJ114" s="97"/>
      <c r="DK114" s="97"/>
      <c r="DL114" s="97"/>
      <c r="DM114" s="97"/>
      <c r="DN114" s="97"/>
      <c r="DO114" s="97"/>
      <c r="DP114" s="97"/>
      <c r="DQ114" s="97"/>
      <c r="DR114" s="97"/>
      <c r="DS114" s="97"/>
      <c r="DT114" s="97"/>
      <c r="DU114" s="97"/>
      <c r="DV114" s="97"/>
      <c r="DW114" s="97"/>
      <c r="DX114" s="97"/>
      <c r="DY114" s="97"/>
      <c r="DZ114" s="97"/>
      <c r="EA114" s="97"/>
      <c r="EB114" s="97"/>
      <c r="EC114" s="97"/>
      <c r="ED114" s="97"/>
      <c r="EE114" s="97"/>
      <c r="EF114" s="97"/>
      <c r="EG114" s="97"/>
      <c r="EH114" s="97"/>
      <c r="EI114" s="97"/>
      <c r="EJ114" s="97"/>
      <c r="EK114" s="97"/>
      <c r="EL114" s="97"/>
      <c r="EM114" s="97"/>
      <c r="EN114" s="97"/>
      <c r="EO114" s="97"/>
      <c r="EP114" s="97"/>
      <c r="EQ114" s="97"/>
      <c r="ER114" s="97"/>
      <c r="ES114" s="97"/>
      <c r="ET114" s="97"/>
    </row>
    <row r="115" spans="1:150" ht="15.75" customHeight="1">
      <c r="A115" s="97"/>
      <c r="B115" s="97"/>
      <c r="C115" s="97"/>
      <c r="D115" s="97"/>
      <c r="E115" s="97"/>
      <c r="F115" s="97"/>
      <c r="G115" s="97"/>
      <c r="H115" s="129"/>
      <c r="I115" s="97"/>
      <c r="J115" s="97"/>
      <c r="K115" s="97"/>
      <c r="L115" s="97"/>
      <c r="M115" s="97"/>
      <c r="N115" s="97"/>
      <c r="O115" s="97"/>
      <c r="P115" s="97"/>
      <c r="Q115" s="97"/>
      <c r="R115" s="97"/>
      <c r="S115" s="97"/>
      <c r="T115" s="97"/>
      <c r="U115" s="97"/>
      <c r="V115" s="97"/>
      <c r="W115" s="97"/>
      <c r="X115" s="129"/>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97"/>
      <c r="BX115" s="97"/>
      <c r="BY115" s="97"/>
      <c r="BZ115" s="97"/>
      <c r="CA115" s="97"/>
      <c r="CB115" s="97"/>
      <c r="CC115" s="97"/>
      <c r="CD115" s="97"/>
      <c r="CE115" s="97"/>
      <c r="CF115" s="97"/>
      <c r="CG115" s="97"/>
      <c r="CH115" s="97"/>
      <c r="CI115" s="97"/>
      <c r="CJ115" s="97"/>
      <c r="CK115" s="97"/>
      <c r="CL115" s="97"/>
      <c r="CM115" s="97"/>
      <c r="CN115" s="97"/>
      <c r="CO115" s="97"/>
      <c r="CP115" s="97"/>
      <c r="CQ115" s="97"/>
      <c r="CR115" s="97"/>
      <c r="CS115" s="97"/>
      <c r="CT115" s="97"/>
      <c r="CU115" s="97"/>
      <c r="CV115" s="97"/>
      <c r="CW115" s="97"/>
      <c r="CX115" s="97"/>
      <c r="CY115" s="97"/>
      <c r="CZ115" s="97"/>
      <c r="DA115" s="97"/>
      <c r="DB115" s="97"/>
      <c r="DC115" s="97"/>
      <c r="DD115" s="97"/>
      <c r="DE115" s="97"/>
      <c r="DF115" s="97"/>
      <c r="DG115" s="97"/>
      <c r="DH115" s="97"/>
      <c r="DI115" s="97"/>
      <c r="DJ115" s="97"/>
      <c r="DK115" s="97"/>
      <c r="DL115" s="97"/>
      <c r="DM115" s="97"/>
      <c r="DN115" s="97"/>
      <c r="DO115" s="97"/>
      <c r="DP115" s="97"/>
      <c r="DQ115" s="97"/>
      <c r="DR115" s="97"/>
      <c r="DS115" s="97"/>
      <c r="DT115" s="97"/>
      <c r="DU115" s="97"/>
      <c r="DV115" s="97"/>
      <c r="DW115" s="97"/>
      <c r="DX115" s="97"/>
      <c r="DY115" s="97"/>
      <c r="DZ115" s="97"/>
      <c r="EA115" s="97"/>
      <c r="EB115" s="97"/>
      <c r="EC115" s="97"/>
      <c r="ED115" s="97"/>
      <c r="EE115" s="97"/>
      <c r="EF115" s="97"/>
      <c r="EG115" s="97"/>
      <c r="EH115" s="97"/>
      <c r="EI115" s="97"/>
      <c r="EJ115" s="97"/>
      <c r="EK115" s="97"/>
      <c r="EL115" s="97"/>
      <c r="EM115" s="97"/>
      <c r="EN115" s="97"/>
      <c r="EO115" s="97"/>
      <c r="EP115" s="97"/>
      <c r="EQ115" s="97"/>
      <c r="ER115" s="97"/>
      <c r="ES115" s="97"/>
      <c r="ET115" s="97"/>
    </row>
    <row r="116" spans="1:150" ht="15.75" customHeight="1">
      <c r="A116" s="97"/>
      <c r="B116" s="97"/>
      <c r="C116" s="97"/>
      <c r="D116" s="97"/>
      <c r="E116" s="97"/>
      <c r="F116" s="97"/>
      <c r="G116" s="97"/>
      <c r="H116" s="129"/>
      <c r="I116" s="97"/>
      <c r="J116" s="97"/>
      <c r="K116" s="97"/>
      <c r="L116" s="97"/>
      <c r="M116" s="97"/>
      <c r="N116" s="97"/>
      <c r="O116" s="97"/>
      <c r="P116" s="97"/>
      <c r="Q116" s="97"/>
      <c r="R116" s="97"/>
      <c r="S116" s="97"/>
      <c r="T116" s="97"/>
      <c r="U116" s="97"/>
      <c r="V116" s="97"/>
      <c r="W116" s="97"/>
      <c r="X116" s="129"/>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97"/>
      <c r="BX116" s="97"/>
      <c r="BY116" s="97"/>
      <c r="BZ116" s="97"/>
      <c r="CA116" s="97"/>
      <c r="CB116" s="97"/>
      <c r="CC116" s="97"/>
      <c r="CD116" s="97"/>
      <c r="CE116" s="97"/>
      <c r="CF116" s="97"/>
      <c r="CG116" s="97"/>
      <c r="CH116" s="97"/>
      <c r="CI116" s="97"/>
      <c r="CJ116" s="97"/>
      <c r="CK116" s="97"/>
      <c r="CL116" s="97"/>
      <c r="CM116" s="97"/>
      <c r="CN116" s="97"/>
      <c r="CO116" s="97"/>
      <c r="CP116" s="97"/>
      <c r="CQ116" s="97"/>
      <c r="CR116" s="97"/>
      <c r="CS116" s="97"/>
      <c r="CT116" s="97"/>
      <c r="CU116" s="97"/>
      <c r="CV116" s="97"/>
      <c r="CW116" s="97"/>
      <c r="CX116" s="97"/>
      <c r="CY116" s="97"/>
      <c r="CZ116" s="97"/>
      <c r="DA116" s="97"/>
      <c r="DB116" s="97"/>
      <c r="DC116" s="97"/>
      <c r="DD116" s="97"/>
      <c r="DE116" s="97"/>
      <c r="DF116" s="97"/>
      <c r="DG116" s="97"/>
      <c r="DH116" s="97"/>
      <c r="DI116" s="97"/>
      <c r="DJ116" s="97"/>
      <c r="DK116" s="97"/>
      <c r="DL116" s="97"/>
      <c r="DM116" s="97"/>
      <c r="DN116" s="97"/>
      <c r="DO116" s="97"/>
      <c r="DP116" s="97"/>
      <c r="DQ116" s="97"/>
      <c r="DR116" s="97"/>
      <c r="DS116" s="97"/>
      <c r="DT116" s="97"/>
      <c r="DU116" s="97"/>
      <c r="DV116" s="97"/>
      <c r="DW116" s="97"/>
      <c r="DX116" s="97"/>
      <c r="DY116" s="97"/>
      <c r="DZ116" s="97"/>
      <c r="EA116" s="97"/>
      <c r="EB116" s="97"/>
      <c r="EC116" s="97"/>
      <c r="ED116" s="97"/>
      <c r="EE116" s="97"/>
      <c r="EF116" s="97"/>
      <c r="EG116" s="97"/>
      <c r="EH116" s="97"/>
      <c r="EI116" s="97"/>
      <c r="EJ116" s="97"/>
      <c r="EK116" s="97"/>
      <c r="EL116" s="97"/>
      <c r="EM116" s="97"/>
      <c r="EN116" s="97"/>
      <c r="EO116" s="97"/>
      <c r="EP116" s="97"/>
      <c r="EQ116" s="97"/>
      <c r="ER116" s="97"/>
      <c r="ES116" s="97"/>
      <c r="ET116" s="97"/>
    </row>
    <row r="117" spans="1:150" ht="15.75" customHeight="1">
      <c r="A117" s="97"/>
      <c r="B117" s="97"/>
      <c r="C117" s="97"/>
      <c r="D117" s="97"/>
      <c r="E117" s="97"/>
      <c r="F117" s="97"/>
      <c r="G117" s="97"/>
      <c r="H117" s="129"/>
      <c r="I117" s="97"/>
      <c r="J117" s="97"/>
      <c r="K117" s="97"/>
      <c r="L117" s="97"/>
      <c r="M117" s="97"/>
      <c r="N117" s="97"/>
      <c r="O117" s="97"/>
      <c r="P117" s="97"/>
      <c r="Q117" s="97"/>
      <c r="R117" s="97"/>
      <c r="S117" s="97"/>
      <c r="T117" s="97"/>
      <c r="U117" s="97"/>
      <c r="V117" s="97"/>
      <c r="W117" s="97"/>
      <c r="X117" s="129"/>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97"/>
      <c r="BX117" s="97"/>
      <c r="BY117" s="97"/>
      <c r="BZ117" s="97"/>
      <c r="CA117" s="97"/>
      <c r="CB117" s="97"/>
      <c r="CC117" s="97"/>
      <c r="CD117" s="97"/>
      <c r="CE117" s="97"/>
      <c r="CF117" s="97"/>
      <c r="CG117" s="97"/>
      <c r="CH117" s="97"/>
      <c r="CI117" s="97"/>
      <c r="CJ117" s="97"/>
      <c r="CK117" s="97"/>
      <c r="CL117" s="97"/>
      <c r="CM117" s="97"/>
      <c r="CN117" s="97"/>
      <c r="CO117" s="97"/>
      <c r="CP117" s="97"/>
      <c r="CQ117" s="97"/>
      <c r="CR117" s="97"/>
      <c r="CS117" s="97"/>
      <c r="CT117" s="97"/>
      <c r="CU117" s="97"/>
      <c r="CV117" s="97"/>
      <c r="CW117" s="97"/>
      <c r="CX117" s="97"/>
      <c r="CY117" s="97"/>
      <c r="CZ117" s="97"/>
      <c r="DA117" s="97"/>
      <c r="DB117" s="97"/>
      <c r="DC117" s="97"/>
      <c r="DD117" s="97"/>
      <c r="DE117" s="97"/>
      <c r="DF117" s="97"/>
      <c r="DG117" s="97"/>
      <c r="DH117" s="97"/>
      <c r="DI117" s="97"/>
      <c r="DJ117" s="97"/>
      <c r="DK117" s="97"/>
      <c r="DL117" s="97"/>
      <c r="DM117" s="97"/>
      <c r="DN117" s="97"/>
      <c r="DO117" s="97"/>
      <c r="DP117" s="97"/>
      <c r="DQ117" s="97"/>
      <c r="DR117" s="97"/>
      <c r="DS117" s="97"/>
      <c r="DT117" s="97"/>
      <c r="DU117" s="97"/>
      <c r="DV117" s="97"/>
      <c r="DW117" s="97"/>
      <c r="DX117" s="97"/>
      <c r="DY117" s="97"/>
      <c r="DZ117" s="97"/>
      <c r="EA117" s="97"/>
      <c r="EB117" s="97"/>
      <c r="EC117" s="97"/>
      <c r="ED117" s="97"/>
      <c r="EE117" s="97"/>
      <c r="EF117" s="97"/>
      <c r="EG117" s="97"/>
      <c r="EH117" s="97"/>
      <c r="EI117" s="97"/>
      <c r="EJ117" s="97"/>
      <c r="EK117" s="97"/>
      <c r="EL117" s="97"/>
      <c r="EM117" s="97"/>
      <c r="EN117" s="97"/>
      <c r="EO117" s="97"/>
      <c r="EP117" s="97"/>
      <c r="EQ117" s="97"/>
      <c r="ER117" s="97"/>
      <c r="ES117" s="97"/>
      <c r="ET117" s="97"/>
    </row>
    <row r="118" spans="1:150" ht="15.75" customHeight="1">
      <c r="A118" s="97"/>
      <c r="B118" s="97"/>
      <c r="C118" s="97"/>
      <c r="D118" s="97"/>
      <c r="E118" s="97"/>
      <c r="F118" s="97"/>
      <c r="G118" s="97"/>
      <c r="H118" s="129"/>
      <c r="I118" s="97"/>
      <c r="J118" s="97"/>
      <c r="K118" s="97"/>
      <c r="L118" s="97"/>
      <c r="M118" s="97"/>
      <c r="N118" s="97"/>
      <c r="O118" s="97"/>
      <c r="P118" s="97"/>
      <c r="Q118" s="97"/>
      <c r="R118" s="97"/>
      <c r="S118" s="97"/>
      <c r="T118" s="97"/>
      <c r="U118" s="97"/>
      <c r="V118" s="97"/>
      <c r="W118" s="97"/>
      <c r="X118" s="129"/>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97"/>
      <c r="BX118" s="97"/>
      <c r="BY118" s="97"/>
      <c r="BZ118" s="97"/>
      <c r="CA118" s="97"/>
      <c r="CB118" s="97"/>
      <c r="CC118" s="97"/>
      <c r="CD118" s="97"/>
      <c r="CE118" s="97"/>
      <c r="CF118" s="97"/>
      <c r="CG118" s="97"/>
      <c r="CH118" s="97"/>
      <c r="CI118" s="97"/>
      <c r="CJ118" s="97"/>
      <c r="CK118" s="97"/>
      <c r="CL118" s="97"/>
      <c r="CM118" s="97"/>
      <c r="CN118" s="97"/>
      <c r="CO118" s="97"/>
      <c r="CP118" s="97"/>
      <c r="CQ118" s="97"/>
      <c r="CR118" s="97"/>
      <c r="CS118" s="97"/>
      <c r="CT118" s="97"/>
      <c r="CU118" s="97"/>
      <c r="CV118" s="97"/>
      <c r="CW118" s="97"/>
      <c r="CX118" s="97"/>
      <c r="CY118" s="97"/>
      <c r="CZ118" s="97"/>
      <c r="DA118" s="97"/>
      <c r="DB118" s="97"/>
      <c r="DC118" s="97"/>
      <c r="DD118" s="97"/>
      <c r="DE118" s="97"/>
      <c r="DF118" s="97"/>
      <c r="DG118" s="97"/>
      <c r="DH118" s="97"/>
      <c r="DI118" s="97"/>
      <c r="DJ118" s="97"/>
      <c r="DK118" s="97"/>
      <c r="DL118" s="97"/>
      <c r="DM118" s="97"/>
      <c r="DN118" s="97"/>
      <c r="DO118" s="97"/>
      <c r="DP118" s="97"/>
      <c r="DQ118" s="97"/>
      <c r="DR118" s="97"/>
      <c r="DS118" s="97"/>
      <c r="DT118" s="97"/>
      <c r="DU118" s="97"/>
      <c r="DV118" s="97"/>
      <c r="DW118" s="97"/>
      <c r="DX118" s="97"/>
      <c r="DY118" s="97"/>
      <c r="DZ118" s="97"/>
      <c r="EA118" s="97"/>
      <c r="EB118" s="97"/>
      <c r="EC118" s="97"/>
      <c r="ED118" s="97"/>
      <c r="EE118" s="97"/>
      <c r="EF118" s="97"/>
      <c r="EG118" s="97"/>
      <c r="EH118" s="97"/>
      <c r="EI118" s="97"/>
      <c r="EJ118" s="97"/>
      <c r="EK118" s="97"/>
      <c r="EL118" s="97"/>
      <c r="EM118" s="97"/>
      <c r="EN118" s="97"/>
      <c r="EO118" s="97"/>
      <c r="EP118" s="97"/>
      <c r="EQ118" s="97"/>
      <c r="ER118" s="97"/>
      <c r="ES118" s="97"/>
      <c r="ET118" s="97"/>
    </row>
    <row r="119" spans="1:150" ht="15.75" customHeight="1">
      <c r="A119" s="97"/>
      <c r="B119" s="97"/>
      <c r="C119" s="97"/>
      <c r="D119" s="97"/>
      <c r="E119" s="97"/>
      <c r="F119" s="97"/>
      <c r="G119" s="97"/>
      <c r="H119" s="129"/>
      <c r="I119" s="97"/>
      <c r="J119" s="97"/>
      <c r="K119" s="97"/>
      <c r="L119" s="97"/>
      <c r="M119" s="97"/>
      <c r="N119" s="97"/>
      <c r="O119" s="97"/>
      <c r="P119" s="97"/>
      <c r="Q119" s="97"/>
      <c r="R119" s="97"/>
      <c r="S119" s="97"/>
      <c r="T119" s="97"/>
      <c r="U119" s="97"/>
      <c r="V119" s="97"/>
      <c r="W119" s="97"/>
      <c r="X119" s="129"/>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97"/>
      <c r="BX119" s="97"/>
      <c r="BY119" s="97"/>
      <c r="BZ119" s="97"/>
      <c r="CA119" s="97"/>
      <c r="CB119" s="97"/>
      <c r="CC119" s="97"/>
      <c r="CD119" s="97"/>
      <c r="CE119" s="97"/>
      <c r="CF119" s="97"/>
      <c r="CG119" s="97"/>
      <c r="CH119" s="97"/>
      <c r="CI119" s="97"/>
      <c r="CJ119" s="97"/>
      <c r="CK119" s="97"/>
      <c r="CL119" s="97"/>
      <c r="CM119" s="97"/>
      <c r="CN119" s="97"/>
      <c r="CO119" s="97"/>
      <c r="CP119" s="97"/>
      <c r="CQ119" s="97"/>
      <c r="CR119" s="97"/>
      <c r="CS119" s="97"/>
      <c r="CT119" s="97"/>
      <c r="CU119" s="97"/>
      <c r="CV119" s="97"/>
      <c r="CW119" s="97"/>
      <c r="CX119" s="97"/>
      <c r="CY119" s="97"/>
      <c r="CZ119" s="97"/>
      <c r="DA119" s="97"/>
      <c r="DB119" s="97"/>
      <c r="DC119" s="97"/>
      <c r="DD119" s="97"/>
      <c r="DE119" s="97"/>
      <c r="DF119" s="97"/>
      <c r="DG119" s="97"/>
      <c r="DH119" s="97"/>
      <c r="DI119" s="97"/>
      <c r="DJ119" s="97"/>
      <c r="DK119" s="97"/>
      <c r="DL119" s="97"/>
      <c r="DM119" s="97"/>
      <c r="DN119" s="97"/>
      <c r="DO119" s="97"/>
      <c r="DP119" s="97"/>
      <c r="DQ119" s="97"/>
      <c r="DR119" s="97"/>
      <c r="DS119" s="97"/>
      <c r="DT119" s="97"/>
      <c r="DU119" s="97"/>
      <c r="DV119" s="97"/>
      <c r="DW119" s="97"/>
      <c r="DX119" s="97"/>
      <c r="DY119" s="97"/>
      <c r="DZ119" s="97"/>
      <c r="EA119" s="97"/>
      <c r="EB119" s="97"/>
      <c r="EC119" s="97"/>
      <c r="ED119" s="97"/>
      <c r="EE119" s="97"/>
      <c r="EF119" s="97"/>
      <c r="EG119" s="97"/>
      <c r="EH119" s="97"/>
      <c r="EI119" s="97"/>
      <c r="EJ119" s="97"/>
      <c r="EK119" s="97"/>
      <c r="EL119" s="97"/>
      <c r="EM119" s="97"/>
      <c r="EN119" s="97"/>
      <c r="EO119" s="97"/>
      <c r="EP119" s="97"/>
      <c r="EQ119" s="97"/>
      <c r="ER119" s="97"/>
      <c r="ES119" s="97"/>
      <c r="ET119" s="97"/>
    </row>
    <row r="120" spans="1:150" ht="15.75" customHeight="1">
      <c r="A120" s="97"/>
      <c r="B120" s="97"/>
      <c r="C120" s="97"/>
      <c r="D120" s="97"/>
      <c r="E120" s="97"/>
      <c r="F120" s="97"/>
      <c r="G120" s="97"/>
      <c r="H120" s="129"/>
      <c r="I120" s="97"/>
      <c r="J120" s="97"/>
      <c r="K120" s="97"/>
      <c r="L120" s="97"/>
      <c r="M120" s="97"/>
      <c r="N120" s="97"/>
      <c r="O120" s="97"/>
      <c r="P120" s="97"/>
      <c r="Q120" s="97"/>
      <c r="R120" s="97"/>
      <c r="S120" s="97"/>
      <c r="T120" s="97"/>
      <c r="U120" s="97"/>
      <c r="V120" s="97"/>
      <c r="W120" s="97"/>
      <c r="X120" s="129"/>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97"/>
      <c r="BX120" s="97"/>
      <c r="BY120" s="97"/>
      <c r="BZ120" s="97"/>
      <c r="CA120" s="97"/>
      <c r="CB120" s="97"/>
      <c r="CC120" s="97"/>
      <c r="CD120" s="97"/>
      <c r="CE120" s="97"/>
      <c r="CF120" s="97"/>
      <c r="CG120" s="97"/>
      <c r="CH120" s="97"/>
      <c r="CI120" s="97"/>
      <c r="CJ120" s="97"/>
      <c r="CK120" s="97"/>
      <c r="CL120" s="97"/>
      <c r="CM120" s="97"/>
      <c r="CN120" s="97"/>
      <c r="CO120" s="97"/>
      <c r="CP120" s="97"/>
      <c r="CQ120" s="97"/>
      <c r="CR120" s="97"/>
      <c r="CS120" s="97"/>
      <c r="CT120" s="97"/>
      <c r="CU120" s="97"/>
      <c r="CV120" s="97"/>
      <c r="CW120" s="97"/>
      <c r="CX120" s="97"/>
      <c r="CY120" s="97"/>
      <c r="CZ120" s="97"/>
      <c r="DA120" s="97"/>
      <c r="DB120" s="97"/>
      <c r="DC120" s="97"/>
      <c r="DD120" s="97"/>
      <c r="DE120" s="97"/>
      <c r="DF120" s="97"/>
      <c r="DG120" s="97"/>
      <c r="DH120" s="97"/>
      <c r="DI120" s="97"/>
      <c r="DJ120" s="97"/>
      <c r="DK120" s="97"/>
      <c r="DL120" s="97"/>
      <c r="DM120" s="97"/>
      <c r="DN120" s="97"/>
      <c r="DO120" s="97"/>
      <c r="DP120" s="97"/>
      <c r="DQ120" s="97"/>
      <c r="DR120" s="97"/>
      <c r="DS120" s="97"/>
      <c r="DT120" s="97"/>
      <c r="DU120" s="97"/>
      <c r="DV120" s="97"/>
      <c r="DW120" s="97"/>
      <c r="DX120" s="97"/>
      <c r="DY120" s="97"/>
      <c r="DZ120" s="97"/>
      <c r="EA120" s="97"/>
      <c r="EB120" s="97"/>
      <c r="EC120" s="97"/>
      <c r="ED120" s="97"/>
      <c r="EE120" s="97"/>
      <c r="EF120" s="97"/>
      <c r="EG120" s="97"/>
      <c r="EH120" s="97"/>
      <c r="EI120" s="97"/>
      <c r="EJ120" s="97"/>
      <c r="EK120" s="97"/>
      <c r="EL120" s="97"/>
      <c r="EM120" s="97"/>
      <c r="EN120" s="97"/>
      <c r="EO120" s="97"/>
      <c r="EP120" s="97"/>
      <c r="EQ120" s="97"/>
      <c r="ER120" s="97"/>
      <c r="ES120" s="97"/>
      <c r="ET120" s="97"/>
    </row>
    <row r="121" spans="1:150" ht="15.75" customHeight="1">
      <c r="A121" s="97"/>
      <c r="B121" s="97"/>
      <c r="C121" s="97"/>
      <c r="D121" s="97"/>
      <c r="E121" s="97"/>
      <c r="F121" s="97"/>
      <c r="G121" s="97"/>
      <c r="H121" s="129"/>
      <c r="I121" s="97"/>
      <c r="J121" s="97"/>
      <c r="K121" s="97"/>
      <c r="L121" s="97"/>
      <c r="M121" s="97"/>
      <c r="N121" s="97"/>
      <c r="O121" s="97"/>
      <c r="P121" s="97"/>
      <c r="Q121" s="97"/>
      <c r="R121" s="97"/>
      <c r="S121" s="97"/>
      <c r="T121" s="97"/>
      <c r="U121" s="97"/>
      <c r="V121" s="97"/>
      <c r="W121" s="97"/>
      <c r="X121" s="129"/>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97"/>
      <c r="BX121" s="97"/>
      <c r="BY121" s="97"/>
      <c r="BZ121" s="97"/>
      <c r="CA121" s="97"/>
      <c r="CB121" s="97"/>
      <c r="CC121" s="97"/>
      <c r="CD121" s="97"/>
      <c r="CE121" s="97"/>
      <c r="CF121" s="97"/>
      <c r="CG121" s="97"/>
      <c r="CH121" s="97"/>
      <c r="CI121" s="97"/>
      <c r="CJ121" s="97"/>
      <c r="CK121" s="97"/>
      <c r="CL121" s="97"/>
      <c r="CM121" s="97"/>
      <c r="CN121" s="97"/>
      <c r="CO121" s="97"/>
      <c r="CP121" s="97"/>
      <c r="CQ121" s="97"/>
      <c r="CR121" s="97"/>
      <c r="CS121" s="97"/>
      <c r="CT121" s="97"/>
      <c r="CU121" s="97"/>
      <c r="CV121" s="97"/>
      <c r="CW121" s="97"/>
      <c r="CX121" s="97"/>
      <c r="CY121" s="97"/>
      <c r="CZ121" s="97"/>
      <c r="DA121" s="97"/>
      <c r="DB121" s="97"/>
      <c r="DC121" s="97"/>
      <c r="DD121" s="97"/>
      <c r="DE121" s="97"/>
      <c r="DF121" s="97"/>
      <c r="DG121" s="97"/>
      <c r="DH121" s="97"/>
      <c r="DI121" s="97"/>
      <c r="DJ121" s="97"/>
      <c r="DK121" s="97"/>
      <c r="DL121" s="97"/>
      <c r="DM121" s="97"/>
      <c r="DN121" s="97"/>
      <c r="DO121" s="97"/>
      <c r="DP121" s="97"/>
      <c r="DQ121" s="97"/>
      <c r="DR121" s="97"/>
      <c r="DS121" s="97"/>
      <c r="DT121" s="97"/>
      <c r="DU121" s="97"/>
      <c r="DV121" s="97"/>
      <c r="DW121" s="97"/>
      <c r="DX121" s="97"/>
      <c r="DY121" s="97"/>
      <c r="DZ121" s="97"/>
      <c r="EA121" s="97"/>
      <c r="EB121" s="97"/>
      <c r="EC121" s="97"/>
      <c r="ED121" s="97"/>
      <c r="EE121" s="97"/>
      <c r="EF121" s="97"/>
      <c r="EG121" s="97"/>
      <c r="EH121" s="97"/>
      <c r="EI121" s="97"/>
      <c r="EJ121" s="97"/>
      <c r="EK121" s="97"/>
      <c r="EL121" s="97"/>
      <c r="EM121" s="97"/>
      <c r="EN121" s="97"/>
      <c r="EO121" s="97"/>
      <c r="EP121" s="97"/>
      <c r="EQ121" s="97"/>
      <c r="ER121" s="97"/>
      <c r="ES121" s="97"/>
      <c r="ET121" s="97"/>
    </row>
    <row r="122" spans="1:150" ht="15.75" customHeight="1">
      <c r="A122" s="97"/>
      <c r="B122" s="97"/>
      <c r="C122" s="97"/>
      <c r="D122" s="97"/>
      <c r="E122" s="97"/>
      <c r="F122" s="97"/>
      <c r="G122" s="97"/>
      <c r="H122" s="129"/>
      <c r="I122" s="97"/>
      <c r="J122" s="97"/>
      <c r="K122" s="97"/>
      <c r="L122" s="97"/>
      <c r="M122" s="97"/>
      <c r="N122" s="97"/>
      <c r="O122" s="97"/>
      <c r="P122" s="97"/>
      <c r="Q122" s="97"/>
      <c r="R122" s="97"/>
      <c r="S122" s="97"/>
      <c r="T122" s="97"/>
      <c r="U122" s="97"/>
      <c r="V122" s="97"/>
      <c r="W122" s="97"/>
      <c r="X122" s="129"/>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97"/>
      <c r="BX122" s="97"/>
      <c r="BY122" s="97"/>
      <c r="BZ122" s="97"/>
      <c r="CA122" s="97"/>
      <c r="CB122" s="97"/>
      <c r="CC122" s="97"/>
      <c r="CD122" s="97"/>
      <c r="CE122" s="97"/>
      <c r="CF122" s="97"/>
      <c r="CG122" s="97"/>
      <c r="CH122" s="97"/>
      <c r="CI122" s="97"/>
      <c r="CJ122" s="97"/>
      <c r="CK122" s="97"/>
      <c r="CL122" s="97"/>
      <c r="CM122" s="97"/>
      <c r="CN122" s="97"/>
      <c r="CO122" s="97"/>
      <c r="CP122" s="97"/>
      <c r="CQ122" s="97"/>
      <c r="CR122" s="97"/>
      <c r="CS122" s="97"/>
      <c r="CT122" s="97"/>
      <c r="CU122" s="97"/>
      <c r="CV122" s="97"/>
      <c r="CW122" s="97"/>
      <c r="CX122" s="97"/>
      <c r="CY122" s="97"/>
      <c r="CZ122" s="97"/>
      <c r="DA122" s="97"/>
      <c r="DB122" s="97"/>
      <c r="DC122" s="97"/>
      <c r="DD122" s="97"/>
      <c r="DE122" s="97"/>
      <c r="DF122" s="97"/>
      <c r="DG122" s="97"/>
      <c r="DH122" s="97"/>
      <c r="DI122" s="97"/>
      <c r="DJ122" s="97"/>
      <c r="DK122" s="97"/>
      <c r="DL122" s="97"/>
      <c r="DM122" s="97"/>
      <c r="DN122" s="97"/>
      <c r="DO122" s="97"/>
      <c r="DP122" s="97"/>
      <c r="DQ122" s="97"/>
      <c r="DR122" s="97"/>
      <c r="DS122" s="97"/>
      <c r="DT122" s="97"/>
      <c r="DU122" s="97"/>
      <c r="DV122" s="97"/>
      <c r="DW122" s="97"/>
      <c r="DX122" s="97"/>
      <c r="DY122" s="97"/>
      <c r="DZ122" s="97"/>
      <c r="EA122" s="97"/>
      <c r="EB122" s="97"/>
      <c r="EC122" s="97"/>
      <c r="ED122" s="97"/>
      <c r="EE122" s="97"/>
      <c r="EF122" s="97"/>
      <c r="EG122" s="97"/>
      <c r="EH122" s="97"/>
      <c r="EI122" s="97"/>
      <c r="EJ122" s="97"/>
      <c r="EK122" s="97"/>
      <c r="EL122" s="97"/>
      <c r="EM122" s="97"/>
      <c r="EN122" s="97"/>
      <c r="EO122" s="97"/>
      <c r="EP122" s="97"/>
      <c r="EQ122" s="97"/>
      <c r="ER122" s="97"/>
      <c r="ES122" s="97"/>
      <c r="ET122" s="97"/>
    </row>
    <row r="123" spans="1:150" ht="15.75" customHeight="1">
      <c r="A123" s="97"/>
      <c r="B123" s="97"/>
      <c r="C123" s="97"/>
      <c r="D123" s="97"/>
      <c r="E123" s="97"/>
      <c r="F123" s="97"/>
      <c r="G123" s="97"/>
      <c r="H123" s="129"/>
      <c r="I123" s="97"/>
      <c r="J123" s="97"/>
      <c r="K123" s="97"/>
      <c r="L123" s="97"/>
      <c r="M123" s="97"/>
      <c r="N123" s="97"/>
      <c r="O123" s="97"/>
      <c r="P123" s="97"/>
      <c r="Q123" s="97"/>
      <c r="R123" s="97"/>
      <c r="S123" s="97"/>
      <c r="T123" s="97"/>
      <c r="U123" s="97"/>
      <c r="V123" s="97"/>
      <c r="W123" s="97"/>
      <c r="X123" s="129"/>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97"/>
      <c r="BX123" s="97"/>
      <c r="BY123" s="97"/>
      <c r="BZ123" s="97"/>
      <c r="CA123" s="97"/>
      <c r="CB123" s="97"/>
      <c r="CC123" s="97"/>
      <c r="CD123" s="97"/>
      <c r="CE123" s="97"/>
      <c r="CF123" s="97"/>
      <c r="CG123" s="97"/>
      <c r="CH123" s="97"/>
      <c r="CI123" s="97"/>
      <c r="CJ123" s="97"/>
      <c r="CK123" s="97"/>
      <c r="CL123" s="97"/>
      <c r="CM123" s="97"/>
      <c r="CN123" s="97"/>
      <c r="CO123" s="97"/>
      <c r="CP123" s="97"/>
      <c r="CQ123" s="97"/>
      <c r="CR123" s="97"/>
      <c r="CS123" s="97"/>
      <c r="CT123" s="97"/>
      <c r="CU123" s="97"/>
      <c r="CV123" s="97"/>
      <c r="CW123" s="97"/>
      <c r="CX123" s="97"/>
      <c r="CY123" s="97"/>
      <c r="CZ123" s="97"/>
      <c r="DA123" s="97"/>
      <c r="DB123" s="97"/>
      <c r="DC123" s="97"/>
      <c r="DD123" s="97"/>
      <c r="DE123" s="97"/>
      <c r="DF123" s="97"/>
      <c r="DG123" s="97"/>
      <c r="DH123" s="97"/>
      <c r="DI123" s="97"/>
      <c r="DJ123" s="97"/>
      <c r="DK123" s="97"/>
      <c r="DL123" s="97"/>
      <c r="DM123" s="97"/>
      <c r="DN123" s="97"/>
      <c r="DO123" s="97"/>
      <c r="DP123" s="97"/>
      <c r="DQ123" s="97"/>
      <c r="DR123" s="97"/>
      <c r="DS123" s="97"/>
      <c r="DT123" s="97"/>
      <c r="DU123" s="97"/>
      <c r="DV123" s="97"/>
      <c r="DW123" s="97"/>
      <c r="DX123" s="97"/>
      <c r="DY123" s="97"/>
      <c r="DZ123" s="97"/>
      <c r="EA123" s="97"/>
      <c r="EB123" s="97"/>
      <c r="EC123" s="97"/>
      <c r="ED123" s="97"/>
      <c r="EE123" s="97"/>
      <c r="EF123" s="97"/>
      <c r="EG123" s="97"/>
      <c r="EH123" s="97"/>
      <c r="EI123" s="97"/>
      <c r="EJ123" s="97"/>
      <c r="EK123" s="97"/>
      <c r="EL123" s="97"/>
      <c r="EM123" s="97"/>
      <c r="EN123" s="97"/>
      <c r="EO123" s="97"/>
      <c r="EP123" s="97"/>
      <c r="EQ123" s="97"/>
      <c r="ER123" s="97"/>
      <c r="ES123" s="97"/>
      <c r="ET123" s="97"/>
    </row>
    <row r="124" spans="1:150" ht="15.75" customHeight="1">
      <c r="A124" s="97"/>
      <c r="B124" s="97"/>
      <c r="C124" s="97"/>
      <c r="D124" s="97"/>
      <c r="E124" s="97"/>
      <c r="F124" s="97"/>
      <c r="G124" s="97"/>
      <c r="H124" s="129"/>
      <c r="I124" s="97"/>
      <c r="J124" s="97"/>
      <c r="K124" s="97"/>
      <c r="L124" s="97"/>
      <c r="M124" s="97"/>
      <c r="N124" s="97"/>
      <c r="O124" s="97"/>
      <c r="P124" s="97"/>
      <c r="Q124" s="97"/>
      <c r="R124" s="97"/>
      <c r="S124" s="97"/>
      <c r="T124" s="97"/>
      <c r="U124" s="97"/>
      <c r="V124" s="97"/>
      <c r="W124" s="97"/>
      <c r="X124" s="129"/>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97"/>
      <c r="BX124" s="97"/>
      <c r="BY124" s="97"/>
      <c r="BZ124" s="97"/>
      <c r="CA124" s="97"/>
      <c r="CB124" s="97"/>
      <c r="CC124" s="97"/>
      <c r="CD124" s="97"/>
      <c r="CE124" s="97"/>
      <c r="CF124" s="97"/>
      <c r="CG124" s="97"/>
      <c r="CH124" s="97"/>
      <c r="CI124" s="97"/>
      <c r="CJ124" s="97"/>
      <c r="CK124" s="97"/>
      <c r="CL124" s="97"/>
      <c r="CM124" s="97"/>
      <c r="CN124" s="97"/>
      <c r="CO124" s="97"/>
      <c r="CP124" s="97"/>
      <c r="CQ124" s="97"/>
      <c r="CR124" s="97"/>
      <c r="CS124" s="97"/>
      <c r="CT124" s="97"/>
      <c r="CU124" s="97"/>
      <c r="CV124" s="97"/>
      <c r="CW124" s="97"/>
      <c r="CX124" s="97"/>
      <c r="CY124" s="97"/>
      <c r="CZ124" s="97"/>
      <c r="DA124" s="97"/>
      <c r="DB124" s="97"/>
      <c r="DC124" s="97"/>
      <c r="DD124" s="97"/>
      <c r="DE124" s="97"/>
      <c r="DF124" s="97"/>
      <c r="DG124" s="97"/>
      <c r="DH124" s="97"/>
      <c r="DI124" s="97"/>
      <c r="DJ124" s="97"/>
      <c r="DK124" s="97"/>
      <c r="DL124" s="97"/>
      <c r="DM124" s="97"/>
      <c r="DN124" s="97"/>
      <c r="DO124" s="97"/>
      <c r="DP124" s="97"/>
      <c r="DQ124" s="97"/>
      <c r="DR124" s="97"/>
      <c r="DS124" s="97"/>
      <c r="DT124" s="97"/>
      <c r="DU124" s="97"/>
      <c r="DV124" s="97"/>
      <c r="DW124" s="97"/>
      <c r="DX124" s="97"/>
      <c r="DY124" s="97"/>
      <c r="DZ124" s="97"/>
      <c r="EA124" s="97"/>
      <c r="EB124" s="97"/>
      <c r="EC124" s="97"/>
      <c r="ED124" s="97"/>
      <c r="EE124" s="97"/>
      <c r="EF124" s="97"/>
      <c r="EG124" s="97"/>
      <c r="EH124" s="97"/>
      <c r="EI124" s="97"/>
      <c r="EJ124" s="97"/>
      <c r="EK124" s="97"/>
      <c r="EL124" s="97"/>
      <c r="EM124" s="97"/>
      <c r="EN124" s="97"/>
      <c r="EO124" s="97"/>
      <c r="EP124" s="97"/>
      <c r="EQ124" s="97"/>
      <c r="ER124" s="97"/>
      <c r="ES124" s="97"/>
      <c r="ET124" s="97"/>
    </row>
    <row r="125" spans="1:150" ht="15.75" customHeight="1">
      <c r="A125" s="97"/>
      <c r="B125" s="97"/>
      <c r="C125" s="97"/>
      <c r="D125" s="97"/>
      <c r="E125" s="97"/>
      <c r="F125" s="97"/>
      <c r="G125" s="97"/>
      <c r="H125" s="129"/>
      <c r="I125" s="97"/>
      <c r="J125" s="97"/>
      <c r="K125" s="97"/>
      <c r="L125" s="97"/>
      <c r="M125" s="97"/>
      <c r="N125" s="97"/>
      <c r="O125" s="97"/>
      <c r="P125" s="97"/>
      <c r="Q125" s="97"/>
      <c r="R125" s="97"/>
      <c r="S125" s="97"/>
      <c r="T125" s="97"/>
      <c r="U125" s="97"/>
      <c r="V125" s="97"/>
      <c r="W125" s="97"/>
      <c r="X125" s="129"/>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97"/>
      <c r="BX125" s="97"/>
      <c r="BY125" s="97"/>
      <c r="BZ125" s="97"/>
      <c r="CA125" s="97"/>
      <c r="CB125" s="97"/>
      <c r="CC125" s="97"/>
      <c r="CD125" s="97"/>
      <c r="CE125" s="97"/>
      <c r="CF125" s="97"/>
      <c r="CG125" s="97"/>
      <c r="CH125" s="97"/>
      <c r="CI125" s="97"/>
      <c r="CJ125" s="97"/>
      <c r="CK125" s="97"/>
      <c r="CL125" s="97"/>
      <c r="CM125" s="97"/>
      <c r="CN125" s="97"/>
      <c r="CO125" s="97"/>
      <c r="CP125" s="97"/>
      <c r="CQ125" s="97"/>
      <c r="CR125" s="97"/>
      <c r="CS125" s="97"/>
      <c r="CT125" s="97"/>
      <c r="CU125" s="97"/>
      <c r="CV125" s="97"/>
      <c r="CW125" s="97"/>
      <c r="CX125" s="97"/>
      <c r="CY125" s="97"/>
      <c r="CZ125" s="97"/>
      <c r="DA125" s="97"/>
      <c r="DB125" s="97"/>
      <c r="DC125" s="97"/>
      <c r="DD125" s="97"/>
      <c r="DE125" s="97"/>
      <c r="DF125" s="97"/>
      <c r="DG125" s="97"/>
      <c r="DH125" s="97"/>
      <c r="DI125" s="97"/>
      <c r="DJ125" s="97"/>
      <c r="DK125" s="97"/>
      <c r="DL125" s="97"/>
      <c r="DM125" s="97"/>
      <c r="DN125" s="97"/>
      <c r="DO125" s="97"/>
      <c r="DP125" s="97"/>
      <c r="DQ125" s="97"/>
      <c r="DR125" s="97"/>
      <c r="DS125" s="97"/>
      <c r="DT125" s="97"/>
      <c r="DU125" s="97"/>
      <c r="DV125" s="97"/>
      <c r="DW125" s="97"/>
      <c r="DX125" s="97"/>
      <c r="DY125" s="97"/>
      <c r="DZ125" s="97"/>
      <c r="EA125" s="97"/>
      <c r="EB125" s="97"/>
      <c r="EC125" s="97"/>
      <c r="ED125" s="97"/>
      <c r="EE125" s="97"/>
      <c r="EF125" s="97"/>
      <c r="EG125" s="97"/>
      <c r="EH125" s="97"/>
      <c r="EI125" s="97"/>
      <c r="EJ125" s="97"/>
      <c r="EK125" s="97"/>
      <c r="EL125" s="97"/>
      <c r="EM125" s="97"/>
      <c r="EN125" s="97"/>
      <c r="EO125" s="97"/>
      <c r="EP125" s="97"/>
      <c r="EQ125" s="97"/>
      <c r="ER125" s="97"/>
      <c r="ES125" s="97"/>
      <c r="ET125" s="97"/>
    </row>
    <row r="126" spans="1:150" ht="15.75" customHeight="1">
      <c r="A126" s="97"/>
      <c r="B126" s="97"/>
      <c r="C126" s="97"/>
      <c r="D126" s="97"/>
      <c r="E126" s="97"/>
      <c r="F126" s="97"/>
      <c r="G126" s="97"/>
      <c r="H126" s="129"/>
      <c r="I126" s="97"/>
      <c r="J126" s="97"/>
      <c r="K126" s="97"/>
      <c r="L126" s="97"/>
      <c r="M126" s="97"/>
      <c r="N126" s="97"/>
      <c r="O126" s="97"/>
      <c r="P126" s="97"/>
      <c r="Q126" s="97"/>
      <c r="R126" s="97"/>
      <c r="S126" s="97"/>
      <c r="T126" s="97"/>
      <c r="U126" s="97"/>
      <c r="V126" s="97"/>
      <c r="W126" s="97"/>
      <c r="X126" s="129"/>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97"/>
      <c r="BX126" s="97"/>
      <c r="BY126" s="97"/>
      <c r="BZ126" s="97"/>
      <c r="CA126" s="97"/>
      <c r="CB126" s="97"/>
      <c r="CC126" s="97"/>
      <c r="CD126" s="97"/>
      <c r="CE126" s="97"/>
      <c r="CF126" s="97"/>
      <c r="CG126" s="97"/>
      <c r="CH126" s="97"/>
      <c r="CI126" s="97"/>
      <c r="CJ126" s="97"/>
      <c r="CK126" s="97"/>
      <c r="CL126" s="97"/>
      <c r="CM126" s="97"/>
      <c r="CN126" s="97"/>
      <c r="CO126" s="97"/>
      <c r="CP126" s="97"/>
      <c r="CQ126" s="97"/>
      <c r="CR126" s="97"/>
      <c r="CS126" s="97"/>
      <c r="CT126" s="97"/>
      <c r="CU126" s="97"/>
      <c r="CV126" s="97"/>
      <c r="CW126" s="97"/>
      <c r="CX126" s="97"/>
      <c r="CY126" s="97"/>
      <c r="CZ126" s="97"/>
      <c r="DA126" s="97"/>
      <c r="DB126" s="97"/>
      <c r="DC126" s="97"/>
      <c r="DD126" s="97"/>
      <c r="DE126" s="97"/>
      <c r="DF126" s="97"/>
      <c r="DG126" s="97"/>
      <c r="DH126" s="97"/>
      <c r="DI126" s="97"/>
      <c r="DJ126" s="97"/>
      <c r="DK126" s="97"/>
      <c r="DL126" s="97"/>
      <c r="DM126" s="97"/>
      <c r="DN126" s="97"/>
      <c r="DO126" s="97"/>
      <c r="DP126" s="97"/>
      <c r="DQ126" s="97"/>
      <c r="DR126" s="97"/>
      <c r="DS126" s="97"/>
      <c r="DT126" s="97"/>
      <c r="DU126" s="97"/>
      <c r="DV126" s="97"/>
      <c r="DW126" s="97"/>
      <c r="DX126" s="97"/>
      <c r="DY126" s="97"/>
      <c r="DZ126" s="97"/>
      <c r="EA126" s="97"/>
      <c r="EB126" s="97"/>
      <c r="EC126" s="97"/>
      <c r="ED126" s="97"/>
      <c r="EE126" s="97"/>
      <c r="EF126" s="97"/>
      <c r="EG126" s="97"/>
      <c r="EH126" s="97"/>
      <c r="EI126" s="97"/>
      <c r="EJ126" s="97"/>
      <c r="EK126" s="97"/>
      <c r="EL126" s="97"/>
      <c r="EM126" s="97"/>
      <c r="EN126" s="97"/>
      <c r="EO126" s="97"/>
      <c r="EP126" s="97"/>
      <c r="EQ126" s="97"/>
      <c r="ER126" s="97"/>
      <c r="ES126" s="97"/>
      <c r="ET126" s="97"/>
    </row>
    <row r="127" spans="1:150" ht="15.75" customHeight="1">
      <c r="A127" s="97"/>
      <c r="B127" s="97"/>
      <c r="C127" s="97"/>
      <c r="D127" s="97"/>
      <c r="E127" s="97"/>
      <c r="F127" s="97"/>
      <c r="G127" s="97"/>
      <c r="H127" s="129"/>
      <c r="I127" s="97"/>
      <c r="J127" s="97"/>
      <c r="K127" s="97"/>
      <c r="L127" s="97"/>
      <c r="M127" s="97"/>
      <c r="N127" s="97"/>
      <c r="O127" s="97"/>
      <c r="P127" s="97"/>
      <c r="Q127" s="97"/>
      <c r="R127" s="97"/>
      <c r="S127" s="97"/>
      <c r="T127" s="97"/>
      <c r="U127" s="97"/>
      <c r="V127" s="97"/>
      <c r="W127" s="97"/>
      <c r="X127" s="129"/>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97"/>
      <c r="BX127" s="97"/>
      <c r="BY127" s="97"/>
      <c r="BZ127" s="97"/>
      <c r="CA127" s="97"/>
      <c r="CB127" s="97"/>
      <c r="CC127" s="97"/>
      <c r="CD127" s="97"/>
      <c r="CE127" s="97"/>
      <c r="CF127" s="97"/>
      <c r="CG127" s="97"/>
      <c r="CH127" s="97"/>
      <c r="CI127" s="97"/>
      <c r="CJ127" s="97"/>
      <c r="CK127" s="97"/>
      <c r="CL127" s="97"/>
      <c r="CM127" s="97"/>
      <c r="CN127" s="97"/>
      <c r="CO127" s="97"/>
      <c r="CP127" s="97"/>
      <c r="CQ127" s="97"/>
      <c r="CR127" s="97"/>
      <c r="CS127" s="97"/>
      <c r="CT127" s="97"/>
      <c r="CU127" s="97"/>
      <c r="CV127" s="97"/>
      <c r="CW127" s="97"/>
      <c r="CX127" s="97"/>
      <c r="CY127" s="97"/>
      <c r="CZ127" s="97"/>
      <c r="DA127" s="97"/>
      <c r="DB127" s="97"/>
      <c r="DC127" s="97"/>
      <c r="DD127" s="97"/>
      <c r="DE127" s="97"/>
      <c r="DF127" s="97"/>
      <c r="DG127" s="97"/>
      <c r="DH127" s="97"/>
      <c r="DI127" s="97"/>
      <c r="DJ127" s="97"/>
      <c r="DK127" s="97"/>
      <c r="DL127" s="97"/>
      <c r="DM127" s="97"/>
      <c r="DN127" s="97"/>
      <c r="DO127" s="97"/>
      <c r="DP127" s="97"/>
      <c r="DQ127" s="97"/>
      <c r="DR127" s="97"/>
      <c r="DS127" s="97"/>
      <c r="DT127" s="97"/>
      <c r="DU127" s="97"/>
      <c r="DV127" s="97"/>
      <c r="DW127" s="97"/>
      <c r="DX127" s="97"/>
      <c r="DY127" s="97"/>
      <c r="DZ127" s="97"/>
      <c r="EA127" s="97"/>
      <c r="EB127" s="97"/>
      <c r="EC127" s="97"/>
      <c r="ED127" s="97"/>
      <c r="EE127" s="97"/>
      <c r="EF127" s="97"/>
      <c r="EG127" s="97"/>
      <c r="EH127" s="97"/>
      <c r="EI127" s="97"/>
      <c r="EJ127" s="97"/>
      <c r="EK127" s="97"/>
      <c r="EL127" s="97"/>
      <c r="EM127" s="97"/>
      <c r="EN127" s="97"/>
      <c r="EO127" s="97"/>
      <c r="EP127" s="97"/>
      <c r="EQ127" s="97"/>
      <c r="ER127" s="97"/>
      <c r="ES127" s="97"/>
      <c r="ET127" s="97"/>
    </row>
    <row r="128" spans="1:150" ht="15.75" customHeight="1">
      <c r="A128" s="97"/>
      <c r="B128" s="97"/>
      <c r="C128" s="97"/>
      <c r="D128" s="97"/>
      <c r="E128" s="97"/>
      <c r="F128" s="97"/>
      <c r="G128" s="97"/>
      <c r="H128" s="129"/>
      <c r="I128" s="97"/>
      <c r="J128" s="97"/>
      <c r="K128" s="97"/>
      <c r="L128" s="97"/>
      <c r="M128" s="97"/>
      <c r="N128" s="97"/>
      <c r="O128" s="97"/>
      <c r="P128" s="97"/>
      <c r="Q128" s="97"/>
      <c r="R128" s="97"/>
      <c r="S128" s="97"/>
      <c r="T128" s="97"/>
      <c r="U128" s="97"/>
      <c r="V128" s="97"/>
      <c r="W128" s="97"/>
      <c r="X128" s="129"/>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97"/>
      <c r="BX128" s="97"/>
      <c r="BY128" s="97"/>
      <c r="BZ128" s="97"/>
      <c r="CA128" s="97"/>
      <c r="CB128" s="97"/>
      <c r="CC128" s="97"/>
      <c r="CD128" s="97"/>
      <c r="CE128" s="97"/>
      <c r="CF128" s="97"/>
      <c r="CG128" s="97"/>
      <c r="CH128" s="97"/>
      <c r="CI128" s="97"/>
      <c r="CJ128" s="97"/>
      <c r="CK128" s="97"/>
      <c r="CL128" s="97"/>
      <c r="CM128" s="97"/>
      <c r="CN128" s="97"/>
      <c r="CO128" s="97"/>
      <c r="CP128" s="97"/>
      <c r="CQ128" s="97"/>
      <c r="CR128" s="97"/>
      <c r="CS128" s="97"/>
      <c r="CT128" s="97"/>
      <c r="CU128" s="97"/>
      <c r="CV128" s="97"/>
      <c r="CW128" s="97"/>
      <c r="CX128" s="97"/>
      <c r="CY128" s="97"/>
      <c r="CZ128" s="97"/>
      <c r="DA128" s="97"/>
      <c r="DB128" s="97"/>
      <c r="DC128" s="97"/>
      <c r="DD128" s="97"/>
      <c r="DE128" s="97"/>
      <c r="DF128" s="97"/>
      <c r="DG128" s="97"/>
      <c r="DH128" s="97"/>
      <c r="DI128" s="97"/>
      <c r="DJ128" s="97"/>
      <c r="DK128" s="97"/>
      <c r="DL128" s="97"/>
      <c r="DM128" s="97"/>
      <c r="DN128" s="97"/>
      <c r="DO128" s="97"/>
      <c r="DP128" s="97"/>
      <c r="DQ128" s="97"/>
      <c r="DR128" s="97"/>
      <c r="DS128" s="97"/>
      <c r="DT128" s="97"/>
      <c r="DU128" s="97"/>
      <c r="DV128" s="97"/>
      <c r="DW128" s="97"/>
      <c r="DX128" s="97"/>
      <c r="DY128" s="97"/>
      <c r="DZ128" s="97"/>
      <c r="EA128" s="97"/>
      <c r="EB128" s="97"/>
      <c r="EC128" s="97"/>
      <c r="ED128" s="97"/>
      <c r="EE128" s="97"/>
      <c r="EF128" s="97"/>
      <c r="EG128" s="97"/>
      <c r="EH128" s="97"/>
      <c r="EI128" s="97"/>
      <c r="EJ128" s="97"/>
      <c r="EK128" s="97"/>
      <c r="EL128" s="97"/>
      <c r="EM128" s="97"/>
      <c r="EN128" s="97"/>
      <c r="EO128" s="97"/>
      <c r="EP128" s="97"/>
      <c r="EQ128" s="97"/>
      <c r="ER128" s="97"/>
      <c r="ES128" s="97"/>
      <c r="ET128" s="97"/>
    </row>
    <row r="129" spans="1:150" ht="15.75" customHeight="1">
      <c r="A129" s="97"/>
      <c r="B129" s="97"/>
      <c r="C129" s="97"/>
      <c r="D129" s="97"/>
      <c r="E129" s="97"/>
      <c r="F129" s="97"/>
      <c r="G129" s="97"/>
      <c r="H129" s="129"/>
      <c r="I129" s="97"/>
      <c r="J129" s="97"/>
      <c r="K129" s="97"/>
      <c r="L129" s="97"/>
      <c r="M129" s="97"/>
      <c r="N129" s="97"/>
      <c r="O129" s="97"/>
      <c r="P129" s="97"/>
      <c r="Q129" s="97"/>
      <c r="R129" s="97"/>
      <c r="S129" s="97"/>
      <c r="T129" s="97"/>
      <c r="U129" s="97"/>
      <c r="V129" s="97"/>
      <c r="W129" s="97"/>
      <c r="X129" s="129"/>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97"/>
      <c r="BX129" s="97"/>
      <c r="BY129" s="97"/>
      <c r="BZ129" s="97"/>
      <c r="CA129" s="97"/>
      <c r="CB129" s="97"/>
      <c r="CC129" s="97"/>
      <c r="CD129" s="97"/>
      <c r="CE129" s="97"/>
      <c r="CF129" s="97"/>
      <c r="CG129" s="97"/>
      <c r="CH129" s="97"/>
      <c r="CI129" s="97"/>
      <c r="CJ129" s="97"/>
      <c r="CK129" s="97"/>
      <c r="CL129" s="97"/>
      <c r="CM129" s="97"/>
      <c r="CN129" s="97"/>
      <c r="CO129" s="97"/>
      <c r="CP129" s="97"/>
      <c r="CQ129" s="97"/>
      <c r="CR129" s="97"/>
      <c r="CS129" s="97"/>
      <c r="CT129" s="97"/>
      <c r="CU129" s="97"/>
      <c r="CV129" s="97"/>
      <c r="CW129" s="97"/>
      <c r="CX129" s="97"/>
      <c r="CY129" s="97"/>
      <c r="CZ129" s="97"/>
      <c r="DA129" s="97"/>
      <c r="DB129" s="97"/>
      <c r="DC129" s="97"/>
      <c r="DD129" s="97"/>
      <c r="DE129" s="97"/>
      <c r="DF129" s="97"/>
      <c r="DG129" s="97"/>
      <c r="DH129" s="97"/>
      <c r="DI129" s="97"/>
      <c r="DJ129" s="97"/>
      <c r="DK129" s="97"/>
      <c r="DL129" s="97"/>
      <c r="DM129" s="97"/>
      <c r="DN129" s="97"/>
      <c r="DO129" s="97"/>
      <c r="DP129" s="97"/>
      <c r="DQ129" s="97"/>
      <c r="DR129" s="97"/>
      <c r="DS129" s="97"/>
      <c r="DT129" s="97"/>
      <c r="DU129" s="97"/>
      <c r="DV129" s="97"/>
      <c r="DW129" s="97"/>
      <c r="DX129" s="97"/>
      <c r="DY129" s="97"/>
      <c r="DZ129" s="97"/>
      <c r="EA129" s="97"/>
      <c r="EB129" s="97"/>
      <c r="EC129" s="97"/>
      <c r="ED129" s="97"/>
      <c r="EE129" s="97"/>
      <c r="EF129" s="97"/>
      <c r="EG129" s="97"/>
      <c r="EH129" s="97"/>
      <c r="EI129" s="97"/>
      <c r="EJ129" s="97"/>
      <c r="EK129" s="97"/>
      <c r="EL129" s="97"/>
      <c r="EM129" s="97"/>
      <c r="EN129" s="97"/>
      <c r="EO129" s="97"/>
      <c r="EP129" s="97"/>
      <c r="EQ129" s="97"/>
      <c r="ER129" s="97"/>
      <c r="ES129" s="97"/>
      <c r="ET129" s="97"/>
    </row>
    <row r="130" spans="1:150" ht="15.75" customHeight="1">
      <c r="A130" s="97"/>
      <c r="B130" s="97"/>
      <c r="C130" s="97"/>
      <c r="D130" s="97"/>
      <c r="E130" s="97"/>
      <c r="F130" s="97"/>
      <c r="G130" s="97"/>
      <c r="H130" s="129"/>
      <c r="I130" s="97"/>
      <c r="J130" s="97"/>
      <c r="K130" s="97"/>
      <c r="L130" s="97"/>
      <c r="M130" s="97"/>
      <c r="N130" s="97"/>
      <c r="O130" s="97"/>
      <c r="P130" s="97"/>
      <c r="Q130" s="97"/>
      <c r="R130" s="97"/>
      <c r="S130" s="97"/>
      <c r="T130" s="97"/>
      <c r="U130" s="97"/>
      <c r="V130" s="97"/>
      <c r="W130" s="97"/>
      <c r="X130" s="129"/>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97"/>
      <c r="BX130" s="97"/>
      <c r="BY130" s="97"/>
      <c r="BZ130" s="97"/>
      <c r="CA130" s="97"/>
      <c r="CB130" s="97"/>
      <c r="CC130" s="97"/>
      <c r="CD130" s="97"/>
      <c r="CE130" s="97"/>
      <c r="CF130" s="97"/>
      <c r="CG130" s="97"/>
      <c r="CH130" s="97"/>
      <c r="CI130" s="97"/>
      <c r="CJ130" s="97"/>
      <c r="CK130" s="97"/>
      <c r="CL130" s="97"/>
      <c r="CM130" s="97"/>
      <c r="CN130" s="97"/>
      <c r="CO130" s="97"/>
      <c r="CP130" s="97"/>
      <c r="CQ130" s="97"/>
      <c r="CR130" s="97"/>
      <c r="CS130" s="97"/>
      <c r="CT130" s="97"/>
      <c r="CU130" s="97"/>
      <c r="CV130" s="97"/>
      <c r="CW130" s="97"/>
      <c r="CX130" s="97"/>
      <c r="CY130" s="97"/>
      <c r="CZ130" s="97"/>
      <c r="DA130" s="97"/>
      <c r="DB130" s="97"/>
      <c r="DC130" s="97"/>
      <c r="DD130" s="97"/>
      <c r="DE130" s="97"/>
      <c r="DF130" s="97"/>
      <c r="DG130" s="97"/>
      <c r="DH130" s="97"/>
      <c r="DI130" s="97"/>
      <c r="DJ130" s="97"/>
      <c r="DK130" s="97"/>
      <c r="DL130" s="97"/>
      <c r="DM130" s="97"/>
      <c r="DN130" s="97"/>
      <c r="DO130" s="97"/>
      <c r="DP130" s="97"/>
      <c r="DQ130" s="97"/>
      <c r="DR130" s="97"/>
      <c r="DS130" s="97"/>
      <c r="DT130" s="97"/>
      <c r="DU130" s="97"/>
      <c r="DV130" s="97"/>
      <c r="DW130" s="97"/>
      <c r="DX130" s="97"/>
      <c r="DY130" s="97"/>
      <c r="DZ130" s="97"/>
      <c r="EA130" s="97"/>
      <c r="EB130" s="97"/>
      <c r="EC130" s="97"/>
      <c r="ED130" s="97"/>
      <c r="EE130" s="97"/>
      <c r="EF130" s="97"/>
      <c r="EG130" s="97"/>
      <c r="EH130" s="97"/>
      <c r="EI130" s="97"/>
      <c r="EJ130" s="97"/>
      <c r="EK130" s="97"/>
      <c r="EL130" s="97"/>
      <c r="EM130" s="97"/>
      <c r="EN130" s="97"/>
      <c r="EO130" s="97"/>
      <c r="EP130" s="97"/>
      <c r="EQ130" s="97"/>
      <c r="ER130" s="97"/>
      <c r="ES130" s="97"/>
      <c r="ET130" s="97"/>
    </row>
    <row r="131" spans="1:150" ht="15.75" customHeight="1">
      <c r="A131" s="97"/>
      <c r="B131" s="97"/>
      <c r="C131" s="97"/>
      <c r="D131" s="97"/>
      <c r="E131" s="97"/>
      <c r="F131" s="97"/>
      <c r="G131" s="97"/>
      <c r="H131" s="129"/>
      <c r="I131" s="97"/>
      <c r="J131" s="97"/>
      <c r="K131" s="97"/>
      <c r="L131" s="97"/>
      <c r="M131" s="97"/>
      <c r="N131" s="97"/>
      <c r="O131" s="97"/>
      <c r="P131" s="97"/>
      <c r="Q131" s="97"/>
      <c r="R131" s="97"/>
      <c r="S131" s="97"/>
      <c r="T131" s="97"/>
      <c r="U131" s="97"/>
      <c r="V131" s="97"/>
      <c r="W131" s="97"/>
      <c r="X131" s="129"/>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97"/>
      <c r="BX131" s="97"/>
      <c r="BY131" s="97"/>
      <c r="BZ131" s="97"/>
      <c r="CA131" s="97"/>
      <c r="CB131" s="97"/>
      <c r="CC131" s="97"/>
      <c r="CD131" s="97"/>
      <c r="CE131" s="97"/>
      <c r="CF131" s="97"/>
      <c r="CG131" s="97"/>
      <c r="CH131" s="97"/>
      <c r="CI131" s="97"/>
      <c r="CJ131" s="97"/>
      <c r="CK131" s="97"/>
      <c r="CL131" s="97"/>
      <c r="CM131" s="97"/>
      <c r="CN131" s="97"/>
      <c r="CO131" s="97"/>
      <c r="CP131" s="97"/>
      <c r="CQ131" s="97"/>
      <c r="CR131" s="97"/>
      <c r="CS131" s="97"/>
      <c r="CT131" s="97"/>
      <c r="CU131" s="97"/>
      <c r="CV131" s="97"/>
      <c r="CW131" s="97"/>
      <c r="CX131" s="97"/>
      <c r="CY131" s="97"/>
      <c r="CZ131" s="97"/>
      <c r="DA131" s="97"/>
      <c r="DB131" s="97"/>
      <c r="DC131" s="97"/>
      <c r="DD131" s="97"/>
      <c r="DE131" s="97"/>
      <c r="DF131" s="97"/>
      <c r="DG131" s="97"/>
      <c r="DH131" s="97"/>
      <c r="DI131" s="97"/>
      <c r="DJ131" s="97"/>
      <c r="DK131" s="97"/>
      <c r="DL131" s="97"/>
      <c r="DM131" s="97"/>
      <c r="DN131" s="97"/>
      <c r="DO131" s="97"/>
      <c r="DP131" s="97"/>
      <c r="DQ131" s="97"/>
      <c r="DR131" s="97"/>
      <c r="DS131" s="97"/>
      <c r="DT131" s="97"/>
      <c r="DU131" s="97"/>
      <c r="DV131" s="97"/>
      <c r="DW131" s="97"/>
      <c r="DX131" s="97"/>
      <c r="DY131" s="97"/>
      <c r="DZ131" s="97"/>
      <c r="EA131" s="97"/>
      <c r="EB131" s="97"/>
      <c r="EC131" s="97"/>
      <c r="ED131" s="97"/>
      <c r="EE131" s="97"/>
      <c r="EF131" s="97"/>
      <c r="EG131" s="97"/>
      <c r="EH131" s="97"/>
      <c r="EI131" s="97"/>
      <c r="EJ131" s="97"/>
      <c r="EK131" s="97"/>
      <c r="EL131" s="97"/>
      <c r="EM131" s="97"/>
      <c r="EN131" s="97"/>
      <c r="EO131" s="97"/>
      <c r="EP131" s="97"/>
      <c r="EQ131" s="97"/>
      <c r="ER131" s="97"/>
      <c r="ES131" s="97"/>
      <c r="ET131" s="97"/>
    </row>
    <row r="132" spans="1:150" ht="15.75" customHeight="1">
      <c r="A132" s="97"/>
      <c r="B132" s="97"/>
      <c r="C132" s="97"/>
      <c r="D132" s="97"/>
      <c r="E132" s="97"/>
      <c r="F132" s="97"/>
      <c r="G132" s="97"/>
      <c r="H132" s="129"/>
      <c r="I132" s="97"/>
      <c r="J132" s="97"/>
      <c r="K132" s="97"/>
      <c r="L132" s="97"/>
      <c r="M132" s="97"/>
      <c r="N132" s="97"/>
      <c r="O132" s="97"/>
      <c r="P132" s="97"/>
      <c r="Q132" s="97"/>
      <c r="R132" s="97"/>
      <c r="S132" s="97"/>
      <c r="T132" s="97"/>
      <c r="U132" s="97"/>
      <c r="V132" s="97"/>
      <c r="W132" s="97"/>
      <c r="X132" s="129"/>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97"/>
      <c r="BX132" s="97"/>
      <c r="BY132" s="97"/>
      <c r="BZ132" s="97"/>
      <c r="CA132" s="97"/>
      <c r="CB132" s="97"/>
      <c r="CC132" s="97"/>
      <c r="CD132" s="97"/>
      <c r="CE132" s="97"/>
      <c r="CF132" s="97"/>
      <c r="CG132" s="97"/>
      <c r="CH132" s="97"/>
      <c r="CI132" s="97"/>
      <c r="CJ132" s="97"/>
      <c r="CK132" s="97"/>
      <c r="CL132" s="97"/>
      <c r="CM132" s="97"/>
      <c r="CN132" s="97"/>
      <c r="CO132" s="97"/>
      <c r="CP132" s="97"/>
      <c r="CQ132" s="97"/>
      <c r="CR132" s="97"/>
      <c r="CS132" s="97"/>
      <c r="CT132" s="97"/>
      <c r="CU132" s="97"/>
      <c r="CV132" s="97"/>
      <c r="CW132" s="97"/>
      <c r="CX132" s="97"/>
      <c r="CY132" s="97"/>
      <c r="CZ132" s="97"/>
      <c r="DA132" s="97"/>
      <c r="DB132" s="97"/>
      <c r="DC132" s="97"/>
      <c r="DD132" s="97"/>
      <c r="DE132" s="97"/>
      <c r="DF132" s="97"/>
      <c r="DG132" s="97"/>
      <c r="DH132" s="97"/>
      <c r="DI132" s="97"/>
      <c r="DJ132" s="97"/>
      <c r="DK132" s="97"/>
      <c r="DL132" s="97"/>
      <c r="DM132" s="97"/>
      <c r="DN132" s="97"/>
      <c r="DO132" s="97"/>
      <c r="DP132" s="97"/>
      <c r="DQ132" s="97"/>
      <c r="DR132" s="97"/>
      <c r="DS132" s="97"/>
      <c r="DT132" s="97"/>
      <c r="DU132" s="97"/>
      <c r="DV132" s="97"/>
      <c r="DW132" s="97"/>
      <c r="DX132" s="97"/>
      <c r="DY132" s="97"/>
      <c r="DZ132" s="97"/>
      <c r="EA132" s="97"/>
      <c r="EB132" s="97"/>
      <c r="EC132" s="97"/>
      <c r="ED132" s="97"/>
      <c r="EE132" s="97"/>
      <c r="EF132" s="97"/>
      <c r="EG132" s="97"/>
      <c r="EH132" s="97"/>
      <c r="EI132" s="97"/>
      <c r="EJ132" s="97"/>
      <c r="EK132" s="97"/>
      <c r="EL132" s="97"/>
      <c r="EM132" s="97"/>
      <c r="EN132" s="97"/>
      <c r="EO132" s="97"/>
      <c r="EP132" s="97"/>
      <c r="EQ132" s="97"/>
      <c r="ER132" s="97"/>
      <c r="ES132" s="97"/>
      <c r="ET132" s="97"/>
    </row>
    <row r="133" spans="1:150" ht="15.75" customHeight="1">
      <c r="A133" s="97"/>
      <c r="B133" s="97"/>
      <c r="C133" s="97"/>
      <c r="D133" s="97"/>
      <c r="E133" s="97"/>
      <c r="F133" s="97"/>
      <c r="G133" s="97"/>
      <c r="H133" s="129"/>
      <c r="I133" s="97"/>
      <c r="J133" s="97"/>
      <c r="K133" s="97"/>
      <c r="L133" s="97"/>
      <c r="M133" s="97"/>
      <c r="N133" s="97"/>
      <c r="O133" s="97"/>
      <c r="P133" s="97"/>
      <c r="Q133" s="97"/>
      <c r="R133" s="97"/>
      <c r="S133" s="97"/>
      <c r="T133" s="97"/>
      <c r="U133" s="97"/>
      <c r="V133" s="97"/>
      <c r="W133" s="97"/>
      <c r="X133" s="129"/>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97"/>
      <c r="BX133" s="97"/>
      <c r="BY133" s="97"/>
      <c r="BZ133" s="97"/>
      <c r="CA133" s="97"/>
      <c r="CB133" s="97"/>
      <c r="CC133" s="97"/>
      <c r="CD133" s="97"/>
      <c r="CE133" s="97"/>
      <c r="CF133" s="97"/>
      <c r="CG133" s="97"/>
      <c r="CH133" s="97"/>
      <c r="CI133" s="97"/>
      <c r="CJ133" s="97"/>
      <c r="CK133" s="97"/>
      <c r="CL133" s="97"/>
      <c r="CM133" s="97"/>
      <c r="CN133" s="97"/>
      <c r="CO133" s="97"/>
      <c r="CP133" s="97"/>
      <c r="CQ133" s="97"/>
      <c r="CR133" s="97"/>
      <c r="CS133" s="97"/>
      <c r="CT133" s="97"/>
      <c r="CU133" s="97"/>
      <c r="CV133" s="97"/>
      <c r="CW133" s="97"/>
      <c r="CX133" s="97"/>
      <c r="CY133" s="97"/>
      <c r="CZ133" s="97"/>
      <c r="DA133" s="97"/>
      <c r="DB133" s="97"/>
      <c r="DC133" s="97"/>
      <c r="DD133" s="97"/>
      <c r="DE133" s="97"/>
      <c r="DF133" s="97"/>
      <c r="DG133" s="97"/>
      <c r="DH133" s="97"/>
      <c r="DI133" s="97"/>
      <c r="DJ133" s="97"/>
      <c r="DK133" s="97"/>
      <c r="DL133" s="97"/>
      <c r="DM133" s="97"/>
      <c r="DN133" s="97"/>
      <c r="DO133" s="97"/>
      <c r="DP133" s="97"/>
      <c r="DQ133" s="97"/>
      <c r="DR133" s="97"/>
      <c r="DS133" s="97"/>
      <c r="DT133" s="97"/>
      <c r="DU133" s="97"/>
      <c r="DV133" s="97"/>
      <c r="DW133" s="97"/>
      <c r="DX133" s="97"/>
      <c r="DY133" s="97"/>
      <c r="DZ133" s="97"/>
      <c r="EA133" s="97"/>
      <c r="EB133" s="97"/>
      <c r="EC133" s="97"/>
      <c r="ED133" s="97"/>
      <c r="EE133" s="97"/>
      <c r="EF133" s="97"/>
      <c r="EG133" s="97"/>
      <c r="EH133" s="97"/>
      <c r="EI133" s="97"/>
      <c r="EJ133" s="97"/>
      <c r="EK133" s="97"/>
      <c r="EL133" s="97"/>
      <c r="EM133" s="97"/>
      <c r="EN133" s="97"/>
      <c r="EO133" s="97"/>
      <c r="EP133" s="97"/>
      <c r="EQ133" s="97"/>
      <c r="ER133" s="97"/>
      <c r="ES133" s="97"/>
      <c r="ET133" s="97"/>
    </row>
    <row r="134" spans="1:150" ht="15.75" customHeight="1">
      <c r="A134" s="97"/>
      <c r="B134" s="97"/>
      <c r="C134" s="97"/>
      <c r="D134" s="97"/>
      <c r="E134" s="97"/>
      <c r="F134" s="97"/>
      <c r="G134" s="97"/>
      <c r="H134" s="129"/>
      <c r="I134" s="97"/>
      <c r="J134" s="97"/>
      <c r="K134" s="97"/>
      <c r="L134" s="97"/>
      <c r="M134" s="97"/>
      <c r="N134" s="97"/>
      <c r="O134" s="97"/>
      <c r="P134" s="97"/>
      <c r="Q134" s="97"/>
      <c r="R134" s="97"/>
      <c r="S134" s="97"/>
      <c r="T134" s="97"/>
      <c r="U134" s="97"/>
      <c r="V134" s="97"/>
      <c r="W134" s="97"/>
      <c r="X134" s="129"/>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97"/>
      <c r="BX134" s="97"/>
      <c r="BY134" s="97"/>
      <c r="BZ134" s="97"/>
      <c r="CA134" s="97"/>
      <c r="CB134" s="97"/>
      <c r="CC134" s="97"/>
      <c r="CD134" s="97"/>
      <c r="CE134" s="97"/>
      <c r="CF134" s="97"/>
      <c r="CG134" s="97"/>
      <c r="CH134" s="97"/>
      <c r="CI134" s="97"/>
      <c r="CJ134" s="97"/>
      <c r="CK134" s="97"/>
      <c r="CL134" s="97"/>
      <c r="CM134" s="97"/>
      <c r="CN134" s="97"/>
      <c r="CO134" s="97"/>
      <c r="CP134" s="97"/>
      <c r="CQ134" s="97"/>
      <c r="CR134" s="97"/>
      <c r="CS134" s="97"/>
      <c r="CT134" s="97"/>
      <c r="CU134" s="97"/>
      <c r="CV134" s="97"/>
      <c r="CW134" s="97"/>
      <c r="CX134" s="97"/>
      <c r="CY134" s="97"/>
      <c r="CZ134" s="97"/>
      <c r="DA134" s="97"/>
      <c r="DB134" s="97"/>
      <c r="DC134" s="97"/>
      <c r="DD134" s="97"/>
      <c r="DE134" s="97"/>
      <c r="DF134" s="97"/>
      <c r="DG134" s="97"/>
      <c r="DH134" s="97"/>
      <c r="DI134" s="97"/>
      <c r="DJ134" s="97"/>
      <c r="DK134" s="97"/>
      <c r="DL134" s="97"/>
      <c r="DM134" s="97"/>
      <c r="DN134" s="97"/>
      <c r="DO134" s="97"/>
      <c r="DP134" s="97"/>
      <c r="DQ134" s="97"/>
      <c r="DR134" s="97"/>
      <c r="DS134" s="97"/>
      <c r="DT134" s="97"/>
      <c r="DU134" s="97"/>
      <c r="DV134" s="97"/>
      <c r="DW134" s="97"/>
      <c r="DX134" s="97"/>
      <c r="DY134" s="97"/>
      <c r="DZ134" s="97"/>
      <c r="EA134" s="97"/>
      <c r="EB134" s="97"/>
      <c r="EC134" s="97"/>
      <c r="ED134" s="97"/>
      <c r="EE134" s="97"/>
      <c r="EF134" s="97"/>
      <c r="EG134" s="97"/>
      <c r="EH134" s="97"/>
      <c r="EI134" s="97"/>
      <c r="EJ134" s="97"/>
      <c r="EK134" s="97"/>
      <c r="EL134" s="97"/>
      <c r="EM134" s="97"/>
      <c r="EN134" s="97"/>
      <c r="EO134" s="97"/>
      <c r="EP134" s="97"/>
      <c r="EQ134" s="97"/>
      <c r="ER134" s="97"/>
      <c r="ES134" s="97"/>
      <c r="ET134" s="97"/>
    </row>
    <row r="135" spans="1:150" ht="15.75" customHeight="1">
      <c r="A135" s="97"/>
      <c r="B135" s="97"/>
      <c r="C135" s="97"/>
      <c r="D135" s="97"/>
      <c r="E135" s="97"/>
      <c r="F135" s="97"/>
      <c r="G135" s="97"/>
      <c r="H135" s="129"/>
      <c r="I135" s="97"/>
      <c r="J135" s="97"/>
      <c r="K135" s="97"/>
      <c r="L135" s="97"/>
      <c r="M135" s="97"/>
      <c r="N135" s="97"/>
      <c r="O135" s="97"/>
      <c r="P135" s="97"/>
      <c r="Q135" s="97"/>
      <c r="R135" s="97"/>
      <c r="S135" s="97"/>
      <c r="T135" s="97"/>
      <c r="U135" s="97"/>
      <c r="V135" s="97"/>
      <c r="W135" s="97"/>
      <c r="X135" s="129"/>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97"/>
      <c r="BX135" s="97"/>
      <c r="BY135" s="97"/>
      <c r="BZ135" s="97"/>
      <c r="CA135" s="97"/>
      <c r="CB135" s="97"/>
      <c r="CC135" s="97"/>
      <c r="CD135" s="97"/>
      <c r="CE135" s="97"/>
      <c r="CF135" s="97"/>
      <c r="CG135" s="97"/>
      <c r="CH135" s="97"/>
      <c r="CI135" s="97"/>
      <c r="CJ135" s="97"/>
      <c r="CK135" s="97"/>
      <c r="CL135" s="97"/>
      <c r="CM135" s="97"/>
      <c r="CN135" s="97"/>
      <c r="CO135" s="97"/>
      <c r="CP135" s="97"/>
      <c r="CQ135" s="97"/>
      <c r="CR135" s="97"/>
      <c r="CS135" s="97"/>
      <c r="CT135" s="97"/>
      <c r="CU135" s="97"/>
      <c r="CV135" s="97"/>
      <c r="CW135" s="97"/>
      <c r="CX135" s="97"/>
      <c r="CY135" s="97"/>
      <c r="CZ135" s="97"/>
      <c r="DA135" s="97"/>
      <c r="DB135" s="97"/>
      <c r="DC135" s="97"/>
      <c r="DD135" s="97"/>
      <c r="DE135" s="97"/>
      <c r="DF135" s="97"/>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97"/>
      <c r="EC135" s="97"/>
      <c r="ED135" s="97"/>
      <c r="EE135" s="97"/>
      <c r="EF135" s="97"/>
      <c r="EG135" s="97"/>
      <c r="EH135" s="97"/>
      <c r="EI135" s="97"/>
      <c r="EJ135" s="97"/>
      <c r="EK135" s="97"/>
      <c r="EL135" s="97"/>
      <c r="EM135" s="97"/>
      <c r="EN135" s="97"/>
      <c r="EO135" s="97"/>
      <c r="EP135" s="97"/>
      <c r="EQ135" s="97"/>
      <c r="ER135" s="97"/>
      <c r="ES135" s="97"/>
      <c r="ET135" s="97"/>
    </row>
    <row r="136" spans="1:150" ht="15.75" customHeight="1">
      <c r="A136" s="97"/>
      <c r="B136" s="97"/>
      <c r="C136" s="97"/>
      <c r="D136" s="97"/>
      <c r="E136" s="97"/>
      <c r="F136" s="97"/>
      <c r="G136" s="97"/>
      <c r="H136" s="129"/>
      <c r="I136" s="97"/>
      <c r="J136" s="97"/>
      <c r="K136" s="97"/>
      <c r="L136" s="97"/>
      <c r="M136" s="97"/>
      <c r="N136" s="97"/>
      <c r="O136" s="97"/>
      <c r="P136" s="97"/>
      <c r="Q136" s="97"/>
      <c r="R136" s="97"/>
      <c r="S136" s="97"/>
      <c r="T136" s="97"/>
      <c r="U136" s="97"/>
      <c r="V136" s="97"/>
      <c r="W136" s="97"/>
      <c r="X136" s="129"/>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97"/>
      <c r="BX136" s="97"/>
      <c r="BY136" s="97"/>
      <c r="BZ136" s="97"/>
      <c r="CA136" s="97"/>
      <c r="CB136" s="97"/>
      <c r="CC136" s="97"/>
      <c r="CD136" s="97"/>
      <c r="CE136" s="97"/>
      <c r="CF136" s="97"/>
      <c r="CG136" s="97"/>
      <c r="CH136" s="97"/>
      <c r="CI136" s="97"/>
      <c r="CJ136" s="97"/>
      <c r="CK136" s="97"/>
      <c r="CL136" s="97"/>
      <c r="CM136" s="97"/>
      <c r="CN136" s="97"/>
      <c r="CO136" s="97"/>
      <c r="CP136" s="97"/>
      <c r="CQ136" s="97"/>
      <c r="CR136" s="97"/>
      <c r="CS136" s="97"/>
      <c r="CT136" s="97"/>
      <c r="CU136" s="97"/>
      <c r="CV136" s="97"/>
      <c r="CW136" s="97"/>
      <c r="CX136" s="97"/>
      <c r="CY136" s="97"/>
      <c r="CZ136" s="97"/>
      <c r="DA136" s="97"/>
      <c r="DB136" s="97"/>
      <c r="DC136" s="97"/>
      <c r="DD136" s="97"/>
      <c r="DE136" s="97"/>
      <c r="DF136" s="97"/>
      <c r="DG136" s="97"/>
      <c r="DH136" s="97"/>
      <c r="DI136" s="97"/>
      <c r="DJ136" s="97"/>
      <c r="DK136" s="97"/>
      <c r="DL136" s="97"/>
      <c r="DM136" s="97"/>
      <c r="DN136" s="97"/>
      <c r="DO136" s="97"/>
      <c r="DP136" s="97"/>
      <c r="DQ136" s="97"/>
      <c r="DR136" s="97"/>
      <c r="DS136" s="97"/>
      <c r="DT136" s="97"/>
      <c r="DU136" s="97"/>
      <c r="DV136" s="97"/>
      <c r="DW136" s="97"/>
      <c r="DX136" s="97"/>
      <c r="DY136" s="97"/>
      <c r="DZ136" s="97"/>
      <c r="EA136" s="97"/>
      <c r="EB136" s="97"/>
      <c r="EC136" s="97"/>
      <c r="ED136" s="97"/>
      <c r="EE136" s="97"/>
      <c r="EF136" s="97"/>
      <c r="EG136" s="97"/>
      <c r="EH136" s="97"/>
      <c r="EI136" s="97"/>
      <c r="EJ136" s="97"/>
      <c r="EK136" s="97"/>
      <c r="EL136" s="97"/>
      <c r="EM136" s="97"/>
      <c r="EN136" s="97"/>
      <c r="EO136" s="97"/>
      <c r="EP136" s="97"/>
      <c r="EQ136" s="97"/>
      <c r="ER136" s="97"/>
      <c r="ES136" s="97"/>
      <c r="ET136" s="97"/>
    </row>
    <row r="137" spans="1:150" ht="15.75" customHeight="1">
      <c r="A137" s="97"/>
      <c r="B137" s="97"/>
      <c r="C137" s="97"/>
      <c r="D137" s="97"/>
      <c r="E137" s="97"/>
      <c r="F137" s="97"/>
      <c r="G137" s="97"/>
      <c r="H137" s="129"/>
      <c r="I137" s="97"/>
      <c r="J137" s="97"/>
      <c r="K137" s="97"/>
      <c r="L137" s="97"/>
      <c r="M137" s="97"/>
      <c r="N137" s="97"/>
      <c r="O137" s="97"/>
      <c r="P137" s="97"/>
      <c r="Q137" s="97"/>
      <c r="R137" s="97"/>
      <c r="S137" s="97"/>
      <c r="T137" s="97"/>
      <c r="U137" s="97"/>
      <c r="V137" s="97"/>
      <c r="W137" s="97"/>
      <c r="X137" s="129"/>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97"/>
      <c r="BX137" s="97"/>
      <c r="BY137" s="97"/>
      <c r="BZ137" s="97"/>
      <c r="CA137" s="97"/>
      <c r="CB137" s="97"/>
      <c r="CC137" s="97"/>
      <c r="CD137" s="97"/>
      <c r="CE137" s="97"/>
      <c r="CF137" s="97"/>
      <c r="CG137" s="97"/>
      <c r="CH137" s="97"/>
      <c r="CI137" s="97"/>
      <c r="CJ137" s="97"/>
      <c r="CK137" s="97"/>
      <c r="CL137" s="97"/>
      <c r="CM137" s="97"/>
      <c r="CN137" s="97"/>
      <c r="CO137" s="97"/>
      <c r="CP137" s="97"/>
      <c r="CQ137" s="97"/>
      <c r="CR137" s="97"/>
      <c r="CS137" s="97"/>
      <c r="CT137" s="97"/>
      <c r="CU137" s="97"/>
      <c r="CV137" s="97"/>
      <c r="CW137" s="97"/>
      <c r="CX137" s="97"/>
      <c r="CY137" s="97"/>
      <c r="CZ137" s="97"/>
      <c r="DA137" s="97"/>
      <c r="DB137" s="97"/>
      <c r="DC137" s="97"/>
      <c r="DD137" s="97"/>
      <c r="DE137" s="97"/>
      <c r="DF137" s="97"/>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97"/>
      <c r="EC137" s="97"/>
      <c r="ED137" s="97"/>
      <c r="EE137" s="97"/>
      <c r="EF137" s="97"/>
      <c r="EG137" s="97"/>
      <c r="EH137" s="97"/>
      <c r="EI137" s="97"/>
      <c r="EJ137" s="97"/>
      <c r="EK137" s="97"/>
      <c r="EL137" s="97"/>
      <c r="EM137" s="97"/>
      <c r="EN137" s="97"/>
      <c r="EO137" s="97"/>
      <c r="EP137" s="97"/>
      <c r="EQ137" s="97"/>
      <c r="ER137" s="97"/>
      <c r="ES137" s="97"/>
      <c r="ET137" s="97"/>
    </row>
    <row r="138" spans="1:150" ht="15.75" customHeight="1">
      <c r="A138" s="97"/>
      <c r="B138" s="97"/>
      <c r="C138" s="97"/>
      <c r="D138" s="97"/>
      <c r="E138" s="97"/>
      <c r="F138" s="97"/>
      <c r="G138" s="97"/>
      <c r="H138" s="129"/>
      <c r="I138" s="97"/>
      <c r="J138" s="97"/>
      <c r="K138" s="97"/>
      <c r="L138" s="97"/>
      <c r="M138" s="97"/>
      <c r="N138" s="97"/>
      <c r="O138" s="97"/>
      <c r="P138" s="97"/>
      <c r="Q138" s="97"/>
      <c r="R138" s="97"/>
      <c r="S138" s="97"/>
      <c r="T138" s="97"/>
      <c r="U138" s="97"/>
      <c r="V138" s="97"/>
      <c r="W138" s="97"/>
      <c r="X138" s="129"/>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97"/>
      <c r="BX138" s="97"/>
      <c r="BY138" s="97"/>
      <c r="BZ138" s="97"/>
      <c r="CA138" s="97"/>
      <c r="CB138" s="97"/>
      <c r="CC138" s="97"/>
      <c r="CD138" s="97"/>
      <c r="CE138" s="97"/>
      <c r="CF138" s="97"/>
      <c r="CG138" s="97"/>
      <c r="CH138" s="97"/>
      <c r="CI138" s="97"/>
      <c r="CJ138" s="97"/>
      <c r="CK138" s="97"/>
      <c r="CL138" s="97"/>
      <c r="CM138" s="97"/>
      <c r="CN138" s="97"/>
      <c r="CO138" s="97"/>
      <c r="CP138" s="97"/>
      <c r="CQ138" s="97"/>
      <c r="CR138" s="97"/>
      <c r="CS138" s="97"/>
      <c r="CT138" s="97"/>
      <c r="CU138" s="97"/>
      <c r="CV138" s="97"/>
      <c r="CW138" s="97"/>
      <c r="CX138" s="97"/>
      <c r="CY138" s="97"/>
      <c r="CZ138" s="97"/>
      <c r="DA138" s="97"/>
      <c r="DB138" s="97"/>
      <c r="DC138" s="97"/>
      <c r="DD138" s="97"/>
      <c r="DE138" s="97"/>
      <c r="DF138" s="97"/>
      <c r="DG138" s="97"/>
      <c r="DH138" s="97"/>
      <c r="DI138" s="97"/>
      <c r="DJ138" s="97"/>
      <c r="DK138" s="97"/>
      <c r="DL138" s="97"/>
      <c r="DM138" s="97"/>
      <c r="DN138" s="97"/>
      <c r="DO138" s="97"/>
      <c r="DP138" s="97"/>
      <c r="DQ138" s="97"/>
      <c r="DR138" s="97"/>
      <c r="DS138" s="97"/>
      <c r="DT138" s="97"/>
      <c r="DU138" s="97"/>
      <c r="DV138" s="97"/>
      <c r="DW138" s="97"/>
      <c r="DX138" s="97"/>
      <c r="DY138" s="97"/>
      <c r="DZ138" s="97"/>
      <c r="EA138" s="97"/>
      <c r="EB138" s="97"/>
      <c r="EC138" s="97"/>
      <c r="ED138" s="97"/>
      <c r="EE138" s="97"/>
      <c r="EF138" s="97"/>
      <c r="EG138" s="97"/>
      <c r="EH138" s="97"/>
      <c r="EI138" s="97"/>
      <c r="EJ138" s="97"/>
      <c r="EK138" s="97"/>
      <c r="EL138" s="97"/>
      <c r="EM138" s="97"/>
      <c r="EN138" s="97"/>
      <c r="EO138" s="97"/>
      <c r="EP138" s="97"/>
      <c r="EQ138" s="97"/>
      <c r="ER138" s="97"/>
      <c r="ES138" s="97"/>
      <c r="ET138" s="97"/>
    </row>
    <row r="139" spans="1:150" ht="15.75" customHeight="1">
      <c r="A139" s="97"/>
      <c r="B139" s="97"/>
      <c r="C139" s="97"/>
      <c r="D139" s="97"/>
      <c r="E139" s="97"/>
      <c r="F139" s="97"/>
      <c r="G139" s="97"/>
      <c r="H139" s="129"/>
      <c r="I139" s="97"/>
      <c r="J139" s="97"/>
      <c r="K139" s="97"/>
      <c r="L139" s="97"/>
      <c r="M139" s="97"/>
      <c r="N139" s="97"/>
      <c r="O139" s="97"/>
      <c r="P139" s="97"/>
      <c r="Q139" s="97"/>
      <c r="R139" s="97"/>
      <c r="S139" s="97"/>
      <c r="T139" s="97"/>
      <c r="U139" s="97"/>
      <c r="V139" s="97"/>
      <c r="W139" s="97"/>
      <c r="X139" s="129"/>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97"/>
      <c r="BX139" s="97"/>
      <c r="BY139" s="97"/>
      <c r="BZ139" s="97"/>
      <c r="CA139" s="97"/>
      <c r="CB139" s="97"/>
      <c r="CC139" s="97"/>
      <c r="CD139" s="97"/>
      <c r="CE139" s="97"/>
      <c r="CF139" s="97"/>
      <c r="CG139" s="97"/>
      <c r="CH139" s="97"/>
      <c r="CI139" s="97"/>
      <c r="CJ139" s="97"/>
      <c r="CK139" s="97"/>
      <c r="CL139" s="97"/>
      <c r="CM139" s="97"/>
      <c r="CN139" s="97"/>
      <c r="CO139" s="97"/>
      <c r="CP139" s="97"/>
      <c r="CQ139" s="97"/>
      <c r="CR139" s="97"/>
      <c r="CS139" s="97"/>
      <c r="CT139" s="97"/>
      <c r="CU139" s="97"/>
      <c r="CV139" s="97"/>
      <c r="CW139" s="97"/>
      <c r="CX139" s="97"/>
      <c r="CY139" s="97"/>
      <c r="CZ139" s="97"/>
      <c r="DA139" s="97"/>
      <c r="DB139" s="97"/>
      <c r="DC139" s="97"/>
      <c r="DD139" s="97"/>
      <c r="DE139" s="97"/>
      <c r="DF139" s="97"/>
      <c r="DG139" s="97"/>
      <c r="DH139" s="97"/>
      <c r="DI139" s="97"/>
      <c r="DJ139" s="97"/>
      <c r="DK139" s="97"/>
      <c r="DL139" s="97"/>
      <c r="DM139" s="97"/>
      <c r="DN139" s="97"/>
      <c r="DO139" s="97"/>
      <c r="DP139" s="97"/>
      <c r="DQ139" s="97"/>
      <c r="DR139" s="97"/>
      <c r="DS139" s="97"/>
      <c r="DT139" s="97"/>
      <c r="DU139" s="97"/>
      <c r="DV139" s="97"/>
      <c r="DW139" s="97"/>
      <c r="DX139" s="97"/>
      <c r="DY139" s="97"/>
      <c r="DZ139" s="97"/>
      <c r="EA139" s="97"/>
      <c r="EB139" s="97"/>
      <c r="EC139" s="97"/>
      <c r="ED139" s="97"/>
      <c r="EE139" s="97"/>
      <c r="EF139" s="97"/>
      <c r="EG139" s="97"/>
      <c r="EH139" s="97"/>
      <c r="EI139" s="97"/>
      <c r="EJ139" s="97"/>
      <c r="EK139" s="97"/>
      <c r="EL139" s="97"/>
      <c r="EM139" s="97"/>
      <c r="EN139" s="97"/>
      <c r="EO139" s="97"/>
      <c r="EP139" s="97"/>
      <c r="EQ139" s="97"/>
      <c r="ER139" s="97"/>
      <c r="ES139" s="97"/>
      <c r="ET139" s="97"/>
    </row>
    <row r="140" spans="1:150" ht="15.75" customHeight="1">
      <c r="A140" s="97"/>
      <c r="B140" s="97"/>
      <c r="C140" s="97"/>
      <c r="D140" s="97"/>
      <c r="E140" s="97"/>
      <c r="F140" s="97"/>
      <c r="G140" s="97"/>
      <c r="H140" s="129"/>
      <c r="I140" s="97"/>
      <c r="J140" s="97"/>
      <c r="K140" s="97"/>
      <c r="L140" s="97"/>
      <c r="M140" s="97"/>
      <c r="N140" s="97"/>
      <c r="O140" s="97"/>
      <c r="P140" s="97"/>
      <c r="Q140" s="97"/>
      <c r="R140" s="97"/>
      <c r="S140" s="97"/>
      <c r="T140" s="97"/>
      <c r="U140" s="97"/>
      <c r="V140" s="97"/>
      <c r="W140" s="97"/>
      <c r="X140" s="129"/>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97"/>
      <c r="BX140" s="97"/>
      <c r="BY140" s="97"/>
      <c r="BZ140" s="97"/>
      <c r="CA140" s="97"/>
      <c r="CB140" s="97"/>
      <c r="CC140" s="97"/>
      <c r="CD140" s="97"/>
      <c r="CE140" s="97"/>
      <c r="CF140" s="97"/>
      <c r="CG140" s="97"/>
      <c r="CH140" s="97"/>
      <c r="CI140" s="97"/>
      <c r="CJ140" s="97"/>
      <c r="CK140" s="97"/>
      <c r="CL140" s="97"/>
      <c r="CM140" s="97"/>
      <c r="CN140" s="97"/>
      <c r="CO140" s="97"/>
      <c r="CP140" s="97"/>
      <c r="CQ140" s="97"/>
      <c r="CR140" s="97"/>
      <c r="CS140" s="97"/>
      <c r="CT140" s="97"/>
      <c r="CU140" s="97"/>
      <c r="CV140" s="97"/>
      <c r="CW140" s="97"/>
      <c r="CX140" s="97"/>
      <c r="CY140" s="97"/>
      <c r="CZ140" s="97"/>
      <c r="DA140" s="97"/>
      <c r="DB140" s="97"/>
      <c r="DC140" s="97"/>
      <c r="DD140" s="97"/>
      <c r="DE140" s="97"/>
      <c r="DF140" s="97"/>
      <c r="DG140" s="97"/>
      <c r="DH140" s="97"/>
      <c r="DI140" s="97"/>
      <c r="DJ140" s="97"/>
      <c r="DK140" s="97"/>
      <c r="DL140" s="97"/>
      <c r="DM140" s="97"/>
      <c r="DN140" s="97"/>
      <c r="DO140" s="97"/>
      <c r="DP140" s="97"/>
      <c r="DQ140" s="97"/>
      <c r="DR140" s="97"/>
      <c r="DS140" s="97"/>
      <c r="DT140" s="97"/>
      <c r="DU140" s="97"/>
      <c r="DV140" s="97"/>
      <c r="DW140" s="97"/>
      <c r="DX140" s="97"/>
      <c r="DY140" s="97"/>
      <c r="DZ140" s="97"/>
      <c r="EA140" s="97"/>
      <c r="EB140" s="97"/>
      <c r="EC140" s="97"/>
      <c r="ED140" s="97"/>
      <c r="EE140" s="97"/>
      <c r="EF140" s="97"/>
      <c r="EG140" s="97"/>
      <c r="EH140" s="97"/>
      <c r="EI140" s="97"/>
      <c r="EJ140" s="97"/>
      <c r="EK140" s="97"/>
      <c r="EL140" s="97"/>
      <c r="EM140" s="97"/>
      <c r="EN140" s="97"/>
      <c r="EO140" s="97"/>
      <c r="EP140" s="97"/>
      <c r="EQ140" s="97"/>
      <c r="ER140" s="97"/>
      <c r="ES140" s="97"/>
      <c r="ET140" s="97"/>
    </row>
    <row r="141" spans="1:150" ht="15.75" customHeight="1">
      <c r="A141" s="97"/>
      <c r="B141" s="97"/>
      <c r="C141" s="97"/>
      <c r="D141" s="97"/>
      <c r="E141" s="97"/>
      <c r="F141" s="97"/>
      <c r="G141" s="97"/>
      <c r="H141" s="129"/>
      <c r="I141" s="97"/>
      <c r="J141" s="97"/>
      <c r="K141" s="97"/>
      <c r="L141" s="97"/>
      <c r="M141" s="97"/>
      <c r="N141" s="97"/>
      <c r="O141" s="97"/>
      <c r="P141" s="97"/>
      <c r="Q141" s="97"/>
      <c r="R141" s="97"/>
      <c r="S141" s="97"/>
      <c r="T141" s="97"/>
      <c r="U141" s="97"/>
      <c r="V141" s="97"/>
      <c r="W141" s="97"/>
      <c r="X141" s="129"/>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97"/>
      <c r="BX141" s="97"/>
      <c r="BY141" s="97"/>
      <c r="BZ141" s="97"/>
      <c r="CA141" s="97"/>
      <c r="CB141" s="97"/>
      <c r="CC141" s="97"/>
      <c r="CD141" s="97"/>
      <c r="CE141" s="97"/>
      <c r="CF141" s="97"/>
      <c r="CG141" s="97"/>
      <c r="CH141" s="97"/>
      <c r="CI141" s="97"/>
      <c r="CJ141" s="97"/>
      <c r="CK141" s="97"/>
      <c r="CL141" s="97"/>
      <c r="CM141" s="97"/>
      <c r="CN141" s="97"/>
      <c r="CO141" s="97"/>
      <c r="CP141" s="97"/>
      <c r="CQ141" s="97"/>
      <c r="CR141" s="97"/>
      <c r="CS141" s="97"/>
      <c r="CT141" s="97"/>
      <c r="CU141" s="97"/>
      <c r="CV141" s="97"/>
      <c r="CW141" s="97"/>
      <c r="CX141" s="97"/>
      <c r="CY141" s="97"/>
      <c r="CZ141" s="97"/>
      <c r="DA141" s="97"/>
      <c r="DB141" s="97"/>
      <c r="DC141" s="97"/>
      <c r="DD141" s="97"/>
      <c r="DE141" s="97"/>
      <c r="DF141" s="97"/>
      <c r="DG141" s="97"/>
      <c r="DH141" s="97"/>
      <c r="DI141" s="97"/>
      <c r="DJ141" s="97"/>
      <c r="DK141" s="97"/>
      <c r="DL141" s="97"/>
      <c r="DM141" s="97"/>
      <c r="DN141" s="97"/>
      <c r="DO141" s="97"/>
      <c r="DP141" s="97"/>
      <c r="DQ141" s="97"/>
      <c r="DR141" s="97"/>
      <c r="DS141" s="97"/>
      <c r="DT141" s="97"/>
      <c r="DU141" s="97"/>
      <c r="DV141" s="97"/>
      <c r="DW141" s="97"/>
      <c r="DX141" s="97"/>
      <c r="DY141" s="97"/>
      <c r="DZ141" s="97"/>
      <c r="EA141" s="97"/>
      <c r="EB141" s="97"/>
      <c r="EC141" s="97"/>
      <c r="ED141" s="97"/>
      <c r="EE141" s="97"/>
      <c r="EF141" s="97"/>
      <c r="EG141" s="97"/>
      <c r="EH141" s="97"/>
      <c r="EI141" s="97"/>
      <c r="EJ141" s="97"/>
      <c r="EK141" s="97"/>
      <c r="EL141" s="97"/>
      <c r="EM141" s="97"/>
      <c r="EN141" s="97"/>
      <c r="EO141" s="97"/>
      <c r="EP141" s="97"/>
      <c r="EQ141" s="97"/>
      <c r="ER141" s="97"/>
      <c r="ES141" s="97"/>
      <c r="ET141" s="97"/>
    </row>
    <row r="142" spans="1:150" ht="15.75" customHeight="1">
      <c r="A142" s="97"/>
      <c r="B142" s="97"/>
      <c r="C142" s="97"/>
      <c r="D142" s="97"/>
      <c r="E142" s="97"/>
      <c r="F142" s="97"/>
      <c r="G142" s="97"/>
      <c r="H142" s="129"/>
      <c r="I142" s="97"/>
      <c r="J142" s="97"/>
      <c r="K142" s="97"/>
      <c r="L142" s="97"/>
      <c r="M142" s="97"/>
      <c r="N142" s="97"/>
      <c r="O142" s="97"/>
      <c r="P142" s="97"/>
      <c r="Q142" s="97"/>
      <c r="R142" s="97"/>
      <c r="S142" s="97"/>
      <c r="T142" s="97"/>
      <c r="U142" s="97"/>
      <c r="V142" s="97"/>
      <c r="W142" s="97"/>
      <c r="X142" s="129"/>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97"/>
      <c r="BX142" s="97"/>
      <c r="BY142" s="97"/>
      <c r="BZ142" s="97"/>
      <c r="CA142" s="97"/>
      <c r="CB142" s="97"/>
      <c r="CC142" s="97"/>
      <c r="CD142" s="97"/>
      <c r="CE142" s="97"/>
      <c r="CF142" s="97"/>
      <c r="CG142" s="97"/>
      <c r="CH142" s="97"/>
      <c r="CI142" s="97"/>
      <c r="CJ142" s="97"/>
      <c r="CK142" s="97"/>
      <c r="CL142" s="97"/>
      <c r="CM142" s="97"/>
      <c r="CN142" s="97"/>
      <c r="CO142" s="97"/>
      <c r="CP142" s="97"/>
      <c r="CQ142" s="97"/>
      <c r="CR142" s="97"/>
      <c r="CS142" s="97"/>
      <c r="CT142" s="97"/>
      <c r="CU142" s="97"/>
      <c r="CV142" s="97"/>
      <c r="CW142" s="97"/>
      <c r="CX142" s="97"/>
      <c r="CY142" s="97"/>
      <c r="CZ142" s="97"/>
      <c r="DA142" s="97"/>
      <c r="DB142" s="97"/>
      <c r="DC142" s="97"/>
      <c r="DD142" s="97"/>
      <c r="DE142" s="97"/>
      <c r="DF142" s="97"/>
      <c r="DG142" s="97"/>
      <c r="DH142" s="97"/>
      <c r="DI142" s="97"/>
      <c r="DJ142" s="97"/>
      <c r="DK142" s="97"/>
      <c r="DL142" s="97"/>
      <c r="DM142" s="97"/>
      <c r="DN142" s="97"/>
      <c r="DO142" s="97"/>
      <c r="DP142" s="97"/>
      <c r="DQ142" s="97"/>
      <c r="DR142" s="97"/>
      <c r="DS142" s="97"/>
      <c r="DT142" s="97"/>
      <c r="DU142" s="97"/>
      <c r="DV142" s="97"/>
      <c r="DW142" s="97"/>
      <c r="DX142" s="97"/>
      <c r="DY142" s="97"/>
      <c r="DZ142" s="97"/>
      <c r="EA142" s="97"/>
      <c r="EB142" s="97"/>
      <c r="EC142" s="97"/>
      <c r="ED142" s="97"/>
      <c r="EE142" s="97"/>
      <c r="EF142" s="97"/>
      <c r="EG142" s="97"/>
      <c r="EH142" s="97"/>
      <c r="EI142" s="97"/>
      <c r="EJ142" s="97"/>
      <c r="EK142" s="97"/>
      <c r="EL142" s="97"/>
      <c r="EM142" s="97"/>
      <c r="EN142" s="97"/>
      <c r="EO142" s="97"/>
      <c r="EP142" s="97"/>
      <c r="EQ142" s="97"/>
      <c r="ER142" s="97"/>
      <c r="ES142" s="97"/>
      <c r="ET142" s="97"/>
    </row>
    <row r="143" spans="1:150" ht="15.75" customHeight="1">
      <c r="A143" s="97"/>
      <c r="B143" s="97"/>
      <c r="C143" s="97"/>
      <c r="D143" s="97"/>
      <c r="E143" s="97"/>
      <c r="F143" s="97"/>
      <c r="G143" s="97"/>
      <c r="H143" s="129"/>
      <c r="I143" s="97"/>
      <c r="J143" s="97"/>
      <c r="K143" s="97"/>
      <c r="L143" s="97"/>
      <c r="M143" s="97"/>
      <c r="N143" s="97"/>
      <c r="O143" s="97"/>
      <c r="P143" s="97"/>
      <c r="Q143" s="97"/>
      <c r="R143" s="97"/>
      <c r="S143" s="97"/>
      <c r="T143" s="97"/>
      <c r="U143" s="97"/>
      <c r="V143" s="97"/>
      <c r="W143" s="97"/>
      <c r="X143" s="129"/>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97"/>
      <c r="BX143" s="97"/>
      <c r="BY143" s="97"/>
      <c r="BZ143" s="97"/>
      <c r="CA143" s="97"/>
      <c r="CB143" s="97"/>
      <c r="CC143" s="97"/>
      <c r="CD143" s="97"/>
      <c r="CE143" s="97"/>
      <c r="CF143" s="97"/>
      <c r="CG143" s="97"/>
      <c r="CH143" s="97"/>
      <c r="CI143" s="97"/>
      <c r="CJ143" s="97"/>
      <c r="CK143" s="97"/>
      <c r="CL143" s="97"/>
      <c r="CM143" s="97"/>
      <c r="CN143" s="97"/>
      <c r="CO143" s="97"/>
      <c r="CP143" s="97"/>
      <c r="CQ143" s="97"/>
      <c r="CR143" s="97"/>
      <c r="CS143" s="97"/>
      <c r="CT143" s="97"/>
      <c r="CU143" s="97"/>
      <c r="CV143" s="97"/>
      <c r="CW143" s="97"/>
      <c r="CX143" s="97"/>
      <c r="CY143" s="97"/>
      <c r="CZ143" s="97"/>
      <c r="DA143" s="97"/>
      <c r="DB143" s="97"/>
      <c r="DC143" s="97"/>
      <c r="DD143" s="97"/>
      <c r="DE143" s="97"/>
      <c r="DF143" s="97"/>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97"/>
      <c r="EC143" s="97"/>
      <c r="ED143" s="97"/>
      <c r="EE143" s="97"/>
      <c r="EF143" s="97"/>
      <c r="EG143" s="97"/>
      <c r="EH143" s="97"/>
      <c r="EI143" s="97"/>
      <c r="EJ143" s="97"/>
      <c r="EK143" s="97"/>
      <c r="EL143" s="97"/>
      <c r="EM143" s="97"/>
      <c r="EN143" s="97"/>
      <c r="EO143" s="97"/>
      <c r="EP143" s="97"/>
      <c r="EQ143" s="97"/>
      <c r="ER143" s="97"/>
      <c r="ES143" s="97"/>
      <c r="ET143" s="97"/>
    </row>
    <row r="144" spans="1:150" ht="15.75" customHeight="1">
      <c r="A144" s="97"/>
      <c r="B144" s="97"/>
      <c r="C144" s="97"/>
      <c r="D144" s="97"/>
      <c r="E144" s="97"/>
      <c r="F144" s="97"/>
      <c r="G144" s="97"/>
      <c r="H144" s="129"/>
      <c r="I144" s="97"/>
      <c r="J144" s="97"/>
      <c r="K144" s="97"/>
      <c r="L144" s="97"/>
      <c r="M144" s="97"/>
      <c r="N144" s="97"/>
      <c r="O144" s="97"/>
      <c r="P144" s="97"/>
      <c r="Q144" s="97"/>
      <c r="R144" s="97"/>
      <c r="S144" s="97"/>
      <c r="T144" s="97"/>
      <c r="U144" s="97"/>
      <c r="V144" s="97"/>
      <c r="W144" s="97"/>
      <c r="X144" s="129"/>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97"/>
      <c r="BX144" s="97"/>
      <c r="BY144" s="97"/>
      <c r="BZ144" s="97"/>
      <c r="CA144" s="97"/>
      <c r="CB144" s="97"/>
      <c r="CC144" s="97"/>
      <c r="CD144" s="97"/>
      <c r="CE144" s="97"/>
      <c r="CF144" s="97"/>
      <c r="CG144" s="97"/>
      <c r="CH144" s="97"/>
      <c r="CI144" s="97"/>
      <c r="CJ144" s="97"/>
      <c r="CK144" s="97"/>
      <c r="CL144" s="97"/>
      <c r="CM144" s="97"/>
      <c r="CN144" s="97"/>
      <c r="CO144" s="97"/>
      <c r="CP144" s="97"/>
      <c r="CQ144" s="97"/>
      <c r="CR144" s="97"/>
      <c r="CS144" s="97"/>
      <c r="CT144" s="97"/>
      <c r="CU144" s="97"/>
      <c r="CV144" s="97"/>
      <c r="CW144" s="97"/>
      <c r="CX144" s="97"/>
      <c r="CY144" s="97"/>
      <c r="CZ144" s="97"/>
      <c r="DA144" s="97"/>
      <c r="DB144" s="97"/>
      <c r="DC144" s="97"/>
      <c r="DD144" s="97"/>
      <c r="DE144" s="97"/>
      <c r="DF144" s="97"/>
      <c r="DG144" s="97"/>
      <c r="DH144" s="97"/>
      <c r="DI144" s="97"/>
      <c r="DJ144" s="97"/>
      <c r="DK144" s="97"/>
      <c r="DL144" s="97"/>
      <c r="DM144" s="97"/>
      <c r="DN144" s="97"/>
      <c r="DO144" s="97"/>
      <c r="DP144" s="97"/>
      <c r="DQ144" s="97"/>
      <c r="DR144" s="97"/>
      <c r="DS144" s="97"/>
      <c r="DT144" s="97"/>
      <c r="DU144" s="97"/>
      <c r="DV144" s="97"/>
      <c r="DW144" s="97"/>
      <c r="DX144" s="97"/>
      <c r="DY144" s="97"/>
      <c r="DZ144" s="97"/>
      <c r="EA144" s="97"/>
      <c r="EB144" s="97"/>
      <c r="EC144" s="97"/>
      <c r="ED144" s="97"/>
      <c r="EE144" s="97"/>
      <c r="EF144" s="97"/>
      <c r="EG144" s="97"/>
      <c r="EH144" s="97"/>
      <c r="EI144" s="97"/>
      <c r="EJ144" s="97"/>
      <c r="EK144" s="97"/>
      <c r="EL144" s="97"/>
      <c r="EM144" s="97"/>
      <c r="EN144" s="97"/>
      <c r="EO144" s="97"/>
      <c r="EP144" s="97"/>
      <c r="EQ144" s="97"/>
      <c r="ER144" s="97"/>
      <c r="ES144" s="97"/>
      <c r="ET144" s="97"/>
    </row>
    <row r="145" spans="1:150" ht="15.75" customHeight="1">
      <c r="A145" s="97"/>
      <c r="B145" s="97"/>
      <c r="C145" s="97"/>
      <c r="D145" s="97"/>
      <c r="E145" s="97"/>
      <c r="F145" s="97"/>
      <c r="G145" s="97"/>
      <c r="H145" s="129"/>
      <c r="I145" s="97"/>
      <c r="J145" s="97"/>
      <c r="K145" s="97"/>
      <c r="L145" s="97"/>
      <c r="M145" s="97"/>
      <c r="N145" s="97"/>
      <c r="O145" s="97"/>
      <c r="P145" s="97"/>
      <c r="Q145" s="97"/>
      <c r="R145" s="97"/>
      <c r="S145" s="97"/>
      <c r="T145" s="97"/>
      <c r="U145" s="97"/>
      <c r="V145" s="97"/>
      <c r="W145" s="97"/>
      <c r="X145" s="129"/>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97"/>
      <c r="BX145" s="97"/>
      <c r="BY145" s="97"/>
      <c r="BZ145" s="97"/>
      <c r="CA145" s="97"/>
      <c r="CB145" s="97"/>
      <c r="CC145" s="97"/>
      <c r="CD145" s="97"/>
      <c r="CE145" s="97"/>
      <c r="CF145" s="97"/>
      <c r="CG145" s="97"/>
      <c r="CH145" s="97"/>
      <c r="CI145" s="97"/>
      <c r="CJ145" s="97"/>
      <c r="CK145" s="97"/>
      <c r="CL145" s="97"/>
      <c r="CM145" s="97"/>
      <c r="CN145" s="97"/>
      <c r="CO145" s="97"/>
      <c r="CP145" s="97"/>
      <c r="CQ145" s="97"/>
      <c r="CR145" s="97"/>
      <c r="CS145" s="97"/>
      <c r="CT145" s="97"/>
      <c r="CU145" s="97"/>
      <c r="CV145" s="97"/>
      <c r="CW145" s="97"/>
      <c r="CX145" s="97"/>
      <c r="CY145" s="97"/>
      <c r="CZ145" s="97"/>
      <c r="DA145" s="97"/>
      <c r="DB145" s="97"/>
      <c r="DC145" s="97"/>
      <c r="DD145" s="97"/>
      <c r="DE145" s="97"/>
      <c r="DF145" s="9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97"/>
      <c r="EC145" s="97"/>
      <c r="ED145" s="97"/>
      <c r="EE145" s="97"/>
      <c r="EF145" s="97"/>
      <c r="EG145" s="97"/>
      <c r="EH145" s="97"/>
      <c r="EI145" s="97"/>
      <c r="EJ145" s="97"/>
      <c r="EK145" s="97"/>
      <c r="EL145" s="97"/>
      <c r="EM145" s="97"/>
      <c r="EN145" s="97"/>
      <c r="EO145" s="97"/>
      <c r="EP145" s="97"/>
      <c r="EQ145" s="97"/>
      <c r="ER145" s="97"/>
      <c r="ES145" s="97"/>
      <c r="ET145" s="97"/>
    </row>
    <row r="146" spans="1:150" ht="15.75" customHeight="1">
      <c r="A146" s="97"/>
      <c r="B146" s="97"/>
      <c r="C146" s="97"/>
      <c r="D146" s="97"/>
      <c r="E146" s="97"/>
      <c r="F146" s="97"/>
      <c r="G146" s="97"/>
      <c r="H146" s="129"/>
      <c r="I146" s="97"/>
      <c r="J146" s="97"/>
      <c r="K146" s="97"/>
      <c r="L146" s="97"/>
      <c r="M146" s="97"/>
      <c r="N146" s="97"/>
      <c r="O146" s="97"/>
      <c r="P146" s="97"/>
      <c r="Q146" s="97"/>
      <c r="R146" s="97"/>
      <c r="S146" s="97"/>
      <c r="T146" s="97"/>
      <c r="U146" s="97"/>
      <c r="V146" s="97"/>
      <c r="W146" s="97"/>
      <c r="X146" s="129"/>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97"/>
      <c r="BX146" s="97"/>
      <c r="BY146" s="97"/>
      <c r="BZ146" s="97"/>
      <c r="CA146" s="97"/>
      <c r="CB146" s="97"/>
      <c r="CC146" s="97"/>
      <c r="CD146" s="97"/>
      <c r="CE146" s="97"/>
      <c r="CF146" s="97"/>
      <c r="CG146" s="97"/>
      <c r="CH146" s="97"/>
      <c r="CI146" s="97"/>
      <c r="CJ146" s="97"/>
      <c r="CK146" s="97"/>
      <c r="CL146" s="97"/>
      <c r="CM146" s="97"/>
      <c r="CN146" s="97"/>
      <c r="CO146" s="97"/>
      <c r="CP146" s="97"/>
      <c r="CQ146" s="97"/>
      <c r="CR146" s="97"/>
      <c r="CS146" s="97"/>
      <c r="CT146" s="97"/>
      <c r="CU146" s="97"/>
      <c r="CV146" s="97"/>
      <c r="CW146" s="97"/>
      <c r="CX146" s="97"/>
      <c r="CY146" s="97"/>
      <c r="CZ146" s="97"/>
      <c r="DA146" s="97"/>
      <c r="DB146" s="97"/>
      <c r="DC146" s="97"/>
      <c r="DD146" s="97"/>
      <c r="DE146" s="97"/>
      <c r="DF146" s="97"/>
      <c r="DG146" s="97"/>
      <c r="DH146" s="97"/>
      <c r="DI146" s="97"/>
      <c r="DJ146" s="97"/>
      <c r="DK146" s="97"/>
      <c r="DL146" s="97"/>
      <c r="DM146" s="97"/>
      <c r="DN146" s="97"/>
      <c r="DO146" s="97"/>
      <c r="DP146" s="97"/>
      <c r="DQ146" s="97"/>
      <c r="DR146" s="97"/>
      <c r="DS146" s="97"/>
      <c r="DT146" s="97"/>
      <c r="DU146" s="97"/>
      <c r="DV146" s="97"/>
      <c r="DW146" s="97"/>
      <c r="DX146" s="97"/>
      <c r="DY146" s="97"/>
      <c r="DZ146" s="97"/>
      <c r="EA146" s="97"/>
      <c r="EB146" s="97"/>
      <c r="EC146" s="97"/>
      <c r="ED146" s="97"/>
      <c r="EE146" s="97"/>
      <c r="EF146" s="97"/>
      <c r="EG146" s="97"/>
      <c r="EH146" s="97"/>
      <c r="EI146" s="97"/>
      <c r="EJ146" s="97"/>
      <c r="EK146" s="97"/>
      <c r="EL146" s="97"/>
      <c r="EM146" s="97"/>
      <c r="EN146" s="97"/>
      <c r="EO146" s="97"/>
      <c r="EP146" s="97"/>
      <c r="EQ146" s="97"/>
      <c r="ER146" s="97"/>
      <c r="ES146" s="97"/>
      <c r="ET146" s="97"/>
    </row>
    <row r="147" spans="1:150" ht="15.75" customHeight="1">
      <c r="A147" s="97"/>
      <c r="B147" s="97"/>
      <c r="C147" s="97"/>
      <c r="D147" s="97"/>
      <c r="E147" s="97"/>
      <c r="F147" s="97"/>
      <c r="G147" s="97"/>
      <c r="H147" s="129"/>
      <c r="I147" s="97"/>
      <c r="J147" s="97"/>
      <c r="K147" s="97"/>
      <c r="L147" s="97"/>
      <c r="M147" s="97"/>
      <c r="N147" s="97"/>
      <c r="O147" s="97"/>
      <c r="P147" s="97"/>
      <c r="Q147" s="97"/>
      <c r="R147" s="97"/>
      <c r="S147" s="97"/>
      <c r="T147" s="97"/>
      <c r="U147" s="97"/>
      <c r="V147" s="97"/>
      <c r="W147" s="97"/>
      <c r="X147" s="129"/>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97"/>
      <c r="BX147" s="97"/>
      <c r="BY147" s="97"/>
      <c r="BZ147" s="97"/>
      <c r="CA147" s="97"/>
      <c r="CB147" s="97"/>
      <c r="CC147" s="97"/>
      <c r="CD147" s="97"/>
      <c r="CE147" s="97"/>
      <c r="CF147" s="97"/>
      <c r="CG147" s="97"/>
      <c r="CH147" s="97"/>
      <c r="CI147" s="97"/>
      <c r="CJ147" s="97"/>
      <c r="CK147" s="97"/>
      <c r="CL147" s="97"/>
      <c r="CM147" s="97"/>
      <c r="CN147" s="97"/>
      <c r="CO147" s="97"/>
      <c r="CP147" s="97"/>
      <c r="CQ147" s="97"/>
      <c r="CR147" s="97"/>
      <c r="CS147" s="97"/>
      <c r="CT147" s="97"/>
      <c r="CU147" s="97"/>
      <c r="CV147" s="97"/>
      <c r="CW147" s="97"/>
      <c r="CX147" s="97"/>
      <c r="CY147" s="97"/>
      <c r="CZ147" s="97"/>
      <c r="DA147" s="97"/>
      <c r="DB147" s="97"/>
      <c r="DC147" s="97"/>
      <c r="DD147" s="97"/>
      <c r="DE147" s="97"/>
      <c r="DF147" s="9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97"/>
      <c r="EC147" s="97"/>
      <c r="ED147" s="97"/>
      <c r="EE147" s="97"/>
      <c r="EF147" s="97"/>
      <c r="EG147" s="97"/>
      <c r="EH147" s="97"/>
      <c r="EI147" s="97"/>
      <c r="EJ147" s="97"/>
      <c r="EK147" s="97"/>
      <c r="EL147" s="97"/>
      <c r="EM147" s="97"/>
      <c r="EN147" s="97"/>
      <c r="EO147" s="97"/>
      <c r="EP147" s="97"/>
      <c r="EQ147" s="97"/>
      <c r="ER147" s="97"/>
      <c r="ES147" s="97"/>
      <c r="ET147" s="97"/>
    </row>
    <row r="148" spans="1:150" ht="15.75" customHeight="1">
      <c r="A148" s="97"/>
      <c r="B148" s="97"/>
      <c r="C148" s="97"/>
      <c r="D148" s="97"/>
      <c r="E148" s="97"/>
      <c r="F148" s="97"/>
      <c r="G148" s="97"/>
      <c r="H148" s="129"/>
      <c r="I148" s="97"/>
      <c r="J148" s="97"/>
      <c r="K148" s="97"/>
      <c r="L148" s="97"/>
      <c r="M148" s="97"/>
      <c r="N148" s="97"/>
      <c r="O148" s="97"/>
      <c r="P148" s="97"/>
      <c r="Q148" s="97"/>
      <c r="R148" s="97"/>
      <c r="S148" s="97"/>
      <c r="T148" s="97"/>
      <c r="U148" s="97"/>
      <c r="V148" s="97"/>
      <c r="W148" s="97"/>
      <c r="X148" s="129"/>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97"/>
      <c r="BX148" s="97"/>
      <c r="BY148" s="97"/>
      <c r="BZ148" s="97"/>
      <c r="CA148" s="97"/>
      <c r="CB148" s="97"/>
      <c r="CC148" s="97"/>
      <c r="CD148" s="97"/>
      <c r="CE148" s="97"/>
      <c r="CF148" s="97"/>
      <c r="CG148" s="97"/>
      <c r="CH148" s="97"/>
      <c r="CI148" s="97"/>
      <c r="CJ148" s="97"/>
      <c r="CK148" s="97"/>
      <c r="CL148" s="97"/>
      <c r="CM148" s="97"/>
      <c r="CN148" s="97"/>
      <c r="CO148" s="97"/>
      <c r="CP148" s="97"/>
      <c r="CQ148" s="97"/>
      <c r="CR148" s="97"/>
      <c r="CS148" s="97"/>
      <c r="CT148" s="97"/>
      <c r="CU148" s="97"/>
      <c r="CV148" s="97"/>
      <c r="CW148" s="97"/>
      <c r="CX148" s="97"/>
      <c r="CY148" s="97"/>
      <c r="CZ148" s="97"/>
      <c r="DA148" s="97"/>
      <c r="DB148" s="97"/>
      <c r="DC148" s="97"/>
      <c r="DD148" s="97"/>
      <c r="DE148" s="97"/>
      <c r="DF148" s="97"/>
      <c r="DG148" s="97"/>
      <c r="DH148" s="97"/>
      <c r="DI148" s="97"/>
      <c r="DJ148" s="97"/>
      <c r="DK148" s="97"/>
      <c r="DL148" s="97"/>
      <c r="DM148" s="97"/>
      <c r="DN148" s="97"/>
      <c r="DO148" s="97"/>
      <c r="DP148" s="97"/>
      <c r="DQ148" s="97"/>
      <c r="DR148" s="97"/>
      <c r="DS148" s="97"/>
      <c r="DT148" s="97"/>
      <c r="DU148" s="97"/>
      <c r="DV148" s="97"/>
      <c r="DW148" s="97"/>
      <c r="DX148" s="97"/>
      <c r="DY148" s="97"/>
      <c r="DZ148" s="97"/>
      <c r="EA148" s="97"/>
      <c r="EB148" s="97"/>
      <c r="EC148" s="97"/>
      <c r="ED148" s="97"/>
      <c r="EE148" s="97"/>
      <c r="EF148" s="97"/>
      <c r="EG148" s="97"/>
      <c r="EH148" s="97"/>
      <c r="EI148" s="97"/>
      <c r="EJ148" s="97"/>
      <c r="EK148" s="97"/>
      <c r="EL148" s="97"/>
      <c r="EM148" s="97"/>
      <c r="EN148" s="97"/>
      <c r="EO148" s="97"/>
      <c r="EP148" s="97"/>
      <c r="EQ148" s="97"/>
      <c r="ER148" s="97"/>
      <c r="ES148" s="97"/>
      <c r="ET148" s="97"/>
    </row>
    <row r="149" spans="1:150" ht="15.75" customHeight="1">
      <c r="A149" s="97"/>
      <c r="B149" s="97"/>
      <c r="C149" s="97"/>
      <c r="D149" s="97"/>
      <c r="E149" s="97"/>
      <c r="F149" s="97"/>
      <c r="G149" s="97"/>
      <c r="H149" s="129"/>
      <c r="I149" s="97"/>
      <c r="J149" s="97"/>
      <c r="K149" s="97"/>
      <c r="L149" s="97"/>
      <c r="M149" s="97"/>
      <c r="N149" s="97"/>
      <c r="O149" s="97"/>
      <c r="P149" s="97"/>
      <c r="Q149" s="97"/>
      <c r="R149" s="97"/>
      <c r="S149" s="97"/>
      <c r="T149" s="97"/>
      <c r="U149" s="97"/>
      <c r="V149" s="97"/>
      <c r="W149" s="97"/>
      <c r="X149" s="129"/>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97"/>
      <c r="BX149" s="97"/>
      <c r="BY149" s="97"/>
      <c r="BZ149" s="97"/>
      <c r="CA149" s="97"/>
      <c r="CB149" s="97"/>
      <c r="CC149" s="97"/>
      <c r="CD149" s="97"/>
      <c r="CE149" s="97"/>
      <c r="CF149" s="97"/>
      <c r="CG149" s="97"/>
      <c r="CH149" s="97"/>
      <c r="CI149" s="97"/>
      <c r="CJ149" s="97"/>
      <c r="CK149" s="97"/>
      <c r="CL149" s="97"/>
      <c r="CM149" s="97"/>
      <c r="CN149" s="97"/>
      <c r="CO149" s="97"/>
      <c r="CP149" s="97"/>
      <c r="CQ149" s="97"/>
      <c r="CR149" s="97"/>
      <c r="CS149" s="97"/>
      <c r="CT149" s="97"/>
      <c r="CU149" s="97"/>
      <c r="CV149" s="97"/>
      <c r="CW149" s="97"/>
      <c r="CX149" s="97"/>
      <c r="CY149" s="97"/>
      <c r="CZ149" s="97"/>
      <c r="DA149" s="97"/>
      <c r="DB149" s="97"/>
      <c r="DC149" s="97"/>
      <c r="DD149" s="97"/>
      <c r="DE149" s="97"/>
      <c r="DF149" s="9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97"/>
      <c r="EC149" s="97"/>
      <c r="ED149" s="97"/>
      <c r="EE149" s="97"/>
      <c r="EF149" s="97"/>
      <c r="EG149" s="97"/>
      <c r="EH149" s="97"/>
      <c r="EI149" s="97"/>
      <c r="EJ149" s="97"/>
      <c r="EK149" s="97"/>
      <c r="EL149" s="97"/>
      <c r="EM149" s="97"/>
      <c r="EN149" s="97"/>
      <c r="EO149" s="97"/>
      <c r="EP149" s="97"/>
      <c r="EQ149" s="97"/>
      <c r="ER149" s="97"/>
      <c r="ES149" s="97"/>
      <c r="ET149" s="97"/>
    </row>
    <row r="150" spans="1:150" ht="15.75" customHeight="1">
      <c r="A150" s="97"/>
      <c r="B150" s="97"/>
      <c r="C150" s="97"/>
      <c r="D150" s="97"/>
      <c r="E150" s="97"/>
      <c r="F150" s="97"/>
      <c r="G150" s="97"/>
      <c r="H150" s="129"/>
      <c r="I150" s="97"/>
      <c r="J150" s="97"/>
      <c r="K150" s="97"/>
      <c r="L150" s="97"/>
      <c r="M150" s="97"/>
      <c r="N150" s="97"/>
      <c r="O150" s="97"/>
      <c r="P150" s="97"/>
      <c r="Q150" s="97"/>
      <c r="R150" s="97"/>
      <c r="S150" s="97"/>
      <c r="T150" s="97"/>
      <c r="U150" s="97"/>
      <c r="V150" s="97"/>
      <c r="W150" s="97"/>
      <c r="X150" s="129"/>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97"/>
      <c r="BX150" s="97"/>
      <c r="BY150" s="97"/>
      <c r="BZ150" s="97"/>
      <c r="CA150" s="97"/>
      <c r="CB150" s="97"/>
      <c r="CC150" s="97"/>
      <c r="CD150" s="97"/>
      <c r="CE150" s="97"/>
      <c r="CF150" s="97"/>
      <c r="CG150" s="97"/>
      <c r="CH150" s="97"/>
      <c r="CI150" s="97"/>
      <c r="CJ150" s="97"/>
      <c r="CK150" s="97"/>
      <c r="CL150" s="97"/>
      <c r="CM150" s="97"/>
      <c r="CN150" s="97"/>
      <c r="CO150" s="97"/>
      <c r="CP150" s="97"/>
      <c r="CQ150" s="97"/>
      <c r="CR150" s="97"/>
      <c r="CS150" s="97"/>
      <c r="CT150" s="97"/>
      <c r="CU150" s="97"/>
      <c r="CV150" s="97"/>
      <c r="CW150" s="97"/>
      <c r="CX150" s="97"/>
      <c r="CY150" s="97"/>
      <c r="CZ150" s="97"/>
      <c r="DA150" s="97"/>
      <c r="DB150" s="97"/>
      <c r="DC150" s="97"/>
      <c r="DD150" s="97"/>
      <c r="DE150" s="97"/>
      <c r="DF150" s="97"/>
      <c r="DG150" s="97"/>
      <c r="DH150" s="97"/>
      <c r="DI150" s="97"/>
      <c r="DJ150" s="97"/>
      <c r="DK150" s="97"/>
      <c r="DL150" s="97"/>
      <c r="DM150" s="97"/>
      <c r="DN150" s="97"/>
      <c r="DO150" s="97"/>
      <c r="DP150" s="97"/>
      <c r="DQ150" s="97"/>
      <c r="DR150" s="97"/>
      <c r="DS150" s="97"/>
      <c r="DT150" s="97"/>
      <c r="DU150" s="97"/>
      <c r="DV150" s="97"/>
      <c r="DW150" s="97"/>
      <c r="DX150" s="97"/>
      <c r="DY150" s="97"/>
      <c r="DZ150" s="97"/>
      <c r="EA150" s="97"/>
      <c r="EB150" s="97"/>
      <c r="EC150" s="97"/>
      <c r="ED150" s="97"/>
      <c r="EE150" s="97"/>
      <c r="EF150" s="97"/>
      <c r="EG150" s="97"/>
      <c r="EH150" s="97"/>
      <c r="EI150" s="97"/>
      <c r="EJ150" s="97"/>
      <c r="EK150" s="97"/>
      <c r="EL150" s="97"/>
      <c r="EM150" s="97"/>
      <c r="EN150" s="97"/>
      <c r="EO150" s="97"/>
      <c r="EP150" s="97"/>
      <c r="EQ150" s="97"/>
      <c r="ER150" s="97"/>
      <c r="ES150" s="97"/>
      <c r="ET150" s="97"/>
    </row>
    <row r="151" spans="1:150" ht="15.75" customHeight="1">
      <c r="A151" s="97"/>
      <c r="B151" s="97"/>
      <c r="C151" s="97"/>
      <c r="D151" s="97"/>
      <c r="E151" s="97"/>
      <c r="F151" s="97"/>
      <c r="G151" s="97"/>
      <c r="H151" s="129"/>
      <c r="I151" s="97"/>
      <c r="J151" s="97"/>
      <c r="K151" s="97"/>
      <c r="L151" s="97"/>
      <c r="M151" s="97"/>
      <c r="N151" s="97"/>
      <c r="O151" s="97"/>
      <c r="P151" s="97"/>
      <c r="Q151" s="97"/>
      <c r="R151" s="97"/>
      <c r="S151" s="97"/>
      <c r="T151" s="97"/>
      <c r="U151" s="97"/>
      <c r="V151" s="97"/>
      <c r="W151" s="97"/>
      <c r="X151" s="129"/>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97"/>
      <c r="BX151" s="97"/>
      <c r="BY151" s="97"/>
      <c r="BZ151" s="97"/>
      <c r="CA151" s="97"/>
      <c r="CB151" s="97"/>
      <c r="CC151" s="97"/>
      <c r="CD151" s="97"/>
      <c r="CE151" s="97"/>
      <c r="CF151" s="97"/>
      <c r="CG151" s="97"/>
      <c r="CH151" s="97"/>
      <c r="CI151" s="97"/>
      <c r="CJ151" s="97"/>
      <c r="CK151" s="97"/>
      <c r="CL151" s="97"/>
      <c r="CM151" s="97"/>
      <c r="CN151" s="97"/>
      <c r="CO151" s="97"/>
      <c r="CP151" s="97"/>
      <c r="CQ151" s="97"/>
      <c r="CR151" s="97"/>
      <c r="CS151" s="97"/>
      <c r="CT151" s="97"/>
      <c r="CU151" s="97"/>
      <c r="CV151" s="97"/>
      <c r="CW151" s="97"/>
      <c r="CX151" s="97"/>
      <c r="CY151" s="97"/>
      <c r="CZ151" s="97"/>
      <c r="DA151" s="97"/>
      <c r="DB151" s="97"/>
      <c r="DC151" s="97"/>
      <c r="DD151" s="97"/>
      <c r="DE151" s="97"/>
      <c r="DF151" s="9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97"/>
      <c r="EC151" s="97"/>
      <c r="ED151" s="97"/>
      <c r="EE151" s="97"/>
      <c r="EF151" s="97"/>
      <c r="EG151" s="97"/>
      <c r="EH151" s="97"/>
      <c r="EI151" s="97"/>
      <c r="EJ151" s="97"/>
      <c r="EK151" s="97"/>
      <c r="EL151" s="97"/>
      <c r="EM151" s="97"/>
      <c r="EN151" s="97"/>
      <c r="EO151" s="97"/>
      <c r="EP151" s="97"/>
      <c r="EQ151" s="97"/>
      <c r="ER151" s="97"/>
      <c r="ES151" s="97"/>
      <c r="ET151" s="97"/>
    </row>
    <row r="152" spans="1:150" ht="15.75" customHeight="1">
      <c r="A152" s="97"/>
      <c r="B152" s="97"/>
      <c r="C152" s="97"/>
      <c r="D152" s="97"/>
      <c r="E152" s="97"/>
      <c r="F152" s="97"/>
      <c r="G152" s="97"/>
      <c r="H152" s="129"/>
      <c r="I152" s="97"/>
      <c r="J152" s="97"/>
      <c r="K152" s="97"/>
      <c r="L152" s="97"/>
      <c r="M152" s="97"/>
      <c r="N152" s="97"/>
      <c r="O152" s="97"/>
      <c r="P152" s="97"/>
      <c r="Q152" s="97"/>
      <c r="R152" s="97"/>
      <c r="S152" s="97"/>
      <c r="T152" s="97"/>
      <c r="U152" s="97"/>
      <c r="V152" s="97"/>
      <c r="W152" s="97"/>
      <c r="X152" s="129"/>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97"/>
      <c r="BX152" s="97"/>
      <c r="BY152" s="97"/>
      <c r="BZ152" s="97"/>
      <c r="CA152" s="97"/>
      <c r="CB152" s="97"/>
      <c r="CC152" s="97"/>
      <c r="CD152" s="97"/>
      <c r="CE152" s="97"/>
      <c r="CF152" s="97"/>
      <c r="CG152" s="97"/>
      <c r="CH152" s="97"/>
      <c r="CI152" s="97"/>
      <c r="CJ152" s="97"/>
      <c r="CK152" s="97"/>
      <c r="CL152" s="97"/>
      <c r="CM152" s="97"/>
      <c r="CN152" s="97"/>
      <c r="CO152" s="97"/>
      <c r="CP152" s="97"/>
      <c r="CQ152" s="97"/>
      <c r="CR152" s="97"/>
      <c r="CS152" s="97"/>
      <c r="CT152" s="97"/>
      <c r="CU152" s="97"/>
      <c r="CV152" s="97"/>
      <c r="CW152" s="97"/>
      <c r="CX152" s="97"/>
      <c r="CY152" s="97"/>
      <c r="CZ152" s="97"/>
      <c r="DA152" s="97"/>
      <c r="DB152" s="97"/>
      <c r="DC152" s="97"/>
      <c r="DD152" s="97"/>
      <c r="DE152" s="97"/>
      <c r="DF152" s="97"/>
      <c r="DG152" s="97"/>
      <c r="DH152" s="97"/>
      <c r="DI152" s="97"/>
      <c r="DJ152" s="97"/>
      <c r="DK152" s="97"/>
      <c r="DL152" s="97"/>
      <c r="DM152" s="97"/>
      <c r="DN152" s="97"/>
      <c r="DO152" s="97"/>
      <c r="DP152" s="97"/>
      <c r="DQ152" s="97"/>
      <c r="DR152" s="97"/>
      <c r="DS152" s="97"/>
      <c r="DT152" s="97"/>
      <c r="DU152" s="97"/>
      <c r="DV152" s="97"/>
      <c r="DW152" s="97"/>
      <c r="DX152" s="97"/>
      <c r="DY152" s="97"/>
      <c r="DZ152" s="97"/>
      <c r="EA152" s="97"/>
      <c r="EB152" s="97"/>
      <c r="EC152" s="97"/>
      <c r="ED152" s="97"/>
      <c r="EE152" s="97"/>
      <c r="EF152" s="97"/>
      <c r="EG152" s="97"/>
      <c r="EH152" s="97"/>
      <c r="EI152" s="97"/>
      <c r="EJ152" s="97"/>
      <c r="EK152" s="97"/>
      <c r="EL152" s="97"/>
      <c r="EM152" s="97"/>
      <c r="EN152" s="97"/>
      <c r="EO152" s="97"/>
      <c r="EP152" s="97"/>
      <c r="EQ152" s="97"/>
      <c r="ER152" s="97"/>
      <c r="ES152" s="97"/>
      <c r="ET152" s="97"/>
    </row>
    <row r="153" spans="1:150" ht="15.75" customHeight="1">
      <c r="A153" s="97"/>
      <c r="B153" s="97"/>
      <c r="C153" s="97"/>
      <c r="D153" s="97"/>
      <c r="E153" s="97"/>
      <c r="F153" s="97"/>
      <c r="G153" s="97"/>
      <c r="H153" s="129"/>
      <c r="I153" s="97"/>
      <c r="J153" s="97"/>
      <c r="K153" s="97"/>
      <c r="L153" s="97"/>
      <c r="M153" s="97"/>
      <c r="N153" s="97"/>
      <c r="O153" s="97"/>
      <c r="P153" s="97"/>
      <c r="Q153" s="97"/>
      <c r="R153" s="97"/>
      <c r="S153" s="97"/>
      <c r="T153" s="97"/>
      <c r="U153" s="97"/>
      <c r="V153" s="97"/>
      <c r="W153" s="97"/>
      <c r="X153" s="129"/>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97"/>
      <c r="BX153" s="97"/>
      <c r="BY153" s="97"/>
      <c r="BZ153" s="97"/>
      <c r="CA153" s="97"/>
      <c r="CB153" s="97"/>
      <c r="CC153" s="97"/>
      <c r="CD153" s="97"/>
      <c r="CE153" s="97"/>
      <c r="CF153" s="97"/>
      <c r="CG153" s="97"/>
      <c r="CH153" s="97"/>
      <c r="CI153" s="97"/>
      <c r="CJ153" s="97"/>
      <c r="CK153" s="97"/>
      <c r="CL153" s="97"/>
      <c r="CM153" s="97"/>
      <c r="CN153" s="97"/>
      <c r="CO153" s="97"/>
      <c r="CP153" s="97"/>
      <c r="CQ153" s="97"/>
      <c r="CR153" s="97"/>
      <c r="CS153" s="97"/>
      <c r="CT153" s="97"/>
      <c r="CU153" s="97"/>
      <c r="CV153" s="97"/>
      <c r="CW153" s="97"/>
      <c r="CX153" s="97"/>
      <c r="CY153" s="97"/>
      <c r="CZ153" s="97"/>
      <c r="DA153" s="97"/>
      <c r="DB153" s="97"/>
      <c r="DC153" s="97"/>
      <c r="DD153" s="97"/>
      <c r="DE153" s="97"/>
      <c r="DF153" s="97"/>
      <c r="DG153" s="97"/>
      <c r="DH153" s="97"/>
      <c r="DI153" s="97"/>
      <c r="DJ153" s="97"/>
      <c r="DK153" s="97"/>
      <c r="DL153" s="97"/>
      <c r="DM153" s="97"/>
      <c r="DN153" s="97"/>
      <c r="DO153" s="97"/>
      <c r="DP153" s="97"/>
      <c r="DQ153" s="97"/>
      <c r="DR153" s="97"/>
      <c r="DS153" s="97"/>
      <c r="DT153" s="97"/>
      <c r="DU153" s="97"/>
      <c r="DV153" s="97"/>
      <c r="DW153" s="97"/>
      <c r="DX153" s="97"/>
      <c r="DY153" s="97"/>
      <c r="DZ153" s="97"/>
      <c r="EA153" s="97"/>
      <c r="EB153" s="97"/>
      <c r="EC153" s="97"/>
      <c r="ED153" s="97"/>
      <c r="EE153" s="97"/>
      <c r="EF153" s="97"/>
      <c r="EG153" s="97"/>
      <c r="EH153" s="97"/>
      <c r="EI153" s="97"/>
      <c r="EJ153" s="97"/>
      <c r="EK153" s="97"/>
      <c r="EL153" s="97"/>
      <c r="EM153" s="97"/>
      <c r="EN153" s="97"/>
      <c r="EO153" s="97"/>
      <c r="EP153" s="97"/>
      <c r="EQ153" s="97"/>
      <c r="ER153" s="97"/>
      <c r="ES153" s="97"/>
      <c r="ET153" s="97"/>
    </row>
    <row r="154" spans="1:150" ht="15.75" customHeight="1">
      <c r="A154" s="97"/>
      <c r="B154" s="97"/>
      <c r="C154" s="97"/>
      <c r="D154" s="97"/>
      <c r="E154" s="97"/>
      <c r="F154" s="97"/>
      <c r="G154" s="97"/>
      <c r="H154" s="129"/>
      <c r="I154" s="97"/>
      <c r="J154" s="97"/>
      <c r="K154" s="97"/>
      <c r="L154" s="97"/>
      <c r="M154" s="97"/>
      <c r="N154" s="97"/>
      <c r="O154" s="97"/>
      <c r="P154" s="97"/>
      <c r="Q154" s="97"/>
      <c r="R154" s="97"/>
      <c r="S154" s="97"/>
      <c r="T154" s="97"/>
      <c r="U154" s="97"/>
      <c r="V154" s="97"/>
      <c r="W154" s="97"/>
      <c r="X154" s="129"/>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97"/>
      <c r="BX154" s="97"/>
      <c r="BY154" s="97"/>
      <c r="BZ154" s="97"/>
      <c r="CA154" s="97"/>
      <c r="CB154" s="97"/>
      <c r="CC154" s="97"/>
      <c r="CD154" s="97"/>
      <c r="CE154" s="97"/>
      <c r="CF154" s="97"/>
      <c r="CG154" s="97"/>
      <c r="CH154" s="97"/>
      <c r="CI154" s="97"/>
      <c r="CJ154" s="97"/>
      <c r="CK154" s="97"/>
      <c r="CL154" s="97"/>
      <c r="CM154" s="97"/>
      <c r="CN154" s="97"/>
      <c r="CO154" s="97"/>
      <c r="CP154" s="97"/>
      <c r="CQ154" s="97"/>
      <c r="CR154" s="97"/>
      <c r="CS154" s="97"/>
      <c r="CT154" s="97"/>
      <c r="CU154" s="97"/>
      <c r="CV154" s="97"/>
      <c r="CW154" s="97"/>
      <c r="CX154" s="97"/>
      <c r="CY154" s="97"/>
      <c r="CZ154" s="97"/>
      <c r="DA154" s="97"/>
      <c r="DB154" s="97"/>
      <c r="DC154" s="97"/>
      <c r="DD154" s="97"/>
      <c r="DE154" s="97"/>
      <c r="DF154" s="97"/>
      <c r="DG154" s="97"/>
      <c r="DH154" s="97"/>
      <c r="DI154" s="97"/>
      <c r="DJ154" s="97"/>
      <c r="DK154" s="97"/>
      <c r="DL154" s="97"/>
      <c r="DM154" s="97"/>
      <c r="DN154" s="97"/>
      <c r="DO154" s="97"/>
      <c r="DP154" s="97"/>
      <c r="DQ154" s="97"/>
      <c r="DR154" s="97"/>
      <c r="DS154" s="97"/>
      <c r="DT154" s="97"/>
      <c r="DU154" s="97"/>
      <c r="DV154" s="97"/>
      <c r="DW154" s="97"/>
      <c r="DX154" s="97"/>
      <c r="DY154" s="97"/>
      <c r="DZ154" s="97"/>
      <c r="EA154" s="97"/>
      <c r="EB154" s="97"/>
      <c r="EC154" s="97"/>
      <c r="ED154" s="97"/>
      <c r="EE154" s="97"/>
      <c r="EF154" s="97"/>
      <c r="EG154" s="97"/>
      <c r="EH154" s="97"/>
      <c r="EI154" s="97"/>
      <c r="EJ154" s="97"/>
      <c r="EK154" s="97"/>
      <c r="EL154" s="97"/>
      <c r="EM154" s="97"/>
      <c r="EN154" s="97"/>
      <c r="EO154" s="97"/>
      <c r="EP154" s="97"/>
      <c r="EQ154" s="97"/>
      <c r="ER154" s="97"/>
      <c r="ES154" s="97"/>
      <c r="ET154" s="97"/>
    </row>
    <row r="155" spans="1:150" ht="15.75" customHeight="1">
      <c r="A155" s="97"/>
      <c r="B155" s="97"/>
      <c r="C155" s="97"/>
      <c r="D155" s="97"/>
      <c r="E155" s="97"/>
      <c r="F155" s="97"/>
      <c r="G155" s="97"/>
      <c r="H155" s="129"/>
      <c r="I155" s="97"/>
      <c r="J155" s="97"/>
      <c r="K155" s="97"/>
      <c r="L155" s="97"/>
      <c r="M155" s="97"/>
      <c r="N155" s="97"/>
      <c r="O155" s="97"/>
      <c r="P155" s="97"/>
      <c r="Q155" s="97"/>
      <c r="R155" s="97"/>
      <c r="S155" s="97"/>
      <c r="T155" s="97"/>
      <c r="U155" s="97"/>
      <c r="V155" s="97"/>
      <c r="W155" s="97"/>
      <c r="X155" s="129"/>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97"/>
      <c r="BX155" s="97"/>
      <c r="BY155" s="97"/>
      <c r="BZ155" s="97"/>
      <c r="CA155" s="97"/>
      <c r="CB155" s="97"/>
      <c r="CC155" s="97"/>
      <c r="CD155" s="97"/>
      <c r="CE155" s="97"/>
      <c r="CF155" s="97"/>
      <c r="CG155" s="97"/>
      <c r="CH155" s="97"/>
      <c r="CI155" s="97"/>
      <c r="CJ155" s="97"/>
      <c r="CK155" s="97"/>
      <c r="CL155" s="97"/>
      <c r="CM155" s="97"/>
      <c r="CN155" s="97"/>
      <c r="CO155" s="97"/>
      <c r="CP155" s="97"/>
      <c r="CQ155" s="97"/>
      <c r="CR155" s="97"/>
      <c r="CS155" s="97"/>
      <c r="CT155" s="97"/>
      <c r="CU155" s="97"/>
      <c r="CV155" s="97"/>
      <c r="CW155" s="97"/>
      <c r="CX155" s="97"/>
      <c r="CY155" s="97"/>
      <c r="CZ155" s="97"/>
      <c r="DA155" s="97"/>
      <c r="DB155" s="97"/>
      <c r="DC155" s="97"/>
      <c r="DD155" s="97"/>
      <c r="DE155" s="97"/>
      <c r="DF155" s="97"/>
      <c r="DG155" s="97"/>
      <c r="DH155" s="97"/>
      <c r="DI155" s="97"/>
      <c r="DJ155" s="97"/>
      <c r="DK155" s="97"/>
      <c r="DL155" s="97"/>
      <c r="DM155" s="97"/>
      <c r="DN155" s="97"/>
      <c r="DO155" s="97"/>
      <c r="DP155" s="97"/>
      <c r="DQ155" s="97"/>
      <c r="DR155" s="97"/>
      <c r="DS155" s="97"/>
      <c r="DT155" s="97"/>
      <c r="DU155" s="97"/>
      <c r="DV155" s="97"/>
      <c r="DW155" s="97"/>
      <c r="DX155" s="97"/>
      <c r="DY155" s="97"/>
      <c r="DZ155" s="97"/>
      <c r="EA155" s="97"/>
      <c r="EB155" s="97"/>
      <c r="EC155" s="97"/>
      <c r="ED155" s="97"/>
      <c r="EE155" s="97"/>
      <c r="EF155" s="97"/>
      <c r="EG155" s="97"/>
      <c r="EH155" s="97"/>
      <c r="EI155" s="97"/>
      <c r="EJ155" s="97"/>
      <c r="EK155" s="97"/>
      <c r="EL155" s="97"/>
      <c r="EM155" s="97"/>
      <c r="EN155" s="97"/>
      <c r="EO155" s="97"/>
      <c r="EP155" s="97"/>
      <c r="EQ155" s="97"/>
      <c r="ER155" s="97"/>
      <c r="ES155" s="97"/>
      <c r="ET155" s="97"/>
    </row>
    <row r="156" spans="1:150" ht="15.75" customHeight="1">
      <c r="A156" s="97"/>
      <c r="B156" s="97"/>
      <c r="C156" s="97"/>
      <c r="D156" s="97"/>
      <c r="E156" s="97"/>
      <c r="F156" s="97"/>
      <c r="G156" s="97"/>
      <c r="H156" s="129"/>
      <c r="I156" s="97"/>
      <c r="J156" s="97"/>
      <c r="K156" s="97"/>
      <c r="L156" s="97"/>
      <c r="M156" s="97"/>
      <c r="N156" s="97"/>
      <c r="O156" s="97"/>
      <c r="P156" s="97"/>
      <c r="Q156" s="97"/>
      <c r="R156" s="97"/>
      <c r="S156" s="97"/>
      <c r="T156" s="97"/>
      <c r="U156" s="97"/>
      <c r="V156" s="97"/>
      <c r="W156" s="97"/>
      <c r="X156" s="129"/>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97"/>
      <c r="BY156" s="97"/>
      <c r="BZ156" s="97"/>
      <c r="CA156" s="97"/>
      <c r="CB156" s="97"/>
      <c r="CC156" s="97"/>
      <c r="CD156" s="97"/>
      <c r="CE156" s="97"/>
      <c r="CF156" s="97"/>
      <c r="CG156" s="97"/>
      <c r="CH156" s="97"/>
      <c r="CI156" s="97"/>
      <c r="CJ156" s="97"/>
      <c r="CK156" s="97"/>
      <c r="CL156" s="97"/>
      <c r="CM156" s="97"/>
      <c r="CN156" s="97"/>
      <c r="CO156" s="97"/>
      <c r="CP156" s="97"/>
      <c r="CQ156" s="97"/>
      <c r="CR156" s="97"/>
      <c r="CS156" s="97"/>
      <c r="CT156" s="97"/>
      <c r="CU156" s="97"/>
      <c r="CV156" s="97"/>
      <c r="CW156" s="97"/>
      <c r="CX156" s="97"/>
      <c r="CY156" s="97"/>
      <c r="CZ156" s="97"/>
      <c r="DA156" s="97"/>
      <c r="DB156" s="97"/>
      <c r="DC156" s="97"/>
      <c r="DD156" s="97"/>
      <c r="DE156" s="97"/>
      <c r="DF156" s="97"/>
      <c r="DG156" s="97"/>
      <c r="DH156" s="97"/>
      <c r="DI156" s="97"/>
      <c r="DJ156" s="97"/>
      <c r="DK156" s="97"/>
      <c r="DL156" s="97"/>
      <c r="DM156" s="97"/>
      <c r="DN156" s="97"/>
      <c r="DO156" s="97"/>
      <c r="DP156" s="97"/>
      <c r="DQ156" s="97"/>
      <c r="DR156" s="97"/>
      <c r="DS156" s="97"/>
      <c r="DT156" s="97"/>
      <c r="DU156" s="97"/>
      <c r="DV156" s="97"/>
      <c r="DW156" s="97"/>
      <c r="DX156" s="97"/>
      <c r="DY156" s="97"/>
      <c r="DZ156" s="97"/>
      <c r="EA156" s="97"/>
      <c r="EB156" s="97"/>
      <c r="EC156" s="97"/>
      <c r="ED156" s="97"/>
      <c r="EE156" s="97"/>
      <c r="EF156" s="97"/>
      <c r="EG156" s="97"/>
      <c r="EH156" s="97"/>
      <c r="EI156" s="97"/>
      <c r="EJ156" s="97"/>
      <c r="EK156" s="97"/>
      <c r="EL156" s="97"/>
      <c r="EM156" s="97"/>
      <c r="EN156" s="97"/>
      <c r="EO156" s="97"/>
      <c r="EP156" s="97"/>
      <c r="EQ156" s="97"/>
      <c r="ER156" s="97"/>
      <c r="ES156" s="97"/>
      <c r="ET156" s="97"/>
    </row>
    <row r="157" spans="1:150" ht="15.75" customHeight="1">
      <c r="A157" s="97"/>
      <c r="B157" s="97"/>
      <c r="C157" s="97"/>
      <c r="D157" s="97"/>
      <c r="E157" s="97"/>
      <c r="F157" s="97"/>
      <c r="G157" s="97"/>
      <c r="H157" s="129"/>
      <c r="I157" s="97"/>
      <c r="J157" s="97"/>
      <c r="K157" s="97"/>
      <c r="L157" s="97"/>
      <c r="M157" s="97"/>
      <c r="N157" s="97"/>
      <c r="O157" s="97"/>
      <c r="P157" s="97"/>
      <c r="Q157" s="97"/>
      <c r="R157" s="97"/>
      <c r="S157" s="97"/>
      <c r="T157" s="97"/>
      <c r="U157" s="97"/>
      <c r="V157" s="97"/>
      <c r="W157" s="97"/>
      <c r="X157" s="129"/>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97"/>
      <c r="CC157" s="97"/>
      <c r="CD157" s="97"/>
      <c r="CE157" s="97"/>
      <c r="CF157" s="97"/>
      <c r="CG157" s="97"/>
      <c r="CH157" s="97"/>
      <c r="CI157" s="97"/>
      <c r="CJ157" s="97"/>
      <c r="CK157" s="97"/>
      <c r="CL157" s="97"/>
      <c r="CM157" s="97"/>
      <c r="CN157" s="97"/>
      <c r="CO157" s="97"/>
      <c r="CP157" s="97"/>
      <c r="CQ157" s="97"/>
      <c r="CR157" s="97"/>
      <c r="CS157" s="97"/>
      <c r="CT157" s="97"/>
      <c r="CU157" s="97"/>
      <c r="CV157" s="97"/>
      <c r="CW157" s="97"/>
      <c r="CX157" s="97"/>
      <c r="CY157" s="97"/>
      <c r="CZ157" s="97"/>
      <c r="DA157" s="97"/>
      <c r="DB157" s="97"/>
      <c r="DC157" s="97"/>
      <c r="DD157" s="97"/>
      <c r="DE157" s="97"/>
      <c r="DF157" s="9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97"/>
      <c r="EC157" s="97"/>
      <c r="ED157" s="97"/>
      <c r="EE157" s="97"/>
      <c r="EF157" s="97"/>
      <c r="EG157" s="97"/>
      <c r="EH157" s="97"/>
      <c r="EI157" s="97"/>
      <c r="EJ157" s="97"/>
      <c r="EK157" s="97"/>
      <c r="EL157" s="97"/>
      <c r="EM157" s="97"/>
      <c r="EN157" s="97"/>
      <c r="EO157" s="97"/>
      <c r="EP157" s="97"/>
      <c r="EQ157" s="97"/>
      <c r="ER157" s="97"/>
      <c r="ES157" s="97"/>
      <c r="ET157" s="97"/>
    </row>
    <row r="158" spans="1:150" ht="15.75" customHeight="1">
      <c r="A158" s="97"/>
      <c r="B158" s="97"/>
      <c r="C158" s="97"/>
      <c r="D158" s="97"/>
      <c r="E158" s="97"/>
      <c r="F158" s="97"/>
      <c r="G158" s="97"/>
      <c r="H158" s="129"/>
      <c r="I158" s="97"/>
      <c r="J158" s="97"/>
      <c r="K158" s="97"/>
      <c r="L158" s="97"/>
      <c r="M158" s="97"/>
      <c r="N158" s="97"/>
      <c r="O158" s="97"/>
      <c r="P158" s="97"/>
      <c r="Q158" s="97"/>
      <c r="R158" s="97"/>
      <c r="S158" s="97"/>
      <c r="T158" s="97"/>
      <c r="U158" s="97"/>
      <c r="V158" s="97"/>
      <c r="W158" s="97"/>
      <c r="X158" s="129"/>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97"/>
      <c r="CC158" s="97"/>
      <c r="CD158" s="97"/>
      <c r="CE158" s="97"/>
      <c r="CF158" s="97"/>
      <c r="CG158" s="97"/>
      <c r="CH158" s="97"/>
      <c r="CI158" s="97"/>
      <c r="CJ158" s="97"/>
      <c r="CK158" s="97"/>
      <c r="CL158" s="97"/>
      <c r="CM158" s="97"/>
      <c r="CN158" s="97"/>
      <c r="CO158" s="97"/>
      <c r="CP158" s="97"/>
      <c r="CQ158" s="97"/>
      <c r="CR158" s="97"/>
      <c r="CS158" s="97"/>
      <c r="CT158" s="97"/>
      <c r="CU158" s="97"/>
      <c r="CV158" s="97"/>
      <c r="CW158" s="97"/>
      <c r="CX158" s="97"/>
      <c r="CY158" s="97"/>
      <c r="CZ158" s="97"/>
      <c r="DA158" s="97"/>
      <c r="DB158" s="97"/>
      <c r="DC158" s="97"/>
      <c r="DD158" s="97"/>
      <c r="DE158" s="97"/>
      <c r="DF158" s="97"/>
      <c r="DG158" s="97"/>
      <c r="DH158" s="97"/>
      <c r="DI158" s="97"/>
      <c r="DJ158" s="97"/>
      <c r="DK158" s="97"/>
      <c r="DL158" s="97"/>
      <c r="DM158" s="97"/>
      <c r="DN158" s="97"/>
      <c r="DO158" s="97"/>
      <c r="DP158" s="97"/>
      <c r="DQ158" s="97"/>
      <c r="DR158" s="97"/>
      <c r="DS158" s="97"/>
      <c r="DT158" s="97"/>
      <c r="DU158" s="97"/>
      <c r="DV158" s="97"/>
      <c r="DW158" s="97"/>
      <c r="DX158" s="97"/>
      <c r="DY158" s="97"/>
      <c r="DZ158" s="97"/>
      <c r="EA158" s="97"/>
      <c r="EB158" s="97"/>
      <c r="EC158" s="97"/>
      <c r="ED158" s="97"/>
      <c r="EE158" s="97"/>
      <c r="EF158" s="97"/>
      <c r="EG158" s="97"/>
      <c r="EH158" s="97"/>
      <c r="EI158" s="97"/>
      <c r="EJ158" s="97"/>
      <c r="EK158" s="97"/>
      <c r="EL158" s="97"/>
      <c r="EM158" s="97"/>
      <c r="EN158" s="97"/>
      <c r="EO158" s="97"/>
      <c r="EP158" s="97"/>
      <c r="EQ158" s="97"/>
      <c r="ER158" s="97"/>
      <c r="ES158" s="97"/>
      <c r="ET158" s="97"/>
    </row>
    <row r="159" spans="1:150" ht="15.75" customHeight="1">
      <c r="A159" s="97"/>
      <c r="B159" s="97"/>
      <c r="C159" s="97"/>
      <c r="D159" s="97"/>
      <c r="E159" s="97"/>
      <c r="F159" s="97"/>
      <c r="G159" s="97"/>
      <c r="H159" s="129"/>
      <c r="I159" s="97"/>
      <c r="J159" s="97"/>
      <c r="K159" s="97"/>
      <c r="L159" s="97"/>
      <c r="M159" s="97"/>
      <c r="N159" s="97"/>
      <c r="O159" s="97"/>
      <c r="P159" s="97"/>
      <c r="Q159" s="97"/>
      <c r="R159" s="97"/>
      <c r="S159" s="97"/>
      <c r="T159" s="97"/>
      <c r="U159" s="97"/>
      <c r="V159" s="97"/>
      <c r="W159" s="97"/>
      <c r="X159" s="129"/>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97"/>
      <c r="CC159" s="97"/>
      <c r="CD159" s="97"/>
      <c r="CE159" s="97"/>
      <c r="CF159" s="97"/>
      <c r="CG159" s="97"/>
      <c r="CH159" s="97"/>
      <c r="CI159" s="97"/>
      <c r="CJ159" s="97"/>
      <c r="CK159" s="97"/>
      <c r="CL159" s="97"/>
      <c r="CM159" s="97"/>
      <c r="CN159" s="97"/>
      <c r="CO159" s="97"/>
      <c r="CP159" s="97"/>
      <c r="CQ159" s="97"/>
      <c r="CR159" s="97"/>
      <c r="CS159" s="97"/>
      <c r="CT159" s="97"/>
      <c r="CU159" s="97"/>
      <c r="CV159" s="97"/>
      <c r="CW159" s="97"/>
      <c r="CX159" s="97"/>
      <c r="CY159" s="97"/>
      <c r="CZ159" s="97"/>
      <c r="DA159" s="97"/>
      <c r="DB159" s="97"/>
      <c r="DC159" s="97"/>
      <c r="DD159" s="97"/>
      <c r="DE159" s="97"/>
      <c r="DF159" s="97"/>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97"/>
      <c r="EC159" s="97"/>
      <c r="ED159" s="97"/>
      <c r="EE159" s="97"/>
      <c r="EF159" s="97"/>
      <c r="EG159" s="97"/>
      <c r="EH159" s="97"/>
      <c r="EI159" s="97"/>
      <c r="EJ159" s="97"/>
      <c r="EK159" s="97"/>
      <c r="EL159" s="97"/>
      <c r="EM159" s="97"/>
      <c r="EN159" s="97"/>
      <c r="EO159" s="97"/>
      <c r="EP159" s="97"/>
      <c r="EQ159" s="97"/>
      <c r="ER159" s="97"/>
      <c r="ES159" s="97"/>
      <c r="ET159" s="97"/>
    </row>
    <row r="160" spans="1:150" ht="15.75" customHeight="1">
      <c r="A160" s="97"/>
      <c r="B160" s="97"/>
      <c r="C160" s="97"/>
      <c r="D160" s="97"/>
      <c r="E160" s="97"/>
      <c r="F160" s="97"/>
      <c r="G160" s="97"/>
      <c r="H160" s="129"/>
      <c r="I160" s="97"/>
      <c r="J160" s="97"/>
      <c r="K160" s="97"/>
      <c r="L160" s="97"/>
      <c r="M160" s="97"/>
      <c r="N160" s="97"/>
      <c r="O160" s="97"/>
      <c r="P160" s="97"/>
      <c r="Q160" s="97"/>
      <c r="R160" s="97"/>
      <c r="S160" s="97"/>
      <c r="T160" s="97"/>
      <c r="U160" s="97"/>
      <c r="V160" s="97"/>
      <c r="W160" s="97"/>
      <c r="X160" s="129"/>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97"/>
      <c r="CC160" s="97"/>
      <c r="CD160" s="97"/>
      <c r="CE160" s="97"/>
      <c r="CF160" s="97"/>
      <c r="CG160" s="97"/>
      <c r="CH160" s="97"/>
      <c r="CI160" s="97"/>
      <c r="CJ160" s="97"/>
      <c r="CK160" s="97"/>
      <c r="CL160" s="97"/>
      <c r="CM160" s="97"/>
      <c r="CN160" s="97"/>
      <c r="CO160" s="97"/>
      <c r="CP160" s="97"/>
      <c r="CQ160" s="97"/>
      <c r="CR160" s="97"/>
      <c r="CS160" s="97"/>
      <c r="CT160" s="97"/>
      <c r="CU160" s="97"/>
      <c r="CV160" s="97"/>
      <c r="CW160" s="97"/>
      <c r="CX160" s="97"/>
      <c r="CY160" s="97"/>
      <c r="CZ160" s="97"/>
      <c r="DA160" s="97"/>
      <c r="DB160" s="97"/>
      <c r="DC160" s="97"/>
      <c r="DD160" s="97"/>
      <c r="DE160" s="97"/>
      <c r="DF160" s="97"/>
      <c r="DG160" s="97"/>
      <c r="DH160" s="97"/>
      <c r="DI160" s="97"/>
      <c r="DJ160" s="97"/>
      <c r="DK160" s="97"/>
      <c r="DL160" s="97"/>
      <c r="DM160" s="97"/>
      <c r="DN160" s="97"/>
      <c r="DO160" s="97"/>
      <c r="DP160" s="97"/>
      <c r="DQ160" s="97"/>
      <c r="DR160" s="97"/>
      <c r="DS160" s="97"/>
      <c r="DT160" s="97"/>
      <c r="DU160" s="97"/>
      <c r="DV160" s="97"/>
      <c r="DW160" s="97"/>
      <c r="DX160" s="97"/>
      <c r="DY160" s="97"/>
      <c r="DZ160" s="97"/>
      <c r="EA160" s="97"/>
      <c r="EB160" s="97"/>
      <c r="EC160" s="97"/>
      <c r="ED160" s="97"/>
      <c r="EE160" s="97"/>
      <c r="EF160" s="97"/>
      <c r="EG160" s="97"/>
      <c r="EH160" s="97"/>
      <c r="EI160" s="97"/>
      <c r="EJ160" s="97"/>
      <c r="EK160" s="97"/>
      <c r="EL160" s="97"/>
      <c r="EM160" s="97"/>
      <c r="EN160" s="97"/>
      <c r="EO160" s="97"/>
      <c r="EP160" s="97"/>
      <c r="EQ160" s="97"/>
      <c r="ER160" s="97"/>
      <c r="ES160" s="97"/>
      <c r="ET160" s="97"/>
    </row>
    <row r="161" spans="1:150" ht="15.75" customHeight="1">
      <c r="A161" s="97"/>
      <c r="B161" s="97"/>
      <c r="C161" s="97"/>
      <c r="D161" s="97"/>
      <c r="E161" s="97"/>
      <c r="F161" s="97"/>
      <c r="G161" s="97"/>
      <c r="H161" s="129"/>
      <c r="I161" s="97"/>
      <c r="J161" s="97"/>
      <c r="K161" s="97"/>
      <c r="L161" s="97"/>
      <c r="M161" s="97"/>
      <c r="N161" s="97"/>
      <c r="O161" s="97"/>
      <c r="P161" s="97"/>
      <c r="Q161" s="97"/>
      <c r="R161" s="97"/>
      <c r="S161" s="97"/>
      <c r="T161" s="97"/>
      <c r="U161" s="97"/>
      <c r="V161" s="97"/>
      <c r="W161" s="97"/>
      <c r="X161" s="129"/>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97"/>
      <c r="CC161" s="97"/>
      <c r="CD161" s="97"/>
      <c r="CE161" s="97"/>
      <c r="CF161" s="97"/>
      <c r="CG161" s="97"/>
      <c r="CH161" s="97"/>
      <c r="CI161" s="97"/>
      <c r="CJ161" s="97"/>
      <c r="CK161" s="97"/>
      <c r="CL161" s="97"/>
      <c r="CM161" s="97"/>
      <c r="CN161" s="97"/>
      <c r="CO161" s="97"/>
      <c r="CP161" s="97"/>
      <c r="CQ161" s="97"/>
      <c r="CR161" s="97"/>
      <c r="CS161" s="97"/>
      <c r="CT161" s="97"/>
      <c r="CU161" s="97"/>
      <c r="CV161" s="97"/>
      <c r="CW161" s="97"/>
      <c r="CX161" s="97"/>
      <c r="CY161" s="97"/>
      <c r="CZ161" s="97"/>
      <c r="DA161" s="97"/>
      <c r="DB161" s="97"/>
      <c r="DC161" s="97"/>
      <c r="DD161" s="97"/>
      <c r="DE161" s="97"/>
      <c r="DF161" s="97"/>
      <c r="DG161" s="97"/>
      <c r="DH161" s="97"/>
      <c r="DI161" s="97"/>
      <c r="DJ161" s="97"/>
      <c r="DK161" s="97"/>
      <c r="DL161" s="97"/>
      <c r="DM161" s="97"/>
      <c r="DN161" s="97"/>
      <c r="DO161" s="97"/>
      <c r="DP161" s="97"/>
      <c r="DQ161" s="97"/>
      <c r="DR161" s="97"/>
      <c r="DS161" s="97"/>
      <c r="DT161" s="97"/>
      <c r="DU161" s="97"/>
      <c r="DV161" s="97"/>
      <c r="DW161" s="97"/>
      <c r="DX161" s="97"/>
      <c r="DY161" s="97"/>
      <c r="DZ161" s="97"/>
      <c r="EA161" s="97"/>
      <c r="EB161" s="97"/>
      <c r="EC161" s="97"/>
      <c r="ED161" s="97"/>
      <c r="EE161" s="97"/>
      <c r="EF161" s="97"/>
      <c r="EG161" s="97"/>
      <c r="EH161" s="97"/>
      <c r="EI161" s="97"/>
      <c r="EJ161" s="97"/>
      <c r="EK161" s="97"/>
      <c r="EL161" s="97"/>
      <c r="EM161" s="97"/>
      <c r="EN161" s="97"/>
      <c r="EO161" s="97"/>
      <c r="EP161" s="97"/>
      <c r="EQ161" s="97"/>
      <c r="ER161" s="97"/>
      <c r="ES161" s="97"/>
      <c r="ET161" s="97"/>
    </row>
    <row r="162" spans="1:150" ht="15.75" customHeight="1">
      <c r="A162" s="97"/>
      <c r="B162" s="97"/>
      <c r="C162" s="97"/>
      <c r="D162" s="97"/>
      <c r="E162" s="97"/>
      <c r="F162" s="97"/>
      <c r="G162" s="97"/>
      <c r="H162" s="129"/>
      <c r="I162" s="97"/>
      <c r="J162" s="97"/>
      <c r="K162" s="97"/>
      <c r="L162" s="97"/>
      <c r="M162" s="97"/>
      <c r="N162" s="97"/>
      <c r="O162" s="97"/>
      <c r="P162" s="97"/>
      <c r="Q162" s="97"/>
      <c r="R162" s="97"/>
      <c r="S162" s="97"/>
      <c r="T162" s="97"/>
      <c r="U162" s="97"/>
      <c r="V162" s="97"/>
      <c r="W162" s="97"/>
      <c r="X162" s="129"/>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97"/>
      <c r="CC162" s="97"/>
      <c r="CD162" s="97"/>
      <c r="CE162" s="97"/>
      <c r="CF162" s="97"/>
      <c r="CG162" s="97"/>
      <c r="CH162" s="97"/>
      <c r="CI162" s="97"/>
      <c r="CJ162" s="97"/>
      <c r="CK162" s="97"/>
      <c r="CL162" s="97"/>
      <c r="CM162" s="97"/>
      <c r="CN162" s="97"/>
      <c r="CO162" s="97"/>
      <c r="CP162" s="97"/>
      <c r="CQ162" s="97"/>
      <c r="CR162" s="97"/>
      <c r="CS162" s="97"/>
      <c r="CT162" s="97"/>
      <c r="CU162" s="97"/>
      <c r="CV162" s="97"/>
      <c r="CW162" s="97"/>
      <c r="CX162" s="97"/>
      <c r="CY162" s="97"/>
      <c r="CZ162" s="97"/>
      <c r="DA162" s="97"/>
      <c r="DB162" s="97"/>
      <c r="DC162" s="97"/>
      <c r="DD162" s="97"/>
      <c r="DE162" s="97"/>
      <c r="DF162" s="97"/>
      <c r="DG162" s="97"/>
      <c r="DH162" s="97"/>
      <c r="DI162" s="97"/>
      <c r="DJ162" s="97"/>
      <c r="DK162" s="97"/>
      <c r="DL162" s="97"/>
      <c r="DM162" s="97"/>
      <c r="DN162" s="97"/>
      <c r="DO162" s="97"/>
      <c r="DP162" s="97"/>
      <c r="DQ162" s="97"/>
      <c r="DR162" s="97"/>
      <c r="DS162" s="97"/>
      <c r="DT162" s="97"/>
      <c r="DU162" s="97"/>
      <c r="DV162" s="97"/>
      <c r="DW162" s="97"/>
      <c r="DX162" s="97"/>
      <c r="DY162" s="97"/>
      <c r="DZ162" s="97"/>
      <c r="EA162" s="97"/>
      <c r="EB162" s="97"/>
      <c r="EC162" s="97"/>
      <c r="ED162" s="97"/>
      <c r="EE162" s="97"/>
      <c r="EF162" s="97"/>
      <c r="EG162" s="97"/>
      <c r="EH162" s="97"/>
      <c r="EI162" s="97"/>
      <c r="EJ162" s="97"/>
      <c r="EK162" s="97"/>
      <c r="EL162" s="97"/>
      <c r="EM162" s="97"/>
      <c r="EN162" s="97"/>
      <c r="EO162" s="97"/>
      <c r="EP162" s="97"/>
      <c r="EQ162" s="97"/>
      <c r="ER162" s="97"/>
      <c r="ES162" s="97"/>
      <c r="ET162" s="97"/>
    </row>
    <row r="163" spans="1:150" ht="15.75" customHeight="1">
      <c r="A163" s="97"/>
      <c r="B163" s="97"/>
      <c r="C163" s="97"/>
      <c r="D163" s="97"/>
      <c r="E163" s="97"/>
      <c r="F163" s="97"/>
      <c r="G163" s="97"/>
      <c r="H163" s="129"/>
      <c r="I163" s="97"/>
      <c r="J163" s="97"/>
      <c r="K163" s="97"/>
      <c r="L163" s="97"/>
      <c r="M163" s="97"/>
      <c r="N163" s="97"/>
      <c r="O163" s="97"/>
      <c r="P163" s="97"/>
      <c r="Q163" s="97"/>
      <c r="R163" s="97"/>
      <c r="S163" s="97"/>
      <c r="T163" s="97"/>
      <c r="U163" s="97"/>
      <c r="V163" s="97"/>
      <c r="W163" s="97"/>
      <c r="X163" s="129"/>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97"/>
      <c r="CC163" s="97"/>
      <c r="CD163" s="97"/>
      <c r="CE163" s="97"/>
      <c r="CF163" s="97"/>
      <c r="CG163" s="97"/>
      <c r="CH163" s="97"/>
      <c r="CI163" s="97"/>
      <c r="CJ163" s="97"/>
      <c r="CK163" s="97"/>
      <c r="CL163" s="97"/>
      <c r="CM163" s="97"/>
      <c r="CN163" s="97"/>
      <c r="CO163" s="97"/>
      <c r="CP163" s="97"/>
      <c r="CQ163" s="97"/>
      <c r="CR163" s="97"/>
      <c r="CS163" s="97"/>
      <c r="CT163" s="97"/>
      <c r="CU163" s="97"/>
      <c r="CV163" s="97"/>
      <c r="CW163" s="97"/>
      <c r="CX163" s="97"/>
      <c r="CY163" s="97"/>
      <c r="CZ163" s="97"/>
      <c r="DA163" s="97"/>
      <c r="DB163" s="97"/>
      <c r="DC163" s="97"/>
      <c r="DD163" s="97"/>
      <c r="DE163" s="97"/>
      <c r="DF163" s="97"/>
      <c r="DG163" s="97"/>
      <c r="DH163" s="97"/>
      <c r="DI163" s="97"/>
      <c r="DJ163" s="97"/>
      <c r="DK163" s="97"/>
      <c r="DL163" s="97"/>
      <c r="DM163" s="97"/>
      <c r="DN163" s="97"/>
      <c r="DO163" s="97"/>
      <c r="DP163" s="97"/>
      <c r="DQ163" s="97"/>
      <c r="DR163" s="97"/>
      <c r="DS163" s="97"/>
      <c r="DT163" s="97"/>
      <c r="DU163" s="97"/>
      <c r="DV163" s="97"/>
      <c r="DW163" s="97"/>
      <c r="DX163" s="97"/>
      <c r="DY163" s="97"/>
      <c r="DZ163" s="97"/>
      <c r="EA163" s="97"/>
      <c r="EB163" s="97"/>
      <c r="EC163" s="97"/>
      <c r="ED163" s="97"/>
      <c r="EE163" s="97"/>
      <c r="EF163" s="97"/>
      <c r="EG163" s="97"/>
      <c r="EH163" s="97"/>
      <c r="EI163" s="97"/>
      <c r="EJ163" s="97"/>
      <c r="EK163" s="97"/>
      <c r="EL163" s="97"/>
      <c r="EM163" s="97"/>
      <c r="EN163" s="97"/>
      <c r="EO163" s="97"/>
      <c r="EP163" s="97"/>
      <c r="EQ163" s="97"/>
      <c r="ER163" s="97"/>
      <c r="ES163" s="97"/>
      <c r="ET163" s="97"/>
    </row>
    <row r="164" spans="1:150" ht="15.75" customHeight="1">
      <c r="A164" s="97"/>
      <c r="B164" s="97"/>
      <c r="C164" s="97"/>
      <c r="D164" s="97"/>
      <c r="E164" s="97"/>
      <c r="F164" s="97"/>
      <c r="G164" s="97"/>
      <c r="H164" s="129"/>
      <c r="I164" s="97"/>
      <c r="J164" s="97"/>
      <c r="K164" s="97"/>
      <c r="L164" s="97"/>
      <c r="M164" s="97"/>
      <c r="N164" s="97"/>
      <c r="O164" s="97"/>
      <c r="P164" s="97"/>
      <c r="Q164" s="97"/>
      <c r="R164" s="97"/>
      <c r="S164" s="97"/>
      <c r="T164" s="97"/>
      <c r="U164" s="97"/>
      <c r="V164" s="97"/>
      <c r="W164" s="97"/>
      <c r="X164" s="129"/>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97"/>
      <c r="CC164" s="97"/>
      <c r="CD164" s="97"/>
      <c r="CE164" s="97"/>
      <c r="CF164" s="97"/>
      <c r="CG164" s="97"/>
      <c r="CH164" s="97"/>
      <c r="CI164" s="97"/>
      <c r="CJ164" s="97"/>
      <c r="CK164" s="97"/>
      <c r="CL164" s="97"/>
      <c r="CM164" s="97"/>
      <c r="CN164" s="97"/>
      <c r="CO164" s="97"/>
      <c r="CP164" s="97"/>
      <c r="CQ164" s="97"/>
      <c r="CR164" s="97"/>
      <c r="CS164" s="97"/>
      <c r="CT164" s="97"/>
      <c r="CU164" s="97"/>
      <c r="CV164" s="97"/>
      <c r="CW164" s="97"/>
      <c r="CX164" s="97"/>
      <c r="CY164" s="97"/>
      <c r="CZ164" s="97"/>
      <c r="DA164" s="97"/>
      <c r="DB164" s="97"/>
      <c r="DC164" s="97"/>
      <c r="DD164" s="97"/>
      <c r="DE164" s="97"/>
      <c r="DF164" s="97"/>
      <c r="DG164" s="97"/>
      <c r="DH164" s="97"/>
      <c r="DI164" s="97"/>
      <c r="DJ164" s="97"/>
      <c r="DK164" s="97"/>
      <c r="DL164" s="97"/>
      <c r="DM164" s="97"/>
      <c r="DN164" s="97"/>
      <c r="DO164" s="97"/>
      <c r="DP164" s="97"/>
      <c r="DQ164" s="97"/>
      <c r="DR164" s="97"/>
      <c r="DS164" s="97"/>
      <c r="DT164" s="97"/>
      <c r="DU164" s="97"/>
      <c r="DV164" s="97"/>
      <c r="DW164" s="97"/>
      <c r="DX164" s="97"/>
      <c r="DY164" s="97"/>
      <c r="DZ164" s="97"/>
      <c r="EA164" s="97"/>
      <c r="EB164" s="97"/>
      <c r="EC164" s="97"/>
      <c r="ED164" s="97"/>
      <c r="EE164" s="97"/>
      <c r="EF164" s="97"/>
      <c r="EG164" s="97"/>
      <c r="EH164" s="97"/>
      <c r="EI164" s="97"/>
      <c r="EJ164" s="97"/>
      <c r="EK164" s="97"/>
      <c r="EL164" s="97"/>
      <c r="EM164" s="97"/>
      <c r="EN164" s="97"/>
      <c r="EO164" s="97"/>
      <c r="EP164" s="97"/>
      <c r="EQ164" s="97"/>
      <c r="ER164" s="97"/>
      <c r="ES164" s="97"/>
      <c r="ET164" s="97"/>
    </row>
    <row r="165" spans="1:150" ht="15.75" customHeight="1">
      <c r="A165" s="97"/>
      <c r="B165" s="97"/>
      <c r="C165" s="97"/>
      <c r="D165" s="97"/>
      <c r="E165" s="97"/>
      <c r="F165" s="97"/>
      <c r="G165" s="97"/>
      <c r="H165" s="129"/>
      <c r="I165" s="97"/>
      <c r="J165" s="97"/>
      <c r="K165" s="97"/>
      <c r="L165" s="97"/>
      <c r="M165" s="97"/>
      <c r="N165" s="97"/>
      <c r="O165" s="97"/>
      <c r="P165" s="97"/>
      <c r="Q165" s="97"/>
      <c r="R165" s="97"/>
      <c r="S165" s="97"/>
      <c r="T165" s="97"/>
      <c r="U165" s="97"/>
      <c r="V165" s="97"/>
      <c r="W165" s="97"/>
      <c r="X165" s="129"/>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97"/>
      <c r="CC165" s="97"/>
      <c r="CD165" s="97"/>
      <c r="CE165" s="97"/>
      <c r="CF165" s="97"/>
      <c r="CG165" s="97"/>
      <c r="CH165" s="97"/>
      <c r="CI165" s="97"/>
      <c r="CJ165" s="97"/>
      <c r="CK165" s="97"/>
      <c r="CL165" s="97"/>
      <c r="CM165" s="97"/>
      <c r="CN165" s="97"/>
      <c r="CO165" s="97"/>
      <c r="CP165" s="97"/>
      <c r="CQ165" s="97"/>
      <c r="CR165" s="97"/>
      <c r="CS165" s="97"/>
      <c r="CT165" s="97"/>
      <c r="CU165" s="97"/>
      <c r="CV165" s="97"/>
      <c r="CW165" s="97"/>
      <c r="CX165" s="97"/>
      <c r="CY165" s="97"/>
      <c r="CZ165" s="97"/>
      <c r="DA165" s="97"/>
      <c r="DB165" s="97"/>
      <c r="DC165" s="97"/>
      <c r="DD165" s="97"/>
      <c r="DE165" s="97"/>
      <c r="DF165" s="9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97"/>
      <c r="EC165" s="97"/>
      <c r="ED165" s="97"/>
      <c r="EE165" s="97"/>
      <c r="EF165" s="97"/>
      <c r="EG165" s="97"/>
      <c r="EH165" s="97"/>
      <c r="EI165" s="97"/>
      <c r="EJ165" s="97"/>
      <c r="EK165" s="97"/>
      <c r="EL165" s="97"/>
      <c r="EM165" s="97"/>
      <c r="EN165" s="97"/>
      <c r="EO165" s="97"/>
      <c r="EP165" s="97"/>
      <c r="EQ165" s="97"/>
      <c r="ER165" s="97"/>
      <c r="ES165" s="97"/>
      <c r="ET165" s="97"/>
    </row>
    <row r="166" spans="1:150" ht="15.75" customHeight="1">
      <c r="A166" s="97"/>
      <c r="B166" s="97"/>
      <c r="C166" s="97"/>
      <c r="D166" s="97"/>
      <c r="E166" s="97"/>
      <c r="F166" s="97"/>
      <c r="G166" s="97"/>
      <c r="H166" s="129"/>
      <c r="I166" s="97"/>
      <c r="J166" s="97"/>
      <c r="K166" s="97"/>
      <c r="L166" s="97"/>
      <c r="M166" s="97"/>
      <c r="N166" s="97"/>
      <c r="O166" s="97"/>
      <c r="P166" s="97"/>
      <c r="Q166" s="97"/>
      <c r="R166" s="97"/>
      <c r="S166" s="97"/>
      <c r="T166" s="97"/>
      <c r="U166" s="97"/>
      <c r="V166" s="97"/>
      <c r="W166" s="97"/>
      <c r="X166" s="129"/>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97"/>
      <c r="CC166" s="97"/>
      <c r="CD166" s="97"/>
      <c r="CE166" s="97"/>
      <c r="CF166" s="97"/>
      <c r="CG166" s="97"/>
      <c r="CH166" s="97"/>
      <c r="CI166" s="97"/>
      <c r="CJ166" s="97"/>
      <c r="CK166" s="97"/>
      <c r="CL166" s="97"/>
      <c r="CM166" s="97"/>
      <c r="CN166" s="97"/>
      <c r="CO166" s="97"/>
      <c r="CP166" s="97"/>
      <c r="CQ166" s="97"/>
      <c r="CR166" s="97"/>
      <c r="CS166" s="97"/>
      <c r="CT166" s="97"/>
      <c r="CU166" s="97"/>
      <c r="CV166" s="97"/>
      <c r="CW166" s="97"/>
      <c r="CX166" s="97"/>
      <c r="CY166" s="97"/>
      <c r="CZ166" s="97"/>
      <c r="DA166" s="97"/>
      <c r="DB166" s="97"/>
      <c r="DC166" s="97"/>
      <c r="DD166" s="97"/>
      <c r="DE166" s="97"/>
      <c r="DF166" s="97"/>
      <c r="DG166" s="97"/>
      <c r="DH166" s="97"/>
      <c r="DI166" s="97"/>
      <c r="DJ166" s="97"/>
      <c r="DK166" s="97"/>
      <c r="DL166" s="97"/>
      <c r="DM166" s="97"/>
      <c r="DN166" s="97"/>
      <c r="DO166" s="97"/>
      <c r="DP166" s="97"/>
      <c r="DQ166" s="97"/>
      <c r="DR166" s="97"/>
      <c r="DS166" s="97"/>
      <c r="DT166" s="97"/>
      <c r="DU166" s="97"/>
      <c r="DV166" s="97"/>
      <c r="DW166" s="97"/>
      <c r="DX166" s="97"/>
      <c r="DY166" s="97"/>
      <c r="DZ166" s="97"/>
      <c r="EA166" s="97"/>
      <c r="EB166" s="97"/>
      <c r="EC166" s="97"/>
      <c r="ED166" s="97"/>
      <c r="EE166" s="97"/>
      <c r="EF166" s="97"/>
      <c r="EG166" s="97"/>
      <c r="EH166" s="97"/>
      <c r="EI166" s="97"/>
      <c r="EJ166" s="97"/>
      <c r="EK166" s="97"/>
      <c r="EL166" s="97"/>
      <c r="EM166" s="97"/>
      <c r="EN166" s="97"/>
      <c r="EO166" s="97"/>
      <c r="EP166" s="97"/>
      <c r="EQ166" s="97"/>
      <c r="ER166" s="97"/>
      <c r="ES166" s="97"/>
      <c r="ET166" s="97"/>
    </row>
    <row r="167" spans="1:150" ht="15.75" customHeight="1">
      <c r="A167" s="97"/>
      <c r="B167" s="97"/>
      <c r="C167" s="97"/>
      <c r="D167" s="97"/>
      <c r="E167" s="97"/>
      <c r="F167" s="97"/>
      <c r="G167" s="97"/>
      <c r="H167" s="129"/>
      <c r="I167" s="97"/>
      <c r="J167" s="97"/>
      <c r="K167" s="97"/>
      <c r="L167" s="97"/>
      <c r="M167" s="97"/>
      <c r="N167" s="97"/>
      <c r="O167" s="97"/>
      <c r="P167" s="97"/>
      <c r="Q167" s="97"/>
      <c r="R167" s="97"/>
      <c r="S167" s="97"/>
      <c r="T167" s="97"/>
      <c r="U167" s="97"/>
      <c r="V167" s="97"/>
      <c r="W167" s="97"/>
      <c r="X167" s="129"/>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97"/>
      <c r="CC167" s="97"/>
      <c r="CD167" s="97"/>
      <c r="CE167" s="97"/>
      <c r="CF167" s="97"/>
      <c r="CG167" s="97"/>
      <c r="CH167" s="97"/>
      <c r="CI167" s="97"/>
      <c r="CJ167" s="97"/>
      <c r="CK167" s="97"/>
      <c r="CL167" s="97"/>
      <c r="CM167" s="97"/>
      <c r="CN167" s="97"/>
      <c r="CO167" s="97"/>
      <c r="CP167" s="97"/>
      <c r="CQ167" s="97"/>
      <c r="CR167" s="97"/>
      <c r="CS167" s="97"/>
      <c r="CT167" s="97"/>
      <c r="CU167" s="97"/>
      <c r="CV167" s="97"/>
      <c r="CW167" s="97"/>
      <c r="CX167" s="97"/>
      <c r="CY167" s="97"/>
      <c r="CZ167" s="97"/>
      <c r="DA167" s="97"/>
      <c r="DB167" s="97"/>
      <c r="DC167" s="97"/>
      <c r="DD167" s="97"/>
      <c r="DE167" s="97"/>
      <c r="DF167" s="97"/>
      <c r="DG167" s="97"/>
      <c r="DH167" s="97"/>
      <c r="DI167" s="97"/>
      <c r="DJ167" s="97"/>
      <c r="DK167" s="97"/>
      <c r="DL167" s="97"/>
      <c r="DM167" s="97"/>
      <c r="DN167" s="97"/>
      <c r="DO167" s="97"/>
      <c r="DP167" s="97"/>
      <c r="DQ167" s="97"/>
      <c r="DR167" s="97"/>
      <c r="DS167" s="97"/>
      <c r="DT167" s="97"/>
      <c r="DU167" s="97"/>
      <c r="DV167" s="97"/>
      <c r="DW167" s="97"/>
      <c r="DX167" s="97"/>
      <c r="DY167" s="97"/>
      <c r="DZ167" s="97"/>
      <c r="EA167" s="97"/>
      <c r="EB167" s="97"/>
      <c r="EC167" s="97"/>
      <c r="ED167" s="97"/>
      <c r="EE167" s="97"/>
      <c r="EF167" s="97"/>
      <c r="EG167" s="97"/>
      <c r="EH167" s="97"/>
      <c r="EI167" s="97"/>
      <c r="EJ167" s="97"/>
      <c r="EK167" s="97"/>
      <c r="EL167" s="97"/>
      <c r="EM167" s="97"/>
      <c r="EN167" s="97"/>
      <c r="EO167" s="97"/>
      <c r="EP167" s="97"/>
      <c r="EQ167" s="97"/>
      <c r="ER167" s="97"/>
      <c r="ES167" s="97"/>
      <c r="ET167" s="97"/>
    </row>
    <row r="168" spans="1:150" ht="15.75" customHeight="1">
      <c r="A168" s="97"/>
      <c r="B168" s="97"/>
      <c r="C168" s="97"/>
      <c r="D168" s="97"/>
      <c r="E168" s="97"/>
      <c r="F168" s="97"/>
      <c r="G168" s="97"/>
      <c r="H168" s="129"/>
      <c r="I168" s="97"/>
      <c r="J168" s="97"/>
      <c r="K168" s="97"/>
      <c r="L168" s="97"/>
      <c r="M168" s="97"/>
      <c r="N168" s="97"/>
      <c r="O168" s="97"/>
      <c r="P168" s="97"/>
      <c r="Q168" s="97"/>
      <c r="R168" s="97"/>
      <c r="S168" s="97"/>
      <c r="T168" s="97"/>
      <c r="U168" s="97"/>
      <c r="V168" s="97"/>
      <c r="W168" s="97"/>
      <c r="X168" s="129"/>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97"/>
      <c r="CC168" s="97"/>
      <c r="CD168" s="97"/>
      <c r="CE168" s="97"/>
      <c r="CF168" s="97"/>
      <c r="CG168" s="97"/>
      <c r="CH168" s="97"/>
      <c r="CI168" s="97"/>
      <c r="CJ168" s="97"/>
      <c r="CK168" s="97"/>
      <c r="CL168" s="97"/>
      <c r="CM168" s="97"/>
      <c r="CN168" s="97"/>
      <c r="CO168" s="97"/>
      <c r="CP168" s="97"/>
      <c r="CQ168" s="97"/>
      <c r="CR168" s="97"/>
      <c r="CS168" s="97"/>
      <c r="CT168" s="97"/>
      <c r="CU168" s="97"/>
      <c r="CV168" s="97"/>
      <c r="CW168" s="97"/>
      <c r="CX168" s="97"/>
      <c r="CY168" s="97"/>
      <c r="CZ168" s="97"/>
      <c r="DA168" s="97"/>
      <c r="DB168" s="97"/>
      <c r="DC168" s="97"/>
      <c r="DD168" s="97"/>
      <c r="DE168" s="97"/>
      <c r="DF168" s="97"/>
      <c r="DG168" s="97"/>
      <c r="DH168" s="97"/>
      <c r="DI168" s="97"/>
      <c r="DJ168" s="97"/>
      <c r="DK168" s="97"/>
      <c r="DL168" s="97"/>
      <c r="DM168" s="97"/>
      <c r="DN168" s="97"/>
      <c r="DO168" s="97"/>
      <c r="DP168" s="97"/>
      <c r="DQ168" s="97"/>
      <c r="DR168" s="97"/>
      <c r="DS168" s="97"/>
      <c r="DT168" s="97"/>
      <c r="DU168" s="97"/>
      <c r="DV168" s="97"/>
      <c r="DW168" s="97"/>
      <c r="DX168" s="97"/>
      <c r="DY168" s="97"/>
      <c r="DZ168" s="97"/>
      <c r="EA168" s="97"/>
      <c r="EB168" s="97"/>
      <c r="EC168" s="97"/>
      <c r="ED168" s="97"/>
      <c r="EE168" s="97"/>
      <c r="EF168" s="97"/>
      <c r="EG168" s="97"/>
      <c r="EH168" s="97"/>
      <c r="EI168" s="97"/>
      <c r="EJ168" s="97"/>
      <c r="EK168" s="97"/>
      <c r="EL168" s="97"/>
      <c r="EM168" s="97"/>
      <c r="EN168" s="97"/>
      <c r="EO168" s="97"/>
      <c r="EP168" s="97"/>
      <c r="EQ168" s="97"/>
      <c r="ER168" s="97"/>
      <c r="ES168" s="97"/>
      <c r="ET168" s="97"/>
    </row>
    <row r="169" spans="1:150" ht="15.75" customHeight="1">
      <c r="A169" s="97"/>
      <c r="B169" s="97"/>
      <c r="C169" s="97"/>
      <c r="D169" s="97"/>
      <c r="E169" s="97"/>
      <c r="F169" s="97"/>
      <c r="G169" s="97"/>
      <c r="H169" s="129"/>
      <c r="I169" s="97"/>
      <c r="J169" s="97"/>
      <c r="K169" s="97"/>
      <c r="L169" s="97"/>
      <c r="M169" s="97"/>
      <c r="N169" s="97"/>
      <c r="O169" s="97"/>
      <c r="P169" s="97"/>
      <c r="Q169" s="97"/>
      <c r="R169" s="97"/>
      <c r="S169" s="97"/>
      <c r="T169" s="97"/>
      <c r="U169" s="97"/>
      <c r="V169" s="97"/>
      <c r="W169" s="97"/>
      <c r="X169" s="129"/>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97"/>
      <c r="CC169" s="97"/>
      <c r="CD169" s="97"/>
      <c r="CE169" s="97"/>
      <c r="CF169" s="97"/>
      <c r="CG169" s="97"/>
      <c r="CH169" s="97"/>
      <c r="CI169" s="97"/>
      <c r="CJ169" s="97"/>
      <c r="CK169" s="97"/>
      <c r="CL169" s="97"/>
      <c r="CM169" s="97"/>
      <c r="CN169" s="97"/>
      <c r="CO169" s="97"/>
      <c r="CP169" s="97"/>
      <c r="CQ169" s="97"/>
      <c r="CR169" s="97"/>
      <c r="CS169" s="97"/>
      <c r="CT169" s="97"/>
      <c r="CU169" s="97"/>
      <c r="CV169" s="97"/>
      <c r="CW169" s="97"/>
      <c r="CX169" s="97"/>
      <c r="CY169" s="97"/>
      <c r="CZ169" s="97"/>
      <c r="DA169" s="97"/>
      <c r="DB169" s="97"/>
      <c r="DC169" s="97"/>
      <c r="DD169" s="97"/>
      <c r="DE169" s="97"/>
      <c r="DF169" s="9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97"/>
      <c r="EC169" s="97"/>
      <c r="ED169" s="97"/>
      <c r="EE169" s="97"/>
      <c r="EF169" s="97"/>
      <c r="EG169" s="97"/>
      <c r="EH169" s="97"/>
      <c r="EI169" s="97"/>
      <c r="EJ169" s="97"/>
      <c r="EK169" s="97"/>
      <c r="EL169" s="97"/>
      <c r="EM169" s="97"/>
      <c r="EN169" s="97"/>
      <c r="EO169" s="97"/>
      <c r="EP169" s="97"/>
      <c r="EQ169" s="97"/>
      <c r="ER169" s="97"/>
      <c r="ES169" s="97"/>
      <c r="ET169" s="97"/>
    </row>
    <row r="170" spans="1:150" ht="15.75" customHeight="1">
      <c r="A170" s="97"/>
      <c r="B170" s="97"/>
      <c r="C170" s="97"/>
      <c r="D170" s="97"/>
      <c r="E170" s="97"/>
      <c r="F170" s="97"/>
      <c r="G170" s="97"/>
      <c r="H170" s="129"/>
      <c r="I170" s="97"/>
      <c r="J170" s="97"/>
      <c r="K170" s="97"/>
      <c r="L170" s="97"/>
      <c r="M170" s="97"/>
      <c r="N170" s="97"/>
      <c r="O170" s="97"/>
      <c r="P170" s="97"/>
      <c r="Q170" s="97"/>
      <c r="R170" s="97"/>
      <c r="S170" s="97"/>
      <c r="T170" s="97"/>
      <c r="U170" s="97"/>
      <c r="V170" s="97"/>
      <c r="W170" s="97"/>
      <c r="X170" s="129"/>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97"/>
      <c r="CC170" s="97"/>
      <c r="CD170" s="97"/>
      <c r="CE170" s="97"/>
      <c r="CF170" s="97"/>
      <c r="CG170" s="97"/>
      <c r="CH170" s="97"/>
      <c r="CI170" s="97"/>
      <c r="CJ170" s="97"/>
      <c r="CK170" s="97"/>
      <c r="CL170" s="97"/>
      <c r="CM170" s="97"/>
      <c r="CN170" s="97"/>
      <c r="CO170" s="97"/>
      <c r="CP170" s="97"/>
      <c r="CQ170" s="97"/>
      <c r="CR170" s="97"/>
      <c r="CS170" s="97"/>
      <c r="CT170" s="97"/>
      <c r="CU170" s="97"/>
      <c r="CV170" s="97"/>
      <c r="CW170" s="97"/>
      <c r="CX170" s="97"/>
      <c r="CY170" s="97"/>
      <c r="CZ170" s="97"/>
      <c r="DA170" s="97"/>
      <c r="DB170" s="97"/>
      <c r="DC170" s="97"/>
      <c r="DD170" s="97"/>
      <c r="DE170" s="97"/>
      <c r="DF170" s="97"/>
      <c r="DG170" s="97"/>
      <c r="DH170" s="97"/>
      <c r="DI170" s="97"/>
      <c r="DJ170" s="97"/>
      <c r="DK170" s="97"/>
      <c r="DL170" s="97"/>
      <c r="DM170" s="97"/>
      <c r="DN170" s="97"/>
      <c r="DO170" s="97"/>
      <c r="DP170" s="97"/>
      <c r="DQ170" s="97"/>
      <c r="DR170" s="97"/>
      <c r="DS170" s="97"/>
      <c r="DT170" s="97"/>
      <c r="DU170" s="97"/>
      <c r="DV170" s="97"/>
      <c r="DW170" s="97"/>
      <c r="DX170" s="97"/>
      <c r="DY170" s="97"/>
      <c r="DZ170" s="97"/>
      <c r="EA170" s="97"/>
      <c r="EB170" s="97"/>
      <c r="EC170" s="97"/>
      <c r="ED170" s="97"/>
      <c r="EE170" s="97"/>
      <c r="EF170" s="97"/>
      <c r="EG170" s="97"/>
      <c r="EH170" s="97"/>
      <c r="EI170" s="97"/>
      <c r="EJ170" s="97"/>
      <c r="EK170" s="97"/>
      <c r="EL170" s="97"/>
      <c r="EM170" s="97"/>
      <c r="EN170" s="97"/>
      <c r="EO170" s="97"/>
      <c r="EP170" s="97"/>
      <c r="EQ170" s="97"/>
      <c r="ER170" s="97"/>
      <c r="ES170" s="97"/>
      <c r="ET170" s="97"/>
    </row>
    <row r="171" spans="1:150" ht="15.75" customHeight="1">
      <c r="A171" s="97"/>
      <c r="B171" s="97"/>
      <c r="C171" s="97"/>
      <c r="D171" s="97"/>
      <c r="E171" s="97"/>
      <c r="F171" s="97"/>
      <c r="G171" s="97"/>
      <c r="H171" s="129"/>
      <c r="I171" s="97"/>
      <c r="J171" s="97"/>
      <c r="K171" s="97"/>
      <c r="L171" s="97"/>
      <c r="M171" s="97"/>
      <c r="N171" s="97"/>
      <c r="O171" s="97"/>
      <c r="P171" s="97"/>
      <c r="Q171" s="97"/>
      <c r="R171" s="97"/>
      <c r="S171" s="97"/>
      <c r="T171" s="97"/>
      <c r="U171" s="97"/>
      <c r="V171" s="97"/>
      <c r="W171" s="97"/>
      <c r="X171" s="129"/>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97"/>
      <c r="CC171" s="97"/>
      <c r="CD171" s="97"/>
      <c r="CE171" s="97"/>
      <c r="CF171" s="97"/>
      <c r="CG171" s="97"/>
      <c r="CH171" s="97"/>
      <c r="CI171" s="97"/>
      <c r="CJ171" s="97"/>
      <c r="CK171" s="97"/>
      <c r="CL171" s="97"/>
      <c r="CM171" s="97"/>
      <c r="CN171" s="97"/>
      <c r="CO171" s="97"/>
      <c r="CP171" s="97"/>
      <c r="CQ171" s="97"/>
      <c r="CR171" s="97"/>
      <c r="CS171" s="97"/>
      <c r="CT171" s="97"/>
      <c r="CU171" s="97"/>
      <c r="CV171" s="97"/>
      <c r="CW171" s="97"/>
      <c r="CX171" s="97"/>
      <c r="CY171" s="97"/>
      <c r="CZ171" s="97"/>
      <c r="DA171" s="97"/>
      <c r="DB171" s="97"/>
      <c r="DC171" s="97"/>
      <c r="DD171" s="97"/>
      <c r="DE171" s="97"/>
      <c r="DF171" s="9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97"/>
      <c r="EC171" s="97"/>
      <c r="ED171" s="97"/>
      <c r="EE171" s="97"/>
      <c r="EF171" s="97"/>
      <c r="EG171" s="97"/>
      <c r="EH171" s="97"/>
      <c r="EI171" s="97"/>
      <c r="EJ171" s="97"/>
      <c r="EK171" s="97"/>
      <c r="EL171" s="97"/>
      <c r="EM171" s="97"/>
      <c r="EN171" s="97"/>
      <c r="EO171" s="97"/>
      <c r="EP171" s="97"/>
      <c r="EQ171" s="97"/>
      <c r="ER171" s="97"/>
      <c r="ES171" s="97"/>
      <c r="ET171" s="97"/>
    </row>
    <row r="172" spans="1:150" ht="15.75" customHeight="1">
      <c r="A172" s="97"/>
      <c r="B172" s="97"/>
      <c r="C172" s="97"/>
      <c r="D172" s="97"/>
      <c r="E172" s="97"/>
      <c r="F172" s="97"/>
      <c r="G172" s="97"/>
      <c r="H172" s="129"/>
      <c r="I172" s="97"/>
      <c r="J172" s="97"/>
      <c r="K172" s="97"/>
      <c r="L172" s="97"/>
      <c r="M172" s="97"/>
      <c r="N172" s="97"/>
      <c r="O172" s="97"/>
      <c r="P172" s="97"/>
      <c r="Q172" s="97"/>
      <c r="R172" s="97"/>
      <c r="S172" s="97"/>
      <c r="T172" s="97"/>
      <c r="U172" s="97"/>
      <c r="V172" s="97"/>
      <c r="W172" s="97"/>
      <c r="X172" s="129"/>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97"/>
      <c r="CC172" s="97"/>
      <c r="CD172" s="97"/>
      <c r="CE172" s="97"/>
      <c r="CF172" s="97"/>
      <c r="CG172" s="97"/>
      <c r="CH172" s="97"/>
      <c r="CI172" s="97"/>
      <c r="CJ172" s="97"/>
      <c r="CK172" s="97"/>
      <c r="CL172" s="97"/>
      <c r="CM172" s="97"/>
      <c r="CN172" s="97"/>
      <c r="CO172" s="97"/>
      <c r="CP172" s="97"/>
      <c r="CQ172" s="97"/>
      <c r="CR172" s="97"/>
      <c r="CS172" s="97"/>
      <c r="CT172" s="97"/>
      <c r="CU172" s="97"/>
      <c r="CV172" s="97"/>
      <c r="CW172" s="97"/>
      <c r="CX172" s="97"/>
      <c r="CY172" s="97"/>
      <c r="CZ172" s="97"/>
      <c r="DA172" s="97"/>
      <c r="DB172" s="97"/>
      <c r="DC172" s="97"/>
      <c r="DD172" s="97"/>
      <c r="DE172" s="97"/>
      <c r="DF172" s="97"/>
      <c r="DG172" s="97"/>
      <c r="DH172" s="97"/>
      <c r="DI172" s="97"/>
      <c r="DJ172" s="97"/>
      <c r="DK172" s="97"/>
      <c r="DL172" s="97"/>
      <c r="DM172" s="97"/>
      <c r="DN172" s="97"/>
      <c r="DO172" s="97"/>
      <c r="DP172" s="97"/>
      <c r="DQ172" s="97"/>
      <c r="DR172" s="97"/>
      <c r="DS172" s="97"/>
      <c r="DT172" s="97"/>
      <c r="DU172" s="97"/>
      <c r="DV172" s="97"/>
      <c r="DW172" s="97"/>
      <c r="DX172" s="97"/>
      <c r="DY172" s="97"/>
      <c r="DZ172" s="97"/>
      <c r="EA172" s="97"/>
      <c r="EB172" s="97"/>
      <c r="EC172" s="97"/>
      <c r="ED172" s="97"/>
      <c r="EE172" s="97"/>
      <c r="EF172" s="97"/>
      <c r="EG172" s="97"/>
      <c r="EH172" s="97"/>
      <c r="EI172" s="97"/>
      <c r="EJ172" s="97"/>
      <c r="EK172" s="97"/>
      <c r="EL172" s="97"/>
      <c r="EM172" s="97"/>
      <c r="EN172" s="97"/>
      <c r="EO172" s="97"/>
      <c r="EP172" s="97"/>
      <c r="EQ172" s="97"/>
      <c r="ER172" s="97"/>
      <c r="ES172" s="97"/>
      <c r="ET172" s="97"/>
    </row>
    <row r="173" spans="1:150" ht="15.75" customHeight="1">
      <c r="A173" s="97"/>
      <c r="B173" s="97"/>
      <c r="C173" s="97"/>
      <c r="D173" s="97"/>
      <c r="E173" s="97"/>
      <c r="F173" s="97"/>
      <c r="G173" s="97"/>
      <c r="H173" s="129"/>
      <c r="I173" s="97"/>
      <c r="J173" s="97"/>
      <c r="K173" s="97"/>
      <c r="L173" s="97"/>
      <c r="M173" s="97"/>
      <c r="N173" s="97"/>
      <c r="O173" s="97"/>
      <c r="P173" s="97"/>
      <c r="Q173" s="97"/>
      <c r="R173" s="97"/>
      <c r="S173" s="97"/>
      <c r="T173" s="97"/>
      <c r="U173" s="97"/>
      <c r="V173" s="97"/>
      <c r="W173" s="97"/>
      <c r="X173" s="129"/>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97"/>
      <c r="CC173" s="97"/>
      <c r="CD173" s="97"/>
      <c r="CE173" s="97"/>
      <c r="CF173" s="97"/>
      <c r="CG173" s="97"/>
      <c r="CH173" s="97"/>
      <c r="CI173" s="97"/>
      <c r="CJ173" s="97"/>
      <c r="CK173" s="97"/>
      <c r="CL173" s="97"/>
      <c r="CM173" s="97"/>
      <c r="CN173" s="97"/>
      <c r="CO173" s="97"/>
      <c r="CP173" s="97"/>
      <c r="CQ173" s="97"/>
      <c r="CR173" s="97"/>
      <c r="CS173" s="97"/>
      <c r="CT173" s="97"/>
      <c r="CU173" s="97"/>
      <c r="CV173" s="97"/>
      <c r="CW173" s="97"/>
      <c r="CX173" s="97"/>
      <c r="CY173" s="97"/>
      <c r="CZ173" s="97"/>
      <c r="DA173" s="97"/>
      <c r="DB173" s="97"/>
      <c r="DC173" s="97"/>
      <c r="DD173" s="97"/>
      <c r="DE173" s="97"/>
      <c r="DF173" s="97"/>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97"/>
      <c r="EC173" s="97"/>
      <c r="ED173" s="97"/>
      <c r="EE173" s="97"/>
      <c r="EF173" s="97"/>
      <c r="EG173" s="97"/>
      <c r="EH173" s="97"/>
      <c r="EI173" s="97"/>
      <c r="EJ173" s="97"/>
      <c r="EK173" s="97"/>
      <c r="EL173" s="97"/>
      <c r="EM173" s="97"/>
      <c r="EN173" s="97"/>
      <c r="EO173" s="97"/>
      <c r="EP173" s="97"/>
      <c r="EQ173" s="97"/>
      <c r="ER173" s="97"/>
      <c r="ES173" s="97"/>
      <c r="ET173" s="97"/>
    </row>
    <row r="174" spans="1:150" ht="15.75" customHeight="1">
      <c r="A174" s="97"/>
      <c r="B174" s="97"/>
      <c r="C174" s="97"/>
      <c r="D174" s="97"/>
      <c r="E174" s="97"/>
      <c r="F174" s="97"/>
      <c r="G174" s="97"/>
      <c r="H174" s="129"/>
      <c r="I174" s="97"/>
      <c r="J174" s="97"/>
      <c r="K174" s="97"/>
      <c r="L174" s="97"/>
      <c r="M174" s="97"/>
      <c r="N174" s="97"/>
      <c r="O174" s="97"/>
      <c r="P174" s="97"/>
      <c r="Q174" s="97"/>
      <c r="R174" s="97"/>
      <c r="S174" s="97"/>
      <c r="T174" s="97"/>
      <c r="U174" s="97"/>
      <c r="V174" s="97"/>
      <c r="W174" s="97"/>
      <c r="X174" s="129"/>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97"/>
      <c r="CC174" s="97"/>
      <c r="CD174" s="97"/>
      <c r="CE174" s="97"/>
      <c r="CF174" s="97"/>
      <c r="CG174" s="97"/>
      <c r="CH174" s="97"/>
      <c r="CI174" s="97"/>
      <c r="CJ174" s="97"/>
      <c r="CK174" s="97"/>
      <c r="CL174" s="97"/>
      <c r="CM174" s="97"/>
      <c r="CN174" s="97"/>
      <c r="CO174" s="97"/>
      <c r="CP174" s="97"/>
      <c r="CQ174" s="97"/>
      <c r="CR174" s="97"/>
      <c r="CS174" s="97"/>
      <c r="CT174" s="97"/>
      <c r="CU174" s="97"/>
      <c r="CV174" s="97"/>
      <c r="CW174" s="97"/>
      <c r="CX174" s="97"/>
      <c r="CY174" s="97"/>
      <c r="CZ174" s="97"/>
      <c r="DA174" s="97"/>
      <c r="DB174" s="97"/>
      <c r="DC174" s="97"/>
      <c r="DD174" s="97"/>
      <c r="DE174" s="97"/>
      <c r="DF174" s="97"/>
      <c r="DG174" s="97"/>
      <c r="DH174" s="97"/>
      <c r="DI174" s="97"/>
      <c r="DJ174" s="97"/>
      <c r="DK174" s="97"/>
      <c r="DL174" s="97"/>
      <c r="DM174" s="97"/>
      <c r="DN174" s="97"/>
      <c r="DO174" s="97"/>
      <c r="DP174" s="97"/>
      <c r="DQ174" s="97"/>
      <c r="DR174" s="97"/>
      <c r="DS174" s="97"/>
      <c r="DT174" s="97"/>
      <c r="DU174" s="97"/>
      <c r="DV174" s="97"/>
      <c r="DW174" s="97"/>
      <c r="DX174" s="97"/>
      <c r="DY174" s="97"/>
      <c r="DZ174" s="97"/>
      <c r="EA174" s="97"/>
      <c r="EB174" s="97"/>
      <c r="EC174" s="97"/>
      <c r="ED174" s="97"/>
      <c r="EE174" s="97"/>
      <c r="EF174" s="97"/>
      <c r="EG174" s="97"/>
      <c r="EH174" s="97"/>
      <c r="EI174" s="97"/>
      <c r="EJ174" s="97"/>
      <c r="EK174" s="97"/>
      <c r="EL174" s="97"/>
      <c r="EM174" s="97"/>
      <c r="EN174" s="97"/>
      <c r="EO174" s="97"/>
      <c r="EP174" s="97"/>
      <c r="EQ174" s="97"/>
      <c r="ER174" s="97"/>
      <c r="ES174" s="97"/>
      <c r="ET174" s="97"/>
    </row>
    <row r="175" spans="1:150" ht="15.75" customHeight="1">
      <c r="A175" s="97"/>
      <c r="B175" s="97"/>
      <c r="C175" s="97"/>
      <c r="D175" s="97"/>
      <c r="E175" s="97"/>
      <c r="F175" s="97"/>
      <c r="G175" s="97"/>
      <c r="H175" s="129"/>
      <c r="I175" s="97"/>
      <c r="J175" s="97"/>
      <c r="K175" s="97"/>
      <c r="L175" s="97"/>
      <c r="M175" s="97"/>
      <c r="N175" s="97"/>
      <c r="O175" s="97"/>
      <c r="P175" s="97"/>
      <c r="Q175" s="97"/>
      <c r="R175" s="97"/>
      <c r="S175" s="97"/>
      <c r="T175" s="97"/>
      <c r="U175" s="97"/>
      <c r="V175" s="97"/>
      <c r="W175" s="97"/>
      <c r="X175" s="129"/>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97"/>
      <c r="CC175" s="97"/>
      <c r="CD175" s="97"/>
      <c r="CE175" s="97"/>
      <c r="CF175" s="97"/>
      <c r="CG175" s="97"/>
      <c r="CH175" s="97"/>
      <c r="CI175" s="97"/>
      <c r="CJ175" s="97"/>
      <c r="CK175" s="97"/>
      <c r="CL175" s="97"/>
      <c r="CM175" s="97"/>
      <c r="CN175" s="97"/>
      <c r="CO175" s="97"/>
      <c r="CP175" s="97"/>
      <c r="CQ175" s="97"/>
      <c r="CR175" s="97"/>
      <c r="CS175" s="97"/>
      <c r="CT175" s="97"/>
      <c r="CU175" s="97"/>
      <c r="CV175" s="97"/>
      <c r="CW175" s="97"/>
      <c r="CX175" s="97"/>
      <c r="CY175" s="97"/>
      <c r="CZ175" s="97"/>
      <c r="DA175" s="97"/>
      <c r="DB175" s="97"/>
      <c r="DC175" s="97"/>
      <c r="DD175" s="97"/>
      <c r="DE175" s="97"/>
      <c r="DF175" s="9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97"/>
      <c r="EC175" s="97"/>
      <c r="ED175" s="97"/>
      <c r="EE175" s="97"/>
      <c r="EF175" s="97"/>
      <c r="EG175" s="97"/>
      <c r="EH175" s="97"/>
      <c r="EI175" s="97"/>
      <c r="EJ175" s="97"/>
      <c r="EK175" s="97"/>
      <c r="EL175" s="97"/>
      <c r="EM175" s="97"/>
      <c r="EN175" s="97"/>
      <c r="EO175" s="97"/>
      <c r="EP175" s="97"/>
      <c r="EQ175" s="97"/>
      <c r="ER175" s="97"/>
      <c r="ES175" s="97"/>
      <c r="ET175" s="97"/>
    </row>
    <row r="176" spans="1:150" ht="15.75" customHeight="1">
      <c r="A176" s="97"/>
      <c r="B176" s="97"/>
      <c r="C176" s="97"/>
      <c r="D176" s="97"/>
      <c r="E176" s="97"/>
      <c r="F176" s="97"/>
      <c r="G176" s="97"/>
      <c r="H176" s="129"/>
      <c r="I176" s="97"/>
      <c r="J176" s="97"/>
      <c r="K176" s="97"/>
      <c r="L176" s="97"/>
      <c r="M176" s="97"/>
      <c r="N176" s="97"/>
      <c r="O176" s="97"/>
      <c r="P176" s="97"/>
      <c r="Q176" s="97"/>
      <c r="R176" s="97"/>
      <c r="S176" s="97"/>
      <c r="T176" s="97"/>
      <c r="U176" s="97"/>
      <c r="V176" s="97"/>
      <c r="W176" s="97"/>
      <c r="X176" s="129"/>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97"/>
      <c r="CC176" s="97"/>
      <c r="CD176" s="97"/>
      <c r="CE176" s="97"/>
      <c r="CF176" s="97"/>
      <c r="CG176" s="97"/>
      <c r="CH176" s="97"/>
      <c r="CI176" s="97"/>
      <c r="CJ176" s="97"/>
      <c r="CK176" s="97"/>
      <c r="CL176" s="97"/>
      <c r="CM176" s="97"/>
      <c r="CN176" s="97"/>
      <c r="CO176" s="97"/>
      <c r="CP176" s="97"/>
      <c r="CQ176" s="97"/>
      <c r="CR176" s="97"/>
      <c r="CS176" s="97"/>
      <c r="CT176" s="97"/>
      <c r="CU176" s="97"/>
      <c r="CV176" s="97"/>
      <c r="CW176" s="97"/>
      <c r="CX176" s="97"/>
      <c r="CY176" s="97"/>
      <c r="CZ176" s="97"/>
      <c r="DA176" s="97"/>
      <c r="DB176" s="97"/>
      <c r="DC176" s="97"/>
      <c r="DD176" s="97"/>
      <c r="DE176" s="97"/>
      <c r="DF176" s="97"/>
      <c r="DG176" s="97"/>
      <c r="DH176" s="97"/>
      <c r="DI176" s="97"/>
      <c r="DJ176" s="97"/>
      <c r="DK176" s="97"/>
      <c r="DL176" s="97"/>
      <c r="DM176" s="97"/>
      <c r="DN176" s="97"/>
      <c r="DO176" s="97"/>
      <c r="DP176" s="97"/>
      <c r="DQ176" s="97"/>
      <c r="DR176" s="97"/>
      <c r="DS176" s="97"/>
      <c r="DT176" s="97"/>
      <c r="DU176" s="97"/>
      <c r="DV176" s="97"/>
      <c r="DW176" s="97"/>
      <c r="DX176" s="97"/>
      <c r="DY176" s="97"/>
      <c r="DZ176" s="97"/>
      <c r="EA176" s="97"/>
      <c r="EB176" s="97"/>
      <c r="EC176" s="97"/>
      <c r="ED176" s="97"/>
      <c r="EE176" s="97"/>
      <c r="EF176" s="97"/>
      <c r="EG176" s="97"/>
      <c r="EH176" s="97"/>
      <c r="EI176" s="97"/>
      <c r="EJ176" s="97"/>
      <c r="EK176" s="97"/>
      <c r="EL176" s="97"/>
      <c r="EM176" s="97"/>
      <c r="EN176" s="97"/>
      <c r="EO176" s="97"/>
      <c r="EP176" s="97"/>
      <c r="EQ176" s="97"/>
      <c r="ER176" s="97"/>
      <c r="ES176" s="97"/>
      <c r="ET176" s="97"/>
    </row>
    <row r="177" spans="1:150" ht="15.75" customHeight="1">
      <c r="A177" s="97"/>
      <c r="B177" s="97"/>
      <c r="C177" s="97"/>
      <c r="D177" s="97"/>
      <c r="E177" s="97"/>
      <c r="F177" s="97"/>
      <c r="G177" s="97"/>
      <c r="H177" s="129"/>
      <c r="I177" s="97"/>
      <c r="J177" s="97"/>
      <c r="K177" s="97"/>
      <c r="L177" s="97"/>
      <c r="M177" s="97"/>
      <c r="N177" s="97"/>
      <c r="O177" s="97"/>
      <c r="P177" s="97"/>
      <c r="Q177" s="97"/>
      <c r="R177" s="97"/>
      <c r="S177" s="97"/>
      <c r="T177" s="97"/>
      <c r="U177" s="97"/>
      <c r="V177" s="97"/>
      <c r="W177" s="97"/>
      <c r="X177" s="129"/>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97"/>
      <c r="CC177" s="97"/>
      <c r="CD177" s="97"/>
      <c r="CE177" s="97"/>
      <c r="CF177" s="97"/>
      <c r="CG177" s="97"/>
      <c r="CH177" s="97"/>
      <c r="CI177" s="97"/>
      <c r="CJ177" s="97"/>
      <c r="CK177" s="97"/>
      <c r="CL177" s="97"/>
      <c r="CM177" s="97"/>
      <c r="CN177" s="97"/>
      <c r="CO177" s="97"/>
      <c r="CP177" s="97"/>
      <c r="CQ177" s="97"/>
      <c r="CR177" s="97"/>
      <c r="CS177" s="97"/>
      <c r="CT177" s="97"/>
      <c r="CU177" s="97"/>
      <c r="CV177" s="97"/>
      <c r="CW177" s="97"/>
      <c r="CX177" s="97"/>
      <c r="CY177" s="97"/>
      <c r="CZ177" s="97"/>
      <c r="DA177" s="97"/>
      <c r="DB177" s="97"/>
      <c r="DC177" s="97"/>
      <c r="DD177" s="97"/>
      <c r="DE177" s="97"/>
      <c r="DF177" s="9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97"/>
      <c r="EC177" s="97"/>
      <c r="ED177" s="97"/>
      <c r="EE177" s="97"/>
      <c r="EF177" s="97"/>
      <c r="EG177" s="97"/>
      <c r="EH177" s="97"/>
      <c r="EI177" s="97"/>
      <c r="EJ177" s="97"/>
      <c r="EK177" s="97"/>
      <c r="EL177" s="97"/>
      <c r="EM177" s="97"/>
      <c r="EN177" s="97"/>
      <c r="EO177" s="97"/>
      <c r="EP177" s="97"/>
      <c r="EQ177" s="97"/>
      <c r="ER177" s="97"/>
      <c r="ES177" s="97"/>
      <c r="ET177" s="97"/>
    </row>
    <row r="178" spans="1:150" ht="15.75" customHeight="1">
      <c r="A178" s="97"/>
      <c r="B178" s="97"/>
      <c r="C178" s="97"/>
      <c r="D178" s="97"/>
      <c r="E178" s="97"/>
      <c r="F178" s="97"/>
      <c r="G178" s="97"/>
      <c r="H178" s="129"/>
      <c r="I178" s="97"/>
      <c r="J178" s="97"/>
      <c r="K178" s="97"/>
      <c r="L178" s="97"/>
      <c r="M178" s="97"/>
      <c r="N178" s="97"/>
      <c r="O178" s="97"/>
      <c r="P178" s="97"/>
      <c r="Q178" s="97"/>
      <c r="R178" s="97"/>
      <c r="S178" s="97"/>
      <c r="T178" s="97"/>
      <c r="U178" s="97"/>
      <c r="V178" s="97"/>
      <c r="W178" s="97"/>
      <c r="X178" s="129"/>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97"/>
      <c r="CC178" s="97"/>
      <c r="CD178" s="97"/>
      <c r="CE178" s="97"/>
      <c r="CF178" s="97"/>
      <c r="CG178" s="97"/>
      <c r="CH178" s="97"/>
      <c r="CI178" s="97"/>
      <c r="CJ178" s="97"/>
      <c r="CK178" s="97"/>
      <c r="CL178" s="97"/>
      <c r="CM178" s="97"/>
      <c r="CN178" s="97"/>
      <c r="CO178" s="97"/>
      <c r="CP178" s="97"/>
      <c r="CQ178" s="97"/>
      <c r="CR178" s="97"/>
      <c r="CS178" s="97"/>
      <c r="CT178" s="97"/>
      <c r="CU178" s="97"/>
      <c r="CV178" s="97"/>
      <c r="CW178" s="97"/>
      <c r="CX178" s="97"/>
      <c r="CY178" s="97"/>
      <c r="CZ178" s="97"/>
      <c r="DA178" s="97"/>
      <c r="DB178" s="97"/>
      <c r="DC178" s="97"/>
      <c r="DD178" s="97"/>
      <c r="DE178" s="97"/>
      <c r="DF178" s="97"/>
      <c r="DG178" s="97"/>
      <c r="DH178" s="97"/>
      <c r="DI178" s="97"/>
      <c r="DJ178" s="97"/>
      <c r="DK178" s="97"/>
      <c r="DL178" s="97"/>
      <c r="DM178" s="97"/>
      <c r="DN178" s="97"/>
      <c r="DO178" s="97"/>
      <c r="DP178" s="97"/>
      <c r="DQ178" s="97"/>
      <c r="DR178" s="97"/>
      <c r="DS178" s="97"/>
      <c r="DT178" s="97"/>
      <c r="DU178" s="97"/>
      <c r="DV178" s="97"/>
      <c r="DW178" s="97"/>
      <c r="DX178" s="97"/>
      <c r="DY178" s="97"/>
      <c r="DZ178" s="97"/>
      <c r="EA178" s="97"/>
      <c r="EB178" s="97"/>
      <c r="EC178" s="97"/>
      <c r="ED178" s="97"/>
      <c r="EE178" s="97"/>
      <c r="EF178" s="97"/>
      <c r="EG178" s="97"/>
      <c r="EH178" s="97"/>
      <c r="EI178" s="97"/>
      <c r="EJ178" s="97"/>
      <c r="EK178" s="97"/>
      <c r="EL178" s="97"/>
      <c r="EM178" s="97"/>
      <c r="EN178" s="97"/>
      <c r="EO178" s="97"/>
      <c r="EP178" s="97"/>
      <c r="EQ178" s="97"/>
      <c r="ER178" s="97"/>
      <c r="ES178" s="97"/>
      <c r="ET178" s="97"/>
    </row>
    <row r="179" spans="1:150" ht="15.75" customHeight="1">
      <c r="A179" s="97"/>
      <c r="B179" s="97"/>
      <c r="C179" s="97"/>
      <c r="D179" s="97"/>
      <c r="E179" s="97"/>
      <c r="F179" s="97"/>
      <c r="G179" s="97"/>
      <c r="H179" s="129"/>
      <c r="I179" s="97"/>
      <c r="J179" s="97"/>
      <c r="K179" s="97"/>
      <c r="L179" s="97"/>
      <c r="M179" s="97"/>
      <c r="N179" s="97"/>
      <c r="O179" s="97"/>
      <c r="P179" s="97"/>
      <c r="Q179" s="97"/>
      <c r="R179" s="97"/>
      <c r="S179" s="97"/>
      <c r="T179" s="97"/>
      <c r="U179" s="97"/>
      <c r="V179" s="97"/>
      <c r="W179" s="97"/>
      <c r="X179" s="129"/>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97"/>
      <c r="CC179" s="97"/>
      <c r="CD179" s="97"/>
      <c r="CE179" s="97"/>
      <c r="CF179" s="97"/>
      <c r="CG179" s="97"/>
      <c r="CH179" s="97"/>
      <c r="CI179" s="97"/>
      <c r="CJ179" s="97"/>
      <c r="CK179" s="97"/>
      <c r="CL179" s="97"/>
      <c r="CM179" s="97"/>
      <c r="CN179" s="97"/>
      <c r="CO179" s="97"/>
      <c r="CP179" s="97"/>
      <c r="CQ179" s="97"/>
      <c r="CR179" s="97"/>
      <c r="CS179" s="97"/>
      <c r="CT179" s="97"/>
      <c r="CU179" s="97"/>
      <c r="CV179" s="97"/>
      <c r="CW179" s="97"/>
      <c r="CX179" s="97"/>
      <c r="CY179" s="97"/>
      <c r="CZ179" s="97"/>
      <c r="DA179" s="97"/>
      <c r="DB179" s="97"/>
      <c r="DC179" s="97"/>
      <c r="DD179" s="97"/>
      <c r="DE179" s="97"/>
      <c r="DF179" s="97"/>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97"/>
      <c r="EC179" s="97"/>
      <c r="ED179" s="97"/>
      <c r="EE179" s="97"/>
      <c r="EF179" s="97"/>
      <c r="EG179" s="97"/>
      <c r="EH179" s="97"/>
      <c r="EI179" s="97"/>
      <c r="EJ179" s="97"/>
      <c r="EK179" s="97"/>
      <c r="EL179" s="97"/>
      <c r="EM179" s="97"/>
      <c r="EN179" s="97"/>
      <c r="EO179" s="97"/>
      <c r="EP179" s="97"/>
      <c r="EQ179" s="97"/>
      <c r="ER179" s="97"/>
      <c r="ES179" s="97"/>
      <c r="ET179" s="97"/>
    </row>
    <row r="180" spans="1:150" ht="15.75" customHeight="1">
      <c r="A180" s="97"/>
      <c r="B180" s="97"/>
      <c r="C180" s="97"/>
      <c r="D180" s="97"/>
      <c r="E180" s="97"/>
      <c r="F180" s="97"/>
      <c r="G180" s="97"/>
      <c r="H180" s="129"/>
      <c r="I180" s="97"/>
      <c r="J180" s="97"/>
      <c r="K180" s="97"/>
      <c r="L180" s="97"/>
      <c r="M180" s="97"/>
      <c r="N180" s="97"/>
      <c r="O180" s="97"/>
      <c r="P180" s="97"/>
      <c r="Q180" s="97"/>
      <c r="R180" s="97"/>
      <c r="S180" s="97"/>
      <c r="T180" s="97"/>
      <c r="U180" s="97"/>
      <c r="V180" s="97"/>
      <c r="W180" s="97"/>
      <c r="X180" s="129"/>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97"/>
      <c r="CC180" s="97"/>
      <c r="CD180" s="97"/>
      <c r="CE180" s="97"/>
      <c r="CF180" s="97"/>
      <c r="CG180" s="97"/>
      <c r="CH180" s="97"/>
      <c r="CI180" s="97"/>
      <c r="CJ180" s="97"/>
      <c r="CK180" s="97"/>
      <c r="CL180" s="97"/>
      <c r="CM180" s="97"/>
      <c r="CN180" s="97"/>
      <c r="CO180" s="97"/>
      <c r="CP180" s="97"/>
      <c r="CQ180" s="97"/>
      <c r="CR180" s="97"/>
      <c r="CS180" s="97"/>
      <c r="CT180" s="97"/>
      <c r="CU180" s="97"/>
      <c r="CV180" s="97"/>
      <c r="CW180" s="97"/>
      <c r="CX180" s="97"/>
      <c r="CY180" s="97"/>
      <c r="CZ180" s="97"/>
      <c r="DA180" s="97"/>
      <c r="DB180" s="97"/>
      <c r="DC180" s="97"/>
      <c r="DD180" s="97"/>
      <c r="DE180" s="97"/>
      <c r="DF180" s="97"/>
      <c r="DG180" s="97"/>
      <c r="DH180" s="97"/>
      <c r="DI180" s="97"/>
      <c r="DJ180" s="97"/>
      <c r="DK180" s="97"/>
      <c r="DL180" s="97"/>
      <c r="DM180" s="97"/>
      <c r="DN180" s="97"/>
      <c r="DO180" s="97"/>
      <c r="DP180" s="97"/>
      <c r="DQ180" s="97"/>
      <c r="DR180" s="97"/>
      <c r="DS180" s="97"/>
      <c r="DT180" s="97"/>
      <c r="DU180" s="97"/>
      <c r="DV180" s="97"/>
      <c r="DW180" s="97"/>
      <c r="DX180" s="97"/>
      <c r="DY180" s="97"/>
      <c r="DZ180" s="97"/>
      <c r="EA180" s="97"/>
      <c r="EB180" s="97"/>
      <c r="EC180" s="97"/>
      <c r="ED180" s="97"/>
      <c r="EE180" s="97"/>
      <c r="EF180" s="97"/>
      <c r="EG180" s="97"/>
      <c r="EH180" s="97"/>
      <c r="EI180" s="97"/>
      <c r="EJ180" s="97"/>
      <c r="EK180" s="97"/>
      <c r="EL180" s="97"/>
      <c r="EM180" s="97"/>
      <c r="EN180" s="97"/>
      <c r="EO180" s="97"/>
      <c r="EP180" s="97"/>
      <c r="EQ180" s="97"/>
      <c r="ER180" s="97"/>
      <c r="ES180" s="97"/>
      <c r="ET180" s="97"/>
    </row>
    <row r="181" spans="1:150" ht="15.75" customHeight="1">
      <c r="A181" s="97"/>
      <c r="B181" s="97"/>
      <c r="C181" s="97"/>
      <c r="D181" s="97"/>
      <c r="E181" s="97"/>
      <c r="F181" s="97"/>
      <c r="G181" s="97"/>
      <c r="H181" s="129"/>
      <c r="I181" s="97"/>
      <c r="J181" s="97"/>
      <c r="K181" s="97"/>
      <c r="L181" s="97"/>
      <c r="M181" s="97"/>
      <c r="N181" s="97"/>
      <c r="O181" s="97"/>
      <c r="P181" s="97"/>
      <c r="Q181" s="97"/>
      <c r="R181" s="97"/>
      <c r="S181" s="97"/>
      <c r="T181" s="97"/>
      <c r="U181" s="97"/>
      <c r="V181" s="97"/>
      <c r="W181" s="97"/>
      <c r="X181" s="129"/>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97"/>
      <c r="CC181" s="97"/>
      <c r="CD181" s="97"/>
      <c r="CE181" s="97"/>
      <c r="CF181" s="97"/>
      <c r="CG181" s="97"/>
      <c r="CH181" s="97"/>
      <c r="CI181" s="97"/>
      <c r="CJ181" s="97"/>
      <c r="CK181" s="97"/>
      <c r="CL181" s="97"/>
      <c r="CM181" s="97"/>
      <c r="CN181" s="97"/>
      <c r="CO181" s="97"/>
      <c r="CP181" s="97"/>
      <c r="CQ181" s="97"/>
      <c r="CR181" s="97"/>
      <c r="CS181" s="97"/>
      <c r="CT181" s="97"/>
      <c r="CU181" s="97"/>
      <c r="CV181" s="97"/>
      <c r="CW181" s="97"/>
      <c r="CX181" s="97"/>
      <c r="CY181" s="97"/>
      <c r="CZ181" s="97"/>
      <c r="DA181" s="97"/>
      <c r="DB181" s="97"/>
      <c r="DC181" s="97"/>
      <c r="DD181" s="97"/>
      <c r="DE181" s="97"/>
      <c r="DF181" s="9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97"/>
      <c r="EC181" s="97"/>
      <c r="ED181" s="97"/>
      <c r="EE181" s="97"/>
      <c r="EF181" s="97"/>
      <c r="EG181" s="97"/>
      <c r="EH181" s="97"/>
      <c r="EI181" s="97"/>
      <c r="EJ181" s="97"/>
      <c r="EK181" s="97"/>
      <c r="EL181" s="97"/>
      <c r="EM181" s="97"/>
      <c r="EN181" s="97"/>
      <c r="EO181" s="97"/>
      <c r="EP181" s="97"/>
      <c r="EQ181" s="97"/>
      <c r="ER181" s="97"/>
      <c r="ES181" s="97"/>
      <c r="ET181" s="97"/>
    </row>
    <row r="182" spans="1:150" ht="15.75" customHeight="1">
      <c r="A182" s="97"/>
      <c r="B182" s="97"/>
      <c r="C182" s="97"/>
      <c r="D182" s="97"/>
      <c r="E182" s="97"/>
      <c r="F182" s="97"/>
      <c r="G182" s="97"/>
      <c r="H182" s="129"/>
      <c r="I182" s="97"/>
      <c r="J182" s="97"/>
      <c r="K182" s="97"/>
      <c r="L182" s="97"/>
      <c r="M182" s="97"/>
      <c r="N182" s="97"/>
      <c r="O182" s="97"/>
      <c r="P182" s="97"/>
      <c r="Q182" s="97"/>
      <c r="R182" s="97"/>
      <c r="S182" s="97"/>
      <c r="T182" s="97"/>
      <c r="U182" s="97"/>
      <c r="V182" s="97"/>
      <c r="W182" s="97"/>
      <c r="X182" s="129"/>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97"/>
      <c r="CC182" s="97"/>
      <c r="CD182" s="97"/>
      <c r="CE182" s="97"/>
      <c r="CF182" s="97"/>
      <c r="CG182" s="97"/>
      <c r="CH182" s="97"/>
      <c r="CI182" s="97"/>
      <c r="CJ182" s="97"/>
      <c r="CK182" s="97"/>
      <c r="CL182" s="97"/>
      <c r="CM182" s="97"/>
      <c r="CN182" s="97"/>
      <c r="CO182" s="97"/>
      <c r="CP182" s="97"/>
      <c r="CQ182" s="97"/>
      <c r="CR182" s="97"/>
      <c r="CS182" s="97"/>
      <c r="CT182" s="97"/>
      <c r="CU182" s="97"/>
      <c r="CV182" s="97"/>
      <c r="CW182" s="97"/>
      <c r="CX182" s="97"/>
      <c r="CY182" s="97"/>
      <c r="CZ182" s="97"/>
      <c r="DA182" s="97"/>
      <c r="DB182" s="97"/>
      <c r="DC182" s="97"/>
      <c r="DD182" s="97"/>
      <c r="DE182" s="97"/>
      <c r="DF182" s="97"/>
      <c r="DG182" s="97"/>
      <c r="DH182" s="97"/>
      <c r="DI182" s="97"/>
      <c r="DJ182" s="97"/>
      <c r="DK182" s="97"/>
      <c r="DL182" s="97"/>
      <c r="DM182" s="97"/>
      <c r="DN182" s="97"/>
      <c r="DO182" s="97"/>
      <c r="DP182" s="97"/>
      <c r="DQ182" s="97"/>
      <c r="DR182" s="97"/>
      <c r="DS182" s="97"/>
      <c r="DT182" s="97"/>
      <c r="DU182" s="97"/>
      <c r="DV182" s="97"/>
      <c r="DW182" s="97"/>
      <c r="DX182" s="97"/>
      <c r="DY182" s="97"/>
      <c r="DZ182" s="97"/>
      <c r="EA182" s="97"/>
      <c r="EB182" s="97"/>
      <c r="EC182" s="97"/>
      <c r="ED182" s="97"/>
      <c r="EE182" s="97"/>
      <c r="EF182" s="97"/>
      <c r="EG182" s="97"/>
      <c r="EH182" s="97"/>
      <c r="EI182" s="97"/>
      <c r="EJ182" s="97"/>
      <c r="EK182" s="97"/>
      <c r="EL182" s="97"/>
      <c r="EM182" s="97"/>
      <c r="EN182" s="97"/>
      <c r="EO182" s="97"/>
      <c r="EP182" s="97"/>
      <c r="EQ182" s="97"/>
      <c r="ER182" s="97"/>
      <c r="ES182" s="97"/>
      <c r="ET182" s="97"/>
    </row>
    <row r="183" spans="1:150" ht="15.75" customHeight="1">
      <c r="A183" s="97"/>
      <c r="B183" s="97"/>
      <c r="C183" s="97"/>
      <c r="D183" s="97"/>
      <c r="E183" s="97"/>
      <c r="F183" s="97"/>
      <c r="G183" s="97"/>
      <c r="H183" s="129"/>
      <c r="I183" s="97"/>
      <c r="J183" s="97"/>
      <c r="K183" s="97"/>
      <c r="L183" s="97"/>
      <c r="M183" s="97"/>
      <c r="N183" s="97"/>
      <c r="O183" s="97"/>
      <c r="P183" s="97"/>
      <c r="Q183" s="97"/>
      <c r="R183" s="97"/>
      <c r="S183" s="97"/>
      <c r="T183" s="97"/>
      <c r="U183" s="97"/>
      <c r="V183" s="97"/>
      <c r="W183" s="97"/>
      <c r="X183" s="129"/>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97"/>
      <c r="CC183" s="97"/>
      <c r="CD183" s="97"/>
      <c r="CE183" s="97"/>
      <c r="CF183" s="97"/>
      <c r="CG183" s="97"/>
      <c r="CH183" s="97"/>
      <c r="CI183" s="97"/>
      <c r="CJ183" s="97"/>
      <c r="CK183" s="97"/>
      <c r="CL183" s="97"/>
      <c r="CM183" s="97"/>
      <c r="CN183" s="97"/>
      <c r="CO183" s="97"/>
      <c r="CP183" s="97"/>
      <c r="CQ183" s="97"/>
      <c r="CR183" s="97"/>
      <c r="CS183" s="97"/>
      <c r="CT183" s="97"/>
      <c r="CU183" s="97"/>
      <c r="CV183" s="97"/>
      <c r="CW183" s="97"/>
      <c r="CX183" s="97"/>
      <c r="CY183" s="97"/>
      <c r="CZ183" s="97"/>
      <c r="DA183" s="97"/>
      <c r="DB183" s="97"/>
      <c r="DC183" s="97"/>
      <c r="DD183" s="97"/>
      <c r="DE183" s="97"/>
      <c r="DF183" s="97"/>
      <c r="DG183" s="97"/>
      <c r="DH183" s="97"/>
      <c r="DI183" s="97"/>
      <c r="DJ183" s="97"/>
      <c r="DK183" s="97"/>
      <c r="DL183" s="97"/>
      <c r="DM183" s="97"/>
      <c r="DN183" s="97"/>
      <c r="DO183" s="97"/>
      <c r="DP183" s="97"/>
      <c r="DQ183" s="97"/>
      <c r="DR183" s="97"/>
      <c r="DS183" s="97"/>
      <c r="DT183" s="97"/>
      <c r="DU183" s="97"/>
      <c r="DV183" s="97"/>
      <c r="DW183" s="97"/>
      <c r="DX183" s="97"/>
      <c r="DY183" s="97"/>
      <c r="DZ183" s="97"/>
      <c r="EA183" s="97"/>
      <c r="EB183" s="97"/>
      <c r="EC183" s="97"/>
      <c r="ED183" s="97"/>
      <c r="EE183" s="97"/>
      <c r="EF183" s="97"/>
      <c r="EG183" s="97"/>
      <c r="EH183" s="97"/>
      <c r="EI183" s="97"/>
      <c r="EJ183" s="97"/>
      <c r="EK183" s="97"/>
      <c r="EL183" s="97"/>
      <c r="EM183" s="97"/>
      <c r="EN183" s="97"/>
      <c r="EO183" s="97"/>
      <c r="EP183" s="97"/>
      <c r="EQ183" s="97"/>
      <c r="ER183" s="97"/>
      <c r="ES183" s="97"/>
      <c r="ET183" s="97"/>
    </row>
    <row r="184" spans="1:150" ht="15.75" customHeight="1">
      <c r="A184" s="97"/>
      <c r="B184" s="97"/>
      <c r="C184" s="97"/>
      <c r="D184" s="97"/>
      <c r="E184" s="97"/>
      <c r="F184" s="97"/>
      <c r="G184" s="97"/>
      <c r="H184" s="129"/>
      <c r="I184" s="97"/>
      <c r="J184" s="97"/>
      <c r="K184" s="97"/>
      <c r="L184" s="97"/>
      <c r="M184" s="97"/>
      <c r="N184" s="97"/>
      <c r="O184" s="97"/>
      <c r="P184" s="97"/>
      <c r="Q184" s="97"/>
      <c r="R184" s="97"/>
      <c r="S184" s="97"/>
      <c r="T184" s="97"/>
      <c r="U184" s="97"/>
      <c r="V184" s="97"/>
      <c r="W184" s="97"/>
      <c r="X184" s="129"/>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97"/>
      <c r="CC184" s="97"/>
      <c r="CD184" s="97"/>
      <c r="CE184" s="97"/>
      <c r="CF184" s="97"/>
      <c r="CG184" s="97"/>
      <c r="CH184" s="97"/>
      <c r="CI184" s="97"/>
      <c r="CJ184" s="97"/>
      <c r="CK184" s="97"/>
      <c r="CL184" s="97"/>
      <c r="CM184" s="97"/>
      <c r="CN184" s="97"/>
      <c r="CO184" s="97"/>
      <c r="CP184" s="97"/>
      <c r="CQ184" s="97"/>
      <c r="CR184" s="97"/>
      <c r="CS184" s="97"/>
      <c r="CT184" s="97"/>
      <c r="CU184" s="97"/>
      <c r="CV184" s="97"/>
      <c r="CW184" s="97"/>
      <c r="CX184" s="97"/>
      <c r="CY184" s="97"/>
      <c r="CZ184" s="97"/>
      <c r="DA184" s="97"/>
      <c r="DB184" s="97"/>
      <c r="DC184" s="97"/>
      <c r="DD184" s="97"/>
      <c r="DE184" s="97"/>
      <c r="DF184" s="97"/>
      <c r="DG184" s="97"/>
      <c r="DH184" s="97"/>
      <c r="DI184" s="97"/>
      <c r="DJ184" s="97"/>
      <c r="DK184" s="97"/>
      <c r="DL184" s="97"/>
      <c r="DM184" s="97"/>
      <c r="DN184" s="97"/>
      <c r="DO184" s="97"/>
      <c r="DP184" s="97"/>
      <c r="DQ184" s="97"/>
      <c r="DR184" s="97"/>
      <c r="DS184" s="97"/>
      <c r="DT184" s="97"/>
      <c r="DU184" s="97"/>
      <c r="DV184" s="97"/>
      <c r="DW184" s="97"/>
      <c r="DX184" s="97"/>
      <c r="DY184" s="97"/>
      <c r="DZ184" s="97"/>
      <c r="EA184" s="97"/>
      <c r="EB184" s="97"/>
      <c r="EC184" s="97"/>
      <c r="ED184" s="97"/>
      <c r="EE184" s="97"/>
      <c r="EF184" s="97"/>
      <c r="EG184" s="97"/>
      <c r="EH184" s="97"/>
      <c r="EI184" s="97"/>
      <c r="EJ184" s="97"/>
      <c r="EK184" s="97"/>
      <c r="EL184" s="97"/>
      <c r="EM184" s="97"/>
      <c r="EN184" s="97"/>
      <c r="EO184" s="97"/>
      <c r="EP184" s="97"/>
      <c r="EQ184" s="97"/>
      <c r="ER184" s="97"/>
      <c r="ES184" s="97"/>
      <c r="ET184" s="97"/>
    </row>
    <row r="185" spans="1:150" ht="15.75" customHeight="1">
      <c r="A185" s="97"/>
      <c r="B185" s="97"/>
      <c r="C185" s="97"/>
      <c r="D185" s="97"/>
      <c r="E185" s="97"/>
      <c r="F185" s="97"/>
      <c r="G185" s="97"/>
      <c r="H185" s="129"/>
      <c r="I185" s="97"/>
      <c r="J185" s="97"/>
      <c r="K185" s="97"/>
      <c r="L185" s="97"/>
      <c r="M185" s="97"/>
      <c r="N185" s="97"/>
      <c r="O185" s="97"/>
      <c r="P185" s="97"/>
      <c r="Q185" s="97"/>
      <c r="R185" s="97"/>
      <c r="S185" s="97"/>
      <c r="T185" s="97"/>
      <c r="U185" s="97"/>
      <c r="V185" s="97"/>
      <c r="W185" s="97"/>
      <c r="X185" s="129"/>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97"/>
      <c r="CC185" s="97"/>
      <c r="CD185" s="97"/>
      <c r="CE185" s="97"/>
      <c r="CF185" s="97"/>
      <c r="CG185" s="97"/>
      <c r="CH185" s="97"/>
      <c r="CI185" s="97"/>
      <c r="CJ185" s="97"/>
      <c r="CK185" s="97"/>
      <c r="CL185" s="97"/>
      <c r="CM185" s="97"/>
      <c r="CN185" s="97"/>
      <c r="CO185" s="97"/>
      <c r="CP185" s="97"/>
      <c r="CQ185" s="97"/>
      <c r="CR185" s="97"/>
      <c r="CS185" s="97"/>
      <c r="CT185" s="97"/>
      <c r="CU185" s="97"/>
      <c r="CV185" s="97"/>
      <c r="CW185" s="97"/>
      <c r="CX185" s="97"/>
      <c r="CY185" s="97"/>
      <c r="CZ185" s="97"/>
      <c r="DA185" s="97"/>
      <c r="DB185" s="97"/>
      <c r="DC185" s="97"/>
      <c r="DD185" s="97"/>
      <c r="DE185" s="97"/>
      <c r="DF185" s="9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97"/>
      <c r="EC185" s="97"/>
      <c r="ED185" s="97"/>
      <c r="EE185" s="97"/>
      <c r="EF185" s="97"/>
      <c r="EG185" s="97"/>
      <c r="EH185" s="97"/>
      <c r="EI185" s="97"/>
      <c r="EJ185" s="97"/>
      <c r="EK185" s="97"/>
      <c r="EL185" s="97"/>
      <c r="EM185" s="97"/>
      <c r="EN185" s="97"/>
      <c r="EO185" s="97"/>
      <c r="EP185" s="97"/>
      <c r="EQ185" s="97"/>
      <c r="ER185" s="97"/>
      <c r="ES185" s="97"/>
      <c r="ET185" s="97"/>
    </row>
    <row r="186" spans="1:150" ht="15.75" customHeight="1">
      <c r="A186" s="97"/>
      <c r="B186" s="97"/>
      <c r="C186" s="97"/>
      <c r="D186" s="97"/>
      <c r="E186" s="97"/>
      <c r="F186" s="97"/>
      <c r="G186" s="97"/>
      <c r="H186" s="129"/>
      <c r="I186" s="97"/>
      <c r="J186" s="97"/>
      <c r="K186" s="97"/>
      <c r="L186" s="97"/>
      <c r="M186" s="97"/>
      <c r="N186" s="97"/>
      <c r="O186" s="97"/>
      <c r="P186" s="97"/>
      <c r="Q186" s="97"/>
      <c r="R186" s="97"/>
      <c r="S186" s="97"/>
      <c r="T186" s="97"/>
      <c r="U186" s="97"/>
      <c r="V186" s="97"/>
      <c r="W186" s="97"/>
      <c r="X186" s="129"/>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97"/>
      <c r="CC186" s="97"/>
      <c r="CD186" s="97"/>
      <c r="CE186" s="97"/>
      <c r="CF186" s="97"/>
      <c r="CG186" s="97"/>
      <c r="CH186" s="97"/>
      <c r="CI186" s="97"/>
      <c r="CJ186" s="97"/>
      <c r="CK186" s="97"/>
      <c r="CL186" s="97"/>
      <c r="CM186" s="97"/>
      <c r="CN186" s="97"/>
      <c r="CO186" s="97"/>
      <c r="CP186" s="97"/>
      <c r="CQ186" s="97"/>
      <c r="CR186" s="97"/>
      <c r="CS186" s="97"/>
      <c r="CT186" s="97"/>
      <c r="CU186" s="97"/>
      <c r="CV186" s="97"/>
      <c r="CW186" s="97"/>
      <c r="CX186" s="97"/>
      <c r="CY186" s="97"/>
      <c r="CZ186" s="97"/>
      <c r="DA186" s="97"/>
      <c r="DB186" s="97"/>
      <c r="DC186" s="97"/>
      <c r="DD186" s="97"/>
      <c r="DE186" s="97"/>
      <c r="DF186" s="97"/>
      <c r="DG186" s="97"/>
      <c r="DH186" s="97"/>
      <c r="DI186" s="97"/>
      <c r="DJ186" s="97"/>
      <c r="DK186" s="97"/>
      <c r="DL186" s="97"/>
      <c r="DM186" s="97"/>
      <c r="DN186" s="97"/>
      <c r="DO186" s="97"/>
      <c r="DP186" s="97"/>
      <c r="DQ186" s="97"/>
      <c r="DR186" s="97"/>
      <c r="DS186" s="97"/>
      <c r="DT186" s="97"/>
      <c r="DU186" s="97"/>
      <c r="DV186" s="97"/>
      <c r="DW186" s="97"/>
      <c r="DX186" s="97"/>
      <c r="DY186" s="97"/>
      <c r="DZ186" s="97"/>
      <c r="EA186" s="97"/>
      <c r="EB186" s="97"/>
      <c r="EC186" s="97"/>
      <c r="ED186" s="97"/>
      <c r="EE186" s="97"/>
      <c r="EF186" s="97"/>
      <c r="EG186" s="97"/>
      <c r="EH186" s="97"/>
      <c r="EI186" s="97"/>
      <c r="EJ186" s="97"/>
      <c r="EK186" s="97"/>
      <c r="EL186" s="97"/>
      <c r="EM186" s="97"/>
      <c r="EN186" s="97"/>
      <c r="EO186" s="97"/>
      <c r="EP186" s="97"/>
      <c r="EQ186" s="97"/>
      <c r="ER186" s="97"/>
      <c r="ES186" s="97"/>
      <c r="ET186" s="97"/>
    </row>
    <row r="187" spans="1:150" ht="15.75" customHeight="1">
      <c r="A187" s="97"/>
      <c r="B187" s="97"/>
      <c r="C187" s="97"/>
      <c r="D187" s="97"/>
      <c r="E187" s="97"/>
      <c r="F187" s="97"/>
      <c r="G187" s="97"/>
      <c r="H187" s="129"/>
      <c r="I187" s="97"/>
      <c r="J187" s="97"/>
      <c r="K187" s="97"/>
      <c r="L187" s="97"/>
      <c r="M187" s="97"/>
      <c r="N187" s="97"/>
      <c r="O187" s="97"/>
      <c r="P187" s="97"/>
      <c r="Q187" s="97"/>
      <c r="R187" s="97"/>
      <c r="S187" s="97"/>
      <c r="T187" s="97"/>
      <c r="U187" s="97"/>
      <c r="V187" s="97"/>
      <c r="W187" s="97"/>
      <c r="X187" s="129"/>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97"/>
      <c r="CC187" s="97"/>
      <c r="CD187" s="97"/>
      <c r="CE187" s="97"/>
      <c r="CF187" s="97"/>
      <c r="CG187" s="97"/>
      <c r="CH187" s="97"/>
      <c r="CI187" s="97"/>
      <c r="CJ187" s="97"/>
      <c r="CK187" s="97"/>
      <c r="CL187" s="97"/>
      <c r="CM187" s="97"/>
      <c r="CN187" s="97"/>
      <c r="CO187" s="97"/>
      <c r="CP187" s="97"/>
      <c r="CQ187" s="97"/>
      <c r="CR187" s="97"/>
      <c r="CS187" s="97"/>
      <c r="CT187" s="97"/>
      <c r="CU187" s="97"/>
      <c r="CV187" s="97"/>
      <c r="CW187" s="97"/>
      <c r="CX187" s="97"/>
      <c r="CY187" s="97"/>
      <c r="CZ187" s="97"/>
      <c r="DA187" s="97"/>
      <c r="DB187" s="97"/>
      <c r="DC187" s="97"/>
      <c r="DD187" s="97"/>
      <c r="DE187" s="97"/>
      <c r="DF187" s="97"/>
      <c r="DG187" s="97"/>
      <c r="DH187" s="97"/>
      <c r="DI187" s="97"/>
      <c r="DJ187" s="97"/>
      <c r="DK187" s="97"/>
      <c r="DL187" s="97"/>
      <c r="DM187" s="97"/>
      <c r="DN187" s="97"/>
      <c r="DO187" s="97"/>
      <c r="DP187" s="97"/>
      <c r="DQ187" s="97"/>
      <c r="DR187" s="97"/>
      <c r="DS187" s="97"/>
      <c r="DT187" s="97"/>
      <c r="DU187" s="97"/>
      <c r="DV187" s="97"/>
      <c r="DW187" s="97"/>
      <c r="DX187" s="97"/>
      <c r="DY187" s="97"/>
      <c r="DZ187" s="97"/>
      <c r="EA187" s="97"/>
      <c r="EB187" s="97"/>
      <c r="EC187" s="97"/>
      <c r="ED187" s="97"/>
      <c r="EE187" s="97"/>
      <c r="EF187" s="97"/>
      <c r="EG187" s="97"/>
      <c r="EH187" s="97"/>
      <c r="EI187" s="97"/>
      <c r="EJ187" s="97"/>
      <c r="EK187" s="97"/>
      <c r="EL187" s="97"/>
      <c r="EM187" s="97"/>
      <c r="EN187" s="97"/>
      <c r="EO187" s="97"/>
      <c r="EP187" s="97"/>
      <c r="EQ187" s="97"/>
      <c r="ER187" s="97"/>
      <c r="ES187" s="97"/>
      <c r="ET187" s="97"/>
    </row>
    <row r="188" spans="1:150" ht="15.75" customHeight="1">
      <c r="A188" s="97"/>
      <c r="B188" s="97"/>
      <c r="C188" s="97"/>
      <c r="D188" s="97"/>
      <c r="E188" s="97"/>
      <c r="F188" s="97"/>
      <c r="G188" s="97"/>
      <c r="H188" s="129"/>
      <c r="I188" s="97"/>
      <c r="J188" s="97"/>
      <c r="K188" s="97"/>
      <c r="L188" s="97"/>
      <c r="M188" s="97"/>
      <c r="N188" s="97"/>
      <c r="O188" s="97"/>
      <c r="P188" s="97"/>
      <c r="Q188" s="97"/>
      <c r="R188" s="97"/>
      <c r="S188" s="97"/>
      <c r="T188" s="97"/>
      <c r="U188" s="97"/>
      <c r="V188" s="97"/>
      <c r="W188" s="97"/>
      <c r="X188" s="129"/>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97"/>
      <c r="CC188" s="97"/>
      <c r="CD188" s="97"/>
      <c r="CE188" s="97"/>
      <c r="CF188" s="97"/>
      <c r="CG188" s="97"/>
      <c r="CH188" s="97"/>
      <c r="CI188" s="97"/>
      <c r="CJ188" s="97"/>
      <c r="CK188" s="97"/>
      <c r="CL188" s="97"/>
      <c r="CM188" s="97"/>
      <c r="CN188" s="97"/>
      <c r="CO188" s="97"/>
      <c r="CP188" s="97"/>
      <c r="CQ188" s="97"/>
      <c r="CR188" s="97"/>
      <c r="CS188" s="97"/>
      <c r="CT188" s="97"/>
      <c r="CU188" s="97"/>
      <c r="CV188" s="97"/>
      <c r="CW188" s="97"/>
      <c r="CX188" s="97"/>
      <c r="CY188" s="97"/>
      <c r="CZ188" s="97"/>
      <c r="DA188" s="97"/>
      <c r="DB188" s="97"/>
      <c r="DC188" s="97"/>
      <c r="DD188" s="97"/>
      <c r="DE188" s="97"/>
      <c r="DF188" s="97"/>
      <c r="DG188" s="97"/>
      <c r="DH188" s="97"/>
      <c r="DI188" s="97"/>
      <c r="DJ188" s="97"/>
      <c r="DK188" s="97"/>
      <c r="DL188" s="97"/>
      <c r="DM188" s="97"/>
      <c r="DN188" s="97"/>
      <c r="DO188" s="97"/>
      <c r="DP188" s="97"/>
      <c r="DQ188" s="97"/>
      <c r="DR188" s="97"/>
      <c r="DS188" s="97"/>
      <c r="DT188" s="97"/>
      <c r="DU188" s="97"/>
      <c r="DV188" s="97"/>
      <c r="DW188" s="97"/>
      <c r="DX188" s="97"/>
      <c r="DY188" s="97"/>
      <c r="DZ188" s="97"/>
      <c r="EA188" s="97"/>
      <c r="EB188" s="97"/>
      <c r="EC188" s="97"/>
      <c r="ED188" s="97"/>
      <c r="EE188" s="97"/>
      <c r="EF188" s="97"/>
      <c r="EG188" s="97"/>
      <c r="EH188" s="97"/>
      <c r="EI188" s="97"/>
      <c r="EJ188" s="97"/>
      <c r="EK188" s="97"/>
      <c r="EL188" s="97"/>
      <c r="EM188" s="97"/>
      <c r="EN188" s="97"/>
      <c r="EO188" s="97"/>
      <c r="EP188" s="97"/>
      <c r="EQ188" s="97"/>
      <c r="ER188" s="97"/>
      <c r="ES188" s="97"/>
      <c r="ET188" s="97"/>
    </row>
    <row r="189" spans="1:150" ht="15.75" customHeight="1">
      <c r="A189" s="97"/>
      <c r="B189" s="97"/>
      <c r="C189" s="97"/>
      <c r="D189" s="97"/>
      <c r="E189" s="97"/>
      <c r="F189" s="97"/>
      <c r="G189" s="97"/>
      <c r="H189" s="129"/>
      <c r="I189" s="97"/>
      <c r="J189" s="97"/>
      <c r="K189" s="97"/>
      <c r="L189" s="97"/>
      <c r="M189" s="97"/>
      <c r="N189" s="97"/>
      <c r="O189" s="97"/>
      <c r="P189" s="97"/>
      <c r="Q189" s="97"/>
      <c r="R189" s="97"/>
      <c r="S189" s="97"/>
      <c r="T189" s="97"/>
      <c r="U189" s="97"/>
      <c r="V189" s="97"/>
      <c r="W189" s="97"/>
      <c r="X189" s="129"/>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97"/>
      <c r="CC189" s="97"/>
      <c r="CD189" s="97"/>
      <c r="CE189" s="97"/>
      <c r="CF189" s="97"/>
      <c r="CG189" s="97"/>
      <c r="CH189" s="97"/>
      <c r="CI189" s="97"/>
      <c r="CJ189" s="97"/>
      <c r="CK189" s="97"/>
      <c r="CL189" s="97"/>
      <c r="CM189" s="97"/>
      <c r="CN189" s="97"/>
      <c r="CO189" s="97"/>
      <c r="CP189" s="97"/>
      <c r="CQ189" s="97"/>
      <c r="CR189" s="97"/>
      <c r="CS189" s="97"/>
      <c r="CT189" s="97"/>
      <c r="CU189" s="97"/>
      <c r="CV189" s="97"/>
      <c r="CW189" s="97"/>
      <c r="CX189" s="97"/>
      <c r="CY189" s="97"/>
      <c r="CZ189" s="97"/>
      <c r="DA189" s="97"/>
      <c r="DB189" s="97"/>
      <c r="DC189" s="97"/>
      <c r="DD189" s="97"/>
      <c r="DE189" s="97"/>
      <c r="DF189" s="9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97"/>
      <c r="EC189" s="97"/>
      <c r="ED189" s="97"/>
      <c r="EE189" s="97"/>
      <c r="EF189" s="97"/>
      <c r="EG189" s="97"/>
      <c r="EH189" s="97"/>
      <c r="EI189" s="97"/>
      <c r="EJ189" s="97"/>
      <c r="EK189" s="97"/>
      <c r="EL189" s="97"/>
      <c r="EM189" s="97"/>
      <c r="EN189" s="97"/>
      <c r="EO189" s="97"/>
      <c r="EP189" s="97"/>
      <c r="EQ189" s="97"/>
      <c r="ER189" s="97"/>
      <c r="ES189" s="97"/>
      <c r="ET189" s="97"/>
    </row>
    <row r="190" spans="1:150" ht="15.75" customHeight="1">
      <c r="A190" s="97"/>
      <c r="B190" s="97"/>
      <c r="C190" s="97"/>
      <c r="D190" s="97"/>
      <c r="E190" s="97"/>
      <c r="F190" s="97"/>
      <c r="G190" s="97"/>
      <c r="H190" s="129"/>
      <c r="I190" s="97"/>
      <c r="J190" s="97"/>
      <c r="K190" s="97"/>
      <c r="L190" s="97"/>
      <c r="M190" s="97"/>
      <c r="N190" s="97"/>
      <c r="O190" s="97"/>
      <c r="P190" s="97"/>
      <c r="Q190" s="97"/>
      <c r="R190" s="97"/>
      <c r="S190" s="97"/>
      <c r="T190" s="97"/>
      <c r="U190" s="97"/>
      <c r="V190" s="97"/>
      <c r="W190" s="97"/>
      <c r="X190" s="129"/>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97"/>
      <c r="CC190" s="97"/>
      <c r="CD190" s="97"/>
      <c r="CE190" s="97"/>
      <c r="CF190" s="97"/>
      <c r="CG190" s="97"/>
      <c r="CH190" s="97"/>
      <c r="CI190" s="97"/>
      <c r="CJ190" s="97"/>
      <c r="CK190" s="97"/>
      <c r="CL190" s="97"/>
      <c r="CM190" s="97"/>
      <c r="CN190" s="97"/>
      <c r="CO190" s="97"/>
      <c r="CP190" s="97"/>
      <c r="CQ190" s="97"/>
      <c r="CR190" s="97"/>
      <c r="CS190" s="97"/>
      <c r="CT190" s="97"/>
      <c r="CU190" s="97"/>
      <c r="CV190" s="97"/>
      <c r="CW190" s="97"/>
      <c r="CX190" s="97"/>
      <c r="CY190" s="97"/>
      <c r="CZ190" s="97"/>
      <c r="DA190" s="97"/>
      <c r="DB190" s="97"/>
      <c r="DC190" s="97"/>
      <c r="DD190" s="97"/>
      <c r="DE190" s="97"/>
      <c r="DF190" s="97"/>
      <c r="DG190" s="97"/>
      <c r="DH190" s="97"/>
      <c r="DI190" s="97"/>
      <c r="DJ190" s="97"/>
      <c r="DK190" s="97"/>
      <c r="DL190" s="97"/>
      <c r="DM190" s="97"/>
      <c r="DN190" s="97"/>
      <c r="DO190" s="97"/>
      <c r="DP190" s="97"/>
      <c r="DQ190" s="97"/>
      <c r="DR190" s="97"/>
      <c r="DS190" s="97"/>
      <c r="DT190" s="97"/>
      <c r="DU190" s="97"/>
      <c r="DV190" s="97"/>
      <c r="DW190" s="97"/>
      <c r="DX190" s="97"/>
      <c r="DY190" s="97"/>
      <c r="DZ190" s="97"/>
      <c r="EA190" s="97"/>
      <c r="EB190" s="97"/>
      <c r="EC190" s="97"/>
      <c r="ED190" s="97"/>
      <c r="EE190" s="97"/>
      <c r="EF190" s="97"/>
      <c r="EG190" s="97"/>
      <c r="EH190" s="97"/>
      <c r="EI190" s="97"/>
      <c r="EJ190" s="97"/>
      <c r="EK190" s="97"/>
      <c r="EL190" s="97"/>
      <c r="EM190" s="97"/>
      <c r="EN190" s="97"/>
      <c r="EO190" s="97"/>
      <c r="EP190" s="97"/>
      <c r="EQ190" s="97"/>
      <c r="ER190" s="97"/>
      <c r="ES190" s="97"/>
      <c r="ET190" s="97"/>
    </row>
    <row r="191" spans="1:150" ht="15.75" customHeight="1">
      <c r="A191" s="97"/>
      <c r="B191" s="97"/>
      <c r="C191" s="97"/>
      <c r="D191" s="97"/>
      <c r="E191" s="97"/>
      <c r="F191" s="97"/>
      <c r="G191" s="97"/>
      <c r="H191" s="129"/>
      <c r="I191" s="97"/>
      <c r="J191" s="97"/>
      <c r="K191" s="97"/>
      <c r="L191" s="97"/>
      <c r="M191" s="97"/>
      <c r="N191" s="97"/>
      <c r="O191" s="97"/>
      <c r="P191" s="97"/>
      <c r="Q191" s="97"/>
      <c r="R191" s="97"/>
      <c r="S191" s="97"/>
      <c r="T191" s="97"/>
      <c r="U191" s="97"/>
      <c r="V191" s="97"/>
      <c r="W191" s="97"/>
      <c r="X191" s="129"/>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97"/>
      <c r="CC191" s="97"/>
      <c r="CD191" s="97"/>
      <c r="CE191" s="97"/>
      <c r="CF191" s="97"/>
      <c r="CG191" s="97"/>
      <c r="CH191" s="97"/>
      <c r="CI191" s="97"/>
      <c r="CJ191" s="97"/>
      <c r="CK191" s="97"/>
      <c r="CL191" s="97"/>
      <c r="CM191" s="97"/>
      <c r="CN191" s="97"/>
      <c r="CO191" s="97"/>
      <c r="CP191" s="97"/>
      <c r="CQ191" s="97"/>
      <c r="CR191" s="97"/>
      <c r="CS191" s="97"/>
      <c r="CT191" s="97"/>
      <c r="CU191" s="97"/>
      <c r="CV191" s="97"/>
      <c r="CW191" s="97"/>
      <c r="CX191" s="97"/>
      <c r="CY191" s="97"/>
      <c r="CZ191" s="97"/>
      <c r="DA191" s="97"/>
      <c r="DB191" s="97"/>
      <c r="DC191" s="97"/>
      <c r="DD191" s="97"/>
      <c r="DE191" s="97"/>
      <c r="DF191" s="97"/>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97"/>
      <c r="EC191" s="97"/>
      <c r="ED191" s="97"/>
      <c r="EE191" s="97"/>
      <c r="EF191" s="97"/>
      <c r="EG191" s="97"/>
      <c r="EH191" s="97"/>
      <c r="EI191" s="97"/>
      <c r="EJ191" s="97"/>
      <c r="EK191" s="97"/>
      <c r="EL191" s="97"/>
      <c r="EM191" s="97"/>
      <c r="EN191" s="97"/>
      <c r="EO191" s="97"/>
      <c r="EP191" s="97"/>
      <c r="EQ191" s="97"/>
      <c r="ER191" s="97"/>
      <c r="ES191" s="97"/>
      <c r="ET191" s="97"/>
    </row>
    <row r="192" spans="1:150" ht="15.75" customHeight="1">
      <c r="A192" s="97"/>
      <c r="B192" s="97"/>
      <c r="C192" s="97"/>
      <c r="D192" s="97"/>
      <c r="E192" s="97"/>
      <c r="F192" s="97"/>
      <c r="G192" s="97"/>
      <c r="H192" s="129"/>
      <c r="I192" s="97"/>
      <c r="J192" s="97"/>
      <c r="K192" s="97"/>
      <c r="L192" s="97"/>
      <c r="M192" s="97"/>
      <c r="N192" s="97"/>
      <c r="O192" s="97"/>
      <c r="P192" s="97"/>
      <c r="Q192" s="97"/>
      <c r="R192" s="97"/>
      <c r="S192" s="97"/>
      <c r="T192" s="97"/>
      <c r="U192" s="97"/>
      <c r="V192" s="97"/>
      <c r="W192" s="97"/>
      <c r="X192" s="129"/>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97"/>
      <c r="CC192" s="97"/>
      <c r="CD192" s="97"/>
      <c r="CE192" s="97"/>
      <c r="CF192" s="97"/>
      <c r="CG192" s="97"/>
      <c r="CH192" s="97"/>
      <c r="CI192" s="97"/>
      <c r="CJ192" s="97"/>
      <c r="CK192" s="97"/>
      <c r="CL192" s="97"/>
      <c r="CM192" s="97"/>
      <c r="CN192" s="97"/>
      <c r="CO192" s="97"/>
      <c r="CP192" s="97"/>
      <c r="CQ192" s="97"/>
      <c r="CR192" s="97"/>
      <c r="CS192" s="97"/>
      <c r="CT192" s="97"/>
      <c r="CU192" s="97"/>
      <c r="CV192" s="97"/>
      <c r="CW192" s="97"/>
      <c r="CX192" s="97"/>
      <c r="CY192" s="97"/>
      <c r="CZ192" s="97"/>
      <c r="DA192" s="97"/>
      <c r="DB192" s="97"/>
      <c r="DC192" s="97"/>
      <c r="DD192" s="97"/>
      <c r="DE192" s="97"/>
      <c r="DF192" s="97"/>
      <c r="DG192" s="97"/>
      <c r="DH192" s="97"/>
      <c r="DI192" s="97"/>
      <c r="DJ192" s="97"/>
      <c r="DK192" s="97"/>
      <c r="DL192" s="97"/>
      <c r="DM192" s="97"/>
      <c r="DN192" s="97"/>
      <c r="DO192" s="97"/>
      <c r="DP192" s="97"/>
      <c r="DQ192" s="97"/>
      <c r="DR192" s="97"/>
      <c r="DS192" s="97"/>
      <c r="DT192" s="97"/>
      <c r="DU192" s="97"/>
      <c r="DV192" s="97"/>
      <c r="DW192" s="97"/>
      <c r="DX192" s="97"/>
      <c r="DY192" s="97"/>
      <c r="DZ192" s="97"/>
      <c r="EA192" s="97"/>
      <c r="EB192" s="97"/>
      <c r="EC192" s="97"/>
      <c r="ED192" s="97"/>
      <c r="EE192" s="97"/>
      <c r="EF192" s="97"/>
      <c r="EG192" s="97"/>
      <c r="EH192" s="97"/>
      <c r="EI192" s="97"/>
      <c r="EJ192" s="97"/>
      <c r="EK192" s="97"/>
      <c r="EL192" s="97"/>
      <c r="EM192" s="97"/>
      <c r="EN192" s="97"/>
      <c r="EO192" s="97"/>
      <c r="EP192" s="97"/>
      <c r="EQ192" s="97"/>
      <c r="ER192" s="97"/>
      <c r="ES192" s="97"/>
      <c r="ET192" s="97"/>
    </row>
    <row r="193" spans="1:150" ht="15.75" customHeight="1">
      <c r="A193" s="97"/>
      <c r="B193" s="97"/>
      <c r="C193" s="97"/>
      <c r="D193" s="97"/>
      <c r="E193" s="97"/>
      <c r="F193" s="97"/>
      <c r="G193" s="97"/>
      <c r="H193" s="129"/>
      <c r="I193" s="97"/>
      <c r="J193" s="97"/>
      <c r="K193" s="97"/>
      <c r="L193" s="97"/>
      <c r="M193" s="97"/>
      <c r="N193" s="97"/>
      <c r="O193" s="97"/>
      <c r="P193" s="97"/>
      <c r="Q193" s="97"/>
      <c r="R193" s="97"/>
      <c r="S193" s="97"/>
      <c r="T193" s="97"/>
      <c r="U193" s="97"/>
      <c r="V193" s="97"/>
      <c r="W193" s="97"/>
      <c r="X193" s="129"/>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c r="DF193" s="97"/>
      <c r="DG193" s="97"/>
      <c r="DH193" s="97"/>
      <c r="DI193" s="97"/>
      <c r="DJ193" s="97"/>
      <c r="DK193" s="97"/>
      <c r="DL193" s="97"/>
      <c r="DM193" s="97"/>
      <c r="DN193" s="97"/>
      <c r="DO193" s="97"/>
      <c r="DP193" s="97"/>
      <c r="DQ193" s="97"/>
      <c r="DR193" s="97"/>
      <c r="DS193" s="97"/>
      <c r="DT193" s="97"/>
      <c r="DU193" s="97"/>
      <c r="DV193" s="97"/>
      <c r="DW193" s="97"/>
      <c r="DX193" s="97"/>
      <c r="DY193" s="97"/>
      <c r="DZ193" s="97"/>
      <c r="EA193" s="97"/>
      <c r="EB193" s="97"/>
      <c r="EC193" s="97"/>
      <c r="ED193" s="97"/>
      <c r="EE193" s="97"/>
      <c r="EF193" s="97"/>
      <c r="EG193" s="97"/>
      <c r="EH193" s="97"/>
      <c r="EI193" s="97"/>
      <c r="EJ193" s="97"/>
      <c r="EK193" s="97"/>
      <c r="EL193" s="97"/>
      <c r="EM193" s="97"/>
      <c r="EN193" s="97"/>
      <c r="EO193" s="97"/>
      <c r="EP193" s="97"/>
      <c r="EQ193" s="97"/>
      <c r="ER193" s="97"/>
      <c r="ES193" s="97"/>
      <c r="ET193" s="97"/>
    </row>
    <row r="194" spans="1:150" ht="15.75" customHeight="1">
      <c r="A194" s="97"/>
      <c r="B194" s="97"/>
      <c r="C194" s="97"/>
      <c r="D194" s="97"/>
      <c r="E194" s="97"/>
      <c r="F194" s="97"/>
      <c r="G194" s="97"/>
      <c r="H194" s="129"/>
      <c r="I194" s="97"/>
      <c r="J194" s="97"/>
      <c r="K194" s="97"/>
      <c r="L194" s="97"/>
      <c r="M194" s="97"/>
      <c r="N194" s="97"/>
      <c r="O194" s="97"/>
      <c r="P194" s="97"/>
      <c r="Q194" s="97"/>
      <c r="R194" s="97"/>
      <c r="S194" s="97"/>
      <c r="T194" s="97"/>
      <c r="U194" s="97"/>
      <c r="V194" s="97"/>
      <c r="W194" s="97"/>
      <c r="X194" s="129"/>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c r="DF194" s="97"/>
      <c r="DG194" s="97"/>
      <c r="DH194" s="97"/>
      <c r="DI194" s="97"/>
      <c r="DJ194" s="97"/>
      <c r="DK194" s="97"/>
      <c r="DL194" s="97"/>
      <c r="DM194" s="97"/>
      <c r="DN194" s="97"/>
      <c r="DO194" s="97"/>
      <c r="DP194" s="97"/>
      <c r="DQ194" s="97"/>
      <c r="DR194" s="97"/>
      <c r="DS194" s="97"/>
      <c r="DT194" s="97"/>
      <c r="DU194" s="97"/>
      <c r="DV194" s="97"/>
      <c r="DW194" s="97"/>
      <c r="DX194" s="97"/>
      <c r="DY194" s="97"/>
      <c r="DZ194" s="97"/>
      <c r="EA194" s="97"/>
      <c r="EB194" s="97"/>
      <c r="EC194" s="97"/>
      <c r="ED194" s="97"/>
      <c r="EE194" s="97"/>
      <c r="EF194" s="97"/>
      <c r="EG194" s="97"/>
      <c r="EH194" s="97"/>
      <c r="EI194" s="97"/>
      <c r="EJ194" s="97"/>
      <c r="EK194" s="97"/>
      <c r="EL194" s="97"/>
      <c r="EM194" s="97"/>
      <c r="EN194" s="97"/>
      <c r="EO194" s="97"/>
      <c r="EP194" s="97"/>
      <c r="EQ194" s="97"/>
      <c r="ER194" s="97"/>
      <c r="ES194" s="97"/>
      <c r="ET194" s="97"/>
    </row>
    <row r="195" spans="1:150" ht="15.75" customHeight="1">
      <c r="A195" s="97"/>
      <c r="B195" s="97"/>
      <c r="C195" s="97"/>
      <c r="D195" s="97"/>
      <c r="E195" s="97"/>
      <c r="F195" s="97"/>
      <c r="G195" s="97"/>
      <c r="H195" s="129"/>
      <c r="I195" s="97"/>
      <c r="J195" s="97"/>
      <c r="K195" s="97"/>
      <c r="L195" s="97"/>
      <c r="M195" s="97"/>
      <c r="N195" s="97"/>
      <c r="O195" s="97"/>
      <c r="P195" s="97"/>
      <c r="Q195" s="97"/>
      <c r="R195" s="97"/>
      <c r="S195" s="97"/>
      <c r="T195" s="97"/>
      <c r="U195" s="97"/>
      <c r="V195" s="97"/>
      <c r="W195" s="97"/>
      <c r="X195" s="129"/>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c r="DF195" s="97"/>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97"/>
      <c r="EC195" s="97"/>
      <c r="ED195" s="97"/>
      <c r="EE195" s="97"/>
      <c r="EF195" s="97"/>
      <c r="EG195" s="97"/>
      <c r="EH195" s="97"/>
      <c r="EI195" s="97"/>
      <c r="EJ195" s="97"/>
      <c r="EK195" s="97"/>
      <c r="EL195" s="97"/>
      <c r="EM195" s="97"/>
      <c r="EN195" s="97"/>
      <c r="EO195" s="97"/>
      <c r="EP195" s="97"/>
      <c r="EQ195" s="97"/>
      <c r="ER195" s="97"/>
      <c r="ES195" s="97"/>
      <c r="ET195" s="97"/>
    </row>
    <row r="196" spans="1:150" ht="15.75" customHeight="1">
      <c r="A196" s="97"/>
      <c r="B196" s="97"/>
      <c r="C196" s="97"/>
      <c r="D196" s="97"/>
      <c r="E196" s="97"/>
      <c r="F196" s="97"/>
      <c r="G196" s="97"/>
      <c r="H196" s="129"/>
      <c r="I196" s="97"/>
      <c r="J196" s="97"/>
      <c r="K196" s="97"/>
      <c r="L196" s="97"/>
      <c r="M196" s="97"/>
      <c r="N196" s="97"/>
      <c r="O196" s="97"/>
      <c r="P196" s="97"/>
      <c r="Q196" s="97"/>
      <c r="R196" s="97"/>
      <c r="S196" s="97"/>
      <c r="T196" s="97"/>
      <c r="U196" s="97"/>
      <c r="V196" s="97"/>
      <c r="W196" s="97"/>
      <c r="X196" s="129"/>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c r="DF196" s="97"/>
      <c r="DG196" s="97"/>
      <c r="DH196" s="97"/>
      <c r="DI196" s="97"/>
      <c r="DJ196" s="97"/>
      <c r="DK196" s="97"/>
      <c r="DL196" s="97"/>
      <c r="DM196" s="97"/>
      <c r="DN196" s="97"/>
      <c r="DO196" s="97"/>
      <c r="DP196" s="97"/>
      <c r="DQ196" s="97"/>
      <c r="DR196" s="97"/>
      <c r="DS196" s="97"/>
      <c r="DT196" s="97"/>
      <c r="DU196" s="97"/>
      <c r="DV196" s="97"/>
      <c r="DW196" s="97"/>
      <c r="DX196" s="97"/>
      <c r="DY196" s="97"/>
      <c r="DZ196" s="97"/>
      <c r="EA196" s="97"/>
      <c r="EB196" s="97"/>
      <c r="EC196" s="97"/>
      <c r="ED196" s="97"/>
      <c r="EE196" s="97"/>
      <c r="EF196" s="97"/>
      <c r="EG196" s="97"/>
      <c r="EH196" s="97"/>
      <c r="EI196" s="97"/>
      <c r="EJ196" s="97"/>
      <c r="EK196" s="97"/>
      <c r="EL196" s="97"/>
      <c r="EM196" s="97"/>
      <c r="EN196" s="97"/>
      <c r="EO196" s="97"/>
      <c r="EP196" s="97"/>
      <c r="EQ196" s="97"/>
      <c r="ER196" s="97"/>
      <c r="ES196" s="97"/>
      <c r="ET196" s="97"/>
    </row>
    <row r="197" spans="1:150" ht="15.75" customHeight="1">
      <c r="A197" s="97"/>
      <c r="B197" s="97"/>
      <c r="C197" s="97"/>
      <c r="D197" s="97"/>
      <c r="E197" s="97"/>
      <c r="F197" s="97"/>
      <c r="G197" s="97"/>
      <c r="H197" s="129"/>
      <c r="I197" s="97"/>
      <c r="J197" s="97"/>
      <c r="K197" s="97"/>
      <c r="L197" s="97"/>
      <c r="M197" s="97"/>
      <c r="N197" s="97"/>
      <c r="O197" s="97"/>
      <c r="P197" s="97"/>
      <c r="Q197" s="97"/>
      <c r="R197" s="97"/>
      <c r="S197" s="97"/>
      <c r="T197" s="97"/>
      <c r="U197" s="97"/>
      <c r="V197" s="97"/>
      <c r="W197" s="97"/>
      <c r="X197" s="129"/>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c r="DF197" s="9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97"/>
      <c r="EC197" s="97"/>
      <c r="ED197" s="97"/>
      <c r="EE197" s="97"/>
      <c r="EF197" s="97"/>
      <c r="EG197" s="97"/>
      <c r="EH197" s="97"/>
      <c r="EI197" s="97"/>
      <c r="EJ197" s="97"/>
      <c r="EK197" s="97"/>
      <c r="EL197" s="97"/>
      <c r="EM197" s="97"/>
      <c r="EN197" s="97"/>
      <c r="EO197" s="97"/>
      <c r="EP197" s="97"/>
      <c r="EQ197" s="97"/>
      <c r="ER197" s="97"/>
      <c r="ES197" s="97"/>
      <c r="ET197" s="97"/>
    </row>
    <row r="198" spans="1:150" ht="15.75" customHeight="1">
      <c r="A198" s="97"/>
      <c r="B198" s="97"/>
      <c r="C198" s="97"/>
      <c r="D198" s="97"/>
      <c r="E198" s="97"/>
      <c r="F198" s="97"/>
      <c r="G198" s="97"/>
      <c r="H198" s="129"/>
      <c r="I198" s="97"/>
      <c r="J198" s="97"/>
      <c r="K198" s="97"/>
      <c r="L198" s="97"/>
      <c r="M198" s="97"/>
      <c r="N198" s="97"/>
      <c r="O198" s="97"/>
      <c r="P198" s="97"/>
      <c r="Q198" s="97"/>
      <c r="R198" s="97"/>
      <c r="S198" s="97"/>
      <c r="T198" s="97"/>
      <c r="U198" s="97"/>
      <c r="V198" s="97"/>
      <c r="W198" s="97"/>
      <c r="X198" s="129"/>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c r="DF198" s="97"/>
      <c r="DG198" s="97"/>
      <c r="DH198" s="97"/>
      <c r="DI198" s="97"/>
      <c r="DJ198" s="97"/>
      <c r="DK198" s="97"/>
      <c r="DL198" s="97"/>
      <c r="DM198" s="97"/>
      <c r="DN198" s="97"/>
      <c r="DO198" s="97"/>
      <c r="DP198" s="97"/>
      <c r="DQ198" s="97"/>
      <c r="DR198" s="97"/>
      <c r="DS198" s="97"/>
      <c r="DT198" s="97"/>
      <c r="DU198" s="97"/>
      <c r="DV198" s="97"/>
      <c r="DW198" s="97"/>
      <c r="DX198" s="97"/>
      <c r="DY198" s="97"/>
      <c r="DZ198" s="97"/>
      <c r="EA198" s="97"/>
      <c r="EB198" s="97"/>
      <c r="EC198" s="97"/>
      <c r="ED198" s="97"/>
      <c r="EE198" s="97"/>
      <c r="EF198" s="97"/>
      <c r="EG198" s="97"/>
      <c r="EH198" s="97"/>
      <c r="EI198" s="97"/>
      <c r="EJ198" s="97"/>
      <c r="EK198" s="97"/>
      <c r="EL198" s="97"/>
      <c r="EM198" s="97"/>
      <c r="EN198" s="97"/>
      <c r="EO198" s="97"/>
      <c r="EP198" s="97"/>
      <c r="EQ198" s="97"/>
      <c r="ER198" s="97"/>
      <c r="ES198" s="97"/>
      <c r="ET198" s="97"/>
    </row>
    <row r="199" spans="1:150" ht="15.75" customHeight="1">
      <c r="A199" s="97"/>
      <c r="B199" s="97"/>
      <c r="C199" s="97"/>
      <c r="D199" s="97"/>
      <c r="E199" s="97"/>
      <c r="F199" s="97"/>
      <c r="G199" s="97"/>
      <c r="H199" s="129"/>
      <c r="I199" s="97"/>
      <c r="J199" s="97"/>
      <c r="K199" s="97"/>
      <c r="L199" s="97"/>
      <c r="M199" s="97"/>
      <c r="N199" s="97"/>
      <c r="O199" s="97"/>
      <c r="P199" s="97"/>
      <c r="Q199" s="97"/>
      <c r="R199" s="97"/>
      <c r="S199" s="97"/>
      <c r="T199" s="97"/>
      <c r="U199" s="97"/>
      <c r="V199" s="97"/>
      <c r="W199" s="97"/>
      <c r="X199" s="129"/>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c r="DF199" s="9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97"/>
      <c r="EC199" s="97"/>
      <c r="ED199" s="97"/>
      <c r="EE199" s="97"/>
      <c r="EF199" s="97"/>
      <c r="EG199" s="97"/>
      <c r="EH199" s="97"/>
      <c r="EI199" s="97"/>
      <c r="EJ199" s="97"/>
      <c r="EK199" s="97"/>
      <c r="EL199" s="97"/>
      <c r="EM199" s="97"/>
      <c r="EN199" s="97"/>
      <c r="EO199" s="97"/>
      <c r="EP199" s="97"/>
      <c r="EQ199" s="97"/>
      <c r="ER199" s="97"/>
      <c r="ES199" s="97"/>
      <c r="ET199" s="97"/>
    </row>
    <row r="200" spans="1:150" ht="15.75" customHeight="1">
      <c r="A200" s="97"/>
      <c r="B200" s="97"/>
      <c r="C200" s="97"/>
      <c r="D200" s="97"/>
      <c r="E200" s="97"/>
      <c r="F200" s="97"/>
      <c r="G200" s="97"/>
      <c r="H200" s="129"/>
      <c r="I200" s="97"/>
      <c r="J200" s="97"/>
      <c r="K200" s="97"/>
      <c r="L200" s="97"/>
      <c r="M200" s="97"/>
      <c r="N200" s="97"/>
      <c r="O200" s="97"/>
      <c r="P200" s="97"/>
      <c r="Q200" s="97"/>
      <c r="R200" s="97"/>
      <c r="S200" s="97"/>
      <c r="T200" s="97"/>
      <c r="U200" s="97"/>
      <c r="V200" s="97"/>
      <c r="W200" s="97"/>
      <c r="X200" s="129"/>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c r="DF200" s="97"/>
      <c r="DG200" s="97"/>
      <c r="DH200" s="97"/>
      <c r="DI200" s="97"/>
      <c r="DJ200" s="97"/>
      <c r="DK200" s="97"/>
      <c r="DL200" s="97"/>
      <c r="DM200" s="97"/>
      <c r="DN200" s="97"/>
      <c r="DO200" s="97"/>
      <c r="DP200" s="97"/>
      <c r="DQ200" s="97"/>
      <c r="DR200" s="97"/>
      <c r="DS200" s="97"/>
      <c r="DT200" s="97"/>
      <c r="DU200" s="97"/>
      <c r="DV200" s="97"/>
      <c r="DW200" s="97"/>
      <c r="DX200" s="97"/>
      <c r="DY200" s="97"/>
      <c r="DZ200" s="97"/>
      <c r="EA200" s="97"/>
      <c r="EB200" s="97"/>
      <c r="EC200" s="97"/>
      <c r="ED200" s="97"/>
      <c r="EE200" s="97"/>
      <c r="EF200" s="97"/>
      <c r="EG200" s="97"/>
      <c r="EH200" s="97"/>
      <c r="EI200" s="97"/>
      <c r="EJ200" s="97"/>
      <c r="EK200" s="97"/>
      <c r="EL200" s="97"/>
      <c r="EM200" s="97"/>
      <c r="EN200" s="97"/>
      <c r="EO200" s="97"/>
      <c r="EP200" s="97"/>
      <c r="EQ200" s="97"/>
      <c r="ER200" s="97"/>
      <c r="ES200" s="97"/>
      <c r="ET200" s="97"/>
    </row>
    <row r="201" spans="1:150" ht="15.75" customHeight="1">
      <c r="A201" s="97"/>
      <c r="B201" s="97"/>
      <c r="C201" s="97"/>
      <c r="D201" s="97"/>
      <c r="E201" s="97"/>
      <c r="F201" s="97"/>
      <c r="G201" s="97"/>
      <c r="H201" s="129"/>
      <c r="I201" s="97"/>
      <c r="J201" s="97"/>
      <c r="K201" s="97"/>
      <c r="L201" s="97"/>
      <c r="M201" s="97"/>
      <c r="N201" s="97"/>
      <c r="O201" s="97"/>
      <c r="P201" s="97"/>
      <c r="Q201" s="97"/>
      <c r="R201" s="97"/>
      <c r="S201" s="97"/>
      <c r="T201" s="97"/>
      <c r="U201" s="97"/>
      <c r="V201" s="97"/>
      <c r="W201" s="97"/>
      <c r="X201" s="129"/>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c r="DF201" s="97"/>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97"/>
      <c r="EC201" s="97"/>
      <c r="ED201" s="97"/>
      <c r="EE201" s="97"/>
      <c r="EF201" s="97"/>
      <c r="EG201" s="97"/>
      <c r="EH201" s="97"/>
      <c r="EI201" s="97"/>
      <c r="EJ201" s="97"/>
      <c r="EK201" s="97"/>
      <c r="EL201" s="97"/>
      <c r="EM201" s="97"/>
      <c r="EN201" s="97"/>
      <c r="EO201" s="97"/>
      <c r="EP201" s="97"/>
      <c r="EQ201" s="97"/>
      <c r="ER201" s="97"/>
      <c r="ES201" s="97"/>
      <c r="ET201" s="97"/>
    </row>
    <row r="202" spans="1:150" ht="15.75" customHeight="1">
      <c r="A202" s="97"/>
      <c r="B202" s="97"/>
      <c r="C202" s="97"/>
      <c r="D202" s="97"/>
      <c r="E202" s="97"/>
      <c r="F202" s="97"/>
      <c r="G202" s="97"/>
      <c r="H202" s="129"/>
      <c r="I202" s="97"/>
      <c r="J202" s="97"/>
      <c r="K202" s="97"/>
      <c r="L202" s="97"/>
      <c r="M202" s="97"/>
      <c r="N202" s="97"/>
      <c r="O202" s="97"/>
      <c r="P202" s="97"/>
      <c r="Q202" s="97"/>
      <c r="R202" s="97"/>
      <c r="S202" s="97"/>
      <c r="T202" s="97"/>
      <c r="U202" s="97"/>
      <c r="V202" s="97"/>
      <c r="W202" s="97"/>
      <c r="X202" s="129"/>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c r="DF202" s="97"/>
      <c r="DG202" s="97"/>
      <c r="DH202" s="97"/>
      <c r="DI202" s="97"/>
      <c r="DJ202" s="97"/>
      <c r="DK202" s="97"/>
      <c r="DL202" s="97"/>
      <c r="DM202" s="97"/>
      <c r="DN202" s="97"/>
      <c r="DO202" s="97"/>
      <c r="DP202" s="97"/>
      <c r="DQ202" s="97"/>
      <c r="DR202" s="97"/>
      <c r="DS202" s="97"/>
      <c r="DT202" s="97"/>
      <c r="DU202" s="97"/>
      <c r="DV202" s="97"/>
      <c r="DW202" s="97"/>
      <c r="DX202" s="97"/>
      <c r="DY202" s="97"/>
      <c r="DZ202" s="97"/>
      <c r="EA202" s="97"/>
      <c r="EB202" s="97"/>
      <c r="EC202" s="97"/>
      <c r="ED202" s="97"/>
      <c r="EE202" s="97"/>
      <c r="EF202" s="97"/>
      <c r="EG202" s="97"/>
      <c r="EH202" s="97"/>
      <c r="EI202" s="97"/>
      <c r="EJ202" s="97"/>
      <c r="EK202" s="97"/>
      <c r="EL202" s="97"/>
      <c r="EM202" s="97"/>
      <c r="EN202" s="97"/>
      <c r="EO202" s="97"/>
      <c r="EP202" s="97"/>
      <c r="EQ202" s="97"/>
      <c r="ER202" s="97"/>
      <c r="ES202" s="97"/>
      <c r="ET202" s="97"/>
    </row>
    <row r="203" spans="1:150" ht="15.75" customHeight="1">
      <c r="A203" s="97"/>
      <c r="B203" s="97"/>
      <c r="C203" s="97"/>
      <c r="D203" s="97"/>
      <c r="E203" s="97"/>
      <c r="F203" s="97"/>
      <c r="G203" s="97"/>
      <c r="H203" s="129"/>
      <c r="I203" s="97"/>
      <c r="J203" s="97"/>
      <c r="K203" s="97"/>
      <c r="L203" s="97"/>
      <c r="M203" s="97"/>
      <c r="N203" s="97"/>
      <c r="O203" s="97"/>
      <c r="P203" s="97"/>
      <c r="Q203" s="97"/>
      <c r="R203" s="97"/>
      <c r="S203" s="97"/>
      <c r="T203" s="97"/>
      <c r="U203" s="97"/>
      <c r="V203" s="97"/>
      <c r="W203" s="97"/>
      <c r="X203" s="129"/>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c r="DF203" s="9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97"/>
      <c r="EC203" s="97"/>
      <c r="ED203" s="97"/>
      <c r="EE203" s="97"/>
      <c r="EF203" s="97"/>
      <c r="EG203" s="97"/>
      <c r="EH203" s="97"/>
      <c r="EI203" s="97"/>
      <c r="EJ203" s="97"/>
      <c r="EK203" s="97"/>
      <c r="EL203" s="97"/>
      <c r="EM203" s="97"/>
      <c r="EN203" s="97"/>
      <c r="EO203" s="97"/>
      <c r="EP203" s="97"/>
      <c r="EQ203" s="97"/>
      <c r="ER203" s="97"/>
      <c r="ES203" s="97"/>
      <c r="ET203" s="97"/>
    </row>
    <row r="204" spans="1:150" ht="15.75" customHeight="1">
      <c r="A204" s="97"/>
      <c r="B204" s="97"/>
      <c r="C204" s="97"/>
      <c r="D204" s="97"/>
      <c r="E204" s="97"/>
      <c r="F204" s="97"/>
      <c r="G204" s="97"/>
      <c r="H204" s="129"/>
      <c r="I204" s="97"/>
      <c r="J204" s="97"/>
      <c r="K204" s="97"/>
      <c r="L204" s="97"/>
      <c r="M204" s="97"/>
      <c r="N204" s="97"/>
      <c r="O204" s="97"/>
      <c r="P204" s="97"/>
      <c r="Q204" s="97"/>
      <c r="R204" s="97"/>
      <c r="S204" s="97"/>
      <c r="T204" s="97"/>
      <c r="U204" s="97"/>
      <c r="V204" s="97"/>
      <c r="W204" s="97"/>
      <c r="X204" s="129"/>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c r="DF204" s="97"/>
      <c r="DG204" s="97"/>
      <c r="DH204" s="97"/>
      <c r="DI204" s="97"/>
      <c r="DJ204" s="97"/>
      <c r="DK204" s="97"/>
      <c r="DL204" s="97"/>
      <c r="DM204" s="97"/>
      <c r="DN204" s="97"/>
      <c r="DO204" s="97"/>
      <c r="DP204" s="97"/>
      <c r="DQ204" s="97"/>
      <c r="DR204" s="97"/>
      <c r="DS204" s="97"/>
      <c r="DT204" s="97"/>
      <c r="DU204" s="97"/>
      <c r="DV204" s="97"/>
      <c r="DW204" s="97"/>
      <c r="DX204" s="97"/>
      <c r="DY204" s="97"/>
      <c r="DZ204" s="97"/>
      <c r="EA204" s="97"/>
      <c r="EB204" s="97"/>
      <c r="EC204" s="97"/>
      <c r="ED204" s="97"/>
      <c r="EE204" s="97"/>
      <c r="EF204" s="97"/>
      <c r="EG204" s="97"/>
      <c r="EH204" s="97"/>
      <c r="EI204" s="97"/>
      <c r="EJ204" s="97"/>
      <c r="EK204" s="97"/>
      <c r="EL204" s="97"/>
      <c r="EM204" s="97"/>
      <c r="EN204" s="97"/>
      <c r="EO204" s="97"/>
      <c r="EP204" s="97"/>
      <c r="EQ204" s="97"/>
      <c r="ER204" s="97"/>
      <c r="ES204" s="97"/>
      <c r="ET204" s="97"/>
    </row>
    <row r="205" spans="1:150" ht="15.75" customHeight="1">
      <c r="A205" s="97"/>
      <c r="B205" s="97"/>
      <c r="C205" s="97"/>
      <c r="D205" s="97"/>
      <c r="E205" s="97"/>
      <c r="F205" s="97"/>
      <c r="G205" s="97"/>
      <c r="H205" s="129"/>
      <c r="I205" s="97"/>
      <c r="J205" s="97"/>
      <c r="K205" s="97"/>
      <c r="L205" s="97"/>
      <c r="M205" s="97"/>
      <c r="N205" s="97"/>
      <c r="O205" s="97"/>
      <c r="P205" s="97"/>
      <c r="Q205" s="97"/>
      <c r="R205" s="97"/>
      <c r="S205" s="97"/>
      <c r="T205" s="97"/>
      <c r="U205" s="97"/>
      <c r="V205" s="97"/>
      <c r="W205" s="97"/>
      <c r="X205" s="129"/>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c r="DF205" s="9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97"/>
      <c r="EC205" s="97"/>
      <c r="ED205" s="97"/>
      <c r="EE205" s="97"/>
      <c r="EF205" s="97"/>
      <c r="EG205" s="97"/>
      <c r="EH205" s="97"/>
      <c r="EI205" s="97"/>
      <c r="EJ205" s="97"/>
      <c r="EK205" s="97"/>
      <c r="EL205" s="97"/>
      <c r="EM205" s="97"/>
      <c r="EN205" s="97"/>
      <c r="EO205" s="97"/>
      <c r="EP205" s="97"/>
      <c r="EQ205" s="97"/>
      <c r="ER205" s="97"/>
      <c r="ES205" s="97"/>
      <c r="ET205" s="97"/>
    </row>
    <row r="206" spans="1:150" ht="15.75" customHeight="1">
      <c r="A206" s="97"/>
      <c r="B206" s="97"/>
      <c r="C206" s="97"/>
      <c r="D206" s="97"/>
      <c r="E206" s="97"/>
      <c r="F206" s="97"/>
      <c r="G206" s="97"/>
      <c r="H206" s="129"/>
      <c r="I206" s="97"/>
      <c r="J206" s="97"/>
      <c r="K206" s="97"/>
      <c r="L206" s="97"/>
      <c r="M206" s="97"/>
      <c r="N206" s="97"/>
      <c r="O206" s="97"/>
      <c r="P206" s="97"/>
      <c r="Q206" s="97"/>
      <c r="R206" s="97"/>
      <c r="S206" s="97"/>
      <c r="T206" s="97"/>
      <c r="U206" s="97"/>
      <c r="V206" s="97"/>
      <c r="W206" s="97"/>
      <c r="X206" s="129"/>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c r="DF206" s="97"/>
      <c r="DG206" s="97"/>
      <c r="DH206" s="97"/>
      <c r="DI206" s="97"/>
      <c r="DJ206" s="97"/>
      <c r="DK206" s="97"/>
      <c r="DL206" s="97"/>
      <c r="DM206" s="97"/>
      <c r="DN206" s="97"/>
      <c r="DO206" s="97"/>
      <c r="DP206" s="97"/>
      <c r="DQ206" s="97"/>
      <c r="DR206" s="97"/>
      <c r="DS206" s="97"/>
      <c r="DT206" s="97"/>
      <c r="DU206" s="97"/>
      <c r="DV206" s="97"/>
      <c r="DW206" s="97"/>
      <c r="DX206" s="97"/>
      <c r="DY206" s="97"/>
      <c r="DZ206" s="97"/>
      <c r="EA206" s="97"/>
      <c r="EB206" s="97"/>
      <c r="EC206" s="97"/>
      <c r="ED206" s="97"/>
      <c r="EE206" s="97"/>
      <c r="EF206" s="97"/>
      <c r="EG206" s="97"/>
      <c r="EH206" s="97"/>
      <c r="EI206" s="97"/>
      <c r="EJ206" s="97"/>
      <c r="EK206" s="97"/>
      <c r="EL206" s="97"/>
      <c r="EM206" s="97"/>
      <c r="EN206" s="97"/>
      <c r="EO206" s="97"/>
      <c r="EP206" s="97"/>
      <c r="EQ206" s="97"/>
      <c r="ER206" s="97"/>
      <c r="ES206" s="97"/>
      <c r="ET206" s="97"/>
    </row>
    <row r="207" spans="1:150" ht="15.75" customHeight="1">
      <c r="A207" s="97"/>
      <c r="B207" s="97"/>
      <c r="C207" s="97"/>
      <c r="D207" s="97"/>
      <c r="E207" s="97"/>
      <c r="F207" s="97"/>
      <c r="G207" s="97"/>
      <c r="H207" s="129"/>
      <c r="I207" s="97"/>
      <c r="J207" s="97"/>
      <c r="K207" s="97"/>
      <c r="L207" s="97"/>
      <c r="M207" s="97"/>
      <c r="N207" s="97"/>
      <c r="O207" s="97"/>
      <c r="P207" s="97"/>
      <c r="Q207" s="97"/>
      <c r="R207" s="97"/>
      <c r="S207" s="97"/>
      <c r="T207" s="97"/>
      <c r="U207" s="97"/>
      <c r="V207" s="97"/>
      <c r="W207" s="97"/>
      <c r="X207" s="129"/>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c r="DF207" s="97"/>
      <c r="DG207" s="97"/>
      <c r="DH207" s="97"/>
      <c r="DI207" s="97"/>
      <c r="DJ207" s="97"/>
      <c r="DK207" s="97"/>
      <c r="DL207" s="97"/>
      <c r="DM207" s="97"/>
      <c r="DN207" s="97"/>
      <c r="DO207" s="97"/>
      <c r="DP207" s="97"/>
      <c r="DQ207" s="97"/>
      <c r="DR207" s="97"/>
      <c r="DS207" s="97"/>
      <c r="DT207" s="97"/>
      <c r="DU207" s="97"/>
      <c r="DV207" s="97"/>
      <c r="DW207" s="97"/>
      <c r="DX207" s="97"/>
      <c r="DY207" s="97"/>
      <c r="DZ207" s="97"/>
      <c r="EA207" s="97"/>
      <c r="EB207" s="97"/>
      <c r="EC207" s="97"/>
      <c r="ED207" s="97"/>
      <c r="EE207" s="97"/>
      <c r="EF207" s="97"/>
      <c r="EG207" s="97"/>
      <c r="EH207" s="97"/>
      <c r="EI207" s="97"/>
      <c r="EJ207" s="97"/>
      <c r="EK207" s="97"/>
      <c r="EL207" s="97"/>
      <c r="EM207" s="97"/>
      <c r="EN207" s="97"/>
      <c r="EO207" s="97"/>
      <c r="EP207" s="97"/>
      <c r="EQ207" s="97"/>
      <c r="ER207" s="97"/>
      <c r="ES207" s="97"/>
      <c r="ET207" s="97"/>
    </row>
    <row r="208" spans="1:150" ht="15.75" customHeight="1">
      <c r="A208" s="97"/>
      <c r="B208" s="97"/>
      <c r="C208" s="97"/>
      <c r="D208" s="97"/>
      <c r="E208" s="97"/>
      <c r="F208" s="97"/>
      <c r="G208" s="97"/>
      <c r="H208" s="129"/>
      <c r="I208" s="97"/>
      <c r="J208" s="97"/>
      <c r="K208" s="97"/>
      <c r="L208" s="97"/>
      <c r="M208" s="97"/>
      <c r="N208" s="97"/>
      <c r="O208" s="97"/>
      <c r="P208" s="97"/>
      <c r="Q208" s="97"/>
      <c r="R208" s="97"/>
      <c r="S208" s="97"/>
      <c r="T208" s="97"/>
      <c r="U208" s="97"/>
      <c r="V208" s="97"/>
      <c r="W208" s="97"/>
      <c r="X208" s="129"/>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c r="DF208" s="97"/>
      <c r="DG208" s="97"/>
      <c r="DH208" s="97"/>
      <c r="DI208" s="97"/>
      <c r="DJ208" s="97"/>
      <c r="DK208" s="97"/>
      <c r="DL208" s="97"/>
      <c r="DM208" s="97"/>
      <c r="DN208" s="97"/>
      <c r="DO208" s="97"/>
      <c r="DP208" s="97"/>
      <c r="DQ208" s="97"/>
      <c r="DR208" s="97"/>
      <c r="DS208" s="97"/>
      <c r="DT208" s="97"/>
      <c r="DU208" s="97"/>
      <c r="DV208" s="97"/>
      <c r="DW208" s="97"/>
      <c r="DX208" s="97"/>
      <c r="DY208" s="97"/>
      <c r="DZ208" s="97"/>
      <c r="EA208" s="97"/>
      <c r="EB208" s="97"/>
      <c r="EC208" s="97"/>
      <c r="ED208" s="97"/>
      <c r="EE208" s="97"/>
      <c r="EF208" s="97"/>
      <c r="EG208" s="97"/>
      <c r="EH208" s="97"/>
      <c r="EI208" s="97"/>
      <c r="EJ208" s="97"/>
      <c r="EK208" s="97"/>
      <c r="EL208" s="97"/>
      <c r="EM208" s="97"/>
      <c r="EN208" s="97"/>
      <c r="EO208" s="97"/>
      <c r="EP208" s="97"/>
      <c r="EQ208" s="97"/>
      <c r="ER208" s="97"/>
      <c r="ES208" s="97"/>
      <c r="ET208" s="97"/>
    </row>
    <row r="209" spans="1:150" ht="15.75" customHeight="1">
      <c r="A209" s="97"/>
      <c r="B209" s="97"/>
      <c r="C209" s="97"/>
      <c r="D209" s="97"/>
      <c r="E209" s="97"/>
      <c r="F209" s="97"/>
      <c r="G209" s="97"/>
      <c r="H209" s="129"/>
      <c r="I209" s="97"/>
      <c r="J209" s="97"/>
      <c r="K209" s="97"/>
      <c r="L209" s="97"/>
      <c r="M209" s="97"/>
      <c r="N209" s="97"/>
      <c r="O209" s="97"/>
      <c r="P209" s="97"/>
      <c r="Q209" s="97"/>
      <c r="R209" s="97"/>
      <c r="S209" s="97"/>
      <c r="T209" s="97"/>
      <c r="U209" s="97"/>
      <c r="V209" s="97"/>
      <c r="W209" s="97"/>
      <c r="X209" s="129"/>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c r="DF209" s="97"/>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97"/>
      <c r="EC209" s="97"/>
      <c r="ED209" s="97"/>
      <c r="EE209" s="97"/>
      <c r="EF209" s="97"/>
      <c r="EG209" s="97"/>
      <c r="EH209" s="97"/>
      <c r="EI209" s="97"/>
      <c r="EJ209" s="97"/>
      <c r="EK209" s="97"/>
      <c r="EL209" s="97"/>
      <c r="EM209" s="97"/>
      <c r="EN209" s="97"/>
      <c r="EO209" s="97"/>
      <c r="EP209" s="97"/>
      <c r="EQ209" s="97"/>
      <c r="ER209" s="97"/>
      <c r="ES209" s="97"/>
      <c r="ET209" s="97"/>
    </row>
    <row r="210" spans="1:150" ht="15.75" customHeight="1">
      <c r="A210" s="97"/>
      <c r="B210" s="97"/>
      <c r="C210" s="97"/>
      <c r="D210" s="97"/>
      <c r="E210" s="97"/>
      <c r="F210" s="97"/>
      <c r="G210" s="97"/>
      <c r="H210" s="129"/>
      <c r="I210" s="97"/>
      <c r="J210" s="97"/>
      <c r="K210" s="97"/>
      <c r="L210" s="97"/>
      <c r="M210" s="97"/>
      <c r="N210" s="97"/>
      <c r="O210" s="97"/>
      <c r="P210" s="97"/>
      <c r="Q210" s="97"/>
      <c r="R210" s="97"/>
      <c r="S210" s="97"/>
      <c r="T210" s="97"/>
      <c r="U210" s="97"/>
      <c r="V210" s="97"/>
      <c r="W210" s="97"/>
      <c r="X210" s="129"/>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c r="DF210" s="97"/>
      <c r="DG210" s="97"/>
      <c r="DH210" s="97"/>
      <c r="DI210" s="97"/>
      <c r="DJ210" s="97"/>
      <c r="DK210" s="97"/>
      <c r="DL210" s="97"/>
      <c r="DM210" s="97"/>
      <c r="DN210" s="97"/>
      <c r="DO210" s="97"/>
      <c r="DP210" s="97"/>
      <c r="DQ210" s="97"/>
      <c r="DR210" s="97"/>
      <c r="DS210" s="97"/>
      <c r="DT210" s="97"/>
      <c r="DU210" s="97"/>
      <c r="DV210" s="97"/>
      <c r="DW210" s="97"/>
      <c r="DX210" s="97"/>
      <c r="DY210" s="97"/>
      <c r="DZ210" s="97"/>
      <c r="EA210" s="97"/>
      <c r="EB210" s="97"/>
      <c r="EC210" s="97"/>
      <c r="ED210" s="97"/>
      <c r="EE210" s="97"/>
      <c r="EF210" s="97"/>
      <c r="EG210" s="97"/>
      <c r="EH210" s="97"/>
      <c r="EI210" s="97"/>
      <c r="EJ210" s="97"/>
      <c r="EK210" s="97"/>
      <c r="EL210" s="97"/>
      <c r="EM210" s="97"/>
      <c r="EN210" s="97"/>
      <c r="EO210" s="97"/>
      <c r="EP210" s="97"/>
      <c r="EQ210" s="97"/>
      <c r="ER210" s="97"/>
      <c r="ES210" s="97"/>
      <c r="ET210" s="97"/>
    </row>
    <row r="211" spans="1:150" ht="15.75" customHeight="1">
      <c r="A211" s="97"/>
      <c r="B211" s="97"/>
      <c r="C211" s="97"/>
      <c r="D211" s="97"/>
      <c r="E211" s="97"/>
      <c r="F211" s="97"/>
      <c r="G211" s="97"/>
      <c r="H211" s="129"/>
      <c r="I211" s="97"/>
      <c r="J211" s="97"/>
      <c r="K211" s="97"/>
      <c r="L211" s="97"/>
      <c r="M211" s="97"/>
      <c r="N211" s="97"/>
      <c r="O211" s="97"/>
      <c r="P211" s="97"/>
      <c r="Q211" s="97"/>
      <c r="R211" s="97"/>
      <c r="S211" s="97"/>
      <c r="T211" s="97"/>
      <c r="U211" s="97"/>
      <c r="V211" s="97"/>
      <c r="W211" s="97"/>
      <c r="X211" s="129"/>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c r="DF211" s="97"/>
      <c r="DG211" s="97"/>
      <c r="DH211" s="97"/>
      <c r="DI211" s="97"/>
      <c r="DJ211" s="97"/>
      <c r="DK211" s="97"/>
      <c r="DL211" s="97"/>
      <c r="DM211" s="97"/>
      <c r="DN211" s="97"/>
      <c r="DO211" s="97"/>
      <c r="DP211" s="97"/>
      <c r="DQ211" s="97"/>
      <c r="DR211" s="97"/>
      <c r="DS211" s="97"/>
      <c r="DT211" s="97"/>
      <c r="DU211" s="97"/>
      <c r="DV211" s="97"/>
      <c r="DW211" s="97"/>
      <c r="DX211" s="97"/>
      <c r="DY211" s="97"/>
      <c r="DZ211" s="97"/>
      <c r="EA211" s="97"/>
      <c r="EB211" s="97"/>
      <c r="EC211" s="97"/>
      <c r="ED211" s="97"/>
      <c r="EE211" s="97"/>
      <c r="EF211" s="97"/>
      <c r="EG211" s="97"/>
      <c r="EH211" s="97"/>
      <c r="EI211" s="97"/>
      <c r="EJ211" s="97"/>
      <c r="EK211" s="97"/>
      <c r="EL211" s="97"/>
      <c r="EM211" s="97"/>
      <c r="EN211" s="97"/>
      <c r="EO211" s="97"/>
      <c r="EP211" s="97"/>
      <c r="EQ211" s="97"/>
      <c r="ER211" s="97"/>
      <c r="ES211" s="97"/>
      <c r="ET211" s="97"/>
    </row>
    <row r="212" spans="1:150" ht="15.75" customHeight="1">
      <c r="A212" s="97"/>
      <c r="B212" s="97"/>
      <c r="C212" s="97"/>
      <c r="D212" s="97"/>
      <c r="E212" s="97"/>
      <c r="F212" s="97"/>
      <c r="G212" s="97"/>
      <c r="H212" s="129"/>
      <c r="I212" s="97"/>
      <c r="J212" s="97"/>
      <c r="K212" s="97"/>
      <c r="L212" s="97"/>
      <c r="M212" s="97"/>
      <c r="N212" s="97"/>
      <c r="O212" s="97"/>
      <c r="P212" s="97"/>
      <c r="Q212" s="97"/>
      <c r="R212" s="97"/>
      <c r="S212" s="97"/>
      <c r="T212" s="97"/>
      <c r="U212" s="97"/>
      <c r="V212" s="97"/>
      <c r="W212" s="97"/>
      <c r="X212" s="129"/>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c r="DF212" s="97"/>
      <c r="DG212" s="97"/>
      <c r="DH212" s="97"/>
      <c r="DI212" s="97"/>
      <c r="DJ212" s="97"/>
      <c r="DK212" s="97"/>
      <c r="DL212" s="97"/>
      <c r="DM212" s="97"/>
      <c r="DN212" s="97"/>
      <c r="DO212" s="97"/>
      <c r="DP212" s="97"/>
      <c r="DQ212" s="97"/>
      <c r="DR212" s="97"/>
      <c r="DS212" s="97"/>
      <c r="DT212" s="97"/>
      <c r="DU212" s="97"/>
      <c r="DV212" s="97"/>
      <c r="DW212" s="97"/>
      <c r="DX212" s="97"/>
      <c r="DY212" s="97"/>
      <c r="DZ212" s="97"/>
      <c r="EA212" s="97"/>
      <c r="EB212" s="97"/>
      <c r="EC212" s="97"/>
      <c r="ED212" s="97"/>
      <c r="EE212" s="97"/>
      <c r="EF212" s="97"/>
      <c r="EG212" s="97"/>
      <c r="EH212" s="97"/>
      <c r="EI212" s="97"/>
      <c r="EJ212" s="97"/>
      <c r="EK212" s="97"/>
      <c r="EL212" s="97"/>
      <c r="EM212" s="97"/>
      <c r="EN212" s="97"/>
      <c r="EO212" s="97"/>
      <c r="EP212" s="97"/>
      <c r="EQ212" s="97"/>
      <c r="ER212" s="97"/>
      <c r="ES212" s="97"/>
      <c r="ET212" s="97"/>
    </row>
    <row r="213" spans="1:150" ht="15.75" customHeight="1">
      <c r="A213" s="97"/>
      <c r="B213" s="97"/>
      <c r="C213" s="97"/>
      <c r="D213" s="97"/>
      <c r="E213" s="97"/>
      <c r="F213" s="97"/>
      <c r="G213" s="97"/>
      <c r="H213" s="129"/>
      <c r="I213" s="97"/>
      <c r="J213" s="97"/>
      <c r="K213" s="97"/>
      <c r="L213" s="97"/>
      <c r="M213" s="97"/>
      <c r="N213" s="97"/>
      <c r="O213" s="97"/>
      <c r="P213" s="97"/>
      <c r="Q213" s="97"/>
      <c r="R213" s="97"/>
      <c r="S213" s="97"/>
      <c r="T213" s="97"/>
      <c r="U213" s="97"/>
      <c r="V213" s="97"/>
      <c r="W213" s="97"/>
      <c r="X213" s="129"/>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c r="DF213" s="97"/>
      <c r="DG213" s="97"/>
      <c r="DH213" s="97"/>
      <c r="DI213" s="97"/>
      <c r="DJ213" s="97"/>
      <c r="DK213" s="97"/>
      <c r="DL213" s="97"/>
      <c r="DM213" s="97"/>
      <c r="DN213" s="97"/>
      <c r="DO213" s="97"/>
      <c r="DP213" s="97"/>
      <c r="DQ213" s="97"/>
      <c r="DR213" s="97"/>
      <c r="DS213" s="97"/>
      <c r="DT213" s="97"/>
      <c r="DU213" s="97"/>
      <c r="DV213" s="97"/>
      <c r="DW213" s="97"/>
      <c r="DX213" s="97"/>
      <c r="DY213" s="97"/>
      <c r="DZ213" s="97"/>
      <c r="EA213" s="97"/>
      <c r="EB213" s="97"/>
      <c r="EC213" s="97"/>
      <c r="ED213" s="97"/>
      <c r="EE213" s="97"/>
      <c r="EF213" s="97"/>
      <c r="EG213" s="97"/>
      <c r="EH213" s="97"/>
      <c r="EI213" s="97"/>
      <c r="EJ213" s="97"/>
      <c r="EK213" s="97"/>
      <c r="EL213" s="97"/>
      <c r="EM213" s="97"/>
      <c r="EN213" s="97"/>
      <c r="EO213" s="97"/>
      <c r="EP213" s="97"/>
      <c r="EQ213" s="97"/>
      <c r="ER213" s="97"/>
      <c r="ES213" s="97"/>
      <c r="ET213" s="97"/>
    </row>
    <row r="214" spans="1:150" ht="15.75" customHeight="1">
      <c r="A214" s="97"/>
      <c r="B214" s="97"/>
      <c r="C214" s="97"/>
      <c r="D214" s="97"/>
      <c r="E214" s="97"/>
      <c r="F214" s="97"/>
      <c r="G214" s="97"/>
      <c r="H214" s="129"/>
      <c r="I214" s="97"/>
      <c r="J214" s="97"/>
      <c r="K214" s="97"/>
      <c r="L214" s="97"/>
      <c r="M214" s="97"/>
      <c r="N214" s="97"/>
      <c r="O214" s="97"/>
      <c r="P214" s="97"/>
      <c r="Q214" s="97"/>
      <c r="R214" s="97"/>
      <c r="S214" s="97"/>
      <c r="T214" s="97"/>
      <c r="U214" s="97"/>
      <c r="V214" s="97"/>
      <c r="W214" s="97"/>
      <c r="X214" s="129"/>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c r="DF214" s="97"/>
      <c r="DG214" s="97"/>
      <c r="DH214" s="97"/>
      <c r="DI214" s="97"/>
      <c r="DJ214" s="97"/>
      <c r="DK214" s="97"/>
      <c r="DL214" s="97"/>
      <c r="DM214" s="97"/>
      <c r="DN214" s="97"/>
      <c r="DO214" s="97"/>
      <c r="DP214" s="97"/>
      <c r="DQ214" s="97"/>
      <c r="DR214" s="97"/>
      <c r="DS214" s="97"/>
      <c r="DT214" s="97"/>
      <c r="DU214" s="97"/>
      <c r="DV214" s="97"/>
      <c r="DW214" s="97"/>
      <c r="DX214" s="97"/>
      <c r="DY214" s="97"/>
      <c r="DZ214" s="97"/>
      <c r="EA214" s="97"/>
      <c r="EB214" s="97"/>
      <c r="EC214" s="97"/>
      <c r="ED214" s="97"/>
      <c r="EE214" s="97"/>
      <c r="EF214" s="97"/>
      <c r="EG214" s="97"/>
      <c r="EH214" s="97"/>
      <c r="EI214" s="97"/>
      <c r="EJ214" s="97"/>
      <c r="EK214" s="97"/>
      <c r="EL214" s="97"/>
      <c r="EM214" s="97"/>
      <c r="EN214" s="97"/>
      <c r="EO214" s="97"/>
      <c r="EP214" s="97"/>
      <c r="EQ214" s="97"/>
      <c r="ER214" s="97"/>
      <c r="ES214" s="97"/>
      <c r="ET214" s="97"/>
    </row>
    <row r="215" spans="1:150" ht="15.75" customHeight="1">
      <c r="A215" s="97"/>
      <c r="B215" s="97"/>
      <c r="C215" s="97"/>
      <c r="D215" s="97"/>
      <c r="E215" s="97"/>
      <c r="F215" s="97"/>
      <c r="G215" s="97"/>
      <c r="H215" s="129"/>
      <c r="I215" s="97"/>
      <c r="J215" s="97"/>
      <c r="K215" s="97"/>
      <c r="L215" s="97"/>
      <c r="M215" s="97"/>
      <c r="N215" s="97"/>
      <c r="O215" s="97"/>
      <c r="P215" s="97"/>
      <c r="Q215" s="97"/>
      <c r="R215" s="97"/>
      <c r="S215" s="97"/>
      <c r="T215" s="97"/>
      <c r="U215" s="97"/>
      <c r="V215" s="97"/>
      <c r="W215" s="97"/>
      <c r="X215" s="129"/>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c r="DF215" s="97"/>
      <c r="DG215" s="97"/>
      <c r="DH215" s="97"/>
      <c r="DI215" s="97"/>
      <c r="DJ215" s="97"/>
      <c r="DK215" s="97"/>
      <c r="DL215" s="97"/>
      <c r="DM215" s="97"/>
      <c r="DN215" s="97"/>
      <c r="DO215" s="97"/>
      <c r="DP215" s="97"/>
      <c r="DQ215" s="97"/>
      <c r="DR215" s="97"/>
      <c r="DS215" s="97"/>
      <c r="DT215" s="97"/>
      <c r="DU215" s="97"/>
      <c r="DV215" s="97"/>
      <c r="DW215" s="97"/>
      <c r="DX215" s="97"/>
      <c r="DY215" s="97"/>
      <c r="DZ215" s="97"/>
      <c r="EA215" s="97"/>
      <c r="EB215" s="97"/>
      <c r="EC215" s="97"/>
      <c r="ED215" s="97"/>
      <c r="EE215" s="97"/>
      <c r="EF215" s="97"/>
      <c r="EG215" s="97"/>
      <c r="EH215" s="97"/>
      <c r="EI215" s="97"/>
      <c r="EJ215" s="97"/>
      <c r="EK215" s="97"/>
      <c r="EL215" s="97"/>
      <c r="EM215" s="97"/>
      <c r="EN215" s="97"/>
      <c r="EO215" s="97"/>
      <c r="EP215" s="97"/>
      <c r="EQ215" s="97"/>
      <c r="ER215" s="97"/>
      <c r="ES215" s="97"/>
      <c r="ET215" s="97"/>
    </row>
    <row r="216" spans="1:150" ht="15.75" customHeight="1">
      <c r="A216" s="97"/>
      <c r="B216" s="97"/>
      <c r="C216" s="97"/>
      <c r="D216" s="97"/>
      <c r="E216" s="97"/>
      <c r="F216" s="97"/>
      <c r="G216" s="97"/>
      <c r="H216" s="129"/>
      <c r="I216" s="97"/>
      <c r="J216" s="97"/>
      <c r="K216" s="97"/>
      <c r="L216" s="97"/>
      <c r="M216" s="97"/>
      <c r="N216" s="97"/>
      <c r="O216" s="97"/>
      <c r="P216" s="97"/>
      <c r="Q216" s="97"/>
      <c r="R216" s="97"/>
      <c r="S216" s="97"/>
      <c r="T216" s="97"/>
      <c r="U216" s="97"/>
      <c r="V216" s="97"/>
      <c r="W216" s="97"/>
      <c r="X216" s="129"/>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c r="DF216" s="97"/>
      <c r="DG216" s="97"/>
      <c r="DH216" s="97"/>
      <c r="DI216" s="97"/>
      <c r="DJ216" s="97"/>
      <c r="DK216" s="97"/>
      <c r="DL216" s="97"/>
      <c r="DM216" s="97"/>
      <c r="DN216" s="97"/>
      <c r="DO216" s="97"/>
      <c r="DP216" s="97"/>
      <c r="DQ216" s="97"/>
      <c r="DR216" s="97"/>
      <c r="DS216" s="97"/>
      <c r="DT216" s="97"/>
      <c r="DU216" s="97"/>
      <c r="DV216" s="97"/>
      <c r="DW216" s="97"/>
      <c r="DX216" s="97"/>
      <c r="DY216" s="97"/>
      <c r="DZ216" s="97"/>
      <c r="EA216" s="97"/>
      <c r="EB216" s="97"/>
      <c r="EC216" s="97"/>
      <c r="ED216" s="97"/>
      <c r="EE216" s="97"/>
      <c r="EF216" s="97"/>
      <c r="EG216" s="97"/>
      <c r="EH216" s="97"/>
      <c r="EI216" s="97"/>
      <c r="EJ216" s="97"/>
      <c r="EK216" s="97"/>
      <c r="EL216" s="97"/>
      <c r="EM216" s="97"/>
      <c r="EN216" s="97"/>
      <c r="EO216" s="97"/>
      <c r="EP216" s="97"/>
      <c r="EQ216" s="97"/>
      <c r="ER216" s="97"/>
      <c r="ES216" s="97"/>
      <c r="ET216" s="97"/>
    </row>
    <row r="217" spans="1:150" ht="15.75" customHeight="1">
      <c r="A217" s="97"/>
      <c r="B217" s="97"/>
      <c r="C217" s="97"/>
      <c r="D217" s="97"/>
      <c r="E217" s="97"/>
      <c r="F217" s="97"/>
      <c r="G217" s="97"/>
      <c r="H217" s="129"/>
      <c r="I217" s="97"/>
      <c r="J217" s="97"/>
      <c r="K217" s="97"/>
      <c r="L217" s="97"/>
      <c r="M217" s="97"/>
      <c r="N217" s="97"/>
      <c r="O217" s="97"/>
      <c r="P217" s="97"/>
      <c r="Q217" s="97"/>
      <c r="R217" s="97"/>
      <c r="S217" s="97"/>
      <c r="T217" s="97"/>
      <c r="U217" s="97"/>
      <c r="V217" s="97"/>
      <c r="W217" s="97"/>
      <c r="X217" s="129"/>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c r="DF217" s="97"/>
      <c r="DG217" s="97"/>
      <c r="DH217" s="97"/>
      <c r="DI217" s="97"/>
      <c r="DJ217" s="97"/>
      <c r="DK217" s="97"/>
      <c r="DL217" s="97"/>
      <c r="DM217" s="97"/>
      <c r="DN217" s="97"/>
      <c r="DO217" s="97"/>
      <c r="DP217" s="97"/>
      <c r="DQ217" s="97"/>
      <c r="DR217" s="97"/>
      <c r="DS217" s="97"/>
      <c r="DT217" s="97"/>
      <c r="DU217" s="97"/>
      <c r="DV217" s="97"/>
      <c r="DW217" s="97"/>
      <c r="DX217" s="97"/>
      <c r="DY217" s="97"/>
      <c r="DZ217" s="97"/>
      <c r="EA217" s="97"/>
      <c r="EB217" s="97"/>
      <c r="EC217" s="97"/>
      <c r="ED217" s="97"/>
      <c r="EE217" s="97"/>
      <c r="EF217" s="97"/>
      <c r="EG217" s="97"/>
      <c r="EH217" s="97"/>
      <c r="EI217" s="97"/>
      <c r="EJ217" s="97"/>
      <c r="EK217" s="97"/>
      <c r="EL217" s="97"/>
      <c r="EM217" s="97"/>
      <c r="EN217" s="97"/>
      <c r="EO217" s="97"/>
      <c r="EP217" s="97"/>
      <c r="EQ217" s="97"/>
      <c r="ER217" s="97"/>
      <c r="ES217" s="97"/>
      <c r="ET217" s="97"/>
    </row>
    <row r="218" spans="1:150" ht="15.75" customHeight="1">
      <c r="A218" s="97"/>
      <c r="B218" s="97"/>
      <c r="C218" s="97"/>
      <c r="D218" s="97"/>
      <c r="E218" s="97"/>
      <c r="F218" s="97"/>
      <c r="G218" s="97"/>
      <c r="H218" s="129"/>
      <c r="I218" s="97"/>
      <c r="J218" s="97"/>
      <c r="K218" s="97"/>
      <c r="L218" s="97"/>
      <c r="M218" s="97"/>
      <c r="N218" s="97"/>
      <c r="O218" s="97"/>
      <c r="P218" s="97"/>
      <c r="Q218" s="97"/>
      <c r="R218" s="97"/>
      <c r="S218" s="97"/>
      <c r="T218" s="97"/>
      <c r="U218" s="97"/>
      <c r="V218" s="97"/>
      <c r="W218" s="97"/>
      <c r="X218" s="129"/>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c r="DF218" s="97"/>
      <c r="DG218" s="97"/>
      <c r="DH218" s="97"/>
      <c r="DI218" s="97"/>
      <c r="DJ218" s="97"/>
      <c r="DK218" s="97"/>
      <c r="DL218" s="97"/>
      <c r="DM218" s="97"/>
      <c r="DN218" s="97"/>
      <c r="DO218" s="97"/>
      <c r="DP218" s="97"/>
      <c r="DQ218" s="97"/>
      <c r="DR218" s="97"/>
      <c r="DS218" s="97"/>
      <c r="DT218" s="97"/>
      <c r="DU218" s="97"/>
      <c r="DV218" s="97"/>
      <c r="DW218" s="97"/>
      <c r="DX218" s="97"/>
      <c r="DY218" s="97"/>
      <c r="DZ218" s="97"/>
      <c r="EA218" s="97"/>
      <c r="EB218" s="97"/>
      <c r="EC218" s="97"/>
      <c r="ED218" s="97"/>
      <c r="EE218" s="97"/>
      <c r="EF218" s="97"/>
      <c r="EG218" s="97"/>
      <c r="EH218" s="97"/>
      <c r="EI218" s="97"/>
      <c r="EJ218" s="97"/>
      <c r="EK218" s="97"/>
      <c r="EL218" s="97"/>
      <c r="EM218" s="97"/>
      <c r="EN218" s="97"/>
      <c r="EO218" s="97"/>
      <c r="EP218" s="97"/>
      <c r="EQ218" s="97"/>
      <c r="ER218" s="97"/>
      <c r="ES218" s="97"/>
      <c r="ET218" s="97"/>
    </row>
    <row r="219" spans="1:150" ht="15.75" customHeight="1">
      <c r="A219" s="97"/>
      <c r="B219" s="97"/>
      <c r="C219" s="97"/>
      <c r="D219" s="97"/>
      <c r="E219" s="97"/>
      <c r="F219" s="97"/>
      <c r="G219" s="97"/>
      <c r="H219" s="129"/>
      <c r="I219" s="97"/>
      <c r="J219" s="97"/>
      <c r="K219" s="97"/>
      <c r="L219" s="97"/>
      <c r="M219" s="97"/>
      <c r="N219" s="97"/>
      <c r="O219" s="97"/>
      <c r="P219" s="97"/>
      <c r="Q219" s="97"/>
      <c r="R219" s="97"/>
      <c r="S219" s="97"/>
      <c r="T219" s="97"/>
      <c r="U219" s="97"/>
      <c r="V219" s="97"/>
      <c r="W219" s="97"/>
      <c r="X219" s="129"/>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c r="DF219" s="97"/>
      <c r="DG219" s="97"/>
      <c r="DH219" s="97"/>
      <c r="DI219" s="97"/>
      <c r="DJ219" s="97"/>
      <c r="DK219" s="97"/>
      <c r="DL219" s="97"/>
      <c r="DM219" s="97"/>
      <c r="DN219" s="97"/>
      <c r="DO219" s="97"/>
      <c r="DP219" s="97"/>
      <c r="DQ219" s="97"/>
      <c r="DR219" s="97"/>
      <c r="DS219" s="97"/>
      <c r="DT219" s="97"/>
      <c r="DU219" s="97"/>
      <c r="DV219" s="97"/>
      <c r="DW219" s="97"/>
      <c r="DX219" s="97"/>
      <c r="DY219" s="97"/>
      <c r="DZ219" s="97"/>
      <c r="EA219" s="97"/>
      <c r="EB219" s="97"/>
      <c r="EC219" s="97"/>
      <c r="ED219" s="97"/>
      <c r="EE219" s="97"/>
      <c r="EF219" s="97"/>
      <c r="EG219" s="97"/>
      <c r="EH219" s="97"/>
      <c r="EI219" s="97"/>
      <c r="EJ219" s="97"/>
      <c r="EK219" s="97"/>
      <c r="EL219" s="97"/>
      <c r="EM219" s="97"/>
      <c r="EN219" s="97"/>
      <c r="EO219" s="97"/>
      <c r="EP219" s="97"/>
      <c r="EQ219" s="97"/>
      <c r="ER219" s="97"/>
      <c r="ES219" s="97"/>
      <c r="ET219" s="97"/>
    </row>
    <row r="220" spans="1:150" ht="15.75" customHeight="1">
      <c r="A220" s="97"/>
      <c r="B220" s="97"/>
      <c r="C220" s="97"/>
      <c r="D220" s="97"/>
      <c r="E220" s="97"/>
      <c r="F220" s="97"/>
      <c r="G220" s="97"/>
      <c r="H220" s="129"/>
      <c r="I220" s="97"/>
      <c r="J220" s="97"/>
      <c r="K220" s="97"/>
      <c r="L220" s="97"/>
      <c r="M220" s="97"/>
      <c r="N220" s="97"/>
      <c r="O220" s="97"/>
      <c r="P220" s="97"/>
      <c r="Q220" s="97"/>
      <c r="R220" s="97"/>
      <c r="S220" s="97"/>
      <c r="T220" s="97"/>
      <c r="U220" s="97"/>
      <c r="V220" s="97"/>
      <c r="W220" s="97"/>
      <c r="X220" s="129"/>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c r="DF220" s="97"/>
      <c r="DG220" s="97"/>
      <c r="DH220" s="97"/>
      <c r="DI220" s="97"/>
      <c r="DJ220" s="97"/>
      <c r="DK220" s="97"/>
      <c r="DL220" s="97"/>
      <c r="DM220" s="97"/>
      <c r="DN220" s="97"/>
      <c r="DO220" s="97"/>
      <c r="DP220" s="97"/>
      <c r="DQ220" s="97"/>
      <c r="DR220" s="97"/>
      <c r="DS220" s="97"/>
      <c r="DT220" s="97"/>
      <c r="DU220" s="97"/>
      <c r="DV220" s="97"/>
      <c r="DW220" s="97"/>
      <c r="DX220" s="97"/>
      <c r="DY220" s="97"/>
      <c r="DZ220" s="97"/>
      <c r="EA220" s="97"/>
      <c r="EB220" s="97"/>
      <c r="EC220" s="97"/>
      <c r="ED220" s="97"/>
      <c r="EE220" s="97"/>
      <c r="EF220" s="97"/>
      <c r="EG220" s="97"/>
      <c r="EH220" s="97"/>
      <c r="EI220" s="97"/>
      <c r="EJ220" s="97"/>
      <c r="EK220" s="97"/>
      <c r="EL220" s="97"/>
      <c r="EM220" s="97"/>
      <c r="EN220" s="97"/>
      <c r="EO220" s="97"/>
      <c r="EP220" s="97"/>
      <c r="EQ220" s="97"/>
      <c r="ER220" s="97"/>
      <c r="ES220" s="97"/>
      <c r="ET220" s="97"/>
    </row>
    <row r="221" spans="1:150" ht="15.75" customHeight="1">
      <c r="A221" s="97"/>
      <c r="B221" s="97"/>
      <c r="C221" s="97"/>
      <c r="D221" s="97"/>
      <c r="E221" s="97"/>
      <c r="F221" s="97"/>
      <c r="G221" s="97"/>
      <c r="H221" s="129"/>
      <c r="I221" s="97"/>
      <c r="J221" s="97"/>
      <c r="K221" s="97"/>
      <c r="L221" s="97"/>
      <c r="M221" s="97"/>
      <c r="N221" s="97"/>
      <c r="O221" s="97"/>
      <c r="P221" s="97"/>
      <c r="Q221" s="97"/>
      <c r="R221" s="97"/>
      <c r="S221" s="97"/>
      <c r="T221" s="97"/>
      <c r="U221" s="97"/>
      <c r="V221" s="97"/>
      <c r="W221" s="97"/>
      <c r="X221" s="129"/>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c r="DF221" s="97"/>
      <c r="DG221" s="97"/>
      <c r="DH221" s="97"/>
      <c r="DI221" s="97"/>
      <c r="DJ221" s="97"/>
      <c r="DK221" s="97"/>
      <c r="DL221" s="97"/>
      <c r="DM221" s="97"/>
      <c r="DN221" s="97"/>
      <c r="DO221" s="97"/>
      <c r="DP221" s="97"/>
      <c r="DQ221" s="97"/>
      <c r="DR221" s="97"/>
      <c r="DS221" s="97"/>
      <c r="DT221" s="97"/>
      <c r="DU221" s="97"/>
      <c r="DV221" s="97"/>
      <c r="DW221" s="97"/>
      <c r="DX221" s="97"/>
      <c r="DY221" s="97"/>
      <c r="DZ221" s="97"/>
      <c r="EA221" s="97"/>
      <c r="EB221" s="97"/>
      <c r="EC221" s="97"/>
      <c r="ED221" s="97"/>
      <c r="EE221" s="97"/>
      <c r="EF221" s="97"/>
      <c r="EG221" s="97"/>
      <c r="EH221" s="97"/>
      <c r="EI221" s="97"/>
      <c r="EJ221" s="97"/>
      <c r="EK221" s="97"/>
      <c r="EL221" s="97"/>
      <c r="EM221" s="97"/>
      <c r="EN221" s="97"/>
      <c r="EO221" s="97"/>
      <c r="EP221" s="97"/>
      <c r="EQ221" s="97"/>
      <c r="ER221" s="97"/>
      <c r="ES221" s="97"/>
      <c r="ET221" s="97"/>
    </row>
    <row r="222" spans="1:150" ht="15.75" customHeight="1">
      <c r="A222" s="97"/>
      <c r="B222" s="97"/>
      <c r="C222" s="97"/>
      <c r="D222" s="97"/>
      <c r="E222" s="97"/>
      <c r="F222" s="97"/>
      <c r="G222" s="97"/>
      <c r="H222" s="129"/>
      <c r="I222" s="97"/>
      <c r="J222" s="97"/>
      <c r="K222" s="97"/>
      <c r="L222" s="97"/>
      <c r="M222" s="97"/>
      <c r="N222" s="97"/>
      <c r="O222" s="97"/>
      <c r="P222" s="97"/>
      <c r="Q222" s="97"/>
      <c r="R222" s="97"/>
      <c r="S222" s="97"/>
      <c r="T222" s="97"/>
      <c r="U222" s="97"/>
      <c r="V222" s="97"/>
      <c r="W222" s="97"/>
      <c r="X222" s="129"/>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c r="DF222" s="97"/>
      <c r="DG222" s="97"/>
      <c r="DH222" s="97"/>
      <c r="DI222" s="97"/>
      <c r="DJ222" s="97"/>
      <c r="DK222" s="97"/>
      <c r="DL222" s="97"/>
      <c r="DM222" s="97"/>
      <c r="DN222" s="97"/>
      <c r="DO222" s="97"/>
      <c r="DP222" s="97"/>
      <c r="DQ222" s="97"/>
      <c r="DR222" s="97"/>
      <c r="DS222" s="97"/>
      <c r="DT222" s="97"/>
      <c r="DU222" s="97"/>
      <c r="DV222" s="97"/>
      <c r="DW222" s="97"/>
      <c r="DX222" s="97"/>
      <c r="DY222" s="97"/>
      <c r="DZ222" s="97"/>
      <c r="EA222" s="97"/>
      <c r="EB222" s="97"/>
      <c r="EC222" s="97"/>
      <c r="ED222" s="97"/>
      <c r="EE222" s="97"/>
      <c r="EF222" s="97"/>
      <c r="EG222" s="97"/>
      <c r="EH222" s="97"/>
      <c r="EI222" s="97"/>
      <c r="EJ222" s="97"/>
      <c r="EK222" s="97"/>
      <c r="EL222" s="97"/>
      <c r="EM222" s="97"/>
      <c r="EN222" s="97"/>
      <c r="EO222" s="97"/>
      <c r="EP222" s="97"/>
      <c r="EQ222" s="97"/>
      <c r="ER222" s="97"/>
      <c r="ES222" s="97"/>
      <c r="ET222" s="97"/>
    </row>
    <row r="223" spans="1:150" ht="15.75" customHeight="1">
      <c r="A223" s="97"/>
      <c r="B223" s="97"/>
      <c r="C223" s="97"/>
      <c r="D223" s="97"/>
      <c r="E223" s="97"/>
      <c r="F223" s="97"/>
      <c r="G223" s="97"/>
      <c r="H223" s="129"/>
      <c r="I223" s="97"/>
      <c r="J223" s="97"/>
      <c r="K223" s="97"/>
      <c r="L223" s="97"/>
      <c r="M223" s="97"/>
      <c r="N223" s="97"/>
      <c r="O223" s="97"/>
      <c r="P223" s="97"/>
      <c r="Q223" s="97"/>
      <c r="R223" s="97"/>
      <c r="S223" s="97"/>
      <c r="T223" s="97"/>
      <c r="U223" s="97"/>
      <c r="V223" s="97"/>
      <c r="W223" s="97"/>
      <c r="X223" s="129"/>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c r="DF223" s="97"/>
      <c r="DG223" s="97"/>
      <c r="DH223" s="97"/>
      <c r="DI223" s="97"/>
      <c r="DJ223" s="97"/>
      <c r="DK223" s="97"/>
      <c r="DL223" s="97"/>
      <c r="DM223" s="97"/>
      <c r="DN223" s="97"/>
      <c r="DO223" s="97"/>
      <c r="DP223" s="97"/>
      <c r="DQ223" s="97"/>
      <c r="DR223" s="97"/>
      <c r="DS223" s="97"/>
      <c r="DT223" s="97"/>
      <c r="DU223" s="97"/>
      <c r="DV223" s="97"/>
      <c r="DW223" s="97"/>
      <c r="DX223" s="97"/>
      <c r="DY223" s="97"/>
      <c r="DZ223" s="97"/>
      <c r="EA223" s="97"/>
      <c r="EB223" s="97"/>
      <c r="EC223" s="97"/>
      <c r="ED223" s="97"/>
      <c r="EE223" s="97"/>
      <c r="EF223" s="97"/>
      <c r="EG223" s="97"/>
      <c r="EH223" s="97"/>
      <c r="EI223" s="97"/>
      <c r="EJ223" s="97"/>
      <c r="EK223" s="97"/>
      <c r="EL223" s="97"/>
      <c r="EM223" s="97"/>
      <c r="EN223" s="97"/>
      <c r="EO223" s="97"/>
      <c r="EP223" s="97"/>
      <c r="EQ223" s="97"/>
      <c r="ER223" s="97"/>
      <c r="ES223" s="97"/>
      <c r="ET223" s="97"/>
    </row>
    <row r="224" spans="1:150" ht="15.75" customHeight="1">
      <c r="A224" s="97"/>
      <c r="B224" s="97"/>
      <c r="C224" s="97"/>
      <c r="D224" s="97"/>
      <c r="E224" s="97"/>
      <c r="F224" s="97"/>
      <c r="G224" s="97"/>
      <c r="H224" s="129"/>
      <c r="I224" s="97"/>
      <c r="J224" s="97"/>
      <c r="K224" s="97"/>
      <c r="L224" s="97"/>
      <c r="M224" s="97"/>
      <c r="N224" s="97"/>
      <c r="O224" s="97"/>
      <c r="P224" s="97"/>
      <c r="Q224" s="97"/>
      <c r="R224" s="97"/>
      <c r="S224" s="97"/>
      <c r="T224" s="97"/>
      <c r="U224" s="97"/>
      <c r="V224" s="97"/>
      <c r="W224" s="97"/>
      <c r="X224" s="129"/>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c r="DF224" s="97"/>
      <c r="DG224" s="97"/>
      <c r="DH224" s="97"/>
      <c r="DI224" s="97"/>
      <c r="DJ224" s="97"/>
      <c r="DK224" s="97"/>
      <c r="DL224" s="97"/>
      <c r="DM224" s="97"/>
      <c r="DN224" s="97"/>
      <c r="DO224" s="97"/>
      <c r="DP224" s="97"/>
      <c r="DQ224" s="97"/>
      <c r="DR224" s="97"/>
      <c r="DS224" s="97"/>
      <c r="DT224" s="97"/>
      <c r="DU224" s="97"/>
      <c r="DV224" s="97"/>
      <c r="DW224" s="97"/>
      <c r="DX224" s="97"/>
      <c r="DY224" s="97"/>
      <c r="DZ224" s="97"/>
      <c r="EA224" s="97"/>
      <c r="EB224" s="97"/>
      <c r="EC224" s="97"/>
      <c r="ED224" s="97"/>
      <c r="EE224" s="97"/>
      <c r="EF224" s="97"/>
      <c r="EG224" s="97"/>
      <c r="EH224" s="97"/>
      <c r="EI224" s="97"/>
      <c r="EJ224" s="97"/>
      <c r="EK224" s="97"/>
      <c r="EL224" s="97"/>
      <c r="EM224" s="97"/>
      <c r="EN224" s="97"/>
      <c r="EO224" s="97"/>
      <c r="EP224" s="97"/>
      <c r="EQ224" s="97"/>
      <c r="ER224" s="97"/>
      <c r="ES224" s="97"/>
      <c r="ET224" s="97"/>
    </row>
    <row r="225" spans="1:150" ht="15.75" customHeight="1">
      <c r="A225" s="97"/>
      <c r="B225" s="97"/>
      <c r="C225" s="97"/>
      <c r="D225" s="97"/>
      <c r="E225" s="97"/>
      <c r="F225" s="97"/>
      <c r="G225" s="97"/>
      <c r="H225" s="129"/>
      <c r="I225" s="97"/>
      <c r="J225" s="97"/>
      <c r="K225" s="97"/>
      <c r="L225" s="97"/>
      <c r="M225" s="97"/>
      <c r="N225" s="97"/>
      <c r="O225" s="97"/>
      <c r="P225" s="97"/>
      <c r="Q225" s="97"/>
      <c r="R225" s="97"/>
      <c r="S225" s="97"/>
      <c r="T225" s="97"/>
      <c r="U225" s="97"/>
      <c r="V225" s="97"/>
      <c r="W225" s="97"/>
      <c r="X225" s="129"/>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c r="DF225" s="97"/>
      <c r="DG225" s="97"/>
      <c r="DH225" s="97"/>
      <c r="DI225" s="97"/>
      <c r="DJ225" s="97"/>
      <c r="DK225" s="97"/>
      <c r="DL225" s="97"/>
      <c r="DM225" s="97"/>
      <c r="DN225" s="97"/>
      <c r="DO225" s="97"/>
      <c r="DP225" s="97"/>
      <c r="DQ225" s="97"/>
      <c r="DR225" s="97"/>
      <c r="DS225" s="97"/>
      <c r="DT225" s="97"/>
      <c r="DU225" s="97"/>
      <c r="DV225" s="97"/>
      <c r="DW225" s="97"/>
      <c r="DX225" s="97"/>
      <c r="DY225" s="97"/>
      <c r="DZ225" s="97"/>
      <c r="EA225" s="97"/>
      <c r="EB225" s="97"/>
      <c r="EC225" s="97"/>
      <c r="ED225" s="97"/>
      <c r="EE225" s="97"/>
      <c r="EF225" s="97"/>
      <c r="EG225" s="97"/>
      <c r="EH225" s="97"/>
      <c r="EI225" s="97"/>
      <c r="EJ225" s="97"/>
      <c r="EK225" s="97"/>
      <c r="EL225" s="97"/>
      <c r="EM225" s="97"/>
      <c r="EN225" s="97"/>
      <c r="EO225" s="97"/>
      <c r="EP225" s="97"/>
      <c r="EQ225" s="97"/>
      <c r="ER225" s="97"/>
      <c r="ES225" s="97"/>
      <c r="ET225" s="97"/>
    </row>
    <row r="226" spans="1:150" ht="15.75" customHeight="1">
      <c r="A226" s="97"/>
      <c r="B226" s="97"/>
      <c r="C226" s="97"/>
      <c r="D226" s="97"/>
      <c r="E226" s="97"/>
      <c r="F226" s="97"/>
      <c r="G226" s="97"/>
      <c r="H226" s="129"/>
      <c r="I226" s="97"/>
      <c r="J226" s="97"/>
      <c r="K226" s="97"/>
      <c r="L226" s="97"/>
      <c r="M226" s="97"/>
      <c r="N226" s="97"/>
      <c r="O226" s="97"/>
      <c r="P226" s="97"/>
      <c r="Q226" s="97"/>
      <c r="R226" s="97"/>
      <c r="S226" s="97"/>
      <c r="T226" s="97"/>
      <c r="U226" s="97"/>
      <c r="V226" s="97"/>
      <c r="W226" s="97"/>
      <c r="X226" s="129"/>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c r="DF226" s="97"/>
      <c r="DG226" s="97"/>
      <c r="DH226" s="97"/>
      <c r="DI226" s="97"/>
      <c r="DJ226" s="97"/>
      <c r="DK226" s="97"/>
      <c r="DL226" s="97"/>
      <c r="DM226" s="97"/>
      <c r="DN226" s="97"/>
      <c r="DO226" s="97"/>
      <c r="DP226" s="97"/>
      <c r="DQ226" s="97"/>
      <c r="DR226" s="97"/>
      <c r="DS226" s="97"/>
      <c r="DT226" s="97"/>
      <c r="DU226" s="97"/>
      <c r="DV226" s="97"/>
      <c r="DW226" s="97"/>
      <c r="DX226" s="97"/>
      <c r="DY226" s="97"/>
      <c r="DZ226" s="97"/>
      <c r="EA226" s="97"/>
      <c r="EB226" s="97"/>
      <c r="EC226" s="97"/>
      <c r="ED226" s="97"/>
      <c r="EE226" s="97"/>
      <c r="EF226" s="97"/>
      <c r="EG226" s="97"/>
      <c r="EH226" s="97"/>
      <c r="EI226" s="97"/>
      <c r="EJ226" s="97"/>
      <c r="EK226" s="97"/>
      <c r="EL226" s="97"/>
      <c r="EM226" s="97"/>
      <c r="EN226" s="97"/>
      <c r="EO226" s="97"/>
      <c r="EP226" s="97"/>
      <c r="EQ226" s="97"/>
      <c r="ER226" s="97"/>
      <c r="ES226" s="97"/>
      <c r="ET226" s="97"/>
    </row>
    <row r="227" spans="1:150" ht="15.75" customHeight="1">
      <c r="A227" s="97"/>
      <c r="B227" s="97"/>
      <c r="C227" s="97"/>
      <c r="D227" s="97"/>
      <c r="E227" s="97"/>
      <c r="F227" s="97"/>
      <c r="G227" s="97"/>
      <c r="H227" s="129"/>
      <c r="I227" s="97"/>
      <c r="J227" s="97"/>
      <c r="K227" s="97"/>
      <c r="L227" s="97"/>
      <c r="M227" s="97"/>
      <c r="N227" s="97"/>
      <c r="O227" s="97"/>
      <c r="P227" s="97"/>
      <c r="Q227" s="97"/>
      <c r="R227" s="97"/>
      <c r="S227" s="97"/>
      <c r="T227" s="97"/>
      <c r="U227" s="97"/>
      <c r="V227" s="97"/>
      <c r="W227" s="97"/>
      <c r="X227" s="129"/>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c r="DF227" s="97"/>
      <c r="DG227" s="97"/>
      <c r="DH227" s="97"/>
      <c r="DI227" s="97"/>
      <c r="DJ227" s="97"/>
      <c r="DK227" s="97"/>
      <c r="DL227" s="97"/>
      <c r="DM227" s="97"/>
      <c r="DN227" s="97"/>
      <c r="DO227" s="97"/>
      <c r="DP227" s="97"/>
      <c r="DQ227" s="97"/>
      <c r="DR227" s="97"/>
      <c r="DS227" s="97"/>
      <c r="DT227" s="97"/>
      <c r="DU227" s="97"/>
      <c r="DV227" s="97"/>
      <c r="DW227" s="97"/>
      <c r="DX227" s="97"/>
      <c r="DY227" s="97"/>
      <c r="DZ227" s="97"/>
      <c r="EA227" s="97"/>
      <c r="EB227" s="97"/>
      <c r="EC227" s="97"/>
      <c r="ED227" s="97"/>
      <c r="EE227" s="97"/>
      <c r="EF227" s="97"/>
      <c r="EG227" s="97"/>
      <c r="EH227" s="97"/>
      <c r="EI227" s="97"/>
      <c r="EJ227" s="97"/>
      <c r="EK227" s="97"/>
      <c r="EL227" s="97"/>
      <c r="EM227" s="97"/>
      <c r="EN227" s="97"/>
      <c r="EO227" s="97"/>
      <c r="EP227" s="97"/>
      <c r="EQ227" s="97"/>
      <c r="ER227" s="97"/>
      <c r="ES227" s="97"/>
      <c r="ET227" s="97"/>
    </row>
    <row r="228" spans="1:150" ht="15.75" customHeight="1">
      <c r="A228" s="97"/>
      <c r="B228" s="97"/>
      <c r="C228" s="97"/>
      <c r="D228" s="97"/>
      <c r="E228" s="97"/>
      <c r="F228" s="97"/>
      <c r="G228" s="97"/>
      <c r="H228" s="129"/>
      <c r="I228" s="97"/>
      <c r="J228" s="97"/>
      <c r="K228" s="97"/>
      <c r="L228" s="97"/>
      <c r="M228" s="97"/>
      <c r="N228" s="97"/>
      <c r="O228" s="97"/>
      <c r="P228" s="97"/>
      <c r="Q228" s="97"/>
      <c r="R228" s="97"/>
      <c r="S228" s="97"/>
      <c r="T228" s="97"/>
      <c r="U228" s="97"/>
      <c r="V228" s="97"/>
      <c r="W228" s="97"/>
      <c r="X228" s="129"/>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c r="DF228" s="97"/>
      <c r="DG228" s="97"/>
      <c r="DH228" s="97"/>
      <c r="DI228" s="97"/>
      <c r="DJ228" s="97"/>
      <c r="DK228" s="97"/>
      <c r="DL228" s="97"/>
      <c r="DM228" s="97"/>
      <c r="DN228" s="97"/>
      <c r="DO228" s="97"/>
      <c r="DP228" s="97"/>
      <c r="DQ228" s="97"/>
      <c r="DR228" s="97"/>
      <c r="DS228" s="97"/>
      <c r="DT228" s="97"/>
      <c r="DU228" s="97"/>
      <c r="DV228" s="97"/>
      <c r="DW228" s="97"/>
      <c r="DX228" s="97"/>
      <c r="DY228" s="97"/>
      <c r="DZ228" s="97"/>
      <c r="EA228" s="97"/>
      <c r="EB228" s="97"/>
      <c r="EC228" s="97"/>
      <c r="ED228" s="97"/>
      <c r="EE228" s="97"/>
      <c r="EF228" s="97"/>
      <c r="EG228" s="97"/>
      <c r="EH228" s="97"/>
      <c r="EI228" s="97"/>
      <c r="EJ228" s="97"/>
      <c r="EK228" s="97"/>
      <c r="EL228" s="97"/>
      <c r="EM228" s="97"/>
      <c r="EN228" s="97"/>
      <c r="EO228" s="97"/>
      <c r="EP228" s="97"/>
      <c r="EQ228" s="97"/>
      <c r="ER228" s="97"/>
      <c r="ES228" s="97"/>
      <c r="ET228" s="97"/>
    </row>
    <row r="229" spans="1:150" ht="15.75" customHeight="1">
      <c r="A229" s="97"/>
      <c r="B229" s="97"/>
      <c r="C229" s="97"/>
      <c r="D229" s="97"/>
      <c r="E229" s="97"/>
      <c r="F229" s="97"/>
      <c r="G229" s="97"/>
      <c r="H229" s="129"/>
      <c r="I229" s="97"/>
      <c r="J229" s="97"/>
      <c r="K229" s="97"/>
      <c r="L229" s="97"/>
      <c r="M229" s="97"/>
      <c r="N229" s="97"/>
      <c r="O229" s="97"/>
      <c r="P229" s="97"/>
      <c r="Q229" s="97"/>
      <c r="R229" s="97"/>
      <c r="S229" s="97"/>
      <c r="T229" s="97"/>
      <c r="U229" s="97"/>
      <c r="V229" s="97"/>
      <c r="W229" s="97"/>
      <c r="X229" s="129"/>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c r="DF229" s="97"/>
      <c r="DG229" s="97"/>
      <c r="DH229" s="97"/>
      <c r="DI229" s="97"/>
      <c r="DJ229" s="97"/>
      <c r="DK229" s="97"/>
      <c r="DL229" s="97"/>
      <c r="DM229" s="97"/>
      <c r="DN229" s="97"/>
      <c r="DO229" s="97"/>
      <c r="DP229" s="97"/>
      <c r="DQ229" s="97"/>
      <c r="DR229" s="97"/>
      <c r="DS229" s="97"/>
      <c r="DT229" s="97"/>
      <c r="DU229" s="97"/>
      <c r="DV229" s="97"/>
      <c r="DW229" s="97"/>
      <c r="DX229" s="97"/>
      <c r="DY229" s="97"/>
      <c r="DZ229" s="97"/>
      <c r="EA229" s="97"/>
      <c r="EB229" s="97"/>
      <c r="EC229" s="97"/>
      <c r="ED229" s="97"/>
      <c r="EE229" s="97"/>
      <c r="EF229" s="97"/>
      <c r="EG229" s="97"/>
      <c r="EH229" s="97"/>
      <c r="EI229" s="97"/>
      <c r="EJ229" s="97"/>
      <c r="EK229" s="97"/>
      <c r="EL229" s="97"/>
      <c r="EM229" s="97"/>
      <c r="EN229" s="97"/>
      <c r="EO229" s="97"/>
      <c r="EP229" s="97"/>
      <c r="EQ229" s="97"/>
      <c r="ER229" s="97"/>
      <c r="ES229" s="97"/>
      <c r="ET229" s="97"/>
    </row>
    <row r="230" spans="1:150" ht="15.75" customHeight="1">
      <c r="A230" s="97"/>
      <c r="B230" s="97"/>
      <c r="C230" s="97"/>
      <c r="D230" s="97"/>
      <c r="E230" s="97"/>
      <c r="F230" s="97"/>
      <c r="G230" s="97"/>
      <c r="H230" s="129"/>
      <c r="I230" s="97"/>
      <c r="J230" s="97"/>
      <c r="K230" s="97"/>
      <c r="L230" s="97"/>
      <c r="M230" s="97"/>
      <c r="N230" s="97"/>
      <c r="O230" s="97"/>
      <c r="P230" s="97"/>
      <c r="Q230" s="97"/>
      <c r="R230" s="97"/>
      <c r="S230" s="97"/>
      <c r="T230" s="97"/>
      <c r="U230" s="97"/>
      <c r="V230" s="97"/>
      <c r="W230" s="97"/>
      <c r="X230" s="129"/>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c r="DF230" s="97"/>
      <c r="DG230" s="97"/>
      <c r="DH230" s="97"/>
      <c r="DI230" s="97"/>
      <c r="DJ230" s="97"/>
      <c r="DK230" s="97"/>
      <c r="DL230" s="97"/>
      <c r="DM230" s="97"/>
      <c r="DN230" s="97"/>
      <c r="DO230" s="97"/>
      <c r="DP230" s="97"/>
      <c r="DQ230" s="97"/>
      <c r="DR230" s="97"/>
      <c r="DS230" s="97"/>
      <c r="DT230" s="97"/>
      <c r="DU230" s="97"/>
      <c r="DV230" s="97"/>
      <c r="DW230" s="97"/>
      <c r="DX230" s="97"/>
      <c r="DY230" s="97"/>
      <c r="DZ230" s="97"/>
      <c r="EA230" s="97"/>
      <c r="EB230" s="97"/>
      <c r="EC230" s="97"/>
      <c r="ED230" s="97"/>
      <c r="EE230" s="97"/>
      <c r="EF230" s="97"/>
      <c r="EG230" s="97"/>
      <c r="EH230" s="97"/>
      <c r="EI230" s="97"/>
      <c r="EJ230" s="97"/>
      <c r="EK230" s="97"/>
      <c r="EL230" s="97"/>
      <c r="EM230" s="97"/>
      <c r="EN230" s="97"/>
      <c r="EO230" s="97"/>
      <c r="EP230" s="97"/>
      <c r="EQ230" s="97"/>
      <c r="ER230" s="97"/>
      <c r="ES230" s="97"/>
      <c r="ET230" s="97"/>
    </row>
    <row r="231" spans="1:150" ht="15.75" customHeight="1">
      <c r="A231" s="97"/>
      <c r="B231" s="97"/>
      <c r="C231" s="97"/>
      <c r="D231" s="97"/>
      <c r="E231" s="97"/>
      <c r="F231" s="97"/>
      <c r="G231" s="97"/>
      <c r="H231" s="129"/>
      <c r="I231" s="97"/>
      <c r="J231" s="97"/>
      <c r="K231" s="97"/>
      <c r="L231" s="97"/>
      <c r="M231" s="97"/>
      <c r="N231" s="97"/>
      <c r="O231" s="97"/>
      <c r="P231" s="97"/>
      <c r="Q231" s="97"/>
      <c r="R231" s="97"/>
      <c r="S231" s="97"/>
      <c r="T231" s="97"/>
      <c r="U231" s="97"/>
      <c r="V231" s="97"/>
      <c r="W231" s="97"/>
      <c r="X231" s="129"/>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c r="DF231" s="97"/>
      <c r="DG231" s="97"/>
      <c r="DH231" s="97"/>
      <c r="DI231" s="97"/>
      <c r="DJ231" s="97"/>
      <c r="DK231" s="97"/>
      <c r="DL231" s="97"/>
      <c r="DM231" s="97"/>
      <c r="DN231" s="97"/>
      <c r="DO231" s="97"/>
      <c r="DP231" s="97"/>
      <c r="DQ231" s="97"/>
      <c r="DR231" s="97"/>
      <c r="DS231" s="97"/>
      <c r="DT231" s="97"/>
      <c r="DU231" s="97"/>
      <c r="DV231" s="97"/>
      <c r="DW231" s="97"/>
      <c r="DX231" s="97"/>
      <c r="DY231" s="97"/>
      <c r="DZ231" s="97"/>
      <c r="EA231" s="97"/>
      <c r="EB231" s="97"/>
      <c r="EC231" s="97"/>
      <c r="ED231" s="97"/>
      <c r="EE231" s="97"/>
      <c r="EF231" s="97"/>
      <c r="EG231" s="97"/>
      <c r="EH231" s="97"/>
      <c r="EI231" s="97"/>
      <c r="EJ231" s="97"/>
      <c r="EK231" s="97"/>
      <c r="EL231" s="97"/>
      <c r="EM231" s="97"/>
      <c r="EN231" s="97"/>
      <c r="EO231" s="97"/>
      <c r="EP231" s="97"/>
      <c r="EQ231" s="97"/>
      <c r="ER231" s="97"/>
      <c r="ES231" s="97"/>
      <c r="ET231" s="97"/>
    </row>
    <row r="232" spans="1:150" ht="15.75" customHeight="1">
      <c r="A232" s="97"/>
      <c r="B232" s="97"/>
      <c r="C232" s="97"/>
      <c r="D232" s="97"/>
      <c r="E232" s="97"/>
      <c r="F232" s="97"/>
      <c r="G232" s="97"/>
      <c r="H232" s="129"/>
      <c r="I232" s="97"/>
      <c r="J232" s="97"/>
      <c r="K232" s="97"/>
      <c r="L232" s="97"/>
      <c r="M232" s="97"/>
      <c r="N232" s="97"/>
      <c r="O232" s="97"/>
      <c r="P232" s="97"/>
      <c r="Q232" s="97"/>
      <c r="R232" s="97"/>
      <c r="S232" s="97"/>
      <c r="T232" s="97"/>
      <c r="U232" s="97"/>
      <c r="V232" s="97"/>
      <c r="W232" s="97"/>
      <c r="X232" s="129"/>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c r="DF232" s="97"/>
      <c r="DG232" s="97"/>
      <c r="DH232" s="97"/>
      <c r="DI232" s="97"/>
      <c r="DJ232" s="97"/>
      <c r="DK232" s="97"/>
      <c r="DL232" s="97"/>
      <c r="DM232" s="97"/>
      <c r="DN232" s="97"/>
      <c r="DO232" s="97"/>
      <c r="DP232" s="97"/>
      <c r="DQ232" s="97"/>
      <c r="DR232" s="97"/>
      <c r="DS232" s="97"/>
      <c r="DT232" s="97"/>
      <c r="DU232" s="97"/>
      <c r="DV232" s="97"/>
      <c r="DW232" s="97"/>
      <c r="DX232" s="97"/>
      <c r="DY232" s="97"/>
      <c r="DZ232" s="97"/>
      <c r="EA232" s="97"/>
      <c r="EB232" s="97"/>
      <c r="EC232" s="97"/>
      <c r="ED232" s="97"/>
      <c r="EE232" s="97"/>
      <c r="EF232" s="97"/>
      <c r="EG232" s="97"/>
      <c r="EH232" s="97"/>
      <c r="EI232" s="97"/>
      <c r="EJ232" s="97"/>
      <c r="EK232" s="97"/>
      <c r="EL232" s="97"/>
      <c r="EM232" s="97"/>
      <c r="EN232" s="97"/>
      <c r="EO232" s="97"/>
      <c r="EP232" s="97"/>
      <c r="EQ232" s="97"/>
      <c r="ER232" s="97"/>
      <c r="ES232" s="97"/>
      <c r="ET232" s="97"/>
    </row>
    <row r="233" spans="1:150" ht="15.75" customHeight="1">
      <c r="A233" s="97"/>
      <c r="B233" s="97"/>
      <c r="C233" s="97"/>
      <c r="D233" s="97"/>
      <c r="E233" s="97"/>
      <c r="F233" s="97"/>
      <c r="G233" s="97"/>
      <c r="H233" s="129"/>
      <c r="I233" s="97"/>
      <c r="J233" s="97"/>
      <c r="K233" s="97"/>
      <c r="L233" s="97"/>
      <c r="M233" s="97"/>
      <c r="N233" s="97"/>
      <c r="O233" s="97"/>
      <c r="P233" s="97"/>
      <c r="Q233" s="97"/>
      <c r="R233" s="97"/>
      <c r="S233" s="97"/>
      <c r="T233" s="97"/>
      <c r="U233" s="97"/>
      <c r="V233" s="97"/>
      <c r="W233" s="97"/>
      <c r="X233" s="129"/>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c r="DF233" s="97"/>
      <c r="DG233" s="97"/>
      <c r="DH233" s="97"/>
      <c r="DI233" s="97"/>
      <c r="DJ233" s="97"/>
      <c r="DK233" s="97"/>
      <c r="DL233" s="97"/>
      <c r="DM233" s="97"/>
      <c r="DN233" s="97"/>
      <c r="DO233" s="97"/>
      <c r="DP233" s="97"/>
      <c r="DQ233" s="97"/>
      <c r="DR233" s="97"/>
      <c r="DS233" s="97"/>
      <c r="DT233" s="97"/>
      <c r="DU233" s="97"/>
      <c r="DV233" s="97"/>
      <c r="DW233" s="97"/>
      <c r="DX233" s="97"/>
      <c r="DY233" s="97"/>
      <c r="DZ233" s="97"/>
      <c r="EA233" s="97"/>
      <c r="EB233" s="97"/>
      <c r="EC233" s="97"/>
      <c r="ED233" s="97"/>
      <c r="EE233" s="97"/>
      <c r="EF233" s="97"/>
      <c r="EG233" s="97"/>
      <c r="EH233" s="97"/>
      <c r="EI233" s="97"/>
      <c r="EJ233" s="97"/>
      <c r="EK233" s="97"/>
      <c r="EL233" s="97"/>
      <c r="EM233" s="97"/>
      <c r="EN233" s="97"/>
      <c r="EO233" s="97"/>
      <c r="EP233" s="97"/>
      <c r="EQ233" s="97"/>
      <c r="ER233" s="97"/>
      <c r="ES233" s="97"/>
      <c r="ET233" s="97"/>
    </row>
    <row r="234" spans="1:150" ht="15.75" customHeight="1">
      <c r="A234" s="97"/>
      <c r="B234" s="97"/>
      <c r="C234" s="97"/>
      <c r="D234" s="97"/>
      <c r="E234" s="97"/>
      <c r="F234" s="97"/>
      <c r="G234" s="97"/>
      <c r="H234" s="129"/>
      <c r="I234" s="97"/>
      <c r="J234" s="97"/>
      <c r="K234" s="97"/>
      <c r="L234" s="97"/>
      <c r="M234" s="97"/>
      <c r="N234" s="97"/>
      <c r="O234" s="97"/>
      <c r="P234" s="97"/>
      <c r="Q234" s="97"/>
      <c r="R234" s="97"/>
      <c r="S234" s="97"/>
      <c r="T234" s="97"/>
      <c r="U234" s="97"/>
      <c r="V234" s="97"/>
      <c r="W234" s="97"/>
      <c r="X234" s="129"/>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c r="DF234" s="97"/>
      <c r="DG234" s="97"/>
      <c r="DH234" s="97"/>
      <c r="DI234" s="97"/>
      <c r="DJ234" s="97"/>
      <c r="DK234" s="97"/>
      <c r="DL234" s="97"/>
      <c r="DM234" s="97"/>
      <c r="DN234" s="97"/>
      <c r="DO234" s="97"/>
      <c r="DP234" s="97"/>
      <c r="DQ234" s="97"/>
      <c r="DR234" s="97"/>
      <c r="DS234" s="97"/>
      <c r="DT234" s="97"/>
      <c r="DU234" s="97"/>
      <c r="DV234" s="97"/>
      <c r="DW234" s="97"/>
      <c r="DX234" s="97"/>
      <c r="DY234" s="97"/>
      <c r="DZ234" s="97"/>
      <c r="EA234" s="97"/>
      <c r="EB234" s="97"/>
      <c r="EC234" s="97"/>
      <c r="ED234" s="97"/>
      <c r="EE234" s="97"/>
      <c r="EF234" s="97"/>
      <c r="EG234" s="97"/>
      <c r="EH234" s="97"/>
      <c r="EI234" s="97"/>
      <c r="EJ234" s="97"/>
      <c r="EK234" s="97"/>
      <c r="EL234" s="97"/>
      <c r="EM234" s="97"/>
      <c r="EN234" s="97"/>
      <c r="EO234" s="97"/>
      <c r="EP234" s="97"/>
      <c r="EQ234" s="97"/>
      <c r="ER234" s="97"/>
      <c r="ES234" s="97"/>
      <c r="ET234" s="97"/>
    </row>
    <row r="235" spans="1:150" ht="15.75" customHeight="1">
      <c r="A235" s="97"/>
      <c r="B235" s="97"/>
      <c r="C235" s="97"/>
      <c r="D235" s="97"/>
      <c r="E235" s="97"/>
      <c r="F235" s="97"/>
      <c r="G235" s="97"/>
      <c r="H235" s="129"/>
      <c r="I235" s="97"/>
      <c r="J235" s="97"/>
      <c r="K235" s="97"/>
      <c r="L235" s="97"/>
      <c r="M235" s="97"/>
      <c r="N235" s="97"/>
      <c r="O235" s="97"/>
      <c r="P235" s="97"/>
      <c r="Q235" s="97"/>
      <c r="R235" s="97"/>
      <c r="S235" s="97"/>
      <c r="T235" s="97"/>
      <c r="U235" s="97"/>
      <c r="V235" s="97"/>
      <c r="W235" s="97"/>
      <c r="X235" s="129"/>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c r="DF235" s="97"/>
      <c r="DG235" s="97"/>
      <c r="DH235" s="97"/>
      <c r="DI235" s="97"/>
      <c r="DJ235" s="97"/>
      <c r="DK235" s="97"/>
      <c r="DL235" s="97"/>
      <c r="DM235" s="97"/>
      <c r="DN235" s="97"/>
      <c r="DO235" s="97"/>
      <c r="DP235" s="97"/>
      <c r="DQ235" s="97"/>
      <c r="DR235" s="97"/>
      <c r="DS235" s="97"/>
      <c r="DT235" s="97"/>
      <c r="DU235" s="97"/>
      <c r="DV235" s="97"/>
      <c r="DW235" s="97"/>
      <c r="DX235" s="97"/>
      <c r="DY235" s="97"/>
      <c r="DZ235" s="97"/>
      <c r="EA235" s="97"/>
      <c r="EB235" s="97"/>
      <c r="EC235" s="97"/>
      <c r="ED235" s="97"/>
      <c r="EE235" s="97"/>
      <c r="EF235" s="97"/>
      <c r="EG235" s="97"/>
      <c r="EH235" s="97"/>
      <c r="EI235" s="97"/>
      <c r="EJ235" s="97"/>
      <c r="EK235" s="97"/>
      <c r="EL235" s="97"/>
      <c r="EM235" s="97"/>
      <c r="EN235" s="97"/>
      <c r="EO235" s="97"/>
      <c r="EP235" s="97"/>
      <c r="EQ235" s="97"/>
      <c r="ER235" s="97"/>
      <c r="ES235" s="97"/>
      <c r="ET235" s="97"/>
    </row>
    <row r="236" spans="1:150" ht="15.75" customHeight="1">
      <c r="A236" s="97"/>
      <c r="B236" s="97"/>
      <c r="C236" s="97"/>
      <c r="D236" s="97"/>
      <c r="E236" s="97"/>
      <c r="F236" s="97"/>
      <c r="G236" s="97"/>
      <c r="H236" s="129"/>
      <c r="I236" s="97"/>
      <c r="J236" s="97"/>
      <c r="K236" s="97"/>
      <c r="L236" s="97"/>
      <c r="M236" s="97"/>
      <c r="N236" s="97"/>
      <c r="O236" s="97"/>
      <c r="P236" s="97"/>
      <c r="Q236" s="97"/>
      <c r="R236" s="97"/>
      <c r="S236" s="97"/>
      <c r="T236" s="97"/>
      <c r="U236" s="97"/>
      <c r="V236" s="97"/>
      <c r="W236" s="97"/>
      <c r="X236" s="129"/>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c r="DF236" s="97"/>
      <c r="DG236" s="97"/>
      <c r="DH236" s="97"/>
      <c r="DI236" s="97"/>
      <c r="DJ236" s="97"/>
      <c r="DK236" s="97"/>
      <c r="DL236" s="97"/>
      <c r="DM236" s="97"/>
      <c r="DN236" s="97"/>
      <c r="DO236" s="97"/>
      <c r="DP236" s="97"/>
      <c r="DQ236" s="97"/>
      <c r="DR236" s="97"/>
      <c r="DS236" s="97"/>
      <c r="DT236" s="97"/>
      <c r="DU236" s="97"/>
      <c r="DV236" s="97"/>
      <c r="DW236" s="97"/>
      <c r="DX236" s="97"/>
      <c r="DY236" s="97"/>
      <c r="DZ236" s="97"/>
      <c r="EA236" s="97"/>
      <c r="EB236" s="97"/>
      <c r="EC236" s="97"/>
      <c r="ED236" s="97"/>
      <c r="EE236" s="97"/>
      <c r="EF236" s="97"/>
      <c r="EG236" s="97"/>
      <c r="EH236" s="97"/>
      <c r="EI236" s="97"/>
      <c r="EJ236" s="97"/>
      <c r="EK236" s="97"/>
      <c r="EL236" s="97"/>
      <c r="EM236" s="97"/>
      <c r="EN236" s="97"/>
      <c r="EO236" s="97"/>
      <c r="EP236" s="97"/>
      <c r="EQ236" s="97"/>
      <c r="ER236" s="97"/>
      <c r="ES236" s="97"/>
      <c r="ET236" s="97"/>
    </row>
    <row r="237" spans="1:150" ht="15.75" customHeight="1">
      <c r="A237" s="97"/>
      <c r="B237" s="97"/>
      <c r="C237" s="97"/>
      <c r="D237" s="97"/>
      <c r="E237" s="97"/>
      <c r="F237" s="97"/>
      <c r="G237" s="97"/>
      <c r="H237" s="129"/>
      <c r="I237" s="97"/>
      <c r="J237" s="97"/>
      <c r="K237" s="97"/>
      <c r="L237" s="97"/>
      <c r="M237" s="97"/>
      <c r="N237" s="97"/>
      <c r="O237" s="97"/>
      <c r="P237" s="97"/>
      <c r="Q237" s="97"/>
      <c r="R237" s="97"/>
      <c r="S237" s="97"/>
      <c r="T237" s="97"/>
      <c r="U237" s="97"/>
      <c r="V237" s="97"/>
      <c r="W237" s="97"/>
      <c r="X237" s="129"/>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c r="DF237" s="97"/>
      <c r="DG237" s="97"/>
      <c r="DH237" s="97"/>
      <c r="DI237" s="97"/>
      <c r="DJ237" s="97"/>
      <c r="DK237" s="97"/>
      <c r="DL237" s="97"/>
      <c r="DM237" s="97"/>
      <c r="DN237" s="97"/>
      <c r="DO237" s="97"/>
      <c r="DP237" s="97"/>
      <c r="DQ237" s="97"/>
      <c r="DR237" s="97"/>
      <c r="DS237" s="97"/>
      <c r="DT237" s="97"/>
      <c r="DU237" s="97"/>
      <c r="DV237" s="97"/>
      <c r="DW237" s="97"/>
      <c r="DX237" s="97"/>
      <c r="DY237" s="97"/>
      <c r="DZ237" s="97"/>
      <c r="EA237" s="97"/>
      <c r="EB237" s="97"/>
      <c r="EC237" s="97"/>
      <c r="ED237" s="97"/>
      <c r="EE237" s="97"/>
      <c r="EF237" s="97"/>
      <c r="EG237" s="97"/>
      <c r="EH237" s="97"/>
      <c r="EI237" s="97"/>
      <c r="EJ237" s="97"/>
      <c r="EK237" s="97"/>
      <c r="EL237" s="97"/>
      <c r="EM237" s="97"/>
      <c r="EN237" s="97"/>
      <c r="EO237" s="97"/>
      <c r="EP237" s="97"/>
      <c r="EQ237" s="97"/>
      <c r="ER237" s="97"/>
      <c r="ES237" s="97"/>
      <c r="ET237" s="97"/>
    </row>
    <row r="238" spans="1:150" ht="15.75" customHeight="1">
      <c r="A238" s="97"/>
      <c r="B238" s="97"/>
      <c r="C238" s="97"/>
      <c r="D238" s="97"/>
      <c r="E238" s="97"/>
      <c r="F238" s="97"/>
      <c r="G238" s="97"/>
      <c r="H238" s="129"/>
      <c r="I238" s="97"/>
      <c r="J238" s="97"/>
      <c r="K238" s="97"/>
      <c r="L238" s="97"/>
      <c r="M238" s="97"/>
      <c r="N238" s="97"/>
      <c r="O238" s="97"/>
      <c r="P238" s="97"/>
      <c r="Q238" s="97"/>
      <c r="R238" s="97"/>
      <c r="S238" s="97"/>
      <c r="T238" s="97"/>
      <c r="U238" s="97"/>
      <c r="V238" s="97"/>
      <c r="W238" s="97"/>
      <c r="X238" s="129"/>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c r="DF238" s="97"/>
      <c r="DG238" s="97"/>
      <c r="DH238" s="97"/>
      <c r="DI238" s="97"/>
      <c r="DJ238" s="97"/>
      <c r="DK238" s="97"/>
      <c r="DL238" s="97"/>
      <c r="DM238" s="97"/>
      <c r="DN238" s="97"/>
      <c r="DO238" s="97"/>
      <c r="DP238" s="97"/>
      <c r="DQ238" s="97"/>
      <c r="DR238" s="97"/>
      <c r="DS238" s="97"/>
      <c r="DT238" s="97"/>
      <c r="DU238" s="97"/>
      <c r="DV238" s="97"/>
      <c r="DW238" s="97"/>
      <c r="DX238" s="97"/>
      <c r="DY238" s="97"/>
      <c r="DZ238" s="97"/>
      <c r="EA238" s="97"/>
      <c r="EB238" s="97"/>
      <c r="EC238" s="97"/>
      <c r="ED238" s="97"/>
      <c r="EE238" s="97"/>
      <c r="EF238" s="97"/>
      <c r="EG238" s="97"/>
      <c r="EH238" s="97"/>
      <c r="EI238" s="97"/>
      <c r="EJ238" s="97"/>
      <c r="EK238" s="97"/>
      <c r="EL238" s="97"/>
      <c r="EM238" s="97"/>
      <c r="EN238" s="97"/>
      <c r="EO238" s="97"/>
      <c r="EP238" s="97"/>
      <c r="EQ238" s="97"/>
      <c r="ER238" s="97"/>
      <c r="ES238" s="97"/>
      <c r="ET238" s="97"/>
    </row>
    <row r="239" spans="1:150" ht="15.75" customHeight="1">
      <c r="A239" s="97"/>
      <c r="B239" s="97"/>
      <c r="C239" s="97"/>
      <c r="D239" s="97"/>
      <c r="E239" s="97"/>
      <c r="F239" s="97"/>
      <c r="G239" s="97"/>
      <c r="H239" s="129"/>
      <c r="I239" s="97"/>
      <c r="J239" s="97"/>
      <c r="K239" s="97"/>
      <c r="L239" s="97"/>
      <c r="M239" s="97"/>
      <c r="N239" s="97"/>
      <c r="O239" s="97"/>
      <c r="P239" s="97"/>
      <c r="Q239" s="97"/>
      <c r="R239" s="97"/>
      <c r="S239" s="97"/>
      <c r="T239" s="97"/>
      <c r="U239" s="97"/>
      <c r="V239" s="97"/>
      <c r="W239" s="97"/>
      <c r="X239" s="129"/>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c r="DF239" s="97"/>
      <c r="DG239" s="97"/>
      <c r="DH239" s="97"/>
      <c r="DI239" s="97"/>
      <c r="DJ239" s="97"/>
      <c r="DK239" s="97"/>
      <c r="DL239" s="97"/>
      <c r="DM239" s="97"/>
      <c r="DN239" s="97"/>
      <c r="DO239" s="97"/>
      <c r="DP239" s="97"/>
      <c r="DQ239" s="97"/>
      <c r="DR239" s="97"/>
      <c r="DS239" s="97"/>
      <c r="DT239" s="97"/>
      <c r="DU239" s="97"/>
      <c r="DV239" s="97"/>
      <c r="DW239" s="97"/>
      <c r="DX239" s="97"/>
      <c r="DY239" s="97"/>
      <c r="DZ239" s="97"/>
      <c r="EA239" s="97"/>
      <c r="EB239" s="97"/>
      <c r="EC239" s="97"/>
      <c r="ED239" s="97"/>
      <c r="EE239" s="97"/>
      <c r="EF239" s="97"/>
      <c r="EG239" s="97"/>
      <c r="EH239" s="97"/>
      <c r="EI239" s="97"/>
      <c r="EJ239" s="97"/>
      <c r="EK239" s="97"/>
      <c r="EL239" s="97"/>
      <c r="EM239" s="97"/>
      <c r="EN239" s="97"/>
      <c r="EO239" s="97"/>
      <c r="EP239" s="97"/>
      <c r="EQ239" s="97"/>
      <c r="ER239" s="97"/>
      <c r="ES239" s="97"/>
      <c r="ET239" s="97"/>
    </row>
    <row r="240" spans="1:150" ht="15.75" customHeight="1">
      <c r="A240" s="97"/>
      <c r="B240" s="97"/>
      <c r="C240" s="97"/>
      <c r="D240" s="97"/>
      <c r="E240" s="97"/>
      <c r="F240" s="97"/>
      <c r="G240" s="97"/>
      <c r="H240" s="129"/>
      <c r="I240" s="97"/>
      <c r="J240" s="97"/>
      <c r="K240" s="97"/>
      <c r="L240" s="97"/>
      <c r="M240" s="97"/>
      <c r="N240" s="97"/>
      <c r="O240" s="97"/>
      <c r="P240" s="97"/>
      <c r="Q240" s="97"/>
      <c r="R240" s="97"/>
      <c r="S240" s="97"/>
      <c r="T240" s="97"/>
      <c r="U240" s="97"/>
      <c r="V240" s="97"/>
      <c r="W240" s="97"/>
      <c r="X240" s="129"/>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c r="DF240" s="97"/>
      <c r="DG240" s="97"/>
      <c r="DH240" s="97"/>
      <c r="DI240" s="97"/>
      <c r="DJ240" s="97"/>
      <c r="DK240" s="97"/>
      <c r="DL240" s="97"/>
      <c r="DM240" s="97"/>
      <c r="DN240" s="97"/>
      <c r="DO240" s="97"/>
      <c r="DP240" s="97"/>
      <c r="DQ240" s="97"/>
      <c r="DR240" s="97"/>
      <c r="DS240" s="97"/>
      <c r="DT240" s="97"/>
      <c r="DU240" s="97"/>
      <c r="DV240" s="97"/>
      <c r="DW240" s="97"/>
      <c r="DX240" s="97"/>
      <c r="DY240" s="97"/>
      <c r="DZ240" s="97"/>
      <c r="EA240" s="97"/>
      <c r="EB240" s="97"/>
      <c r="EC240" s="97"/>
      <c r="ED240" s="97"/>
      <c r="EE240" s="97"/>
      <c r="EF240" s="97"/>
      <c r="EG240" s="97"/>
      <c r="EH240" s="97"/>
      <c r="EI240" s="97"/>
      <c r="EJ240" s="97"/>
      <c r="EK240" s="97"/>
      <c r="EL240" s="97"/>
      <c r="EM240" s="97"/>
      <c r="EN240" s="97"/>
      <c r="EO240" s="97"/>
      <c r="EP240" s="97"/>
      <c r="EQ240" s="97"/>
      <c r="ER240" s="97"/>
      <c r="ES240" s="97"/>
      <c r="ET240" s="97"/>
    </row>
    <row r="241" spans="1:150" ht="15.75" customHeight="1">
      <c r="A241" s="97"/>
      <c r="B241" s="97"/>
      <c r="C241" s="97"/>
      <c r="D241" s="97"/>
      <c r="E241" s="97"/>
      <c r="F241" s="97"/>
      <c r="G241" s="97"/>
      <c r="H241" s="129"/>
      <c r="I241" s="97"/>
      <c r="J241" s="97"/>
      <c r="K241" s="97"/>
      <c r="L241" s="97"/>
      <c r="M241" s="97"/>
      <c r="N241" s="97"/>
      <c r="O241" s="97"/>
      <c r="P241" s="97"/>
      <c r="Q241" s="97"/>
      <c r="R241" s="97"/>
      <c r="S241" s="97"/>
      <c r="T241" s="97"/>
      <c r="U241" s="97"/>
      <c r="V241" s="97"/>
      <c r="W241" s="97"/>
      <c r="X241" s="129"/>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c r="DF241" s="97"/>
      <c r="DG241" s="97"/>
      <c r="DH241" s="97"/>
      <c r="DI241" s="97"/>
      <c r="DJ241" s="97"/>
      <c r="DK241" s="97"/>
      <c r="DL241" s="97"/>
      <c r="DM241" s="97"/>
      <c r="DN241" s="97"/>
      <c r="DO241" s="97"/>
      <c r="DP241" s="97"/>
      <c r="DQ241" s="97"/>
      <c r="DR241" s="97"/>
      <c r="DS241" s="97"/>
      <c r="DT241" s="97"/>
      <c r="DU241" s="97"/>
      <c r="DV241" s="97"/>
      <c r="DW241" s="97"/>
      <c r="DX241" s="97"/>
      <c r="DY241" s="97"/>
      <c r="DZ241" s="97"/>
      <c r="EA241" s="97"/>
      <c r="EB241" s="97"/>
      <c r="EC241" s="97"/>
      <c r="ED241" s="97"/>
      <c r="EE241" s="97"/>
      <c r="EF241" s="97"/>
      <c r="EG241" s="97"/>
      <c r="EH241" s="97"/>
      <c r="EI241" s="97"/>
      <c r="EJ241" s="97"/>
      <c r="EK241" s="97"/>
      <c r="EL241" s="97"/>
      <c r="EM241" s="97"/>
      <c r="EN241" s="97"/>
      <c r="EO241" s="97"/>
      <c r="EP241" s="97"/>
      <c r="EQ241" s="97"/>
      <c r="ER241" s="97"/>
      <c r="ES241" s="97"/>
      <c r="ET241" s="97"/>
    </row>
    <row r="242" spans="1:150" ht="15.75" customHeight="1">
      <c r="A242" s="97"/>
      <c r="B242" s="97"/>
      <c r="C242" s="97"/>
      <c r="D242" s="97"/>
      <c r="E242" s="97"/>
      <c r="F242" s="97"/>
      <c r="G242" s="97"/>
      <c r="H242" s="129"/>
      <c r="I242" s="97"/>
      <c r="J242" s="97"/>
      <c r="K242" s="97"/>
      <c r="L242" s="97"/>
      <c r="M242" s="97"/>
      <c r="N242" s="97"/>
      <c r="O242" s="97"/>
      <c r="P242" s="97"/>
      <c r="Q242" s="97"/>
      <c r="R242" s="97"/>
      <c r="S242" s="97"/>
      <c r="T242" s="97"/>
      <c r="U242" s="97"/>
      <c r="V242" s="97"/>
      <c r="W242" s="97"/>
      <c r="X242" s="129"/>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c r="DF242" s="97"/>
      <c r="DG242" s="97"/>
      <c r="DH242" s="97"/>
      <c r="DI242" s="97"/>
      <c r="DJ242" s="97"/>
      <c r="DK242" s="97"/>
      <c r="DL242" s="97"/>
      <c r="DM242" s="97"/>
      <c r="DN242" s="97"/>
      <c r="DO242" s="97"/>
      <c r="DP242" s="97"/>
      <c r="DQ242" s="97"/>
      <c r="DR242" s="97"/>
      <c r="DS242" s="97"/>
      <c r="DT242" s="97"/>
      <c r="DU242" s="97"/>
      <c r="DV242" s="97"/>
      <c r="DW242" s="97"/>
      <c r="DX242" s="97"/>
      <c r="DY242" s="97"/>
      <c r="DZ242" s="97"/>
      <c r="EA242" s="97"/>
      <c r="EB242" s="97"/>
      <c r="EC242" s="97"/>
      <c r="ED242" s="97"/>
      <c r="EE242" s="97"/>
      <c r="EF242" s="97"/>
      <c r="EG242" s="97"/>
      <c r="EH242" s="97"/>
      <c r="EI242" s="97"/>
      <c r="EJ242" s="97"/>
      <c r="EK242" s="97"/>
      <c r="EL242" s="97"/>
      <c r="EM242" s="97"/>
      <c r="EN242" s="97"/>
      <c r="EO242" s="97"/>
      <c r="EP242" s="97"/>
      <c r="EQ242" s="97"/>
      <c r="ER242" s="97"/>
      <c r="ES242" s="97"/>
      <c r="ET242" s="97"/>
    </row>
    <row r="243" spans="1:150" ht="15.75" customHeight="1">
      <c r="A243" s="97"/>
      <c r="B243" s="97"/>
      <c r="C243" s="97"/>
      <c r="D243" s="97"/>
      <c r="E243" s="97"/>
      <c r="F243" s="97"/>
      <c r="G243" s="97"/>
      <c r="H243" s="129"/>
      <c r="I243" s="97"/>
      <c r="J243" s="97"/>
      <c r="K243" s="97"/>
      <c r="L243" s="97"/>
      <c r="M243" s="97"/>
      <c r="N243" s="97"/>
      <c r="O243" s="97"/>
      <c r="P243" s="97"/>
      <c r="Q243" s="97"/>
      <c r="R243" s="97"/>
      <c r="S243" s="97"/>
      <c r="T243" s="97"/>
      <c r="U243" s="97"/>
      <c r="V243" s="97"/>
      <c r="W243" s="97"/>
      <c r="X243" s="129"/>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c r="DF243" s="97"/>
      <c r="DG243" s="97"/>
      <c r="DH243" s="97"/>
      <c r="DI243" s="97"/>
      <c r="DJ243" s="97"/>
      <c r="DK243" s="97"/>
      <c r="DL243" s="97"/>
      <c r="DM243" s="97"/>
      <c r="DN243" s="97"/>
      <c r="DO243" s="97"/>
      <c r="DP243" s="97"/>
      <c r="DQ243" s="97"/>
      <c r="DR243" s="97"/>
      <c r="DS243" s="97"/>
      <c r="DT243" s="97"/>
      <c r="DU243" s="97"/>
      <c r="DV243" s="97"/>
      <c r="DW243" s="97"/>
      <c r="DX243" s="97"/>
      <c r="DY243" s="97"/>
      <c r="DZ243" s="97"/>
      <c r="EA243" s="97"/>
      <c r="EB243" s="97"/>
      <c r="EC243" s="97"/>
      <c r="ED243" s="97"/>
      <c r="EE243" s="97"/>
      <c r="EF243" s="97"/>
      <c r="EG243" s="97"/>
      <c r="EH243" s="97"/>
      <c r="EI243" s="97"/>
      <c r="EJ243" s="97"/>
      <c r="EK243" s="97"/>
      <c r="EL243" s="97"/>
      <c r="EM243" s="97"/>
      <c r="EN243" s="97"/>
      <c r="EO243" s="97"/>
      <c r="EP243" s="97"/>
      <c r="EQ243" s="97"/>
      <c r="ER243" s="97"/>
      <c r="ES243" s="97"/>
      <c r="ET243" s="97"/>
    </row>
    <row r="244" spans="1:150" ht="15.75" customHeight="1">
      <c r="A244" s="97"/>
      <c r="B244" s="97"/>
      <c r="C244" s="97"/>
      <c r="D244" s="97"/>
      <c r="E244" s="97"/>
      <c r="F244" s="97"/>
      <c r="G244" s="97"/>
      <c r="H244" s="129"/>
      <c r="I244" s="97"/>
      <c r="J244" s="97"/>
      <c r="K244" s="97"/>
      <c r="L244" s="97"/>
      <c r="M244" s="97"/>
      <c r="N244" s="97"/>
      <c r="O244" s="97"/>
      <c r="P244" s="97"/>
      <c r="Q244" s="97"/>
      <c r="R244" s="97"/>
      <c r="S244" s="97"/>
      <c r="T244" s="97"/>
      <c r="U244" s="97"/>
      <c r="V244" s="97"/>
      <c r="W244" s="97"/>
      <c r="X244" s="129"/>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c r="DF244" s="97"/>
      <c r="DG244" s="97"/>
      <c r="DH244" s="97"/>
      <c r="DI244" s="97"/>
      <c r="DJ244" s="97"/>
      <c r="DK244" s="97"/>
      <c r="DL244" s="97"/>
      <c r="DM244" s="97"/>
      <c r="DN244" s="97"/>
      <c r="DO244" s="97"/>
      <c r="DP244" s="97"/>
      <c r="DQ244" s="97"/>
      <c r="DR244" s="97"/>
      <c r="DS244" s="97"/>
      <c r="DT244" s="97"/>
      <c r="DU244" s="97"/>
      <c r="DV244" s="97"/>
      <c r="DW244" s="97"/>
      <c r="DX244" s="97"/>
      <c r="DY244" s="97"/>
      <c r="DZ244" s="97"/>
      <c r="EA244" s="97"/>
      <c r="EB244" s="97"/>
      <c r="EC244" s="97"/>
      <c r="ED244" s="97"/>
      <c r="EE244" s="97"/>
      <c r="EF244" s="97"/>
      <c r="EG244" s="97"/>
      <c r="EH244" s="97"/>
      <c r="EI244" s="97"/>
      <c r="EJ244" s="97"/>
      <c r="EK244" s="97"/>
      <c r="EL244" s="97"/>
      <c r="EM244" s="97"/>
      <c r="EN244" s="97"/>
      <c r="EO244" s="97"/>
      <c r="EP244" s="97"/>
      <c r="EQ244" s="97"/>
      <c r="ER244" s="97"/>
      <c r="ES244" s="97"/>
      <c r="ET244" s="97"/>
    </row>
    <row r="245" spans="1:150" ht="15.75" customHeight="1">
      <c r="A245" s="97"/>
      <c r="B245" s="97"/>
      <c r="C245" s="97"/>
      <c r="D245" s="97"/>
      <c r="E245" s="97"/>
      <c r="F245" s="97"/>
      <c r="G245" s="97"/>
      <c r="H245" s="129"/>
      <c r="I245" s="97"/>
      <c r="J245" s="97"/>
      <c r="K245" s="97"/>
      <c r="L245" s="97"/>
      <c r="M245" s="97"/>
      <c r="N245" s="97"/>
      <c r="O245" s="97"/>
      <c r="P245" s="97"/>
      <c r="Q245" s="97"/>
      <c r="R245" s="97"/>
      <c r="S245" s="97"/>
      <c r="T245" s="97"/>
      <c r="U245" s="97"/>
      <c r="V245" s="97"/>
      <c r="W245" s="97"/>
      <c r="X245" s="129"/>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c r="DF245" s="97"/>
      <c r="DG245" s="97"/>
      <c r="DH245" s="97"/>
      <c r="DI245" s="97"/>
      <c r="DJ245" s="97"/>
      <c r="DK245" s="97"/>
      <c r="DL245" s="97"/>
      <c r="DM245" s="97"/>
      <c r="DN245" s="97"/>
      <c r="DO245" s="97"/>
      <c r="DP245" s="97"/>
      <c r="DQ245" s="97"/>
      <c r="DR245" s="97"/>
      <c r="DS245" s="97"/>
      <c r="DT245" s="97"/>
      <c r="DU245" s="97"/>
      <c r="DV245" s="97"/>
      <c r="DW245" s="97"/>
      <c r="DX245" s="97"/>
      <c r="DY245" s="97"/>
      <c r="DZ245" s="97"/>
      <c r="EA245" s="97"/>
      <c r="EB245" s="97"/>
      <c r="EC245" s="97"/>
      <c r="ED245" s="97"/>
      <c r="EE245" s="97"/>
      <c r="EF245" s="97"/>
      <c r="EG245" s="97"/>
      <c r="EH245" s="97"/>
      <c r="EI245" s="97"/>
      <c r="EJ245" s="97"/>
      <c r="EK245" s="97"/>
      <c r="EL245" s="97"/>
      <c r="EM245" s="97"/>
      <c r="EN245" s="97"/>
      <c r="EO245" s="97"/>
      <c r="EP245" s="97"/>
      <c r="EQ245" s="97"/>
      <c r="ER245" s="97"/>
      <c r="ES245" s="97"/>
      <c r="ET245" s="97"/>
    </row>
    <row r="246" spans="1:150" ht="15.75" customHeight="1">
      <c r="A246" s="97"/>
      <c r="B246" s="97"/>
      <c r="C246" s="97"/>
      <c r="D246" s="97"/>
      <c r="E246" s="97"/>
      <c r="F246" s="97"/>
      <c r="G246" s="97"/>
      <c r="H246" s="129"/>
      <c r="I246" s="97"/>
      <c r="J246" s="97"/>
      <c r="K246" s="97"/>
      <c r="L246" s="97"/>
      <c r="M246" s="97"/>
      <c r="N246" s="97"/>
      <c r="O246" s="97"/>
      <c r="P246" s="97"/>
      <c r="Q246" s="97"/>
      <c r="R246" s="97"/>
      <c r="S246" s="97"/>
      <c r="T246" s="97"/>
      <c r="U246" s="97"/>
      <c r="V246" s="97"/>
      <c r="W246" s="97"/>
      <c r="X246" s="129"/>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c r="DF246" s="97"/>
      <c r="DG246" s="97"/>
      <c r="DH246" s="97"/>
      <c r="DI246" s="97"/>
      <c r="DJ246" s="97"/>
      <c r="DK246" s="97"/>
      <c r="DL246" s="97"/>
      <c r="DM246" s="97"/>
      <c r="DN246" s="97"/>
      <c r="DO246" s="97"/>
      <c r="DP246" s="97"/>
      <c r="DQ246" s="97"/>
      <c r="DR246" s="97"/>
      <c r="DS246" s="97"/>
      <c r="DT246" s="97"/>
      <c r="DU246" s="97"/>
      <c r="DV246" s="97"/>
      <c r="DW246" s="97"/>
      <c r="DX246" s="97"/>
      <c r="DY246" s="97"/>
      <c r="DZ246" s="97"/>
      <c r="EA246" s="97"/>
      <c r="EB246" s="97"/>
      <c r="EC246" s="97"/>
      <c r="ED246" s="97"/>
      <c r="EE246" s="97"/>
      <c r="EF246" s="97"/>
      <c r="EG246" s="97"/>
      <c r="EH246" s="97"/>
      <c r="EI246" s="97"/>
      <c r="EJ246" s="97"/>
      <c r="EK246" s="97"/>
      <c r="EL246" s="97"/>
      <c r="EM246" s="97"/>
      <c r="EN246" s="97"/>
      <c r="EO246" s="97"/>
      <c r="EP246" s="97"/>
      <c r="EQ246" s="97"/>
      <c r="ER246" s="97"/>
      <c r="ES246" s="97"/>
      <c r="ET246" s="97"/>
    </row>
    <row r="247" spans="1:150" ht="15.75" customHeight="1">
      <c r="A247" s="97"/>
      <c r="B247" s="97"/>
      <c r="C247" s="97"/>
      <c r="D247" s="97"/>
      <c r="E247" s="97"/>
      <c r="F247" s="97"/>
      <c r="G247" s="97"/>
      <c r="H247" s="129"/>
      <c r="I247" s="97"/>
      <c r="J247" s="97"/>
      <c r="K247" s="97"/>
      <c r="L247" s="97"/>
      <c r="M247" s="97"/>
      <c r="N247" s="97"/>
      <c r="O247" s="97"/>
      <c r="P247" s="97"/>
      <c r="Q247" s="97"/>
      <c r="R247" s="97"/>
      <c r="S247" s="97"/>
      <c r="T247" s="97"/>
      <c r="U247" s="97"/>
      <c r="V247" s="97"/>
      <c r="W247" s="97"/>
      <c r="X247" s="129"/>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c r="DF247" s="97"/>
      <c r="DG247" s="97"/>
      <c r="DH247" s="97"/>
      <c r="DI247" s="97"/>
      <c r="DJ247" s="97"/>
      <c r="DK247" s="97"/>
      <c r="DL247" s="97"/>
      <c r="DM247" s="97"/>
      <c r="DN247" s="97"/>
      <c r="DO247" s="97"/>
      <c r="DP247" s="97"/>
      <c r="DQ247" s="97"/>
      <c r="DR247" s="97"/>
      <c r="DS247" s="97"/>
      <c r="DT247" s="97"/>
      <c r="DU247" s="97"/>
      <c r="DV247" s="97"/>
      <c r="DW247" s="97"/>
      <c r="DX247" s="97"/>
      <c r="DY247" s="97"/>
      <c r="DZ247" s="97"/>
      <c r="EA247" s="97"/>
      <c r="EB247" s="97"/>
      <c r="EC247" s="97"/>
      <c r="ED247" s="97"/>
      <c r="EE247" s="97"/>
      <c r="EF247" s="97"/>
      <c r="EG247" s="97"/>
      <c r="EH247" s="97"/>
      <c r="EI247" s="97"/>
      <c r="EJ247" s="97"/>
      <c r="EK247" s="97"/>
      <c r="EL247" s="97"/>
      <c r="EM247" s="97"/>
      <c r="EN247" s="97"/>
      <c r="EO247" s="97"/>
      <c r="EP247" s="97"/>
      <c r="EQ247" s="97"/>
      <c r="ER247" s="97"/>
      <c r="ES247" s="97"/>
      <c r="ET247" s="97"/>
    </row>
    <row r="248" spans="1:150" ht="15.75" customHeight="1">
      <c r="A248" s="97"/>
      <c r="B248" s="97"/>
      <c r="C248" s="97"/>
      <c r="D248" s="97"/>
      <c r="E248" s="97"/>
      <c r="F248" s="97"/>
      <c r="G248" s="97"/>
      <c r="H248" s="129"/>
      <c r="I248" s="97"/>
      <c r="J248" s="97"/>
      <c r="K248" s="97"/>
      <c r="L248" s="97"/>
      <c r="M248" s="97"/>
      <c r="N248" s="97"/>
      <c r="O248" s="97"/>
      <c r="P248" s="97"/>
      <c r="Q248" s="97"/>
      <c r="R248" s="97"/>
      <c r="S248" s="97"/>
      <c r="T248" s="97"/>
      <c r="U248" s="97"/>
      <c r="V248" s="97"/>
      <c r="W248" s="97"/>
      <c r="X248" s="129"/>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c r="DF248" s="97"/>
      <c r="DG248" s="97"/>
      <c r="DH248" s="97"/>
      <c r="DI248" s="97"/>
      <c r="DJ248" s="97"/>
      <c r="DK248" s="97"/>
      <c r="DL248" s="97"/>
      <c r="DM248" s="97"/>
      <c r="DN248" s="97"/>
      <c r="DO248" s="97"/>
      <c r="DP248" s="97"/>
      <c r="DQ248" s="97"/>
      <c r="DR248" s="97"/>
      <c r="DS248" s="97"/>
      <c r="DT248" s="97"/>
      <c r="DU248" s="97"/>
      <c r="DV248" s="97"/>
      <c r="DW248" s="97"/>
      <c r="DX248" s="97"/>
      <c r="DY248" s="97"/>
      <c r="DZ248" s="97"/>
      <c r="EA248" s="97"/>
      <c r="EB248" s="97"/>
      <c r="EC248" s="97"/>
      <c r="ED248" s="97"/>
      <c r="EE248" s="97"/>
      <c r="EF248" s="97"/>
      <c r="EG248" s="97"/>
      <c r="EH248" s="97"/>
      <c r="EI248" s="97"/>
      <c r="EJ248" s="97"/>
      <c r="EK248" s="97"/>
      <c r="EL248" s="97"/>
      <c r="EM248" s="97"/>
      <c r="EN248" s="97"/>
      <c r="EO248" s="97"/>
      <c r="EP248" s="97"/>
      <c r="EQ248" s="97"/>
      <c r="ER248" s="97"/>
      <c r="ES248" s="97"/>
      <c r="ET248" s="97"/>
    </row>
    <row r="249" spans="1:150" ht="15.75" customHeight="1">
      <c r="A249" s="97"/>
      <c r="B249" s="97"/>
      <c r="C249" s="97"/>
      <c r="D249" s="97"/>
      <c r="E249" s="97"/>
      <c r="F249" s="97"/>
      <c r="G249" s="97"/>
      <c r="H249" s="129"/>
      <c r="I249" s="97"/>
      <c r="J249" s="97"/>
      <c r="K249" s="97"/>
      <c r="L249" s="97"/>
      <c r="M249" s="97"/>
      <c r="N249" s="97"/>
      <c r="O249" s="97"/>
      <c r="P249" s="97"/>
      <c r="Q249" s="97"/>
      <c r="R249" s="97"/>
      <c r="S249" s="97"/>
      <c r="T249" s="97"/>
      <c r="U249" s="97"/>
      <c r="V249" s="97"/>
      <c r="W249" s="97"/>
      <c r="X249" s="129"/>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c r="DF249" s="97"/>
      <c r="DG249" s="97"/>
      <c r="DH249" s="97"/>
      <c r="DI249" s="97"/>
      <c r="DJ249" s="97"/>
      <c r="DK249" s="97"/>
      <c r="DL249" s="97"/>
      <c r="DM249" s="97"/>
      <c r="DN249" s="97"/>
      <c r="DO249" s="97"/>
      <c r="DP249" s="97"/>
      <c r="DQ249" s="97"/>
      <c r="DR249" s="97"/>
      <c r="DS249" s="97"/>
      <c r="DT249" s="97"/>
      <c r="DU249" s="97"/>
      <c r="DV249" s="97"/>
      <c r="DW249" s="97"/>
      <c r="DX249" s="97"/>
      <c r="DY249" s="97"/>
      <c r="DZ249" s="97"/>
      <c r="EA249" s="97"/>
      <c r="EB249" s="97"/>
      <c r="EC249" s="97"/>
      <c r="ED249" s="97"/>
      <c r="EE249" s="97"/>
      <c r="EF249" s="97"/>
      <c r="EG249" s="97"/>
      <c r="EH249" s="97"/>
      <c r="EI249" s="97"/>
      <c r="EJ249" s="97"/>
      <c r="EK249" s="97"/>
      <c r="EL249" s="97"/>
      <c r="EM249" s="97"/>
      <c r="EN249" s="97"/>
      <c r="EO249" s="97"/>
      <c r="EP249" s="97"/>
      <c r="EQ249" s="97"/>
      <c r="ER249" s="97"/>
      <c r="ES249" s="97"/>
      <c r="ET249" s="97"/>
    </row>
    <row r="250" spans="1:150" ht="15.75" customHeight="1">
      <c r="A250" s="97"/>
      <c r="B250" s="97"/>
      <c r="C250" s="97"/>
      <c r="D250" s="97"/>
      <c r="E250" s="97"/>
      <c r="F250" s="97"/>
      <c r="G250" s="97"/>
      <c r="H250" s="129"/>
      <c r="I250" s="97"/>
      <c r="J250" s="97"/>
      <c r="K250" s="97"/>
      <c r="L250" s="97"/>
      <c r="M250" s="97"/>
      <c r="N250" s="97"/>
      <c r="O250" s="97"/>
      <c r="P250" s="97"/>
      <c r="Q250" s="97"/>
      <c r="R250" s="97"/>
      <c r="S250" s="97"/>
      <c r="T250" s="97"/>
      <c r="U250" s="97"/>
      <c r="V250" s="97"/>
      <c r="W250" s="97"/>
      <c r="X250" s="129"/>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c r="DF250" s="97"/>
      <c r="DG250" s="97"/>
      <c r="DH250" s="97"/>
      <c r="DI250" s="97"/>
      <c r="DJ250" s="97"/>
      <c r="DK250" s="97"/>
      <c r="DL250" s="97"/>
      <c r="DM250" s="97"/>
      <c r="DN250" s="97"/>
      <c r="DO250" s="97"/>
      <c r="DP250" s="97"/>
      <c r="DQ250" s="97"/>
      <c r="DR250" s="97"/>
      <c r="DS250" s="97"/>
      <c r="DT250" s="97"/>
      <c r="DU250" s="97"/>
      <c r="DV250" s="97"/>
      <c r="DW250" s="97"/>
      <c r="DX250" s="97"/>
      <c r="DY250" s="97"/>
      <c r="DZ250" s="97"/>
      <c r="EA250" s="97"/>
      <c r="EB250" s="97"/>
      <c r="EC250" s="97"/>
      <c r="ED250" s="97"/>
      <c r="EE250" s="97"/>
      <c r="EF250" s="97"/>
      <c r="EG250" s="97"/>
      <c r="EH250" s="97"/>
      <c r="EI250" s="97"/>
      <c r="EJ250" s="97"/>
      <c r="EK250" s="97"/>
      <c r="EL250" s="97"/>
      <c r="EM250" s="97"/>
      <c r="EN250" s="97"/>
      <c r="EO250" s="97"/>
      <c r="EP250" s="97"/>
      <c r="EQ250" s="97"/>
      <c r="ER250" s="97"/>
      <c r="ES250" s="97"/>
      <c r="ET250" s="97"/>
    </row>
    <row r="251" spans="1:150" ht="15.75" customHeight="1">
      <c r="A251" s="97"/>
      <c r="B251" s="97"/>
      <c r="C251" s="97"/>
      <c r="D251" s="97"/>
      <c r="E251" s="97"/>
      <c r="F251" s="97"/>
      <c r="G251" s="97"/>
      <c r="H251" s="129"/>
      <c r="I251" s="97"/>
      <c r="J251" s="97"/>
      <c r="K251" s="97"/>
      <c r="L251" s="97"/>
      <c r="M251" s="97"/>
      <c r="N251" s="97"/>
      <c r="O251" s="97"/>
      <c r="P251" s="97"/>
      <c r="Q251" s="97"/>
      <c r="R251" s="97"/>
      <c r="S251" s="97"/>
      <c r="T251" s="97"/>
      <c r="U251" s="97"/>
      <c r="V251" s="97"/>
      <c r="W251" s="97"/>
      <c r="X251" s="129"/>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c r="DF251" s="97"/>
      <c r="DG251" s="97"/>
      <c r="DH251" s="97"/>
      <c r="DI251" s="97"/>
      <c r="DJ251" s="97"/>
      <c r="DK251" s="97"/>
      <c r="DL251" s="97"/>
      <c r="DM251" s="97"/>
      <c r="DN251" s="97"/>
      <c r="DO251" s="97"/>
      <c r="DP251" s="97"/>
      <c r="DQ251" s="97"/>
      <c r="DR251" s="97"/>
      <c r="DS251" s="97"/>
      <c r="DT251" s="97"/>
      <c r="DU251" s="97"/>
      <c r="DV251" s="97"/>
      <c r="DW251" s="97"/>
      <c r="DX251" s="97"/>
      <c r="DY251" s="97"/>
      <c r="DZ251" s="97"/>
      <c r="EA251" s="97"/>
      <c r="EB251" s="97"/>
      <c r="EC251" s="97"/>
      <c r="ED251" s="97"/>
      <c r="EE251" s="97"/>
      <c r="EF251" s="97"/>
      <c r="EG251" s="97"/>
      <c r="EH251" s="97"/>
      <c r="EI251" s="97"/>
      <c r="EJ251" s="97"/>
      <c r="EK251" s="97"/>
      <c r="EL251" s="97"/>
      <c r="EM251" s="97"/>
      <c r="EN251" s="97"/>
      <c r="EO251" s="97"/>
      <c r="EP251" s="97"/>
      <c r="EQ251" s="97"/>
      <c r="ER251" s="97"/>
      <c r="ES251" s="97"/>
      <c r="ET251" s="97"/>
    </row>
    <row r="252" spans="1:150" ht="15.75" customHeight="1">
      <c r="A252" s="97"/>
      <c r="B252" s="97"/>
      <c r="C252" s="97"/>
      <c r="D252" s="97"/>
      <c r="E252" s="97"/>
      <c r="F252" s="97"/>
      <c r="G252" s="97"/>
      <c r="H252" s="129"/>
      <c r="I252" s="97"/>
      <c r="J252" s="97"/>
      <c r="K252" s="97"/>
      <c r="L252" s="97"/>
      <c r="M252" s="97"/>
      <c r="N252" s="97"/>
      <c r="O252" s="97"/>
      <c r="P252" s="97"/>
      <c r="Q252" s="97"/>
      <c r="R252" s="97"/>
      <c r="S252" s="97"/>
      <c r="T252" s="97"/>
      <c r="U252" s="97"/>
      <c r="V252" s="97"/>
      <c r="W252" s="97"/>
      <c r="X252" s="129"/>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c r="DF252" s="97"/>
      <c r="DG252" s="97"/>
      <c r="DH252" s="97"/>
      <c r="DI252" s="97"/>
      <c r="DJ252" s="97"/>
      <c r="DK252" s="97"/>
      <c r="DL252" s="97"/>
      <c r="DM252" s="97"/>
      <c r="DN252" s="97"/>
      <c r="DO252" s="97"/>
      <c r="DP252" s="97"/>
      <c r="DQ252" s="97"/>
      <c r="DR252" s="97"/>
      <c r="DS252" s="97"/>
      <c r="DT252" s="97"/>
      <c r="DU252" s="97"/>
      <c r="DV252" s="97"/>
      <c r="DW252" s="97"/>
      <c r="DX252" s="97"/>
      <c r="DY252" s="97"/>
      <c r="DZ252" s="97"/>
      <c r="EA252" s="97"/>
      <c r="EB252" s="97"/>
      <c r="EC252" s="97"/>
      <c r="ED252" s="97"/>
      <c r="EE252" s="97"/>
      <c r="EF252" s="97"/>
      <c r="EG252" s="97"/>
      <c r="EH252" s="97"/>
      <c r="EI252" s="97"/>
      <c r="EJ252" s="97"/>
      <c r="EK252" s="97"/>
      <c r="EL252" s="97"/>
      <c r="EM252" s="97"/>
      <c r="EN252" s="97"/>
      <c r="EO252" s="97"/>
      <c r="EP252" s="97"/>
      <c r="EQ252" s="97"/>
      <c r="ER252" s="97"/>
      <c r="ES252" s="97"/>
      <c r="ET252" s="97"/>
    </row>
    <row r="253" spans="1:150" ht="15.75" customHeight="1">
      <c r="A253" s="97"/>
      <c r="B253" s="97"/>
      <c r="C253" s="97"/>
      <c r="D253" s="97"/>
      <c r="E253" s="97"/>
      <c r="F253" s="97"/>
      <c r="G253" s="97"/>
      <c r="H253" s="129"/>
      <c r="I253" s="97"/>
      <c r="J253" s="97"/>
      <c r="K253" s="97"/>
      <c r="L253" s="97"/>
      <c r="M253" s="97"/>
      <c r="N253" s="97"/>
      <c r="O253" s="97"/>
      <c r="P253" s="97"/>
      <c r="Q253" s="97"/>
      <c r="R253" s="97"/>
      <c r="S253" s="97"/>
      <c r="T253" s="97"/>
      <c r="U253" s="97"/>
      <c r="V253" s="97"/>
      <c r="W253" s="97"/>
      <c r="X253" s="129"/>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c r="DF253" s="97"/>
      <c r="DG253" s="97"/>
      <c r="DH253" s="97"/>
      <c r="DI253" s="97"/>
      <c r="DJ253" s="97"/>
      <c r="DK253" s="97"/>
      <c r="DL253" s="97"/>
      <c r="DM253" s="97"/>
      <c r="DN253" s="97"/>
      <c r="DO253" s="97"/>
      <c r="DP253" s="97"/>
      <c r="DQ253" s="97"/>
      <c r="DR253" s="97"/>
      <c r="DS253" s="97"/>
      <c r="DT253" s="97"/>
      <c r="DU253" s="97"/>
      <c r="DV253" s="97"/>
      <c r="DW253" s="97"/>
      <c r="DX253" s="97"/>
      <c r="DY253" s="97"/>
      <c r="DZ253" s="97"/>
      <c r="EA253" s="97"/>
      <c r="EB253" s="97"/>
      <c r="EC253" s="97"/>
      <c r="ED253" s="97"/>
      <c r="EE253" s="97"/>
      <c r="EF253" s="97"/>
      <c r="EG253" s="97"/>
      <c r="EH253" s="97"/>
      <c r="EI253" s="97"/>
      <c r="EJ253" s="97"/>
      <c r="EK253" s="97"/>
      <c r="EL253" s="97"/>
      <c r="EM253" s="97"/>
      <c r="EN253" s="97"/>
      <c r="EO253" s="97"/>
      <c r="EP253" s="97"/>
      <c r="EQ253" s="97"/>
      <c r="ER253" s="97"/>
      <c r="ES253" s="97"/>
      <c r="ET253" s="97"/>
    </row>
    <row r="254" spans="1:150" ht="15.75" customHeight="1">
      <c r="A254" s="97"/>
      <c r="B254" s="97"/>
      <c r="C254" s="97"/>
      <c r="D254" s="97"/>
      <c r="E254" s="97"/>
      <c r="F254" s="97"/>
      <c r="G254" s="97"/>
      <c r="H254" s="129"/>
      <c r="I254" s="97"/>
      <c r="J254" s="97"/>
      <c r="K254" s="97"/>
      <c r="L254" s="97"/>
      <c r="M254" s="97"/>
      <c r="N254" s="97"/>
      <c r="O254" s="97"/>
      <c r="P254" s="97"/>
      <c r="Q254" s="97"/>
      <c r="R254" s="97"/>
      <c r="S254" s="97"/>
      <c r="T254" s="97"/>
      <c r="U254" s="97"/>
      <c r="V254" s="97"/>
      <c r="W254" s="97"/>
      <c r="X254" s="129"/>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c r="DF254" s="97"/>
      <c r="DG254" s="97"/>
      <c r="DH254" s="97"/>
      <c r="DI254" s="97"/>
      <c r="DJ254" s="97"/>
      <c r="DK254" s="97"/>
      <c r="DL254" s="97"/>
      <c r="DM254" s="97"/>
      <c r="DN254" s="97"/>
      <c r="DO254" s="97"/>
      <c r="DP254" s="97"/>
      <c r="DQ254" s="97"/>
      <c r="DR254" s="97"/>
      <c r="DS254" s="97"/>
      <c r="DT254" s="97"/>
      <c r="DU254" s="97"/>
      <c r="DV254" s="97"/>
      <c r="DW254" s="97"/>
      <c r="DX254" s="97"/>
      <c r="DY254" s="97"/>
      <c r="DZ254" s="97"/>
      <c r="EA254" s="97"/>
      <c r="EB254" s="97"/>
      <c r="EC254" s="97"/>
      <c r="ED254" s="97"/>
      <c r="EE254" s="97"/>
      <c r="EF254" s="97"/>
      <c r="EG254" s="97"/>
      <c r="EH254" s="97"/>
      <c r="EI254" s="97"/>
      <c r="EJ254" s="97"/>
      <c r="EK254" s="97"/>
      <c r="EL254" s="97"/>
      <c r="EM254" s="97"/>
      <c r="EN254" s="97"/>
      <c r="EO254" s="97"/>
      <c r="EP254" s="97"/>
      <c r="EQ254" s="97"/>
      <c r="ER254" s="97"/>
      <c r="ES254" s="97"/>
      <c r="ET254" s="97"/>
    </row>
    <row r="255" spans="1:150" ht="15.75" customHeight="1">
      <c r="A255" s="97"/>
      <c r="B255" s="97"/>
      <c r="C255" s="97"/>
      <c r="D255" s="97"/>
      <c r="E255" s="97"/>
      <c r="F255" s="97"/>
      <c r="G255" s="97"/>
      <c r="H255" s="129"/>
      <c r="I255" s="97"/>
      <c r="J255" s="97"/>
      <c r="K255" s="97"/>
      <c r="L255" s="97"/>
      <c r="M255" s="97"/>
      <c r="N255" s="97"/>
      <c r="O255" s="97"/>
      <c r="P255" s="97"/>
      <c r="Q255" s="97"/>
      <c r="R255" s="97"/>
      <c r="S255" s="97"/>
      <c r="T255" s="97"/>
      <c r="U255" s="97"/>
      <c r="V255" s="97"/>
      <c r="W255" s="97"/>
      <c r="X255" s="129"/>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c r="DF255" s="97"/>
      <c r="DG255" s="97"/>
      <c r="DH255" s="97"/>
      <c r="DI255" s="97"/>
      <c r="DJ255" s="97"/>
      <c r="DK255" s="97"/>
      <c r="DL255" s="97"/>
      <c r="DM255" s="97"/>
      <c r="DN255" s="97"/>
      <c r="DO255" s="97"/>
      <c r="DP255" s="97"/>
      <c r="DQ255" s="97"/>
      <c r="DR255" s="97"/>
      <c r="DS255" s="97"/>
      <c r="DT255" s="97"/>
      <c r="DU255" s="97"/>
      <c r="DV255" s="97"/>
      <c r="DW255" s="97"/>
      <c r="DX255" s="97"/>
      <c r="DY255" s="97"/>
      <c r="DZ255" s="97"/>
      <c r="EA255" s="97"/>
      <c r="EB255" s="97"/>
      <c r="EC255" s="97"/>
      <c r="ED255" s="97"/>
      <c r="EE255" s="97"/>
      <c r="EF255" s="97"/>
      <c r="EG255" s="97"/>
      <c r="EH255" s="97"/>
      <c r="EI255" s="97"/>
      <c r="EJ255" s="97"/>
      <c r="EK255" s="97"/>
      <c r="EL255" s="97"/>
      <c r="EM255" s="97"/>
      <c r="EN255" s="97"/>
      <c r="EO255" s="97"/>
      <c r="EP255" s="97"/>
      <c r="EQ255" s="97"/>
      <c r="ER255" s="97"/>
      <c r="ES255" s="97"/>
      <c r="ET255" s="97"/>
    </row>
    <row r="256" spans="1:150" ht="15.75" customHeight="1">
      <c r="A256" s="97"/>
      <c r="B256" s="97"/>
      <c r="C256" s="97"/>
      <c r="D256" s="97"/>
      <c r="E256" s="97"/>
      <c r="F256" s="97"/>
      <c r="G256" s="97"/>
      <c r="H256" s="129"/>
      <c r="I256" s="97"/>
      <c r="J256" s="97"/>
      <c r="K256" s="97"/>
      <c r="L256" s="97"/>
      <c r="M256" s="97"/>
      <c r="N256" s="97"/>
      <c r="O256" s="97"/>
      <c r="P256" s="97"/>
      <c r="Q256" s="97"/>
      <c r="R256" s="97"/>
      <c r="S256" s="97"/>
      <c r="T256" s="97"/>
      <c r="U256" s="97"/>
      <c r="V256" s="97"/>
      <c r="W256" s="97"/>
      <c r="X256" s="129"/>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c r="DF256" s="97"/>
      <c r="DG256" s="97"/>
      <c r="DH256" s="97"/>
      <c r="DI256" s="97"/>
      <c r="DJ256" s="97"/>
      <c r="DK256" s="97"/>
      <c r="DL256" s="97"/>
      <c r="DM256" s="97"/>
      <c r="DN256" s="97"/>
      <c r="DO256" s="97"/>
      <c r="DP256" s="97"/>
      <c r="DQ256" s="97"/>
      <c r="DR256" s="97"/>
      <c r="DS256" s="97"/>
      <c r="DT256" s="97"/>
      <c r="DU256" s="97"/>
      <c r="DV256" s="97"/>
      <c r="DW256" s="97"/>
      <c r="DX256" s="97"/>
      <c r="DY256" s="97"/>
      <c r="DZ256" s="97"/>
      <c r="EA256" s="97"/>
      <c r="EB256" s="97"/>
      <c r="EC256" s="97"/>
      <c r="ED256" s="97"/>
      <c r="EE256" s="97"/>
      <c r="EF256" s="97"/>
      <c r="EG256" s="97"/>
      <c r="EH256" s="97"/>
      <c r="EI256" s="97"/>
      <c r="EJ256" s="97"/>
      <c r="EK256" s="97"/>
      <c r="EL256" s="97"/>
      <c r="EM256" s="97"/>
      <c r="EN256" s="97"/>
      <c r="EO256" s="97"/>
      <c r="EP256" s="97"/>
      <c r="EQ256" s="97"/>
      <c r="ER256" s="97"/>
      <c r="ES256" s="97"/>
      <c r="ET256" s="97"/>
    </row>
    <row r="257" spans="1:150" ht="15.75" customHeight="1">
      <c r="A257" s="97"/>
      <c r="B257" s="97"/>
      <c r="C257" s="97"/>
      <c r="D257" s="97"/>
      <c r="E257" s="97"/>
      <c r="F257" s="97"/>
      <c r="G257" s="97"/>
      <c r="H257" s="129"/>
      <c r="I257" s="97"/>
      <c r="J257" s="97"/>
      <c r="K257" s="97"/>
      <c r="L257" s="97"/>
      <c r="M257" s="97"/>
      <c r="N257" s="97"/>
      <c r="O257" s="97"/>
      <c r="P257" s="97"/>
      <c r="Q257" s="97"/>
      <c r="R257" s="97"/>
      <c r="S257" s="97"/>
      <c r="T257" s="97"/>
      <c r="U257" s="97"/>
      <c r="V257" s="97"/>
      <c r="W257" s="97"/>
      <c r="X257" s="129"/>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c r="DF257" s="97"/>
      <c r="DG257" s="97"/>
      <c r="DH257" s="97"/>
      <c r="DI257" s="97"/>
      <c r="DJ257" s="97"/>
      <c r="DK257" s="97"/>
      <c r="DL257" s="97"/>
      <c r="DM257" s="97"/>
      <c r="DN257" s="97"/>
      <c r="DO257" s="97"/>
      <c r="DP257" s="97"/>
      <c r="DQ257" s="97"/>
      <c r="DR257" s="97"/>
      <c r="DS257" s="97"/>
      <c r="DT257" s="97"/>
      <c r="DU257" s="97"/>
      <c r="DV257" s="97"/>
      <c r="DW257" s="97"/>
      <c r="DX257" s="97"/>
      <c r="DY257" s="97"/>
      <c r="DZ257" s="97"/>
      <c r="EA257" s="97"/>
      <c r="EB257" s="97"/>
      <c r="EC257" s="97"/>
      <c r="ED257" s="97"/>
      <c r="EE257" s="97"/>
      <c r="EF257" s="97"/>
      <c r="EG257" s="97"/>
      <c r="EH257" s="97"/>
      <c r="EI257" s="97"/>
      <c r="EJ257" s="97"/>
      <c r="EK257" s="97"/>
      <c r="EL257" s="97"/>
      <c r="EM257" s="97"/>
      <c r="EN257" s="97"/>
      <c r="EO257" s="97"/>
      <c r="EP257" s="97"/>
      <c r="EQ257" s="97"/>
      <c r="ER257" s="97"/>
      <c r="ES257" s="97"/>
      <c r="ET257" s="97"/>
    </row>
    <row r="258" spans="1:150" ht="15.75" customHeight="1">
      <c r="A258" s="97"/>
      <c r="B258" s="97"/>
      <c r="C258" s="97"/>
      <c r="D258" s="97"/>
      <c r="E258" s="97"/>
      <c r="F258" s="97"/>
      <c r="G258" s="97"/>
      <c r="H258" s="129"/>
      <c r="I258" s="97"/>
      <c r="J258" s="97"/>
      <c r="K258" s="97"/>
      <c r="L258" s="97"/>
      <c r="M258" s="97"/>
      <c r="N258" s="97"/>
      <c r="O258" s="97"/>
      <c r="P258" s="97"/>
      <c r="Q258" s="97"/>
      <c r="R258" s="97"/>
      <c r="S258" s="97"/>
      <c r="T258" s="97"/>
      <c r="U258" s="97"/>
      <c r="V258" s="97"/>
      <c r="W258" s="97"/>
      <c r="X258" s="129"/>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c r="DF258" s="97"/>
      <c r="DG258" s="97"/>
      <c r="DH258" s="97"/>
      <c r="DI258" s="97"/>
      <c r="DJ258" s="97"/>
      <c r="DK258" s="97"/>
      <c r="DL258" s="97"/>
      <c r="DM258" s="97"/>
      <c r="DN258" s="97"/>
      <c r="DO258" s="97"/>
      <c r="DP258" s="97"/>
      <c r="DQ258" s="97"/>
      <c r="DR258" s="97"/>
      <c r="DS258" s="97"/>
      <c r="DT258" s="97"/>
      <c r="DU258" s="97"/>
      <c r="DV258" s="97"/>
      <c r="DW258" s="97"/>
      <c r="DX258" s="97"/>
      <c r="DY258" s="97"/>
      <c r="DZ258" s="97"/>
      <c r="EA258" s="97"/>
      <c r="EB258" s="97"/>
      <c r="EC258" s="97"/>
      <c r="ED258" s="97"/>
      <c r="EE258" s="97"/>
      <c r="EF258" s="97"/>
      <c r="EG258" s="97"/>
      <c r="EH258" s="97"/>
      <c r="EI258" s="97"/>
      <c r="EJ258" s="97"/>
      <c r="EK258" s="97"/>
      <c r="EL258" s="97"/>
      <c r="EM258" s="97"/>
      <c r="EN258" s="97"/>
      <c r="EO258" s="97"/>
      <c r="EP258" s="97"/>
      <c r="EQ258" s="97"/>
      <c r="ER258" s="97"/>
      <c r="ES258" s="97"/>
      <c r="ET258" s="97"/>
    </row>
    <row r="259" spans="1:150" ht="15.75" customHeight="1">
      <c r="A259" s="97"/>
      <c r="B259" s="97"/>
      <c r="C259" s="97"/>
      <c r="D259" s="97"/>
      <c r="E259" s="97"/>
      <c r="F259" s="97"/>
      <c r="G259" s="97"/>
      <c r="H259" s="129"/>
      <c r="I259" s="97"/>
      <c r="J259" s="97"/>
      <c r="K259" s="97"/>
      <c r="L259" s="97"/>
      <c r="M259" s="97"/>
      <c r="N259" s="97"/>
      <c r="O259" s="97"/>
      <c r="P259" s="97"/>
      <c r="Q259" s="97"/>
      <c r="R259" s="97"/>
      <c r="S259" s="97"/>
      <c r="T259" s="97"/>
      <c r="U259" s="97"/>
      <c r="V259" s="97"/>
      <c r="W259" s="97"/>
      <c r="X259" s="129"/>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c r="DF259" s="97"/>
      <c r="DG259" s="97"/>
      <c r="DH259" s="97"/>
      <c r="DI259" s="97"/>
      <c r="DJ259" s="97"/>
      <c r="DK259" s="97"/>
      <c r="DL259" s="97"/>
      <c r="DM259" s="97"/>
      <c r="DN259" s="97"/>
      <c r="DO259" s="97"/>
      <c r="DP259" s="97"/>
      <c r="DQ259" s="97"/>
      <c r="DR259" s="97"/>
      <c r="DS259" s="97"/>
      <c r="DT259" s="97"/>
      <c r="DU259" s="97"/>
      <c r="DV259" s="97"/>
      <c r="DW259" s="97"/>
      <c r="DX259" s="97"/>
      <c r="DY259" s="97"/>
      <c r="DZ259" s="97"/>
      <c r="EA259" s="97"/>
      <c r="EB259" s="97"/>
      <c r="EC259" s="97"/>
      <c r="ED259" s="97"/>
      <c r="EE259" s="97"/>
      <c r="EF259" s="97"/>
      <c r="EG259" s="97"/>
      <c r="EH259" s="97"/>
      <c r="EI259" s="97"/>
      <c r="EJ259" s="97"/>
      <c r="EK259" s="97"/>
      <c r="EL259" s="97"/>
      <c r="EM259" s="97"/>
      <c r="EN259" s="97"/>
      <c r="EO259" s="97"/>
      <c r="EP259" s="97"/>
      <c r="EQ259" s="97"/>
      <c r="ER259" s="97"/>
      <c r="ES259" s="97"/>
      <c r="ET259" s="97"/>
    </row>
    <row r="260" spans="1:150" ht="15.75" customHeight="1">
      <c r="A260" s="97"/>
      <c r="B260" s="97"/>
      <c r="C260" s="97"/>
      <c r="D260" s="97"/>
      <c r="E260" s="97"/>
      <c r="F260" s="97"/>
      <c r="G260" s="97"/>
      <c r="H260" s="129"/>
      <c r="I260" s="97"/>
      <c r="J260" s="97"/>
      <c r="K260" s="97"/>
      <c r="L260" s="97"/>
      <c r="M260" s="97"/>
      <c r="N260" s="97"/>
      <c r="O260" s="97"/>
      <c r="P260" s="97"/>
      <c r="Q260" s="97"/>
      <c r="R260" s="97"/>
      <c r="S260" s="97"/>
      <c r="T260" s="97"/>
      <c r="U260" s="97"/>
      <c r="V260" s="97"/>
      <c r="W260" s="97"/>
      <c r="X260" s="129"/>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c r="DF260" s="97"/>
      <c r="DG260" s="97"/>
      <c r="DH260" s="97"/>
      <c r="DI260" s="97"/>
      <c r="DJ260" s="97"/>
      <c r="DK260" s="97"/>
      <c r="DL260" s="97"/>
      <c r="DM260" s="97"/>
      <c r="DN260" s="97"/>
      <c r="DO260" s="97"/>
      <c r="DP260" s="97"/>
      <c r="DQ260" s="97"/>
      <c r="DR260" s="97"/>
      <c r="DS260" s="97"/>
      <c r="DT260" s="97"/>
      <c r="DU260" s="97"/>
      <c r="DV260" s="97"/>
      <c r="DW260" s="97"/>
      <c r="DX260" s="97"/>
      <c r="DY260" s="97"/>
      <c r="DZ260" s="97"/>
      <c r="EA260" s="97"/>
      <c r="EB260" s="97"/>
      <c r="EC260" s="97"/>
      <c r="ED260" s="97"/>
      <c r="EE260" s="97"/>
      <c r="EF260" s="97"/>
      <c r="EG260" s="97"/>
      <c r="EH260" s="97"/>
      <c r="EI260" s="97"/>
      <c r="EJ260" s="97"/>
      <c r="EK260" s="97"/>
      <c r="EL260" s="97"/>
      <c r="EM260" s="97"/>
      <c r="EN260" s="97"/>
      <c r="EO260" s="97"/>
      <c r="EP260" s="97"/>
      <c r="EQ260" s="97"/>
      <c r="ER260" s="97"/>
      <c r="ES260" s="97"/>
      <c r="ET260" s="97"/>
    </row>
    <row r="261" spans="1:150" ht="15.75" customHeight="1">
      <c r="A261" s="97"/>
      <c r="B261" s="97"/>
      <c r="C261" s="97"/>
      <c r="D261" s="97"/>
      <c r="E261" s="97"/>
      <c r="F261" s="97"/>
      <c r="G261" s="97"/>
      <c r="H261" s="129"/>
      <c r="I261" s="97"/>
      <c r="J261" s="97"/>
      <c r="K261" s="97"/>
      <c r="L261" s="97"/>
      <c r="M261" s="97"/>
      <c r="N261" s="97"/>
      <c r="O261" s="97"/>
      <c r="P261" s="97"/>
      <c r="Q261" s="97"/>
      <c r="R261" s="97"/>
      <c r="S261" s="97"/>
      <c r="T261" s="97"/>
      <c r="U261" s="97"/>
      <c r="V261" s="97"/>
      <c r="W261" s="97"/>
      <c r="X261" s="129"/>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c r="DF261" s="97"/>
      <c r="DG261" s="97"/>
      <c r="DH261" s="97"/>
      <c r="DI261" s="97"/>
      <c r="DJ261" s="97"/>
      <c r="DK261" s="97"/>
      <c r="DL261" s="97"/>
      <c r="DM261" s="97"/>
      <c r="DN261" s="97"/>
      <c r="DO261" s="97"/>
      <c r="DP261" s="97"/>
      <c r="DQ261" s="97"/>
      <c r="DR261" s="97"/>
      <c r="DS261" s="97"/>
      <c r="DT261" s="97"/>
      <c r="DU261" s="97"/>
      <c r="DV261" s="97"/>
      <c r="DW261" s="97"/>
      <c r="DX261" s="97"/>
      <c r="DY261" s="97"/>
      <c r="DZ261" s="97"/>
      <c r="EA261" s="97"/>
      <c r="EB261" s="97"/>
      <c r="EC261" s="97"/>
      <c r="ED261" s="97"/>
      <c r="EE261" s="97"/>
      <c r="EF261" s="97"/>
      <c r="EG261" s="97"/>
      <c r="EH261" s="97"/>
      <c r="EI261" s="97"/>
      <c r="EJ261" s="97"/>
      <c r="EK261" s="97"/>
      <c r="EL261" s="97"/>
      <c r="EM261" s="97"/>
      <c r="EN261" s="97"/>
      <c r="EO261" s="97"/>
      <c r="EP261" s="97"/>
      <c r="EQ261" s="97"/>
      <c r="ER261" s="97"/>
      <c r="ES261" s="97"/>
      <c r="ET261" s="97"/>
    </row>
    <row r="262" spans="1:150" ht="15.75" customHeight="1">
      <c r="A262" s="97"/>
      <c r="B262" s="97"/>
      <c r="C262" s="97"/>
      <c r="D262" s="97"/>
      <c r="E262" s="97"/>
      <c r="F262" s="97"/>
      <c r="G262" s="97"/>
      <c r="H262" s="129"/>
      <c r="I262" s="97"/>
      <c r="J262" s="97"/>
      <c r="K262" s="97"/>
      <c r="L262" s="97"/>
      <c r="M262" s="97"/>
      <c r="N262" s="97"/>
      <c r="O262" s="97"/>
      <c r="P262" s="97"/>
      <c r="Q262" s="97"/>
      <c r="R262" s="97"/>
      <c r="S262" s="97"/>
      <c r="T262" s="97"/>
      <c r="U262" s="97"/>
      <c r="V262" s="97"/>
      <c r="W262" s="97"/>
      <c r="X262" s="129"/>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c r="DF262" s="97"/>
      <c r="DG262" s="97"/>
      <c r="DH262" s="97"/>
      <c r="DI262" s="97"/>
      <c r="DJ262" s="97"/>
      <c r="DK262" s="97"/>
      <c r="DL262" s="97"/>
      <c r="DM262" s="97"/>
      <c r="DN262" s="97"/>
      <c r="DO262" s="97"/>
      <c r="DP262" s="97"/>
      <c r="DQ262" s="97"/>
      <c r="DR262" s="97"/>
      <c r="DS262" s="97"/>
      <c r="DT262" s="97"/>
      <c r="DU262" s="97"/>
      <c r="DV262" s="97"/>
      <c r="DW262" s="97"/>
      <c r="DX262" s="97"/>
      <c r="DY262" s="97"/>
      <c r="DZ262" s="97"/>
      <c r="EA262" s="97"/>
      <c r="EB262" s="97"/>
      <c r="EC262" s="97"/>
      <c r="ED262" s="97"/>
      <c r="EE262" s="97"/>
      <c r="EF262" s="97"/>
      <c r="EG262" s="97"/>
      <c r="EH262" s="97"/>
      <c r="EI262" s="97"/>
      <c r="EJ262" s="97"/>
      <c r="EK262" s="97"/>
      <c r="EL262" s="97"/>
      <c r="EM262" s="97"/>
      <c r="EN262" s="97"/>
      <c r="EO262" s="97"/>
      <c r="EP262" s="97"/>
      <c r="EQ262" s="97"/>
      <c r="ER262" s="97"/>
      <c r="ES262" s="97"/>
      <c r="ET262" s="97"/>
    </row>
    <row r="263" spans="1:150" ht="15.75" customHeight="1">
      <c r="A263" s="97"/>
      <c r="B263" s="97"/>
      <c r="C263" s="97"/>
      <c r="D263" s="97"/>
      <c r="E263" s="97"/>
      <c r="F263" s="97"/>
      <c r="G263" s="97"/>
      <c r="H263" s="129"/>
      <c r="I263" s="97"/>
      <c r="J263" s="97"/>
      <c r="K263" s="97"/>
      <c r="L263" s="97"/>
      <c r="M263" s="97"/>
      <c r="N263" s="97"/>
      <c r="O263" s="97"/>
      <c r="P263" s="97"/>
      <c r="Q263" s="97"/>
      <c r="R263" s="97"/>
      <c r="S263" s="97"/>
      <c r="T263" s="97"/>
      <c r="U263" s="97"/>
      <c r="V263" s="97"/>
      <c r="W263" s="97"/>
      <c r="X263" s="129"/>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c r="DF263" s="97"/>
      <c r="DG263" s="97"/>
      <c r="DH263" s="97"/>
      <c r="DI263" s="97"/>
      <c r="DJ263" s="97"/>
      <c r="DK263" s="97"/>
      <c r="DL263" s="97"/>
      <c r="DM263" s="97"/>
      <c r="DN263" s="97"/>
      <c r="DO263" s="97"/>
      <c r="DP263" s="97"/>
      <c r="DQ263" s="97"/>
      <c r="DR263" s="97"/>
      <c r="DS263" s="97"/>
      <c r="DT263" s="97"/>
      <c r="DU263" s="97"/>
      <c r="DV263" s="97"/>
      <c r="DW263" s="97"/>
      <c r="DX263" s="97"/>
      <c r="DY263" s="97"/>
      <c r="DZ263" s="97"/>
      <c r="EA263" s="97"/>
      <c r="EB263" s="97"/>
      <c r="EC263" s="97"/>
      <c r="ED263" s="97"/>
      <c r="EE263" s="97"/>
      <c r="EF263" s="97"/>
      <c r="EG263" s="97"/>
      <c r="EH263" s="97"/>
      <c r="EI263" s="97"/>
      <c r="EJ263" s="97"/>
      <c r="EK263" s="97"/>
      <c r="EL263" s="97"/>
      <c r="EM263" s="97"/>
      <c r="EN263" s="97"/>
      <c r="EO263" s="97"/>
      <c r="EP263" s="97"/>
      <c r="EQ263" s="97"/>
      <c r="ER263" s="97"/>
      <c r="ES263" s="97"/>
      <c r="ET263" s="97"/>
    </row>
    <row r="264" spans="1:150" ht="15.75" customHeight="1">
      <c r="A264" s="97"/>
      <c r="B264" s="97"/>
      <c r="C264" s="97"/>
      <c r="D264" s="97"/>
      <c r="E264" s="97"/>
      <c r="F264" s="97"/>
      <c r="G264" s="97"/>
      <c r="H264" s="129"/>
      <c r="I264" s="97"/>
      <c r="J264" s="97"/>
      <c r="K264" s="97"/>
      <c r="L264" s="97"/>
      <c r="M264" s="97"/>
      <c r="N264" s="97"/>
      <c r="O264" s="97"/>
      <c r="P264" s="97"/>
      <c r="Q264" s="97"/>
      <c r="R264" s="97"/>
      <c r="S264" s="97"/>
      <c r="T264" s="97"/>
      <c r="U264" s="97"/>
      <c r="V264" s="97"/>
      <c r="W264" s="97"/>
      <c r="X264" s="129"/>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c r="DF264" s="97"/>
      <c r="DG264" s="97"/>
      <c r="DH264" s="97"/>
      <c r="DI264" s="97"/>
      <c r="DJ264" s="97"/>
      <c r="DK264" s="97"/>
      <c r="DL264" s="97"/>
      <c r="DM264" s="97"/>
      <c r="DN264" s="97"/>
      <c r="DO264" s="97"/>
      <c r="DP264" s="97"/>
      <c r="DQ264" s="97"/>
      <c r="DR264" s="97"/>
      <c r="DS264" s="97"/>
      <c r="DT264" s="97"/>
      <c r="DU264" s="97"/>
      <c r="DV264" s="97"/>
      <c r="DW264" s="97"/>
      <c r="DX264" s="97"/>
      <c r="DY264" s="97"/>
      <c r="DZ264" s="97"/>
      <c r="EA264" s="97"/>
      <c r="EB264" s="97"/>
      <c r="EC264" s="97"/>
      <c r="ED264" s="97"/>
      <c r="EE264" s="97"/>
      <c r="EF264" s="97"/>
      <c r="EG264" s="97"/>
      <c r="EH264" s="97"/>
      <c r="EI264" s="97"/>
      <c r="EJ264" s="97"/>
      <c r="EK264" s="97"/>
      <c r="EL264" s="97"/>
      <c r="EM264" s="97"/>
      <c r="EN264" s="97"/>
      <c r="EO264" s="97"/>
      <c r="EP264" s="97"/>
      <c r="EQ264" s="97"/>
      <c r="ER264" s="97"/>
      <c r="ES264" s="97"/>
      <c r="ET264" s="97"/>
    </row>
    <row r="265" spans="1:150" ht="15.75" customHeight="1">
      <c r="A265" s="97"/>
      <c r="B265" s="97"/>
      <c r="C265" s="97"/>
      <c r="D265" s="97"/>
      <c r="E265" s="97"/>
      <c r="F265" s="97"/>
      <c r="G265" s="97"/>
      <c r="H265" s="129"/>
      <c r="I265" s="97"/>
      <c r="J265" s="97"/>
      <c r="K265" s="97"/>
      <c r="L265" s="97"/>
      <c r="M265" s="97"/>
      <c r="N265" s="97"/>
      <c r="O265" s="97"/>
      <c r="P265" s="97"/>
      <c r="Q265" s="97"/>
      <c r="R265" s="97"/>
      <c r="S265" s="97"/>
      <c r="T265" s="97"/>
      <c r="U265" s="97"/>
      <c r="V265" s="97"/>
      <c r="W265" s="97"/>
      <c r="X265" s="129"/>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c r="DF265" s="97"/>
      <c r="DG265" s="97"/>
      <c r="DH265" s="97"/>
      <c r="DI265" s="97"/>
      <c r="DJ265" s="97"/>
      <c r="DK265" s="97"/>
      <c r="DL265" s="97"/>
      <c r="DM265" s="97"/>
      <c r="DN265" s="97"/>
      <c r="DO265" s="97"/>
      <c r="DP265" s="97"/>
      <c r="DQ265" s="97"/>
      <c r="DR265" s="97"/>
      <c r="DS265" s="97"/>
      <c r="DT265" s="97"/>
      <c r="DU265" s="97"/>
      <c r="DV265" s="97"/>
      <c r="DW265" s="97"/>
      <c r="DX265" s="97"/>
      <c r="DY265" s="97"/>
      <c r="DZ265" s="97"/>
      <c r="EA265" s="97"/>
      <c r="EB265" s="97"/>
      <c r="EC265" s="97"/>
      <c r="ED265" s="97"/>
      <c r="EE265" s="97"/>
      <c r="EF265" s="97"/>
      <c r="EG265" s="97"/>
      <c r="EH265" s="97"/>
      <c r="EI265" s="97"/>
      <c r="EJ265" s="97"/>
      <c r="EK265" s="97"/>
      <c r="EL265" s="97"/>
      <c r="EM265" s="97"/>
      <c r="EN265" s="97"/>
      <c r="EO265" s="97"/>
      <c r="EP265" s="97"/>
      <c r="EQ265" s="97"/>
      <c r="ER265" s="97"/>
      <c r="ES265" s="97"/>
      <c r="ET265" s="97"/>
    </row>
    <row r="266" spans="1:150" ht="15.75" customHeight="1">
      <c r="A266" s="97"/>
      <c r="B266" s="97"/>
      <c r="C266" s="97"/>
      <c r="D266" s="97"/>
      <c r="E266" s="97"/>
      <c r="F266" s="97"/>
      <c r="G266" s="97"/>
      <c r="H266" s="129"/>
      <c r="I266" s="97"/>
      <c r="J266" s="97"/>
      <c r="K266" s="97"/>
      <c r="L266" s="97"/>
      <c r="M266" s="97"/>
      <c r="N266" s="97"/>
      <c r="O266" s="97"/>
      <c r="P266" s="97"/>
      <c r="Q266" s="97"/>
      <c r="R266" s="97"/>
      <c r="S266" s="97"/>
      <c r="T266" s="97"/>
      <c r="U266" s="97"/>
      <c r="V266" s="97"/>
      <c r="W266" s="97"/>
      <c r="X266" s="129"/>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c r="DF266" s="97"/>
      <c r="DG266" s="97"/>
      <c r="DH266" s="97"/>
      <c r="DI266" s="97"/>
      <c r="DJ266" s="97"/>
      <c r="DK266" s="97"/>
      <c r="DL266" s="97"/>
      <c r="DM266" s="97"/>
      <c r="DN266" s="97"/>
      <c r="DO266" s="97"/>
      <c r="DP266" s="97"/>
      <c r="DQ266" s="97"/>
      <c r="DR266" s="97"/>
      <c r="DS266" s="97"/>
      <c r="DT266" s="97"/>
      <c r="DU266" s="97"/>
      <c r="DV266" s="97"/>
      <c r="DW266" s="97"/>
      <c r="DX266" s="97"/>
      <c r="DY266" s="97"/>
      <c r="DZ266" s="97"/>
      <c r="EA266" s="97"/>
      <c r="EB266" s="97"/>
      <c r="EC266" s="97"/>
      <c r="ED266" s="97"/>
      <c r="EE266" s="97"/>
      <c r="EF266" s="97"/>
      <c r="EG266" s="97"/>
      <c r="EH266" s="97"/>
      <c r="EI266" s="97"/>
      <c r="EJ266" s="97"/>
      <c r="EK266" s="97"/>
      <c r="EL266" s="97"/>
      <c r="EM266" s="97"/>
      <c r="EN266" s="97"/>
      <c r="EO266" s="97"/>
      <c r="EP266" s="97"/>
      <c r="EQ266" s="97"/>
      <c r="ER266" s="97"/>
      <c r="ES266" s="97"/>
      <c r="ET266" s="97"/>
    </row>
    <row r="267" spans="1:150" ht="15.75" customHeight="1">
      <c r="A267" s="97"/>
      <c r="B267" s="97"/>
      <c r="C267" s="97"/>
      <c r="D267" s="97"/>
      <c r="E267" s="97"/>
      <c r="F267" s="97"/>
      <c r="G267" s="97"/>
      <c r="H267" s="129"/>
      <c r="I267" s="97"/>
      <c r="J267" s="97"/>
      <c r="K267" s="97"/>
      <c r="L267" s="97"/>
      <c r="M267" s="97"/>
      <c r="N267" s="97"/>
      <c r="O267" s="97"/>
      <c r="P267" s="97"/>
      <c r="Q267" s="97"/>
      <c r="R267" s="97"/>
      <c r="S267" s="97"/>
      <c r="T267" s="97"/>
      <c r="U267" s="97"/>
      <c r="V267" s="97"/>
      <c r="W267" s="97"/>
      <c r="X267" s="129"/>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c r="DF267" s="97"/>
      <c r="DG267" s="97"/>
      <c r="DH267" s="97"/>
      <c r="DI267" s="97"/>
      <c r="DJ267" s="97"/>
      <c r="DK267" s="97"/>
      <c r="DL267" s="97"/>
      <c r="DM267" s="97"/>
      <c r="DN267" s="97"/>
      <c r="DO267" s="97"/>
      <c r="DP267" s="97"/>
      <c r="DQ267" s="97"/>
      <c r="DR267" s="97"/>
      <c r="DS267" s="97"/>
      <c r="DT267" s="97"/>
      <c r="DU267" s="97"/>
      <c r="DV267" s="97"/>
      <c r="DW267" s="97"/>
      <c r="DX267" s="97"/>
      <c r="DY267" s="97"/>
      <c r="DZ267" s="97"/>
      <c r="EA267" s="97"/>
      <c r="EB267" s="97"/>
      <c r="EC267" s="97"/>
      <c r="ED267" s="97"/>
      <c r="EE267" s="97"/>
      <c r="EF267" s="97"/>
      <c r="EG267" s="97"/>
      <c r="EH267" s="97"/>
      <c r="EI267" s="97"/>
      <c r="EJ267" s="97"/>
      <c r="EK267" s="97"/>
      <c r="EL267" s="97"/>
      <c r="EM267" s="97"/>
      <c r="EN267" s="97"/>
      <c r="EO267" s="97"/>
      <c r="EP267" s="97"/>
      <c r="EQ267" s="97"/>
      <c r="ER267" s="97"/>
      <c r="ES267" s="97"/>
      <c r="ET267" s="97"/>
    </row>
    <row r="268" spans="1:150" ht="15.75" customHeight="1">
      <c r="A268" s="97"/>
      <c r="B268" s="97"/>
      <c r="C268" s="97"/>
      <c r="D268" s="97"/>
      <c r="E268" s="97"/>
      <c r="F268" s="97"/>
      <c r="G268" s="97"/>
      <c r="H268" s="129"/>
      <c r="I268" s="97"/>
      <c r="J268" s="97"/>
      <c r="K268" s="97"/>
      <c r="L268" s="97"/>
      <c r="M268" s="97"/>
      <c r="N268" s="97"/>
      <c r="O268" s="97"/>
      <c r="P268" s="97"/>
      <c r="Q268" s="97"/>
      <c r="R268" s="97"/>
      <c r="S268" s="97"/>
      <c r="T268" s="97"/>
      <c r="U268" s="97"/>
      <c r="V268" s="97"/>
      <c r="W268" s="97"/>
      <c r="X268" s="129"/>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c r="DF268" s="97"/>
      <c r="DG268" s="97"/>
      <c r="DH268" s="97"/>
      <c r="DI268" s="97"/>
      <c r="DJ268" s="97"/>
      <c r="DK268" s="97"/>
      <c r="DL268" s="97"/>
      <c r="DM268" s="97"/>
      <c r="DN268" s="97"/>
      <c r="DO268" s="97"/>
      <c r="DP268" s="97"/>
      <c r="DQ268" s="97"/>
      <c r="DR268" s="97"/>
      <c r="DS268" s="97"/>
      <c r="DT268" s="97"/>
      <c r="DU268" s="97"/>
      <c r="DV268" s="97"/>
      <c r="DW268" s="97"/>
      <c r="DX268" s="97"/>
      <c r="DY268" s="97"/>
      <c r="DZ268" s="97"/>
      <c r="EA268" s="97"/>
      <c r="EB268" s="97"/>
      <c r="EC268" s="97"/>
      <c r="ED268" s="97"/>
      <c r="EE268" s="97"/>
      <c r="EF268" s="97"/>
      <c r="EG268" s="97"/>
      <c r="EH268" s="97"/>
      <c r="EI268" s="97"/>
      <c r="EJ268" s="97"/>
      <c r="EK268" s="97"/>
      <c r="EL268" s="97"/>
      <c r="EM268" s="97"/>
      <c r="EN268" s="97"/>
      <c r="EO268" s="97"/>
      <c r="EP268" s="97"/>
      <c r="EQ268" s="97"/>
      <c r="ER268" s="97"/>
      <c r="ES268" s="97"/>
      <c r="ET268" s="97"/>
    </row>
    <row r="269" spans="1:150" ht="15.75" customHeight="1">
      <c r="A269" s="97"/>
      <c r="B269" s="97"/>
      <c r="C269" s="97"/>
      <c r="D269" s="97"/>
      <c r="E269" s="97"/>
      <c r="F269" s="97"/>
      <c r="G269" s="97"/>
      <c r="H269" s="129"/>
      <c r="I269" s="97"/>
      <c r="J269" s="97"/>
      <c r="K269" s="97"/>
      <c r="L269" s="97"/>
      <c r="M269" s="97"/>
      <c r="N269" s="97"/>
      <c r="O269" s="97"/>
      <c r="P269" s="97"/>
      <c r="Q269" s="97"/>
      <c r="R269" s="97"/>
      <c r="S269" s="97"/>
      <c r="T269" s="97"/>
      <c r="U269" s="97"/>
      <c r="V269" s="97"/>
      <c r="W269" s="97"/>
      <c r="X269" s="129"/>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c r="DF269" s="97"/>
      <c r="DG269" s="97"/>
      <c r="DH269" s="97"/>
      <c r="DI269" s="97"/>
      <c r="DJ269" s="97"/>
      <c r="DK269" s="97"/>
      <c r="DL269" s="97"/>
      <c r="DM269" s="97"/>
      <c r="DN269" s="97"/>
      <c r="DO269" s="97"/>
      <c r="DP269" s="97"/>
      <c r="DQ269" s="97"/>
      <c r="DR269" s="97"/>
      <c r="DS269" s="97"/>
      <c r="DT269" s="97"/>
      <c r="DU269" s="97"/>
      <c r="DV269" s="97"/>
      <c r="DW269" s="97"/>
      <c r="DX269" s="97"/>
      <c r="DY269" s="97"/>
      <c r="DZ269" s="97"/>
      <c r="EA269" s="97"/>
      <c r="EB269" s="97"/>
      <c r="EC269" s="97"/>
      <c r="ED269" s="97"/>
      <c r="EE269" s="97"/>
      <c r="EF269" s="97"/>
      <c r="EG269" s="97"/>
      <c r="EH269" s="97"/>
      <c r="EI269" s="97"/>
      <c r="EJ269" s="97"/>
      <c r="EK269" s="97"/>
      <c r="EL269" s="97"/>
      <c r="EM269" s="97"/>
      <c r="EN269" s="97"/>
      <c r="EO269" s="97"/>
      <c r="EP269" s="97"/>
      <c r="EQ269" s="97"/>
      <c r="ER269" s="97"/>
      <c r="ES269" s="97"/>
      <c r="ET269" s="97"/>
    </row>
    <row r="270" spans="1:150" ht="15.75" customHeight="1">
      <c r="A270" s="97"/>
      <c r="B270" s="97"/>
      <c r="C270" s="97"/>
      <c r="D270" s="97"/>
      <c r="E270" s="97"/>
      <c r="F270" s="97"/>
      <c r="G270" s="97"/>
      <c r="H270" s="129"/>
      <c r="I270" s="97"/>
      <c r="J270" s="97"/>
      <c r="K270" s="97"/>
      <c r="L270" s="97"/>
      <c r="M270" s="97"/>
      <c r="N270" s="97"/>
      <c r="O270" s="97"/>
      <c r="P270" s="97"/>
      <c r="Q270" s="97"/>
      <c r="R270" s="97"/>
      <c r="S270" s="97"/>
      <c r="T270" s="97"/>
      <c r="U270" s="97"/>
      <c r="V270" s="97"/>
      <c r="W270" s="97"/>
      <c r="X270" s="129"/>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c r="DF270" s="97"/>
      <c r="DG270" s="97"/>
      <c r="DH270" s="97"/>
      <c r="DI270" s="97"/>
      <c r="DJ270" s="97"/>
      <c r="DK270" s="97"/>
      <c r="DL270" s="97"/>
      <c r="DM270" s="97"/>
      <c r="DN270" s="97"/>
      <c r="DO270" s="97"/>
      <c r="DP270" s="97"/>
      <c r="DQ270" s="97"/>
      <c r="DR270" s="97"/>
      <c r="DS270" s="97"/>
      <c r="DT270" s="97"/>
      <c r="DU270" s="97"/>
      <c r="DV270" s="97"/>
      <c r="DW270" s="97"/>
      <c r="DX270" s="97"/>
      <c r="DY270" s="97"/>
      <c r="DZ270" s="97"/>
      <c r="EA270" s="97"/>
      <c r="EB270" s="97"/>
      <c r="EC270" s="97"/>
      <c r="ED270" s="97"/>
      <c r="EE270" s="97"/>
      <c r="EF270" s="97"/>
      <c r="EG270" s="97"/>
      <c r="EH270" s="97"/>
      <c r="EI270" s="97"/>
      <c r="EJ270" s="97"/>
      <c r="EK270" s="97"/>
      <c r="EL270" s="97"/>
      <c r="EM270" s="97"/>
      <c r="EN270" s="97"/>
      <c r="EO270" s="97"/>
      <c r="EP270" s="97"/>
      <c r="EQ270" s="97"/>
      <c r="ER270" s="97"/>
      <c r="ES270" s="97"/>
      <c r="ET270" s="97"/>
    </row>
    <row r="271" spans="1:150" ht="15.75" customHeight="1">
      <c r="A271" s="97"/>
      <c r="B271" s="97"/>
      <c r="C271" s="97"/>
      <c r="D271" s="97"/>
      <c r="E271" s="97"/>
      <c r="F271" s="97"/>
      <c r="G271" s="97"/>
      <c r="H271" s="129"/>
      <c r="I271" s="97"/>
      <c r="J271" s="97"/>
      <c r="K271" s="97"/>
      <c r="L271" s="97"/>
      <c r="M271" s="97"/>
      <c r="N271" s="97"/>
      <c r="O271" s="97"/>
      <c r="P271" s="97"/>
      <c r="Q271" s="97"/>
      <c r="R271" s="97"/>
      <c r="S271" s="97"/>
      <c r="T271" s="97"/>
      <c r="U271" s="97"/>
      <c r="V271" s="97"/>
      <c r="W271" s="97"/>
      <c r="X271" s="129"/>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c r="DF271" s="97"/>
      <c r="DG271" s="97"/>
      <c r="DH271" s="97"/>
      <c r="DI271" s="97"/>
      <c r="DJ271" s="97"/>
      <c r="DK271" s="97"/>
      <c r="DL271" s="97"/>
      <c r="DM271" s="97"/>
      <c r="DN271" s="97"/>
      <c r="DO271" s="97"/>
      <c r="DP271" s="97"/>
      <c r="DQ271" s="97"/>
      <c r="DR271" s="97"/>
      <c r="DS271" s="97"/>
      <c r="DT271" s="97"/>
      <c r="DU271" s="97"/>
      <c r="DV271" s="97"/>
      <c r="DW271" s="97"/>
      <c r="DX271" s="97"/>
      <c r="DY271" s="97"/>
      <c r="DZ271" s="97"/>
      <c r="EA271" s="97"/>
      <c r="EB271" s="97"/>
      <c r="EC271" s="97"/>
      <c r="ED271" s="97"/>
      <c r="EE271" s="97"/>
      <c r="EF271" s="97"/>
      <c r="EG271" s="97"/>
      <c r="EH271" s="97"/>
      <c r="EI271" s="97"/>
      <c r="EJ271" s="97"/>
      <c r="EK271" s="97"/>
      <c r="EL271" s="97"/>
      <c r="EM271" s="97"/>
      <c r="EN271" s="97"/>
      <c r="EO271" s="97"/>
      <c r="EP271" s="97"/>
      <c r="EQ271" s="97"/>
      <c r="ER271" s="97"/>
      <c r="ES271" s="97"/>
      <c r="ET271" s="97"/>
    </row>
    <row r="272" spans="1:150" ht="15.75" customHeight="1">
      <c r="A272" s="97"/>
      <c r="B272" s="97"/>
      <c r="C272" s="97"/>
      <c r="D272" s="97"/>
      <c r="E272" s="97"/>
      <c r="F272" s="97"/>
      <c r="G272" s="97"/>
      <c r="H272" s="129"/>
      <c r="I272" s="97"/>
      <c r="J272" s="97"/>
      <c r="K272" s="97"/>
      <c r="L272" s="97"/>
      <c r="M272" s="97"/>
      <c r="N272" s="97"/>
      <c r="O272" s="97"/>
      <c r="P272" s="97"/>
      <c r="Q272" s="97"/>
      <c r="R272" s="97"/>
      <c r="S272" s="97"/>
      <c r="T272" s="97"/>
      <c r="U272" s="97"/>
      <c r="V272" s="97"/>
      <c r="W272" s="97"/>
      <c r="X272" s="129"/>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c r="DF272" s="97"/>
      <c r="DG272" s="97"/>
      <c r="DH272" s="97"/>
      <c r="DI272" s="97"/>
      <c r="DJ272" s="97"/>
      <c r="DK272" s="97"/>
      <c r="DL272" s="97"/>
      <c r="DM272" s="97"/>
      <c r="DN272" s="97"/>
      <c r="DO272" s="97"/>
      <c r="DP272" s="97"/>
      <c r="DQ272" s="97"/>
      <c r="DR272" s="97"/>
      <c r="DS272" s="97"/>
      <c r="DT272" s="97"/>
      <c r="DU272" s="97"/>
      <c r="DV272" s="97"/>
      <c r="DW272" s="97"/>
      <c r="DX272" s="97"/>
      <c r="DY272" s="97"/>
      <c r="DZ272" s="97"/>
      <c r="EA272" s="97"/>
      <c r="EB272" s="97"/>
      <c r="EC272" s="97"/>
      <c r="ED272" s="97"/>
      <c r="EE272" s="97"/>
      <c r="EF272" s="97"/>
      <c r="EG272" s="97"/>
      <c r="EH272" s="97"/>
      <c r="EI272" s="97"/>
      <c r="EJ272" s="97"/>
      <c r="EK272" s="97"/>
      <c r="EL272" s="97"/>
      <c r="EM272" s="97"/>
      <c r="EN272" s="97"/>
      <c r="EO272" s="97"/>
      <c r="EP272" s="97"/>
      <c r="EQ272" s="97"/>
      <c r="ER272" s="97"/>
      <c r="ES272" s="97"/>
      <c r="ET272" s="97"/>
    </row>
    <row r="273" spans="1:150" ht="15.75" customHeight="1">
      <c r="A273" s="97"/>
      <c r="B273" s="97"/>
      <c r="C273" s="97"/>
      <c r="D273" s="97"/>
      <c r="E273" s="97"/>
      <c r="F273" s="97"/>
      <c r="G273" s="97"/>
      <c r="H273" s="129"/>
      <c r="I273" s="97"/>
      <c r="J273" s="97"/>
      <c r="K273" s="97"/>
      <c r="L273" s="97"/>
      <c r="M273" s="97"/>
      <c r="N273" s="97"/>
      <c r="O273" s="97"/>
      <c r="P273" s="97"/>
      <c r="Q273" s="97"/>
      <c r="R273" s="97"/>
      <c r="S273" s="97"/>
      <c r="T273" s="97"/>
      <c r="U273" s="97"/>
      <c r="V273" s="97"/>
      <c r="W273" s="97"/>
      <c r="X273" s="129"/>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c r="DF273" s="97"/>
      <c r="DG273" s="97"/>
      <c r="DH273" s="97"/>
      <c r="DI273" s="97"/>
      <c r="DJ273" s="97"/>
      <c r="DK273" s="97"/>
      <c r="DL273" s="97"/>
      <c r="DM273" s="97"/>
      <c r="DN273" s="97"/>
      <c r="DO273" s="97"/>
      <c r="DP273" s="97"/>
      <c r="DQ273" s="97"/>
      <c r="DR273" s="97"/>
      <c r="DS273" s="97"/>
      <c r="DT273" s="97"/>
      <c r="DU273" s="97"/>
      <c r="DV273" s="97"/>
      <c r="DW273" s="97"/>
      <c r="DX273" s="97"/>
      <c r="DY273" s="97"/>
      <c r="DZ273" s="97"/>
      <c r="EA273" s="97"/>
      <c r="EB273" s="97"/>
      <c r="EC273" s="97"/>
      <c r="ED273" s="97"/>
      <c r="EE273" s="97"/>
      <c r="EF273" s="97"/>
      <c r="EG273" s="97"/>
      <c r="EH273" s="97"/>
      <c r="EI273" s="97"/>
      <c r="EJ273" s="97"/>
      <c r="EK273" s="97"/>
      <c r="EL273" s="97"/>
      <c r="EM273" s="97"/>
      <c r="EN273" s="97"/>
      <c r="EO273" s="97"/>
      <c r="EP273" s="97"/>
      <c r="EQ273" s="97"/>
      <c r="ER273" s="97"/>
      <c r="ES273" s="97"/>
      <c r="ET273" s="97"/>
    </row>
    <row r="274" spans="1:150" ht="15.75" customHeight="1">
      <c r="A274" s="97"/>
      <c r="B274" s="97"/>
      <c r="C274" s="97"/>
      <c r="D274" s="97"/>
      <c r="E274" s="97"/>
      <c r="F274" s="97"/>
      <c r="G274" s="97"/>
      <c r="H274" s="129"/>
      <c r="I274" s="97"/>
      <c r="J274" s="97"/>
      <c r="K274" s="97"/>
      <c r="L274" s="97"/>
      <c r="M274" s="97"/>
      <c r="N274" s="97"/>
      <c r="O274" s="97"/>
      <c r="P274" s="97"/>
      <c r="Q274" s="97"/>
      <c r="R274" s="97"/>
      <c r="S274" s="97"/>
      <c r="T274" s="97"/>
      <c r="U274" s="97"/>
      <c r="V274" s="97"/>
      <c r="W274" s="97"/>
      <c r="X274" s="129"/>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c r="DF274" s="97"/>
      <c r="DG274" s="97"/>
      <c r="DH274" s="97"/>
      <c r="DI274" s="97"/>
      <c r="DJ274" s="97"/>
      <c r="DK274" s="97"/>
      <c r="DL274" s="97"/>
      <c r="DM274" s="97"/>
      <c r="DN274" s="97"/>
      <c r="DO274" s="97"/>
      <c r="DP274" s="97"/>
      <c r="DQ274" s="97"/>
      <c r="DR274" s="97"/>
      <c r="DS274" s="97"/>
      <c r="DT274" s="97"/>
      <c r="DU274" s="97"/>
      <c r="DV274" s="97"/>
      <c r="DW274" s="97"/>
      <c r="DX274" s="97"/>
      <c r="DY274" s="97"/>
      <c r="DZ274" s="97"/>
      <c r="EA274" s="97"/>
      <c r="EB274" s="97"/>
      <c r="EC274" s="97"/>
      <c r="ED274" s="97"/>
      <c r="EE274" s="97"/>
      <c r="EF274" s="97"/>
      <c r="EG274" s="97"/>
      <c r="EH274" s="97"/>
      <c r="EI274" s="97"/>
      <c r="EJ274" s="97"/>
      <c r="EK274" s="97"/>
      <c r="EL274" s="97"/>
      <c r="EM274" s="97"/>
      <c r="EN274" s="97"/>
      <c r="EO274" s="97"/>
      <c r="EP274" s="97"/>
      <c r="EQ274" s="97"/>
      <c r="ER274" s="97"/>
      <c r="ES274" s="97"/>
      <c r="ET274" s="97"/>
    </row>
    <row r="275" spans="1:150" ht="15.75" customHeight="1">
      <c r="A275" s="97"/>
      <c r="B275" s="97"/>
      <c r="C275" s="97"/>
      <c r="D275" s="97"/>
      <c r="E275" s="97"/>
      <c r="F275" s="97"/>
      <c r="G275" s="97"/>
      <c r="H275" s="129"/>
      <c r="I275" s="97"/>
      <c r="J275" s="97"/>
      <c r="K275" s="97"/>
      <c r="L275" s="97"/>
      <c r="M275" s="97"/>
      <c r="N275" s="97"/>
      <c r="O275" s="97"/>
      <c r="P275" s="97"/>
      <c r="Q275" s="97"/>
      <c r="R275" s="97"/>
      <c r="S275" s="97"/>
      <c r="T275" s="97"/>
      <c r="U275" s="97"/>
      <c r="V275" s="97"/>
      <c r="W275" s="97"/>
      <c r="X275" s="129"/>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c r="DF275" s="97"/>
      <c r="DG275" s="97"/>
      <c r="DH275" s="97"/>
      <c r="DI275" s="97"/>
      <c r="DJ275" s="97"/>
      <c r="DK275" s="97"/>
      <c r="DL275" s="97"/>
      <c r="DM275" s="97"/>
      <c r="DN275" s="97"/>
      <c r="DO275" s="97"/>
      <c r="DP275" s="97"/>
      <c r="DQ275" s="97"/>
      <c r="DR275" s="97"/>
      <c r="DS275" s="97"/>
      <c r="DT275" s="97"/>
      <c r="DU275" s="97"/>
      <c r="DV275" s="97"/>
      <c r="DW275" s="97"/>
      <c r="DX275" s="97"/>
      <c r="DY275" s="97"/>
      <c r="DZ275" s="97"/>
      <c r="EA275" s="97"/>
      <c r="EB275" s="97"/>
      <c r="EC275" s="97"/>
      <c r="ED275" s="97"/>
      <c r="EE275" s="97"/>
      <c r="EF275" s="97"/>
      <c r="EG275" s="97"/>
      <c r="EH275" s="97"/>
      <c r="EI275" s="97"/>
      <c r="EJ275" s="97"/>
      <c r="EK275" s="97"/>
      <c r="EL275" s="97"/>
      <c r="EM275" s="97"/>
      <c r="EN275" s="97"/>
      <c r="EO275" s="97"/>
      <c r="EP275" s="97"/>
      <c r="EQ275" s="97"/>
      <c r="ER275" s="97"/>
      <c r="ES275" s="97"/>
      <c r="ET275" s="97"/>
    </row>
    <row r="276" spans="1:150" ht="15.75" customHeight="1">
      <c r="A276" s="97"/>
      <c r="B276" s="97"/>
      <c r="C276" s="97"/>
      <c r="D276" s="97"/>
      <c r="E276" s="97"/>
      <c r="F276" s="97"/>
      <c r="G276" s="97"/>
      <c r="H276" s="129"/>
      <c r="I276" s="97"/>
      <c r="J276" s="97"/>
      <c r="K276" s="97"/>
      <c r="L276" s="97"/>
      <c r="M276" s="97"/>
      <c r="N276" s="97"/>
      <c r="O276" s="97"/>
      <c r="P276" s="97"/>
      <c r="Q276" s="97"/>
      <c r="R276" s="97"/>
      <c r="S276" s="97"/>
      <c r="T276" s="97"/>
      <c r="U276" s="97"/>
      <c r="V276" s="97"/>
      <c r="W276" s="97"/>
      <c r="X276" s="129"/>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c r="DF276" s="97"/>
      <c r="DG276" s="97"/>
      <c r="DH276" s="97"/>
      <c r="DI276" s="97"/>
      <c r="DJ276" s="97"/>
      <c r="DK276" s="97"/>
      <c r="DL276" s="97"/>
      <c r="DM276" s="97"/>
      <c r="DN276" s="97"/>
      <c r="DO276" s="97"/>
      <c r="DP276" s="97"/>
      <c r="DQ276" s="97"/>
      <c r="DR276" s="97"/>
      <c r="DS276" s="97"/>
      <c r="DT276" s="97"/>
      <c r="DU276" s="97"/>
      <c r="DV276" s="97"/>
      <c r="DW276" s="97"/>
      <c r="DX276" s="97"/>
      <c r="DY276" s="97"/>
      <c r="DZ276" s="97"/>
      <c r="EA276" s="97"/>
      <c r="EB276" s="97"/>
      <c r="EC276" s="97"/>
      <c r="ED276" s="97"/>
      <c r="EE276" s="97"/>
      <c r="EF276" s="97"/>
      <c r="EG276" s="97"/>
      <c r="EH276" s="97"/>
      <c r="EI276" s="97"/>
      <c r="EJ276" s="97"/>
      <c r="EK276" s="97"/>
      <c r="EL276" s="97"/>
      <c r="EM276" s="97"/>
      <c r="EN276" s="97"/>
      <c r="EO276" s="97"/>
      <c r="EP276" s="97"/>
      <c r="EQ276" s="97"/>
      <c r="ER276" s="97"/>
      <c r="ES276" s="97"/>
      <c r="ET276" s="97"/>
    </row>
    <row r="277" spans="1:150" ht="15.75" customHeight="1">
      <c r="A277" s="97"/>
      <c r="B277" s="97"/>
      <c r="C277" s="97"/>
      <c r="D277" s="97"/>
      <c r="E277" s="97"/>
      <c r="F277" s="97"/>
      <c r="G277" s="97"/>
      <c r="H277" s="129"/>
      <c r="I277" s="97"/>
      <c r="J277" s="97"/>
      <c r="K277" s="97"/>
      <c r="L277" s="97"/>
      <c r="M277" s="97"/>
      <c r="N277" s="97"/>
      <c r="O277" s="97"/>
      <c r="P277" s="97"/>
      <c r="Q277" s="97"/>
      <c r="R277" s="97"/>
      <c r="S277" s="97"/>
      <c r="T277" s="97"/>
      <c r="U277" s="97"/>
      <c r="V277" s="97"/>
      <c r="W277" s="97"/>
      <c r="X277" s="129"/>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c r="DF277" s="97"/>
      <c r="DG277" s="97"/>
      <c r="DH277" s="97"/>
      <c r="DI277" s="97"/>
      <c r="DJ277" s="97"/>
      <c r="DK277" s="97"/>
      <c r="DL277" s="97"/>
      <c r="DM277" s="97"/>
      <c r="DN277" s="97"/>
      <c r="DO277" s="97"/>
      <c r="DP277" s="97"/>
      <c r="DQ277" s="97"/>
      <c r="DR277" s="97"/>
      <c r="DS277" s="97"/>
      <c r="DT277" s="97"/>
      <c r="DU277" s="97"/>
      <c r="DV277" s="97"/>
      <c r="DW277" s="97"/>
      <c r="DX277" s="97"/>
      <c r="DY277" s="97"/>
      <c r="DZ277" s="97"/>
      <c r="EA277" s="97"/>
      <c r="EB277" s="97"/>
      <c r="EC277" s="97"/>
      <c r="ED277" s="97"/>
      <c r="EE277" s="97"/>
      <c r="EF277" s="97"/>
      <c r="EG277" s="97"/>
      <c r="EH277" s="97"/>
      <c r="EI277" s="97"/>
      <c r="EJ277" s="97"/>
      <c r="EK277" s="97"/>
      <c r="EL277" s="97"/>
      <c r="EM277" s="97"/>
      <c r="EN277" s="97"/>
      <c r="EO277" s="97"/>
      <c r="EP277" s="97"/>
      <c r="EQ277" s="97"/>
      <c r="ER277" s="97"/>
      <c r="ES277" s="97"/>
      <c r="ET277" s="97"/>
    </row>
    <row r="278" spans="1:150" ht="15.75" customHeight="1">
      <c r="A278" s="97"/>
      <c r="B278" s="97"/>
      <c r="C278" s="97"/>
      <c r="D278" s="97"/>
      <c r="E278" s="97"/>
      <c r="F278" s="97"/>
      <c r="G278" s="97"/>
      <c r="H278" s="129"/>
      <c r="I278" s="97"/>
      <c r="J278" s="97"/>
      <c r="K278" s="97"/>
      <c r="L278" s="97"/>
      <c r="M278" s="97"/>
      <c r="N278" s="97"/>
      <c r="O278" s="97"/>
      <c r="P278" s="97"/>
      <c r="Q278" s="97"/>
      <c r="R278" s="97"/>
      <c r="S278" s="97"/>
      <c r="T278" s="97"/>
      <c r="U278" s="97"/>
      <c r="V278" s="97"/>
      <c r="W278" s="97"/>
      <c r="X278" s="129"/>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c r="DF278" s="97"/>
      <c r="DG278" s="97"/>
      <c r="DH278" s="97"/>
      <c r="DI278" s="97"/>
      <c r="DJ278" s="97"/>
      <c r="DK278" s="97"/>
      <c r="DL278" s="97"/>
      <c r="DM278" s="97"/>
      <c r="DN278" s="97"/>
      <c r="DO278" s="97"/>
      <c r="DP278" s="97"/>
      <c r="DQ278" s="97"/>
      <c r="DR278" s="97"/>
      <c r="DS278" s="97"/>
      <c r="DT278" s="97"/>
      <c r="DU278" s="97"/>
      <c r="DV278" s="97"/>
      <c r="DW278" s="97"/>
      <c r="DX278" s="97"/>
      <c r="DY278" s="97"/>
      <c r="DZ278" s="97"/>
      <c r="EA278" s="97"/>
      <c r="EB278" s="97"/>
      <c r="EC278" s="97"/>
      <c r="ED278" s="97"/>
      <c r="EE278" s="97"/>
      <c r="EF278" s="97"/>
      <c r="EG278" s="97"/>
      <c r="EH278" s="97"/>
      <c r="EI278" s="97"/>
      <c r="EJ278" s="97"/>
      <c r="EK278" s="97"/>
      <c r="EL278" s="97"/>
      <c r="EM278" s="97"/>
      <c r="EN278" s="97"/>
      <c r="EO278" s="97"/>
      <c r="EP278" s="97"/>
      <c r="EQ278" s="97"/>
      <c r="ER278" s="97"/>
      <c r="ES278" s="97"/>
      <c r="ET278" s="97"/>
    </row>
    <row r="279" spans="1:150" ht="15.75" customHeight="1">
      <c r="A279" s="97"/>
      <c r="B279" s="97"/>
      <c r="C279" s="97"/>
      <c r="D279" s="97"/>
      <c r="E279" s="97"/>
      <c r="F279" s="97"/>
      <c r="G279" s="97"/>
      <c r="H279" s="129"/>
      <c r="I279" s="97"/>
      <c r="J279" s="97"/>
      <c r="K279" s="97"/>
      <c r="L279" s="97"/>
      <c r="M279" s="97"/>
      <c r="N279" s="97"/>
      <c r="O279" s="97"/>
      <c r="P279" s="97"/>
      <c r="Q279" s="97"/>
      <c r="R279" s="97"/>
      <c r="S279" s="97"/>
      <c r="T279" s="97"/>
      <c r="U279" s="97"/>
      <c r="V279" s="97"/>
      <c r="W279" s="97"/>
      <c r="X279" s="129"/>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c r="DF279" s="97"/>
      <c r="DG279" s="97"/>
      <c r="DH279" s="97"/>
      <c r="DI279" s="97"/>
      <c r="DJ279" s="97"/>
      <c r="DK279" s="97"/>
      <c r="DL279" s="97"/>
      <c r="DM279" s="97"/>
      <c r="DN279" s="97"/>
      <c r="DO279" s="97"/>
      <c r="DP279" s="97"/>
      <c r="DQ279" s="97"/>
      <c r="DR279" s="97"/>
      <c r="DS279" s="97"/>
      <c r="DT279" s="97"/>
      <c r="DU279" s="97"/>
      <c r="DV279" s="97"/>
      <c r="DW279" s="97"/>
      <c r="DX279" s="97"/>
      <c r="DY279" s="97"/>
      <c r="DZ279" s="97"/>
      <c r="EA279" s="97"/>
      <c r="EB279" s="97"/>
      <c r="EC279" s="97"/>
      <c r="ED279" s="97"/>
      <c r="EE279" s="97"/>
      <c r="EF279" s="97"/>
      <c r="EG279" s="97"/>
      <c r="EH279" s="97"/>
      <c r="EI279" s="97"/>
      <c r="EJ279" s="97"/>
      <c r="EK279" s="97"/>
      <c r="EL279" s="97"/>
      <c r="EM279" s="97"/>
      <c r="EN279" s="97"/>
      <c r="EO279" s="97"/>
      <c r="EP279" s="97"/>
      <c r="EQ279" s="97"/>
      <c r="ER279" s="97"/>
      <c r="ES279" s="97"/>
      <c r="ET279" s="97"/>
    </row>
    <row r="280" spans="1:150" ht="15.75" customHeight="1">
      <c r="A280" s="97"/>
      <c r="B280" s="97"/>
      <c r="C280" s="97"/>
      <c r="D280" s="97"/>
      <c r="E280" s="97"/>
      <c r="F280" s="97"/>
      <c r="G280" s="97"/>
      <c r="H280" s="129"/>
      <c r="I280" s="97"/>
      <c r="J280" s="97"/>
      <c r="K280" s="97"/>
      <c r="L280" s="97"/>
      <c r="M280" s="97"/>
      <c r="N280" s="97"/>
      <c r="O280" s="97"/>
      <c r="P280" s="97"/>
      <c r="Q280" s="97"/>
      <c r="R280" s="97"/>
      <c r="S280" s="97"/>
      <c r="T280" s="97"/>
      <c r="U280" s="97"/>
      <c r="V280" s="97"/>
      <c r="W280" s="97"/>
      <c r="X280" s="129"/>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c r="DF280" s="97"/>
      <c r="DG280" s="97"/>
      <c r="DH280" s="97"/>
      <c r="DI280" s="97"/>
      <c r="DJ280" s="97"/>
      <c r="DK280" s="97"/>
      <c r="DL280" s="97"/>
      <c r="DM280" s="97"/>
      <c r="DN280" s="97"/>
      <c r="DO280" s="97"/>
      <c r="DP280" s="97"/>
      <c r="DQ280" s="97"/>
      <c r="DR280" s="97"/>
      <c r="DS280" s="97"/>
      <c r="DT280" s="97"/>
      <c r="DU280" s="97"/>
      <c r="DV280" s="97"/>
      <c r="DW280" s="97"/>
      <c r="DX280" s="97"/>
      <c r="DY280" s="97"/>
      <c r="DZ280" s="97"/>
      <c r="EA280" s="97"/>
      <c r="EB280" s="97"/>
      <c r="EC280" s="97"/>
      <c r="ED280" s="97"/>
      <c r="EE280" s="97"/>
      <c r="EF280" s="97"/>
      <c r="EG280" s="97"/>
      <c r="EH280" s="97"/>
      <c r="EI280" s="97"/>
      <c r="EJ280" s="97"/>
      <c r="EK280" s="97"/>
      <c r="EL280" s="97"/>
      <c r="EM280" s="97"/>
      <c r="EN280" s="97"/>
      <c r="EO280" s="97"/>
      <c r="EP280" s="97"/>
      <c r="EQ280" s="97"/>
      <c r="ER280" s="97"/>
      <c r="ES280" s="97"/>
      <c r="ET280" s="97"/>
    </row>
    <row r="281" spans="1:150" ht="15.75" customHeight="1">
      <c r="A281" s="97"/>
      <c r="B281" s="97"/>
      <c r="C281" s="97"/>
      <c r="D281" s="97"/>
      <c r="E281" s="97"/>
      <c r="F281" s="97"/>
      <c r="G281" s="97"/>
      <c r="H281" s="129"/>
      <c r="I281" s="97"/>
      <c r="J281" s="97"/>
      <c r="K281" s="97"/>
      <c r="L281" s="97"/>
      <c r="M281" s="97"/>
      <c r="N281" s="97"/>
      <c r="O281" s="97"/>
      <c r="P281" s="97"/>
      <c r="Q281" s="97"/>
      <c r="R281" s="97"/>
      <c r="S281" s="97"/>
      <c r="T281" s="97"/>
      <c r="U281" s="97"/>
      <c r="V281" s="97"/>
      <c r="W281" s="97"/>
      <c r="X281" s="129"/>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c r="DF281" s="97"/>
      <c r="DG281" s="97"/>
      <c r="DH281" s="97"/>
      <c r="DI281" s="97"/>
      <c r="DJ281" s="97"/>
      <c r="DK281" s="97"/>
      <c r="DL281" s="97"/>
      <c r="DM281" s="97"/>
      <c r="DN281" s="97"/>
      <c r="DO281" s="97"/>
      <c r="DP281" s="97"/>
      <c r="DQ281" s="97"/>
      <c r="DR281" s="97"/>
      <c r="DS281" s="97"/>
      <c r="DT281" s="97"/>
      <c r="DU281" s="97"/>
      <c r="DV281" s="97"/>
      <c r="DW281" s="97"/>
      <c r="DX281" s="97"/>
      <c r="DY281" s="97"/>
      <c r="DZ281" s="97"/>
      <c r="EA281" s="97"/>
      <c r="EB281" s="97"/>
      <c r="EC281" s="97"/>
      <c r="ED281" s="97"/>
      <c r="EE281" s="97"/>
      <c r="EF281" s="97"/>
      <c r="EG281" s="97"/>
      <c r="EH281" s="97"/>
      <c r="EI281" s="97"/>
      <c r="EJ281" s="97"/>
      <c r="EK281" s="97"/>
      <c r="EL281" s="97"/>
      <c r="EM281" s="97"/>
      <c r="EN281" s="97"/>
      <c r="EO281" s="97"/>
      <c r="EP281" s="97"/>
      <c r="EQ281" s="97"/>
      <c r="ER281" s="97"/>
      <c r="ES281" s="97"/>
      <c r="ET281" s="97"/>
    </row>
    <row r="282" spans="1:150" ht="15.75" customHeight="1">
      <c r="A282" s="97"/>
      <c r="B282" s="97"/>
      <c r="C282" s="97"/>
      <c r="D282" s="97"/>
      <c r="E282" s="97"/>
      <c r="F282" s="97"/>
      <c r="G282" s="97"/>
      <c r="H282" s="129"/>
      <c r="I282" s="97"/>
      <c r="J282" s="97"/>
      <c r="K282" s="97"/>
      <c r="L282" s="97"/>
      <c r="M282" s="97"/>
      <c r="N282" s="97"/>
      <c r="O282" s="97"/>
      <c r="P282" s="97"/>
      <c r="Q282" s="97"/>
      <c r="R282" s="97"/>
      <c r="S282" s="97"/>
      <c r="T282" s="97"/>
      <c r="U282" s="97"/>
      <c r="V282" s="97"/>
      <c r="W282" s="97"/>
      <c r="X282" s="129"/>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c r="DF282" s="97"/>
      <c r="DG282" s="97"/>
      <c r="DH282" s="97"/>
      <c r="DI282" s="97"/>
      <c r="DJ282" s="97"/>
      <c r="DK282" s="97"/>
      <c r="DL282" s="97"/>
      <c r="DM282" s="97"/>
      <c r="DN282" s="97"/>
      <c r="DO282" s="97"/>
      <c r="DP282" s="97"/>
      <c r="DQ282" s="97"/>
      <c r="DR282" s="97"/>
      <c r="DS282" s="97"/>
      <c r="DT282" s="97"/>
      <c r="DU282" s="97"/>
      <c r="DV282" s="97"/>
      <c r="DW282" s="97"/>
      <c r="DX282" s="97"/>
      <c r="DY282" s="97"/>
      <c r="DZ282" s="97"/>
      <c r="EA282" s="97"/>
      <c r="EB282" s="97"/>
      <c r="EC282" s="97"/>
      <c r="ED282" s="97"/>
      <c r="EE282" s="97"/>
      <c r="EF282" s="97"/>
      <c r="EG282" s="97"/>
      <c r="EH282" s="97"/>
      <c r="EI282" s="97"/>
      <c r="EJ282" s="97"/>
      <c r="EK282" s="97"/>
      <c r="EL282" s="97"/>
      <c r="EM282" s="97"/>
      <c r="EN282" s="97"/>
      <c r="EO282" s="97"/>
      <c r="EP282" s="97"/>
      <c r="EQ282" s="97"/>
      <c r="ER282" s="97"/>
      <c r="ES282" s="97"/>
      <c r="ET282" s="97"/>
    </row>
    <row r="283" spans="1:150" ht="15.75" customHeight="1">
      <c r="A283" s="97"/>
      <c r="B283" s="97"/>
      <c r="C283" s="97"/>
      <c r="D283" s="97"/>
      <c r="E283" s="97"/>
      <c r="F283" s="97"/>
      <c r="G283" s="97"/>
      <c r="H283" s="129"/>
      <c r="I283" s="97"/>
      <c r="J283" s="97"/>
      <c r="K283" s="97"/>
      <c r="L283" s="97"/>
      <c r="M283" s="97"/>
      <c r="N283" s="97"/>
      <c r="O283" s="97"/>
      <c r="P283" s="97"/>
      <c r="Q283" s="97"/>
      <c r="R283" s="97"/>
      <c r="S283" s="97"/>
      <c r="T283" s="97"/>
      <c r="U283" s="97"/>
      <c r="V283" s="97"/>
      <c r="W283" s="97"/>
      <c r="X283" s="129"/>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c r="DF283" s="97"/>
      <c r="DG283" s="97"/>
      <c r="DH283" s="97"/>
      <c r="DI283" s="97"/>
      <c r="DJ283" s="97"/>
      <c r="DK283" s="97"/>
      <c r="DL283" s="97"/>
      <c r="DM283" s="97"/>
      <c r="DN283" s="97"/>
      <c r="DO283" s="97"/>
      <c r="DP283" s="97"/>
      <c r="DQ283" s="97"/>
      <c r="DR283" s="97"/>
      <c r="DS283" s="97"/>
      <c r="DT283" s="97"/>
      <c r="DU283" s="97"/>
      <c r="DV283" s="97"/>
      <c r="DW283" s="97"/>
      <c r="DX283" s="97"/>
      <c r="DY283" s="97"/>
      <c r="DZ283" s="97"/>
      <c r="EA283" s="97"/>
      <c r="EB283" s="97"/>
      <c r="EC283" s="97"/>
      <c r="ED283" s="97"/>
      <c r="EE283" s="97"/>
      <c r="EF283" s="97"/>
      <c r="EG283" s="97"/>
      <c r="EH283" s="97"/>
      <c r="EI283" s="97"/>
      <c r="EJ283" s="97"/>
      <c r="EK283" s="97"/>
      <c r="EL283" s="97"/>
      <c r="EM283" s="97"/>
      <c r="EN283" s="97"/>
      <c r="EO283" s="97"/>
      <c r="EP283" s="97"/>
      <c r="EQ283" s="97"/>
      <c r="ER283" s="97"/>
      <c r="ES283" s="97"/>
      <c r="ET283" s="97"/>
    </row>
    <row r="284" spans="1:150" ht="15.75" customHeight="1">
      <c r="A284" s="97"/>
      <c r="B284" s="97"/>
      <c r="C284" s="97"/>
      <c r="D284" s="97"/>
      <c r="E284" s="97"/>
      <c r="F284" s="97"/>
      <c r="G284" s="97"/>
      <c r="H284" s="129"/>
      <c r="I284" s="97"/>
      <c r="J284" s="97"/>
      <c r="K284" s="97"/>
      <c r="L284" s="97"/>
      <c r="M284" s="97"/>
      <c r="N284" s="97"/>
      <c r="O284" s="97"/>
      <c r="P284" s="97"/>
      <c r="Q284" s="97"/>
      <c r="R284" s="97"/>
      <c r="S284" s="97"/>
      <c r="T284" s="97"/>
      <c r="U284" s="97"/>
      <c r="V284" s="97"/>
      <c r="W284" s="97"/>
      <c r="X284" s="129"/>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c r="DF284" s="97"/>
      <c r="DG284" s="97"/>
      <c r="DH284" s="97"/>
      <c r="DI284" s="97"/>
      <c r="DJ284" s="97"/>
      <c r="DK284" s="97"/>
      <c r="DL284" s="97"/>
      <c r="DM284" s="97"/>
      <c r="DN284" s="97"/>
      <c r="DO284" s="97"/>
      <c r="DP284" s="97"/>
      <c r="DQ284" s="97"/>
      <c r="DR284" s="97"/>
      <c r="DS284" s="97"/>
      <c r="DT284" s="97"/>
      <c r="DU284" s="97"/>
      <c r="DV284" s="97"/>
      <c r="DW284" s="97"/>
      <c r="DX284" s="97"/>
      <c r="DY284" s="97"/>
      <c r="DZ284" s="97"/>
      <c r="EA284" s="97"/>
      <c r="EB284" s="97"/>
      <c r="EC284" s="97"/>
      <c r="ED284" s="97"/>
      <c r="EE284" s="97"/>
      <c r="EF284" s="97"/>
      <c r="EG284" s="97"/>
      <c r="EH284" s="97"/>
      <c r="EI284" s="97"/>
      <c r="EJ284" s="97"/>
      <c r="EK284" s="97"/>
      <c r="EL284" s="97"/>
      <c r="EM284" s="97"/>
      <c r="EN284" s="97"/>
      <c r="EO284" s="97"/>
      <c r="EP284" s="97"/>
      <c r="EQ284" s="97"/>
      <c r="ER284" s="97"/>
      <c r="ES284" s="97"/>
      <c r="ET284" s="97"/>
    </row>
    <row r="285" spans="1:150" ht="15.75" customHeight="1">
      <c r="A285" s="97"/>
      <c r="B285" s="97"/>
      <c r="C285" s="97"/>
      <c r="D285" s="97"/>
      <c r="E285" s="97"/>
      <c r="F285" s="97"/>
      <c r="G285" s="97"/>
      <c r="H285" s="129"/>
      <c r="I285" s="97"/>
      <c r="J285" s="97"/>
      <c r="K285" s="97"/>
      <c r="L285" s="97"/>
      <c r="M285" s="97"/>
      <c r="N285" s="97"/>
      <c r="O285" s="97"/>
      <c r="P285" s="97"/>
      <c r="Q285" s="97"/>
      <c r="R285" s="97"/>
      <c r="S285" s="97"/>
      <c r="T285" s="97"/>
      <c r="U285" s="97"/>
      <c r="V285" s="97"/>
      <c r="W285" s="97"/>
      <c r="X285" s="129"/>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c r="DF285" s="97"/>
      <c r="DG285" s="97"/>
      <c r="DH285" s="97"/>
      <c r="DI285" s="97"/>
      <c r="DJ285" s="97"/>
      <c r="DK285" s="97"/>
      <c r="DL285" s="97"/>
      <c r="DM285" s="97"/>
      <c r="DN285" s="97"/>
      <c r="DO285" s="97"/>
      <c r="DP285" s="97"/>
      <c r="DQ285" s="97"/>
      <c r="DR285" s="97"/>
      <c r="DS285" s="97"/>
      <c r="DT285" s="97"/>
      <c r="DU285" s="97"/>
      <c r="DV285" s="97"/>
      <c r="DW285" s="97"/>
      <c r="DX285" s="97"/>
      <c r="DY285" s="97"/>
      <c r="DZ285" s="97"/>
      <c r="EA285" s="97"/>
      <c r="EB285" s="97"/>
      <c r="EC285" s="97"/>
      <c r="ED285" s="97"/>
      <c r="EE285" s="97"/>
      <c r="EF285" s="97"/>
      <c r="EG285" s="97"/>
      <c r="EH285" s="97"/>
      <c r="EI285" s="97"/>
      <c r="EJ285" s="97"/>
      <c r="EK285" s="97"/>
      <c r="EL285" s="97"/>
      <c r="EM285" s="97"/>
      <c r="EN285" s="97"/>
      <c r="EO285" s="97"/>
      <c r="EP285" s="97"/>
      <c r="EQ285" s="97"/>
      <c r="ER285" s="97"/>
      <c r="ES285" s="97"/>
      <c r="ET285" s="97"/>
    </row>
    <row r="286" spans="1:150" ht="15.75" customHeight="1">
      <c r="A286" s="97"/>
      <c r="B286" s="97"/>
      <c r="C286" s="97"/>
      <c r="D286" s="97"/>
      <c r="E286" s="97"/>
      <c r="F286" s="97"/>
      <c r="G286" s="97"/>
      <c r="H286" s="129"/>
      <c r="I286" s="97"/>
      <c r="J286" s="97"/>
      <c r="K286" s="97"/>
      <c r="L286" s="97"/>
      <c r="M286" s="97"/>
      <c r="N286" s="97"/>
      <c r="O286" s="97"/>
      <c r="P286" s="97"/>
      <c r="Q286" s="97"/>
      <c r="R286" s="97"/>
      <c r="S286" s="97"/>
      <c r="T286" s="97"/>
      <c r="U286" s="97"/>
      <c r="V286" s="97"/>
      <c r="W286" s="97"/>
      <c r="X286" s="129"/>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c r="DF286" s="97"/>
      <c r="DG286" s="97"/>
      <c r="DH286" s="97"/>
      <c r="DI286" s="97"/>
      <c r="DJ286" s="97"/>
      <c r="DK286" s="97"/>
      <c r="DL286" s="97"/>
      <c r="DM286" s="97"/>
      <c r="DN286" s="97"/>
      <c r="DO286" s="97"/>
      <c r="DP286" s="97"/>
      <c r="DQ286" s="97"/>
      <c r="DR286" s="97"/>
      <c r="DS286" s="97"/>
      <c r="DT286" s="97"/>
      <c r="DU286" s="97"/>
      <c r="DV286" s="97"/>
      <c r="DW286" s="97"/>
      <c r="DX286" s="97"/>
      <c r="DY286" s="97"/>
      <c r="DZ286" s="97"/>
      <c r="EA286" s="97"/>
      <c r="EB286" s="97"/>
      <c r="EC286" s="97"/>
      <c r="ED286" s="97"/>
      <c r="EE286" s="97"/>
      <c r="EF286" s="97"/>
      <c r="EG286" s="97"/>
      <c r="EH286" s="97"/>
      <c r="EI286" s="97"/>
      <c r="EJ286" s="97"/>
      <c r="EK286" s="97"/>
      <c r="EL286" s="97"/>
      <c r="EM286" s="97"/>
      <c r="EN286" s="97"/>
      <c r="EO286" s="97"/>
      <c r="EP286" s="97"/>
      <c r="EQ286" s="97"/>
      <c r="ER286" s="97"/>
      <c r="ES286" s="97"/>
      <c r="ET286" s="97"/>
    </row>
    <row r="287" spans="1:150" ht="15.75" customHeight="1">
      <c r="A287" s="97"/>
      <c r="B287" s="97"/>
      <c r="C287" s="97"/>
      <c r="D287" s="97"/>
      <c r="E287" s="97"/>
      <c r="F287" s="97"/>
      <c r="G287" s="97"/>
      <c r="H287" s="129"/>
      <c r="I287" s="97"/>
      <c r="J287" s="97"/>
      <c r="K287" s="97"/>
      <c r="L287" s="97"/>
      <c r="M287" s="97"/>
      <c r="N287" s="97"/>
      <c r="O287" s="97"/>
      <c r="P287" s="97"/>
      <c r="Q287" s="97"/>
      <c r="R287" s="97"/>
      <c r="S287" s="97"/>
      <c r="T287" s="97"/>
      <c r="U287" s="97"/>
      <c r="V287" s="97"/>
      <c r="W287" s="97"/>
      <c r="X287" s="129"/>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c r="DF287" s="97"/>
      <c r="DG287" s="97"/>
      <c r="DH287" s="97"/>
      <c r="DI287" s="97"/>
      <c r="DJ287" s="97"/>
      <c r="DK287" s="97"/>
      <c r="DL287" s="97"/>
      <c r="DM287" s="97"/>
      <c r="DN287" s="97"/>
      <c r="DO287" s="97"/>
      <c r="DP287" s="97"/>
      <c r="DQ287" s="97"/>
      <c r="DR287" s="97"/>
      <c r="DS287" s="97"/>
      <c r="DT287" s="97"/>
      <c r="DU287" s="97"/>
      <c r="DV287" s="97"/>
      <c r="DW287" s="97"/>
      <c r="DX287" s="97"/>
      <c r="DY287" s="97"/>
      <c r="DZ287" s="97"/>
      <c r="EA287" s="97"/>
      <c r="EB287" s="97"/>
      <c r="EC287" s="97"/>
      <c r="ED287" s="97"/>
      <c r="EE287" s="97"/>
      <c r="EF287" s="97"/>
      <c r="EG287" s="97"/>
      <c r="EH287" s="97"/>
      <c r="EI287" s="97"/>
      <c r="EJ287" s="97"/>
      <c r="EK287" s="97"/>
      <c r="EL287" s="97"/>
      <c r="EM287" s="97"/>
      <c r="EN287" s="97"/>
      <c r="EO287" s="97"/>
      <c r="EP287" s="97"/>
      <c r="EQ287" s="97"/>
      <c r="ER287" s="97"/>
      <c r="ES287" s="97"/>
      <c r="ET287" s="97"/>
    </row>
    <row r="288" spans="1:150" ht="15.75" customHeight="1">
      <c r="A288" s="97"/>
      <c r="B288" s="97"/>
      <c r="C288" s="97"/>
      <c r="D288" s="97"/>
      <c r="E288" s="97"/>
      <c r="F288" s="97"/>
      <c r="G288" s="97"/>
      <c r="H288" s="129"/>
      <c r="I288" s="97"/>
      <c r="J288" s="97"/>
      <c r="K288" s="97"/>
      <c r="L288" s="97"/>
      <c r="M288" s="97"/>
      <c r="N288" s="97"/>
      <c r="O288" s="97"/>
      <c r="P288" s="97"/>
      <c r="Q288" s="97"/>
      <c r="R288" s="97"/>
      <c r="S288" s="97"/>
      <c r="T288" s="97"/>
      <c r="U288" s="97"/>
      <c r="V288" s="97"/>
      <c r="W288" s="97"/>
      <c r="X288" s="129"/>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c r="DF288" s="97"/>
      <c r="DG288" s="97"/>
      <c r="DH288" s="97"/>
      <c r="DI288" s="97"/>
      <c r="DJ288" s="97"/>
      <c r="DK288" s="97"/>
      <c r="DL288" s="97"/>
      <c r="DM288" s="97"/>
      <c r="DN288" s="97"/>
      <c r="DO288" s="97"/>
      <c r="DP288" s="97"/>
      <c r="DQ288" s="97"/>
      <c r="DR288" s="97"/>
      <c r="DS288" s="97"/>
      <c r="DT288" s="97"/>
      <c r="DU288" s="97"/>
      <c r="DV288" s="97"/>
      <c r="DW288" s="97"/>
      <c r="DX288" s="97"/>
      <c r="DY288" s="97"/>
      <c r="DZ288" s="97"/>
      <c r="EA288" s="97"/>
      <c r="EB288" s="97"/>
      <c r="EC288" s="97"/>
      <c r="ED288" s="97"/>
      <c r="EE288" s="97"/>
      <c r="EF288" s="97"/>
      <c r="EG288" s="97"/>
      <c r="EH288" s="97"/>
      <c r="EI288" s="97"/>
      <c r="EJ288" s="97"/>
      <c r="EK288" s="97"/>
      <c r="EL288" s="97"/>
      <c r="EM288" s="97"/>
      <c r="EN288" s="97"/>
      <c r="EO288" s="97"/>
      <c r="EP288" s="97"/>
      <c r="EQ288" s="97"/>
      <c r="ER288" s="97"/>
      <c r="ES288" s="97"/>
      <c r="ET288" s="97"/>
    </row>
    <row r="289" spans="1:150" ht="15.75" customHeight="1">
      <c r="A289" s="97"/>
      <c r="B289" s="97"/>
      <c r="C289" s="97"/>
      <c r="D289" s="97"/>
      <c r="E289" s="97"/>
      <c r="F289" s="97"/>
      <c r="G289" s="97"/>
      <c r="H289" s="129"/>
      <c r="I289" s="97"/>
      <c r="J289" s="97"/>
      <c r="K289" s="97"/>
      <c r="L289" s="97"/>
      <c r="M289" s="97"/>
      <c r="N289" s="97"/>
      <c r="O289" s="97"/>
      <c r="P289" s="97"/>
      <c r="Q289" s="97"/>
      <c r="R289" s="97"/>
      <c r="S289" s="97"/>
      <c r="T289" s="97"/>
      <c r="U289" s="97"/>
      <c r="V289" s="97"/>
      <c r="W289" s="97"/>
      <c r="X289" s="129"/>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c r="DF289" s="97"/>
      <c r="DG289" s="97"/>
      <c r="DH289" s="97"/>
      <c r="DI289" s="97"/>
      <c r="DJ289" s="97"/>
      <c r="DK289" s="97"/>
      <c r="DL289" s="97"/>
      <c r="DM289" s="97"/>
      <c r="DN289" s="97"/>
      <c r="DO289" s="97"/>
      <c r="DP289" s="97"/>
      <c r="DQ289" s="97"/>
      <c r="DR289" s="97"/>
      <c r="DS289" s="97"/>
      <c r="DT289" s="97"/>
      <c r="DU289" s="97"/>
      <c r="DV289" s="97"/>
      <c r="DW289" s="97"/>
      <c r="DX289" s="97"/>
      <c r="DY289" s="97"/>
      <c r="DZ289" s="97"/>
      <c r="EA289" s="97"/>
      <c r="EB289" s="97"/>
      <c r="EC289" s="97"/>
      <c r="ED289" s="97"/>
      <c r="EE289" s="97"/>
      <c r="EF289" s="97"/>
      <c r="EG289" s="97"/>
      <c r="EH289" s="97"/>
      <c r="EI289" s="97"/>
      <c r="EJ289" s="97"/>
      <c r="EK289" s="97"/>
      <c r="EL289" s="97"/>
      <c r="EM289" s="97"/>
      <c r="EN289" s="97"/>
      <c r="EO289" s="97"/>
      <c r="EP289" s="97"/>
      <c r="EQ289" s="97"/>
      <c r="ER289" s="97"/>
      <c r="ES289" s="97"/>
      <c r="ET289" s="97"/>
    </row>
    <row r="290" spans="1:150" ht="15.75" customHeight="1">
      <c r="A290" s="97"/>
      <c r="B290" s="97"/>
      <c r="C290" s="97"/>
      <c r="D290" s="97"/>
      <c r="E290" s="97"/>
      <c r="F290" s="97"/>
      <c r="G290" s="97"/>
      <c r="H290" s="129"/>
      <c r="I290" s="97"/>
      <c r="J290" s="97"/>
      <c r="K290" s="97"/>
      <c r="L290" s="97"/>
      <c r="M290" s="97"/>
      <c r="N290" s="97"/>
      <c r="O290" s="97"/>
      <c r="P290" s="97"/>
      <c r="Q290" s="97"/>
      <c r="R290" s="97"/>
      <c r="S290" s="97"/>
      <c r="T290" s="97"/>
      <c r="U290" s="97"/>
      <c r="V290" s="97"/>
      <c r="W290" s="97"/>
      <c r="X290" s="129"/>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c r="DF290" s="97"/>
      <c r="DG290" s="97"/>
      <c r="DH290" s="97"/>
      <c r="DI290" s="97"/>
      <c r="DJ290" s="97"/>
      <c r="DK290" s="97"/>
      <c r="DL290" s="97"/>
      <c r="DM290" s="97"/>
      <c r="DN290" s="97"/>
      <c r="DO290" s="97"/>
      <c r="DP290" s="97"/>
      <c r="DQ290" s="97"/>
      <c r="DR290" s="97"/>
      <c r="DS290" s="97"/>
      <c r="DT290" s="97"/>
      <c r="DU290" s="97"/>
      <c r="DV290" s="97"/>
      <c r="DW290" s="97"/>
      <c r="DX290" s="97"/>
      <c r="DY290" s="97"/>
      <c r="DZ290" s="97"/>
      <c r="EA290" s="97"/>
      <c r="EB290" s="97"/>
      <c r="EC290" s="97"/>
      <c r="ED290" s="97"/>
      <c r="EE290" s="97"/>
      <c r="EF290" s="97"/>
      <c r="EG290" s="97"/>
      <c r="EH290" s="97"/>
      <c r="EI290" s="97"/>
      <c r="EJ290" s="97"/>
      <c r="EK290" s="97"/>
      <c r="EL290" s="97"/>
      <c r="EM290" s="97"/>
      <c r="EN290" s="97"/>
      <c r="EO290" s="97"/>
      <c r="EP290" s="97"/>
      <c r="EQ290" s="97"/>
      <c r="ER290" s="97"/>
      <c r="ES290" s="97"/>
      <c r="ET290" s="97"/>
    </row>
    <row r="291" spans="1:150" ht="15.75" customHeight="1">
      <c r="A291" s="97"/>
      <c r="B291" s="97"/>
      <c r="C291" s="97"/>
      <c r="D291" s="97"/>
      <c r="E291" s="97"/>
      <c r="F291" s="97"/>
      <c r="G291" s="97"/>
      <c r="H291" s="129"/>
      <c r="I291" s="97"/>
      <c r="J291" s="97"/>
      <c r="K291" s="97"/>
      <c r="L291" s="97"/>
      <c r="M291" s="97"/>
      <c r="N291" s="97"/>
      <c r="O291" s="97"/>
      <c r="P291" s="97"/>
      <c r="Q291" s="97"/>
      <c r="R291" s="97"/>
      <c r="S291" s="97"/>
      <c r="T291" s="97"/>
      <c r="U291" s="97"/>
      <c r="V291" s="97"/>
      <c r="W291" s="97"/>
      <c r="X291" s="129"/>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c r="DF291" s="97"/>
      <c r="DG291" s="97"/>
      <c r="DH291" s="97"/>
      <c r="DI291" s="97"/>
      <c r="DJ291" s="97"/>
      <c r="DK291" s="97"/>
      <c r="DL291" s="97"/>
      <c r="DM291" s="97"/>
      <c r="DN291" s="97"/>
      <c r="DO291" s="97"/>
      <c r="DP291" s="97"/>
      <c r="DQ291" s="97"/>
      <c r="DR291" s="97"/>
      <c r="DS291" s="97"/>
      <c r="DT291" s="97"/>
      <c r="DU291" s="97"/>
      <c r="DV291" s="97"/>
      <c r="DW291" s="97"/>
      <c r="DX291" s="97"/>
      <c r="DY291" s="97"/>
      <c r="DZ291" s="97"/>
      <c r="EA291" s="97"/>
      <c r="EB291" s="97"/>
      <c r="EC291" s="97"/>
      <c r="ED291" s="97"/>
      <c r="EE291" s="97"/>
      <c r="EF291" s="97"/>
      <c r="EG291" s="97"/>
      <c r="EH291" s="97"/>
      <c r="EI291" s="97"/>
      <c r="EJ291" s="97"/>
      <c r="EK291" s="97"/>
      <c r="EL291" s="97"/>
      <c r="EM291" s="97"/>
      <c r="EN291" s="97"/>
      <c r="EO291" s="97"/>
      <c r="EP291" s="97"/>
      <c r="EQ291" s="97"/>
      <c r="ER291" s="97"/>
      <c r="ES291" s="97"/>
      <c r="ET291" s="97"/>
    </row>
    <row r="292" spans="1:150" ht="15.75" customHeight="1">
      <c r="A292" s="97"/>
      <c r="B292" s="97"/>
      <c r="C292" s="97"/>
      <c r="D292" s="97"/>
      <c r="E292" s="97"/>
      <c r="F292" s="97"/>
      <c r="G292" s="97"/>
      <c r="H292" s="129"/>
      <c r="I292" s="97"/>
      <c r="J292" s="97"/>
      <c r="K292" s="97"/>
      <c r="L292" s="97"/>
      <c r="M292" s="97"/>
      <c r="N292" s="97"/>
      <c r="O292" s="97"/>
      <c r="P292" s="97"/>
      <c r="Q292" s="97"/>
      <c r="R292" s="97"/>
      <c r="S292" s="97"/>
      <c r="T292" s="97"/>
      <c r="U292" s="97"/>
      <c r="V292" s="97"/>
      <c r="W292" s="97"/>
      <c r="X292" s="129"/>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c r="DF292" s="97"/>
      <c r="DG292" s="97"/>
      <c r="DH292" s="97"/>
      <c r="DI292" s="97"/>
      <c r="DJ292" s="97"/>
      <c r="DK292" s="97"/>
      <c r="DL292" s="97"/>
      <c r="DM292" s="97"/>
      <c r="DN292" s="97"/>
      <c r="DO292" s="97"/>
      <c r="DP292" s="97"/>
      <c r="DQ292" s="97"/>
      <c r="DR292" s="97"/>
      <c r="DS292" s="97"/>
      <c r="DT292" s="97"/>
      <c r="DU292" s="97"/>
      <c r="DV292" s="97"/>
      <c r="DW292" s="97"/>
      <c r="DX292" s="97"/>
      <c r="DY292" s="97"/>
      <c r="DZ292" s="97"/>
      <c r="EA292" s="97"/>
      <c r="EB292" s="97"/>
      <c r="EC292" s="97"/>
      <c r="ED292" s="97"/>
      <c r="EE292" s="97"/>
      <c r="EF292" s="97"/>
      <c r="EG292" s="97"/>
      <c r="EH292" s="97"/>
      <c r="EI292" s="97"/>
      <c r="EJ292" s="97"/>
      <c r="EK292" s="97"/>
      <c r="EL292" s="97"/>
      <c r="EM292" s="97"/>
      <c r="EN292" s="97"/>
      <c r="EO292" s="97"/>
      <c r="EP292" s="97"/>
      <c r="EQ292" s="97"/>
      <c r="ER292" s="97"/>
      <c r="ES292" s="97"/>
      <c r="ET292" s="97"/>
    </row>
    <row r="293" spans="1:150" ht="15.75" customHeight="1">
      <c r="A293" s="97"/>
      <c r="B293" s="97"/>
      <c r="C293" s="97"/>
      <c r="D293" s="97"/>
      <c r="E293" s="97"/>
      <c r="F293" s="97"/>
      <c r="G293" s="97"/>
      <c r="H293" s="129"/>
      <c r="I293" s="97"/>
      <c r="J293" s="97"/>
      <c r="K293" s="97"/>
      <c r="L293" s="97"/>
      <c r="M293" s="97"/>
      <c r="N293" s="97"/>
      <c r="O293" s="97"/>
      <c r="P293" s="97"/>
      <c r="Q293" s="97"/>
      <c r="R293" s="97"/>
      <c r="S293" s="97"/>
      <c r="T293" s="97"/>
      <c r="U293" s="97"/>
      <c r="V293" s="97"/>
      <c r="W293" s="97"/>
      <c r="X293" s="129"/>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c r="DF293" s="97"/>
      <c r="DG293" s="97"/>
      <c r="DH293" s="97"/>
      <c r="DI293" s="97"/>
      <c r="DJ293" s="97"/>
      <c r="DK293" s="97"/>
      <c r="DL293" s="97"/>
      <c r="DM293" s="97"/>
      <c r="DN293" s="97"/>
      <c r="DO293" s="97"/>
      <c r="DP293" s="97"/>
      <c r="DQ293" s="97"/>
      <c r="DR293" s="97"/>
      <c r="DS293" s="97"/>
      <c r="DT293" s="97"/>
      <c r="DU293" s="97"/>
      <c r="DV293" s="97"/>
      <c r="DW293" s="97"/>
      <c r="DX293" s="97"/>
      <c r="DY293" s="97"/>
      <c r="DZ293" s="97"/>
      <c r="EA293" s="97"/>
      <c r="EB293" s="97"/>
      <c r="EC293" s="97"/>
      <c r="ED293" s="97"/>
      <c r="EE293" s="97"/>
      <c r="EF293" s="97"/>
      <c r="EG293" s="97"/>
      <c r="EH293" s="97"/>
      <c r="EI293" s="97"/>
      <c r="EJ293" s="97"/>
      <c r="EK293" s="97"/>
      <c r="EL293" s="97"/>
      <c r="EM293" s="97"/>
      <c r="EN293" s="97"/>
      <c r="EO293" s="97"/>
      <c r="EP293" s="97"/>
      <c r="EQ293" s="97"/>
      <c r="ER293" s="97"/>
      <c r="ES293" s="97"/>
      <c r="ET293" s="97"/>
    </row>
    <row r="294" spans="1:150" ht="15.75" customHeight="1">
      <c r="A294" s="97"/>
      <c r="B294" s="97"/>
      <c r="C294" s="97"/>
      <c r="D294" s="97"/>
      <c r="E294" s="97"/>
      <c r="F294" s="97"/>
      <c r="G294" s="97"/>
      <c r="H294" s="129"/>
      <c r="I294" s="97"/>
      <c r="J294" s="97"/>
      <c r="K294" s="97"/>
      <c r="L294" s="97"/>
      <c r="M294" s="97"/>
      <c r="N294" s="97"/>
      <c r="O294" s="97"/>
      <c r="P294" s="97"/>
      <c r="Q294" s="97"/>
      <c r="R294" s="97"/>
      <c r="S294" s="97"/>
      <c r="T294" s="97"/>
      <c r="U294" s="97"/>
      <c r="V294" s="97"/>
      <c r="W294" s="97"/>
      <c r="X294" s="129"/>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c r="DF294" s="97"/>
      <c r="DG294" s="97"/>
      <c r="DH294" s="97"/>
      <c r="DI294" s="97"/>
      <c r="DJ294" s="97"/>
      <c r="DK294" s="97"/>
      <c r="DL294" s="97"/>
      <c r="DM294" s="97"/>
      <c r="DN294" s="97"/>
      <c r="DO294" s="97"/>
      <c r="DP294" s="97"/>
      <c r="DQ294" s="97"/>
      <c r="DR294" s="97"/>
      <c r="DS294" s="97"/>
      <c r="DT294" s="97"/>
      <c r="DU294" s="97"/>
      <c r="DV294" s="97"/>
      <c r="DW294" s="97"/>
      <c r="DX294" s="97"/>
      <c r="DY294" s="97"/>
      <c r="DZ294" s="97"/>
      <c r="EA294" s="97"/>
      <c r="EB294" s="97"/>
      <c r="EC294" s="97"/>
      <c r="ED294" s="97"/>
      <c r="EE294" s="97"/>
      <c r="EF294" s="97"/>
      <c r="EG294" s="97"/>
      <c r="EH294" s="97"/>
      <c r="EI294" s="97"/>
      <c r="EJ294" s="97"/>
      <c r="EK294" s="97"/>
      <c r="EL294" s="97"/>
      <c r="EM294" s="97"/>
      <c r="EN294" s="97"/>
      <c r="EO294" s="97"/>
      <c r="EP294" s="97"/>
      <c r="EQ294" s="97"/>
      <c r="ER294" s="97"/>
      <c r="ES294" s="97"/>
      <c r="ET294" s="97"/>
    </row>
    <row r="295" spans="1:150" ht="15.75" customHeight="1">
      <c r="A295" s="97"/>
      <c r="B295" s="97"/>
      <c r="C295" s="97"/>
      <c r="D295" s="97"/>
      <c r="E295" s="97"/>
      <c r="F295" s="97"/>
      <c r="G295" s="97"/>
      <c r="H295" s="129"/>
      <c r="I295" s="97"/>
      <c r="J295" s="97"/>
      <c r="K295" s="97"/>
      <c r="L295" s="97"/>
      <c r="M295" s="97"/>
      <c r="N295" s="97"/>
      <c r="O295" s="97"/>
      <c r="P295" s="97"/>
      <c r="Q295" s="97"/>
      <c r="R295" s="97"/>
      <c r="S295" s="97"/>
      <c r="T295" s="97"/>
      <c r="U295" s="97"/>
      <c r="V295" s="97"/>
      <c r="W295" s="97"/>
      <c r="X295" s="129"/>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c r="DF295" s="97"/>
      <c r="DG295" s="97"/>
      <c r="DH295" s="97"/>
      <c r="DI295" s="97"/>
      <c r="DJ295" s="97"/>
      <c r="DK295" s="97"/>
      <c r="DL295" s="97"/>
      <c r="DM295" s="97"/>
      <c r="DN295" s="97"/>
      <c r="DO295" s="97"/>
      <c r="DP295" s="97"/>
      <c r="DQ295" s="97"/>
      <c r="DR295" s="97"/>
      <c r="DS295" s="97"/>
      <c r="DT295" s="97"/>
      <c r="DU295" s="97"/>
      <c r="DV295" s="97"/>
      <c r="DW295" s="97"/>
      <c r="DX295" s="97"/>
      <c r="DY295" s="97"/>
      <c r="DZ295" s="97"/>
      <c r="EA295" s="97"/>
      <c r="EB295" s="97"/>
      <c r="EC295" s="97"/>
      <c r="ED295" s="97"/>
      <c r="EE295" s="97"/>
      <c r="EF295" s="97"/>
      <c r="EG295" s="97"/>
      <c r="EH295" s="97"/>
      <c r="EI295" s="97"/>
      <c r="EJ295" s="97"/>
      <c r="EK295" s="97"/>
      <c r="EL295" s="97"/>
      <c r="EM295" s="97"/>
      <c r="EN295" s="97"/>
      <c r="EO295" s="97"/>
      <c r="EP295" s="97"/>
      <c r="EQ295" s="97"/>
      <c r="ER295" s="97"/>
      <c r="ES295" s="97"/>
      <c r="ET295" s="97"/>
    </row>
    <row r="296" spans="1:150" ht="15.75" customHeight="1">
      <c r="A296" s="97"/>
      <c r="B296" s="97"/>
      <c r="C296" s="97"/>
      <c r="D296" s="97"/>
      <c r="E296" s="97"/>
      <c r="F296" s="97"/>
      <c r="G296" s="97"/>
      <c r="H296" s="129"/>
      <c r="I296" s="97"/>
      <c r="J296" s="97"/>
      <c r="K296" s="97"/>
      <c r="L296" s="97"/>
      <c r="M296" s="97"/>
      <c r="N296" s="97"/>
      <c r="O296" s="97"/>
      <c r="P296" s="97"/>
      <c r="Q296" s="97"/>
      <c r="R296" s="97"/>
      <c r="S296" s="97"/>
      <c r="T296" s="97"/>
      <c r="U296" s="97"/>
      <c r="V296" s="97"/>
      <c r="W296" s="97"/>
      <c r="X296" s="129"/>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c r="DF296" s="97"/>
      <c r="DG296" s="97"/>
      <c r="DH296" s="97"/>
      <c r="DI296" s="97"/>
      <c r="DJ296" s="97"/>
      <c r="DK296" s="97"/>
      <c r="DL296" s="97"/>
      <c r="DM296" s="97"/>
      <c r="DN296" s="97"/>
      <c r="DO296" s="97"/>
      <c r="DP296" s="97"/>
      <c r="DQ296" s="97"/>
      <c r="DR296" s="97"/>
      <c r="DS296" s="97"/>
      <c r="DT296" s="97"/>
      <c r="DU296" s="97"/>
      <c r="DV296" s="97"/>
      <c r="DW296" s="97"/>
      <c r="DX296" s="97"/>
      <c r="DY296" s="97"/>
      <c r="DZ296" s="97"/>
      <c r="EA296" s="97"/>
      <c r="EB296" s="97"/>
      <c r="EC296" s="97"/>
      <c r="ED296" s="97"/>
      <c r="EE296" s="97"/>
      <c r="EF296" s="97"/>
      <c r="EG296" s="97"/>
      <c r="EH296" s="97"/>
      <c r="EI296" s="97"/>
      <c r="EJ296" s="97"/>
      <c r="EK296" s="97"/>
      <c r="EL296" s="97"/>
      <c r="EM296" s="97"/>
      <c r="EN296" s="97"/>
      <c r="EO296" s="97"/>
      <c r="EP296" s="97"/>
      <c r="EQ296" s="97"/>
      <c r="ER296" s="97"/>
      <c r="ES296" s="97"/>
      <c r="ET296" s="97"/>
    </row>
    <row r="297" spans="1:150" ht="15.75" customHeight="1">
      <c r="A297" s="97"/>
      <c r="B297" s="97"/>
      <c r="C297" s="97"/>
      <c r="D297" s="97"/>
      <c r="E297" s="97"/>
      <c r="F297" s="97"/>
      <c r="G297" s="97"/>
      <c r="H297" s="129"/>
      <c r="I297" s="97"/>
      <c r="J297" s="97"/>
      <c r="K297" s="97"/>
      <c r="L297" s="97"/>
      <c r="M297" s="97"/>
      <c r="N297" s="97"/>
      <c r="O297" s="97"/>
      <c r="P297" s="97"/>
      <c r="Q297" s="97"/>
      <c r="R297" s="97"/>
      <c r="S297" s="97"/>
      <c r="T297" s="97"/>
      <c r="U297" s="97"/>
      <c r="V297" s="97"/>
      <c r="W297" s="97"/>
      <c r="X297" s="129"/>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c r="DF297" s="97"/>
      <c r="DG297" s="97"/>
      <c r="DH297" s="97"/>
      <c r="DI297" s="97"/>
      <c r="DJ297" s="97"/>
      <c r="DK297" s="97"/>
      <c r="DL297" s="97"/>
      <c r="DM297" s="97"/>
      <c r="DN297" s="97"/>
      <c r="DO297" s="97"/>
      <c r="DP297" s="97"/>
      <c r="DQ297" s="97"/>
      <c r="DR297" s="97"/>
      <c r="DS297" s="97"/>
      <c r="DT297" s="97"/>
      <c r="DU297" s="97"/>
      <c r="DV297" s="97"/>
      <c r="DW297" s="97"/>
      <c r="DX297" s="97"/>
      <c r="DY297" s="97"/>
      <c r="DZ297" s="97"/>
      <c r="EA297" s="97"/>
      <c r="EB297" s="97"/>
      <c r="EC297" s="97"/>
      <c r="ED297" s="97"/>
      <c r="EE297" s="97"/>
      <c r="EF297" s="97"/>
      <c r="EG297" s="97"/>
      <c r="EH297" s="97"/>
      <c r="EI297" s="97"/>
      <c r="EJ297" s="97"/>
      <c r="EK297" s="97"/>
      <c r="EL297" s="97"/>
      <c r="EM297" s="97"/>
      <c r="EN297" s="97"/>
      <c r="EO297" s="97"/>
      <c r="EP297" s="97"/>
      <c r="EQ297" s="97"/>
      <c r="ER297" s="97"/>
      <c r="ES297" s="97"/>
      <c r="ET297" s="97"/>
    </row>
    <row r="298" spans="1:150" ht="15.75" customHeight="1">
      <c r="A298" s="97"/>
      <c r="B298" s="97"/>
      <c r="C298" s="97"/>
      <c r="D298" s="97"/>
      <c r="E298" s="97"/>
      <c r="F298" s="97"/>
      <c r="G298" s="97"/>
      <c r="H298" s="129"/>
      <c r="I298" s="97"/>
      <c r="J298" s="97"/>
      <c r="K298" s="97"/>
      <c r="L298" s="97"/>
      <c r="M298" s="97"/>
      <c r="N298" s="97"/>
      <c r="O298" s="97"/>
      <c r="P298" s="97"/>
      <c r="Q298" s="97"/>
      <c r="R298" s="97"/>
      <c r="S298" s="97"/>
      <c r="T298" s="97"/>
      <c r="U298" s="97"/>
      <c r="V298" s="97"/>
      <c r="W298" s="97"/>
      <c r="X298" s="129"/>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c r="DF298" s="97"/>
      <c r="DG298" s="97"/>
      <c r="DH298" s="97"/>
      <c r="DI298" s="97"/>
      <c r="DJ298" s="97"/>
      <c r="DK298" s="97"/>
      <c r="DL298" s="97"/>
      <c r="DM298" s="97"/>
      <c r="DN298" s="97"/>
      <c r="DO298" s="97"/>
      <c r="DP298" s="97"/>
      <c r="DQ298" s="97"/>
      <c r="DR298" s="97"/>
      <c r="DS298" s="97"/>
      <c r="DT298" s="97"/>
      <c r="DU298" s="97"/>
      <c r="DV298" s="97"/>
      <c r="DW298" s="97"/>
      <c r="DX298" s="97"/>
      <c r="DY298" s="97"/>
      <c r="DZ298" s="97"/>
      <c r="EA298" s="97"/>
      <c r="EB298" s="97"/>
      <c r="EC298" s="97"/>
      <c r="ED298" s="97"/>
      <c r="EE298" s="97"/>
      <c r="EF298" s="97"/>
      <c r="EG298" s="97"/>
      <c r="EH298" s="97"/>
      <c r="EI298" s="97"/>
      <c r="EJ298" s="97"/>
      <c r="EK298" s="97"/>
      <c r="EL298" s="97"/>
      <c r="EM298" s="97"/>
      <c r="EN298" s="97"/>
      <c r="EO298" s="97"/>
      <c r="EP298" s="97"/>
      <c r="EQ298" s="97"/>
      <c r="ER298" s="97"/>
      <c r="ES298" s="97"/>
      <c r="ET298" s="97"/>
    </row>
    <row r="299" spans="1:150" ht="15.75" customHeight="1">
      <c r="A299" s="97"/>
      <c r="B299" s="97"/>
      <c r="C299" s="97"/>
      <c r="D299" s="97"/>
      <c r="E299" s="97"/>
      <c r="F299" s="97"/>
      <c r="G299" s="97"/>
      <c r="H299" s="129"/>
      <c r="I299" s="97"/>
      <c r="J299" s="97"/>
      <c r="K299" s="97"/>
      <c r="L299" s="97"/>
      <c r="M299" s="97"/>
      <c r="N299" s="97"/>
      <c r="O299" s="97"/>
      <c r="P299" s="97"/>
      <c r="Q299" s="97"/>
      <c r="R299" s="97"/>
      <c r="S299" s="97"/>
      <c r="T299" s="97"/>
      <c r="U299" s="97"/>
      <c r="V299" s="97"/>
      <c r="W299" s="97"/>
      <c r="X299" s="129"/>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c r="DF299" s="97"/>
      <c r="DG299" s="97"/>
      <c r="DH299" s="97"/>
      <c r="DI299" s="97"/>
      <c r="DJ299" s="97"/>
      <c r="DK299" s="97"/>
      <c r="DL299" s="97"/>
      <c r="DM299" s="97"/>
      <c r="DN299" s="97"/>
      <c r="DO299" s="97"/>
      <c r="DP299" s="97"/>
      <c r="DQ299" s="97"/>
      <c r="DR299" s="97"/>
      <c r="DS299" s="97"/>
      <c r="DT299" s="97"/>
      <c r="DU299" s="97"/>
      <c r="DV299" s="97"/>
      <c r="DW299" s="97"/>
      <c r="DX299" s="97"/>
      <c r="DY299" s="97"/>
      <c r="DZ299" s="97"/>
      <c r="EA299" s="97"/>
      <c r="EB299" s="97"/>
      <c r="EC299" s="97"/>
      <c r="ED299" s="97"/>
      <c r="EE299" s="97"/>
      <c r="EF299" s="97"/>
      <c r="EG299" s="97"/>
      <c r="EH299" s="97"/>
      <c r="EI299" s="97"/>
      <c r="EJ299" s="97"/>
      <c r="EK299" s="97"/>
      <c r="EL299" s="97"/>
      <c r="EM299" s="97"/>
      <c r="EN299" s="97"/>
      <c r="EO299" s="97"/>
      <c r="EP299" s="97"/>
      <c r="EQ299" s="97"/>
      <c r="ER299" s="97"/>
      <c r="ES299" s="97"/>
      <c r="ET299" s="97"/>
    </row>
    <row r="300" spans="1:150" ht="15.75" customHeight="1">
      <c r="A300" s="97"/>
      <c r="B300" s="97"/>
      <c r="C300" s="97"/>
      <c r="D300" s="97"/>
      <c r="E300" s="97"/>
      <c r="F300" s="97"/>
      <c r="G300" s="97"/>
      <c r="H300" s="129"/>
      <c r="I300" s="97"/>
      <c r="J300" s="97"/>
      <c r="K300" s="97"/>
      <c r="L300" s="97"/>
      <c r="M300" s="97"/>
      <c r="N300" s="97"/>
      <c r="O300" s="97"/>
      <c r="P300" s="97"/>
      <c r="Q300" s="97"/>
      <c r="R300" s="97"/>
      <c r="S300" s="97"/>
      <c r="T300" s="97"/>
      <c r="U300" s="97"/>
      <c r="V300" s="97"/>
      <c r="W300" s="97"/>
      <c r="X300" s="129"/>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c r="DF300" s="97"/>
      <c r="DG300" s="97"/>
      <c r="DH300" s="97"/>
      <c r="DI300" s="97"/>
      <c r="DJ300" s="97"/>
      <c r="DK300" s="97"/>
      <c r="DL300" s="97"/>
      <c r="DM300" s="97"/>
      <c r="DN300" s="97"/>
      <c r="DO300" s="97"/>
      <c r="DP300" s="97"/>
      <c r="DQ300" s="97"/>
      <c r="DR300" s="97"/>
      <c r="DS300" s="97"/>
      <c r="DT300" s="97"/>
      <c r="DU300" s="97"/>
      <c r="DV300" s="97"/>
      <c r="DW300" s="97"/>
      <c r="DX300" s="97"/>
      <c r="DY300" s="97"/>
      <c r="DZ300" s="97"/>
      <c r="EA300" s="97"/>
      <c r="EB300" s="97"/>
      <c r="EC300" s="97"/>
      <c r="ED300" s="97"/>
      <c r="EE300" s="97"/>
      <c r="EF300" s="97"/>
      <c r="EG300" s="97"/>
      <c r="EH300" s="97"/>
      <c r="EI300" s="97"/>
      <c r="EJ300" s="97"/>
      <c r="EK300" s="97"/>
      <c r="EL300" s="97"/>
      <c r="EM300" s="97"/>
      <c r="EN300" s="97"/>
      <c r="EO300" s="97"/>
      <c r="EP300" s="97"/>
      <c r="EQ300" s="97"/>
      <c r="ER300" s="97"/>
      <c r="ES300" s="97"/>
      <c r="ET300" s="97"/>
    </row>
    <row r="301" spans="1:150" ht="15.75" customHeight="1">
      <c r="A301" s="97"/>
      <c r="B301" s="97"/>
      <c r="C301" s="97"/>
      <c r="D301" s="97"/>
      <c r="E301" s="97"/>
      <c r="F301" s="97"/>
      <c r="G301" s="97"/>
      <c r="H301" s="129"/>
      <c r="I301" s="97"/>
      <c r="J301" s="97"/>
      <c r="K301" s="97"/>
      <c r="L301" s="97"/>
      <c r="M301" s="97"/>
      <c r="N301" s="97"/>
      <c r="O301" s="97"/>
      <c r="P301" s="97"/>
      <c r="Q301" s="97"/>
      <c r="R301" s="97"/>
      <c r="S301" s="97"/>
      <c r="T301" s="97"/>
      <c r="U301" s="97"/>
      <c r="V301" s="97"/>
      <c r="W301" s="97"/>
      <c r="X301" s="129"/>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c r="DF301" s="97"/>
      <c r="DG301" s="97"/>
      <c r="DH301" s="97"/>
      <c r="DI301" s="97"/>
      <c r="DJ301" s="97"/>
      <c r="DK301" s="97"/>
      <c r="DL301" s="97"/>
      <c r="DM301" s="97"/>
      <c r="DN301" s="97"/>
      <c r="DO301" s="97"/>
      <c r="DP301" s="97"/>
      <c r="DQ301" s="97"/>
      <c r="DR301" s="97"/>
      <c r="DS301" s="97"/>
      <c r="DT301" s="97"/>
      <c r="DU301" s="97"/>
      <c r="DV301" s="97"/>
      <c r="DW301" s="97"/>
      <c r="DX301" s="97"/>
      <c r="DY301" s="97"/>
      <c r="DZ301" s="97"/>
      <c r="EA301" s="97"/>
      <c r="EB301" s="97"/>
      <c r="EC301" s="97"/>
      <c r="ED301" s="97"/>
      <c r="EE301" s="97"/>
      <c r="EF301" s="97"/>
      <c r="EG301" s="97"/>
      <c r="EH301" s="97"/>
      <c r="EI301" s="97"/>
      <c r="EJ301" s="97"/>
      <c r="EK301" s="97"/>
      <c r="EL301" s="97"/>
      <c r="EM301" s="97"/>
      <c r="EN301" s="97"/>
      <c r="EO301" s="97"/>
      <c r="EP301" s="97"/>
      <c r="EQ301" s="97"/>
      <c r="ER301" s="97"/>
      <c r="ES301" s="97"/>
      <c r="ET301" s="97"/>
    </row>
    <row r="302" spans="1:150" ht="15.75" customHeight="1">
      <c r="A302" s="97"/>
      <c r="B302" s="97"/>
      <c r="C302" s="97"/>
      <c r="D302" s="97"/>
      <c r="E302" s="97"/>
      <c r="F302" s="97"/>
      <c r="G302" s="97"/>
      <c r="H302" s="129"/>
      <c r="I302" s="97"/>
      <c r="J302" s="97"/>
      <c r="K302" s="97"/>
      <c r="L302" s="97"/>
      <c r="M302" s="97"/>
      <c r="N302" s="97"/>
      <c r="O302" s="97"/>
      <c r="P302" s="97"/>
      <c r="Q302" s="97"/>
      <c r="R302" s="97"/>
      <c r="S302" s="97"/>
      <c r="T302" s="97"/>
      <c r="U302" s="97"/>
      <c r="V302" s="97"/>
      <c r="W302" s="97"/>
      <c r="X302" s="129"/>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c r="DF302" s="97"/>
      <c r="DG302" s="97"/>
      <c r="DH302" s="97"/>
      <c r="DI302" s="97"/>
      <c r="DJ302" s="97"/>
      <c r="DK302" s="97"/>
      <c r="DL302" s="97"/>
      <c r="DM302" s="97"/>
      <c r="DN302" s="97"/>
      <c r="DO302" s="97"/>
      <c r="DP302" s="97"/>
      <c r="DQ302" s="97"/>
      <c r="DR302" s="97"/>
      <c r="DS302" s="97"/>
      <c r="DT302" s="97"/>
      <c r="DU302" s="97"/>
      <c r="DV302" s="97"/>
      <c r="DW302" s="97"/>
      <c r="DX302" s="97"/>
      <c r="DY302" s="97"/>
      <c r="DZ302" s="97"/>
      <c r="EA302" s="97"/>
      <c r="EB302" s="97"/>
      <c r="EC302" s="97"/>
      <c r="ED302" s="97"/>
      <c r="EE302" s="97"/>
      <c r="EF302" s="97"/>
      <c r="EG302" s="97"/>
      <c r="EH302" s="97"/>
      <c r="EI302" s="97"/>
      <c r="EJ302" s="97"/>
      <c r="EK302" s="97"/>
      <c r="EL302" s="97"/>
      <c r="EM302" s="97"/>
      <c r="EN302" s="97"/>
      <c r="EO302" s="97"/>
      <c r="EP302" s="97"/>
      <c r="EQ302" s="97"/>
      <c r="ER302" s="97"/>
      <c r="ES302" s="97"/>
      <c r="ET302" s="97"/>
    </row>
    <row r="303" spans="1:150" ht="15.75" customHeight="1">
      <c r="A303" s="97"/>
      <c r="B303" s="97"/>
      <c r="C303" s="97"/>
      <c r="D303" s="97"/>
      <c r="E303" s="97"/>
      <c r="F303" s="97"/>
      <c r="G303" s="97"/>
      <c r="H303" s="129"/>
      <c r="I303" s="97"/>
      <c r="J303" s="97"/>
      <c r="K303" s="97"/>
      <c r="L303" s="97"/>
      <c r="M303" s="97"/>
      <c r="N303" s="97"/>
      <c r="O303" s="97"/>
      <c r="P303" s="97"/>
      <c r="Q303" s="97"/>
      <c r="R303" s="97"/>
      <c r="S303" s="97"/>
      <c r="T303" s="97"/>
      <c r="U303" s="97"/>
      <c r="V303" s="97"/>
      <c r="W303" s="97"/>
      <c r="X303" s="129"/>
      <c r="Y303" s="97"/>
      <c r="Z303" s="97"/>
      <c r="AA303" s="97"/>
      <c r="AB303" s="97"/>
      <c r="AC303" s="97"/>
      <c r="AD303" s="97"/>
      <c r="AE303" s="97"/>
      <c r="AF303" s="97"/>
      <c r="AG303" s="97"/>
      <c r="AH303" s="97"/>
      <c r="AI303" s="97"/>
      <c r="AJ303" s="97"/>
      <c r="AK303" s="97"/>
      <c r="AL303" s="97"/>
      <c r="AM303" s="97"/>
      <c r="AN303" s="97"/>
      <c r="AO303" s="97"/>
      <c r="AP303" s="97"/>
      <c r="AQ303" s="97"/>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c r="DF303" s="97"/>
      <c r="DG303" s="97"/>
      <c r="DH303" s="97"/>
      <c r="DI303" s="97"/>
      <c r="DJ303" s="97"/>
      <c r="DK303" s="97"/>
      <c r="DL303" s="97"/>
      <c r="DM303" s="97"/>
      <c r="DN303" s="97"/>
      <c r="DO303" s="97"/>
      <c r="DP303" s="97"/>
      <c r="DQ303" s="97"/>
      <c r="DR303" s="97"/>
      <c r="DS303" s="97"/>
      <c r="DT303" s="97"/>
      <c r="DU303" s="97"/>
      <c r="DV303" s="97"/>
      <c r="DW303" s="97"/>
      <c r="DX303" s="97"/>
      <c r="DY303" s="97"/>
      <c r="DZ303" s="97"/>
      <c r="EA303" s="97"/>
      <c r="EB303" s="97"/>
      <c r="EC303" s="97"/>
      <c r="ED303" s="97"/>
      <c r="EE303" s="97"/>
      <c r="EF303" s="97"/>
      <c r="EG303" s="97"/>
      <c r="EH303" s="97"/>
      <c r="EI303" s="97"/>
      <c r="EJ303" s="97"/>
      <c r="EK303" s="97"/>
      <c r="EL303" s="97"/>
      <c r="EM303" s="97"/>
      <c r="EN303" s="97"/>
      <c r="EO303" s="97"/>
      <c r="EP303" s="97"/>
      <c r="EQ303" s="97"/>
      <c r="ER303" s="97"/>
      <c r="ES303" s="97"/>
      <c r="ET303" s="97"/>
    </row>
    <row r="304" spans="1:150" ht="15.75" customHeight="1">
      <c r="A304" s="97"/>
      <c r="B304" s="97"/>
      <c r="C304" s="97"/>
      <c r="D304" s="97"/>
      <c r="E304" s="97"/>
      <c r="F304" s="97"/>
      <c r="G304" s="97"/>
      <c r="H304" s="129"/>
      <c r="I304" s="97"/>
      <c r="J304" s="97"/>
      <c r="K304" s="97"/>
      <c r="L304" s="97"/>
      <c r="M304" s="97"/>
      <c r="N304" s="97"/>
      <c r="O304" s="97"/>
      <c r="P304" s="97"/>
      <c r="Q304" s="97"/>
      <c r="R304" s="97"/>
      <c r="S304" s="97"/>
      <c r="T304" s="97"/>
      <c r="U304" s="97"/>
      <c r="V304" s="97"/>
      <c r="W304" s="97"/>
      <c r="X304" s="129"/>
      <c r="Y304" s="97"/>
      <c r="Z304" s="97"/>
      <c r="AA304" s="97"/>
      <c r="AB304" s="97"/>
      <c r="AC304" s="97"/>
      <c r="AD304" s="97"/>
      <c r="AE304" s="97"/>
      <c r="AF304" s="97"/>
      <c r="AG304" s="97"/>
      <c r="AH304" s="97"/>
      <c r="AI304" s="97"/>
      <c r="AJ304" s="97"/>
      <c r="AK304" s="97"/>
      <c r="AL304" s="97"/>
      <c r="AM304" s="97"/>
      <c r="AN304" s="97"/>
      <c r="AO304" s="97"/>
      <c r="AP304" s="97"/>
      <c r="AQ304" s="97"/>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c r="DF304" s="97"/>
      <c r="DG304" s="97"/>
      <c r="DH304" s="97"/>
      <c r="DI304" s="97"/>
      <c r="DJ304" s="97"/>
      <c r="DK304" s="97"/>
      <c r="DL304" s="97"/>
      <c r="DM304" s="97"/>
      <c r="DN304" s="97"/>
      <c r="DO304" s="97"/>
      <c r="DP304" s="97"/>
      <c r="DQ304" s="97"/>
      <c r="DR304" s="97"/>
      <c r="DS304" s="97"/>
      <c r="DT304" s="97"/>
      <c r="DU304" s="97"/>
      <c r="DV304" s="97"/>
      <c r="DW304" s="97"/>
      <c r="DX304" s="97"/>
      <c r="DY304" s="97"/>
      <c r="DZ304" s="97"/>
      <c r="EA304" s="97"/>
      <c r="EB304" s="97"/>
      <c r="EC304" s="97"/>
      <c r="ED304" s="97"/>
      <c r="EE304" s="97"/>
      <c r="EF304" s="97"/>
      <c r="EG304" s="97"/>
      <c r="EH304" s="97"/>
      <c r="EI304" s="97"/>
      <c r="EJ304" s="97"/>
      <c r="EK304" s="97"/>
      <c r="EL304" s="97"/>
      <c r="EM304" s="97"/>
      <c r="EN304" s="97"/>
      <c r="EO304" s="97"/>
      <c r="EP304" s="97"/>
      <c r="EQ304" s="97"/>
      <c r="ER304" s="97"/>
      <c r="ES304" s="97"/>
      <c r="ET304" s="97"/>
    </row>
    <row r="305" spans="1:150" ht="15.75" customHeight="1">
      <c r="A305" s="97"/>
      <c r="B305" s="97"/>
      <c r="C305" s="97"/>
      <c r="D305" s="97"/>
      <c r="E305" s="97"/>
      <c r="F305" s="97"/>
      <c r="G305" s="97"/>
      <c r="H305" s="129"/>
      <c r="I305" s="97"/>
      <c r="J305" s="97"/>
      <c r="K305" s="97"/>
      <c r="L305" s="97"/>
      <c r="M305" s="97"/>
      <c r="N305" s="97"/>
      <c r="O305" s="97"/>
      <c r="P305" s="97"/>
      <c r="Q305" s="97"/>
      <c r="R305" s="97"/>
      <c r="S305" s="97"/>
      <c r="T305" s="97"/>
      <c r="U305" s="97"/>
      <c r="V305" s="97"/>
      <c r="W305" s="97"/>
      <c r="X305" s="129"/>
      <c r="Y305" s="97"/>
      <c r="Z305" s="97"/>
      <c r="AA305" s="97"/>
      <c r="AB305" s="97"/>
      <c r="AC305" s="97"/>
      <c r="AD305" s="97"/>
      <c r="AE305" s="97"/>
      <c r="AF305" s="97"/>
      <c r="AG305" s="97"/>
      <c r="AH305" s="97"/>
      <c r="AI305" s="97"/>
      <c r="AJ305" s="97"/>
      <c r="AK305" s="97"/>
      <c r="AL305" s="97"/>
      <c r="AM305" s="97"/>
      <c r="AN305" s="97"/>
      <c r="AO305" s="97"/>
      <c r="AP305" s="97"/>
      <c r="AQ305" s="97"/>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c r="DF305" s="97"/>
      <c r="DG305" s="97"/>
      <c r="DH305" s="97"/>
      <c r="DI305" s="97"/>
      <c r="DJ305" s="97"/>
      <c r="DK305" s="97"/>
      <c r="DL305" s="97"/>
      <c r="DM305" s="97"/>
      <c r="DN305" s="97"/>
      <c r="DO305" s="97"/>
      <c r="DP305" s="97"/>
      <c r="DQ305" s="97"/>
      <c r="DR305" s="97"/>
      <c r="DS305" s="97"/>
      <c r="DT305" s="97"/>
      <c r="DU305" s="97"/>
      <c r="DV305" s="97"/>
      <c r="DW305" s="97"/>
      <c r="DX305" s="97"/>
      <c r="DY305" s="97"/>
      <c r="DZ305" s="97"/>
      <c r="EA305" s="97"/>
      <c r="EB305" s="97"/>
      <c r="EC305" s="97"/>
      <c r="ED305" s="97"/>
      <c r="EE305" s="97"/>
      <c r="EF305" s="97"/>
      <c r="EG305" s="97"/>
      <c r="EH305" s="97"/>
      <c r="EI305" s="97"/>
      <c r="EJ305" s="97"/>
      <c r="EK305" s="97"/>
      <c r="EL305" s="97"/>
      <c r="EM305" s="97"/>
      <c r="EN305" s="97"/>
      <c r="EO305" s="97"/>
      <c r="EP305" s="97"/>
      <c r="EQ305" s="97"/>
      <c r="ER305" s="97"/>
      <c r="ES305" s="97"/>
      <c r="ET305" s="97"/>
    </row>
    <row r="306" spans="1:150" ht="15.75" customHeight="1">
      <c r="A306" s="97"/>
      <c r="B306" s="97"/>
      <c r="C306" s="97"/>
      <c r="D306" s="97"/>
      <c r="E306" s="97"/>
      <c r="F306" s="97"/>
      <c r="G306" s="97"/>
      <c r="H306" s="129"/>
      <c r="I306" s="97"/>
      <c r="J306" s="97"/>
      <c r="K306" s="97"/>
      <c r="L306" s="97"/>
      <c r="M306" s="97"/>
      <c r="N306" s="97"/>
      <c r="O306" s="97"/>
      <c r="P306" s="97"/>
      <c r="Q306" s="97"/>
      <c r="R306" s="97"/>
      <c r="S306" s="97"/>
      <c r="T306" s="97"/>
      <c r="U306" s="97"/>
      <c r="V306" s="97"/>
      <c r="W306" s="97"/>
      <c r="X306" s="129"/>
      <c r="Y306" s="97"/>
      <c r="Z306" s="97"/>
      <c r="AA306" s="97"/>
      <c r="AB306" s="97"/>
      <c r="AC306" s="97"/>
      <c r="AD306" s="97"/>
      <c r="AE306" s="97"/>
      <c r="AF306" s="97"/>
      <c r="AG306" s="97"/>
      <c r="AH306" s="97"/>
      <c r="AI306" s="97"/>
      <c r="AJ306" s="97"/>
      <c r="AK306" s="97"/>
      <c r="AL306" s="97"/>
      <c r="AM306" s="97"/>
      <c r="AN306" s="97"/>
      <c r="AO306" s="97"/>
      <c r="AP306" s="97"/>
      <c r="AQ306" s="97"/>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c r="DF306" s="97"/>
      <c r="DG306" s="97"/>
      <c r="DH306" s="97"/>
      <c r="DI306" s="97"/>
      <c r="DJ306" s="97"/>
      <c r="DK306" s="97"/>
      <c r="DL306" s="97"/>
      <c r="DM306" s="97"/>
      <c r="DN306" s="97"/>
      <c r="DO306" s="97"/>
      <c r="DP306" s="97"/>
      <c r="DQ306" s="97"/>
      <c r="DR306" s="97"/>
      <c r="DS306" s="97"/>
      <c r="DT306" s="97"/>
      <c r="DU306" s="97"/>
      <c r="DV306" s="97"/>
      <c r="DW306" s="97"/>
      <c r="DX306" s="97"/>
      <c r="DY306" s="97"/>
      <c r="DZ306" s="97"/>
      <c r="EA306" s="97"/>
      <c r="EB306" s="97"/>
      <c r="EC306" s="97"/>
      <c r="ED306" s="97"/>
      <c r="EE306" s="97"/>
      <c r="EF306" s="97"/>
      <c r="EG306" s="97"/>
      <c r="EH306" s="97"/>
      <c r="EI306" s="97"/>
      <c r="EJ306" s="97"/>
      <c r="EK306" s="97"/>
      <c r="EL306" s="97"/>
      <c r="EM306" s="97"/>
      <c r="EN306" s="97"/>
      <c r="EO306" s="97"/>
      <c r="EP306" s="97"/>
      <c r="EQ306" s="97"/>
      <c r="ER306" s="97"/>
      <c r="ES306" s="97"/>
      <c r="ET306" s="97"/>
    </row>
    <row r="307" spans="1:150" ht="15.75" customHeight="1">
      <c r="A307" s="97"/>
      <c r="B307" s="97"/>
      <c r="C307" s="97"/>
      <c r="D307" s="97"/>
      <c r="E307" s="97"/>
      <c r="F307" s="97"/>
      <c r="G307" s="97"/>
      <c r="H307" s="129"/>
      <c r="I307" s="97"/>
      <c r="J307" s="97"/>
      <c r="K307" s="97"/>
      <c r="L307" s="97"/>
      <c r="M307" s="97"/>
      <c r="N307" s="97"/>
      <c r="O307" s="97"/>
      <c r="P307" s="97"/>
      <c r="Q307" s="97"/>
      <c r="R307" s="97"/>
      <c r="S307" s="97"/>
      <c r="T307" s="97"/>
      <c r="U307" s="97"/>
      <c r="V307" s="97"/>
      <c r="W307" s="97"/>
      <c r="X307" s="129"/>
      <c r="Y307" s="97"/>
      <c r="Z307" s="97"/>
      <c r="AA307" s="97"/>
      <c r="AB307" s="97"/>
      <c r="AC307" s="97"/>
      <c r="AD307" s="97"/>
      <c r="AE307" s="97"/>
      <c r="AF307" s="97"/>
      <c r="AG307" s="97"/>
      <c r="AH307" s="97"/>
      <c r="AI307" s="97"/>
      <c r="AJ307" s="97"/>
      <c r="AK307" s="97"/>
      <c r="AL307" s="97"/>
      <c r="AM307" s="97"/>
      <c r="AN307" s="97"/>
      <c r="AO307" s="97"/>
      <c r="AP307" s="97"/>
      <c r="AQ307" s="97"/>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c r="DF307" s="97"/>
      <c r="DG307" s="97"/>
      <c r="DH307" s="97"/>
      <c r="DI307" s="97"/>
      <c r="DJ307" s="97"/>
      <c r="DK307" s="97"/>
      <c r="DL307" s="97"/>
      <c r="DM307" s="97"/>
      <c r="DN307" s="97"/>
      <c r="DO307" s="97"/>
      <c r="DP307" s="97"/>
      <c r="DQ307" s="97"/>
      <c r="DR307" s="97"/>
      <c r="DS307" s="97"/>
      <c r="DT307" s="97"/>
      <c r="DU307" s="97"/>
      <c r="DV307" s="97"/>
      <c r="DW307" s="97"/>
      <c r="DX307" s="97"/>
      <c r="DY307" s="97"/>
      <c r="DZ307" s="97"/>
      <c r="EA307" s="97"/>
      <c r="EB307" s="97"/>
      <c r="EC307" s="97"/>
      <c r="ED307" s="97"/>
      <c r="EE307" s="97"/>
      <c r="EF307" s="97"/>
      <c r="EG307" s="97"/>
      <c r="EH307" s="97"/>
      <c r="EI307" s="97"/>
      <c r="EJ307" s="97"/>
      <c r="EK307" s="97"/>
      <c r="EL307" s="97"/>
      <c r="EM307" s="97"/>
      <c r="EN307" s="97"/>
      <c r="EO307" s="97"/>
      <c r="EP307" s="97"/>
      <c r="EQ307" s="97"/>
      <c r="ER307" s="97"/>
      <c r="ES307" s="97"/>
      <c r="ET307" s="97"/>
    </row>
    <row r="308" spans="1:150" ht="15.75" customHeight="1">
      <c r="A308" s="97"/>
      <c r="B308" s="97"/>
      <c r="C308" s="97"/>
      <c r="D308" s="97"/>
      <c r="E308" s="97"/>
      <c r="F308" s="97"/>
      <c r="G308" s="97"/>
      <c r="H308" s="129"/>
      <c r="I308" s="97"/>
      <c r="J308" s="97"/>
      <c r="K308" s="97"/>
      <c r="L308" s="97"/>
      <c r="M308" s="97"/>
      <c r="N308" s="97"/>
      <c r="O308" s="97"/>
      <c r="P308" s="97"/>
      <c r="Q308" s="97"/>
      <c r="R308" s="97"/>
      <c r="S308" s="97"/>
      <c r="T308" s="97"/>
      <c r="U308" s="97"/>
      <c r="V308" s="97"/>
      <c r="W308" s="97"/>
      <c r="X308" s="129"/>
      <c r="Y308" s="97"/>
      <c r="Z308" s="97"/>
      <c r="AA308" s="97"/>
      <c r="AB308" s="97"/>
      <c r="AC308" s="97"/>
      <c r="AD308" s="97"/>
      <c r="AE308" s="97"/>
      <c r="AF308" s="97"/>
      <c r="AG308" s="97"/>
      <c r="AH308" s="97"/>
      <c r="AI308" s="97"/>
      <c r="AJ308" s="97"/>
      <c r="AK308" s="97"/>
      <c r="AL308" s="97"/>
      <c r="AM308" s="97"/>
      <c r="AN308" s="97"/>
      <c r="AO308" s="97"/>
      <c r="AP308" s="97"/>
      <c r="AQ308" s="97"/>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c r="DF308" s="97"/>
      <c r="DG308" s="97"/>
      <c r="DH308" s="97"/>
      <c r="DI308" s="97"/>
      <c r="DJ308" s="97"/>
      <c r="DK308" s="97"/>
      <c r="DL308" s="97"/>
      <c r="DM308" s="97"/>
      <c r="DN308" s="97"/>
      <c r="DO308" s="97"/>
      <c r="DP308" s="97"/>
      <c r="DQ308" s="97"/>
      <c r="DR308" s="97"/>
      <c r="DS308" s="97"/>
      <c r="DT308" s="97"/>
      <c r="DU308" s="97"/>
      <c r="DV308" s="97"/>
      <c r="DW308" s="97"/>
      <c r="DX308" s="97"/>
      <c r="DY308" s="97"/>
      <c r="DZ308" s="97"/>
      <c r="EA308" s="97"/>
      <c r="EB308" s="97"/>
      <c r="EC308" s="97"/>
      <c r="ED308" s="97"/>
      <c r="EE308" s="97"/>
      <c r="EF308" s="97"/>
      <c r="EG308" s="97"/>
      <c r="EH308" s="97"/>
      <c r="EI308" s="97"/>
      <c r="EJ308" s="97"/>
      <c r="EK308" s="97"/>
      <c r="EL308" s="97"/>
      <c r="EM308" s="97"/>
      <c r="EN308" s="97"/>
      <c r="EO308" s="97"/>
      <c r="EP308" s="97"/>
      <c r="EQ308" s="97"/>
      <c r="ER308" s="97"/>
      <c r="ES308" s="97"/>
      <c r="ET308" s="97"/>
    </row>
    <row r="309" spans="1:150" ht="15.75" customHeight="1">
      <c r="A309" s="97"/>
      <c r="B309" s="97"/>
      <c r="C309" s="97"/>
      <c r="D309" s="97"/>
      <c r="E309" s="97"/>
      <c r="F309" s="97"/>
      <c r="G309" s="97"/>
      <c r="H309" s="129"/>
      <c r="I309" s="97"/>
      <c r="J309" s="97"/>
      <c r="K309" s="97"/>
      <c r="L309" s="97"/>
      <c r="M309" s="97"/>
      <c r="N309" s="97"/>
      <c r="O309" s="97"/>
      <c r="P309" s="97"/>
      <c r="Q309" s="97"/>
      <c r="R309" s="97"/>
      <c r="S309" s="97"/>
      <c r="T309" s="97"/>
      <c r="U309" s="97"/>
      <c r="V309" s="97"/>
      <c r="W309" s="97"/>
      <c r="X309" s="129"/>
      <c r="Y309" s="97"/>
      <c r="Z309" s="97"/>
      <c r="AA309" s="97"/>
      <c r="AB309" s="97"/>
      <c r="AC309" s="97"/>
      <c r="AD309" s="97"/>
      <c r="AE309" s="97"/>
      <c r="AF309" s="97"/>
      <c r="AG309" s="97"/>
      <c r="AH309" s="97"/>
      <c r="AI309" s="97"/>
      <c r="AJ309" s="97"/>
      <c r="AK309" s="97"/>
      <c r="AL309" s="97"/>
      <c r="AM309" s="97"/>
      <c r="AN309" s="97"/>
      <c r="AO309" s="97"/>
      <c r="AP309" s="97"/>
      <c r="AQ309" s="97"/>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c r="DF309" s="97"/>
      <c r="DG309" s="97"/>
      <c r="DH309" s="97"/>
      <c r="DI309" s="97"/>
      <c r="DJ309" s="97"/>
      <c r="DK309" s="97"/>
      <c r="DL309" s="97"/>
      <c r="DM309" s="97"/>
      <c r="DN309" s="97"/>
      <c r="DO309" s="97"/>
      <c r="DP309" s="97"/>
      <c r="DQ309" s="97"/>
      <c r="DR309" s="97"/>
      <c r="DS309" s="97"/>
      <c r="DT309" s="97"/>
      <c r="DU309" s="97"/>
      <c r="DV309" s="97"/>
      <c r="DW309" s="97"/>
      <c r="DX309" s="97"/>
      <c r="DY309" s="97"/>
      <c r="DZ309" s="97"/>
      <c r="EA309" s="97"/>
      <c r="EB309" s="97"/>
      <c r="EC309" s="97"/>
      <c r="ED309" s="97"/>
      <c r="EE309" s="97"/>
      <c r="EF309" s="97"/>
      <c r="EG309" s="97"/>
      <c r="EH309" s="97"/>
      <c r="EI309" s="97"/>
      <c r="EJ309" s="97"/>
      <c r="EK309" s="97"/>
      <c r="EL309" s="97"/>
      <c r="EM309" s="97"/>
      <c r="EN309" s="97"/>
      <c r="EO309" s="97"/>
      <c r="EP309" s="97"/>
      <c r="EQ309" s="97"/>
      <c r="ER309" s="97"/>
      <c r="ES309" s="97"/>
      <c r="ET309" s="97"/>
    </row>
    <row r="310" spans="1:150" ht="15.75" customHeight="1">
      <c r="A310" s="97"/>
      <c r="B310" s="97"/>
      <c r="C310" s="97"/>
      <c r="D310" s="97"/>
      <c r="E310" s="97"/>
      <c r="F310" s="97"/>
      <c r="G310" s="97"/>
      <c r="H310" s="129"/>
      <c r="I310" s="97"/>
      <c r="J310" s="97"/>
      <c r="K310" s="97"/>
      <c r="L310" s="97"/>
      <c r="M310" s="97"/>
      <c r="N310" s="97"/>
      <c r="O310" s="97"/>
      <c r="P310" s="97"/>
      <c r="Q310" s="97"/>
      <c r="R310" s="97"/>
      <c r="S310" s="97"/>
      <c r="T310" s="97"/>
      <c r="U310" s="97"/>
      <c r="V310" s="97"/>
      <c r="W310" s="97"/>
      <c r="X310" s="129"/>
      <c r="Y310" s="97"/>
      <c r="Z310" s="97"/>
      <c r="AA310" s="97"/>
      <c r="AB310" s="97"/>
      <c r="AC310" s="97"/>
      <c r="AD310" s="97"/>
      <c r="AE310" s="97"/>
      <c r="AF310" s="97"/>
      <c r="AG310" s="97"/>
      <c r="AH310" s="97"/>
      <c r="AI310" s="97"/>
      <c r="AJ310" s="97"/>
      <c r="AK310" s="97"/>
      <c r="AL310" s="97"/>
      <c r="AM310" s="97"/>
      <c r="AN310" s="97"/>
      <c r="AO310" s="97"/>
      <c r="AP310" s="97"/>
      <c r="AQ310" s="97"/>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c r="DF310" s="97"/>
      <c r="DG310" s="97"/>
      <c r="DH310" s="97"/>
      <c r="DI310" s="97"/>
      <c r="DJ310" s="97"/>
      <c r="DK310" s="97"/>
      <c r="DL310" s="97"/>
      <c r="DM310" s="97"/>
      <c r="DN310" s="97"/>
      <c r="DO310" s="97"/>
      <c r="DP310" s="97"/>
      <c r="DQ310" s="97"/>
      <c r="DR310" s="97"/>
      <c r="DS310" s="97"/>
      <c r="DT310" s="97"/>
      <c r="DU310" s="97"/>
      <c r="DV310" s="97"/>
      <c r="DW310" s="97"/>
      <c r="DX310" s="97"/>
      <c r="DY310" s="97"/>
      <c r="DZ310" s="97"/>
      <c r="EA310" s="97"/>
      <c r="EB310" s="97"/>
      <c r="EC310" s="97"/>
      <c r="ED310" s="97"/>
      <c r="EE310" s="97"/>
      <c r="EF310" s="97"/>
      <c r="EG310" s="97"/>
      <c r="EH310" s="97"/>
      <c r="EI310" s="97"/>
      <c r="EJ310" s="97"/>
      <c r="EK310" s="97"/>
      <c r="EL310" s="97"/>
      <c r="EM310" s="97"/>
      <c r="EN310" s="97"/>
      <c r="EO310" s="97"/>
      <c r="EP310" s="97"/>
      <c r="EQ310" s="97"/>
      <c r="ER310" s="97"/>
      <c r="ES310" s="97"/>
      <c r="ET310" s="97"/>
    </row>
    <row r="311" spans="1:150" ht="15.75" customHeight="1">
      <c r="A311" s="97"/>
      <c r="B311" s="97"/>
      <c r="C311" s="97"/>
      <c r="D311" s="97"/>
      <c r="E311" s="97"/>
      <c r="F311" s="97"/>
      <c r="G311" s="97"/>
      <c r="H311" s="129"/>
      <c r="I311" s="97"/>
      <c r="J311" s="97"/>
      <c r="K311" s="97"/>
      <c r="L311" s="97"/>
      <c r="M311" s="97"/>
      <c r="N311" s="97"/>
      <c r="O311" s="97"/>
      <c r="P311" s="97"/>
      <c r="Q311" s="97"/>
      <c r="R311" s="97"/>
      <c r="S311" s="97"/>
      <c r="T311" s="97"/>
      <c r="U311" s="97"/>
      <c r="V311" s="97"/>
      <c r="W311" s="97"/>
      <c r="X311" s="129"/>
      <c r="Y311" s="97"/>
      <c r="Z311" s="97"/>
      <c r="AA311" s="97"/>
      <c r="AB311" s="97"/>
      <c r="AC311" s="97"/>
      <c r="AD311" s="97"/>
      <c r="AE311" s="97"/>
      <c r="AF311" s="97"/>
      <c r="AG311" s="97"/>
      <c r="AH311" s="97"/>
      <c r="AI311" s="97"/>
      <c r="AJ311" s="97"/>
      <c r="AK311" s="97"/>
      <c r="AL311" s="97"/>
      <c r="AM311" s="97"/>
      <c r="AN311" s="97"/>
      <c r="AO311" s="97"/>
      <c r="AP311" s="97"/>
      <c r="AQ311" s="97"/>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c r="DF311" s="97"/>
      <c r="DG311" s="97"/>
      <c r="DH311" s="97"/>
      <c r="DI311" s="97"/>
      <c r="DJ311" s="97"/>
      <c r="DK311" s="97"/>
      <c r="DL311" s="97"/>
      <c r="DM311" s="97"/>
      <c r="DN311" s="97"/>
      <c r="DO311" s="97"/>
      <c r="DP311" s="97"/>
      <c r="DQ311" s="97"/>
      <c r="DR311" s="97"/>
      <c r="DS311" s="97"/>
      <c r="DT311" s="97"/>
      <c r="DU311" s="97"/>
      <c r="DV311" s="97"/>
      <c r="DW311" s="97"/>
      <c r="DX311" s="97"/>
      <c r="DY311" s="97"/>
      <c r="DZ311" s="97"/>
      <c r="EA311" s="97"/>
      <c r="EB311" s="97"/>
      <c r="EC311" s="97"/>
      <c r="ED311" s="97"/>
      <c r="EE311" s="97"/>
      <c r="EF311" s="97"/>
      <c r="EG311" s="97"/>
      <c r="EH311" s="97"/>
      <c r="EI311" s="97"/>
      <c r="EJ311" s="97"/>
      <c r="EK311" s="97"/>
      <c r="EL311" s="97"/>
      <c r="EM311" s="97"/>
      <c r="EN311" s="97"/>
      <c r="EO311" s="97"/>
      <c r="EP311" s="97"/>
      <c r="EQ311" s="97"/>
      <c r="ER311" s="97"/>
      <c r="ES311" s="97"/>
      <c r="ET311" s="97"/>
    </row>
    <row r="312" spans="1:150" ht="15.75" customHeight="1">
      <c r="A312" s="97"/>
      <c r="B312" s="97"/>
      <c r="C312" s="97"/>
      <c r="D312" s="97"/>
      <c r="E312" s="97"/>
      <c r="F312" s="97"/>
      <c r="G312" s="97"/>
      <c r="H312" s="129"/>
      <c r="I312" s="97"/>
      <c r="J312" s="97"/>
      <c r="K312" s="97"/>
      <c r="L312" s="97"/>
      <c r="M312" s="97"/>
      <c r="N312" s="97"/>
      <c r="O312" s="97"/>
      <c r="P312" s="97"/>
      <c r="Q312" s="97"/>
      <c r="R312" s="97"/>
      <c r="S312" s="97"/>
      <c r="T312" s="97"/>
      <c r="U312" s="97"/>
      <c r="V312" s="97"/>
      <c r="W312" s="97"/>
      <c r="X312" s="129"/>
      <c r="Y312" s="97"/>
      <c r="Z312" s="97"/>
      <c r="AA312" s="97"/>
      <c r="AB312" s="97"/>
      <c r="AC312" s="97"/>
      <c r="AD312" s="97"/>
      <c r="AE312" s="97"/>
      <c r="AF312" s="97"/>
      <c r="AG312" s="97"/>
      <c r="AH312" s="97"/>
      <c r="AI312" s="97"/>
      <c r="AJ312" s="97"/>
      <c r="AK312" s="97"/>
      <c r="AL312" s="97"/>
      <c r="AM312" s="97"/>
      <c r="AN312" s="97"/>
      <c r="AO312" s="97"/>
      <c r="AP312" s="97"/>
      <c r="AQ312" s="97"/>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c r="DF312" s="97"/>
      <c r="DG312" s="97"/>
      <c r="DH312" s="97"/>
      <c r="DI312" s="97"/>
      <c r="DJ312" s="97"/>
      <c r="DK312" s="97"/>
      <c r="DL312" s="97"/>
      <c r="DM312" s="97"/>
      <c r="DN312" s="97"/>
      <c r="DO312" s="97"/>
      <c r="DP312" s="97"/>
      <c r="DQ312" s="97"/>
      <c r="DR312" s="97"/>
      <c r="DS312" s="97"/>
      <c r="DT312" s="97"/>
      <c r="DU312" s="97"/>
      <c r="DV312" s="97"/>
      <c r="DW312" s="97"/>
      <c r="DX312" s="97"/>
      <c r="DY312" s="97"/>
      <c r="DZ312" s="97"/>
      <c r="EA312" s="97"/>
      <c r="EB312" s="97"/>
      <c r="EC312" s="97"/>
      <c r="ED312" s="97"/>
      <c r="EE312" s="97"/>
      <c r="EF312" s="97"/>
      <c r="EG312" s="97"/>
      <c r="EH312" s="97"/>
      <c r="EI312" s="97"/>
      <c r="EJ312" s="97"/>
      <c r="EK312" s="97"/>
      <c r="EL312" s="97"/>
      <c r="EM312" s="97"/>
      <c r="EN312" s="97"/>
      <c r="EO312" s="97"/>
      <c r="EP312" s="97"/>
      <c r="EQ312" s="97"/>
      <c r="ER312" s="97"/>
      <c r="ES312" s="97"/>
      <c r="ET312" s="97"/>
    </row>
    <row r="313" spans="1:150" ht="15.75" customHeight="1">
      <c r="A313" s="97"/>
      <c r="B313" s="97"/>
      <c r="C313" s="97"/>
      <c r="D313" s="97"/>
      <c r="E313" s="97"/>
      <c r="F313" s="97"/>
      <c r="G313" s="97"/>
      <c r="H313" s="129"/>
      <c r="I313" s="97"/>
      <c r="J313" s="97"/>
      <c r="K313" s="97"/>
      <c r="L313" s="97"/>
      <c r="M313" s="97"/>
      <c r="N313" s="97"/>
      <c r="O313" s="97"/>
      <c r="P313" s="97"/>
      <c r="Q313" s="97"/>
      <c r="R313" s="97"/>
      <c r="S313" s="97"/>
      <c r="T313" s="97"/>
      <c r="U313" s="97"/>
      <c r="V313" s="97"/>
      <c r="W313" s="97"/>
      <c r="X313" s="129"/>
      <c r="Y313" s="97"/>
      <c r="Z313" s="97"/>
      <c r="AA313" s="97"/>
      <c r="AB313" s="97"/>
      <c r="AC313" s="97"/>
      <c r="AD313" s="97"/>
      <c r="AE313" s="97"/>
      <c r="AF313" s="97"/>
      <c r="AG313" s="97"/>
      <c r="AH313" s="97"/>
      <c r="AI313" s="97"/>
      <c r="AJ313" s="97"/>
      <c r="AK313" s="97"/>
      <c r="AL313" s="97"/>
      <c r="AM313" s="97"/>
      <c r="AN313" s="97"/>
      <c r="AO313" s="97"/>
      <c r="AP313" s="97"/>
      <c r="AQ313" s="97"/>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c r="DF313" s="97"/>
      <c r="DG313" s="97"/>
      <c r="DH313" s="97"/>
      <c r="DI313" s="97"/>
      <c r="DJ313" s="97"/>
      <c r="DK313" s="97"/>
      <c r="DL313" s="97"/>
      <c r="DM313" s="97"/>
      <c r="DN313" s="97"/>
      <c r="DO313" s="97"/>
      <c r="DP313" s="97"/>
      <c r="DQ313" s="97"/>
      <c r="DR313" s="97"/>
      <c r="DS313" s="97"/>
      <c r="DT313" s="97"/>
      <c r="DU313" s="97"/>
      <c r="DV313" s="97"/>
      <c r="DW313" s="97"/>
      <c r="DX313" s="97"/>
      <c r="DY313" s="97"/>
      <c r="DZ313" s="97"/>
      <c r="EA313" s="97"/>
      <c r="EB313" s="97"/>
      <c r="EC313" s="97"/>
      <c r="ED313" s="97"/>
      <c r="EE313" s="97"/>
      <c r="EF313" s="97"/>
      <c r="EG313" s="97"/>
      <c r="EH313" s="97"/>
      <c r="EI313" s="97"/>
      <c r="EJ313" s="97"/>
      <c r="EK313" s="97"/>
      <c r="EL313" s="97"/>
      <c r="EM313" s="97"/>
      <c r="EN313" s="97"/>
      <c r="EO313" s="97"/>
      <c r="EP313" s="97"/>
      <c r="EQ313" s="97"/>
      <c r="ER313" s="97"/>
      <c r="ES313" s="97"/>
      <c r="ET313" s="97"/>
    </row>
    <row r="314" spans="1:150" ht="15.75" customHeight="1">
      <c r="A314" s="97"/>
      <c r="B314" s="97"/>
      <c r="C314" s="97"/>
      <c r="D314" s="97"/>
      <c r="E314" s="97"/>
      <c r="F314" s="97"/>
      <c r="G314" s="97"/>
      <c r="H314" s="129"/>
      <c r="I314" s="97"/>
      <c r="J314" s="97"/>
      <c r="K314" s="97"/>
      <c r="L314" s="97"/>
      <c r="M314" s="97"/>
      <c r="N314" s="97"/>
      <c r="O314" s="97"/>
      <c r="P314" s="97"/>
      <c r="Q314" s="97"/>
      <c r="R314" s="97"/>
      <c r="S314" s="97"/>
      <c r="T314" s="97"/>
      <c r="U314" s="97"/>
      <c r="V314" s="97"/>
      <c r="W314" s="97"/>
      <c r="X314" s="129"/>
      <c r="Y314" s="97"/>
      <c r="Z314" s="97"/>
      <c r="AA314" s="97"/>
      <c r="AB314" s="97"/>
      <c r="AC314" s="97"/>
      <c r="AD314" s="97"/>
      <c r="AE314" s="97"/>
      <c r="AF314" s="97"/>
      <c r="AG314" s="97"/>
      <c r="AH314" s="97"/>
      <c r="AI314" s="97"/>
      <c r="AJ314" s="97"/>
      <c r="AK314" s="97"/>
      <c r="AL314" s="97"/>
      <c r="AM314" s="97"/>
      <c r="AN314" s="97"/>
      <c r="AO314" s="97"/>
      <c r="AP314" s="97"/>
      <c r="AQ314" s="97"/>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c r="DF314" s="97"/>
      <c r="DG314" s="97"/>
      <c r="DH314" s="97"/>
      <c r="DI314" s="97"/>
      <c r="DJ314" s="97"/>
      <c r="DK314" s="97"/>
      <c r="DL314" s="97"/>
      <c r="DM314" s="97"/>
      <c r="DN314" s="97"/>
      <c r="DO314" s="97"/>
      <c r="DP314" s="97"/>
      <c r="DQ314" s="97"/>
      <c r="DR314" s="97"/>
      <c r="DS314" s="97"/>
      <c r="DT314" s="97"/>
      <c r="DU314" s="97"/>
      <c r="DV314" s="97"/>
      <c r="DW314" s="97"/>
      <c r="DX314" s="97"/>
      <c r="DY314" s="97"/>
      <c r="DZ314" s="97"/>
      <c r="EA314" s="97"/>
      <c r="EB314" s="97"/>
      <c r="EC314" s="97"/>
      <c r="ED314" s="97"/>
      <c r="EE314" s="97"/>
      <c r="EF314" s="97"/>
      <c r="EG314" s="97"/>
      <c r="EH314" s="97"/>
      <c r="EI314" s="97"/>
      <c r="EJ314" s="97"/>
      <c r="EK314" s="97"/>
      <c r="EL314" s="97"/>
      <c r="EM314" s="97"/>
      <c r="EN314" s="97"/>
      <c r="EO314" s="97"/>
      <c r="EP314" s="97"/>
      <c r="EQ314" s="97"/>
      <c r="ER314" s="97"/>
      <c r="ES314" s="97"/>
      <c r="ET314" s="97"/>
    </row>
    <row r="315" spans="1:150" ht="15.75" customHeight="1">
      <c r="A315" s="97"/>
      <c r="B315" s="97"/>
      <c r="C315" s="97"/>
      <c r="D315" s="97"/>
      <c r="E315" s="97"/>
      <c r="F315" s="97"/>
      <c r="G315" s="97"/>
      <c r="H315" s="129"/>
      <c r="I315" s="97"/>
      <c r="J315" s="97"/>
      <c r="K315" s="97"/>
      <c r="L315" s="97"/>
      <c r="M315" s="97"/>
      <c r="N315" s="97"/>
      <c r="O315" s="97"/>
      <c r="P315" s="97"/>
      <c r="Q315" s="97"/>
      <c r="R315" s="97"/>
      <c r="S315" s="97"/>
      <c r="T315" s="97"/>
      <c r="U315" s="97"/>
      <c r="V315" s="97"/>
      <c r="W315" s="97"/>
      <c r="X315" s="129"/>
      <c r="Y315" s="97"/>
      <c r="Z315" s="97"/>
      <c r="AA315" s="97"/>
      <c r="AB315" s="97"/>
      <c r="AC315" s="97"/>
      <c r="AD315" s="97"/>
      <c r="AE315" s="97"/>
      <c r="AF315" s="97"/>
      <c r="AG315" s="97"/>
      <c r="AH315" s="97"/>
      <c r="AI315" s="97"/>
      <c r="AJ315" s="97"/>
      <c r="AK315" s="97"/>
      <c r="AL315" s="97"/>
      <c r="AM315" s="97"/>
      <c r="AN315" s="97"/>
      <c r="AO315" s="97"/>
      <c r="AP315" s="97"/>
      <c r="AQ315" s="97"/>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c r="DF315" s="97"/>
      <c r="DG315" s="97"/>
      <c r="DH315" s="97"/>
      <c r="DI315" s="97"/>
      <c r="DJ315" s="97"/>
      <c r="DK315" s="97"/>
      <c r="DL315" s="97"/>
      <c r="DM315" s="97"/>
      <c r="DN315" s="97"/>
      <c r="DO315" s="97"/>
      <c r="DP315" s="97"/>
      <c r="DQ315" s="97"/>
      <c r="DR315" s="97"/>
      <c r="DS315" s="97"/>
      <c r="DT315" s="97"/>
      <c r="DU315" s="97"/>
      <c r="DV315" s="97"/>
      <c r="DW315" s="97"/>
      <c r="DX315" s="97"/>
      <c r="DY315" s="97"/>
      <c r="DZ315" s="97"/>
      <c r="EA315" s="97"/>
      <c r="EB315" s="97"/>
      <c r="EC315" s="97"/>
      <c r="ED315" s="97"/>
      <c r="EE315" s="97"/>
      <c r="EF315" s="97"/>
      <c r="EG315" s="97"/>
      <c r="EH315" s="97"/>
      <c r="EI315" s="97"/>
      <c r="EJ315" s="97"/>
      <c r="EK315" s="97"/>
      <c r="EL315" s="97"/>
      <c r="EM315" s="97"/>
      <c r="EN315" s="97"/>
      <c r="EO315" s="97"/>
      <c r="EP315" s="97"/>
      <c r="EQ315" s="97"/>
      <c r="ER315" s="97"/>
      <c r="ES315" s="97"/>
      <c r="ET315" s="97"/>
    </row>
    <row r="316" spans="1:150" ht="15.75" customHeight="1">
      <c r="A316" s="97"/>
      <c r="B316" s="97"/>
      <c r="C316" s="97"/>
      <c r="D316" s="97"/>
      <c r="E316" s="97"/>
      <c r="F316" s="97"/>
      <c r="G316" s="97"/>
      <c r="H316" s="129"/>
      <c r="I316" s="97"/>
      <c r="J316" s="97"/>
      <c r="K316" s="97"/>
      <c r="L316" s="97"/>
      <c r="M316" s="97"/>
      <c r="N316" s="97"/>
      <c r="O316" s="97"/>
      <c r="P316" s="97"/>
      <c r="Q316" s="97"/>
      <c r="R316" s="97"/>
      <c r="S316" s="97"/>
      <c r="T316" s="97"/>
      <c r="U316" s="97"/>
      <c r="V316" s="97"/>
      <c r="W316" s="97"/>
      <c r="X316" s="129"/>
      <c r="Y316" s="97"/>
      <c r="Z316" s="97"/>
      <c r="AA316" s="97"/>
      <c r="AB316" s="97"/>
      <c r="AC316" s="97"/>
      <c r="AD316" s="97"/>
      <c r="AE316" s="97"/>
      <c r="AF316" s="97"/>
      <c r="AG316" s="97"/>
      <c r="AH316" s="97"/>
      <c r="AI316" s="97"/>
      <c r="AJ316" s="97"/>
      <c r="AK316" s="97"/>
      <c r="AL316" s="97"/>
      <c r="AM316" s="97"/>
      <c r="AN316" s="97"/>
      <c r="AO316" s="97"/>
      <c r="AP316" s="97"/>
      <c r="AQ316" s="97"/>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c r="DF316" s="97"/>
      <c r="DG316" s="97"/>
      <c r="DH316" s="97"/>
      <c r="DI316" s="97"/>
      <c r="DJ316" s="97"/>
      <c r="DK316" s="97"/>
      <c r="DL316" s="97"/>
      <c r="DM316" s="97"/>
      <c r="DN316" s="97"/>
      <c r="DO316" s="97"/>
      <c r="DP316" s="97"/>
      <c r="DQ316" s="97"/>
      <c r="DR316" s="97"/>
      <c r="DS316" s="97"/>
      <c r="DT316" s="97"/>
      <c r="DU316" s="97"/>
      <c r="DV316" s="97"/>
      <c r="DW316" s="97"/>
      <c r="DX316" s="97"/>
      <c r="DY316" s="97"/>
      <c r="DZ316" s="97"/>
      <c r="EA316" s="97"/>
      <c r="EB316" s="97"/>
      <c r="EC316" s="97"/>
      <c r="ED316" s="97"/>
      <c r="EE316" s="97"/>
      <c r="EF316" s="97"/>
      <c r="EG316" s="97"/>
      <c r="EH316" s="97"/>
      <c r="EI316" s="97"/>
      <c r="EJ316" s="97"/>
      <c r="EK316" s="97"/>
      <c r="EL316" s="97"/>
      <c r="EM316" s="97"/>
      <c r="EN316" s="97"/>
      <c r="EO316" s="97"/>
      <c r="EP316" s="97"/>
      <c r="EQ316" s="97"/>
      <c r="ER316" s="97"/>
      <c r="ES316" s="97"/>
      <c r="ET316" s="97"/>
    </row>
    <row r="317" spans="1:150" ht="15.75" customHeight="1">
      <c r="A317" s="97"/>
      <c r="B317" s="97"/>
      <c r="C317" s="97"/>
      <c r="D317" s="97"/>
      <c r="E317" s="97"/>
      <c r="F317" s="97"/>
      <c r="G317" s="97"/>
      <c r="H317" s="129"/>
      <c r="I317" s="97"/>
      <c r="J317" s="97"/>
      <c r="K317" s="97"/>
      <c r="L317" s="97"/>
      <c r="M317" s="97"/>
      <c r="N317" s="97"/>
      <c r="O317" s="97"/>
      <c r="P317" s="97"/>
      <c r="Q317" s="97"/>
      <c r="R317" s="97"/>
      <c r="S317" s="97"/>
      <c r="T317" s="97"/>
      <c r="U317" s="97"/>
      <c r="V317" s="97"/>
      <c r="W317" s="97"/>
      <c r="X317" s="129"/>
      <c r="Y317" s="97"/>
      <c r="Z317" s="97"/>
      <c r="AA317" s="97"/>
      <c r="AB317" s="97"/>
      <c r="AC317" s="97"/>
      <c r="AD317" s="97"/>
      <c r="AE317" s="97"/>
      <c r="AF317" s="97"/>
      <c r="AG317" s="97"/>
      <c r="AH317" s="97"/>
      <c r="AI317" s="97"/>
      <c r="AJ317" s="97"/>
      <c r="AK317" s="97"/>
      <c r="AL317" s="97"/>
      <c r="AM317" s="97"/>
      <c r="AN317" s="97"/>
      <c r="AO317" s="97"/>
      <c r="AP317" s="97"/>
      <c r="AQ317" s="97"/>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c r="DF317" s="97"/>
      <c r="DG317" s="97"/>
      <c r="DH317" s="97"/>
      <c r="DI317" s="97"/>
      <c r="DJ317" s="97"/>
      <c r="DK317" s="97"/>
      <c r="DL317" s="97"/>
      <c r="DM317" s="97"/>
      <c r="DN317" s="97"/>
      <c r="DO317" s="97"/>
      <c r="DP317" s="97"/>
      <c r="DQ317" s="97"/>
      <c r="DR317" s="97"/>
      <c r="DS317" s="97"/>
      <c r="DT317" s="97"/>
      <c r="DU317" s="97"/>
      <c r="DV317" s="97"/>
      <c r="DW317" s="97"/>
      <c r="DX317" s="97"/>
      <c r="DY317" s="97"/>
      <c r="DZ317" s="97"/>
      <c r="EA317" s="97"/>
      <c r="EB317" s="97"/>
      <c r="EC317" s="97"/>
      <c r="ED317" s="97"/>
      <c r="EE317" s="97"/>
      <c r="EF317" s="97"/>
      <c r="EG317" s="97"/>
      <c r="EH317" s="97"/>
      <c r="EI317" s="97"/>
      <c r="EJ317" s="97"/>
      <c r="EK317" s="97"/>
      <c r="EL317" s="97"/>
      <c r="EM317" s="97"/>
      <c r="EN317" s="97"/>
      <c r="EO317" s="97"/>
      <c r="EP317" s="97"/>
      <c r="EQ317" s="97"/>
      <c r="ER317" s="97"/>
      <c r="ES317" s="97"/>
      <c r="ET317" s="97"/>
    </row>
    <row r="318" spans="1:150" ht="15.75" customHeight="1">
      <c r="A318" s="97"/>
      <c r="B318" s="97"/>
      <c r="C318" s="97"/>
      <c r="D318" s="97"/>
      <c r="E318" s="97"/>
      <c r="F318" s="97"/>
      <c r="G318" s="97"/>
      <c r="H318" s="129"/>
      <c r="I318" s="97"/>
      <c r="J318" s="97"/>
      <c r="K318" s="97"/>
      <c r="L318" s="97"/>
      <c r="M318" s="97"/>
      <c r="N318" s="97"/>
      <c r="O318" s="97"/>
      <c r="P318" s="97"/>
      <c r="Q318" s="97"/>
      <c r="R318" s="97"/>
      <c r="S318" s="97"/>
      <c r="T318" s="97"/>
      <c r="U318" s="97"/>
      <c r="V318" s="97"/>
      <c r="W318" s="97"/>
      <c r="X318" s="129"/>
      <c r="Y318" s="97"/>
      <c r="Z318" s="97"/>
      <c r="AA318" s="97"/>
      <c r="AB318" s="97"/>
      <c r="AC318" s="97"/>
      <c r="AD318" s="97"/>
      <c r="AE318" s="97"/>
      <c r="AF318" s="97"/>
      <c r="AG318" s="97"/>
      <c r="AH318" s="97"/>
      <c r="AI318" s="97"/>
      <c r="AJ318" s="97"/>
      <c r="AK318" s="97"/>
      <c r="AL318" s="97"/>
      <c r="AM318" s="97"/>
      <c r="AN318" s="97"/>
      <c r="AO318" s="97"/>
      <c r="AP318" s="97"/>
      <c r="AQ318" s="97"/>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c r="DF318" s="97"/>
      <c r="DG318" s="97"/>
      <c r="DH318" s="97"/>
      <c r="DI318" s="97"/>
      <c r="DJ318" s="97"/>
      <c r="DK318" s="97"/>
      <c r="DL318" s="97"/>
      <c r="DM318" s="97"/>
      <c r="DN318" s="97"/>
      <c r="DO318" s="97"/>
      <c r="DP318" s="97"/>
      <c r="DQ318" s="97"/>
      <c r="DR318" s="97"/>
      <c r="DS318" s="97"/>
      <c r="DT318" s="97"/>
      <c r="DU318" s="97"/>
      <c r="DV318" s="97"/>
      <c r="DW318" s="97"/>
      <c r="DX318" s="97"/>
      <c r="DY318" s="97"/>
      <c r="DZ318" s="97"/>
      <c r="EA318" s="97"/>
      <c r="EB318" s="97"/>
      <c r="EC318" s="97"/>
      <c r="ED318" s="97"/>
      <c r="EE318" s="97"/>
      <c r="EF318" s="97"/>
      <c r="EG318" s="97"/>
      <c r="EH318" s="97"/>
      <c r="EI318" s="97"/>
      <c r="EJ318" s="97"/>
      <c r="EK318" s="97"/>
      <c r="EL318" s="97"/>
      <c r="EM318" s="97"/>
      <c r="EN318" s="97"/>
      <c r="EO318" s="97"/>
      <c r="EP318" s="97"/>
      <c r="EQ318" s="97"/>
      <c r="ER318" s="97"/>
      <c r="ES318" s="97"/>
      <c r="ET318" s="97"/>
    </row>
    <row r="319" spans="1:150" ht="15.75" customHeight="1">
      <c r="A319" s="97"/>
      <c r="B319" s="97"/>
      <c r="C319" s="97"/>
      <c r="D319" s="97"/>
      <c r="E319" s="97"/>
      <c r="F319" s="97"/>
      <c r="G319" s="97"/>
      <c r="H319" s="129"/>
      <c r="I319" s="97"/>
      <c r="J319" s="97"/>
      <c r="K319" s="97"/>
      <c r="L319" s="97"/>
      <c r="M319" s="97"/>
      <c r="N319" s="97"/>
      <c r="O319" s="97"/>
      <c r="P319" s="97"/>
      <c r="Q319" s="97"/>
      <c r="R319" s="97"/>
      <c r="S319" s="97"/>
      <c r="T319" s="97"/>
      <c r="U319" s="97"/>
      <c r="V319" s="97"/>
      <c r="W319" s="97"/>
      <c r="X319" s="129"/>
      <c r="Y319" s="97"/>
      <c r="Z319" s="97"/>
      <c r="AA319" s="97"/>
      <c r="AB319" s="97"/>
      <c r="AC319" s="97"/>
      <c r="AD319" s="97"/>
      <c r="AE319" s="97"/>
      <c r="AF319" s="97"/>
      <c r="AG319" s="97"/>
      <c r="AH319" s="97"/>
      <c r="AI319" s="97"/>
      <c r="AJ319" s="97"/>
      <c r="AK319" s="97"/>
      <c r="AL319" s="97"/>
      <c r="AM319" s="97"/>
      <c r="AN319" s="97"/>
      <c r="AO319" s="97"/>
      <c r="AP319" s="97"/>
      <c r="AQ319" s="97"/>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c r="DF319" s="97"/>
      <c r="DG319" s="97"/>
      <c r="DH319" s="97"/>
      <c r="DI319" s="97"/>
      <c r="DJ319" s="97"/>
      <c r="DK319" s="97"/>
      <c r="DL319" s="97"/>
      <c r="DM319" s="97"/>
      <c r="DN319" s="97"/>
      <c r="DO319" s="97"/>
      <c r="DP319" s="97"/>
      <c r="DQ319" s="97"/>
      <c r="DR319" s="97"/>
      <c r="DS319" s="97"/>
      <c r="DT319" s="97"/>
      <c r="DU319" s="97"/>
      <c r="DV319" s="97"/>
      <c r="DW319" s="97"/>
      <c r="DX319" s="97"/>
      <c r="DY319" s="97"/>
      <c r="DZ319" s="97"/>
      <c r="EA319" s="97"/>
      <c r="EB319" s="97"/>
      <c r="EC319" s="97"/>
      <c r="ED319" s="97"/>
      <c r="EE319" s="97"/>
      <c r="EF319" s="97"/>
      <c r="EG319" s="97"/>
      <c r="EH319" s="97"/>
      <c r="EI319" s="97"/>
      <c r="EJ319" s="97"/>
      <c r="EK319" s="97"/>
      <c r="EL319" s="97"/>
      <c r="EM319" s="97"/>
      <c r="EN319" s="97"/>
      <c r="EO319" s="97"/>
      <c r="EP319" s="97"/>
      <c r="EQ319" s="97"/>
      <c r="ER319" s="97"/>
      <c r="ES319" s="97"/>
      <c r="ET319" s="97"/>
    </row>
    <row r="320" spans="1:150" ht="15.75" customHeight="1">
      <c r="A320" s="97"/>
      <c r="B320" s="97"/>
      <c r="C320" s="97"/>
      <c r="D320" s="97"/>
      <c r="E320" s="97"/>
      <c r="F320" s="97"/>
      <c r="G320" s="97"/>
      <c r="H320" s="129"/>
      <c r="I320" s="97"/>
      <c r="J320" s="97"/>
      <c r="K320" s="97"/>
      <c r="L320" s="97"/>
      <c r="M320" s="97"/>
      <c r="N320" s="97"/>
      <c r="O320" s="97"/>
      <c r="P320" s="97"/>
      <c r="Q320" s="97"/>
      <c r="R320" s="97"/>
      <c r="S320" s="97"/>
      <c r="T320" s="97"/>
      <c r="U320" s="97"/>
      <c r="V320" s="97"/>
      <c r="W320" s="97"/>
      <c r="X320" s="129"/>
      <c r="Y320" s="97"/>
      <c r="Z320" s="97"/>
      <c r="AA320" s="97"/>
      <c r="AB320" s="97"/>
      <c r="AC320" s="97"/>
      <c r="AD320" s="97"/>
      <c r="AE320" s="97"/>
      <c r="AF320" s="97"/>
      <c r="AG320" s="97"/>
      <c r="AH320" s="97"/>
      <c r="AI320" s="97"/>
      <c r="AJ320" s="97"/>
      <c r="AK320" s="97"/>
      <c r="AL320" s="97"/>
      <c r="AM320" s="97"/>
      <c r="AN320" s="97"/>
      <c r="AO320" s="97"/>
      <c r="AP320" s="97"/>
      <c r="AQ320" s="97"/>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c r="DF320" s="97"/>
      <c r="DG320" s="97"/>
      <c r="DH320" s="97"/>
      <c r="DI320" s="97"/>
      <c r="DJ320" s="97"/>
      <c r="DK320" s="97"/>
      <c r="DL320" s="97"/>
      <c r="DM320" s="97"/>
      <c r="DN320" s="97"/>
      <c r="DO320" s="97"/>
      <c r="DP320" s="97"/>
      <c r="DQ320" s="97"/>
      <c r="DR320" s="97"/>
      <c r="DS320" s="97"/>
      <c r="DT320" s="97"/>
      <c r="DU320" s="97"/>
      <c r="DV320" s="97"/>
      <c r="DW320" s="97"/>
      <c r="DX320" s="97"/>
      <c r="DY320" s="97"/>
      <c r="DZ320" s="97"/>
      <c r="EA320" s="97"/>
      <c r="EB320" s="97"/>
      <c r="EC320" s="97"/>
      <c r="ED320" s="97"/>
      <c r="EE320" s="97"/>
      <c r="EF320" s="97"/>
      <c r="EG320" s="97"/>
      <c r="EH320" s="97"/>
      <c r="EI320" s="97"/>
      <c r="EJ320" s="97"/>
      <c r="EK320" s="97"/>
      <c r="EL320" s="97"/>
      <c r="EM320" s="97"/>
      <c r="EN320" s="97"/>
      <c r="EO320" s="97"/>
      <c r="EP320" s="97"/>
      <c r="EQ320" s="97"/>
      <c r="ER320" s="97"/>
      <c r="ES320" s="97"/>
      <c r="ET320" s="97"/>
    </row>
    <row r="321" spans="1:150" ht="15.75" customHeight="1">
      <c r="A321" s="97"/>
      <c r="B321" s="97"/>
      <c r="C321" s="97"/>
      <c r="D321" s="97"/>
      <c r="E321" s="97"/>
      <c r="F321" s="97"/>
      <c r="G321" s="97"/>
      <c r="H321" s="129"/>
      <c r="I321" s="97"/>
      <c r="J321" s="97"/>
      <c r="K321" s="97"/>
      <c r="L321" s="97"/>
      <c r="M321" s="97"/>
      <c r="N321" s="97"/>
      <c r="O321" s="97"/>
      <c r="P321" s="97"/>
      <c r="Q321" s="97"/>
      <c r="R321" s="97"/>
      <c r="S321" s="97"/>
      <c r="T321" s="97"/>
      <c r="U321" s="97"/>
      <c r="V321" s="97"/>
      <c r="W321" s="97"/>
      <c r="X321" s="129"/>
      <c r="Y321" s="97"/>
      <c r="Z321" s="97"/>
      <c r="AA321" s="97"/>
      <c r="AB321" s="97"/>
      <c r="AC321" s="97"/>
      <c r="AD321" s="97"/>
      <c r="AE321" s="97"/>
      <c r="AF321" s="97"/>
      <c r="AG321" s="97"/>
      <c r="AH321" s="97"/>
      <c r="AI321" s="97"/>
      <c r="AJ321" s="97"/>
      <c r="AK321" s="97"/>
      <c r="AL321" s="97"/>
      <c r="AM321" s="97"/>
      <c r="AN321" s="97"/>
      <c r="AO321" s="97"/>
      <c r="AP321" s="97"/>
      <c r="AQ321" s="97"/>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c r="DF321" s="97"/>
      <c r="DG321" s="97"/>
      <c r="DH321" s="97"/>
      <c r="DI321" s="97"/>
      <c r="DJ321" s="97"/>
      <c r="DK321" s="97"/>
      <c r="DL321" s="97"/>
      <c r="DM321" s="97"/>
      <c r="DN321" s="97"/>
      <c r="DO321" s="97"/>
      <c r="DP321" s="97"/>
      <c r="DQ321" s="97"/>
      <c r="DR321" s="97"/>
      <c r="DS321" s="97"/>
      <c r="DT321" s="97"/>
      <c r="DU321" s="97"/>
      <c r="DV321" s="97"/>
      <c r="DW321" s="97"/>
      <c r="DX321" s="97"/>
      <c r="DY321" s="97"/>
      <c r="DZ321" s="97"/>
      <c r="EA321" s="97"/>
      <c r="EB321" s="97"/>
      <c r="EC321" s="97"/>
      <c r="ED321" s="97"/>
      <c r="EE321" s="97"/>
      <c r="EF321" s="97"/>
      <c r="EG321" s="97"/>
      <c r="EH321" s="97"/>
      <c r="EI321" s="97"/>
      <c r="EJ321" s="97"/>
      <c r="EK321" s="97"/>
      <c r="EL321" s="97"/>
      <c r="EM321" s="97"/>
      <c r="EN321" s="97"/>
      <c r="EO321" s="97"/>
      <c r="EP321" s="97"/>
      <c r="EQ321" s="97"/>
      <c r="ER321" s="97"/>
      <c r="ES321" s="97"/>
      <c r="ET321" s="97"/>
    </row>
    <row r="322" spans="1:150" ht="15.75" customHeight="1">
      <c r="A322" s="97"/>
      <c r="B322" s="97"/>
      <c r="C322" s="97"/>
      <c r="D322" s="97"/>
      <c r="E322" s="97"/>
      <c r="F322" s="97"/>
      <c r="G322" s="97"/>
      <c r="H322" s="129"/>
      <c r="I322" s="97"/>
      <c r="J322" s="97"/>
      <c r="K322" s="97"/>
      <c r="L322" s="97"/>
      <c r="M322" s="97"/>
      <c r="N322" s="97"/>
      <c r="O322" s="97"/>
      <c r="P322" s="97"/>
      <c r="Q322" s="97"/>
      <c r="R322" s="97"/>
      <c r="S322" s="97"/>
      <c r="T322" s="97"/>
      <c r="U322" s="97"/>
      <c r="V322" s="97"/>
      <c r="W322" s="97"/>
      <c r="X322" s="129"/>
      <c r="Y322" s="97"/>
      <c r="Z322" s="97"/>
      <c r="AA322" s="97"/>
      <c r="AB322" s="97"/>
      <c r="AC322" s="97"/>
      <c r="AD322" s="97"/>
      <c r="AE322" s="97"/>
      <c r="AF322" s="97"/>
      <c r="AG322" s="97"/>
      <c r="AH322" s="97"/>
      <c r="AI322" s="97"/>
      <c r="AJ322" s="97"/>
      <c r="AK322" s="97"/>
      <c r="AL322" s="97"/>
      <c r="AM322" s="97"/>
      <c r="AN322" s="97"/>
      <c r="AO322" s="97"/>
      <c r="AP322" s="97"/>
      <c r="AQ322" s="97"/>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c r="DF322" s="97"/>
      <c r="DG322" s="97"/>
      <c r="DH322" s="97"/>
      <c r="DI322" s="97"/>
      <c r="DJ322" s="97"/>
      <c r="DK322" s="97"/>
      <c r="DL322" s="97"/>
      <c r="DM322" s="97"/>
      <c r="DN322" s="97"/>
      <c r="DO322" s="97"/>
      <c r="DP322" s="97"/>
      <c r="DQ322" s="97"/>
      <c r="DR322" s="97"/>
      <c r="DS322" s="97"/>
      <c r="DT322" s="97"/>
      <c r="DU322" s="97"/>
      <c r="DV322" s="97"/>
      <c r="DW322" s="97"/>
      <c r="DX322" s="97"/>
      <c r="DY322" s="97"/>
      <c r="DZ322" s="97"/>
      <c r="EA322" s="97"/>
      <c r="EB322" s="97"/>
      <c r="EC322" s="97"/>
      <c r="ED322" s="97"/>
      <c r="EE322" s="97"/>
      <c r="EF322" s="97"/>
      <c r="EG322" s="97"/>
      <c r="EH322" s="97"/>
      <c r="EI322" s="97"/>
      <c r="EJ322" s="97"/>
      <c r="EK322" s="97"/>
      <c r="EL322" s="97"/>
      <c r="EM322" s="97"/>
      <c r="EN322" s="97"/>
      <c r="EO322" s="97"/>
      <c r="EP322" s="97"/>
      <c r="EQ322" s="97"/>
      <c r="ER322" s="97"/>
      <c r="ES322" s="97"/>
      <c r="ET322" s="97"/>
    </row>
    <row r="323" spans="1:150" ht="15.75" customHeight="1">
      <c r="A323" s="97"/>
      <c r="B323" s="97"/>
      <c r="C323" s="97"/>
      <c r="D323" s="97"/>
      <c r="E323" s="97"/>
      <c r="F323" s="97"/>
      <c r="G323" s="97"/>
      <c r="H323" s="129"/>
      <c r="I323" s="97"/>
      <c r="J323" s="97"/>
      <c r="K323" s="97"/>
      <c r="L323" s="97"/>
      <c r="M323" s="97"/>
      <c r="N323" s="97"/>
      <c r="O323" s="97"/>
      <c r="P323" s="97"/>
      <c r="Q323" s="97"/>
      <c r="R323" s="97"/>
      <c r="S323" s="97"/>
      <c r="T323" s="97"/>
      <c r="U323" s="97"/>
      <c r="V323" s="97"/>
      <c r="W323" s="97"/>
      <c r="X323" s="129"/>
      <c r="Y323" s="97"/>
      <c r="Z323" s="97"/>
      <c r="AA323" s="97"/>
      <c r="AB323" s="97"/>
      <c r="AC323" s="97"/>
      <c r="AD323" s="97"/>
      <c r="AE323" s="97"/>
      <c r="AF323" s="97"/>
      <c r="AG323" s="97"/>
      <c r="AH323" s="97"/>
      <c r="AI323" s="97"/>
      <c r="AJ323" s="97"/>
      <c r="AK323" s="97"/>
      <c r="AL323" s="97"/>
      <c r="AM323" s="97"/>
      <c r="AN323" s="97"/>
      <c r="AO323" s="97"/>
      <c r="AP323" s="97"/>
      <c r="AQ323" s="97"/>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c r="DF323" s="97"/>
      <c r="DG323" s="97"/>
      <c r="DH323" s="97"/>
      <c r="DI323" s="97"/>
      <c r="DJ323" s="97"/>
      <c r="DK323" s="97"/>
      <c r="DL323" s="97"/>
      <c r="DM323" s="97"/>
      <c r="DN323" s="97"/>
      <c r="DO323" s="97"/>
      <c r="DP323" s="97"/>
      <c r="DQ323" s="97"/>
      <c r="DR323" s="97"/>
      <c r="DS323" s="97"/>
      <c r="DT323" s="97"/>
      <c r="DU323" s="97"/>
      <c r="DV323" s="97"/>
      <c r="DW323" s="97"/>
      <c r="DX323" s="97"/>
      <c r="DY323" s="97"/>
      <c r="DZ323" s="97"/>
      <c r="EA323" s="97"/>
      <c r="EB323" s="97"/>
      <c r="EC323" s="97"/>
      <c r="ED323" s="97"/>
      <c r="EE323" s="97"/>
      <c r="EF323" s="97"/>
      <c r="EG323" s="97"/>
      <c r="EH323" s="97"/>
      <c r="EI323" s="97"/>
      <c r="EJ323" s="97"/>
      <c r="EK323" s="97"/>
      <c r="EL323" s="97"/>
      <c r="EM323" s="97"/>
      <c r="EN323" s="97"/>
      <c r="EO323" s="97"/>
      <c r="EP323" s="97"/>
      <c r="EQ323" s="97"/>
      <c r="ER323" s="97"/>
      <c r="ES323" s="97"/>
      <c r="ET323" s="97"/>
    </row>
    <row r="324" spans="1:150" ht="15.75" customHeight="1">
      <c r="A324" s="97"/>
      <c r="B324" s="97"/>
      <c r="C324" s="97"/>
      <c r="D324" s="97"/>
      <c r="E324" s="97"/>
      <c r="F324" s="97"/>
      <c r="G324" s="97"/>
      <c r="H324" s="129"/>
      <c r="I324" s="97"/>
      <c r="J324" s="97"/>
      <c r="K324" s="97"/>
      <c r="L324" s="97"/>
      <c r="M324" s="97"/>
      <c r="N324" s="97"/>
      <c r="O324" s="97"/>
      <c r="P324" s="97"/>
      <c r="Q324" s="97"/>
      <c r="R324" s="97"/>
      <c r="S324" s="97"/>
      <c r="T324" s="97"/>
      <c r="U324" s="97"/>
      <c r="V324" s="97"/>
      <c r="W324" s="97"/>
      <c r="X324" s="129"/>
      <c r="Y324" s="97"/>
      <c r="Z324" s="97"/>
      <c r="AA324" s="97"/>
      <c r="AB324" s="97"/>
      <c r="AC324" s="97"/>
      <c r="AD324" s="97"/>
      <c r="AE324" s="97"/>
      <c r="AF324" s="97"/>
      <c r="AG324" s="97"/>
      <c r="AH324" s="97"/>
      <c r="AI324" s="97"/>
      <c r="AJ324" s="97"/>
      <c r="AK324" s="97"/>
      <c r="AL324" s="97"/>
      <c r="AM324" s="97"/>
      <c r="AN324" s="97"/>
      <c r="AO324" s="97"/>
      <c r="AP324" s="97"/>
      <c r="AQ324" s="97"/>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c r="DF324" s="97"/>
      <c r="DG324" s="97"/>
      <c r="DH324" s="97"/>
      <c r="DI324" s="97"/>
      <c r="DJ324" s="97"/>
      <c r="DK324" s="97"/>
      <c r="DL324" s="97"/>
      <c r="DM324" s="97"/>
      <c r="DN324" s="97"/>
      <c r="DO324" s="97"/>
      <c r="DP324" s="97"/>
      <c r="DQ324" s="97"/>
      <c r="DR324" s="97"/>
      <c r="DS324" s="97"/>
      <c r="DT324" s="97"/>
      <c r="DU324" s="97"/>
      <c r="DV324" s="97"/>
      <c r="DW324" s="97"/>
      <c r="DX324" s="97"/>
      <c r="DY324" s="97"/>
      <c r="DZ324" s="97"/>
      <c r="EA324" s="97"/>
      <c r="EB324" s="97"/>
      <c r="EC324" s="97"/>
      <c r="ED324" s="97"/>
      <c r="EE324" s="97"/>
      <c r="EF324" s="97"/>
      <c r="EG324" s="97"/>
      <c r="EH324" s="97"/>
      <c r="EI324" s="97"/>
      <c r="EJ324" s="97"/>
      <c r="EK324" s="97"/>
      <c r="EL324" s="97"/>
      <c r="EM324" s="97"/>
      <c r="EN324" s="97"/>
      <c r="EO324" s="97"/>
      <c r="EP324" s="97"/>
      <c r="EQ324" s="97"/>
      <c r="ER324" s="97"/>
      <c r="ES324" s="97"/>
      <c r="ET324" s="97"/>
    </row>
    <row r="325" spans="1:150" ht="15.75" customHeight="1">
      <c r="A325" s="97"/>
      <c r="B325" s="97"/>
      <c r="C325" s="97"/>
      <c r="D325" s="97"/>
      <c r="E325" s="97"/>
      <c r="F325" s="97"/>
      <c r="G325" s="97"/>
      <c r="H325" s="129"/>
      <c r="I325" s="97"/>
      <c r="J325" s="97"/>
      <c r="K325" s="97"/>
      <c r="L325" s="97"/>
      <c r="M325" s="97"/>
      <c r="N325" s="97"/>
      <c r="O325" s="97"/>
      <c r="P325" s="97"/>
      <c r="Q325" s="97"/>
      <c r="R325" s="97"/>
      <c r="S325" s="97"/>
      <c r="T325" s="97"/>
      <c r="U325" s="97"/>
      <c r="V325" s="97"/>
      <c r="W325" s="97"/>
      <c r="X325" s="129"/>
      <c r="Y325" s="97"/>
      <c r="Z325" s="97"/>
      <c r="AA325" s="97"/>
      <c r="AB325" s="97"/>
      <c r="AC325" s="97"/>
      <c r="AD325" s="97"/>
      <c r="AE325" s="97"/>
      <c r="AF325" s="97"/>
      <c r="AG325" s="97"/>
      <c r="AH325" s="97"/>
      <c r="AI325" s="97"/>
      <c r="AJ325" s="97"/>
      <c r="AK325" s="97"/>
      <c r="AL325" s="97"/>
      <c r="AM325" s="97"/>
      <c r="AN325" s="97"/>
      <c r="AO325" s="97"/>
      <c r="AP325" s="97"/>
      <c r="AQ325" s="97"/>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c r="DF325" s="97"/>
      <c r="DG325" s="97"/>
      <c r="DH325" s="97"/>
      <c r="DI325" s="97"/>
      <c r="DJ325" s="97"/>
      <c r="DK325" s="97"/>
      <c r="DL325" s="97"/>
      <c r="DM325" s="97"/>
      <c r="DN325" s="97"/>
      <c r="DO325" s="97"/>
      <c r="DP325" s="97"/>
      <c r="DQ325" s="97"/>
      <c r="DR325" s="97"/>
      <c r="DS325" s="97"/>
      <c r="DT325" s="97"/>
      <c r="DU325" s="97"/>
      <c r="DV325" s="97"/>
      <c r="DW325" s="97"/>
      <c r="DX325" s="97"/>
      <c r="DY325" s="97"/>
      <c r="DZ325" s="97"/>
      <c r="EA325" s="97"/>
      <c r="EB325" s="97"/>
      <c r="EC325" s="97"/>
      <c r="ED325" s="97"/>
      <c r="EE325" s="97"/>
      <c r="EF325" s="97"/>
      <c r="EG325" s="97"/>
      <c r="EH325" s="97"/>
      <c r="EI325" s="97"/>
      <c r="EJ325" s="97"/>
      <c r="EK325" s="97"/>
      <c r="EL325" s="97"/>
      <c r="EM325" s="97"/>
      <c r="EN325" s="97"/>
      <c r="EO325" s="97"/>
      <c r="EP325" s="97"/>
      <c r="EQ325" s="97"/>
      <c r="ER325" s="97"/>
      <c r="ES325" s="97"/>
      <c r="ET325" s="97"/>
    </row>
    <row r="326" spans="1:150" ht="15.75" customHeight="1">
      <c r="A326" s="97"/>
      <c r="B326" s="97"/>
      <c r="C326" s="97"/>
      <c r="D326" s="97"/>
      <c r="E326" s="97"/>
      <c r="F326" s="97"/>
      <c r="G326" s="97"/>
      <c r="H326" s="129"/>
      <c r="I326" s="97"/>
      <c r="J326" s="97"/>
      <c r="K326" s="97"/>
      <c r="L326" s="97"/>
      <c r="M326" s="97"/>
      <c r="N326" s="97"/>
      <c r="O326" s="97"/>
      <c r="P326" s="97"/>
      <c r="Q326" s="97"/>
      <c r="R326" s="97"/>
      <c r="S326" s="97"/>
      <c r="T326" s="97"/>
      <c r="U326" s="97"/>
      <c r="V326" s="97"/>
      <c r="W326" s="97"/>
      <c r="X326" s="129"/>
      <c r="Y326" s="97"/>
      <c r="Z326" s="97"/>
      <c r="AA326" s="97"/>
      <c r="AB326" s="97"/>
      <c r="AC326" s="97"/>
      <c r="AD326" s="97"/>
      <c r="AE326" s="97"/>
      <c r="AF326" s="97"/>
      <c r="AG326" s="97"/>
      <c r="AH326" s="97"/>
      <c r="AI326" s="97"/>
      <c r="AJ326" s="97"/>
      <c r="AK326" s="97"/>
      <c r="AL326" s="97"/>
      <c r="AM326" s="97"/>
      <c r="AN326" s="97"/>
      <c r="AO326" s="97"/>
      <c r="AP326" s="97"/>
      <c r="AQ326" s="97"/>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c r="DF326" s="97"/>
      <c r="DG326" s="97"/>
      <c r="DH326" s="97"/>
      <c r="DI326" s="97"/>
      <c r="DJ326" s="97"/>
      <c r="DK326" s="97"/>
      <c r="DL326" s="97"/>
      <c r="DM326" s="97"/>
      <c r="DN326" s="97"/>
      <c r="DO326" s="97"/>
      <c r="DP326" s="97"/>
      <c r="DQ326" s="97"/>
      <c r="DR326" s="97"/>
      <c r="DS326" s="97"/>
      <c r="DT326" s="97"/>
      <c r="DU326" s="97"/>
      <c r="DV326" s="97"/>
      <c r="DW326" s="97"/>
      <c r="DX326" s="97"/>
      <c r="DY326" s="97"/>
      <c r="DZ326" s="97"/>
      <c r="EA326" s="97"/>
      <c r="EB326" s="97"/>
      <c r="EC326" s="97"/>
      <c r="ED326" s="97"/>
      <c r="EE326" s="97"/>
      <c r="EF326" s="97"/>
      <c r="EG326" s="97"/>
      <c r="EH326" s="97"/>
      <c r="EI326" s="97"/>
      <c r="EJ326" s="97"/>
      <c r="EK326" s="97"/>
      <c r="EL326" s="97"/>
      <c r="EM326" s="97"/>
      <c r="EN326" s="97"/>
      <c r="EO326" s="97"/>
      <c r="EP326" s="97"/>
      <c r="EQ326" s="97"/>
      <c r="ER326" s="97"/>
      <c r="ES326" s="97"/>
      <c r="ET326" s="97"/>
    </row>
    <row r="327" spans="1:150" ht="15.75" customHeight="1">
      <c r="A327" s="97"/>
      <c r="B327" s="97"/>
      <c r="C327" s="97"/>
      <c r="D327" s="97"/>
      <c r="E327" s="97"/>
      <c r="F327" s="97"/>
      <c r="G327" s="97"/>
      <c r="H327" s="129"/>
      <c r="I327" s="97"/>
      <c r="J327" s="97"/>
      <c r="K327" s="97"/>
      <c r="L327" s="97"/>
      <c r="M327" s="97"/>
      <c r="N327" s="97"/>
      <c r="O327" s="97"/>
      <c r="P327" s="97"/>
      <c r="Q327" s="97"/>
      <c r="R327" s="97"/>
      <c r="S327" s="97"/>
      <c r="T327" s="97"/>
      <c r="U327" s="97"/>
      <c r="V327" s="97"/>
      <c r="W327" s="97"/>
      <c r="X327" s="129"/>
      <c r="Y327" s="97"/>
      <c r="Z327" s="97"/>
      <c r="AA327" s="97"/>
      <c r="AB327" s="97"/>
      <c r="AC327" s="97"/>
      <c r="AD327" s="97"/>
      <c r="AE327" s="97"/>
      <c r="AF327" s="97"/>
      <c r="AG327" s="97"/>
      <c r="AH327" s="97"/>
      <c r="AI327" s="97"/>
      <c r="AJ327" s="97"/>
      <c r="AK327" s="97"/>
      <c r="AL327" s="97"/>
      <c r="AM327" s="97"/>
      <c r="AN327" s="97"/>
      <c r="AO327" s="97"/>
      <c r="AP327" s="97"/>
      <c r="AQ327" s="97"/>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c r="DF327" s="97"/>
      <c r="DG327" s="97"/>
      <c r="DH327" s="97"/>
      <c r="DI327" s="97"/>
      <c r="DJ327" s="97"/>
      <c r="DK327" s="97"/>
      <c r="DL327" s="97"/>
      <c r="DM327" s="97"/>
      <c r="DN327" s="97"/>
      <c r="DO327" s="97"/>
      <c r="DP327" s="97"/>
      <c r="DQ327" s="97"/>
      <c r="DR327" s="97"/>
      <c r="DS327" s="97"/>
      <c r="DT327" s="97"/>
      <c r="DU327" s="97"/>
      <c r="DV327" s="97"/>
      <c r="DW327" s="97"/>
      <c r="DX327" s="97"/>
      <c r="DY327" s="97"/>
      <c r="DZ327" s="97"/>
      <c r="EA327" s="97"/>
      <c r="EB327" s="97"/>
      <c r="EC327" s="97"/>
      <c r="ED327" s="97"/>
      <c r="EE327" s="97"/>
      <c r="EF327" s="97"/>
      <c r="EG327" s="97"/>
      <c r="EH327" s="97"/>
      <c r="EI327" s="97"/>
      <c r="EJ327" s="97"/>
      <c r="EK327" s="97"/>
      <c r="EL327" s="97"/>
      <c r="EM327" s="97"/>
      <c r="EN327" s="97"/>
      <c r="EO327" s="97"/>
      <c r="EP327" s="97"/>
      <c r="EQ327" s="97"/>
      <c r="ER327" s="97"/>
      <c r="ES327" s="97"/>
      <c r="ET327" s="97"/>
    </row>
    <row r="328" spans="1:150" ht="15.75" customHeight="1">
      <c r="A328" s="97"/>
      <c r="B328" s="97"/>
      <c r="C328" s="97"/>
      <c r="D328" s="97"/>
      <c r="E328" s="97"/>
      <c r="F328" s="97"/>
      <c r="G328" s="97"/>
      <c r="H328" s="129"/>
      <c r="I328" s="97"/>
      <c r="J328" s="97"/>
      <c r="K328" s="97"/>
      <c r="L328" s="97"/>
      <c r="M328" s="97"/>
      <c r="N328" s="97"/>
      <c r="O328" s="97"/>
      <c r="P328" s="97"/>
      <c r="Q328" s="97"/>
      <c r="R328" s="97"/>
      <c r="S328" s="97"/>
      <c r="T328" s="97"/>
      <c r="U328" s="97"/>
      <c r="V328" s="97"/>
      <c r="W328" s="97"/>
      <c r="X328" s="129"/>
      <c r="Y328" s="97"/>
      <c r="Z328" s="97"/>
      <c r="AA328" s="97"/>
      <c r="AB328" s="97"/>
      <c r="AC328" s="97"/>
      <c r="AD328" s="97"/>
      <c r="AE328" s="97"/>
      <c r="AF328" s="97"/>
      <c r="AG328" s="97"/>
      <c r="AH328" s="97"/>
      <c r="AI328" s="97"/>
      <c r="AJ328" s="97"/>
      <c r="AK328" s="97"/>
      <c r="AL328" s="97"/>
      <c r="AM328" s="97"/>
      <c r="AN328" s="97"/>
      <c r="AO328" s="97"/>
      <c r="AP328" s="97"/>
      <c r="AQ328" s="97"/>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c r="DF328" s="97"/>
      <c r="DG328" s="97"/>
      <c r="DH328" s="97"/>
      <c r="DI328" s="97"/>
      <c r="DJ328" s="97"/>
      <c r="DK328" s="97"/>
      <c r="DL328" s="97"/>
      <c r="DM328" s="97"/>
      <c r="DN328" s="97"/>
      <c r="DO328" s="97"/>
      <c r="DP328" s="97"/>
      <c r="DQ328" s="97"/>
      <c r="DR328" s="97"/>
      <c r="DS328" s="97"/>
      <c r="DT328" s="97"/>
      <c r="DU328" s="97"/>
      <c r="DV328" s="97"/>
      <c r="DW328" s="97"/>
      <c r="DX328" s="97"/>
      <c r="DY328" s="97"/>
      <c r="DZ328" s="97"/>
      <c r="EA328" s="97"/>
      <c r="EB328" s="97"/>
      <c r="EC328" s="97"/>
      <c r="ED328" s="97"/>
      <c r="EE328" s="97"/>
      <c r="EF328" s="97"/>
      <c r="EG328" s="97"/>
      <c r="EH328" s="97"/>
      <c r="EI328" s="97"/>
      <c r="EJ328" s="97"/>
      <c r="EK328" s="97"/>
      <c r="EL328" s="97"/>
      <c r="EM328" s="97"/>
      <c r="EN328" s="97"/>
      <c r="EO328" s="97"/>
      <c r="EP328" s="97"/>
      <c r="EQ328" s="97"/>
      <c r="ER328" s="97"/>
      <c r="ES328" s="97"/>
      <c r="ET328" s="97"/>
    </row>
    <row r="329" spans="1:150" ht="15.75" customHeight="1">
      <c r="A329" s="97"/>
      <c r="B329" s="97"/>
      <c r="C329" s="97"/>
      <c r="D329" s="97"/>
      <c r="E329" s="97"/>
      <c r="F329" s="97"/>
      <c r="G329" s="97"/>
      <c r="H329" s="129"/>
      <c r="I329" s="97"/>
      <c r="J329" s="97"/>
      <c r="K329" s="97"/>
      <c r="L329" s="97"/>
      <c r="M329" s="97"/>
      <c r="N329" s="97"/>
      <c r="O329" s="97"/>
      <c r="P329" s="97"/>
      <c r="Q329" s="97"/>
      <c r="R329" s="97"/>
      <c r="S329" s="97"/>
      <c r="T329" s="97"/>
      <c r="U329" s="97"/>
      <c r="V329" s="97"/>
      <c r="W329" s="97"/>
      <c r="X329" s="129"/>
      <c r="Y329" s="97"/>
      <c r="Z329" s="97"/>
      <c r="AA329" s="97"/>
      <c r="AB329" s="97"/>
      <c r="AC329" s="97"/>
      <c r="AD329" s="97"/>
      <c r="AE329" s="97"/>
      <c r="AF329" s="97"/>
      <c r="AG329" s="97"/>
      <c r="AH329" s="97"/>
      <c r="AI329" s="97"/>
      <c r="AJ329" s="97"/>
      <c r="AK329" s="97"/>
      <c r="AL329" s="97"/>
      <c r="AM329" s="97"/>
      <c r="AN329" s="97"/>
      <c r="AO329" s="97"/>
      <c r="AP329" s="97"/>
      <c r="AQ329" s="97"/>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c r="DF329" s="97"/>
      <c r="DG329" s="97"/>
      <c r="DH329" s="97"/>
      <c r="DI329" s="97"/>
      <c r="DJ329" s="97"/>
      <c r="DK329" s="97"/>
      <c r="DL329" s="97"/>
      <c r="DM329" s="97"/>
      <c r="DN329" s="97"/>
      <c r="DO329" s="97"/>
      <c r="DP329" s="97"/>
      <c r="DQ329" s="97"/>
      <c r="DR329" s="97"/>
      <c r="DS329" s="97"/>
      <c r="DT329" s="97"/>
      <c r="DU329" s="97"/>
      <c r="DV329" s="97"/>
      <c r="DW329" s="97"/>
      <c r="DX329" s="97"/>
      <c r="DY329" s="97"/>
      <c r="DZ329" s="97"/>
      <c r="EA329" s="97"/>
      <c r="EB329" s="97"/>
      <c r="EC329" s="97"/>
      <c r="ED329" s="97"/>
      <c r="EE329" s="97"/>
      <c r="EF329" s="97"/>
      <c r="EG329" s="97"/>
      <c r="EH329" s="97"/>
      <c r="EI329" s="97"/>
      <c r="EJ329" s="97"/>
      <c r="EK329" s="97"/>
      <c r="EL329" s="97"/>
      <c r="EM329" s="97"/>
      <c r="EN329" s="97"/>
      <c r="EO329" s="97"/>
      <c r="EP329" s="97"/>
      <c r="EQ329" s="97"/>
      <c r="ER329" s="97"/>
      <c r="ES329" s="97"/>
      <c r="ET329" s="97"/>
    </row>
    <row r="330" spans="1:150" ht="15.75" customHeight="1">
      <c r="A330" s="97"/>
      <c r="B330" s="97"/>
      <c r="C330" s="97"/>
      <c r="D330" s="97"/>
      <c r="E330" s="97"/>
      <c r="F330" s="97"/>
      <c r="G330" s="97"/>
      <c r="H330" s="129"/>
      <c r="I330" s="97"/>
      <c r="J330" s="97"/>
      <c r="K330" s="97"/>
      <c r="L330" s="97"/>
      <c r="M330" s="97"/>
      <c r="N330" s="97"/>
      <c r="O330" s="97"/>
      <c r="P330" s="97"/>
      <c r="Q330" s="97"/>
      <c r="R330" s="97"/>
      <c r="S330" s="97"/>
      <c r="T330" s="97"/>
      <c r="U330" s="97"/>
      <c r="V330" s="97"/>
      <c r="W330" s="97"/>
      <c r="X330" s="129"/>
      <c r="Y330" s="97"/>
      <c r="Z330" s="97"/>
      <c r="AA330" s="97"/>
      <c r="AB330" s="97"/>
      <c r="AC330" s="97"/>
      <c r="AD330" s="97"/>
      <c r="AE330" s="97"/>
      <c r="AF330" s="97"/>
      <c r="AG330" s="97"/>
      <c r="AH330" s="97"/>
      <c r="AI330" s="97"/>
      <c r="AJ330" s="97"/>
      <c r="AK330" s="97"/>
      <c r="AL330" s="97"/>
      <c r="AM330" s="97"/>
      <c r="AN330" s="97"/>
      <c r="AO330" s="97"/>
      <c r="AP330" s="97"/>
      <c r="AQ330" s="97"/>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c r="DF330" s="97"/>
      <c r="DG330" s="97"/>
      <c r="DH330" s="97"/>
      <c r="DI330" s="97"/>
      <c r="DJ330" s="97"/>
      <c r="DK330" s="97"/>
      <c r="DL330" s="97"/>
      <c r="DM330" s="97"/>
      <c r="DN330" s="97"/>
      <c r="DO330" s="97"/>
      <c r="DP330" s="97"/>
      <c r="DQ330" s="97"/>
      <c r="DR330" s="97"/>
      <c r="DS330" s="97"/>
      <c r="DT330" s="97"/>
      <c r="DU330" s="97"/>
      <c r="DV330" s="97"/>
      <c r="DW330" s="97"/>
      <c r="DX330" s="97"/>
      <c r="DY330" s="97"/>
      <c r="DZ330" s="97"/>
      <c r="EA330" s="97"/>
      <c r="EB330" s="97"/>
      <c r="EC330" s="97"/>
      <c r="ED330" s="97"/>
      <c r="EE330" s="97"/>
      <c r="EF330" s="97"/>
      <c r="EG330" s="97"/>
      <c r="EH330" s="97"/>
      <c r="EI330" s="97"/>
      <c r="EJ330" s="97"/>
      <c r="EK330" s="97"/>
      <c r="EL330" s="97"/>
      <c r="EM330" s="97"/>
      <c r="EN330" s="97"/>
      <c r="EO330" s="97"/>
      <c r="EP330" s="97"/>
      <c r="EQ330" s="97"/>
      <c r="ER330" s="97"/>
      <c r="ES330" s="97"/>
      <c r="ET330" s="97"/>
    </row>
    <row r="331" spans="1:150" ht="15.75" customHeight="1">
      <c r="A331" s="97"/>
      <c r="B331" s="97"/>
      <c r="C331" s="97"/>
      <c r="D331" s="97"/>
      <c r="E331" s="97"/>
      <c r="F331" s="97"/>
      <c r="G331" s="97"/>
      <c r="H331" s="129"/>
      <c r="I331" s="97"/>
      <c r="J331" s="97"/>
      <c r="K331" s="97"/>
      <c r="L331" s="97"/>
      <c r="M331" s="97"/>
      <c r="N331" s="97"/>
      <c r="O331" s="97"/>
      <c r="P331" s="97"/>
      <c r="Q331" s="97"/>
      <c r="R331" s="97"/>
      <c r="S331" s="97"/>
      <c r="T331" s="97"/>
      <c r="U331" s="97"/>
      <c r="V331" s="97"/>
      <c r="W331" s="97"/>
      <c r="X331" s="129"/>
      <c r="Y331" s="97"/>
      <c r="Z331" s="97"/>
      <c r="AA331" s="97"/>
      <c r="AB331" s="97"/>
      <c r="AC331" s="97"/>
      <c r="AD331" s="97"/>
      <c r="AE331" s="97"/>
      <c r="AF331" s="97"/>
      <c r="AG331" s="97"/>
      <c r="AH331" s="97"/>
      <c r="AI331" s="97"/>
      <c r="AJ331" s="97"/>
      <c r="AK331" s="97"/>
      <c r="AL331" s="97"/>
      <c r="AM331" s="97"/>
      <c r="AN331" s="97"/>
      <c r="AO331" s="97"/>
      <c r="AP331" s="97"/>
      <c r="AQ331" s="97"/>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c r="DF331" s="97"/>
      <c r="DG331" s="97"/>
      <c r="DH331" s="97"/>
      <c r="DI331" s="97"/>
      <c r="DJ331" s="97"/>
      <c r="DK331" s="97"/>
      <c r="DL331" s="97"/>
      <c r="DM331" s="97"/>
      <c r="DN331" s="97"/>
      <c r="DO331" s="97"/>
      <c r="DP331" s="97"/>
      <c r="DQ331" s="97"/>
      <c r="DR331" s="97"/>
      <c r="DS331" s="97"/>
      <c r="DT331" s="97"/>
      <c r="DU331" s="97"/>
      <c r="DV331" s="97"/>
      <c r="DW331" s="97"/>
      <c r="DX331" s="97"/>
      <c r="DY331" s="97"/>
      <c r="DZ331" s="97"/>
      <c r="EA331" s="97"/>
      <c r="EB331" s="97"/>
      <c r="EC331" s="97"/>
      <c r="ED331" s="97"/>
      <c r="EE331" s="97"/>
      <c r="EF331" s="97"/>
      <c r="EG331" s="97"/>
      <c r="EH331" s="97"/>
      <c r="EI331" s="97"/>
      <c r="EJ331" s="97"/>
      <c r="EK331" s="97"/>
      <c r="EL331" s="97"/>
      <c r="EM331" s="97"/>
      <c r="EN331" s="97"/>
      <c r="EO331" s="97"/>
      <c r="EP331" s="97"/>
      <c r="EQ331" s="97"/>
      <c r="ER331" s="97"/>
      <c r="ES331" s="97"/>
      <c r="ET331" s="97"/>
    </row>
    <row r="332" spans="1:150" ht="15.75" customHeight="1">
      <c r="A332" s="97"/>
      <c r="B332" s="97"/>
      <c r="C332" s="97"/>
      <c r="D332" s="97"/>
      <c r="E332" s="97"/>
      <c r="F332" s="97"/>
      <c r="G332" s="97"/>
      <c r="H332" s="129"/>
      <c r="I332" s="97"/>
      <c r="J332" s="97"/>
      <c r="K332" s="97"/>
      <c r="L332" s="97"/>
      <c r="M332" s="97"/>
      <c r="N332" s="97"/>
      <c r="O332" s="97"/>
      <c r="P332" s="97"/>
      <c r="Q332" s="97"/>
      <c r="R332" s="97"/>
      <c r="S332" s="97"/>
      <c r="T332" s="97"/>
      <c r="U332" s="97"/>
      <c r="V332" s="97"/>
      <c r="W332" s="97"/>
      <c r="X332" s="129"/>
      <c r="Y332" s="97"/>
      <c r="Z332" s="97"/>
      <c r="AA332" s="97"/>
      <c r="AB332" s="97"/>
      <c r="AC332" s="97"/>
      <c r="AD332" s="97"/>
      <c r="AE332" s="97"/>
      <c r="AF332" s="97"/>
      <c r="AG332" s="97"/>
      <c r="AH332" s="97"/>
      <c r="AI332" s="97"/>
      <c r="AJ332" s="97"/>
      <c r="AK332" s="97"/>
      <c r="AL332" s="97"/>
      <c r="AM332" s="97"/>
      <c r="AN332" s="97"/>
      <c r="AO332" s="97"/>
      <c r="AP332" s="97"/>
      <c r="AQ332" s="97"/>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c r="DF332" s="97"/>
      <c r="DG332" s="97"/>
      <c r="DH332" s="97"/>
      <c r="DI332" s="97"/>
      <c r="DJ332" s="97"/>
      <c r="DK332" s="97"/>
      <c r="DL332" s="97"/>
      <c r="DM332" s="97"/>
      <c r="DN332" s="97"/>
      <c r="DO332" s="97"/>
      <c r="DP332" s="97"/>
      <c r="DQ332" s="97"/>
      <c r="DR332" s="97"/>
      <c r="DS332" s="97"/>
      <c r="DT332" s="97"/>
      <c r="DU332" s="97"/>
      <c r="DV332" s="97"/>
      <c r="DW332" s="97"/>
      <c r="DX332" s="97"/>
      <c r="DY332" s="97"/>
      <c r="DZ332" s="97"/>
      <c r="EA332" s="97"/>
      <c r="EB332" s="97"/>
      <c r="EC332" s="97"/>
      <c r="ED332" s="97"/>
      <c r="EE332" s="97"/>
      <c r="EF332" s="97"/>
      <c r="EG332" s="97"/>
      <c r="EH332" s="97"/>
      <c r="EI332" s="97"/>
      <c r="EJ332" s="97"/>
      <c r="EK332" s="97"/>
      <c r="EL332" s="97"/>
      <c r="EM332" s="97"/>
      <c r="EN332" s="97"/>
      <c r="EO332" s="97"/>
      <c r="EP332" s="97"/>
      <c r="EQ332" s="97"/>
      <c r="ER332" s="97"/>
      <c r="ES332" s="97"/>
      <c r="ET332" s="97"/>
    </row>
    <row r="333" spans="1:150" ht="15.75" customHeight="1">
      <c r="A333" s="97"/>
      <c r="B333" s="97"/>
      <c r="C333" s="97"/>
      <c r="D333" s="97"/>
      <c r="E333" s="97"/>
      <c r="F333" s="97"/>
      <c r="G333" s="97"/>
      <c r="H333" s="129"/>
      <c r="I333" s="97"/>
      <c r="J333" s="97"/>
      <c r="K333" s="97"/>
      <c r="L333" s="97"/>
      <c r="M333" s="97"/>
      <c r="N333" s="97"/>
      <c r="O333" s="97"/>
      <c r="P333" s="97"/>
      <c r="Q333" s="97"/>
      <c r="R333" s="97"/>
      <c r="S333" s="97"/>
      <c r="T333" s="97"/>
      <c r="U333" s="97"/>
      <c r="V333" s="97"/>
      <c r="W333" s="97"/>
      <c r="X333" s="129"/>
      <c r="Y333" s="97"/>
      <c r="Z333" s="97"/>
      <c r="AA333" s="97"/>
      <c r="AB333" s="97"/>
      <c r="AC333" s="97"/>
      <c r="AD333" s="97"/>
      <c r="AE333" s="97"/>
      <c r="AF333" s="97"/>
      <c r="AG333" s="97"/>
      <c r="AH333" s="97"/>
      <c r="AI333" s="97"/>
      <c r="AJ333" s="97"/>
      <c r="AK333" s="97"/>
      <c r="AL333" s="97"/>
      <c r="AM333" s="97"/>
      <c r="AN333" s="97"/>
      <c r="AO333" s="97"/>
      <c r="AP333" s="97"/>
      <c r="AQ333" s="97"/>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c r="DF333" s="97"/>
      <c r="DG333" s="97"/>
      <c r="DH333" s="97"/>
      <c r="DI333" s="97"/>
      <c r="DJ333" s="97"/>
      <c r="DK333" s="97"/>
      <c r="DL333" s="97"/>
      <c r="DM333" s="97"/>
      <c r="DN333" s="97"/>
      <c r="DO333" s="97"/>
      <c r="DP333" s="97"/>
      <c r="DQ333" s="97"/>
      <c r="DR333" s="97"/>
      <c r="DS333" s="97"/>
      <c r="DT333" s="97"/>
      <c r="DU333" s="97"/>
      <c r="DV333" s="97"/>
      <c r="DW333" s="97"/>
      <c r="DX333" s="97"/>
      <c r="DY333" s="97"/>
      <c r="DZ333" s="97"/>
      <c r="EA333" s="97"/>
      <c r="EB333" s="97"/>
      <c r="EC333" s="97"/>
      <c r="ED333" s="97"/>
      <c r="EE333" s="97"/>
      <c r="EF333" s="97"/>
      <c r="EG333" s="97"/>
      <c r="EH333" s="97"/>
      <c r="EI333" s="97"/>
      <c r="EJ333" s="97"/>
      <c r="EK333" s="97"/>
      <c r="EL333" s="97"/>
      <c r="EM333" s="97"/>
      <c r="EN333" s="97"/>
      <c r="EO333" s="97"/>
      <c r="EP333" s="97"/>
      <c r="EQ333" s="97"/>
      <c r="ER333" s="97"/>
      <c r="ES333" s="97"/>
      <c r="ET333" s="97"/>
    </row>
    <row r="334" spans="1:150" ht="15.75" customHeight="1">
      <c r="A334" s="97"/>
      <c r="B334" s="97"/>
      <c r="C334" s="97"/>
      <c r="D334" s="97"/>
      <c r="E334" s="97"/>
      <c r="F334" s="97"/>
      <c r="G334" s="97"/>
      <c r="H334" s="129"/>
      <c r="I334" s="97"/>
      <c r="J334" s="97"/>
      <c r="K334" s="97"/>
      <c r="L334" s="97"/>
      <c r="M334" s="97"/>
      <c r="N334" s="97"/>
      <c r="O334" s="97"/>
      <c r="P334" s="97"/>
      <c r="Q334" s="97"/>
      <c r="R334" s="97"/>
      <c r="S334" s="97"/>
      <c r="T334" s="97"/>
      <c r="U334" s="97"/>
      <c r="V334" s="97"/>
      <c r="W334" s="97"/>
      <c r="X334" s="129"/>
      <c r="Y334" s="97"/>
      <c r="Z334" s="97"/>
      <c r="AA334" s="97"/>
      <c r="AB334" s="97"/>
      <c r="AC334" s="97"/>
      <c r="AD334" s="97"/>
      <c r="AE334" s="97"/>
      <c r="AF334" s="97"/>
      <c r="AG334" s="97"/>
      <c r="AH334" s="97"/>
      <c r="AI334" s="97"/>
      <c r="AJ334" s="97"/>
      <c r="AK334" s="97"/>
      <c r="AL334" s="97"/>
      <c r="AM334" s="97"/>
      <c r="AN334" s="97"/>
      <c r="AO334" s="97"/>
      <c r="AP334" s="97"/>
      <c r="AQ334" s="97"/>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c r="DF334" s="97"/>
      <c r="DG334" s="97"/>
      <c r="DH334" s="97"/>
      <c r="DI334" s="97"/>
      <c r="DJ334" s="97"/>
      <c r="DK334" s="97"/>
      <c r="DL334" s="97"/>
      <c r="DM334" s="97"/>
      <c r="DN334" s="97"/>
      <c r="DO334" s="97"/>
      <c r="DP334" s="97"/>
      <c r="DQ334" s="97"/>
      <c r="DR334" s="97"/>
      <c r="DS334" s="97"/>
      <c r="DT334" s="97"/>
      <c r="DU334" s="97"/>
      <c r="DV334" s="97"/>
      <c r="DW334" s="97"/>
      <c r="DX334" s="97"/>
      <c r="DY334" s="97"/>
      <c r="DZ334" s="97"/>
      <c r="EA334" s="97"/>
      <c r="EB334" s="97"/>
      <c r="EC334" s="97"/>
      <c r="ED334" s="97"/>
      <c r="EE334" s="97"/>
      <c r="EF334" s="97"/>
      <c r="EG334" s="97"/>
      <c r="EH334" s="97"/>
      <c r="EI334" s="97"/>
      <c r="EJ334" s="97"/>
      <c r="EK334" s="97"/>
      <c r="EL334" s="97"/>
      <c r="EM334" s="97"/>
      <c r="EN334" s="97"/>
      <c r="EO334" s="97"/>
      <c r="EP334" s="97"/>
      <c r="EQ334" s="97"/>
      <c r="ER334" s="97"/>
      <c r="ES334" s="97"/>
      <c r="ET334" s="97"/>
    </row>
    <row r="335" spans="1:150" ht="15.75" customHeight="1">
      <c r="A335" s="97"/>
      <c r="B335" s="97"/>
      <c r="C335" s="97"/>
      <c r="D335" s="97"/>
      <c r="E335" s="97"/>
      <c r="F335" s="97"/>
      <c r="G335" s="97"/>
      <c r="H335" s="129"/>
      <c r="I335" s="97"/>
      <c r="J335" s="97"/>
      <c r="K335" s="97"/>
      <c r="L335" s="97"/>
      <c r="M335" s="97"/>
      <c r="N335" s="97"/>
      <c r="O335" s="97"/>
      <c r="P335" s="97"/>
      <c r="Q335" s="97"/>
      <c r="R335" s="97"/>
      <c r="S335" s="97"/>
      <c r="T335" s="97"/>
      <c r="U335" s="97"/>
      <c r="V335" s="97"/>
      <c r="W335" s="97"/>
      <c r="X335" s="129"/>
      <c r="Y335" s="97"/>
      <c r="Z335" s="97"/>
      <c r="AA335" s="97"/>
      <c r="AB335" s="97"/>
      <c r="AC335" s="97"/>
      <c r="AD335" s="97"/>
      <c r="AE335" s="97"/>
      <c r="AF335" s="97"/>
      <c r="AG335" s="97"/>
      <c r="AH335" s="97"/>
      <c r="AI335" s="97"/>
      <c r="AJ335" s="97"/>
      <c r="AK335" s="97"/>
      <c r="AL335" s="97"/>
      <c r="AM335" s="97"/>
      <c r="AN335" s="97"/>
      <c r="AO335" s="97"/>
      <c r="AP335" s="97"/>
      <c r="AQ335" s="97"/>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c r="DF335" s="97"/>
      <c r="DG335" s="97"/>
      <c r="DH335" s="97"/>
      <c r="DI335" s="97"/>
      <c r="DJ335" s="97"/>
      <c r="DK335" s="97"/>
      <c r="DL335" s="97"/>
      <c r="DM335" s="97"/>
      <c r="DN335" s="97"/>
      <c r="DO335" s="97"/>
      <c r="DP335" s="97"/>
      <c r="DQ335" s="97"/>
      <c r="DR335" s="97"/>
      <c r="DS335" s="97"/>
      <c r="DT335" s="97"/>
      <c r="DU335" s="97"/>
      <c r="DV335" s="97"/>
      <c r="DW335" s="97"/>
      <c r="DX335" s="97"/>
      <c r="DY335" s="97"/>
      <c r="DZ335" s="97"/>
      <c r="EA335" s="97"/>
      <c r="EB335" s="97"/>
      <c r="EC335" s="97"/>
      <c r="ED335" s="97"/>
      <c r="EE335" s="97"/>
      <c r="EF335" s="97"/>
      <c r="EG335" s="97"/>
      <c r="EH335" s="97"/>
      <c r="EI335" s="97"/>
      <c r="EJ335" s="97"/>
      <c r="EK335" s="97"/>
      <c r="EL335" s="97"/>
      <c r="EM335" s="97"/>
      <c r="EN335" s="97"/>
      <c r="EO335" s="97"/>
      <c r="EP335" s="97"/>
      <c r="EQ335" s="97"/>
      <c r="ER335" s="97"/>
      <c r="ES335" s="97"/>
      <c r="ET335" s="97"/>
    </row>
    <row r="336" spans="1:150" ht="15.75" customHeight="1">
      <c r="A336" s="97"/>
      <c r="B336" s="97"/>
      <c r="C336" s="97"/>
      <c r="D336" s="97"/>
      <c r="E336" s="97"/>
      <c r="F336" s="97"/>
      <c r="G336" s="97"/>
      <c r="H336" s="129"/>
      <c r="I336" s="97"/>
      <c r="J336" s="97"/>
      <c r="K336" s="97"/>
      <c r="L336" s="97"/>
      <c r="M336" s="97"/>
      <c r="N336" s="97"/>
      <c r="O336" s="97"/>
      <c r="P336" s="97"/>
      <c r="Q336" s="97"/>
      <c r="R336" s="97"/>
      <c r="S336" s="97"/>
      <c r="T336" s="97"/>
      <c r="U336" s="97"/>
      <c r="V336" s="97"/>
      <c r="W336" s="97"/>
      <c r="X336" s="129"/>
      <c r="Y336" s="97"/>
      <c r="Z336" s="97"/>
      <c r="AA336" s="97"/>
      <c r="AB336" s="97"/>
      <c r="AC336" s="97"/>
      <c r="AD336" s="97"/>
      <c r="AE336" s="97"/>
      <c r="AF336" s="97"/>
      <c r="AG336" s="97"/>
      <c r="AH336" s="97"/>
      <c r="AI336" s="97"/>
      <c r="AJ336" s="97"/>
      <c r="AK336" s="97"/>
      <c r="AL336" s="97"/>
      <c r="AM336" s="97"/>
      <c r="AN336" s="97"/>
      <c r="AO336" s="97"/>
      <c r="AP336" s="97"/>
      <c r="AQ336" s="97"/>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c r="DF336" s="97"/>
      <c r="DG336" s="97"/>
      <c r="DH336" s="97"/>
      <c r="DI336" s="97"/>
      <c r="DJ336" s="97"/>
      <c r="DK336" s="97"/>
      <c r="DL336" s="97"/>
      <c r="DM336" s="97"/>
      <c r="DN336" s="97"/>
      <c r="DO336" s="97"/>
      <c r="DP336" s="97"/>
      <c r="DQ336" s="97"/>
      <c r="DR336" s="97"/>
      <c r="DS336" s="97"/>
      <c r="DT336" s="97"/>
      <c r="DU336" s="97"/>
      <c r="DV336" s="97"/>
      <c r="DW336" s="97"/>
      <c r="DX336" s="97"/>
      <c r="DY336" s="97"/>
      <c r="DZ336" s="97"/>
      <c r="EA336" s="97"/>
      <c r="EB336" s="97"/>
      <c r="EC336" s="97"/>
      <c r="ED336" s="97"/>
      <c r="EE336" s="97"/>
      <c r="EF336" s="97"/>
      <c r="EG336" s="97"/>
      <c r="EH336" s="97"/>
      <c r="EI336" s="97"/>
      <c r="EJ336" s="97"/>
      <c r="EK336" s="97"/>
      <c r="EL336" s="97"/>
      <c r="EM336" s="97"/>
      <c r="EN336" s="97"/>
      <c r="EO336" s="97"/>
      <c r="EP336" s="97"/>
      <c r="EQ336" s="97"/>
      <c r="ER336" s="97"/>
      <c r="ES336" s="97"/>
      <c r="ET336" s="97"/>
    </row>
    <row r="337" spans="1:150" ht="15.75" customHeight="1">
      <c r="A337" s="97"/>
      <c r="B337" s="97"/>
      <c r="C337" s="97"/>
      <c r="D337" s="97"/>
      <c r="E337" s="97"/>
      <c r="F337" s="97"/>
      <c r="G337" s="97"/>
      <c r="H337" s="129"/>
      <c r="I337" s="97"/>
      <c r="J337" s="97"/>
      <c r="K337" s="97"/>
      <c r="L337" s="97"/>
      <c r="M337" s="97"/>
      <c r="N337" s="97"/>
      <c r="O337" s="97"/>
      <c r="P337" s="97"/>
      <c r="Q337" s="97"/>
      <c r="R337" s="97"/>
      <c r="S337" s="97"/>
      <c r="T337" s="97"/>
      <c r="U337" s="97"/>
      <c r="V337" s="97"/>
      <c r="W337" s="97"/>
      <c r="X337" s="129"/>
      <c r="Y337" s="97"/>
      <c r="Z337" s="97"/>
      <c r="AA337" s="97"/>
      <c r="AB337" s="97"/>
      <c r="AC337" s="97"/>
      <c r="AD337" s="97"/>
      <c r="AE337" s="97"/>
      <c r="AF337" s="97"/>
      <c r="AG337" s="97"/>
      <c r="AH337" s="97"/>
      <c r="AI337" s="97"/>
      <c r="AJ337" s="97"/>
      <c r="AK337" s="97"/>
      <c r="AL337" s="97"/>
      <c r="AM337" s="97"/>
      <c r="AN337" s="97"/>
      <c r="AO337" s="97"/>
      <c r="AP337" s="97"/>
      <c r="AQ337" s="97"/>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c r="DF337" s="97"/>
      <c r="DG337" s="97"/>
      <c r="DH337" s="97"/>
      <c r="DI337" s="97"/>
      <c r="DJ337" s="97"/>
      <c r="DK337" s="97"/>
      <c r="DL337" s="97"/>
      <c r="DM337" s="97"/>
      <c r="DN337" s="97"/>
      <c r="DO337" s="97"/>
      <c r="DP337" s="97"/>
      <c r="DQ337" s="97"/>
      <c r="DR337" s="97"/>
      <c r="DS337" s="97"/>
      <c r="DT337" s="97"/>
      <c r="DU337" s="97"/>
      <c r="DV337" s="97"/>
      <c r="DW337" s="97"/>
      <c r="DX337" s="97"/>
      <c r="DY337" s="97"/>
      <c r="DZ337" s="97"/>
      <c r="EA337" s="97"/>
      <c r="EB337" s="97"/>
      <c r="EC337" s="97"/>
      <c r="ED337" s="97"/>
      <c r="EE337" s="97"/>
      <c r="EF337" s="97"/>
      <c r="EG337" s="97"/>
      <c r="EH337" s="97"/>
      <c r="EI337" s="97"/>
      <c r="EJ337" s="97"/>
      <c r="EK337" s="97"/>
      <c r="EL337" s="97"/>
      <c r="EM337" s="97"/>
      <c r="EN337" s="97"/>
      <c r="EO337" s="97"/>
      <c r="EP337" s="97"/>
      <c r="EQ337" s="97"/>
      <c r="ER337" s="97"/>
      <c r="ES337" s="97"/>
      <c r="ET337" s="97"/>
    </row>
    <row r="338" spans="1:150" ht="15.75" customHeight="1">
      <c r="A338" s="97"/>
      <c r="B338" s="97"/>
      <c r="C338" s="97"/>
      <c r="D338" s="97"/>
      <c r="E338" s="97"/>
      <c r="F338" s="97"/>
      <c r="G338" s="97"/>
      <c r="H338" s="129"/>
      <c r="I338" s="97"/>
      <c r="J338" s="97"/>
      <c r="K338" s="97"/>
      <c r="L338" s="97"/>
      <c r="M338" s="97"/>
      <c r="N338" s="97"/>
      <c r="O338" s="97"/>
      <c r="P338" s="97"/>
      <c r="Q338" s="97"/>
      <c r="R338" s="97"/>
      <c r="S338" s="97"/>
      <c r="T338" s="97"/>
      <c r="U338" s="97"/>
      <c r="V338" s="97"/>
      <c r="W338" s="97"/>
      <c r="X338" s="129"/>
      <c r="Y338" s="97"/>
      <c r="Z338" s="97"/>
      <c r="AA338" s="97"/>
      <c r="AB338" s="97"/>
      <c r="AC338" s="97"/>
      <c r="AD338" s="97"/>
      <c r="AE338" s="97"/>
      <c r="AF338" s="97"/>
      <c r="AG338" s="97"/>
      <c r="AH338" s="97"/>
      <c r="AI338" s="97"/>
      <c r="AJ338" s="97"/>
      <c r="AK338" s="97"/>
      <c r="AL338" s="97"/>
      <c r="AM338" s="97"/>
      <c r="AN338" s="97"/>
      <c r="AO338" s="97"/>
      <c r="AP338" s="97"/>
      <c r="AQ338" s="97"/>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c r="DF338" s="97"/>
      <c r="DG338" s="97"/>
      <c r="DH338" s="97"/>
      <c r="DI338" s="97"/>
      <c r="DJ338" s="97"/>
      <c r="DK338" s="97"/>
      <c r="DL338" s="97"/>
      <c r="DM338" s="97"/>
      <c r="DN338" s="97"/>
      <c r="DO338" s="97"/>
      <c r="DP338" s="97"/>
      <c r="DQ338" s="97"/>
      <c r="DR338" s="97"/>
      <c r="DS338" s="97"/>
      <c r="DT338" s="97"/>
      <c r="DU338" s="97"/>
      <c r="DV338" s="97"/>
      <c r="DW338" s="97"/>
      <c r="DX338" s="97"/>
      <c r="DY338" s="97"/>
      <c r="DZ338" s="97"/>
      <c r="EA338" s="97"/>
      <c r="EB338" s="97"/>
      <c r="EC338" s="97"/>
      <c r="ED338" s="97"/>
      <c r="EE338" s="97"/>
      <c r="EF338" s="97"/>
      <c r="EG338" s="97"/>
      <c r="EH338" s="97"/>
      <c r="EI338" s="97"/>
      <c r="EJ338" s="97"/>
      <c r="EK338" s="97"/>
      <c r="EL338" s="97"/>
      <c r="EM338" s="97"/>
      <c r="EN338" s="97"/>
      <c r="EO338" s="97"/>
      <c r="EP338" s="97"/>
      <c r="EQ338" s="97"/>
      <c r="ER338" s="97"/>
      <c r="ES338" s="97"/>
      <c r="ET338" s="97"/>
    </row>
    <row r="339" spans="1:150" ht="15.75" customHeight="1">
      <c r="A339" s="97"/>
      <c r="B339" s="97"/>
      <c r="C339" s="97"/>
      <c r="D339" s="97"/>
      <c r="E339" s="97"/>
      <c r="F339" s="97"/>
      <c r="G339" s="97"/>
      <c r="H339" s="129"/>
      <c r="I339" s="97"/>
      <c r="J339" s="97"/>
      <c r="K339" s="97"/>
      <c r="L339" s="97"/>
      <c r="M339" s="97"/>
      <c r="N339" s="97"/>
      <c r="O339" s="97"/>
      <c r="P339" s="97"/>
      <c r="Q339" s="97"/>
      <c r="R339" s="97"/>
      <c r="S339" s="97"/>
      <c r="T339" s="97"/>
      <c r="U339" s="97"/>
      <c r="V339" s="97"/>
      <c r="W339" s="97"/>
      <c r="X339" s="129"/>
      <c r="Y339" s="97"/>
      <c r="Z339" s="97"/>
      <c r="AA339" s="97"/>
      <c r="AB339" s="97"/>
      <c r="AC339" s="97"/>
      <c r="AD339" s="97"/>
      <c r="AE339" s="97"/>
      <c r="AF339" s="97"/>
      <c r="AG339" s="97"/>
      <c r="AH339" s="97"/>
      <c r="AI339" s="97"/>
      <c r="AJ339" s="97"/>
      <c r="AK339" s="97"/>
      <c r="AL339" s="97"/>
      <c r="AM339" s="97"/>
      <c r="AN339" s="97"/>
      <c r="AO339" s="97"/>
      <c r="AP339" s="97"/>
      <c r="AQ339" s="97"/>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c r="DF339" s="97"/>
      <c r="DG339" s="97"/>
      <c r="DH339" s="97"/>
      <c r="DI339" s="97"/>
      <c r="DJ339" s="97"/>
      <c r="DK339" s="97"/>
      <c r="DL339" s="97"/>
      <c r="DM339" s="97"/>
      <c r="DN339" s="97"/>
      <c r="DO339" s="97"/>
      <c r="DP339" s="97"/>
      <c r="DQ339" s="97"/>
      <c r="DR339" s="97"/>
      <c r="DS339" s="97"/>
      <c r="DT339" s="97"/>
      <c r="DU339" s="97"/>
      <c r="DV339" s="97"/>
      <c r="DW339" s="97"/>
      <c r="DX339" s="97"/>
      <c r="DY339" s="97"/>
      <c r="DZ339" s="97"/>
      <c r="EA339" s="97"/>
      <c r="EB339" s="97"/>
      <c r="EC339" s="97"/>
      <c r="ED339" s="97"/>
      <c r="EE339" s="97"/>
      <c r="EF339" s="97"/>
      <c r="EG339" s="97"/>
      <c r="EH339" s="97"/>
      <c r="EI339" s="97"/>
      <c r="EJ339" s="97"/>
      <c r="EK339" s="97"/>
      <c r="EL339" s="97"/>
      <c r="EM339" s="97"/>
      <c r="EN339" s="97"/>
      <c r="EO339" s="97"/>
      <c r="EP339" s="97"/>
      <c r="EQ339" s="97"/>
      <c r="ER339" s="97"/>
      <c r="ES339" s="97"/>
      <c r="ET339" s="97"/>
    </row>
    <row r="340" spans="1:150" ht="15.75" customHeight="1">
      <c r="A340" s="97"/>
      <c r="B340" s="97"/>
      <c r="C340" s="97"/>
      <c r="D340" s="97"/>
      <c r="E340" s="97"/>
      <c r="F340" s="97"/>
      <c r="G340" s="97"/>
      <c r="H340" s="129"/>
      <c r="I340" s="97"/>
      <c r="J340" s="97"/>
      <c r="K340" s="97"/>
      <c r="L340" s="97"/>
      <c r="M340" s="97"/>
      <c r="N340" s="97"/>
      <c r="O340" s="97"/>
      <c r="P340" s="97"/>
      <c r="Q340" s="97"/>
      <c r="R340" s="97"/>
      <c r="S340" s="97"/>
      <c r="T340" s="97"/>
      <c r="U340" s="97"/>
      <c r="V340" s="97"/>
      <c r="W340" s="97"/>
      <c r="X340" s="129"/>
      <c r="Y340" s="97"/>
      <c r="Z340" s="97"/>
      <c r="AA340" s="97"/>
      <c r="AB340" s="97"/>
      <c r="AC340" s="97"/>
      <c r="AD340" s="97"/>
      <c r="AE340" s="97"/>
      <c r="AF340" s="97"/>
      <c r="AG340" s="97"/>
      <c r="AH340" s="97"/>
      <c r="AI340" s="97"/>
      <c r="AJ340" s="97"/>
      <c r="AK340" s="97"/>
      <c r="AL340" s="97"/>
      <c r="AM340" s="97"/>
      <c r="AN340" s="97"/>
      <c r="AO340" s="97"/>
      <c r="AP340" s="97"/>
      <c r="AQ340" s="97"/>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c r="DF340" s="97"/>
      <c r="DG340" s="97"/>
      <c r="DH340" s="97"/>
      <c r="DI340" s="97"/>
      <c r="DJ340" s="97"/>
      <c r="DK340" s="97"/>
      <c r="DL340" s="97"/>
      <c r="DM340" s="97"/>
      <c r="DN340" s="97"/>
      <c r="DO340" s="97"/>
      <c r="DP340" s="97"/>
      <c r="DQ340" s="97"/>
      <c r="DR340" s="97"/>
      <c r="DS340" s="97"/>
      <c r="DT340" s="97"/>
      <c r="DU340" s="97"/>
      <c r="DV340" s="97"/>
      <c r="DW340" s="97"/>
      <c r="DX340" s="97"/>
      <c r="DY340" s="97"/>
      <c r="DZ340" s="97"/>
      <c r="EA340" s="97"/>
      <c r="EB340" s="97"/>
      <c r="EC340" s="97"/>
      <c r="ED340" s="97"/>
      <c r="EE340" s="97"/>
      <c r="EF340" s="97"/>
      <c r="EG340" s="97"/>
      <c r="EH340" s="97"/>
      <c r="EI340" s="97"/>
      <c r="EJ340" s="97"/>
      <c r="EK340" s="97"/>
      <c r="EL340" s="97"/>
      <c r="EM340" s="97"/>
      <c r="EN340" s="97"/>
      <c r="EO340" s="97"/>
      <c r="EP340" s="97"/>
      <c r="EQ340" s="97"/>
      <c r="ER340" s="97"/>
      <c r="ES340" s="97"/>
      <c r="ET340" s="97"/>
    </row>
    <row r="341" spans="1:150" ht="15.75" customHeight="1">
      <c r="A341" s="97"/>
      <c r="B341" s="97"/>
      <c r="C341" s="97"/>
      <c r="D341" s="97"/>
      <c r="E341" s="97"/>
      <c r="F341" s="97"/>
      <c r="G341" s="97"/>
      <c r="H341" s="129"/>
      <c r="I341" s="97"/>
      <c r="J341" s="97"/>
      <c r="K341" s="97"/>
      <c r="L341" s="97"/>
      <c r="M341" s="97"/>
      <c r="N341" s="97"/>
      <c r="O341" s="97"/>
      <c r="P341" s="97"/>
      <c r="Q341" s="97"/>
      <c r="R341" s="97"/>
      <c r="S341" s="97"/>
      <c r="T341" s="97"/>
      <c r="U341" s="97"/>
      <c r="V341" s="97"/>
      <c r="W341" s="97"/>
      <c r="X341" s="129"/>
      <c r="Y341" s="97"/>
      <c r="Z341" s="97"/>
      <c r="AA341" s="97"/>
      <c r="AB341" s="97"/>
      <c r="AC341" s="97"/>
      <c r="AD341" s="97"/>
      <c r="AE341" s="97"/>
      <c r="AF341" s="97"/>
      <c r="AG341" s="97"/>
      <c r="AH341" s="97"/>
      <c r="AI341" s="97"/>
      <c r="AJ341" s="97"/>
      <c r="AK341" s="97"/>
      <c r="AL341" s="97"/>
      <c r="AM341" s="97"/>
      <c r="AN341" s="97"/>
      <c r="AO341" s="97"/>
      <c r="AP341" s="97"/>
      <c r="AQ341" s="97"/>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c r="DF341" s="97"/>
      <c r="DG341" s="97"/>
      <c r="DH341" s="97"/>
      <c r="DI341" s="97"/>
      <c r="DJ341" s="97"/>
      <c r="DK341" s="97"/>
      <c r="DL341" s="97"/>
      <c r="DM341" s="97"/>
      <c r="DN341" s="97"/>
      <c r="DO341" s="97"/>
      <c r="DP341" s="97"/>
      <c r="DQ341" s="97"/>
      <c r="DR341" s="97"/>
      <c r="DS341" s="97"/>
      <c r="DT341" s="97"/>
      <c r="DU341" s="97"/>
      <c r="DV341" s="97"/>
      <c r="DW341" s="97"/>
      <c r="DX341" s="97"/>
      <c r="DY341" s="97"/>
      <c r="DZ341" s="97"/>
      <c r="EA341" s="97"/>
      <c r="EB341" s="97"/>
      <c r="EC341" s="97"/>
      <c r="ED341" s="97"/>
      <c r="EE341" s="97"/>
      <c r="EF341" s="97"/>
      <c r="EG341" s="97"/>
      <c r="EH341" s="97"/>
      <c r="EI341" s="97"/>
      <c r="EJ341" s="97"/>
      <c r="EK341" s="97"/>
      <c r="EL341" s="97"/>
      <c r="EM341" s="97"/>
      <c r="EN341" s="97"/>
      <c r="EO341" s="97"/>
      <c r="EP341" s="97"/>
      <c r="EQ341" s="97"/>
      <c r="ER341" s="97"/>
      <c r="ES341" s="97"/>
      <c r="ET341" s="97"/>
    </row>
    <row r="342" spans="1:150" ht="15.75" customHeight="1">
      <c r="A342" s="97"/>
      <c r="B342" s="97"/>
      <c r="C342" s="97"/>
      <c r="D342" s="97"/>
      <c r="E342" s="97"/>
      <c r="F342" s="97"/>
      <c r="G342" s="97"/>
      <c r="H342" s="129"/>
      <c r="I342" s="97"/>
      <c r="J342" s="97"/>
      <c r="K342" s="97"/>
      <c r="L342" s="97"/>
      <c r="M342" s="97"/>
      <c r="N342" s="97"/>
      <c r="O342" s="97"/>
      <c r="P342" s="97"/>
      <c r="Q342" s="97"/>
      <c r="R342" s="97"/>
      <c r="S342" s="97"/>
      <c r="T342" s="97"/>
      <c r="U342" s="97"/>
      <c r="V342" s="97"/>
      <c r="W342" s="97"/>
      <c r="X342" s="129"/>
      <c r="Y342" s="97"/>
      <c r="Z342" s="97"/>
      <c r="AA342" s="97"/>
      <c r="AB342" s="97"/>
      <c r="AC342" s="97"/>
      <c r="AD342" s="97"/>
      <c r="AE342" s="97"/>
      <c r="AF342" s="97"/>
      <c r="AG342" s="97"/>
      <c r="AH342" s="97"/>
      <c r="AI342" s="97"/>
      <c r="AJ342" s="97"/>
      <c r="AK342" s="97"/>
      <c r="AL342" s="97"/>
      <c r="AM342" s="97"/>
      <c r="AN342" s="97"/>
      <c r="AO342" s="97"/>
      <c r="AP342" s="97"/>
      <c r="AQ342" s="97"/>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c r="DF342" s="97"/>
      <c r="DG342" s="97"/>
      <c r="DH342" s="97"/>
      <c r="DI342" s="97"/>
      <c r="DJ342" s="97"/>
      <c r="DK342" s="97"/>
      <c r="DL342" s="97"/>
      <c r="DM342" s="97"/>
      <c r="DN342" s="97"/>
      <c r="DO342" s="97"/>
      <c r="DP342" s="97"/>
      <c r="DQ342" s="97"/>
      <c r="DR342" s="97"/>
      <c r="DS342" s="97"/>
      <c r="DT342" s="97"/>
      <c r="DU342" s="97"/>
      <c r="DV342" s="97"/>
      <c r="DW342" s="97"/>
      <c r="DX342" s="97"/>
      <c r="DY342" s="97"/>
      <c r="DZ342" s="97"/>
      <c r="EA342" s="97"/>
      <c r="EB342" s="97"/>
      <c r="EC342" s="97"/>
      <c r="ED342" s="97"/>
      <c r="EE342" s="97"/>
      <c r="EF342" s="97"/>
      <c r="EG342" s="97"/>
      <c r="EH342" s="97"/>
      <c r="EI342" s="97"/>
      <c r="EJ342" s="97"/>
      <c r="EK342" s="97"/>
      <c r="EL342" s="97"/>
      <c r="EM342" s="97"/>
      <c r="EN342" s="97"/>
      <c r="EO342" s="97"/>
      <c r="EP342" s="97"/>
      <c r="EQ342" s="97"/>
      <c r="ER342" s="97"/>
      <c r="ES342" s="97"/>
      <c r="ET342" s="97"/>
    </row>
    <row r="343" spans="1:150" ht="15.75" customHeight="1">
      <c r="A343" s="97"/>
      <c r="B343" s="97"/>
      <c r="C343" s="97"/>
      <c r="D343" s="97"/>
      <c r="E343" s="97"/>
      <c r="F343" s="97"/>
      <c r="G343" s="97"/>
      <c r="H343" s="129"/>
      <c r="I343" s="97"/>
      <c r="J343" s="97"/>
      <c r="K343" s="97"/>
      <c r="L343" s="97"/>
      <c r="M343" s="97"/>
      <c r="N343" s="97"/>
      <c r="O343" s="97"/>
      <c r="P343" s="97"/>
      <c r="Q343" s="97"/>
      <c r="R343" s="97"/>
      <c r="S343" s="97"/>
      <c r="T343" s="97"/>
      <c r="U343" s="97"/>
      <c r="V343" s="97"/>
      <c r="W343" s="97"/>
      <c r="X343" s="129"/>
      <c r="Y343" s="97"/>
      <c r="Z343" s="97"/>
      <c r="AA343" s="97"/>
      <c r="AB343" s="97"/>
      <c r="AC343" s="97"/>
      <c r="AD343" s="97"/>
      <c r="AE343" s="97"/>
      <c r="AF343" s="97"/>
      <c r="AG343" s="97"/>
      <c r="AH343" s="97"/>
      <c r="AI343" s="97"/>
      <c r="AJ343" s="97"/>
      <c r="AK343" s="97"/>
      <c r="AL343" s="97"/>
      <c r="AM343" s="97"/>
      <c r="AN343" s="97"/>
      <c r="AO343" s="97"/>
      <c r="AP343" s="97"/>
      <c r="AQ343" s="97"/>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c r="DF343" s="97"/>
      <c r="DG343" s="97"/>
      <c r="DH343" s="97"/>
      <c r="DI343" s="97"/>
      <c r="DJ343" s="97"/>
      <c r="DK343" s="97"/>
      <c r="DL343" s="97"/>
      <c r="DM343" s="97"/>
      <c r="DN343" s="97"/>
      <c r="DO343" s="97"/>
      <c r="DP343" s="97"/>
      <c r="DQ343" s="97"/>
      <c r="DR343" s="97"/>
      <c r="DS343" s="97"/>
      <c r="DT343" s="97"/>
      <c r="DU343" s="97"/>
      <c r="DV343" s="97"/>
      <c r="DW343" s="97"/>
      <c r="DX343" s="97"/>
      <c r="DY343" s="97"/>
      <c r="DZ343" s="97"/>
      <c r="EA343" s="97"/>
      <c r="EB343" s="97"/>
      <c r="EC343" s="97"/>
      <c r="ED343" s="97"/>
      <c r="EE343" s="97"/>
      <c r="EF343" s="97"/>
      <c r="EG343" s="97"/>
      <c r="EH343" s="97"/>
      <c r="EI343" s="97"/>
      <c r="EJ343" s="97"/>
      <c r="EK343" s="97"/>
      <c r="EL343" s="97"/>
      <c r="EM343" s="97"/>
      <c r="EN343" s="97"/>
      <c r="EO343" s="97"/>
      <c r="EP343" s="97"/>
      <c r="EQ343" s="97"/>
      <c r="ER343" s="97"/>
      <c r="ES343" s="97"/>
      <c r="ET343" s="97"/>
    </row>
    <row r="344" spans="1:150" ht="15.75" customHeight="1">
      <c r="A344" s="97"/>
      <c r="B344" s="97"/>
      <c r="C344" s="97"/>
      <c r="D344" s="97"/>
      <c r="E344" s="97"/>
      <c r="F344" s="97"/>
      <c r="G344" s="97"/>
      <c r="H344" s="129"/>
      <c r="I344" s="97"/>
      <c r="J344" s="97"/>
      <c r="K344" s="97"/>
      <c r="L344" s="97"/>
      <c r="M344" s="97"/>
      <c r="N344" s="97"/>
      <c r="O344" s="97"/>
      <c r="P344" s="97"/>
      <c r="Q344" s="97"/>
      <c r="R344" s="97"/>
      <c r="S344" s="97"/>
      <c r="T344" s="97"/>
      <c r="U344" s="97"/>
      <c r="V344" s="97"/>
      <c r="W344" s="97"/>
      <c r="X344" s="129"/>
      <c r="Y344" s="97"/>
      <c r="Z344" s="97"/>
      <c r="AA344" s="97"/>
      <c r="AB344" s="97"/>
      <c r="AC344" s="97"/>
      <c r="AD344" s="97"/>
      <c r="AE344" s="97"/>
      <c r="AF344" s="97"/>
      <c r="AG344" s="97"/>
      <c r="AH344" s="97"/>
      <c r="AI344" s="97"/>
      <c r="AJ344" s="97"/>
      <c r="AK344" s="97"/>
      <c r="AL344" s="97"/>
      <c r="AM344" s="97"/>
      <c r="AN344" s="97"/>
      <c r="AO344" s="97"/>
      <c r="AP344" s="97"/>
      <c r="AQ344" s="97"/>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c r="DF344" s="97"/>
      <c r="DG344" s="97"/>
      <c r="DH344" s="97"/>
      <c r="DI344" s="97"/>
      <c r="DJ344" s="97"/>
      <c r="DK344" s="97"/>
      <c r="DL344" s="97"/>
      <c r="DM344" s="97"/>
      <c r="DN344" s="97"/>
      <c r="DO344" s="97"/>
      <c r="DP344" s="97"/>
      <c r="DQ344" s="97"/>
      <c r="DR344" s="97"/>
      <c r="DS344" s="97"/>
      <c r="DT344" s="97"/>
      <c r="DU344" s="97"/>
      <c r="DV344" s="97"/>
      <c r="DW344" s="97"/>
      <c r="DX344" s="97"/>
      <c r="DY344" s="97"/>
      <c r="DZ344" s="97"/>
      <c r="EA344" s="97"/>
      <c r="EB344" s="97"/>
      <c r="EC344" s="97"/>
      <c r="ED344" s="97"/>
      <c r="EE344" s="97"/>
      <c r="EF344" s="97"/>
      <c r="EG344" s="97"/>
      <c r="EH344" s="97"/>
      <c r="EI344" s="97"/>
      <c r="EJ344" s="97"/>
      <c r="EK344" s="97"/>
      <c r="EL344" s="97"/>
      <c r="EM344" s="97"/>
      <c r="EN344" s="97"/>
      <c r="EO344" s="97"/>
      <c r="EP344" s="97"/>
      <c r="EQ344" s="97"/>
      <c r="ER344" s="97"/>
      <c r="ES344" s="97"/>
      <c r="ET344" s="97"/>
    </row>
    <row r="345" spans="1:150" ht="15.75" customHeight="1">
      <c r="A345" s="97"/>
      <c r="B345" s="97"/>
      <c r="C345" s="97"/>
      <c r="D345" s="97"/>
      <c r="E345" s="97"/>
      <c r="F345" s="97"/>
      <c r="G345" s="97"/>
      <c r="H345" s="129"/>
      <c r="I345" s="97"/>
      <c r="J345" s="97"/>
      <c r="K345" s="97"/>
      <c r="L345" s="97"/>
      <c r="M345" s="97"/>
      <c r="N345" s="97"/>
      <c r="O345" s="97"/>
      <c r="P345" s="97"/>
      <c r="Q345" s="97"/>
      <c r="R345" s="97"/>
      <c r="S345" s="97"/>
      <c r="T345" s="97"/>
      <c r="U345" s="97"/>
      <c r="V345" s="97"/>
      <c r="W345" s="97"/>
      <c r="X345" s="129"/>
      <c r="Y345" s="97"/>
      <c r="Z345" s="97"/>
      <c r="AA345" s="97"/>
      <c r="AB345" s="97"/>
      <c r="AC345" s="97"/>
      <c r="AD345" s="97"/>
      <c r="AE345" s="97"/>
      <c r="AF345" s="97"/>
      <c r="AG345" s="97"/>
      <c r="AH345" s="97"/>
      <c r="AI345" s="97"/>
      <c r="AJ345" s="97"/>
      <c r="AK345" s="97"/>
      <c r="AL345" s="97"/>
      <c r="AM345" s="97"/>
      <c r="AN345" s="97"/>
      <c r="AO345" s="97"/>
      <c r="AP345" s="97"/>
      <c r="AQ345" s="97"/>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c r="DF345" s="97"/>
      <c r="DG345" s="97"/>
      <c r="DH345" s="97"/>
      <c r="DI345" s="97"/>
      <c r="DJ345" s="97"/>
      <c r="DK345" s="97"/>
      <c r="DL345" s="97"/>
      <c r="DM345" s="97"/>
      <c r="DN345" s="97"/>
      <c r="DO345" s="97"/>
      <c r="DP345" s="97"/>
      <c r="DQ345" s="97"/>
      <c r="DR345" s="97"/>
      <c r="DS345" s="97"/>
      <c r="DT345" s="97"/>
      <c r="DU345" s="97"/>
      <c r="DV345" s="97"/>
      <c r="DW345" s="97"/>
      <c r="DX345" s="97"/>
      <c r="DY345" s="97"/>
      <c r="DZ345" s="97"/>
      <c r="EA345" s="97"/>
      <c r="EB345" s="97"/>
      <c r="EC345" s="97"/>
      <c r="ED345" s="97"/>
      <c r="EE345" s="97"/>
      <c r="EF345" s="97"/>
      <c r="EG345" s="97"/>
      <c r="EH345" s="97"/>
      <c r="EI345" s="97"/>
      <c r="EJ345" s="97"/>
      <c r="EK345" s="97"/>
      <c r="EL345" s="97"/>
      <c r="EM345" s="97"/>
      <c r="EN345" s="97"/>
      <c r="EO345" s="97"/>
      <c r="EP345" s="97"/>
      <c r="EQ345" s="97"/>
      <c r="ER345" s="97"/>
      <c r="ES345" s="97"/>
      <c r="ET345" s="97"/>
    </row>
    <row r="346" spans="1:150" ht="15.75" customHeight="1">
      <c r="A346" s="97"/>
      <c r="B346" s="97"/>
      <c r="C346" s="97"/>
      <c r="D346" s="97"/>
      <c r="E346" s="97"/>
      <c r="F346" s="97"/>
      <c r="G346" s="97"/>
      <c r="H346" s="129"/>
      <c r="I346" s="97"/>
      <c r="J346" s="97"/>
      <c r="K346" s="97"/>
      <c r="L346" s="97"/>
      <c r="M346" s="97"/>
      <c r="N346" s="97"/>
      <c r="O346" s="97"/>
      <c r="P346" s="97"/>
      <c r="Q346" s="97"/>
      <c r="R346" s="97"/>
      <c r="S346" s="97"/>
      <c r="T346" s="97"/>
      <c r="U346" s="97"/>
      <c r="V346" s="97"/>
      <c r="W346" s="97"/>
      <c r="X346" s="129"/>
      <c r="Y346" s="97"/>
      <c r="Z346" s="97"/>
      <c r="AA346" s="97"/>
      <c r="AB346" s="97"/>
      <c r="AC346" s="97"/>
      <c r="AD346" s="97"/>
      <c r="AE346" s="97"/>
      <c r="AF346" s="97"/>
      <c r="AG346" s="97"/>
      <c r="AH346" s="97"/>
      <c r="AI346" s="97"/>
      <c r="AJ346" s="97"/>
      <c r="AK346" s="97"/>
      <c r="AL346" s="97"/>
      <c r="AM346" s="97"/>
      <c r="AN346" s="97"/>
      <c r="AO346" s="97"/>
      <c r="AP346" s="97"/>
      <c r="AQ346" s="97"/>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c r="DF346" s="97"/>
      <c r="DG346" s="97"/>
      <c r="DH346" s="97"/>
      <c r="DI346" s="97"/>
      <c r="DJ346" s="97"/>
      <c r="DK346" s="97"/>
      <c r="DL346" s="97"/>
      <c r="DM346" s="97"/>
      <c r="DN346" s="97"/>
      <c r="DO346" s="97"/>
      <c r="DP346" s="97"/>
      <c r="DQ346" s="97"/>
      <c r="DR346" s="97"/>
      <c r="DS346" s="97"/>
      <c r="DT346" s="97"/>
      <c r="DU346" s="97"/>
      <c r="DV346" s="97"/>
      <c r="DW346" s="97"/>
      <c r="DX346" s="97"/>
      <c r="DY346" s="97"/>
      <c r="DZ346" s="97"/>
      <c r="EA346" s="97"/>
      <c r="EB346" s="97"/>
      <c r="EC346" s="97"/>
      <c r="ED346" s="97"/>
      <c r="EE346" s="97"/>
      <c r="EF346" s="97"/>
      <c r="EG346" s="97"/>
      <c r="EH346" s="97"/>
      <c r="EI346" s="97"/>
      <c r="EJ346" s="97"/>
      <c r="EK346" s="97"/>
      <c r="EL346" s="97"/>
      <c r="EM346" s="97"/>
      <c r="EN346" s="97"/>
      <c r="EO346" s="97"/>
      <c r="EP346" s="97"/>
      <c r="EQ346" s="97"/>
      <c r="ER346" s="97"/>
      <c r="ES346" s="97"/>
      <c r="ET346" s="97"/>
    </row>
    <row r="347" spans="1:150" ht="15.75" customHeight="1">
      <c r="A347" s="97"/>
      <c r="B347" s="97"/>
      <c r="C347" s="97"/>
      <c r="D347" s="97"/>
      <c r="E347" s="97"/>
      <c r="F347" s="97"/>
      <c r="G347" s="97"/>
      <c r="H347" s="129"/>
      <c r="I347" s="97"/>
      <c r="J347" s="97"/>
      <c r="K347" s="97"/>
      <c r="L347" s="97"/>
      <c r="M347" s="97"/>
      <c r="N347" s="97"/>
      <c r="O347" s="97"/>
      <c r="P347" s="97"/>
      <c r="Q347" s="97"/>
      <c r="R347" s="97"/>
      <c r="S347" s="97"/>
      <c r="T347" s="97"/>
      <c r="U347" s="97"/>
      <c r="V347" s="97"/>
      <c r="W347" s="97"/>
      <c r="X347" s="129"/>
      <c r="Y347" s="97"/>
      <c r="Z347" s="97"/>
      <c r="AA347" s="97"/>
      <c r="AB347" s="97"/>
      <c r="AC347" s="97"/>
      <c r="AD347" s="97"/>
      <c r="AE347" s="97"/>
      <c r="AF347" s="97"/>
      <c r="AG347" s="97"/>
      <c r="AH347" s="97"/>
      <c r="AI347" s="97"/>
      <c r="AJ347" s="97"/>
      <c r="AK347" s="97"/>
      <c r="AL347" s="97"/>
      <c r="AM347" s="97"/>
      <c r="AN347" s="97"/>
      <c r="AO347" s="97"/>
      <c r="AP347" s="97"/>
      <c r="AQ347" s="97"/>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c r="DF347" s="97"/>
      <c r="DG347" s="97"/>
      <c r="DH347" s="97"/>
      <c r="DI347" s="97"/>
      <c r="DJ347" s="97"/>
      <c r="DK347" s="97"/>
      <c r="DL347" s="97"/>
      <c r="DM347" s="97"/>
      <c r="DN347" s="97"/>
      <c r="DO347" s="97"/>
      <c r="DP347" s="97"/>
      <c r="DQ347" s="97"/>
      <c r="DR347" s="97"/>
      <c r="DS347" s="97"/>
      <c r="DT347" s="97"/>
      <c r="DU347" s="97"/>
      <c r="DV347" s="97"/>
      <c r="DW347" s="97"/>
      <c r="DX347" s="97"/>
      <c r="DY347" s="97"/>
      <c r="DZ347" s="97"/>
      <c r="EA347" s="97"/>
      <c r="EB347" s="97"/>
      <c r="EC347" s="97"/>
      <c r="ED347" s="97"/>
      <c r="EE347" s="97"/>
      <c r="EF347" s="97"/>
      <c r="EG347" s="97"/>
      <c r="EH347" s="97"/>
      <c r="EI347" s="97"/>
      <c r="EJ347" s="97"/>
      <c r="EK347" s="97"/>
      <c r="EL347" s="97"/>
      <c r="EM347" s="97"/>
      <c r="EN347" s="97"/>
      <c r="EO347" s="97"/>
      <c r="EP347" s="97"/>
      <c r="EQ347" s="97"/>
      <c r="ER347" s="97"/>
      <c r="ES347" s="97"/>
      <c r="ET347" s="97"/>
    </row>
    <row r="348" spans="1:150" ht="15.75" customHeight="1">
      <c r="A348" s="97"/>
      <c r="B348" s="97"/>
      <c r="C348" s="97"/>
      <c r="D348" s="97"/>
      <c r="E348" s="97"/>
      <c r="F348" s="97"/>
      <c r="G348" s="97"/>
      <c r="H348" s="129"/>
      <c r="I348" s="97"/>
      <c r="J348" s="97"/>
      <c r="K348" s="97"/>
      <c r="L348" s="97"/>
      <c r="M348" s="97"/>
      <c r="N348" s="97"/>
      <c r="O348" s="97"/>
      <c r="P348" s="97"/>
      <c r="Q348" s="97"/>
      <c r="R348" s="97"/>
      <c r="S348" s="97"/>
      <c r="T348" s="97"/>
      <c r="U348" s="97"/>
      <c r="V348" s="97"/>
      <c r="W348" s="97"/>
      <c r="X348" s="129"/>
      <c r="Y348" s="97"/>
      <c r="Z348" s="97"/>
      <c r="AA348" s="97"/>
      <c r="AB348" s="97"/>
      <c r="AC348" s="97"/>
      <c r="AD348" s="97"/>
      <c r="AE348" s="97"/>
      <c r="AF348" s="97"/>
      <c r="AG348" s="97"/>
      <c r="AH348" s="97"/>
      <c r="AI348" s="97"/>
      <c r="AJ348" s="97"/>
      <c r="AK348" s="97"/>
      <c r="AL348" s="97"/>
      <c r="AM348" s="97"/>
      <c r="AN348" s="97"/>
      <c r="AO348" s="97"/>
      <c r="AP348" s="97"/>
      <c r="AQ348" s="97"/>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c r="DF348" s="97"/>
      <c r="DG348" s="97"/>
      <c r="DH348" s="97"/>
      <c r="DI348" s="97"/>
      <c r="DJ348" s="97"/>
      <c r="DK348" s="97"/>
      <c r="DL348" s="97"/>
      <c r="DM348" s="97"/>
      <c r="DN348" s="97"/>
      <c r="DO348" s="97"/>
      <c r="DP348" s="97"/>
      <c r="DQ348" s="97"/>
      <c r="DR348" s="97"/>
      <c r="DS348" s="97"/>
      <c r="DT348" s="97"/>
      <c r="DU348" s="97"/>
      <c r="DV348" s="97"/>
      <c r="DW348" s="97"/>
      <c r="DX348" s="97"/>
      <c r="DY348" s="97"/>
      <c r="DZ348" s="97"/>
      <c r="EA348" s="97"/>
      <c r="EB348" s="97"/>
      <c r="EC348" s="97"/>
      <c r="ED348" s="97"/>
      <c r="EE348" s="97"/>
      <c r="EF348" s="97"/>
      <c r="EG348" s="97"/>
      <c r="EH348" s="97"/>
      <c r="EI348" s="97"/>
      <c r="EJ348" s="97"/>
      <c r="EK348" s="97"/>
      <c r="EL348" s="97"/>
      <c r="EM348" s="97"/>
      <c r="EN348" s="97"/>
      <c r="EO348" s="97"/>
      <c r="EP348" s="97"/>
      <c r="EQ348" s="97"/>
      <c r="ER348" s="97"/>
      <c r="ES348" s="97"/>
      <c r="ET348" s="97"/>
    </row>
    <row r="349" spans="1:150" ht="15.75" customHeight="1">
      <c r="A349" s="97"/>
      <c r="B349" s="97"/>
      <c r="C349" s="97"/>
      <c r="D349" s="97"/>
      <c r="E349" s="97"/>
      <c r="F349" s="97"/>
      <c r="G349" s="97"/>
      <c r="H349" s="129"/>
      <c r="I349" s="97"/>
      <c r="J349" s="97"/>
      <c r="K349" s="97"/>
      <c r="L349" s="97"/>
      <c r="M349" s="97"/>
      <c r="N349" s="97"/>
      <c r="O349" s="97"/>
      <c r="P349" s="97"/>
      <c r="Q349" s="97"/>
      <c r="R349" s="97"/>
      <c r="S349" s="97"/>
      <c r="T349" s="97"/>
      <c r="U349" s="97"/>
      <c r="V349" s="97"/>
      <c r="W349" s="97"/>
      <c r="X349" s="129"/>
      <c r="Y349" s="97"/>
      <c r="Z349" s="97"/>
      <c r="AA349" s="97"/>
      <c r="AB349" s="97"/>
      <c r="AC349" s="97"/>
      <c r="AD349" s="97"/>
      <c r="AE349" s="97"/>
      <c r="AF349" s="97"/>
      <c r="AG349" s="97"/>
      <c r="AH349" s="97"/>
      <c r="AI349" s="97"/>
      <c r="AJ349" s="97"/>
      <c r="AK349" s="97"/>
      <c r="AL349" s="97"/>
      <c r="AM349" s="97"/>
      <c r="AN349" s="97"/>
      <c r="AO349" s="97"/>
      <c r="AP349" s="97"/>
      <c r="AQ349" s="97"/>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c r="DF349" s="97"/>
      <c r="DG349" s="97"/>
      <c r="DH349" s="97"/>
      <c r="DI349" s="97"/>
      <c r="DJ349" s="97"/>
      <c r="DK349" s="97"/>
      <c r="DL349" s="97"/>
      <c r="DM349" s="97"/>
      <c r="DN349" s="97"/>
      <c r="DO349" s="97"/>
      <c r="DP349" s="97"/>
      <c r="DQ349" s="97"/>
      <c r="DR349" s="97"/>
      <c r="DS349" s="97"/>
      <c r="DT349" s="97"/>
      <c r="DU349" s="97"/>
      <c r="DV349" s="97"/>
      <c r="DW349" s="97"/>
      <c r="DX349" s="97"/>
      <c r="DY349" s="97"/>
      <c r="DZ349" s="97"/>
      <c r="EA349" s="97"/>
      <c r="EB349" s="97"/>
      <c r="EC349" s="97"/>
      <c r="ED349" s="97"/>
      <c r="EE349" s="97"/>
      <c r="EF349" s="97"/>
      <c r="EG349" s="97"/>
      <c r="EH349" s="97"/>
      <c r="EI349" s="97"/>
      <c r="EJ349" s="97"/>
      <c r="EK349" s="97"/>
      <c r="EL349" s="97"/>
      <c r="EM349" s="97"/>
      <c r="EN349" s="97"/>
      <c r="EO349" s="97"/>
      <c r="EP349" s="97"/>
      <c r="EQ349" s="97"/>
      <c r="ER349" s="97"/>
      <c r="ES349" s="97"/>
      <c r="ET349" s="97"/>
    </row>
    <row r="350" spans="1:150" ht="15.75" customHeight="1">
      <c r="A350" s="97"/>
      <c r="B350" s="97"/>
      <c r="C350" s="97"/>
      <c r="D350" s="97"/>
      <c r="E350" s="97"/>
      <c r="F350" s="97"/>
      <c r="G350" s="97"/>
      <c r="H350" s="129"/>
      <c r="I350" s="97"/>
      <c r="J350" s="97"/>
      <c r="K350" s="97"/>
      <c r="L350" s="97"/>
      <c r="M350" s="97"/>
      <c r="N350" s="97"/>
      <c r="O350" s="97"/>
      <c r="P350" s="97"/>
      <c r="Q350" s="97"/>
      <c r="R350" s="97"/>
      <c r="S350" s="97"/>
      <c r="T350" s="97"/>
      <c r="U350" s="97"/>
      <c r="V350" s="97"/>
      <c r="W350" s="97"/>
      <c r="X350" s="129"/>
      <c r="Y350" s="97"/>
      <c r="Z350" s="97"/>
      <c r="AA350" s="97"/>
      <c r="AB350" s="97"/>
      <c r="AC350" s="97"/>
      <c r="AD350" s="97"/>
      <c r="AE350" s="97"/>
      <c r="AF350" s="97"/>
      <c r="AG350" s="97"/>
      <c r="AH350" s="97"/>
      <c r="AI350" s="97"/>
      <c r="AJ350" s="97"/>
      <c r="AK350" s="97"/>
      <c r="AL350" s="97"/>
      <c r="AM350" s="97"/>
      <c r="AN350" s="97"/>
      <c r="AO350" s="97"/>
      <c r="AP350" s="97"/>
      <c r="AQ350" s="97"/>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c r="DF350" s="97"/>
      <c r="DG350" s="97"/>
      <c r="DH350" s="97"/>
      <c r="DI350" s="97"/>
      <c r="DJ350" s="97"/>
      <c r="DK350" s="97"/>
      <c r="DL350" s="97"/>
      <c r="DM350" s="97"/>
      <c r="DN350" s="97"/>
      <c r="DO350" s="97"/>
      <c r="DP350" s="97"/>
      <c r="DQ350" s="97"/>
      <c r="DR350" s="97"/>
      <c r="DS350" s="97"/>
      <c r="DT350" s="97"/>
      <c r="DU350" s="97"/>
      <c r="DV350" s="97"/>
      <c r="DW350" s="97"/>
      <c r="DX350" s="97"/>
      <c r="DY350" s="97"/>
      <c r="DZ350" s="97"/>
      <c r="EA350" s="97"/>
      <c r="EB350" s="97"/>
      <c r="EC350" s="97"/>
      <c r="ED350" s="97"/>
      <c r="EE350" s="97"/>
      <c r="EF350" s="97"/>
      <c r="EG350" s="97"/>
      <c r="EH350" s="97"/>
      <c r="EI350" s="97"/>
      <c r="EJ350" s="97"/>
      <c r="EK350" s="97"/>
      <c r="EL350" s="97"/>
      <c r="EM350" s="97"/>
      <c r="EN350" s="97"/>
      <c r="EO350" s="97"/>
      <c r="EP350" s="97"/>
      <c r="EQ350" s="97"/>
      <c r="ER350" s="97"/>
      <c r="ES350" s="97"/>
      <c r="ET350" s="97"/>
    </row>
    <row r="351" spans="1:150" ht="15.75" customHeight="1">
      <c r="A351" s="97"/>
      <c r="B351" s="97"/>
      <c r="C351" s="97"/>
      <c r="D351" s="97"/>
      <c r="E351" s="97"/>
      <c r="F351" s="97"/>
      <c r="G351" s="97"/>
      <c r="H351" s="129"/>
      <c r="I351" s="97"/>
      <c r="J351" s="97"/>
      <c r="K351" s="97"/>
      <c r="L351" s="97"/>
      <c r="M351" s="97"/>
      <c r="N351" s="97"/>
      <c r="O351" s="97"/>
      <c r="P351" s="97"/>
      <c r="Q351" s="97"/>
      <c r="R351" s="97"/>
      <c r="S351" s="97"/>
      <c r="T351" s="97"/>
      <c r="U351" s="97"/>
      <c r="V351" s="97"/>
      <c r="W351" s="97"/>
      <c r="X351" s="129"/>
      <c r="Y351" s="97"/>
      <c r="Z351" s="97"/>
      <c r="AA351" s="97"/>
      <c r="AB351" s="97"/>
      <c r="AC351" s="97"/>
      <c r="AD351" s="97"/>
      <c r="AE351" s="97"/>
      <c r="AF351" s="97"/>
      <c r="AG351" s="97"/>
      <c r="AH351" s="97"/>
      <c r="AI351" s="97"/>
      <c r="AJ351" s="97"/>
      <c r="AK351" s="97"/>
      <c r="AL351" s="97"/>
      <c r="AM351" s="97"/>
      <c r="AN351" s="97"/>
      <c r="AO351" s="97"/>
      <c r="AP351" s="97"/>
      <c r="AQ351" s="97"/>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c r="DF351" s="97"/>
      <c r="DG351" s="97"/>
      <c r="DH351" s="97"/>
      <c r="DI351" s="97"/>
      <c r="DJ351" s="97"/>
      <c r="DK351" s="97"/>
      <c r="DL351" s="97"/>
      <c r="DM351" s="97"/>
      <c r="DN351" s="97"/>
      <c r="DO351" s="97"/>
      <c r="DP351" s="97"/>
      <c r="DQ351" s="97"/>
      <c r="DR351" s="97"/>
      <c r="DS351" s="97"/>
      <c r="DT351" s="97"/>
      <c r="DU351" s="97"/>
      <c r="DV351" s="97"/>
      <c r="DW351" s="97"/>
      <c r="DX351" s="97"/>
      <c r="DY351" s="97"/>
      <c r="DZ351" s="97"/>
      <c r="EA351" s="97"/>
      <c r="EB351" s="97"/>
      <c r="EC351" s="97"/>
      <c r="ED351" s="97"/>
      <c r="EE351" s="97"/>
      <c r="EF351" s="97"/>
      <c r="EG351" s="97"/>
      <c r="EH351" s="97"/>
      <c r="EI351" s="97"/>
      <c r="EJ351" s="97"/>
      <c r="EK351" s="97"/>
      <c r="EL351" s="97"/>
      <c r="EM351" s="97"/>
      <c r="EN351" s="97"/>
      <c r="EO351" s="97"/>
      <c r="EP351" s="97"/>
      <c r="EQ351" s="97"/>
      <c r="ER351" s="97"/>
      <c r="ES351" s="97"/>
      <c r="ET351" s="97"/>
    </row>
    <row r="352" spans="1:150" ht="15.75" customHeight="1">
      <c r="A352" s="97"/>
      <c r="B352" s="97"/>
      <c r="C352" s="97"/>
      <c r="D352" s="97"/>
      <c r="E352" s="97"/>
      <c r="F352" s="97"/>
      <c r="G352" s="97"/>
      <c r="H352" s="129"/>
      <c r="I352" s="97"/>
      <c r="J352" s="97"/>
      <c r="K352" s="97"/>
      <c r="L352" s="97"/>
      <c r="M352" s="97"/>
      <c r="N352" s="97"/>
      <c r="O352" s="97"/>
      <c r="P352" s="97"/>
      <c r="Q352" s="97"/>
      <c r="R352" s="97"/>
      <c r="S352" s="97"/>
      <c r="T352" s="97"/>
      <c r="U352" s="97"/>
      <c r="V352" s="97"/>
      <c r="W352" s="97"/>
      <c r="X352" s="129"/>
      <c r="Y352" s="97"/>
      <c r="Z352" s="97"/>
      <c r="AA352" s="97"/>
      <c r="AB352" s="97"/>
      <c r="AC352" s="97"/>
      <c r="AD352" s="97"/>
      <c r="AE352" s="97"/>
      <c r="AF352" s="97"/>
      <c r="AG352" s="97"/>
      <c r="AH352" s="97"/>
      <c r="AI352" s="97"/>
      <c r="AJ352" s="97"/>
      <c r="AK352" s="97"/>
      <c r="AL352" s="97"/>
      <c r="AM352" s="97"/>
      <c r="AN352" s="97"/>
      <c r="AO352" s="97"/>
      <c r="AP352" s="97"/>
      <c r="AQ352" s="97"/>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c r="DF352" s="97"/>
      <c r="DG352" s="97"/>
      <c r="DH352" s="97"/>
      <c r="DI352" s="97"/>
      <c r="DJ352" s="97"/>
      <c r="DK352" s="97"/>
      <c r="DL352" s="97"/>
      <c r="DM352" s="97"/>
      <c r="DN352" s="97"/>
      <c r="DO352" s="97"/>
      <c r="DP352" s="97"/>
      <c r="DQ352" s="97"/>
      <c r="DR352" s="97"/>
      <c r="DS352" s="97"/>
      <c r="DT352" s="97"/>
      <c r="DU352" s="97"/>
      <c r="DV352" s="97"/>
      <c r="DW352" s="97"/>
      <c r="DX352" s="97"/>
      <c r="DY352" s="97"/>
      <c r="DZ352" s="97"/>
      <c r="EA352" s="97"/>
      <c r="EB352" s="97"/>
      <c r="EC352" s="97"/>
      <c r="ED352" s="97"/>
      <c r="EE352" s="97"/>
      <c r="EF352" s="97"/>
      <c r="EG352" s="97"/>
      <c r="EH352" s="97"/>
      <c r="EI352" s="97"/>
      <c r="EJ352" s="97"/>
      <c r="EK352" s="97"/>
      <c r="EL352" s="97"/>
      <c r="EM352" s="97"/>
      <c r="EN352" s="97"/>
      <c r="EO352" s="97"/>
      <c r="EP352" s="97"/>
      <c r="EQ352" s="97"/>
      <c r="ER352" s="97"/>
      <c r="ES352" s="97"/>
      <c r="ET352" s="97"/>
    </row>
    <row r="353" spans="1:150" ht="15.75" customHeight="1">
      <c r="A353" s="97"/>
      <c r="B353" s="97"/>
      <c r="C353" s="97"/>
      <c r="D353" s="97"/>
      <c r="E353" s="97"/>
      <c r="F353" s="97"/>
      <c r="G353" s="97"/>
      <c r="H353" s="129"/>
      <c r="I353" s="97"/>
      <c r="J353" s="97"/>
      <c r="K353" s="97"/>
      <c r="L353" s="97"/>
      <c r="M353" s="97"/>
      <c r="N353" s="97"/>
      <c r="O353" s="97"/>
      <c r="P353" s="97"/>
      <c r="Q353" s="97"/>
      <c r="R353" s="97"/>
      <c r="S353" s="97"/>
      <c r="T353" s="97"/>
      <c r="U353" s="97"/>
      <c r="V353" s="97"/>
      <c r="W353" s="97"/>
      <c r="X353" s="129"/>
      <c r="Y353" s="97"/>
      <c r="Z353" s="97"/>
      <c r="AA353" s="97"/>
      <c r="AB353" s="97"/>
      <c r="AC353" s="97"/>
      <c r="AD353" s="97"/>
      <c r="AE353" s="97"/>
      <c r="AF353" s="97"/>
      <c r="AG353" s="97"/>
      <c r="AH353" s="97"/>
      <c r="AI353" s="97"/>
      <c r="AJ353" s="97"/>
      <c r="AK353" s="97"/>
      <c r="AL353" s="97"/>
      <c r="AM353" s="97"/>
      <c r="AN353" s="97"/>
      <c r="AO353" s="97"/>
      <c r="AP353" s="97"/>
      <c r="AQ353" s="97"/>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c r="DF353" s="97"/>
      <c r="DG353" s="97"/>
      <c r="DH353" s="97"/>
      <c r="DI353" s="97"/>
      <c r="DJ353" s="97"/>
      <c r="DK353" s="97"/>
      <c r="DL353" s="97"/>
      <c r="DM353" s="97"/>
      <c r="DN353" s="97"/>
      <c r="DO353" s="97"/>
      <c r="DP353" s="97"/>
      <c r="DQ353" s="97"/>
      <c r="DR353" s="97"/>
      <c r="DS353" s="97"/>
      <c r="DT353" s="97"/>
      <c r="DU353" s="97"/>
      <c r="DV353" s="97"/>
      <c r="DW353" s="97"/>
      <c r="DX353" s="97"/>
      <c r="DY353" s="97"/>
      <c r="DZ353" s="97"/>
      <c r="EA353" s="97"/>
      <c r="EB353" s="97"/>
      <c r="EC353" s="97"/>
      <c r="ED353" s="97"/>
      <c r="EE353" s="97"/>
      <c r="EF353" s="97"/>
      <c r="EG353" s="97"/>
      <c r="EH353" s="97"/>
      <c r="EI353" s="97"/>
      <c r="EJ353" s="97"/>
      <c r="EK353" s="97"/>
      <c r="EL353" s="97"/>
      <c r="EM353" s="97"/>
      <c r="EN353" s="97"/>
      <c r="EO353" s="97"/>
      <c r="EP353" s="97"/>
      <c r="EQ353" s="97"/>
      <c r="ER353" s="97"/>
      <c r="ES353" s="97"/>
      <c r="ET353" s="97"/>
    </row>
    <row r="354" spans="1:150" ht="15.75" customHeight="1">
      <c r="A354" s="97"/>
      <c r="B354" s="97"/>
      <c r="C354" s="97"/>
      <c r="D354" s="97"/>
      <c r="E354" s="97"/>
      <c r="F354" s="97"/>
      <c r="G354" s="97"/>
      <c r="H354" s="129"/>
      <c r="I354" s="97"/>
      <c r="J354" s="97"/>
      <c r="K354" s="97"/>
      <c r="L354" s="97"/>
      <c r="M354" s="97"/>
      <c r="N354" s="97"/>
      <c r="O354" s="97"/>
      <c r="P354" s="97"/>
      <c r="Q354" s="97"/>
      <c r="R354" s="97"/>
      <c r="S354" s="97"/>
      <c r="T354" s="97"/>
      <c r="U354" s="97"/>
      <c r="V354" s="97"/>
      <c r="W354" s="97"/>
      <c r="X354" s="129"/>
      <c r="Y354" s="97"/>
      <c r="Z354" s="97"/>
      <c r="AA354" s="97"/>
      <c r="AB354" s="97"/>
      <c r="AC354" s="97"/>
      <c r="AD354" s="97"/>
      <c r="AE354" s="97"/>
      <c r="AF354" s="97"/>
      <c r="AG354" s="97"/>
      <c r="AH354" s="97"/>
      <c r="AI354" s="97"/>
      <c r="AJ354" s="97"/>
      <c r="AK354" s="97"/>
      <c r="AL354" s="97"/>
      <c r="AM354" s="97"/>
      <c r="AN354" s="97"/>
      <c r="AO354" s="97"/>
      <c r="AP354" s="97"/>
      <c r="AQ354" s="97"/>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c r="DF354" s="97"/>
      <c r="DG354" s="97"/>
      <c r="DH354" s="97"/>
      <c r="DI354" s="97"/>
      <c r="DJ354" s="97"/>
      <c r="DK354" s="97"/>
      <c r="DL354" s="97"/>
      <c r="DM354" s="97"/>
      <c r="DN354" s="97"/>
      <c r="DO354" s="97"/>
      <c r="DP354" s="97"/>
      <c r="DQ354" s="97"/>
      <c r="DR354" s="97"/>
      <c r="DS354" s="97"/>
      <c r="DT354" s="97"/>
      <c r="DU354" s="97"/>
      <c r="DV354" s="97"/>
      <c r="DW354" s="97"/>
      <c r="DX354" s="97"/>
      <c r="DY354" s="97"/>
      <c r="DZ354" s="97"/>
      <c r="EA354" s="97"/>
      <c r="EB354" s="97"/>
      <c r="EC354" s="97"/>
      <c r="ED354" s="97"/>
      <c r="EE354" s="97"/>
      <c r="EF354" s="97"/>
      <c r="EG354" s="97"/>
      <c r="EH354" s="97"/>
      <c r="EI354" s="97"/>
      <c r="EJ354" s="97"/>
      <c r="EK354" s="97"/>
      <c r="EL354" s="97"/>
      <c r="EM354" s="97"/>
      <c r="EN354" s="97"/>
      <c r="EO354" s="97"/>
      <c r="EP354" s="97"/>
      <c r="EQ354" s="97"/>
      <c r="ER354" s="97"/>
      <c r="ES354" s="97"/>
      <c r="ET354" s="97"/>
    </row>
    <row r="355" spans="1:150" ht="15.75" customHeight="1">
      <c r="A355" s="97"/>
      <c r="B355" s="97"/>
      <c r="C355" s="97"/>
      <c r="D355" s="97"/>
      <c r="E355" s="97"/>
      <c r="F355" s="97"/>
      <c r="G355" s="97"/>
      <c r="H355" s="129"/>
      <c r="I355" s="97"/>
      <c r="J355" s="97"/>
      <c r="K355" s="97"/>
      <c r="L355" s="97"/>
      <c r="M355" s="97"/>
      <c r="N355" s="97"/>
      <c r="O355" s="97"/>
      <c r="P355" s="97"/>
      <c r="Q355" s="97"/>
      <c r="R355" s="97"/>
      <c r="S355" s="97"/>
      <c r="T355" s="97"/>
      <c r="U355" s="97"/>
      <c r="V355" s="97"/>
      <c r="W355" s="97"/>
      <c r="X355" s="129"/>
      <c r="Y355" s="97"/>
      <c r="Z355" s="97"/>
      <c r="AA355" s="97"/>
      <c r="AB355" s="97"/>
      <c r="AC355" s="97"/>
      <c r="AD355" s="97"/>
      <c r="AE355" s="97"/>
      <c r="AF355" s="97"/>
      <c r="AG355" s="97"/>
      <c r="AH355" s="97"/>
      <c r="AI355" s="97"/>
      <c r="AJ355" s="97"/>
      <c r="AK355" s="97"/>
      <c r="AL355" s="97"/>
      <c r="AM355" s="97"/>
      <c r="AN355" s="97"/>
      <c r="AO355" s="97"/>
      <c r="AP355" s="97"/>
      <c r="AQ355" s="97"/>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c r="DF355" s="97"/>
      <c r="DG355" s="97"/>
      <c r="DH355" s="97"/>
      <c r="DI355" s="97"/>
      <c r="DJ355" s="97"/>
      <c r="DK355" s="97"/>
      <c r="DL355" s="97"/>
      <c r="DM355" s="97"/>
      <c r="DN355" s="97"/>
      <c r="DO355" s="97"/>
      <c r="DP355" s="97"/>
      <c r="DQ355" s="97"/>
      <c r="DR355" s="97"/>
      <c r="DS355" s="97"/>
      <c r="DT355" s="97"/>
      <c r="DU355" s="97"/>
      <c r="DV355" s="97"/>
      <c r="DW355" s="97"/>
      <c r="DX355" s="97"/>
      <c r="DY355" s="97"/>
      <c r="DZ355" s="97"/>
      <c r="EA355" s="97"/>
      <c r="EB355" s="97"/>
      <c r="EC355" s="97"/>
      <c r="ED355" s="97"/>
      <c r="EE355" s="97"/>
      <c r="EF355" s="97"/>
      <c r="EG355" s="97"/>
      <c r="EH355" s="97"/>
      <c r="EI355" s="97"/>
      <c r="EJ355" s="97"/>
      <c r="EK355" s="97"/>
      <c r="EL355" s="97"/>
      <c r="EM355" s="97"/>
      <c r="EN355" s="97"/>
      <c r="EO355" s="97"/>
      <c r="EP355" s="97"/>
      <c r="EQ355" s="97"/>
      <c r="ER355" s="97"/>
      <c r="ES355" s="97"/>
      <c r="ET355" s="97"/>
    </row>
    <row r="356" spans="1:150" ht="15.75" customHeight="1">
      <c r="A356" s="97"/>
      <c r="B356" s="97"/>
      <c r="C356" s="97"/>
      <c r="D356" s="97"/>
      <c r="E356" s="97"/>
      <c r="F356" s="97"/>
      <c r="G356" s="97"/>
      <c r="H356" s="129"/>
      <c r="I356" s="97"/>
      <c r="J356" s="97"/>
      <c r="K356" s="97"/>
      <c r="L356" s="97"/>
      <c r="M356" s="97"/>
      <c r="N356" s="97"/>
      <c r="O356" s="97"/>
      <c r="P356" s="97"/>
      <c r="Q356" s="97"/>
      <c r="R356" s="97"/>
      <c r="S356" s="97"/>
      <c r="T356" s="97"/>
      <c r="U356" s="97"/>
      <c r="V356" s="97"/>
      <c r="W356" s="97"/>
      <c r="X356" s="129"/>
      <c r="Y356" s="97"/>
      <c r="Z356" s="97"/>
      <c r="AA356" s="97"/>
      <c r="AB356" s="97"/>
      <c r="AC356" s="97"/>
      <c r="AD356" s="97"/>
      <c r="AE356" s="97"/>
      <c r="AF356" s="97"/>
      <c r="AG356" s="97"/>
      <c r="AH356" s="97"/>
      <c r="AI356" s="97"/>
      <c r="AJ356" s="97"/>
      <c r="AK356" s="97"/>
      <c r="AL356" s="97"/>
      <c r="AM356" s="97"/>
      <c r="AN356" s="97"/>
      <c r="AO356" s="97"/>
      <c r="AP356" s="97"/>
      <c r="AQ356" s="97"/>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c r="DF356" s="97"/>
      <c r="DG356" s="97"/>
      <c r="DH356" s="97"/>
      <c r="DI356" s="97"/>
      <c r="DJ356" s="97"/>
      <c r="DK356" s="97"/>
      <c r="DL356" s="97"/>
      <c r="DM356" s="97"/>
      <c r="DN356" s="97"/>
      <c r="DO356" s="97"/>
      <c r="DP356" s="97"/>
      <c r="DQ356" s="97"/>
      <c r="DR356" s="97"/>
      <c r="DS356" s="97"/>
      <c r="DT356" s="97"/>
      <c r="DU356" s="97"/>
      <c r="DV356" s="97"/>
      <c r="DW356" s="97"/>
      <c r="DX356" s="97"/>
      <c r="DY356" s="97"/>
      <c r="DZ356" s="97"/>
      <c r="EA356" s="97"/>
      <c r="EB356" s="97"/>
      <c r="EC356" s="97"/>
      <c r="ED356" s="97"/>
      <c r="EE356" s="97"/>
      <c r="EF356" s="97"/>
      <c r="EG356" s="97"/>
      <c r="EH356" s="97"/>
      <c r="EI356" s="97"/>
      <c r="EJ356" s="97"/>
      <c r="EK356" s="97"/>
      <c r="EL356" s="97"/>
      <c r="EM356" s="97"/>
      <c r="EN356" s="97"/>
      <c r="EO356" s="97"/>
      <c r="EP356" s="97"/>
      <c r="EQ356" s="97"/>
      <c r="ER356" s="97"/>
      <c r="ES356" s="97"/>
      <c r="ET356" s="97"/>
    </row>
    <row r="357" spans="1:150" ht="15.75" customHeight="1">
      <c r="A357" s="97"/>
      <c r="B357" s="97"/>
      <c r="C357" s="97"/>
      <c r="D357" s="97"/>
      <c r="E357" s="97"/>
      <c r="F357" s="97"/>
      <c r="G357" s="97"/>
      <c r="H357" s="129"/>
      <c r="I357" s="97"/>
      <c r="J357" s="97"/>
      <c r="K357" s="97"/>
      <c r="L357" s="97"/>
      <c r="M357" s="97"/>
      <c r="N357" s="97"/>
      <c r="O357" s="97"/>
      <c r="P357" s="97"/>
      <c r="Q357" s="97"/>
      <c r="R357" s="97"/>
      <c r="S357" s="97"/>
      <c r="T357" s="97"/>
      <c r="U357" s="97"/>
      <c r="V357" s="97"/>
      <c r="W357" s="97"/>
      <c r="X357" s="129"/>
      <c r="Y357" s="97"/>
      <c r="Z357" s="97"/>
      <c r="AA357" s="97"/>
      <c r="AB357" s="97"/>
      <c r="AC357" s="97"/>
      <c r="AD357" s="97"/>
      <c r="AE357" s="97"/>
      <c r="AF357" s="97"/>
      <c r="AG357" s="97"/>
      <c r="AH357" s="97"/>
      <c r="AI357" s="97"/>
      <c r="AJ357" s="97"/>
      <c r="AK357" s="97"/>
      <c r="AL357" s="97"/>
      <c r="AM357" s="97"/>
      <c r="AN357" s="97"/>
      <c r="AO357" s="97"/>
      <c r="AP357" s="97"/>
      <c r="AQ357" s="97"/>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c r="DF357" s="97"/>
      <c r="DG357" s="97"/>
      <c r="DH357" s="97"/>
      <c r="DI357" s="97"/>
      <c r="DJ357" s="97"/>
      <c r="DK357" s="97"/>
      <c r="DL357" s="97"/>
      <c r="DM357" s="97"/>
      <c r="DN357" s="97"/>
      <c r="DO357" s="97"/>
      <c r="DP357" s="97"/>
      <c r="DQ357" s="97"/>
      <c r="DR357" s="97"/>
      <c r="DS357" s="97"/>
      <c r="DT357" s="97"/>
      <c r="DU357" s="97"/>
      <c r="DV357" s="97"/>
      <c r="DW357" s="97"/>
      <c r="DX357" s="97"/>
      <c r="DY357" s="97"/>
      <c r="DZ357" s="97"/>
      <c r="EA357" s="97"/>
      <c r="EB357" s="97"/>
      <c r="EC357" s="97"/>
      <c r="ED357" s="97"/>
      <c r="EE357" s="97"/>
      <c r="EF357" s="97"/>
      <c r="EG357" s="97"/>
      <c r="EH357" s="97"/>
      <c r="EI357" s="97"/>
      <c r="EJ357" s="97"/>
      <c r="EK357" s="97"/>
      <c r="EL357" s="97"/>
      <c r="EM357" s="97"/>
      <c r="EN357" s="97"/>
      <c r="EO357" s="97"/>
      <c r="EP357" s="97"/>
      <c r="EQ357" s="97"/>
      <c r="ER357" s="97"/>
      <c r="ES357" s="97"/>
      <c r="ET357" s="97"/>
    </row>
    <row r="358" spans="1:150" ht="15.75" customHeight="1">
      <c r="A358" s="97"/>
      <c r="B358" s="97"/>
      <c r="C358" s="97"/>
      <c r="D358" s="97"/>
      <c r="E358" s="97"/>
      <c r="F358" s="97"/>
      <c r="G358" s="97"/>
      <c r="H358" s="129"/>
      <c r="I358" s="97"/>
      <c r="J358" s="97"/>
      <c r="K358" s="97"/>
      <c r="L358" s="97"/>
      <c r="M358" s="97"/>
      <c r="N358" s="97"/>
      <c r="O358" s="97"/>
      <c r="P358" s="97"/>
      <c r="Q358" s="97"/>
      <c r="R358" s="97"/>
      <c r="S358" s="97"/>
      <c r="T358" s="97"/>
      <c r="U358" s="97"/>
      <c r="V358" s="97"/>
      <c r="W358" s="97"/>
      <c r="X358" s="129"/>
      <c r="Y358" s="97"/>
      <c r="Z358" s="97"/>
      <c r="AA358" s="97"/>
      <c r="AB358" s="97"/>
      <c r="AC358" s="97"/>
      <c r="AD358" s="97"/>
      <c r="AE358" s="97"/>
      <c r="AF358" s="97"/>
      <c r="AG358" s="97"/>
      <c r="AH358" s="97"/>
      <c r="AI358" s="97"/>
      <c r="AJ358" s="97"/>
      <c r="AK358" s="97"/>
      <c r="AL358" s="97"/>
      <c r="AM358" s="97"/>
      <c r="AN358" s="97"/>
      <c r="AO358" s="97"/>
      <c r="AP358" s="97"/>
      <c r="AQ358" s="97"/>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c r="DF358" s="97"/>
      <c r="DG358" s="97"/>
      <c r="DH358" s="97"/>
      <c r="DI358" s="97"/>
      <c r="DJ358" s="97"/>
      <c r="DK358" s="97"/>
      <c r="DL358" s="97"/>
      <c r="DM358" s="97"/>
      <c r="DN358" s="97"/>
      <c r="DO358" s="97"/>
      <c r="DP358" s="97"/>
      <c r="DQ358" s="97"/>
      <c r="DR358" s="97"/>
      <c r="DS358" s="97"/>
      <c r="DT358" s="97"/>
      <c r="DU358" s="97"/>
      <c r="DV358" s="97"/>
      <c r="DW358" s="97"/>
      <c r="DX358" s="97"/>
      <c r="DY358" s="97"/>
      <c r="DZ358" s="97"/>
      <c r="EA358" s="97"/>
      <c r="EB358" s="97"/>
      <c r="EC358" s="97"/>
      <c r="ED358" s="97"/>
      <c r="EE358" s="97"/>
      <c r="EF358" s="97"/>
      <c r="EG358" s="97"/>
      <c r="EH358" s="97"/>
      <c r="EI358" s="97"/>
      <c r="EJ358" s="97"/>
      <c r="EK358" s="97"/>
      <c r="EL358" s="97"/>
      <c r="EM358" s="97"/>
      <c r="EN358" s="97"/>
      <c r="EO358" s="97"/>
      <c r="EP358" s="97"/>
      <c r="EQ358" s="97"/>
      <c r="ER358" s="97"/>
      <c r="ES358" s="97"/>
      <c r="ET358" s="97"/>
    </row>
    <row r="359" spans="1:150" ht="15.75" customHeight="1">
      <c r="A359" s="97"/>
      <c r="B359" s="97"/>
      <c r="C359" s="97"/>
      <c r="D359" s="97"/>
      <c r="E359" s="97"/>
      <c r="F359" s="97"/>
      <c r="G359" s="97"/>
      <c r="H359" s="129"/>
      <c r="I359" s="97"/>
      <c r="J359" s="97"/>
      <c r="K359" s="97"/>
      <c r="L359" s="97"/>
      <c r="M359" s="97"/>
      <c r="N359" s="97"/>
      <c r="O359" s="97"/>
      <c r="P359" s="97"/>
      <c r="Q359" s="97"/>
      <c r="R359" s="97"/>
      <c r="S359" s="97"/>
      <c r="T359" s="97"/>
      <c r="U359" s="97"/>
      <c r="V359" s="97"/>
      <c r="W359" s="97"/>
      <c r="X359" s="129"/>
      <c r="Y359" s="97"/>
      <c r="Z359" s="97"/>
      <c r="AA359" s="97"/>
      <c r="AB359" s="97"/>
      <c r="AC359" s="97"/>
      <c r="AD359" s="97"/>
      <c r="AE359" s="97"/>
      <c r="AF359" s="97"/>
      <c r="AG359" s="97"/>
      <c r="AH359" s="97"/>
      <c r="AI359" s="97"/>
      <c r="AJ359" s="97"/>
      <c r="AK359" s="97"/>
      <c r="AL359" s="97"/>
      <c r="AM359" s="97"/>
      <c r="AN359" s="97"/>
      <c r="AO359" s="97"/>
      <c r="AP359" s="97"/>
      <c r="AQ359" s="97"/>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c r="DF359" s="97"/>
      <c r="DG359" s="97"/>
      <c r="DH359" s="97"/>
      <c r="DI359" s="97"/>
      <c r="DJ359" s="97"/>
      <c r="DK359" s="97"/>
      <c r="DL359" s="97"/>
      <c r="DM359" s="97"/>
      <c r="DN359" s="97"/>
      <c r="DO359" s="97"/>
      <c r="DP359" s="97"/>
      <c r="DQ359" s="97"/>
      <c r="DR359" s="97"/>
      <c r="DS359" s="97"/>
      <c r="DT359" s="97"/>
      <c r="DU359" s="97"/>
      <c r="DV359" s="97"/>
      <c r="DW359" s="97"/>
      <c r="DX359" s="97"/>
      <c r="DY359" s="97"/>
      <c r="DZ359" s="97"/>
      <c r="EA359" s="97"/>
      <c r="EB359" s="97"/>
      <c r="EC359" s="97"/>
      <c r="ED359" s="97"/>
      <c r="EE359" s="97"/>
      <c r="EF359" s="97"/>
      <c r="EG359" s="97"/>
      <c r="EH359" s="97"/>
      <c r="EI359" s="97"/>
      <c r="EJ359" s="97"/>
      <c r="EK359" s="97"/>
      <c r="EL359" s="97"/>
      <c r="EM359" s="97"/>
      <c r="EN359" s="97"/>
      <c r="EO359" s="97"/>
      <c r="EP359" s="97"/>
      <c r="EQ359" s="97"/>
      <c r="ER359" s="97"/>
      <c r="ES359" s="97"/>
      <c r="ET359" s="97"/>
    </row>
    <row r="360" spans="1:150" ht="15.75" customHeight="1">
      <c r="A360" s="97"/>
      <c r="B360" s="97"/>
      <c r="C360" s="97"/>
      <c r="D360" s="97"/>
      <c r="E360" s="97"/>
      <c r="F360" s="97"/>
      <c r="G360" s="97"/>
      <c r="H360" s="129"/>
      <c r="I360" s="97"/>
      <c r="J360" s="97"/>
      <c r="K360" s="97"/>
      <c r="L360" s="97"/>
      <c r="M360" s="97"/>
      <c r="N360" s="97"/>
      <c r="O360" s="97"/>
      <c r="P360" s="97"/>
      <c r="Q360" s="97"/>
      <c r="R360" s="97"/>
      <c r="S360" s="97"/>
      <c r="T360" s="97"/>
      <c r="U360" s="97"/>
      <c r="V360" s="97"/>
      <c r="W360" s="97"/>
      <c r="X360" s="129"/>
      <c r="Y360" s="97"/>
      <c r="Z360" s="97"/>
      <c r="AA360" s="97"/>
      <c r="AB360" s="97"/>
      <c r="AC360" s="97"/>
      <c r="AD360" s="97"/>
      <c r="AE360" s="97"/>
      <c r="AF360" s="97"/>
      <c r="AG360" s="97"/>
      <c r="AH360" s="97"/>
      <c r="AI360" s="97"/>
      <c r="AJ360" s="97"/>
      <c r="AK360" s="97"/>
      <c r="AL360" s="97"/>
      <c r="AM360" s="97"/>
      <c r="AN360" s="97"/>
      <c r="AO360" s="97"/>
      <c r="AP360" s="97"/>
      <c r="AQ360" s="97"/>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c r="DF360" s="97"/>
      <c r="DG360" s="97"/>
      <c r="DH360" s="97"/>
      <c r="DI360" s="97"/>
      <c r="DJ360" s="97"/>
      <c r="DK360" s="97"/>
      <c r="DL360" s="97"/>
      <c r="DM360" s="97"/>
      <c r="DN360" s="97"/>
      <c r="DO360" s="97"/>
      <c r="DP360" s="97"/>
      <c r="DQ360" s="97"/>
      <c r="DR360" s="97"/>
      <c r="DS360" s="97"/>
      <c r="DT360" s="97"/>
      <c r="DU360" s="97"/>
      <c r="DV360" s="97"/>
      <c r="DW360" s="97"/>
      <c r="DX360" s="97"/>
      <c r="DY360" s="97"/>
      <c r="DZ360" s="97"/>
      <c r="EA360" s="97"/>
      <c r="EB360" s="97"/>
      <c r="EC360" s="97"/>
      <c r="ED360" s="97"/>
      <c r="EE360" s="97"/>
      <c r="EF360" s="97"/>
      <c r="EG360" s="97"/>
      <c r="EH360" s="97"/>
      <c r="EI360" s="97"/>
      <c r="EJ360" s="97"/>
      <c r="EK360" s="97"/>
      <c r="EL360" s="97"/>
      <c r="EM360" s="97"/>
      <c r="EN360" s="97"/>
      <c r="EO360" s="97"/>
      <c r="EP360" s="97"/>
      <c r="EQ360" s="97"/>
      <c r="ER360" s="97"/>
      <c r="ES360" s="97"/>
      <c r="ET360" s="97"/>
    </row>
    <row r="361" spans="1:150" ht="15.75" customHeight="1">
      <c r="A361" s="97"/>
      <c r="B361" s="97"/>
      <c r="C361" s="97"/>
      <c r="D361" s="97"/>
      <c r="E361" s="97"/>
      <c r="F361" s="97"/>
      <c r="G361" s="97"/>
      <c r="H361" s="129"/>
      <c r="I361" s="97"/>
      <c r="J361" s="97"/>
      <c r="K361" s="97"/>
      <c r="L361" s="97"/>
      <c r="M361" s="97"/>
      <c r="N361" s="97"/>
      <c r="O361" s="97"/>
      <c r="P361" s="97"/>
      <c r="Q361" s="97"/>
      <c r="R361" s="97"/>
      <c r="S361" s="97"/>
      <c r="T361" s="97"/>
      <c r="U361" s="97"/>
      <c r="V361" s="97"/>
      <c r="W361" s="97"/>
      <c r="X361" s="129"/>
      <c r="Y361" s="97"/>
      <c r="Z361" s="97"/>
      <c r="AA361" s="97"/>
      <c r="AB361" s="97"/>
      <c r="AC361" s="97"/>
      <c r="AD361" s="97"/>
      <c r="AE361" s="97"/>
      <c r="AF361" s="97"/>
      <c r="AG361" s="97"/>
      <c r="AH361" s="97"/>
      <c r="AI361" s="97"/>
      <c r="AJ361" s="97"/>
      <c r="AK361" s="97"/>
      <c r="AL361" s="97"/>
      <c r="AM361" s="97"/>
      <c r="AN361" s="97"/>
      <c r="AO361" s="97"/>
      <c r="AP361" s="97"/>
      <c r="AQ361" s="97"/>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c r="DF361" s="97"/>
      <c r="DG361" s="97"/>
      <c r="DH361" s="97"/>
      <c r="DI361" s="97"/>
      <c r="DJ361" s="97"/>
      <c r="DK361" s="97"/>
      <c r="DL361" s="97"/>
      <c r="DM361" s="97"/>
      <c r="DN361" s="97"/>
      <c r="DO361" s="97"/>
      <c r="DP361" s="97"/>
      <c r="DQ361" s="97"/>
      <c r="DR361" s="97"/>
      <c r="DS361" s="97"/>
      <c r="DT361" s="97"/>
      <c r="DU361" s="97"/>
      <c r="DV361" s="97"/>
      <c r="DW361" s="97"/>
      <c r="DX361" s="97"/>
      <c r="DY361" s="97"/>
      <c r="DZ361" s="97"/>
      <c r="EA361" s="97"/>
      <c r="EB361" s="97"/>
      <c r="EC361" s="97"/>
      <c r="ED361" s="97"/>
      <c r="EE361" s="97"/>
      <c r="EF361" s="97"/>
      <c r="EG361" s="97"/>
      <c r="EH361" s="97"/>
      <c r="EI361" s="97"/>
      <c r="EJ361" s="97"/>
      <c r="EK361" s="97"/>
      <c r="EL361" s="97"/>
      <c r="EM361" s="97"/>
      <c r="EN361" s="97"/>
      <c r="EO361" s="97"/>
      <c r="EP361" s="97"/>
      <c r="EQ361" s="97"/>
      <c r="ER361" s="97"/>
      <c r="ES361" s="97"/>
      <c r="ET361" s="97"/>
    </row>
    <row r="362" spans="1:150" ht="15.75" customHeight="1">
      <c r="A362" s="97"/>
      <c r="B362" s="97"/>
      <c r="C362" s="97"/>
      <c r="D362" s="97"/>
      <c r="E362" s="97"/>
      <c r="F362" s="97"/>
      <c r="G362" s="97"/>
      <c r="H362" s="129"/>
      <c r="I362" s="97"/>
      <c r="J362" s="97"/>
      <c r="K362" s="97"/>
      <c r="L362" s="97"/>
      <c r="M362" s="97"/>
      <c r="N362" s="97"/>
      <c r="O362" s="97"/>
      <c r="P362" s="97"/>
      <c r="Q362" s="97"/>
      <c r="R362" s="97"/>
      <c r="S362" s="97"/>
      <c r="T362" s="97"/>
      <c r="U362" s="97"/>
      <c r="V362" s="97"/>
      <c r="W362" s="97"/>
      <c r="X362" s="129"/>
      <c r="Y362" s="97"/>
      <c r="Z362" s="97"/>
      <c r="AA362" s="97"/>
      <c r="AB362" s="97"/>
      <c r="AC362" s="97"/>
      <c r="AD362" s="97"/>
      <c r="AE362" s="97"/>
      <c r="AF362" s="97"/>
      <c r="AG362" s="97"/>
      <c r="AH362" s="97"/>
      <c r="AI362" s="97"/>
      <c r="AJ362" s="97"/>
      <c r="AK362" s="97"/>
      <c r="AL362" s="97"/>
      <c r="AM362" s="97"/>
      <c r="AN362" s="97"/>
      <c r="AO362" s="97"/>
      <c r="AP362" s="97"/>
      <c r="AQ362" s="97"/>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c r="DF362" s="97"/>
      <c r="DG362" s="97"/>
      <c r="DH362" s="97"/>
      <c r="DI362" s="97"/>
      <c r="DJ362" s="97"/>
      <c r="DK362" s="97"/>
      <c r="DL362" s="97"/>
      <c r="DM362" s="97"/>
      <c r="DN362" s="97"/>
      <c r="DO362" s="97"/>
      <c r="DP362" s="97"/>
      <c r="DQ362" s="97"/>
      <c r="DR362" s="97"/>
      <c r="DS362" s="97"/>
      <c r="DT362" s="97"/>
      <c r="DU362" s="97"/>
      <c r="DV362" s="97"/>
      <c r="DW362" s="97"/>
      <c r="DX362" s="97"/>
      <c r="DY362" s="97"/>
      <c r="DZ362" s="97"/>
      <c r="EA362" s="97"/>
      <c r="EB362" s="97"/>
      <c r="EC362" s="97"/>
      <c r="ED362" s="97"/>
      <c r="EE362" s="97"/>
      <c r="EF362" s="97"/>
      <c r="EG362" s="97"/>
      <c r="EH362" s="97"/>
      <c r="EI362" s="97"/>
      <c r="EJ362" s="97"/>
      <c r="EK362" s="97"/>
      <c r="EL362" s="97"/>
      <c r="EM362" s="97"/>
      <c r="EN362" s="97"/>
      <c r="EO362" s="97"/>
      <c r="EP362" s="97"/>
      <c r="EQ362" s="97"/>
      <c r="ER362" s="97"/>
      <c r="ES362" s="97"/>
      <c r="ET362" s="97"/>
    </row>
    <row r="363" spans="1:150" ht="15.75" customHeight="1">
      <c r="A363" s="97"/>
      <c r="B363" s="97"/>
      <c r="C363" s="97"/>
      <c r="D363" s="97"/>
      <c r="E363" s="97"/>
      <c r="F363" s="97"/>
      <c r="G363" s="97"/>
      <c r="H363" s="129"/>
      <c r="I363" s="97"/>
      <c r="J363" s="97"/>
      <c r="K363" s="97"/>
      <c r="L363" s="97"/>
      <c r="M363" s="97"/>
      <c r="N363" s="97"/>
      <c r="O363" s="97"/>
      <c r="P363" s="97"/>
      <c r="Q363" s="97"/>
      <c r="R363" s="97"/>
      <c r="S363" s="97"/>
      <c r="T363" s="97"/>
      <c r="U363" s="97"/>
      <c r="V363" s="97"/>
      <c r="W363" s="97"/>
      <c r="X363" s="129"/>
      <c r="Y363" s="97"/>
      <c r="Z363" s="97"/>
      <c r="AA363" s="97"/>
      <c r="AB363" s="97"/>
      <c r="AC363" s="97"/>
      <c r="AD363" s="97"/>
      <c r="AE363" s="97"/>
      <c r="AF363" s="97"/>
      <c r="AG363" s="97"/>
      <c r="AH363" s="97"/>
      <c r="AI363" s="97"/>
      <c r="AJ363" s="97"/>
      <c r="AK363" s="97"/>
      <c r="AL363" s="97"/>
      <c r="AM363" s="97"/>
      <c r="AN363" s="97"/>
      <c r="AO363" s="97"/>
      <c r="AP363" s="97"/>
      <c r="AQ363" s="97"/>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c r="DF363" s="97"/>
      <c r="DG363" s="97"/>
      <c r="DH363" s="97"/>
      <c r="DI363" s="97"/>
      <c r="DJ363" s="97"/>
      <c r="DK363" s="97"/>
      <c r="DL363" s="97"/>
      <c r="DM363" s="97"/>
      <c r="DN363" s="97"/>
      <c r="DO363" s="97"/>
      <c r="DP363" s="97"/>
      <c r="DQ363" s="97"/>
      <c r="DR363" s="97"/>
      <c r="DS363" s="97"/>
      <c r="DT363" s="97"/>
      <c r="DU363" s="97"/>
      <c r="DV363" s="97"/>
      <c r="DW363" s="97"/>
      <c r="DX363" s="97"/>
      <c r="DY363" s="97"/>
      <c r="DZ363" s="97"/>
      <c r="EA363" s="97"/>
      <c r="EB363" s="97"/>
      <c r="EC363" s="97"/>
      <c r="ED363" s="97"/>
      <c r="EE363" s="97"/>
      <c r="EF363" s="97"/>
      <c r="EG363" s="97"/>
      <c r="EH363" s="97"/>
      <c r="EI363" s="97"/>
      <c r="EJ363" s="97"/>
      <c r="EK363" s="97"/>
      <c r="EL363" s="97"/>
      <c r="EM363" s="97"/>
      <c r="EN363" s="97"/>
      <c r="EO363" s="97"/>
      <c r="EP363" s="97"/>
      <c r="EQ363" s="97"/>
      <c r="ER363" s="97"/>
      <c r="ES363" s="97"/>
      <c r="ET363" s="97"/>
    </row>
    <row r="364" spans="1:150" ht="15.75" customHeight="1">
      <c r="A364" s="97"/>
      <c r="B364" s="97"/>
      <c r="C364" s="97"/>
      <c r="D364" s="97"/>
      <c r="E364" s="97"/>
      <c r="F364" s="97"/>
      <c r="G364" s="97"/>
      <c r="H364" s="129"/>
      <c r="I364" s="97"/>
      <c r="J364" s="97"/>
      <c r="K364" s="97"/>
      <c r="L364" s="97"/>
      <c r="M364" s="97"/>
      <c r="N364" s="97"/>
      <c r="O364" s="97"/>
      <c r="P364" s="97"/>
      <c r="Q364" s="97"/>
      <c r="R364" s="97"/>
      <c r="S364" s="97"/>
      <c r="T364" s="97"/>
      <c r="U364" s="97"/>
      <c r="V364" s="97"/>
      <c r="W364" s="97"/>
      <c r="X364" s="129"/>
      <c r="Y364" s="97"/>
      <c r="Z364" s="97"/>
      <c r="AA364" s="97"/>
      <c r="AB364" s="97"/>
      <c r="AC364" s="97"/>
      <c r="AD364" s="97"/>
      <c r="AE364" s="97"/>
      <c r="AF364" s="97"/>
      <c r="AG364" s="97"/>
      <c r="AH364" s="97"/>
      <c r="AI364" s="97"/>
      <c r="AJ364" s="97"/>
      <c r="AK364" s="97"/>
      <c r="AL364" s="97"/>
      <c r="AM364" s="97"/>
      <c r="AN364" s="97"/>
      <c r="AO364" s="97"/>
      <c r="AP364" s="97"/>
      <c r="AQ364" s="97"/>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c r="DF364" s="97"/>
      <c r="DG364" s="97"/>
      <c r="DH364" s="97"/>
      <c r="DI364" s="97"/>
      <c r="DJ364" s="97"/>
      <c r="DK364" s="97"/>
      <c r="DL364" s="97"/>
      <c r="DM364" s="97"/>
      <c r="DN364" s="97"/>
      <c r="DO364" s="97"/>
      <c r="DP364" s="97"/>
      <c r="DQ364" s="97"/>
      <c r="DR364" s="97"/>
      <c r="DS364" s="97"/>
      <c r="DT364" s="97"/>
      <c r="DU364" s="97"/>
      <c r="DV364" s="97"/>
      <c r="DW364" s="97"/>
      <c r="DX364" s="97"/>
      <c r="DY364" s="97"/>
      <c r="DZ364" s="97"/>
      <c r="EA364" s="97"/>
      <c r="EB364" s="97"/>
      <c r="EC364" s="97"/>
      <c r="ED364" s="97"/>
      <c r="EE364" s="97"/>
      <c r="EF364" s="97"/>
      <c r="EG364" s="97"/>
      <c r="EH364" s="97"/>
      <c r="EI364" s="97"/>
      <c r="EJ364" s="97"/>
      <c r="EK364" s="97"/>
      <c r="EL364" s="97"/>
      <c r="EM364" s="97"/>
      <c r="EN364" s="97"/>
      <c r="EO364" s="97"/>
      <c r="EP364" s="97"/>
      <c r="EQ364" s="97"/>
      <c r="ER364" s="97"/>
      <c r="ES364" s="97"/>
      <c r="ET364" s="97"/>
    </row>
    <row r="365" spans="1:150" ht="15.75" customHeight="1">
      <c r="A365" s="97"/>
      <c r="B365" s="97"/>
      <c r="C365" s="97"/>
      <c r="D365" s="97"/>
      <c r="E365" s="97"/>
      <c r="F365" s="97"/>
      <c r="G365" s="97"/>
      <c r="H365" s="129"/>
      <c r="I365" s="97"/>
      <c r="J365" s="97"/>
      <c r="K365" s="97"/>
      <c r="L365" s="97"/>
      <c r="M365" s="97"/>
      <c r="N365" s="97"/>
      <c r="O365" s="97"/>
      <c r="P365" s="97"/>
      <c r="Q365" s="97"/>
      <c r="R365" s="97"/>
      <c r="S365" s="97"/>
      <c r="T365" s="97"/>
      <c r="U365" s="97"/>
      <c r="V365" s="97"/>
      <c r="W365" s="97"/>
      <c r="X365" s="129"/>
      <c r="Y365" s="97"/>
      <c r="Z365" s="97"/>
      <c r="AA365" s="97"/>
      <c r="AB365" s="97"/>
      <c r="AC365" s="97"/>
      <c r="AD365" s="97"/>
      <c r="AE365" s="97"/>
      <c r="AF365" s="97"/>
      <c r="AG365" s="97"/>
      <c r="AH365" s="97"/>
      <c r="AI365" s="97"/>
      <c r="AJ365" s="97"/>
      <c r="AK365" s="97"/>
      <c r="AL365" s="97"/>
      <c r="AM365" s="97"/>
      <c r="AN365" s="97"/>
      <c r="AO365" s="97"/>
      <c r="AP365" s="97"/>
      <c r="AQ365" s="97"/>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c r="DF365" s="97"/>
      <c r="DG365" s="97"/>
      <c r="DH365" s="97"/>
      <c r="DI365" s="97"/>
      <c r="DJ365" s="97"/>
      <c r="DK365" s="97"/>
      <c r="DL365" s="97"/>
      <c r="DM365" s="97"/>
      <c r="DN365" s="97"/>
      <c r="DO365" s="97"/>
      <c r="DP365" s="97"/>
      <c r="DQ365" s="97"/>
      <c r="DR365" s="97"/>
      <c r="DS365" s="97"/>
      <c r="DT365" s="97"/>
      <c r="DU365" s="97"/>
      <c r="DV365" s="97"/>
      <c r="DW365" s="97"/>
      <c r="DX365" s="97"/>
      <c r="DY365" s="97"/>
      <c r="DZ365" s="97"/>
      <c r="EA365" s="97"/>
      <c r="EB365" s="97"/>
      <c r="EC365" s="97"/>
      <c r="ED365" s="97"/>
      <c r="EE365" s="97"/>
      <c r="EF365" s="97"/>
      <c r="EG365" s="97"/>
      <c r="EH365" s="97"/>
      <c r="EI365" s="97"/>
      <c r="EJ365" s="97"/>
      <c r="EK365" s="97"/>
      <c r="EL365" s="97"/>
      <c r="EM365" s="97"/>
      <c r="EN365" s="97"/>
      <c r="EO365" s="97"/>
      <c r="EP365" s="97"/>
      <c r="EQ365" s="97"/>
      <c r="ER365" s="97"/>
      <c r="ES365" s="97"/>
      <c r="ET365" s="97"/>
    </row>
    <row r="366" spans="1:150" ht="15.75" customHeight="1">
      <c r="A366" s="97"/>
      <c r="B366" s="97"/>
      <c r="C366" s="97"/>
      <c r="D366" s="97"/>
      <c r="E366" s="97"/>
      <c r="F366" s="97"/>
      <c r="G366" s="97"/>
      <c r="H366" s="129"/>
      <c r="I366" s="97"/>
      <c r="J366" s="97"/>
      <c r="K366" s="97"/>
      <c r="L366" s="97"/>
      <c r="M366" s="97"/>
      <c r="N366" s="97"/>
      <c r="O366" s="97"/>
      <c r="P366" s="97"/>
      <c r="Q366" s="97"/>
      <c r="R366" s="97"/>
      <c r="S366" s="97"/>
      <c r="T366" s="97"/>
      <c r="U366" s="97"/>
      <c r="V366" s="97"/>
      <c r="W366" s="97"/>
      <c r="X366" s="129"/>
      <c r="Y366" s="97"/>
      <c r="Z366" s="97"/>
      <c r="AA366" s="97"/>
      <c r="AB366" s="97"/>
      <c r="AC366" s="97"/>
      <c r="AD366" s="97"/>
      <c r="AE366" s="97"/>
      <c r="AF366" s="97"/>
      <c r="AG366" s="97"/>
      <c r="AH366" s="97"/>
      <c r="AI366" s="97"/>
      <c r="AJ366" s="97"/>
      <c r="AK366" s="97"/>
      <c r="AL366" s="97"/>
      <c r="AM366" s="97"/>
      <c r="AN366" s="97"/>
      <c r="AO366" s="97"/>
      <c r="AP366" s="97"/>
      <c r="AQ366" s="97"/>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c r="DF366" s="97"/>
      <c r="DG366" s="97"/>
      <c r="DH366" s="97"/>
      <c r="DI366" s="97"/>
      <c r="DJ366" s="97"/>
      <c r="DK366" s="97"/>
      <c r="DL366" s="97"/>
      <c r="DM366" s="97"/>
      <c r="DN366" s="97"/>
      <c r="DO366" s="97"/>
      <c r="DP366" s="97"/>
      <c r="DQ366" s="97"/>
      <c r="DR366" s="97"/>
      <c r="DS366" s="97"/>
      <c r="DT366" s="97"/>
      <c r="DU366" s="97"/>
      <c r="DV366" s="97"/>
      <c r="DW366" s="97"/>
      <c r="DX366" s="97"/>
      <c r="DY366" s="97"/>
      <c r="DZ366" s="97"/>
      <c r="EA366" s="97"/>
      <c r="EB366" s="97"/>
      <c r="EC366" s="97"/>
      <c r="ED366" s="97"/>
      <c r="EE366" s="97"/>
      <c r="EF366" s="97"/>
      <c r="EG366" s="97"/>
      <c r="EH366" s="97"/>
      <c r="EI366" s="97"/>
      <c r="EJ366" s="97"/>
      <c r="EK366" s="97"/>
      <c r="EL366" s="97"/>
      <c r="EM366" s="97"/>
      <c r="EN366" s="97"/>
      <c r="EO366" s="97"/>
      <c r="EP366" s="97"/>
      <c r="EQ366" s="97"/>
      <c r="ER366" s="97"/>
      <c r="ES366" s="97"/>
      <c r="ET366" s="97"/>
    </row>
    <row r="367" spans="1:150" ht="15.75" customHeight="1">
      <c r="A367" s="97"/>
      <c r="B367" s="97"/>
      <c r="C367" s="97"/>
      <c r="D367" s="97"/>
      <c r="E367" s="97"/>
      <c r="F367" s="97"/>
      <c r="G367" s="97"/>
      <c r="H367" s="129"/>
      <c r="I367" s="97"/>
      <c r="J367" s="97"/>
      <c r="K367" s="97"/>
      <c r="L367" s="97"/>
      <c r="M367" s="97"/>
      <c r="N367" s="97"/>
      <c r="O367" s="97"/>
      <c r="P367" s="97"/>
      <c r="Q367" s="97"/>
      <c r="R367" s="97"/>
      <c r="S367" s="97"/>
      <c r="T367" s="97"/>
      <c r="U367" s="97"/>
      <c r="V367" s="97"/>
      <c r="W367" s="97"/>
      <c r="X367" s="129"/>
      <c r="Y367" s="97"/>
      <c r="Z367" s="97"/>
      <c r="AA367" s="97"/>
      <c r="AB367" s="97"/>
      <c r="AC367" s="97"/>
      <c r="AD367" s="97"/>
      <c r="AE367" s="97"/>
      <c r="AF367" s="97"/>
      <c r="AG367" s="97"/>
      <c r="AH367" s="97"/>
      <c r="AI367" s="97"/>
      <c r="AJ367" s="97"/>
      <c r="AK367" s="97"/>
      <c r="AL367" s="97"/>
      <c r="AM367" s="97"/>
      <c r="AN367" s="97"/>
      <c r="AO367" s="97"/>
      <c r="AP367" s="97"/>
      <c r="AQ367" s="97"/>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c r="DF367" s="97"/>
      <c r="DG367" s="97"/>
      <c r="DH367" s="97"/>
      <c r="DI367" s="97"/>
      <c r="DJ367" s="97"/>
      <c r="DK367" s="97"/>
      <c r="DL367" s="97"/>
      <c r="DM367" s="97"/>
      <c r="DN367" s="97"/>
      <c r="DO367" s="97"/>
      <c r="DP367" s="97"/>
      <c r="DQ367" s="97"/>
      <c r="DR367" s="97"/>
      <c r="DS367" s="97"/>
      <c r="DT367" s="97"/>
      <c r="DU367" s="97"/>
      <c r="DV367" s="97"/>
      <c r="DW367" s="97"/>
      <c r="DX367" s="97"/>
      <c r="DY367" s="97"/>
      <c r="DZ367" s="97"/>
      <c r="EA367" s="97"/>
      <c r="EB367" s="97"/>
      <c r="EC367" s="97"/>
      <c r="ED367" s="97"/>
      <c r="EE367" s="97"/>
      <c r="EF367" s="97"/>
      <c r="EG367" s="97"/>
      <c r="EH367" s="97"/>
      <c r="EI367" s="97"/>
      <c r="EJ367" s="97"/>
      <c r="EK367" s="97"/>
      <c r="EL367" s="97"/>
      <c r="EM367" s="97"/>
      <c r="EN367" s="97"/>
      <c r="EO367" s="97"/>
      <c r="EP367" s="97"/>
      <c r="EQ367" s="97"/>
      <c r="ER367" s="97"/>
      <c r="ES367" s="97"/>
      <c r="ET367" s="97"/>
    </row>
    <row r="368" spans="1:150" ht="15.75" customHeight="1">
      <c r="A368" s="97"/>
      <c r="B368" s="97"/>
      <c r="C368" s="97"/>
      <c r="D368" s="97"/>
      <c r="E368" s="97"/>
      <c r="F368" s="97"/>
      <c r="G368" s="97"/>
      <c r="H368" s="129"/>
      <c r="I368" s="97"/>
      <c r="J368" s="97"/>
      <c r="K368" s="97"/>
      <c r="L368" s="97"/>
      <c r="M368" s="97"/>
      <c r="N368" s="97"/>
      <c r="O368" s="97"/>
      <c r="P368" s="97"/>
      <c r="Q368" s="97"/>
      <c r="R368" s="97"/>
      <c r="S368" s="97"/>
      <c r="T368" s="97"/>
      <c r="U368" s="97"/>
      <c r="V368" s="97"/>
      <c r="W368" s="97"/>
      <c r="X368" s="129"/>
      <c r="Y368" s="97"/>
      <c r="Z368" s="97"/>
      <c r="AA368" s="97"/>
      <c r="AB368" s="97"/>
      <c r="AC368" s="97"/>
      <c r="AD368" s="97"/>
      <c r="AE368" s="97"/>
      <c r="AF368" s="97"/>
      <c r="AG368" s="97"/>
      <c r="AH368" s="97"/>
      <c r="AI368" s="97"/>
      <c r="AJ368" s="97"/>
      <c r="AK368" s="97"/>
      <c r="AL368" s="97"/>
      <c r="AM368" s="97"/>
      <c r="AN368" s="97"/>
      <c r="AO368" s="97"/>
      <c r="AP368" s="97"/>
      <c r="AQ368" s="97"/>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c r="DF368" s="97"/>
      <c r="DG368" s="97"/>
      <c r="DH368" s="97"/>
      <c r="DI368" s="97"/>
      <c r="DJ368" s="97"/>
      <c r="DK368" s="97"/>
      <c r="DL368" s="97"/>
      <c r="DM368" s="97"/>
      <c r="DN368" s="97"/>
      <c r="DO368" s="97"/>
      <c r="DP368" s="97"/>
      <c r="DQ368" s="97"/>
      <c r="DR368" s="97"/>
      <c r="DS368" s="97"/>
      <c r="DT368" s="97"/>
      <c r="DU368" s="97"/>
      <c r="DV368" s="97"/>
      <c r="DW368" s="97"/>
      <c r="DX368" s="97"/>
      <c r="DY368" s="97"/>
      <c r="DZ368" s="97"/>
      <c r="EA368" s="97"/>
      <c r="EB368" s="97"/>
      <c r="EC368" s="97"/>
      <c r="ED368" s="97"/>
      <c r="EE368" s="97"/>
      <c r="EF368" s="97"/>
      <c r="EG368" s="97"/>
      <c r="EH368" s="97"/>
      <c r="EI368" s="97"/>
      <c r="EJ368" s="97"/>
      <c r="EK368" s="97"/>
      <c r="EL368" s="97"/>
      <c r="EM368" s="97"/>
      <c r="EN368" s="97"/>
      <c r="EO368" s="97"/>
      <c r="EP368" s="97"/>
      <c r="EQ368" s="97"/>
      <c r="ER368" s="97"/>
      <c r="ES368" s="97"/>
      <c r="ET368" s="97"/>
    </row>
    <row r="369" spans="1:150" ht="15.75" customHeight="1">
      <c r="A369" s="97"/>
      <c r="B369" s="97"/>
      <c r="C369" s="97"/>
      <c r="D369" s="97"/>
      <c r="E369" s="97"/>
      <c r="F369" s="97"/>
      <c r="G369" s="97"/>
      <c r="H369" s="129"/>
      <c r="I369" s="97"/>
      <c r="J369" s="97"/>
      <c r="K369" s="97"/>
      <c r="L369" s="97"/>
      <c r="M369" s="97"/>
      <c r="N369" s="97"/>
      <c r="O369" s="97"/>
      <c r="P369" s="97"/>
      <c r="Q369" s="97"/>
      <c r="R369" s="97"/>
      <c r="S369" s="97"/>
      <c r="T369" s="97"/>
      <c r="U369" s="97"/>
      <c r="V369" s="97"/>
      <c r="W369" s="97"/>
      <c r="X369" s="129"/>
      <c r="Y369" s="97"/>
      <c r="Z369" s="97"/>
      <c r="AA369" s="97"/>
      <c r="AB369" s="97"/>
      <c r="AC369" s="97"/>
      <c r="AD369" s="97"/>
      <c r="AE369" s="97"/>
      <c r="AF369" s="97"/>
      <c r="AG369" s="97"/>
      <c r="AH369" s="97"/>
      <c r="AI369" s="97"/>
      <c r="AJ369" s="97"/>
      <c r="AK369" s="97"/>
      <c r="AL369" s="97"/>
      <c r="AM369" s="97"/>
      <c r="AN369" s="97"/>
      <c r="AO369" s="97"/>
      <c r="AP369" s="97"/>
      <c r="AQ369" s="97"/>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c r="DF369" s="97"/>
      <c r="DG369" s="97"/>
      <c r="DH369" s="97"/>
      <c r="DI369" s="97"/>
      <c r="DJ369" s="97"/>
      <c r="DK369" s="97"/>
      <c r="DL369" s="97"/>
      <c r="DM369" s="97"/>
      <c r="DN369" s="97"/>
      <c r="DO369" s="97"/>
      <c r="DP369" s="97"/>
      <c r="DQ369" s="97"/>
      <c r="DR369" s="97"/>
      <c r="DS369" s="97"/>
      <c r="DT369" s="97"/>
      <c r="DU369" s="97"/>
      <c r="DV369" s="97"/>
      <c r="DW369" s="97"/>
      <c r="DX369" s="97"/>
      <c r="DY369" s="97"/>
      <c r="DZ369" s="97"/>
      <c r="EA369" s="97"/>
      <c r="EB369" s="97"/>
      <c r="EC369" s="97"/>
      <c r="ED369" s="97"/>
      <c r="EE369" s="97"/>
      <c r="EF369" s="97"/>
      <c r="EG369" s="97"/>
      <c r="EH369" s="97"/>
      <c r="EI369" s="97"/>
      <c r="EJ369" s="97"/>
      <c r="EK369" s="97"/>
      <c r="EL369" s="97"/>
      <c r="EM369" s="97"/>
      <c r="EN369" s="97"/>
      <c r="EO369" s="97"/>
      <c r="EP369" s="97"/>
      <c r="EQ369" s="97"/>
      <c r="ER369" s="97"/>
      <c r="ES369" s="97"/>
      <c r="ET369" s="97"/>
    </row>
    <row r="370" spans="1:150" ht="15.75" customHeight="1">
      <c r="A370" s="97"/>
      <c r="B370" s="97"/>
      <c r="C370" s="97"/>
      <c r="D370" s="97"/>
      <c r="E370" s="97"/>
      <c r="F370" s="97"/>
      <c r="G370" s="97"/>
      <c r="H370" s="129"/>
      <c r="I370" s="97"/>
      <c r="J370" s="97"/>
      <c r="K370" s="97"/>
      <c r="L370" s="97"/>
      <c r="M370" s="97"/>
      <c r="N370" s="97"/>
      <c r="O370" s="97"/>
      <c r="P370" s="97"/>
      <c r="Q370" s="97"/>
      <c r="R370" s="97"/>
      <c r="S370" s="97"/>
      <c r="T370" s="97"/>
      <c r="U370" s="97"/>
      <c r="V370" s="97"/>
      <c r="W370" s="97"/>
      <c r="X370" s="129"/>
      <c r="Y370" s="97"/>
      <c r="Z370" s="97"/>
      <c r="AA370" s="97"/>
      <c r="AB370" s="97"/>
      <c r="AC370" s="97"/>
      <c r="AD370" s="97"/>
      <c r="AE370" s="97"/>
      <c r="AF370" s="97"/>
      <c r="AG370" s="97"/>
      <c r="AH370" s="97"/>
      <c r="AI370" s="97"/>
      <c r="AJ370" s="97"/>
      <c r="AK370" s="97"/>
      <c r="AL370" s="97"/>
      <c r="AM370" s="97"/>
      <c r="AN370" s="97"/>
      <c r="AO370" s="97"/>
      <c r="AP370" s="97"/>
      <c r="AQ370" s="97"/>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c r="DF370" s="97"/>
      <c r="DG370" s="97"/>
      <c r="DH370" s="97"/>
      <c r="DI370" s="97"/>
      <c r="DJ370" s="97"/>
      <c r="DK370" s="97"/>
      <c r="DL370" s="97"/>
      <c r="DM370" s="97"/>
      <c r="DN370" s="97"/>
      <c r="DO370" s="97"/>
      <c r="DP370" s="97"/>
      <c r="DQ370" s="97"/>
      <c r="DR370" s="97"/>
      <c r="DS370" s="97"/>
      <c r="DT370" s="97"/>
      <c r="DU370" s="97"/>
      <c r="DV370" s="97"/>
      <c r="DW370" s="97"/>
      <c r="DX370" s="97"/>
      <c r="DY370" s="97"/>
      <c r="DZ370" s="97"/>
      <c r="EA370" s="97"/>
      <c r="EB370" s="97"/>
      <c r="EC370" s="97"/>
      <c r="ED370" s="97"/>
      <c r="EE370" s="97"/>
      <c r="EF370" s="97"/>
      <c r="EG370" s="97"/>
      <c r="EH370" s="97"/>
      <c r="EI370" s="97"/>
      <c r="EJ370" s="97"/>
      <c r="EK370" s="97"/>
      <c r="EL370" s="97"/>
      <c r="EM370" s="97"/>
      <c r="EN370" s="97"/>
      <c r="EO370" s="97"/>
      <c r="EP370" s="97"/>
      <c r="EQ370" s="97"/>
      <c r="ER370" s="97"/>
      <c r="ES370" s="97"/>
      <c r="ET370" s="97"/>
    </row>
    <row r="371" spans="1:150" ht="15.75" customHeight="1">
      <c r="A371" s="97"/>
      <c r="B371" s="97"/>
      <c r="C371" s="97"/>
      <c r="D371" s="97"/>
      <c r="E371" s="97"/>
      <c r="F371" s="97"/>
      <c r="G371" s="97"/>
      <c r="H371" s="129"/>
      <c r="I371" s="97"/>
      <c r="J371" s="97"/>
      <c r="K371" s="97"/>
      <c r="L371" s="97"/>
      <c r="M371" s="97"/>
      <c r="N371" s="97"/>
      <c r="O371" s="97"/>
      <c r="P371" s="97"/>
      <c r="Q371" s="97"/>
      <c r="R371" s="97"/>
      <c r="S371" s="97"/>
      <c r="T371" s="97"/>
      <c r="U371" s="97"/>
      <c r="V371" s="97"/>
      <c r="W371" s="97"/>
      <c r="X371" s="129"/>
      <c r="Y371" s="97"/>
      <c r="Z371" s="97"/>
      <c r="AA371" s="97"/>
      <c r="AB371" s="97"/>
      <c r="AC371" s="97"/>
      <c r="AD371" s="97"/>
      <c r="AE371" s="97"/>
      <c r="AF371" s="97"/>
      <c r="AG371" s="97"/>
      <c r="AH371" s="97"/>
      <c r="AI371" s="97"/>
      <c r="AJ371" s="97"/>
      <c r="AK371" s="97"/>
      <c r="AL371" s="97"/>
      <c r="AM371" s="97"/>
      <c r="AN371" s="97"/>
      <c r="AO371" s="97"/>
      <c r="AP371" s="97"/>
      <c r="AQ371" s="97"/>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c r="DF371" s="97"/>
      <c r="DG371" s="97"/>
      <c r="DH371" s="97"/>
      <c r="DI371" s="97"/>
      <c r="DJ371" s="97"/>
      <c r="DK371" s="97"/>
      <c r="DL371" s="97"/>
      <c r="DM371" s="97"/>
      <c r="DN371" s="97"/>
      <c r="DO371" s="97"/>
      <c r="DP371" s="97"/>
      <c r="DQ371" s="97"/>
      <c r="DR371" s="97"/>
      <c r="DS371" s="97"/>
      <c r="DT371" s="97"/>
      <c r="DU371" s="97"/>
      <c r="DV371" s="97"/>
      <c r="DW371" s="97"/>
      <c r="DX371" s="97"/>
      <c r="DY371" s="97"/>
      <c r="DZ371" s="97"/>
      <c r="EA371" s="97"/>
      <c r="EB371" s="97"/>
      <c r="EC371" s="97"/>
      <c r="ED371" s="97"/>
      <c r="EE371" s="97"/>
      <c r="EF371" s="97"/>
      <c r="EG371" s="97"/>
      <c r="EH371" s="97"/>
      <c r="EI371" s="97"/>
      <c r="EJ371" s="97"/>
      <c r="EK371" s="97"/>
      <c r="EL371" s="97"/>
      <c r="EM371" s="97"/>
      <c r="EN371" s="97"/>
      <c r="EO371" s="97"/>
      <c r="EP371" s="97"/>
      <c r="EQ371" s="97"/>
      <c r="ER371" s="97"/>
      <c r="ES371" s="97"/>
      <c r="ET371" s="97"/>
    </row>
    <row r="372" spans="1:150" ht="15.75" customHeight="1">
      <c r="A372" s="97"/>
      <c r="B372" s="97"/>
      <c r="C372" s="97"/>
      <c r="D372" s="97"/>
      <c r="E372" s="97"/>
      <c r="F372" s="97"/>
      <c r="G372" s="97"/>
      <c r="H372" s="129"/>
      <c r="I372" s="97"/>
      <c r="J372" s="97"/>
      <c r="K372" s="97"/>
      <c r="L372" s="97"/>
      <c r="M372" s="97"/>
      <c r="N372" s="97"/>
      <c r="O372" s="97"/>
      <c r="P372" s="97"/>
      <c r="Q372" s="97"/>
      <c r="R372" s="97"/>
      <c r="S372" s="97"/>
      <c r="T372" s="97"/>
      <c r="U372" s="97"/>
      <c r="V372" s="97"/>
      <c r="W372" s="97"/>
      <c r="X372" s="129"/>
      <c r="Y372" s="97"/>
      <c r="Z372" s="97"/>
      <c r="AA372" s="97"/>
      <c r="AB372" s="97"/>
      <c r="AC372" s="97"/>
      <c r="AD372" s="97"/>
      <c r="AE372" s="97"/>
      <c r="AF372" s="97"/>
      <c r="AG372" s="97"/>
      <c r="AH372" s="97"/>
      <c r="AI372" s="97"/>
      <c r="AJ372" s="97"/>
      <c r="AK372" s="97"/>
      <c r="AL372" s="97"/>
      <c r="AM372" s="97"/>
      <c r="AN372" s="97"/>
      <c r="AO372" s="97"/>
      <c r="AP372" s="97"/>
      <c r="AQ372" s="97"/>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c r="DF372" s="97"/>
      <c r="DG372" s="97"/>
      <c r="DH372" s="97"/>
      <c r="DI372" s="97"/>
      <c r="DJ372" s="97"/>
      <c r="DK372" s="97"/>
      <c r="DL372" s="97"/>
      <c r="DM372" s="97"/>
      <c r="DN372" s="97"/>
      <c r="DO372" s="97"/>
      <c r="DP372" s="97"/>
      <c r="DQ372" s="97"/>
      <c r="DR372" s="97"/>
      <c r="DS372" s="97"/>
      <c r="DT372" s="97"/>
      <c r="DU372" s="97"/>
      <c r="DV372" s="97"/>
      <c r="DW372" s="97"/>
      <c r="DX372" s="97"/>
      <c r="DY372" s="97"/>
      <c r="DZ372" s="97"/>
      <c r="EA372" s="97"/>
      <c r="EB372" s="97"/>
      <c r="EC372" s="97"/>
      <c r="ED372" s="97"/>
      <c r="EE372" s="97"/>
      <c r="EF372" s="97"/>
      <c r="EG372" s="97"/>
      <c r="EH372" s="97"/>
      <c r="EI372" s="97"/>
      <c r="EJ372" s="97"/>
      <c r="EK372" s="97"/>
      <c r="EL372" s="97"/>
      <c r="EM372" s="97"/>
      <c r="EN372" s="97"/>
      <c r="EO372" s="97"/>
      <c r="EP372" s="97"/>
      <c r="EQ372" s="97"/>
      <c r="ER372" s="97"/>
      <c r="ES372" s="97"/>
      <c r="ET372" s="97"/>
    </row>
    <row r="373" spans="1:150" ht="15.75" customHeight="1">
      <c r="A373" s="97"/>
      <c r="B373" s="97"/>
      <c r="C373" s="97"/>
      <c r="D373" s="97"/>
      <c r="E373" s="97"/>
      <c r="F373" s="97"/>
      <c r="G373" s="97"/>
      <c r="H373" s="129"/>
      <c r="I373" s="97"/>
      <c r="J373" s="97"/>
      <c r="K373" s="97"/>
      <c r="L373" s="97"/>
      <c r="M373" s="97"/>
      <c r="N373" s="97"/>
      <c r="O373" s="97"/>
      <c r="P373" s="97"/>
      <c r="Q373" s="97"/>
      <c r="R373" s="97"/>
      <c r="S373" s="97"/>
      <c r="T373" s="97"/>
      <c r="U373" s="97"/>
      <c r="V373" s="97"/>
      <c r="W373" s="97"/>
      <c r="X373" s="129"/>
      <c r="Y373" s="97"/>
      <c r="Z373" s="97"/>
      <c r="AA373" s="97"/>
      <c r="AB373" s="97"/>
      <c r="AC373" s="97"/>
      <c r="AD373" s="97"/>
      <c r="AE373" s="97"/>
      <c r="AF373" s="97"/>
      <c r="AG373" s="97"/>
      <c r="AH373" s="97"/>
      <c r="AI373" s="97"/>
      <c r="AJ373" s="97"/>
      <c r="AK373" s="97"/>
      <c r="AL373" s="97"/>
      <c r="AM373" s="97"/>
      <c r="AN373" s="97"/>
      <c r="AO373" s="97"/>
      <c r="AP373" s="97"/>
      <c r="AQ373" s="97"/>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c r="DF373" s="97"/>
      <c r="DG373" s="97"/>
      <c r="DH373" s="97"/>
      <c r="DI373" s="97"/>
      <c r="DJ373" s="97"/>
      <c r="DK373" s="97"/>
      <c r="DL373" s="97"/>
      <c r="DM373" s="97"/>
      <c r="DN373" s="97"/>
      <c r="DO373" s="97"/>
      <c r="DP373" s="97"/>
      <c r="DQ373" s="97"/>
      <c r="DR373" s="97"/>
      <c r="DS373" s="97"/>
      <c r="DT373" s="97"/>
      <c r="DU373" s="97"/>
      <c r="DV373" s="97"/>
      <c r="DW373" s="97"/>
      <c r="DX373" s="97"/>
      <c r="DY373" s="97"/>
      <c r="DZ373" s="97"/>
      <c r="EA373" s="97"/>
      <c r="EB373" s="97"/>
      <c r="EC373" s="97"/>
      <c r="ED373" s="97"/>
      <c r="EE373" s="97"/>
      <c r="EF373" s="97"/>
      <c r="EG373" s="97"/>
      <c r="EH373" s="97"/>
      <c r="EI373" s="97"/>
      <c r="EJ373" s="97"/>
      <c r="EK373" s="97"/>
      <c r="EL373" s="97"/>
      <c r="EM373" s="97"/>
      <c r="EN373" s="97"/>
      <c r="EO373" s="97"/>
      <c r="EP373" s="97"/>
      <c r="EQ373" s="97"/>
      <c r="ER373" s="97"/>
      <c r="ES373" s="97"/>
      <c r="ET373" s="97"/>
    </row>
    <row r="374" spans="1:150" ht="15.75" customHeight="1">
      <c r="A374" s="97"/>
      <c r="B374" s="97"/>
      <c r="C374" s="97"/>
      <c r="D374" s="97"/>
      <c r="E374" s="97"/>
      <c r="F374" s="97"/>
      <c r="G374" s="97"/>
      <c r="H374" s="129"/>
      <c r="I374" s="97"/>
      <c r="J374" s="97"/>
      <c r="K374" s="97"/>
      <c r="L374" s="97"/>
      <c r="M374" s="97"/>
      <c r="N374" s="97"/>
      <c r="O374" s="97"/>
      <c r="P374" s="97"/>
      <c r="Q374" s="97"/>
      <c r="R374" s="97"/>
      <c r="S374" s="97"/>
      <c r="T374" s="97"/>
      <c r="U374" s="97"/>
      <c r="V374" s="97"/>
      <c r="W374" s="97"/>
      <c r="X374" s="129"/>
      <c r="Y374" s="97"/>
      <c r="Z374" s="97"/>
      <c r="AA374" s="97"/>
      <c r="AB374" s="97"/>
      <c r="AC374" s="97"/>
      <c r="AD374" s="97"/>
      <c r="AE374" s="97"/>
      <c r="AF374" s="97"/>
      <c r="AG374" s="97"/>
      <c r="AH374" s="97"/>
      <c r="AI374" s="97"/>
      <c r="AJ374" s="97"/>
      <c r="AK374" s="97"/>
      <c r="AL374" s="97"/>
      <c r="AM374" s="97"/>
      <c r="AN374" s="97"/>
      <c r="AO374" s="97"/>
      <c r="AP374" s="97"/>
      <c r="AQ374" s="97"/>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c r="DF374" s="97"/>
      <c r="DG374" s="97"/>
      <c r="DH374" s="97"/>
      <c r="DI374" s="97"/>
      <c r="DJ374" s="97"/>
      <c r="DK374" s="97"/>
      <c r="DL374" s="97"/>
      <c r="DM374" s="97"/>
      <c r="DN374" s="97"/>
      <c r="DO374" s="97"/>
      <c r="DP374" s="97"/>
      <c r="DQ374" s="97"/>
      <c r="DR374" s="97"/>
      <c r="DS374" s="97"/>
      <c r="DT374" s="97"/>
      <c r="DU374" s="97"/>
      <c r="DV374" s="97"/>
      <c r="DW374" s="97"/>
      <c r="DX374" s="97"/>
      <c r="DY374" s="97"/>
      <c r="DZ374" s="97"/>
      <c r="EA374" s="97"/>
      <c r="EB374" s="97"/>
      <c r="EC374" s="97"/>
      <c r="ED374" s="97"/>
      <c r="EE374" s="97"/>
      <c r="EF374" s="97"/>
      <c r="EG374" s="97"/>
      <c r="EH374" s="97"/>
      <c r="EI374" s="97"/>
      <c r="EJ374" s="97"/>
      <c r="EK374" s="97"/>
      <c r="EL374" s="97"/>
      <c r="EM374" s="97"/>
      <c r="EN374" s="97"/>
      <c r="EO374" s="97"/>
      <c r="EP374" s="97"/>
      <c r="EQ374" s="97"/>
      <c r="ER374" s="97"/>
      <c r="ES374" s="97"/>
      <c r="ET374" s="97"/>
    </row>
    <row r="375" spans="1:150" ht="15.75" customHeight="1">
      <c r="A375" s="97"/>
      <c r="B375" s="97"/>
      <c r="C375" s="97"/>
      <c r="D375" s="97"/>
      <c r="E375" s="97"/>
      <c r="F375" s="97"/>
      <c r="G375" s="97"/>
      <c r="H375" s="129"/>
      <c r="I375" s="97"/>
      <c r="J375" s="97"/>
      <c r="K375" s="97"/>
      <c r="L375" s="97"/>
      <c r="M375" s="97"/>
      <c r="N375" s="97"/>
      <c r="O375" s="97"/>
      <c r="P375" s="97"/>
      <c r="Q375" s="97"/>
      <c r="R375" s="97"/>
      <c r="S375" s="97"/>
      <c r="T375" s="97"/>
      <c r="U375" s="97"/>
      <c r="V375" s="97"/>
      <c r="W375" s="97"/>
      <c r="X375" s="129"/>
      <c r="Y375" s="97"/>
      <c r="Z375" s="97"/>
      <c r="AA375" s="97"/>
      <c r="AB375" s="97"/>
      <c r="AC375" s="97"/>
      <c r="AD375" s="97"/>
      <c r="AE375" s="97"/>
      <c r="AF375" s="97"/>
      <c r="AG375" s="97"/>
      <c r="AH375" s="97"/>
      <c r="AI375" s="97"/>
      <c r="AJ375" s="97"/>
      <c r="AK375" s="97"/>
      <c r="AL375" s="97"/>
      <c r="AM375" s="97"/>
      <c r="AN375" s="97"/>
      <c r="AO375" s="97"/>
      <c r="AP375" s="97"/>
      <c r="AQ375" s="97"/>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c r="DF375" s="97"/>
      <c r="DG375" s="97"/>
      <c r="DH375" s="97"/>
      <c r="DI375" s="97"/>
      <c r="DJ375" s="97"/>
      <c r="DK375" s="97"/>
      <c r="DL375" s="97"/>
      <c r="DM375" s="97"/>
      <c r="DN375" s="97"/>
      <c r="DO375" s="97"/>
      <c r="DP375" s="97"/>
      <c r="DQ375" s="97"/>
      <c r="DR375" s="97"/>
      <c r="DS375" s="97"/>
      <c r="DT375" s="97"/>
      <c r="DU375" s="97"/>
      <c r="DV375" s="97"/>
      <c r="DW375" s="97"/>
      <c r="DX375" s="97"/>
      <c r="DY375" s="97"/>
      <c r="DZ375" s="97"/>
      <c r="EA375" s="97"/>
      <c r="EB375" s="97"/>
      <c r="EC375" s="97"/>
      <c r="ED375" s="97"/>
      <c r="EE375" s="97"/>
      <c r="EF375" s="97"/>
      <c r="EG375" s="97"/>
      <c r="EH375" s="97"/>
      <c r="EI375" s="97"/>
      <c r="EJ375" s="97"/>
      <c r="EK375" s="97"/>
      <c r="EL375" s="97"/>
      <c r="EM375" s="97"/>
      <c r="EN375" s="97"/>
      <c r="EO375" s="97"/>
      <c r="EP375" s="97"/>
      <c r="EQ375" s="97"/>
      <c r="ER375" s="97"/>
      <c r="ES375" s="97"/>
      <c r="ET375" s="97"/>
    </row>
    <row r="376" spans="1:150" ht="15.75" customHeight="1">
      <c r="A376" s="97"/>
      <c r="B376" s="97"/>
      <c r="C376" s="97"/>
      <c r="D376" s="97"/>
      <c r="E376" s="97"/>
      <c r="F376" s="97"/>
      <c r="G376" s="97"/>
      <c r="H376" s="129"/>
      <c r="I376" s="97"/>
      <c r="J376" s="97"/>
      <c r="K376" s="97"/>
      <c r="L376" s="97"/>
      <c r="M376" s="97"/>
      <c r="N376" s="97"/>
      <c r="O376" s="97"/>
      <c r="P376" s="97"/>
      <c r="Q376" s="97"/>
      <c r="R376" s="97"/>
      <c r="S376" s="97"/>
      <c r="T376" s="97"/>
      <c r="U376" s="97"/>
      <c r="V376" s="97"/>
      <c r="W376" s="97"/>
      <c r="X376" s="129"/>
      <c r="Y376" s="97"/>
      <c r="Z376" s="97"/>
      <c r="AA376" s="97"/>
      <c r="AB376" s="97"/>
      <c r="AC376" s="97"/>
      <c r="AD376" s="97"/>
      <c r="AE376" s="97"/>
      <c r="AF376" s="97"/>
      <c r="AG376" s="97"/>
      <c r="AH376" s="97"/>
      <c r="AI376" s="97"/>
      <c r="AJ376" s="97"/>
      <c r="AK376" s="97"/>
      <c r="AL376" s="97"/>
      <c r="AM376" s="97"/>
      <c r="AN376" s="97"/>
      <c r="AO376" s="97"/>
      <c r="AP376" s="97"/>
      <c r="AQ376" s="97"/>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c r="DF376" s="97"/>
      <c r="DG376" s="97"/>
      <c r="DH376" s="97"/>
      <c r="DI376" s="97"/>
      <c r="DJ376" s="97"/>
      <c r="DK376" s="97"/>
      <c r="DL376" s="97"/>
      <c r="DM376" s="97"/>
      <c r="DN376" s="97"/>
      <c r="DO376" s="97"/>
      <c r="DP376" s="97"/>
      <c r="DQ376" s="97"/>
      <c r="DR376" s="97"/>
      <c r="DS376" s="97"/>
      <c r="DT376" s="97"/>
      <c r="DU376" s="97"/>
      <c r="DV376" s="97"/>
      <c r="DW376" s="97"/>
      <c r="DX376" s="97"/>
      <c r="DY376" s="97"/>
      <c r="DZ376" s="97"/>
      <c r="EA376" s="97"/>
      <c r="EB376" s="97"/>
      <c r="EC376" s="97"/>
      <c r="ED376" s="97"/>
      <c r="EE376" s="97"/>
      <c r="EF376" s="97"/>
      <c r="EG376" s="97"/>
      <c r="EH376" s="97"/>
      <c r="EI376" s="97"/>
      <c r="EJ376" s="97"/>
      <c r="EK376" s="97"/>
      <c r="EL376" s="97"/>
      <c r="EM376" s="97"/>
      <c r="EN376" s="97"/>
      <c r="EO376" s="97"/>
      <c r="EP376" s="97"/>
      <c r="EQ376" s="97"/>
      <c r="ER376" s="97"/>
      <c r="ES376" s="97"/>
      <c r="ET376" s="97"/>
    </row>
    <row r="377" spans="1:150" ht="15.75" customHeight="1">
      <c r="A377" s="97"/>
      <c r="B377" s="97"/>
      <c r="C377" s="97"/>
      <c r="D377" s="97"/>
      <c r="E377" s="97"/>
      <c r="F377" s="97"/>
      <c r="G377" s="97"/>
      <c r="H377" s="129"/>
      <c r="I377" s="97"/>
      <c r="J377" s="97"/>
      <c r="K377" s="97"/>
      <c r="L377" s="97"/>
      <c r="M377" s="97"/>
      <c r="N377" s="97"/>
      <c r="O377" s="97"/>
      <c r="P377" s="97"/>
      <c r="Q377" s="97"/>
      <c r="R377" s="97"/>
      <c r="S377" s="97"/>
      <c r="T377" s="97"/>
      <c r="U377" s="97"/>
      <c r="V377" s="97"/>
      <c r="W377" s="97"/>
      <c r="X377" s="129"/>
      <c r="Y377" s="97"/>
      <c r="Z377" s="97"/>
      <c r="AA377" s="97"/>
      <c r="AB377" s="97"/>
      <c r="AC377" s="97"/>
      <c r="AD377" s="97"/>
      <c r="AE377" s="97"/>
      <c r="AF377" s="97"/>
      <c r="AG377" s="97"/>
      <c r="AH377" s="97"/>
      <c r="AI377" s="97"/>
      <c r="AJ377" s="97"/>
      <c r="AK377" s="97"/>
      <c r="AL377" s="97"/>
      <c r="AM377" s="97"/>
      <c r="AN377" s="97"/>
      <c r="AO377" s="97"/>
      <c r="AP377" s="97"/>
      <c r="AQ377" s="97"/>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c r="DF377" s="97"/>
      <c r="DG377" s="97"/>
      <c r="DH377" s="97"/>
      <c r="DI377" s="97"/>
      <c r="DJ377" s="97"/>
      <c r="DK377" s="97"/>
      <c r="DL377" s="97"/>
      <c r="DM377" s="97"/>
      <c r="DN377" s="97"/>
      <c r="DO377" s="97"/>
      <c r="DP377" s="97"/>
      <c r="DQ377" s="97"/>
      <c r="DR377" s="97"/>
      <c r="DS377" s="97"/>
      <c r="DT377" s="97"/>
      <c r="DU377" s="97"/>
      <c r="DV377" s="97"/>
      <c r="DW377" s="97"/>
      <c r="DX377" s="97"/>
      <c r="DY377" s="97"/>
      <c r="DZ377" s="97"/>
      <c r="EA377" s="97"/>
      <c r="EB377" s="97"/>
      <c r="EC377" s="97"/>
      <c r="ED377" s="97"/>
      <c r="EE377" s="97"/>
      <c r="EF377" s="97"/>
      <c r="EG377" s="97"/>
      <c r="EH377" s="97"/>
      <c r="EI377" s="97"/>
      <c r="EJ377" s="97"/>
      <c r="EK377" s="97"/>
      <c r="EL377" s="97"/>
      <c r="EM377" s="97"/>
      <c r="EN377" s="97"/>
      <c r="EO377" s="97"/>
      <c r="EP377" s="97"/>
      <c r="EQ377" s="97"/>
      <c r="ER377" s="97"/>
      <c r="ES377" s="97"/>
      <c r="ET377" s="97"/>
    </row>
    <row r="378" spans="1:150" ht="15.75" customHeight="1">
      <c r="A378" s="97"/>
      <c r="B378" s="97"/>
      <c r="C378" s="97"/>
      <c r="D378" s="97"/>
      <c r="E378" s="97"/>
      <c r="F378" s="97"/>
      <c r="G378" s="97"/>
      <c r="H378" s="129"/>
      <c r="I378" s="97"/>
      <c r="J378" s="97"/>
      <c r="K378" s="97"/>
      <c r="L378" s="97"/>
      <c r="M378" s="97"/>
      <c r="N378" s="97"/>
      <c r="O378" s="97"/>
      <c r="P378" s="97"/>
      <c r="Q378" s="97"/>
      <c r="R378" s="97"/>
      <c r="S378" s="97"/>
      <c r="T378" s="97"/>
      <c r="U378" s="97"/>
      <c r="V378" s="97"/>
      <c r="W378" s="97"/>
      <c r="X378" s="129"/>
      <c r="Y378" s="97"/>
      <c r="Z378" s="97"/>
      <c r="AA378" s="97"/>
      <c r="AB378" s="97"/>
      <c r="AC378" s="97"/>
      <c r="AD378" s="97"/>
      <c r="AE378" s="97"/>
      <c r="AF378" s="97"/>
      <c r="AG378" s="97"/>
      <c r="AH378" s="97"/>
      <c r="AI378" s="97"/>
      <c r="AJ378" s="97"/>
      <c r="AK378" s="97"/>
      <c r="AL378" s="97"/>
      <c r="AM378" s="97"/>
      <c r="AN378" s="97"/>
      <c r="AO378" s="97"/>
      <c r="AP378" s="97"/>
      <c r="AQ378" s="97"/>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c r="DF378" s="97"/>
      <c r="DG378" s="97"/>
      <c r="DH378" s="97"/>
      <c r="DI378" s="97"/>
      <c r="DJ378" s="97"/>
      <c r="DK378" s="97"/>
      <c r="DL378" s="97"/>
      <c r="DM378" s="97"/>
      <c r="DN378" s="97"/>
      <c r="DO378" s="97"/>
      <c r="DP378" s="97"/>
      <c r="DQ378" s="97"/>
      <c r="DR378" s="97"/>
      <c r="DS378" s="97"/>
      <c r="DT378" s="97"/>
      <c r="DU378" s="97"/>
      <c r="DV378" s="97"/>
      <c r="DW378" s="97"/>
      <c r="DX378" s="97"/>
      <c r="DY378" s="97"/>
      <c r="DZ378" s="97"/>
      <c r="EA378" s="97"/>
      <c r="EB378" s="97"/>
      <c r="EC378" s="97"/>
      <c r="ED378" s="97"/>
      <c r="EE378" s="97"/>
      <c r="EF378" s="97"/>
      <c r="EG378" s="97"/>
      <c r="EH378" s="97"/>
      <c r="EI378" s="97"/>
      <c r="EJ378" s="97"/>
      <c r="EK378" s="97"/>
      <c r="EL378" s="97"/>
      <c r="EM378" s="97"/>
      <c r="EN378" s="97"/>
      <c r="EO378" s="97"/>
      <c r="EP378" s="97"/>
      <c r="EQ378" s="97"/>
      <c r="ER378" s="97"/>
      <c r="ES378" s="97"/>
      <c r="ET378" s="97"/>
    </row>
    <row r="379" spans="1:150" ht="15.75" customHeight="1">
      <c r="A379" s="97"/>
      <c r="B379" s="97"/>
      <c r="C379" s="97"/>
      <c r="D379" s="97"/>
      <c r="E379" s="97"/>
      <c r="F379" s="97"/>
      <c r="G379" s="97"/>
      <c r="H379" s="129"/>
      <c r="I379" s="97"/>
      <c r="J379" s="97"/>
      <c r="K379" s="97"/>
      <c r="L379" s="97"/>
      <c r="M379" s="97"/>
      <c r="N379" s="97"/>
      <c r="O379" s="97"/>
      <c r="P379" s="97"/>
      <c r="Q379" s="97"/>
      <c r="R379" s="97"/>
      <c r="S379" s="97"/>
      <c r="T379" s="97"/>
      <c r="U379" s="97"/>
      <c r="V379" s="97"/>
      <c r="W379" s="97"/>
      <c r="X379" s="129"/>
      <c r="Y379" s="97"/>
      <c r="Z379" s="97"/>
      <c r="AA379" s="97"/>
      <c r="AB379" s="97"/>
      <c r="AC379" s="97"/>
      <c r="AD379" s="97"/>
      <c r="AE379" s="97"/>
      <c r="AF379" s="97"/>
      <c r="AG379" s="97"/>
      <c r="AH379" s="97"/>
      <c r="AI379" s="97"/>
      <c r="AJ379" s="97"/>
      <c r="AK379" s="97"/>
      <c r="AL379" s="97"/>
      <c r="AM379" s="97"/>
      <c r="AN379" s="97"/>
      <c r="AO379" s="97"/>
      <c r="AP379" s="97"/>
      <c r="AQ379" s="97"/>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c r="DF379" s="97"/>
      <c r="DG379" s="97"/>
      <c r="DH379" s="97"/>
      <c r="DI379" s="97"/>
      <c r="DJ379" s="97"/>
      <c r="DK379" s="97"/>
      <c r="DL379" s="97"/>
      <c r="DM379" s="97"/>
      <c r="DN379" s="97"/>
      <c r="DO379" s="97"/>
      <c r="DP379" s="97"/>
      <c r="DQ379" s="97"/>
      <c r="DR379" s="97"/>
      <c r="DS379" s="97"/>
      <c r="DT379" s="97"/>
      <c r="DU379" s="97"/>
      <c r="DV379" s="97"/>
      <c r="DW379" s="97"/>
      <c r="DX379" s="97"/>
      <c r="DY379" s="97"/>
      <c r="DZ379" s="97"/>
      <c r="EA379" s="97"/>
      <c r="EB379" s="97"/>
      <c r="EC379" s="97"/>
      <c r="ED379" s="97"/>
      <c r="EE379" s="97"/>
      <c r="EF379" s="97"/>
      <c r="EG379" s="97"/>
      <c r="EH379" s="97"/>
      <c r="EI379" s="97"/>
      <c r="EJ379" s="97"/>
      <c r="EK379" s="97"/>
      <c r="EL379" s="97"/>
      <c r="EM379" s="97"/>
      <c r="EN379" s="97"/>
      <c r="EO379" s="97"/>
      <c r="EP379" s="97"/>
      <c r="EQ379" s="97"/>
      <c r="ER379" s="97"/>
      <c r="ES379" s="97"/>
      <c r="ET379" s="97"/>
    </row>
    <row r="380" spans="1:150" ht="15.75" customHeight="1">
      <c r="A380" s="97"/>
      <c r="B380" s="97"/>
      <c r="C380" s="97"/>
      <c r="D380" s="97"/>
      <c r="E380" s="97"/>
      <c r="F380" s="97"/>
      <c r="G380" s="97"/>
      <c r="H380" s="129"/>
      <c r="I380" s="97"/>
      <c r="J380" s="97"/>
      <c r="K380" s="97"/>
      <c r="L380" s="97"/>
      <c r="M380" s="97"/>
      <c r="N380" s="97"/>
      <c r="O380" s="97"/>
      <c r="P380" s="97"/>
      <c r="Q380" s="97"/>
      <c r="R380" s="97"/>
      <c r="S380" s="97"/>
      <c r="T380" s="97"/>
      <c r="U380" s="97"/>
      <c r="V380" s="97"/>
      <c r="W380" s="97"/>
      <c r="X380" s="129"/>
      <c r="Y380" s="97"/>
      <c r="Z380" s="97"/>
      <c r="AA380" s="97"/>
      <c r="AB380" s="97"/>
      <c r="AC380" s="97"/>
      <c r="AD380" s="97"/>
      <c r="AE380" s="97"/>
      <c r="AF380" s="97"/>
      <c r="AG380" s="97"/>
      <c r="AH380" s="97"/>
      <c r="AI380" s="97"/>
      <c r="AJ380" s="97"/>
      <c r="AK380" s="97"/>
      <c r="AL380" s="97"/>
      <c r="AM380" s="97"/>
      <c r="AN380" s="97"/>
      <c r="AO380" s="97"/>
      <c r="AP380" s="97"/>
      <c r="AQ380" s="97"/>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c r="DF380" s="97"/>
      <c r="DG380" s="97"/>
      <c r="DH380" s="97"/>
      <c r="DI380" s="97"/>
      <c r="DJ380" s="97"/>
      <c r="DK380" s="97"/>
      <c r="DL380" s="97"/>
      <c r="DM380" s="97"/>
      <c r="DN380" s="97"/>
      <c r="DO380" s="97"/>
      <c r="DP380" s="97"/>
      <c r="DQ380" s="97"/>
      <c r="DR380" s="97"/>
      <c r="DS380" s="97"/>
      <c r="DT380" s="97"/>
      <c r="DU380" s="97"/>
      <c r="DV380" s="97"/>
      <c r="DW380" s="97"/>
      <c r="DX380" s="97"/>
      <c r="DY380" s="97"/>
      <c r="DZ380" s="97"/>
      <c r="EA380" s="97"/>
      <c r="EB380" s="97"/>
      <c r="EC380" s="97"/>
      <c r="ED380" s="97"/>
      <c r="EE380" s="97"/>
      <c r="EF380" s="97"/>
      <c r="EG380" s="97"/>
      <c r="EH380" s="97"/>
      <c r="EI380" s="97"/>
      <c r="EJ380" s="97"/>
      <c r="EK380" s="97"/>
      <c r="EL380" s="97"/>
      <c r="EM380" s="97"/>
      <c r="EN380" s="97"/>
      <c r="EO380" s="97"/>
      <c r="EP380" s="97"/>
      <c r="EQ380" s="97"/>
      <c r="ER380" s="97"/>
      <c r="ES380" s="97"/>
      <c r="ET380" s="97"/>
    </row>
    <row r="381" spans="1:150" ht="15.75" customHeight="1">
      <c r="A381" s="97"/>
      <c r="B381" s="97"/>
      <c r="C381" s="97"/>
      <c r="D381" s="97"/>
      <c r="E381" s="97"/>
      <c r="F381" s="97"/>
      <c r="G381" s="97"/>
      <c r="H381" s="129"/>
      <c r="I381" s="97"/>
      <c r="J381" s="97"/>
      <c r="K381" s="97"/>
      <c r="L381" s="97"/>
      <c r="M381" s="97"/>
      <c r="N381" s="97"/>
      <c r="O381" s="97"/>
      <c r="P381" s="97"/>
      <c r="Q381" s="97"/>
      <c r="R381" s="97"/>
      <c r="S381" s="97"/>
      <c r="T381" s="97"/>
      <c r="U381" s="97"/>
      <c r="V381" s="97"/>
      <c r="W381" s="97"/>
      <c r="X381" s="129"/>
      <c r="Y381" s="97"/>
      <c r="Z381" s="97"/>
      <c r="AA381" s="97"/>
      <c r="AB381" s="97"/>
      <c r="AC381" s="97"/>
      <c r="AD381" s="97"/>
      <c r="AE381" s="97"/>
      <c r="AF381" s="97"/>
      <c r="AG381" s="97"/>
      <c r="AH381" s="97"/>
      <c r="AI381" s="97"/>
      <c r="AJ381" s="97"/>
      <c r="AK381" s="97"/>
      <c r="AL381" s="97"/>
      <c r="AM381" s="97"/>
      <c r="AN381" s="97"/>
      <c r="AO381" s="97"/>
      <c r="AP381" s="97"/>
      <c r="AQ381" s="97"/>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c r="DF381" s="97"/>
      <c r="DG381" s="97"/>
      <c r="DH381" s="97"/>
      <c r="DI381" s="97"/>
      <c r="DJ381" s="97"/>
      <c r="DK381" s="97"/>
      <c r="DL381" s="97"/>
      <c r="DM381" s="97"/>
      <c r="DN381" s="97"/>
      <c r="DO381" s="97"/>
      <c r="DP381" s="97"/>
      <c r="DQ381" s="97"/>
      <c r="DR381" s="97"/>
      <c r="DS381" s="97"/>
      <c r="DT381" s="97"/>
      <c r="DU381" s="97"/>
      <c r="DV381" s="97"/>
      <c r="DW381" s="97"/>
      <c r="DX381" s="97"/>
      <c r="DY381" s="97"/>
      <c r="DZ381" s="97"/>
      <c r="EA381" s="97"/>
      <c r="EB381" s="97"/>
      <c r="EC381" s="97"/>
      <c r="ED381" s="97"/>
      <c r="EE381" s="97"/>
      <c r="EF381" s="97"/>
      <c r="EG381" s="97"/>
      <c r="EH381" s="97"/>
      <c r="EI381" s="97"/>
      <c r="EJ381" s="97"/>
      <c r="EK381" s="97"/>
      <c r="EL381" s="97"/>
      <c r="EM381" s="97"/>
      <c r="EN381" s="97"/>
      <c r="EO381" s="97"/>
      <c r="EP381" s="97"/>
      <c r="EQ381" s="97"/>
      <c r="ER381" s="97"/>
      <c r="ES381" s="97"/>
      <c r="ET381" s="97"/>
    </row>
    <row r="382" spans="1:150" ht="15.75" customHeight="1">
      <c r="A382" s="97"/>
      <c r="B382" s="97"/>
      <c r="C382" s="97"/>
      <c r="D382" s="97"/>
      <c r="E382" s="97"/>
      <c r="F382" s="97"/>
      <c r="G382" s="97"/>
      <c r="H382" s="129"/>
      <c r="I382" s="97"/>
      <c r="J382" s="97"/>
      <c r="K382" s="97"/>
      <c r="L382" s="97"/>
      <c r="M382" s="97"/>
      <c r="N382" s="97"/>
      <c r="O382" s="97"/>
      <c r="P382" s="97"/>
      <c r="Q382" s="97"/>
      <c r="R382" s="97"/>
      <c r="S382" s="97"/>
      <c r="T382" s="97"/>
      <c r="U382" s="97"/>
      <c r="V382" s="97"/>
      <c r="W382" s="97"/>
      <c r="X382" s="129"/>
      <c r="Y382" s="97"/>
      <c r="Z382" s="97"/>
      <c r="AA382" s="97"/>
      <c r="AB382" s="97"/>
      <c r="AC382" s="97"/>
      <c r="AD382" s="97"/>
      <c r="AE382" s="97"/>
      <c r="AF382" s="97"/>
      <c r="AG382" s="97"/>
      <c r="AH382" s="97"/>
      <c r="AI382" s="97"/>
      <c r="AJ382" s="97"/>
      <c r="AK382" s="97"/>
      <c r="AL382" s="97"/>
      <c r="AM382" s="97"/>
      <c r="AN382" s="97"/>
      <c r="AO382" s="97"/>
      <c r="AP382" s="97"/>
      <c r="AQ382" s="97"/>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c r="DF382" s="97"/>
      <c r="DG382" s="97"/>
      <c r="DH382" s="97"/>
      <c r="DI382" s="97"/>
      <c r="DJ382" s="97"/>
      <c r="DK382" s="97"/>
      <c r="DL382" s="97"/>
      <c r="DM382" s="97"/>
      <c r="DN382" s="97"/>
      <c r="DO382" s="97"/>
      <c r="DP382" s="97"/>
      <c r="DQ382" s="97"/>
      <c r="DR382" s="97"/>
      <c r="DS382" s="97"/>
      <c r="DT382" s="97"/>
      <c r="DU382" s="97"/>
      <c r="DV382" s="97"/>
      <c r="DW382" s="97"/>
      <c r="DX382" s="97"/>
      <c r="DY382" s="97"/>
      <c r="DZ382" s="97"/>
      <c r="EA382" s="97"/>
      <c r="EB382" s="97"/>
      <c r="EC382" s="97"/>
      <c r="ED382" s="97"/>
      <c r="EE382" s="97"/>
      <c r="EF382" s="97"/>
      <c r="EG382" s="97"/>
      <c r="EH382" s="97"/>
      <c r="EI382" s="97"/>
      <c r="EJ382" s="97"/>
      <c r="EK382" s="97"/>
      <c r="EL382" s="97"/>
      <c r="EM382" s="97"/>
      <c r="EN382" s="97"/>
      <c r="EO382" s="97"/>
      <c r="EP382" s="97"/>
      <c r="EQ382" s="97"/>
      <c r="ER382" s="97"/>
      <c r="ES382" s="97"/>
      <c r="ET382" s="97"/>
    </row>
    <row r="383" spans="1:150" ht="15.75" customHeight="1">
      <c r="A383" s="97"/>
      <c r="B383" s="97"/>
      <c r="C383" s="97"/>
      <c r="D383" s="97"/>
      <c r="E383" s="97"/>
      <c r="F383" s="97"/>
      <c r="G383" s="97"/>
      <c r="H383" s="129"/>
      <c r="I383" s="97"/>
      <c r="J383" s="97"/>
      <c r="K383" s="97"/>
      <c r="L383" s="97"/>
      <c r="M383" s="97"/>
      <c r="N383" s="97"/>
      <c r="O383" s="97"/>
      <c r="P383" s="97"/>
      <c r="Q383" s="97"/>
      <c r="R383" s="97"/>
      <c r="S383" s="97"/>
      <c r="T383" s="97"/>
      <c r="U383" s="97"/>
      <c r="V383" s="97"/>
      <c r="W383" s="97"/>
      <c r="X383" s="129"/>
      <c r="Y383" s="97"/>
      <c r="Z383" s="97"/>
      <c r="AA383" s="97"/>
      <c r="AB383" s="97"/>
      <c r="AC383" s="97"/>
      <c r="AD383" s="97"/>
      <c r="AE383" s="97"/>
      <c r="AF383" s="97"/>
      <c r="AG383" s="97"/>
      <c r="AH383" s="97"/>
      <c r="AI383" s="97"/>
      <c r="AJ383" s="97"/>
      <c r="AK383" s="97"/>
      <c r="AL383" s="97"/>
      <c r="AM383" s="97"/>
      <c r="AN383" s="97"/>
      <c r="AO383" s="97"/>
      <c r="AP383" s="97"/>
      <c r="AQ383" s="97"/>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c r="DF383" s="97"/>
      <c r="DG383" s="97"/>
      <c r="DH383" s="97"/>
      <c r="DI383" s="97"/>
      <c r="DJ383" s="97"/>
      <c r="DK383" s="97"/>
      <c r="DL383" s="97"/>
      <c r="DM383" s="97"/>
      <c r="DN383" s="97"/>
      <c r="DO383" s="97"/>
      <c r="DP383" s="97"/>
      <c r="DQ383" s="97"/>
      <c r="DR383" s="97"/>
      <c r="DS383" s="97"/>
      <c r="DT383" s="97"/>
      <c r="DU383" s="97"/>
      <c r="DV383" s="97"/>
      <c r="DW383" s="97"/>
      <c r="DX383" s="97"/>
      <c r="DY383" s="97"/>
      <c r="DZ383" s="97"/>
      <c r="EA383" s="97"/>
      <c r="EB383" s="97"/>
      <c r="EC383" s="97"/>
      <c r="ED383" s="97"/>
      <c r="EE383" s="97"/>
      <c r="EF383" s="97"/>
      <c r="EG383" s="97"/>
      <c r="EH383" s="97"/>
      <c r="EI383" s="97"/>
      <c r="EJ383" s="97"/>
      <c r="EK383" s="97"/>
      <c r="EL383" s="97"/>
      <c r="EM383" s="97"/>
      <c r="EN383" s="97"/>
      <c r="EO383" s="97"/>
      <c r="EP383" s="97"/>
      <c r="EQ383" s="97"/>
      <c r="ER383" s="97"/>
      <c r="ES383" s="97"/>
      <c r="ET383" s="97"/>
    </row>
    <row r="384" spans="1:150" ht="15.75" customHeight="1">
      <c r="A384" s="97"/>
      <c r="B384" s="97"/>
      <c r="C384" s="97"/>
      <c r="D384" s="97"/>
      <c r="E384" s="97"/>
      <c r="F384" s="97"/>
      <c r="G384" s="97"/>
      <c r="H384" s="129"/>
      <c r="I384" s="97"/>
      <c r="J384" s="97"/>
      <c r="K384" s="97"/>
      <c r="L384" s="97"/>
      <c r="M384" s="97"/>
      <c r="N384" s="97"/>
      <c r="O384" s="97"/>
      <c r="P384" s="97"/>
      <c r="Q384" s="97"/>
      <c r="R384" s="97"/>
      <c r="S384" s="97"/>
      <c r="T384" s="97"/>
      <c r="U384" s="97"/>
      <c r="V384" s="97"/>
      <c r="W384" s="97"/>
      <c r="X384" s="129"/>
      <c r="Y384" s="97"/>
      <c r="Z384" s="97"/>
      <c r="AA384" s="97"/>
      <c r="AB384" s="97"/>
      <c r="AC384" s="97"/>
      <c r="AD384" s="97"/>
      <c r="AE384" s="97"/>
      <c r="AF384" s="97"/>
      <c r="AG384" s="97"/>
      <c r="AH384" s="97"/>
      <c r="AI384" s="97"/>
      <c r="AJ384" s="97"/>
      <c r="AK384" s="97"/>
      <c r="AL384" s="97"/>
      <c r="AM384" s="97"/>
      <c r="AN384" s="97"/>
      <c r="AO384" s="97"/>
      <c r="AP384" s="97"/>
      <c r="AQ384" s="97"/>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c r="DF384" s="97"/>
      <c r="DG384" s="97"/>
      <c r="DH384" s="97"/>
      <c r="DI384" s="97"/>
      <c r="DJ384" s="97"/>
      <c r="DK384" s="97"/>
      <c r="DL384" s="97"/>
      <c r="DM384" s="97"/>
      <c r="DN384" s="97"/>
      <c r="DO384" s="97"/>
      <c r="DP384" s="97"/>
      <c r="DQ384" s="97"/>
      <c r="DR384" s="97"/>
      <c r="DS384" s="97"/>
      <c r="DT384" s="97"/>
      <c r="DU384" s="97"/>
      <c r="DV384" s="97"/>
      <c r="DW384" s="97"/>
      <c r="DX384" s="97"/>
      <c r="DY384" s="97"/>
      <c r="DZ384" s="97"/>
      <c r="EA384" s="97"/>
      <c r="EB384" s="97"/>
      <c r="EC384" s="97"/>
      <c r="ED384" s="97"/>
      <c r="EE384" s="97"/>
      <c r="EF384" s="97"/>
      <c r="EG384" s="97"/>
      <c r="EH384" s="97"/>
      <c r="EI384" s="97"/>
      <c r="EJ384" s="97"/>
      <c r="EK384" s="97"/>
      <c r="EL384" s="97"/>
      <c r="EM384" s="97"/>
      <c r="EN384" s="97"/>
      <c r="EO384" s="97"/>
      <c r="EP384" s="97"/>
      <c r="EQ384" s="97"/>
      <c r="ER384" s="97"/>
      <c r="ES384" s="97"/>
      <c r="ET384" s="97"/>
    </row>
    <row r="385" spans="1:150" ht="15.75" customHeight="1">
      <c r="A385" s="97"/>
      <c r="B385" s="97"/>
      <c r="C385" s="97"/>
      <c r="D385" s="97"/>
      <c r="E385" s="97"/>
      <c r="F385" s="97"/>
      <c r="G385" s="97"/>
      <c r="H385" s="129"/>
      <c r="I385" s="97"/>
      <c r="J385" s="97"/>
      <c r="K385" s="97"/>
      <c r="L385" s="97"/>
      <c r="M385" s="97"/>
      <c r="N385" s="97"/>
      <c r="O385" s="97"/>
      <c r="P385" s="97"/>
      <c r="Q385" s="97"/>
      <c r="R385" s="97"/>
      <c r="S385" s="97"/>
      <c r="T385" s="97"/>
      <c r="U385" s="97"/>
      <c r="V385" s="97"/>
      <c r="W385" s="97"/>
      <c r="X385" s="129"/>
      <c r="Y385" s="97"/>
      <c r="Z385" s="97"/>
      <c r="AA385" s="97"/>
      <c r="AB385" s="97"/>
      <c r="AC385" s="97"/>
      <c r="AD385" s="97"/>
      <c r="AE385" s="97"/>
      <c r="AF385" s="97"/>
      <c r="AG385" s="97"/>
      <c r="AH385" s="97"/>
      <c r="AI385" s="97"/>
      <c r="AJ385" s="97"/>
      <c r="AK385" s="97"/>
      <c r="AL385" s="97"/>
      <c r="AM385" s="97"/>
      <c r="AN385" s="97"/>
      <c r="AO385" s="97"/>
      <c r="AP385" s="97"/>
      <c r="AQ385" s="97"/>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c r="DF385" s="97"/>
      <c r="DG385" s="97"/>
      <c r="DH385" s="97"/>
      <c r="DI385" s="97"/>
      <c r="DJ385" s="97"/>
      <c r="DK385" s="97"/>
      <c r="DL385" s="97"/>
      <c r="DM385" s="97"/>
      <c r="DN385" s="97"/>
      <c r="DO385" s="97"/>
      <c r="DP385" s="97"/>
      <c r="DQ385" s="97"/>
      <c r="DR385" s="97"/>
      <c r="DS385" s="97"/>
      <c r="DT385" s="97"/>
      <c r="DU385" s="97"/>
      <c r="DV385" s="97"/>
      <c r="DW385" s="97"/>
      <c r="DX385" s="97"/>
      <c r="DY385" s="97"/>
      <c r="DZ385" s="97"/>
      <c r="EA385" s="97"/>
      <c r="EB385" s="97"/>
      <c r="EC385" s="97"/>
      <c r="ED385" s="97"/>
      <c r="EE385" s="97"/>
      <c r="EF385" s="97"/>
      <c r="EG385" s="97"/>
      <c r="EH385" s="97"/>
      <c r="EI385" s="97"/>
      <c r="EJ385" s="97"/>
      <c r="EK385" s="97"/>
      <c r="EL385" s="97"/>
      <c r="EM385" s="97"/>
      <c r="EN385" s="97"/>
      <c r="EO385" s="97"/>
      <c r="EP385" s="97"/>
      <c r="EQ385" s="97"/>
      <c r="ER385" s="97"/>
      <c r="ES385" s="97"/>
      <c r="ET385" s="97"/>
    </row>
    <row r="386" spans="1:150" ht="15.75" customHeight="1">
      <c r="A386" s="97"/>
      <c r="B386" s="97"/>
      <c r="C386" s="97"/>
      <c r="D386" s="97"/>
      <c r="E386" s="97"/>
      <c r="F386" s="97"/>
      <c r="G386" s="97"/>
      <c r="H386" s="129"/>
      <c r="I386" s="97"/>
      <c r="J386" s="97"/>
      <c r="K386" s="97"/>
      <c r="L386" s="97"/>
      <c r="M386" s="97"/>
      <c r="N386" s="97"/>
      <c r="O386" s="97"/>
      <c r="P386" s="97"/>
      <c r="Q386" s="97"/>
      <c r="R386" s="97"/>
      <c r="S386" s="97"/>
      <c r="T386" s="97"/>
      <c r="U386" s="97"/>
      <c r="V386" s="97"/>
      <c r="W386" s="97"/>
      <c r="X386" s="129"/>
      <c r="Y386" s="97"/>
      <c r="Z386" s="97"/>
      <c r="AA386" s="97"/>
      <c r="AB386" s="97"/>
      <c r="AC386" s="97"/>
      <c r="AD386" s="97"/>
      <c r="AE386" s="97"/>
      <c r="AF386" s="97"/>
      <c r="AG386" s="97"/>
      <c r="AH386" s="97"/>
      <c r="AI386" s="97"/>
      <c r="AJ386" s="97"/>
      <c r="AK386" s="97"/>
      <c r="AL386" s="97"/>
      <c r="AM386" s="97"/>
      <c r="AN386" s="97"/>
      <c r="AO386" s="97"/>
      <c r="AP386" s="97"/>
      <c r="AQ386" s="97"/>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c r="DF386" s="97"/>
      <c r="DG386" s="97"/>
      <c r="DH386" s="97"/>
      <c r="DI386" s="97"/>
      <c r="DJ386" s="97"/>
      <c r="DK386" s="97"/>
      <c r="DL386" s="97"/>
      <c r="DM386" s="97"/>
      <c r="DN386" s="97"/>
      <c r="DO386" s="97"/>
      <c r="DP386" s="97"/>
      <c r="DQ386" s="97"/>
      <c r="DR386" s="97"/>
      <c r="DS386" s="97"/>
      <c r="DT386" s="97"/>
      <c r="DU386" s="97"/>
      <c r="DV386" s="97"/>
      <c r="DW386" s="97"/>
      <c r="DX386" s="97"/>
      <c r="DY386" s="97"/>
      <c r="DZ386" s="97"/>
      <c r="EA386" s="97"/>
      <c r="EB386" s="97"/>
      <c r="EC386" s="97"/>
      <c r="ED386" s="97"/>
      <c r="EE386" s="97"/>
      <c r="EF386" s="97"/>
      <c r="EG386" s="97"/>
      <c r="EH386" s="97"/>
      <c r="EI386" s="97"/>
      <c r="EJ386" s="97"/>
      <c r="EK386" s="97"/>
      <c r="EL386" s="97"/>
      <c r="EM386" s="97"/>
      <c r="EN386" s="97"/>
      <c r="EO386" s="97"/>
      <c r="EP386" s="97"/>
      <c r="EQ386" s="97"/>
      <c r="ER386" s="97"/>
      <c r="ES386" s="97"/>
      <c r="ET386" s="97"/>
    </row>
    <row r="387" spans="1:150" ht="15.75" customHeight="1">
      <c r="A387" s="97"/>
      <c r="B387" s="97"/>
      <c r="C387" s="97"/>
      <c r="D387" s="97"/>
      <c r="E387" s="97"/>
      <c r="F387" s="97"/>
      <c r="G387" s="97"/>
      <c r="H387" s="129"/>
      <c r="I387" s="97"/>
      <c r="J387" s="97"/>
      <c r="K387" s="97"/>
      <c r="L387" s="97"/>
      <c r="M387" s="97"/>
      <c r="N387" s="97"/>
      <c r="O387" s="97"/>
      <c r="P387" s="97"/>
      <c r="Q387" s="97"/>
      <c r="R387" s="97"/>
      <c r="S387" s="97"/>
      <c r="T387" s="97"/>
      <c r="U387" s="97"/>
      <c r="V387" s="97"/>
      <c r="W387" s="97"/>
      <c r="X387" s="129"/>
      <c r="Y387" s="97"/>
      <c r="Z387" s="97"/>
      <c r="AA387" s="97"/>
      <c r="AB387" s="97"/>
      <c r="AC387" s="97"/>
      <c r="AD387" s="97"/>
      <c r="AE387" s="97"/>
      <c r="AF387" s="97"/>
      <c r="AG387" s="97"/>
      <c r="AH387" s="97"/>
      <c r="AI387" s="97"/>
      <c r="AJ387" s="97"/>
      <c r="AK387" s="97"/>
      <c r="AL387" s="97"/>
      <c r="AM387" s="97"/>
      <c r="AN387" s="97"/>
      <c r="AO387" s="97"/>
      <c r="AP387" s="97"/>
      <c r="AQ387" s="97"/>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c r="DF387" s="97"/>
      <c r="DG387" s="97"/>
      <c r="DH387" s="97"/>
      <c r="DI387" s="97"/>
      <c r="DJ387" s="97"/>
      <c r="DK387" s="97"/>
      <c r="DL387" s="97"/>
      <c r="DM387" s="97"/>
      <c r="DN387" s="97"/>
      <c r="DO387" s="97"/>
      <c r="DP387" s="97"/>
      <c r="DQ387" s="97"/>
      <c r="DR387" s="97"/>
      <c r="DS387" s="97"/>
      <c r="DT387" s="97"/>
      <c r="DU387" s="97"/>
      <c r="DV387" s="97"/>
      <c r="DW387" s="97"/>
      <c r="DX387" s="97"/>
      <c r="DY387" s="97"/>
      <c r="DZ387" s="97"/>
      <c r="EA387" s="97"/>
      <c r="EB387" s="97"/>
      <c r="EC387" s="97"/>
      <c r="ED387" s="97"/>
      <c r="EE387" s="97"/>
      <c r="EF387" s="97"/>
      <c r="EG387" s="97"/>
      <c r="EH387" s="97"/>
      <c r="EI387" s="97"/>
      <c r="EJ387" s="97"/>
      <c r="EK387" s="97"/>
      <c r="EL387" s="97"/>
      <c r="EM387" s="97"/>
      <c r="EN387" s="97"/>
      <c r="EO387" s="97"/>
      <c r="EP387" s="97"/>
      <c r="EQ387" s="97"/>
      <c r="ER387" s="97"/>
      <c r="ES387" s="97"/>
      <c r="ET387" s="97"/>
    </row>
    <row r="388" spans="1:150" ht="15.75" customHeight="1">
      <c r="A388" s="97"/>
      <c r="B388" s="97"/>
      <c r="C388" s="97"/>
      <c r="D388" s="97"/>
      <c r="E388" s="97"/>
      <c r="F388" s="97"/>
      <c r="G388" s="97"/>
      <c r="H388" s="129"/>
      <c r="I388" s="97"/>
      <c r="J388" s="97"/>
      <c r="K388" s="97"/>
      <c r="L388" s="97"/>
      <c r="M388" s="97"/>
      <c r="N388" s="97"/>
      <c r="O388" s="97"/>
      <c r="P388" s="97"/>
      <c r="Q388" s="97"/>
      <c r="R388" s="97"/>
      <c r="S388" s="97"/>
      <c r="T388" s="97"/>
      <c r="U388" s="97"/>
      <c r="V388" s="97"/>
      <c r="W388" s="97"/>
      <c r="X388" s="129"/>
      <c r="Y388" s="97"/>
      <c r="Z388" s="97"/>
      <c r="AA388" s="97"/>
      <c r="AB388" s="97"/>
      <c r="AC388" s="97"/>
      <c r="AD388" s="97"/>
      <c r="AE388" s="97"/>
      <c r="AF388" s="97"/>
      <c r="AG388" s="97"/>
      <c r="AH388" s="97"/>
      <c r="AI388" s="97"/>
      <c r="AJ388" s="97"/>
      <c r="AK388" s="97"/>
      <c r="AL388" s="97"/>
      <c r="AM388" s="97"/>
      <c r="AN388" s="97"/>
      <c r="AO388" s="97"/>
      <c r="AP388" s="97"/>
      <c r="AQ388" s="97"/>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c r="DF388" s="97"/>
      <c r="DG388" s="97"/>
      <c r="DH388" s="97"/>
      <c r="DI388" s="97"/>
      <c r="DJ388" s="97"/>
      <c r="DK388" s="97"/>
      <c r="DL388" s="97"/>
      <c r="DM388" s="97"/>
      <c r="DN388" s="97"/>
      <c r="DO388" s="97"/>
      <c r="DP388" s="97"/>
      <c r="DQ388" s="97"/>
      <c r="DR388" s="97"/>
      <c r="DS388" s="97"/>
      <c r="DT388" s="97"/>
      <c r="DU388" s="97"/>
      <c r="DV388" s="97"/>
      <c r="DW388" s="97"/>
      <c r="DX388" s="97"/>
      <c r="DY388" s="97"/>
      <c r="DZ388" s="97"/>
      <c r="EA388" s="97"/>
      <c r="EB388" s="97"/>
      <c r="EC388" s="97"/>
      <c r="ED388" s="97"/>
      <c r="EE388" s="97"/>
      <c r="EF388" s="97"/>
      <c r="EG388" s="97"/>
      <c r="EH388" s="97"/>
      <c r="EI388" s="97"/>
      <c r="EJ388" s="97"/>
      <c r="EK388" s="97"/>
      <c r="EL388" s="97"/>
      <c r="EM388" s="97"/>
      <c r="EN388" s="97"/>
      <c r="EO388" s="97"/>
      <c r="EP388" s="97"/>
      <c r="EQ388" s="97"/>
      <c r="ER388" s="97"/>
      <c r="ES388" s="97"/>
      <c r="ET388" s="97"/>
    </row>
    <row r="389" spans="1:150" ht="15.75" customHeight="1">
      <c r="A389" s="97"/>
      <c r="B389" s="97"/>
      <c r="C389" s="97"/>
      <c r="D389" s="97"/>
      <c r="E389" s="97"/>
      <c r="F389" s="97"/>
      <c r="G389" s="97"/>
      <c r="H389" s="129"/>
      <c r="I389" s="97"/>
      <c r="J389" s="97"/>
      <c r="K389" s="97"/>
      <c r="L389" s="97"/>
      <c r="M389" s="97"/>
      <c r="N389" s="97"/>
      <c r="O389" s="97"/>
      <c r="P389" s="97"/>
      <c r="Q389" s="97"/>
      <c r="R389" s="97"/>
      <c r="S389" s="97"/>
      <c r="T389" s="97"/>
      <c r="U389" s="97"/>
      <c r="V389" s="97"/>
      <c r="W389" s="97"/>
      <c r="X389" s="129"/>
      <c r="Y389" s="97"/>
      <c r="Z389" s="97"/>
      <c r="AA389" s="97"/>
      <c r="AB389" s="97"/>
      <c r="AC389" s="97"/>
      <c r="AD389" s="97"/>
      <c r="AE389" s="97"/>
      <c r="AF389" s="97"/>
      <c r="AG389" s="97"/>
      <c r="AH389" s="97"/>
      <c r="AI389" s="97"/>
      <c r="AJ389" s="97"/>
      <c r="AK389" s="97"/>
      <c r="AL389" s="97"/>
      <c r="AM389" s="97"/>
      <c r="AN389" s="97"/>
      <c r="AO389" s="97"/>
      <c r="AP389" s="97"/>
      <c r="AQ389" s="97"/>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c r="DF389" s="97"/>
      <c r="DG389" s="97"/>
      <c r="DH389" s="97"/>
      <c r="DI389" s="97"/>
      <c r="DJ389" s="97"/>
      <c r="DK389" s="97"/>
      <c r="DL389" s="97"/>
      <c r="DM389" s="97"/>
      <c r="DN389" s="97"/>
      <c r="DO389" s="97"/>
      <c r="DP389" s="97"/>
      <c r="DQ389" s="97"/>
      <c r="DR389" s="97"/>
      <c r="DS389" s="97"/>
      <c r="DT389" s="97"/>
      <c r="DU389" s="97"/>
      <c r="DV389" s="97"/>
      <c r="DW389" s="97"/>
      <c r="DX389" s="97"/>
      <c r="DY389" s="97"/>
      <c r="DZ389" s="97"/>
      <c r="EA389" s="97"/>
      <c r="EB389" s="97"/>
      <c r="EC389" s="97"/>
      <c r="ED389" s="97"/>
      <c r="EE389" s="97"/>
      <c r="EF389" s="97"/>
      <c r="EG389" s="97"/>
      <c r="EH389" s="97"/>
      <c r="EI389" s="97"/>
      <c r="EJ389" s="97"/>
      <c r="EK389" s="97"/>
      <c r="EL389" s="97"/>
      <c r="EM389" s="97"/>
      <c r="EN389" s="97"/>
      <c r="EO389" s="97"/>
      <c r="EP389" s="97"/>
      <c r="EQ389" s="97"/>
      <c r="ER389" s="97"/>
      <c r="ES389" s="97"/>
      <c r="ET389" s="97"/>
    </row>
    <row r="390" spans="1:150" ht="15.75" customHeight="1">
      <c r="A390" s="97"/>
      <c r="B390" s="97"/>
      <c r="C390" s="97"/>
      <c r="D390" s="97"/>
      <c r="E390" s="97"/>
      <c r="F390" s="97"/>
      <c r="G390" s="97"/>
      <c r="H390" s="129"/>
      <c r="I390" s="97"/>
      <c r="J390" s="97"/>
      <c r="K390" s="97"/>
      <c r="L390" s="97"/>
      <c r="M390" s="97"/>
      <c r="N390" s="97"/>
      <c r="O390" s="97"/>
      <c r="P390" s="97"/>
      <c r="Q390" s="97"/>
      <c r="R390" s="97"/>
      <c r="S390" s="97"/>
      <c r="T390" s="97"/>
      <c r="U390" s="97"/>
      <c r="V390" s="97"/>
      <c r="W390" s="97"/>
      <c r="X390" s="129"/>
      <c r="Y390" s="97"/>
      <c r="Z390" s="97"/>
      <c r="AA390" s="97"/>
      <c r="AB390" s="97"/>
      <c r="AC390" s="97"/>
      <c r="AD390" s="97"/>
      <c r="AE390" s="97"/>
      <c r="AF390" s="97"/>
      <c r="AG390" s="97"/>
      <c r="AH390" s="97"/>
      <c r="AI390" s="97"/>
      <c r="AJ390" s="97"/>
      <c r="AK390" s="97"/>
      <c r="AL390" s="97"/>
      <c r="AM390" s="97"/>
      <c r="AN390" s="97"/>
      <c r="AO390" s="97"/>
      <c r="AP390" s="97"/>
      <c r="AQ390" s="97"/>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c r="DF390" s="97"/>
      <c r="DG390" s="97"/>
      <c r="DH390" s="97"/>
      <c r="DI390" s="97"/>
      <c r="DJ390" s="97"/>
      <c r="DK390" s="97"/>
      <c r="DL390" s="97"/>
      <c r="DM390" s="97"/>
      <c r="DN390" s="97"/>
      <c r="DO390" s="97"/>
      <c r="DP390" s="97"/>
      <c r="DQ390" s="97"/>
      <c r="DR390" s="97"/>
      <c r="DS390" s="97"/>
      <c r="DT390" s="97"/>
      <c r="DU390" s="97"/>
      <c r="DV390" s="97"/>
      <c r="DW390" s="97"/>
      <c r="DX390" s="97"/>
      <c r="DY390" s="97"/>
      <c r="DZ390" s="97"/>
      <c r="EA390" s="97"/>
      <c r="EB390" s="97"/>
      <c r="EC390" s="97"/>
      <c r="ED390" s="97"/>
      <c r="EE390" s="97"/>
      <c r="EF390" s="97"/>
      <c r="EG390" s="97"/>
      <c r="EH390" s="97"/>
      <c r="EI390" s="97"/>
      <c r="EJ390" s="97"/>
      <c r="EK390" s="97"/>
      <c r="EL390" s="97"/>
      <c r="EM390" s="97"/>
      <c r="EN390" s="97"/>
      <c r="EO390" s="97"/>
      <c r="EP390" s="97"/>
      <c r="EQ390" s="97"/>
      <c r="ER390" s="97"/>
      <c r="ES390" s="97"/>
      <c r="ET390" s="97"/>
    </row>
    <row r="391" spans="1:150" ht="15.75" customHeight="1">
      <c r="A391" s="97"/>
      <c r="B391" s="97"/>
      <c r="C391" s="97"/>
      <c r="D391" s="97"/>
      <c r="E391" s="97"/>
      <c r="F391" s="97"/>
      <c r="G391" s="97"/>
      <c r="H391" s="129"/>
      <c r="I391" s="97"/>
      <c r="J391" s="97"/>
      <c r="K391" s="97"/>
      <c r="L391" s="97"/>
      <c r="M391" s="97"/>
      <c r="N391" s="97"/>
      <c r="O391" s="97"/>
      <c r="P391" s="97"/>
      <c r="Q391" s="97"/>
      <c r="R391" s="97"/>
      <c r="S391" s="97"/>
      <c r="T391" s="97"/>
      <c r="U391" s="97"/>
      <c r="V391" s="97"/>
      <c r="W391" s="97"/>
      <c r="X391" s="129"/>
      <c r="Y391" s="97"/>
      <c r="Z391" s="97"/>
      <c r="AA391" s="97"/>
      <c r="AB391" s="97"/>
      <c r="AC391" s="97"/>
      <c r="AD391" s="97"/>
      <c r="AE391" s="97"/>
      <c r="AF391" s="97"/>
      <c r="AG391" s="97"/>
      <c r="AH391" s="97"/>
      <c r="AI391" s="97"/>
      <c r="AJ391" s="97"/>
      <c r="AK391" s="97"/>
      <c r="AL391" s="97"/>
      <c r="AM391" s="97"/>
      <c r="AN391" s="97"/>
      <c r="AO391" s="97"/>
      <c r="AP391" s="97"/>
      <c r="AQ391" s="97"/>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c r="DF391" s="97"/>
      <c r="DG391" s="97"/>
      <c r="DH391" s="97"/>
      <c r="DI391" s="97"/>
      <c r="DJ391" s="97"/>
      <c r="DK391" s="97"/>
      <c r="DL391" s="97"/>
      <c r="DM391" s="97"/>
      <c r="DN391" s="97"/>
      <c r="DO391" s="97"/>
      <c r="DP391" s="97"/>
      <c r="DQ391" s="97"/>
      <c r="DR391" s="97"/>
      <c r="DS391" s="97"/>
      <c r="DT391" s="97"/>
      <c r="DU391" s="97"/>
      <c r="DV391" s="97"/>
      <c r="DW391" s="97"/>
      <c r="DX391" s="97"/>
      <c r="DY391" s="97"/>
      <c r="DZ391" s="97"/>
      <c r="EA391" s="97"/>
      <c r="EB391" s="97"/>
      <c r="EC391" s="97"/>
      <c r="ED391" s="97"/>
      <c r="EE391" s="97"/>
      <c r="EF391" s="97"/>
      <c r="EG391" s="97"/>
      <c r="EH391" s="97"/>
      <c r="EI391" s="97"/>
      <c r="EJ391" s="97"/>
      <c r="EK391" s="97"/>
      <c r="EL391" s="97"/>
      <c r="EM391" s="97"/>
      <c r="EN391" s="97"/>
      <c r="EO391" s="97"/>
      <c r="EP391" s="97"/>
      <c r="EQ391" s="97"/>
      <c r="ER391" s="97"/>
      <c r="ES391" s="97"/>
      <c r="ET391" s="97"/>
    </row>
    <row r="392" spans="1:150" ht="15.75" customHeight="1">
      <c r="A392" s="97"/>
      <c r="B392" s="97"/>
      <c r="C392" s="97"/>
      <c r="D392" s="97"/>
      <c r="E392" s="97"/>
      <c r="F392" s="97"/>
      <c r="G392" s="97"/>
      <c r="H392" s="129"/>
      <c r="I392" s="97"/>
      <c r="J392" s="97"/>
      <c r="K392" s="97"/>
      <c r="L392" s="97"/>
      <c r="M392" s="97"/>
      <c r="N392" s="97"/>
      <c r="O392" s="97"/>
      <c r="P392" s="97"/>
      <c r="Q392" s="97"/>
      <c r="R392" s="97"/>
      <c r="S392" s="97"/>
      <c r="T392" s="97"/>
      <c r="U392" s="97"/>
      <c r="V392" s="97"/>
      <c r="W392" s="97"/>
      <c r="X392" s="129"/>
      <c r="Y392" s="97"/>
      <c r="Z392" s="97"/>
      <c r="AA392" s="97"/>
      <c r="AB392" s="97"/>
      <c r="AC392" s="97"/>
      <c r="AD392" s="97"/>
      <c r="AE392" s="97"/>
      <c r="AF392" s="97"/>
      <c r="AG392" s="97"/>
      <c r="AH392" s="97"/>
      <c r="AI392" s="97"/>
      <c r="AJ392" s="97"/>
      <c r="AK392" s="97"/>
      <c r="AL392" s="97"/>
      <c r="AM392" s="97"/>
      <c r="AN392" s="97"/>
      <c r="AO392" s="97"/>
      <c r="AP392" s="97"/>
      <c r="AQ392" s="97"/>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c r="DF392" s="97"/>
      <c r="DG392" s="97"/>
      <c r="DH392" s="97"/>
      <c r="DI392" s="97"/>
      <c r="DJ392" s="97"/>
      <c r="DK392" s="97"/>
      <c r="DL392" s="97"/>
      <c r="DM392" s="97"/>
      <c r="DN392" s="97"/>
      <c r="DO392" s="97"/>
      <c r="DP392" s="97"/>
      <c r="DQ392" s="97"/>
      <c r="DR392" s="97"/>
      <c r="DS392" s="97"/>
      <c r="DT392" s="97"/>
      <c r="DU392" s="97"/>
      <c r="DV392" s="97"/>
      <c r="DW392" s="97"/>
      <c r="DX392" s="97"/>
      <c r="DY392" s="97"/>
      <c r="DZ392" s="97"/>
      <c r="EA392" s="97"/>
      <c r="EB392" s="97"/>
      <c r="EC392" s="97"/>
      <c r="ED392" s="97"/>
      <c r="EE392" s="97"/>
      <c r="EF392" s="97"/>
      <c r="EG392" s="97"/>
      <c r="EH392" s="97"/>
      <c r="EI392" s="97"/>
      <c r="EJ392" s="97"/>
      <c r="EK392" s="97"/>
      <c r="EL392" s="97"/>
      <c r="EM392" s="97"/>
      <c r="EN392" s="97"/>
      <c r="EO392" s="97"/>
      <c r="EP392" s="97"/>
      <c r="EQ392" s="97"/>
      <c r="ER392" s="97"/>
      <c r="ES392" s="97"/>
      <c r="ET392" s="97"/>
    </row>
    <row r="393" spans="1:150" ht="15.75" customHeight="1">
      <c r="A393" s="97"/>
      <c r="B393" s="97"/>
      <c r="C393" s="97"/>
      <c r="D393" s="97"/>
      <c r="E393" s="97"/>
      <c r="F393" s="97"/>
      <c r="G393" s="97"/>
      <c r="H393" s="129"/>
      <c r="I393" s="97"/>
      <c r="J393" s="97"/>
      <c r="K393" s="97"/>
      <c r="L393" s="97"/>
      <c r="M393" s="97"/>
      <c r="N393" s="97"/>
      <c r="O393" s="97"/>
      <c r="P393" s="97"/>
      <c r="Q393" s="97"/>
      <c r="R393" s="97"/>
      <c r="S393" s="97"/>
      <c r="T393" s="97"/>
      <c r="U393" s="97"/>
      <c r="V393" s="97"/>
      <c r="W393" s="97"/>
      <c r="X393" s="129"/>
      <c r="Y393" s="97"/>
      <c r="Z393" s="97"/>
      <c r="AA393" s="97"/>
      <c r="AB393" s="97"/>
      <c r="AC393" s="97"/>
      <c r="AD393" s="97"/>
      <c r="AE393" s="97"/>
      <c r="AF393" s="97"/>
      <c r="AG393" s="97"/>
      <c r="AH393" s="97"/>
      <c r="AI393" s="97"/>
      <c r="AJ393" s="97"/>
      <c r="AK393" s="97"/>
      <c r="AL393" s="97"/>
      <c r="AM393" s="97"/>
      <c r="AN393" s="97"/>
      <c r="AO393" s="97"/>
      <c r="AP393" s="97"/>
      <c r="AQ393" s="97"/>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c r="DF393" s="97"/>
      <c r="DG393" s="97"/>
      <c r="DH393" s="97"/>
      <c r="DI393" s="97"/>
      <c r="DJ393" s="97"/>
      <c r="DK393" s="97"/>
      <c r="DL393" s="97"/>
      <c r="DM393" s="97"/>
      <c r="DN393" s="97"/>
      <c r="DO393" s="97"/>
      <c r="DP393" s="97"/>
      <c r="DQ393" s="97"/>
      <c r="DR393" s="97"/>
      <c r="DS393" s="97"/>
      <c r="DT393" s="97"/>
      <c r="DU393" s="97"/>
      <c r="DV393" s="97"/>
      <c r="DW393" s="97"/>
      <c r="DX393" s="97"/>
      <c r="DY393" s="97"/>
      <c r="DZ393" s="97"/>
      <c r="EA393" s="97"/>
      <c r="EB393" s="97"/>
      <c r="EC393" s="97"/>
      <c r="ED393" s="97"/>
      <c r="EE393" s="97"/>
      <c r="EF393" s="97"/>
      <c r="EG393" s="97"/>
      <c r="EH393" s="97"/>
      <c r="EI393" s="97"/>
      <c r="EJ393" s="97"/>
      <c r="EK393" s="97"/>
      <c r="EL393" s="97"/>
      <c r="EM393" s="97"/>
      <c r="EN393" s="97"/>
      <c r="EO393" s="97"/>
      <c r="EP393" s="97"/>
      <c r="EQ393" s="97"/>
      <c r="ER393" s="97"/>
      <c r="ES393" s="97"/>
      <c r="ET393" s="97"/>
    </row>
    <row r="394" spans="1:150" ht="15.75" customHeight="1">
      <c r="A394" s="97"/>
      <c r="B394" s="97"/>
      <c r="C394" s="97"/>
      <c r="D394" s="97"/>
      <c r="E394" s="97"/>
      <c r="F394" s="97"/>
      <c r="G394" s="97"/>
      <c r="H394" s="129"/>
      <c r="I394" s="97"/>
      <c r="J394" s="97"/>
      <c r="K394" s="97"/>
      <c r="L394" s="97"/>
      <c r="M394" s="97"/>
      <c r="N394" s="97"/>
      <c r="O394" s="97"/>
      <c r="P394" s="97"/>
      <c r="Q394" s="97"/>
      <c r="R394" s="97"/>
      <c r="S394" s="97"/>
      <c r="T394" s="97"/>
      <c r="U394" s="97"/>
      <c r="V394" s="97"/>
      <c r="W394" s="97"/>
      <c r="X394" s="129"/>
      <c r="Y394" s="97"/>
      <c r="Z394" s="97"/>
      <c r="AA394" s="97"/>
      <c r="AB394" s="97"/>
      <c r="AC394" s="97"/>
      <c r="AD394" s="97"/>
      <c r="AE394" s="97"/>
      <c r="AF394" s="97"/>
      <c r="AG394" s="97"/>
      <c r="AH394" s="97"/>
      <c r="AI394" s="97"/>
      <c r="AJ394" s="97"/>
      <c r="AK394" s="97"/>
      <c r="AL394" s="97"/>
      <c r="AM394" s="97"/>
      <c r="AN394" s="97"/>
      <c r="AO394" s="97"/>
      <c r="AP394" s="97"/>
      <c r="AQ394" s="97"/>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c r="DF394" s="97"/>
      <c r="DG394" s="97"/>
      <c r="DH394" s="97"/>
      <c r="DI394" s="97"/>
      <c r="DJ394" s="97"/>
      <c r="DK394" s="97"/>
      <c r="DL394" s="97"/>
      <c r="DM394" s="97"/>
      <c r="DN394" s="97"/>
      <c r="DO394" s="97"/>
      <c r="DP394" s="97"/>
      <c r="DQ394" s="97"/>
      <c r="DR394" s="97"/>
      <c r="DS394" s="97"/>
      <c r="DT394" s="97"/>
      <c r="DU394" s="97"/>
      <c r="DV394" s="97"/>
      <c r="DW394" s="97"/>
      <c r="DX394" s="97"/>
      <c r="DY394" s="97"/>
      <c r="DZ394" s="97"/>
      <c r="EA394" s="97"/>
      <c r="EB394" s="97"/>
      <c r="EC394" s="97"/>
      <c r="ED394" s="97"/>
      <c r="EE394" s="97"/>
      <c r="EF394" s="97"/>
      <c r="EG394" s="97"/>
      <c r="EH394" s="97"/>
      <c r="EI394" s="97"/>
      <c r="EJ394" s="97"/>
      <c r="EK394" s="97"/>
      <c r="EL394" s="97"/>
      <c r="EM394" s="97"/>
      <c r="EN394" s="97"/>
      <c r="EO394" s="97"/>
      <c r="EP394" s="97"/>
      <c r="EQ394" s="97"/>
      <c r="ER394" s="97"/>
      <c r="ES394" s="97"/>
      <c r="ET394" s="97"/>
    </row>
    <row r="395" spans="1:150" ht="15.75" customHeight="1">
      <c r="A395" s="97"/>
      <c r="B395" s="97"/>
      <c r="C395" s="97"/>
      <c r="D395" s="97"/>
      <c r="E395" s="97"/>
      <c r="F395" s="97"/>
      <c r="G395" s="97"/>
      <c r="H395" s="129"/>
      <c r="I395" s="97"/>
      <c r="J395" s="97"/>
      <c r="K395" s="97"/>
      <c r="L395" s="97"/>
      <c r="M395" s="97"/>
      <c r="N395" s="97"/>
      <c r="O395" s="97"/>
      <c r="P395" s="97"/>
      <c r="Q395" s="97"/>
      <c r="R395" s="97"/>
      <c r="S395" s="97"/>
      <c r="T395" s="97"/>
      <c r="U395" s="97"/>
      <c r="V395" s="97"/>
      <c r="W395" s="97"/>
      <c r="X395" s="129"/>
      <c r="Y395" s="97"/>
      <c r="Z395" s="97"/>
      <c r="AA395" s="97"/>
      <c r="AB395" s="97"/>
      <c r="AC395" s="97"/>
      <c r="AD395" s="97"/>
      <c r="AE395" s="97"/>
      <c r="AF395" s="97"/>
      <c r="AG395" s="97"/>
      <c r="AH395" s="97"/>
      <c r="AI395" s="97"/>
      <c r="AJ395" s="97"/>
      <c r="AK395" s="97"/>
      <c r="AL395" s="97"/>
      <c r="AM395" s="97"/>
      <c r="AN395" s="97"/>
      <c r="AO395" s="97"/>
      <c r="AP395" s="97"/>
      <c r="AQ395" s="97"/>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c r="DF395" s="97"/>
      <c r="DG395" s="97"/>
      <c r="DH395" s="97"/>
      <c r="DI395" s="97"/>
      <c r="DJ395" s="97"/>
      <c r="DK395" s="97"/>
      <c r="DL395" s="97"/>
      <c r="DM395" s="97"/>
      <c r="DN395" s="97"/>
      <c r="DO395" s="97"/>
      <c r="DP395" s="97"/>
      <c r="DQ395" s="97"/>
      <c r="DR395" s="97"/>
      <c r="DS395" s="97"/>
      <c r="DT395" s="97"/>
      <c r="DU395" s="97"/>
      <c r="DV395" s="97"/>
      <c r="DW395" s="97"/>
      <c r="DX395" s="97"/>
      <c r="DY395" s="97"/>
      <c r="DZ395" s="97"/>
      <c r="EA395" s="97"/>
      <c r="EB395" s="97"/>
      <c r="EC395" s="97"/>
      <c r="ED395" s="97"/>
      <c r="EE395" s="97"/>
      <c r="EF395" s="97"/>
      <c r="EG395" s="97"/>
      <c r="EH395" s="97"/>
      <c r="EI395" s="97"/>
      <c r="EJ395" s="97"/>
      <c r="EK395" s="97"/>
      <c r="EL395" s="97"/>
      <c r="EM395" s="97"/>
      <c r="EN395" s="97"/>
      <c r="EO395" s="97"/>
      <c r="EP395" s="97"/>
      <c r="EQ395" s="97"/>
      <c r="ER395" s="97"/>
      <c r="ES395" s="97"/>
      <c r="ET395" s="97"/>
    </row>
    <row r="396" spans="1:150" ht="15.75" customHeight="1">
      <c r="A396" s="97"/>
      <c r="B396" s="97"/>
      <c r="C396" s="97"/>
      <c r="D396" s="97"/>
      <c r="E396" s="97"/>
      <c r="F396" s="97"/>
      <c r="G396" s="97"/>
      <c r="H396" s="129"/>
      <c r="I396" s="97"/>
      <c r="J396" s="97"/>
      <c r="K396" s="97"/>
      <c r="L396" s="97"/>
      <c r="M396" s="97"/>
      <c r="N396" s="97"/>
      <c r="O396" s="97"/>
      <c r="P396" s="97"/>
      <c r="Q396" s="97"/>
      <c r="R396" s="97"/>
      <c r="S396" s="97"/>
      <c r="T396" s="97"/>
      <c r="U396" s="97"/>
      <c r="V396" s="97"/>
      <c r="W396" s="97"/>
      <c r="X396" s="129"/>
      <c r="Y396" s="97"/>
      <c r="Z396" s="97"/>
      <c r="AA396" s="97"/>
      <c r="AB396" s="97"/>
      <c r="AC396" s="97"/>
      <c r="AD396" s="97"/>
      <c r="AE396" s="97"/>
      <c r="AF396" s="97"/>
      <c r="AG396" s="97"/>
      <c r="AH396" s="97"/>
      <c r="AI396" s="97"/>
      <c r="AJ396" s="97"/>
      <c r="AK396" s="97"/>
      <c r="AL396" s="97"/>
      <c r="AM396" s="97"/>
      <c r="AN396" s="97"/>
      <c r="AO396" s="97"/>
      <c r="AP396" s="97"/>
      <c r="AQ396" s="97"/>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c r="DF396" s="97"/>
      <c r="DG396" s="97"/>
      <c r="DH396" s="97"/>
      <c r="DI396" s="97"/>
      <c r="DJ396" s="97"/>
      <c r="DK396" s="97"/>
      <c r="DL396" s="97"/>
      <c r="DM396" s="97"/>
      <c r="DN396" s="97"/>
      <c r="DO396" s="97"/>
      <c r="DP396" s="97"/>
      <c r="DQ396" s="97"/>
      <c r="DR396" s="97"/>
      <c r="DS396" s="97"/>
      <c r="DT396" s="97"/>
      <c r="DU396" s="97"/>
      <c r="DV396" s="97"/>
      <c r="DW396" s="97"/>
      <c r="DX396" s="97"/>
      <c r="DY396" s="97"/>
      <c r="DZ396" s="97"/>
      <c r="EA396" s="97"/>
      <c r="EB396" s="97"/>
      <c r="EC396" s="97"/>
      <c r="ED396" s="97"/>
      <c r="EE396" s="97"/>
      <c r="EF396" s="97"/>
      <c r="EG396" s="97"/>
      <c r="EH396" s="97"/>
      <c r="EI396" s="97"/>
      <c r="EJ396" s="97"/>
      <c r="EK396" s="97"/>
      <c r="EL396" s="97"/>
      <c r="EM396" s="97"/>
      <c r="EN396" s="97"/>
      <c r="EO396" s="97"/>
      <c r="EP396" s="97"/>
      <c r="EQ396" s="97"/>
      <c r="ER396" s="97"/>
      <c r="ES396" s="97"/>
      <c r="ET396" s="97"/>
    </row>
    <row r="397" spans="1:150" ht="15.75" customHeight="1">
      <c r="A397" s="97"/>
      <c r="B397" s="97"/>
      <c r="C397" s="97"/>
      <c r="D397" s="97"/>
      <c r="E397" s="97"/>
      <c r="F397" s="97"/>
      <c r="G397" s="97"/>
      <c r="H397" s="129"/>
      <c r="I397" s="97"/>
      <c r="J397" s="97"/>
      <c r="K397" s="97"/>
      <c r="L397" s="97"/>
      <c r="M397" s="97"/>
      <c r="N397" s="97"/>
      <c r="O397" s="97"/>
      <c r="P397" s="97"/>
      <c r="Q397" s="97"/>
      <c r="R397" s="97"/>
      <c r="S397" s="97"/>
      <c r="T397" s="97"/>
      <c r="U397" s="97"/>
      <c r="V397" s="97"/>
      <c r="W397" s="97"/>
      <c r="X397" s="129"/>
      <c r="Y397" s="97"/>
      <c r="Z397" s="97"/>
      <c r="AA397" s="97"/>
      <c r="AB397" s="97"/>
      <c r="AC397" s="97"/>
      <c r="AD397" s="97"/>
      <c r="AE397" s="97"/>
      <c r="AF397" s="97"/>
      <c r="AG397" s="97"/>
      <c r="AH397" s="97"/>
      <c r="AI397" s="97"/>
      <c r="AJ397" s="97"/>
      <c r="AK397" s="97"/>
      <c r="AL397" s="97"/>
      <c r="AM397" s="97"/>
      <c r="AN397" s="97"/>
      <c r="AO397" s="97"/>
      <c r="AP397" s="97"/>
      <c r="AQ397" s="97"/>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c r="DF397" s="97"/>
      <c r="DG397" s="97"/>
      <c r="DH397" s="97"/>
      <c r="DI397" s="97"/>
      <c r="DJ397" s="97"/>
      <c r="DK397" s="97"/>
      <c r="DL397" s="97"/>
      <c r="DM397" s="97"/>
      <c r="DN397" s="97"/>
      <c r="DO397" s="97"/>
      <c r="DP397" s="97"/>
      <c r="DQ397" s="97"/>
      <c r="DR397" s="97"/>
      <c r="DS397" s="97"/>
      <c r="DT397" s="97"/>
      <c r="DU397" s="97"/>
      <c r="DV397" s="97"/>
      <c r="DW397" s="97"/>
      <c r="DX397" s="97"/>
      <c r="DY397" s="97"/>
      <c r="DZ397" s="97"/>
      <c r="EA397" s="97"/>
      <c r="EB397" s="97"/>
      <c r="EC397" s="97"/>
      <c r="ED397" s="97"/>
      <c r="EE397" s="97"/>
      <c r="EF397" s="97"/>
      <c r="EG397" s="97"/>
      <c r="EH397" s="97"/>
      <c r="EI397" s="97"/>
      <c r="EJ397" s="97"/>
      <c r="EK397" s="97"/>
      <c r="EL397" s="97"/>
      <c r="EM397" s="97"/>
      <c r="EN397" s="97"/>
      <c r="EO397" s="97"/>
      <c r="EP397" s="97"/>
      <c r="EQ397" s="97"/>
      <c r="ER397" s="97"/>
      <c r="ES397" s="97"/>
      <c r="ET397" s="97"/>
    </row>
    <row r="398" spans="1:150" ht="15.75" customHeight="1">
      <c r="A398" s="97"/>
      <c r="B398" s="97"/>
      <c r="C398" s="97"/>
      <c r="D398" s="97"/>
      <c r="E398" s="97"/>
      <c r="F398" s="97"/>
      <c r="G398" s="97"/>
      <c r="H398" s="129"/>
      <c r="I398" s="97"/>
      <c r="J398" s="97"/>
      <c r="K398" s="97"/>
      <c r="L398" s="97"/>
      <c r="M398" s="97"/>
      <c r="N398" s="97"/>
      <c r="O398" s="97"/>
      <c r="P398" s="97"/>
      <c r="Q398" s="97"/>
      <c r="R398" s="97"/>
      <c r="S398" s="97"/>
      <c r="T398" s="97"/>
      <c r="U398" s="97"/>
      <c r="V398" s="97"/>
      <c r="W398" s="97"/>
      <c r="X398" s="129"/>
      <c r="Y398" s="97"/>
      <c r="Z398" s="97"/>
      <c r="AA398" s="97"/>
      <c r="AB398" s="97"/>
      <c r="AC398" s="97"/>
      <c r="AD398" s="97"/>
      <c r="AE398" s="97"/>
      <c r="AF398" s="97"/>
      <c r="AG398" s="97"/>
      <c r="AH398" s="97"/>
      <c r="AI398" s="97"/>
      <c r="AJ398" s="97"/>
      <c r="AK398" s="97"/>
      <c r="AL398" s="97"/>
      <c r="AM398" s="97"/>
      <c r="AN398" s="97"/>
      <c r="AO398" s="97"/>
      <c r="AP398" s="97"/>
      <c r="AQ398" s="97"/>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c r="DF398" s="97"/>
      <c r="DG398" s="97"/>
      <c r="DH398" s="97"/>
      <c r="DI398" s="97"/>
      <c r="DJ398" s="97"/>
      <c r="DK398" s="97"/>
      <c r="DL398" s="97"/>
      <c r="DM398" s="97"/>
      <c r="DN398" s="97"/>
      <c r="DO398" s="97"/>
      <c r="DP398" s="97"/>
      <c r="DQ398" s="97"/>
      <c r="DR398" s="97"/>
      <c r="DS398" s="97"/>
      <c r="DT398" s="97"/>
      <c r="DU398" s="97"/>
      <c r="DV398" s="97"/>
      <c r="DW398" s="97"/>
      <c r="DX398" s="97"/>
      <c r="DY398" s="97"/>
      <c r="DZ398" s="97"/>
      <c r="EA398" s="97"/>
      <c r="EB398" s="97"/>
      <c r="EC398" s="97"/>
      <c r="ED398" s="97"/>
      <c r="EE398" s="97"/>
      <c r="EF398" s="97"/>
      <c r="EG398" s="97"/>
      <c r="EH398" s="97"/>
      <c r="EI398" s="97"/>
      <c r="EJ398" s="97"/>
      <c r="EK398" s="97"/>
      <c r="EL398" s="97"/>
      <c r="EM398" s="97"/>
      <c r="EN398" s="97"/>
      <c r="EO398" s="97"/>
      <c r="EP398" s="97"/>
      <c r="EQ398" s="97"/>
      <c r="ER398" s="97"/>
      <c r="ES398" s="97"/>
      <c r="ET398" s="97"/>
    </row>
    <row r="399" spans="1:150" ht="15.75" customHeight="1">
      <c r="A399" s="97"/>
      <c r="B399" s="97"/>
      <c r="C399" s="97"/>
      <c r="D399" s="97"/>
      <c r="E399" s="97"/>
      <c r="F399" s="97"/>
      <c r="G399" s="97"/>
      <c r="H399" s="129"/>
      <c r="I399" s="97"/>
      <c r="J399" s="97"/>
      <c r="K399" s="97"/>
      <c r="L399" s="97"/>
      <c r="M399" s="97"/>
      <c r="N399" s="97"/>
      <c r="O399" s="97"/>
      <c r="P399" s="97"/>
      <c r="Q399" s="97"/>
      <c r="R399" s="97"/>
      <c r="S399" s="97"/>
      <c r="T399" s="97"/>
      <c r="U399" s="97"/>
      <c r="V399" s="97"/>
      <c r="W399" s="97"/>
      <c r="X399" s="129"/>
      <c r="Y399" s="97"/>
      <c r="Z399" s="97"/>
      <c r="AA399" s="97"/>
      <c r="AB399" s="97"/>
      <c r="AC399" s="97"/>
      <c r="AD399" s="97"/>
      <c r="AE399" s="97"/>
      <c r="AF399" s="97"/>
      <c r="AG399" s="97"/>
      <c r="AH399" s="97"/>
      <c r="AI399" s="97"/>
      <c r="AJ399" s="97"/>
      <c r="AK399" s="97"/>
      <c r="AL399" s="97"/>
      <c r="AM399" s="97"/>
      <c r="AN399" s="97"/>
      <c r="AO399" s="97"/>
      <c r="AP399" s="97"/>
      <c r="AQ399" s="97"/>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c r="DF399" s="97"/>
      <c r="DG399" s="97"/>
      <c r="DH399" s="97"/>
      <c r="DI399" s="97"/>
      <c r="DJ399" s="97"/>
      <c r="DK399" s="97"/>
      <c r="DL399" s="97"/>
      <c r="DM399" s="97"/>
      <c r="DN399" s="97"/>
      <c r="DO399" s="97"/>
      <c r="DP399" s="97"/>
      <c r="DQ399" s="97"/>
      <c r="DR399" s="97"/>
      <c r="DS399" s="97"/>
      <c r="DT399" s="97"/>
      <c r="DU399" s="97"/>
      <c r="DV399" s="97"/>
      <c r="DW399" s="97"/>
      <c r="DX399" s="97"/>
      <c r="DY399" s="97"/>
      <c r="DZ399" s="97"/>
      <c r="EA399" s="97"/>
      <c r="EB399" s="97"/>
      <c r="EC399" s="97"/>
      <c r="ED399" s="97"/>
      <c r="EE399" s="97"/>
      <c r="EF399" s="97"/>
      <c r="EG399" s="97"/>
      <c r="EH399" s="97"/>
      <c r="EI399" s="97"/>
      <c r="EJ399" s="97"/>
      <c r="EK399" s="97"/>
      <c r="EL399" s="97"/>
      <c r="EM399" s="97"/>
      <c r="EN399" s="97"/>
      <c r="EO399" s="97"/>
      <c r="EP399" s="97"/>
      <c r="EQ399" s="97"/>
      <c r="ER399" s="97"/>
      <c r="ES399" s="97"/>
      <c r="ET399" s="97"/>
    </row>
    <row r="400" spans="1:150" ht="15.75" customHeight="1">
      <c r="A400" s="97"/>
      <c r="B400" s="97"/>
      <c r="C400" s="97"/>
      <c r="D400" s="97"/>
      <c r="E400" s="97"/>
      <c r="F400" s="97"/>
      <c r="G400" s="97"/>
      <c r="H400" s="129"/>
      <c r="I400" s="97"/>
      <c r="J400" s="97"/>
      <c r="K400" s="97"/>
      <c r="L400" s="97"/>
      <c r="M400" s="97"/>
      <c r="N400" s="97"/>
      <c r="O400" s="97"/>
      <c r="P400" s="97"/>
      <c r="Q400" s="97"/>
      <c r="R400" s="97"/>
      <c r="S400" s="97"/>
      <c r="T400" s="97"/>
      <c r="U400" s="97"/>
      <c r="V400" s="97"/>
      <c r="W400" s="97"/>
      <c r="X400" s="129"/>
      <c r="Y400" s="97"/>
      <c r="Z400" s="97"/>
      <c r="AA400" s="97"/>
      <c r="AB400" s="97"/>
      <c r="AC400" s="97"/>
      <c r="AD400" s="97"/>
      <c r="AE400" s="97"/>
      <c r="AF400" s="97"/>
      <c r="AG400" s="97"/>
      <c r="AH400" s="97"/>
      <c r="AI400" s="97"/>
      <c r="AJ400" s="97"/>
      <c r="AK400" s="97"/>
      <c r="AL400" s="97"/>
      <c r="AM400" s="97"/>
      <c r="AN400" s="97"/>
      <c r="AO400" s="97"/>
      <c r="AP400" s="97"/>
      <c r="AQ400" s="97"/>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c r="DF400" s="97"/>
      <c r="DG400" s="97"/>
      <c r="DH400" s="97"/>
      <c r="DI400" s="97"/>
      <c r="DJ400" s="97"/>
      <c r="DK400" s="97"/>
      <c r="DL400" s="97"/>
      <c r="DM400" s="97"/>
      <c r="DN400" s="97"/>
      <c r="DO400" s="97"/>
      <c r="DP400" s="97"/>
      <c r="DQ400" s="97"/>
      <c r="DR400" s="97"/>
      <c r="DS400" s="97"/>
      <c r="DT400" s="97"/>
      <c r="DU400" s="97"/>
      <c r="DV400" s="97"/>
      <c r="DW400" s="97"/>
      <c r="DX400" s="97"/>
      <c r="DY400" s="97"/>
      <c r="DZ400" s="97"/>
      <c r="EA400" s="97"/>
      <c r="EB400" s="97"/>
      <c r="EC400" s="97"/>
      <c r="ED400" s="97"/>
      <c r="EE400" s="97"/>
      <c r="EF400" s="97"/>
      <c r="EG400" s="97"/>
      <c r="EH400" s="97"/>
      <c r="EI400" s="97"/>
      <c r="EJ400" s="97"/>
      <c r="EK400" s="97"/>
      <c r="EL400" s="97"/>
      <c r="EM400" s="97"/>
      <c r="EN400" s="97"/>
      <c r="EO400" s="97"/>
      <c r="EP400" s="97"/>
      <c r="EQ400" s="97"/>
      <c r="ER400" s="97"/>
      <c r="ES400" s="97"/>
      <c r="ET400" s="97"/>
    </row>
    <row r="401" spans="1:150" ht="15.75" customHeight="1">
      <c r="A401" s="97"/>
      <c r="B401" s="97"/>
      <c r="C401" s="97"/>
      <c r="D401" s="97"/>
      <c r="E401" s="97"/>
      <c r="F401" s="97"/>
      <c r="G401" s="97"/>
      <c r="H401" s="129"/>
      <c r="I401" s="97"/>
      <c r="J401" s="97"/>
      <c r="K401" s="97"/>
      <c r="L401" s="97"/>
      <c r="M401" s="97"/>
      <c r="N401" s="97"/>
      <c r="O401" s="97"/>
      <c r="P401" s="97"/>
      <c r="Q401" s="97"/>
      <c r="R401" s="97"/>
      <c r="S401" s="97"/>
      <c r="T401" s="97"/>
      <c r="U401" s="97"/>
      <c r="V401" s="97"/>
      <c r="W401" s="97"/>
      <c r="X401" s="129"/>
      <c r="Y401" s="97"/>
      <c r="Z401" s="97"/>
      <c r="AA401" s="97"/>
      <c r="AB401" s="97"/>
      <c r="AC401" s="97"/>
      <c r="AD401" s="97"/>
      <c r="AE401" s="97"/>
      <c r="AF401" s="97"/>
      <c r="AG401" s="97"/>
      <c r="AH401" s="97"/>
      <c r="AI401" s="97"/>
      <c r="AJ401" s="97"/>
      <c r="AK401" s="97"/>
      <c r="AL401" s="97"/>
      <c r="AM401" s="97"/>
      <c r="AN401" s="97"/>
      <c r="AO401" s="97"/>
      <c r="AP401" s="97"/>
      <c r="AQ401" s="97"/>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c r="DF401" s="97"/>
      <c r="DG401" s="97"/>
      <c r="DH401" s="97"/>
      <c r="DI401" s="97"/>
      <c r="DJ401" s="97"/>
      <c r="DK401" s="97"/>
      <c r="DL401" s="97"/>
      <c r="DM401" s="97"/>
      <c r="DN401" s="97"/>
      <c r="DO401" s="97"/>
      <c r="DP401" s="97"/>
      <c r="DQ401" s="97"/>
      <c r="DR401" s="97"/>
      <c r="DS401" s="97"/>
      <c r="DT401" s="97"/>
      <c r="DU401" s="97"/>
      <c r="DV401" s="97"/>
      <c r="DW401" s="97"/>
      <c r="DX401" s="97"/>
      <c r="DY401" s="97"/>
      <c r="DZ401" s="97"/>
      <c r="EA401" s="97"/>
      <c r="EB401" s="97"/>
      <c r="EC401" s="97"/>
      <c r="ED401" s="97"/>
      <c r="EE401" s="97"/>
      <c r="EF401" s="97"/>
      <c r="EG401" s="97"/>
      <c r="EH401" s="97"/>
      <c r="EI401" s="97"/>
      <c r="EJ401" s="97"/>
      <c r="EK401" s="97"/>
      <c r="EL401" s="97"/>
      <c r="EM401" s="97"/>
      <c r="EN401" s="97"/>
      <c r="EO401" s="97"/>
      <c r="EP401" s="97"/>
      <c r="EQ401" s="97"/>
      <c r="ER401" s="97"/>
      <c r="ES401" s="97"/>
      <c r="ET401" s="97"/>
    </row>
    <row r="402" spans="1:150" ht="15.75" customHeight="1">
      <c r="A402" s="97"/>
      <c r="B402" s="97"/>
      <c r="C402" s="97"/>
      <c r="D402" s="97"/>
      <c r="E402" s="97"/>
      <c r="F402" s="97"/>
      <c r="G402" s="97"/>
      <c r="H402" s="129"/>
      <c r="I402" s="97"/>
      <c r="J402" s="97"/>
      <c r="K402" s="97"/>
      <c r="L402" s="97"/>
      <c r="M402" s="97"/>
      <c r="N402" s="97"/>
      <c r="O402" s="97"/>
      <c r="P402" s="97"/>
      <c r="Q402" s="97"/>
      <c r="R402" s="97"/>
      <c r="S402" s="97"/>
      <c r="T402" s="97"/>
      <c r="U402" s="97"/>
      <c r="V402" s="97"/>
      <c r="W402" s="97"/>
      <c r="X402" s="129"/>
      <c r="Y402" s="97"/>
      <c r="Z402" s="97"/>
      <c r="AA402" s="97"/>
      <c r="AB402" s="97"/>
      <c r="AC402" s="97"/>
      <c r="AD402" s="97"/>
      <c r="AE402" s="97"/>
      <c r="AF402" s="97"/>
      <c r="AG402" s="97"/>
      <c r="AH402" s="97"/>
      <c r="AI402" s="97"/>
      <c r="AJ402" s="97"/>
      <c r="AK402" s="97"/>
      <c r="AL402" s="97"/>
      <c r="AM402" s="97"/>
      <c r="AN402" s="97"/>
      <c r="AO402" s="97"/>
      <c r="AP402" s="97"/>
      <c r="AQ402" s="97"/>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c r="DF402" s="97"/>
      <c r="DG402" s="97"/>
      <c r="DH402" s="97"/>
      <c r="DI402" s="97"/>
      <c r="DJ402" s="97"/>
      <c r="DK402" s="97"/>
      <c r="DL402" s="97"/>
      <c r="DM402" s="97"/>
      <c r="DN402" s="97"/>
      <c r="DO402" s="97"/>
      <c r="DP402" s="97"/>
      <c r="DQ402" s="97"/>
      <c r="DR402" s="97"/>
      <c r="DS402" s="97"/>
      <c r="DT402" s="97"/>
      <c r="DU402" s="97"/>
      <c r="DV402" s="97"/>
      <c r="DW402" s="97"/>
      <c r="DX402" s="97"/>
      <c r="DY402" s="97"/>
      <c r="DZ402" s="97"/>
      <c r="EA402" s="97"/>
      <c r="EB402" s="97"/>
      <c r="EC402" s="97"/>
      <c r="ED402" s="97"/>
      <c r="EE402" s="97"/>
      <c r="EF402" s="97"/>
      <c r="EG402" s="97"/>
      <c r="EH402" s="97"/>
      <c r="EI402" s="97"/>
      <c r="EJ402" s="97"/>
      <c r="EK402" s="97"/>
      <c r="EL402" s="97"/>
      <c r="EM402" s="97"/>
      <c r="EN402" s="97"/>
      <c r="EO402" s="97"/>
      <c r="EP402" s="97"/>
      <c r="EQ402" s="97"/>
      <c r="ER402" s="97"/>
      <c r="ES402" s="97"/>
      <c r="ET402" s="97"/>
    </row>
    <row r="403" spans="1:150" ht="15.75" customHeight="1">
      <c r="A403" s="97"/>
      <c r="B403" s="97"/>
      <c r="C403" s="97"/>
      <c r="D403" s="97"/>
      <c r="E403" s="97"/>
      <c r="F403" s="97"/>
      <c r="G403" s="97"/>
      <c r="H403" s="129"/>
      <c r="I403" s="97"/>
      <c r="J403" s="97"/>
      <c r="K403" s="97"/>
      <c r="L403" s="97"/>
      <c r="M403" s="97"/>
      <c r="N403" s="97"/>
      <c r="O403" s="97"/>
      <c r="P403" s="97"/>
      <c r="Q403" s="97"/>
      <c r="R403" s="97"/>
      <c r="S403" s="97"/>
      <c r="T403" s="97"/>
      <c r="U403" s="97"/>
      <c r="V403" s="97"/>
      <c r="W403" s="97"/>
      <c r="X403" s="129"/>
      <c r="Y403" s="97"/>
      <c r="Z403" s="97"/>
      <c r="AA403" s="97"/>
      <c r="AB403" s="97"/>
      <c r="AC403" s="97"/>
      <c r="AD403" s="97"/>
      <c r="AE403" s="97"/>
      <c r="AF403" s="97"/>
      <c r="AG403" s="97"/>
      <c r="AH403" s="97"/>
      <c r="AI403" s="97"/>
      <c r="AJ403" s="97"/>
      <c r="AK403" s="97"/>
      <c r="AL403" s="97"/>
      <c r="AM403" s="97"/>
      <c r="AN403" s="97"/>
      <c r="AO403" s="97"/>
      <c r="AP403" s="97"/>
      <c r="AQ403" s="97"/>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c r="DF403" s="97"/>
      <c r="DG403" s="97"/>
      <c r="DH403" s="97"/>
      <c r="DI403" s="97"/>
      <c r="DJ403" s="97"/>
      <c r="DK403" s="97"/>
      <c r="DL403" s="97"/>
      <c r="DM403" s="97"/>
      <c r="DN403" s="97"/>
      <c r="DO403" s="97"/>
      <c r="DP403" s="97"/>
      <c r="DQ403" s="97"/>
      <c r="DR403" s="97"/>
      <c r="DS403" s="97"/>
      <c r="DT403" s="97"/>
      <c r="DU403" s="97"/>
      <c r="DV403" s="97"/>
      <c r="DW403" s="97"/>
      <c r="DX403" s="97"/>
      <c r="DY403" s="97"/>
      <c r="DZ403" s="97"/>
      <c r="EA403" s="97"/>
      <c r="EB403" s="97"/>
      <c r="EC403" s="97"/>
      <c r="ED403" s="97"/>
      <c r="EE403" s="97"/>
      <c r="EF403" s="97"/>
      <c r="EG403" s="97"/>
      <c r="EH403" s="97"/>
      <c r="EI403" s="97"/>
      <c r="EJ403" s="97"/>
      <c r="EK403" s="97"/>
      <c r="EL403" s="97"/>
      <c r="EM403" s="97"/>
      <c r="EN403" s="97"/>
      <c r="EO403" s="97"/>
      <c r="EP403" s="97"/>
      <c r="EQ403" s="97"/>
      <c r="ER403" s="97"/>
      <c r="ES403" s="97"/>
      <c r="ET403" s="97"/>
    </row>
    <row r="404" spans="1:150" ht="15.75" customHeight="1">
      <c r="A404" s="97"/>
      <c r="B404" s="97"/>
      <c r="C404" s="97"/>
      <c r="D404" s="97"/>
      <c r="E404" s="97"/>
      <c r="F404" s="97"/>
      <c r="G404" s="97"/>
      <c r="H404" s="129"/>
      <c r="I404" s="97"/>
      <c r="J404" s="97"/>
      <c r="K404" s="97"/>
      <c r="L404" s="97"/>
      <c r="M404" s="97"/>
      <c r="N404" s="97"/>
      <c r="O404" s="97"/>
      <c r="P404" s="97"/>
      <c r="Q404" s="97"/>
      <c r="R404" s="97"/>
      <c r="S404" s="97"/>
      <c r="T404" s="97"/>
      <c r="U404" s="97"/>
      <c r="V404" s="97"/>
      <c r="W404" s="97"/>
      <c r="X404" s="129"/>
      <c r="Y404" s="97"/>
      <c r="Z404" s="97"/>
      <c r="AA404" s="97"/>
      <c r="AB404" s="97"/>
      <c r="AC404" s="97"/>
      <c r="AD404" s="97"/>
      <c r="AE404" s="97"/>
      <c r="AF404" s="97"/>
      <c r="AG404" s="97"/>
      <c r="AH404" s="97"/>
      <c r="AI404" s="97"/>
      <c r="AJ404" s="97"/>
      <c r="AK404" s="97"/>
      <c r="AL404" s="97"/>
      <c r="AM404" s="97"/>
      <c r="AN404" s="97"/>
      <c r="AO404" s="97"/>
      <c r="AP404" s="97"/>
      <c r="AQ404" s="97"/>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c r="DF404" s="97"/>
      <c r="DG404" s="97"/>
      <c r="DH404" s="97"/>
      <c r="DI404" s="97"/>
      <c r="DJ404" s="97"/>
      <c r="DK404" s="97"/>
      <c r="DL404" s="97"/>
      <c r="DM404" s="97"/>
      <c r="DN404" s="97"/>
      <c r="DO404" s="97"/>
      <c r="DP404" s="97"/>
      <c r="DQ404" s="97"/>
      <c r="DR404" s="97"/>
      <c r="DS404" s="97"/>
      <c r="DT404" s="97"/>
      <c r="DU404" s="97"/>
      <c r="DV404" s="97"/>
      <c r="DW404" s="97"/>
      <c r="DX404" s="97"/>
      <c r="DY404" s="97"/>
      <c r="DZ404" s="97"/>
      <c r="EA404" s="97"/>
      <c r="EB404" s="97"/>
      <c r="EC404" s="97"/>
      <c r="ED404" s="97"/>
      <c r="EE404" s="97"/>
      <c r="EF404" s="97"/>
      <c r="EG404" s="97"/>
      <c r="EH404" s="97"/>
      <c r="EI404" s="97"/>
      <c r="EJ404" s="97"/>
      <c r="EK404" s="97"/>
      <c r="EL404" s="97"/>
      <c r="EM404" s="97"/>
      <c r="EN404" s="97"/>
      <c r="EO404" s="97"/>
      <c r="EP404" s="97"/>
      <c r="EQ404" s="97"/>
      <c r="ER404" s="97"/>
      <c r="ES404" s="97"/>
      <c r="ET404" s="97"/>
    </row>
    <row r="405" spans="1:150" ht="15.75" customHeight="1">
      <c r="A405" s="97"/>
      <c r="B405" s="97"/>
      <c r="C405" s="97"/>
      <c r="D405" s="97"/>
      <c r="E405" s="97"/>
      <c r="F405" s="97"/>
      <c r="G405" s="97"/>
      <c r="H405" s="129"/>
      <c r="I405" s="97"/>
      <c r="J405" s="97"/>
      <c r="K405" s="97"/>
      <c r="L405" s="97"/>
      <c r="M405" s="97"/>
      <c r="N405" s="97"/>
      <c r="O405" s="97"/>
      <c r="P405" s="97"/>
      <c r="Q405" s="97"/>
      <c r="R405" s="97"/>
      <c r="S405" s="97"/>
      <c r="T405" s="97"/>
      <c r="U405" s="97"/>
      <c r="V405" s="97"/>
      <c r="W405" s="97"/>
      <c r="X405" s="129"/>
      <c r="Y405" s="97"/>
      <c r="Z405" s="97"/>
      <c r="AA405" s="97"/>
      <c r="AB405" s="97"/>
      <c r="AC405" s="97"/>
      <c r="AD405" s="97"/>
      <c r="AE405" s="97"/>
      <c r="AF405" s="97"/>
      <c r="AG405" s="97"/>
      <c r="AH405" s="97"/>
      <c r="AI405" s="97"/>
      <c r="AJ405" s="97"/>
      <c r="AK405" s="97"/>
      <c r="AL405" s="97"/>
      <c r="AM405" s="97"/>
      <c r="AN405" s="97"/>
      <c r="AO405" s="97"/>
      <c r="AP405" s="97"/>
      <c r="AQ405" s="97"/>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c r="DF405" s="97"/>
      <c r="DG405" s="97"/>
      <c r="DH405" s="97"/>
      <c r="DI405" s="97"/>
      <c r="DJ405" s="97"/>
      <c r="DK405" s="97"/>
      <c r="DL405" s="97"/>
      <c r="DM405" s="97"/>
      <c r="DN405" s="97"/>
      <c r="DO405" s="97"/>
      <c r="DP405" s="97"/>
      <c r="DQ405" s="97"/>
      <c r="DR405" s="97"/>
      <c r="DS405" s="97"/>
      <c r="DT405" s="97"/>
      <c r="DU405" s="97"/>
      <c r="DV405" s="97"/>
      <c r="DW405" s="97"/>
      <c r="DX405" s="97"/>
      <c r="DY405" s="97"/>
      <c r="DZ405" s="97"/>
      <c r="EA405" s="97"/>
      <c r="EB405" s="97"/>
      <c r="EC405" s="97"/>
      <c r="ED405" s="97"/>
      <c r="EE405" s="97"/>
      <c r="EF405" s="97"/>
      <c r="EG405" s="97"/>
      <c r="EH405" s="97"/>
      <c r="EI405" s="97"/>
      <c r="EJ405" s="97"/>
      <c r="EK405" s="97"/>
      <c r="EL405" s="97"/>
      <c r="EM405" s="97"/>
      <c r="EN405" s="97"/>
      <c r="EO405" s="97"/>
      <c r="EP405" s="97"/>
      <c r="EQ405" s="97"/>
      <c r="ER405" s="97"/>
      <c r="ES405" s="97"/>
      <c r="ET405" s="97"/>
    </row>
    <row r="406" spans="1:150" ht="15.75" customHeight="1">
      <c r="A406" s="97"/>
      <c r="B406" s="97"/>
      <c r="C406" s="97"/>
      <c r="D406" s="97"/>
      <c r="E406" s="97"/>
      <c r="F406" s="97"/>
      <c r="G406" s="97"/>
      <c r="H406" s="129"/>
      <c r="I406" s="97"/>
      <c r="J406" s="97"/>
      <c r="K406" s="97"/>
      <c r="L406" s="97"/>
      <c r="M406" s="97"/>
      <c r="N406" s="97"/>
      <c r="O406" s="97"/>
      <c r="P406" s="97"/>
      <c r="Q406" s="97"/>
      <c r="R406" s="97"/>
      <c r="S406" s="97"/>
      <c r="T406" s="97"/>
      <c r="U406" s="97"/>
      <c r="V406" s="97"/>
      <c r="W406" s="97"/>
      <c r="X406" s="129"/>
      <c r="Y406" s="97"/>
      <c r="Z406" s="97"/>
      <c r="AA406" s="97"/>
      <c r="AB406" s="97"/>
      <c r="AC406" s="97"/>
      <c r="AD406" s="97"/>
      <c r="AE406" s="97"/>
      <c r="AF406" s="97"/>
      <c r="AG406" s="97"/>
      <c r="AH406" s="97"/>
      <c r="AI406" s="97"/>
      <c r="AJ406" s="97"/>
      <c r="AK406" s="97"/>
      <c r="AL406" s="97"/>
      <c r="AM406" s="97"/>
      <c r="AN406" s="97"/>
      <c r="AO406" s="97"/>
      <c r="AP406" s="97"/>
      <c r="AQ406" s="97"/>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c r="DF406" s="97"/>
      <c r="DG406" s="97"/>
      <c r="DH406" s="97"/>
      <c r="DI406" s="97"/>
      <c r="DJ406" s="97"/>
      <c r="DK406" s="97"/>
      <c r="DL406" s="97"/>
      <c r="DM406" s="97"/>
      <c r="DN406" s="97"/>
      <c r="DO406" s="97"/>
      <c r="DP406" s="97"/>
      <c r="DQ406" s="97"/>
      <c r="DR406" s="97"/>
      <c r="DS406" s="97"/>
      <c r="DT406" s="97"/>
      <c r="DU406" s="97"/>
      <c r="DV406" s="97"/>
      <c r="DW406" s="97"/>
      <c r="DX406" s="97"/>
      <c r="DY406" s="97"/>
      <c r="DZ406" s="97"/>
      <c r="EA406" s="97"/>
      <c r="EB406" s="97"/>
      <c r="EC406" s="97"/>
      <c r="ED406" s="97"/>
      <c r="EE406" s="97"/>
      <c r="EF406" s="97"/>
      <c r="EG406" s="97"/>
      <c r="EH406" s="97"/>
      <c r="EI406" s="97"/>
      <c r="EJ406" s="97"/>
      <c r="EK406" s="97"/>
      <c r="EL406" s="97"/>
      <c r="EM406" s="97"/>
      <c r="EN406" s="97"/>
      <c r="EO406" s="97"/>
      <c r="EP406" s="97"/>
      <c r="EQ406" s="97"/>
      <c r="ER406" s="97"/>
      <c r="ES406" s="97"/>
      <c r="ET406" s="97"/>
    </row>
    <row r="407" spans="1:150" ht="15.75" customHeight="1">
      <c r="A407" s="97"/>
      <c r="B407" s="97"/>
      <c r="C407" s="97"/>
      <c r="D407" s="97"/>
      <c r="E407" s="97"/>
      <c r="F407" s="97"/>
      <c r="G407" s="97"/>
      <c r="H407" s="129"/>
      <c r="I407" s="97"/>
      <c r="J407" s="97"/>
      <c r="K407" s="97"/>
      <c r="L407" s="97"/>
      <c r="M407" s="97"/>
      <c r="N407" s="97"/>
      <c r="O407" s="97"/>
      <c r="P407" s="97"/>
      <c r="Q407" s="97"/>
      <c r="R407" s="97"/>
      <c r="S407" s="97"/>
      <c r="T407" s="97"/>
      <c r="U407" s="97"/>
      <c r="V407" s="97"/>
      <c r="W407" s="97"/>
      <c r="X407" s="129"/>
      <c r="Y407" s="97"/>
      <c r="Z407" s="97"/>
      <c r="AA407" s="97"/>
      <c r="AB407" s="97"/>
      <c r="AC407" s="97"/>
      <c r="AD407" s="97"/>
      <c r="AE407" s="97"/>
      <c r="AF407" s="97"/>
      <c r="AG407" s="97"/>
      <c r="AH407" s="97"/>
      <c r="AI407" s="97"/>
      <c r="AJ407" s="97"/>
      <c r="AK407" s="97"/>
      <c r="AL407" s="97"/>
      <c r="AM407" s="97"/>
      <c r="AN407" s="97"/>
      <c r="AO407" s="97"/>
      <c r="AP407" s="97"/>
      <c r="AQ407" s="97"/>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c r="DF407" s="97"/>
      <c r="DG407" s="97"/>
      <c r="DH407" s="97"/>
      <c r="DI407" s="97"/>
      <c r="DJ407" s="97"/>
      <c r="DK407" s="97"/>
      <c r="DL407" s="97"/>
      <c r="DM407" s="97"/>
      <c r="DN407" s="97"/>
      <c r="DO407" s="97"/>
      <c r="DP407" s="97"/>
      <c r="DQ407" s="97"/>
      <c r="DR407" s="97"/>
      <c r="DS407" s="97"/>
      <c r="DT407" s="97"/>
      <c r="DU407" s="97"/>
      <c r="DV407" s="97"/>
      <c r="DW407" s="97"/>
      <c r="DX407" s="97"/>
      <c r="DY407" s="97"/>
      <c r="DZ407" s="97"/>
      <c r="EA407" s="97"/>
      <c r="EB407" s="97"/>
      <c r="EC407" s="97"/>
      <c r="ED407" s="97"/>
      <c r="EE407" s="97"/>
      <c r="EF407" s="97"/>
      <c r="EG407" s="97"/>
      <c r="EH407" s="97"/>
      <c r="EI407" s="97"/>
      <c r="EJ407" s="97"/>
      <c r="EK407" s="97"/>
      <c r="EL407" s="97"/>
      <c r="EM407" s="97"/>
      <c r="EN407" s="97"/>
      <c r="EO407" s="97"/>
      <c r="EP407" s="97"/>
      <c r="EQ407" s="97"/>
      <c r="ER407" s="97"/>
      <c r="ES407" s="97"/>
      <c r="ET407" s="97"/>
    </row>
    <row r="408" spans="1:150" ht="15.75" customHeight="1">
      <c r="A408" s="97"/>
      <c r="B408" s="97"/>
      <c r="C408" s="97"/>
      <c r="D408" s="97"/>
      <c r="E408" s="97"/>
      <c r="F408" s="97"/>
      <c r="G408" s="97"/>
      <c r="H408" s="129"/>
      <c r="I408" s="97"/>
      <c r="J408" s="97"/>
      <c r="K408" s="97"/>
      <c r="L408" s="97"/>
      <c r="M408" s="97"/>
      <c r="N408" s="97"/>
      <c r="O408" s="97"/>
      <c r="P408" s="97"/>
      <c r="Q408" s="97"/>
      <c r="R408" s="97"/>
      <c r="S408" s="97"/>
      <c r="T408" s="97"/>
      <c r="U408" s="97"/>
      <c r="V408" s="97"/>
      <c r="W408" s="97"/>
      <c r="X408" s="129"/>
      <c r="Y408" s="97"/>
      <c r="Z408" s="97"/>
      <c r="AA408" s="97"/>
      <c r="AB408" s="97"/>
      <c r="AC408" s="97"/>
      <c r="AD408" s="97"/>
      <c r="AE408" s="97"/>
      <c r="AF408" s="97"/>
      <c r="AG408" s="97"/>
      <c r="AH408" s="97"/>
      <c r="AI408" s="97"/>
      <c r="AJ408" s="97"/>
      <c r="AK408" s="97"/>
      <c r="AL408" s="97"/>
      <c r="AM408" s="97"/>
      <c r="AN408" s="97"/>
      <c r="AO408" s="97"/>
      <c r="AP408" s="97"/>
      <c r="AQ408" s="97"/>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c r="DF408" s="97"/>
      <c r="DG408" s="97"/>
      <c r="DH408" s="97"/>
      <c r="DI408" s="97"/>
      <c r="DJ408" s="97"/>
      <c r="DK408" s="97"/>
      <c r="DL408" s="97"/>
      <c r="DM408" s="97"/>
      <c r="DN408" s="97"/>
      <c r="DO408" s="97"/>
      <c r="DP408" s="97"/>
      <c r="DQ408" s="97"/>
      <c r="DR408" s="97"/>
      <c r="DS408" s="97"/>
      <c r="DT408" s="97"/>
      <c r="DU408" s="97"/>
      <c r="DV408" s="97"/>
      <c r="DW408" s="97"/>
      <c r="DX408" s="97"/>
      <c r="DY408" s="97"/>
      <c r="DZ408" s="97"/>
      <c r="EA408" s="97"/>
      <c r="EB408" s="97"/>
      <c r="EC408" s="97"/>
      <c r="ED408" s="97"/>
      <c r="EE408" s="97"/>
      <c r="EF408" s="97"/>
      <c r="EG408" s="97"/>
      <c r="EH408" s="97"/>
      <c r="EI408" s="97"/>
      <c r="EJ408" s="97"/>
      <c r="EK408" s="97"/>
      <c r="EL408" s="97"/>
      <c r="EM408" s="97"/>
      <c r="EN408" s="97"/>
      <c r="EO408" s="97"/>
      <c r="EP408" s="97"/>
      <c r="EQ408" s="97"/>
      <c r="ER408" s="97"/>
      <c r="ES408" s="97"/>
      <c r="ET408" s="97"/>
    </row>
    <row r="409" spans="1:150" ht="15.75" customHeight="1">
      <c r="A409" s="97"/>
      <c r="B409" s="97"/>
      <c r="C409" s="97"/>
      <c r="D409" s="97"/>
      <c r="E409" s="97"/>
      <c r="F409" s="97"/>
      <c r="G409" s="97"/>
      <c r="H409" s="129"/>
      <c r="I409" s="97"/>
      <c r="J409" s="97"/>
      <c r="K409" s="97"/>
      <c r="L409" s="97"/>
      <c r="M409" s="97"/>
      <c r="N409" s="97"/>
      <c r="O409" s="97"/>
      <c r="P409" s="97"/>
      <c r="Q409" s="97"/>
      <c r="R409" s="97"/>
      <c r="S409" s="97"/>
      <c r="T409" s="97"/>
      <c r="U409" s="97"/>
      <c r="V409" s="97"/>
      <c r="W409" s="97"/>
      <c r="X409" s="129"/>
      <c r="Y409" s="97"/>
      <c r="Z409" s="97"/>
      <c r="AA409" s="97"/>
      <c r="AB409" s="97"/>
      <c r="AC409" s="97"/>
      <c r="AD409" s="97"/>
      <c r="AE409" s="97"/>
      <c r="AF409" s="97"/>
      <c r="AG409" s="97"/>
      <c r="AH409" s="97"/>
      <c r="AI409" s="97"/>
      <c r="AJ409" s="97"/>
      <c r="AK409" s="97"/>
      <c r="AL409" s="97"/>
      <c r="AM409" s="97"/>
      <c r="AN409" s="97"/>
      <c r="AO409" s="97"/>
      <c r="AP409" s="97"/>
      <c r="AQ409" s="97"/>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c r="DF409" s="97"/>
      <c r="DG409" s="97"/>
      <c r="DH409" s="97"/>
      <c r="DI409" s="97"/>
      <c r="DJ409" s="97"/>
      <c r="DK409" s="97"/>
      <c r="DL409" s="97"/>
      <c r="DM409" s="97"/>
      <c r="DN409" s="97"/>
      <c r="DO409" s="97"/>
      <c r="DP409" s="97"/>
      <c r="DQ409" s="97"/>
      <c r="DR409" s="97"/>
      <c r="DS409" s="97"/>
      <c r="DT409" s="97"/>
      <c r="DU409" s="97"/>
      <c r="DV409" s="97"/>
      <c r="DW409" s="97"/>
      <c r="DX409" s="97"/>
      <c r="DY409" s="97"/>
      <c r="DZ409" s="97"/>
      <c r="EA409" s="97"/>
      <c r="EB409" s="97"/>
      <c r="EC409" s="97"/>
      <c r="ED409" s="97"/>
      <c r="EE409" s="97"/>
      <c r="EF409" s="97"/>
      <c r="EG409" s="97"/>
      <c r="EH409" s="97"/>
      <c r="EI409" s="97"/>
      <c r="EJ409" s="97"/>
      <c r="EK409" s="97"/>
      <c r="EL409" s="97"/>
      <c r="EM409" s="97"/>
      <c r="EN409" s="97"/>
      <c r="EO409" s="97"/>
      <c r="EP409" s="97"/>
      <c r="EQ409" s="97"/>
      <c r="ER409" s="97"/>
      <c r="ES409" s="97"/>
      <c r="ET409" s="97"/>
    </row>
    <row r="410" spans="1:150" ht="15.75" customHeight="1">
      <c r="A410" s="97"/>
      <c r="B410" s="97"/>
      <c r="C410" s="97"/>
      <c r="D410" s="97"/>
      <c r="E410" s="97"/>
      <c r="F410" s="97"/>
      <c r="G410" s="97"/>
      <c r="H410" s="129"/>
      <c r="I410" s="97"/>
      <c r="J410" s="97"/>
      <c r="K410" s="97"/>
      <c r="L410" s="97"/>
      <c r="M410" s="97"/>
      <c r="N410" s="97"/>
      <c r="O410" s="97"/>
      <c r="P410" s="97"/>
      <c r="Q410" s="97"/>
      <c r="R410" s="97"/>
      <c r="S410" s="97"/>
      <c r="T410" s="97"/>
      <c r="U410" s="97"/>
      <c r="V410" s="97"/>
      <c r="W410" s="97"/>
      <c r="X410" s="129"/>
      <c r="Y410" s="97"/>
      <c r="Z410" s="97"/>
      <c r="AA410" s="97"/>
      <c r="AB410" s="97"/>
      <c r="AC410" s="97"/>
      <c r="AD410" s="97"/>
      <c r="AE410" s="97"/>
      <c r="AF410" s="97"/>
      <c r="AG410" s="97"/>
      <c r="AH410" s="97"/>
      <c r="AI410" s="97"/>
      <c r="AJ410" s="97"/>
      <c r="AK410" s="97"/>
      <c r="AL410" s="97"/>
      <c r="AM410" s="97"/>
      <c r="AN410" s="97"/>
      <c r="AO410" s="97"/>
      <c r="AP410" s="97"/>
      <c r="AQ410" s="97"/>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c r="DF410" s="97"/>
      <c r="DG410" s="97"/>
      <c r="DH410" s="97"/>
      <c r="DI410" s="97"/>
      <c r="DJ410" s="97"/>
      <c r="DK410" s="97"/>
      <c r="DL410" s="97"/>
      <c r="DM410" s="97"/>
      <c r="DN410" s="97"/>
      <c r="DO410" s="97"/>
      <c r="DP410" s="97"/>
      <c r="DQ410" s="97"/>
      <c r="DR410" s="97"/>
      <c r="DS410" s="97"/>
      <c r="DT410" s="97"/>
      <c r="DU410" s="97"/>
      <c r="DV410" s="97"/>
      <c r="DW410" s="97"/>
      <c r="DX410" s="97"/>
      <c r="DY410" s="97"/>
      <c r="DZ410" s="97"/>
      <c r="EA410" s="97"/>
      <c r="EB410" s="97"/>
      <c r="EC410" s="97"/>
      <c r="ED410" s="97"/>
      <c r="EE410" s="97"/>
      <c r="EF410" s="97"/>
      <c r="EG410" s="97"/>
      <c r="EH410" s="97"/>
      <c r="EI410" s="97"/>
      <c r="EJ410" s="97"/>
      <c r="EK410" s="97"/>
      <c r="EL410" s="97"/>
      <c r="EM410" s="97"/>
      <c r="EN410" s="97"/>
      <c r="EO410" s="97"/>
      <c r="EP410" s="97"/>
      <c r="EQ410" s="97"/>
      <c r="ER410" s="97"/>
      <c r="ES410" s="97"/>
      <c r="ET410" s="97"/>
    </row>
    <row r="411" spans="1:150" ht="15.75" customHeight="1">
      <c r="A411" s="97"/>
      <c r="B411" s="97"/>
      <c r="C411" s="97"/>
      <c r="D411" s="97"/>
      <c r="E411" s="97"/>
      <c r="F411" s="97"/>
      <c r="G411" s="97"/>
      <c r="H411" s="129"/>
      <c r="I411" s="97"/>
      <c r="J411" s="97"/>
      <c r="K411" s="97"/>
      <c r="L411" s="97"/>
      <c r="M411" s="97"/>
      <c r="N411" s="97"/>
      <c r="O411" s="97"/>
      <c r="P411" s="97"/>
      <c r="Q411" s="97"/>
      <c r="R411" s="97"/>
      <c r="S411" s="97"/>
      <c r="T411" s="97"/>
      <c r="U411" s="97"/>
      <c r="V411" s="97"/>
      <c r="W411" s="97"/>
      <c r="X411" s="129"/>
      <c r="Y411" s="97"/>
      <c r="Z411" s="97"/>
      <c r="AA411" s="97"/>
      <c r="AB411" s="97"/>
      <c r="AC411" s="97"/>
      <c r="AD411" s="97"/>
      <c r="AE411" s="97"/>
      <c r="AF411" s="97"/>
      <c r="AG411" s="97"/>
      <c r="AH411" s="97"/>
      <c r="AI411" s="97"/>
      <c r="AJ411" s="97"/>
      <c r="AK411" s="97"/>
      <c r="AL411" s="97"/>
      <c r="AM411" s="97"/>
      <c r="AN411" s="97"/>
      <c r="AO411" s="97"/>
      <c r="AP411" s="97"/>
      <c r="AQ411" s="97"/>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c r="DF411" s="97"/>
      <c r="DG411" s="97"/>
      <c r="DH411" s="97"/>
      <c r="DI411" s="97"/>
      <c r="DJ411" s="97"/>
      <c r="DK411" s="97"/>
      <c r="DL411" s="97"/>
      <c r="DM411" s="97"/>
      <c r="DN411" s="97"/>
      <c r="DO411" s="97"/>
      <c r="DP411" s="97"/>
      <c r="DQ411" s="97"/>
      <c r="DR411" s="97"/>
      <c r="DS411" s="97"/>
      <c r="DT411" s="97"/>
      <c r="DU411" s="97"/>
      <c r="DV411" s="97"/>
      <c r="DW411" s="97"/>
      <c r="DX411" s="97"/>
      <c r="DY411" s="97"/>
      <c r="DZ411" s="97"/>
      <c r="EA411" s="97"/>
      <c r="EB411" s="97"/>
      <c r="EC411" s="97"/>
      <c r="ED411" s="97"/>
      <c r="EE411" s="97"/>
      <c r="EF411" s="97"/>
      <c r="EG411" s="97"/>
      <c r="EH411" s="97"/>
      <c r="EI411" s="97"/>
      <c r="EJ411" s="97"/>
      <c r="EK411" s="97"/>
      <c r="EL411" s="97"/>
      <c r="EM411" s="97"/>
      <c r="EN411" s="97"/>
      <c r="EO411" s="97"/>
      <c r="EP411" s="97"/>
      <c r="EQ411" s="97"/>
      <c r="ER411" s="97"/>
      <c r="ES411" s="97"/>
      <c r="ET411" s="97"/>
    </row>
    <row r="412" spans="1:150" ht="15.75" customHeight="1">
      <c r="A412" s="97"/>
      <c r="B412" s="97"/>
      <c r="C412" s="97"/>
      <c r="D412" s="97"/>
      <c r="E412" s="97"/>
      <c r="F412" s="97"/>
      <c r="G412" s="97"/>
      <c r="H412" s="129"/>
      <c r="I412" s="97"/>
      <c r="J412" s="97"/>
      <c r="K412" s="97"/>
      <c r="L412" s="97"/>
      <c r="M412" s="97"/>
      <c r="N412" s="97"/>
      <c r="O412" s="97"/>
      <c r="P412" s="97"/>
      <c r="Q412" s="97"/>
      <c r="R412" s="97"/>
      <c r="S412" s="97"/>
      <c r="T412" s="97"/>
      <c r="U412" s="97"/>
      <c r="V412" s="97"/>
      <c r="W412" s="97"/>
      <c r="X412" s="129"/>
      <c r="Y412" s="97"/>
      <c r="Z412" s="97"/>
      <c r="AA412" s="97"/>
      <c r="AB412" s="97"/>
      <c r="AC412" s="97"/>
      <c r="AD412" s="97"/>
      <c r="AE412" s="97"/>
      <c r="AF412" s="97"/>
      <c r="AG412" s="97"/>
      <c r="AH412" s="97"/>
      <c r="AI412" s="97"/>
      <c r="AJ412" s="97"/>
      <c r="AK412" s="97"/>
      <c r="AL412" s="97"/>
      <c r="AM412" s="97"/>
      <c r="AN412" s="97"/>
      <c r="AO412" s="97"/>
      <c r="AP412" s="97"/>
      <c r="AQ412" s="97"/>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c r="DF412" s="97"/>
      <c r="DG412" s="97"/>
      <c r="DH412" s="97"/>
      <c r="DI412" s="97"/>
      <c r="DJ412" s="97"/>
      <c r="DK412" s="97"/>
      <c r="DL412" s="97"/>
      <c r="DM412" s="97"/>
      <c r="DN412" s="97"/>
      <c r="DO412" s="97"/>
      <c r="DP412" s="97"/>
      <c r="DQ412" s="97"/>
      <c r="DR412" s="97"/>
      <c r="DS412" s="97"/>
      <c r="DT412" s="97"/>
      <c r="DU412" s="97"/>
      <c r="DV412" s="97"/>
      <c r="DW412" s="97"/>
      <c r="DX412" s="97"/>
      <c r="DY412" s="97"/>
      <c r="DZ412" s="97"/>
      <c r="EA412" s="97"/>
      <c r="EB412" s="97"/>
      <c r="EC412" s="97"/>
      <c r="ED412" s="97"/>
      <c r="EE412" s="97"/>
      <c r="EF412" s="97"/>
      <c r="EG412" s="97"/>
      <c r="EH412" s="97"/>
      <c r="EI412" s="97"/>
      <c r="EJ412" s="97"/>
      <c r="EK412" s="97"/>
      <c r="EL412" s="97"/>
      <c r="EM412" s="97"/>
      <c r="EN412" s="97"/>
      <c r="EO412" s="97"/>
      <c r="EP412" s="97"/>
      <c r="EQ412" s="97"/>
      <c r="ER412" s="97"/>
      <c r="ES412" s="97"/>
      <c r="ET412" s="97"/>
    </row>
    <row r="413" spans="1:150" ht="15.75" customHeight="1">
      <c r="A413" s="97"/>
      <c r="B413" s="97"/>
      <c r="C413" s="97"/>
      <c r="D413" s="97"/>
      <c r="E413" s="97"/>
      <c r="F413" s="97"/>
      <c r="G413" s="97"/>
      <c r="H413" s="129"/>
      <c r="I413" s="97"/>
      <c r="J413" s="97"/>
      <c r="K413" s="97"/>
      <c r="L413" s="97"/>
      <c r="M413" s="97"/>
      <c r="N413" s="97"/>
      <c r="O413" s="97"/>
      <c r="P413" s="97"/>
      <c r="Q413" s="97"/>
      <c r="R413" s="97"/>
      <c r="S413" s="97"/>
      <c r="T413" s="97"/>
      <c r="U413" s="97"/>
      <c r="V413" s="97"/>
      <c r="W413" s="97"/>
      <c r="X413" s="129"/>
      <c r="Y413" s="97"/>
      <c r="Z413" s="97"/>
      <c r="AA413" s="97"/>
      <c r="AB413" s="97"/>
      <c r="AC413" s="97"/>
      <c r="AD413" s="97"/>
      <c r="AE413" s="97"/>
      <c r="AF413" s="97"/>
      <c r="AG413" s="97"/>
      <c r="AH413" s="97"/>
      <c r="AI413" s="97"/>
      <c r="AJ413" s="97"/>
      <c r="AK413" s="97"/>
      <c r="AL413" s="97"/>
      <c r="AM413" s="97"/>
      <c r="AN413" s="97"/>
      <c r="AO413" s="97"/>
      <c r="AP413" s="97"/>
      <c r="AQ413" s="97"/>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c r="DF413" s="97"/>
      <c r="DG413" s="97"/>
      <c r="DH413" s="97"/>
      <c r="DI413" s="97"/>
      <c r="DJ413" s="97"/>
      <c r="DK413" s="97"/>
      <c r="DL413" s="97"/>
      <c r="DM413" s="97"/>
      <c r="DN413" s="97"/>
      <c r="DO413" s="97"/>
      <c r="DP413" s="97"/>
      <c r="DQ413" s="97"/>
      <c r="DR413" s="97"/>
      <c r="DS413" s="97"/>
      <c r="DT413" s="97"/>
      <c r="DU413" s="97"/>
      <c r="DV413" s="97"/>
      <c r="DW413" s="97"/>
      <c r="DX413" s="97"/>
      <c r="DY413" s="97"/>
      <c r="DZ413" s="97"/>
      <c r="EA413" s="97"/>
      <c r="EB413" s="97"/>
      <c r="EC413" s="97"/>
      <c r="ED413" s="97"/>
      <c r="EE413" s="97"/>
      <c r="EF413" s="97"/>
      <c r="EG413" s="97"/>
      <c r="EH413" s="97"/>
      <c r="EI413" s="97"/>
      <c r="EJ413" s="97"/>
      <c r="EK413" s="97"/>
      <c r="EL413" s="97"/>
      <c r="EM413" s="97"/>
      <c r="EN413" s="97"/>
      <c r="EO413" s="97"/>
      <c r="EP413" s="97"/>
      <c r="EQ413" s="97"/>
      <c r="ER413" s="97"/>
      <c r="ES413" s="97"/>
      <c r="ET413" s="97"/>
    </row>
    <row r="414" spans="1:150" ht="15.75" customHeight="1">
      <c r="A414" s="97"/>
      <c r="B414" s="97"/>
      <c r="C414" s="97"/>
      <c r="D414" s="97"/>
      <c r="E414" s="97"/>
      <c r="F414" s="97"/>
      <c r="G414" s="97"/>
      <c r="H414" s="129"/>
      <c r="I414" s="97"/>
      <c r="J414" s="97"/>
      <c r="K414" s="97"/>
      <c r="L414" s="97"/>
      <c r="M414" s="97"/>
      <c r="N414" s="97"/>
      <c r="O414" s="97"/>
      <c r="P414" s="97"/>
      <c r="Q414" s="97"/>
      <c r="R414" s="97"/>
      <c r="S414" s="97"/>
      <c r="T414" s="97"/>
      <c r="U414" s="97"/>
      <c r="V414" s="97"/>
      <c r="W414" s="97"/>
      <c r="X414" s="129"/>
      <c r="Y414" s="97"/>
      <c r="Z414" s="97"/>
      <c r="AA414" s="97"/>
      <c r="AB414" s="97"/>
      <c r="AC414" s="97"/>
      <c r="AD414" s="97"/>
      <c r="AE414" s="97"/>
      <c r="AF414" s="97"/>
      <c r="AG414" s="97"/>
      <c r="AH414" s="97"/>
      <c r="AI414" s="97"/>
      <c r="AJ414" s="97"/>
      <c r="AK414" s="97"/>
      <c r="AL414" s="97"/>
      <c r="AM414" s="97"/>
      <c r="AN414" s="97"/>
      <c r="AO414" s="97"/>
      <c r="AP414" s="97"/>
      <c r="AQ414" s="97"/>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c r="DF414" s="97"/>
      <c r="DG414" s="97"/>
      <c r="DH414" s="97"/>
      <c r="DI414" s="97"/>
      <c r="DJ414" s="97"/>
      <c r="DK414" s="97"/>
      <c r="DL414" s="97"/>
      <c r="DM414" s="97"/>
      <c r="DN414" s="97"/>
      <c r="DO414" s="97"/>
      <c r="DP414" s="97"/>
      <c r="DQ414" s="97"/>
      <c r="DR414" s="97"/>
      <c r="DS414" s="97"/>
      <c r="DT414" s="97"/>
      <c r="DU414" s="97"/>
      <c r="DV414" s="97"/>
      <c r="DW414" s="97"/>
      <c r="DX414" s="97"/>
      <c r="DY414" s="97"/>
      <c r="DZ414" s="97"/>
      <c r="EA414" s="97"/>
      <c r="EB414" s="97"/>
      <c r="EC414" s="97"/>
      <c r="ED414" s="97"/>
      <c r="EE414" s="97"/>
      <c r="EF414" s="97"/>
      <c r="EG414" s="97"/>
      <c r="EH414" s="97"/>
      <c r="EI414" s="97"/>
      <c r="EJ414" s="97"/>
      <c r="EK414" s="97"/>
      <c r="EL414" s="97"/>
      <c r="EM414" s="97"/>
      <c r="EN414" s="97"/>
      <c r="EO414" s="97"/>
      <c r="EP414" s="97"/>
      <c r="EQ414" s="97"/>
      <c r="ER414" s="97"/>
      <c r="ES414" s="97"/>
      <c r="ET414" s="97"/>
    </row>
    <row r="415" spans="1:150" ht="15.75" customHeight="1">
      <c r="A415" s="97"/>
      <c r="B415" s="97"/>
      <c r="C415" s="97"/>
      <c r="D415" s="97"/>
      <c r="E415" s="97"/>
      <c r="F415" s="97"/>
      <c r="G415" s="97"/>
      <c r="H415" s="129"/>
      <c r="I415" s="97"/>
      <c r="J415" s="97"/>
      <c r="K415" s="97"/>
      <c r="L415" s="97"/>
      <c r="M415" s="97"/>
      <c r="N415" s="97"/>
      <c r="O415" s="97"/>
      <c r="P415" s="97"/>
      <c r="Q415" s="97"/>
      <c r="R415" s="97"/>
      <c r="S415" s="97"/>
      <c r="T415" s="97"/>
      <c r="U415" s="97"/>
      <c r="V415" s="97"/>
      <c r="W415" s="97"/>
      <c r="X415" s="129"/>
      <c r="Y415" s="97"/>
      <c r="Z415" s="97"/>
      <c r="AA415" s="97"/>
      <c r="AB415" s="97"/>
      <c r="AC415" s="97"/>
      <c r="AD415" s="97"/>
      <c r="AE415" s="97"/>
      <c r="AF415" s="97"/>
      <c r="AG415" s="97"/>
      <c r="AH415" s="97"/>
      <c r="AI415" s="97"/>
      <c r="AJ415" s="97"/>
      <c r="AK415" s="97"/>
      <c r="AL415" s="97"/>
      <c r="AM415" s="97"/>
      <c r="AN415" s="97"/>
      <c r="AO415" s="97"/>
      <c r="AP415" s="97"/>
      <c r="AQ415" s="97"/>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c r="DF415" s="97"/>
      <c r="DG415" s="97"/>
      <c r="DH415" s="97"/>
      <c r="DI415" s="97"/>
      <c r="DJ415" s="97"/>
      <c r="DK415" s="97"/>
      <c r="DL415" s="97"/>
      <c r="DM415" s="97"/>
      <c r="DN415" s="97"/>
      <c r="DO415" s="97"/>
      <c r="DP415" s="97"/>
      <c r="DQ415" s="97"/>
      <c r="DR415" s="97"/>
      <c r="DS415" s="97"/>
      <c r="DT415" s="97"/>
      <c r="DU415" s="97"/>
      <c r="DV415" s="97"/>
      <c r="DW415" s="97"/>
      <c r="DX415" s="97"/>
      <c r="DY415" s="97"/>
      <c r="DZ415" s="97"/>
      <c r="EA415" s="97"/>
      <c r="EB415" s="97"/>
      <c r="EC415" s="97"/>
      <c r="ED415" s="97"/>
      <c r="EE415" s="97"/>
      <c r="EF415" s="97"/>
      <c r="EG415" s="97"/>
      <c r="EH415" s="97"/>
      <c r="EI415" s="97"/>
      <c r="EJ415" s="97"/>
      <c r="EK415" s="97"/>
      <c r="EL415" s="97"/>
      <c r="EM415" s="97"/>
      <c r="EN415" s="97"/>
      <c r="EO415" s="97"/>
      <c r="EP415" s="97"/>
      <c r="EQ415" s="97"/>
      <c r="ER415" s="97"/>
      <c r="ES415" s="97"/>
      <c r="ET415" s="97"/>
    </row>
    <row r="416" spans="1:150" ht="15.75" customHeight="1">
      <c r="A416" s="97"/>
      <c r="B416" s="97"/>
      <c r="C416" s="97"/>
      <c r="D416" s="97"/>
      <c r="E416" s="97"/>
      <c r="F416" s="97"/>
      <c r="G416" s="97"/>
      <c r="H416" s="129"/>
      <c r="I416" s="97"/>
      <c r="J416" s="97"/>
      <c r="K416" s="97"/>
      <c r="L416" s="97"/>
      <c r="M416" s="97"/>
      <c r="N416" s="97"/>
      <c r="O416" s="97"/>
      <c r="P416" s="97"/>
      <c r="Q416" s="97"/>
      <c r="R416" s="97"/>
      <c r="S416" s="97"/>
      <c r="T416" s="97"/>
      <c r="U416" s="97"/>
      <c r="V416" s="97"/>
      <c r="W416" s="97"/>
      <c r="X416" s="129"/>
      <c r="Y416" s="97"/>
      <c r="Z416" s="97"/>
      <c r="AA416" s="97"/>
      <c r="AB416" s="97"/>
      <c r="AC416" s="97"/>
      <c r="AD416" s="97"/>
      <c r="AE416" s="97"/>
      <c r="AF416" s="97"/>
      <c r="AG416" s="97"/>
      <c r="AH416" s="97"/>
      <c r="AI416" s="97"/>
      <c r="AJ416" s="97"/>
      <c r="AK416" s="97"/>
      <c r="AL416" s="97"/>
      <c r="AM416" s="97"/>
      <c r="AN416" s="97"/>
      <c r="AO416" s="97"/>
      <c r="AP416" s="97"/>
      <c r="AQ416" s="97"/>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c r="DF416" s="97"/>
      <c r="DG416" s="97"/>
      <c r="DH416" s="97"/>
      <c r="DI416" s="97"/>
      <c r="DJ416" s="97"/>
      <c r="DK416" s="97"/>
      <c r="DL416" s="97"/>
      <c r="DM416" s="97"/>
      <c r="DN416" s="97"/>
      <c r="DO416" s="97"/>
      <c r="DP416" s="97"/>
      <c r="DQ416" s="97"/>
      <c r="DR416" s="97"/>
      <c r="DS416" s="97"/>
      <c r="DT416" s="97"/>
      <c r="DU416" s="97"/>
      <c r="DV416" s="97"/>
      <c r="DW416" s="97"/>
      <c r="DX416" s="97"/>
      <c r="DY416" s="97"/>
      <c r="DZ416" s="97"/>
      <c r="EA416" s="97"/>
      <c r="EB416" s="97"/>
      <c r="EC416" s="97"/>
      <c r="ED416" s="97"/>
      <c r="EE416" s="97"/>
      <c r="EF416" s="97"/>
      <c r="EG416" s="97"/>
      <c r="EH416" s="97"/>
      <c r="EI416" s="97"/>
      <c r="EJ416" s="97"/>
      <c r="EK416" s="97"/>
      <c r="EL416" s="97"/>
      <c r="EM416" s="97"/>
      <c r="EN416" s="97"/>
      <c r="EO416" s="97"/>
      <c r="EP416" s="97"/>
      <c r="EQ416" s="97"/>
      <c r="ER416" s="97"/>
      <c r="ES416" s="97"/>
      <c r="ET416" s="97"/>
    </row>
    <row r="417" spans="1:150" ht="15.75" customHeight="1">
      <c r="A417" s="97"/>
      <c r="B417" s="97"/>
      <c r="C417" s="97"/>
      <c r="D417" s="97"/>
      <c r="E417" s="97"/>
      <c r="F417" s="97"/>
      <c r="G417" s="97"/>
      <c r="H417" s="129"/>
      <c r="I417" s="97"/>
      <c r="J417" s="97"/>
      <c r="K417" s="97"/>
      <c r="L417" s="97"/>
      <c r="M417" s="97"/>
      <c r="N417" s="97"/>
      <c r="O417" s="97"/>
      <c r="P417" s="97"/>
      <c r="Q417" s="97"/>
      <c r="R417" s="97"/>
      <c r="S417" s="97"/>
      <c r="T417" s="97"/>
      <c r="U417" s="97"/>
      <c r="V417" s="97"/>
      <c r="W417" s="97"/>
      <c r="X417" s="129"/>
      <c r="Y417" s="97"/>
      <c r="Z417" s="97"/>
      <c r="AA417" s="97"/>
      <c r="AB417" s="97"/>
      <c r="AC417" s="97"/>
      <c r="AD417" s="97"/>
      <c r="AE417" s="97"/>
      <c r="AF417" s="97"/>
      <c r="AG417" s="97"/>
      <c r="AH417" s="97"/>
      <c r="AI417" s="97"/>
      <c r="AJ417" s="97"/>
      <c r="AK417" s="97"/>
      <c r="AL417" s="97"/>
      <c r="AM417" s="97"/>
      <c r="AN417" s="97"/>
      <c r="AO417" s="97"/>
      <c r="AP417" s="97"/>
      <c r="AQ417" s="97"/>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c r="DF417" s="97"/>
      <c r="DG417" s="97"/>
      <c r="DH417" s="97"/>
      <c r="DI417" s="97"/>
      <c r="DJ417" s="97"/>
      <c r="DK417" s="97"/>
      <c r="DL417" s="97"/>
      <c r="DM417" s="97"/>
      <c r="DN417" s="97"/>
      <c r="DO417" s="97"/>
      <c r="DP417" s="97"/>
      <c r="DQ417" s="97"/>
      <c r="DR417" s="97"/>
      <c r="DS417" s="97"/>
      <c r="DT417" s="97"/>
      <c r="DU417" s="97"/>
      <c r="DV417" s="97"/>
      <c r="DW417" s="97"/>
      <c r="DX417" s="97"/>
      <c r="DY417" s="97"/>
      <c r="DZ417" s="97"/>
      <c r="EA417" s="97"/>
      <c r="EB417" s="97"/>
      <c r="EC417" s="97"/>
      <c r="ED417" s="97"/>
      <c r="EE417" s="97"/>
      <c r="EF417" s="97"/>
      <c r="EG417" s="97"/>
      <c r="EH417" s="97"/>
      <c r="EI417" s="97"/>
      <c r="EJ417" s="97"/>
      <c r="EK417" s="97"/>
      <c r="EL417" s="97"/>
      <c r="EM417" s="97"/>
      <c r="EN417" s="97"/>
      <c r="EO417" s="97"/>
      <c r="EP417" s="97"/>
      <c r="EQ417" s="97"/>
      <c r="ER417" s="97"/>
      <c r="ES417" s="97"/>
      <c r="ET417" s="97"/>
    </row>
    <row r="418" spans="1:150" ht="15.75" customHeight="1">
      <c r="A418" s="97"/>
      <c r="B418" s="97"/>
      <c r="C418" s="97"/>
      <c r="D418" s="97"/>
      <c r="E418" s="97"/>
      <c r="F418" s="97"/>
      <c r="G418" s="97"/>
      <c r="H418" s="129"/>
      <c r="I418" s="97"/>
      <c r="J418" s="97"/>
      <c r="K418" s="97"/>
      <c r="L418" s="97"/>
      <c r="M418" s="97"/>
      <c r="N418" s="97"/>
      <c r="O418" s="97"/>
      <c r="P418" s="97"/>
      <c r="Q418" s="97"/>
      <c r="R418" s="97"/>
      <c r="S418" s="97"/>
      <c r="T418" s="97"/>
      <c r="U418" s="97"/>
      <c r="V418" s="97"/>
      <c r="W418" s="97"/>
      <c r="X418" s="129"/>
      <c r="Y418" s="97"/>
      <c r="Z418" s="97"/>
      <c r="AA418" s="97"/>
      <c r="AB418" s="97"/>
      <c r="AC418" s="97"/>
      <c r="AD418" s="97"/>
      <c r="AE418" s="97"/>
      <c r="AF418" s="97"/>
      <c r="AG418" s="97"/>
      <c r="AH418" s="97"/>
      <c r="AI418" s="97"/>
      <c r="AJ418" s="97"/>
      <c r="AK418" s="97"/>
      <c r="AL418" s="97"/>
      <c r="AM418" s="97"/>
      <c r="AN418" s="97"/>
      <c r="AO418" s="97"/>
      <c r="AP418" s="97"/>
      <c r="AQ418" s="97"/>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c r="DF418" s="97"/>
      <c r="DG418" s="97"/>
      <c r="DH418" s="97"/>
      <c r="DI418" s="97"/>
      <c r="DJ418" s="97"/>
      <c r="DK418" s="97"/>
      <c r="DL418" s="97"/>
      <c r="DM418" s="97"/>
      <c r="DN418" s="97"/>
      <c r="DO418" s="97"/>
      <c r="DP418" s="97"/>
      <c r="DQ418" s="97"/>
      <c r="DR418" s="97"/>
      <c r="DS418" s="97"/>
      <c r="DT418" s="97"/>
      <c r="DU418" s="97"/>
      <c r="DV418" s="97"/>
      <c r="DW418" s="97"/>
      <c r="DX418" s="97"/>
      <c r="DY418" s="97"/>
      <c r="DZ418" s="97"/>
      <c r="EA418" s="97"/>
      <c r="EB418" s="97"/>
      <c r="EC418" s="97"/>
      <c r="ED418" s="97"/>
      <c r="EE418" s="97"/>
      <c r="EF418" s="97"/>
      <c r="EG418" s="97"/>
      <c r="EH418" s="97"/>
      <c r="EI418" s="97"/>
      <c r="EJ418" s="97"/>
      <c r="EK418" s="97"/>
      <c r="EL418" s="97"/>
      <c r="EM418" s="97"/>
      <c r="EN418" s="97"/>
      <c r="EO418" s="97"/>
      <c r="EP418" s="97"/>
      <c r="EQ418" s="97"/>
      <c r="ER418" s="97"/>
      <c r="ES418" s="97"/>
      <c r="ET418" s="97"/>
    </row>
    <row r="419" spans="1:150" ht="15.75" customHeight="1">
      <c r="A419" s="97"/>
      <c r="B419" s="97"/>
      <c r="C419" s="97"/>
      <c r="D419" s="97"/>
      <c r="E419" s="97"/>
      <c r="F419" s="97"/>
      <c r="G419" s="97"/>
      <c r="H419" s="129"/>
      <c r="I419" s="97"/>
      <c r="J419" s="97"/>
      <c r="K419" s="97"/>
      <c r="L419" s="97"/>
      <c r="M419" s="97"/>
      <c r="N419" s="97"/>
      <c r="O419" s="97"/>
      <c r="P419" s="97"/>
      <c r="Q419" s="97"/>
      <c r="R419" s="97"/>
      <c r="S419" s="97"/>
      <c r="T419" s="97"/>
      <c r="U419" s="97"/>
      <c r="V419" s="97"/>
      <c r="W419" s="97"/>
      <c r="X419" s="129"/>
      <c r="Y419" s="97"/>
      <c r="Z419" s="97"/>
      <c r="AA419" s="97"/>
      <c r="AB419" s="97"/>
      <c r="AC419" s="97"/>
      <c r="AD419" s="97"/>
      <c r="AE419" s="97"/>
      <c r="AF419" s="97"/>
      <c r="AG419" s="97"/>
      <c r="AH419" s="97"/>
      <c r="AI419" s="97"/>
      <c r="AJ419" s="97"/>
      <c r="AK419" s="97"/>
      <c r="AL419" s="97"/>
      <c r="AM419" s="97"/>
      <c r="AN419" s="97"/>
      <c r="AO419" s="97"/>
      <c r="AP419" s="97"/>
      <c r="AQ419" s="97"/>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c r="DF419" s="97"/>
      <c r="DG419" s="97"/>
      <c r="DH419" s="97"/>
      <c r="DI419" s="97"/>
      <c r="DJ419" s="97"/>
      <c r="DK419" s="97"/>
      <c r="DL419" s="97"/>
      <c r="DM419" s="97"/>
      <c r="DN419" s="97"/>
      <c r="DO419" s="97"/>
      <c r="DP419" s="97"/>
      <c r="DQ419" s="97"/>
      <c r="DR419" s="97"/>
      <c r="DS419" s="97"/>
      <c r="DT419" s="97"/>
      <c r="DU419" s="97"/>
      <c r="DV419" s="97"/>
      <c r="DW419" s="97"/>
      <c r="DX419" s="97"/>
      <c r="DY419" s="97"/>
      <c r="DZ419" s="97"/>
      <c r="EA419" s="97"/>
      <c r="EB419" s="97"/>
      <c r="EC419" s="97"/>
      <c r="ED419" s="97"/>
      <c r="EE419" s="97"/>
      <c r="EF419" s="97"/>
      <c r="EG419" s="97"/>
      <c r="EH419" s="97"/>
      <c r="EI419" s="97"/>
      <c r="EJ419" s="97"/>
      <c r="EK419" s="97"/>
      <c r="EL419" s="97"/>
      <c r="EM419" s="97"/>
      <c r="EN419" s="97"/>
      <c r="EO419" s="97"/>
      <c r="EP419" s="97"/>
      <c r="EQ419" s="97"/>
      <c r="ER419" s="97"/>
      <c r="ES419" s="97"/>
      <c r="ET419" s="97"/>
    </row>
    <row r="420" spans="1:150" ht="15.75" customHeight="1">
      <c r="A420" s="97"/>
      <c r="B420" s="97"/>
      <c r="C420" s="97"/>
      <c r="D420" s="97"/>
      <c r="E420" s="97"/>
      <c r="F420" s="97"/>
      <c r="G420" s="97"/>
      <c r="H420" s="129"/>
      <c r="I420" s="97"/>
      <c r="J420" s="97"/>
      <c r="K420" s="97"/>
      <c r="L420" s="97"/>
      <c r="M420" s="97"/>
      <c r="N420" s="97"/>
      <c r="O420" s="97"/>
      <c r="P420" s="97"/>
      <c r="Q420" s="97"/>
      <c r="R420" s="97"/>
      <c r="S420" s="97"/>
      <c r="T420" s="97"/>
      <c r="U420" s="97"/>
      <c r="V420" s="97"/>
      <c r="W420" s="97"/>
      <c r="X420" s="129"/>
      <c r="Y420" s="97"/>
      <c r="Z420" s="97"/>
      <c r="AA420" s="97"/>
      <c r="AB420" s="97"/>
      <c r="AC420" s="97"/>
      <c r="AD420" s="97"/>
      <c r="AE420" s="97"/>
      <c r="AF420" s="97"/>
      <c r="AG420" s="97"/>
      <c r="AH420" s="97"/>
      <c r="AI420" s="97"/>
      <c r="AJ420" s="97"/>
      <c r="AK420" s="97"/>
      <c r="AL420" s="97"/>
      <c r="AM420" s="97"/>
      <c r="AN420" s="97"/>
      <c r="AO420" s="97"/>
      <c r="AP420" s="97"/>
      <c r="AQ420" s="97"/>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c r="DF420" s="97"/>
      <c r="DG420" s="97"/>
      <c r="DH420" s="97"/>
      <c r="DI420" s="97"/>
      <c r="DJ420" s="97"/>
      <c r="DK420" s="97"/>
      <c r="DL420" s="97"/>
      <c r="DM420" s="97"/>
      <c r="DN420" s="97"/>
      <c r="DO420" s="97"/>
      <c r="DP420" s="97"/>
      <c r="DQ420" s="97"/>
      <c r="DR420" s="97"/>
      <c r="DS420" s="97"/>
      <c r="DT420" s="97"/>
      <c r="DU420" s="97"/>
      <c r="DV420" s="97"/>
      <c r="DW420" s="97"/>
      <c r="DX420" s="97"/>
      <c r="DY420" s="97"/>
      <c r="DZ420" s="97"/>
      <c r="EA420" s="97"/>
      <c r="EB420" s="97"/>
      <c r="EC420" s="97"/>
      <c r="ED420" s="97"/>
      <c r="EE420" s="97"/>
      <c r="EF420" s="97"/>
      <c r="EG420" s="97"/>
      <c r="EH420" s="97"/>
      <c r="EI420" s="97"/>
      <c r="EJ420" s="97"/>
      <c r="EK420" s="97"/>
      <c r="EL420" s="97"/>
      <c r="EM420" s="97"/>
      <c r="EN420" s="97"/>
      <c r="EO420" s="97"/>
      <c r="EP420" s="97"/>
      <c r="EQ420" s="97"/>
      <c r="ER420" s="97"/>
      <c r="ES420" s="97"/>
      <c r="ET420" s="97"/>
    </row>
    <row r="421" spans="1:150" ht="15.75" customHeight="1">
      <c r="A421" s="97"/>
      <c r="B421" s="97"/>
      <c r="C421" s="97"/>
      <c r="D421" s="97"/>
      <c r="E421" s="97"/>
      <c r="F421" s="97"/>
      <c r="G421" s="97"/>
      <c r="H421" s="129"/>
      <c r="I421" s="97"/>
      <c r="J421" s="97"/>
      <c r="K421" s="97"/>
      <c r="L421" s="97"/>
      <c r="M421" s="97"/>
      <c r="N421" s="97"/>
      <c r="O421" s="97"/>
      <c r="P421" s="97"/>
      <c r="Q421" s="97"/>
      <c r="R421" s="97"/>
      <c r="S421" s="97"/>
      <c r="T421" s="97"/>
      <c r="U421" s="97"/>
      <c r="V421" s="97"/>
      <c r="W421" s="97"/>
      <c r="X421" s="129"/>
      <c r="Y421" s="97"/>
      <c r="Z421" s="97"/>
      <c r="AA421" s="97"/>
      <c r="AB421" s="97"/>
      <c r="AC421" s="97"/>
      <c r="AD421" s="97"/>
      <c r="AE421" s="97"/>
      <c r="AF421" s="97"/>
      <c r="AG421" s="97"/>
      <c r="AH421" s="97"/>
      <c r="AI421" s="97"/>
      <c r="AJ421" s="97"/>
      <c r="AK421" s="97"/>
      <c r="AL421" s="97"/>
      <c r="AM421" s="97"/>
      <c r="AN421" s="97"/>
      <c r="AO421" s="97"/>
      <c r="AP421" s="97"/>
      <c r="AQ421" s="97"/>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c r="DF421" s="97"/>
      <c r="DG421" s="97"/>
      <c r="DH421" s="97"/>
      <c r="DI421" s="97"/>
      <c r="DJ421" s="97"/>
      <c r="DK421" s="97"/>
      <c r="DL421" s="97"/>
      <c r="DM421" s="97"/>
      <c r="DN421" s="97"/>
      <c r="DO421" s="97"/>
      <c r="DP421" s="97"/>
      <c r="DQ421" s="97"/>
      <c r="DR421" s="97"/>
      <c r="DS421" s="97"/>
      <c r="DT421" s="97"/>
      <c r="DU421" s="97"/>
      <c r="DV421" s="97"/>
      <c r="DW421" s="97"/>
      <c r="DX421" s="97"/>
      <c r="DY421" s="97"/>
      <c r="DZ421" s="97"/>
      <c r="EA421" s="97"/>
      <c r="EB421" s="97"/>
      <c r="EC421" s="97"/>
      <c r="ED421" s="97"/>
      <c r="EE421" s="97"/>
      <c r="EF421" s="97"/>
      <c r="EG421" s="97"/>
      <c r="EH421" s="97"/>
      <c r="EI421" s="97"/>
      <c r="EJ421" s="97"/>
      <c r="EK421" s="97"/>
      <c r="EL421" s="97"/>
      <c r="EM421" s="97"/>
      <c r="EN421" s="97"/>
      <c r="EO421" s="97"/>
      <c r="EP421" s="97"/>
      <c r="EQ421" s="97"/>
      <c r="ER421" s="97"/>
      <c r="ES421" s="97"/>
      <c r="ET421" s="97"/>
    </row>
    <row r="422" spans="1:150" ht="15.75" customHeight="1">
      <c r="A422" s="97"/>
      <c r="B422" s="97"/>
      <c r="C422" s="97"/>
      <c r="D422" s="97"/>
      <c r="E422" s="97"/>
      <c r="F422" s="97"/>
      <c r="G422" s="97"/>
      <c r="H422" s="129"/>
      <c r="I422" s="97"/>
      <c r="J422" s="97"/>
      <c r="K422" s="97"/>
      <c r="L422" s="97"/>
      <c r="M422" s="97"/>
      <c r="N422" s="97"/>
      <c r="O422" s="97"/>
      <c r="P422" s="97"/>
      <c r="Q422" s="97"/>
      <c r="R422" s="97"/>
      <c r="S422" s="97"/>
      <c r="T422" s="97"/>
      <c r="U422" s="97"/>
      <c r="V422" s="97"/>
      <c r="W422" s="97"/>
      <c r="X422" s="129"/>
      <c r="Y422" s="97"/>
      <c r="Z422" s="97"/>
      <c r="AA422" s="97"/>
      <c r="AB422" s="97"/>
      <c r="AC422" s="97"/>
      <c r="AD422" s="97"/>
      <c r="AE422" s="97"/>
      <c r="AF422" s="97"/>
      <c r="AG422" s="97"/>
      <c r="AH422" s="97"/>
      <c r="AI422" s="97"/>
      <c r="AJ422" s="97"/>
      <c r="AK422" s="97"/>
      <c r="AL422" s="97"/>
      <c r="AM422" s="97"/>
      <c r="AN422" s="97"/>
      <c r="AO422" s="97"/>
      <c r="AP422" s="97"/>
      <c r="AQ422" s="97"/>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c r="DF422" s="97"/>
      <c r="DG422" s="97"/>
      <c r="DH422" s="97"/>
      <c r="DI422" s="97"/>
      <c r="DJ422" s="97"/>
      <c r="DK422" s="97"/>
      <c r="DL422" s="97"/>
      <c r="DM422" s="97"/>
      <c r="DN422" s="97"/>
      <c r="DO422" s="97"/>
      <c r="DP422" s="97"/>
      <c r="DQ422" s="97"/>
      <c r="DR422" s="97"/>
      <c r="DS422" s="97"/>
      <c r="DT422" s="97"/>
      <c r="DU422" s="97"/>
      <c r="DV422" s="97"/>
      <c r="DW422" s="97"/>
      <c r="DX422" s="97"/>
      <c r="DY422" s="97"/>
      <c r="DZ422" s="97"/>
      <c r="EA422" s="97"/>
      <c r="EB422" s="97"/>
      <c r="EC422" s="97"/>
      <c r="ED422" s="97"/>
      <c r="EE422" s="97"/>
      <c r="EF422" s="97"/>
      <c r="EG422" s="97"/>
      <c r="EH422" s="97"/>
      <c r="EI422" s="97"/>
      <c r="EJ422" s="97"/>
      <c r="EK422" s="97"/>
      <c r="EL422" s="97"/>
      <c r="EM422" s="97"/>
      <c r="EN422" s="97"/>
      <c r="EO422" s="97"/>
      <c r="EP422" s="97"/>
      <c r="EQ422" s="97"/>
      <c r="ER422" s="97"/>
      <c r="ES422" s="97"/>
      <c r="ET422" s="97"/>
    </row>
    <row r="423" spans="1:150" ht="15.75" customHeight="1">
      <c r="A423" s="97"/>
      <c r="B423" s="97"/>
      <c r="C423" s="97"/>
      <c r="D423" s="97"/>
      <c r="E423" s="97"/>
      <c r="F423" s="97"/>
      <c r="G423" s="97"/>
      <c r="H423" s="129"/>
      <c r="I423" s="97"/>
      <c r="J423" s="97"/>
      <c r="K423" s="97"/>
      <c r="L423" s="97"/>
      <c r="M423" s="97"/>
      <c r="N423" s="97"/>
      <c r="O423" s="97"/>
      <c r="P423" s="97"/>
      <c r="Q423" s="97"/>
      <c r="R423" s="97"/>
      <c r="S423" s="97"/>
      <c r="T423" s="97"/>
      <c r="U423" s="97"/>
      <c r="V423" s="97"/>
      <c r="W423" s="97"/>
      <c r="X423" s="129"/>
      <c r="Y423" s="97"/>
      <c r="Z423" s="97"/>
      <c r="AA423" s="97"/>
      <c r="AB423" s="97"/>
      <c r="AC423" s="97"/>
      <c r="AD423" s="97"/>
      <c r="AE423" s="97"/>
      <c r="AF423" s="97"/>
      <c r="AG423" s="97"/>
      <c r="AH423" s="97"/>
      <c r="AI423" s="97"/>
      <c r="AJ423" s="97"/>
      <c r="AK423" s="97"/>
      <c r="AL423" s="97"/>
      <c r="AM423" s="97"/>
      <c r="AN423" s="97"/>
      <c r="AO423" s="97"/>
      <c r="AP423" s="97"/>
      <c r="AQ423" s="97"/>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c r="DF423" s="97"/>
      <c r="DG423" s="97"/>
      <c r="DH423" s="97"/>
      <c r="DI423" s="97"/>
      <c r="DJ423" s="97"/>
      <c r="DK423" s="97"/>
      <c r="DL423" s="97"/>
      <c r="DM423" s="97"/>
      <c r="DN423" s="97"/>
      <c r="DO423" s="97"/>
      <c r="DP423" s="97"/>
      <c r="DQ423" s="97"/>
      <c r="DR423" s="97"/>
      <c r="DS423" s="97"/>
      <c r="DT423" s="97"/>
      <c r="DU423" s="97"/>
      <c r="DV423" s="97"/>
      <c r="DW423" s="97"/>
      <c r="DX423" s="97"/>
      <c r="DY423" s="97"/>
      <c r="DZ423" s="97"/>
      <c r="EA423" s="97"/>
      <c r="EB423" s="97"/>
      <c r="EC423" s="97"/>
      <c r="ED423" s="97"/>
      <c r="EE423" s="97"/>
      <c r="EF423" s="97"/>
      <c r="EG423" s="97"/>
      <c r="EH423" s="97"/>
      <c r="EI423" s="97"/>
      <c r="EJ423" s="97"/>
      <c r="EK423" s="97"/>
      <c r="EL423" s="97"/>
      <c r="EM423" s="97"/>
      <c r="EN423" s="97"/>
      <c r="EO423" s="97"/>
      <c r="EP423" s="97"/>
      <c r="EQ423" s="97"/>
      <c r="ER423" s="97"/>
      <c r="ES423" s="97"/>
      <c r="ET423" s="97"/>
    </row>
    <row r="424" spans="1:150" ht="15.75" customHeight="1">
      <c r="A424" s="97"/>
      <c r="B424" s="97"/>
      <c r="C424" s="97"/>
      <c r="D424" s="97"/>
      <c r="E424" s="97"/>
      <c r="F424" s="97"/>
      <c r="G424" s="97"/>
      <c r="H424" s="129"/>
      <c r="I424" s="97"/>
      <c r="J424" s="97"/>
      <c r="K424" s="97"/>
      <c r="L424" s="97"/>
      <c r="M424" s="97"/>
      <c r="N424" s="97"/>
      <c r="O424" s="97"/>
      <c r="P424" s="97"/>
      <c r="Q424" s="97"/>
      <c r="R424" s="97"/>
      <c r="S424" s="97"/>
      <c r="T424" s="97"/>
      <c r="U424" s="97"/>
      <c r="V424" s="97"/>
      <c r="W424" s="97"/>
      <c r="X424" s="129"/>
      <c r="Y424" s="97"/>
      <c r="Z424" s="97"/>
      <c r="AA424" s="97"/>
      <c r="AB424" s="97"/>
      <c r="AC424" s="97"/>
      <c r="AD424" s="97"/>
      <c r="AE424" s="97"/>
      <c r="AF424" s="97"/>
      <c r="AG424" s="97"/>
      <c r="AH424" s="97"/>
      <c r="AI424" s="97"/>
      <c r="AJ424" s="97"/>
      <c r="AK424" s="97"/>
      <c r="AL424" s="97"/>
      <c r="AM424" s="97"/>
      <c r="AN424" s="97"/>
      <c r="AO424" s="97"/>
      <c r="AP424" s="97"/>
      <c r="AQ424" s="97"/>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c r="DF424" s="97"/>
      <c r="DG424" s="97"/>
      <c r="DH424" s="97"/>
      <c r="DI424" s="97"/>
      <c r="DJ424" s="97"/>
      <c r="DK424" s="97"/>
      <c r="DL424" s="97"/>
      <c r="DM424" s="97"/>
      <c r="DN424" s="97"/>
      <c r="DO424" s="97"/>
      <c r="DP424" s="97"/>
      <c r="DQ424" s="97"/>
      <c r="DR424" s="97"/>
      <c r="DS424" s="97"/>
      <c r="DT424" s="97"/>
      <c r="DU424" s="97"/>
      <c r="DV424" s="97"/>
      <c r="DW424" s="97"/>
      <c r="DX424" s="97"/>
      <c r="DY424" s="97"/>
      <c r="DZ424" s="97"/>
      <c r="EA424" s="97"/>
      <c r="EB424" s="97"/>
      <c r="EC424" s="97"/>
      <c r="ED424" s="97"/>
      <c r="EE424" s="97"/>
      <c r="EF424" s="97"/>
      <c r="EG424" s="97"/>
      <c r="EH424" s="97"/>
      <c r="EI424" s="97"/>
      <c r="EJ424" s="97"/>
      <c r="EK424" s="97"/>
      <c r="EL424" s="97"/>
      <c r="EM424" s="97"/>
      <c r="EN424" s="97"/>
      <c r="EO424" s="97"/>
      <c r="EP424" s="97"/>
      <c r="EQ424" s="97"/>
      <c r="ER424" s="97"/>
      <c r="ES424" s="97"/>
      <c r="ET424" s="97"/>
    </row>
    <row r="425" spans="1:150" ht="15.75" customHeight="1">
      <c r="A425" s="97"/>
      <c r="B425" s="97"/>
      <c r="C425" s="97"/>
      <c r="D425" s="97"/>
      <c r="E425" s="97"/>
      <c r="F425" s="97"/>
      <c r="G425" s="97"/>
      <c r="H425" s="129"/>
      <c r="I425" s="97"/>
      <c r="J425" s="97"/>
      <c r="K425" s="97"/>
      <c r="L425" s="97"/>
      <c r="M425" s="97"/>
      <c r="N425" s="97"/>
      <c r="O425" s="97"/>
      <c r="P425" s="97"/>
      <c r="Q425" s="97"/>
      <c r="R425" s="97"/>
      <c r="S425" s="97"/>
      <c r="T425" s="97"/>
      <c r="U425" s="97"/>
      <c r="V425" s="97"/>
      <c r="W425" s="97"/>
      <c r="X425" s="129"/>
      <c r="Y425" s="97"/>
      <c r="Z425" s="97"/>
      <c r="AA425" s="97"/>
      <c r="AB425" s="97"/>
      <c r="AC425" s="97"/>
      <c r="AD425" s="97"/>
      <c r="AE425" s="97"/>
      <c r="AF425" s="97"/>
      <c r="AG425" s="97"/>
      <c r="AH425" s="97"/>
      <c r="AI425" s="97"/>
      <c r="AJ425" s="97"/>
      <c r="AK425" s="97"/>
      <c r="AL425" s="97"/>
      <c r="AM425" s="97"/>
      <c r="AN425" s="97"/>
      <c r="AO425" s="97"/>
      <c r="AP425" s="97"/>
      <c r="AQ425" s="97"/>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c r="DF425" s="97"/>
      <c r="DG425" s="97"/>
      <c r="DH425" s="97"/>
      <c r="DI425" s="97"/>
      <c r="DJ425" s="97"/>
      <c r="DK425" s="97"/>
      <c r="DL425" s="97"/>
      <c r="DM425" s="97"/>
      <c r="DN425" s="97"/>
      <c r="DO425" s="97"/>
      <c r="DP425" s="97"/>
      <c r="DQ425" s="97"/>
      <c r="DR425" s="97"/>
      <c r="DS425" s="97"/>
      <c r="DT425" s="97"/>
      <c r="DU425" s="97"/>
      <c r="DV425" s="97"/>
      <c r="DW425" s="97"/>
      <c r="DX425" s="97"/>
      <c r="DY425" s="97"/>
      <c r="DZ425" s="97"/>
      <c r="EA425" s="97"/>
      <c r="EB425" s="97"/>
      <c r="EC425" s="97"/>
      <c r="ED425" s="97"/>
      <c r="EE425" s="97"/>
      <c r="EF425" s="97"/>
      <c r="EG425" s="97"/>
      <c r="EH425" s="97"/>
      <c r="EI425" s="97"/>
      <c r="EJ425" s="97"/>
      <c r="EK425" s="97"/>
      <c r="EL425" s="97"/>
      <c r="EM425" s="97"/>
      <c r="EN425" s="97"/>
      <c r="EO425" s="97"/>
      <c r="EP425" s="97"/>
      <c r="EQ425" s="97"/>
      <c r="ER425" s="97"/>
      <c r="ES425" s="97"/>
      <c r="ET425" s="97"/>
    </row>
    <row r="426" spans="1:150" ht="15.75" customHeight="1">
      <c r="A426" s="97"/>
      <c r="B426" s="97"/>
      <c r="C426" s="97"/>
      <c r="D426" s="97"/>
      <c r="E426" s="97"/>
      <c r="F426" s="97"/>
      <c r="G426" s="97"/>
      <c r="H426" s="129"/>
      <c r="I426" s="97"/>
      <c r="J426" s="97"/>
      <c r="K426" s="97"/>
      <c r="L426" s="97"/>
      <c r="M426" s="97"/>
      <c r="N426" s="97"/>
      <c r="O426" s="97"/>
      <c r="P426" s="97"/>
      <c r="Q426" s="97"/>
      <c r="R426" s="97"/>
      <c r="S426" s="97"/>
      <c r="T426" s="97"/>
      <c r="U426" s="97"/>
      <c r="V426" s="97"/>
      <c r="W426" s="97"/>
      <c r="X426" s="129"/>
      <c r="Y426" s="97"/>
      <c r="Z426" s="97"/>
      <c r="AA426" s="97"/>
      <c r="AB426" s="97"/>
      <c r="AC426" s="97"/>
      <c r="AD426" s="97"/>
      <c r="AE426" s="97"/>
      <c r="AF426" s="97"/>
      <c r="AG426" s="97"/>
      <c r="AH426" s="97"/>
      <c r="AI426" s="97"/>
      <c r="AJ426" s="97"/>
      <c r="AK426" s="97"/>
      <c r="AL426" s="97"/>
      <c r="AM426" s="97"/>
      <c r="AN426" s="97"/>
      <c r="AO426" s="97"/>
      <c r="AP426" s="97"/>
      <c r="AQ426" s="97"/>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c r="DF426" s="97"/>
      <c r="DG426" s="97"/>
      <c r="DH426" s="97"/>
      <c r="DI426" s="97"/>
      <c r="DJ426" s="97"/>
      <c r="DK426" s="97"/>
      <c r="DL426" s="97"/>
      <c r="DM426" s="97"/>
      <c r="DN426" s="97"/>
      <c r="DO426" s="97"/>
      <c r="DP426" s="97"/>
      <c r="DQ426" s="97"/>
      <c r="DR426" s="97"/>
      <c r="DS426" s="97"/>
      <c r="DT426" s="97"/>
      <c r="DU426" s="97"/>
      <c r="DV426" s="97"/>
      <c r="DW426" s="97"/>
      <c r="DX426" s="97"/>
      <c r="DY426" s="97"/>
      <c r="DZ426" s="97"/>
      <c r="EA426" s="97"/>
      <c r="EB426" s="97"/>
      <c r="EC426" s="97"/>
      <c r="ED426" s="97"/>
      <c r="EE426" s="97"/>
      <c r="EF426" s="97"/>
      <c r="EG426" s="97"/>
      <c r="EH426" s="97"/>
      <c r="EI426" s="97"/>
      <c r="EJ426" s="97"/>
      <c r="EK426" s="97"/>
      <c r="EL426" s="97"/>
      <c r="EM426" s="97"/>
      <c r="EN426" s="97"/>
      <c r="EO426" s="97"/>
      <c r="EP426" s="97"/>
      <c r="EQ426" s="97"/>
      <c r="ER426" s="97"/>
      <c r="ES426" s="97"/>
      <c r="ET426" s="97"/>
    </row>
    <row r="427" spans="1:150" ht="15.75" customHeight="1">
      <c r="A427" s="97"/>
      <c r="B427" s="97"/>
      <c r="C427" s="97"/>
      <c r="D427" s="97"/>
      <c r="E427" s="97"/>
      <c r="F427" s="97"/>
      <c r="G427" s="97"/>
      <c r="H427" s="129"/>
      <c r="I427" s="97"/>
      <c r="J427" s="97"/>
      <c r="K427" s="97"/>
      <c r="L427" s="97"/>
      <c r="M427" s="97"/>
      <c r="N427" s="97"/>
      <c r="O427" s="97"/>
      <c r="P427" s="97"/>
      <c r="Q427" s="97"/>
      <c r="R427" s="97"/>
      <c r="S427" s="97"/>
      <c r="T427" s="97"/>
      <c r="U427" s="97"/>
      <c r="V427" s="97"/>
      <c r="W427" s="97"/>
      <c r="X427" s="129"/>
      <c r="Y427" s="97"/>
      <c r="Z427" s="97"/>
      <c r="AA427" s="97"/>
      <c r="AB427" s="97"/>
      <c r="AC427" s="97"/>
      <c r="AD427" s="97"/>
      <c r="AE427" s="97"/>
      <c r="AF427" s="97"/>
      <c r="AG427" s="97"/>
      <c r="AH427" s="97"/>
      <c r="AI427" s="97"/>
      <c r="AJ427" s="97"/>
      <c r="AK427" s="97"/>
      <c r="AL427" s="97"/>
      <c r="AM427" s="97"/>
      <c r="AN427" s="97"/>
      <c r="AO427" s="97"/>
      <c r="AP427" s="97"/>
      <c r="AQ427" s="97"/>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c r="DF427" s="97"/>
      <c r="DG427" s="97"/>
      <c r="DH427" s="97"/>
      <c r="DI427" s="97"/>
      <c r="DJ427" s="97"/>
      <c r="DK427" s="97"/>
      <c r="DL427" s="97"/>
      <c r="DM427" s="97"/>
      <c r="DN427" s="97"/>
      <c r="DO427" s="97"/>
      <c r="DP427" s="97"/>
      <c r="DQ427" s="97"/>
      <c r="DR427" s="97"/>
      <c r="DS427" s="97"/>
      <c r="DT427" s="97"/>
      <c r="DU427" s="97"/>
      <c r="DV427" s="97"/>
      <c r="DW427" s="97"/>
      <c r="DX427" s="97"/>
      <c r="DY427" s="97"/>
      <c r="DZ427" s="97"/>
      <c r="EA427" s="97"/>
      <c r="EB427" s="97"/>
      <c r="EC427" s="97"/>
      <c r="ED427" s="97"/>
      <c r="EE427" s="97"/>
      <c r="EF427" s="97"/>
      <c r="EG427" s="97"/>
      <c r="EH427" s="97"/>
      <c r="EI427" s="97"/>
      <c r="EJ427" s="97"/>
      <c r="EK427" s="97"/>
      <c r="EL427" s="97"/>
      <c r="EM427" s="97"/>
      <c r="EN427" s="97"/>
      <c r="EO427" s="97"/>
      <c r="EP427" s="97"/>
      <c r="EQ427" s="97"/>
      <c r="ER427" s="97"/>
      <c r="ES427" s="97"/>
      <c r="ET427" s="97"/>
    </row>
    <row r="428" spans="1:150" ht="15.75" customHeight="1">
      <c r="A428" s="97"/>
      <c r="B428" s="97"/>
      <c r="C428" s="97"/>
      <c r="D428" s="97"/>
      <c r="E428" s="97"/>
      <c r="F428" s="97"/>
      <c r="G428" s="97"/>
      <c r="H428" s="129"/>
      <c r="I428" s="97"/>
      <c r="J428" s="97"/>
      <c r="K428" s="97"/>
      <c r="L428" s="97"/>
      <c r="M428" s="97"/>
      <c r="N428" s="97"/>
      <c r="O428" s="97"/>
      <c r="P428" s="97"/>
      <c r="Q428" s="97"/>
      <c r="R428" s="97"/>
      <c r="S428" s="97"/>
      <c r="T428" s="97"/>
      <c r="U428" s="97"/>
      <c r="V428" s="97"/>
      <c r="W428" s="97"/>
      <c r="X428" s="129"/>
      <c r="Y428" s="97"/>
      <c r="Z428" s="97"/>
      <c r="AA428" s="97"/>
      <c r="AB428" s="97"/>
      <c r="AC428" s="97"/>
      <c r="AD428" s="97"/>
      <c r="AE428" s="97"/>
      <c r="AF428" s="97"/>
      <c r="AG428" s="97"/>
      <c r="AH428" s="97"/>
      <c r="AI428" s="97"/>
      <c r="AJ428" s="97"/>
      <c r="AK428" s="97"/>
      <c r="AL428" s="97"/>
      <c r="AM428" s="97"/>
      <c r="AN428" s="97"/>
      <c r="AO428" s="97"/>
      <c r="AP428" s="97"/>
      <c r="AQ428" s="97"/>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c r="DF428" s="97"/>
      <c r="DG428" s="97"/>
      <c r="DH428" s="97"/>
      <c r="DI428" s="97"/>
      <c r="DJ428" s="97"/>
      <c r="DK428" s="97"/>
      <c r="DL428" s="97"/>
      <c r="DM428" s="97"/>
      <c r="DN428" s="97"/>
      <c r="DO428" s="97"/>
      <c r="DP428" s="97"/>
      <c r="DQ428" s="97"/>
      <c r="DR428" s="97"/>
      <c r="DS428" s="97"/>
      <c r="DT428" s="97"/>
      <c r="DU428" s="97"/>
      <c r="DV428" s="97"/>
      <c r="DW428" s="97"/>
      <c r="DX428" s="97"/>
      <c r="DY428" s="97"/>
      <c r="DZ428" s="97"/>
      <c r="EA428" s="97"/>
      <c r="EB428" s="97"/>
      <c r="EC428" s="97"/>
      <c r="ED428" s="97"/>
      <c r="EE428" s="97"/>
      <c r="EF428" s="97"/>
      <c r="EG428" s="97"/>
      <c r="EH428" s="97"/>
      <c r="EI428" s="97"/>
      <c r="EJ428" s="97"/>
      <c r="EK428" s="97"/>
      <c r="EL428" s="97"/>
      <c r="EM428" s="97"/>
      <c r="EN428" s="97"/>
      <c r="EO428" s="97"/>
      <c r="EP428" s="97"/>
      <c r="EQ428" s="97"/>
      <c r="ER428" s="97"/>
      <c r="ES428" s="97"/>
      <c r="ET428" s="97"/>
    </row>
    <row r="429" spans="1:150" ht="15.75" customHeight="1">
      <c r="A429" s="97"/>
      <c r="B429" s="97"/>
      <c r="C429" s="97"/>
      <c r="D429" s="97"/>
      <c r="E429" s="97"/>
      <c r="F429" s="97"/>
      <c r="G429" s="97"/>
      <c r="H429" s="129"/>
      <c r="I429" s="97"/>
      <c r="J429" s="97"/>
      <c r="K429" s="97"/>
      <c r="L429" s="97"/>
      <c r="M429" s="97"/>
      <c r="N429" s="97"/>
      <c r="O429" s="97"/>
      <c r="P429" s="97"/>
      <c r="Q429" s="97"/>
      <c r="R429" s="97"/>
      <c r="S429" s="97"/>
      <c r="T429" s="97"/>
      <c r="U429" s="97"/>
      <c r="V429" s="97"/>
      <c r="W429" s="97"/>
      <c r="X429" s="129"/>
      <c r="Y429" s="97"/>
      <c r="Z429" s="97"/>
      <c r="AA429" s="97"/>
      <c r="AB429" s="97"/>
      <c r="AC429" s="97"/>
      <c r="AD429" s="97"/>
      <c r="AE429" s="97"/>
      <c r="AF429" s="97"/>
      <c r="AG429" s="97"/>
      <c r="AH429" s="97"/>
      <c r="AI429" s="97"/>
      <c r="AJ429" s="97"/>
      <c r="AK429" s="97"/>
      <c r="AL429" s="97"/>
      <c r="AM429" s="97"/>
      <c r="AN429" s="97"/>
      <c r="AO429" s="97"/>
      <c r="AP429" s="97"/>
      <c r="AQ429" s="97"/>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c r="DF429" s="97"/>
      <c r="DG429" s="97"/>
      <c r="DH429" s="97"/>
      <c r="DI429" s="97"/>
      <c r="DJ429" s="97"/>
      <c r="DK429" s="97"/>
      <c r="DL429" s="97"/>
      <c r="DM429" s="97"/>
      <c r="DN429" s="97"/>
      <c r="DO429" s="97"/>
      <c r="DP429" s="97"/>
      <c r="DQ429" s="97"/>
      <c r="DR429" s="97"/>
      <c r="DS429" s="97"/>
      <c r="DT429" s="97"/>
      <c r="DU429" s="97"/>
      <c r="DV429" s="97"/>
      <c r="DW429" s="97"/>
      <c r="DX429" s="97"/>
      <c r="DY429" s="97"/>
      <c r="DZ429" s="97"/>
      <c r="EA429" s="97"/>
      <c r="EB429" s="97"/>
      <c r="EC429" s="97"/>
      <c r="ED429" s="97"/>
      <c r="EE429" s="97"/>
      <c r="EF429" s="97"/>
      <c r="EG429" s="97"/>
      <c r="EH429" s="97"/>
      <c r="EI429" s="97"/>
      <c r="EJ429" s="97"/>
      <c r="EK429" s="97"/>
      <c r="EL429" s="97"/>
      <c r="EM429" s="97"/>
      <c r="EN429" s="97"/>
      <c r="EO429" s="97"/>
      <c r="EP429" s="97"/>
      <c r="EQ429" s="97"/>
      <c r="ER429" s="97"/>
      <c r="ES429" s="97"/>
      <c r="ET429" s="97"/>
    </row>
    <row r="430" spans="1:150" ht="15.75" customHeight="1">
      <c r="A430" s="97"/>
      <c r="B430" s="97"/>
      <c r="C430" s="97"/>
      <c r="D430" s="97"/>
      <c r="E430" s="97"/>
      <c r="F430" s="97"/>
      <c r="G430" s="97"/>
      <c r="H430" s="129"/>
      <c r="I430" s="97"/>
      <c r="J430" s="97"/>
      <c r="K430" s="97"/>
      <c r="L430" s="97"/>
      <c r="M430" s="97"/>
      <c r="N430" s="97"/>
      <c r="O430" s="97"/>
      <c r="P430" s="97"/>
      <c r="Q430" s="97"/>
      <c r="R430" s="97"/>
      <c r="S430" s="97"/>
      <c r="T430" s="97"/>
      <c r="U430" s="97"/>
      <c r="V430" s="97"/>
      <c r="W430" s="97"/>
      <c r="X430" s="129"/>
      <c r="Y430" s="97"/>
      <c r="Z430" s="97"/>
      <c r="AA430" s="97"/>
      <c r="AB430" s="97"/>
      <c r="AC430" s="97"/>
      <c r="AD430" s="97"/>
      <c r="AE430" s="97"/>
      <c r="AF430" s="97"/>
      <c r="AG430" s="97"/>
      <c r="AH430" s="97"/>
      <c r="AI430" s="97"/>
      <c r="AJ430" s="97"/>
      <c r="AK430" s="97"/>
      <c r="AL430" s="97"/>
      <c r="AM430" s="97"/>
      <c r="AN430" s="97"/>
      <c r="AO430" s="97"/>
      <c r="AP430" s="97"/>
      <c r="AQ430" s="97"/>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c r="DF430" s="97"/>
      <c r="DG430" s="97"/>
      <c r="DH430" s="97"/>
      <c r="DI430" s="97"/>
      <c r="DJ430" s="97"/>
      <c r="DK430" s="97"/>
      <c r="DL430" s="97"/>
      <c r="DM430" s="97"/>
      <c r="DN430" s="97"/>
      <c r="DO430" s="97"/>
      <c r="DP430" s="97"/>
      <c r="DQ430" s="97"/>
      <c r="DR430" s="97"/>
      <c r="DS430" s="97"/>
      <c r="DT430" s="97"/>
      <c r="DU430" s="97"/>
      <c r="DV430" s="97"/>
      <c r="DW430" s="97"/>
      <c r="DX430" s="97"/>
      <c r="DY430" s="97"/>
      <c r="DZ430" s="97"/>
      <c r="EA430" s="97"/>
      <c r="EB430" s="97"/>
      <c r="EC430" s="97"/>
      <c r="ED430" s="97"/>
      <c r="EE430" s="97"/>
      <c r="EF430" s="97"/>
      <c r="EG430" s="97"/>
      <c r="EH430" s="97"/>
      <c r="EI430" s="97"/>
      <c r="EJ430" s="97"/>
      <c r="EK430" s="97"/>
      <c r="EL430" s="97"/>
      <c r="EM430" s="97"/>
      <c r="EN430" s="97"/>
      <c r="EO430" s="97"/>
      <c r="EP430" s="97"/>
      <c r="EQ430" s="97"/>
      <c r="ER430" s="97"/>
      <c r="ES430" s="97"/>
      <c r="ET430" s="97"/>
    </row>
    <row r="431" spans="1:150" ht="15.75" customHeight="1">
      <c r="A431" s="97"/>
      <c r="B431" s="97"/>
      <c r="C431" s="97"/>
      <c r="D431" s="97"/>
      <c r="E431" s="97"/>
      <c r="F431" s="97"/>
      <c r="G431" s="97"/>
      <c r="H431" s="129"/>
      <c r="I431" s="97"/>
      <c r="J431" s="97"/>
      <c r="K431" s="97"/>
      <c r="L431" s="97"/>
      <c r="M431" s="97"/>
      <c r="N431" s="97"/>
      <c r="O431" s="97"/>
      <c r="P431" s="97"/>
      <c r="Q431" s="97"/>
      <c r="R431" s="97"/>
      <c r="S431" s="97"/>
      <c r="T431" s="97"/>
      <c r="U431" s="97"/>
      <c r="V431" s="97"/>
      <c r="W431" s="97"/>
      <c r="X431" s="129"/>
      <c r="Y431" s="97"/>
      <c r="Z431" s="97"/>
      <c r="AA431" s="97"/>
      <c r="AB431" s="97"/>
      <c r="AC431" s="97"/>
      <c r="AD431" s="97"/>
      <c r="AE431" s="97"/>
      <c r="AF431" s="97"/>
      <c r="AG431" s="97"/>
      <c r="AH431" s="97"/>
      <c r="AI431" s="97"/>
      <c r="AJ431" s="97"/>
      <c r="AK431" s="97"/>
      <c r="AL431" s="97"/>
      <c r="AM431" s="97"/>
      <c r="AN431" s="97"/>
      <c r="AO431" s="97"/>
      <c r="AP431" s="97"/>
      <c r="AQ431" s="97"/>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c r="DF431" s="97"/>
      <c r="DG431" s="97"/>
      <c r="DH431" s="97"/>
      <c r="DI431" s="97"/>
      <c r="DJ431" s="97"/>
      <c r="DK431" s="97"/>
      <c r="DL431" s="97"/>
      <c r="DM431" s="97"/>
      <c r="DN431" s="97"/>
      <c r="DO431" s="97"/>
      <c r="DP431" s="97"/>
      <c r="DQ431" s="97"/>
      <c r="DR431" s="97"/>
      <c r="DS431" s="97"/>
      <c r="DT431" s="97"/>
      <c r="DU431" s="97"/>
      <c r="DV431" s="97"/>
      <c r="DW431" s="97"/>
      <c r="DX431" s="97"/>
      <c r="DY431" s="97"/>
      <c r="DZ431" s="97"/>
      <c r="EA431" s="97"/>
      <c r="EB431" s="97"/>
      <c r="EC431" s="97"/>
      <c r="ED431" s="97"/>
      <c r="EE431" s="97"/>
      <c r="EF431" s="97"/>
      <c r="EG431" s="97"/>
      <c r="EH431" s="97"/>
      <c r="EI431" s="97"/>
      <c r="EJ431" s="97"/>
      <c r="EK431" s="97"/>
      <c r="EL431" s="97"/>
      <c r="EM431" s="97"/>
      <c r="EN431" s="97"/>
      <c r="EO431" s="97"/>
      <c r="EP431" s="97"/>
      <c r="EQ431" s="97"/>
      <c r="ER431" s="97"/>
      <c r="ES431" s="97"/>
      <c r="ET431" s="97"/>
    </row>
    <row r="432" spans="1:150" ht="15.75" customHeight="1">
      <c r="A432" s="97"/>
      <c r="B432" s="97"/>
      <c r="C432" s="97"/>
      <c r="D432" s="97"/>
      <c r="E432" s="97"/>
      <c r="F432" s="97"/>
      <c r="G432" s="97"/>
      <c r="H432" s="129"/>
      <c r="I432" s="97"/>
      <c r="J432" s="97"/>
      <c r="K432" s="97"/>
      <c r="L432" s="97"/>
      <c r="M432" s="97"/>
      <c r="N432" s="97"/>
      <c r="O432" s="97"/>
      <c r="P432" s="97"/>
      <c r="Q432" s="97"/>
      <c r="R432" s="97"/>
      <c r="S432" s="97"/>
      <c r="T432" s="97"/>
      <c r="U432" s="97"/>
      <c r="V432" s="97"/>
      <c r="W432" s="97"/>
      <c r="X432" s="129"/>
      <c r="Y432" s="97"/>
      <c r="Z432" s="97"/>
      <c r="AA432" s="97"/>
      <c r="AB432" s="97"/>
      <c r="AC432" s="97"/>
      <c r="AD432" s="97"/>
      <c r="AE432" s="97"/>
      <c r="AF432" s="97"/>
      <c r="AG432" s="97"/>
      <c r="AH432" s="97"/>
      <c r="AI432" s="97"/>
      <c r="AJ432" s="97"/>
      <c r="AK432" s="97"/>
      <c r="AL432" s="97"/>
      <c r="AM432" s="97"/>
      <c r="AN432" s="97"/>
      <c r="AO432" s="97"/>
      <c r="AP432" s="97"/>
      <c r="AQ432" s="97"/>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c r="DF432" s="97"/>
      <c r="DG432" s="97"/>
      <c r="DH432" s="97"/>
      <c r="DI432" s="97"/>
      <c r="DJ432" s="97"/>
      <c r="DK432" s="97"/>
      <c r="DL432" s="97"/>
      <c r="DM432" s="97"/>
      <c r="DN432" s="97"/>
      <c r="DO432" s="97"/>
      <c r="DP432" s="97"/>
      <c r="DQ432" s="97"/>
      <c r="DR432" s="97"/>
      <c r="DS432" s="97"/>
      <c r="DT432" s="97"/>
      <c r="DU432" s="97"/>
      <c r="DV432" s="97"/>
      <c r="DW432" s="97"/>
      <c r="DX432" s="97"/>
      <c r="DY432" s="97"/>
      <c r="DZ432" s="97"/>
      <c r="EA432" s="97"/>
      <c r="EB432" s="97"/>
      <c r="EC432" s="97"/>
      <c r="ED432" s="97"/>
      <c r="EE432" s="97"/>
      <c r="EF432" s="97"/>
      <c r="EG432" s="97"/>
      <c r="EH432" s="97"/>
      <c r="EI432" s="97"/>
      <c r="EJ432" s="97"/>
      <c r="EK432" s="97"/>
      <c r="EL432" s="97"/>
      <c r="EM432" s="97"/>
      <c r="EN432" s="97"/>
      <c r="EO432" s="97"/>
      <c r="EP432" s="97"/>
      <c r="EQ432" s="97"/>
      <c r="ER432" s="97"/>
      <c r="ES432" s="97"/>
      <c r="ET432" s="97"/>
    </row>
    <row r="433" spans="1:150" ht="15.75" customHeight="1">
      <c r="A433" s="97"/>
      <c r="B433" s="97"/>
      <c r="C433" s="97"/>
      <c r="D433" s="97"/>
      <c r="E433" s="97"/>
      <c r="F433" s="97"/>
      <c r="G433" s="97"/>
      <c r="H433" s="129"/>
      <c r="I433" s="97"/>
      <c r="J433" s="97"/>
      <c r="K433" s="97"/>
      <c r="L433" s="97"/>
      <c r="M433" s="97"/>
      <c r="N433" s="97"/>
      <c r="O433" s="97"/>
      <c r="P433" s="97"/>
      <c r="Q433" s="97"/>
      <c r="R433" s="97"/>
      <c r="S433" s="97"/>
      <c r="T433" s="97"/>
      <c r="U433" s="97"/>
      <c r="V433" s="97"/>
      <c r="W433" s="97"/>
      <c r="X433" s="129"/>
      <c r="Y433" s="97"/>
      <c r="Z433" s="97"/>
      <c r="AA433" s="97"/>
      <c r="AB433" s="97"/>
      <c r="AC433" s="97"/>
      <c r="AD433" s="97"/>
      <c r="AE433" s="97"/>
      <c r="AF433" s="97"/>
      <c r="AG433" s="97"/>
      <c r="AH433" s="97"/>
      <c r="AI433" s="97"/>
      <c r="AJ433" s="97"/>
      <c r="AK433" s="97"/>
      <c r="AL433" s="97"/>
      <c r="AM433" s="97"/>
      <c r="AN433" s="97"/>
      <c r="AO433" s="97"/>
      <c r="AP433" s="97"/>
      <c r="AQ433" s="97"/>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c r="DF433" s="97"/>
      <c r="DG433" s="97"/>
      <c r="DH433" s="97"/>
      <c r="DI433" s="97"/>
      <c r="DJ433" s="97"/>
      <c r="DK433" s="97"/>
      <c r="DL433" s="97"/>
      <c r="DM433" s="97"/>
      <c r="DN433" s="97"/>
      <c r="DO433" s="97"/>
      <c r="DP433" s="97"/>
      <c r="DQ433" s="97"/>
      <c r="DR433" s="97"/>
      <c r="DS433" s="97"/>
      <c r="DT433" s="97"/>
      <c r="DU433" s="97"/>
      <c r="DV433" s="97"/>
      <c r="DW433" s="97"/>
      <c r="DX433" s="97"/>
      <c r="DY433" s="97"/>
      <c r="DZ433" s="97"/>
      <c r="EA433" s="97"/>
      <c r="EB433" s="97"/>
      <c r="EC433" s="97"/>
      <c r="ED433" s="97"/>
      <c r="EE433" s="97"/>
      <c r="EF433" s="97"/>
      <c r="EG433" s="97"/>
      <c r="EH433" s="97"/>
      <c r="EI433" s="97"/>
      <c r="EJ433" s="97"/>
      <c r="EK433" s="97"/>
      <c r="EL433" s="97"/>
      <c r="EM433" s="97"/>
      <c r="EN433" s="97"/>
      <c r="EO433" s="97"/>
      <c r="EP433" s="97"/>
      <c r="EQ433" s="97"/>
      <c r="ER433" s="97"/>
      <c r="ES433" s="97"/>
      <c r="ET433" s="97"/>
    </row>
    <row r="434" spans="1:150" ht="15.75" customHeight="1">
      <c r="A434" s="97"/>
      <c r="B434" s="97"/>
      <c r="C434" s="97"/>
      <c r="D434" s="97"/>
      <c r="E434" s="97"/>
      <c r="F434" s="97"/>
      <c r="G434" s="97"/>
      <c r="H434" s="129"/>
      <c r="I434" s="97"/>
      <c r="J434" s="97"/>
      <c r="K434" s="97"/>
      <c r="L434" s="97"/>
      <c r="M434" s="97"/>
      <c r="N434" s="97"/>
      <c r="O434" s="97"/>
      <c r="P434" s="97"/>
      <c r="Q434" s="97"/>
      <c r="R434" s="97"/>
      <c r="S434" s="97"/>
      <c r="T434" s="97"/>
      <c r="U434" s="97"/>
      <c r="V434" s="97"/>
      <c r="W434" s="97"/>
      <c r="X434" s="129"/>
      <c r="Y434" s="97"/>
      <c r="Z434" s="97"/>
      <c r="AA434" s="97"/>
      <c r="AB434" s="97"/>
      <c r="AC434" s="97"/>
      <c r="AD434" s="97"/>
      <c r="AE434" s="97"/>
      <c r="AF434" s="97"/>
      <c r="AG434" s="97"/>
      <c r="AH434" s="97"/>
      <c r="AI434" s="97"/>
      <c r="AJ434" s="97"/>
      <c r="AK434" s="97"/>
      <c r="AL434" s="97"/>
      <c r="AM434" s="97"/>
      <c r="AN434" s="97"/>
      <c r="AO434" s="97"/>
      <c r="AP434" s="97"/>
      <c r="AQ434" s="97"/>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c r="DF434" s="97"/>
      <c r="DG434" s="97"/>
      <c r="DH434" s="97"/>
      <c r="DI434" s="97"/>
      <c r="DJ434" s="97"/>
      <c r="DK434" s="97"/>
      <c r="DL434" s="97"/>
      <c r="DM434" s="97"/>
      <c r="DN434" s="97"/>
      <c r="DO434" s="97"/>
      <c r="DP434" s="97"/>
      <c r="DQ434" s="97"/>
      <c r="DR434" s="97"/>
      <c r="DS434" s="97"/>
      <c r="DT434" s="97"/>
      <c r="DU434" s="97"/>
      <c r="DV434" s="97"/>
      <c r="DW434" s="97"/>
      <c r="DX434" s="97"/>
      <c r="DY434" s="97"/>
      <c r="DZ434" s="97"/>
      <c r="EA434" s="97"/>
      <c r="EB434" s="97"/>
      <c r="EC434" s="97"/>
      <c r="ED434" s="97"/>
      <c r="EE434" s="97"/>
      <c r="EF434" s="97"/>
      <c r="EG434" s="97"/>
      <c r="EH434" s="97"/>
      <c r="EI434" s="97"/>
      <c r="EJ434" s="97"/>
      <c r="EK434" s="97"/>
      <c r="EL434" s="97"/>
      <c r="EM434" s="97"/>
      <c r="EN434" s="97"/>
      <c r="EO434" s="97"/>
      <c r="EP434" s="97"/>
      <c r="EQ434" s="97"/>
      <c r="ER434" s="97"/>
      <c r="ES434" s="97"/>
      <c r="ET434" s="97"/>
    </row>
    <row r="435" spans="1:150" ht="15.75" customHeight="1">
      <c r="A435" s="97"/>
      <c r="B435" s="97"/>
      <c r="C435" s="97"/>
      <c r="D435" s="97"/>
      <c r="E435" s="97"/>
      <c r="F435" s="97"/>
      <c r="G435" s="97"/>
      <c r="H435" s="129"/>
      <c r="I435" s="97"/>
      <c r="J435" s="97"/>
      <c r="K435" s="97"/>
      <c r="L435" s="97"/>
      <c r="M435" s="97"/>
      <c r="N435" s="97"/>
      <c r="O435" s="97"/>
      <c r="P435" s="97"/>
      <c r="Q435" s="97"/>
      <c r="R435" s="97"/>
      <c r="S435" s="97"/>
      <c r="T435" s="97"/>
      <c r="U435" s="97"/>
      <c r="V435" s="97"/>
      <c r="W435" s="97"/>
      <c r="X435" s="129"/>
      <c r="Y435" s="97"/>
      <c r="Z435" s="97"/>
      <c r="AA435" s="97"/>
      <c r="AB435" s="97"/>
      <c r="AC435" s="97"/>
      <c r="AD435" s="97"/>
      <c r="AE435" s="97"/>
      <c r="AF435" s="97"/>
      <c r="AG435" s="97"/>
      <c r="AH435" s="97"/>
      <c r="AI435" s="97"/>
      <c r="AJ435" s="97"/>
      <c r="AK435" s="97"/>
      <c r="AL435" s="97"/>
      <c r="AM435" s="97"/>
      <c r="AN435" s="97"/>
      <c r="AO435" s="97"/>
      <c r="AP435" s="97"/>
      <c r="AQ435" s="97"/>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c r="DF435" s="97"/>
      <c r="DG435" s="97"/>
      <c r="DH435" s="97"/>
      <c r="DI435" s="97"/>
      <c r="DJ435" s="97"/>
      <c r="DK435" s="97"/>
      <c r="DL435" s="97"/>
      <c r="DM435" s="97"/>
      <c r="DN435" s="97"/>
      <c r="DO435" s="97"/>
      <c r="DP435" s="97"/>
      <c r="DQ435" s="97"/>
      <c r="DR435" s="97"/>
      <c r="DS435" s="97"/>
      <c r="DT435" s="97"/>
      <c r="DU435" s="97"/>
      <c r="DV435" s="97"/>
      <c r="DW435" s="97"/>
      <c r="DX435" s="97"/>
      <c r="DY435" s="97"/>
      <c r="DZ435" s="97"/>
      <c r="EA435" s="97"/>
      <c r="EB435" s="97"/>
      <c r="EC435" s="97"/>
      <c r="ED435" s="97"/>
      <c r="EE435" s="97"/>
      <c r="EF435" s="97"/>
      <c r="EG435" s="97"/>
      <c r="EH435" s="97"/>
      <c r="EI435" s="97"/>
      <c r="EJ435" s="97"/>
      <c r="EK435" s="97"/>
      <c r="EL435" s="97"/>
      <c r="EM435" s="97"/>
      <c r="EN435" s="97"/>
      <c r="EO435" s="97"/>
      <c r="EP435" s="97"/>
      <c r="EQ435" s="97"/>
      <c r="ER435" s="97"/>
      <c r="ES435" s="97"/>
      <c r="ET435" s="97"/>
    </row>
    <row r="436" spans="1:150" ht="15.75" customHeight="1">
      <c r="A436" s="97"/>
      <c r="B436" s="97"/>
      <c r="C436" s="97"/>
      <c r="D436" s="97"/>
      <c r="E436" s="97"/>
      <c r="F436" s="97"/>
      <c r="G436" s="97"/>
      <c r="H436" s="129"/>
      <c r="I436" s="97"/>
      <c r="J436" s="97"/>
      <c r="K436" s="97"/>
      <c r="L436" s="97"/>
      <c r="M436" s="97"/>
      <c r="N436" s="97"/>
      <c r="O436" s="97"/>
      <c r="P436" s="97"/>
      <c r="Q436" s="97"/>
      <c r="R436" s="97"/>
      <c r="S436" s="97"/>
      <c r="T436" s="97"/>
      <c r="U436" s="97"/>
      <c r="V436" s="97"/>
      <c r="W436" s="97"/>
      <c r="X436" s="129"/>
      <c r="Y436" s="97"/>
      <c r="Z436" s="97"/>
      <c r="AA436" s="97"/>
      <c r="AB436" s="97"/>
      <c r="AC436" s="97"/>
      <c r="AD436" s="97"/>
      <c r="AE436" s="97"/>
      <c r="AF436" s="97"/>
      <c r="AG436" s="97"/>
      <c r="AH436" s="97"/>
      <c r="AI436" s="97"/>
      <c r="AJ436" s="97"/>
      <c r="AK436" s="97"/>
      <c r="AL436" s="97"/>
      <c r="AM436" s="97"/>
      <c r="AN436" s="97"/>
      <c r="AO436" s="97"/>
      <c r="AP436" s="97"/>
      <c r="AQ436" s="97"/>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c r="DF436" s="97"/>
      <c r="DG436" s="97"/>
      <c r="DH436" s="97"/>
      <c r="DI436" s="97"/>
      <c r="DJ436" s="97"/>
      <c r="DK436" s="97"/>
      <c r="DL436" s="97"/>
      <c r="DM436" s="97"/>
      <c r="DN436" s="97"/>
      <c r="DO436" s="97"/>
      <c r="DP436" s="97"/>
      <c r="DQ436" s="97"/>
      <c r="DR436" s="97"/>
      <c r="DS436" s="97"/>
      <c r="DT436" s="97"/>
      <c r="DU436" s="97"/>
      <c r="DV436" s="97"/>
      <c r="DW436" s="97"/>
      <c r="DX436" s="97"/>
      <c r="DY436" s="97"/>
      <c r="DZ436" s="97"/>
      <c r="EA436" s="97"/>
      <c r="EB436" s="97"/>
      <c r="EC436" s="97"/>
      <c r="ED436" s="97"/>
      <c r="EE436" s="97"/>
      <c r="EF436" s="97"/>
      <c r="EG436" s="97"/>
      <c r="EH436" s="97"/>
      <c r="EI436" s="97"/>
      <c r="EJ436" s="97"/>
      <c r="EK436" s="97"/>
      <c r="EL436" s="97"/>
      <c r="EM436" s="97"/>
      <c r="EN436" s="97"/>
      <c r="EO436" s="97"/>
      <c r="EP436" s="97"/>
      <c r="EQ436" s="97"/>
      <c r="ER436" s="97"/>
      <c r="ES436" s="97"/>
      <c r="ET436" s="97"/>
    </row>
    <row r="437" spans="1:150" ht="15.75" customHeight="1">
      <c r="A437" s="97"/>
      <c r="B437" s="97"/>
      <c r="C437" s="97"/>
      <c r="D437" s="97"/>
      <c r="E437" s="97"/>
      <c r="F437" s="97"/>
      <c r="G437" s="97"/>
      <c r="H437" s="129"/>
      <c r="I437" s="97"/>
      <c r="J437" s="97"/>
      <c r="K437" s="97"/>
      <c r="L437" s="97"/>
      <c r="M437" s="97"/>
      <c r="N437" s="97"/>
      <c r="O437" s="97"/>
      <c r="P437" s="97"/>
      <c r="Q437" s="97"/>
      <c r="R437" s="97"/>
      <c r="S437" s="97"/>
      <c r="T437" s="97"/>
      <c r="U437" s="97"/>
      <c r="V437" s="97"/>
      <c r="W437" s="97"/>
      <c r="X437" s="129"/>
      <c r="Y437" s="97"/>
      <c r="Z437" s="97"/>
      <c r="AA437" s="97"/>
      <c r="AB437" s="97"/>
      <c r="AC437" s="97"/>
      <c r="AD437" s="97"/>
      <c r="AE437" s="97"/>
      <c r="AF437" s="97"/>
      <c r="AG437" s="97"/>
      <c r="AH437" s="97"/>
      <c r="AI437" s="97"/>
      <c r="AJ437" s="97"/>
      <c r="AK437" s="97"/>
      <c r="AL437" s="97"/>
      <c r="AM437" s="97"/>
      <c r="AN437" s="97"/>
      <c r="AO437" s="97"/>
      <c r="AP437" s="97"/>
      <c r="AQ437" s="97"/>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c r="DF437" s="97"/>
      <c r="DG437" s="97"/>
      <c r="DH437" s="97"/>
      <c r="DI437" s="97"/>
      <c r="DJ437" s="97"/>
      <c r="DK437" s="97"/>
      <c r="DL437" s="97"/>
      <c r="DM437" s="97"/>
      <c r="DN437" s="97"/>
      <c r="DO437" s="97"/>
      <c r="DP437" s="97"/>
      <c r="DQ437" s="97"/>
      <c r="DR437" s="97"/>
      <c r="DS437" s="97"/>
      <c r="DT437" s="97"/>
      <c r="DU437" s="97"/>
      <c r="DV437" s="97"/>
      <c r="DW437" s="97"/>
      <c r="DX437" s="97"/>
      <c r="DY437" s="97"/>
      <c r="DZ437" s="97"/>
      <c r="EA437" s="97"/>
      <c r="EB437" s="97"/>
      <c r="EC437" s="97"/>
      <c r="ED437" s="97"/>
      <c r="EE437" s="97"/>
      <c r="EF437" s="97"/>
      <c r="EG437" s="97"/>
      <c r="EH437" s="97"/>
      <c r="EI437" s="97"/>
      <c r="EJ437" s="97"/>
      <c r="EK437" s="97"/>
      <c r="EL437" s="97"/>
      <c r="EM437" s="97"/>
      <c r="EN437" s="97"/>
      <c r="EO437" s="97"/>
      <c r="EP437" s="97"/>
      <c r="EQ437" s="97"/>
      <c r="ER437" s="97"/>
      <c r="ES437" s="97"/>
      <c r="ET437" s="97"/>
    </row>
    <row r="438" spans="1:150" ht="15.75" customHeight="1">
      <c r="A438" s="97"/>
      <c r="B438" s="97"/>
      <c r="C438" s="97"/>
      <c r="D438" s="97"/>
      <c r="E438" s="97"/>
      <c r="F438" s="97"/>
      <c r="G438" s="97"/>
      <c r="H438" s="129"/>
      <c r="I438" s="97"/>
      <c r="J438" s="97"/>
      <c r="K438" s="97"/>
      <c r="L438" s="97"/>
      <c r="M438" s="97"/>
      <c r="N438" s="97"/>
      <c r="O438" s="97"/>
      <c r="P438" s="97"/>
      <c r="Q438" s="97"/>
      <c r="R438" s="97"/>
      <c r="S438" s="97"/>
      <c r="T438" s="97"/>
      <c r="U438" s="97"/>
      <c r="V438" s="97"/>
      <c r="W438" s="97"/>
      <c r="X438" s="129"/>
      <c r="Y438" s="97"/>
      <c r="Z438" s="97"/>
      <c r="AA438" s="97"/>
      <c r="AB438" s="97"/>
      <c r="AC438" s="97"/>
      <c r="AD438" s="97"/>
      <c r="AE438" s="97"/>
      <c r="AF438" s="97"/>
      <c r="AG438" s="97"/>
      <c r="AH438" s="97"/>
      <c r="AI438" s="97"/>
      <c r="AJ438" s="97"/>
      <c r="AK438" s="97"/>
      <c r="AL438" s="97"/>
      <c r="AM438" s="97"/>
      <c r="AN438" s="97"/>
      <c r="AO438" s="97"/>
      <c r="AP438" s="97"/>
      <c r="AQ438" s="97"/>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c r="DF438" s="97"/>
      <c r="DG438" s="97"/>
      <c r="DH438" s="97"/>
      <c r="DI438" s="97"/>
      <c r="DJ438" s="97"/>
      <c r="DK438" s="97"/>
      <c r="DL438" s="97"/>
      <c r="DM438" s="97"/>
      <c r="DN438" s="97"/>
      <c r="DO438" s="97"/>
      <c r="DP438" s="97"/>
      <c r="DQ438" s="97"/>
      <c r="DR438" s="97"/>
      <c r="DS438" s="97"/>
      <c r="DT438" s="97"/>
      <c r="DU438" s="97"/>
      <c r="DV438" s="97"/>
      <c r="DW438" s="97"/>
      <c r="DX438" s="97"/>
      <c r="DY438" s="97"/>
      <c r="DZ438" s="97"/>
      <c r="EA438" s="97"/>
      <c r="EB438" s="97"/>
      <c r="EC438" s="97"/>
      <c r="ED438" s="97"/>
      <c r="EE438" s="97"/>
      <c r="EF438" s="97"/>
      <c r="EG438" s="97"/>
      <c r="EH438" s="97"/>
      <c r="EI438" s="97"/>
      <c r="EJ438" s="97"/>
      <c r="EK438" s="97"/>
      <c r="EL438" s="97"/>
      <c r="EM438" s="97"/>
      <c r="EN438" s="97"/>
      <c r="EO438" s="97"/>
      <c r="EP438" s="97"/>
      <c r="EQ438" s="97"/>
      <c r="ER438" s="97"/>
      <c r="ES438" s="97"/>
      <c r="ET438" s="97"/>
    </row>
    <row r="439" spans="1:150" ht="15.75" customHeight="1">
      <c r="A439" s="97"/>
      <c r="B439" s="97"/>
      <c r="C439" s="97"/>
      <c r="D439" s="97"/>
      <c r="E439" s="97"/>
      <c r="F439" s="97"/>
      <c r="G439" s="97"/>
      <c r="H439" s="129"/>
      <c r="I439" s="97"/>
      <c r="J439" s="97"/>
      <c r="K439" s="97"/>
      <c r="L439" s="97"/>
      <c r="M439" s="97"/>
      <c r="N439" s="97"/>
      <c r="O439" s="97"/>
      <c r="P439" s="97"/>
      <c r="Q439" s="97"/>
      <c r="R439" s="97"/>
      <c r="S439" s="97"/>
      <c r="T439" s="97"/>
      <c r="U439" s="97"/>
      <c r="V439" s="97"/>
      <c r="W439" s="97"/>
      <c r="X439" s="129"/>
      <c r="Y439" s="97"/>
      <c r="Z439" s="97"/>
      <c r="AA439" s="97"/>
      <c r="AB439" s="97"/>
      <c r="AC439" s="97"/>
      <c r="AD439" s="97"/>
      <c r="AE439" s="97"/>
      <c r="AF439" s="97"/>
      <c r="AG439" s="97"/>
      <c r="AH439" s="97"/>
      <c r="AI439" s="97"/>
      <c r="AJ439" s="97"/>
      <c r="AK439" s="97"/>
      <c r="AL439" s="97"/>
      <c r="AM439" s="97"/>
      <c r="AN439" s="97"/>
      <c r="AO439" s="97"/>
      <c r="AP439" s="97"/>
      <c r="AQ439" s="97"/>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c r="DF439" s="97"/>
      <c r="DG439" s="97"/>
      <c r="DH439" s="97"/>
      <c r="DI439" s="97"/>
      <c r="DJ439" s="97"/>
      <c r="DK439" s="97"/>
      <c r="DL439" s="97"/>
      <c r="DM439" s="97"/>
      <c r="DN439" s="97"/>
      <c r="DO439" s="97"/>
      <c r="DP439" s="97"/>
      <c r="DQ439" s="97"/>
      <c r="DR439" s="97"/>
      <c r="DS439" s="97"/>
      <c r="DT439" s="97"/>
      <c r="DU439" s="97"/>
      <c r="DV439" s="97"/>
      <c r="DW439" s="97"/>
      <c r="DX439" s="97"/>
      <c r="DY439" s="97"/>
      <c r="DZ439" s="97"/>
      <c r="EA439" s="97"/>
      <c r="EB439" s="97"/>
      <c r="EC439" s="97"/>
      <c r="ED439" s="97"/>
      <c r="EE439" s="97"/>
      <c r="EF439" s="97"/>
      <c r="EG439" s="97"/>
      <c r="EH439" s="97"/>
      <c r="EI439" s="97"/>
      <c r="EJ439" s="97"/>
      <c r="EK439" s="97"/>
      <c r="EL439" s="97"/>
      <c r="EM439" s="97"/>
      <c r="EN439" s="97"/>
      <c r="EO439" s="97"/>
      <c r="EP439" s="97"/>
      <c r="EQ439" s="97"/>
      <c r="ER439" s="97"/>
      <c r="ES439" s="97"/>
      <c r="ET439" s="97"/>
    </row>
    <row r="440" spans="1:150" ht="15.75" customHeight="1">
      <c r="A440" s="97"/>
      <c r="B440" s="97"/>
      <c r="C440" s="97"/>
      <c r="D440" s="97"/>
      <c r="E440" s="97"/>
      <c r="F440" s="97"/>
      <c r="G440" s="97"/>
      <c r="H440" s="129"/>
      <c r="I440" s="97"/>
      <c r="J440" s="97"/>
      <c r="K440" s="97"/>
      <c r="L440" s="97"/>
      <c r="M440" s="97"/>
      <c r="N440" s="97"/>
      <c r="O440" s="97"/>
      <c r="P440" s="97"/>
      <c r="Q440" s="97"/>
      <c r="R440" s="97"/>
      <c r="S440" s="97"/>
      <c r="T440" s="97"/>
      <c r="U440" s="97"/>
      <c r="V440" s="97"/>
      <c r="W440" s="97"/>
      <c r="X440" s="129"/>
      <c r="Y440" s="97"/>
      <c r="Z440" s="97"/>
      <c r="AA440" s="97"/>
      <c r="AB440" s="97"/>
      <c r="AC440" s="97"/>
      <c r="AD440" s="97"/>
      <c r="AE440" s="97"/>
      <c r="AF440" s="97"/>
      <c r="AG440" s="97"/>
      <c r="AH440" s="97"/>
      <c r="AI440" s="97"/>
      <c r="AJ440" s="97"/>
      <c r="AK440" s="97"/>
      <c r="AL440" s="97"/>
      <c r="AM440" s="97"/>
      <c r="AN440" s="97"/>
      <c r="AO440" s="97"/>
      <c r="AP440" s="97"/>
      <c r="AQ440" s="97"/>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c r="DF440" s="97"/>
      <c r="DG440" s="97"/>
      <c r="DH440" s="97"/>
      <c r="DI440" s="97"/>
      <c r="DJ440" s="97"/>
      <c r="DK440" s="97"/>
      <c r="DL440" s="97"/>
      <c r="DM440" s="97"/>
      <c r="DN440" s="97"/>
      <c r="DO440" s="97"/>
      <c r="DP440" s="97"/>
      <c r="DQ440" s="97"/>
      <c r="DR440" s="97"/>
      <c r="DS440" s="97"/>
      <c r="DT440" s="97"/>
      <c r="DU440" s="97"/>
      <c r="DV440" s="97"/>
      <c r="DW440" s="97"/>
      <c r="DX440" s="97"/>
      <c r="DY440" s="97"/>
      <c r="DZ440" s="97"/>
      <c r="EA440" s="97"/>
      <c r="EB440" s="97"/>
      <c r="EC440" s="97"/>
      <c r="ED440" s="97"/>
      <c r="EE440" s="97"/>
      <c r="EF440" s="97"/>
      <c r="EG440" s="97"/>
      <c r="EH440" s="97"/>
      <c r="EI440" s="97"/>
      <c r="EJ440" s="97"/>
      <c r="EK440" s="97"/>
      <c r="EL440" s="97"/>
      <c r="EM440" s="97"/>
      <c r="EN440" s="97"/>
      <c r="EO440" s="97"/>
      <c r="EP440" s="97"/>
      <c r="EQ440" s="97"/>
      <c r="ER440" s="97"/>
      <c r="ES440" s="97"/>
      <c r="ET440" s="97"/>
    </row>
    <row r="441" spans="1:150" ht="15.75" customHeight="1">
      <c r="A441" s="97"/>
      <c r="B441" s="97"/>
      <c r="C441" s="97"/>
      <c r="D441" s="97"/>
      <c r="E441" s="97"/>
      <c r="F441" s="97"/>
      <c r="G441" s="97"/>
      <c r="H441" s="129"/>
      <c r="I441" s="97"/>
      <c r="J441" s="97"/>
      <c r="K441" s="97"/>
      <c r="L441" s="97"/>
      <c r="M441" s="97"/>
      <c r="N441" s="97"/>
      <c r="O441" s="97"/>
      <c r="P441" s="97"/>
      <c r="Q441" s="97"/>
      <c r="R441" s="97"/>
      <c r="S441" s="97"/>
      <c r="T441" s="97"/>
      <c r="U441" s="97"/>
      <c r="V441" s="97"/>
      <c r="W441" s="97"/>
      <c r="X441" s="129"/>
      <c r="Y441" s="97"/>
      <c r="Z441" s="97"/>
      <c r="AA441" s="97"/>
      <c r="AB441" s="97"/>
      <c r="AC441" s="97"/>
      <c r="AD441" s="97"/>
      <c r="AE441" s="97"/>
      <c r="AF441" s="97"/>
      <c r="AG441" s="97"/>
      <c r="AH441" s="97"/>
      <c r="AI441" s="97"/>
      <c r="AJ441" s="97"/>
      <c r="AK441" s="97"/>
      <c r="AL441" s="97"/>
      <c r="AM441" s="97"/>
      <c r="AN441" s="97"/>
      <c r="AO441" s="97"/>
      <c r="AP441" s="97"/>
      <c r="AQ441" s="97"/>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c r="DF441" s="97"/>
      <c r="DG441" s="97"/>
      <c r="DH441" s="97"/>
      <c r="DI441" s="97"/>
      <c r="DJ441" s="97"/>
      <c r="DK441" s="97"/>
      <c r="DL441" s="97"/>
      <c r="DM441" s="97"/>
      <c r="DN441" s="97"/>
      <c r="DO441" s="97"/>
      <c r="DP441" s="97"/>
      <c r="DQ441" s="97"/>
      <c r="DR441" s="97"/>
      <c r="DS441" s="97"/>
      <c r="DT441" s="97"/>
      <c r="DU441" s="97"/>
      <c r="DV441" s="97"/>
      <c r="DW441" s="97"/>
      <c r="DX441" s="97"/>
      <c r="DY441" s="97"/>
      <c r="DZ441" s="97"/>
      <c r="EA441" s="97"/>
      <c r="EB441" s="97"/>
      <c r="EC441" s="97"/>
      <c r="ED441" s="97"/>
      <c r="EE441" s="97"/>
      <c r="EF441" s="97"/>
      <c r="EG441" s="97"/>
      <c r="EH441" s="97"/>
      <c r="EI441" s="97"/>
      <c r="EJ441" s="97"/>
      <c r="EK441" s="97"/>
      <c r="EL441" s="97"/>
      <c r="EM441" s="97"/>
      <c r="EN441" s="97"/>
      <c r="EO441" s="97"/>
      <c r="EP441" s="97"/>
      <c r="EQ441" s="97"/>
      <c r="ER441" s="97"/>
      <c r="ES441" s="97"/>
      <c r="ET441" s="97"/>
    </row>
    <row r="442" spans="1:150" ht="15.75" customHeight="1">
      <c r="A442" s="97"/>
      <c r="B442" s="97"/>
      <c r="C442" s="97"/>
      <c r="D442" s="97"/>
      <c r="E442" s="97"/>
      <c r="F442" s="97"/>
      <c r="G442" s="97"/>
      <c r="H442" s="129"/>
      <c r="I442" s="97"/>
      <c r="J442" s="97"/>
      <c r="K442" s="97"/>
      <c r="L442" s="97"/>
      <c r="M442" s="97"/>
      <c r="N442" s="97"/>
      <c r="O442" s="97"/>
      <c r="P442" s="97"/>
      <c r="Q442" s="97"/>
      <c r="R442" s="97"/>
      <c r="S442" s="97"/>
      <c r="T442" s="97"/>
      <c r="U442" s="97"/>
      <c r="V442" s="97"/>
      <c r="W442" s="97"/>
      <c r="X442" s="129"/>
      <c r="Y442" s="97"/>
      <c r="Z442" s="97"/>
      <c r="AA442" s="97"/>
      <c r="AB442" s="97"/>
      <c r="AC442" s="97"/>
      <c r="AD442" s="97"/>
      <c r="AE442" s="97"/>
      <c r="AF442" s="97"/>
      <c r="AG442" s="97"/>
      <c r="AH442" s="97"/>
      <c r="AI442" s="97"/>
      <c r="AJ442" s="97"/>
      <c r="AK442" s="97"/>
      <c r="AL442" s="97"/>
      <c r="AM442" s="97"/>
      <c r="AN442" s="97"/>
      <c r="AO442" s="97"/>
      <c r="AP442" s="97"/>
      <c r="AQ442" s="97"/>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c r="DF442" s="97"/>
      <c r="DG442" s="97"/>
      <c r="DH442" s="97"/>
      <c r="DI442" s="97"/>
      <c r="DJ442" s="97"/>
      <c r="DK442" s="97"/>
      <c r="DL442" s="97"/>
      <c r="DM442" s="97"/>
      <c r="DN442" s="97"/>
      <c r="DO442" s="97"/>
      <c r="DP442" s="97"/>
      <c r="DQ442" s="97"/>
      <c r="DR442" s="97"/>
      <c r="DS442" s="97"/>
      <c r="DT442" s="97"/>
      <c r="DU442" s="97"/>
      <c r="DV442" s="97"/>
      <c r="DW442" s="97"/>
      <c r="DX442" s="97"/>
      <c r="DY442" s="97"/>
      <c r="DZ442" s="97"/>
      <c r="EA442" s="97"/>
      <c r="EB442" s="97"/>
      <c r="EC442" s="97"/>
      <c r="ED442" s="97"/>
      <c r="EE442" s="97"/>
      <c r="EF442" s="97"/>
      <c r="EG442" s="97"/>
      <c r="EH442" s="97"/>
      <c r="EI442" s="97"/>
      <c r="EJ442" s="97"/>
      <c r="EK442" s="97"/>
      <c r="EL442" s="97"/>
      <c r="EM442" s="97"/>
      <c r="EN442" s="97"/>
      <c r="EO442" s="97"/>
      <c r="EP442" s="97"/>
      <c r="EQ442" s="97"/>
      <c r="ER442" s="97"/>
      <c r="ES442" s="97"/>
      <c r="ET442" s="97"/>
    </row>
    <row r="443" spans="1:150" ht="15.75" customHeight="1">
      <c r="A443" s="97"/>
      <c r="B443" s="97"/>
      <c r="C443" s="97"/>
      <c r="D443" s="97"/>
      <c r="E443" s="97"/>
      <c r="F443" s="97"/>
      <c r="G443" s="97"/>
      <c r="H443" s="129"/>
      <c r="I443" s="97"/>
      <c r="J443" s="97"/>
      <c r="K443" s="97"/>
      <c r="L443" s="97"/>
      <c r="M443" s="97"/>
      <c r="N443" s="97"/>
      <c r="O443" s="97"/>
      <c r="P443" s="97"/>
      <c r="Q443" s="97"/>
      <c r="R443" s="97"/>
      <c r="S443" s="97"/>
      <c r="T443" s="97"/>
      <c r="U443" s="97"/>
      <c r="V443" s="97"/>
      <c r="W443" s="97"/>
      <c r="X443" s="129"/>
      <c r="Y443" s="97"/>
      <c r="Z443" s="97"/>
      <c r="AA443" s="97"/>
      <c r="AB443" s="97"/>
      <c r="AC443" s="97"/>
      <c r="AD443" s="97"/>
      <c r="AE443" s="97"/>
      <c r="AF443" s="97"/>
      <c r="AG443" s="97"/>
      <c r="AH443" s="97"/>
      <c r="AI443" s="97"/>
      <c r="AJ443" s="97"/>
      <c r="AK443" s="97"/>
      <c r="AL443" s="97"/>
      <c r="AM443" s="97"/>
      <c r="AN443" s="97"/>
      <c r="AO443" s="97"/>
      <c r="AP443" s="97"/>
      <c r="AQ443" s="97"/>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c r="DF443" s="97"/>
      <c r="DG443" s="97"/>
      <c r="DH443" s="97"/>
      <c r="DI443" s="97"/>
      <c r="DJ443" s="97"/>
      <c r="DK443" s="97"/>
      <c r="DL443" s="97"/>
      <c r="DM443" s="97"/>
      <c r="DN443" s="97"/>
      <c r="DO443" s="97"/>
      <c r="DP443" s="97"/>
      <c r="DQ443" s="97"/>
      <c r="DR443" s="97"/>
      <c r="DS443" s="97"/>
      <c r="DT443" s="97"/>
      <c r="DU443" s="97"/>
      <c r="DV443" s="97"/>
      <c r="DW443" s="97"/>
      <c r="DX443" s="97"/>
      <c r="DY443" s="97"/>
      <c r="DZ443" s="97"/>
      <c r="EA443" s="97"/>
      <c r="EB443" s="97"/>
      <c r="EC443" s="97"/>
      <c r="ED443" s="97"/>
      <c r="EE443" s="97"/>
      <c r="EF443" s="97"/>
      <c r="EG443" s="97"/>
      <c r="EH443" s="97"/>
      <c r="EI443" s="97"/>
      <c r="EJ443" s="97"/>
      <c r="EK443" s="97"/>
      <c r="EL443" s="97"/>
      <c r="EM443" s="97"/>
      <c r="EN443" s="97"/>
      <c r="EO443" s="97"/>
      <c r="EP443" s="97"/>
      <c r="EQ443" s="97"/>
      <c r="ER443" s="97"/>
      <c r="ES443" s="97"/>
      <c r="ET443" s="97"/>
    </row>
    <row r="444" spans="1:150" ht="15.75" customHeight="1">
      <c r="A444" s="97"/>
      <c r="B444" s="97"/>
      <c r="C444" s="97"/>
      <c r="D444" s="97"/>
      <c r="E444" s="97"/>
      <c r="F444" s="97"/>
      <c r="G444" s="97"/>
      <c r="H444" s="129"/>
      <c r="I444" s="97"/>
      <c r="J444" s="97"/>
      <c r="K444" s="97"/>
      <c r="L444" s="97"/>
      <c r="M444" s="97"/>
      <c r="N444" s="97"/>
      <c r="O444" s="97"/>
      <c r="P444" s="97"/>
      <c r="Q444" s="97"/>
      <c r="R444" s="97"/>
      <c r="S444" s="97"/>
      <c r="T444" s="97"/>
      <c r="U444" s="97"/>
      <c r="V444" s="97"/>
      <c r="W444" s="97"/>
      <c r="X444" s="129"/>
      <c r="Y444" s="97"/>
      <c r="Z444" s="97"/>
      <c r="AA444" s="97"/>
      <c r="AB444" s="97"/>
      <c r="AC444" s="97"/>
      <c r="AD444" s="97"/>
      <c r="AE444" s="97"/>
      <c r="AF444" s="97"/>
      <c r="AG444" s="97"/>
      <c r="AH444" s="97"/>
      <c r="AI444" s="97"/>
      <c r="AJ444" s="97"/>
      <c r="AK444" s="97"/>
      <c r="AL444" s="97"/>
      <c r="AM444" s="97"/>
      <c r="AN444" s="97"/>
      <c r="AO444" s="97"/>
      <c r="AP444" s="97"/>
      <c r="AQ444" s="97"/>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c r="DF444" s="97"/>
      <c r="DG444" s="97"/>
      <c r="DH444" s="97"/>
      <c r="DI444" s="97"/>
      <c r="DJ444" s="97"/>
      <c r="DK444" s="97"/>
      <c r="DL444" s="97"/>
      <c r="DM444" s="97"/>
      <c r="DN444" s="97"/>
      <c r="DO444" s="97"/>
      <c r="DP444" s="97"/>
      <c r="DQ444" s="97"/>
      <c r="DR444" s="97"/>
      <c r="DS444" s="97"/>
      <c r="DT444" s="97"/>
      <c r="DU444" s="97"/>
      <c r="DV444" s="97"/>
      <c r="DW444" s="97"/>
      <c r="DX444" s="97"/>
      <c r="DY444" s="97"/>
      <c r="DZ444" s="97"/>
      <c r="EA444" s="97"/>
      <c r="EB444" s="97"/>
      <c r="EC444" s="97"/>
      <c r="ED444" s="97"/>
      <c r="EE444" s="97"/>
      <c r="EF444" s="97"/>
      <c r="EG444" s="97"/>
      <c r="EH444" s="97"/>
      <c r="EI444" s="97"/>
      <c r="EJ444" s="97"/>
      <c r="EK444" s="97"/>
      <c r="EL444" s="97"/>
      <c r="EM444" s="97"/>
      <c r="EN444" s="97"/>
      <c r="EO444" s="97"/>
      <c r="EP444" s="97"/>
      <c r="EQ444" s="97"/>
      <c r="ER444" s="97"/>
      <c r="ES444" s="97"/>
      <c r="ET444" s="97"/>
    </row>
    <row r="445" spans="1:150" ht="15.75" customHeight="1">
      <c r="A445" s="97"/>
      <c r="B445" s="97"/>
      <c r="C445" s="97"/>
      <c r="D445" s="97"/>
      <c r="E445" s="97"/>
      <c r="F445" s="97"/>
      <c r="G445" s="97"/>
      <c r="H445" s="129"/>
      <c r="I445" s="97"/>
      <c r="J445" s="97"/>
      <c r="K445" s="97"/>
      <c r="L445" s="97"/>
      <c r="M445" s="97"/>
      <c r="N445" s="97"/>
      <c r="O445" s="97"/>
      <c r="P445" s="97"/>
      <c r="Q445" s="97"/>
      <c r="R445" s="97"/>
      <c r="S445" s="97"/>
      <c r="T445" s="97"/>
      <c r="U445" s="97"/>
      <c r="V445" s="97"/>
      <c r="W445" s="97"/>
      <c r="X445" s="129"/>
      <c r="Y445" s="97"/>
      <c r="Z445" s="97"/>
      <c r="AA445" s="97"/>
      <c r="AB445" s="97"/>
      <c r="AC445" s="97"/>
      <c r="AD445" s="97"/>
      <c r="AE445" s="97"/>
      <c r="AF445" s="97"/>
      <c r="AG445" s="97"/>
      <c r="AH445" s="97"/>
      <c r="AI445" s="97"/>
      <c r="AJ445" s="97"/>
      <c r="AK445" s="97"/>
      <c r="AL445" s="97"/>
      <c r="AM445" s="97"/>
      <c r="AN445" s="97"/>
      <c r="AO445" s="97"/>
      <c r="AP445" s="97"/>
      <c r="AQ445" s="97"/>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c r="DF445" s="97"/>
      <c r="DG445" s="97"/>
      <c r="DH445" s="97"/>
      <c r="DI445" s="97"/>
      <c r="DJ445" s="97"/>
      <c r="DK445" s="97"/>
      <c r="DL445" s="97"/>
      <c r="DM445" s="97"/>
      <c r="DN445" s="97"/>
      <c r="DO445" s="97"/>
      <c r="DP445" s="97"/>
      <c r="DQ445" s="97"/>
      <c r="DR445" s="97"/>
      <c r="DS445" s="97"/>
      <c r="DT445" s="97"/>
      <c r="DU445" s="97"/>
      <c r="DV445" s="97"/>
      <c r="DW445" s="97"/>
      <c r="DX445" s="97"/>
      <c r="DY445" s="97"/>
      <c r="DZ445" s="97"/>
      <c r="EA445" s="97"/>
      <c r="EB445" s="97"/>
      <c r="EC445" s="97"/>
      <c r="ED445" s="97"/>
      <c r="EE445" s="97"/>
      <c r="EF445" s="97"/>
      <c r="EG445" s="97"/>
      <c r="EH445" s="97"/>
      <c r="EI445" s="97"/>
      <c r="EJ445" s="97"/>
      <c r="EK445" s="97"/>
      <c r="EL445" s="97"/>
      <c r="EM445" s="97"/>
      <c r="EN445" s="97"/>
      <c r="EO445" s="97"/>
      <c r="EP445" s="97"/>
      <c r="EQ445" s="97"/>
      <c r="ER445" s="97"/>
      <c r="ES445" s="97"/>
      <c r="ET445" s="97"/>
    </row>
    <row r="446" spans="1:150" ht="15.75" customHeight="1">
      <c r="A446" s="97"/>
      <c r="B446" s="97"/>
      <c r="C446" s="97"/>
      <c r="D446" s="97"/>
      <c r="E446" s="97"/>
      <c r="F446" s="97"/>
      <c r="G446" s="97"/>
      <c r="H446" s="129"/>
      <c r="I446" s="97"/>
      <c r="J446" s="97"/>
      <c r="K446" s="97"/>
      <c r="L446" s="97"/>
      <c r="M446" s="97"/>
      <c r="N446" s="97"/>
      <c r="O446" s="97"/>
      <c r="P446" s="97"/>
      <c r="Q446" s="97"/>
      <c r="R446" s="97"/>
      <c r="S446" s="97"/>
      <c r="T446" s="97"/>
      <c r="U446" s="97"/>
      <c r="V446" s="97"/>
      <c r="W446" s="97"/>
      <c r="X446" s="129"/>
      <c r="Y446" s="97"/>
      <c r="Z446" s="97"/>
      <c r="AA446" s="97"/>
      <c r="AB446" s="97"/>
      <c r="AC446" s="97"/>
      <c r="AD446" s="97"/>
      <c r="AE446" s="97"/>
      <c r="AF446" s="97"/>
      <c r="AG446" s="97"/>
      <c r="AH446" s="97"/>
      <c r="AI446" s="97"/>
      <c r="AJ446" s="97"/>
      <c r="AK446" s="97"/>
      <c r="AL446" s="97"/>
      <c r="AM446" s="97"/>
      <c r="AN446" s="97"/>
      <c r="AO446" s="97"/>
      <c r="AP446" s="97"/>
      <c r="AQ446" s="97"/>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c r="DF446" s="97"/>
      <c r="DG446" s="97"/>
      <c r="DH446" s="97"/>
      <c r="DI446" s="97"/>
      <c r="DJ446" s="97"/>
      <c r="DK446" s="97"/>
      <c r="DL446" s="97"/>
      <c r="DM446" s="97"/>
      <c r="DN446" s="97"/>
      <c r="DO446" s="97"/>
      <c r="DP446" s="97"/>
      <c r="DQ446" s="97"/>
      <c r="DR446" s="97"/>
      <c r="DS446" s="97"/>
      <c r="DT446" s="97"/>
      <c r="DU446" s="97"/>
      <c r="DV446" s="97"/>
      <c r="DW446" s="97"/>
      <c r="DX446" s="97"/>
      <c r="DY446" s="97"/>
      <c r="DZ446" s="97"/>
      <c r="EA446" s="97"/>
      <c r="EB446" s="97"/>
      <c r="EC446" s="97"/>
      <c r="ED446" s="97"/>
      <c r="EE446" s="97"/>
      <c r="EF446" s="97"/>
      <c r="EG446" s="97"/>
      <c r="EH446" s="97"/>
      <c r="EI446" s="97"/>
      <c r="EJ446" s="97"/>
      <c r="EK446" s="97"/>
      <c r="EL446" s="97"/>
      <c r="EM446" s="97"/>
      <c r="EN446" s="97"/>
      <c r="EO446" s="97"/>
      <c r="EP446" s="97"/>
      <c r="EQ446" s="97"/>
      <c r="ER446" s="97"/>
      <c r="ES446" s="97"/>
      <c r="ET446" s="97"/>
    </row>
    <row r="447" spans="1:150" ht="15.75" customHeight="1">
      <c r="A447" s="97"/>
      <c r="B447" s="97"/>
      <c r="C447" s="97"/>
      <c r="D447" s="97"/>
      <c r="E447" s="97"/>
      <c r="F447" s="97"/>
      <c r="G447" s="97"/>
      <c r="H447" s="129"/>
      <c r="I447" s="97"/>
      <c r="J447" s="97"/>
      <c r="K447" s="97"/>
      <c r="L447" s="97"/>
      <c r="M447" s="97"/>
      <c r="N447" s="97"/>
      <c r="O447" s="97"/>
      <c r="P447" s="97"/>
      <c r="Q447" s="97"/>
      <c r="R447" s="97"/>
      <c r="S447" s="97"/>
      <c r="T447" s="97"/>
      <c r="U447" s="97"/>
      <c r="V447" s="97"/>
      <c r="W447" s="97"/>
      <c r="X447" s="129"/>
      <c r="Y447" s="97"/>
      <c r="Z447" s="97"/>
      <c r="AA447" s="97"/>
      <c r="AB447" s="97"/>
      <c r="AC447" s="97"/>
      <c r="AD447" s="97"/>
      <c r="AE447" s="97"/>
      <c r="AF447" s="97"/>
      <c r="AG447" s="97"/>
      <c r="AH447" s="97"/>
      <c r="AI447" s="97"/>
      <c r="AJ447" s="97"/>
      <c r="AK447" s="97"/>
      <c r="AL447" s="97"/>
      <c r="AM447" s="97"/>
      <c r="AN447" s="97"/>
      <c r="AO447" s="97"/>
      <c r="AP447" s="97"/>
      <c r="AQ447" s="97"/>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c r="DF447" s="97"/>
      <c r="DG447" s="97"/>
      <c r="DH447" s="97"/>
      <c r="DI447" s="97"/>
      <c r="DJ447" s="97"/>
      <c r="DK447" s="97"/>
      <c r="DL447" s="97"/>
      <c r="DM447" s="97"/>
      <c r="DN447" s="97"/>
      <c r="DO447" s="97"/>
      <c r="DP447" s="97"/>
      <c r="DQ447" s="97"/>
      <c r="DR447" s="97"/>
      <c r="DS447" s="97"/>
      <c r="DT447" s="97"/>
      <c r="DU447" s="97"/>
      <c r="DV447" s="97"/>
      <c r="DW447" s="97"/>
      <c r="DX447" s="97"/>
      <c r="DY447" s="97"/>
      <c r="DZ447" s="97"/>
      <c r="EA447" s="97"/>
      <c r="EB447" s="97"/>
      <c r="EC447" s="97"/>
      <c r="ED447" s="97"/>
      <c r="EE447" s="97"/>
      <c r="EF447" s="97"/>
      <c r="EG447" s="97"/>
      <c r="EH447" s="97"/>
      <c r="EI447" s="97"/>
      <c r="EJ447" s="97"/>
      <c r="EK447" s="97"/>
      <c r="EL447" s="97"/>
      <c r="EM447" s="97"/>
      <c r="EN447" s="97"/>
      <c r="EO447" s="97"/>
      <c r="EP447" s="97"/>
      <c r="EQ447" s="97"/>
      <c r="ER447" s="97"/>
      <c r="ES447" s="97"/>
      <c r="ET447" s="97"/>
    </row>
    <row r="448" spans="1:150" ht="15.75" customHeight="1">
      <c r="A448" s="97"/>
      <c r="B448" s="97"/>
      <c r="C448" s="97"/>
      <c r="D448" s="97"/>
      <c r="E448" s="97"/>
      <c r="F448" s="97"/>
      <c r="G448" s="97"/>
      <c r="H448" s="129"/>
      <c r="I448" s="97"/>
      <c r="J448" s="97"/>
      <c r="K448" s="97"/>
      <c r="L448" s="97"/>
      <c r="M448" s="97"/>
      <c r="N448" s="97"/>
      <c r="O448" s="97"/>
      <c r="P448" s="97"/>
      <c r="Q448" s="97"/>
      <c r="R448" s="97"/>
      <c r="S448" s="97"/>
      <c r="T448" s="97"/>
      <c r="U448" s="97"/>
      <c r="V448" s="97"/>
      <c r="W448" s="97"/>
      <c r="X448" s="129"/>
      <c r="Y448" s="97"/>
      <c r="Z448" s="97"/>
      <c r="AA448" s="97"/>
      <c r="AB448" s="97"/>
      <c r="AC448" s="97"/>
      <c r="AD448" s="97"/>
      <c r="AE448" s="97"/>
      <c r="AF448" s="97"/>
      <c r="AG448" s="97"/>
      <c r="AH448" s="97"/>
      <c r="AI448" s="97"/>
      <c r="AJ448" s="97"/>
      <c r="AK448" s="97"/>
      <c r="AL448" s="97"/>
      <c r="AM448" s="97"/>
      <c r="AN448" s="97"/>
      <c r="AO448" s="97"/>
      <c r="AP448" s="97"/>
      <c r="AQ448" s="97"/>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c r="DF448" s="97"/>
      <c r="DG448" s="97"/>
      <c r="DH448" s="97"/>
      <c r="DI448" s="97"/>
      <c r="DJ448" s="97"/>
      <c r="DK448" s="97"/>
      <c r="DL448" s="97"/>
      <c r="DM448" s="97"/>
      <c r="DN448" s="97"/>
      <c r="DO448" s="97"/>
      <c r="DP448" s="97"/>
      <c r="DQ448" s="97"/>
      <c r="DR448" s="97"/>
      <c r="DS448" s="97"/>
      <c r="DT448" s="97"/>
      <c r="DU448" s="97"/>
      <c r="DV448" s="97"/>
      <c r="DW448" s="97"/>
      <c r="DX448" s="97"/>
      <c r="DY448" s="97"/>
      <c r="DZ448" s="97"/>
      <c r="EA448" s="97"/>
      <c r="EB448" s="97"/>
      <c r="EC448" s="97"/>
      <c r="ED448" s="97"/>
      <c r="EE448" s="97"/>
      <c r="EF448" s="97"/>
      <c r="EG448" s="97"/>
      <c r="EH448" s="97"/>
      <c r="EI448" s="97"/>
      <c r="EJ448" s="97"/>
      <c r="EK448" s="97"/>
      <c r="EL448" s="97"/>
      <c r="EM448" s="97"/>
      <c r="EN448" s="97"/>
      <c r="EO448" s="97"/>
      <c r="EP448" s="97"/>
      <c r="EQ448" s="97"/>
      <c r="ER448" s="97"/>
      <c r="ES448" s="97"/>
      <c r="ET448" s="97"/>
    </row>
    <row r="449" spans="1:150" ht="15.75" customHeight="1">
      <c r="A449" s="97"/>
      <c r="B449" s="97"/>
      <c r="C449" s="97"/>
      <c r="D449" s="97"/>
      <c r="E449" s="97"/>
      <c r="F449" s="97"/>
      <c r="G449" s="97"/>
      <c r="H449" s="129"/>
      <c r="I449" s="97"/>
      <c r="J449" s="97"/>
      <c r="K449" s="97"/>
      <c r="L449" s="97"/>
      <c r="M449" s="97"/>
      <c r="N449" s="97"/>
      <c r="O449" s="97"/>
      <c r="P449" s="97"/>
      <c r="Q449" s="97"/>
      <c r="R449" s="97"/>
      <c r="S449" s="97"/>
      <c r="T449" s="97"/>
      <c r="U449" s="97"/>
      <c r="V449" s="97"/>
      <c r="W449" s="97"/>
      <c r="X449" s="129"/>
      <c r="Y449" s="97"/>
      <c r="Z449" s="97"/>
      <c r="AA449" s="97"/>
      <c r="AB449" s="97"/>
      <c r="AC449" s="97"/>
      <c r="AD449" s="97"/>
      <c r="AE449" s="97"/>
      <c r="AF449" s="97"/>
      <c r="AG449" s="97"/>
      <c r="AH449" s="97"/>
      <c r="AI449" s="97"/>
      <c r="AJ449" s="97"/>
      <c r="AK449" s="97"/>
      <c r="AL449" s="97"/>
      <c r="AM449" s="97"/>
      <c r="AN449" s="97"/>
      <c r="AO449" s="97"/>
      <c r="AP449" s="97"/>
      <c r="AQ449" s="97"/>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c r="DF449" s="97"/>
      <c r="DG449" s="97"/>
      <c r="DH449" s="97"/>
      <c r="DI449" s="97"/>
      <c r="DJ449" s="97"/>
      <c r="DK449" s="97"/>
      <c r="DL449" s="97"/>
      <c r="DM449" s="97"/>
      <c r="DN449" s="97"/>
      <c r="DO449" s="97"/>
      <c r="DP449" s="97"/>
      <c r="DQ449" s="97"/>
      <c r="DR449" s="97"/>
      <c r="DS449" s="97"/>
      <c r="DT449" s="97"/>
      <c r="DU449" s="97"/>
      <c r="DV449" s="97"/>
      <c r="DW449" s="97"/>
      <c r="DX449" s="97"/>
      <c r="DY449" s="97"/>
      <c r="DZ449" s="97"/>
      <c r="EA449" s="97"/>
      <c r="EB449" s="97"/>
      <c r="EC449" s="97"/>
      <c r="ED449" s="97"/>
      <c r="EE449" s="97"/>
      <c r="EF449" s="97"/>
      <c r="EG449" s="97"/>
      <c r="EH449" s="97"/>
      <c r="EI449" s="97"/>
      <c r="EJ449" s="97"/>
      <c r="EK449" s="97"/>
      <c r="EL449" s="97"/>
      <c r="EM449" s="97"/>
      <c r="EN449" s="97"/>
      <c r="EO449" s="97"/>
      <c r="EP449" s="97"/>
      <c r="EQ449" s="97"/>
      <c r="ER449" s="97"/>
      <c r="ES449" s="97"/>
      <c r="ET449" s="97"/>
    </row>
    <row r="450" spans="1:150" ht="15.75" customHeight="1">
      <c r="A450" s="97"/>
      <c r="B450" s="97"/>
      <c r="C450" s="97"/>
      <c r="D450" s="97"/>
      <c r="E450" s="97"/>
      <c r="F450" s="97"/>
      <c r="G450" s="97"/>
      <c r="H450" s="129"/>
      <c r="I450" s="97"/>
      <c r="J450" s="97"/>
      <c r="K450" s="97"/>
      <c r="L450" s="97"/>
      <c r="M450" s="97"/>
      <c r="N450" s="97"/>
      <c r="O450" s="97"/>
      <c r="P450" s="97"/>
      <c r="Q450" s="97"/>
      <c r="R450" s="97"/>
      <c r="S450" s="97"/>
      <c r="T450" s="97"/>
      <c r="U450" s="97"/>
      <c r="V450" s="97"/>
      <c r="W450" s="97"/>
      <c r="X450" s="129"/>
      <c r="Y450" s="97"/>
      <c r="Z450" s="97"/>
      <c r="AA450" s="97"/>
      <c r="AB450" s="97"/>
      <c r="AC450" s="97"/>
      <c r="AD450" s="97"/>
      <c r="AE450" s="97"/>
      <c r="AF450" s="97"/>
      <c r="AG450" s="97"/>
      <c r="AH450" s="97"/>
      <c r="AI450" s="97"/>
      <c r="AJ450" s="97"/>
      <c r="AK450" s="97"/>
      <c r="AL450" s="97"/>
      <c r="AM450" s="97"/>
      <c r="AN450" s="97"/>
      <c r="AO450" s="97"/>
      <c r="AP450" s="97"/>
      <c r="AQ450" s="97"/>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c r="DF450" s="97"/>
      <c r="DG450" s="97"/>
      <c r="DH450" s="97"/>
      <c r="DI450" s="97"/>
      <c r="DJ450" s="97"/>
      <c r="DK450" s="97"/>
      <c r="DL450" s="97"/>
      <c r="DM450" s="97"/>
      <c r="DN450" s="97"/>
      <c r="DO450" s="97"/>
      <c r="DP450" s="97"/>
      <c r="DQ450" s="97"/>
      <c r="DR450" s="97"/>
      <c r="DS450" s="97"/>
      <c r="DT450" s="97"/>
      <c r="DU450" s="97"/>
      <c r="DV450" s="97"/>
      <c r="DW450" s="97"/>
      <c r="DX450" s="97"/>
      <c r="DY450" s="97"/>
      <c r="DZ450" s="97"/>
      <c r="EA450" s="97"/>
      <c r="EB450" s="97"/>
      <c r="EC450" s="97"/>
      <c r="ED450" s="97"/>
      <c r="EE450" s="97"/>
      <c r="EF450" s="97"/>
      <c r="EG450" s="97"/>
      <c r="EH450" s="97"/>
      <c r="EI450" s="97"/>
      <c r="EJ450" s="97"/>
      <c r="EK450" s="97"/>
      <c r="EL450" s="97"/>
      <c r="EM450" s="97"/>
      <c r="EN450" s="97"/>
      <c r="EO450" s="97"/>
      <c r="EP450" s="97"/>
      <c r="EQ450" s="97"/>
      <c r="ER450" s="97"/>
      <c r="ES450" s="97"/>
      <c r="ET450" s="97"/>
    </row>
    <row r="451" spans="1:150" ht="15.75" customHeight="1">
      <c r="A451" s="97"/>
      <c r="B451" s="97"/>
      <c r="C451" s="97"/>
      <c r="D451" s="97"/>
      <c r="E451" s="97"/>
      <c r="F451" s="97"/>
      <c r="G451" s="97"/>
      <c r="H451" s="129"/>
      <c r="I451" s="97"/>
      <c r="J451" s="97"/>
      <c r="K451" s="97"/>
      <c r="L451" s="97"/>
      <c r="M451" s="97"/>
      <c r="N451" s="97"/>
      <c r="O451" s="97"/>
      <c r="P451" s="97"/>
      <c r="Q451" s="97"/>
      <c r="R451" s="97"/>
      <c r="S451" s="97"/>
      <c r="T451" s="97"/>
      <c r="U451" s="97"/>
      <c r="V451" s="97"/>
      <c r="W451" s="97"/>
      <c r="X451" s="129"/>
      <c r="Y451" s="97"/>
      <c r="Z451" s="97"/>
      <c r="AA451" s="97"/>
      <c r="AB451" s="97"/>
      <c r="AC451" s="97"/>
      <c r="AD451" s="97"/>
      <c r="AE451" s="97"/>
      <c r="AF451" s="97"/>
      <c r="AG451" s="97"/>
      <c r="AH451" s="97"/>
      <c r="AI451" s="97"/>
      <c r="AJ451" s="97"/>
      <c r="AK451" s="97"/>
      <c r="AL451" s="97"/>
      <c r="AM451" s="97"/>
      <c r="AN451" s="97"/>
      <c r="AO451" s="97"/>
      <c r="AP451" s="97"/>
      <c r="AQ451" s="97"/>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c r="DF451" s="97"/>
      <c r="DG451" s="97"/>
      <c r="DH451" s="97"/>
      <c r="DI451" s="97"/>
      <c r="DJ451" s="97"/>
      <c r="DK451" s="97"/>
      <c r="DL451" s="97"/>
      <c r="DM451" s="97"/>
      <c r="DN451" s="97"/>
      <c r="DO451" s="97"/>
      <c r="DP451" s="97"/>
      <c r="DQ451" s="97"/>
      <c r="DR451" s="97"/>
      <c r="DS451" s="97"/>
      <c r="DT451" s="97"/>
      <c r="DU451" s="97"/>
      <c r="DV451" s="97"/>
      <c r="DW451" s="97"/>
      <c r="DX451" s="97"/>
      <c r="DY451" s="97"/>
      <c r="DZ451" s="97"/>
      <c r="EA451" s="97"/>
      <c r="EB451" s="97"/>
      <c r="EC451" s="97"/>
      <c r="ED451" s="97"/>
      <c r="EE451" s="97"/>
      <c r="EF451" s="97"/>
      <c r="EG451" s="97"/>
      <c r="EH451" s="97"/>
      <c r="EI451" s="97"/>
      <c r="EJ451" s="97"/>
      <c r="EK451" s="97"/>
      <c r="EL451" s="97"/>
      <c r="EM451" s="97"/>
      <c r="EN451" s="97"/>
      <c r="EO451" s="97"/>
      <c r="EP451" s="97"/>
      <c r="EQ451" s="97"/>
      <c r="ER451" s="97"/>
      <c r="ES451" s="97"/>
      <c r="ET451" s="97"/>
    </row>
    <row r="452" spans="1:150" ht="15.75" customHeight="1">
      <c r="A452" s="97"/>
      <c r="B452" s="97"/>
      <c r="C452" s="97"/>
      <c r="D452" s="97"/>
      <c r="E452" s="97"/>
      <c r="F452" s="97"/>
      <c r="G452" s="97"/>
      <c r="H452" s="129"/>
      <c r="I452" s="97"/>
      <c r="J452" s="97"/>
      <c r="K452" s="97"/>
      <c r="L452" s="97"/>
      <c r="M452" s="97"/>
      <c r="N452" s="97"/>
      <c r="O452" s="97"/>
      <c r="P452" s="97"/>
      <c r="Q452" s="97"/>
      <c r="R452" s="97"/>
      <c r="S452" s="97"/>
      <c r="T452" s="97"/>
      <c r="U452" s="97"/>
      <c r="V452" s="97"/>
      <c r="W452" s="97"/>
      <c r="X452" s="129"/>
      <c r="Y452" s="97"/>
      <c r="Z452" s="97"/>
      <c r="AA452" s="97"/>
      <c r="AB452" s="97"/>
      <c r="AC452" s="97"/>
      <c r="AD452" s="97"/>
      <c r="AE452" s="97"/>
      <c r="AF452" s="97"/>
      <c r="AG452" s="97"/>
      <c r="AH452" s="97"/>
      <c r="AI452" s="97"/>
      <c r="AJ452" s="97"/>
      <c r="AK452" s="97"/>
      <c r="AL452" s="97"/>
      <c r="AM452" s="97"/>
      <c r="AN452" s="97"/>
      <c r="AO452" s="97"/>
      <c r="AP452" s="97"/>
      <c r="AQ452" s="97"/>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c r="DF452" s="97"/>
      <c r="DG452" s="97"/>
      <c r="DH452" s="97"/>
      <c r="DI452" s="97"/>
      <c r="DJ452" s="97"/>
      <c r="DK452" s="97"/>
      <c r="DL452" s="97"/>
      <c r="DM452" s="97"/>
      <c r="DN452" s="97"/>
      <c r="DO452" s="97"/>
      <c r="DP452" s="97"/>
      <c r="DQ452" s="97"/>
      <c r="DR452" s="97"/>
      <c r="DS452" s="97"/>
      <c r="DT452" s="97"/>
      <c r="DU452" s="97"/>
      <c r="DV452" s="97"/>
      <c r="DW452" s="97"/>
      <c r="DX452" s="97"/>
      <c r="DY452" s="97"/>
      <c r="DZ452" s="97"/>
      <c r="EA452" s="97"/>
      <c r="EB452" s="97"/>
      <c r="EC452" s="97"/>
      <c r="ED452" s="97"/>
      <c r="EE452" s="97"/>
      <c r="EF452" s="97"/>
      <c r="EG452" s="97"/>
      <c r="EH452" s="97"/>
      <c r="EI452" s="97"/>
      <c r="EJ452" s="97"/>
      <c r="EK452" s="97"/>
      <c r="EL452" s="97"/>
      <c r="EM452" s="97"/>
      <c r="EN452" s="97"/>
      <c r="EO452" s="97"/>
      <c r="EP452" s="97"/>
      <c r="EQ452" s="97"/>
      <c r="ER452" s="97"/>
      <c r="ES452" s="97"/>
      <c r="ET452" s="97"/>
    </row>
    <row r="453" spans="1:150" ht="15.75" customHeight="1">
      <c r="A453" s="97"/>
      <c r="B453" s="97"/>
      <c r="C453" s="97"/>
      <c r="D453" s="97"/>
      <c r="E453" s="97"/>
      <c r="F453" s="97"/>
      <c r="G453" s="97"/>
      <c r="H453" s="129"/>
      <c r="I453" s="97"/>
      <c r="J453" s="97"/>
      <c r="K453" s="97"/>
      <c r="L453" s="97"/>
      <c r="M453" s="97"/>
      <c r="N453" s="97"/>
      <c r="O453" s="97"/>
      <c r="P453" s="97"/>
      <c r="Q453" s="97"/>
      <c r="R453" s="97"/>
      <c r="S453" s="97"/>
      <c r="T453" s="97"/>
      <c r="U453" s="97"/>
      <c r="V453" s="97"/>
      <c r="W453" s="97"/>
      <c r="X453" s="129"/>
      <c r="Y453" s="97"/>
      <c r="Z453" s="97"/>
      <c r="AA453" s="97"/>
      <c r="AB453" s="97"/>
      <c r="AC453" s="97"/>
      <c r="AD453" s="97"/>
      <c r="AE453" s="97"/>
      <c r="AF453" s="97"/>
      <c r="AG453" s="97"/>
      <c r="AH453" s="97"/>
      <c r="AI453" s="97"/>
      <c r="AJ453" s="97"/>
      <c r="AK453" s="97"/>
      <c r="AL453" s="97"/>
      <c r="AM453" s="97"/>
      <c r="AN453" s="97"/>
      <c r="AO453" s="97"/>
      <c r="AP453" s="97"/>
      <c r="AQ453" s="97"/>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c r="DF453" s="97"/>
      <c r="DG453" s="97"/>
      <c r="DH453" s="97"/>
      <c r="DI453" s="97"/>
      <c r="DJ453" s="97"/>
      <c r="DK453" s="97"/>
      <c r="DL453" s="97"/>
      <c r="DM453" s="97"/>
      <c r="DN453" s="97"/>
      <c r="DO453" s="97"/>
      <c r="DP453" s="97"/>
      <c r="DQ453" s="97"/>
      <c r="DR453" s="97"/>
      <c r="DS453" s="97"/>
      <c r="DT453" s="97"/>
      <c r="DU453" s="97"/>
      <c r="DV453" s="97"/>
      <c r="DW453" s="97"/>
      <c r="DX453" s="97"/>
      <c r="DY453" s="97"/>
      <c r="DZ453" s="97"/>
      <c r="EA453" s="97"/>
      <c r="EB453" s="97"/>
      <c r="EC453" s="97"/>
      <c r="ED453" s="97"/>
      <c r="EE453" s="97"/>
      <c r="EF453" s="97"/>
      <c r="EG453" s="97"/>
      <c r="EH453" s="97"/>
      <c r="EI453" s="97"/>
      <c r="EJ453" s="97"/>
      <c r="EK453" s="97"/>
      <c r="EL453" s="97"/>
      <c r="EM453" s="97"/>
      <c r="EN453" s="97"/>
      <c r="EO453" s="97"/>
      <c r="EP453" s="97"/>
      <c r="EQ453" s="97"/>
      <c r="ER453" s="97"/>
      <c r="ES453" s="97"/>
      <c r="ET453" s="97"/>
    </row>
    <row r="454" spans="1:150" ht="15.75" customHeight="1">
      <c r="A454" s="97"/>
      <c r="B454" s="97"/>
      <c r="C454" s="97"/>
      <c r="D454" s="97"/>
      <c r="E454" s="97"/>
      <c r="F454" s="97"/>
      <c r="G454" s="97"/>
      <c r="H454" s="129"/>
      <c r="I454" s="97"/>
      <c r="J454" s="97"/>
      <c r="K454" s="97"/>
      <c r="L454" s="97"/>
      <c r="M454" s="97"/>
      <c r="N454" s="97"/>
      <c r="O454" s="97"/>
      <c r="P454" s="97"/>
      <c r="Q454" s="97"/>
      <c r="R454" s="97"/>
      <c r="S454" s="97"/>
      <c r="T454" s="97"/>
      <c r="U454" s="97"/>
      <c r="V454" s="97"/>
      <c r="W454" s="97"/>
      <c r="X454" s="129"/>
      <c r="Y454" s="97"/>
      <c r="Z454" s="97"/>
      <c r="AA454" s="97"/>
      <c r="AB454" s="97"/>
      <c r="AC454" s="97"/>
      <c r="AD454" s="97"/>
      <c r="AE454" s="97"/>
      <c r="AF454" s="97"/>
      <c r="AG454" s="97"/>
      <c r="AH454" s="97"/>
      <c r="AI454" s="97"/>
      <c r="AJ454" s="97"/>
      <c r="AK454" s="97"/>
      <c r="AL454" s="97"/>
      <c r="AM454" s="97"/>
      <c r="AN454" s="97"/>
      <c r="AO454" s="97"/>
      <c r="AP454" s="97"/>
      <c r="AQ454" s="97"/>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c r="DF454" s="97"/>
      <c r="DG454" s="97"/>
      <c r="DH454" s="97"/>
      <c r="DI454" s="97"/>
      <c r="DJ454" s="97"/>
      <c r="DK454" s="97"/>
      <c r="DL454" s="97"/>
      <c r="DM454" s="97"/>
      <c r="DN454" s="97"/>
      <c r="DO454" s="97"/>
      <c r="DP454" s="97"/>
      <c r="DQ454" s="97"/>
      <c r="DR454" s="97"/>
      <c r="DS454" s="97"/>
      <c r="DT454" s="97"/>
      <c r="DU454" s="97"/>
      <c r="DV454" s="97"/>
      <c r="DW454" s="97"/>
      <c r="DX454" s="97"/>
      <c r="DY454" s="97"/>
      <c r="DZ454" s="97"/>
      <c r="EA454" s="97"/>
      <c r="EB454" s="97"/>
      <c r="EC454" s="97"/>
      <c r="ED454" s="97"/>
      <c r="EE454" s="97"/>
      <c r="EF454" s="97"/>
      <c r="EG454" s="97"/>
      <c r="EH454" s="97"/>
      <c r="EI454" s="97"/>
      <c r="EJ454" s="97"/>
      <c r="EK454" s="97"/>
      <c r="EL454" s="97"/>
      <c r="EM454" s="97"/>
      <c r="EN454" s="97"/>
      <c r="EO454" s="97"/>
      <c r="EP454" s="97"/>
      <c r="EQ454" s="97"/>
      <c r="ER454" s="97"/>
      <c r="ES454" s="97"/>
      <c r="ET454" s="97"/>
    </row>
    <row r="455" spans="1:150" ht="15.75" customHeight="1">
      <c r="A455" s="97"/>
      <c r="B455" s="97"/>
      <c r="C455" s="97"/>
      <c r="D455" s="97"/>
      <c r="E455" s="97"/>
      <c r="F455" s="97"/>
      <c r="G455" s="97"/>
      <c r="H455" s="129"/>
      <c r="I455" s="97"/>
      <c r="J455" s="97"/>
      <c r="K455" s="97"/>
      <c r="L455" s="97"/>
      <c r="M455" s="97"/>
      <c r="N455" s="97"/>
      <c r="O455" s="97"/>
      <c r="P455" s="97"/>
      <c r="Q455" s="97"/>
      <c r="R455" s="97"/>
      <c r="S455" s="97"/>
      <c r="T455" s="97"/>
      <c r="U455" s="97"/>
      <c r="V455" s="97"/>
      <c r="W455" s="97"/>
      <c r="X455" s="129"/>
      <c r="Y455" s="97"/>
      <c r="Z455" s="97"/>
      <c r="AA455" s="97"/>
      <c r="AB455" s="97"/>
      <c r="AC455" s="97"/>
      <c r="AD455" s="97"/>
      <c r="AE455" s="97"/>
      <c r="AF455" s="97"/>
      <c r="AG455" s="97"/>
      <c r="AH455" s="97"/>
      <c r="AI455" s="97"/>
      <c r="AJ455" s="97"/>
      <c r="AK455" s="97"/>
      <c r="AL455" s="97"/>
      <c r="AM455" s="97"/>
      <c r="AN455" s="97"/>
      <c r="AO455" s="97"/>
      <c r="AP455" s="97"/>
      <c r="AQ455" s="97"/>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c r="DF455" s="97"/>
      <c r="DG455" s="97"/>
      <c r="DH455" s="97"/>
      <c r="DI455" s="97"/>
      <c r="DJ455" s="97"/>
      <c r="DK455" s="97"/>
      <c r="DL455" s="97"/>
      <c r="DM455" s="97"/>
      <c r="DN455" s="97"/>
      <c r="DO455" s="97"/>
      <c r="DP455" s="97"/>
      <c r="DQ455" s="97"/>
      <c r="DR455" s="97"/>
      <c r="DS455" s="97"/>
      <c r="DT455" s="97"/>
      <c r="DU455" s="97"/>
      <c r="DV455" s="97"/>
      <c r="DW455" s="97"/>
      <c r="DX455" s="97"/>
      <c r="DY455" s="97"/>
      <c r="DZ455" s="97"/>
      <c r="EA455" s="97"/>
      <c r="EB455" s="97"/>
      <c r="EC455" s="97"/>
      <c r="ED455" s="97"/>
      <c r="EE455" s="97"/>
      <c r="EF455" s="97"/>
      <c r="EG455" s="97"/>
      <c r="EH455" s="97"/>
      <c r="EI455" s="97"/>
      <c r="EJ455" s="97"/>
      <c r="EK455" s="97"/>
      <c r="EL455" s="97"/>
      <c r="EM455" s="97"/>
      <c r="EN455" s="97"/>
      <c r="EO455" s="97"/>
      <c r="EP455" s="97"/>
      <c r="EQ455" s="97"/>
      <c r="ER455" s="97"/>
      <c r="ES455" s="97"/>
      <c r="ET455" s="97"/>
    </row>
    <row r="456" spans="1:150" ht="15.75" customHeight="1">
      <c r="A456" s="97"/>
      <c r="B456" s="97"/>
      <c r="C456" s="97"/>
      <c r="D456" s="97"/>
      <c r="E456" s="97"/>
      <c r="F456" s="97"/>
      <c r="G456" s="97"/>
      <c r="H456" s="129"/>
      <c r="I456" s="97"/>
      <c r="J456" s="97"/>
      <c r="K456" s="97"/>
      <c r="L456" s="97"/>
      <c r="M456" s="97"/>
      <c r="N456" s="97"/>
      <c r="O456" s="97"/>
      <c r="P456" s="97"/>
      <c r="Q456" s="97"/>
      <c r="R456" s="97"/>
      <c r="S456" s="97"/>
      <c r="T456" s="97"/>
      <c r="U456" s="97"/>
      <c r="V456" s="97"/>
      <c r="W456" s="97"/>
      <c r="X456" s="129"/>
      <c r="Y456" s="97"/>
      <c r="Z456" s="97"/>
      <c r="AA456" s="97"/>
      <c r="AB456" s="97"/>
      <c r="AC456" s="97"/>
      <c r="AD456" s="97"/>
      <c r="AE456" s="97"/>
      <c r="AF456" s="97"/>
      <c r="AG456" s="97"/>
      <c r="AH456" s="97"/>
      <c r="AI456" s="97"/>
      <c r="AJ456" s="97"/>
      <c r="AK456" s="97"/>
      <c r="AL456" s="97"/>
      <c r="AM456" s="97"/>
      <c r="AN456" s="97"/>
      <c r="AO456" s="97"/>
      <c r="AP456" s="97"/>
      <c r="AQ456" s="97"/>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c r="DF456" s="97"/>
      <c r="DG456" s="97"/>
      <c r="DH456" s="97"/>
      <c r="DI456" s="97"/>
      <c r="DJ456" s="97"/>
      <c r="DK456" s="97"/>
      <c r="DL456" s="97"/>
      <c r="DM456" s="97"/>
      <c r="DN456" s="97"/>
      <c r="DO456" s="97"/>
      <c r="DP456" s="97"/>
      <c r="DQ456" s="97"/>
      <c r="DR456" s="97"/>
      <c r="DS456" s="97"/>
      <c r="DT456" s="97"/>
      <c r="DU456" s="97"/>
      <c r="DV456" s="97"/>
      <c r="DW456" s="97"/>
      <c r="DX456" s="97"/>
      <c r="DY456" s="97"/>
      <c r="DZ456" s="97"/>
      <c r="EA456" s="97"/>
      <c r="EB456" s="97"/>
      <c r="EC456" s="97"/>
      <c r="ED456" s="97"/>
      <c r="EE456" s="97"/>
      <c r="EF456" s="97"/>
      <c r="EG456" s="97"/>
      <c r="EH456" s="97"/>
      <c r="EI456" s="97"/>
      <c r="EJ456" s="97"/>
      <c r="EK456" s="97"/>
      <c r="EL456" s="97"/>
      <c r="EM456" s="97"/>
      <c r="EN456" s="97"/>
      <c r="EO456" s="97"/>
      <c r="EP456" s="97"/>
      <c r="EQ456" s="97"/>
      <c r="ER456" s="97"/>
      <c r="ES456" s="97"/>
      <c r="ET456" s="97"/>
    </row>
    <row r="457" spans="1:150" ht="15.75" customHeight="1">
      <c r="A457" s="97"/>
      <c r="B457" s="97"/>
      <c r="C457" s="97"/>
      <c r="D457" s="97"/>
      <c r="E457" s="97"/>
      <c r="F457" s="97"/>
      <c r="G457" s="97"/>
      <c r="H457" s="129"/>
      <c r="I457" s="97"/>
      <c r="J457" s="97"/>
      <c r="K457" s="97"/>
      <c r="L457" s="97"/>
      <c r="M457" s="97"/>
      <c r="N457" s="97"/>
      <c r="O457" s="97"/>
      <c r="P457" s="97"/>
      <c r="Q457" s="97"/>
      <c r="R457" s="97"/>
      <c r="S457" s="97"/>
      <c r="T457" s="97"/>
      <c r="U457" s="97"/>
      <c r="V457" s="97"/>
      <c r="W457" s="97"/>
      <c r="X457" s="129"/>
      <c r="Y457" s="97"/>
      <c r="Z457" s="97"/>
      <c r="AA457" s="97"/>
      <c r="AB457" s="97"/>
      <c r="AC457" s="97"/>
      <c r="AD457" s="97"/>
      <c r="AE457" s="97"/>
      <c r="AF457" s="97"/>
      <c r="AG457" s="97"/>
      <c r="AH457" s="97"/>
      <c r="AI457" s="97"/>
      <c r="AJ457" s="97"/>
      <c r="AK457" s="97"/>
      <c r="AL457" s="97"/>
      <c r="AM457" s="97"/>
      <c r="AN457" s="97"/>
      <c r="AO457" s="97"/>
      <c r="AP457" s="97"/>
      <c r="AQ457" s="97"/>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c r="DF457" s="97"/>
      <c r="DG457" s="97"/>
      <c r="DH457" s="97"/>
      <c r="DI457" s="97"/>
      <c r="DJ457" s="97"/>
      <c r="DK457" s="97"/>
      <c r="DL457" s="97"/>
      <c r="DM457" s="97"/>
      <c r="DN457" s="97"/>
      <c r="DO457" s="97"/>
      <c r="DP457" s="97"/>
      <c r="DQ457" s="97"/>
      <c r="DR457" s="97"/>
      <c r="DS457" s="97"/>
      <c r="DT457" s="97"/>
      <c r="DU457" s="97"/>
      <c r="DV457" s="97"/>
      <c r="DW457" s="97"/>
      <c r="DX457" s="97"/>
      <c r="DY457" s="97"/>
      <c r="DZ457" s="97"/>
      <c r="EA457" s="97"/>
      <c r="EB457" s="97"/>
      <c r="EC457" s="97"/>
      <c r="ED457" s="97"/>
      <c r="EE457" s="97"/>
      <c r="EF457" s="97"/>
      <c r="EG457" s="97"/>
      <c r="EH457" s="97"/>
      <c r="EI457" s="97"/>
      <c r="EJ457" s="97"/>
      <c r="EK457" s="97"/>
      <c r="EL457" s="97"/>
      <c r="EM457" s="97"/>
      <c r="EN457" s="97"/>
      <c r="EO457" s="97"/>
      <c r="EP457" s="97"/>
      <c r="EQ457" s="97"/>
      <c r="ER457" s="97"/>
      <c r="ES457" s="97"/>
      <c r="ET457" s="97"/>
    </row>
    <row r="458" spans="1:150" ht="15.75" customHeight="1">
      <c r="A458" s="97"/>
      <c r="B458" s="97"/>
      <c r="C458" s="97"/>
      <c r="D458" s="97"/>
      <c r="E458" s="97"/>
      <c r="F458" s="97"/>
      <c r="G458" s="97"/>
      <c r="H458" s="129"/>
      <c r="I458" s="97"/>
      <c r="J458" s="97"/>
      <c r="K458" s="97"/>
      <c r="L458" s="97"/>
      <c r="M458" s="97"/>
      <c r="N458" s="97"/>
      <c r="O458" s="97"/>
      <c r="P458" s="97"/>
      <c r="Q458" s="97"/>
      <c r="R458" s="97"/>
      <c r="S458" s="97"/>
      <c r="T458" s="97"/>
      <c r="U458" s="97"/>
      <c r="V458" s="97"/>
      <c r="W458" s="97"/>
      <c r="X458" s="129"/>
      <c r="Y458" s="97"/>
      <c r="Z458" s="97"/>
      <c r="AA458" s="97"/>
      <c r="AB458" s="97"/>
      <c r="AC458" s="97"/>
      <c r="AD458" s="97"/>
      <c r="AE458" s="97"/>
      <c r="AF458" s="97"/>
      <c r="AG458" s="97"/>
      <c r="AH458" s="97"/>
      <c r="AI458" s="97"/>
      <c r="AJ458" s="97"/>
      <c r="AK458" s="97"/>
      <c r="AL458" s="97"/>
      <c r="AM458" s="97"/>
      <c r="AN458" s="97"/>
      <c r="AO458" s="97"/>
      <c r="AP458" s="97"/>
      <c r="AQ458" s="97"/>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c r="DF458" s="97"/>
      <c r="DG458" s="97"/>
      <c r="DH458" s="97"/>
      <c r="DI458" s="97"/>
      <c r="DJ458" s="97"/>
      <c r="DK458" s="97"/>
      <c r="DL458" s="97"/>
      <c r="DM458" s="97"/>
      <c r="DN458" s="97"/>
      <c r="DO458" s="97"/>
      <c r="DP458" s="97"/>
      <c r="DQ458" s="97"/>
      <c r="DR458" s="97"/>
      <c r="DS458" s="97"/>
      <c r="DT458" s="97"/>
      <c r="DU458" s="97"/>
      <c r="DV458" s="97"/>
      <c r="DW458" s="97"/>
      <c r="DX458" s="97"/>
      <c r="DY458" s="97"/>
      <c r="DZ458" s="97"/>
      <c r="EA458" s="97"/>
      <c r="EB458" s="97"/>
      <c r="EC458" s="97"/>
      <c r="ED458" s="97"/>
      <c r="EE458" s="97"/>
      <c r="EF458" s="97"/>
      <c r="EG458" s="97"/>
      <c r="EH458" s="97"/>
      <c r="EI458" s="97"/>
      <c r="EJ458" s="97"/>
      <c r="EK458" s="97"/>
      <c r="EL458" s="97"/>
      <c r="EM458" s="97"/>
      <c r="EN458" s="97"/>
      <c r="EO458" s="97"/>
      <c r="EP458" s="97"/>
      <c r="EQ458" s="97"/>
      <c r="ER458" s="97"/>
      <c r="ES458" s="97"/>
      <c r="ET458" s="97"/>
    </row>
    <row r="459" spans="1:150" ht="15.75" customHeight="1">
      <c r="A459" s="97"/>
      <c r="B459" s="97"/>
      <c r="C459" s="97"/>
      <c r="D459" s="97"/>
      <c r="E459" s="97"/>
      <c r="F459" s="97"/>
      <c r="G459" s="97"/>
      <c r="H459" s="129"/>
      <c r="I459" s="97"/>
      <c r="J459" s="97"/>
      <c r="K459" s="97"/>
      <c r="L459" s="97"/>
      <c r="M459" s="97"/>
      <c r="N459" s="97"/>
      <c r="O459" s="97"/>
      <c r="P459" s="97"/>
      <c r="Q459" s="97"/>
      <c r="R459" s="97"/>
      <c r="S459" s="97"/>
      <c r="T459" s="97"/>
      <c r="U459" s="97"/>
      <c r="V459" s="97"/>
      <c r="W459" s="97"/>
      <c r="X459" s="129"/>
      <c r="Y459" s="97"/>
      <c r="Z459" s="97"/>
      <c r="AA459" s="97"/>
      <c r="AB459" s="97"/>
      <c r="AC459" s="97"/>
      <c r="AD459" s="97"/>
      <c r="AE459" s="97"/>
      <c r="AF459" s="97"/>
      <c r="AG459" s="97"/>
      <c r="AH459" s="97"/>
      <c r="AI459" s="97"/>
      <c r="AJ459" s="97"/>
      <c r="AK459" s="97"/>
      <c r="AL459" s="97"/>
      <c r="AM459" s="97"/>
      <c r="AN459" s="97"/>
      <c r="AO459" s="97"/>
      <c r="AP459" s="97"/>
      <c r="AQ459" s="97"/>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c r="DF459" s="97"/>
      <c r="DG459" s="97"/>
      <c r="DH459" s="97"/>
      <c r="DI459" s="97"/>
      <c r="DJ459" s="97"/>
      <c r="DK459" s="97"/>
      <c r="DL459" s="97"/>
      <c r="DM459" s="97"/>
      <c r="DN459" s="97"/>
      <c r="DO459" s="97"/>
      <c r="DP459" s="97"/>
      <c r="DQ459" s="97"/>
      <c r="DR459" s="97"/>
      <c r="DS459" s="97"/>
      <c r="DT459" s="97"/>
      <c r="DU459" s="97"/>
      <c r="DV459" s="97"/>
      <c r="DW459" s="97"/>
      <c r="DX459" s="97"/>
      <c r="DY459" s="97"/>
      <c r="DZ459" s="97"/>
      <c r="EA459" s="97"/>
      <c r="EB459" s="97"/>
      <c r="EC459" s="97"/>
      <c r="ED459" s="97"/>
      <c r="EE459" s="97"/>
      <c r="EF459" s="97"/>
      <c r="EG459" s="97"/>
      <c r="EH459" s="97"/>
      <c r="EI459" s="97"/>
      <c r="EJ459" s="97"/>
      <c r="EK459" s="97"/>
      <c r="EL459" s="97"/>
      <c r="EM459" s="97"/>
      <c r="EN459" s="97"/>
      <c r="EO459" s="97"/>
      <c r="EP459" s="97"/>
      <c r="EQ459" s="97"/>
      <c r="ER459" s="97"/>
      <c r="ES459" s="97"/>
      <c r="ET459" s="97"/>
    </row>
    <row r="460" spans="1:150" ht="15.75" customHeight="1">
      <c r="A460" s="97"/>
      <c r="B460" s="97"/>
      <c r="C460" s="97"/>
      <c r="D460" s="97"/>
      <c r="E460" s="97"/>
      <c r="F460" s="97"/>
      <c r="G460" s="97"/>
      <c r="H460" s="129"/>
      <c r="I460" s="97"/>
      <c r="J460" s="97"/>
      <c r="K460" s="97"/>
      <c r="L460" s="97"/>
      <c r="M460" s="97"/>
      <c r="N460" s="97"/>
      <c r="O460" s="97"/>
      <c r="P460" s="97"/>
      <c r="Q460" s="97"/>
      <c r="R460" s="97"/>
      <c r="S460" s="97"/>
      <c r="T460" s="97"/>
      <c r="U460" s="97"/>
      <c r="V460" s="97"/>
      <c r="W460" s="97"/>
      <c r="X460" s="129"/>
      <c r="Y460" s="97"/>
      <c r="Z460" s="97"/>
      <c r="AA460" s="97"/>
      <c r="AB460" s="97"/>
      <c r="AC460" s="97"/>
      <c r="AD460" s="97"/>
      <c r="AE460" s="97"/>
      <c r="AF460" s="97"/>
      <c r="AG460" s="97"/>
      <c r="AH460" s="97"/>
      <c r="AI460" s="97"/>
      <c r="AJ460" s="97"/>
      <c r="AK460" s="97"/>
      <c r="AL460" s="97"/>
      <c r="AM460" s="97"/>
      <c r="AN460" s="97"/>
      <c r="AO460" s="97"/>
      <c r="AP460" s="97"/>
      <c r="AQ460" s="97"/>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c r="DF460" s="97"/>
      <c r="DG460" s="97"/>
      <c r="DH460" s="97"/>
      <c r="DI460" s="97"/>
      <c r="DJ460" s="97"/>
      <c r="DK460" s="97"/>
      <c r="DL460" s="97"/>
      <c r="DM460" s="97"/>
      <c r="DN460" s="97"/>
      <c r="DO460" s="97"/>
      <c r="DP460" s="97"/>
      <c r="DQ460" s="97"/>
      <c r="DR460" s="97"/>
      <c r="DS460" s="97"/>
      <c r="DT460" s="97"/>
      <c r="DU460" s="97"/>
      <c r="DV460" s="97"/>
      <c r="DW460" s="97"/>
      <c r="DX460" s="97"/>
      <c r="DY460" s="97"/>
      <c r="DZ460" s="97"/>
      <c r="EA460" s="97"/>
      <c r="EB460" s="97"/>
      <c r="EC460" s="97"/>
      <c r="ED460" s="97"/>
      <c r="EE460" s="97"/>
      <c r="EF460" s="97"/>
      <c r="EG460" s="97"/>
      <c r="EH460" s="97"/>
      <c r="EI460" s="97"/>
      <c r="EJ460" s="97"/>
      <c r="EK460" s="97"/>
      <c r="EL460" s="97"/>
      <c r="EM460" s="97"/>
      <c r="EN460" s="97"/>
      <c r="EO460" s="97"/>
      <c r="EP460" s="97"/>
      <c r="EQ460" s="97"/>
      <c r="ER460" s="97"/>
      <c r="ES460" s="97"/>
      <c r="ET460" s="97"/>
    </row>
    <row r="461" spans="1:150" ht="15.75" customHeight="1">
      <c r="A461" s="97"/>
      <c r="B461" s="97"/>
      <c r="C461" s="97"/>
      <c r="D461" s="97"/>
      <c r="E461" s="97"/>
      <c r="F461" s="97"/>
      <c r="G461" s="97"/>
      <c r="H461" s="129"/>
      <c r="I461" s="97"/>
      <c r="J461" s="97"/>
      <c r="K461" s="97"/>
      <c r="L461" s="97"/>
      <c r="M461" s="97"/>
      <c r="N461" s="97"/>
      <c r="O461" s="97"/>
      <c r="P461" s="97"/>
      <c r="Q461" s="97"/>
      <c r="R461" s="97"/>
      <c r="S461" s="97"/>
      <c r="T461" s="97"/>
      <c r="U461" s="97"/>
      <c r="V461" s="97"/>
      <c r="W461" s="97"/>
      <c r="X461" s="129"/>
      <c r="Y461" s="97"/>
      <c r="Z461" s="97"/>
      <c r="AA461" s="97"/>
      <c r="AB461" s="97"/>
      <c r="AC461" s="97"/>
      <c r="AD461" s="97"/>
      <c r="AE461" s="97"/>
      <c r="AF461" s="97"/>
      <c r="AG461" s="97"/>
      <c r="AH461" s="97"/>
      <c r="AI461" s="97"/>
      <c r="AJ461" s="97"/>
      <c r="AK461" s="97"/>
      <c r="AL461" s="97"/>
      <c r="AM461" s="97"/>
      <c r="AN461" s="97"/>
      <c r="AO461" s="97"/>
      <c r="AP461" s="97"/>
      <c r="AQ461" s="97"/>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c r="DF461" s="97"/>
      <c r="DG461" s="97"/>
      <c r="DH461" s="97"/>
      <c r="DI461" s="97"/>
      <c r="DJ461" s="97"/>
      <c r="DK461" s="97"/>
      <c r="DL461" s="97"/>
      <c r="DM461" s="97"/>
      <c r="DN461" s="97"/>
      <c r="DO461" s="97"/>
      <c r="DP461" s="97"/>
      <c r="DQ461" s="97"/>
      <c r="DR461" s="97"/>
      <c r="DS461" s="97"/>
      <c r="DT461" s="97"/>
      <c r="DU461" s="97"/>
      <c r="DV461" s="97"/>
      <c r="DW461" s="97"/>
      <c r="DX461" s="97"/>
      <c r="DY461" s="97"/>
      <c r="DZ461" s="97"/>
      <c r="EA461" s="97"/>
      <c r="EB461" s="97"/>
      <c r="EC461" s="97"/>
      <c r="ED461" s="97"/>
      <c r="EE461" s="97"/>
      <c r="EF461" s="97"/>
      <c r="EG461" s="97"/>
      <c r="EH461" s="97"/>
      <c r="EI461" s="97"/>
      <c r="EJ461" s="97"/>
      <c r="EK461" s="97"/>
      <c r="EL461" s="97"/>
      <c r="EM461" s="97"/>
      <c r="EN461" s="97"/>
      <c r="EO461" s="97"/>
      <c r="EP461" s="97"/>
      <c r="EQ461" s="97"/>
      <c r="ER461" s="97"/>
      <c r="ES461" s="97"/>
      <c r="ET461" s="97"/>
    </row>
    <row r="462" spans="1:150" ht="15.75" customHeight="1">
      <c r="A462" s="97"/>
      <c r="B462" s="97"/>
      <c r="C462" s="97"/>
      <c r="D462" s="97"/>
      <c r="E462" s="97"/>
      <c r="F462" s="97"/>
      <c r="G462" s="97"/>
      <c r="H462" s="129"/>
      <c r="I462" s="97"/>
      <c r="J462" s="97"/>
      <c r="K462" s="97"/>
      <c r="L462" s="97"/>
      <c r="M462" s="97"/>
      <c r="N462" s="97"/>
      <c r="O462" s="97"/>
      <c r="P462" s="97"/>
      <c r="Q462" s="97"/>
      <c r="R462" s="97"/>
      <c r="S462" s="97"/>
      <c r="T462" s="97"/>
      <c r="U462" s="97"/>
      <c r="V462" s="97"/>
      <c r="W462" s="97"/>
      <c r="X462" s="129"/>
      <c r="Y462" s="97"/>
      <c r="Z462" s="97"/>
      <c r="AA462" s="97"/>
      <c r="AB462" s="97"/>
      <c r="AC462" s="97"/>
      <c r="AD462" s="97"/>
      <c r="AE462" s="97"/>
      <c r="AF462" s="97"/>
      <c r="AG462" s="97"/>
      <c r="AH462" s="97"/>
      <c r="AI462" s="97"/>
      <c r="AJ462" s="97"/>
      <c r="AK462" s="97"/>
      <c r="AL462" s="97"/>
      <c r="AM462" s="97"/>
      <c r="AN462" s="97"/>
      <c r="AO462" s="97"/>
      <c r="AP462" s="97"/>
      <c r="AQ462" s="97"/>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c r="DF462" s="97"/>
      <c r="DG462" s="97"/>
      <c r="DH462" s="97"/>
      <c r="DI462" s="97"/>
      <c r="DJ462" s="97"/>
      <c r="DK462" s="97"/>
      <c r="DL462" s="97"/>
      <c r="DM462" s="97"/>
      <c r="DN462" s="97"/>
      <c r="DO462" s="97"/>
      <c r="DP462" s="97"/>
      <c r="DQ462" s="97"/>
      <c r="DR462" s="97"/>
      <c r="DS462" s="97"/>
      <c r="DT462" s="97"/>
      <c r="DU462" s="97"/>
      <c r="DV462" s="97"/>
      <c r="DW462" s="97"/>
      <c r="DX462" s="97"/>
      <c r="DY462" s="97"/>
      <c r="DZ462" s="97"/>
      <c r="EA462" s="97"/>
      <c r="EB462" s="97"/>
      <c r="EC462" s="97"/>
      <c r="ED462" s="97"/>
      <c r="EE462" s="97"/>
      <c r="EF462" s="97"/>
      <c r="EG462" s="97"/>
      <c r="EH462" s="97"/>
      <c r="EI462" s="97"/>
      <c r="EJ462" s="97"/>
      <c r="EK462" s="97"/>
      <c r="EL462" s="97"/>
      <c r="EM462" s="97"/>
      <c r="EN462" s="97"/>
      <c r="EO462" s="97"/>
      <c r="EP462" s="97"/>
      <c r="EQ462" s="97"/>
      <c r="ER462" s="97"/>
      <c r="ES462" s="97"/>
      <c r="ET462" s="97"/>
    </row>
    <row r="463" spans="1:150" ht="15.75" customHeight="1">
      <c r="A463" s="97"/>
      <c r="B463" s="97"/>
      <c r="C463" s="97"/>
      <c r="D463" s="97"/>
      <c r="E463" s="97"/>
      <c r="F463" s="97"/>
      <c r="G463" s="97"/>
      <c r="H463" s="129"/>
      <c r="I463" s="97"/>
      <c r="J463" s="97"/>
      <c r="K463" s="97"/>
      <c r="L463" s="97"/>
      <c r="M463" s="97"/>
      <c r="N463" s="97"/>
      <c r="O463" s="97"/>
      <c r="P463" s="97"/>
      <c r="Q463" s="97"/>
      <c r="R463" s="97"/>
      <c r="S463" s="97"/>
      <c r="T463" s="97"/>
      <c r="U463" s="97"/>
      <c r="V463" s="97"/>
      <c r="W463" s="97"/>
      <c r="X463" s="129"/>
      <c r="Y463" s="97"/>
      <c r="Z463" s="97"/>
      <c r="AA463" s="97"/>
      <c r="AB463" s="97"/>
      <c r="AC463" s="97"/>
      <c r="AD463" s="97"/>
      <c r="AE463" s="97"/>
      <c r="AF463" s="97"/>
      <c r="AG463" s="97"/>
      <c r="AH463" s="97"/>
      <c r="AI463" s="97"/>
      <c r="AJ463" s="97"/>
      <c r="AK463" s="97"/>
      <c r="AL463" s="97"/>
      <c r="AM463" s="97"/>
      <c r="AN463" s="97"/>
      <c r="AO463" s="97"/>
      <c r="AP463" s="97"/>
      <c r="AQ463" s="97"/>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c r="DF463" s="97"/>
      <c r="DG463" s="97"/>
      <c r="DH463" s="97"/>
      <c r="DI463" s="97"/>
      <c r="DJ463" s="97"/>
      <c r="DK463" s="97"/>
      <c r="DL463" s="97"/>
      <c r="DM463" s="97"/>
      <c r="DN463" s="97"/>
      <c r="DO463" s="97"/>
      <c r="DP463" s="97"/>
      <c r="DQ463" s="97"/>
      <c r="DR463" s="97"/>
      <c r="DS463" s="97"/>
      <c r="DT463" s="97"/>
      <c r="DU463" s="97"/>
      <c r="DV463" s="97"/>
      <c r="DW463" s="97"/>
      <c r="DX463" s="97"/>
      <c r="DY463" s="97"/>
      <c r="DZ463" s="97"/>
      <c r="EA463" s="97"/>
      <c r="EB463" s="97"/>
      <c r="EC463" s="97"/>
      <c r="ED463" s="97"/>
      <c r="EE463" s="97"/>
      <c r="EF463" s="97"/>
      <c r="EG463" s="97"/>
      <c r="EH463" s="97"/>
      <c r="EI463" s="97"/>
      <c r="EJ463" s="97"/>
      <c r="EK463" s="97"/>
      <c r="EL463" s="97"/>
      <c r="EM463" s="97"/>
      <c r="EN463" s="97"/>
      <c r="EO463" s="97"/>
      <c r="EP463" s="97"/>
      <c r="EQ463" s="97"/>
      <c r="ER463" s="97"/>
      <c r="ES463" s="97"/>
      <c r="ET463" s="97"/>
    </row>
    <row r="464" spans="1:150" ht="15.75" customHeight="1">
      <c r="A464" s="97"/>
      <c r="B464" s="97"/>
      <c r="C464" s="97"/>
      <c r="D464" s="97"/>
      <c r="E464" s="97"/>
      <c r="F464" s="97"/>
      <c r="G464" s="97"/>
      <c r="H464" s="129"/>
      <c r="I464" s="97"/>
      <c r="J464" s="97"/>
      <c r="K464" s="97"/>
      <c r="L464" s="97"/>
      <c r="M464" s="97"/>
      <c r="N464" s="97"/>
      <c r="O464" s="97"/>
      <c r="P464" s="97"/>
      <c r="Q464" s="97"/>
      <c r="R464" s="97"/>
      <c r="S464" s="97"/>
      <c r="T464" s="97"/>
      <c r="U464" s="97"/>
      <c r="V464" s="97"/>
      <c r="W464" s="97"/>
      <c r="X464" s="129"/>
      <c r="Y464" s="97"/>
      <c r="Z464" s="97"/>
      <c r="AA464" s="97"/>
      <c r="AB464" s="97"/>
      <c r="AC464" s="97"/>
      <c r="AD464" s="97"/>
      <c r="AE464" s="97"/>
      <c r="AF464" s="97"/>
      <c r="AG464" s="97"/>
      <c r="AH464" s="97"/>
      <c r="AI464" s="97"/>
      <c r="AJ464" s="97"/>
      <c r="AK464" s="97"/>
      <c r="AL464" s="97"/>
      <c r="AM464" s="97"/>
      <c r="AN464" s="97"/>
      <c r="AO464" s="97"/>
      <c r="AP464" s="97"/>
      <c r="AQ464" s="97"/>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c r="DF464" s="97"/>
      <c r="DG464" s="97"/>
      <c r="DH464" s="97"/>
      <c r="DI464" s="97"/>
      <c r="DJ464" s="97"/>
      <c r="DK464" s="97"/>
      <c r="DL464" s="97"/>
      <c r="DM464" s="97"/>
      <c r="DN464" s="97"/>
      <c r="DO464" s="97"/>
      <c r="DP464" s="97"/>
      <c r="DQ464" s="97"/>
      <c r="DR464" s="97"/>
      <c r="DS464" s="97"/>
      <c r="DT464" s="97"/>
      <c r="DU464" s="97"/>
      <c r="DV464" s="97"/>
      <c r="DW464" s="97"/>
      <c r="DX464" s="97"/>
      <c r="DY464" s="97"/>
      <c r="DZ464" s="97"/>
      <c r="EA464" s="97"/>
      <c r="EB464" s="97"/>
      <c r="EC464" s="97"/>
      <c r="ED464" s="97"/>
      <c r="EE464" s="97"/>
      <c r="EF464" s="97"/>
      <c r="EG464" s="97"/>
      <c r="EH464" s="97"/>
      <c r="EI464" s="97"/>
      <c r="EJ464" s="97"/>
      <c r="EK464" s="97"/>
      <c r="EL464" s="97"/>
      <c r="EM464" s="97"/>
      <c r="EN464" s="97"/>
      <c r="EO464" s="97"/>
      <c r="EP464" s="97"/>
      <c r="EQ464" s="97"/>
      <c r="ER464" s="97"/>
      <c r="ES464" s="97"/>
      <c r="ET464" s="97"/>
    </row>
    <row r="465" spans="1:150" ht="15.75" customHeight="1">
      <c r="A465" s="97"/>
      <c r="B465" s="97"/>
      <c r="C465" s="97"/>
      <c r="D465" s="97"/>
      <c r="E465" s="97"/>
      <c r="F465" s="97"/>
      <c r="G465" s="97"/>
      <c r="H465" s="129"/>
      <c r="I465" s="97"/>
      <c r="J465" s="97"/>
      <c r="K465" s="97"/>
      <c r="L465" s="97"/>
      <c r="M465" s="97"/>
      <c r="N465" s="97"/>
      <c r="O465" s="97"/>
      <c r="P465" s="97"/>
      <c r="Q465" s="97"/>
      <c r="R465" s="97"/>
      <c r="S465" s="97"/>
      <c r="T465" s="97"/>
      <c r="U465" s="97"/>
      <c r="V465" s="97"/>
      <c r="W465" s="97"/>
      <c r="X465" s="129"/>
      <c r="Y465" s="97"/>
      <c r="Z465" s="97"/>
      <c r="AA465" s="97"/>
      <c r="AB465" s="97"/>
      <c r="AC465" s="97"/>
      <c r="AD465" s="97"/>
      <c r="AE465" s="97"/>
      <c r="AF465" s="97"/>
      <c r="AG465" s="97"/>
      <c r="AH465" s="97"/>
      <c r="AI465" s="97"/>
      <c r="AJ465" s="97"/>
      <c r="AK465" s="97"/>
      <c r="AL465" s="97"/>
      <c r="AM465" s="97"/>
      <c r="AN465" s="97"/>
      <c r="AO465" s="97"/>
      <c r="AP465" s="97"/>
      <c r="AQ465" s="97"/>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c r="DF465" s="97"/>
      <c r="DG465" s="97"/>
      <c r="DH465" s="97"/>
      <c r="DI465" s="97"/>
      <c r="DJ465" s="97"/>
      <c r="DK465" s="97"/>
      <c r="DL465" s="97"/>
      <c r="DM465" s="97"/>
      <c r="DN465" s="97"/>
      <c r="DO465" s="97"/>
      <c r="DP465" s="97"/>
      <c r="DQ465" s="97"/>
      <c r="DR465" s="97"/>
      <c r="DS465" s="97"/>
      <c r="DT465" s="97"/>
      <c r="DU465" s="97"/>
      <c r="DV465" s="97"/>
      <c r="DW465" s="97"/>
      <c r="DX465" s="97"/>
      <c r="DY465" s="97"/>
      <c r="DZ465" s="97"/>
      <c r="EA465" s="97"/>
      <c r="EB465" s="97"/>
      <c r="EC465" s="97"/>
      <c r="ED465" s="97"/>
      <c r="EE465" s="97"/>
      <c r="EF465" s="97"/>
      <c r="EG465" s="97"/>
      <c r="EH465" s="97"/>
      <c r="EI465" s="97"/>
      <c r="EJ465" s="97"/>
      <c r="EK465" s="97"/>
      <c r="EL465" s="97"/>
      <c r="EM465" s="97"/>
      <c r="EN465" s="97"/>
      <c r="EO465" s="97"/>
      <c r="EP465" s="97"/>
      <c r="EQ465" s="97"/>
      <c r="ER465" s="97"/>
      <c r="ES465" s="97"/>
      <c r="ET465" s="97"/>
    </row>
    <row r="466" spans="1:150" ht="15.75" customHeight="1">
      <c r="A466" s="97"/>
      <c r="B466" s="97"/>
      <c r="C466" s="97"/>
      <c r="D466" s="97"/>
      <c r="E466" s="97"/>
      <c r="F466" s="97"/>
      <c r="G466" s="97"/>
      <c r="H466" s="129"/>
      <c r="I466" s="97"/>
      <c r="J466" s="97"/>
      <c r="K466" s="97"/>
      <c r="L466" s="97"/>
      <c r="M466" s="97"/>
      <c r="N466" s="97"/>
      <c r="O466" s="97"/>
      <c r="P466" s="97"/>
      <c r="Q466" s="97"/>
      <c r="R466" s="97"/>
      <c r="S466" s="97"/>
      <c r="T466" s="97"/>
      <c r="U466" s="97"/>
      <c r="V466" s="97"/>
      <c r="W466" s="97"/>
      <c r="X466" s="129"/>
      <c r="Y466" s="97"/>
      <c r="Z466" s="97"/>
      <c r="AA466" s="97"/>
      <c r="AB466" s="97"/>
      <c r="AC466" s="97"/>
      <c r="AD466" s="97"/>
      <c r="AE466" s="97"/>
      <c r="AF466" s="97"/>
      <c r="AG466" s="97"/>
      <c r="AH466" s="97"/>
      <c r="AI466" s="97"/>
      <c r="AJ466" s="97"/>
      <c r="AK466" s="97"/>
      <c r="AL466" s="97"/>
      <c r="AM466" s="97"/>
      <c r="AN466" s="97"/>
      <c r="AO466" s="97"/>
      <c r="AP466" s="97"/>
      <c r="AQ466" s="97"/>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c r="DF466" s="97"/>
      <c r="DG466" s="97"/>
      <c r="DH466" s="97"/>
      <c r="DI466" s="97"/>
      <c r="DJ466" s="97"/>
      <c r="DK466" s="97"/>
      <c r="DL466" s="97"/>
      <c r="DM466" s="97"/>
      <c r="DN466" s="97"/>
      <c r="DO466" s="97"/>
      <c r="DP466" s="97"/>
      <c r="DQ466" s="97"/>
      <c r="DR466" s="97"/>
      <c r="DS466" s="97"/>
      <c r="DT466" s="97"/>
      <c r="DU466" s="97"/>
      <c r="DV466" s="97"/>
      <c r="DW466" s="97"/>
      <c r="DX466" s="97"/>
      <c r="DY466" s="97"/>
      <c r="DZ466" s="97"/>
      <c r="EA466" s="97"/>
      <c r="EB466" s="97"/>
      <c r="EC466" s="97"/>
      <c r="ED466" s="97"/>
      <c r="EE466" s="97"/>
      <c r="EF466" s="97"/>
      <c r="EG466" s="97"/>
      <c r="EH466" s="97"/>
      <c r="EI466" s="97"/>
      <c r="EJ466" s="97"/>
      <c r="EK466" s="97"/>
      <c r="EL466" s="97"/>
      <c r="EM466" s="97"/>
      <c r="EN466" s="97"/>
      <c r="EO466" s="97"/>
      <c r="EP466" s="97"/>
      <c r="EQ466" s="97"/>
      <c r="ER466" s="97"/>
      <c r="ES466" s="97"/>
      <c r="ET466" s="97"/>
    </row>
    <row r="467" spans="1:150" ht="15.75" customHeight="1">
      <c r="A467" s="97"/>
      <c r="B467" s="97"/>
      <c r="C467" s="97"/>
      <c r="D467" s="97"/>
      <c r="E467" s="97"/>
      <c r="F467" s="97"/>
      <c r="G467" s="97"/>
      <c r="H467" s="129"/>
      <c r="I467" s="97"/>
      <c r="J467" s="97"/>
      <c r="K467" s="97"/>
      <c r="L467" s="97"/>
      <c r="M467" s="97"/>
      <c r="N467" s="97"/>
      <c r="O467" s="97"/>
      <c r="P467" s="97"/>
      <c r="Q467" s="97"/>
      <c r="R467" s="97"/>
      <c r="S467" s="97"/>
      <c r="T467" s="97"/>
      <c r="U467" s="97"/>
      <c r="V467" s="97"/>
      <c r="W467" s="97"/>
      <c r="X467" s="129"/>
      <c r="Y467" s="97"/>
      <c r="Z467" s="97"/>
      <c r="AA467" s="97"/>
      <c r="AB467" s="97"/>
      <c r="AC467" s="97"/>
      <c r="AD467" s="97"/>
      <c r="AE467" s="97"/>
      <c r="AF467" s="97"/>
      <c r="AG467" s="97"/>
      <c r="AH467" s="97"/>
      <c r="AI467" s="97"/>
      <c r="AJ467" s="97"/>
      <c r="AK467" s="97"/>
      <c r="AL467" s="97"/>
      <c r="AM467" s="97"/>
      <c r="AN467" s="97"/>
      <c r="AO467" s="97"/>
      <c r="AP467" s="97"/>
      <c r="AQ467" s="97"/>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c r="DF467" s="97"/>
      <c r="DG467" s="97"/>
      <c r="DH467" s="97"/>
      <c r="DI467" s="97"/>
      <c r="DJ467" s="97"/>
      <c r="DK467" s="97"/>
      <c r="DL467" s="97"/>
      <c r="DM467" s="97"/>
      <c r="DN467" s="97"/>
      <c r="DO467" s="97"/>
      <c r="DP467" s="97"/>
      <c r="DQ467" s="97"/>
      <c r="DR467" s="97"/>
      <c r="DS467" s="97"/>
      <c r="DT467" s="97"/>
      <c r="DU467" s="97"/>
      <c r="DV467" s="97"/>
      <c r="DW467" s="97"/>
      <c r="DX467" s="97"/>
      <c r="DY467" s="97"/>
      <c r="DZ467" s="97"/>
      <c r="EA467" s="97"/>
      <c r="EB467" s="97"/>
      <c r="EC467" s="97"/>
      <c r="ED467" s="97"/>
      <c r="EE467" s="97"/>
      <c r="EF467" s="97"/>
      <c r="EG467" s="97"/>
      <c r="EH467" s="97"/>
      <c r="EI467" s="97"/>
      <c r="EJ467" s="97"/>
      <c r="EK467" s="97"/>
      <c r="EL467" s="97"/>
      <c r="EM467" s="97"/>
      <c r="EN467" s="97"/>
      <c r="EO467" s="97"/>
      <c r="EP467" s="97"/>
      <c r="EQ467" s="97"/>
      <c r="ER467" s="97"/>
      <c r="ES467" s="97"/>
      <c r="ET467" s="97"/>
    </row>
    <row r="468" spans="1:150" ht="15.75" customHeight="1">
      <c r="A468" s="97"/>
      <c r="B468" s="97"/>
      <c r="C468" s="97"/>
      <c r="D468" s="97"/>
      <c r="E468" s="97"/>
      <c r="F468" s="97"/>
      <c r="G468" s="97"/>
      <c r="H468" s="129"/>
      <c r="I468" s="97"/>
      <c r="J468" s="97"/>
      <c r="K468" s="97"/>
      <c r="L468" s="97"/>
      <c r="M468" s="97"/>
      <c r="N468" s="97"/>
      <c r="O468" s="97"/>
      <c r="P468" s="97"/>
      <c r="Q468" s="97"/>
      <c r="R468" s="97"/>
      <c r="S468" s="97"/>
      <c r="T468" s="97"/>
      <c r="U468" s="97"/>
      <c r="V468" s="97"/>
      <c r="W468" s="97"/>
      <c r="X468" s="129"/>
      <c r="Y468" s="97"/>
      <c r="Z468" s="97"/>
      <c r="AA468" s="97"/>
      <c r="AB468" s="97"/>
      <c r="AC468" s="97"/>
      <c r="AD468" s="97"/>
      <c r="AE468" s="97"/>
      <c r="AF468" s="97"/>
      <c r="AG468" s="97"/>
      <c r="AH468" s="97"/>
      <c r="AI468" s="97"/>
      <c r="AJ468" s="97"/>
      <c r="AK468" s="97"/>
      <c r="AL468" s="97"/>
      <c r="AM468" s="97"/>
      <c r="AN468" s="97"/>
      <c r="AO468" s="97"/>
      <c r="AP468" s="97"/>
      <c r="AQ468" s="97"/>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c r="DF468" s="97"/>
      <c r="DG468" s="97"/>
      <c r="DH468" s="97"/>
      <c r="DI468" s="97"/>
      <c r="DJ468" s="97"/>
      <c r="DK468" s="97"/>
      <c r="DL468" s="97"/>
      <c r="DM468" s="97"/>
      <c r="DN468" s="97"/>
      <c r="DO468" s="97"/>
      <c r="DP468" s="97"/>
      <c r="DQ468" s="97"/>
      <c r="DR468" s="97"/>
      <c r="DS468" s="97"/>
      <c r="DT468" s="97"/>
      <c r="DU468" s="97"/>
      <c r="DV468" s="97"/>
      <c r="DW468" s="97"/>
      <c r="DX468" s="97"/>
      <c r="DY468" s="97"/>
      <c r="DZ468" s="97"/>
      <c r="EA468" s="97"/>
      <c r="EB468" s="97"/>
      <c r="EC468" s="97"/>
      <c r="ED468" s="97"/>
      <c r="EE468" s="97"/>
      <c r="EF468" s="97"/>
      <c r="EG468" s="97"/>
      <c r="EH468" s="97"/>
      <c r="EI468" s="97"/>
      <c r="EJ468" s="97"/>
      <c r="EK468" s="97"/>
      <c r="EL468" s="97"/>
      <c r="EM468" s="97"/>
      <c r="EN468" s="97"/>
      <c r="EO468" s="97"/>
      <c r="EP468" s="97"/>
      <c r="EQ468" s="97"/>
      <c r="ER468" s="97"/>
      <c r="ES468" s="97"/>
      <c r="ET468" s="97"/>
    </row>
    <row r="469" spans="1:150" ht="15.75" customHeight="1">
      <c r="A469" s="97"/>
      <c r="B469" s="97"/>
      <c r="C469" s="97"/>
      <c r="D469" s="97"/>
      <c r="E469" s="97"/>
      <c r="F469" s="97"/>
      <c r="G469" s="97"/>
      <c r="H469" s="129"/>
      <c r="I469" s="97"/>
      <c r="J469" s="97"/>
      <c r="K469" s="97"/>
      <c r="L469" s="97"/>
      <c r="M469" s="97"/>
      <c r="N469" s="97"/>
      <c r="O469" s="97"/>
      <c r="P469" s="97"/>
      <c r="Q469" s="97"/>
      <c r="R469" s="97"/>
      <c r="S469" s="97"/>
      <c r="T469" s="97"/>
      <c r="U469" s="97"/>
      <c r="V469" s="97"/>
      <c r="W469" s="97"/>
      <c r="X469" s="129"/>
      <c r="Y469" s="97"/>
      <c r="Z469" s="97"/>
      <c r="AA469" s="97"/>
      <c r="AB469" s="97"/>
      <c r="AC469" s="97"/>
      <c r="AD469" s="97"/>
      <c r="AE469" s="97"/>
      <c r="AF469" s="97"/>
      <c r="AG469" s="97"/>
      <c r="AH469" s="97"/>
      <c r="AI469" s="97"/>
      <c r="AJ469" s="97"/>
      <c r="AK469" s="97"/>
      <c r="AL469" s="97"/>
      <c r="AM469" s="97"/>
      <c r="AN469" s="97"/>
      <c r="AO469" s="97"/>
      <c r="AP469" s="97"/>
      <c r="AQ469" s="97"/>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c r="DF469" s="97"/>
      <c r="DG469" s="97"/>
      <c r="DH469" s="97"/>
      <c r="DI469" s="97"/>
      <c r="DJ469" s="97"/>
      <c r="DK469" s="97"/>
      <c r="DL469" s="97"/>
      <c r="DM469" s="97"/>
      <c r="DN469" s="97"/>
      <c r="DO469" s="97"/>
      <c r="DP469" s="97"/>
      <c r="DQ469" s="97"/>
      <c r="DR469" s="97"/>
      <c r="DS469" s="97"/>
      <c r="DT469" s="97"/>
      <c r="DU469" s="97"/>
      <c r="DV469" s="97"/>
      <c r="DW469" s="97"/>
      <c r="DX469" s="97"/>
      <c r="DY469" s="97"/>
      <c r="DZ469" s="97"/>
      <c r="EA469" s="97"/>
      <c r="EB469" s="97"/>
      <c r="EC469" s="97"/>
      <c r="ED469" s="97"/>
      <c r="EE469" s="97"/>
      <c r="EF469" s="97"/>
      <c r="EG469" s="97"/>
      <c r="EH469" s="97"/>
      <c r="EI469" s="97"/>
      <c r="EJ469" s="97"/>
      <c r="EK469" s="97"/>
      <c r="EL469" s="97"/>
      <c r="EM469" s="97"/>
      <c r="EN469" s="97"/>
      <c r="EO469" s="97"/>
      <c r="EP469" s="97"/>
      <c r="EQ469" s="97"/>
      <c r="ER469" s="97"/>
      <c r="ES469" s="97"/>
      <c r="ET469" s="97"/>
    </row>
    <row r="470" spans="1:150" ht="15.75" customHeight="1">
      <c r="A470" s="97"/>
      <c r="B470" s="97"/>
      <c r="C470" s="97"/>
      <c r="D470" s="97"/>
      <c r="E470" s="97"/>
      <c r="F470" s="97"/>
      <c r="G470" s="97"/>
      <c r="H470" s="129"/>
      <c r="I470" s="97"/>
      <c r="J470" s="97"/>
      <c r="K470" s="97"/>
      <c r="L470" s="97"/>
      <c r="M470" s="97"/>
      <c r="N470" s="97"/>
      <c r="O470" s="97"/>
      <c r="P470" s="97"/>
      <c r="Q470" s="97"/>
      <c r="R470" s="97"/>
      <c r="S470" s="97"/>
      <c r="T470" s="97"/>
      <c r="U470" s="97"/>
      <c r="V470" s="97"/>
      <c r="W470" s="97"/>
      <c r="X470" s="129"/>
      <c r="Y470" s="97"/>
      <c r="Z470" s="97"/>
      <c r="AA470" s="97"/>
      <c r="AB470" s="97"/>
      <c r="AC470" s="97"/>
      <c r="AD470" s="97"/>
      <c r="AE470" s="97"/>
      <c r="AF470" s="97"/>
      <c r="AG470" s="97"/>
      <c r="AH470" s="97"/>
      <c r="AI470" s="97"/>
      <c r="AJ470" s="97"/>
      <c r="AK470" s="97"/>
      <c r="AL470" s="97"/>
      <c r="AM470" s="97"/>
      <c r="AN470" s="97"/>
      <c r="AO470" s="97"/>
      <c r="AP470" s="97"/>
      <c r="AQ470" s="97"/>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c r="DF470" s="97"/>
      <c r="DG470" s="97"/>
      <c r="DH470" s="97"/>
      <c r="DI470" s="97"/>
      <c r="DJ470" s="97"/>
      <c r="DK470" s="97"/>
      <c r="DL470" s="97"/>
      <c r="DM470" s="97"/>
      <c r="DN470" s="97"/>
      <c r="DO470" s="97"/>
      <c r="DP470" s="97"/>
      <c r="DQ470" s="97"/>
      <c r="DR470" s="97"/>
      <c r="DS470" s="97"/>
      <c r="DT470" s="97"/>
      <c r="DU470" s="97"/>
      <c r="DV470" s="97"/>
      <c r="DW470" s="97"/>
      <c r="DX470" s="97"/>
      <c r="DY470" s="97"/>
      <c r="DZ470" s="97"/>
      <c r="EA470" s="97"/>
      <c r="EB470" s="97"/>
      <c r="EC470" s="97"/>
      <c r="ED470" s="97"/>
      <c r="EE470" s="97"/>
      <c r="EF470" s="97"/>
      <c r="EG470" s="97"/>
      <c r="EH470" s="97"/>
      <c r="EI470" s="97"/>
      <c r="EJ470" s="97"/>
      <c r="EK470" s="97"/>
      <c r="EL470" s="97"/>
      <c r="EM470" s="97"/>
      <c r="EN470" s="97"/>
      <c r="EO470" s="97"/>
      <c r="EP470" s="97"/>
      <c r="EQ470" s="97"/>
      <c r="ER470" s="97"/>
      <c r="ES470" s="97"/>
      <c r="ET470" s="97"/>
    </row>
    <row r="471" spans="1:150" ht="15.75" customHeight="1">
      <c r="A471" s="97"/>
      <c r="B471" s="97"/>
      <c r="C471" s="97"/>
      <c r="D471" s="97"/>
      <c r="E471" s="97"/>
      <c r="F471" s="97"/>
      <c r="G471" s="97"/>
      <c r="H471" s="129"/>
      <c r="I471" s="97"/>
      <c r="J471" s="97"/>
      <c r="K471" s="97"/>
      <c r="L471" s="97"/>
      <c r="M471" s="97"/>
      <c r="N471" s="97"/>
      <c r="O471" s="97"/>
      <c r="P471" s="97"/>
      <c r="Q471" s="97"/>
      <c r="R471" s="97"/>
      <c r="S471" s="97"/>
      <c r="T471" s="97"/>
      <c r="U471" s="97"/>
      <c r="V471" s="97"/>
      <c r="W471" s="97"/>
      <c r="X471" s="129"/>
      <c r="Y471" s="97"/>
      <c r="Z471" s="97"/>
      <c r="AA471" s="97"/>
      <c r="AB471" s="97"/>
      <c r="AC471" s="97"/>
      <c r="AD471" s="97"/>
      <c r="AE471" s="97"/>
      <c r="AF471" s="97"/>
      <c r="AG471" s="97"/>
      <c r="AH471" s="97"/>
      <c r="AI471" s="97"/>
      <c r="AJ471" s="97"/>
      <c r="AK471" s="97"/>
      <c r="AL471" s="97"/>
      <c r="AM471" s="97"/>
      <c r="AN471" s="97"/>
      <c r="AO471" s="97"/>
      <c r="AP471" s="97"/>
      <c r="AQ471" s="97"/>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c r="DF471" s="97"/>
      <c r="DG471" s="97"/>
      <c r="DH471" s="97"/>
      <c r="DI471" s="97"/>
      <c r="DJ471" s="97"/>
      <c r="DK471" s="97"/>
      <c r="DL471" s="97"/>
      <c r="DM471" s="97"/>
      <c r="DN471" s="97"/>
      <c r="DO471" s="97"/>
      <c r="DP471" s="97"/>
      <c r="DQ471" s="97"/>
      <c r="DR471" s="97"/>
      <c r="DS471" s="97"/>
      <c r="DT471" s="97"/>
      <c r="DU471" s="97"/>
      <c r="DV471" s="97"/>
      <c r="DW471" s="97"/>
      <c r="DX471" s="97"/>
      <c r="DY471" s="97"/>
      <c r="DZ471" s="97"/>
      <c r="EA471" s="97"/>
      <c r="EB471" s="97"/>
      <c r="EC471" s="97"/>
      <c r="ED471" s="97"/>
      <c r="EE471" s="97"/>
      <c r="EF471" s="97"/>
      <c r="EG471" s="97"/>
      <c r="EH471" s="97"/>
      <c r="EI471" s="97"/>
      <c r="EJ471" s="97"/>
      <c r="EK471" s="97"/>
      <c r="EL471" s="97"/>
      <c r="EM471" s="97"/>
      <c r="EN471" s="97"/>
      <c r="EO471" s="97"/>
      <c r="EP471" s="97"/>
      <c r="EQ471" s="97"/>
      <c r="ER471" s="97"/>
      <c r="ES471" s="97"/>
      <c r="ET471" s="97"/>
    </row>
    <row r="472" spans="1:150" ht="15.75" customHeight="1">
      <c r="A472" s="97"/>
      <c r="B472" s="97"/>
      <c r="C472" s="97"/>
      <c r="D472" s="97"/>
      <c r="E472" s="97"/>
      <c r="F472" s="97"/>
      <c r="G472" s="97"/>
      <c r="H472" s="129"/>
      <c r="I472" s="97"/>
      <c r="J472" s="97"/>
      <c r="K472" s="97"/>
      <c r="L472" s="97"/>
      <c r="M472" s="97"/>
      <c r="N472" s="97"/>
      <c r="O472" s="97"/>
      <c r="P472" s="97"/>
      <c r="Q472" s="97"/>
      <c r="R472" s="97"/>
      <c r="S472" s="97"/>
      <c r="T472" s="97"/>
      <c r="U472" s="97"/>
      <c r="V472" s="97"/>
      <c r="W472" s="97"/>
      <c r="X472" s="129"/>
      <c r="Y472" s="97"/>
      <c r="Z472" s="97"/>
      <c r="AA472" s="97"/>
      <c r="AB472" s="97"/>
      <c r="AC472" s="97"/>
      <c r="AD472" s="97"/>
      <c r="AE472" s="97"/>
      <c r="AF472" s="97"/>
      <c r="AG472" s="97"/>
      <c r="AH472" s="97"/>
      <c r="AI472" s="97"/>
      <c r="AJ472" s="97"/>
      <c r="AK472" s="97"/>
      <c r="AL472" s="97"/>
      <c r="AM472" s="97"/>
      <c r="AN472" s="97"/>
      <c r="AO472" s="97"/>
      <c r="AP472" s="97"/>
      <c r="AQ472" s="97"/>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c r="DF472" s="97"/>
      <c r="DG472" s="97"/>
      <c r="DH472" s="97"/>
      <c r="DI472" s="97"/>
      <c r="DJ472" s="97"/>
      <c r="DK472" s="97"/>
      <c r="DL472" s="97"/>
      <c r="DM472" s="97"/>
      <c r="DN472" s="97"/>
      <c r="DO472" s="97"/>
      <c r="DP472" s="97"/>
      <c r="DQ472" s="97"/>
      <c r="DR472" s="97"/>
      <c r="DS472" s="97"/>
      <c r="DT472" s="97"/>
      <c r="DU472" s="97"/>
      <c r="DV472" s="97"/>
      <c r="DW472" s="97"/>
      <c r="DX472" s="97"/>
      <c r="DY472" s="97"/>
      <c r="DZ472" s="97"/>
      <c r="EA472" s="97"/>
      <c r="EB472" s="97"/>
      <c r="EC472" s="97"/>
      <c r="ED472" s="97"/>
      <c r="EE472" s="97"/>
      <c r="EF472" s="97"/>
      <c r="EG472" s="97"/>
      <c r="EH472" s="97"/>
      <c r="EI472" s="97"/>
      <c r="EJ472" s="97"/>
      <c r="EK472" s="97"/>
      <c r="EL472" s="97"/>
      <c r="EM472" s="97"/>
      <c r="EN472" s="97"/>
      <c r="EO472" s="97"/>
      <c r="EP472" s="97"/>
      <c r="EQ472" s="97"/>
      <c r="ER472" s="97"/>
      <c r="ES472" s="97"/>
      <c r="ET472" s="97"/>
    </row>
    <row r="473" spans="1:150" ht="15.75" customHeight="1">
      <c r="A473" s="97"/>
      <c r="B473" s="97"/>
      <c r="C473" s="97"/>
      <c r="D473" s="97"/>
      <c r="E473" s="97"/>
      <c r="F473" s="97"/>
      <c r="G473" s="97"/>
      <c r="H473" s="129"/>
      <c r="I473" s="97"/>
      <c r="J473" s="97"/>
      <c r="K473" s="97"/>
      <c r="L473" s="97"/>
      <c r="M473" s="97"/>
      <c r="N473" s="97"/>
      <c r="O473" s="97"/>
      <c r="P473" s="97"/>
      <c r="Q473" s="97"/>
      <c r="R473" s="97"/>
      <c r="S473" s="97"/>
      <c r="T473" s="97"/>
      <c r="U473" s="97"/>
      <c r="V473" s="97"/>
      <c r="W473" s="97"/>
      <c r="X473" s="129"/>
      <c r="Y473" s="97"/>
      <c r="Z473" s="97"/>
      <c r="AA473" s="97"/>
      <c r="AB473" s="97"/>
      <c r="AC473" s="97"/>
      <c r="AD473" s="97"/>
      <c r="AE473" s="97"/>
      <c r="AF473" s="97"/>
      <c r="AG473" s="97"/>
      <c r="AH473" s="97"/>
      <c r="AI473" s="97"/>
      <c r="AJ473" s="97"/>
      <c r="AK473" s="97"/>
      <c r="AL473" s="97"/>
      <c r="AM473" s="97"/>
      <c r="AN473" s="97"/>
      <c r="AO473" s="97"/>
      <c r="AP473" s="97"/>
      <c r="AQ473" s="97"/>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c r="DF473" s="97"/>
      <c r="DG473" s="97"/>
      <c r="DH473" s="97"/>
      <c r="DI473" s="97"/>
      <c r="DJ473" s="97"/>
      <c r="DK473" s="97"/>
      <c r="DL473" s="97"/>
      <c r="DM473" s="97"/>
      <c r="DN473" s="97"/>
      <c r="DO473" s="97"/>
      <c r="DP473" s="97"/>
      <c r="DQ473" s="97"/>
      <c r="DR473" s="97"/>
      <c r="DS473" s="97"/>
      <c r="DT473" s="97"/>
      <c r="DU473" s="97"/>
      <c r="DV473" s="97"/>
      <c r="DW473" s="97"/>
      <c r="DX473" s="97"/>
      <c r="DY473" s="97"/>
      <c r="DZ473" s="97"/>
      <c r="EA473" s="97"/>
      <c r="EB473" s="97"/>
      <c r="EC473" s="97"/>
      <c r="ED473" s="97"/>
      <c r="EE473" s="97"/>
      <c r="EF473" s="97"/>
      <c r="EG473" s="97"/>
      <c r="EH473" s="97"/>
      <c r="EI473" s="97"/>
      <c r="EJ473" s="97"/>
      <c r="EK473" s="97"/>
      <c r="EL473" s="97"/>
      <c r="EM473" s="97"/>
      <c r="EN473" s="97"/>
      <c r="EO473" s="97"/>
      <c r="EP473" s="97"/>
      <c r="EQ473" s="97"/>
      <c r="ER473" s="97"/>
      <c r="ES473" s="97"/>
      <c r="ET473" s="97"/>
    </row>
    <row r="474" spans="1:150" ht="15.75" customHeight="1">
      <c r="A474" s="97"/>
      <c r="B474" s="97"/>
      <c r="C474" s="97"/>
      <c r="D474" s="97"/>
      <c r="E474" s="97"/>
      <c r="F474" s="97"/>
      <c r="G474" s="97"/>
      <c r="H474" s="129"/>
      <c r="I474" s="97"/>
      <c r="J474" s="97"/>
      <c r="K474" s="97"/>
      <c r="L474" s="97"/>
      <c r="M474" s="97"/>
      <c r="N474" s="97"/>
      <c r="O474" s="97"/>
      <c r="P474" s="97"/>
      <c r="Q474" s="97"/>
      <c r="R474" s="97"/>
      <c r="S474" s="97"/>
      <c r="T474" s="97"/>
      <c r="U474" s="97"/>
      <c r="V474" s="97"/>
      <c r="W474" s="97"/>
      <c r="X474" s="129"/>
      <c r="Y474" s="97"/>
      <c r="Z474" s="97"/>
      <c r="AA474" s="97"/>
      <c r="AB474" s="97"/>
      <c r="AC474" s="97"/>
      <c r="AD474" s="97"/>
      <c r="AE474" s="97"/>
      <c r="AF474" s="97"/>
      <c r="AG474" s="97"/>
      <c r="AH474" s="97"/>
      <c r="AI474" s="97"/>
      <c r="AJ474" s="97"/>
      <c r="AK474" s="97"/>
      <c r="AL474" s="97"/>
      <c r="AM474" s="97"/>
      <c r="AN474" s="97"/>
      <c r="AO474" s="97"/>
      <c r="AP474" s="97"/>
      <c r="AQ474" s="97"/>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c r="DF474" s="97"/>
      <c r="DG474" s="97"/>
      <c r="DH474" s="97"/>
      <c r="DI474" s="97"/>
      <c r="DJ474" s="97"/>
      <c r="DK474" s="97"/>
      <c r="DL474" s="97"/>
      <c r="DM474" s="97"/>
      <c r="DN474" s="97"/>
      <c r="DO474" s="97"/>
      <c r="DP474" s="97"/>
      <c r="DQ474" s="97"/>
      <c r="DR474" s="97"/>
      <c r="DS474" s="97"/>
      <c r="DT474" s="97"/>
      <c r="DU474" s="97"/>
      <c r="DV474" s="97"/>
      <c r="DW474" s="97"/>
      <c r="DX474" s="97"/>
      <c r="DY474" s="97"/>
      <c r="DZ474" s="97"/>
      <c r="EA474" s="97"/>
      <c r="EB474" s="97"/>
      <c r="EC474" s="97"/>
      <c r="ED474" s="97"/>
      <c r="EE474" s="97"/>
      <c r="EF474" s="97"/>
      <c r="EG474" s="97"/>
      <c r="EH474" s="97"/>
      <c r="EI474" s="97"/>
      <c r="EJ474" s="97"/>
      <c r="EK474" s="97"/>
      <c r="EL474" s="97"/>
      <c r="EM474" s="97"/>
      <c r="EN474" s="97"/>
      <c r="EO474" s="97"/>
      <c r="EP474" s="97"/>
      <c r="EQ474" s="97"/>
      <c r="ER474" s="97"/>
      <c r="ES474" s="97"/>
      <c r="ET474" s="97"/>
    </row>
    <row r="475" spans="1:150" ht="15.75" customHeight="1">
      <c r="A475" s="97"/>
      <c r="B475" s="97"/>
      <c r="C475" s="97"/>
      <c r="D475" s="97"/>
      <c r="E475" s="97"/>
      <c r="F475" s="97"/>
      <c r="G475" s="97"/>
      <c r="H475" s="129"/>
      <c r="I475" s="97"/>
      <c r="J475" s="97"/>
      <c r="K475" s="97"/>
      <c r="L475" s="97"/>
      <c r="M475" s="97"/>
      <c r="N475" s="97"/>
      <c r="O475" s="97"/>
      <c r="P475" s="97"/>
      <c r="Q475" s="97"/>
      <c r="R475" s="97"/>
      <c r="S475" s="97"/>
      <c r="T475" s="97"/>
      <c r="U475" s="97"/>
      <c r="V475" s="97"/>
      <c r="W475" s="97"/>
      <c r="X475" s="129"/>
      <c r="Y475" s="97"/>
      <c r="Z475" s="97"/>
      <c r="AA475" s="97"/>
      <c r="AB475" s="97"/>
      <c r="AC475" s="97"/>
      <c r="AD475" s="97"/>
      <c r="AE475" s="97"/>
      <c r="AF475" s="97"/>
      <c r="AG475" s="97"/>
      <c r="AH475" s="97"/>
      <c r="AI475" s="97"/>
      <c r="AJ475" s="97"/>
      <c r="AK475" s="97"/>
      <c r="AL475" s="97"/>
      <c r="AM475" s="97"/>
      <c r="AN475" s="97"/>
      <c r="AO475" s="97"/>
      <c r="AP475" s="97"/>
      <c r="AQ475" s="97"/>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c r="DF475" s="97"/>
      <c r="DG475" s="97"/>
      <c r="DH475" s="97"/>
      <c r="DI475" s="97"/>
      <c r="DJ475" s="97"/>
      <c r="DK475" s="97"/>
      <c r="DL475" s="97"/>
      <c r="DM475" s="97"/>
      <c r="DN475" s="97"/>
      <c r="DO475" s="97"/>
      <c r="DP475" s="97"/>
      <c r="DQ475" s="97"/>
      <c r="DR475" s="97"/>
      <c r="DS475" s="97"/>
      <c r="DT475" s="97"/>
      <c r="DU475" s="97"/>
      <c r="DV475" s="97"/>
      <c r="DW475" s="97"/>
      <c r="DX475" s="97"/>
      <c r="DY475" s="97"/>
      <c r="DZ475" s="97"/>
      <c r="EA475" s="97"/>
      <c r="EB475" s="97"/>
      <c r="EC475" s="97"/>
      <c r="ED475" s="97"/>
      <c r="EE475" s="97"/>
      <c r="EF475" s="97"/>
      <c r="EG475" s="97"/>
      <c r="EH475" s="97"/>
      <c r="EI475" s="97"/>
      <c r="EJ475" s="97"/>
      <c r="EK475" s="97"/>
      <c r="EL475" s="97"/>
      <c r="EM475" s="97"/>
      <c r="EN475" s="97"/>
      <c r="EO475" s="97"/>
      <c r="EP475" s="97"/>
      <c r="EQ475" s="97"/>
      <c r="ER475" s="97"/>
      <c r="ES475" s="97"/>
      <c r="ET475" s="97"/>
    </row>
    <row r="476" spans="1:150" ht="15.75" customHeight="1">
      <c r="A476" s="97"/>
      <c r="B476" s="97"/>
      <c r="C476" s="97"/>
      <c r="D476" s="97"/>
      <c r="E476" s="97"/>
      <c r="F476" s="97"/>
      <c r="G476" s="97"/>
      <c r="H476" s="129"/>
      <c r="I476" s="97"/>
      <c r="J476" s="97"/>
      <c r="K476" s="97"/>
      <c r="L476" s="97"/>
      <c r="M476" s="97"/>
      <c r="N476" s="97"/>
      <c r="O476" s="97"/>
      <c r="P476" s="97"/>
      <c r="Q476" s="97"/>
      <c r="R476" s="97"/>
      <c r="S476" s="97"/>
      <c r="T476" s="97"/>
      <c r="U476" s="97"/>
      <c r="V476" s="97"/>
      <c r="W476" s="97"/>
      <c r="X476" s="129"/>
      <c r="Y476" s="97"/>
      <c r="Z476" s="97"/>
      <c r="AA476" s="97"/>
      <c r="AB476" s="97"/>
      <c r="AC476" s="97"/>
      <c r="AD476" s="97"/>
      <c r="AE476" s="97"/>
      <c r="AF476" s="97"/>
      <c r="AG476" s="97"/>
      <c r="AH476" s="97"/>
      <c r="AI476" s="97"/>
      <c r="AJ476" s="97"/>
      <c r="AK476" s="97"/>
      <c r="AL476" s="97"/>
      <c r="AM476" s="97"/>
      <c r="AN476" s="97"/>
      <c r="AO476" s="97"/>
      <c r="AP476" s="97"/>
      <c r="AQ476" s="97"/>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c r="DF476" s="97"/>
      <c r="DG476" s="97"/>
      <c r="DH476" s="97"/>
      <c r="DI476" s="97"/>
      <c r="DJ476" s="97"/>
      <c r="DK476" s="97"/>
      <c r="DL476" s="97"/>
      <c r="DM476" s="97"/>
      <c r="DN476" s="97"/>
      <c r="DO476" s="97"/>
      <c r="DP476" s="97"/>
      <c r="DQ476" s="97"/>
      <c r="DR476" s="97"/>
      <c r="DS476" s="97"/>
      <c r="DT476" s="97"/>
      <c r="DU476" s="97"/>
      <c r="DV476" s="97"/>
      <c r="DW476" s="97"/>
      <c r="DX476" s="97"/>
      <c r="DY476" s="97"/>
      <c r="DZ476" s="97"/>
      <c r="EA476" s="97"/>
      <c r="EB476" s="97"/>
      <c r="EC476" s="97"/>
      <c r="ED476" s="97"/>
      <c r="EE476" s="97"/>
      <c r="EF476" s="97"/>
      <c r="EG476" s="97"/>
      <c r="EH476" s="97"/>
      <c r="EI476" s="97"/>
      <c r="EJ476" s="97"/>
      <c r="EK476" s="97"/>
      <c r="EL476" s="97"/>
      <c r="EM476" s="97"/>
      <c r="EN476" s="97"/>
      <c r="EO476" s="97"/>
      <c r="EP476" s="97"/>
      <c r="EQ476" s="97"/>
      <c r="ER476" s="97"/>
      <c r="ES476" s="97"/>
      <c r="ET476" s="97"/>
    </row>
    <row r="477" spans="1:150" ht="15.75" customHeight="1">
      <c r="A477" s="97"/>
      <c r="B477" s="97"/>
      <c r="C477" s="97"/>
      <c r="D477" s="97"/>
      <c r="E477" s="97"/>
      <c r="F477" s="97"/>
      <c r="G477" s="97"/>
      <c r="H477" s="129"/>
      <c r="I477" s="97"/>
      <c r="J477" s="97"/>
      <c r="K477" s="97"/>
      <c r="L477" s="97"/>
      <c r="M477" s="97"/>
      <c r="N477" s="97"/>
      <c r="O477" s="97"/>
      <c r="P477" s="97"/>
      <c r="Q477" s="97"/>
      <c r="R477" s="97"/>
      <c r="S477" s="97"/>
      <c r="T477" s="97"/>
      <c r="U477" s="97"/>
      <c r="V477" s="97"/>
      <c r="W477" s="97"/>
      <c r="X477" s="129"/>
      <c r="Y477" s="97"/>
      <c r="Z477" s="97"/>
      <c r="AA477" s="97"/>
      <c r="AB477" s="97"/>
      <c r="AC477" s="97"/>
      <c r="AD477" s="97"/>
      <c r="AE477" s="97"/>
      <c r="AF477" s="97"/>
      <c r="AG477" s="97"/>
      <c r="AH477" s="97"/>
      <c r="AI477" s="97"/>
      <c r="AJ477" s="97"/>
      <c r="AK477" s="97"/>
      <c r="AL477" s="97"/>
      <c r="AM477" s="97"/>
      <c r="AN477" s="97"/>
      <c r="AO477" s="97"/>
      <c r="AP477" s="97"/>
      <c r="AQ477" s="97"/>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c r="DF477" s="97"/>
      <c r="DG477" s="97"/>
      <c r="DH477" s="97"/>
      <c r="DI477" s="97"/>
      <c r="DJ477" s="97"/>
      <c r="DK477" s="97"/>
      <c r="DL477" s="97"/>
      <c r="DM477" s="97"/>
      <c r="DN477" s="97"/>
      <c r="DO477" s="97"/>
      <c r="DP477" s="97"/>
      <c r="DQ477" s="97"/>
      <c r="DR477" s="97"/>
      <c r="DS477" s="97"/>
      <c r="DT477" s="97"/>
      <c r="DU477" s="97"/>
      <c r="DV477" s="97"/>
      <c r="DW477" s="97"/>
      <c r="DX477" s="97"/>
      <c r="DY477" s="97"/>
      <c r="DZ477" s="97"/>
      <c r="EA477" s="97"/>
      <c r="EB477" s="97"/>
      <c r="EC477" s="97"/>
      <c r="ED477" s="97"/>
      <c r="EE477" s="97"/>
      <c r="EF477" s="97"/>
      <c r="EG477" s="97"/>
      <c r="EH477" s="97"/>
      <c r="EI477" s="97"/>
      <c r="EJ477" s="97"/>
      <c r="EK477" s="97"/>
      <c r="EL477" s="97"/>
      <c r="EM477" s="97"/>
      <c r="EN477" s="97"/>
      <c r="EO477" s="97"/>
      <c r="EP477" s="97"/>
      <c r="EQ477" s="97"/>
      <c r="ER477" s="97"/>
      <c r="ES477" s="97"/>
      <c r="ET477" s="97"/>
    </row>
    <row r="478" spans="1:150" ht="15.75" customHeight="1">
      <c r="A478" s="97"/>
      <c r="B478" s="97"/>
      <c r="C478" s="97"/>
      <c r="D478" s="97"/>
      <c r="E478" s="97"/>
      <c r="F478" s="97"/>
      <c r="G478" s="97"/>
      <c r="H478" s="129"/>
      <c r="I478" s="97"/>
      <c r="J478" s="97"/>
      <c r="K478" s="97"/>
      <c r="L478" s="97"/>
      <c r="M478" s="97"/>
      <c r="N478" s="97"/>
      <c r="O478" s="97"/>
      <c r="P478" s="97"/>
      <c r="Q478" s="97"/>
      <c r="R478" s="97"/>
      <c r="S478" s="97"/>
      <c r="T478" s="97"/>
      <c r="U478" s="97"/>
      <c r="V478" s="97"/>
      <c r="W478" s="97"/>
      <c r="X478" s="129"/>
      <c r="Y478" s="97"/>
      <c r="Z478" s="97"/>
      <c r="AA478" s="97"/>
      <c r="AB478" s="97"/>
      <c r="AC478" s="97"/>
      <c r="AD478" s="97"/>
      <c r="AE478" s="97"/>
      <c r="AF478" s="97"/>
      <c r="AG478" s="97"/>
      <c r="AH478" s="97"/>
      <c r="AI478" s="97"/>
      <c r="AJ478" s="97"/>
      <c r="AK478" s="97"/>
      <c r="AL478" s="97"/>
      <c r="AM478" s="97"/>
      <c r="AN478" s="97"/>
      <c r="AO478" s="97"/>
      <c r="AP478" s="97"/>
      <c r="AQ478" s="97"/>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c r="DF478" s="97"/>
      <c r="DG478" s="97"/>
      <c r="DH478" s="97"/>
      <c r="DI478" s="97"/>
      <c r="DJ478" s="97"/>
      <c r="DK478" s="97"/>
      <c r="DL478" s="97"/>
      <c r="DM478" s="97"/>
      <c r="DN478" s="97"/>
      <c r="DO478" s="97"/>
      <c r="DP478" s="97"/>
      <c r="DQ478" s="97"/>
      <c r="DR478" s="97"/>
      <c r="DS478" s="97"/>
      <c r="DT478" s="97"/>
      <c r="DU478" s="97"/>
      <c r="DV478" s="97"/>
      <c r="DW478" s="97"/>
      <c r="DX478" s="97"/>
      <c r="DY478" s="97"/>
      <c r="DZ478" s="97"/>
      <c r="EA478" s="97"/>
      <c r="EB478" s="97"/>
      <c r="EC478" s="97"/>
      <c r="ED478" s="97"/>
      <c r="EE478" s="97"/>
      <c r="EF478" s="97"/>
      <c r="EG478" s="97"/>
      <c r="EH478" s="97"/>
      <c r="EI478" s="97"/>
      <c r="EJ478" s="97"/>
      <c r="EK478" s="97"/>
      <c r="EL478" s="97"/>
      <c r="EM478" s="97"/>
      <c r="EN478" s="97"/>
      <c r="EO478" s="97"/>
      <c r="EP478" s="97"/>
      <c r="EQ478" s="97"/>
      <c r="ER478" s="97"/>
      <c r="ES478" s="97"/>
      <c r="ET478" s="97"/>
    </row>
    <row r="479" spans="1:150" ht="15.75" customHeight="1">
      <c r="A479" s="97"/>
      <c r="B479" s="97"/>
      <c r="C479" s="97"/>
      <c r="D479" s="97"/>
      <c r="E479" s="97"/>
      <c r="F479" s="97"/>
      <c r="G479" s="97"/>
      <c r="H479" s="129"/>
      <c r="I479" s="97"/>
      <c r="J479" s="97"/>
      <c r="K479" s="97"/>
      <c r="L479" s="97"/>
      <c r="M479" s="97"/>
      <c r="N479" s="97"/>
      <c r="O479" s="97"/>
      <c r="P479" s="97"/>
      <c r="Q479" s="97"/>
      <c r="R479" s="97"/>
      <c r="S479" s="97"/>
      <c r="T479" s="97"/>
      <c r="U479" s="97"/>
      <c r="V479" s="97"/>
      <c r="W479" s="97"/>
      <c r="X479" s="129"/>
      <c r="Y479" s="97"/>
      <c r="Z479" s="97"/>
      <c r="AA479" s="97"/>
      <c r="AB479" s="97"/>
      <c r="AC479" s="97"/>
      <c r="AD479" s="97"/>
      <c r="AE479" s="97"/>
      <c r="AF479" s="97"/>
      <c r="AG479" s="97"/>
      <c r="AH479" s="97"/>
      <c r="AI479" s="97"/>
      <c r="AJ479" s="97"/>
      <c r="AK479" s="97"/>
      <c r="AL479" s="97"/>
      <c r="AM479" s="97"/>
      <c r="AN479" s="97"/>
      <c r="AO479" s="97"/>
      <c r="AP479" s="97"/>
      <c r="AQ479" s="97"/>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c r="DF479" s="97"/>
      <c r="DG479" s="97"/>
      <c r="DH479" s="97"/>
      <c r="DI479" s="97"/>
      <c r="DJ479" s="97"/>
      <c r="DK479" s="97"/>
      <c r="DL479" s="97"/>
      <c r="DM479" s="97"/>
      <c r="DN479" s="97"/>
      <c r="DO479" s="97"/>
      <c r="DP479" s="97"/>
      <c r="DQ479" s="97"/>
      <c r="DR479" s="97"/>
      <c r="DS479" s="97"/>
      <c r="DT479" s="97"/>
      <c r="DU479" s="97"/>
      <c r="DV479" s="97"/>
      <c r="DW479" s="97"/>
      <c r="DX479" s="97"/>
      <c r="DY479" s="97"/>
      <c r="DZ479" s="97"/>
      <c r="EA479" s="97"/>
      <c r="EB479" s="97"/>
      <c r="EC479" s="97"/>
      <c r="ED479" s="97"/>
      <c r="EE479" s="97"/>
      <c r="EF479" s="97"/>
      <c r="EG479" s="97"/>
      <c r="EH479" s="97"/>
      <c r="EI479" s="97"/>
      <c r="EJ479" s="97"/>
      <c r="EK479" s="97"/>
      <c r="EL479" s="97"/>
      <c r="EM479" s="97"/>
      <c r="EN479" s="97"/>
      <c r="EO479" s="97"/>
      <c r="EP479" s="97"/>
      <c r="EQ479" s="97"/>
      <c r="ER479" s="97"/>
      <c r="ES479" s="97"/>
      <c r="ET479" s="97"/>
    </row>
    <row r="480" spans="1:150" ht="15.75" customHeight="1">
      <c r="A480" s="97"/>
      <c r="B480" s="97"/>
      <c r="C480" s="97"/>
      <c r="D480" s="97"/>
      <c r="E480" s="97"/>
      <c r="F480" s="97"/>
      <c r="G480" s="97"/>
      <c r="H480" s="129"/>
      <c r="I480" s="97"/>
      <c r="J480" s="97"/>
      <c r="K480" s="97"/>
      <c r="L480" s="97"/>
      <c r="M480" s="97"/>
      <c r="N480" s="97"/>
      <c r="O480" s="97"/>
      <c r="P480" s="97"/>
      <c r="Q480" s="97"/>
      <c r="R480" s="97"/>
      <c r="S480" s="97"/>
      <c r="T480" s="97"/>
      <c r="U480" s="97"/>
      <c r="V480" s="97"/>
      <c r="W480" s="97"/>
      <c r="X480" s="129"/>
      <c r="Y480" s="97"/>
      <c r="Z480" s="97"/>
      <c r="AA480" s="97"/>
      <c r="AB480" s="97"/>
      <c r="AC480" s="97"/>
      <c r="AD480" s="97"/>
      <c r="AE480" s="97"/>
      <c r="AF480" s="97"/>
      <c r="AG480" s="97"/>
      <c r="AH480" s="97"/>
      <c r="AI480" s="97"/>
      <c r="AJ480" s="97"/>
      <c r="AK480" s="97"/>
      <c r="AL480" s="97"/>
      <c r="AM480" s="97"/>
      <c r="AN480" s="97"/>
      <c r="AO480" s="97"/>
      <c r="AP480" s="97"/>
      <c r="AQ480" s="97"/>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c r="DF480" s="97"/>
      <c r="DG480" s="97"/>
      <c r="DH480" s="97"/>
      <c r="DI480" s="97"/>
      <c r="DJ480" s="97"/>
      <c r="DK480" s="97"/>
      <c r="DL480" s="97"/>
      <c r="DM480" s="97"/>
      <c r="DN480" s="97"/>
      <c r="DO480" s="97"/>
      <c r="DP480" s="97"/>
      <c r="DQ480" s="97"/>
      <c r="DR480" s="97"/>
      <c r="DS480" s="97"/>
      <c r="DT480" s="97"/>
      <c r="DU480" s="97"/>
      <c r="DV480" s="97"/>
      <c r="DW480" s="97"/>
      <c r="DX480" s="97"/>
      <c r="DY480" s="97"/>
      <c r="DZ480" s="97"/>
      <c r="EA480" s="97"/>
      <c r="EB480" s="97"/>
      <c r="EC480" s="97"/>
      <c r="ED480" s="97"/>
      <c r="EE480" s="97"/>
      <c r="EF480" s="97"/>
      <c r="EG480" s="97"/>
      <c r="EH480" s="97"/>
      <c r="EI480" s="97"/>
      <c r="EJ480" s="97"/>
      <c r="EK480" s="97"/>
      <c r="EL480" s="97"/>
      <c r="EM480" s="97"/>
      <c r="EN480" s="97"/>
      <c r="EO480" s="97"/>
      <c r="EP480" s="97"/>
      <c r="EQ480" s="97"/>
      <c r="ER480" s="97"/>
      <c r="ES480" s="97"/>
      <c r="ET480" s="97"/>
    </row>
    <row r="481" spans="1:150" ht="15.75" customHeight="1">
      <c r="A481" s="97"/>
      <c r="B481" s="97"/>
      <c r="C481" s="97"/>
      <c r="D481" s="97"/>
      <c r="E481" s="97"/>
      <c r="F481" s="97"/>
      <c r="G481" s="97"/>
      <c r="H481" s="129"/>
      <c r="I481" s="97"/>
      <c r="J481" s="97"/>
      <c r="K481" s="97"/>
      <c r="L481" s="97"/>
      <c r="M481" s="97"/>
      <c r="N481" s="97"/>
      <c r="O481" s="97"/>
      <c r="P481" s="97"/>
      <c r="Q481" s="97"/>
      <c r="R481" s="97"/>
      <c r="S481" s="97"/>
      <c r="T481" s="97"/>
      <c r="U481" s="97"/>
      <c r="V481" s="97"/>
      <c r="W481" s="97"/>
      <c r="X481" s="129"/>
      <c r="Y481" s="97"/>
      <c r="Z481" s="97"/>
      <c r="AA481" s="97"/>
      <c r="AB481" s="97"/>
      <c r="AC481" s="97"/>
      <c r="AD481" s="97"/>
      <c r="AE481" s="97"/>
      <c r="AF481" s="97"/>
      <c r="AG481" s="97"/>
      <c r="AH481" s="97"/>
      <c r="AI481" s="97"/>
      <c r="AJ481" s="97"/>
      <c r="AK481" s="97"/>
      <c r="AL481" s="97"/>
      <c r="AM481" s="97"/>
      <c r="AN481" s="97"/>
      <c r="AO481" s="97"/>
      <c r="AP481" s="97"/>
      <c r="AQ481" s="97"/>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c r="DF481" s="97"/>
      <c r="DG481" s="97"/>
      <c r="DH481" s="97"/>
      <c r="DI481" s="97"/>
      <c r="DJ481" s="97"/>
      <c r="DK481" s="97"/>
      <c r="DL481" s="97"/>
      <c r="DM481" s="97"/>
      <c r="DN481" s="97"/>
      <c r="DO481" s="97"/>
      <c r="DP481" s="97"/>
      <c r="DQ481" s="97"/>
      <c r="DR481" s="97"/>
      <c r="DS481" s="97"/>
      <c r="DT481" s="97"/>
      <c r="DU481" s="97"/>
      <c r="DV481" s="97"/>
      <c r="DW481" s="97"/>
      <c r="DX481" s="97"/>
      <c r="DY481" s="97"/>
      <c r="DZ481" s="97"/>
      <c r="EA481" s="97"/>
      <c r="EB481" s="97"/>
      <c r="EC481" s="97"/>
      <c r="ED481" s="97"/>
      <c r="EE481" s="97"/>
      <c r="EF481" s="97"/>
      <c r="EG481" s="97"/>
      <c r="EH481" s="97"/>
      <c r="EI481" s="97"/>
      <c r="EJ481" s="97"/>
      <c r="EK481" s="97"/>
      <c r="EL481" s="97"/>
      <c r="EM481" s="97"/>
      <c r="EN481" s="97"/>
      <c r="EO481" s="97"/>
      <c r="EP481" s="97"/>
      <c r="EQ481" s="97"/>
      <c r="ER481" s="97"/>
      <c r="ES481" s="97"/>
      <c r="ET481" s="97"/>
    </row>
    <row r="482" spans="1:150" ht="15.75" customHeight="1">
      <c r="A482" s="97"/>
      <c r="B482" s="97"/>
      <c r="C482" s="97"/>
      <c r="D482" s="97"/>
      <c r="E482" s="97"/>
      <c r="F482" s="97"/>
      <c r="G482" s="97"/>
      <c r="H482" s="129"/>
      <c r="I482" s="97"/>
      <c r="J482" s="97"/>
      <c r="K482" s="97"/>
      <c r="L482" s="97"/>
      <c r="M482" s="97"/>
      <c r="N482" s="97"/>
      <c r="O482" s="97"/>
      <c r="P482" s="97"/>
      <c r="Q482" s="97"/>
      <c r="R482" s="97"/>
      <c r="S482" s="97"/>
      <c r="T482" s="97"/>
      <c r="U482" s="97"/>
      <c r="V482" s="97"/>
      <c r="W482" s="97"/>
      <c r="X482" s="129"/>
      <c r="Y482" s="97"/>
      <c r="Z482" s="97"/>
      <c r="AA482" s="97"/>
      <c r="AB482" s="97"/>
      <c r="AC482" s="97"/>
      <c r="AD482" s="97"/>
      <c r="AE482" s="97"/>
      <c r="AF482" s="97"/>
      <c r="AG482" s="97"/>
      <c r="AH482" s="97"/>
      <c r="AI482" s="97"/>
      <c r="AJ482" s="97"/>
      <c r="AK482" s="97"/>
      <c r="AL482" s="97"/>
      <c r="AM482" s="97"/>
      <c r="AN482" s="97"/>
      <c r="AO482" s="97"/>
      <c r="AP482" s="97"/>
      <c r="AQ482" s="97"/>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c r="DF482" s="97"/>
      <c r="DG482" s="97"/>
      <c r="DH482" s="97"/>
      <c r="DI482" s="97"/>
      <c r="DJ482" s="97"/>
      <c r="DK482" s="97"/>
      <c r="DL482" s="97"/>
      <c r="DM482" s="97"/>
      <c r="DN482" s="97"/>
      <c r="DO482" s="97"/>
      <c r="DP482" s="97"/>
      <c r="DQ482" s="97"/>
      <c r="DR482" s="97"/>
      <c r="DS482" s="97"/>
      <c r="DT482" s="97"/>
      <c r="DU482" s="97"/>
      <c r="DV482" s="97"/>
      <c r="DW482" s="97"/>
      <c r="DX482" s="97"/>
      <c r="DY482" s="97"/>
      <c r="DZ482" s="97"/>
      <c r="EA482" s="97"/>
      <c r="EB482" s="97"/>
      <c r="EC482" s="97"/>
      <c r="ED482" s="97"/>
      <c r="EE482" s="97"/>
      <c r="EF482" s="97"/>
      <c r="EG482" s="97"/>
      <c r="EH482" s="97"/>
      <c r="EI482" s="97"/>
      <c r="EJ482" s="97"/>
      <c r="EK482" s="97"/>
      <c r="EL482" s="97"/>
      <c r="EM482" s="97"/>
      <c r="EN482" s="97"/>
      <c r="EO482" s="97"/>
      <c r="EP482" s="97"/>
      <c r="EQ482" s="97"/>
      <c r="ER482" s="97"/>
      <c r="ES482" s="97"/>
      <c r="ET482" s="97"/>
    </row>
    <row r="483" spans="1:150" ht="15.75" customHeight="1">
      <c r="A483" s="97"/>
      <c r="B483" s="97"/>
      <c r="C483" s="97"/>
      <c r="D483" s="97"/>
      <c r="E483" s="97"/>
      <c r="F483" s="97"/>
      <c r="G483" s="97"/>
      <c r="H483" s="129"/>
      <c r="I483" s="97"/>
      <c r="J483" s="97"/>
      <c r="K483" s="97"/>
      <c r="L483" s="97"/>
      <c r="M483" s="97"/>
      <c r="N483" s="97"/>
      <c r="O483" s="97"/>
      <c r="P483" s="97"/>
      <c r="Q483" s="97"/>
      <c r="R483" s="97"/>
      <c r="S483" s="97"/>
      <c r="T483" s="97"/>
      <c r="U483" s="97"/>
      <c r="V483" s="97"/>
      <c r="W483" s="97"/>
      <c r="X483" s="129"/>
      <c r="Y483" s="97"/>
      <c r="Z483" s="97"/>
      <c r="AA483" s="97"/>
      <c r="AB483" s="97"/>
      <c r="AC483" s="97"/>
      <c r="AD483" s="97"/>
      <c r="AE483" s="97"/>
      <c r="AF483" s="97"/>
      <c r="AG483" s="97"/>
      <c r="AH483" s="97"/>
      <c r="AI483" s="97"/>
      <c r="AJ483" s="97"/>
      <c r="AK483" s="97"/>
      <c r="AL483" s="97"/>
      <c r="AM483" s="97"/>
      <c r="AN483" s="97"/>
      <c r="AO483" s="97"/>
      <c r="AP483" s="97"/>
      <c r="AQ483" s="97"/>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c r="DF483" s="97"/>
      <c r="DG483" s="97"/>
      <c r="DH483" s="97"/>
      <c r="DI483" s="97"/>
      <c r="DJ483" s="97"/>
      <c r="DK483" s="97"/>
      <c r="DL483" s="97"/>
      <c r="DM483" s="97"/>
      <c r="DN483" s="97"/>
      <c r="DO483" s="97"/>
      <c r="DP483" s="97"/>
      <c r="DQ483" s="97"/>
      <c r="DR483" s="97"/>
      <c r="DS483" s="97"/>
      <c r="DT483" s="97"/>
      <c r="DU483" s="97"/>
      <c r="DV483" s="97"/>
      <c r="DW483" s="97"/>
      <c r="DX483" s="97"/>
      <c r="DY483" s="97"/>
      <c r="DZ483" s="97"/>
      <c r="EA483" s="97"/>
      <c r="EB483" s="97"/>
      <c r="EC483" s="97"/>
      <c r="ED483" s="97"/>
      <c r="EE483" s="97"/>
      <c r="EF483" s="97"/>
      <c r="EG483" s="97"/>
      <c r="EH483" s="97"/>
      <c r="EI483" s="97"/>
      <c r="EJ483" s="97"/>
      <c r="EK483" s="97"/>
      <c r="EL483" s="97"/>
      <c r="EM483" s="97"/>
      <c r="EN483" s="97"/>
      <c r="EO483" s="97"/>
      <c r="EP483" s="97"/>
      <c r="EQ483" s="97"/>
      <c r="ER483" s="97"/>
      <c r="ES483" s="97"/>
      <c r="ET483" s="97"/>
    </row>
    <row r="484" spans="1:150" ht="15.75" customHeight="1">
      <c r="A484" s="97"/>
      <c r="B484" s="97"/>
      <c r="C484" s="97"/>
      <c r="D484" s="97"/>
      <c r="E484" s="97"/>
      <c r="F484" s="97"/>
      <c r="G484" s="97"/>
      <c r="H484" s="129"/>
      <c r="I484" s="97"/>
      <c r="J484" s="97"/>
      <c r="K484" s="97"/>
      <c r="L484" s="97"/>
      <c r="M484" s="97"/>
      <c r="N484" s="97"/>
      <c r="O484" s="97"/>
      <c r="P484" s="97"/>
      <c r="Q484" s="97"/>
      <c r="R484" s="97"/>
      <c r="S484" s="97"/>
      <c r="T484" s="97"/>
      <c r="U484" s="97"/>
      <c r="V484" s="97"/>
      <c r="W484" s="97"/>
      <c r="X484" s="129"/>
      <c r="Y484" s="97"/>
      <c r="Z484" s="97"/>
      <c r="AA484" s="97"/>
      <c r="AB484" s="97"/>
      <c r="AC484" s="97"/>
      <c r="AD484" s="97"/>
      <c r="AE484" s="97"/>
      <c r="AF484" s="97"/>
      <c r="AG484" s="97"/>
      <c r="AH484" s="97"/>
      <c r="AI484" s="97"/>
      <c r="AJ484" s="97"/>
      <c r="AK484" s="97"/>
      <c r="AL484" s="97"/>
      <c r="AM484" s="97"/>
      <c r="AN484" s="97"/>
      <c r="AO484" s="97"/>
      <c r="AP484" s="97"/>
      <c r="AQ484" s="97"/>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c r="DF484" s="97"/>
      <c r="DG484" s="97"/>
      <c r="DH484" s="97"/>
      <c r="DI484" s="97"/>
      <c r="DJ484" s="97"/>
      <c r="DK484" s="97"/>
      <c r="DL484" s="97"/>
      <c r="DM484" s="97"/>
      <c r="DN484" s="97"/>
      <c r="DO484" s="97"/>
      <c r="DP484" s="97"/>
      <c r="DQ484" s="97"/>
      <c r="DR484" s="97"/>
      <c r="DS484" s="97"/>
      <c r="DT484" s="97"/>
      <c r="DU484" s="97"/>
      <c r="DV484" s="97"/>
      <c r="DW484" s="97"/>
      <c r="DX484" s="97"/>
      <c r="DY484" s="97"/>
      <c r="DZ484" s="97"/>
      <c r="EA484" s="97"/>
      <c r="EB484" s="97"/>
      <c r="EC484" s="97"/>
      <c r="ED484" s="97"/>
      <c r="EE484" s="97"/>
      <c r="EF484" s="97"/>
      <c r="EG484" s="97"/>
      <c r="EH484" s="97"/>
      <c r="EI484" s="97"/>
      <c r="EJ484" s="97"/>
      <c r="EK484" s="97"/>
      <c r="EL484" s="97"/>
      <c r="EM484" s="97"/>
      <c r="EN484" s="97"/>
      <c r="EO484" s="97"/>
      <c r="EP484" s="97"/>
      <c r="EQ484" s="97"/>
      <c r="ER484" s="97"/>
      <c r="ES484" s="97"/>
      <c r="ET484" s="97"/>
    </row>
    <row r="485" spans="1:150" ht="15.75" customHeight="1">
      <c r="A485" s="97"/>
      <c r="B485" s="97"/>
      <c r="C485" s="97"/>
      <c r="D485" s="97"/>
      <c r="E485" s="97"/>
      <c r="F485" s="97"/>
      <c r="G485" s="97"/>
      <c r="H485" s="129"/>
      <c r="I485" s="97"/>
      <c r="J485" s="97"/>
      <c r="K485" s="97"/>
      <c r="L485" s="97"/>
      <c r="M485" s="97"/>
      <c r="N485" s="97"/>
      <c r="O485" s="97"/>
      <c r="P485" s="97"/>
      <c r="Q485" s="97"/>
      <c r="R485" s="97"/>
      <c r="S485" s="97"/>
      <c r="T485" s="97"/>
      <c r="U485" s="97"/>
      <c r="V485" s="97"/>
      <c r="W485" s="97"/>
      <c r="X485" s="129"/>
      <c r="Y485" s="97"/>
      <c r="Z485" s="97"/>
      <c r="AA485" s="97"/>
      <c r="AB485" s="97"/>
      <c r="AC485" s="97"/>
      <c r="AD485" s="97"/>
      <c r="AE485" s="97"/>
      <c r="AF485" s="97"/>
      <c r="AG485" s="97"/>
      <c r="AH485" s="97"/>
      <c r="AI485" s="97"/>
      <c r="AJ485" s="97"/>
      <c r="AK485" s="97"/>
      <c r="AL485" s="97"/>
      <c r="AM485" s="97"/>
      <c r="AN485" s="97"/>
      <c r="AO485" s="97"/>
      <c r="AP485" s="97"/>
      <c r="AQ485" s="97"/>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c r="DF485" s="97"/>
      <c r="DG485" s="97"/>
      <c r="DH485" s="97"/>
      <c r="DI485" s="97"/>
      <c r="DJ485" s="97"/>
      <c r="DK485" s="97"/>
      <c r="DL485" s="97"/>
      <c r="DM485" s="97"/>
      <c r="DN485" s="97"/>
      <c r="DO485" s="97"/>
      <c r="DP485" s="97"/>
      <c r="DQ485" s="97"/>
      <c r="DR485" s="97"/>
      <c r="DS485" s="97"/>
      <c r="DT485" s="97"/>
      <c r="DU485" s="97"/>
      <c r="DV485" s="97"/>
      <c r="DW485" s="97"/>
      <c r="DX485" s="97"/>
      <c r="DY485" s="97"/>
      <c r="DZ485" s="97"/>
      <c r="EA485" s="97"/>
      <c r="EB485" s="97"/>
      <c r="EC485" s="97"/>
      <c r="ED485" s="97"/>
      <c r="EE485" s="97"/>
      <c r="EF485" s="97"/>
      <c r="EG485" s="97"/>
      <c r="EH485" s="97"/>
      <c r="EI485" s="97"/>
      <c r="EJ485" s="97"/>
      <c r="EK485" s="97"/>
      <c r="EL485" s="97"/>
      <c r="EM485" s="97"/>
      <c r="EN485" s="97"/>
      <c r="EO485" s="97"/>
      <c r="EP485" s="97"/>
      <c r="EQ485" s="97"/>
      <c r="ER485" s="97"/>
      <c r="ES485" s="97"/>
      <c r="ET485" s="97"/>
    </row>
    <row r="486" spans="1:150" ht="15.75" customHeight="1">
      <c r="A486" s="97"/>
      <c r="B486" s="97"/>
      <c r="C486" s="97"/>
      <c r="D486" s="97"/>
      <c r="E486" s="97"/>
      <c r="F486" s="97"/>
      <c r="G486" s="97"/>
      <c r="H486" s="129"/>
      <c r="I486" s="97"/>
      <c r="J486" s="97"/>
      <c r="K486" s="97"/>
      <c r="L486" s="97"/>
      <c r="M486" s="97"/>
      <c r="N486" s="97"/>
      <c r="O486" s="97"/>
      <c r="P486" s="97"/>
      <c r="Q486" s="97"/>
      <c r="R486" s="97"/>
      <c r="S486" s="97"/>
      <c r="T486" s="97"/>
      <c r="U486" s="97"/>
      <c r="V486" s="97"/>
      <c r="W486" s="97"/>
      <c r="X486" s="129"/>
      <c r="Y486" s="97"/>
      <c r="Z486" s="97"/>
      <c r="AA486" s="97"/>
      <c r="AB486" s="97"/>
      <c r="AC486" s="97"/>
      <c r="AD486" s="97"/>
      <c r="AE486" s="97"/>
      <c r="AF486" s="97"/>
      <c r="AG486" s="97"/>
      <c r="AH486" s="97"/>
      <c r="AI486" s="97"/>
      <c r="AJ486" s="97"/>
      <c r="AK486" s="97"/>
      <c r="AL486" s="97"/>
      <c r="AM486" s="97"/>
      <c r="AN486" s="97"/>
      <c r="AO486" s="97"/>
      <c r="AP486" s="97"/>
      <c r="AQ486" s="97"/>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c r="DF486" s="97"/>
      <c r="DG486" s="97"/>
      <c r="DH486" s="97"/>
      <c r="DI486" s="97"/>
      <c r="DJ486" s="97"/>
      <c r="DK486" s="97"/>
      <c r="DL486" s="97"/>
      <c r="DM486" s="97"/>
      <c r="DN486" s="97"/>
      <c r="DO486" s="97"/>
      <c r="DP486" s="97"/>
      <c r="DQ486" s="97"/>
      <c r="DR486" s="97"/>
      <c r="DS486" s="97"/>
      <c r="DT486" s="97"/>
      <c r="DU486" s="97"/>
      <c r="DV486" s="97"/>
      <c r="DW486" s="97"/>
      <c r="DX486" s="97"/>
      <c r="DY486" s="97"/>
      <c r="DZ486" s="97"/>
      <c r="EA486" s="97"/>
      <c r="EB486" s="97"/>
      <c r="EC486" s="97"/>
      <c r="ED486" s="97"/>
      <c r="EE486" s="97"/>
      <c r="EF486" s="97"/>
      <c r="EG486" s="97"/>
      <c r="EH486" s="97"/>
      <c r="EI486" s="97"/>
      <c r="EJ486" s="97"/>
      <c r="EK486" s="97"/>
      <c r="EL486" s="97"/>
      <c r="EM486" s="97"/>
      <c r="EN486" s="97"/>
      <c r="EO486" s="97"/>
      <c r="EP486" s="97"/>
      <c r="EQ486" s="97"/>
      <c r="ER486" s="97"/>
      <c r="ES486" s="97"/>
      <c r="ET486" s="97"/>
    </row>
    <row r="487" spans="1:150" ht="15.75" customHeight="1">
      <c r="A487" s="97"/>
      <c r="B487" s="97"/>
      <c r="C487" s="97"/>
      <c r="D487" s="97"/>
      <c r="E487" s="97"/>
      <c r="F487" s="97"/>
      <c r="G487" s="97"/>
      <c r="H487" s="129"/>
      <c r="I487" s="97"/>
      <c r="J487" s="97"/>
      <c r="K487" s="97"/>
      <c r="L487" s="97"/>
      <c r="M487" s="97"/>
      <c r="N487" s="97"/>
      <c r="O487" s="97"/>
      <c r="P487" s="97"/>
      <c r="Q487" s="97"/>
      <c r="R487" s="97"/>
      <c r="S487" s="97"/>
      <c r="T487" s="97"/>
      <c r="U487" s="97"/>
      <c r="V487" s="97"/>
      <c r="W487" s="97"/>
      <c r="X487" s="129"/>
      <c r="Y487" s="97"/>
      <c r="Z487" s="97"/>
      <c r="AA487" s="97"/>
      <c r="AB487" s="97"/>
      <c r="AC487" s="97"/>
      <c r="AD487" s="97"/>
      <c r="AE487" s="97"/>
      <c r="AF487" s="97"/>
      <c r="AG487" s="97"/>
      <c r="AH487" s="97"/>
      <c r="AI487" s="97"/>
      <c r="AJ487" s="97"/>
      <c r="AK487" s="97"/>
      <c r="AL487" s="97"/>
      <c r="AM487" s="97"/>
      <c r="AN487" s="97"/>
      <c r="AO487" s="97"/>
      <c r="AP487" s="97"/>
      <c r="AQ487" s="97"/>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c r="DF487" s="97"/>
      <c r="DG487" s="97"/>
      <c r="DH487" s="97"/>
      <c r="DI487" s="97"/>
      <c r="DJ487" s="97"/>
      <c r="DK487" s="97"/>
      <c r="DL487" s="97"/>
      <c r="DM487" s="97"/>
      <c r="DN487" s="97"/>
      <c r="DO487" s="97"/>
      <c r="DP487" s="97"/>
      <c r="DQ487" s="97"/>
      <c r="DR487" s="97"/>
      <c r="DS487" s="97"/>
      <c r="DT487" s="97"/>
      <c r="DU487" s="97"/>
      <c r="DV487" s="97"/>
      <c r="DW487" s="97"/>
      <c r="DX487" s="97"/>
      <c r="DY487" s="97"/>
      <c r="DZ487" s="97"/>
      <c r="EA487" s="97"/>
      <c r="EB487" s="97"/>
      <c r="EC487" s="97"/>
      <c r="ED487" s="97"/>
      <c r="EE487" s="97"/>
      <c r="EF487" s="97"/>
      <c r="EG487" s="97"/>
      <c r="EH487" s="97"/>
      <c r="EI487" s="97"/>
      <c r="EJ487" s="97"/>
      <c r="EK487" s="97"/>
      <c r="EL487" s="97"/>
      <c r="EM487" s="97"/>
      <c r="EN487" s="97"/>
      <c r="EO487" s="97"/>
      <c r="EP487" s="97"/>
      <c r="EQ487" s="97"/>
      <c r="ER487" s="97"/>
      <c r="ES487" s="97"/>
      <c r="ET487" s="97"/>
    </row>
    <row r="488" spans="1:150" ht="15.75" customHeight="1">
      <c r="A488" s="97"/>
      <c r="B488" s="97"/>
      <c r="C488" s="97"/>
      <c r="D488" s="97"/>
      <c r="E488" s="97"/>
      <c r="F488" s="97"/>
      <c r="G488" s="97"/>
      <c r="H488" s="129"/>
      <c r="I488" s="97"/>
      <c r="J488" s="97"/>
      <c r="K488" s="97"/>
      <c r="L488" s="97"/>
      <c r="M488" s="97"/>
      <c r="N488" s="97"/>
      <c r="O488" s="97"/>
      <c r="P488" s="97"/>
      <c r="Q488" s="97"/>
      <c r="R488" s="97"/>
      <c r="S488" s="97"/>
      <c r="T488" s="97"/>
      <c r="U488" s="97"/>
      <c r="V488" s="97"/>
      <c r="W488" s="97"/>
      <c r="X488" s="129"/>
      <c r="Y488" s="97"/>
      <c r="Z488" s="97"/>
      <c r="AA488" s="97"/>
      <c r="AB488" s="97"/>
      <c r="AC488" s="97"/>
      <c r="AD488" s="97"/>
      <c r="AE488" s="97"/>
      <c r="AF488" s="97"/>
      <c r="AG488" s="97"/>
      <c r="AH488" s="97"/>
      <c r="AI488" s="97"/>
      <c r="AJ488" s="97"/>
      <c r="AK488" s="97"/>
      <c r="AL488" s="97"/>
      <c r="AM488" s="97"/>
      <c r="AN488" s="97"/>
      <c r="AO488" s="97"/>
      <c r="AP488" s="97"/>
      <c r="AQ488" s="97"/>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c r="DF488" s="97"/>
      <c r="DG488" s="97"/>
      <c r="DH488" s="97"/>
      <c r="DI488" s="97"/>
      <c r="DJ488" s="97"/>
      <c r="DK488" s="97"/>
      <c r="DL488" s="97"/>
      <c r="DM488" s="97"/>
      <c r="DN488" s="97"/>
      <c r="DO488" s="97"/>
      <c r="DP488" s="97"/>
      <c r="DQ488" s="97"/>
      <c r="DR488" s="97"/>
      <c r="DS488" s="97"/>
      <c r="DT488" s="97"/>
      <c r="DU488" s="97"/>
      <c r="DV488" s="97"/>
      <c r="DW488" s="97"/>
      <c r="DX488" s="97"/>
      <c r="DY488" s="97"/>
      <c r="DZ488" s="97"/>
      <c r="EA488" s="97"/>
      <c r="EB488" s="97"/>
      <c r="EC488" s="97"/>
      <c r="ED488" s="97"/>
      <c r="EE488" s="97"/>
      <c r="EF488" s="97"/>
      <c r="EG488" s="97"/>
      <c r="EH488" s="97"/>
      <c r="EI488" s="97"/>
      <c r="EJ488" s="97"/>
      <c r="EK488" s="97"/>
      <c r="EL488" s="97"/>
      <c r="EM488" s="97"/>
      <c r="EN488" s="97"/>
      <c r="EO488" s="97"/>
      <c r="EP488" s="97"/>
      <c r="EQ488" s="97"/>
      <c r="ER488" s="97"/>
      <c r="ES488" s="97"/>
      <c r="ET488" s="97"/>
    </row>
    <row r="489" spans="1:150" ht="15.75" customHeight="1">
      <c r="A489" s="97"/>
      <c r="B489" s="97"/>
      <c r="C489" s="97"/>
      <c r="D489" s="97"/>
      <c r="E489" s="97"/>
      <c r="F489" s="97"/>
      <c r="G489" s="97"/>
      <c r="H489" s="129"/>
      <c r="I489" s="97"/>
      <c r="J489" s="97"/>
      <c r="K489" s="97"/>
      <c r="L489" s="97"/>
      <c r="M489" s="97"/>
      <c r="N489" s="97"/>
      <c r="O489" s="97"/>
      <c r="P489" s="97"/>
      <c r="Q489" s="97"/>
      <c r="R489" s="97"/>
      <c r="S489" s="97"/>
      <c r="T489" s="97"/>
      <c r="U489" s="97"/>
      <c r="V489" s="97"/>
      <c r="W489" s="97"/>
      <c r="X489" s="129"/>
      <c r="Y489" s="97"/>
      <c r="Z489" s="97"/>
      <c r="AA489" s="97"/>
      <c r="AB489" s="97"/>
      <c r="AC489" s="97"/>
      <c r="AD489" s="97"/>
      <c r="AE489" s="97"/>
      <c r="AF489" s="97"/>
      <c r="AG489" s="97"/>
      <c r="AH489" s="97"/>
      <c r="AI489" s="97"/>
      <c r="AJ489" s="97"/>
      <c r="AK489" s="97"/>
      <c r="AL489" s="97"/>
      <c r="AM489" s="97"/>
      <c r="AN489" s="97"/>
      <c r="AO489" s="97"/>
      <c r="AP489" s="97"/>
      <c r="AQ489" s="97"/>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c r="DF489" s="97"/>
      <c r="DG489" s="97"/>
      <c r="DH489" s="97"/>
      <c r="DI489" s="97"/>
      <c r="DJ489" s="97"/>
      <c r="DK489" s="97"/>
      <c r="DL489" s="97"/>
      <c r="DM489" s="97"/>
      <c r="DN489" s="97"/>
      <c r="DO489" s="97"/>
      <c r="DP489" s="97"/>
      <c r="DQ489" s="97"/>
      <c r="DR489" s="97"/>
      <c r="DS489" s="97"/>
      <c r="DT489" s="97"/>
      <c r="DU489" s="97"/>
      <c r="DV489" s="97"/>
      <c r="DW489" s="97"/>
      <c r="DX489" s="97"/>
      <c r="DY489" s="97"/>
      <c r="DZ489" s="97"/>
      <c r="EA489" s="97"/>
      <c r="EB489" s="97"/>
      <c r="EC489" s="97"/>
      <c r="ED489" s="97"/>
      <c r="EE489" s="97"/>
      <c r="EF489" s="97"/>
      <c r="EG489" s="97"/>
      <c r="EH489" s="97"/>
      <c r="EI489" s="97"/>
      <c r="EJ489" s="97"/>
      <c r="EK489" s="97"/>
      <c r="EL489" s="97"/>
      <c r="EM489" s="97"/>
      <c r="EN489" s="97"/>
      <c r="EO489" s="97"/>
      <c r="EP489" s="97"/>
      <c r="EQ489" s="97"/>
      <c r="ER489" s="97"/>
      <c r="ES489" s="97"/>
      <c r="ET489" s="97"/>
    </row>
    <row r="490" spans="1:150" ht="15.75" customHeight="1">
      <c r="A490" s="97"/>
      <c r="B490" s="97"/>
      <c r="C490" s="97"/>
      <c r="D490" s="97"/>
      <c r="E490" s="97"/>
      <c r="F490" s="97"/>
      <c r="G490" s="97"/>
      <c r="H490" s="129"/>
      <c r="I490" s="97"/>
      <c r="J490" s="97"/>
      <c r="K490" s="97"/>
      <c r="L490" s="97"/>
      <c r="M490" s="97"/>
      <c r="N490" s="97"/>
      <c r="O490" s="97"/>
      <c r="P490" s="97"/>
      <c r="Q490" s="97"/>
      <c r="R490" s="97"/>
      <c r="S490" s="97"/>
      <c r="T490" s="97"/>
      <c r="U490" s="97"/>
      <c r="V490" s="97"/>
      <c r="W490" s="97"/>
      <c r="X490" s="129"/>
      <c r="Y490" s="97"/>
      <c r="Z490" s="97"/>
      <c r="AA490" s="97"/>
      <c r="AB490" s="97"/>
      <c r="AC490" s="97"/>
      <c r="AD490" s="97"/>
      <c r="AE490" s="97"/>
      <c r="AF490" s="97"/>
      <c r="AG490" s="97"/>
      <c r="AH490" s="97"/>
      <c r="AI490" s="97"/>
      <c r="AJ490" s="97"/>
      <c r="AK490" s="97"/>
      <c r="AL490" s="97"/>
      <c r="AM490" s="97"/>
      <c r="AN490" s="97"/>
      <c r="AO490" s="97"/>
      <c r="AP490" s="97"/>
      <c r="AQ490" s="97"/>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c r="DF490" s="97"/>
      <c r="DG490" s="97"/>
      <c r="DH490" s="97"/>
      <c r="DI490" s="97"/>
      <c r="DJ490" s="97"/>
      <c r="DK490" s="97"/>
      <c r="DL490" s="97"/>
      <c r="DM490" s="97"/>
      <c r="DN490" s="97"/>
      <c r="DO490" s="97"/>
      <c r="DP490" s="97"/>
      <c r="DQ490" s="97"/>
      <c r="DR490" s="97"/>
      <c r="DS490" s="97"/>
      <c r="DT490" s="97"/>
      <c r="DU490" s="97"/>
      <c r="DV490" s="97"/>
      <c r="DW490" s="97"/>
      <c r="DX490" s="97"/>
      <c r="DY490" s="97"/>
      <c r="DZ490" s="97"/>
      <c r="EA490" s="97"/>
      <c r="EB490" s="97"/>
      <c r="EC490" s="97"/>
      <c r="ED490" s="97"/>
      <c r="EE490" s="97"/>
      <c r="EF490" s="97"/>
      <c r="EG490" s="97"/>
      <c r="EH490" s="97"/>
      <c r="EI490" s="97"/>
      <c r="EJ490" s="97"/>
      <c r="EK490" s="97"/>
      <c r="EL490" s="97"/>
      <c r="EM490" s="97"/>
      <c r="EN490" s="97"/>
      <c r="EO490" s="97"/>
      <c r="EP490" s="97"/>
      <c r="EQ490" s="97"/>
      <c r="ER490" s="97"/>
      <c r="ES490" s="97"/>
      <c r="ET490" s="97"/>
    </row>
    <row r="491" spans="1:150" ht="15.75" customHeight="1">
      <c r="A491" s="97"/>
      <c r="B491" s="97"/>
      <c r="C491" s="97"/>
      <c r="D491" s="97"/>
      <c r="E491" s="97"/>
      <c r="F491" s="97"/>
      <c r="G491" s="97"/>
      <c r="H491" s="129"/>
      <c r="I491" s="97"/>
      <c r="J491" s="97"/>
      <c r="K491" s="97"/>
      <c r="L491" s="97"/>
      <c r="M491" s="97"/>
      <c r="N491" s="97"/>
      <c r="O491" s="97"/>
      <c r="P491" s="97"/>
      <c r="Q491" s="97"/>
      <c r="R491" s="97"/>
      <c r="S491" s="97"/>
      <c r="T491" s="97"/>
      <c r="U491" s="97"/>
      <c r="V491" s="97"/>
      <c r="W491" s="97"/>
      <c r="X491" s="129"/>
      <c r="Y491" s="97"/>
      <c r="Z491" s="97"/>
      <c r="AA491" s="97"/>
      <c r="AB491" s="97"/>
      <c r="AC491" s="97"/>
      <c r="AD491" s="97"/>
      <c r="AE491" s="97"/>
      <c r="AF491" s="97"/>
      <c r="AG491" s="97"/>
      <c r="AH491" s="97"/>
      <c r="AI491" s="97"/>
      <c r="AJ491" s="97"/>
      <c r="AK491" s="97"/>
      <c r="AL491" s="97"/>
      <c r="AM491" s="97"/>
      <c r="AN491" s="97"/>
      <c r="AO491" s="97"/>
      <c r="AP491" s="97"/>
      <c r="AQ491" s="97"/>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c r="DF491" s="97"/>
      <c r="DG491" s="97"/>
      <c r="DH491" s="97"/>
      <c r="DI491" s="97"/>
      <c r="DJ491" s="97"/>
      <c r="DK491" s="97"/>
      <c r="DL491" s="97"/>
      <c r="DM491" s="97"/>
      <c r="DN491" s="97"/>
      <c r="DO491" s="97"/>
      <c r="DP491" s="97"/>
      <c r="DQ491" s="97"/>
      <c r="DR491" s="97"/>
      <c r="DS491" s="97"/>
      <c r="DT491" s="97"/>
      <c r="DU491" s="97"/>
      <c r="DV491" s="97"/>
      <c r="DW491" s="97"/>
      <c r="DX491" s="97"/>
      <c r="DY491" s="97"/>
      <c r="DZ491" s="97"/>
      <c r="EA491" s="97"/>
      <c r="EB491" s="97"/>
      <c r="EC491" s="97"/>
      <c r="ED491" s="97"/>
      <c r="EE491" s="97"/>
      <c r="EF491" s="97"/>
      <c r="EG491" s="97"/>
      <c r="EH491" s="97"/>
      <c r="EI491" s="97"/>
      <c r="EJ491" s="97"/>
      <c r="EK491" s="97"/>
      <c r="EL491" s="97"/>
      <c r="EM491" s="97"/>
      <c r="EN491" s="97"/>
      <c r="EO491" s="97"/>
      <c r="EP491" s="97"/>
      <c r="EQ491" s="97"/>
      <c r="ER491" s="97"/>
      <c r="ES491" s="97"/>
      <c r="ET491" s="97"/>
    </row>
    <row r="492" spans="1:150" ht="15.75" customHeight="1">
      <c r="A492" s="97"/>
      <c r="B492" s="97"/>
      <c r="C492" s="97"/>
      <c r="D492" s="97"/>
      <c r="E492" s="97"/>
      <c r="F492" s="97"/>
      <c r="G492" s="97"/>
      <c r="H492" s="129"/>
      <c r="I492" s="97"/>
      <c r="J492" s="97"/>
      <c r="K492" s="97"/>
      <c r="L492" s="97"/>
      <c r="M492" s="97"/>
      <c r="N492" s="97"/>
      <c r="O492" s="97"/>
      <c r="P492" s="97"/>
      <c r="Q492" s="97"/>
      <c r="R492" s="97"/>
      <c r="S492" s="97"/>
      <c r="T492" s="97"/>
      <c r="U492" s="97"/>
      <c r="V492" s="97"/>
      <c r="W492" s="97"/>
      <c r="X492" s="129"/>
      <c r="Y492" s="97"/>
      <c r="Z492" s="97"/>
      <c r="AA492" s="97"/>
      <c r="AB492" s="97"/>
      <c r="AC492" s="97"/>
      <c r="AD492" s="97"/>
      <c r="AE492" s="97"/>
      <c r="AF492" s="97"/>
      <c r="AG492" s="97"/>
      <c r="AH492" s="97"/>
      <c r="AI492" s="97"/>
      <c r="AJ492" s="97"/>
      <c r="AK492" s="97"/>
      <c r="AL492" s="97"/>
      <c r="AM492" s="97"/>
      <c r="AN492" s="97"/>
      <c r="AO492" s="97"/>
      <c r="AP492" s="97"/>
      <c r="AQ492" s="97"/>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c r="DF492" s="97"/>
      <c r="DG492" s="97"/>
      <c r="DH492" s="97"/>
      <c r="DI492" s="97"/>
      <c r="DJ492" s="97"/>
      <c r="DK492" s="97"/>
      <c r="DL492" s="97"/>
      <c r="DM492" s="97"/>
      <c r="DN492" s="97"/>
      <c r="DO492" s="97"/>
      <c r="DP492" s="97"/>
      <c r="DQ492" s="97"/>
      <c r="DR492" s="97"/>
      <c r="DS492" s="97"/>
      <c r="DT492" s="97"/>
      <c r="DU492" s="97"/>
      <c r="DV492" s="97"/>
      <c r="DW492" s="97"/>
      <c r="DX492" s="97"/>
      <c r="DY492" s="97"/>
      <c r="DZ492" s="97"/>
      <c r="EA492" s="97"/>
      <c r="EB492" s="97"/>
      <c r="EC492" s="97"/>
      <c r="ED492" s="97"/>
      <c r="EE492" s="97"/>
      <c r="EF492" s="97"/>
      <c r="EG492" s="97"/>
      <c r="EH492" s="97"/>
      <c r="EI492" s="97"/>
      <c r="EJ492" s="97"/>
      <c r="EK492" s="97"/>
      <c r="EL492" s="97"/>
      <c r="EM492" s="97"/>
      <c r="EN492" s="97"/>
      <c r="EO492" s="97"/>
      <c r="EP492" s="97"/>
      <c r="EQ492" s="97"/>
      <c r="ER492" s="97"/>
      <c r="ES492" s="97"/>
      <c r="ET492" s="97"/>
    </row>
    <row r="493" spans="1:150" ht="15.75" customHeight="1">
      <c r="A493" s="97"/>
      <c r="B493" s="97"/>
      <c r="C493" s="97"/>
      <c r="D493" s="97"/>
      <c r="E493" s="97"/>
      <c r="F493" s="97"/>
      <c r="G493" s="97"/>
      <c r="H493" s="129"/>
      <c r="I493" s="97"/>
      <c r="J493" s="97"/>
      <c r="K493" s="97"/>
      <c r="L493" s="97"/>
      <c r="M493" s="97"/>
      <c r="N493" s="97"/>
      <c r="O493" s="97"/>
      <c r="P493" s="97"/>
      <c r="Q493" s="97"/>
      <c r="R493" s="97"/>
      <c r="S493" s="97"/>
      <c r="T493" s="97"/>
      <c r="U493" s="97"/>
      <c r="V493" s="97"/>
      <c r="W493" s="97"/>
      <c r="X493" s="129"/>
      <c r="Y493" s="97"/>
      <c r="Z493" s="97"/>
      <c r="AA493" s="97"/>
      <c r="AB493" s="97"/>
      <c r="AC493" s="97"/>
      <c r="AD493" s="97"/>
      <c r="AE493" s="97"/>
      <c r="AF493" s="97"/>
      <c r="AG493" s="97"/>
      <c r="AH493" s="97"/>
      <c r="AI493" s="97"/>
      <c r="AJ493" s="97"/>
      <c r="AK493" s="97"/>
      <c r="AL493" s="97"/>
      <c r="AM493" s="97"/>
      <c r="AN493" s="97"/>
      <c r="AO493" s="97"/>
      <c r="AP493" s="97"/>
      <c r="AQ493" s="97"/>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c r="DF493" s="97"/>
      <c r="DG493" s="97"/>
      <c r="DH493" s="97"/>
      <c r="DI493" s="97"/>
      <c r="DJ493" s="97"/>
      <c r="DK493" s="97"/>
      <c r="DL493" s="97"/>
      <c r="DM493" s="97"/>
      <c r="DN493" s="97"/>
      <c r="DO493" s="97"/>
      <c r="DP493" s="97"/>
      <c r="DQ493" s="97"/>
      <c r="DR493" s="97"/>
      <c r="DS493" s="97"/>
      <c r="DT493" s="97"/>
      <c r="DU493" s="97"/>
      <c r="DV493" s="97"/>
      <c r="DW493" s="97"/>
      <c r="DX493" s="97"/>
      <c r="DY493" s="97"/>
      <c r="DZ493" s="97"/>
      <c r="EA493" s="97"/>
      <c r="EB493" s="97"/>
      <c r="EC493" s="97"/>
      <c r="ED493" s="97"/>
      <c r="EE493" s="97"/>
      <c r="EF493" s="97"/>
      <c r="EG493" s="97"/>
      <c r="EH493" s="97"/>
      <c r="EI493" s="97"/>
      <c r="EJ493" s="97"/>
      <c r="EK493" s="97"/>
      <c r="EL493" s="97"/>
      <c r="EM493" s="97"/>
      <c r="EN493" s="97"/>
      <c r="EO493" s="97"/>
      <c r="EP493" s="97"/>
      <c r="EQ493" s="97"/>
      <c r="ER493" s="97"/>
      <c r="ES493" s="97"/>
      <c r="ET493" s="97"/>
    </row>
    <row r="494" spans="1:150" ht="15.75" customHeight="1">
      <c r="A494" s="97"/>
      <c r="B494" s="97"/>
      <c r="C494" s="97"/>
      <c r="D494" s="97"/>
      <c r="E494" s="97"/>
      <c r="F494" s="97"/>
      <c r="G494" s="97"/>
      <c r="H494" s="129"/>
      <c r="I494" s="97"/>
      <c r="J494" s="97"/>
      <c r="K494" s="97"/>
      <c r="L494" s="97"/>
      <c r="M494" s="97"/>
      <c r="N494" s="97"/>
      <c r="O494" s="97"/>
      <c r="P494" s="97"/>
      <c r="Q494" s="97"/>
      <c r="R494" s="97"/>
      <c r="S494" s="97"/>
      <c r="T494" s="97"/>
      <c r="U494" s="97"/>
      <c r="V494" s="97"/>
      <c r="W494" s="97"/>
      <c r="X494" s="129"/>
      <c r="Y494" s="97"/>
      <c r="Z494" s="97"/>
      <c r="AA494" s="97"/>
      <c r="AB494" s="97"/>
      <c r="AC494" s="97"/>
      <c r="AD494" s="97"/>
      <c r="AE494" s="97"/>
      <c r="AF494" s="97"/>
      <c r="AG494" s="97"/>
      <c r="AH494" s="97"/>
      <c r="AI494" s="97"/>
      <c r="AJ494" s="97"/>
      <c r="AK494" s="97"/>
      <c r="AL494" s="97"/>
      <c r="AM494" s="97"/>
      <c r="AN494" s="97"/>
      <c r="AO494" s="97"/>
      <c r="AP494" s="97"/>
      <c r="AQ494" s="97"/>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c r="DF494" s="97"/>
      <c r="DG494" s="97"/>
      <c r="DH494" s="97"/>
      <c r="DI494" s="97"/>
      <c r="DJ494" s="97"/>
      <c r="DK494" s="97"/>
      <c r="DL494" s="97"/>
      <c r="DM494" s="97"/>
      <c r="DN494" s="97"/>
      <c r="DO494" s="97"/>
      <c r="DP494" s="97"/>
      <c r="DQ494" s="97"/>
      <c r="DR494" s="97"/>
      <c r="DS494" s="97"/>
      <c r="DT494" s="97"/>
      <c r="DU494" s="97"/>
      <c r="DV494" s="97"/>
      <c r="DW494" s="97"/>
      <c r="DX494" s="97"/>
      <c r="DY494" s="97"/>
      <c r="DZ494" s="97"/>
      <c r="EA494" s="97"/>
      <c r="EB494" s="97"/>
      <c r="EC494" s="97"/>
      <c r="ED494" s="97"/>
      <c r="EE494" s="97"/>
      <c r="EF494" s="97"/>
      <c r="EG494" s="97"/>
      <c r="EH494" s="97"/>
      <c r="EI494" s="97"/>
      <c r="EJ494" s="97"/>
      <c r="EK494" s="97"/>
      <c r="EL494" s="97"/>
      <c r="EM494" s="97"/>
      <c r="EN494" s="97"/>
      <c r="EO494" s="97"/>
      <c r="EP494" s="97"/>
      <c r="EQ494" s="97"/>
      <c r="ER494" s="97"/>
      <c r="ES494" s="97"/>
      <c r="ET494" s="97"/>
    </row>
    <row r="495" spans="1:150" ht="15.75" customHeight="1">
      <c r="A495" s="97"/>
      <c r="B495" s="97"/>
      <c r="C495" s="97"/>
      <c r="D495" s="97"/>
      <c r="E495" s="97"/>
      <c r="F495" s="97"/>
      <c r="G495" s="97"/>
      <c r="H495" s="129"/>
      <c r="I495" s="97"/>
      <c r="J495" s="97"/>
      <c r="K495" s="97"/>
      <c r="L495" s="97"/>
      <c r="M495" s="97"/>
      <c r="N495" s="97"/>
      <c r="O495" s="97"/>
      <c r="P495" s="97"/>
      <c r="Q495" s="97"/>
      <c r="R495" s="97"/>
      <c r="S495" s="97"/>
      <c r="T495" s="97"/>
      <c r="U495" s="97"/>
      <c r="V495" s="97"/>
      <c r="W495" s="97"/>
      <c r="X495" s="129"/>
      <c r="Y495" s="97"/>
      <c r="Z495" s="97"/>
      <c r="AA495" s="97"/>
      <c r="AB495" s="97"/>
      <c r="AC495" s="97"/>
      <c r="AD495" s="97"/>
      <c r="AE495" s="97"/>
      <c r="AF495" s="97"/>
      <c r="AG495" s="97"/>
      <c r="AH495" s="97"/>
      <c r="AI495" s="97"/>
      <c r="AJ495" s="97"/>
      <c r="AK495" s="97"/>
      <c r="AL495" s="97"/>
      <c r="AM495" s="97"/>
      <c r="AN495" s="97"/>
      <c r="AO495" s="97"/>
      <c r="AP495" s="97"/>
      <c r="AQ495" s="97"/>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c r="DF495" s="97"/>
      <c r="DG495" s="97"/>
      <c r="DH495" s="97"/>
      <c r="DI495" s="97"/>
      <c r="DJ495" s="97"/>
      <c r="DK495" s="97"/>
      <c r="DL495" s="97"/>
      <c r="DM495" s="97"/>
      <c r="DN495" s="97"/>
      <c r="DO495" s="97"/>
      <c r="DP495" s="97"/>
      <c r="DQ495" s="97"/>
      <c r="DR495" s="97"/>
      <c r="DS495" s="97"/>
      <c r="DT495" s="97"/>
      <c r="DU495" s="97"/>
      <c r="DV495" s="97"/>
      <c r="DW495" s="97"/>
      <c r="DX495" s="97"/>
      <c r="DY495" s="97"/>
      <c r="DZ495" s="97"/>
      <c r="EA495" s="97"/>
      <c r="EB495" s="97"/>
      <c r="EC495" s="97"/>
      <c r="ED495" s="97"/>
      <c r="EE495" s="97"/>
      <c r="EF495" s="97"/>
      <c r="EG495" s="97"/>
      <c r="EH495" s="97"/>
      <c r="EI495" s="97"/>
      <c r="EJ495" s="97"/>
      <c r="EK495" s="97"/>
      <c r="EL495" s="97"/>
      <c r="EM495" s="97"/>
      <c r="EN495" s="97"/>
      <c r="EO495" s="97"/>
      <c r="EP495" s="97"/>
      <c r="EQ495" s="97"/>
      <c r="ER495" s="97"/>
      <c r="ES495" s="97"/>
      <c r="ET495" s="97"/>
    </row>
    <row r="496" spans="1:150" ht="15.75" customHeight="1">
      <c r="A496" s="97"/>
      <c r="B496" s="97"/>
      <c r="C496" s="97"/>
      <c r="D496" s="97"/>
      <c r="E496" s="97"/>
      <c r="F496" s="97"/>
      <c r="G496" s="97"/>
      <c r="H496" s="129"/>
      <c r="I496" s="97"/>
      <c r="J496" s="97"/>
      <c r="K496" s="97"/>
      <c r="L496" s="97"/>
      <c r="M496" s="97"/>
      <c r="N496" s="97"/>
      <c r="O496" s="97"/>
      <c r="P496" s="97"/>
      <c r="Q496" s="97"/>
      <c r="R496" s="97"/>
      <c r="S496" s="97"/>
      <c r="T496" s="97"/>
      <c r="U496" s="97"/>
      <c r="V496" s="97"/>
      <c r="W496" s="97"/>
      <c r="X496" s="129"/>
      <c r="Y496" s="97"/>
      <c r="Z496" s="97"/>
      <c r="AA496" s="97"/>
      <c r="AB496" s="97"/>
      <c r="AC496" s="97"/>
      <c r="AD496" s="97"/>
      <c r="AE496" s="97"/>
      <c r="AF496" s="97"/>
      <c r="AG496" s="97"/>
      <c r="AH496" s="97"/>
      <c r="AI496" s="97"/>
      <c r="AJ496" s="97"/>
      <c r="AK496" s="97"/>
      <c r="AL496" s="97"/>
      <c r="AM496" s="97"/>
      <c r="AN496" s="97"/>
      <c r="AO496" s="97"/>
      <c r="AP496" s="97"/>
      <c r="AQ496" s="97"/>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c r="DF496" s="97"/>
      <c r="DG496" s="97"/>
      <c r="DH496" s="97"/>
      <c r="DI496" s="97"/>
      <c r="DJ496" s="97"/>
      <c r="DK496" s="97"/>
      <c r="DL496" s="97"/>
      <c r="DM496" s="97"/>
      <c r="DN496" s="97"/>
      <c r="DO496" s="97"/>
      <c r="DP496" s="97"/>
      <c r="DQ496" s="97"/>
      <c r="DR496" s="97"/>
      <c r="DS496" s="97"/>
      <c r="DT496" s="97"/>
      <c r="DU496" s="97"/>
      <c r="DV496" s="97"/>
      <c r="DW496" s="97"/>
      <c r="DX496" s="97"/>
      <c r="DY496" s="97"/>
      <c r="DZ496" s="97"/>
      <c r="EA496" s="97"/>
      <c r="EB496" s="97"/>
      <c r="EC496" s="97"/>
      <c r="ED496" s="97"/>
      <c r="EE496" s="97"/>
      <c r="EF496" s="97"/>
      <c r="EG496" s="97"/>
      <c r="EH496" s="97"/>
      <c r="EI496" s="97"/>
      <c r="EJ496" s="97"/>
      <c r="EK496" s="97"/>
      <c r="EL496" s="97"/>
      <c r="EM496" s="97"/>
      <c r="EN496" s="97"/>
      <c r="EO496" s="97"/>
      <c r="EP496" s="97"/>
      <c r="EQ496" s="97"/>
      <c r="ER496" s="97"/>
      <c r="ES496" s="97"/>
      <c r="ET496" s="97"/>
    </row>
    <row r="497" spans="1:150" ht="15.75" customHeight="1">
      <c r="A497" s="97"/>
      <c r="B497" s="97"/>
      <c r="C497" s="97"/>
      <c r="D497" s="97"/>
      <c r="E497" s="97"/>
      <c r="F497" s="97"/>
      <c r="G497" s="97"/>
      <c r="H497" s="129"/>
      <c r="I497" s="97"/>
      <c r="J497" s="97"/>
      <c r="K497" s="97"/>
      <c r="L497" s="97"/>
      <c r="M497" s="97"/>
      <c r="N497" s="97"/>
      <c r="O497" s="97"/>
      <c r="P497" s="97"/>
      <c r="Q497" s="97"/>
      <c r="R497" s="97"/>
      <c r="S497" s="97"/>
      <c r="T497" s="97"/>
      <c r="U497" s="97"/>
      <c r="V497" s="97"/>
      <c r="W497" s="97"/>
      <c r="X497" s="129"/>
      <c r="Y497" s="97"/>
      <c r="Z497" s="97"/>
      <c r="AA497" s="97"/>
      <c r="AB497" s="97"/>
      <c r="AC497" s="97"/>
      <c r="AD497" s="97"/>
      <c r="AE497" s="97"/>
      <c r="AF497" s="97"/>
      <c r="AG497" s="97"/>
      <c r="AH497" s="97"/>
      <c r="AI497" s="97"/>
      <c r="AJ497" s="97"/>
      <c r="AK497" s="97"/>
      <c r="AL497" s="97"/>
      <c r="AM497" s="97"/>
      <c r="AN497" s="97"/>
      <c r="AO497" s="97"/>
      <c r="AP497" s="97"/>
      <c r="AQ497" s="97"/>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c r="DF497" s="97"/>
      <c r="DG497" s="97"/>
      <c r="DH497" s="97"/>
      <c r="DI497" s="97"/>
      <c r="DJ497" s="97"/>
      <c r="DK497" s="97"/>
      <c r="DL497" s="97"/>
      <c r="DM497" s="97"/>
      <c r="DN497" s="97"/>
      <c r="DO497" s="97"/>
      <c r="DP497" s="97"/>
      <c r="DQ497" s="97"/>
      <c r="DR497" s="97"/>
      <c r="DS497" s="97"/>
      <c r="DT497" s="97"/>
      <c r="DU497" s="97"/>
      <c r="DV497" s="97"/>
      <c r="DW497" s="97"/>
      <c r="DX497" s="97"/>
      <c r="DY497" s="97"/>
      <c r="DZ497" s="97"/>
      <c r="EA497" s="97"/>
      <c r="EB497" s="97"/>
      <c r="EC497" s="97"/>
      <c r="ED497" s="97"/>
      <c r="EE497" s="97"/>
      <c r="EF497" s="97"/>
      <c r="EG497" s="97"/>
      <c r="EH497" s="97"/>
      <c r="EI497" s="97"/>
      <c r="EJ497" s="97"/>
      <c r="EK497" s="97"/>
      <c r="EL497" s="97"/>
      <c r="EM497" s="97"/>
      <c r="EN497" s="97"/>
      <c r="EO497" s="97"/>
      <c r="EP497" s="97"/>
      <c r="EQ497" s="97"/>
      <c r="ER497" s="97"/>
      <c r="ES497" s="97"/>
      <c r="ET497" s="97"/>
    </row>
    <row r="498" spans="1:150" ht="15.75" customHeight="1">
      <c r="A498" s="97"/>
      <c r="B498" s="97"/>
      <c r="C498" s="97"/>
      <c r="D498" s="97"/>
      <c r="E498" s="97"/>
      <c r="F498" s="97"/>
      <c r="G498" s="97"/>
      <c r="H498" s="129"/>
      <c r="I498" s="97"/>
      <c r="J498" s="97"/>
      <c r="K498" s="97"/>
      <c r="L498" s="97"/>
      <c r="M498" s="97"/>
      <c r="N498" s="97"/>
      <c r="O498" s="97"/>
      <c r="P498" s="97"/>
      <c r="Q498" s="97"/>
      <c r="R498" s="97"/>
      <c r="S498" s="97"/>
      <c r="T498" s="97"/>
      <c r="U498" s="97"/>
      <c r="V498" s="97"/>
      <c r="W498" s="97"/>
      <c r="X498" s="129"/>
      <c r="Y498" s="97"/>
      <c r="Z498" s="97"/>
      <c r="AA498" s="97"/>
      <c r="AB498" s="97"/>
      <c r="AC498" s="97"/>
      <c r="AD498" s="97"/>
      <c r="AE498" s="97"/>
      <c r="AF498" s="97"/>
      <c r="AG498" s="97"/>
      <c r="AH498" s="97"/>
      <c r="AI498" s="97"/>
      <c r="AJ498" s="97"/>
      <c r="AK498" s="97"/>
      <c r="AL498" s="97"/>
      <c r="AM498" s="97"/>
      <c r="AN498" s="97"/>
      <c r="AO498" s="97"/>
      <c r="AP498" s="97"/>
      <c r="AQ498" s="97"/>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c r="DF498" s="97"/>
      <c r="DG498" s="97"/>
      <c r="DH498" s="97"/>
      <c r="DI498" s="97"/>
      <c r="DJ498" s="97"/>
      <c r="DK498" s="97"/>
      <c r="DL498" s="97"/>
      <c r="DM498" s="97"/>
      <c r="DN498" s="97"/>
      <c r="DO498" s="97"/>
      <c r="DP498" s="97"/>
      <c r="DQ498" s="97"/>
      <c r="DR498" s="97"/>
      <c r="DS498" s="97"/>
      <c r="DT498" s="97"/>
      <c r="DU498" s="97"/>
      <c r="DV498" s="97"/>
      <c r="DW498" s="97"/>
      <c r="DX498" s="97"/>
      <c r="DY498" s="97"/>
      <c r="DZ498" s="97"/>
      <c r="EA498" s="97"/>
      <c r="EB498" s="97"/>
      <c r="EC498" s="97"/>
      <c r="ED498" s="97"/>
      <c r="EE498" s="97"/>
      <c r="EF498" s="97"/>
      <c r="EG498" s="97"/>
      <c r="EH498" s="97"/>
      <c r="EI498" s="97"/>
      <c r="EJ498" s="97"/>
      <c r="EK498" s="97"/>
      <c r="EL498" s="97"/>
      <c r="EM498" s="97"/>
      <c r="EN498" s="97"/>
      <c r="EO498" s="97"/>
      <c r="EP498" s="97"/>
      <c r="EQ498" s="97"/>
      <c r="ER498" s="97"/>
      <c r="ES498" s="97"/>
      <c r="ET498" s="97"/>
    </row>
    <row r="499" spans="1:150" ht="15.75" customHeight="1">
      <c r="A499" s="97"/>
      <c r="B499" s="97"/>
      <c r="C499" s="97"/>
      <c r="D499" s="97"/>
      <c r="E499" s="97"/>
      <c r="F499" s="97"/>
      <c r="G499" s="97"/>
      <c r="H499" s="129"/>
      <c r="I499" s="97"/>
      <c r="J499" s="97"/>
      <c r="K499" s="97"/>
      <c r="L499" s="97"/>
      <c r="M499" s="97"/>
      <c r="N499" s="97"/>
      <c r="O499" s="97"/>
      <c r="P499" s="97"/>
      <c r="Q499" s="97"/>
      <c r="R499" s="97"/>
      <c r="S499" s="97"/>
      <c r="T499" s="97"/>
      <c r="U499" s="97"/>
      <c r="V499" s="97"/>
      <c r="W499" s="97"/>
      <c r="X499" s="129"/>
      <c r="Y499" s="97"/>
      <c r="Z499" s="97"/>
      <c r="AA499" s="97"/>
      <c r="AB499" s="97"/>
      <c r="AC499" s="97"/>
      <c r="AD499" s="97"/>
      <c r="AE499" s="97"/>
      <c r="AF499" s="97"/>
      <c r="AG499" s="97"/>
      <c r="AH499" s="97"/>
      <c r="AI499" s="97"/>
      <c r="AJ499" s="97"/>
      <c r="AK499" s="97"/>
      <c r="AL499" s="97"/>
      <c r="AM499" s="97"/>
      <c r="AN499" s="97"/>
      <c r="AO499" s="97"/>
      <c r="AP499" s="97"/>
      <c r="AQ499" s="97"/>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c r="DF499" s="97"/>
      <c r="DG499" s="97"/>
      <c r="DH499" s="97"/>
      <c r="DI499" s="97"/>
      <c r="DJ499" s="97"/>
      <c r="DK499" s="97"/>
      <c r="DL499" s="97"/>
      <c r="DM499" s="97"/>
      <c r="DN499" s="97"/>
      <c r="DO499" s="97"/>
      <c r="DP499" s="97"/>
      <c r="DQ499" s="97"/>
      <c r="DR499" s="97"/>
      <c r="DS499" s="97"/>
      <c r="DT499" s="97"/>
      <c r="DU499" s="97"/>
      <c r="DV499" s="97"/>
      <c r="DW499" s="97"/>
      <c r="DX499" s="97"/>
      <c r="DY499" s="97"/>
      <c r="DZ499" s="97"/>
      <c r="EA499" s="97"/>
      <c r="EB499" s="97"/>
      <c r="EC499" s="97"/>
      <c r="ED499" s="97"/>
      <c r="EE499" s="97"/>
      <c r="EF499" s="97"/>
      <c r="EG499" s="97"/>
      <c r="EH499" s="97"/>
      <c r="EI499" s="97"/>
      <c r="EJ499" s="97"/>
      <c r="EK499" s="97"/>
      <c r="EL499" s="97"/>
      <c r="EM499" s="97"/>
      <c r="EN499" s="97"/>
      <c r="EO499" s="97"/>
      <c r="EP499" s="97"/>
      <c r="EQ499" s="97"/>
      <c r="ER499" s="97"/>
      <c r="ES499" s="97"/>
      <c r="ET499" s="97"/>
    </row>
    <row r="500" spans="1:150" ht="15.75" customHeight="1">
      <c r="A500" s="97"/>
      <c r="B500" s="97"/>
      <c r="C500" s="97"/>
      <c r="D500" s="97"/>
      <c r="E500" s="97"/>
      <c r="F500" s="97"/>
      <c r="G500" s="97"/>
      <c r="H500" s="129"/>
      <c r="I500" s="97"/>
      <c r="J500" s="97"/>
      <c r="K500" s="97"/>
      <c r="L500" s="97"/>
      <c r="M500" s="97"/>
      <c r="N500" s="97"/>
      <c r="O500" s="97"/>
      <c r="P500" s="97"/>
      <c r="Q500" s="97"/>
      <c r="R500" s="97"/>
      <c r="S500" s="97"/>
      <c r="T500" s="97"/>
      <c r="U500" s="97"/>
      <c r="V500" s="97"/>
      <c r="W500" s="97"/>
      <c r="X500" s="129"/>
      <c r="Y500" s="97"/>
      <c r="Z500" s="97"/>
      <c r="AA500" s="97"/>
      <c r="AB500" s="97"/>
      <c r="AC500" s="97"/>
      <c r="AD500" s="97"/>
      <c r="AE500" s="97"/>
      <c r="AF500" s="97"/>
      <c r="AG500" s="97"/>
      <c r="AH500" s="97"/>
      <c r="AI500" s="97"/>
      <c r="AJ500" s="97"/>
      <c r="AK500" s="97"/>
      <c r="AL500" s="97"/>
      <c r="AM500" s="97"/>
      <c r="AN500" s="97"/>
      <c r="AO500" s="97"/>
      <c r="AP500" s="97"/>
      <c r="AQ500" s="97"/>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c r="DF500" s="97"/>
      <c r="DG500" s="97"/>
      <c r="DH500" s="97"/>
      <c r="DI500" s="97"/>
      <c r="DJ500" s="97"/>
      <c r="DK500" s="97"/>
      <c r="DL500" s="97"/>
      <c r="DM500" s="97"/>
      <c r="DN500" s="97"/>
      <c r="DO500" s="97"/>
      <c r="DP500" s="97"/>
      <c r="DQ500" s="97"/>
      <c r="DR500" s="97"/>
      <c r="DS500" s="97"/>
      <c r="DT500" s="97"/>
      <c r="DU500" s="97"/>
      <c r="DV500" s="97"/>
      <c r="DW500" s="97"/>
      <c r="DX500" s="97"/>
      <c r="DY500" s="97"/>
      <c r="DZ500" s="97"/>
      <c r="EA500" s="97"/>
      <c r="EB500" s="97"/>
      <c r="EC500" s="97"/>
      <c r="ED500" s="97"/>
      <c r="EE500" s="97"/>
      <c r="EF500" s="97"/>
      <c r="EG500" s="97"/>
      <c r="EH500" s="97"/>
      <c r="EI500" s="97"/>
      <c r="EJ500" s="97"/>
      <c r="EK500" s="97"/>
      <c r="EL500" s="97"/>
      <c r="EM500" s="97"/>
      <c r="EN500" s="97"/>
      <c r="EO500" s="97"/>
      <c r="EP500" s="97"/>
      <c r="EQ500" s="97"/>
      <c r="ER500" s="97"/>
      <c r="ES500" s="97"/>
      <c r="ET500" s="97"/>
    </row>
    <row r="501" spans="1:150" ht="15.75" customHeight="1">
      <c r="A501" s="97"/>
      <c r="B501" s="97"/>
      <c r="C501" s="97"/>
      <c r="D501" s="97"/>
      <c r="E501" s="97"/>
      <c r="F501" s="97"/>
      <c r="G501" s="97"/>
      <c r="H501" s="129"/>
      <c r="I501" s="97"/>
      <c r="J501" s="97"/>
      <c r="K501" s="97"/>
      <c r="L501" s="97"/>
      <c r="M501" s="97"/>
      <c r="N501" s="97"/>
      <c r="O501" s="97"/>
      <c r="P501" s="97"/>
      <c r="Q501" s="97"/>
      <c r="R501" s="97"/>
      <c r="S501" s="97"/>
      <c r="T501" s="97"/>
      <c r="U501" s="97"/>
      <c r="V501" s="97"/>
      <c r="W501" s="97"/>
      <c r="X501" s="129"/>
      <c r="Y501" s="97"/>
      <c r="Z501" s="97"/>
      <c r="AA501" s="97"/>
      <c r="AB501" s="97"/>
      <c r="AC501" s="97"/>
      <c r="AD501" s="97"/>
      <c r="AE501" s="97"/>
      <c r="AF501" s="97"/>
      <c r="AG501" s="97"/>
      <c r="AH501" s="97"/>
      <c r="AI501" s="97"/>
      <c r="AJ501" s="97"/>
      <c r="AK501" s="97"/>
      <c r="AL501" s="97"/>
      <c r="AM501" s="97"/>
      <c r="AN501" s="97"/>
      <c r="AO501" s="97"/>
      <c r="AP501" s="97"/>
      <c r="AQ501" s="97"/>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c r="DF501" s="97"/>
      <c r="DG501" s="97"/>
      <c r="DH501" s="97"/>
      <c r="DI501" s="97"/>
      <c r="DJ501" s="97"/>
      <c r="DK501" s="97"/>
      <c r="DL501" s="97"/>
      <c r="DM501" s="97"/>
      <c r="DN501" s="97"/>
      <c r="DO501" s="97"/>
      <c r="DP501" s="97"/>
      <c r="DQ501" s="97"/>
      <c r="DR501" s="97"/>
      <c r="DS501" s="97"/>
      <c r="DT501" s="97"/>
      <c r="DU501" s="97"/>
      <c r="DV501" s="97"/>
      <c r="DW501" s="97"/>
      <c r="DX501" s="97"/>
      <c r="DY501" s="97"/>
      <c r="DZ501" s="97"/>
      <c r="EA501" s="97"/>
      <c r="EB501" s="97"/>
      <c r="EC501" s="97"/>
      <c r="ED501" s="97"/>
      <c r="EE501" s="97"/>
      <c r="EF501" s="97"/>
      <c r="EG501" s="97"/>
      <c r="EH501" s="97"/>
      <c r="EI501" s="97"/>
      <c r="EJ501" s="97"/>
      <c r="EK501" s="97"/>
      <c r="EL501" s="97"/>
      <c r="EM501" s="97"/>
      <c r="EN501" s="97"/>
      <c r="EO501" s="97"/>
      <c r="EP501" s="97"/>
      <c r="EQ501" s="97"/>
      <c r="ER501" s="97"/>
      <c r="ES501" s="97"/>
      <c r="ET501" s="97"/>
    </row>
    <row r="502" spans="1:150" ht="15.75" customHeight="1">
      <c r="A502" s="97"/>
      <c r="B502" s="97"/>
      <c r="C502" s="97"/>
      <c r="D502" s="97"/>
      <c r="E502" s="97"/>
      <c r="F502" s="97"/>
      <c r="G502" s="97"/>
      <c r="H502" s="129"/>
      <c r="I502" s="97"/>
      <c r="J502" s="97"/>
      <c r="K502" s="97"/>
      <c r="L502" s="97"/>
      <c r="M502" s="97"/>
      <c r="N502" s="97"/>
      <c r="O502" s="97"/>
      <c r="P502" s="97"/>
      <c r="Q502" s="97"/>
      <c r="R502" s="97"/>
      <c r="S502" s="97"/>
      <c r="T502" s="97"/>
      <c r="U502" s="97"/>
      <c r="V502" s="97"/>
      <c r="W502" s="97"/>
      <c r="X502" s="129"/>
      <c r="Y502" s="97"/>
      <c r="Z502" s="97"/>
      <c r="AA502" s="97"/>
      <c r="AB502" s="97"/>
      <c r="AC502" s="97"/>
      <c r="AD502" s="97"/>
      <c r="AE502" s="97"/>
      <c r="AF502" s="97"/>
      <c r="AG502" s="97"/>
      <c r="AH502" s="97"/>
      <c r="AI502" s="97"/>
      <c r="AJ502" s="97"/>
      <c r="AK502" s="97"/>
      <c r="AL502" s="97"/>
      <c r="AM502" s="97"/>
      <c r="AN502" s="97"/>
      <c r="AO502" s="97"/>
      <c r="AP502" s="97"/>
      <c r="AQ502" s="97"/>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c r="DF502" s="97"/>
      <c r="DG502" s="97"/>
      <c r="DH502" s="97"/>
      <c r="DI502" s="97"/>
      <c r="DJ502" s="97"/>
      <c r="DK502" s="97"/>
      <c r="DL502" s="97"/>
      <c r="DM502" s="97"/>
      <c r="DN502" s="97"/>
      <c r="DO502" s="97"/>
      <c r="DP502" s="97"/>
      <c r="DQ502" s="97"/>
      <c r="DR502" s="97"/>
      <c r="DS502" s="97"/>
      <c r="DT502" s="97"/>
      <c r="DU502" s="97"/>
      <c r="DV502" s="97"/>
      <c r="DW502" s="97"/>
      <c r="DX502" s="97"/>
      <c r="DY502" s="97"/>
      <c r="DZ502" s="97"/>
      <c r="EA502" s="97"/>
      <c r="EB502" s="97"/>
      <c r="EC502" s="97"/>
      <c r="ED502" s="97"/>
      <c r="EE502" s="97"/>
      <c r="EF502" s="97"/>
      <c r="EG502" s="97"/>
      <c r="EH502" s="97"/>
      <c r="EI502" s="97"/>
      <c r="EJ502" s="97"/>
      <c r="EK502" s="97"/>
      <c r="EL502" s="97"/>
      <c r="EM502" s="97"/>
      <c r="EN502" s="97"/>
      <c r="EO502" s="97"/>
      <c r="EP502" s="97"/>
      <c r="EQ502" s="97"/>
      <c r="ER502" s="97"/>
      <c r="ES502" s="97"/>
      <c r="ET502" s="97"/>
    </row>
    <row r="503" spans="1:150" ht="15.75" customHeight="1">
      <c r="A503" s="97"/>
      <c r="B503" s="97"/>
      <c r="C503" s="97"/>
      <c r="D503" s="97"/>
      <c r="E503" s="97"/>
      <c r="F503" s="97"/>
      <c r="G503" s="97"/>
      <c r="H503" s="129"/>
      <c r="I503" s="97"/>
      <c r="J503" s="97"/>
      <c r="K503" s="97"/>
      <c r="L503" s="97"/>
      <c r="M503" s="97"/>
      <c r="N503" s="97"/>
      <c r="O503" s="97"/>
      <c r="P503" s="97"/>
      <c r="Q503" s="97"/>
      <c r="R503" s="97"/>
      <c r="S503" s="97"/>
      <c r="T503" s="97"/>
      <c r="U503" s="97"/>
      <c r="V503" s="97"/>
      <c r="W503" s="97"/>
      <c r="X503" s="129"/>
      <c r="Y503" s="97"/>
      <c r="Z503" s="97"/>
      <c r="AA503" s="97"/>
      <c r="AB503" s="97"/>
      <c r="AC503" s="97"/>
      <c r="AD503" s="97"/>
      <c r="AE503" s="97"/>
      <c r="AF503" s="97"/>
      <c r="AG503" s="97"/>
      <c r="AH503" s="97"/>
      <c r="AI503" s="97"/>
      <c r="AJ503" s="97"/>
      <c r="AK503" s="97"/>
      <c r="AL503" s="97"/>
      <c r="AM503" s="97"/>
      <c r="AN503" s="97"/>
      <c r="AO503" s="97"/>
      <c r="AP503" s="97"/>
      <c r="AQ503" s="97"/>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c r="DF503" s="97"/>
      <c r="DG503" s="97"/>
      <c r="DH503" s="97"/>
      <c r="DI503" s="97"/>
      <c r="DJ503" s="97"/>
      <c r="DK503" s="97"/>
      <c r="DL503" s="97"/>
      <c r="DM503" s="97"/>
      <c r="DN503" s="97"/>
      <c r="DO503" s="97"/>
      <c r="DP503" s="97"/>
      <c r="DQ503" s="97"/>
      <c r="DR503" s="97"/>
      <c r="DS503" s="97"/>
      <c r="DT503" s="97"/>
      <c r="DU503" s="97"/>
      <c r="DV503" s="97"/>
      <c r="DW503" s="97"/>
      <c r="DX503" s="97"/>
      <c r="DY503" s="97"/>
      <c r="DZ503" s="97"/>
      <c r="EA503" s="97"/>
      <c r="EB503" s="97"/>
      <c r="EC503" s="97"/>
      <c r="ED503" s="97"/>
      <c r="EE503" s="97"/>
      <c r="EF503" s="97"/>
      <c r="EG503" s="97"/>
      <c r="EH503" s="97"/>
      <c r="EI503" s="97"/>
      <c r="EJ503" s="97"/>
      <c r="EK503" s="97"/>
      <c r="EL503" s="97"/>
      <c r="EM503" s="97"/>
      <c r="EN503" s="97"/>
      <c r="EO503" s="97"/>
      <c r="EP503" s="97"/>
      <c r="EQ503" s="97"/>
      <c r="ER503" s="97"/>
      <c r="ES503" s="97"/>
      <c r="ET503" s="97"/>
    </row>
    <row r="504" spans="1:150" ht="15.75" customHeight="1">
      <c r="A504" s="97"/>
      <c r="B504" s="97"/>
      <c r="C504" s="97"/>
      <c r="D504" s="97"/>
      <c r="E504" s="97"/>
      <c r="F504" s="97"/>
      <c r="G504" s="97"/>
      <c r="H504" s="129"/>
      <c r="I504" s="97"/>
      <c r="J504" s="97"/>
      <c r="K504" s="97"/>
      <c r="L504" s="97"/>
      <c r="M504" s="97"/>
      <c r="N504" s="97"/>
      <c r="O504" s="97"/>
      <c r="P504" s="97"/>
      <c r="Q504" s="97"/>
      <c r="R504" s="97"/>
      <c r="S504" s="97"/>
      <c r="T504" s="97"/>
      <c r="U504" s="97"/>
      <c r="V504" s="97"/>
      <c r="W504" s="97"/>
      <c r="X504" s="129"/>
      <c r="Y504" s="97"/>
      <c r="Z504" s="97"/>
      <c r="AA504" s="97"/>
      <c r="AB504" s="97"/>
      <c r="AC504" s="97"/>
      <c r="AD504" s="97"/>
      <c r="AE504" s="97"/>
      <c r="AF504" s="97"/>
      <c r="AG504" s="97"/>
      <c r="AH504" s="97"/>
      <c r="AI504" s="97"/>
      <c r="AJ504" s="97"/>
      <c r="AK504" s="97"/>
      <c r="AL504" s="97"/>
      <c r="AM504" s="97"/>
      <c r="AN504" s="97"/>
      <c r="AO504" s="97"/>
      <c r="AP504" s="97"/>
      <c r="AQ504" s="97"/>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c r="DF504" s="97"/>
      <c r="DG504" s="97"/>
      <c r="DH504" s="97"/>
      <c r="DI504" s="97"/>
      <c r="DJ504" s="97"/>
      <c r="DK504" s="97"/>
      <c r="DL504" s="97"/>
      <c r="DM504" s="97"/>
      <c r="DN504" s="97"/>
      <c r="DO504" s="97"/>
      <c r="DP504" s="97"/>
      <c r="DQ504" s="97"/>
      <c r="DR504" s="97"/>
      <c r="DS504" s="97"/>
      <c r="DT504" s="97"/>
      <c r="DU504" s="97"/>
      <c r="DV504" s="97"/>
      <c r="DW504" s="97"/>
      <c r="DX504" s="97"/>
      <c r="DY504" s="97"/>
      <c r="DZ504" s="97"/>
      <c r="EA504" s="97"/>
      <c r="EB504" s="97"/>
      <c r="EC504" s="97"/>
      <c r="ED504" s="97"/>
      <c r="EE504" s="97"/>
      <c r="EF504" s="97"/>
      <c r="EG504" s="97"/>
      <c r="EH504" s="97"/>
      <c r="EI504" s="97"/>
      <c r="EJ504" s="97"/>
      <c r="EK504" s="97"/>
      <c r="EL504" s="97"/>
      <c r="EM504" s="97"/>
      <c r="EN504" s="97"/>
      <c r="EO504" s="97"/>
      <c r="EP504" s="97"/>
      <c r="EQ504" s="97"/>
      <c r="ER504" s="97"/>
      <c r="ES504" s="97"/>
      <c r="ET504" s="97"/>
    </row>
    <row r="505" spans="1:150" ht="15.75" customHeight="1">
      <c r="A505" s="97"/>
      <c r="B505" s="97"/>
      <c r="C505" s="97"/>
      <c r="D505" s="97"/>
      <c r="E505" s="97"/>
      <c r="F505" s="97"/>
      <c r="G505" s="97"/>
      <c r="H505" s="129"/>
      <c r="I505" s="97"/>
      <c r="J505" s="97"/>
      <c r="K505" s="97"/>
      <c r="L505" s="97"/>
      <c r="M505" s="97"/>
      <c r="N505" s="97"/>
      <c r="O505" s="97"/>
      <c r="P505" s="97"/>
      <c r="Q505" s="97"/>
      <c r="R505" s="97"/>
      <c r="S505" s="97"/>
      <c r="T505" s="97"/>
      <c r="U505" s="97"/>
      <c r="V505" s="97"/>
      <c r="W505" s="97"/>
      <c r="X505" s="129"/>
      <c r="Y505" s="97"/>
      <c r="Z505" s="97"/>
      <c r="AA505" s="97"/>
      <c r="AB505" s="97"/>
      <c r="AC505" s="97"/>
      <c r="AD505" s="97"/>
      <c r="AE505" s="97"/>
      <c r="AF505" s="97"/>
      <c r="AG505" s="97"/>
      <c r="AH505" s="97"/>
      <c r="AI505" s="97"/>
      <c r="AJ505" s="97"/>
      <c r="AK505" s="97"/>
      <c r="AL505" s="97"/>
      <c r="AM505" s="97"/>
      <c r="AN505" s="97"/>
      <c r="AO505" s="97"/>
      <c r="AP505" s="97"/>
      <c r="AQ505" s="97"/>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c r="DF505" s="97"/>
      <c r="DG505" s="97"/>
      <c r="DH505" s="97"/>
      <c r="DI505" s="97"/>
      <c r="DJ505" s="97"/>
      <c r="DK505" s="97"/>
      <c r="DL505" s="97"/>
      <c r="DM505" s="97"/>
      <c r="DN505" s="97"/>
      <c r="DO505" s="97"/>
      <c r="DP505" s="97"/>
      <c r="DQ505" s="97"/>
      <c r="DR505" s="97"/>
      <c r="DS505" s="97"/>
      <c r="DT505" s="97"/>
      <c r="DU505" s="97"/>
      <c r="DV505" s="97"/>
      <c r="DW505" s="97"/>
      <c r="DX505" s="97"/>
      <c r="DY505" s="97"/>
      <c r="DZ505" s="97"/>
      <c r="EA505" s="97"/>
      <c r="EB505" s="97"/>
      <c r="EC505" s="97"/>
      <c r="ED505" s="97"/>
      <c r="EE505" s="97"/>
      <c r="EF505" s="97"/>
      <c r="EG505" s="97"/>
      <c r="EH505" s="97"/>
      <c r="EI505" s="97"/>
      <c r="EJ505" s="97"/>
      <c r="EK505" s="97"/>
      <c r="EL505" s="97"/>
      <c r="EM505" s="97"/>
      <c r="EN505" s="97"/>
      <c r="EO505" s="97"/>
      <c r="EP505" s="97"/>
      <c r="EQ505" s="97"/>
      <c r="ER505" s="97"/>
      <c r="ES505" s="97"/>
      <c r="ET505" s="97"/>
    </row>
    <row r="506" spans="1:150" ht="15.75" customHeight="1">
      <c r="A506" s="97"/>
      <c r="B506" s="97"/>
      <c r="C506" s="97"/>
      <c r="D506" s="97"/>
      <c r="E506" s="97"/>
      <c r="F506" s="97"/>
      <c r="G506" s="97"/>
      <c r="H506" s="129"/>
      <c r="I506" s="97"/>
      <c r="J506" s="97"/>
      <c r="K506" s="97"/>
      <c r="L506" s="97"/>
      <c r="M506" s="97"/>
      <c r="N506" s="97"/>
      <c r="O506" s="97"/>
      <c r="P506" s="97"/>
      <c r="Q506" s="97"/>
      <c r="R506" s="97"/>
      <c r="S506" s="97"/>
      <c r="T506" s="97"/>
      <c r="U506" s="97"/>
      <c r="V506" s="97"/>
      <c r="W506" s="97"/>
      <c r="X506" s="129"/>
      <c r="Y506" s="97"/>
      <c r="Z506" s="97"/>
      <c r="AA506" s="97"/>
      <c r="AB506" s="97"/>
      <c r="AC506" s="97"/>
      <c r="AD506" s="97"/>
      <c r="AE506" s="97"/>
      <c r="AF506" s="97"/>
      <c r="AG506" s="97"/>
      <c r="AH506" s="97"/>
      <c r="AI506" s="97"/>
      <c r="AJ506" s="97"/>
      <c r="AK506" s="97"/>
      <c r="AL506" s="97"/>
      <c r="AM506" s="97"/>
      <c r="AN506" s="97"/>
      <c r="AO506" s="97"/>
      <c r="AP506" s="97"/>
      <c r="AQ506" s="97"/>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c r="DF506" s="97"/>
      <c r="DG506" s="97"/>
      <c r="DH506" s="97"/>
      <c r="DI506" s="97"/>
      <c r="DJ506" s="97"/>
      <c r="DK506" s="97"/>
      <c r="DL506" s="97"/>
      <c r="DM506" s="97"/>
      <c r="DN506" s="97"/>
      <c r="DO506" s="97"/>
      <c r="DP506" s="97"/>
      <c r="DQ506" s="97"/>
      <c r="DR506" s="97"/>
      <c r="DS506" s="97"/>
      <c r="DT506" s="97"/>
      <c r="DU506" s="97"/>
      <c r="DV506" s="97"/>
      <c r="DW506" s="97"/>
      <c r="DX506" s="97"/>
      <c r="DY506" s="97"/>
      <c r="DZ506" s="97"/>
      <c r="EA506" s="97"/>
      <c r="EB506" s="97"/>
      <c r="EC506" s="97"/>
      <c r="ED506" s="97"/>
      <c r="EE506" s="97"/>
      <c r="EF506" s="97"/>
      <c r="EG506" s="97"/>
      <c r="EH506" s="97"/>
      <c r="EI506" s="97"/>
      <c r="EJ506" s="97"/>
      <c r="EK506" s="97"/>
      <c r="EL506" s="97"/>
      <c r="EM506" s="97"/>
      <c r="EN506" s="97"/>
      <c r="EO506" s="97"/>
      <c r="EP506" s="97"/>
      <c r="EQ506" s="97"/>
      <c r="ER506" s="97"/>
      <c r="ES506" s="97"/>
      <c r="ET506" s="97"/>
    </row>
    <row r="507" spans="1:150" ht="15.75" customHeight="1">
      <c r="A507" s="97"/>
      <c r="B507" s="97"/>
      <c r="C507" s="97"/>
      <c r="D507" s="97"/>
      <c r="E507" s="97"/>
      <c r="F507" s="97"/>
      <c r="G507" s="97"/>
      <c r="H507" s="129"/>
      <c r="I507" s="97"/>
      <c r="J507" s="97"/>
      <c r="K507" s="97"/>
      <c r="L507" s="97"/>
      <c r="M507" s="97"/>
      <c r="N507" s="97"/>
      <c r="O507" s="97"/>
      <c r="P507" s="97"/>
      <c r="Q507" s="97"/>
      <c r="R507" s="97"/>
      <c r="S507" s="97"/>
      <c r="T507" s="97"/>
      <c r="U507" s="97"/>
      <c r="V507" s="97"/>
      <c r="W507" s="97"/>
      <c r="X507" s="129"/>
      <c r="Y507" s="97"/>
      <c r="Z507" s="97"/>
      <c r="AA507" s="97"/>
      <c r="AB507" s="97"/>
      <c r="AC507" s="97"/>
      <c r="AD507" s="97"/>
      <c r="AE507" s="97"/>
      <c r="AF507" s="97"/>
      <c r="AG507" s="97"/>
      <c r="AH507" s="97"/>
      <c r="AI507" s="97"/>
      <c r="AJ507" s="97"/>
      <c r="AK507" s="97"/>
      <c r="AL507" s="97"/>
      <c r="AM507" s="97"/>
      <c r="AN507" s="97"/>
      <c r="AO507" s="97"/>
      <c r="AP507" s="97"/>
      <c r="AQ507" s="97"/>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c r="DF507" s="97"/>
      <c r="DG507" s="97"/>
      <c r="DH507" s="97"/>
      <c r="DI507" s="97"/>
      <c r="DJ507" s="97"/>
      <c r="DK507" s="97"/>
      <c r="DL507" s="97"/>
      <c r="DM507" s="97"/>
      <c r="DN507" s="97"/>
      <c r="DO507" s="97"/>
      <c r="DP507" s="97"/>
      <c r="DQ507" s="97"/>
      <c r="DR507" s="97"/>
      <c r="DS507" s="97"/>
      <c r="DT507" s="97"/>
      <c r="DU507" s="97"/>
      <c r="DV507" s="97"/>
      <c r="DW507" s="97"/>
      <c r="DX507" s="97"/>
      <c r="DY507" s="97"/>
      <c r="DZ507" s="97"/>
      <c r="EA507" s="97"/>
      <c r="EB507" s="97"/>
      <c r="EC507" s="97"/>
      <c r="ED507" s="97"/>
      <c r="EE507" s="97"/>
      <c r="EF507" s="97"/>
      <c r="EG507" s="97"/>
      <c r="EH507" s="97"/>
      <c r="EI507" s="97"/>
      <c r="EJ507" s="97"/>
      <c r="EK507" s="97"/>
      <c r="EL507" s="97"/>
      <c r="EM507" s="97"/>
      <c r="EN507" s="97"/>
      <c r="EO507" s="97"/>
      <c r="EP507" s="97"/>
      <c r="EQ507" s="97"/>
      <c r="ER507" s="97"/>
      <c r="ES507" s="97"/>
      <c r="ET507" s="97"/>
    </row>
    <row r="508" spans="1:150" ht="15.75" customHeight="1">
      <c r="A508" s="97"/>
      <c r="B508" s="97"/>
      <c r="C508" s="97"/>
      <c r="D508" s="97"/>
      <c r="E508" s="97"/>
      <c r="F508" s="97"/>
      <c r="G508" s="97"/>
      <c r="H508" s="129"/>
      <c r="I508" s="97"/>
      <c r="J508" s="97"/>
      <c r="K508" s="97"/>
      <c r="L508" s="97"/>
      <c r="M508" s="97"/>
      <c r="N508" s="97"/>
      <c r="O508" s="97"/>
      <c r="P508" s="97"/>
      <c r="Q508" s="97"/>
      <c r="R508" s="97"/>
      <c r="S508" s="97"/>
      <c r="T508" s="97"/>
      <c r="U508" s="97"/>
      <c r="V508" s="97"/>
      <c r="W508" s="97"/>
      <c r="X508" s="129"/>
      <c r="Y508" s="97"/>
      <c r="Z508" s="97"/>
      <c r="AA508" s="97"/>
      <c r="AB508" s="97"/>
      <c r="AC508" s="97"/>
      <c r="AD508" s="97"/>
      <c r="AE508" s="97"/>
      <c r="AF508" s="97"/>
      <c r="AG508" s="97"/>
      <c r="AH508" s="97"/>
      <c r="AI508" s="97"/>
      <c r="AJ508" s="97"/>
      <c r="AK508" s="97"/>
      <c r="AL508" s="97"/>
      <c r="AM508" s="97"/>
      <c r="AN508" s="97"/>
      <c r="AO508" s="97"/>
      <c r="AP508" s="97"/>
      <c r="AQ508" s="97"/>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c r="DF508" s="97"/>
      <c r="DG508" s="97"/>
      <c r="DH508" s="97"/>
      <c r="DI508" s="97"/>
      <c r="DJ508" s="97"/>
      <c r="DK508" s="97"/>
      <c r="DL508" s="97"/>
      <c r="DM508" s="97"/>
      <c r="DN508" s="97"/>
      <c r="DO508" s="97"/>
      <c r="DP508" s="97"/>
      <c r="DQ508" s="97"/>
      <c r="DR508" s="97"/>
      <c r="DS508" s="97"/>
      <c r="DT508" s="97"/>
      <c r="DU508" s="97"/>
      <c r="DV508" s="97"/>
      <c r="DW508" s="97"/>
      <c r="DX508" s="97"/>
      <c r="DY508" s="97"/>
      <c r="DZ508" s="97"/>
      <c r="EA508" s="97"/>
      <c r="EB508" s="97"/>
      <c r="EC508" s="97"/>
      <c r="ED508" s="97"/>
      <c r="EE508" s="97"/>
      <c r="EF508" s="97"/>
      <c r="EG508" s="97"/>
      <c r="EH508" s="97"/>
      <c r="EI508" s="97"/>
      <c r="EJ508" s="97"/>
      <c r="EK508" s="97"/>
      <c r="EL508" s="97"/>
      <c r="EM508" s="97"/>
      <c r="EN508" s="97"/>
      <c r="EO508" s="97"/>
      <c r="EP508" s="97"/>
      <c r="EQ508" s="97"/>
      <c r="ER508" s="97"/>
      <c r="ES508" s="97"/>
      <c r="ET508" s="97"/>
    </row>
    <row r="509" spans="1:150" ht="15.75" customHeight="1">
      <c r="A509" s="97"/>
      <c r="B509" s="97"/>
      <c r="C509" s="97"/>
      <c r="D509" s="97"/>
      <c r="E509" s="97"/>
      <c r="F509" s="97"/>
      <c r="G509" s="97"/>
      <c r="H509" s="129"/>
      <c r="I509" s="97"/>
      <c r="J509" s="97"/>
      <c r="K509" s="97"/>
      <c r="L509" s="97"/>
      <c r="M509" s="97"/>
      <c r="N509" s="97"/>
      <c r="O509" s="97"/>
      <c r="P509" s="97"/>
      <c r="Q509" s="97"/>
      <c r="R509" s="97"/>
      <c r="S509" s="97"/>
      <c r="T509" s="97"/>
      <c r="U509" s="97"/>
      <c r="V509" s="97"/>
      <c r="W509" s="97"/>
      <c r="X509" s="129"/>
      <c r="Y509" s="97"/>
      <c r="Z509" s="97"/>
      <c r="AA509" s="97"/>
      <c r="AB509" s="97"/>
      <c r="AC509" s="97"/>
      <c r="AD509" s="97"/>
      <c r="AE509" s="97"/>
      <c r="AF509" s="97"/>
      <c r="AG509" s="97"/>
      <c r="AH509" s="97"/>
      <c r="AI509" s="97"/>
      <c r="AJ509" s="97"/>
      <c r="AK509" s="97"/>
      <c r="AL509" s="97"/>
      <c r="AM509" s="97"/>
      <c r="AN509" s="97"/>
      <c r="AO509" s="97"/>
      <c r="AP509" s="97"/>
      <c r="AQ509" s="97"/>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c r="DF509" s="97"/>
      <c r="DG509" s="97"/>
      <c r="DH509" s="97"/>
      <c r="DI509" s="97"/>
      <c r="DJ509" s="97"/>
      <c r="DK509" s="97"/>
      <c r="DL509" s="97"/>
      <c r="DM509" s="97"/>
      <c r="DN509" s="97"/>
      <c r="DO509" s="97"/>
      <c r="DP509" s="97"/>
      <c r="DQ509" s="97"/>
      <c r="DR509" s="97"/>
      <c r="DS509" s="97"/>
      <c r="DT509" s="97"/>
      <c r="DU509" s="97"/>
      <c r="DV509" s="97"/>
      <c r="DW509" s="97"/>
      <c r="DX509" s="97"/>
      <c r="DY509" s="97"/>
      <c r="DZ509" s="97"/>
      <c r="EA509" s="97"/>
      <c r="EB509" s="97"/>
      <c r="EC509" s="97"/>
      <c r="ED509" s="97"/>
      <c r="EE509" s="97"/>
      <c r="EF509" s="97"/>
      <c r="EG509" s="97"/>
      <c r="EH509" s="97"/>
      <c r="EI509" s="97"/>
      <c r="EJ509" s="97"/>
      <c r="EK509" s="97"/>
      <c r="EL509" s="97"/>
      <c r="EM509" s="97"/>
      <c r="EN509" s="97"/>
      <c r="EO509" s="97"/>
      <c r="EP509" s="97"/>
      <c r="EQ509" s="97"/>
      <c r="ER509" s="97"/>
      <c r="ES509" s="97"/>
      <c r="ET509" s="97"/>
    </row>
    <row r="510" spans="1:150" ht="15.75" customHeight="1">
      <c r="A510" s="97"/>
      <c r="B510" s="97"/>
      <c r="C510" s="97"/>
      <c r="D510" s="97"/>
      <c r="E510" s="97"/>
      <c r="F510" s="97"/>
      <c r="G510" s="97"/>
      <c r="H510" s="129"/>
      <c r="I510" s="97"/>
      <c r="J510" s="97"/>
      <c r="K510" s="97"/>
      <c r="L510" s="97"/>
      <c r="M510" s="97"/>
      <c r="N510" s="97"/>
      <c r="O510" s="97"/>
      <c r="P510" s="97"/>
      <c r="Q510" s="97"/>
      <c r="R510" s="97"/>
      <c r="S510" s="97"/>
      <c r="T510" s="97"/>
      <c r="U510" s="97"/>
      <c r="V510" s="97"/>
      <c r="W510" s="97"/>
      <c r="X510" s="129"/>
      <c r="Y510" s="97"/>
      <c r="Z510" s="97"/>
      <c r="AA510" s="97"/>
      <c r="AB510" s="97"/>
      <c r="AC510" s="97"/>
      <c r="AD510" s="97"/>
      <c r="AE510" s="97"/>
      <c r="AF510" s="97"/>
      <c r="AG510" s="97"/>
      <c r="AH510" s="97"/>
      <c r="AI510" s="97"/>
      <c r="AJ510" s="97"/>
      <c r="AK510" s="97"/>
      <c r="AL510" s="97"/>
      <c r="AM510" s="97"/>
      <c r="AN510" s="97"/>
      <c r="AO510" s="97"/>
      <c r="AP510" s="97"/>
      <c r="AQ510" s="97"/>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c r="DF510" s="97"/>
      <c r="DG510" s="97"/>
      <c r="DH510" s="97"/>
      <c r="DI510" s="97"/>
      <c r="DJ510" s="97"/>
      <c r="DK510" s="97"/>
      <c r="DL510" s="97"/>
      <c r="DM510" s="97"/>
      <c r="DN510" s="97"/>
      <c r="DO510" s="97"/>
      <c r="DP510" s="97"/>
      <c r="DQ510" s="97"/>
      <c r="DR510" s="97"/>
      <c r="DS510" s="97"/>
      <c r="DT510" s="97"/>
      <c r="DU510" s="97"/>
      <c r="DV510" s="97"/>
      <c r="DW510" s="97"/>
      <c r="DX510" s="97"/>
      <c r="DY510" s="97"/>
      <c r="DZ510" s="97"/>
      <c r="EA510" s="97"/>
      <c r="EB510" s="97"/>
      <c r="EC510" s="97"/>
      <c r="ED510" s="97"/>
      <c r="EE510" s="97"/>
      <c r="EF510" s="97"/>
      <c r="EG510" s="97"/>
      <c r="EH510" s="97"/>
      <c r="EI510" s="97"/>
      <c r="EJ510" s="97"/>
      <c r="EK510" s="97"/>
      <c r="EL510" s="97"/>
      <c r="EM510" s="97"/>
      <c r="EN510" s="97"/>
      <c r="EO510" s="97"/>
      <c r="EP510" s="97"/>
      <c r="EQ510" s="97"/>
      <c r="ER510" s="97"/>
      <c r="ES510" s="97"/>
      <c r="ET510" s="97"/>
    </row>
    <row r="511" spans="1:150" ht="15.75" customHeight="1">
      <c r="A511" s="97"/>
      <c r="B511" s="97"/>
      <c r="C511" s="97"/>
      <c r="D511" s="97"/>
      <c r="E511" s="97"/>
      <c r="F511" s="97"/>
      <c r="G511" s="97"/>
      <c r="H511" s="129"/>
      <c r="I511" s="97"/>
      <c r="J511" s="97"/>
      <c r="K511" s="97"/>
      <c r="L511" s="97"/>
      <c r="M511" s="97"/>
      <c r="N511" s="97"/>
      <c r="O511" s="97"/>
      <c r="P511" s="97"/>
      <c r="Q511" s="97"/>
      <c r="R511" s="97"/>
      <c r="S511" s="97"/>
      <c r="T511" s="97"/>
      <c r="U511" s="97"/>
      <c r="V511" s="97"/>
      <c r="W511" s="97"/>
      <c r="X511" s="129"/>
      <c r="Y511" s="97"/>
      <c r="Z511" s="97"/>
      <c r="AA511" s="97"/>
      <c r="AB511" s="97"/>
      <c r="AC511" s="97"/>
      <c r="AD511" s="97"/>
      <c r="AE511" s="97"/>
      <c r="AF511" s="97"/>
      <c r="AG511" s="97"/>
      <c r="AH511" s="97"/>
      <c r="AI511" s="97"/>
      <c r="AJ511" s="97"/>
      <c r="AK511" s="97"/>
      <c r="AL511" s="97"/>
      <c r="AM511" s="97"/>
      <c r="AN511" s="97"/>
      <c r="AO511" s="97"/>
      <c r="AP511" s="97"/>
      <c r="AQ511" s="97"/>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c r="DF511" s="97"/>
      <c r="DG511" s="97"/>
      <c r="DH511" s="97"/>
      <c r="DI511" s="97"/>
      <c r="DJ511" s="97"/>
      <c r="DK511" s="97"/>
      <c r="DL511" s="97"/>
      <c r="DM511" s="97"/>
      <c r="DN511" s="97"/>
      <c r="DO511" s="97"/>
      <c r="DP511" s="97"/>
      <c r="DQ511" s="97"/>
      <c r="DR511" s="97"/>
      <c r="DS511" s="97"/>
      <c r="DT511" s="97"/>
      <c r="DU511" s="97"/>
      <c r="DV511" s="97"/>
      <c r="DW511" s="97"/>
      <c r="DX511" s="97"/>
      <c r="DY511" s="97"/>
      <c r="DZ511" s="97"/>
      <c r="EA511" s="97"/>
      <c r="EB511" s="97"/>
      <c r="EC511" s="97"/>
      <c r="ED511" s="97"/>
      <c r="EE511" s="97"/>
      <c r="EF511" s="97"/>
      <c r="EG511" s="97"/>
      <c r="EH511" s="97"/>
      <c r="EI511" s="97"/>
      <c r="EJ511" s="97"/>
      <c r="EK511" s="97"/>
      <c r="EL511" s="97"/>
      <c r="EM511" s="97"/>
      <c r="EN511" s="97"/>
      <c r="EO511" s="97"/>
      <c r="EP511" s="97"/>
      <c r="EQ511" s="97"/>
      <c r="ER511" s="97"/>
      <c r="ES511" s="97"/>
      <c r="ET511" s="97"/>
    </row>
    <row r="512" spans="1:150" ht="15.75" customHeight="1">
      <c r="A512" s="97"/>
      <c r="B512" s="97"/>
      <c r="C512" s="97"/>
      <c r="D512" s="97"/>
      <c r="E512" s="97"/>
      <c r="F512" s="97"/>
      <c r="G512" s="97"/>
      <c r="H512" s="129"/>
      <c r="I512" s="97"/>
      <c r="J512" s="97"/>
      <c r="K512" s="97"/>
      <c r="L512" s="97"/>
      <c r="M512" s="97"/>
      <c r="N512" s="97"/>
      <c r="O512" s="97"/>
      <c r="P512" s="97"/>
      <c r="Q512" s="97"/>
      <c r="R512" s="97"/>
      <c r="S512" s="97"/>
      <c r="T512" s="97"/>
      <c r="U512" s="97"/>
      <c r="V512" s="97"/>
      <c r="W512" s="97"/>
      <c r="X512" s="129"/>
      <c r="Y512" s="97"/>
      <c r="Z512" s="97"/>
      <c r="AA512" s="97"/>
      <c r="AB512" s="97"/>
      <c r="AC512" s="97"/>
      <c r="AD512" s="97"/>
      <c r="AE512" s="97"/>
      <c r="AF512" s="97"/>
      <c r="AG512" s="97"/>
      <c r="AH512" s="97"/>
      <c r="AI512" s="97"/>
      <c r="AJ512" s="97"/>
      <c r="AK512" s="97"/>
      <c r="AL512" s="97"/>
      <c r="AM512" s="97"/>
      <c r="AN512" s="97"/>
      <c r="AO512" s="97"/>
      <c r="AP512" s="97"/>
      <c r="AQ512" s="97"/>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c r="DF512" s="97"/>
      <c r="DG512" s="97"/>
      <c r="DH512" s="97"/>
      <c r="DI512" s="97"/>
      <c r="DJ512" s="97"/>
      <c r="DK512" s="97"/>
      <c r="DL512" s="97"/>
      <c r="DM512" s="97"/>
      <c r="DN512" s="97"/>
      <c r="DO512" s="97"/>
      <c r="DP512" s="97"/>
      <c r="DQ512" s="97"/>
      <c r="DR512" s="97"/>
      <c r="DS512" s="97"/>
      <c r="DT512" s="97"/>
      <c r="DU512" s="97"/>
      <c r="DV512" s="97"/>
      <c r="DW512" s="97"/>
      <c r="DX512" s="97"/>
      <c r="DY512" s="97"/>
      <c r="DZ512" s="97"/>
      <c r="EA512" s="97"/>
      <c r="EB512" s="97"/>
      <c r="EC512" s="97"/>
      <c r="ED512" s="97"/>
      <c r="EE512" s="97"/>
      <c r="EF512" s="97"/>
      <c r="EG512" s="97"/>
      <c r="EH512" s="97"/>
      <c r="EI512" s="97"/>
      <c r="EJ512" s="97"/>
      <c r="EK512" s="97"/>
      <c r="EL512" s="97"/>
      <c r="EM512" s="97"/>
      <c r="EN512" s="97"/>
      <c r="EO512" s="97"/>
      <c r="EP512" s="97"/>
      <c r="EQ512" s="97"/>
      <c r="ER512" s="97"/>
      <c r="ES512" s="97"/>
      <c r="ET512" s="97"/>
    </row>
    <row r="513" spans="1:150" ht="15.75" customHeight="1">
      <c r="A513" s="97"/>
      <c r="B513" s="97"/>
      <c r="C513" s="97"/>
      <c r="D513" s="97"/>
      <c r="E513" s="97"/>
      <c r="F513" s="97"/>
      <c r="G513" s="97"/>
      <c r="H513" s="129"/>
      <c r="I513" s="97"/>
      <c r="J513" s="97"/>
      <c r="K513" s="97"/>
      <c r="L513" s="97"/>
      <c r="M513" s="97"/>
      <c r="N513" s="97"/>
      <c r="O513" s="97"/>
      <c r="P513" s="97"/>
      <c r="Q513" s="97"/>
      <c r="R513" s="97"/>
      <c r="S513" s="97"/>
      <c r="T513" s="97"/>
      <c r="U513" s="97"/>
      <c r="V513" s="97"/>
      <c r="W513" s="97"/>
      <c r="X513" s="129"/>
      <c r="Y513" s="97"/>
      <c r="Z513" s="97"/>
      <c r="AA513" s="97"/>
      <c r="AB513" s="97"/>
      <c r="AC513" s="97"/>
      <c r="AD513" s="97"/>
      <c r="AE513" s="97"/>
      <c r="AF513" s="97"/>
      <c r="AG513" s="97"/>
      <c r="AH513" s="97"/>
      <c r="AI513" s="97"/>
      <c r="AJ513" s="97"/>
      <c r="AK513" s="97"/>
      <c r="AL513" s="97"/>
      <c r="AM513" s="97"/>
      <c r="AN513" s="97"/>
      <c r="AO513" s="97"/>
      <c r="AP513" s="97"/>
      <c r="AQ513" s="97"/>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c r="DF513" s="97"/>
      <c r="DG513" s="97"/>
      <c r="DH513" s="97"/>
      <c r="DI513" s="97"/>
      <c r="DJ513" s="97"/>
      <c r="DK513" s="97"/>
      <c r="DL513" s="97"/>
      <c r="DM513" s="97"/>
      <c r="DN513" s="97"/>
      <c r="DO513" s="97"/>
      <c r="DP513" s="97"/>
      <c r="DQ513" s="97"/>
      <c r="DR513" s="97"/>
      <c r="DS513" s="97"/>
      <c r="DT513" s="97"/>
      <c r="DU513" s="97"/>
      <c r="DV513" s="97"/>
      <c r="DW513" s="97"/>
      <c r="DX513" s="97"/>
      <c r="DY513" s="97"/>
      <c r="DZ513" s="97"/>
      <c r="EA513" s="97"/>
      <c r="EB513" s="97"/>
      <c r="EC513" s="97"/>
      <c r="ED513" s="97"/>
      <c r="EE513" s="97"/>
      <c r="EF513" s="97"/>
      <c r="EG513" s="97"/>
      <c r="EH513" s="97"/>
      <c r="EI513" s="97"/>
      <c r="EJ513" s="97"/>
      <c r="EK513" s="97"/>
      <c r="EL513" s="97"/>
      <c r="EM513" s="97"/>
      <c r="EN513" s="97"/>
      <c r="EO513" s="97"/>
      <c r="EP513" s="97"/>
      <c r="EQ513" s="97"/>
      <c r="ER513" s="97"/>
      <c r="ES513" s="97"/>
      <c r="ET513" s="97"/>
    </row>
    <row r="514" spans="1:150" ht="15.75" customHeight="1">
      <c r="A514" s="97"/>
      <c r="B514" s="97"/>
      <c r="C514" s="97"/>
      <c r="D514" s="97"/>
      <c r="E514" s="97"/>
      <c r="F514" s="97"/>
      <c r="G514" s="97"/>
      <c r="H514" s="129"/>
      <c r="I514" s="97"/>
      <c r="J514" s="97"/>
      <c r="K514" s="97"/>
      <c r="L514" s="97"/>
      <c r="M514" s="97"/>
      <c r="N514" s="97"/>
      <c r="O514" s="97"/>
      <c r="P514" s="97"/>
      <c r="Q514" s="97"/>
      <c r="R514" s="97"/>
      <c r="S514" s="97"/>
      <c r="T514" s="97"/>
      <c r="U514" s="97"/>
      <c r="V514" s="97"/>
      <c r="W514" s="97"/>
      <c r="X514" s="129"/>
      <c r="Y514" s="97"/>
      <c r="Z514" s="97"/>
      <c r="AA514" s="97"/>
      <c r="AB514" s="97"/>
      <c r="AC514" s="97"/>
      <c r="AD514" s="97"/>
      <c r="AE514" s="97"/>
      <c r="AF514" s="97"/>
      <c r="AG514" s="97"/>
      <c r="AH514" s="97"/>
      <c r="AI514" s="97"/>
      <c r="AJ514" s="97"/>
      <c r="AK514" s="97"/>
      <c r="AL514" s="97"/>
      <c r="AM514" s="97"/>
      <c r="AN514" s="97"/>
      <c r="AO514" s="97"/>
      <c r="AP514" s="97"/>
      <c r="AQ514" s="97"/>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c r="DF514" s="97"/>
      <c r="DG514" s="97"/>
      <c r="DH514" s="97"/>
      <c r="DI514" s="97"/>
      <c r="DJ514" s="97"/>
      <c r="DK514" s="97"/>
      <c r="DL514" s="97"/>
      <c r="DM514" s="97"/>
      <c r="DN514" s="97"/>
      <c r="DO514" s="97"/>
      <c r="DP514" s="97"/>
      <c r="DQ514" s="97"/>
      <c r="DR514" s="97"/>
      <c r="DS514" s="97"/>
      <c r="DT514" s="97"/>
      <c r="DU514" s="97"/>
      <c r="DV514" s="97"/>
      <c r="DW514" s="97"/>
      <c r="DX514" s="97"/>
      <c r="DY514" s="97"/>
      <c r="DZ514" s="97"/>
      <c r="EA514" s="97"/>
      <c r="EB514" s="97"/>
      <c r="EC514" s="97"/>
      <c r="ED514" s="97"/>
      <c r="EE514" s="97"/>
      <c r="EF514" s="97"/>
      <c r="EG514" s="97"/>
      <c r="EH514" s="97"/>
      <c r="EI514" s="97"/>
      <c r="EJ514" s="97"/>
      <c r="EK514" s="97"/>
      <c r="EL514" s="97"/>
      <c r="EM514" s="97"/>
      <c r="EN514" s="97"/>
      <c r="EO514" s="97"/>
      <c r="EP514" s="97"/>
      <c r="EQ514" s="97"/>
      <c r="ER514" s="97"/>
      <c r="ES514" s="97"/>
      <c r="ET514" s="97"/>
    </row>
    <row r="515" spans="1:150" ht="15.75" customHeight="1">
      <c r="A515" s="97"/>
      <c r="B515" s="97"/>
      <c r="C515" s="97"/>
      <c r="D515" s="97"/>
      <c r="E515" s="97"/>
      <c r="F515" s="97"/>
      <c r="G515" s="97"/>
      <c r="H515" s="129"/>
      <c r="I515" s="97"/>
      <c r="J515" s="97"/>
      <c r="K515" s="97"/>
      <c r="L515" s="97"/>
      <c r="M515" s="97"/>
      <c r="N515" s="97"/>
      <c r="O515" s="97"/>
      <c r="P515" s="97"/>
      <c r="Q515" s="97"/>
      <c r="R515" s="97"/>
      <c r="S515" s="97"/>
      <c r="T515" s="97"/>
      <c r="U515" s="97"/>
      <c r="V515" s="97"/>
      <c r="W515" s="97"/>
      <c r="X515" s="129"/>
      <c r="Y515" s="97"/>
      <c r="Z515" s="97"/>
      <c r="AA515" s="97"/>
      <c r="AB515" s="97"/>
      <c r="AC515" s="97"/>
      <c r="AD515" s="97"/>
      <c r="AE515" s="97"/>
      <c r="AF515" s="97"/>
      <c r="AG515" s="97"/>
      <c r="AH515" s="97"/>
      <c r="AI515" s="97"/>
      <c r="AJ515" s="97"/>
      <c r="AK515" s="97"/>
      <c r="AL515" s="97"/>
      <c r="AM515" s="97"/>
      <c r="AN515" s="97"/>
      <c r="AO515" s="97"/>
      <c r="AP515" s="97"/>
      <c r="AQ515" s="97"/>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c r="DF515" s="97"/>
      <c r="DG515" s="97"/>
      <c r="DH515" s="97"/>
      <c r="DI515" s="97"/>
      <c r="DJ515" s="97"/>
      <c r="DK515" s="97"/>
      <c r="DL515" s="97"/>
      <c r="DM515" s="97"/>
      <c r="DN515" s="97"/>
      <c r="DO515" s="97"/>
      <c r="DP515" s="97"/>
      <c r="DQ515" s="97"/>
      <c r="DR515" s="97"/>
      <c r="DS515" s="97"/>
      <c r="DT515" s="97"/>
      <c r="DU515" s="97"/>
      <c r="DV515" s="97"/>
      <c r="DW515" s="97"/>
      <c r="DX515" s="97"/>
      <c r="DY515" s="97"/>
      <c r="DZ515" s="97"/>
      <c r="EA515" s="97"/>
      <c r="EB515" s="97"/>
      <c r="EC515" s="97"/>
      <c r="ED515" s="97"/>
      <c r="EE515" s="97"/>
      <c r="EF515" s="97"/>
      <c r="EG515" s="97"/>
      <c r="EH515" s="97"/>
      <c r="EI515" s="97"/>
      <c r="EJ515" s="97"/>
      <c r="EK515" s="97"/>
      <c r="EL515" s="97"/>
      <c r="EM515" s="97"/>
      <c r="EN515" s="97"/>
      <c r="EO515" s="97"/>
      <c r="EP515" s="97"/>
      <c r="EQ515" s="97"/>
      <c r="ER515" s="97"/>
      <c r="ES515" s="97"/>
      <c r="ET515" s="97"/>
    </row>
    <row r="516" spans="1:150" ht="15.75" customHeight="1">
      <c r="A516" s="97"/>
      <c r="B516" s="97"/>
      <c r="C516" s="97"/>
      <c r="D516" s="97"/>
      <c r="E516" s="97"/>
      <c r="F516" s="97"/>
      <c r="G516" s="97"/>
      <c r="H516" s="129"/>
      <c r="I516" s="97"/>
      <c r="J516" s="97"/>
      <c r="K516" s="97"/>
      <c r="L516" s="97"/>
      <c r="M516" s="97"/>
      <c r="N516" s="97"/>
      <c r="O516" s="97"/>
      <c r="P516" s="97"/>
      <c r="Q516" s="97"/>
      <c r="R516" s="97"/>
      <c r="S516" s="97"/>
      <c r="T516" s="97"/>
      <c r="U516" s="97"/>
      <c r="V516" s="97"/>
      <c r="W516" s="97"/>
      <c r="X516" s="129"/>
      <c r="Y516" s="97"/>
      <c r="Z516" s="97"/>
      <c r="AA516" s="97"/>
      <c r="AB516" s="97"/>
      <c r="AC516" s="97"/>
      <c r="AD516" s="97"/>
      <c r="AE516" s="97"/>
      <c r="AF516" s="97"/>
      <c r="AG516" s="97"/>
      <c r="AH516" s="97"/>
      <c r="AI516" s="97"/>
      <c r="AJ516" s="97"/>
      <c r="AK516" s="97"/>
      <c r="AL516" s="97"/>
      <c r="AM516" s="97"/>
      <c r="AN516" s="97"/>
      <c r="AO516" s="97"/>
      <c r="AP516" s="97"/>
      <c r="AQ516" s="97"/>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c r="DF516" s="97"/>
      <c r="DG516" s="97"/>
      <c r="DH516" s="97"/>
      <c r="DI516" s="97"/>
      <c r="DJ516" s="97"/>
      <c r="DK516" s="97"/>
      <c r="DL516" s="97"/>
      <c r="DM516" s="97"/>
      <c r="DN516" s="97"/>
      <c r="DO516" s="97"/>
      <c r="DP516" s="97"/>
      <c r="DQ516" s="97"/>
      <c r="DR516" s="97"/>
      <c r="DS516" s="97"/>
      <c r="DT516" s="97"/>
      <c r="DU516" s="97"/>
      <c r="DV516" s="97"/>
      <c r="DW516" s="97"/>
      <c r="DX516" s="97"/>
      <c r="DY516" s="97"/>
      <c r="DZ516" s="97"/>
      <c r="EA516" s="97"/>
      <c r="EB516" s="97"/>
      <c r="EC516" s="97"/>
      <c r="ED516" s="97"/>
      <c r="EE516" s="97"/>
      <c r="EF516" s="97"/>
      <c r="EG516" s="97"/>
      <c r="EH516" s="97"/>
      <c r="EI516" s="97"/>
      <c r="EJ516" s="97"/>
      <c r="EK516" s="97"/>
      <c r="EL516" s="97"/>
      <c r="EM516" s="97"/>
      <c r="EN516" s="97"/>
      <c r="EO516" s="97"/>
      <c r="EP516" s="97"/>
      <c r="EQ516" s="97"/>
      <c r="ER516" s="97"/>
      <c r="ES516" s="97"/>
      <c r="ET516" s="97"/>
    </row>
    <row r="517" spans="1:150" ht="15.75" customHeight="1">
      <c r="A517" s="97"/>
      <c r="B517" s="97"/>
      <c r="C517" s="97"/>
      <c r="D517" s="97"/>
      <c r="E517" s="97"/>
      <c r="F517" s="97"/>
      <c r="G517" s="97"/>
      <c r="H517" s="129"/>
      <c r="I517" s="97"/>
      <c r="J517" s="97"/>
      <c r="K517" s="97"/>
      <c r="L517" s="97"/>
      <c r="M517" s="97"/>
      <c r="N517" s="97"/>
      <c r="O517" s="97"/>
      <c r="P517" s="97"/>
      <c r="Q517" s="97"/>
      <c r="R517" s="97"/>
      <c r="S517" s="97"/>
      <c r="T517" s="97"/>
      <c r="U517" s="97"/>
      <c r="V517" s="97"/>
      <c r="W517" s="97"/>
      <c r="X517" s="129"/>
      <c r="Y517" s="97"/>
      <c r="Z517" s="97"/>
      <c r="AA517" s="97"/>
      <c r="AB517" s="97"/>
      <c r="AC517" s="97"/>
      <c r="AD517" s="97"/>
      <c r="AE517" s="97"/>
      <c r="AF517" s="97"/>
      <c r="AG517" s="97"/>
      <c r="AH517" s="97"/>
      <c r="AI517" s="97"/>
      <c r="AJ517" s="97"/>
      <c r="AK517" s="97"/>
      <c r="AL517" s="97"/>
      <c r="AM517" s="97"/>
      <c r="AN517" s="97"/>
      <c r="AO517" s="97"/>
      <c r="AP517" s="97"/>
      <c r="AQ517" s="97"/>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c r="DF517" s="97"/>
      <c r="DG517" s="97"/>
      <c r="DH517" s="97"/>
      <c r="DI517" s="97"/>
      <c r="DJ517" s="97"/>
      <c r="DK517" s="97"/>
      <c r="DL517" s="97"/>
      <c r="DM517" s="97"/>
      <c r="DN517" s="97"/>
      <c r="DO517" s="97"/>
      <c r="DP517" s="97"/>
      <c r="DQ517" s="97"/>
      <c r="DR517" s="97"/>
      <c r="DS517" s="97"/>
      <c r="DT517" s="97"/>
      <c r="DU517" s="97"/>
      <c r="DV517" s="97"/>
      <c r="DW517" s="97"/>
      <c r="DX517" s="97"/>
      <c r="DY517" s="97"/>
      <c r="DZ517" s="97"/>
      <c r="EA517" s="97"/>
      <c r="EB517" s="97"/>
      <c r="EC517" s="97"/>
      <c r="ED517" s="97"/>
      <c r="EE517" s="97"/>
      <c r="EF517" s="97"/>
      <c r="EG517" s="97"/>
      <c r="EH517" s="97"/>
      <c r="EI517" s="97"/>
      <c r="EJ517" s="97"/>
      <c r="EK517" s="97"/>
      <c r="EL517" s="97"/>
      <c r="EM517" s="97"/>
      <c r="EN517" s="97"/>
      <c r="EO517" s="97"/>
      <c r="EP517" s="97"/>
      <c r="EQ517" s="97"/>
      <c r="ER517" s="97"/>
      <c r="ES517" s="97"/>
      <c r="ET517" s="97"/>
    </row>
    <row r="518" spans="1:150" ht="15.75" customHeight="1">
      <c r="A518" s="97"/>
      <c r="B518" s="97"/>
      <c r="C518" s="97"/>
      <c r="D518" s="97"/>
      <c r="E518" s="97"/>
      <c r="F518" s="97"/>
      <c r="G518" s="97"/>
      <c r="H518" s="129"/>
      <c r="I518" s="97"/>
      <c r="J518" s="97"/>
      <c r="K518" s="97"/>
      <c r="L518" s="97"/>
      <c r="M518" s="97"/>
      <c r="N518" s="97"/>
      <c r="O518" s="97"/>
      <c r="P518" s="97"/>
      <c r="Q518" s="97"/>
      <c r="R518" s="97"/>
      <c r="S518" s="97"/>
      <c r="T518" s="97"/>
      <c r="U518" s="97"/>
      <c r="V518" s="97"/>
      <c r="W518" s="97"/>
      <c r="X518" s="129"/>
      <c r="Y518" s="97"/>
      <c r="Z518" s="97"/>
      <c r="AA518" s="97"/>
      <c r="AB518" s="97"/>
      <c r="AC518" s="97"/>
      <c r="AD518" s="97"/>
      <c r="AE518" s="97"/>
      <c r="AF518" s="97"/>
      <c r="AG518" s="97"/>
      <c r="AH518" s="97"/>
      <c r="AI518" s="97"/>
      <c r="AJ518" s="97"/>
      <c r="AK518" s="97"/>
      <c r="AL518" s="97"/>
      <c r="AM518" s="97"/>
      <c r="AN518" s="97"/>
      <c r="AO518" s="97"/>
      <c r="AP518" s="97"/>
      <c r="AQ518" s="97"/>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c r="DF518" s="97"/>
      <c r="DG518" s="97"/>
      <c r="DH518" s="97"/>
      <c r="DI518" s="97"/>
      <c r="DJ518" s="97"/>
      <c r="DK518" s="97"/>
      <c r="DL518" s="97"/>
      <c r="DM518" s="97"/>
      <c r="DN518" s="97"/>
      <c r="DO518" s="97"/>
      <c r="DP518" s="97"/>
      <c r="DQ518" s="97"/>
      <c r="DR518" s="97"/>
      <c r="DS518" s="97"/>
      <c r="DT518" s="97"/>
      <c r="DU518" s="97"/>
      <c r="DV518" s="97"/>
      <c r="DW518" s="97"/>
      <c r="DX518" s="97"/>
      <c r="DY518" s="97"/>
      <c r="DZ518" s="97"/>
      <c r="EA518" s="97"/>
      <c r="EB518" s="97"/>
      <c r="EC518" s="97"/>
      <c r="ED518" s="97"/>
      <c r="EE518" s="97"/>
      <c r="EF518" s="97"/>
      <c r="EG518" s="97"/>
      <c r="EH518" s="97"/>
      <c r="EI518" s="97"/>
      <c r="EJ518" s="97"/>
      <c r="EK518" s="97"/>
      <c r="EL518" s="97"/>
      <c r="EM518" s="97"/>
      <c r="EN518" s="97"/>
      <c r="EO518" s="97"/>
      <c r="EP518" s="97"/>
      <c r="EQ518" s="97"/>
      <c r="ER518" s="97"/>
      <c r="ES518" s="97"/>
      <c r="ET518" s="97"/>
    </row>
    <row r="519" spans="1:150" ht="15.75" customHeight="1">
      <c r="A519" s="97"/>
      <c r="B519" s="97"/>
      <c r="C519" s="97"/>
      <c r="D519" s="97"/>
      <c r="E519" s="97"/>
      <c r="F519" s="97"/>
      <c r="G519" s="97"/>
      <c r="H519" s="129"/>
      <c r="I519" s="97"/>
      <c r="J519" s="97"/>
      <c r="K519" s="97"/>
      <c r="L519" s="97"/>
      <c r="M519" s="97"/>
      <c r="N519" s="97"/>
      <c r="O519" s="97"/>
      <c r="P519" s="97"/>
      <c r="Q519" s="97"/>
      <c r="R519" s="97"/>
      <c r="S519" s="97"/>
      <c r="T519" s="97"/>
      <c r="U519" s="97"/>
      <c r="V519" s="97"/>
      <c r="W519" s="97"/>
      <c r="X519" s="129"/>
      <c r="Y519" s="97"/>
      <c r="Z519" s="97"/>
      <c r="AA519" s="97"/>
      <c r="AB519" s="97"/>
      <c r="AC519" s="97"/>
      <c r="AD519" s="97"/>
      <c r="AE519" s="97"/>
      <c r="AF519" s="97"/>
      <c r="AG519" s="97"/>
      <c r="AH519" s="97"/>
      <c r="AI519" s="97"/>
      <c r="AJ519" s="97"/>
      <c r="AK519" s="97"/>
      <c r="AL519" s="97"/>
      <c r="AM519" s="97"/>
      <c r="AN519" s="97"/>
      <c r="AO519" s="97"/>
      <c r="AP519" s="97"/>
      <c r="AQ519" s="97"/>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c r="DF519" s="97"/>
      <c r="DG519" s="97"/>
      <c r="DH519" s="97"/>
      <c r="DI519" s="97"/>
      <c r="DJ519" s="97"/>
      <c r="DK519" s="97"/>
      <c r="DL519" s="97"/>
      <c r="DM519" s="97"/>
      <c r="DN519" s="97"/>
      <c r="DO519" s="97"/>
      <c r="DP519" s="97"/>
      <c r="DQ519" s="97"/>
      <c r="DR519" s="97"/>
      <c r="DS519" s="97"/>
      <c r="DT519" s="97"/>
      <c r="DU519" s="97"/>
      <c r="DV519" s="97"/>
      <c r="DW519" s="97"/>
      <c r="DX519" s="97"/>
      <c r="DY519" s="97"/>
      <c r="DZ519" s="97"/>
      <c r="EA519" s="97"/>
      <c r="EB519" s="97"/>
      <c r="EC519" s="97"/>
      <c r="ED519" s="97"/>
      <c r="EE519" s="97"/>
      <c r="EF519" s="97"/>
      <c r="EG519" s="97"/>
      <c r="EH519" s="97"/>
      <c r="EI519" s="97"/>
      <c r="EJ519" s="97"/>
      <c r="EK519" s="97"/>
      <c r="EL519" s="97"/>
      <c r="EM519" s="97"/>
      <c r="EN519" s="97"/>
      <c r="EO519" s="97"/>
      <c r="EP519" s="97"/>
      <c r="EQ519" s="97"/>
      <c r="ER519" s="97"/>
      <c r="ES519" s="97"/>
      <c r="ET519" s="97"/>
    </row>
    <row r="520" spans="1:150" ht="15.75" customHeight="1">
      <c r="A520" s="97"/>
      <c r="B520" s="97"/>
      <c r="C520" s="97"/>
      <c r="D520" s="97"/>
      <c r="E520" s="97"/>
      <c r="F520" s="97"/>
      <c r="G520" s="97"/>
      <c r="H520" s="129"/>
      <c r="I520" s="97"/>
      <c r="J520" s="97"/>
      <c r="K520" s="97"/>
      <c r="L520" s="97"/>
      <c r="M520" s="97"/>
      <c r="N520" s="97"/>
      <c r="O520" s="97"/>
      <c r="P520" s="97"/>
      <c r="Q520" s="97"/>
      <c r="R520" s="97"/>
      <c r="S520" s="97"/>
      <c r="T520" s="97"/>
      <c r="U520" s="97"/>
      <c r="V520" s="97"/>
      <c r="W520" s="97"/>
      <c r="X520" s="129"/>
      <c r="Y520" s="97"/>
      <c r="Z520" s="97"/>
      <c r="AA520" s="97"/>
      <c r="AB520" s="97"/>
      <c r="AC520" s="97"/>
      <c r="AD520" s="97"/>
      <c r="AE520" s="97"/>
      <c r="AF520" s="97"/>
      <c r="AG520" s="97"/>
      <c r="AH520" s="97"/>
      <c r="AI520" s="97"/>
      <c r="AJ520" s="97"/>
      <c r="AK520" s="97"/>
      <c r="AL520" s="97"/>
      <c r="AM520" s="97"/>
      <c r="AN520" s="97"/>
      <c r="AO520" s="97"/>
      <c r="AP520" s="97"/>
      <c r="AQ520" s="97"/>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c r="DF520" s="97"/>
      <c r="DG520" s="97"/>
      <c r="DH520" s="97"/>
      <c r="DI520" s="97"/>
      <c r="DJ520" s="97"/>
      <c r="DK520" s="97"/>
      <c r="DL520" s="97"/>
      <c r="DM520" s="97"/>
      <c r="DN520" s="97"/>
      <c r="DO520" s="97"/>
      <c r="DP520" s="97"/>
      <c r="DQ520" s="97"/>
      <c r="DR520" s="97"/>
      <c r="DS520" s="97"/>
      <c r="DT520" s="97"/>
      <c r="DU520" s="97"/>
      <c r="DV520" s="97"/>
      <c r="DW520" s="97"/>
      <c r="DX520" s="97"/>
      <c r="DY520" s="97"/>
      <c r="DZ520" s="97"/>
      <c r="EA520" s="97"/>
      <c r="EB520" s="97"/>
      <c r="EC520" s="97"/>
      <c r="ED520" s="97"/>
      <c r="EE520" s="97"/>
      <c r="EF520" s="97"/>
      <c r="EG520" s="97"/>
      <c r="EH520" s="97"/>
      <c r="EI520" s="97"/>
      <c r="EJ520" s="97"/>
      <c r="EK520" s="97"/>
      <c r="EL520" s="97"/>
      <c r="EM520" s="97"/>
      <c r="EN520" s="97"/>
      <c r="EO520" s="97"/>
      <c r="EP520" s="97"/>
      <c r="EQ520" s="97"/>
      <c r="ER520" s="97"/>
      <c r="ES520" s="97"/>
      <c r="ET520" s="97"/>
    </row>
    <row r="521" spans="1:150" ht="15.75" customHeight="1">
      <c r="A521" s="97"/>
      <c r="B521" s="97"/>
      <c r="C521" s="97"/>
      <c r="D521" s="97"/>
      <c r="E521" s="97"/>
      <c r="F521" s="97"/>
      <c r="G521" s="97"/>
      <c r="H521" s="129"/>
      <c r="I521" s="97"/>
      <c r="J521" s="97"/>
      <c r="K521" s="97"/>
      <c r="L521" s="97"/>
      <c r="M521" s="97"/>
      <c r="N521" s="97"/>
      <c r="O521" s="97"/>
      <c r="P521" s="97"/>
      <c r="Q521" s="97"/>
      <c r="R521" s="97"/>
      <c r="S521" s="97"/>
      <c r="T521" s="97"/>
      <c r="U521" s="97"/>
      <c r="V521" s="97"/>
      <c r="W521" s="97"/>
      <c r="X521" s="129"/>
      <c r="Y521" s="97"/>
      <c r="Z521" s="97"/>
      <c r="AA521" s="97"/>
      <c r="AB521" s="97"/>
      <c r="AC521" s="97"/>
      <c r="AD521" s="97"/>
      <c r="AE521" s="97"/>
      <c r="AF521" s="97"/>
      <c r="AG521" s="97"/>
      <c r="AH521" s="97"/>
      <c r="AI521" s="97"/>
      <c r="AJ521" s="97"/>
      <c r="AK521" s="97"/>
      <c r="AL521" s="97"/>
      <c r="AM521" s="97"/>
      <c r="AN521" s="97"/>
      <c r="AO521" s="97"/>
      <c r="AP521" s="97"/>
      <c r="AQ521" s="97"/>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c r="DF521" s="97"/>
      <c r="DG521" s="97"/>
      <c r="DH521" s="97"/>
      <c r="DI521" s="97"/>
      <c r="DJ521" s="97"/>
      <c r="DK521" s="97"/>
      <c r="DL521" s="97"/>
      <c r="DM521" s="97"/>
      <c r="DN521" s="97"/>
      <c r="DO521" s="97"/>
      <c r="DP521" s="97"/>
      <c r="DQ521" s="97"/>
      <c r="DR521" s="97"/>
      <c r="DS521" s="97"/>
      <c r="DT521" s="97"/>
      <c r="DU521" s="97"/>
      <c r="DV521" s="97"/>
      <c r="DW521" s="97"/>
      <c r="DX521" s="97"/>
      <c r="DY521" s="97"/>
      <c r="DZ521" s="97"/>
      <c r="EA521" s="97"/>
      <c r="EB521" s="97"/>
      <c r="EC521" s="97"/>
      <c r="ED521" s="97"/>
      <c r="EE521" s="97"/>
      <c r="EF521" s="97"/>
      <c r="EG521" s="97"/>
      <c r="EH521" s="97"/>
      <c r="EI521" s="97"/>
      <c r="EJ521" s="97"/>
      <c r="EK521" s="97"/>
      <c r="EL521" s="97"/>
      <c r="EM521" s="97"/>
      <c r="EN521" s="97"/>
      <c r="EO521" s="97"/>
      <c r="EP521" s="97"/>
      <c r="EQ521" s="97"/>
      <c r="ER521" s="97"/>
      <c r="ES521" s="97"/>
      <c r="ET521" s="97"/>
    </row>
    <row r="522" spans="1:150" ht="15.75" customHeight="1">
      <c r="A522" s="97"/>
      <c r="B522" s="97"/>
      <c r="C522" s="97"/>
      <c r="D522" s="97"/>
      <c r="E522" s="97"/>
      <c r="F522" s="97"/>
      <c r="G522" s="97"/>
      <c r="H522" s="129"/>
      <c r="I522" s="97"/>
      <c r="J522" s="97"/>
      <c r="K522" s="97"/>
      <c r="L522" s="97"/>
      <c r="M522" s="97"/>
      <c r="N522" s="97"/>
      <c r="O522" s="97"/>
      <c r="P522" s="97"/>
      <c r="Q522" s="97"/>
      <c r="R522" s="97"/>
      <c r="S522" s="97"/>
      <c r="T522" s="97"/>
      <c r="U522" s="97"/>
      <c r="V522" s="97"/>
      <c r="W522" s="97"/>
      <c r="X522" s="129"/>
      <c r="Y522" s="97"/>
      <c r="Z522" s="97"/>
      <c r="AA522" s="97"/>
      <c r="AB522" s="97"/>
      <c r="AC522" s="97"/>
      <c r="AD522" s="97"/>
      <c r="AE522" s="97"/>
      <c r="AF522" s="97"/>
      <c r="AG522" s="97"/>
      <c r="AH522" s="97"/>
      <c r="AI522" s="97"/>
      <c r="AJ522" s="97"/>
      <c r="AK522" s="97"/>
      <c r="AL522" s="97"/>
      <c r="AM522" s="97"/>
      <c r="AN522" s="97"/>
      <c r="AO522" s="97"/>
      <c r="AP522" s="97"/>
      <c r="AQ522" s="97"/>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c r="DF522" s="97"/>
      <c r="DG522" s="97"/>
      <c r="DH522" s="97"/>
      <c r="DI522" s="97"/>
      <c r="DJ522" s="97"/>
      <c r="DK522" s="97"/>
      <c r="DL522" s="97"/>
      <c r="DM522" s="97"/>
      <c r="DN522" s="97"/>
      <c r="DO522" s="97"/>
      <c r="DP522" s="97"/>
      <c r="DQ522" s="97"/>
      <c r="DR522" s="97"/>
      <c r="DS522" s="97"/>
      <c r="DT522" s="97"/>
      <c r="DU522" s="97"/>
      <c r="DV522" s="97"/>
      <c r="DW522" s="97"/>
      <c r="DX522" s="97"/>
      <c r="DY522" s="97"/>
      <c r="DZ522" s="97"/>
      <c r="EA522" s="97"/>
      <c r="EB522" s="97"/>
      <c r="EC522" s="97"/>
      <c r="ED522" s="97"/>
      <c r="EE522" s="97"/>
      <c r="EF522" s="97"/>
      <c r="EG522" s="97"/>
      <c r="EH522" s="97"/>
      <c r="EI522" s="97"/>
      <c r="EJ522" s="97"/>
      <c r="EK522" s="97"/>
      <c r="EL522" s="97"/>
      <c r="EM522" s="97"/>
      <c r="EN522" s="97"/>
      <c r="EO522" s="97"/>
      <c r="EP522" s="97"/>
      <c r="EQ522" s="97"/>
      <c r="ER522" s="97"/>
      <c r="ES522" s="97"/>
      <c r="ET522" s="97"/>
    </row>
    <row r="523" spans="1:150" ht="15.75" customHeight="1">
      <c r="A523" s="97"/>
      <c r="B523" s="97"/>
      <c r="C523" s="97"/>
      <c r="D523" s="97"/>
      <c r="E523" s="97"/>
      <c r="F523" s="97"/>
      <c r="G523" s="97"/>
      <c r="H523" s="129"/>
      <c r="I523" s="97"/>
      <c r="J523" s="97"/>
      <c r="K523" s="97"/>
      <c r="L523" s="97"/>
      <c r="M523" s="97"/>
      <c r="N523" s="97"/>
      <c r="O523" s="97"/>
      <c r="P523" s="97"/>
      <c r="Q523" s="97"/>
      <c r="R523" s="97"/>
      <c r="S523" s="97"/>
      <c r="T523" s="97"/>
      <c r="U523" s="97"/>
      <c r="V523" s="97"/>
      <c r="W523" s="97"/>
      <c r="X523" s="129"/>
      <c r="Y523" s="97"/>
      <c r="Z523" s="97"/>
      <c r="AA523" s="97"/>
      <c r="AB523" s="97"/>
      <c r="AC523" s="97"/>
      <c r="AD523" s="97"/>
      <c r="AE523" s="97"/>
      <c r="AF523" s="97"/>
      <c r="AG523" s="97"/>
      <c r="AH523" s="97"/>
      <c r="AI523" s="97"/>
      <c r="AJ523" s="97"/>
      <c r="AK523" s="97"/>
      <c r="AL523" s="97"/>
      <c r="AM523" s="97"/>
      <c r="AN523" s="97"/>
      <c r="AO523" s="97"/>
      <c r="AP523" s="97"/>
      <c r="AQ523" s="97"/>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c r="DF523" s="97"/>
      <c r="DG523" s="97"/>
      <c r="DH523" s="97"/>
      <c r="DI523" s="97"/>
      <c r="DJ523" s="97"/>
      <c r="DK523" s="97"/>
      <c r="DL523" s="97"/>
      <c r="DM523" s="97"/>
      <c r="DN523" s="97"/>
      <c r="DO523" s="97"/>
      <c r="DP523" s="97"/>
      <c r="DQ523" s="97"/>
      <c r="DR523" s="97"/>
      <c r="DS523" s="97"/>
      <c r="DT523" s="97"/>
      <c r="DU523" s="97"/>
      <c r="DV523" s="97"/>
      <c r="DW523" s="97"/>
      <c r="DX523" s="97"/>
      <c r="DY523" s="97"/>
      <c r="DZ523" s="97"/>
      <c r="EA523" s="97"/>
      <c r="EB523" s="97"/>
      <c r="EC523" s="97"/>
      <c r="ED523" s="97"/>
      <c r="EE523" s="97"/>
      <c r="EF523" s="97"/>
      <c r="EG523" s="97"/>
      <c r="EH523" s="97"/>
      <c r="EI523" s="97"/>
      <c r="EJ523" s="97"/>
      <c r="EK523" s="97"/>
      <c r="EL523" s="97"/>
      <c r="EM523" s="97"/>
      <c r="EN523" s="97"/>
      <c r="EO523" s="97"/>
      <c r="EP523" s="97"/>
      <c r="EQ523" s="97"/>
      <c r="ER523" s="97"/>
      <c r="ES523" s="97"/>
      <c r="ET523" s="97"/>
    </row>
    <row r="524" spans="1:150" ht="15.75" customHeight="1">
      <c r="A524" s="97"/>
      <c r="B524" s="97"/>
      <c r="C524" s="97"/>
      <c r="D524" s="97"/>
      <c r="E524" s="97"/>
      <c r="F524" s="97"/>
      <c r="G524" s="97"/>
      <c r="H524" s="129"/>
      <c r="I524" s="97"/>
      <c r="J524" s="97"/>
      <c r="K524" s="97"/>
      <c r="L524" s="97"/>
      <c r="M524" s="97"/>
      <c r="N524" s="97"/>
      <c r="O524" s="97"/>
      <c r="P524" s="97"/>
      <c r="Q524" s="97"/>
      <c r="R524" s="97"/>
      <c r="S524" s="97"/>
      <c r="T524" s="97"/>
      <c r="U524" s="97"/>
      <c r="V524" s="97"/>
      <c r="W524" s="97"/>
      <c r="X524" s="129"/>
      <c r="Y524" s="97"/>
      <c r="Z524" s="97"/>
      <c r="AA524" s="97"/>
      <c r="AB524" s="97"/>
      <c r="AC524" s="97"/>
      <c r="AD524" s="97"/>
      <c r="AE524" s="97"/>
      <c r="AF524" s="97"/>
      <c r="AG524" s="97"/>
      <c r="AH524" s="97"/>
      <c r="AI524" s="97"/>
      <c r="AJ524" s="97"/>
      <c r="AK524" s="97"/>
      <c r="AL524" s="97"/>
      <c r="AM524" s="97"/>
      <c r="AN524" s="97"/>
      <c r="AO524" s="97"/>
      <c r="AP524" s="97"/>
      <c r="AQ524" s="97"/>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c r="DF524" s="97"/>
      <c r="DG524" s="97"/>
      <c r="DH524" s="97"/>
      <c r="DI524" s="97"/>
      <c r="DJ524" s="97"/>
      <c r="DK524" s="97"/>
      <c r="DL524" s="97"/>
      <c r="DM524" s="97"/>
      <c r="DN524" s="97"/>
      <c r="DO524" s="97"/>
      <c r="DP524" s="97"/>
      <c r="DQ524" s="97"/>
      <c r="DR524" s="97"/>
      <c r="DS524" s="97"/>
      <c r="DT524" s="97"/>
      <c r="DU524" s="97"/>
      <c r="DV524" s="97"/>
      <c r="DW524" s="97"/>
      <c r="DX524" s="97"/>
      <c r="DY524" s="97"/>
      <c r="DZ524" s="97"/>
      <c r="EA524" s="97"/>
      <c r="EB524" s="97"/>
      <c r="EC524" s="97"/>
      <c r="ED524" s="97"/>
      <c r="EE524" s="97"/>
      <c r="EF524" s="97"/>
      <c r="EG524" s="97"/>
      <c r="EH524" s="97"/>
      <c r="EI524" s="97"/>
      <c r="EJ524" s="97"/>
      <c r="EK524" s="97"/>
      <c r="EL524" s="97"/>
      <c r="EM524" s="97"/>
      <c r="EN524" s="97"/>
      <c r="EO524" s="97"/>
      <c r="EP524" s="97"/>
      <c r="EQ524" s="97"/>
      <c r="ER524" s="97"/>
      <c r="ES524" s="97"/>
      <c r="ET524" s="97"/>
    </row>
    <row r="525" spans="1:150" ht="15.75" customHeight="1">
      <c r="A525" s="97"/>
      <c r="B525" s="97"/>
      <c r="C525" s="97"/>
      <c r="D525" s="97"/>
      <c r="E525" s="97"/>
      <c r="F525" s="97"/>
      <c r="G525" s="97"/>
      <c r="H525" s="129"/>
      <c r="I525" s="97"/>
      <c r="J525" s="97"/>
      <c r="K525" s="97"/>
      <c r="L525" s="97"/>
      <c r="M525" s="97"/>
      <c r="N525" s="97"/>
      <c r="O525" s="97"/>
      <c r="P525" s="97"/>
      <c r="Q525" s="97"/>
      <c r="R525" s="97"/>
      <c r="S525" s="97"/>
      <c r="T525" s="97"/>
      <c r="U525" s="97"/>
      <c r="V525" s="97"/>
      <c r="W525" s="97"/>
      <c r="X525" s="129"/>
      <c r="Y525" s="97"/>
      <c r="Z525" s="97"/>
      <c r="AA525" s="97"/>
      <c r="AB525" s="97"/>
      <c r="AC525" s="97"/>
      <c r="AD525" s="97"/>
      <c r="AE525" s="97"/>
      <c r="AF525" s="97"/>
      <c r="AG525" s="97"/>
      <c r="AH525" s="97"/>
      <c r="AI525" s="97"/>
      <c r="AJ525" s="97"/>
      <c r="AK525" s="97"/>
      <c r="AL525" s="97"/>
      <c r="AM525" s="97"/>
      <c r="AN525" s="97"/>
      <c r="AO525" s="97"/>
      <c r="AP525" s="97"/>
      <c r="AQ525" s="97"/>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c r="DF525" s="97"/>
      <c r="DG525" s="97"/>
      <c r="DH525" s="97"/>
      <c r="DI525" s="97"/>
      <c r="DJ525" s="97"/>
      <c r="DK525" s="97"/>
      <c r="DL525" s="97"/>
      <c r="DM525" s="97"/>
      <c r="DN525" s="97"/>
      <c r="DO525" s="97"/>
      <c r="DP525" s="97"/>
      <c r="DQ525" s="97"/>
      <c r="DR525" s="97"/>
      <c r="DS525" s="97"/>
      <c r="DT525" s="97"/>
      <c r="DU525" s="97"/>
      <c r="DV525" s="97"/>
      <c r="DW525" s="97"/>
      <c r="DX525" s="97"/>
      <c r="DY525" s="97"/>
      <c r="DZ525" s="97"/>
      <c r="EA525" s="97"/>
      <c r="EB525" s="97"/>
      <c r="EC525" s="97"/>
      <c r="ED525" s="97"/>
      <c r="EE525" s="97"/>
      <c r="EF525" s="97"/>
      <c r="EG525" s="97"/>
      <c r="EH525" s="97"/>
      <c r="EI525" s="97"/>
      <c r="EJ525" s="97"/>
      <c r="EK525" s="97"/>
      <c r="EL525" s="97"/>
      <c r="EM525" s="97"/>
      <c r="EN525" s="97"/>
      <c r="EO525" s="97"/>
      <c r="EP525" s="97"/>
      <c r="EQ525" s="97"/>
      <c r="ER525" s="97"/>
      <c r="ES525" s="97"/>
      <c r="ET525" s="97"/>
    </row>
    <row r="526" spans="1:150" ht="15.75" customHeight="1">
      <c r="A526" s="97"/>
      <c r="B526" s="97"/>
      <c r="C526" s="97"/>
      <c r="D526" s="97"/>
      <c r="E526" s="97"/>
      <c r="F526" s="97"/>
      <c r="G526" s="97"/>
      <c r="H526" s="129"/>
      <c r="I526" s="97"/>
      <c r="J526" s="97"/>
      <c r="K526" s="97"/>
      <c r="L526" s="97"/>
      <c r="M526" s="97"/>
      <c r="N526" s="97"/>
      <c r="O526" s="97"/>
      <c r="P526" s="97"/>
      <c r="Q526" s="97"/>
      <c r="R526" s="97"/>
      <c r="S526" s="97"/>
      <c r="T526" s="97"/>
      <c r="U526" s="97"/>
      <c r="V526" s="97"/>
      <c r="W526" s="97"/>
      <c r="X526" s="129"/>
      <c r="Y526" s="97"/>
      <c r="Z526" s="97"/>
      <c r="AA526" s="97"/>
      <c r="AB526" s="97"/>
      <c r="AC526" s="97"/>
      <c r="AD526" s="97"/>
      <c r="AE526" s="97"/>
      <c r="AF526" s="97"/>
      <c r="AG526" s="97"/>
      <c r="AH526" s="97"/>
      <c r="AI526" s="97"/>
      <c r="AJ526" s="97"/>
      <c r="AK526" s="97"/>
      <c r="AL526" s="97"/>
      <c r="AM526" s="97"/>
      <c r="AN526" s="97"/>
      <c r="AO526" s="97"/>
      <c r="AP526" s="97"/>
      <c r="AQ526" s="97"/>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c r="DF526" s="97"/>
      <c r="DG526" s="97"/>
      <c r="DH526" s="97"/>
      <c r="DI526" s="97"/>
      <c r="DJ526" s="97"/>
      <c r="DK526" s="97"/>
      <c r="DL526" s="97"/>
      <c r="DM526" s="97"/>
      <c r="DN526" s="97"/>
      <c r="DO526" s="97"/>
      <c r="DP526" s="97"/>
      <c r="DQ526" s="97"/>
      <c r="DR526" s="97"/>
      <c r="DS526" s="97"/>
      <c r="DT526" s="97"/>
      <c r="DU526" s="97"/>
      <c r="DV526" s="97"/>
      <c r="DW526" s="97"/>
      <c r="DX526" s="97"/>
      <c r="DY526" s="97"/>
      <c r="DZ526" s="97"/>
      <c r="EA526" s="97"/>
      <c r="EB526" s="97"/>
      <c r="EC526" s="97"/>
      <c r="ED526" s="97"/>
      <c r="EE526" s="97"/>
      <c r="EF526" s="97"/>
      <c r="EG526" s="97"/>
      <c r="EH526" s="97"/>
      <c r="EI526" s="97"/>
      <c r="EJ526" s="97"/>
      <c r="EK526" s="97"/>
      <c r="EL526" s="97"/>
      <c r="EM526" s="97"/>
      <c r="EN526" s="97"/>
      <c r="EO526" s="97"/>
      <c r="EP526" s="97"/>
      <c r="EQ526" s="97"/>
      <c r="ER526" s="97"/>
      <c r="ES526" s="97"/>
      <c r="ET526" s="97"/>
    </row>
    <row r="527" spans="1:150" ht="15.75" customHeight="1">
      <c r="A527" s="97"/>
      <c r="B527" s="97"/>
      <c r="C527" s="97"/>
      <c r="D527" s="97"/>
      <c r="E527" s="97"/>
      <c r="F527" s="97"/>
      <c r="G527" s="97"/>
      <c r="H527" s="129"/>
      <c r="I527" s="97"/>
      <c r="J527" s="97"/>
      <c r="K527" s="97"/>
      <c r="L527" s="97"/>
      <c r="M527" s="97"/>
      <c r="N527" s="97"/>
      <c r="O527" s="97"/>
      <c r="P527" s="97"/>
      <c r="Q527" s="97"/>
      <c r="R527" s="97"/>
      <c r="S527" s="97"/>
      <c r="T527" s="97"/>
      <c r="U527" s="97"/>
      <c r="V527" s="97"/>
      <c r="W527" s="97"/>
      <c r="X527" s="129"/>
      <c r="Y527" s="97"/>
      <c r="Z527" s="97"/>
      <c r="AA527" s="97"/>
      <c r="AB527" s="97"/>
      <c r="AC527" s="97"/>
      <c r="AD527" s="97"/>
      <c r="AE527" s="97"/>
      <c r="AF527" s="97"/>
      <c r="AG527" s="97"/>
      <c r="AH527" s="97"/>
      <c r="AI527" s="97"/>
      <c r="AJ527" s="97"/>
      <c r="AK527" s="97"/>
      <c r="AL527" s="97"/>
      <c r="AM527" s="97"/>
      <c r="AN527" s="97"/>
      <c r="AO527" s="97"/>
      <c r="AP527" s="97"/>
      <c r="AQ527" s="97"/>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c r="DF527" s="97"/>
      <c r="DG527" s="97"/>
      <c r="DH527" s="97"/>
      <c r="DI527" s="97"/>
      <c r="DJ527" s="97"/>
      <c r="DK527" s="97"/>
      <c r="DL527" s="97"/>
      <c r="DM527" s="97"/>
      <c r="DN527" s="97"/>
      <c r="DO527" s="97"/>
      <c r="DP527" s="97"/>
      <c r="DQ527" s="97"/>
      <c r="DR527" s="97"/>
      <c r="DS527" s="97"/>
      <c r="DT527" s="97"/>
      <c r="DU527" s="97"/>
      <c r="DV527" s="97"/>
      <c r="DW527" s="97"/>
      <c r="DX527" s="97"/>
      <c r="DY527" s="97"/>
      <c r="DZ527" s="97"/>
      <c r="EA527" s="97"/>
      <c r="EB527" s="97"/>
      <c r="EC527" s="97"/>
      <c r="ED527" s="97"/>
      <c r="EE527" s="97"/>
      <c r="EF527" s="97"/>
      <c r="EG527" s="97"/>
      <c r="EH527" s="97"/>
      <c r="EI527" s="97"/>
      <c r="EJ527" s="97"/>
      <c r="EK527" s="97"/>
      <c r="EL527" s="97"/>
      <c r="EM527" s="97"/>
      <c r="EN527" s="97"/>
      <c r="EO527" s="97"/>
      <c r="EP527" s="97"/>
      <c r="EQ527" s="97"/>
      <c r="ER527" s="97"/>
      <c r="ES527" s="97"/>
      <c r="ET527" s="97"/>
    </row>
    <row r="528" spans="1:150" ht="15.75" customHeight="1">
      <c r="A528" s="97"/>
      <c r="B528" s="97"/>
      <c r="C528" s="97"/>
      <c r="D528" s="97"/>
      <c r="E528" s="97"/>
      <c r="F528" s="97"/>
      <c r="G528" s="97"/>
      <c r="H528" s="129"/>
      <c r="I528" s="97"/>
      <c r="J528" s="97"/>
      <c r="K528" s="97"/>
      <c r="L528" s="97"/>
      <c r="M528" s="97"/>
      <c r="N528" s="97"/>
      <c r="O528" s="97"/>
      <c r="P528" s="97"/>
      <c r="Q528" s="97"/>
      <c r="R528" s="97"/>
      <c r="S528" s="97"/>
      <c r="T528" s="97"/>
      <c r="U528" s="97"/>
      <c r="V528" s="97"/>
      <c r="W528" s="97"/>
      <c r="X528" s="129"/>
      <c r="Y528" s="97"/>
      <c r="Z528" s="97"/>
      <c r="AA528" s="97"/>
      <c r="AB528" s="97"/>
      <c r="AC528" s="97"/>
      <c r="AD528" s="97"/>
      <c r="AE528" s="97"/>
      <c r="AF528" s="97"/>
      <c r="AG528" s="97"/>
      <c r="AH528" s="97"/>
      <c r="AI528" s="97"/>
      <c r="AJ528" s="97"/>
      <c r="AK528" s="97"/>
      <c r="AL528" s="97"/>
      <c r="AM528" s="97"/>
      <c r="AN528" s="97"/>
      <c r="AO528" s="97"/>
      <c r="AP528" s="97"/>
      <c r="AQ528" s="97"/>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c r="DF528" s="97"/>
      <c r="DG528" s="97"/>
      <c r="DH528" s="97"/>
      <c r="DI528" s="97"/>
      <c r="DJ528" s="97"/>
      <c r="DK528" s="97"/>
      <c r="DL528" s="97"/>
      <c r="DM528" s="97"/>
      <c r="DN528" s="97"/>
      <c r="DO528" s="97"/>
      <c r="DP528" s="97"/>
      <c r="DQ528" s="97"/>
      <c r="DR528" s="97"/>
      <c r="DS528" s="97"/>
      <c r="DT528" s="97"/>
      <c r="DU528" s="97"/>
      <c r="DV528" s="97"/>
      <c r="DW528" s="97"/>
      <c r="DX528" s="97"/>
      <c r="DY528" s="97"/>
      <c r="DZ528" s="97"/>
      <c r="EA528" s="97"/>
      <c r="EB528" s="97"/>
      <c r="EC528" s="97"/>
      <c r="ED528" s="97"/>
      <c r="EE528" s="97"/>
      <c r="EF528" s="97"/>
      <c r="EG528" s="97"/>
      <c r="EH528" s="97"/>
      <c r="EI528" s="97"/>
      <c r="EJ528" s="97"/>
      <c r="EK528" s="97"/>
      <c r="EL528" s="97"/>
      <c r="EM528" s="97"/>
      <c r="EN528" s="97"/>
      <c r="EO528" s="97"/>
      <c r="EP528" s="97"/>
      <c r="EQ528" s="97"/>
      <c r="ER528" s="97"/>
      <c r="ES528" s="97"/>
      <c r="ET528" s="97"/>
    </row>
    <row r="529" spans="1:150" ht="15.75" customHeight="1">
      <c r="A529" s="97"/>
      <c r="B529" s="97"/>
      <c r="C529" s="97"/>
      <c r="D529" s="97"/>
      <c r="E529" s="97"/>
      <c r="F529" s="97"/>
      <c r="G529" s="97"/>
      <c r="H529" s="129"/>
      <c r="I529" s="97"/>
      <c r="J529" s="97"/>
      <c r="K529" s="97"/>
      <c r="L529" s="97"/>
      <c r="M529" s="97"/>
      <c r="N529" s="97"/>
      <c r="O529" s="97"/>
      <c r="P529" s="97"/>
      <c r="Q529" s="97"/>
      <c r="R529" s="97"/>
      <c r="S529" s="97"/>
      <c r="T529" s="97"/>
      <c r="U529" s="97"/>
      <c r="V529" s="97"/>
      <c r="W529" s="97"/>
      <c r="X529" s="129"/>
      <c r="Y529" s="97"/>
      <c r="Z529" s="97"/>
      <c r="AA529" s="97"/>
      <c r="AB529" s="97"/>
      <c r="AC529" s="97"/>
      <c r="AD529" s="97"/>
      <c r="AE529" s="97"/>
      <c r="AF529" s="97"/>
      <c r="AG529" s="97"/>
      <c r="AH529" s="97"/>
      <c r="AI529" s="97"/>
      <c r="AJ529" s="97"/>
      <c r="AK529" s="97"/>
      <c r="AL529" s="97"/>
      <c r="AM529" s="97"/>
      <c r="AN529" s="97"/>
      <c r="AO529" s="97"/>
      <c r="AP529" s="97"/>
      <c r="AQ529" s="97"/>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c r="DF529" s="97"/>
      <c r="DG529" s="97"/>
      <c r="DH529" s="97"/>
      <c r="DI529" s="97"/>
      <c r="DJ529" s="97"/>
      <c r="DK529" s="97"/>
      <c r="DL529" s="97"/>
      <c r="DM529" s="97"/>
      <c r="DN529" s="97"/>
      <c r="DO529" s="97"/>
      <c r="DP529" s="97"/>
      <c r="DQ529" s="97"/>
      <c r="DR529" s="97"/>
      <c r="DS529" s="97"/>
      <c r="DT529" s="97"/>
      <c r="DU529" s="97"/>
      <c r="DV529" s="97"/>
      <c r="DW529" s="97"/>
      <c r="DX529" s="97"/>
      <c r="DY529" s="97"/>
      <c r="DZ529" s="97"/>
      <c r="EA529" s="97"/>
      <c r="EB529" s="97"/>
      <c r="EC529" s="97"/>
      <c r="ED529" s="97"/>
      <c r="EE529" s="97"/>
      <c r="EF529" s="97"/>
      <c r="EG529" s="97"/>
      <c r="EH529" s="97"/>
      <c r="EI529" s="97"/>
      <c r="EJ529" s="97"/>
      <c r="EK529" s="97"/>
      <c r="EL529" s="97"/>
      <c r="EM529" s="97"/>
      <c r="EN529" s="97"/>
      <c r="EO529" s="97"/>
      <c r="EP529" s="97"/>
      <c r="EQ529" s="97"/>
      <c r="ER529" s="97"/>
      <c r="ES529" s="97"/>
      <c r="ET529" s="97"/>
    </row>
    <row r="530" spans="1:150" ht="15.75" customHeight="1">
      <c r="A530" s="97"/>
      <c r="B530" s="97"/>
      <c r="C530" s="97"/>
      <c r="D530" s="97"/>
      <c r="E530" s="97"/>
      <c r="F530" s="97"/>
      <c r="G530" s="97"/>
      <c r="H530" s="129"/>
      <c r="I530" s="97"/>
      <c r="J530" s="97"/>
      <c r="K530" s="97"/>
      <c r="L530" s="97"/>
      <c r="M530" s="97"/>
      <c r="N530" s="97"/>
      <c r="O530" s="97"/>
      <c r="P530" s="97"/>
      <c r="Q530" s="97"/>
      <c r="R530" s="97"/>
      <c r="S530" s="97"/>
      <c r="T530" s="97"/>
      <c r="U530" s="97"/>
      <c r="V530" s="97"/>
      <c r="W530" s="97"/>
      <c r="X530" s="129"/>
      <c r="Y530" s="97"/>
      <c r="Z530" s="97"/>
      <c r="AA530" s="97"/>
      <c r="AB530" s="97"/>
      <c r="AC530" s="97"/>
      <c r="AD530" s="97"/>
      <c r="AE530" s="97"/>
      <c r="AF530" s="97"/>
      <c r="AG530" s="97"/>
      <c r="AH530" s="97"/>
      <c r="AI530" s="97"/>
      <c r="AJ530" s="97"/>
      <c r="AK530" s="97"/>
      <c r="AL530" s="97"/>
      <c r="AM530" s="97"/>
      <c r="AN530" s="97"/>
      <c r="AO530" s="97"/>
      <c r="AP530" s="97"/>
      <c r="AQ530" s="97"/>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c r="DF530" s="97"/>
      <c r="DG530" s="97"/>
      <c r="DH530" s="97"/>
      <c r="DI530" s="97"/>
      <c r="DJ530" s="97"/>
      <c r="DK530" s="97"/>
      <c r="DL530" s="97"/>
      <c r="DM530" s="97"/>
      <c r="DN530" s="97"/>
      <c r="DO530" s="97"/>
      <c r="DP530" s="97"/>
      <c r="DQ530" s="97"/>
      <c r="DR530" s="97"/>
      <c r="DS530" s="97"/>
      <c r="DT530" s="97"/>
      <c r="DU530" s="97"/>
      <c r="DV530" s="97"/>
      <c r="DW530" s="97"/>
      <c r="DX530" s="97"/>
      <c r="DY530" s="97"/>
      <c r="DZ530" s="97"/>
      <c r="EA530" s="97"/>
      <c r="EB530" s="97"/>
      <c r="EC530" s="97"/>
      <c r="ED530" s="97"/>
      <c r="EE530" s="97"/>
      <c r="EF530" s="97"/>
      <c r="EG530" s="97"/>
      <c r="EH530" s="97"/>
      <c r="EI530" s="97"/>
      <c r="EJ530" s="97"/>
      <c r="EK530" s="97"/>
      <c r="EL530" s="97"/>
      <c r="EM530" s="97"/>
      <c r="EN530" s="97"/>
      <c r="EO530" s="97"/>
      <c r="EP530" s="97"/>
      <c r="EQ530" s="97"/>
      <c r="ER530" s="97"/>
      <c r="ES530" s="97"/>
      <c r="ET530" s="97"/>
    </row>
    <row r="531" spans="1:150" ht="15.75" customHeight="1">
      <c r="A531" s="97"/>
      <c r="B531" s="97"/>
      <c r="C531" s="97"/>
      <c r="D531" s="97"/>
      <c r="E531" s="97"/>
      <c r="F531" s="97"/>
      <c r="G531" s="97"/>
      <c r="H531" s="129"/>
      <c r="I531" s="97"/>
      <c r="J531" s="97"/>
      <c r="K531" s="97"/>
      <c r="L531" s="97"/>
      <c r="M531" s="97"/>
      <c r="N531" s="97"/>
      <c r="O531" s="97"/>
      <c r="P531" s="97"/>
      <c r="Q531" s="97"/>
      <c r="R531" s="97"/>
      <c r="S531" s="97"/>
      <c r="T531" s="97"/>
      <c r="U531" s="97"/>
      <c r="V531" s="97"/>
      <c r="W531" s="97"/>
      <c r="X531" s="129"/>
      <c r="Y531" s="97"/>
      <c r="Z531" s="97"/>
      <c r="AA531" s="97"/>
      <c r="AB531" s="97"/>
      <c r="AC531" s="97"/>
      <c r="AD531" s="97"/>
      <c r="AE531" s="97"/>
      <c r="AF531" s="97"/>
      <c r="AG531" s="97"/>
      <c r="AH531" s="97"/>
      <c r="AI531" s="97"/>
      <c r="AJ531" s="97"/>
      <c r="AK531" s="97"/>
      <c r="AL531" s="97"/>
      <c r="AM531" s="97"/>
      <c r="AN531" s="97"/>
      <c r="AO531" s="97"/>
      <c r="AP531" s="97"/>
      <c r="AQ531" s="97"/>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c r="DF531" s="97"/>
      <c r="DG531" s="97"/>
      <c r="DH531" s="97"/>
      <c r="DI531" s="97"/>
      <c r="DJ531" s="97"/>
      <c r="DK531" s="97"/>
      <c r="DL531" s="97"/>
      <c r="DM531" s="97"/>
      <c r="DN531" s="97"/>
      <c r="DO531" s="97"/>
      <c r="DP531" s="97"/>
      <c r="DQ531" s="97"/>
      <c r="DR531" s="97"/>
      <c r="DS531" s="97"/>
      <c r="DT531" s="97"/>
      <c r="DU531" s="97"/>
      <c r="DV531" s="97"/>
      <c r="DW531" s="97"/>
      <c r="DX531" s="97"/>
      <c r="DY531" s="97"/>
      <c r="DZ531" s="97"/>
      <c r="EA531" s="97"/>
      <c r="EB531" s="97"/>
      <c r="EC531" s="97"/>
      <c r="ED531" s="97"/>
      <c r="EE531" s="97"/>
      <c r="EF531" s="97"/>
      <c r="EG531" s="97"/>
      <c r="EH531" s="97"/>
      <c r="EI531" s="97"/>
      <c r="EJ531" s="97"/>
      <c r="EK531" s="97"/>
      <c r="EL531" s="97"/>
      <c r="EM531" s="97"/>
      <c r="EN531" s="97"/>
      <c r="EO531" s="97"/>
      <c r="EP531" s="97"/>
      <c r="EQ531" s="97"/>
      <c r="ER531" s="97"/>
      <c r="ES531" s="97"/>
      <c r="ET531" s="97"/>
    </row>
    <row r="532" spans="1:150" ht="15.75" customHeight="1">
      <c r="A532" s="97"/>
      <c r="B532" s="97"/>
      <c r="C532" s="97"/>
      <c r="D532" s="97"/>
      <c r="E532" s="97"/>
      <c r="F532" s="97"/>
      <c r="G532" s="97"/>
      <c r="H532" s="129"/>
      <c r="I532" s="97"/>
      <c r="J532" s="97"/>
      <c r="K532" s="97"/>
      <c r="L532" s="97"/>
      <c r="M532" s="97"/>
      <c r="N532" s="97"/>
      <c r="O532" s="97"/>
      <c r="P532" s="97"/>
      <c r="Q532" s="97"/>
      <c r="R532" s="97"/>
      <c r="S532" s="97"/>
      <c r="T532" s="97"/>
      <c r="U532" s="97"/>
      <c r="V532" s="97"/>
      <c r="W532" s="97"/>
      <c r="X532" s="129"/>
      <c r="Y532" s="97"/>
      <c r="Z532" s="97"/>
      <c r="AA532" s="97"/>
      <c r="AB532" s="97"/>
      <c r="AC532" s="97"/>
      <c r="AD532" s="97"/>
      <c r="AE532" s="97"/>
      <c r="AF532" s="97"/>
      <c r="AG532" s="97"/>
      <c r="AH532" s="97"/>
      <c r="AI532" s="97"/>
      <c r="AJ532" s="97"/>
      <c r="AK532" s="97"/>
      <c r="AL532" s="97"/>
      <c r="AM532" s="97"/>
      <c r="AN532" s="97"/>
      <c r="AO532" s="97"/>
      <c r="AP532" s="97"/>
      <c r="AQ532" s="97"/>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c r="DF532" s="97"/>
      <c r="DG532" s="97"/>
      <c r="DH532" s="97"/>
      <c r="DI532" s="97"/>
      <c r="DJ532" s="97"/>
      <c r="DK532" s="97"/>
      <c r="DL532" s="97"/>
      <c r="DM532" s="97"/>
      <c r="DN532" s="97"/>
      <c r="DO532" s="97"/>
      <c r="DP532" s="97"/>
      <c r="DQ532" s="97"/>
      <c r="DR532" s="97"/>
      <c r="DS532" s="97"/>
      <c r="DT532" s="97"/>
      <c r="DU532" s="97"/>
      <c r="DV532" s="97"/>
      <c r="DW532" s="97"/>
      <c r="DX532" s="97"/>
      <c r="DY532" s="97"/>
      <c r="DZ532" s="97"/>
      <c r="EA532" s="97"/>
      <c r="EB532" s="97"/>
      <c r="EC532" s="97"/>
      <c r="ED532" s="97"/>
      <c r="EE532" s="97"/>
      <c r="EF532" s="97"/>
      <c r="EG532" s="97"/>
      <c r="EH532" s="97"/>
      <c r="EI532" s="97"/>
      <c r="EJ532" s="97"/>
      <c r="EK532" s="97"/>
      <c r="EL532" s="97"/>
      <c r="EM532" s="97"/>
      <c r="EN532" s="97"/>
      <c r="EO532" s="97"/>
      <c r="EP532" s="97"/>
      <c r="EQ532" s="97"/>
      <c r="ER532" s="97"/>
      <c r="ES532" s="97"/>
      <c r="ET532" s="97"/>
    </row>
    <row r="533" spans="1:150" ht="15.75" customHeight="1">
      <c r="A533" s="97"/>
      <c r="B533" s="97"/>
      <c r="C533" s="97"/>
      <c r="D533" s="97"/>
      <c r="E533" s="97"/>
      <c r="F533" s="97"/>
      <c r="G533" s="97"/>
      <c r="H533" s="129"/>
      <c r="I533" s="97"/>
      <c r="J533" s="97"/>
      <c r="K533" s="97"/>
      <c r="L533" s="97"/>
      <c r="M533" s="97"/>
      <c r="N533" s="97"/>
      <c r="O533" s="97"/>
      <c r="P533" s="97"/>
      <c r="Q533" s="97"/>
      <c r="R533" s="97"/>
      <c r="S533" s="97"/>
      <c r="T533" s="97"/>
      <c r="U533" s="97"/>
      <c r="V533" s="97"/>
      <c r="W533" s="97"/>
      <c r="X533" s="129"/>
      <c r="Y533" s="97"/>
      <c r="Z533" s="97"/>
      <c r="AA533" s="97"/>
      <c r="AB533" s="97"/>
      <c r="AC533" s="97"/>
      <c r="AD533" s="97"/>
      <c r="AE533" s="97"/>
      <c r="AF533" s="97"/>
      <c r="AG533" s="97"/>
      <c r="AH533" s="97"/>
      <c r="AI533" s="97"/>
      <c r="AJ533" s="97"/>
      <c r="AK533" s="97"/>
      <c r="AL533" s="97"/>
      <c r="AM533" s="97"/>
      <c r="AN533" s="97"/>
      <c r="AO533" s="97"/>
      <c r="AP533" s="97"/>
      <c r="AQ533" s="97"/>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c r="DF533" s="97"/>
      <c r="DG533" s="97"/>
      <c r="DH533" s="97"/>
      <c r="DI533" s="97"/>
      <c r="DJ533" s="97"/>
      <c r="DK533" s="97"/>
      <c r="DL533" s="97"/>
      <c r="DM533" s="97"/>
      <c r="DN533" s="97"/>
      <c r="DO533" s="97"/>
      <c r="DP533" s="97"/>
      <c r="DQ533" s="97"/>
      <c r="DR533" s="97"/>
      <c r="DS533" s="97"/>
      <c r="DT533" s="97"/>
      <c r="DU533" s="97"/>
      <c r="DV533" s="97"/>
      <c r="DW533" s="97"/>
      <c r="DX533" s="97"/>
      <c r="DY533" s="97"/>
      <c r="DZ533" s="97"/>
      <c r="EA533" s="97"/>
      <c r="EB533" s="97"/>
      <c r="EC533" s="97"/>
      <c r="ED533" s="97"/>
      <c r="EE533" s="97"/>
      <c r="EF533" s="97"/>
      <c r="EG533" s="97"/>
      <c r="EH533" s="97"/>
      <c r="EI533" s="97"/>
      <c r="EJ533" s="97"/>
      <c r="EK533" s="97"/>
      <c r="EL533" s="97"/>
      <c r="EM533" s="97"/>
      <c r="EN533" s="97"/>
      <c r="EO533" s="97"/>
      <c r="EP533" s="97"/>
      <c r="EQ533" s="97"/>
      <c r="ER533" s="97"/>
      <c r="ES533" s="97"/>
      <c r="ET533" s="97"/>
    </row>
    <row r="534" spans="1:150" ht="15.75" customHeight="1">
      <c r="A534" s="97"/>
      <c r="B534" s="97"/>
      <c r="C534" s="97"/>
      <c r="D534" s="97"/>
      <c r="E534" s="97"/>
      <c r="F534" s="97"/>
      <c r="G534" s="97"/>
      <c r="H534" s="129"/>
      <c r="I534" s="97"/>
      <c r="J534" s="97"/>
      <c r="K534" s="97"/>
      <c r="L534" s="97"/>
      <c r="M534" s="97"/>
      <c r="N534" s="97"/>
      <c r="O534" s="97"/>
      <c r="P534" s="97"/>
      <c r="Q534" s="97"/>
      <c r="R534" s="97"/>
      <c r="S534" s="97"/>
      <c r="T534" s="97"/>
      <c r="U534" s="97"/>
      <c r="V534" s="97"/>
      <c r="W534" s="97"/>
      <c r="X534" s="129"/>
      <c r="Y534" s="97"/>
      <c r="Z534" s="97"/>
      <c r="AA534" s="97"/>
      <c r="AB534" s="97"/>
      <c r="AC534" s="97"/>
      <c r="AD534" s="97"/>
      <c r="AE534" s="97"/>
      <c r="AF534" s="97"/>
      <c r="AG534" s="97"/>
      <c r="AH534" s="97"/>
      <c r="AI534" s="97"/>
      <c r="AJ534" s="97"/>
      <c r="AK534" s="97"/>
      <c r="AL534" s="97"/>
      <c r="AM534" s="97"/>
      <c r="AN534" s="97"/>
      <c r="AO534" s="97"/>
      <c r="AP534" s="97"/>
      <c r="AQ534" s="97"/>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c r="DF534" s="97"/>
      <c r="DG534" s="97"/>
      <c r="DH534" s="97"/>
      <c r="DI534" s="97"/>
      <c r="DJ534" s="97"/>
      <c r="DK534" s="97"/>
      <c r="DL534" s="97"/>
      <c r="DM534" s="97"/>
      <c r="DN534" s="97"/>
      <c r="DO534" s="97"/>
      <c r="DP534" s="97"/>
      <c r="DQ534" s="97"/>
      <c r="DR534" s="97"/>
      <c r="DS534" s="97"/>
      <c r="DT534" s="97"/>
      <c r="DU534" s="97"/>
      <c r="DV534" s="97"/>
      <c r="DW534" s="97"/>
      <c r="DX534" s="97"/>
      <c r="DY534" s="97"/>
      <c r="DZ534" s="97"/>
      <c r="EA534" s="97"/>
      <c r="EB534" s="97"/>
      <c r="EC534" s="97"/>
      <c r="ED534" s="97"/>
      <c r="EE534" s="97"/>
      <c r="EF534" s="97"/>
      <c r="EG534" s="97"/>
      <c r="EH534" s="97"/>
      <c r="EI534" s="97"/>
      <c r="EJ534" s="97"/>
      <c r="EK534" s="97"/>
      <c r="EL534" s="97"/>
      <c r="EM534" s="97"/>
      <c r="EN534" s="97"/>
      <c r="EO534" s="97"/>
      <c r="EP534" s="97"/>
      <c r="EQ534" s="97"/>
      <c r="ER534" s="97"/>
      <c r="ES534" s="97"/>
      <c r="ET534" s="97"/>
    </row>
    <row r="535" spans="1:150" ht="15.75" customHeight="1">
      <c r="A535" s="97"/>
      <c r="B535" s="97"/>
      <c r="C535" s="97"/>
      <c r="D535" s="97"/>
      <c r="E535" s="97"/>
      <c r="F535" s="97"/>
      <c r="G535" s="97"/>
      <c r="H535" s="129"/>
      <c r="I535" s="97"/>
      <c r="J535" s="97"/>
      <c r="K535" s="97"/>
      <c r="L535" s="97"/>
      <c r="M535" s="97"/>
      <c r="N535" s="97"/>
      <c r="O535" s="97"/>
      <c r="P535" s="97"/>
      <c r="Q535" s="97"/>
      <c r="R535" s="97"/>
      <c r="S535" s="97"/>
      <c r="T535" s="97"/>
      <c r="U535" s="97"/>
      <c r="V535" s="97"/>
      <c r="W535" s="97"/>
      <c r="X535" s="129"/>
      <c r="Y535" s="97"/>
      <c r="Z535" s="97"/>
      <c r="AA535" s="97"/>
      <c r="AB535" s="97"/>
      <c r="AC535" s="97"/>
      <c r="AD535" s="97"/>
      <c r="AE535" s="97"/>
      <c r="AF535" s="97"/>
      <c r="AG535" s="97"/>
      <c r="AH535" s="97"/>
      <c r="AI535" s="97"/>
      <c r="AJ535" s="97"/>
      <c r="AK535" s="97"/>
      <c r="AL535" s="97"/>
      <c r="AM535" s="97"/>
      <c r="AN535" s="97"/>
      <c r="AO535" s="97"/>
      <c r="AP535" s="97"/>
      <c r="AQ535" s="97"/>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c r="DF535" s="97"/>
      <c r="DG535" s="97"/>
      <c r="DH535" s="97"/>
      <c r="DI535" s="97"/>
      <c r="DJ535" s="97"/>
      <c r="DK535" s="97"/>
      <c r="DL535" s="97"/>
      <c r="DM535" s="97"/>
      <c r="DN535" s="97"/>
      <c r="DO535" s="97"/>
      <c r="DP535" s="97"/>
      <c r="DQ535" s="97"/>
      <c r="DR535" s="97"/>
      <c r="DS535" s="97"/>
      <c r="DT535" s="97"/>
      <c r="DU535" s="97"/>
      <c r="DV535" s="97"/>
      <c r="DW535" s="97"/>
      <c r="DX535" s="97"/>
      <c r="DY535" s="97"/>
      <c r="DZ535" s="97"/>
      <c r="EA535" s="97"/>
      <c r="EB535" s="97"/>
      <c r="EC535" s="97"/>
      <c r="ED535" s="97"/>
      <c r="EE535" s="97"/>
      <c r="EF535" s="97"/>
      <c r="EG535" s="97"/>
      <c r="EH535" s="97"/>
      <c r="EI535" s="97"/>
      <c r="EJ535" s="97"/>
      <c r="EK535" s="97"/>
      <c r="EL535" s="97"/>
      <c r="EM535" s="97"/>
      <c r="EN535" s="97"/>
      <c r="EO535" s="97"/>
      <c r="EP535" s="97"/>
      <c r="EQ535" s="97"/>
      <c r="ER535" s="97"/>
      <c r="ES535" s="97"/>
      <c r="ET535" s="97"/>
    </row>
    <row r="536" spans="1:150" ht="15.75" customHeight="1">
      <c r="A536" s="97"/>
      <c r="B536" s="97"/>
      <c r="C536" s="97"/>
      <c r="D536" s="97"/>
      <c r="E536" s="97"/>
      <c r="F536" s="97"/>
      <c r="G536" s="97"/>
      <c r="H536" s="129"/>
      <c r="I536" s="97"/>
      <c r="J536" s="97"/>
      <c r="K536" s="97"/>
      <c r="L536" s="97"/>
      <c r="M536" s="97"/>
      <c r="N536" s="97"/>
      <c r="O536" s="97"/>
      <c r="P536" s="97"/>
      <c r="Q536" s="97"/>
      <c r="R536" s="97"/>
      <c r="S536" s="97"/>
      <c r="T536" s="97"/>
      <c r="U536" s="97"/>
      <c r="V536" s="97"/>
      <c r="W536" s="97"/>
      <c r="X536" s="129"/>
      <c r="Y536" s="97"/>
      <c r="Z536" s="97"/>
      <c r="AA536" s="97"/>
      <c r="AB536" s="97"/>
      <c r="AC536" s="97"/>
      <c r="AD536" s="97"/>
      <c r="AE536" s="97"/>
      <c r="AF536" s="97"/>
      <c r="AG536" s="97"/>
      <c r="AH536" s="97"/>
      <c r="AI536" s="97"/>
      <c r="AJ536" s="97"/>
      <c r="AK536" s="97"/>
      <c r="AL536" s="97"/>
      <c r="AM536" s="97"/>
      <c r="AN536" s="97"/>
      <c r="AO536" s="97"/>
      <c r="AP536" s="97"/>
      <c r="AQ536" s="97"/>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c r="DF536" s="97"/>
      <c r="DG536" s="97"/>
      <c r="DH536" s="97"/>
      <c r="DI536" s="97"/>
      <c r="DJ536" s="97"/>
      <c r="DK536" s="97"/>
      <c r="DL536" s="97"/>
      <c r="DM536" s="97"/>
      <c r="DN536" s="97"/>
      <c r="DO536" s="97"/>
      <c r="DP536" s="97"/>
      <c r="DQ536" s="97"/>
      <c r="DR536" s="97"/>
      <c r="DS536" s="97"/>
      <c r="DT536" s="97"/>
      <c r="DU536" s="97"/>
      <c r="DV536" s="97"/>
      <c r="DW536" s="97"/>
      <c r="DX536" s="97"/>
      <c r="DY536" s="97"/>
      <c r="DZ536" s="97"/>
      <c r="EA536" s="97"/>
      <c r="EB536" s="97"/>
      <c r="EC536" s="97"/>
      <c r="ED536" s="97"/>
      <c r="EE536" s="97"/>
      <c r="EF536" s="97"/>
      <c r="EG536" s="97"/>
      <c r="EH536" s="97"/>
      <c r="EI536" s="97"/>
      <c r="EJ536" s="97"/>
      <c r="EK536" s="97"/>
      <c r="EL536" s="97"/>
      <c r="EM536" s="97"/>
      <c r="EN536" s="97"/>
      <c r="EO536" s="97"/>
      <c r="EP536" s="97"/>
      <c r="EQ536" s="97"/>
      <c r="ER536" s="97"/>
      <c r="ES536" s="97"/>
      <c r="ET536" s="97"/>
    </row>
    <row r="537" spans="1:150" ht="15.75" customHeight="1">
      <c r="A537" s="97"/>
      <c r="B537" s="97"/>
      <c r="C537" s="97"/>
      <c r="D537" s="97"/>
      <c r="E537" s="97"/>
      <c r="F537" s="97"/>
      <c r="G537" s="97"/>
      <c r="H537" s="129"/>
      <c r="I537" s="97"/>
      <c r="J537" s="97"/>
      <c r="K537" s="97"/>
      <c r="L537" s="97"/>
      <c r="M537" s="97"/>
      <c r="N537" s="97"/>
      <c r="O537" s="97"/>
      <c r="P537" s="97"/>
      <c r="Q537" s="97"/>
      <c r="R537" s="97"/>
      <c r="S537" s="97"/>
      <c r="T537" s="97"/>
      <c r="U537" s="97"/>
      <c r="V537" s="97"/>
      <c r="W537" s="97"/>
      <c r="X537" s="129"/>
      <c r="Y537" s="97"/>
      <c r="Z537" s="97"/>
      <c r="AA537" s="97"/>
      <c r="AB537" s="97"/>
      <c r="AC537" s="97"/>
      <c r="AD537" s="97"/>
      <c r="AE537" s="97"/>
      <c r="AF537" s="97"/>
      <c r="AG537" s="97"/>
      <c r="AH537" s="97"/>
      <c r="AI537" s="97"/>
      <c r="AJ537" s="97"/>
      <c r="AK537" s="97"/>
      <c r="AL537" s="97"/>
      <c r="AM537" s="97"/>
      <c r="AN537" s="97"/>
      <c r="AO537" s="97"/>
      <c r="AP537" s="97"/>
      <c r="AQ537" s="97"/>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c r="DF537" s="97"/>
      <c r="DG537" s="97"/>
      <c r="DH537" s="97"/>
      <c r="DI537" s="97"/>
      <c r="DJ537" s="97"/>
      <c r="DK537" s="97"/>
      <c r="DL537" s="97"/>
      <c r="DM537" s="97"/>
      <c r="DN537" s="97"/>
      <c r="DO537" s="97"/>
      <c r="DP537" s="97"/>
      <c r="DQ537" s="97"/>
      <c r="DR537" s="97"/>
      <c r="DS537" s="97"/>
      <c r="DT537" s="97"/>
      <c r="DU537" s="97"/>
      <c r="DV537" s="97"/>
      <c r="DW537" s="97"/>
      <c r="DX537" s="97"/>
      <c r="DY537" s="97"/>
      <c r="DZ537" s="97"/>
      <c r="EA537" s="97"/>
      <c r="EB537" s="97"/>
      <c r="EC537" s="97"/>
      <c r="ED537" s="97"/>
      <c r="EE537" s="97"/>
      <c r="EF537" s="97"/>
      <c r="EG537" s="97"/>
      <c r="EH537" s="97"/>
      <c r="EI537" s="97"/>
      <c r="EJ537" s="97"/>
      <c r="EK537" s="97"/>
      <c r="EL537" s="97"/>
      <c r="EM537" s="97"/>
      <c r="EN537" s="97"/>
      <c r="EO537" s="97"/>
      <c r="EP537" s="97"/>
      <c r="EQ537" s="97"/>
      <c r="ER537" s="97"/>
      <c r="ES537" s="97"/>
      <c r="ET537" s="97"/>
    </row>
    <row r="538" spans="1:150" ht="15.75" customHeight="1">
      <c r="A538" s="97"/>
      <c r="B538" s="97"/>
      <c r="C538" s="97"/>
      <c r="D538" s="97"/>
      <c r="E538" s="97"/>
      <c r="F538" s="97"/>
      <c r="G538" s="97"/>
      <c r="H538" s="129"/>
      <c r="I538" s="97"/>
      <c r="J538" s="97"/>
      <c r="K538" s="97"/>
      <c r="L538" s="97"/>
      <c r="M538" s="97"/>
      <c r="N538" s="97"/>
      <c r="O538" s="97"/>
      <c r="P538" s="97"/>
      <c r="Q538" s="97"/>
      <c r="R538" s="97"/>
      <c r="S538" s="97"/>
      <c r="T538" s="97"/>
      <c r="U538" s="97"/>
      <c r="V538" s="97"/>
      <c r="W538" s="97"/>
      <c r="X538" s="129"/>
      <c r="Y538" s="97"/>
      <c r="Z538" s="97"/>
      <c r="AA538" s="97"/>
      <c r="AB538" s="97"/>
      <c r="AC538" s="97"/>
      <c r="AD538" s="97"/>
      <c r="AE538" s="97"/>
      <c r="AF538" s="97"/>
      <c r="AG538" s="97"/>
      <c r="AH538" s="97"/>
      <c r="AI538" s="97"/>
      <c r="AJ538" s="97"/>
      <c r="AK538" s="97"/>
      <c r="AL538" s="97"/>
      <c r="AM538" s="97"/>
      <c r="AN538" s="97"/>
      <c r="AO538" s="97"/>
      <c r="AP538" s="97"/>
      <c r="AQ538" s="97"/>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c r="DF538" s="97"/>
      <c r="DG538" s="97"/>
      <c r="DH538" s="97"/>
      <c r="DI538" s="97"/>
      <c r="DJ538" s="97"/>
      <c r="DK538" s="97"/>
      <c r="DL538" s="97"/>
      <c r="DM538" s="97"/>
      <c r="DN538" s="97"/>
      <c r="DO538" s="97"/>
      <c r="DP538" s="97"/>
      <c r="DQ538" s="97"/>
      <c r="DR538" s="97"/>
      <c r="DS538" s="97"/>
      <c r="DT538" s="97"/>
      <c r="DU538" s="97"/>
      <c r="DV538" s="97"/>
      <c r="DW538" s="97"/>
      <c r="DX538" s="97"/>
      <c r="DY538" s="97"/>
      <c r="DZ538" s="97"/>
      <c r="EA538" s="97"/>
      <c r="EB538" s="97"/>
      <c r="EC538" s="97"/>
      <c r="ED538" s="97"/>
      <c r="EE538" s="97"/>
      <c r="EF538" s="97"/>
      <c r="EG538" s="97"/>
      <c r="EH538" s="97"/>
      <c r="EI538" s="97"/>
      <c r="EJ538" s="97"/>
      <c r="EK538" s="97"/>
      <c r="EL538" s="97"/>
      <c r="EM538" s="97"/>
      <c r="EN538" s="97"/>
      <c r="EO538" s="97"/>
      <c r="EP538" s="97"/>
      <c r="EQ538" s="97"/>
      <c r="ER538" s="97"/>
      <c r="ES538" s="97"/>
      <c r="ET538" s="97"/>
    </row>
    <row r="539" spans="1:150" ht="15.75" customHeight="1">
      <c r="A539" s="97"/>
      <c r="B539" s="97"/>
      <c r="C539" s="97"/>
      <c r="D539" s="97"/>
      <c r="E539" s="97"/>
      <c r="F539" s="97"/>
      <c r="G539" s="97"/>
      <c r="H539" s="129"/>
      <c r="I539" s="97"/>
      <c r="J539" s="97"/>
      <c r="K539" s="97"/>
      <c r="L539" s="97"/>
      <c r="M539" s="97"/>
      <c r="N539" s="97"/>
      <c r="O539" s="97"/>
      <c r="P539" s="97"/>
      <c r="Q539" s="97"/>
      <c r="R539" s="97"/>
      <c r="S539" s="97"/>
      <c r="T539" s="97"/>
      <c r="U539" s="97"/>
      <c r="V539" s="97"/>
      <c r="W539" s="97"/>
      <c r="X539" s="129"/>
      <c r="Y539" s="97"/>
      <c r="Z539" s="97"/>
      <c r="AA539" s="97"/>
      <c r="AB539" s="97"/>
      <c r="AC539" s="97"/>
      <c r="AD539" s="97"/>
      <c r="AE539" s="97"/>
      <c r="AF539" s="97"/>
      <c r="AG539" s="97"/>
      <c r="AH539" s="97"/>
      <c r="AI539" s="97"/>
      <c r="AJ539" s="97"/>
      <c r="AK539" s="97"/>
      <c r="AL539" s="97"/>
      <c r="AM539" s="97"/>
      <c r="AN539" s="97"/>
      <c r="AO539" s="97"/>
      <c r="AP539" s="97"/>
      <c r="AQ539" s="97"/>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c r="DF539" s="97"/>
      <c r="DG539" s="97"/>
      <c r="DH539" s="97"/>
      <c r="DI539" s="97"/>
      <c r="DJ539" s="97"/>
      <c r="DK539" s="97"/>
      <c r="DL539" s="97"/>
      <c r="DM539" s="97"/>
      <c r="DN539" s="97"/>
      <c r="DO539" s="97"/>
      <c r="DP539" s="97"/>
      <c r="DQ539" s="97"/>
      <c r="DR539" s="97"/>
      <c r="DS539" s="97"/>
      <c r="DT539" s="97"/>
      <c r="DU539" s="97"/>
      <c r="DV539" s="97"/>
      <c r="DW539" s="97"/>
      <c r="DX539" s="97"/>
      <c r="DY539" s="97"/>
      <c r="DZ539" s="97"/>
      <c r="EA539" s="97"/>
      <c r="EB539" s="97"/>
      <c r="EC539" s="97"/>
      <c r="ED539" s="97"/>
      <c r="EE539" s="97"/>
      <c r="EF539" s="97"/>
      <c r="EG539" s="97"/>
      <c r="EH539" s="97"/>
      <c r="EI539" s="97"/>
      <c r="EJ539" s="97"/>
      <c r="EK539" s="97"/>
      <c r="EL539" s="97"/>
      <c r="EM539" s="97"/>
      <c r="EN539" s="97"/>
      <c r="EO539" s="97"/>
      <c r="EP539" s="97"/>
      <c r="EQ539" s="97"/>
      <c r="ER539" s="97"/>
      <c r="ES539" s="97"/>
      <c r="ET539" s="97"/>
    </row>
    <row r="540" spans="1:150" ht="15.75" customHeight="1">
      <c r="A540" s="97"/>
      <c r="B540" s="97"/>
      <c r="C540" s="97"/>
      <c r="D540" s="97"/>
      <c r="E540" s="97"/>
      <c r="F540" s="97"/>
      <c r="G540" s="97"/>
      <c r="H540" s="129"/>
      <c r="I540" s="97"/>
      <c r="J540" s="97"/>
      <c r="K540" s="97"/>
      <c r="L540" s="97"/>
      <c r="M540" s="97"/>
      <c r="N540" s="97"/>
      <c r="O540" s="97"/>
      <c r="P540" s="97"/>
      <c r="Q540" s="97"/>
      <c r="R540" s="97"/>
      <c r="S540" s="97"/>
      <c r="T540" s="97"/>
      <c r="U540" s="97"/>
      <c r="V540" s="97"/>
      <c r="W540" s="97"/>
      <c r="X540" s="129"/>
      <c r="Y540" s="97"/>
      <c r="Z540" s="97"/>
      <c r="AA540" s="97"/>
      <c r="AB540" s="97"/>
      <c r="AC540" s="97"/>
      <c r="AD540" s="97"/>
      <c r="AE540" s="97"/>
      <c r="AF540" s="97"/>
      <c r="AG540" s="97"/>
      <c r="AH540" s="97"/>
      <c r="AI540" s="97"/>
      <c r="AJ540" s="97"/>
      <c r="AK540" s="97"/>
      <c r="AL540" s="97"/>
      <c r="AM540" s="97"/>
      <c r="AN540" s="97"/>
      <c r="AO540" s="97"/>
      <c r="AP540" s="97"/>
      <c r="AQ540" s="97"/>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c r="DF540" s="97"/>
      <c r="DG540" s="97"/>
      <c r="DH540" s="97"/>
      <c r="DI540" s="97"/>
      <c r="DJ540" s="97"/>
      <c r="DK540" s="97"/>
      <c r="DL540" s="97"/>
      <c r="DM540" s="97"/>
      <c r="DN540" s="97"/>
      <c r="DO540" s="97"/>
      <c r="DP540" s="97"/>
      <c r="DQ540" s="97"/>
      <c r="DR540" s="97"/>
      <c r="DS540" s="97"/>
      <c r="DT540" s="97"/>
      <c r="DU540" s="97"/>
      <c r="DV540" s="97"/>
      <c r="DW540" s="97"/>
      <c r="DX540" s="97"/>
      <c r="DY540" s="97"/>
      <c r="DZ540" s="97"/>
      <c r="EA540" s="97"/>
      <c r="EB540" s="97"/>
      <c r="EC540" s="97"/>
      <c r="ED540" s="97"/>
      <c r="EE540" s="97"/>
      <c r="EF540" s="97"/>
      <c r="EG540" s="97"/>
      <c r="EH540" s="97"/>
      <c r="EI540" s="97"/>
      <c r="EJ540" s="97"/>
      <c r="EK540" s="97"/>
      <c r="EL540" s="97"/>
      <c r="EM540" s="97"/>
      <c r="EN540" s="97"/>
      <c r="EO540" s="97"/>
      <c r="EP540" s="97"/>
      <c r="EQ540" s="97"/>
      <c r="ER540" s="97"/>
      <c r="ES540" s="97"/>
      <c r="ET540" s="97"/>
    </row>
    <row r="541" spans="1:150" ht="15.75" customHeight="1">
      <c r="A541" s="97"/>
      <c r="B541" s="97"/>
      <c r="C541" s="97"/>
      <c r="D541" s="97"/>
      <c r="E541" s="97"/>
      <c r="F541" s="97"/>
      <c r="G541" s="97"/>
      <c r="H541" s="129"/>
      <c r="I541" s="97"/>
      <c r="J541" s="97"/>
      <c r="K541" s="97"/>
      <c r="L541" s="97"/>
      <c r="M541" s="97"/>
      <c r="N541" s="97"/>
      <c r="O541" s="97"/>
      <c r="P541" s="97"/>
      <c r="Q541" s="97"/>
      <c r="R541" s="97"/>
      <c r="S541" s="97"/>
      <c r="T541" s="97"/>
      <c r="U541" s="97"/>
      <c r="V541" s="97"/>
      <c r="W541" s="97"/>
      <c r="X541" s="129"/>
      <c r="Y541" s="97"/>
      <c r="Z541" s="97"/>
      <c r="AA541" s="97"/>
      <c r="AB541" s="97"/>
      <c r="AC541" s="97"/>
      <c r="AD541" s="97"/>
      <c r="AE541" s="97"/>
      <c r="AF541" s="97"/>
      <c r="AG541" s="97"/>
      <c r="AH541" s="97"/>
      <c r="AI541" s="97"/>
      <c r="AJ541" s="97"/>
      <c r="AK541" s="97"/>
      <c r="AL541" s="97"/>
      <c r="AM541" s="97"/>
      <c r="AN541" s="97"/>
      <c r="AO541" s="97"/>
      <c r="AP541" s="97"/>
      <c r="AQ541" s="97"/>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c r="DF541" s="97"/>
      <c r="DG541" s="97"/>
      <c r="DH541" s="97"/>
      <c r="DI541" s="97"/>
      <c r="DJ541" s="97"/>
      <c r="DK541" s="97"/>
      <c r="DL541" s="97"/>
      <c r="DM541" s="97"/>
      <c r="DN541" s="97"/>
      <c r="DO541" s="97"/>
      <c r="DP541" s="97"/>
      <c r="DQ541" s="97"/>
      <c r="DR541" s="97"/>
      <c r="DS541" s="97"/>
      <c r="DT541" s="97"/>
      <c r="DU541" s="97"/>
      <c r="DV541" s="97"/>
      <c r="DW541" s="97"/>
      <c r="DX541" s="97"/>
      <c r="DY541" s="97"/>
      <c r="DZ541" s="97"/>
      <c r="EA541" s="97"/>
      <c r="EB541" s="97"/>
      <c r="EC541" s="97"/>
      <c r="ED541" s="97"/>
      <c r="EE541" s="97"/>
      <c r="EF541" s="97"/>
      <c r="EG541" s="97"/>
      <c r="EH541" s="97"/>
      <c r="EI541" s="97"/>
      <c r="EJ541" s="97"/>
      <c r="EK541" s="97"/>
      <c r="EL541" s="97"/>
      <c r="EM541" s="97"/>
      <c r="EN541" s="97"/>
      <c r="EO541" s="97"/>
      <c r="EP541" s="97"/>
      <c r="EQ541" s="97"/>
      <c r="ER541" s="97"/>
      <c r="ES541" s="97"/>
      <c r="ET541" s="97"/>
    </row>
    <row r="542" spans="1:150" ht="15.75" customHeight="1">
      <c r="A542" s="97"/>
      <c r="B542" s="97"/>
      <c r="C542" s="97"/>
      <c r="D542" s="97"/>
      <c r="E542" s="97"/>
      <c r="F542" s="97"/>
      <c r="G542" s="97"/>
      <c r="H542" s="129"/>
      <c r="I542" s="97"/>
      <c r="J542" s="97"/>
      <c r="K542" s="97"/>
      <c r="L542" s="97"/>
      <c r="M542" s="97"/>
      <c r="N542" s="97"/>
      <c r="O542" s="97"/>
      <c r="P542" s="97"/>
      <c r="Q542" s="97"/>
      <c r="R542" s="97"/>
      <c r="S542" s="97"/>
      <c r="T542" s="97"/>
      <c r="U542" s="97"/>
      <c r="V542" s="97"/>
      <c r="W542" s="97"/>
      <c r="X542" s="129"/>
      <c r="Y542" s="97"/>
      <c r="Z542" s="97"/>
      <c r="AA542" s="97"/>
      <c r="AB542" s="97"/>
      <c r="AC542" s="97"/>
      <c r="AD542" s="97"/>
      <c r="AE542" s="97"/>
      <c r="AF542" s="97"/>
      <c r="AG542" s="97"/>
      <c r="AH542" s="97"/>
      <c r="AI542" s="97"/>
      <c r="AJ542" s="97"/>
      <c r="AK542" s="97"/>
      <c r="AL542" s="97"/>
      <c r="AM542" s="97"/>
      <c r="AN542" s="97"/>
      <c r="AO542" s="97"/>
      <c r="AP542" s="97"/>
      <c r="AQ542" s="97"/>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c r="DF542" s="97"/>
      <c r="DG542" s="97"/>
      <c r="DH542" s="97"/>
      <c r="DI542" s="97"/>
      <c r="DJ542" s="97"/>
      <c r="DK542" s="97"/>
      <c r="DL542" s="97"/>
      <c r="DM542" s="97"/>
      <c r="DN542" s="97"/>
      <c r="DO542" s="97"/>
      <c r="DP542" s="97"/>
      <c r="DQ542" s="97"/>
      <c r="DR542" s="97"/>
      <c r="DS542" s="97"/>
      <c r="DT542" s="97"/>
      <c r="DU542" s="97"/>
      <c r="DV542" s="97"/>
      <c r="DW542" s="97"/>
      <c r="DX542" s="97"/>
      <c r="DY542" s="97"/>
      <c r="DZ542" s="97"/>
      <c r="EA542" s="97"/>
      <c r="EB542" s="97"/>
      <c r="EC542" s="97"/>
      <c r="ED542" s="97"/>
      <c r="EE542" s="97"/>
      <c r="EF542" s="97"/>
      <c r="EG542" s="97"/>
      <c r="EH542" s="97"/>
      <c r="EI542" s="97"/>
      <c r="EJ542" s="97"/>
      <c r="EK542" s="97"/>
      <c r="EL542" s="97"/>
      <c r="EM542" s="97"/>
      <c r="EN542" s="97"/>
      <c r="EO542" s="97"/>
      <c r="EP542" s="97"/>
      <c r="EQ542" s="97"/>
      <c r="ER542" s="97"/>
      <c r="ES542" s="97"/>
      <c r="ET542" s="97"/>
    </row>
    <row r="543" spans="1:150" ht="15.75" customHeight="1">
      <c r="A543" s="97"/>
      <c r="B543" s="97"/>
      <c r="C543" s="97"/>
      <c r="D543" s="97"/>
      <c r="E543" s="97"/>
      <c r="F543" s="97"/>
      <c r="G543" s="97"/>
      <c r="H543" s="129"/>
      <c r="I543" s="97"/>
      <c r="J543" s="97"/>
      <c r="K543" s="97"/>
      <c r="L543" s="97"/>
      <c r="M543" s="97"/>
      <c r="N543" s="97"/>
      <c r="O543" s="97"/>
      <c r="P543" s="97"/>
      <c r="Q543" s="97"/>
      <c r="R543" s="97"/>
      <c r="S543" s="97"/>
      <c r="T543" s="97"/>
      <c r="U543" s="97"/>
      <c r="V543" s="97"/>
      <c r="W543" s="97"/>
      <c r="X543" s="129"/>
      <c r="Y543" s="97"/>
      <c r="Z543" s="97"/>
      <c r="AA543" s="97"/>
      <c r="AB543" s="97"/>
      <c r="AC543" s="97"/>
      <c r="AD543" s="97"/>
      <c r="AE543" s="97"/>
      <c r="AF543" s="97"/>
      <c r="AG543" s="97"/>
      <c r="AH543" s="97"/>
      <c r="AI543" s="97"/>
      <c r="AJ543" s="97"/>
      <c r="AK543" s="97"/>
      <c r="AL543" s="97"/>
      <c r="AM543" s="97"/>
      <c r="AN543" s="97"/>
      <c r="AO543" s="97"/>
      <c r="AP543" s="97"/>
      <c r="AQ543" s="97"/>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c r="DF543" s="97"/>
      <c r="DG543" s="97"/>
      <c r="DH543" s="97"/>
      <c r="DI543" s="97"/>
      <c r="DJ543" s="97"/>
      <c r="DK543" s="97"/>
      <c r="DL543" s="97"/>
      <c r="DM543" s="97"/>
      <c r="DN543" s="97"/>
      <c r="DO543" s="97"/>
      <c r="DP543" s="97"/>
      <c r="DQ543" s="97"/>
      <c r="DR543" s="97"/>
      <c r="DS543" s="97"/>
      <c r="DT543" s="97"/>
      <c r="DU543" s="97"/>
      <c r="DV543" s="97"/>
      <c r="DW543" s="97"/>
      <c r="DX543" s="97"/>
      <c r="DY543" s="97"/>
      <c r="DZ543" s="97"/>
      <c r="EA543" s="97"/>
      <c r="EB543" s="97"/>
      <c r="EC543" s="97"/>
      <c r="ED543" s="97"/>
      <c r="EE543" s="97"/>
      <c r="EF543" s="97"/>
      <c r="EG543" s="97"/>
      <c r="EH543" s="97"/>
      <c r="EI543" s="97"/>
      <c r="EJ543" s="97"/>
      <c r="EK543" s="97"/>
      <c r="EL543" s="97"/>
      <c r="EM543" s="97"/>
      <c r="EN543" s="97"/>
      <c r="EO543" s="97"/>
      <c r="EP543" s="97"/>
      <c r="EQ543" s="97"/>
      <c r="ER543" s="97"/>
      <c r="ES543" s="97"/>
      <c r="ET543" s="97"/>
    </row>
    <row r="544" spans="1:150" ht="15.75" customHeight="1">
      <c r="A544" s="97"/>
      <c r="B544" s="97"/>
      <c r="C544" s="97"/>
      <c r="D544" s="97"/>
      <c r="E544" s="97"/>
      <c r="F544" s="97"/>
      <c r="G544" s="97"/>
      <c r="H544" s="129"/>
      <c r="I544" s="97"/>
      <c r="J544" s="97"/>
      <c r="K544" s="97"/>
      <c r="L544" s="97"/>
      <c r="M544" s="97"/>
      <c r="N544" s="97"/>
      <c r="O544" s="97"/>
      <c r="P544" s="97"/>
      <c r="Q544" s="97"/>
      <c r="R544" s="97"/>
      <c r="S544" s="97"/>
      <c r="T544" s="97"/>
      <c r="U544" s="97"/>
      <c r="V544" s="97"/>
      <c r="W544" s="97"/>
      <c r="X544" s="129"/>
      <c r="Y544" s="97"/>
      <c r="Z544" s="97"/>
      <c r="AA544" s="97"/>
      <c r="AB544" s="97"/>
      <c r="AC544" s="97"/>
      <c r="AD544" s="97"/>
      <c r="AE544" s="97"/>
      <c r="AF544" s="97"/>
      <c r="AG544" s="97"/>
      <c r="AH544" s="97"/>
      <c r="AI544" s="97"/>
      <c r="AJ544" s="97"/>
      <c r="AK544" s="97"/>
      <c r="AL544" s="97"/>
      <c r="AM544" s="97"/>
      <c r="AN544" s="97"/>
      <c r="AO544" s="97"/>
      <c r="AP544" s="97"/>
      <c r="AQ544" s="97"/>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c r="DF544" s="97"/>
      <c r="DG544" s="97"/>
      <c r="DH544" s="97"/>
      <c r="DI544" s="97"/>
      <c r="DJ544" s="97"/>
      <c r="DK544" s="97"/>
      <c r="DL544" s="97"/>
      <c r="DM544" s="97"/>
      <c r="DN544" s="97"/>
      <c r="DO544" s="97"/>
      <c r="DP544" s="97"/>
      <c r="DQ544" s="97"/>
      <c r="DR544" s="97"/>
      <c r="DS544" s="97"/>
      <c r="DT544" s="97"/>
      <c r="DU544" s="97"/>
      <c r="DV544" s="97"/>
      <c r="DW544" s="97"/>
      <c r="DX544" s="97"/>
      <c r="DY544" s="97"/>
      <c r="DZ544" s="97"/>
      <c r="EA544" s="97"/>
      <c r="EB544" s="97"/>
      <c r="EC544" s="97"/>
      <c r="ED544" s="97"/>
      <c r="EE544" s="97"/>
      <c r="EF544" s="97"/>
      <c r="EG544" s="97"/>
      <c r="EH544" s="97"/>
      <c r="EI544" s="97"/>
      <c r="EJ544" s="97"/>
      <c r="EK544" s="97"/>
      <c r="EL544" s="97"/>
      <c r="EM544" s="97"/>
      <c r="EN544" s="97"/>
      <c r="EO544" s="97"/>
      <c r="EP544" s="97"/>
      <c r="EQ544" s="97"/>
      <c r="ER544" s="97"/>
      <c r="ES544" s="97"/>
      <c r="ET544" s="97"/>
    </row>
    <row r="545" spans="1:150" ht="15.75" customHeight="1">
      <c r="A545" s="97"/>
      <c r="B545" s="97"/>
      <c r="C545" s="97"/>
      <c r="D545" s="97"/>
      <c r="E545" s="97"/>
      <c r="F545" s="97"/>
      <c r="G545" s="97"/>
      <c r="H545" s="129"/>
      <c r="I545" s="97"/>
      <c r="J545" s="97"/>
      <c r="K545" s="97"/>
      <c r="L545" s="97"/>
      <c r="M545" s="97"/>
      <c r="N545" s="97"/>
      <c r="O545" s="97"/>
      <c r="P545" s="97"/>
      <c r="Q545" s="97"/>
      <c r="R545" s="97"/>
      <c r="S545" s="97"/>
      <c r="T545" s="97"/>
      <c r="U545" s="97"/>
      <c r="V545" s="97"/>
      <c r="W545" s="97"/>
      <c r="X545" s="129"/>
      <c r="Y545" s="97"/>
      <c r="Z545" s="97"/>
      <c r="AA545" s="97"/>
      <c r="AB545" s="97"/>
      <c r="AC545" s="97"/>
      <c r="AD545" s="97"/>
      <c r="AE545" s="97"/>
      <c r="AF545" s="97"/>
      <c r="AG545" s="97"/>
      <c r="AH545" s="97"/>
      <c r="AI545" s="97"/>
      <c r="AJ545" s="97"/>
      <c r="AK545" s="97"/>
      <c r="AL545" s="97"/>
      <c r="AM545" s="97"/>
      <c r="AN545" s="97"/>
      <c r="AO545" s="97"/>
      <c r="AP545" s="97"/>
      <c r="AQ545" s="97"/>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c r="DF545" s="97"/>
      <c r="DG545" s="97"/>
      <c r="DH545" s="97"/>
      <c r="DI545" s="97"/>
      <c r="DJ545" s="97"/>
      <c r="DK545" s="97"/>
      <c r="DL545" s="97"/>
      <c r="DM545" s="97"/>
      <c r="DN545" s="97"/>
      <c r="DO545" s="97"/>
      <c r="DP545" s="97"/>
      <c r="DQ545" s="97"/>
      <c r="DR545" s="97"/>
      <c r="DS545" s="97"/>
      <c r="DT545" s="97"/>
      <c r="DU545" s="97"/>
      <c r="DV545" s="97"/>
      <c r="DW545" s="97"/>
      <c r="DX545" s="97"/>
      <c r="DY545" s="97"/>
      <c r="DZ545" s="97"/>
      <c r="EA545" s="97"/>
      <c r="EB545" s="97"/>
      <c r="EC545" s="97"/>
      <c r="ED545" s="97"/>
      <c r="EE545" s="97"/>
      <c r="EF545" s="97"/>
      <c r="EG545" s="97"/>
      <c r="EH545" s="97"/>
      <c r="EI545" s="97"/>
      <c r="EJ545" s="97"/>
      <c r="EK545" s="97"/>
      <c r="EL545" s="97"/>
      <c r="EM545" s="97"/>
      <c r="EN545" s="97"/>
      <c r="EO545" s="97"/>
      <c r="EP545" s="97"/>
      <c r="EQ545" s="97"/>
      <c r="ER545" s="97"/>
      <c r="ES545" s="97"/>
      <c r="ET545" s="97"/>
    </row>
    <row r="546" spans="1:150" ht="15.75" customHeight="1">
      <c r="A546" s="97"/>
      <c r="B546" s="97"/>
      <c r="C546" s="97"/>
      <c r="D546" s="97"/>
      <c r="E546" s="97"/>
      <c r="F546" s="97"/>
      <c r="G546" s="97"/>
      <c r="H546" s="129"/>
      <c r="I546" s="97"/>
      <c r="J546" s="97"/>
      <c r="K546" s="97"/>
      <c r="L546" s="97"/>
      <c r="M546" s="97"/>
      <c r="N546" s="97"/>
      <c r="O546" s="97"/>
      <c r="P546" s="97"/>
      <c r="Q546" s="97"/>
      <c r="R546" s="97"/>
      <c r="S546" s="97"/>
      <c r="T546" s="97"/>
      <c r="U546" s="97"/>
      <c r="V546" s="97"/>
      <c r="W546" s="97"/>
      <c r="X546" s="129"/>
      <c r="Y546" s="97"/>
      <c r="Z546" s="97"/>
      <c r="AA546" s="97"/>
      <c r="AB546" s="97"/>
      <c r="AC546" s="97"/>
      <c r="AD546" s="97"/>
      <c r="AE546" s="97"/>
      <c r="AF546" s="97"/>
      <c r="AG546" s="97"/>
      <c r="AH546" s="97"/>
      <c r="AI546" s="97"/>
      <c r="AJ546" s="97"/>
      <c r="AK546" s="97"/>
      <c r="AL546" s="97"/>
      <c r="AM546" s="97"/>
      <c r="AN546" s="97"/>
      <c r="AO546" s="97"/>
      <c r="AP546" s="97"/>
      <c r="AQ546" s="97"/>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c r="DF546" s="97"/>
      <c r="DG546" s="97"/>
      <c r="DH546" s="97"/>
      <c r="DI546" s="97"/>
      <c r="DJ546" s="97"/>
      <c r="DK546" s="97"/>
      <c r="DL546" s="97"/>
      <c r="DM546" s="97"/>
      <c r="DN546" s="97"/>
      <c r="DO546" s="97"/>
      <c r="DP546" s="97"/>
      <c r="DQ546" s="97"/>
      <c r="DR546" s="97"/>
      <c r="DS546" s="97"/>
      <c r="DT546" s="97"/>
      <c r="DU546" s="97"/>
      <c r="DV546" s="97"/>
      <c r="DW546" s="97"/>
      <c r="DX546" s="97"/>
      <c r="DY546" s="97"/>
      <c r="DZ546" s="97"/>
      <c r="EA546" s="97"/>
      <c r="EB546" s="97"/>
      <c r="EC546" s="97"/>
      <c r="ED546" s="97"/>
      <c r="EE546" s="97"/>
      <c r="EF546" s="97"/>
      <c r="EG546" s="97"/>
      <c r="EH546" s="97"/>
      <c r="EI546" s="97"/>
      <c r="EJ546" s="97"/>
      <c r="EK546" s="97"/>
      <c r="EL546" s="97"/>
      <c r="EM546" s="97"/>
      <c r="EN546" s="97"/>
      <c r="EO546" s="97"/>
      <c r="EP546" s="97"/>
      <c r="EQ546" s="97"/>
      <c r="ER546" s="97"/>
      <c r="ES546" s="97"/>
      <c r="ET546" s="97"/>
    </row>
    <row r="547" spans="1:150" ht="15.75" customHeight="1">
      <c r="A547" s="97"/>
      <c r="B547" s="97"/>
      <c r="C547" s="97"/>
      <c r="D547" s="97"/>
      <c r="E547" s="97"/>
      <c r="F547" s="97"/>
      <c r="G547" s="97"/>
      <c r="H547" s="129"/>
      <c r="I547" s="97"/>
      <c r="J547" s="97"/>
      <c r="K547" s="97"/>
      <c r="L547" s="97"/>
      <c r="M547" s="97"/>
      <c r="N547" s="97"/>
      <c r="O547" s="97"/>
      <c r="P547" s="97"/>
      <c r="Q547" s="97"/>
      <c r="R547" s="97"/>
      <c r="S547" s="97"/>
      <c r="T547" s="97"/>
      <c r="U547" s="97"/>
      <c r="V547" s="97"/>
      <c r="W547" s="97"/>
      <c r="X547" s="129"/>
      <c r="Y547" s="97"/>
      <c r="Z547" s="97"/>
      <c r="AA547" s="97"/>
      <c r="AB547" s="97"/>
      <c r="AC547" s="97"/>
      <c r="AD547" s="97"/>
      <c r="AE547" s="97"/>
      <c r="AF547" s="97"/>
      <c r="AG547" s="97"/>
      <c r="AH547" s="97"/>
      <c r="AI547" s="97"/>
      <c r="AJ547" s="97"/>
      <c r="AK547" s="97"/>
      <c r="AL547" s="97"/>
      <c r="AM547" s="97"/>
      <c r="AN547" s="97"/>
      <c r="AO547" s="97"/>
      <c r="AP547" s="97"/>
      <c r="AQ547" s="97"/>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c r="DF547" s="97"/>
      <c r="DG547" s="97"/>
      <c r="DH547" s="97"/>
      <c r="DI547" s="97"/>
      <c r="DJ547" s="97"/>
      <c r="DK547" s="97"/>
      <c r="DL547" s="97"/>
      <c r="DM547" s="97"/>
      <c r="DN547" s="97"/>
      <c r="DO547" s="97"/>
      <c r="DP547" s="97"/>
      <c r="DQ547" s="97"/>
      <c r="DR547" s="97"/>
      <c r="DS547" s="97"/>
      <c r="DT547" s="97"/>
      <c r="DU547" s="97"/>
      <c r="DV547" s="97"/>
      <c r="DW547" s="97"/>
      <c r="DX547" s="97"/>
      <c r="DY547" s="97"/>
      <c r="DZ547" s="97"/>
      <c r="EA547" s="97"/>
      <c r="EB547" s="97"/>
      <c r="EC547" s="97"/>
      <c r="ED547" s="97"/>
      <c r="EE547" s="97"/>
      <c r="EF547" s="97"/>
      <c r="EG547" s="97"/>
      <c r="EH547" s="97"/>
      <c r="EI547" s="97"/>
      <c r="EJ547" s="97"/>
      <c r="EK547" s="97"/>
      <c r="EL547" s="97"/>
      <c r="EM547" s="97"/>
      <c r="EN547" s="97"/>
      <c r="EO547" s="97"/>
      <c r="EP547" s="97"/>
      <c r="EQ547" s="97"/>
      <c r="ER547" s="97"/>
      <c r="ES547" s="97"/>
      <c r="ET547" s="97"/>
    </row>
    <row r="548" spans="1:150" ht="15.75" customHeight="1">
      <c r="A548" s="97"/>
      <c r="B548" s="97"/>
      <c r="C548" s="97"/>
      <c r="D548" s="97"/>
      <c r="E548" s="97"/>
      <c r="F548" s="97"/>
      <c r="G548" s="97"/>
      <c r="H548" s="129"/>
      <c r="I548" s="97"/>
      <c r="J548" s="97"/>
      <c r="K548" s="97"/>
      <c r="L548" s="97"/>
      <c r="M548" s="97"/>
      <c r="N548" s="97"/>
      <c r="O548" s="97"/>
      <c r="P548" s="97"/>
      <c r="Q548" s="97"/>
      <c r="R548" s="97"/>
      <c r="S548" s="97"/>
      <c r="T548" s="97"/>
      <c r="U548" s="97"/>
      <c r="V548" s="97"/>
      <c r="W548" s="97"/>
      <c r="X548" s="129"/>
      <c r="Y548" s="97"/>
      <c r="Z548" s="97"/>
      <c r="AA548" s="97"/>
      <c r="AB548" s="97"/>
      <c r="AC548" s="97"/>
      <c r="AD548" s="97"/>
      <c r="AE548" s="97"/>
      <c r="AF548" s="97"/>
      <c r="AG548" s="97"/>
      <c r="AH548" s="97"/>
      <c r="AI548" s="97"/>
      <c r="AJ548" s="97"/>
      <c r="AK548" s="97"/>
      <c r="AL548" s="97"/>
      <c r="AM548" s="97"/>
      <c r="AN548" s="97"/>
      <c r="AO548" s="97"/>
      <c r="AP548" s="97"/>
      <c r="AQ548" s="97"/>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c r="DF548" s="97"/>
      <c r="DG548" s="97"/>
      <c r="DH548" s="97"/>
      <c r="DI548" s="97"/>
      <c r="DJ548" s="97"/>
      <c r="DK548" s="97"/>
      <c r="DL548" s="97"/>
      <c r="DM548" s="97"/>
      <c r="DN548" s="97"/>
      <c r="DO548" s="97"/>
      <c r="DP548" s="97"/>
      <c r="DQ548" s="97"/>
      <c r="DR548" s="97"/>
      <c r="DS548" s="97"/>
      <c r="DT548" s="97"/>
      <c r="DU548" s="97"/>
      <c r="DV548" s="97"/>
      <c r="DW548" s="97"/>
      <c r="DX548" s="97"/>
      <c r="DY548" s="97"/>
      <c r="DZ548" s="97"/>
      <c r="EA548" s="97"/>
      <c r="EB548" s="97"/>
      <c r="EC548" s="97"/>
      <c r="ED548" s="97"/>
      <c r="EE548" s="97"/>
      <c r="EF548" s="97"/>
      <c r="EG548" s="97"/>
      <c r="EH548" s="97"/>
      <c r="EI548" s="97"/>
      <c r="EJ548" s="97"/>
      <c r="EK548" s="97"/>
      <c r="EL548" s="97"/>
      <c r="EM548" s="97"/>
      <c r="EN548" s="97"/>
      <c r="EO548" s="97"/>
      <c r="EP548" s="97"/>
      <c r="EQ548" s="97"/>
      <c r="ER548" s="97"/>
      <c r="ES548" s="97"/>
      <c r="ET548" s="97"/>
    </row>
    <row r="549" spans="1:150" ht="15.75" customHeight="1">
      <c r="A549" s="97"/>
      <c r="B549" s="97"/>
      <c r="C549" s="97"/>
      <c r="D549" s="97"/>
      <c r="E549" s="97"/>
      <c r="F549" s="97"/>
      <c r="G549" s="97"/>
      <c r="H549" s="129"/>
      <c r="I549" s="97"/>
      <c r="J549" s="97"/>
      <c r="K549" s="97"/>
      <c r="L549" s="97"/>
      <c r="M549" s="97"/>
      <c r="N549" s="97"/>
      <c r="O549" s="97"/>
      <c r="P549" s="97"/>
      <c r="Q549" s="97"/>
      <c r="R549" s="97"/>
      <c r="S549" s="97"/>
      <c r="T549" s="97"/>
      <c r="U549" s="97"/>
      <c r="V549" s="97"/>
      <c r="W549" s="97"/>
      <c r="X549" s="129"/>
      <c r="Y549" s="97"/>
      <c r="Z549" s="97"/>
      <c r="AA549" s="97"/>
      <c r="AB549" s="97"/>
      <c r="AC549" s="97"/>
      <c r="AD549" s="97"/>
      <c r="AE549" s="97"/>
      <c r="AF549" s="97"/>
      <c r="AG549" s="97"/>
      <c r="AH549" s="97"/>
      <c r="AI549" s="97"/>
      <c r="AJ549" s="97"/>
      <c r="AK549" s="97"/>
      <c r="AL549" s="97"/>
      <c r="AM549" s="97"/>
      <c r="AN549" s="97"/>
      <c r="AO549" s="97"/>
      <c r="AP549" s="97"/>
      <c r="AQ549" s="97"/>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c r="DF549" s="97"/>
      <c r="DG549" s="97"/>
      <c r="DH549" s="97"/>
      <c r="DI549" s="97"/>
      <c r="DJ549" s="97"/>
      <c r="DK549" s="97"/>
      <c r="DL549" s="97"/>
      <c r="DM549" s="97"/>
      <c r="DN549" s="97"/>
      <c r="DO549" s="97"/>
      <c r="DP549" s="97"/>
      <c r="DQ549" s="97"/>
      <c r="DR549" s="97"/>
      <c r="DS549" s="97"/>
      <c r="DT549" s="97"/>
      <c r="DU549" s="97"/>
      <c r="DV549" s="97"/>
      <c r="DW549" s="97"/>
      <c r="DX549" s="97"/>
      <c r="DY549" s="97"/>
      <c r="DZ549" s="97"/>
      <c r="EA549" s="97"/>
      <c r="EB549" s="97"/>
      <c r="EC549" s="97"/>
      <c r="ED549" s="97"/>
      <c r="EE549" s="97"/>
      <c r="EF549" s="97"/>
      <c r="EG549" s="97"/>
      <c r="EH549" s="97"/>
      <c r="EI549" s="97"/>
      <c r="EJ549" s="97"/>
      <c r="EK549" s="97"/>
      <c r="EL549" s="97"/>
      <c r="EM549" s="97"/>
      <c r="EN549" s="97"/>
      <c r="EO549" s="97"/>
      <c r="EP549" s="97"/>
      <c r="EQ549" s="97"/>
      <c r="ER549" s="97"/>
      <c r="ES549" s="97"/>
      <c r="ET549" s="97"/>
    </row>
    <row r="550" spans="1:150" ht="15.75" customHeight="1">
      <c r="A550" s="97"/>
      <c r="B550" s="97"/>
      <c r="C550" s="97"/>
      <c r="D550" s="97"/>
      <c r="E550" s="97"/>
      <c r="F550" s="97"/>
      <c r="G550" s="97"/>
      <c r="H550" s="129"/>
      <c r="I550" s="97"/>
      <c r="J550" s="97"/>
      <c r="K550" s="97"/>
      <c r="L550" s="97"/>
      <c r="M550" s="97"/>
      <c r="N550" s="97"/>
      <c r="O550" s="97"/>
      <c r="P550" s="97"/>
      <c r="Q550" s="97"/>
      <c r="R550" s="97"/>
      <c r="S550" s="97"/>
      <c r="T550" s="97"/>
      <c r="U550" s="97"/>
      <c r="V550" s="97"/>
      <c r="W550" s="97"/>
      <c r="X550" s="129"/>
      <c r="Y550" s="97"/>
      <c r="Z550" s="97"/>
      <c r="AA550" s="97"/>
      <c r="AB550" s="97"/>
      <c r="AC550" s="97"/>
      <c r="AD550" s="97"/>
      <c r="AE550" s="97"/>
      <c r="AF550" s="97"/>
      <c r="AG550" s="97"/>
      <c r="AH550" s="97"/>
      <c r="AI550" s="97"/>
      <c r="AJ550" s="97"/>
      <c r="AK550" s="97"/>
      <c r="AL550" s="97"/>
      <c r="AM550" s="97"/>
      <c r="AN550" s="97"/>
      <c r="AO550" s="97"/>
      <c r="AP550" s="97"/>
      <c r="AQ550" s="97"/>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c r="DF550" s="97"/>
      <c r="DG550" s="97"/>
      <c r="DH550" s="97"/>
      <c r="DI550" s="97"/>
      <c r="DJ550" s="97"/>
      <c r="DK550" s="97"/>
      <c r="DL550" s="97"/>
      <c r="DM550" s="97"/>
      <c r="DN550" s="97"/>
      <c r="DO550" s="97"/>
      <c r="DP550" s="97"/>
      <c r="DQ550" s="97"/>
      <c r="DR550" s="97"/>
      <c r="DS550" s="97"/>
      <c r="DT550" s="97"/>
      <c r="DU550" s="97"/>
      <c r="DV550" s="97"/>
      <c r="DW550" s="97"/>
      <c r="DX550" s="97"/>
      <c r="DY550" s="97"/>
      <c r="DZ550" s="97"/>
      <c r="EA550" s="97"/>
      <c r="EB550" s="97"/>
      <c r="EC550" s="97"/>
      <c r="ED550" s="97"/>
      <c r="EE550" s="97"/>
      <c r="EF550" s="97"/>
      <c r="EG550" s="97"/>
      <c r="EH550" s="97"/>
      <c r="EI550" s="97"/>
      <c r="EJ550" s="97"/>
      <c r="EK550" s="97"/>
      <c r="EL550" s="97"/>
      <c r="EM550" s="97"/>
      <c r="EN550" s="97"/>
      <c r="EO550" s="97"/>
      <c r="EP550" s="97"/>
      <c r="EQ550" s="97"/>
      <c r="ER550" s="97"/>
      <c r="ES550" s="97"/>
      <c r="ET550" s="97"/>
    </row>
    <row r="551" spans="1:150" ht="15.75" customHeight="1">
      <c r="A551" s="97"/>
      <c r="B551" s="97"/>
      <c r="C551" s="97"/>
      <c r="D551" s="97"/>
      <c r="E551" s="97"/>
      <c r="F551" s="97"/>
      <c r="G551" s="97"/>
      <c r="H551" s="129"/>
      <c r="I551" s="97"/>
      <c r="J551" s="97"/>
      <c r="K551" s="97"/>
      <c r="L551" s="97"/>
      <c r="M551" s="97"/>
      <c r="N551" s="97"/>
      <c r="O551" s="97"/>
      <c r="P551" s="97"/>
      <c r="Q551" s="97"/>
      <c r="R551" s="97"/>
      <c r="S551" s="97"/>
      <c r="T551" s="97"/>
      <c r="U551" s="97"/>
      <c r="V551" s="97"/>
      <c r="W551" s="97"/>
      <c r="X551" s="129"/>
      <c r="Y551" s="97"/>
      <c r="Z551" s="97"/>
      <c r="AA551" s="97"/>
      <c r="AB551" s="97"/>
      <c r="AC551" s="97"/>
      <c r="AD551" s="97"/>
      <c r="AE551" s="97"/>
      <c r="AF551" s="97"/>
      <c r="AG551" s="97"/>
      <c r="AH551" s="97"/>
      <c r="AI551" s="97"/>
      <c r="AJ551" s="97"/>
      <c r="AK551" s="97"/>
      <c r="AL551" s="97"/>
      <c r="AM551" s="97"/>
      <c r="AN551" s="97"/>
      <c r="AO551" s="97"/>
      <c r="AP551" s="97"/>
      <c r="AQ551" s="97"/>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c r="DF551" s="97"/>
      <c r="DG551" s="97"/>
      <c r="DH551" s="97"/>
      <c r="DI551" s="97"/>
      <c r="DJ551" s="97"/>
      <c r="DK551" s="97"/>
      <c r="DL551" s="97"/>
      <c r="DM551" s="97"/>
      <c r="DN551" s="97"/>
      <c r="DO551" s="97"/>
      <c r="DP551" s="97"/>
      <c r="DQ551" s="97"/>
      <c r="DR551" s="97"/>
      <c r="DS551" s="97"/>
      <c r="DT551" s="97"/>
      <c r="DU551" s="97"/>
      <c r="DV551" s="97"/>
      <c r="DW551" s="97"/>
      <c r="DX551" s="97"/>
      <c r="DY551" s="97"/>
      <c r="DZ551" s="97"/>
      <c r="EA551" s="97"/>
      <c r="EB551" s="97"/>
      <c r="EC551" s="97"/>
      <c r="ED551" s="97"/>
      <c r="EE551" s="97"/>
      <c r="EF551" s="97"/>
      <c r="EG551" s="97"/>
      <c r="EH551" s="97"/>
      <c r="EI551" s="97"/>
      <c r="EJ551" s="97"/>
      <c r="EK551" s="97"/>
      <c r="EL551" s="97"/>
      <c r="EM551" s="97"/>
      <c r="EN551" s="97"/>
      <c r="EO551" s="97"/>
      <c r="EP551" s="97"/>
      <c r="EQ551" s="97"/>
      <c r="ER551" s="97"/>
      <c r="ES551" s="97"/>
      <c r="ET551" s="97"/>
    </row>
    <row r="552" spans="1:150" ht="15.75" customHeight="1">
      <c r="A552" s="97"/>
      <c r="B552" s="97"/>
      <c r="C552" s="97"/>
      <c r="D552" s="97"/>
      <c r="E552" s="97"/>
      <c r="F552" s="97"/>
      <c r="G552" s="97"/>
      <c r="H552" s="129"/>
      <c r="I552" s="97"/>
      <c r="J552" s="97"/>
      <c r="K552" s="97"/>
      <c r="L552" s="97"/>
      <c r="M552" s="97"/>
      <c r="N552" s="97"/>
      <c r="O552" s="97"/>
      <c r="P552" s="97"/>
      <c r="Q552" s="97"/>
      <c r="R552" s="97"/>
      <c r="S552" s="97"/>
      <c r="T552" s="97"/>
      <c r="U552" s="97"/>
      <c r="V552" s="97"/>
      <c r="W552" s="97"/>
      <c r="X552" s="129"/>
      <c r="Y552" s="97"/>
      <c r="Z552" s="97"/>
      <c r="AA552" s="97"/>
      <c r="AB552" s="97"/>
      <c r="AC552" s="97"/>
      <c r="AD552" s="97"/>
      <c r="AE552" s="97"/>
      <c r="AF552" s="97"/>
      <c r="AG552" s="97"/>
      <c r="AH552" s="97"/>
      <c r="AI552" s="97"/>
      <c r="AJ552" s="97"/>
      <c r="AK552" s="97"/>
      <c r="AL552" s="97"/>
      <c r="AM552" s="97"/>
      <c r="AN552" s="97"/>
      <c r="AO552" s="97"/>
      <c r="AP552" s="97"/>
      <c r="AQ552" s="97"/>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c r="DF552" s="97"/>
      <c r="DG552" s="97"/>
      <c r="DH552" s="97"/>
      <c r="DI552" s="97"/>
      <c r="DJ552" s="97"/>
      <c r="DK552" s="97"/>
      <c r="DL552" s="97"/>
      <c r="DM552" s="97"/>
      <c r="DN552" s="97"/>
      <c r="DO552" s="97"/>
      <c r="DP552" s="97"/>
      <c r="DQ552" s="97"/>
      <c r="DR552" s="97"/>
      <c r="DS552" s="97"/>
      <c r="DT552" s="97"/>
      <c r="DU552" s="97"/>
      <c r="DV552" s="97"/>
      <c r="DW552" s="97"/>
      <c r="DX552" s="97"/>
      <c r="DY552" s="97"/>
      <c r="DZ552" s="97"/>
      <c r="EA552" s="97"/>
      <c r="EB552" s="97"/>
      <c r="EC552" s="97"/>
      <c r="ED552" s="97"/>
      <c r="EE552" s="97"/>
      <c r="EF552" s="97"/>
      <c r="EG552" s="97"/>
      <c r="EH552" s="97"/>
      <c r="EI552" s="97"/>
      <c r="EJ552" s="97"/>
      <c r="EK552" s="97"/>
      <c r="EL552" s="97"/>
      <c r="EM552" s="97"/>
      <c r="EN552" s="97"/>
      <c r="EO552" s="97"/>
      <c r="EP552" s="97"/>
      <c r="EQ552" s="97"/>
      <c r="ER552" s="97"/>
      <c r="ES552" s="97"/>
      <c r="ET552" s="97"/>
    </row>
    <row r="553" spans="1:150" ht="15.75" customHeight="1">
      <c r="A553" s="97"/>
      <c r="B553" s="97"/>
      <c r="C553" s="97"/>
      <c r="D553" s="97"/>
      <c r="E553" s="97"/>
      <c r="F553" s="97"/>
      <c r="G553" s="97"/>
      <c r="H553" s="129"/>
      <c r="I553" s="97"/>
      <c r="J553" s="97"/>
      <c r="K553" s="97"/>
      <c r="L553" s="97"/>
      <c r="M553" s="97"/>
      <c r="N553" s="97"/>
      <c r="O553" s="97"/>
      <c r="P553" s="97"/>
      <c r="Q553" s="97"/>
      <c r="R553" s="97"/>
      <c r="S553" s="97"/>
      <c r="T553" s="97"/>
      <c r="U553" s="97"/>
      <c r="V553" s="97"/>
      <c r="W553" s="97"/>
      <c r="X553" s="129"/>
      <c r="Y553" s="97"/>
      <c r="Z553" s="97"/>
      <c r="AA553" s="97"/>
      <c r="AB553" s="97"/>
      <c r="AC553" s="97"/>
      <c r="AD553" s="97"/>
      <c r="AE553" s="97"/>
      <c r="AF553" s="97"/>
      <c r="AG553" s="97"/>
      <c r="AH553" s="97"/>
      <c r="AI553" s="97"/>
      <c r="AJ553" s="97"/>
      <c r="AK553" s="97"/>
      <c r="AL553" s="97"/>
      <c r="AM553" s="97"/>
      <c r="AN553" s="97"/>
      <c r="AO553" s="97"/>
      <c r="AP553" s="97"/>
      <c r="AQ553" s="97"/>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c r="DF553" s="97"/>
      <c r="DG553" s="97"/>
      <c r="DH553" s="97"/>
      <c r="DI553" s="97"/>
      <c r="DJ553" s="97"/>
      <c r="DK553" s="97"/>
      <c r="DL553" s="97"/>
      <c r="DM553" s="97"/>
      <c r="DN553" s="97"/>
      <c r="DO553" s="97"/>
      <c r="DP553" s="97"/>
      <c r="DQ553" s="97"/>
      <c r="DR553" s="97"/>
      <c r="DS553" s="97"/>
      <c r="DT553" s="97"/>
      <c r="DU553" s="97"/>
      <c r="DV553" s="97"/>
      <c r="DW553" s="97"/>
      <c r="DX553" s="97"/>
      <c r="DY553" s="97"/>
      <c r="DZ553" s="97"/>
      <c r="EA553" s="97"/>
      <c r="EB553" s="97"/>
      <c r="EC553" s="97"/>
      <c r="ED553" s="97"/>
      <c r="EE553" s="97"/>
      <c r="EF553" s="97"/>
      <c r="EG553" s="97"/>
      <c r="EH553" s="97"/>
      <c r="EI553" s="97"/>
      <c r="EJ553" s="97"/>
      <c r="EK553" s="97"/>
      <c r="EL553" s="97"/>
      <c r="EM553" s="97"/>
      <c r="EN553" s="97"/>
      <c r="EO553" s="97"/>
      <c r="EP553" s="97"/>
      <c r="EQ553" s="97"/>
      <c r="ER553" s="97"/>
      <c r="ES553" s="97"/>
      <c r="ET553" s="97"/>
    </row>
    <row r="554" spans="1:150" ht="15.75" customHeight="1">
      <c r="A554" s="97"/>
      <c r="B554" s="97"/>
      <c r="C554" s="97"/>
      <c r="D554" s="97"/>
      <c r="E554" s="97"/>
      <c r="F554" s="97"/>
      <c r="G554" s="97"/>
      <c r="H554" s="129"/>
      <c r="I554" s="97"/>
      <c r="J554" s="97"/>
      <c r="K554" s="97"/>
      <c r="L554" s="97"/>
      <c r="M554" s="97"/>
      <c r="N554" s="97"/>
      <c r="O554" s="97"/>
      <c r="P554" s="97"/>
      <c r="Q554" s="97"/>
      <c r="R554" s="97"/>
      <c r="S554" s="97"/>
      <c r="T554" s="97"/>
      <c r="U554" s="97"/>
      <c r="V554" s="97"/>
      <c r="W554" s="97"/>
      <c r="X554" s="129"/>
      <c r="Y554" s="97"/>
      <c r="Z554" s="97"/>
      <c r="AA554" s="97"/>
      <c r="AB554" s="97"/>
      <c r="AC554" s="97"/>
      <c r="AD554" s="97"/>
      <c r="AE554" s="97"/>
      <c r="AF554" s="97"/>
      <c r="AG554" s="97"/>
      <c r="AH554" s="97"/>
      <c r="AI554" s="97"/>
      <c r="AJ554" s="97"/>
      <c r="AK554" s="97"/>
      <c r="AL554" s="97"/>
      <c r="AM554" s="97"/>
      <c r="AN554" s="97"/>
      <c r="AO554" s="97"/>
      <c r="AP554" s="97"/>
      <c r="AQ554" s="97"/>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c r="DF554" s="97"/>
      <c r="DG554" s="97"/>
      <c r="DH554" s="97"/>
      <c r="DI554" s="97"/>
      <c r="DJ554" s="97"/>
      <c r="DK554" s="97"/>
      <c r="DL554" s="97"/>
      <c r="DM554" s="97"/>
      <c r="DN554" s="97"/>
      <c r="DO554" s="97"/>
      <c r="DP554" s="97"/>
      <c r="DQ554" s="97"/>
      <c r="DR554" s="97"/>
      <c r="DS554" s="97"/>
      <c r="DT554" s="97"/>
      <c r="DU554" s="97"/>
      <c r="DV554" s="97"/>
      <c r="DW554" s="97"/>
      <c r="DX554" s="97"/>
      <c r="DY554" s="97"/>
      <c r="DZ554" s="97"/>
      <c r="EA554" s="97"/>
      <c r="EB554" s="97"/>
      <c r="EC554" s="97"/>
      <c r="ED554" s="97"/>
      <c r="EE554" s="97"/>
      <c r="EF554" s="97"/>
      <c r="EG554" s="97"/>
      <c r="EH554" s="97"/>
      <c r="EI554" s="97"/>
      <c r="EJ554" s="97"/>
      <c r="EK554" s="97"/>
      <c r="EL554" s="97"/>
      <c r="EM554" s="97"/>
      <c r="EN554" s="97"/>
      <c r="EO554" s="97"/>
      <c r="EP554" s="97"/>
      <c r="EQ554" s="97"/>
      <c r="ER554" s="97"/>
      <c r="ES554" s="97"/>
      <c r="ET554" s="97"/>
    </row>
    <row r="555" spans="1:150" ht="15.75" customHeight="1">
      <c r="A555" s="97"/>
      <c r="B555" s="97"/>
      <c r="C555" s="97"/>
      <c r="D555" s="97"/>
      <c r="E555" s="97"/>
      <c r="F555" s="97"/>
      <c r="G555" s="97"/>
      <c r="H555" s="129"/>
      <c r="I555" s="97"/>
      <c r="J555" s="97"/>
      <c r="K555" s="97"/>
      <c r="L555" s="97"/>
      <c r="M555" s="97"/>
      <c r="N555" s="97"/>
      <c r="O555" s="97"/>
      <c r="P555" s="97"/>
      <c r="Q555" s="97"/>
      <c r="R555" s="97"/>
      <c r="S555" s="97"/>
      <c r="T555" s="97"/>
      <c r="U555" s="97"/>
      <c r="V555" s="97"/>
      <c r="W555" s="97"/>
      <c r="X555" s="129"/>
      <c r="Y555" s="97"/>
      <c r="Z555" s="97"/>
      <c r="AA555" s="97"/>
      <c r="AB555" s="97"/>
      <c r="AC555" s="97"/>
      <c r="AD555" s="97"/>
      <c r="AE555" s="97"/>
      <c r="AF555" s="97"/>
      <c r="AG555" s="97"/>
      <c r="AH555" s="97"/>
      <c r="AI555" s="97"/>
      <c r="AJ555" s="97"/>
      <c r="AK555" s="97"/>
      <c r="AL555" s="97"/>
      <c r="AM555" s="97"/>
      <c r="AN555" s="97"/>
      <c r="AO555" s="97"/>
      <c r="AP555" s="97"/>
      <c r="AQ555" s="97"/>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c r="DF555" s="97"/>
      <c r="DG555" s="97"/>
      <c r="DH555" s="97"/>
      <c r="DI555" s="97"/>
      <c r="DJ555" s="97"/>
      <c r="DK555" s="97"/>
      <c r="DL555" s="97"/>
      <c r="DM555" s="97"/>
      <c r="DN555" s="97"/>
      <c r="DO555" s="97"/>
      <c r="DP555" s="97"/>
      <c r="DQ555" s="97"/>
      <c r="DR555" s="97"/>
      <c r="DS555" s="97"/>
      <c r="DT555" s="97"/>
      <c r="DU555" s="97"/>
      <c r="DV555" s="97"/>
      <c r="DW555" s="97"/>
      <c r="DX555" s="97"/>
      <c r="DY555" s="97"/>
      <c r="DZ555" s="97"/>
      <c r="EA555" s="97"/>
      <c r="EB555" s="97"/>
      <c r="EC555" s="97"/>
      <c r="ED555" s="97"/>
      <c r="EE555" s="97"/>
      <c r="EF555" s="97"/>
      <c r="EG555" s="97"/>
      <c r="EH555" s="97"/>
      <c r="EI555" s="97"/>
      <c r="EJ555" s="97"/>
      <c r="EK555" s="97"/>
      <c r="EL555" s="97"/>
      <c r="EM555" s="97"/>
      <c r="EN555" s="97"/>
      <c r="EO555" s="97"/>
      <c r="EP555" s="97"/>
      <c r="EQ555" s="97"/>
      <c r="ER555" s="97"/>
      <c r="ES555" s="97"/>
      <c r="ET555" s="97"/>
    </row>
    <row r="556" spans="1:150" ht="15.75" customHeight="1">
      <c r="A556" s="97"/>
      <c r="B556" s="97"/>
      <c r="C556" s="97"/>
      <c r="D556" s="97"/>
      <c r="E556" s="97"/>
      <c r="F556" s="97"/>
      <c r="G556" s="97"/>
      <c r="H556" s="129"/>
      <c r="I556" s="97"/>
      <c r="J556" s="97"/>
      <c r="K556" s="97"/>
      <c r="L556" s="97"/>
      <c r="M556" s="97"/>
      <c r="N556" s="97"/>
      <c r="O556" s="97"/>
      <c r="P556" s="97"/>
      <c r="Q556" s="97"/>
      <c r="R556" s="97"/>
      <c r="S556" s="97"/>
      <c r="T556" s="97"/>
      <c r="U556" s="97"/>
      <c r="V556" s="97"/>
      <c r="W556" s="97"/>
      <c r="X556" s="129"/>
      <c r="Y556" s="97"/>
      <c r="Z556" s="97"/>
      <c r="AA556" s="97"/>
      <c r="AB556" s="97"/>
      <c r="AC556" s="97"/>
      <c r="AD556" s="97"/>
      <c r="AE556" s="97"/>
      <c r="AF556" s="97"/>
      <c r="AG556" s="97"/>
      <c r="AH556" s="97"/>
      <c r="AI556" s="97"/>
      <c r="AJ556" s="97"/>
      <c r="AK556" s="97"/>
      <c r="AL556" s="97"/>
      <c r="AM556" s="97"/>
      <c r="AN556" s="97"/>
      <c r="AO556" s="97"/>
      <c r="AP556" s="97"/>
      <c r="AQ556" s="97"/>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c r="DF556" s="97"/>
      <c r="DG556" s="97"/>
      <c r="DH556" s="97"/>
      <c r="DI556" s="97"/>
      <c r="DJ556" s="97"/>
      <c r="DK556" s="97"/>
      <c r="DL556" s="97"/>
      <c r="DM556" s="97"/>
      <c r="DN556" s="97"/>
      <c r="DO556" s="97"/>
      <c r="DP556" s="97"/>
      <c r="DQ556" s="97"/>
      <c r="DR556" s="97"/>
      <c r="DS556" s="97"/>
      <c r="DT556" s="97"/>
      <c r="DU556" s="97"/>
      <c r="DV556" s="97"/>
      <c r="DW556" s="97"/>
      <c r="DX556" s="97"/>
      <c r="DY556" s="97"/>
      <c r="DZ556" s="97"/>
      <c r="EA556" s="97"/>
      <c r="EB556" s="97"/>
      <c r="EC556" s="97"/>
      <c r="ED556" s="97"/>
      <c r="EE556" s="97"/>
      <c r="EF556" s="97"/>
      <c r="EG556" s="97"/>
      <c r="EH556" s="97"/>
      <c r="EI556" s="97"/>
      <c r="EJ556" s="97"/>
      <c r="EK556" s="97"/>
      <c r="EL556" s="97"/>
      <c r="EM556" s="97"/>
      <c r="EN556" s="97"/>
      <c r="EO556" s="97"/>
      <c r="EP556" s="97"/>
      <c r="EQ556" s="97"/>
      <c r="ER556" s="97"/>
      <c r="ES556" s="97"/>
      <c r="ET556" s="97"/>
    </row>
    <row r="557" spans="1:150" ht="15.75" customHeight="1">
      <c r="A557" s="97"/>
      <c r="B557" s="97"/>
      <c r="C557" s="97"/>
      <c r="D557" s="97"/>
      <c r="E557" s="97"/>
      <c r="F557" s="97"/>
      <c r="G557" s="97"/>
      <c r="H557" s="129"/>
      <c r="I557" s="97"/>
      <c r="J557" s="97"/>
      <c r="K557" s="97"/>
      <c r="L557" s="97"/>
      <c r="M557" s="97"/>
      <c r="N557" s="97"/>
      <c r="O557" s="97"/>
      <c r="P557" s="97"/>
      <c r="Q557" s="97"/>
      <c r="R557" s="97"/>
      <c r="S557" s="97"/>
      <c r="T557" s="97"/>
      <c r="U557" s="97"/>
      <c r="V557" s="97"/>
      <c r="W557" s="97"/>
      <c r="X557" s="129"/>
      <c r="Y557" s="97"/>
      <c r="Z557" s="97"/>
      <c r="AA557" s="97"/>
      <c r="AB557" s="97"/>
      <c r="AC557" s="97"/>
      <c r="AD557" s="97"/>
      <c r="AE557" s="97"/>
      <c r="AF557" s="97"/>
      <c r="AG557" s="97"/>
      <c r="AH557" s="97"/>
      <c r="AI557" s="97"/>
      <c r="AJ557" s="97"/>
      <c r="AK557" s="97"/>
      <c r="AL557" s="97"/>
      <c r="AM557" s="97"/>
      <c r="AN557" s="97"/>
      <c r="AO557" s="97"/>
      <c r="AP557" s="97"/>
      <c r="AQ557" s="97"/>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c r="DF557" s="97"/>
      <c r="DG557" s="97"/>
      <c r="DH557" s="97"/>
      <c r="DI557" s="97"/>
      <c r="DJ557" s="97"/>
      <c r="DK557" s="97"/>
      <c r="DL557" s="97"/>
      <c r="DM557" s="97"/>
      <c r="DN557" s="97"/>
      <c r="DO557" s="97"/>
      <c r="DP557" s="97"/>
      <c r="DQ557" s="97"/>
      <c r="DR557" s="97"/>
      <c r="DS557" s="97"/>
      <c r="DT557" s="97"/>
      <c r="DU557" s="97"/>
      <c r="DV557" s="97"/>
      <c r="DW557" s="97"/>
      <c r="DX557" s="97"/>
      <c r="DY557" s="97"/>
      <c r="DZ557" s="97"/>
      <c r="EA557" s="97"/>
      <c r="EB557" s="97"/>
      <c r="EC557" s="97"/>
      <c r="ED557" s="97"/>
      <c r="EE557" s="97"/>
      <c r="EF557" s="97"/>
      <c r="EG557" s="97"/>
      <c r="EH557" s="97"/>
      <c r="EI557" s="97"/>
      <c r="EJ557" s="97"/>
      <c r="EK557" s="97"/>
      <c r="EL557" s="97"/>
      <c r="EM557" s="97"/>
      <c r="EN557" s="97"/>
      <c r="EO557" s="97"/>
      <c r="EP557" s="97"/>
      <c r="EQ557" s="97"/>
      <c r="ER557" s="97"/>
      <c r="ES557" s="97"/>
      <c r="ET557" s="97"/>
    </row>
    <row r="558" spans="1:150" ht="15.75" customHeight="1">
      <c r="A558" s="97"/>
      <c r="B558" s="97"/>
      <c r="C558" s="97"/>
      <c r="D558" s="97"/>
      <c r="E558" s="97"/>
      <c r="F558" s="97"/>
      <c r="G558" s="97"/>
      <c r="H558" s="129"/>
      <c r="I558" s="97"/>
      <c r="J558" s="97"/>
      <c r="K558" s="97"/>
      <c r="L558" s="97"/>
      <c r="M558" s="97"/>
      <c r="N558" s="97"/>
      <c r="O558" s="97"/>
      <c r="P558" s="97"/>
      <c r="Q558" s="97"/>
      <c r="R558" s="97"/>
      <c r="S558" s="97"/>
      <c r="T558" s="97"/>
      <c r="U558" s="97"/>
      <c r="V558" s="97"/>
      <c r="W558" s="97"/>
      <c r="X558" s="129"/>
      <c r="Y558" s="97"/>
      <c r="Z558" s="97"/>
      <c r="AA558" s="97"/>
      <c r="AB558" s="97"/>
      <c r="AC558" s="97"/>
      <c r="AD558" s="97"/>
      <c r="AE558" s="97"/>
      <c r="AF558" s="97"/>
      <c r="AG558" s="97"/>
      <c r="AH558" s="97"/>
      <c r="AI558" s="97"/>
      <c r="AJ558" s="97"/>
      <c r="AK558" s="97"/>
      <c r="AL558" s="97"/>
      <c r="AM558" s="97"/>
      <c r="AN558" s="97"/>
      <c r="AO558" s="97"/>
      <c r="AP558" s="97"/>
      <c r="AQ558" s="97"/>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c r="DF558" s="97"/>
      <c r="DG558" s="97"/>
      <c r="DH558" s="97"/>
      <c r="DI558" s="97"/>
      <c r="DJ558" s="97"/>
      <c r="DK558" s="97"/>
      <c r="DL558" s="97"/>
      <c r="DM558" s="97"/>
      <c r="DN558" s="97"/>
      <c r="DO558" s="97"/>
      <c r="DP558" s="97"/>
      <c r="DQ558" s="97"/>
      <c r="DR558" s="97"/>
      <c r="DS558" s="97"/>
      <c r="DT558" s="97"/>
      <c r="DU558" s="97"/>
      <c r="DV558" s="97"/>
      <c r="DW558" s="97"/>
      <c r="DX558" s="97"/>
      <c r="DY558" s="97"/>
      <c r="DZ558" s="97"/>
      <c r="EA558" s="97"/>
      <c r="EB558" s="97"/>
      <c r="EC558" s="97"/>
      <c r="ED558" s="97"/>
      <c r="EE558" s="97"/>
      <c r="EF558" s="97"/>
      <c r="EG558" s="97"/>
      <c r="EH558" s="97"/>
      <c r="EI558" s="97"/>
      <c r="EJ558" s="97"/>
      <c r="EK558" s="97"/>
      <c r="EL558" s="97"/>
      <c r="EM558" s="97"/>
      <c r="EN558" s="97"/>
      <c r="EO558" s="97"/>
      <c r="EP558" s="97"/>
      <c r="EQ558" s="97"/>
      <c r="ER558" s="97"/>
      <c r="ES558" s="97"/>
      <c r="ET558" s="97"/>
    </row>
    <row r="559" spans="1:150" ht="15.75" customHeight="1">
      <c r="A559" s="97"/>
      <c r="B559" s="97"/>
      <c r="C559" s="97"/>
      <c r="D559" s="97"/>
      <c r="E559" s="97"/>
      <c r="F559" s="97"/>
      <c r="G559" s="97"/>
      <c r="H559" s="129"/>
      <c r="I559" s="97"/>
      <c r="J559" s="97"/>
      <c r="K559" s="97"/>
      <c r="L559" s="97"/>
      <c r="M559" s="97"/>
      <c r="N559" s="97"/>
      <c r="O559" s="97"/>
      <c r="P559" s="97"/>
      <c r="Q559" s="97"/>
      <c r="R559" s="97"/>
      <c r="S559" s="97"/>
      <c r="T559" s="97"/>
      <c r="U559" s="97"/>
      <c r="V559" s="97"/>
      <c r="W559" s="97"/>
      <c r="X559" s="129"/>
      <c r="Y559" s="97"/>
      <c r="Z559" s="97"/>
      <c r="AA559" s="97"/>
      <c r="AB559" s="97"/>
      <c r="AC559" s="97"/>
      <c r="AD559" s="97"/>
      <c r="AE559" s="97"/>
      <c r="AF559" s="97"/>
      <c r="AG559" s="97"/>
      <c r="AH559" s="97"/>
      <c r="AI559" s="97"/>
      <c r="AJ559" s="97"/>
      <c r="AK559" s="97"/>
      <c r="AL559" s="97"/>
      <c r="AM559" s="97"/>
      <c r="AN559" s="97"/>
      <c r="AO559" s="97"/>
      <c r="AP559" s="97"/>
      <c r="AQ559" s="97"/>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c r="DF559" s="97"/>
      <c r="DG559" s="97"/>
      <c r="DH559" s="97"/>
      <c r="DI559" s="97"/>
      <c r="DJ559" s="97"/>
      <c r="DK559" s="97"/>
      <c r="DL559" s="97"/>
      <c r="DM559" s="97"/>
      <c r="DN559" s="97"/>
      <c r="DO559" s="97"/>
      <c r="DP559" s="97"/>
      <c r="DQ559" s="97"/>
      <c r="DR559" s="97"/>
      <c r="DS559" s="97"/>
      <c r="DT559" s="97"/>
      <c r="DU559" s="97"/>
      <c r="DV559" s="97"/>
      <c r="DW559" s="97"/>
      <c r="DX559" s="97"/>
      <c r="DY559" s="97"/>
      <c r="DZ559" s="97"/>
      <c r="EA559" s="97"/>
      <c r="EB559" s="97"/>
      <c r="EC559" s="97"/>
      <c r="ED559" s="97"/>
      <c r="EE559" s="97"/>
      <c r="EF559" s="97"/>
      <c r="EG559" s="97"/>
      <c r="EH559" s="97"/>
      <c r="EI559" s="97"/>
      <c r="EJ559" s="97"/>
      <c r="EK559" s="97"/>
      <c r="EL559" s="97"/>
      <c r="EM559" s="97"/>
      <c r="EN559" s="97"/>
      <c r="EO559" s="97"/>
      <c r="EP559" s="97"/>
      <c r="EQ559" s="97"/>
      <c r="ER559" s="97"/>
      <c r="ES559" s="97"/>
      <c r="ET559" s="97"/>
    </row>
    <row r="560" spans="1:150" ht="15.75" customHeight="1">
      <c r="A560" s="97"/>
      <c r="B560" s="97"/>
      <c r="C560" s="97"/>
      <c r="D560" s="97"/>
      <c r="E560" s="97"/>
      <c r="F560" s="97"/>
      <c r="G560" s="97"/>
      <c r="H560" s="129"/>
      <c r="I560" s="97"/>
      <c r="J560" s="97"/>
      <c r="K560" s="97"/>
      <c r="L560" s="97"/>
      <c r="M560" s="97"/>
      <c r="N560" s="97"/>
      <c r="O560" s="97"/>
      <c r="P560" s="97"/>
      <c r="Q560" s="97"/>
      <c r="R560" s="97"/>
      <c r="S560" s="97"/>
      <c r="T560" s="97"/>
      <c r="U560" s="97"/>
      <c r="V560" s="97"/>
      <c r="W560" s="97"/>
      <c r="X560" s="129"/>
      <c r="Y560" s="97"/>
      <c r="Z560" s="97"/>
      <c r="AA560" s="97"/>
      <c r="AB560" s="97"/>
      <c r="AC560" s="97"/>
      <c r="AD560" s="97"/>
      <c r="AE560" s="97"/>
      <c r="AF560" s="97"/>
      <c r="AG560" s="97"/>
      <c r="AH560" s="97"/>
      <c r="AI560" s="97"/>
      <c r="AJ560" s="97"/>
      <c r="AK560" s="97"/>
      <c r="AL560" s="97"/>
      <c r="AM560" s="97"/>
      <c r="AN560" s="97"/>
      <c r="AO560" s="97"/>
      <c r="AP560" s="97"/>
      <c r="AQ560" s="97"/>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c r="DF560" s="97"/>
      <c r="DG560" s="97"/>
      <c r="DH560" s="97"/>
      <c r="DI560" s="97"/>
      <c r="DJ560" s="97"/>
      <c r="DK560" s="97"/>
      <c r="DL560" s="97"/>
      <c r="DM560" s="97"/>
      <c r="DN560" s="97"/>
      <c r="DO560" s="97"/>
      <c r="DP560" s="97"/>
      <c r="DQ560" s="97"/>
      <c r="DR560" s="97"/>
      <c r="DS560" s="97"/>
      <c r="DT560" s="97"/>
      <c r="DU560" s="97"/>
      <c r="DV560" s="97"/>
      <c r="DW560" s="97"/>
      <c r="DX560" s="97"/>
      <c r="DY560" s="97"/>
      <c r="DZ560" s="97"/>
      <c r="EA560" s="97"/>
      <c r="EB560" s="97"/>
      <c r="EC560" s="97"/>
      <c r="ED560" s="97"/>
      <c r="EE560" s="97"/>
      <c r="EF560" s="97"/>
      <c r="EG560" s="97"/>
      <c r="EH560" s="97"/>
      <c r="EI560" s="97"/>
      <c r="EJ560" s="97"/>
      <c r="EK560" s="97"/>
      <c r="EL560" s="97"/>
      <c r="EM560" s="97"/>
      <c r="EN560" s="97"/>
      <c r="EO560" s="97"/>
      <c r="EP560" s="97"/>
      <c r="EQ560" s="97"/>
      <c r="ER560" s="97"/>
      <c r="ES560" s="97"/>
      <c r="ET560" s="97"/>
    </row>
    <row r="561" spans="1:150" ht="15.75" customHeight="1">
      <c r="A561" s="97"/>
      <c r="B561" s="97"/>
      <c r="C561" s="97"/>
      <c r="D561" s="97"/>
      <c r="E561" s="97"/>
      <c r="F561" s="97"/>
      <c r="G561" s="97"/>
      <c r="H561" s="129"/>
      <c r="I561" s="97"/>
      <c r="J561" s="97"/>
      <c r="K561" s="97"/>
      <c r="L561" s="97"/>
      <c r="M561" s="97"/>
      <c r="N561" s="97"/>
      <c r="O561" s="97"/>
      <c r="P561" s="97"/>
      <c r="Q561" s="97"/>
      <c r="R561" s="97"/>
      <c r="S561" s="97"/>
      <c r="T561" s="97"/>
      <c r="U561" s="97"/>
      <c r="V561" s="97"/>
      <c r="W561" s="97"/>
      <c r="X561" s="129"/>
      <c r="Y561" s="97"/>
      <c r="Z561" s="97"/>
      <c r="AA561" s="97"/>
      <c r="AB561" s="97"/>
      <c r="AC561" s="97"/>
      <c r="AD561" s="97"/>
      <c r="AE561" s="97"/>
      <c r="AF561" s="97"/>
      <c r="AG561" s="97"/>
      <c r="AH561" s="97"/>
      <c r="AI561" s="97"/>
      <c r="AJ561" s="97"/>
      <c r="AK561" s="97"/>
      <c r="AL561" s="97"/>
      <c r="AM561" s="97"/>
      <c r="AN561" s="97"/>
      <c r="AO561" s="97"/>
      <c r="AP561" s="97"/>
      <c r="AQ561" s="97"/>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c r="DF561" s="97"/>
      <c r="DG561" s="97"/>
      <c r="DH561" s="97"/>
      <c r="DI561" s="97"/>
      <c r="DJ561" s="97"/>
      <c r="DK561" s="97"/>
      <c r="DL561" s="97"/>
      <c r="DM561" s="97"/>
      <c r="DN561" s="97"/>
      <c r="DO561" s="97"/>
      <c r="DP561" s="97"/>
      <c r="DQ561" s="97"/>
      <c r="DR561" s="97"/>
      <c r="DS561" s="97"/>
      <c r="DT561" s="97"/>
      <c r="DU561" s="97"/>
      <c r="DV561" s="97"/>
      <c r="DW561" s="97"/>
      <c r="DX561" s="97"/>
      <c r="DY561" s="97"/>
      <c r="DZ561" s="97"/>
      <c r="EA561" s="97"/>
      <c r="EB561" s="97"/>
      <c r="EC561" s="97"/>
      <c r="ED561" s="97"/>
      <c r="EE561" s="97"/>
      <c r="EF561" s="97"/>
      <c r="EG561" s="97"/>
      <c r="EH561" s="97"/>
      <c r="EI561" s="97"/>
      <c r="EJ561" s="97"/>
      <c r="EK561" s="97"/>
      <c r="EL561" s="97"/>
      <c r="EM561" s="97"/>
      <c r="EN561" s="97"/>
      <c r="EO561" s="97"/>
      <c r="EP561" s="97"/>
      <c r="EQ561" s="97"/>
      <c r="ER561" s="97"/>
      <c r="ES561" s="97"/>
      <c r="ET561" s="97"/>
    </row>
    <row r="562" spans="1:150" ht="15.75" customHeight="1">
      <c r="A562" s="97"/>
      <c r="B562" s="97"/>
      <c r="C562" s="97"/>
      <c r="D562" s="97"/>
      <c r="E562" s="97"/>
      <c r="F562" s="97"/>
      <c r="G562" s="97"/>
      <c r="H562" s="129"/>
      <c r="I562" s="97"/>
      <c r="J562" s="97"/>
      <c r="K562" s="97"/>
      <c r="L562" s="97"/>
      <c r="M562" s="97"/>
      <c r="N562" s="97"/>
      <c r="O562" s="97"/>
      <c r="P562" s="97"/>
      <c r="Q562" s="97"/>
      <c r="R562" s="97"/>
      <c r="S562" s="97"/>
      <c r="T562" s="97"/>
      <c r="U562" s="97"/>
      <c r="V562" s="97"/>
      <c r="W562" s="97"/>
      <c r="X562" s="129"/>
      <c r="Y562" s="97"/>
      <c r="Z562" s="97"/>
      <c r="AA562" s="97"/>
      <c r="AB562" s="97"/>
      <c r="AC562" s="97"/>
      <c r="AD562" s="97"/>
      <c r="AE562" s="97"/>
      <c r="AF562" s="97"/>
      <c r="AG562" s="97"/>
      <c r="AH562" s="97"/>
      <c r="AI562" s="97"/>
      <c r="AJ562" s="97"/>
      <c r="AK562" s="97"/>
      <c r="AL562" s="97"/>
      <c r="AM562" s="97"/>
      <c r="AN562" s="97"/>
      <c r="AO562" s="97"/>
      <c r="AP562" s="97"/>
      <c r="AQ562" s="97"/>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c r="DF562" s="97"/>
      <c r="DG562" s="97"/>
      <c r="DH562" s="97"/>
      <c r="DI562" s="97"/>
      <c r="DJ562" s="97"/>
      <c r="DK562" s="97"/>
      <c r="DL562" s="97"/>
      <c r="DM562" s="97"/>
      <c r="DN562" s="97"/>
      <c r="DO562" s="97"/>
      <c r="DP562" s="97"/>
      <c r="DQ562" s="97"/>
      <c r="DR562" s="97"/>
      <c r="DS562" s="97"/>
      <c r="DT562" s="97"/>
      <c r="DU562" s="97"/>
      <c r="DV562" s="97"/>
      <c r="DW562" s="97"/>
      <c r="DX562" s="97"/>
      <c r="DY562" s="97"/>
      <c r="DZ562" s="97"/>
      <c r="EA562" s="97"/>
      <c r="EB562" s="97"/>
      <c r="EC562" s="97"/>
      <c r="ED562" s="97"/>
      <c r="EE562" s="97"/>
      <c r="EF562" s="97"/>
      <c r="EG562" s="97"/>
      <c r="EH562" s="97"/>
      <c r="EI562" s="97"/>
      <c r="EJ562" s="97"/>
      <c r="EK562" s="97"/>
      <c r="EL562" s="97"/>
      <c r="EM562" s="97"/>
      <c r="EN562" s="97"/>
      <c r="EO562" s="97"/>
      <c r="EP562" s="97"/>
      <c r="EQ562" s="97"/>
      <c r="ER562" s="97"/>
      <c r="ES562" s="97"/>
      <c r="ET562" s="97"/>
    </row>
    <row r="563" spans="1:150" ht="15.75" customHeight="1">
      <c r="A563" s="97"/>
      <c r="B563" s="97"/>
      <c r="C563" s="97"/>
      <c r="D563" s="97"/>
      <c r="E563" s="97"/>
      <c r="F563" s="97"/>
      <c r="G563" s="97"/>
      <c r="H563" s="129"/>
      <c r="I563" s="97"/>
      <c r="J563" s="97"/>
      <c r="K563" s="97"/>
      <c r="L563" s="97"/>
      <c r="M563" s="97"/>
      <c r="N563" s="97"/>
      <c r="O563" s="97"/>
      <c r="P563" s="97"/>
      <c r="Q563" s="97"/>
      <c r="R563" s="97"/>
      <c r="S563" s="97"/>
      <c r="T563" s="97"/>
      <c r="U563" s="97"/>
      <c r="V563" s="97"/>
      <c r="W563" s="97"/>
      <c r="X563" s="129"/>
      <c r="Y563" s="97"/>
      <c r="Z563" s="97"/>
      <c r="AA563" s="97"/>
      <c r="AB563" s="97"/>
      <c r="AC563" s="97"/>
      <c r="AD563" s="97"/>
      <c r="AE563" s="97"/>
      <c r="AF563" s="97"/>
      <c r="AG563" s="97"/>
      <c r="AH563" s="97"/>
      <c r="AI563" s="97"/>
      <c r="AJ563" s="97"/>
      <c r="AK563" s="97"/>
      <c r="AL563" s="97"/>
      <c r="AM563" s="97"/>
      <c r="AN563" s="97"/>
      <c r="AO563" s="97"/>
      <c r="AP563" s="97"/>
      <c r="AQ563" s="97"/>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c r="DF563" s="97"/>
      <c r="DG563" s="97"/>
      <c r="DH563" s="97"/>
      <c r="DI563" s="97"/>
      <c r="DJ563" s="97"/>
      <c r="DK563" s="97"/>
      <c r="DL563" s="97"/>
      <c r="DM563" s="97"/>
      <c r="DN563" s="97"/>
      <c r="DO563" s="97"/>
      <c r="DP563" s="97"/>
      <c r="DQ563" s="97"/>
      <c r="DR563" s="97"/>
      <c r="DS563" s="97"/>
      <c r="DT563" s="97"/>
      <c r="DU563" s="97"/>
      <c r="DV563" s="97"/>
      <c r="DW563" s="97"/>
      <c r="DX563" s="97"/>
      <c r="DY563" s="97"/>
      <c r="DZ563" s="97"/>
      <c r="EA563" s="97"/>
      <c r="EB563" s="97"/>
      <c r="EC563" s="97"/>
      <c r="ED563" s="97"/>
      <c r="EE563" s="97"/>
      <c r="EF563" s="97"/>
      <c r="EG563" s="97"/>
      <c r="EH563" s="97"/>
      <c r="EI563" s="97"/>
      <c r="EJ563" s="97"/>
      <c r="EK563" s="97"/>
      <c r="EL563" s="97"/>
      <c r="EM563" s="97"/>
      <c r="EN563" s="97"/>
      <c r="EO563" s="97"/>
      <c r="EP563" s="97"/>
      <c r="EQ563" s="97"/>
      <c r="ER563" s="97"/>
      <c r="ES563" s="97"/>
      <c r="ET563" s="97"/>
    </row>
    <row r="564" spans="1:150" ht="15.75" customHeight="1">
      <c r="A564" s="97"/>
      <c r="B564" s="97"/>
      <c r="C564" s="97"/>
      <c r="D564" s="97"/>
      <c r="E564" s="97"/>
      <c r="F564" s="97"/>
      <c r="G564" s="97"/>
      <c r="H564" s="129"/>
      <c r="I564" s="97"/>
      <c r="J564" s="97"/>
      <c r="K564" s="97"/>
      <c r="L564" s="97"/>
      <c r="M564" s="97"/>
      <c r="N564" s="97"/>
      <c r="O564" s="97"/>
      <c r="P564" s="97"/>
      <c r="Q564" s="97"/>
      <c r="R564" s="97"/>
      <c r="S564" s="97"/>
      <c r="T564" s="97"/>
      <c r="U564" s="97"/>
      <c r="V564" s="97"/>
      <c r="W564" s="97"/>
      <c r="X564" s="129"/>
      <c r="Y564" s="97"/>
      <c r="Z564" s="97"/>
      <c r="AA564" s="97"/>
      <c r="AB564" s="97"/>
      <c r="AC564" s="97"/>
      <c r="AD564" s="97"/>
      <c r="AE564" s="97"/>
      <c r="AF564" s="97"/>
      <c r="AG564" s="97"/>
      <c r="AH564" s="97"/>
      <c r="AI564" s="97"/>
      <c r="AJ564" s="97"/>
      <c r="AK564" s="97"/>
      <c r="AL564" s="97"/>
      <c r="AM564" s="97"/>
      <c r="AN564" s="97"/>
      <c r="AO564" s="97"/>
      <c r="AP564" s="97"/>
      <c r="AQ564" s="97"/>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c r="DF564" s="97"/>
      <c r="DG564" s="97"/>
      <c r="DH564" s="97"/>
      <c r="DI564" s="97"/>
      <c r="DJ564" s="97"/>
      <c r="DK564" s="97"/>
      <c r="DL564" s="97"/>
      <c r="DM564" s="97"/>
      <c r="DN564" s="97"/>
      <c r="DO564" s="97"/>
      <c r="DP564" s="97"/>
      <c r="DQ564" s="97"/>
      <c r="DR564" s="97"/>
      <c r="DS564" s="97"/>
      <c r="DT564" s="97"/>
      <c r="DU564" s="97"/>
      <c r="DV564" s="97"/>
      <c r="DW564" s="97"/>
      <c r="DX564" s="97"/>
      <c r="DY564" s="97"/>
      <c r="DZ564" s="97"/>
      <c r="EA564" s="97"/>
      <c r="EB564" s="97"/>
      <c r="EC564" s="97"/>
      <c r="ED564" s="97"/>
      <c r="EE564" s="97"/>
      <c r="EF564" s="97"/>
      <c r="EG564" s="97"/>
      <c r="EH564" s="97"/>
      <c r="EI564" s="97"/>
      <c r="EJ564" s="97"/>
      <c r="EK564" s="97"/>
      <c r="EL564" s="97"/>
      <c r="EM564" s="97"/>
      <c r="EN564" s="97"/>
      <c r="EO564" s="97"/>
      <c r="EP564" s="97"/>
      <c r="EQ564" s="97"/>
      <c r="ER564" s="97"/>
      <c r="ES564" s="97"/>
      <c r="ET564" s="97"/>
    </row>
    <row r="565" spans="1:150" ht="15.75" customHeight="1">
      <c r="A565" s="97"/>
      <c r="B565" s="97"/>
      <c r="C565" s="97"/>
      <c r="D565" s="97"/>
      <c r="E565" s="97"/>
      <c r="F565" s="97"/>
      <c r="G565" s="97"/>
      <c r="H565" s="129"/>
      <c r="I565" s="97"/>
      <c r="J565" s="97"/>
      <c r="K565" s="97"/>
      <c r="L565" s="97"/>
      <c r="M565" s="97"/>
      <c r="N565" s="97"/>
      <c r="O565" s="97"/>
      <c r="P565" s="97"/>
      <c r="Q565" s="97"/>
      <c r="R565" s="97"/>
      <c r="S565" s="97"/>
      <c r="T565" s="97"/>
      <c r="U565" s="97"/>
      <c r="V565" s="97"/>
      <c r="W565" s="97"/>
      <c r="X565" s="129"/>
      <c r="Y565" s="97"/>
      <c r="Z565" s="97"/>
      <c r="AA565" s="97"/>
      <c r="AB565" s="97"/>
      <c r="AC565" s="97"/>
      <c r="AD565" s="97"/>
      <c r="AE565" s="97"/>
      <c r="AF565" s="97"/>
      <c r="AG565" s="97"/>
      <c r="AH565" s="97"/>
      <c r="AI565" s="97"/>
      <c r="AJ565" s="97"/>
      <c r="AK565" s="97"/>
      <c r="AL565" s="97"/>
      <c r="AM565" s="97"/>
      <c r="AN565" s="97"/>
      <c r="AO565" s="97"/>
      <c r="AP565" s="97"/>
      <c r="AQ565" s="97"/>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c r="DF565" s="97"/>
      <c r="DG565" s="97"/>
      <c r="DH565" s="97"/>
      <c r="DI565" s="97"/>
      <c r="DJ565" s="97"/>
      <c r="DK565" s="97"/>
      <c r="DL565" s="97"/>
      <c r="DM565" s="97"/>
      <c r="DN565" s="97"/>
      <c r="DO565" s="97"/>
      <c r="DP565" s="97"/>
      <c r="DQ565" s="97"/>
      <c r="DR565" s="97"/>
      <c r="DS565" s="97"/>
      <c r="DT565" s="97"/>
      <c r="DU565" s="97"/>
      <c r="DV565" s="97"/>
      <c r="DW565" s="97"/>
      <c r="DX565" s="97"/>
      <c r="DY565" s="97"/>
      <c r="DZ565" s="97"/>
      <c r="EA565" s="97"/>
      <c r="EB565" s="97"/>
      <c r="EC565" s="97"/>
      <c r="ED565" s="97"/>
      <c r="EE565" s="97"/>
      <c r="EF565" s="97"/>
      <c r="EG565" s="97"/>
      <c r="EH565" s="97"/>
      <c r="EI565" s="97"/>
      <c r="EJ565" s="97"/>
      <c r="EK565" s="97"/>
      <c r="EL565" s="97"/>
      <c r="EM565" s="97"/>
      <c r="EN565" s="97"/>
      <c r="EO565" s="97"/>
      <c r="EP565" s="97"/>
      <c r="EQ565" s="97"/>
      <c r="ER565" s="97"/>
      <c r="ES565" s="97"/>
      <c r="ET565" s="97"/>
    </row>
    <row r="566" spans="1:150" ht="15.75" customHeight="1">
      <c r="A566" s="97"/>
      <c r="B566" s="97"/>
      <c r="C566" s="97"/>
      <c r="D566" s="97"/>
      <c r="E566" s="97"/>
      <c r="F566" s="97"/>
      <c r="G566" s="97"/>
      <c r="H566" s="129"/>
      <c r="I566" s="97"/>
      <c r="J566" s="97"/>
      <c r="K566" s="97"/>
      <c r="L566" s="97"/>
      <c r="M566" s="97"/>
      <c r="N566" s="97"/>
      <c r="O566" s="97"/>
      <c r="P566" s="97"/>
      <c r="Q566" s="97"/>
      <c r="R566" s="97"/>
      <c r="S566" s="97"/>
      <c r="T566" s="97"/>
      <c r="U566" s="97"/>
      <c r="V566" s="97"/>
      <c r="W566" s="97"/>
      <c r="X566" s="129"/>
      <c r="Y566" s="97"/>
      <c r="Z566" s="97"/>
      <c r="AA566" s="97"/>
      <c r="AB566" s="97"/>
      <c r="AC566" s="97"/>
      <c r="AD566" s="97"/>
      <c r="AE566" s="97"/>
      <c r="AF566" s="97"/>
      <c r="AG566" s="97"/>
      <c r="AH566" s="97"/>
      <c r="AI566" s="97"/>
      <c r="AJ566" s="97"/>
      <c r="AK566" s="97"/>
      <c r="AL566" s="97"/>
      <c r="AM566" s="97"/>
      <c r="AN566" s="97"/>
      <c r="AO566" s="97"/>
      <c r="AP566" s="97"/>
      <c r="AQ566" s="97"/>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c r="DF566" s="97"/>
      <c r="DG566" s="97"/>
      <c r="DH566" s="97"/>
      <c r="DI566" s="97"/>
      <c r="DJ566" s="97"/>
      <c r="DK566" s="97"/>
      <c r="DL566" s="97"/>
      <c r="DM566" s="97"/>
      <c r="DN566" s="97"/>
      <c r="DO566" s="97"/>
      <c r="DP566" s="97"/>
      <c r="DQ566" s="97"/>
      <c r="DR566" s="97"/>
      <c r="DS566" s="97"/>
      <c r="DT566" s="97"/>
      <c r="DU566" s="97"/>
      <c r="DV566" s="97"/>
      <c r="DW566" s="97"/>
      <c r="DX566" s="97"/>
      <c r="DY566" s="97"/>
      <c r="DZ566" s="97"/>
      <c r="EA566" s="97"/>
      <c r="EB566" s="97"/>
      <c r="EC566" s="97"/>
      <c r="ED566" s="97"/>
      <c r="EE566" s="97"/>
      <c r="EF566" s="97"/>
      <c r="EG566" s="97"/>
      <c r="EH566" s="97"/>
      <c r="EI566" s="97"/>
      <c r="EJ566" s="97"/>
      <c r="EK566" s="97"/>
      <c r="EL566" s="97"/>
      <c r="EM566" s="97"/>
      <c r="EN566" s="97"/>
      <c r="EO566" s="97"/>
      <c r="EP566" s="97"/>
      <c r="EQ566" s="97"/>
      <c r="ER566" s="97"/>
      <c r="ES566" s="97"/>
      <c r="ET566" s="97"/>
    </row>
    <row r="567" spans="1:150" ht="15.75" customHeight="1">
      <c r="A567" s="97"/>
      <c r="B567" s="97"/>
      <c r="C567" s="97"/>
      <c r="D567" s="97"/>
      <c r="E567" s="97"/>
      <c r="F567" s="97"/>
      <c r="G567" s="97"/>
      <c r="H567" s="129"/>
      <c r="I567" s="97"/>
      <c r="J567" s="97"/>
      <c r="K567" s="97"/>
      <c r="L567" s="97"/>
      <c r="M567" s="97"/>
      <c r="N567" s="97"/>
      <c r="O567" s="97"/>
      <c r="P567" s="97"/>
      <c r="Q567" s="97"/>
      <c r="R567" s="97"/>
      <c r="S567" s="97"/>
      <c r="T567" s="97"/>
      <c r="U567" s="97"/>
      <c r="V567" s="97"/>
      <c r="W567" s="97"/>
      <c r="X567" s="129"/>
      <c r="Y567" s="97"/>
      <c r="Z567" s="97"/>
      <c r="AA567" s="97"/>
      <c r="AB567" s="97"/>
      <c r="AC567" s="97"/>
      <c r="AD567" s="97"/>
      <c r="AE567" s="97"/>
      <c r="AF567" s="97"/>
      <c r="AG567" s="97"/>
      <c r="AH567" s="97"/>
      <c r="AI567" s="97"/>
      <c r="AJ567" s="97"/>
      <c r="AK567" s="97"/>
      <c r="AL567" s="97"/>
      <c r="AM567" s="97"/>
      <c r="AN567" s="97"/>
      <c r="AO567" s="97"/>
      <c r="AP567" s="97"/>
      <c r="AQ567" s="97"/>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c r="DF567" s="97"/>
      <c r="DG567" s="97"/>
      <c r="DH567" s="97"/>
      <c r="DI567" s="97"/>
      <c r="DJ567" s="97"/>
      <c r="DK567" s="97"/>
      <c r="DL567" s="97"/>
      <c r="DM567" s="97"/>
      <c r="DN567" s="97"/>
      <c r="DO567" s="97"/>
      <c r="DP567" s="97"/>
      <c r="DQ567" s="97"/>
      <c r="DR567" s="97"/>
      <c r="DS567" s="97"/>
      <c r="DT567" s="97"/>
      <c r="DU567" s="97"/>
      <c r="DV567" s="97"/>
      <c r="DW567" s="97"/>
      <c r="DX567" s="97"/>
      <c r="DY567" s="97"/>
      <c r="DZ567" s="97"/>
      <c r="EA567" s="97"/>
      <c r="EB567" s="97"/>
      <c r="EC567" s="97"/>
      <c r="ED567" s="97"/>
      <c r="EE567" s="97"/>
      <c r="EF567" s="97"/>
      <c r="EG567" s="97"/>
      <c r="EH567" s="97"/>
      <c r="EI567" s="97"/>
      <c r="EJ567" s="97"/>
      <c r="EK567" s="97"/>
      <c r="EL567" s="97"/>
      <c r="EM567" s="97"/>
      <c r="EN567" s="97"/>
      <c r="EO567" s="97"/>
      <c r="EP567" s="97"/>
      <c r="EQ567" s="97"/>
      <c r="ER567" s="97"/>
      <c r="ES567" s="97"/>
      <c r="ET567" s="97"/>
    </row>
    <row r="568" spans="1:150" ht="15.75" customHeight="1">
      <c r="A568" s="97"/>
      <c r="B568" s="97"/>
      <c r="C568" s="97"/>
      <c r="D568" s="97"/>
      <c r="E568" s="97"/>
      <c r="F568" s="97"/>
      <c r="G568" s="97"/>
      <c r="H568" s="129"/>
      <c r="I568" s="97"/>
      <c r="J568" s="97"/>
      <c r="K568" s="97"/>
      <c r="L568" s="97"/>
      <c r="M568" s="97"/>
      <c r="N568" s="97"/>
      <c r="O568" s="97"/>
      <c r="P568" s="97"/>
      <c r="Q568" s="97"/>
      <c r="R568" s="97"/>
      <c r="S568" s="97"/>
      <c r="T568" s="97"/>
      <c r="U568" s="97"/>
      <c r="V568" s="97"/>
      <c r="W568" s="97"/>
      <c r="X568" s="129"/>
      <c r="Y568" s="97"/>
      <c r="Z568" s="97"/>
      <c r="AA568" s="97"/>
      <c r="AB568" s="97"/>
      <c r="AC568" s="97"/>
      <c r="AD568" s="97"/>
      <c r="AE568" s="97"/>
      <c r="AF568" s="97"/>
      <c r="AG568" s="97"/>
      <c r="AH568" s="97"/>
      <c r="AI568" s="97"/>
      <c r="AJ568" s="97"/>
      <c r="AK568" s="97"/>
      <c r="AL568" s="97"/>
      <c r="AM568" s="97"/>
      <c r="AN568" s="97"/>
      <c r="AO568" s="97"/>
      <c r="AP568" s="97"/>
      <c r="AQ568" s="97"/>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c r="DF568" s="97"/>
      <c r="DG568" s="97"/>
      <c r="DH568" s="97"/>
      <c r="DI568" s="97"/>
      <c r="DJ568" s="97"/>
      <c r="DK568" s="97"/>
      <c r="DL568" s="97"/>
      <c r="DM568" s="97"/>
      <c r="DN568" s="97"/>
      <c r="DO568" s="97"/>
      <c r="DP568" s="97"/>
      <c r="DQ568" s="97"/>
      <c r="DR568" s="97"/>
      <c r="DS568" s="97"/>
      <c r="DT568" s="97"/>
      <c r="DU568" s="97"/>
      <c r="DV568" s="97"/>
      <c r="DW568" s="97"/>
      <c r="DX568" s="97"/>
      <c r="DY568" s="97"/>
      <c r="DZ568" s="97"/>
      <c r="EA568" s="97"/>
      <c r="EB568" s="97"/>
      <c r="EC568" s="97"/>
      <c r="ED568" s="97"/>
      <c r="EE568" s="97"/>
      <c r="EF568" s="97"/>
      <c r="EG568" s="97"/>
      <c r="EH568" s="97"/>
      <c r="EI568" s="97"/>
      <c r="EJ568" s="97"/>
      <c r="EK568" s="97"/>
      <c r="EL568" s="97"/>
      <c r="EM568" s="97"/>
      <c r="EN568" s="97"/>
      <c r="EO568" s="97"/>
      <c r="EP568" s="97"/>
      <c r="EQ568" s="97"/>
      <c r="ER568" s="97"/>
      <c r="ES568" s="97"/>
      <c r="ET568" s="97"/>
    </row>
    <row r="569" spans="1:150" ht="15.75" customHeight="1">
      <c r="A569" s="97"/>
      <c r="B569" s="97"/>
      <c r="C569" s="97"/>
      <c r="D569" s="97"/>
      <c r="E569" s="97"/>
      <c r="F569" s="97"/>
      <c r="G569" s="97"/>
      <c r="H569" s="129"/>
      <c r="I569" s="97"/>
      <c r="J569" s="97"/>
      <c r="K569" s="97"/>
      <c r="L569" s="97"/>
      <c r="M569" s="97"/>
      <c r="N569" s="97"/>
      <c r="O569" s="97"/>
      <c r="P569" s="97"/>
      <c r="Q569" s="97"/>
      <c r="R569" s="97"/>
      <c r="S569" s="97"/>
      <c r="T569" s="97"/>
      <c r="U569" s="97"/>
      <c r="V569" s="97"/>
      <c r="W569" s="97"/>
      <c r="X569" s="129"/>
      <c r="Y569" s="97"/>
      <c r="Z569" s="97"/>
      <c r="AA569" s="97"/>
      <c r="AB569" s="97"/>
      <c r="AC569" s="97"/>
      <c r="AD569" s="97"/>
      <c r="AE569" s="97"/>
      <c r="AF569" s="97"/>
      <c r="AG569" s="97"/>
      <c r="AH569" s="97"/>
      <c r="AI569" s="97"/>
      <c r="AJ569" s="97"/>
      <c r="AK569" s="97"/>
      <c r="AL569" s="97"/>
      <c r="AM569" s="97"/>
      <c r="AN569" s="97"/>
      <c r="AO569" s="97"/>
      <c r="AP569" s="97"/>
      <c r="AQ569" s="97"/>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c r="DF569" s="97"/>
      <c r="DG569" s="97"/>
      <c r="DH569" s="97"/>
      <c r="DI569" s="97"/>
      <c r="DJ569" s="97"/>
      <c r="DK569" s="97"/>
      <c r="DL569" s="97"/>
      <c r="DM569" s="97"/>
      <c r="DN569" s="97"/>
      <c r="DO569" s="97"/>
      <c r="DP569" s="97"/>
      <c r="DQ569" s="97"/>
      <c r="DR569" s="97"/>
      <c r="DS569" s="97"/>
      <c r="DT569" s="97"/>
      <c r="DU569" s="97"/>
      <c r="DV569" s="97"/>
      <c r="DW569" s="97"/>
      <c r="DX569" s="97"/>
      <c r="DY569" s="97"/>
      <c r="DZ569" s="97"/>
      <c r="EA569" s="97"/>
      <c r="EB569" s="97"/>
      <c r="EC569" s="97"/>
      <c r="ED569" s="97"/>
      <c r="EE569" s="97"/>
      <c r="EF569" s="97"/>
      <c r="EG569" s="97"/>
      <c r="EH569" s="97"/>
      <c r="EI569" s="97"/>
      <c r="EJ569" s="97"/>
      <c r="EK569" s="97"/>
      <c r="EL569" s="97"/>
      <c r="EM569" s="97"/>
      <c r="EN569" s="97"/>
      <c r="EO569" s="97"/>
      <c r="EP569" s="97"/>
      <c r="EQ569" s="97"/>
      <c r="ER569" s="97"/>
      <c r="ES569" s="97"/>
      <c r="ET569" s="97"/>
    </row>
    <row r="570" spans="1:150" ht="15.75" customHeight="1">
      <c r="A570" s="97"/>
      <c r="B570" s="97"/>
      <c r="C570" s="97"/>
      <c r="D570" s="97"/>
      <c r="E570" s="97"/>
      <c r="F570" s="97"/>
      <c r="G570" s="97"/>
      <c r="H570" s="129"/>
      <c r="I570" s="97"/>
      <c r="J570" s="97"/>
      <c r="K570" s="97"/>
      <c r="L570" s="97"/>
      <c r="M570" s="97"/>
      <c r="N570" s="97"/>
      <c r="O570" s="97"/>
      <c r="P570" s="97"/>
      <c r="Q570" s="97"/>
      <c r="R570" s="97"/>
      <c r="S570" s="97"/>
      <c r="T570" s="97"/>
      <c r="U570" s="97"/>
      <c r="V570" s="97"/>
      <c r="W570" s="97"/>
      <c r="X570" s="129"/>
      <c r="Y570" s="97"/>
      <c r="Z570" s="97"/>
      <c r="AA570" s="97"/>
      <c r="AB570" s="97"/>
      <c r="AC570" s="97"/>
      <c r="AD570" s="97"/>
      <c r="AE570" s="97"/>
      <c r="AF570" s="97"/>
      <c r="AG570" s="97"/>
      <c r="AH570" s="97"/>
      <c r="AI570" s="97"/>
      <c r="AJ570" s="97"/>
      <c r="AK570" s="97"/>
      <c r="AL570" s="97"/>
      <c r="AM570" s="97"/>
      <c r="AN570" s="97"/>
      <c r="AO570" s="97"/>
      <c r="AP570" s="97"/>
      <c r="AQ570" s="97"/>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c r="DF570" s="97"/>
      <c r="DG570" s="97"/>
      <c r="DH570" s="97"/>
      <c r="DI570" s="97"/>
      <c r="DJ570" s="97"/>
      <c r="DK570" s="97"/>
      <c r="DL570" s="97"/>
      <c r="DM570" s="97"/>
      <c r="DN570" s="97"/>
      <c r="DO570" s="97"/>
      <c r="DP570" s="97"/>
      <c r="DQ570" s="97"/>
      <c r="DR570" s="97"/>
      <c r="DS570" s="97"/>
      <c r="DT570" s="97"/>
      <c r="DU570" s="97"/>
      <c r="DV570" s="97"/>
      <c r="DW570" s="97"/>
      <c r="DX570" s="97"/>
      <c r="DY570" s="97"/>
      <c r="DZ570" s="97"/>
      <c r="EA570" s="97"/>
      <c r="EB570" s="97"/>
      <c r="EC570" s="97"/>
      <c r="ED570" s="97"/>
      <c r="EE570" s="97"/>
      <c r="EF570" s="97"/>
      <c r="EG570" s="97"/>
      <c r="EH570" s="97"/>
      <c r="EI570" s="97"/>
      <c r="EJ570" s="97"/>
      <c r="EK570" s="97"/>
      <c r="EL570" s="97"/>
      <c r="EM570" s="97"/>
      <c r="EN570" s="97"/>
      <c r="EO570" s="97"/>
      <c r="EP570" s="97"/>
      <c r="EQ570" s="97"/>
      <c r="ER570" s="97"/>
      <c r="ES570" s="97"/>
      <c r="ET570" s="97"/>
    </row>
    <row r="571" spans="1:150" ht="15.75" customHeight="1">
      <c r="A571" s="97"/>
      <c r="B571" s="97"/>
      <c r="C571" s="97"/>
      <c r="D571" s="97"/>
      <c r="E571" s="97"/>
      <c r="F571" s="97"/>
      <c r="G571" s="97"/>
      <c r="H571" s="129"/>
      <c r="I571" s="97"/>
      <c r="J571" s="97"/>
      <c r="K571" s="97"/>
      <c r="L571" s="97"/>
      <c r="M571" s="97"/>
      <c r="N571" s="97"/>
      <c r="O571" s="97"/>
      <c r="P571" s="97"/>
      <c r="Q571" s="97"/>
      <c r="R571" s="97"/>
      <c r="S571" s="97"/>
      <c r="T571" s="97"/>
      <c r="U571" s="97"/>
      <c r="V571" s="97"/>
      <c r="W571" s="97"/>
      <c r="X571" s="129"/>
      <c r="Y571" s="97"/>
      <c r="Z571" s="97"/>
      <c r="AA571" s="97"/>
      <c r="AB571" s="97"/>
      <c r="AC571" s="97"/>
      <c r="AD571" s="97"/>
      <c r="AE571" s="97"/>
      <c r="AF571" s="97"/>
      <c r="AG571" s="97"/>
      <c r="AH571" s="97"/>
      <c r="AI571" s="97"/>
      <c r="AJ571" s="97"/>
      <c r="AK571" s="97"/>
      <c r="AL571" s="97"/>
      <c r="AM571" s="97"/>
      <c r="AN571" s="97"/>
      <c r="AO571" s="97"/>
      <c r="AP571" s="97"/>
      <c r="AQ571" s="97"/>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c r="DF571" s="97"/>
      <c r="DG571" s="97"/>
      <c r="DH571" s="97"/>
      <c r="DI571" s="97"/>
      <c r="DJ571" s="97"/>
      <c r="DK571" s="97"/>
      <c r="DL571" s="97"/>
      <c r="DM571" s="97"/>
      <c r="DN571" s="97"/>
      <c r="DO571" s="97"/>
      <c r="DP571" s="97"/>
      <c r="DQ571" s="97"/>
      <c r="DR571" s="97"/>
      <c r="DS571" s="97"/>
      <c r="DT571" s="97"/>
      <c r="DU571" s="97"/>
      <c r="DV571" s="97"/>
      <c r="DW571" s="97"/>
      <c r="DX571" s="97"/>
      <c r="DY571" s="97"/>
      <c r="DZ571" s="97"/>
      <c r="EA571" s="97"/>
      <c r="EB571" s="97"/>
      <c r="EC571" s="97"/>
      <c r="ED571" s="97"/>
      <c r="EE571" s="97"/>
      <c r="EF571" s="97"/>
      <c r="EG571" s="97"/>
      <c r="EH571" s="97"/>
      <c r="EI571" s="97"/>
      <c r="EJ571" s="97"/>
      <c r="EK571" s="97"/>
      <c r="EL571" s="97"/>
      <c r="EM571" s="97"/>
      <c r="EN571" s="97"/>
      <c r="EO571" s="97"/>
      <c r="EP571" s="97"/>
      <c r="EQ571" s="97"/>
      <c r="ER571" s="97"/>
      <c r="ES571" s="97"/>
      <c r="ET571" s="97"/>
    </row>
    <row r="572" spans="1:150" ht="15.75" customHeight="1">
      <c r="A572" s="97"/>
      <c r="B572" s="97"/>
      <c r="C572" s="97"/>
      <c r="D572" s="97"/>
      <c r="E572" s="97"/>
      <c r="F572" s="97"/>
      <c r="G572" s="97"/>
      <c r="H572" s="129"/>
      <c r="I572" s="97"/>
      <c r="J572" s="97"/>
      <c r="K572" s="97"/>
      <c r="L572" s="97"/>
      <c r="M572" s="97"/>
      <c r="N572" s="97"/>
      <c r="O572" s="97"/>
      <c r="P572" s="97"/>
      <c r="Q572" s="97"/>
      <c r="R572" s="97"/>
      <c r="S572" s="97"/>
      <c r="T572" s="97"/>
      <c r="U572" s="97"/>
      <c r="V572" s="97"/>
      <c r="W572" s="97"/>
      <c r="X572" s="129"/>
      <c r="Y572" s="97"/>
      <c r="Z572" s="97"/>
      <c r="AA572" s="97"/>
      <c r="AB572" s="97"/>
      <c r="AC572" s="97"/>
      <c r="AD572" s="97"/>
      <c r="AE572" s="97"/>
      <c r="AF572" s="97"/>
      <c r="AG572" s="97"/>
      <c r="AH572" s="97"/>
      <c r="AI572" s="97"/>
      <c r="AJ572" s="97"/>
      <c r="AK572" s="97"/>
      <c r="AL572" s="97"/>
      <c r="AM572" s="97"/>
      <c r="AN572" s="97"/>
      <c r="AO572" s="97"/>
      <c r="AP572" s="97"/>
      <c r="AQ572" s="97"/>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c r="DF572" s="97"/>
      <c r="DG572" s="97"/>
      <c r="DH572" s="97"/>
      <c r="DI572" s="97"/>
      <c r="DJ572" s="97"/>
      <c r="DK572" s="97"/>
      <c r="DL572" s="97"/>
      <c r="DM572" s="97"/>
      <c r="DN572" s="97"/>
      <c r="DO572" s="97"/>
      <c r="DP572" s="97"/>
      <c r="DQ572" s="97"/>
      <c r="DR572" s="97"/>
      <c r="DS572" s="97"/>
      <c r="DT572" s="97"/>
      <c r="DU572" s="97"/>
      <c r="DV572" s="97"/>
      <c r="DW572" s="97"/>
      <c r="DX572" s="97"/>
      <c r="DY572" s="97"/>
      <c r="DZ572" s="97"/>
      <c r="EA572" s="97"/>
      <c r="EB572" s="97"/>
      <c r="EC572" s="97"/>
      <c r="ED572" s="97"/>
      <c r="EE572" s="97"/>
      <c r="EF572" s="97"/>
      <c r="EG572" s="97"/>
      <c r="EH572" s="97"/>
      <c r="EI572" s="97"/>
      <c r="EJ572" s="97"/>
      <c r="EK572" s="97"/>
      <c r="EL572" s="97"/>
      <c r="EM572" s="97"/>
      <c r="EN572" s="97"/>
      <c r="EO572" s="97"/>
      <c r="EP572" s="97"/>
      <c r="EQ572" s="97"/>
      <c r="ER572" s="97"/>
      <c r="ES572" s="97"/>
      <c r="ET572" s="97"/>
    </row>
    <row r="573" spans="1:150" ht="15.75" customHeight="1">
      <c r="A573" s="97"/>
      <c r="B573" s="97"/>
      <c r="C573" s="97"/>
      <c r="D573" s="97"/>
      <c r="E573" s="97"/>
      <c r="F573" s="97"/>
      <c r="G573" s="97"/>
      <c r="H573" s="129"/>
      <c r="I573" s="97"/>
      <c r="J573" s="97"/>
      <c r="K573" s="97"/>
      <c r="L573" s="97"/>
      <c r="M573" s="97"/>
      <c r="N573" s="97"/>
      <c r="O573" s="97"/>
      <c r="P573" s="97"/>
      <c r="Q573" s="97"/>
      <c r="R573" s="97"/>
      <c r="S573" s="97"/>
      <c r="T573" s="97"/>
      <c r="U573" s="97"/>
      <c r="V573" s="97"/>
      <c r="W573" s="97"/>
      <c r="X573" s="129"/>
      <c r="Y573" s="97"/>
      <c r="Z573" s="97"/>
      <c r="AA573" s="97"/>
      <c r="AB573" s="97"/>
      <c r="AC573" s="97"/>
      <c r="AD573" s="97"/>
      <c r="AE573" s="97"/>
      <c r="AF573" s="97"/>
      <c r="AG573" s="97"/>
      <c r="AH573" s="97"/>
      <c r="AI573" s="97"/>
      <c r="AJ573" s="97"/>
      <c r="AK573" s="97"/>
      <c r="AL573" s="97"/>
      <c r="AM573" s="97"/>
      <c r="AN573" s="97"/>
      <c r="AO573" s="97"/>
      <c r="AP573" s="97"/>
      <c r="AQ573" s="97"/>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c r="DF573" s="97"/>
      <c r="DG573" s="97"/>
      <c r="DH573" s="97"/>
      <c r="DI573" s="97"/>
      <c r="DJ573" s="97"/>
      <c r="DK573" s="97"/>
      <c r="DL573" s="97"/>
      <c r="DM573" s="97"/>
      <c r="DN573" s="97"/>
      <c r="DO573" s="97"/>
      <c r="DP573" s="97"/>
      <c r="DQ573" s="97"/>
      <c r="DR573" s="97"/>
      <c r="DS573" s="97"/>
      <c r="DT573" s="97"/>
      <c r="DU573" s="97"/>
      <c r="DV573" s="97"/>
      <c r="DW573" s="97"/>
      <c r="DX573" s="97"/>
      <c r="DY573" s="97"/>
      <c r="DZ573" s="97"/>
      <c r="EA573" s="97"/>
      <c r="EB573" s="97"/>
      <c r="EC573" s="97"/>
      <c r="ED573" s="97"/>
      <c r="EE573" s="97"/>
      <c r="EF573" s="97"/>
      <c r="EG573" s="97"/>
      <c r="EH573" s="97"/>
      <c r="EI573" s="97"/>
      <c r="EJ573" s="97"/>
      <c r="EK573" s="97"/>
      <c r="EL573" s="97"/>
      <c r="EM573" s="97"/>
      <c r="EN573" s="97"/>
      <c r="EO573" s="97"/>
      <c r="EP573" s="97"/>
      <c r="EQ573" s="97"/>
      <c r="ER573" s="97"/>
      <c r="ES573" s="97"/>
      <c r="ET573" s="97"/>
    </row>
    <row r="574" spans="1:150" ht="15.75" customHeight="1">
      <c r="A574" s="97"/>
      <c r="B574" s="97"/>
      <c r="C574" s="97"/>
      <c r="D574" s="97"/>
      <c r="E574" s="97"/>
      <c r="F574" s="97"/>
      <c r="G574" s="97"/>
      <c r="H574" s="129"/>
      <c r="I574" s="97"/>
      <c r="J574" s="97"/>
      <c r="K574" s="97"/>
      <c r="L574" s="97"/>
      <c r="M574" s="97"/>
      <c r="N574" s="97"/>
      <c r="O574" s="97"/>
      <c r="P574" s="97"/>
      <c r="Q574" s="97"/>
      <c r="R574" s="97"/>
      <c r="S574" s="97"/>
      <c r="T574" s="97"/>
      <c r="U574" s="97"/>
      <c r="V574" s="97"/>
      <c r="W574" s="97"/>
      <c r="X574" s="129"/>
      <c r="Y574" s="97"/>
      <c r="Z574" s="97"/>
      <c r="AA574" s="97"/>
      <c r="AB574" s="97"/>
      <c r="AC574" s="97"/>
      <c r="AD574" s="97"/>
      <c r="AE574" s="97"/>
      <c r="AF574" s="97"/>
      <c r="AG574" s="97"/>
      <c r="AH574" s="97"/>
      <c r="AI574" s="97"/>
      <c r="AJ574" s="97"/>
      <c r="AK574" s="97"/>
      <c r="AL574" s="97"/>
      <c r="AM574" s="97"/>
      <c r="AN574" s="97"/>
      <c r="AO574" s="97"/>
      <c r="AP574" s="97"/>
      <c r="AQ574" s="97"/>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c r="DF574" s="97"/>
      <c r="DG574" s="97"/>
      <c r="DH574" s="97"/>
      <c r="DI574" s="97"/>
      <c r="DJ574" s="97"/>
      <c r="DK574" s="97"/>
      <c r="DL574" s="97"/>
      <c r="DM574" s="97"/>
      <c r="DN574" s="97"/>
      <c r="DO574" s="97"/>
      <c r="DP574" s="97"/>
      <c r="DQ574" s="97"/>
      <c r="DR574" s="97"/>
      <c r="DS574" s="97"/>
      <c r="DT574" s="97"/>
      <c r="DU574" s="97"/>
      <c r="DV574" s="97"/>
      <c r="DW574" s="97"/>
      <c r="DX574" s="97"/>
      <c r="DY574" s="97"/>
      <c r="DZ574" s="97"/>
      <c r="EA574" s="97"/>
      <c r="EB574" s="97"/>
      <c r="EC574" s="97"/>
      <c r="ED574" s="97"/>
      <c r="EE574" s="97"/>
      <c r="EF574" s="97"/>
      <c r="EG574" s="97"/>
      <c r="EH574" s="97"/>
      <c r="EI574" s="97"/>
      <c r="EJ574" s="97"/>
      <c r="EK574" s="97"/>
      <c r="EL574" s="97"/>
      <c r="EM574" s="97"/>
      <c r="EN574" s="97"/>
      <c r="EO574" s="97"/>
      <c r="EP574" s="97"/>
      <c r="EQ574" s="97"/>
      <c r="ER574" s="97"/>
      <c r="ES574" s="97"/>
      <c r="ET574" s="97"/>
    </row>
    <row r="575" spans="1:150" ht="15.75" customHeight="1">
      <c r="A575" s="97"/>
      <c r="B575" s="97"/>
      <c r="C575" s="97"/>
      <c r="D575" s="97"/>
      <c r="E575" s="97"/>
      <c r="F575" s="97"/>
      <c r="G575" s="97"/>
      <c r="H575" s="129"/>
      <c r="I575" s="97"/>
      <c r="J575" s="97"/>
      <c r="K575" s="97"/>
      <c r="L575" s="97"/>
      <c r="M575" s="97"/>
      <c r="N575" s="97"/>
      <c r="O575" s="97"/>
      <c r="P575" s="97"/>
      <c r="Q575" s="97"/>
      <c r="R575" s="97"/>
      <c r="S575" s="97"/>
      <c r="T575" s="97"/>
      <c r="U575" s="97"/>
      <c r="V575" s="97"/>
      <c r="W575" s="97"/>
      <c r="X575" s="129"/>
      <c r="Y575" s="97"/>
      <c r="Z575" s="97"/>
      <c r="AA575" s="97"/>
      <c r="AB575" s="97"/>
      <c r="AC575" s="97"/>
      <c r="AD575" s="97"/>
      <c r="AE575" s="97"/>
      <c r="AF575" s="97"/>
      <c r="AG575" s="97"/>
      <c r="AH575" s="97"/>
      <c r="AI575" s="97"/>
      <c r="AJ575" s="97"/>
      <c r="AK575" s="97"/>
      <c r="AL575" s="97"/>
      <c r="AM575" s="97"/>
      <c r="AN575" s="97"/>
      <c r="AO575" s="97"/>
      <c r="AP575" s="97"/>
      <c r="AQ575" s="97"/>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c r="DF575" s="97"/>
      <c r="DG575" s="97"/>
      <c r="DH575" s="97"/>
      <c r="DI575" s="97"/>
      <c r="DJ575" s="97"/>
      <c r="DK575" s="97"/>
      <c r="DL575" s="97"/>
      <c r="DM575" s="97"/>
      <c r="DN575" s="97"/>
      <c r="DO575" s="97"/>
      <c r="DP575" s="97"/>
      <c r="DQ575" s="97"/>
      <c r="DR575" s="97"/>
      <c r="DS575" s="97"/>
      <c r="DT575" s="97"/>
      <c r="DU575" s="97"/>
      <c r="DV575" s="97"/>
      <c r="DW575" s="97"/>
      <c r="DX575" s="97"/>
      <c r="DY575" s="97"/>
      <c r="DZ575" s="97"/>
      <c r="EA575" s="97"/>
      <c r="EB575" s="97"/>
      <c r="EC575" s="97"/>
      <c r="ED575" s="97"/>
      <c r="EE575" s="97"/>
      <c r="EF575" s="97"/>
      <c r="EG575" s="97"/>
      <c r="EH575" s="97"/>
      <c r="EI575" s="97"/>
      <c r="EJ575" s="97"/>
      <c r="EK575" s="97"/>
      <c r="EL575" s="97"/>
      <c r="EM575" s="97"/>
      <c r="EN575" s="97"/>
      <c r="EO575" s="97"/>
      <c r="EP575" s="97"/>
      <c r="EQ575" s="97"/>
      <c r="ER575" s="97"/>
      <c r="ES575" s="97"/>
      <c r="ET575" s="97"/>
    </row>
    <row r="576" spans="1:150" ht="15.75" customHeight="1">
      <c r="A576" s="97"/>
      <c r="B576" s="97"/>
      <c r="C576" s="97"/>
      <c r="D576" s="97"/>
      <c r="E576" s="97"/>
      <c r="F576" s="97"/>
      <c r="G576" s="97"/>
      <c r="H576" s="129"/>
      <c r="I576" s="97"/>
      <c r="J576" s="97"/>
      <c r="K576" s="97"/>
      <c r="L576" s="97"/>
      <c r="M576" s="97"/>
      <c r="N576" s="97"/>
      <c r="O576" s="97"/>
      <c r="P576" s="97"/>
      <c r="Q576" s="97"/>
      <c r="R576" s="97"/>
      <c r="S576" s="97"/>
      <c r="T576" s="97"/>
      <c r="U576" s="97"/>
      <c r="V576" s="97"/>
      <c r="W576" s="97"/>
      <c r="X576" s="129"/>
      <c r="Y576" s="97"/>
      <c r="Z576" s="97"/>
      <c r="AA576" s="97"/>
      <c r="AB576" s="97"/>
      <c r="AC576" s="97"/>
      <c r="AD576" s="97"/>
      <c r="AE576" s="97"/>
      <c r="AF576" s="97"/>
      <c r="AG576" s="97"/>
      <c r="AH576" s="97"/>
      <c r="AI576" s="97"/>
      <c r="AJ576" s="97"/>
      <c r="AK576" s="97"/>
      <c r="AL576" s="97"/>
      <c r="AM576" s="97"/>
      <c r="AN576" s="97"/>
      <c r="AO576" s="97"/>
      <c r="AP576" s="97"/>
      <c r="AQ576" s="97"/>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c r="DF576" s="97"/>
      <c r="DG576" s="97"/>
      <c r="DH576" s="97"/>
      <c r="DI576" s="97"/>
      <c r="DJ576" s="97"/>
      <c r="DK576" s="97"/>
      <c r="DL576" s="97"/>
      <c r="DM576" s="97"/>
      <c r="DN576" s="97"/>
      <c r="DO576" s="97"/>
      <c r="DP576" s="97"/>
      <c r="DQ576" s="97"/>
      <c r="DR576" s="97"/>
      <c r="DS576" s="97"/>
      <c r="DT576" s="97"/>
      <c r="DU576" s="97"/>
      <c r="DV576" s="97"/>
      <c r="DW576" s="97"/>
      <c r="DX576" s="97"/>
      <c r="DY576" s="97"/>
      <c r="DZ576" s="97"/>
      <c r="EA576" s="97"/>
      <c r="EB576" s="97"/>
      <c r="EC576" s="97"/>
      <c r="ED576" s="97"/>
      <c r="EE576" s="97"/>
      <c r="EF576" s="97"/>
      <c r="EG576" s="97"/>
      <c r="EH576" s="97"/>
      <c r="EI576" s="97"/>
      <c r="EJ576" s="97"/>
      <c r="EK576" s="97"/>
      <c r="EL576" s="97"/>
      <c r="EM576" s="97"/>
      <c r="EN576" s="97"/>
      <c r="EO576" s="97"/>
      <c r="EP576" s="97"/>
      <c r="EQ576" s="97"/>
      <c r="ER576" s="97"/>
      <c r="ES576" s="97"/>
      <c r="ET576" s="97"/>
    </row>
    <row r="577" spans="1:150" ht="15.75" customHeight="1">
      <c r="A577" s="97"/>
      <c r="B577" s="97"/>
      <c r="C577" s="97"/>
      <c r="D577" s="97"/>
      <c r="E577" s="97"/>
      <c r="F577" s="97"/>
      <c r="G577" s="97"/>
      <c r="H577" s="129"/>
      <c r="I577" s="97"/>
      <c r="J577" s="97"/>
      <c r="K577" s="97"/>
      <c r="L577" s="97"/>
      <c r="M577" s="97"/>
      <c r="N577" s="97"/>
      <c r="O577" s="97"/>
      <c r="P577" s="97"/>
      <c r="Q577" s="97"/>
      <c r="R577" s="97"/>
      <c r="S577" s="97"/>
      <c r="T577" s="97"/>
      <c r="U577" s="97"/>
      <c r="V577" s="97"/>
      <c r="W577" s="97"/>
      <c r="X577" s="129"/>
      <c r="Y577" s="97"/>
      <c r="Z577" s="97"/>
      <c r="AA577" s="97"/>
      <c r="AB577" s="97"/>
      <c r="AC577" s="97"/>
      <c r="AD577" s="97"/>
      <c r="AE577" s="97"/>
      <c r="AF577" s="97"/>
      <c r="AG577" s="97"/>
      <c r="AH577" s="97"/>
      <c r="AI577" s="97"/>
      <c r="AJ577" s="97"/>
      <c r="AK577" s="97"/>
      <c r="AL577" s="97"/>
      <c r="AM577" s="97"/>
      <c r="AN577" s="97"/>
      <c r="AO577" s="97"/>
      <c r="AP577" s="97"/>
      <c r="AQ577" s="97"/>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c r="DF577" s="97"/>
      <c r="DG577" s="97"/>
      <c r="DH577" s="97"/>
      <c r="DI577" s="97"/>
      <c r="DJ577" s="97"/>
      <c r="DK577" s="97"/>
      <c r="DL577" s="97"/>
      <c r="DM577" s="97"/>
      <c r="DN577" s="97"/>
      <c r="DO577" s="97"/>
      <c r="DP577" s="97"/>
      <c r="DQ577" s="97"/>
      <c r="DR577" s="97"/>
      <c r="DS577" s="97"/>
      <c r="DT577" s="97"/>
      <c r="DU577" s="97"/>
      <c r="DV577" s="97"/>
      <c r="DW577" s="97"/>
      <c r="DX577" s="97"/>
      <c r="DY577" s="97"/>
      <c r="DZ577" s="97"/>
      <c r="EA577" s="97"/>
      <c r="EB577" s="97"/>
      <c r="EC577" s="97"/>
      <c r="ED577" s="97"/>
      <c r="EE577" s="97"/>
      <c r="EF577" s="97"/>
      <c r="EG577" s="97"/>
      <c r="EH577" s="97"/>
      <c r="EI577" s="97"/>
      <c r="EJ577" s="97"/>
      <c r="EK577" s="97"/>
      <c r="EL577" s="97"/>
      <c r="EM577" s="97"/>
      <c r="EN577" s="97"/>
      <c r="EO577" s="97"/>
      <c r="EP577" s="97"/>
      <c r="EQ577" s="97"/>
      <c r="ER577" s="97"/>
      <c r="ES577" s="97"/>
      <c r="ET577" s="97"/>
    </row>
    <row r="578" spans="1:150" ht="15.75" customHeight="1">
      <c r="A578" s="97"/>
      <c r="B578" s="97"/>
      <c r="C578" s="97"/>
      <c r="D578" s="97"/>
      <c r="E578" s="97"/>
      <c r="F578" s="97"/>
      <c r="G578" s="97"/>
      <c r="H578" s="129"/>
      <c r="I578" s="97"/>
      <c r="J578" s="97"/>
      <c r="K578" s="97"/>
      <c r="L578" s="97"/>
      <c r="M578" s="97"/>
      <c r="N578" s="97"/>
      <c r="O578" s="97"/>
      <c r="P578" s="97"/>
      <c r="Q578" s="97"/>
      <c r="R578" s="97"/>
      <c r="S578" s="97"/>
      <c r="T578" s="97"/>
      <c r="U578" s="97"/>
      <c r="V578" s="97"/>
      <c r="W578" s="97"/>
      <c r="X578" s="129"/>
      <c r="Y578" s="97"/>
      <c r="Z578" s="97"/>
      <c r="AA578" s="97"/>
      <c r="AB578" s="97"/>
      <c r="AC578" s="97"/>
      <c r="AD578" s="97"/>
      <c r="AE578" s="97"/>
      <c r="AF578" s="97"/>
      <c r="AG578" s="97"/>
      <c r="AH578" s="97"/>
      <c r="AI578" s="97"/>
      <c r="AJ578" s="97"/>
      <c r="AK578" s="97"/>
      <c r="AL578" s="97"/>
      <c r="AM578" s="97"/>
      <c r="AN578" s="97"/>
      <c r="AO578" s="97"/>
      <c r="AP578" s="97"/>
      <c r="AQ578" s="97"/>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c r="DF578" s="97"/>
      <c r="DG578" s="97"/>
      <c r="DH578" s="97"/>
      <c r="DI578" s="97"/>
      <c r="DJ578" s="97"/>
      <c r="DK578" s="97"/>
      <c r="DL578" s="97"/>
      <c r="DM578" s="97"/>
      <c r="DN578" s="97"/>
      <c r="DO578" s="97"/>
      <c r="DP578" s="97"/>
      <c r="DQ578" s="97"/>
      <c r="DR578" s="97"/>
      <c r="DS578" s="97"/>
      <c r="DT578" s="97"/>
      <c r="DU578" s="97"/>
      <c r="DV578" s="97"/>
      <c r="DW578" s="97"/>
      <c r="DX578" s="97"/>
      <c r="DY578" s="97"/>
      <c r="DZ578" s="97"/>
      <c r="EA578" s="97"/>
      <c r="EB578" s="97"/>
      <c r="EC578" s="97"/>
      <c r="ED578" s="97"/>
      <c r="EE578" s="97"/>
      <c r="EF578" s="97"/>
      <c r="EG578" s="97"/>
      <c r="EH578" s="97"/>
      <c r="EI578" s="97"/>
      <c r="EJ578" s="97"/>
      <c r="EK578" s="97"/>
      <c r="EL578" s="97"/>
      <c r="EM578" s="97"/>
      <c r="EN578" s="97"/>
      <c r="EO578" s="97"/>
      <c r="EP578" s="97"/>
      <c r="EQ578" s="97"/>
      <c r="ER578" s="97"/>
      <c r="ES578" s="97"/>
      <c r="ET578" s="97"/>
    </row>
    <row r="579" spans="1:150" ht="15.75" customHeight="1">
      <c r="A579" s="97"/>
      <c r="B579" s="97"/>
      <c r="C579" s="97"/>
      <c r="D579" s="97"/>
      <c r="E579" s="97"/>
      <c r="F579" s="97"/>
      <c r="G579" s="97"/>
      <c r="H579" s="129"/>
      <c r="I579" s="97"/>
      <c r="J579" s="97"/>
      <c r="K579" s="97"/>
      <c r="L579" s="97"/>
      <c r="M579" s="97"/>
      <c r="N579" s="97"/>
      <c r="O579" s="97"/>
      <c r="P579" s="97"/>
      <c r="Q579" s="97"/>
      <c r="R579" s="97"/>
      <c r="S579" s="97"/>
      <c r="T579" s="97"/>
      <c r="U579" s="97"/>
      <c r="V579" s="97"/>
      <c r="W579" s="97"/>
      <c r="X579" s="129"/>
      <c r="Y579" s="97"/>
      <c r="Z579" s="97"/>
      <c r="AA579" s="97"/>
      <c r="AB579" s="97"/>
      <c r="AC579" s="97"/>
      <c r="AD579" s="97"/>
      <c r="AE579" s="97"/>
      <c r="AF579" s="97"/>
      <c r="AG579" s="97"/>
      <c r="AH579" s="97"/>
      <c r="AI579" s="97"/>
      <c r="AJ579" s="97"/>
      <c r="AK579" s="97"/>
      <c r="AL579" s="97"/>
      <c r="AM579" s="97"/>
      <c r="AN579" s="97"/>
      <c r="AO579" s="97"/>
      <c r="AP579" s="97"/>
      <c r="AQ579" s="97"/>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c r="DF579" s="97"/>
      <c r="DG579" s="97"/>
      <c r="DH579" s="97"/>
      <c r="DI579" s="97"/>
      <c r="DJ579" s="97"/>
      <c r="DK579" s="97"/>
      <c r="DL579" s="97"/>
      <c r="DM579" s="97"/>
      <c r="DN579" s="97"/>
      <c r="DO579" s="97"/>
      <c r="DP579" s="97"/>
      <c r="DQ579" s="97"/>
      <c r="DR579" s="97"/>
      <c r="DS579" s="97"/>
      <c r="DT579" s="97"/>
      <c r="DU579" s="97"/>
      <c r="DV579" s="97"/>
      <c r="DW579" s="97"/>
      <c r="DX579" s="97"/>
      <c r="DY579" s="97"/>
      <c r="DZ579" s="97"/>
      <c r="EA579" s="97"/>
      <c r="EB579" s="97"/>
      <c r="EC579" s="97"/>
      <c r="ED579" s="97"/>
      <c r="EE579" s="97"/>
      <c r="EF579" s="97"/>
      <c r="EG579" s="97"/>
      <c r="EH579" s="97"/>
      <c r="EI579" s="97"/>
      <c r="EJ579" s="97"/>
      <c r="EK579" s="97"/>
      <c r="EL579" s="97"/>
      <c r="EM579" s="97"/>
      <c r="EN579" s="97"/>
      <c r="EO579" s="97"/>
      <c r="EP579" s="97"/>
      <c r="EQ579" s="97"/>
      <c r="ER579" s="97"/>
      <c r="ES579" s="97"/>
      <c r="ET579" s="97"/>
    </row>
    <row r="580" spans="1:150" ht="15.75" customHeight="1">
      <c r="A580" s="97"/>
      <c r="B580" s="97"/>
      <c r="C580" s="97"/>
      <c r="D580" s="97"/>
      <c r="E580" s="97"/>
      <c r="F580" s="97"/>
      <c r="G580" s="97"/>
      <c r="H580" s="129"/>
      <c r="I580" s="97"/>
      <c r="J580" s="97"/>
      <c r="K580" s="97"/>
      <c r="L580" s="97"/>
      <c r="M580" s="97"/>
      <c r="N580" s="97"/>
      <c r="O580" s="97"/>
      <c r="P580" s="97"/>
      <c r="Q580" s="97"/>
      <c r="R580" s="97"/>
      <c r="S580" s="97"/>
      <c r="T580" s="97"/>
      <c r="U580" s="97"/>
      <c r="V580" s="97"/>
      <c r="W580" s="97"/>
      <c r="X580" s="129"/>
      <c r="Y580" s="97"/>
      <c r="Z580" s="97"/>
      <c r="AA580" s="97"/>
      <c r="AB580" s="97"/>
      <c r="AC580" s="97"/>
      <c r="AD580" s="97"/>
      <c r="AE580" s="97"/>
      <c r="AF580" s="97"/>
      <c r="AG580" s="97"/>
      <c r="AH580" s="97"/>
      <c r="AI580" s="97"/>
      <c r="AJ580" s="97"/>
      <c r="AK580" s="97"/>
      <c r="AL580" s="97"/>
      <c r="AM580" s="97"/>
      <c r="AN580" s="97"/>
      <c r="AO580" s="97"/>
      <c r="AP580" s="97"/>
      <c r="AQ580" s="97"/>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c r="DF580" s="97"/>
      <c r="DG580" s="97"/>
      <c r="DH580" s="97"/>
      <c r="DI580" s="97"/>
      <c r="DJ580" s="97"/>
      <c r="DK580" s="97"/>
      <c r="DL580" s="97"/>
      <c r="DM580" s="97"/>
      <c r="DN580" s="97"/>
      <c r="DO580" s="97"/>
      <c r="DP580" s="97"/>
      <c r="DQ580" s="97"/>
      <c r="DR580" s="97"/>
      <c r="DS580" s="97"/>
      <c r="DT580" s="97"/>
      <c r="DU580" s="97"/>
      <c r="DV580" s="97"/>
      <c r="DW580" s="97"/>
      <c r="DX580" s="97"/>
      <c r="DY580" s="97"/>
      <c r="DZ580" s="97"/>
      <c r="EA580" s="97"/>
      <c r="EB580" s="97"/>
      <c r="EC580" s="97"/>
      <c r="ED580" s="97"/>
      <c r="EE580" s="97"/>
      <c r="EF580" s="97"/>
      <c r="EG580" s="97"/>
      <c r="EH580" s="97"/>
      <c r="EI580" s="97"/>
      <c r="EJ580" s="97"/>
      <c r="EK580" s="97"/>
      <c r="EL580" s="97"/>
      <c r="EM580" s="97"/>
      <c r="EN580" s="97"/>
      <c r="EO580" s="97"/>
      <c r="EP580" s="97"/>
      <c r="EQ580" s="97"/>
      <c r="ER580" s="97"/>
      <c r="ES580" s="97"/>
      <c r="ET580" s="97"/>
    </row>
    <row r="581" spans="1:150" ht="15.75" customHeight="1">
      <c r="A581" s="97"/>
      <c r="B581" s="97"/>
      <c r="C581" s="97"/>
      <c r="D581" s="97"/>
      <c r="E581" s="97"/>
      <c r="F581" s="97"/>
      <c r="G581" s="97"/>
      <c r="H581" s="129"/>
      <c r="I581" s="97"/>
      <c r="J581" s="97"/>
      <c r="K581" s="97"/>
      <c r="L581" s="97"/>
      <c r="M581" s="97"/>
      <c r="N581" s="97"/>
      <c r="O581" s="97"/>
      <c r="P581" s="97"/>
      <c r="Q581" s="97"/>
      <c r="R581" s="97"/>
      <c r="S581" s="97"/>
      <c r="T581" s="97"/>
      <c r="U581" s="97"/>
      <c r="V581" s="97"/>
      <c r="W581" s="97"/>
      <c r="X581" s="129"/>
      <c r="Y581" s="97"/>
      <c r="Z581" s="97"/>
      <c r="AA581" s="97"/>
      <c r="AB581" s="97"/>
      <c r="AC581" s="97"/>
      <c r="AD581" s="97"/>
      <c r="AE581" s="97"/>
      <c r="AF581" s="97"/>
      <c r="AG581" s="97"/>
      <c r="AH581" s="97"/>
      <c r="AI581" s="97"/>
      <c r="AJ581" s="97"/>
      <c r="AK581" s="97"/>
      <c r="AL581" s="97"/>
      <c r="AM581" s="97"/>
      <c r="AN581" s="97"/>
      <c r="AO581" s="97"/>
      <c r="AP581" s="97"/>
      <c r="AQ581" s="97"/>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c r="DF581" s="97"/>
      <c r="DG581" s="97"/>
      <c r="DH581" s="97"/>
      <c r="DI581" s="97"/>
      <c r="DJ581" s="97"/>
      <c r="DK581" s="97"/>
      <c r="DL581" s="97"/>
      <c r="DM581" s="97"/>
      <c r="DN581" s="97"/>
      <c r="DO581" s="97"/>
      <c r="DP581" s="97"/>
      <c r="DQ581" s="97"/>
      <c r="DR581" s="97"/>
      <c r="DS581" s="97"/>
      <c r="DT581" s="97"/>
      <c r="DU581" s="97"/>
      <c r="DV581" s="97"/>
      <c r="DW581" s="97"/>
      <c r="DX581" s="97"/>
      <c r="DY581" s="97"/>
      <c r="DZ581" s="97"/>
      <c r="EA581" s="97"/>
      <c r="EB581" s="97"/>
      <c r="EC581" s="97"/>
      <c r="ED581" s="97"/>
      <c r="EE581" s="97"/>
      <c r="EF581" s="97"/>
      <c r="EG581" s="97"/>
      <c r="EH581" s="97"/>
      <c r="EI581" s="97"/>
      <c r="EJ581" s="97"/>
      <c r="EK581" s="97"/>
      <c r="EL581" s="97"/>
      <c r="EM581" s="97"/>
      <c r="EN581" s="97"/>
      <c r="EO581" s="97"/>
      <c r="EP581" s="97"/>
      <c r="EQ581" s="97"/>
      <c r="ER581" s="97"/>
      <c r="ES581" s="97"/>
      <c r="ET581" s="97"/>
    </row>
    <row r="582" spans="1:150" ht="15.75" customHeight="1">
      <c r="A582" s="97"/>
      <c r="B582" s="97"/>
      <c r="C582" s="97"/>
      <c r="D582" s="97"/>
      <c r="E582" s="97"/>
      <c r="F582" s="97"/>
      <c r="G582" s="97"/>
      <c r="H582" s="129"/>
      <c r="I582" s="97"/>
      <c r="J582" s="97"/>
      <c r="K582" s="97"/>
      <c r="L582" s="97"/>
      <c r="M582" s="97"/>
      <c r="N582" s="97"/>
      <c r="O582" s="97"/>
      <c r="P582" s="97"/>
      <c r="Q582" s="97"/>
      <c r="R582" s="97"/>
      <c r="S582" s="97"/>
      <c r="T582" s="97"/>
      <c r="U582" s="97"/>
      <c r="V582" s="97"/>
      <c r="W582" s="97"/>
      <c r="X582" s="129"/>
      <c r="Y582" s="97"/>
      <c r="Z582" s="97"/>
      <c r="AA582" s="97"/>
      <c r="AB582" s="97"/>
      <c r="AC582" s="97"/>
      <c r="AD582" s="97"/>
      <c r="AE582" s="97"/>
      <c r="AF582" s="97"/>
      <c r="AG582" s="97"/>
      <c r="AH582" s="97"/>
      <c r="AI582" s="97"/>
      <c r="AJ582" s="97"/>
      <c r="AK582" s="97"/>
      <c r="AL582" s="97"/>
      <c r="AM582" s="97"/>
      <c r="AN582" s="97"/>
      <c r="AO582" s="97"/>
      <c r="AP582" s="97"/>
      <c r="AQ582" s="97"/>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c r="DF582" s="97"/>
      <c r="DG582" s="97"/>
      <c r="DH582" s="97"/>
      <c r="DI582" s="97"/>
      <c r="DJ582" s="97"/>
      <c r="DK582" s="97"/>
      <c r="DL582" s="97"/>
      <c r="DM582" s="97"/>
      <c r="DN582" s="97"/>
      <c r="DO582" s="97"/>
      <c r="DP582" s="97"/>
      <c r="DQ582" s="97"/>
      <c r="DR582" s="97"/>
      <c r="DS582" s="97"/>
      <c r="DT582" s="97"/>
      <c r="DU582" s="97"/>
      <c r="DV582" s="97"/>
      <c r="DW582" s="97"/>
      <c r="DX582" s="97"/>
      <c r="DY582" s="97"/>
      <c r="DZ582" s="97"/>
      <c r="EA582" s="97"/>
      <c r="EB582" s="97"/>
      <c r="EC582" s="97"/>
      <c r="ED582" s="97"/>
      <c r="EE582" s="97"/>
      <c r="EF582" s="97"/>
      <c r="EG582" s="97"/>
      <c r="EH582" s="97"/>
      <c r="EI582" s="97"/>
      <c r="EJ582" s="97"/>
      <c r="EK582" s="97"/>
      <c r="EL582" s="97"/>
      <c r="EM582" s="97"/>
      <c r="EN582" s="97"/>
      <c r="EO582" s="97"/>
      <c r="EP582" s="97"/>
      <c r="EQ582" s="97"/>
      <c r="ER582" s="97"/>
      <c r="ES582" s="97"/>
      <c r="ET582" s="97"/>
    </row>
    <row r="583" spans="1:150" ht="15.75" customHeight="1">
      <c r="A583" s="97"/>
      <c r="B583" s="97"/>
      <c r="C583" s="97"/>
      <c r="D583" s="97"/>
      <c r="E583" s="97"/>
      <c r="F583" s="97"/>
      <c r="G583" s="97"/>
      <c r="H583" s="129"/>
      <c r="I583" s="97"/>
      <c r="J583" s="97"/>
      <c r="K583" s="97"/>
      <c r="L583" s="97"/>
      <c r="M583" s="97"/>
      <c r="N583" s="97"/>
      <c r="O583" s="97"/>
      <c r="P583" s="97"/>
      <c r="Q583" s="97"/>
      <c r="R583" s="97"/>
      <c r="S583" s="97"/>
      <c r="T583" s="97"/>
      <c r="U583" s="97"/>
      <c r="V583" s="97"/>
      <c r="W583" s="97"/>
      <c r="X583" s="129"/>
      <c r="Y583" s="97"/>
      <c r="Z583" s="97"/>
      <c r="AA583" s="97"/>
      <c r="AB583" s="97"/>
      <c r="AC583" s="97"/>
      <c r="AD583" s="97"/>
      <c r="AE583" s="97"/>
      <c r="AF583" s="97"/>
      <c r="AG583" s="97"/>
      <c r="AH583" s="97"/>
      <c r="AI583" s="97"/>
      <c r="AJ583" s="97"/>
      <c r="AK583" s="97"/>
      <c r="AL583" s="97"/>
      <c r="AM583" s="97"/>
      <c r="AN583" s="97"/>
      <c r="AO583" s="97"/>
      <c r="AP583" s="97"/>
      <c r="AQ583" s="97"/>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c r="DF583" s="97"/>
      <c r="DG583" s="97"/>
      <c r="DH583" s="97"/>
      <c r="DI583" s="97"/>
      <c r="DJ583" s="97"/>
      <c r="DK583" s="97"/>
      <c r="DL583" s="97"/>
      <c r="DM583" s="97"/>
      <c r="DN583" s="97"/>
      <c r="DO583" s="97"/>
      <c r="DP583" s="97"/>
      <c r="DQ583" s="97"/>
      <c r="DR583" s="97"/>
      <c r="DS583" s="97"/>
      <c r="DT583" s="97"/>
      <c r="DU583" s="97"/>
      <c r="DV583" s="97"/>
      <c r="DW583" s="97"/>
      <c r="DX583" s="97"/>
      <c r="DY583" s="97"/>
      <c r="DZ583" s="97"/>
      <c r="EA583" s="97"/>
      <c r="EB583" s="97"/>
      <c r="EC583" s="97"/>
      <c r="ED583" s="97"/>
      <c r="EE583" s="97"/>
      <c r="EF583" s="97"/>
      <c r="EG583" s="97"/>
      <c r="EH583" s="97"/>
      <c r="EI583" s="97"/>
      <c r="EJ583" s="97"/>
      <c r="EK583" s="97"/>
      <c r="EL583" s="97"/>
      <c r="EM583" s="97"/>
      <c r="EN583" s="97"/>
      <c r="EO583" s="97"/>
      <c r="EP583" s="97"/>
      <c r="EQ583" s="97"/>
      <c r="ER583" s="97"/>
      <c r="ES583" s="97"/>
      <c r="ET583" s="97"/>
    </row>
    <row r="584" spans="1:150" ht="15.75" customHeight="1">
      <c r="A584" s="97"/>
      <c r="B584" s="97"/>
      <c r="C584" s="97"/>
      <c r="D584" s="97"/>
      <c r="E584" s="97"/>
      <c r="F584" s="97"/>
      <c r="G584" s="97"/>
      <c r="H584" s="129"/>
      <c r="I584" s="97"/>
      <c r="J584" s="97"/>
      <c r="K584" s="97"/>
      <c r="L584" s="97"/>
      <c r="M584" s="97"/>
      <c r="N584" s="97"/>
      <c r="O584" s="97"/>
      <c r="P584" s="97"/>
      <c r="Q584" s="97"/>
      <c r="R584" s="97"/>
      <c r="S584" s="97"/>
      <c r="T584" s="97"/>
      <c r="U584" s="97"/>
      <c r="V584" s="97"/>
      <c r="W584" s="97"/>
      <c r="X584" s="129"/>
      <c r="Y584" s="97"/>
      <c r="Z584" s="97"/>
      <c r="AA584" s="97"/>
      <c r="AB584" s="97"/>
      <c r="AC584" s="97"/>
      <c r="AD584" s="97"/>
      <c r="AE584" s="97"/>
      <c r="AF584" s="97"/>
      <c r="AG584" s="97"/>
      <c r="AH584" s="97"/>
      <c r="AI584" s="97"/>
      <c r="AJ584" s="97"/>
      <c r="AK584" s="97"/>
      <c r="AL584" s="97"/>
      <c r="AM584" s="97"/>
      <c r="AN584" s="97"/>
      <c r="AO584" s="97"/>
      <c r="AP584" s="97"/>
      <c r="AQ584" s="97"/>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c r="DF584" s="97"/>
      <c r="DG584" s="97"/>
      <c r="DH584" s="97"/>
      <c r="DI584" s="97"/>
      <c r="DJ584" s="97"/>
      <c r="DK584" s="97"/>
      <c r="DL584" s="97"/>
      <c r="DM584" s="97"/>
      <c r="DN584" s="97"/>
      <c r="DO584" s="97"/>
      <c r="DP584" s="97"/>
      <c r="DQ584" s="97"/>
      <c r="DR584" s="97"/>
      <c r="DS584" s="97"/>
      <c r="DT584" s="97"/>
      <c r="DU584" s="97"/>
      <c r="DV584" s="97"/>
      <c r="DW584" s="97"/>
      <c r="DX584" s="97"/>
      <c r="DY584" s="97"/>
      <c r="DZ584" s="97"/>
      <c r="EA584" s="97"/>
      <c r="EB584" s="97"/>
      <c r="EC584" s="97"/>
      <c r="ED584" s="97"/>
      <c r="EE584" s="97"/>
      <c r="EF584" s="97"/>
      <c r="EG584" s="97"/>
      <c r="EH584" s="97"/>
      <c r="EI584" s="97"/>
      <c r="EJ584" s="97"/>
      <c r="EK584" s="97"/>
      <c r="EL584" s="97"/>
      <c r="EM584" s="97"/>
      <c r="EN584" s="97"/>
      <c r="EO584" s="97"/>
      <c r="EP584" s="97"/>
      <c r="EQ584" s="97"/>
      <c r="ER584" s="97"/>
      <c r="ES584" s="97"/>
      <c r="ET584" s="97"/>
    </row>
    <row r="585" spans="1:150" ht="15.75" customHeight="1">
      <c r="A585" s="97"/>
      <c r="B585" s="97"/>
      <c r="C585" s="97"/>
      <c r="D585" s="97"/>
      <c r="E585" s="97"/>
      <c r="F585" s="97"/>
      <c r="G585" s="97"/>
      <c r="H585" s="129"/>
      <c r="I585" s="97"/>
      <c r="J585" s="97"/>
      <c r="K585" s="97"/>
      <c r="L585" s="97"/>
      <c r="M585" s="97"/>
      <c r="N585" s="97"/>
      <c r="O585" s="97"/>
      <c r="P585" s="97"/>
      <c r="Q585" s="97"/>
      <c r="R585" s="97"/>
      <c r="S585" s="97"/>
      <c r="T585" s="97"/>
      <c r="U585" s="97"/>
      <c r="V585" s="97"/>
      <c r="W585" s="97"/>
      <c r="X585" s="129"/>
      <c r="Y585" s="97"/>
      <c r="Z585" s="97"/>
      <c r="AA585" s="97"/>
      <c r="AB585" s="97"/>
      <c r="AC585" s="97"/>
      <c r="AD585" s="97"/>
      <c r="AE585" s="97"/>
      <c r="AF585" s="97"/>
      <c r="AG585" s="97"/>
      <c r="AH585" s="97"/>
      <c r="AI585" s="97"/>
      <c r="AJ585" s="97"/>
      <c r="AK585" s="97"/>
      <c r="AL585" s="97"/>
      <c r="AM585" s="97"/>
      <c r="AN585" s="97"/>
      <c r="AO585" s="97"/>
      <c r="AP585" s="97"/>
      <c r="AQ585" s="97"/>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c r="DF585" s="97"/>
      <c r="DG585" s="97"/>
      <c r="DH585" s="97"/>
      <c r="DI585" s="97"/>
      <c r="DJ585" s="97"/>
      <c r="DK585" s="97"/>
      <c r="DL585" s="97"/>
      <c r="DM585" s="97"/>
      <c r="DN585" s="97"/>
      <c r="DO585" s="97"/>
      <c r="DP585" s="97"/>
      <c r="DQ585" s="97"/>
      <c r="DR585" s="97"/>
      <c r="DS585" s="97"/>
      <c r="DT585" s="97"/>
      <c r="DU585" s="97"/>
      <c r="DV585" s="97"/>
      <c r="DW585" s="97"/>
      <c r="DX585" s="97"/>
      <c r="DY585" s="97"/>
      <c r="DZ585" s="97"/>
      <c r="EA585" s="97"/>
      <c r="EB585" s="97"/>
      <c r="EC585" s="97"/>
      <c r="ED585" s="97"/>
      <c r="EE585" s="97"/>
      <c r="EF585" s="97"/>
      <c r="EG585" s="97"/>
      <c r="EH585" s="97"/>
      <c r="EI585" s="97"/>
      <c r="EJ585" s="97"/>
      <c r="EK585" s="97"/>
      <c r="EL585" s="97"/>
      <c r="EM585" s="97"/>
      <c r="EN585" s="97"/>
      <c r="EO585" s="97"/>
      <c r="EP585" s="97"/>
      <c r="EQ585" s="97"/>
      <c r="ER585" s="97"/>
      <c r="ES585" s="97"/>
      <c r="ET585" s="97"/>
    </row>
    <row r="586" spans="1:150" ht="15.75" customHeight="1">
      <c r="A586" s="97"/>
      <c r="B586" s="97"/>
      <c r="C586" s="97"/>
      <c r="D586" s="97"/>
      <c r="E586" s="97"/>
      <c r="F586" s="97"/>
      <c r="G586" s="97"/>
      <c r="H586" s="129"/>
      <c r="I586" s="97"/>
      <c r="J586" s="97"/>
      <c r="K586" s="97"/>
      <c r="L586" s="97"/>
      <c r="M586" s="97"/>
      <c r="N586" s="97"/>
      <c r="O586" s="97"/>
      <c r="P586" s="97"/>
      <c r="Q586" s="97"/>
      <c r="R586" s="97"/>
      <c r="S586" s="97"/>
      <c r="T586" s="97"/>
      <c r="U586" s="97"/>
      <c r="V586" s="97"/>
      <c r="W586" s="97"/>
      <c r="X586" s="129"/>
      <c r="Y586" s="97"/>
      <c r="Z586" s="97"/>
      <c r="AA586" s="97"/>
      <c r="AB586" s="97"/>
      <c r="AC586" s="97"/>
      <c r="AD586" s="97"/>
      <c r="AE586" s="97"/>
      <c r="AF586" s="97"/>
      <c r="AG586" s="97"/>
      <c r="AH586" s="97"/>
      <c r="AI586" s="97"/>
      <c r="AJ586" s="97"/>
      <c r="AK586" s="97"/>
      <c r="AL586" s="97"/>
      <c r="AM586" s="97"/>
      <c r="AN586" s="97"/>
      <c r="AO586" s="97"/>
      <c r="AP586" s="97"/>
      <c r="AQ586" s="97"/>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c r="DF586" s="97"/>
      <c r="DG586" s="97"/>
      <c r="DH586" s="97"/>
      <c r="DI586" s="97"/>
      <c r="DJ586" s="97"/>
      <c r="DK586" s="97"/>
      <c r="DL586" s="97"/>
      <c r="DM586" s="97"/>
      <c r="DN586" s="97"/>
      <c r="DO586" s="97"/>
      <c r="DP586" s="97"/>
      <c r="DQ586" s="97"/>
      <c r="DR586" s="97"/>
      <c r="DS586" s="97"/>
      <c r="DT586" s="97"/>
      <c r="DU586" s="97"/>
      <c r="DV586" s="97"/>
      <c r="DW586" s="97"/>
      <c r="DX586" s="97"/>
      <c r="DY586" s="97"/>
      <c r="DZ586" s="97"/>
      <c r="EA586" s="97"/>
      <c r="EB586" s="97"/>
      <c r="EC586" s="97"/>
      <c r="ED586" s="97"/>
      <c r="EE586" s="97"/>
      <c r="EF586" s="97"/>
      <c r="EG586" s="97"/>
      <c r="EH586" s="97"/>
      <c r="EI586" s="97"/>
      <c r="EJ586" s="97"/>
      <c r="EK586" s="97"/>
      <c r="EL586" s="97"/>
      <c r="EM586" s="97"/>
      <c r="EN586" s="97"/>
      <c r="EO586" s="97"/>
      <c r="EP586" s="97"/>
      <c r="EQ586" s="97"/>
      <c r="ER586" s="97"/>
      <c r="ES586" s="97"/>
      <c r="ET586" s="97"/>
    </row>
    <row r="587" spans="1:150" ht="15.75" customHeight="1">
      <c r="A587" s="97"/>
      <c r="B587" s="97"/>
      <c r="C587" s="97"/>
      <c r="D587" s="97"/>
      <c r="E587" s="97"/>
      <c r="F587" s="97"/>
      <c r="G587" s="97"/>
      <c r="H587" s="129"/>
      <c r="I587" s="97"/>
      <c r="J587" s="97"/>
      <c r="K587" s="97"/>
      <c r="L587" s="97"/>
      <c r="M587" s="97"/>
      <c r="N587" s="97"/>
      <c r="O587" s="97"/>
      <c r="P587" s="97"/>
      <c r="Q587" s="97"/>
      <c r="R587" s="97"/>
      <c r="S587" s="97"/>
      <c r="T587" s="97"/>
      <c r="U587" s="97"/>
      <c r="V587" s="97"/>
      <c r="W587" s="97"/>
      <c r="X587" s="129"/>
      <c r="Y587" s="97"/>
      <c r="Z587" s="97"/>
      <c r="AA587" s="97"/>
      <c r="AB587" s="97"/>
      <c r="AC587" s="97"/>
      <c r="AD587" s="97"/>
      <c r="AE587" s="97"/>
      <c r="AF587" s="97"/>
      <c r="AG587" s="97"/>
      <c r="AH587" s="97"/>
      <c r="AI587" s="97"/>
      <c r="AJ587" s="97"/>
      <c r="AK587" s="97"/>
      <c r="AL587" s="97"/>
      <c r="AM587" s="97"/>
      <c r="AN587" s="97"/>
      <c r="AO587" s="97"/>
      <c r="AP587" s="97"/>
      <c r="AQ587" s="97"/>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c r="DF587" s="97"/>
      <c r="DG587" s="97"/>
      <c r="DH587" s="97"/>
      <c r="DI587" s="97"/>
      <c r="DJ587" s="97"/>
      <c r="DK587" s="97"/>
      <c r="DL587" s="97"/>
      <c r="DM587" s="97"/>
      <c r="DN587" s="97"/>
      <c r="DO587" s="97"/>
      <c r="DP587" s="97"/>
      <c r="DQ587" s="97"/>
      <c r="DR587" s="97"/>
      <c r="DS587" s="97"/>
      <c r="DT587" s="97"/>
      <c r="DU587" s="97"/>
      <c r="DV587" s="97"/>
      <c r="DW587" s="97"/>
      <c r="DX587" s="97"/>
      <c r="DY587" s="97"/>
      <c r="DZ587" s="97"/>
      <c r="EA587" s="97"/>
      <c r="EB587" s="97"/>
      <c r="EC587" s="97"/>
      <c r="ED587" s="97"/>
      <c r="EE587" s="97"/>
      <c r="EF587" s="97"/>
      <c r="EG587" s="97"/>
      <c r="EH587" s="97"/>
      <c r="EI587" s="97"/>
      <c r="EJ587" s="97"/>
      <c r="EK587" s="97"/>
      <c r="EL587" s="97"/>
      <c r="EM587" s="97"/>
      <c r="EN587" s="97"/>
      <c r="EO587" s="97"/>
      <c r="EP587" s="97"/>
      <c r="EQ587" s="97"/>
      <c r="ER587" s="97"/>
      <c r="ES587" s="97"/>
      <c r="ET587" s="97"/>
    </row>
    <row r="588" spans="1:150" ht="15.75" customHeight="1">
      <c r="A588" s="97"/>
      <c r="B588" s="97"/>
      <c r="C588" s="97"/>
      <c r="D588" s="97"/>
      <c r="E588" s="97"/>
      <c r="F588" s="97"/>
      <c r="G588" s="97"/>
      <c r="H588" s="129"/>
      <c r="I588" s="97"/>
      <c r="J588" s="97"/>
      <c r="K588" s="97"/>
      <c r="L588" s="97"/>
      <c r="M588" s="97"/>
      <c r="N588" s="97"/>
      <c r="O588" s="97"/>
      <c r="P588" s="97"/>
      <c r="Q588" s="97"/>
      <c r="R588" s="97"/>
      <c r="S588" s="97"/>
      <c r="T588" s="97"/>
      <c r="U588" s="97"/>
      <c r="V588" s="97"/>
      <c r="W588" s="97"/>
      <c r="X588" s="129"/>
      <c r="Y588" s="97"/>
      <c r="Z588" s="97"/>
      <c r="AA588" s="97"/>
      <c r="AB588" s="97"/>
      <c r="AC588" s="97"/>
      <c r="AD588" s="97"/>
      <c r="AE588" s="97"/>
      <c r="AF588" s="97"/>
      <c r="AG588" s="97"/>
      <c r="AH588" s="97"/>
      <c r="AI588" s="97"/>
      <c r="AJ588" s="97"/>
      <c r="AK588" s="97"/>
      <c r="AL588" s="97"/>
      <c r="AM588" s="97"/>
      <c r="AN588" s="97"/>
      <c r="AO588" s="97"/>
      <c r="AP588" s="97"/>
      <c r="AQ588" s="97"/>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c r="DF588" s="97"/>
      <c r="DG588" s="97"/>
      <c r="DH588" s="97"/>
      <c r="DI588" s="97"/>
      <c r="DJ588" s="97"/>
      <c r="DK588" s="97"/>
      <c r="DL588" s="97"/>
      <c r="DM588" s="97"/>
      <c r="DN588" s="97"/>
      <c r="DO588" s="97"/>
      <c r="DP588" s="97"/>
      <c r="DQ588" s="97"/>
      <c r="DR588" s="97"/>
      <c r="DS588" s="97"/>
      <c r="DT588" s="97"/>
      <c r="DU588" s="97"/>
      <c r="DV588" s="97"/>
      <c r="DW588" s="97"/>
      <c r="DX588" s="97"/>
      <c r="DY588" s="97"/>
      <c r="DZ588" s="97"/>
      <c r="EA588" s="97"/>
      <c r="EB588" s="97"/>
      <c r="EC588" s="97"/>
      <c r="ED588" s="97"/>
      <c r="EE588" s="97"/>
      <c r="EF588" s="97"/>
      <c r="EG588" s="97"/>
      <c r="EH588" s="97"/>
      <c r="EI588" s="97"/>
      <c r="EJ588" s="97"/>
      <c r="EK588" s="97"/>
      <c r="EL588" s="97"/>
      <c r="EM588" s="97"/>
      <c r="EN588" s="97"/>
      <c r="EO588" s="97"/>
      <c r="EP588" s="97"/>
      <c r="EQ588" s="97"/>
      <c r="ER588" s="97"/>
      <c r="ES588" s="97"/>
      <c r="ET588" s="97"/>
    </row>
    <row r="589" spans="1:150" ht="15.75" customHeight="1">
      <c r="A589" s="97"/>
      <c r="B589" s="97"/>
      <c r="C589" s="97"/>
      <c r="D589" s="97"/>
      <c r="E589" s="97"/>
      <c r="F589" s="97"/>
      <c r="G589" s="97"/>
      <c r="H589" s="129"/>
      <c r="I589" s="97"/>
      <c r="J589" s="97"/>
      <c r="K589" s="97"/>
      <c r="L589" s="97"/>
      <c r="M589" s="97"/>
      <c r="N589" s="97"/>
      <c r="O589" s="97"/>
      <c r="P589" s="97"/>
      <c r="Q589" s="97"/>
      <c r="R589" s="97"/>
      <c r="S589" s="97"/>
      <c r="T589" s="97"/>
      <c r="U589" s="97"/>
      <c r="V589" s="97"/>
      <c r="W589" s="97"/>
      <c r="X589" s="129"/>
      <c r="Y589" s="97"/>
      <c r="Z589" s="97"/>
      <c r="AA589" s="97"/>
      <c r="AB589" s="97"/>
      <c r="AC589" s="97"/>
      <c r="AD589" s="97"/>
      <c r="AE589" s="97"/>
      <c r="AF589" s="97"/>
      <c r="AG589" s="97"/>
      <c r="AH589" s="97"/>
      <c r="AI589" s="97"/>
      <c r="AJ589" s="97"/>
      <c r="AK589" s="97"/>
      <c r="AL589" s="97"/>
      <c r="AM589" s="97"/>
      <c r="AN589" s="97"/>
      <c r="AO589" s="97"/>
      <c r="AP589" s="97"/>
      <c r="AQ589" s="97"/>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c r="DF589" s="97"/>
      <c r="DG589" s="97"/>
      <c r="DH589" s="97"/>
      <c r="DI589" s="97"/>
      <c r="DJ589" s="97"/>
      <c r="DK589" s="97"/>
      <c r="DL589" s="97"/>
      <c r="DM589" s="97"/>
      <c r="DN589" s="97"/>
      <c r="DO589" s="97"/>
      <c r="DP589" s="97"/>
      <c r="DQ589" s="97"/>
      <c r="DR589" s="97"/>
      <c r="DS589" s="97"/>
      <c r="DT589" s="97"/>
      <c r="DU589" s="97"/>
      <c r="DV589" s="97"/>
      <c r="DW589" s="97"/>
      <c r="DX589" s="97"/>
      <c r="DY589" s="97"/>
      <c r="DZ589" s="97"/>
      <c r="EA589" s="97"/>
      <c r="EB589" s="97"/>
      <c r="EC589" s="97"/>
      <c r="ED589" s="97"/>
      <c r="EE589" s="97"/>
      <c r="EF589" s="97"/>
      <c r="EG589" s="97"/>
      <c r="EH589" s="97"/>
      <c r="EI589" s="97"/>
      <c r="EJ589" s="97"/>
      <c r="EK589" s="97"/>
      <c r="EL589" s="97"/>
      <c r="EM589" s="97"/>
      <c r="EN589" s="97"/>
      <c r="EO589" s="97"/>
      <c r="EP589" s="97"/>
      <c r="EQ589" s="97"/>
      <c r="ER589" s="97"/>
      <c r="ES589" s="97"/>
      <c r="ET589" s="97"/>
    </row>
    <row r="590" spans="1:150" ht="15.75" customHeight="1">
      <c r="A590" s="97"/>
      <c r="B590" s="97"/>
      <c r="C590" s="97"/>
      <c r="D590" s="97"/>
      <c r="E590" s="97"/>
      <c r="F590" s="97"/>
      <c r="G590" s="97"/>
      <c r="H590" s="129"/>
      <c r="I590" s="97"/>
      <c r="J590" s="97"/>
      <c r="K590" s="97"/>
      <c r="L590" s="97"/>
      <c r="M590" s="97"/>
      <c r="N590" s="97"/>
      <c r="O590" s="97"/>
      <c r="P590" s="97"/>
      <c r="Q590" s="97"/>
      <c r="R590" s="97"/>
      <c r="S590" s="97"/>
      <c r="T590" s="97"/>
      <c r="U590" s="97"/>
      <c r="V590" s="97"/>
      <c r="W590" s="97"/>
      <c r="X590" s="129"/>
      <c r="Y590" s="97"/>
      <c r="Z590" s="97"/>
      <c r="AA590" s="97"/>
      <c r="AB590" s="97"/>
      <c r="AC590" s="97"/>
      <c r="AD590" s="97"/>
      <c r="AE590" s="97"/>
      <c r="AF590" s="97"/>
      <c r="AG590" s="97"/>
      <c r="AH590" s="97"/>
      <c r="AI590" s="97"/>
      <c r="AJ590" s="97"/>
      <c r="AK590" s="97"/>
      <c r="AL590" s="97"/>
      <c r="AM590" s="97"/>
      <c r="AN590" s="97"/>
      <c r="AO590" s="97"/>
      <c r="AP590" s="97"/>
      <c r="AQ590" s="97"/>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c r="DF590" s="97"/>
      <c r="DG590" s="97"/>
      <c r="DH590" s="97"/>
      <c r="DI590" s="97"/>
      <c r="DJ590" s="97"/>
      <c r="DK590" s="97"/>
      <c r="DL590" s="97"/>
      <c r="DM590" s="97"/>
      <c r="DN590" s="97"/>
      <c r="DO590" s="97"/>
      <c r="DP590" s="97"/>
      <c r="DQ590" s="97"/>
      <c r="DR590" s="97"/>
      <c r="DS590" s="97"/>
      <c r="DT590" s="97"/>
      <c r="DU590" s="97"/>
      <c r="DV590" s="97"/>
      <c r="DW590" s="97"/>
      <c r="DX590" s="97"/>
      <c r="DY590" s="97"/>
      <c r="DZ590" s="97"/>
      <c r="EA590" s="97"/>
      <c r="EB590" s="97"/>
      <c r="EC590" s="97"/>
      <c r="ED590" s="97"/>
      <c r="EE590" s="97"/>
      <c r="EF590" s="97"/>
      <c r="EG590" s="97"/>
      <c r="EH590" s="97"/>
      <c r="EI590" s="97"/>
      <c r="EJ590" s="97"/>
      <c r="EK590" s="97"/>
      <c r="EL590" s="97"/>
      <c r="EM590" s="97"/>
      <c r="EN590" s="97"/>
      <c r="EO590" s="97"/>
      <c r="EP590" s="97"/>
      <c r="EQ590" s="97"/>
      <c r="ER590" s="97"/>
      <c r="ES590" s="97"/>
      <c r="ET590" s="97"/>
    </row>
    <row r="591" spans="1:150" ht="15.75" customHeight="1">
      <c r="A591" s="97"/>
      <c r="B591" s="97"/>
      <c r="C591" s="97"/>
      <c r="D591" s="97"/>
      <c r="E591" s="97"/>
      <c r="F591" s="97"/>
      <c r="G591" s="97"/>
      <c r="H591" s="129"/>
      <c r="I591" s="97"/>
      <c r="J591" s="97"/>
      <c r="K591" s="97"/>
      <c r="L591" s="97"/>
      <c r="M591" s="97"/>
      <c r="N591" s="97"/>
      <c r="O591" s="97"/>
      <c r="P591" s="97"/>
      <c r="Q591" s="97"/>
      <c r="R591" s="97"/>
      <c r="S591" s="97"/>
      <c r="T591" s="97"/>
      <c r="U591" s="97"/>
      <c r="V591" s="97"/>
      <c r="W591" s="97"/>
      <c r="X591" s="129"/>
      <c r="Y591" s="97"/>
      <c r="Z591" s="97"/>
      <c r="AA591" s="97"/>
      <c r="AB591" s="97"/>
      <c r="AC591" s="97"/>
      <c r="AD591" s="97"/>
      <c r="AE591" s="97"/>
      <c r="AF591" s="97"/>
      <c r="AG591" s="97"/>
      <c r="AH591" s="97"/>
      <c r="AI591" s="97"/>
      <c r="AJ591" s="97"/>
      <c r="AK591" s="97"/>
      <c r="AL591" s="97"/>
      <c r="AM591" s="97"/>
      <c r="AN591" s="97"/>
      <c r="AO591" s="97"/>
      <c r="AP591" s="97"/>
      <c r="AQ591" s="97"/>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c r="DF591" s="97"/>
      <c r="DG591" s="97"/>
      <c r="DH591" s="97"/>
      <c r="DI591" s="97"/>
      <c r="DJ591" s="97"/>
      <c r="DK591" s="97"/>
      <c r="DL591" s="97"/>
      <c r="DM591" s="97"/>
      <c r="DN591" s="97"/>
      <c r="DO591" s="97"/>
      <c r="DP591" s="97"/>
      <c r="DQ591" s="97"/>
      <c r="DR591" s="97"/>
      <c r="DS591" s="97"/>
      <c r="DT591" s="97"/>
      <c r="DU591" s="97"/>
      <c r="DV591" s="97"/>
      <c r="DW591" s="97"/>
      <c r="DX591" s="97"/>
      <c r="DY591" s="97"/>
      <c r="DZ591" s="97"/>
      <c r="EA591" s="97"/>
      <c r="EB591" s="97"/>
      <c r="EC591" s="97"/>
      <c r="ED591" s="97"/>
      <c r="EE591" s="97"/>
      <c r="EF591" s="97"/>
      <c r="EG591" s="97"/>
      <c r="EH591" s="97"/>
      <c r="EI591" s="97"/>
      <c r="EJ591" s="97"/>
      <c r="EK591" s="97"/>
      <c r="EL591" s="97"/>
      <c r="EM591" s="97"/>
      <c r="EN591" s="97"/>
      <c r="EO591" s="97"/>
      <c r="EP591" s="97"/>
      <c r="EQ591" s="97"/>
      <c r="ER591" s="97"/>
      <c r="ES591" s="97"/>
      <c r="ET591" s="97"/>
    </row>
    <row r="592" spans="1:150" ht="15.75" customHeight="1">
      <c r="A592" s="97"/>
      <c r="B592" s="97"/>
      <c r="C592" s="97"/>
      <c r="D592" s="97"/>
      <c r="E592" s="97"/>
      <c r="F592" s="97"/>
      <c r="G592" s="97"/>
      <c r="H592" s="129"/>
      <c r="I592" s="97"/>
      <c r="J592" s="97"/>
      <c r="K592" s="97"/>
      <c r="L592" s="97"/>
      <c r="M592" s="97"/>
      <c r="N592" s="97"/>
      <c r="O592" s="97"/>
      <c r="P592" s="97"/>
      <c r="Q592" s="97"/>
      <c r="R592" s="97"/>
      <c r="S592" s="97"/>
      <c r="T592" s="97"/>
      <c r="U592" s="97"/>
      <c r="V592" s="97"/>
      <c r="W592" s="97"/>
      <c r="X592" s="129"/>
      <c r="Y592" s="97"/>
      <c r="Z592" s="97"/>
      <c r="AA592" s="97"/>
      <c r="AB592" s="97"/>
      <c r="AC592" s="97"/>
      <c r="AD592" s="97"/>
      <c r="AE592" s="97"/>
      <c r="AF592" s="97"/>
      <c r="AG592" s="97"/>
      <c r="AH592" s="97"/>
      <c r="AI592" s="97"/>
      <c r="AJ592" s="97"/>
      <c r="AK592" s="97"/>
      <c r="AL592" s="97"/>
      <c r="AM592" s="97"/>
      <c r="AN592" s="97"/>
      <c r="AO592" s="97"/>
      <c r="AP592" s="97"/>
      <c r="AQ592" s="97"/>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c r="DF592" s="97"/>
      <c r="DG592" s="97"/>
      <c r="DH592" s="97"/>
      <c r="DI592" s="97"/>
      <c r="DJ592" s="97"/>
      <c r="DK592" s="97"/>
      <c r="DL592" s="97"/>
      <c r="DM592" s="97"/>
      <c r="DN592" s="97"/>
      <c r="DO592" s="97"/>
      <c r="DP592" s="97"/>
      <c r="DQ592" s="97"/>
      <c r="DR592" s="97"/>
      <c r="DS592" s="97"/>
      <c r="DT592" s="97"/>
      <c r="DU592" s="97"/>
      <c r="DV592" s="97"/>
      <c r="DW592" s="97"/>
      <c r="DX592" s="97"/>
      <c r="DY592" s="97"/>
      <c r="DZ592" s="97"/>
      <c r="EA592" s="97"/>
      <c r="EB592" s="97"/>
      <c r="EC592" s="97"/>
      <c r="ED592" s="97"/>
      <c r="EE592" s="97"/>
      <c r="EF592" s="97"/>
      <c r="EG592" s="97"/>
      <c r="EH592" s="97"/>
      <c r="EI592" s="97"/>
      <c r="EJ592" s="97"/>
      <c r="EK592" s="97"/>
      <c r="EL592" s="97"/>
      <c r="EM592" s="97"/>
      <c r="EN592" s="97"/>
      <c r="EO592" s="97"/>
      <c r="EP592" s="97"/>
      <c r="EQ592" s="97"/>
      <c r="ER592" s="97"/>
      <c r="ES592" s="97"/>
      <c r="ET592" s="97"/>
    </row>
    <row r="593" spans="1:150" ht="15.75" customHeight="1">
      <c r="A593" s="97"/>
      <c r="B593" s="97"/>
      <c r="C593" s="97"/>
      <c r="D593" s="97"/>
      <c r="E593" s="97"/>
      <c r="F593" s="97"/>
      <c r="G593" s="97"/>
      <c r="H593" s="129"/>
      <c r="I593" s="97"/>
      <c r="J593" s="97"/>
      <c r="K593" s="97"/>
      <c r="L593" s="97"/>
      <c r="M593" s="97"/>
      <c r="N593" s="97"/>
      <c r="O593" s="97"/>
      <c r="P593" s="97"/>
      <c r="Q593" s="97"/>
      <c r="R593" s="97"/>
      <c r="S593" s="97"/>
      <c r="T593" s="97"/>
      <c r="U593" s="97"/>
      <c r="V593" s="97"/>
      <c r="W593" s="97"/>
      <c r="X593" s="129"/>
      <c r="Y593" s="97"/>
      <c r="Z593" s="97"/>
      <c r="AA593" s="97"/>
      <c r="AB593" s="97"/>
      <c r="AC593" s="97"/>
      <c r="AD593" s="97"/>
      <c r="AE593" s="97"/>
      <c r="AF593" s="97"/>
      <c r="AG593" s="97"/>
      <c r="AH593" s="97"/>
      <c r="AI593" s="97"/>
      <c r="AJ593" s="97"/>
      <c r="AK593" s="97"/>
      <c r="AL593" s="97"/>
      <c r="AM593" s="97"/>
      <c r="AN593" s="97"/>
      <c r="AO593" s="97"/>
      <c r="AP593" s="97"/>
      <c r="AQ593" s="97"/>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c r="DF593" s="97"/>
      <c r="DG593" s="97"/>
      <c r="DH593" s="97"/>
      <c r="DI593" s="97"/>
      <c r="DJ593" s="97"/>
      <c r="DK593" s="97"/>
      <c r="DL593" s="97"/>
      <c r="DM593" s="97"/>
      <c r="DN593" s="97"/>
      <c r="DO593" s="97"/>
      <c r="DP593" s="97"/>
      <c r="DQ593" s="97"/>
      <c r="DR593" s="97"/>
      <c r="DS593" s="97"/>
      <c r="DT593" s="97"/>
      <c r="DU593" s="97"/>
      <c r="DV593" s="97"/>
      <c r="DW593" s="97"/>
      <c r="DX593" s="97"/>
      <c r="DY593" s="97"/>
      <c r="DZ593" s="97"/>
      <c r="EA593" s="97"/>
      <c r="EB593" s="97"/>
      <c r="EC593" s="97"/>
      <c r="ED593" s="97"/>
      <c r="EE593" s="97"/>
      <c r="EF593" s="97"/>
      <c r="EG593" s="97"/>
      <c r="EH593" s="97"/>
      <c r="EI593" s="97"/>
      <c r="EJ593" s="97"/>
      <c r="EK593" s="97"/>
      <c r="EL593" s="97"/>
      <c r="EM593" s="97"/>
      <c r="EN593" s="97"/>
      <c r="EO593" s="97"/>
      <c r="EP593" s="97"/>
      <c r="EQ593" s="97"/>
      <c r="ER593" s="97"/>
      <c r="ES593" s="97"/>
      <c r="ET593" s="97"/>
    </row>
    <row r="594" spans="1:150" ht="15.75" customHeight="1">
      <c r="A594" s="97"/>
      <c r="B594" s="97"/>
      <c r="C594" s="97"/>
      <c r="D594" s="97"/>
      <c r="E594" s="97"/>
      <c r="F594" s="97"/>
      <c r="G594" s="97"/>
      <c r="H594" s="129"/>
      <c r="I594" s="97"/>
      <c r="J594" s="97"/>
      <c r="K594" s="97"/>
      <c r="L594" s="97"/>
      <c r="M594" s="97"/>
      <c r="N594" s="97"/>
      <c r="O594" s="97"/>
      <c r="P594" s="97"/>
      <c r="Q594" s="97"/>
      <c r="R594" s="97"/>
      <c r="S594" s="97"/>
      <c r="T594" s="97"/>
      <c r="U594" s="97"/>
      <c r="V594" s="97"/>
      <c r="W594" s="97"/>
      <c r="X594" s="129"/>
      <c r="Y594" s="97"/>
      <c r="Z594" s="97"/>
      <c r="AA594" s="97"/>
      <c r="AB594" s="97"/>
      <c r="AC594" s="97"/>
      <c r="AD594" s="97"/>
      <c r="AE594" s="97"/>
      <c r="AF594" s="97"/>
      <c r="AG594" s="97"/>
      <c r="AH594" s="97"/>
      <c r="AI594" s="97"/>
      <c r="AJ594" s="97"/>
      <c r="AK594" s="97"/>
      <c r="AL594" s="97"/>
      <c r="AM594" s="97"/>
      <c r="AN594" s="97"/>
      <c r="AO594" s="97"/>
      <c r="AP594" s="97"/>
      <c r="AQ594" s="97"/>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c r="DF594" s="97"/>
      <c r="DG594" s="97"/>
      <c r="DH594" s="97"/>
      <c r="DI594" s="97"/>
      <c r="DJ594" s="97"/>
      <c r="DK594" s="97"/>
      <c r="DL594" s="97"/>
      <c r="DM594" s="97"/>
      <c r="DN594" s="97"/>
      <c r="DO594" s="97"/>
      <c r="DP594" s="97"/>
      <c r="DQ594" s="97"/>
      <c r="DR594" s="97"/>
      <c r="DS594" s="97"/>
      <c r="DT594" s="97"/>
      <c r="DU594" s="97"/>
      <c r="DV594" s="97"/>
      <c r="DW594" s="97"/>
      <c r="DX594" s="97"/>
      <c r="DY594" s="97"/>
      <c r="DZ594" s="97"/>
      <c r="EA594" s="97"/>
      <c r="EB594" s="97"/>
      <c r="EC594" s="97"/>
      <c r="ED594" s="97"/>
      <c r="EE594" s="97"/>
      <c r="EF594" s="97"/>
      <c r="EG594" s="97"/>
      <c r="EH594" s="97"/>
      <c r="EI594" s="97"/>
      <c r="EJ594" s="97"/>
      <c r="EK594" s="97"/>
      <c r="EL594" s="97"/>
      <c r="EM594" s="97"/>
      <c r="EN594" s="97"/>
      <c r="EO594" s="97"/>
      <c r="EP594" s="97"/>
      <c r="EQ594" s="97"/>
      <c r="ER594" s="97"/>
      <c r="ES594" s="97"/>
      <c r="ET594" s="97"/>
    </row>
    <row r="595" spans="1:150" ht="15.75" customHeight="1">
      <c r="A595" s="97"/>
      <c r="B595" s="97"/>
      <c r="C595" s="97"/>
      <c r="D595" s="97"/>
      <c r="E595" s="97"/>
      <c r="F595" s="97"/>
      <c r="G595" s="97"/>
      <c r="H595" s="129"/>
      <c r="I595" s="97"/>
      <c r="J595" s="97"/>
      <c r="K595" s="97"/>
      <c r="L595" s="97"/>
      <c r="M595" s="97"/>
      <c r="N595" s="97"/>
      <c r="O595" s="97"/>
      <c r="P595" s="97"/>
      <c r="Q595" s="97"/>
      <c r="R595" s="97"/>
      <c r="S595" s="97"/>
      <c r="T595" s="97"/>
      <c r="U595" s="97"/>
      <c r="V595" s="97"/>
      <c r="W595" s="97"/>
      <c r="X595" s="129"/>
      <c r="Y595" s="97"/>
      <c r="Z595" s="97"/>
      <c r="AA595" s="97"/>
      <c r="AB595" s="97"/>
      <c r="AC595" s="97"/>
      <c r="AD595" s="97"/>
      <c r="AE595" s="97"/>
      <c r="AF595" s="97"/>
      <c r="AG595" s="97"/>
      <c r="AH595" s="97"/>
      <c r="AI595" s="97"/>
      <c r="AJ595" s="97"/>
      <c r="AK595" s="97"/>
      <c r="AL595" s="97"/>
      <c r="AM595" s="97"/>
      <c r="AN595" s="97"/>
      <c r="AO595" s="97"/>
      <c r="AP595" s="97"/>
      <c r="AQ595" s="97"/>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c r="DF595" s="97"/>
      <c r="DG595" s="97"/>
      <c r="DH595" s="97"/>
      <c r="DI595" s="97"/>
      <c r="DJ595" s="97"/>
      <c r="DK595" s="97"/>
      <c r="DL595" s="97"/>
      <c r="DM595" s="97"/>
      <c r="DN595" s="97"/>
      <c r="DO595" s="97"/>
      <c r="DP595" s="97"/>
      <c r="DQ595" s="97"/>
      <c r="DR595" s="97"/>
      <c r="DS595" s="97"/>
      <c r="DT595" s="97"/>
      <c r="DU595" s="97"/>
      <c r="DV595" s="97"/>
      <c r="DW595" s="97"/>
      <c r="DX595" s="97"/>
      <c r="DY595" s="97"/>
      <c r="DZ595" s="97"/>
      <c r="EA595" s="97"/>
      <c r="EB595" s="97"/>
      <c r="EC595" s="97"/>
      <c r="ED595" s="97"/>
      <c r="EE595" s="97"/>
      <c r="EF595" s="97"/>
      <c r="EG595" s="97"/>
      <c r="EH595" s="97"/>
      <c r="EI595" s="97"/>
      <c r="EJ595" s="97"/>
      <c r="EK595" s="97"/>
      <c r="EL595" s="97"/>
      <c r="EM595" s="97"/>
      <c r="EN595" s="97"/>
      <c r="EO595" s="97"/>
      <c r="EP595" s="97"/>
      <c r="EQ595" s="97"/>
      <c r="ER595" s="97"/>
      <c r="ES595" s="97"/>
      <c r="ET595" s="97"/>
    </row>
    <row r="596" spans="1:150" ht="15.75" customHeight="1">
      <c r="A596" s="97"/>
      <c r="B596" s="97"/>
      <c r="C596" s="97"/>
      <c r="D596" s="97"/>
      <c r="E596" s="97"/>
      <c r="F596" s="97"/>
      <c r="G596" s="97"/>
      <c r="H596" s="129"/>
      <c r="I596" s="97"/>
      <c r="J596" s="97"/>
      <c r="K596" s="97"/>
      <c r="L596" s="97"/>
      <c r="M596" s="97"/>
      <c r="N596" s="97"/>
      <c r="O596" s="97"/>
      <c r="P596" s="97"/>
      <c r="Q596" s="97"/>
      <c r="R596" s="97"/>
      <c r="S596" s="97"/>
      <c r="T596" s="97"/>
      <c r="U596" s="97"/>
      <c r="V596" s="97"/>
      <c r="W596" s="97"/>
      <c r="X596" s="129"/>
      <c r="Y596" s="97"/>
      <c r="Z596" s="97"/>
      <c r="AA596" s="97"/>
      <c r="AB596" s="97"/>
      <c r="AC596" s="97"/>
      <c r="AD596" s="97"/>
      <c r="AE596" s="97"/>
      <c r="AF596" s="97"/>
      <c r="AG596" s="97"/>
      <c r="AH596" s="97"/>
      <c r="AI596" s="97"/>
      <c r="AJ596" s="97"/>
      <c r="AK596" s="97"/>
      <c r="AL596" s="97"/>
      <c r="AM596" s="97"/>
      <c r="AN596" s="97"/>
      <c r="AO596" s="97"/>
      <c r="AP596" s="97"/>
      <c r="AQ596" s="97"/>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c r="DF596" s="97"/>
      <c r="DG596" s="97"/>
      <c r="DH596" s="97"/>
      <c r="DI596" s="97"/>
      <c r="DJ596" s="97"/>
      <c r="DK596" s="97"/>
      <c r="DL596" s="97"/>
      <c r="DM596" s="97"/>
      <c r="DN596" s="97"/>
      <c r="DO596" s="97"/>
      <c r="DP596" s="97"/>
      <c r="DQ596" s="97"/>
      <c r="DR596" s="97"/>
      <c r="DS596" s="97"/>
      <c r="DT596" s="97"/>
      <c r="DU596" s="97"/>
      <c r="DV596" s="97"/>
      <c r="DW596" s="97"/>
      <c r="DX596" s="97"/>
      <c r="DY596" s="97"/>
      <c r="DZ596" s="97"/>
      <c r="EA596" s="97"/>
      <c r="EB596" s="97"/>
      <c r="EC596" s="97"/>
      <c r="ED596" s="97"/>
      <c r="EE596" s="97"/>
      <c r="EF596" s="97"/>
      <c r="EG596" s="97"/>
      <c r="EH596" s="97"/>
      <c r="EI596" s="97"/>
      <c r="EJ596" s="97"/>
      <c r="EK596" s="97"/>
      <c r="EL596" s="97"/>
      <c r="EM596" s="97"/>
      <c r="EN596" s="97"/>
      <c r="EO596" s="97"/>
      <c r="EP596" s="97"/>
      <c r="EQ596" s="97"/>
      <c r="ER596" s="97"/>
      <c r="ES596" s="97"/>
      <c r="ET596" s="97"/>
    </row>
    <row r="597" spans="1:150" ht="15.75" customHeight="1">
      <c r="A597" s="97"/>
      <c r="B597" s="97"/>
      <c r="C597" s="97"/>
      <c r="D597" s="97"/>
      <c r="E597" s="97"/>
      <c r="F597" s="97"/>
      <c r="G597" s="97"/>
      <c r="H597" s="129"/>
      <c r="I597" s="97"/>
      <c r="J597" s="97"/>
      <c r="K597" s="97"/>
      <c r="L597" s="97"/>
      <c r="M597" s="97"/>
      <c r="N597" s="97"/>
      <c r="O597" s="97"/>
      <c r="P597" s="97"/>
      <c r="Q597" s="97"/>
      <c r="R597" s="97"/>
      <c r="S597" s="97"/>
      <c r="T597" s="97"/>
      <c r="U597" s="97"/>
      <c r="V597" s="97"/>
      <c r="W597" s="97"/>
      <c r="X597" s="129"/>
      <c r="Y597" s="97"/>
      <c r="Z597" s="97"/>
      <c r="AA597" s="97"/>
      <c r="AB597" s="97"/>
      <c r="AC597" s="97"/>
      <c r="AD597" s="97"/>
      <c r="AE597" s="97"/>
      <c r="AF597" s="97"/>
      <c r="AG597" s="97"/>
      <c r="AH597" s="97"/>
      <c r="AI597" s="97"/>
      <c r="AJ597" s="97"/>
      <c r="AK597" s="97"/>
      <c r="AL597" s="97"/>
      <c r="AM597" s="97"/>
      <c r="AN597" s="97"/>
      <c r="AO597" s="97"/>
      <c r="AP597" s="97"/>
      <c r="AQ597" s="97"/>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c r="DF597" s="97"/>
      <c r="DG597" s="97"/>
      <c r="DH597" s="97"/>
      <c r="DI597" s="97"/>
      <c r="DJ597" s="97"/>
      <c r="DK597" s="97"/>
      <c r="DL597" s="97"/>
      <c r="DM597" s="97"/>
      <c r="DN597" s="97"/>
      <c r="DO597" s="97"/>
      <c r="DP597" s="97"/>
      <c r="DQ597" s="97"/>
      <c r="DR597" s="97"/>
      <c r="DS597" s="97"/>
      <c r="DT597" s="97"/>
      <c r="DU597" s="97"/>
      <c r="DV597" s="97"/>
      <c r="DW597" s="97"/>
      <c r="DX597" s="97"/>
      <c r="DY597" s="97"/>
      <c r="DZ597" s="97"/>
      <c r="EA597" s="97"/>
      <c r="EB597" s="97"/>
      <c r="EC597" s="97"/>
      <c r="ED597" s="97"/>
      <c r="EE597" s="97"/>
      <c r="EF597" s="97"/>
      <c r="EG597" s="97"/>
      <c r="EH597" s="97"/>
      <c r="EI597" s="97"/>
      <c r="EJ597" s="97"/>
      <c r="EK597" s="97"/>
      <c r="EL597" s="97"/>
      <c r="EM597" s="97"/>
      <c r="EN597" s="97"/>
      <c r="EO597" s="97"/>
      <c r="EP597" s="97"/>
      <c r="EQ597" s="97"/>
      <c r="ER597" s="97"/>
      <c r="ES597" s="97"/>
      <c r="ET597" s="97"/>
    </row>
    <row r="598" spans="1:150" ht="15.75" customHeight="1">
      <c r="A598" s="97"/>
      <c r="B598" s="97"/>
      <c r="C598" s="97"/>
      <c r="D598" s="97"/>
      <c r="E598" s="97"/>
      <c r="F598" s="97"/>
      <c r="G598" s="97"/>
      <c r="H598" s="129"/>
      <c r="I598" s="97"/>
      <c r="J598" s="97"/>
      <c r="K598" s="97"/>
      <c r="L598" s="97"/>
      <c r="M598" s="97"/>
      <c r="N598" s="97"/>
      <c r="O598" s="97"/>
      <c r="P598" s="97"/>
      <c r="Q598" s="97"/>
      <c r="R598" s="97"/>
      <c r="S598" s="97"/>
      <c r="T598" s="97"/>
      <c r="U598" s="97"/>
      <c r="V598" s="97"/>
      <c r="W598" s="97"/>
      <c r="X598" s="129"/>
      <c r="Y598" s="97"/>
      <c r="Z598" s="97"/>
      <c r="AA598" s="97"/>
      <c r="AB598" s="97"/>
      <c r="AC598" s="97"/>
      <c r="AD598" s="97"/>
      <c r="AE598" s="97"/>
      <c r="AF598" s="97"/>
      <c r="AG598" s="97"/>
      <c r="AH598" s="97"/>
      <c r="AI598" s="97"/>
      <c r="AJ598" s="97"/>
      <c r="AK598" s="97"/>
      <c r="AL598" s="97"/>
      <c r="AM598" s="97"/>
      <c r="AN598" s="97"/>
      <c r="AO598" s="97"/>
      <c r="AP598" s="97"/>
      <c r="AQ598" s="97"/>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c r="DF598" s="97"/>
      <c r="DG598" s="97"/>
      <c r="DH598" s="97"/>
      <c r="DI598" s="97"/>
      <c r="DJ598" s="97"/>
      <c r="DK598" s="97"/>
      <c r="DL598" s="97"/>
      <c r="DM598" s="97"/>
      <c r="DN598" s="97"/>
      <c r="DO598" s="97"/>
      <c r="DP598" s="97"/>
      <c r="DQ598" s="97"/>
      <c r="DR598" s="97"/>
      <c r="DS598" s="97"/>
      <c r="DT598" s="97"/>
      <c r="DU598" s="97"/>
      <c r="DV598" s="97"/>
      <c r="DW598" s="97"/>
      <c r="DX598" s="97"/>
      <c r="DY598" s="97"/>
      <c r="DZ598" s="97"/>
      <c r="EA598" s="97"/>
      <c r="EB598" s="97"/>
      <c r="EC598" s="97"/>
      <c r="ED598" s="97"/>
      <c r="EE598" s="97"/>
      <c r="EF598" s="97"/>
      <c r="EG598" s="97"/>
      <c r="EH598" s="97"/>
      <c r="EI598" s="97"/>
      <c r="EJ598" s="97"/>
      <c r="EK598" s="97"/>
      <c r="EL598" s="97"/>
      <c r="EM598" s="97"/>
      <c r="EN598" s="97"/>
      <c r="EO598" s="97"/>
      <c r="EP598" s="97"/>
      <c r="EQ598" s="97"/>
      <c r="ER598" s="97"/>
      <c r="ES598" s="97"/>
      <c r="ET598" s="97"/>
    </row>
    <row r="599" spans="1:150" ht="15.75" customHeight="1">
      <c r="A599" s="97"/>
      <c r="B599" s="97"/>
      <c r="C599" s="97"/>
      <c r="D599" s="97"/>
      <c r="E599" s="97"/>
      <c r="F599" s="97"/>
      <c r="G599" s="97"/>
      <c r="H599" s="129"/>
      <c r="I599" s="97"/>
      <c r="J599" s="97"/>
      <c r="K599" s="97"/>
      <c r="L599" s="97"/>
      <c r="M599" s="97"/>
      <c r="N599" s="97"/>
      <c r="O599" s="97"/>
      <c r="P599" s="97"/>
      <c r="Q599" s="97"/>
      <c r="R599" s="97"/>
      <c r="S599" s="97"/>
      <c r="T599" s="97"/>
      <c r="U599" s="97"/>
      <c r="V599" s="97"/>
      <c r="W599" s="97"/>
      <c r="X599" s="129"/>
      <c r="Y599" s="97"/>
      <c r="Z599" s="97"/>
      <c r="AA599" s="97"/>
      <c r="AB599" s="97"/>
      <c r="AC599" s="97"/>
      <c r="AD599" s="97"/>
      <c r="AE599" s="97"/>
      <c r="AF599" s="97"/>
      <c r="AG599" s="97"/>
      <c r="AH599" s="97"/>
      <c r="AI599" s="97"/>
      <c r="AJ599" s="97"/>
      <c r="AK599" s="97"/>
      <c r="AL599" s="97"/>
      <c r="AM599" s="97"/>
      <c r="AN599" s="97"/>
      <c r="AO599" s="97"/>
      <c r="AP599" s="97"/>
      <c r="AQ599" s="97"/>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c r="DF599" s="97"/>
      <c r="DG599" s="97"/>
      <c r="DH599" s="97"/>
      <c r="DI599" s="97"/>
      <c r="DJ599" s="97"/>
      <c r="DK599" s="97"/>
      <c r="DL599" s="97"/>
      <c r="DM599" s="97"/>
      <c r="DN599" s="97"/>
      <c r="DO599" s="97"/>
      <c r="DP599" s="97"/>
      <c r="DQ599" s="97"/>
      <c r="DR599" s="97"/>
      <c r="DS599" s="97"/>
      <c r="DT599" s="97"/>
      <c r="DU599" s="97"/>
      <c r="DV599" s="97"/>
      <c r="DW599" s="97"/>
      <c r="DX599" s="97"/>
      <c r="DY599" s="97"/>
      <c r="DZ599" s="97"/>
      <c r="EA599" s="97"/>
      <c r="EB599" s="97"/>
      <c r="EC599" s="97"/>
      <c r="ED599" s="97"/>
      <c r="EE599" s="97"/>
      <c r="EF599" s="97"/>
      <c r="EG599" s="97"/>
      <c r="EH599" s="97"/>
      <c r="EI599" s="97"/>
      <c r="EJ599" s="97"/>
      <c r="EK599" s="97"/>
      <c r="EL599" s="97"/>
      <c r="EM599" s="97"/>
      <c r="EN599" s="97"/>
      <c r="EO599" s="97"/>
      <c r="EP599" s="97"/>
      <c r="EQ599" s="97"/>
      <c r="ER599" s="97"/>
      <c r="ES599" s="97"/>
      <c r="ET599" s="97"/>
    </row>
    <row r="600" spans="1:150" ht="15.75" customHeight="1">
      <c r="A600" s="97"/>
      <c r="B600" s="97"/>
      <c r="C600" s="97"/>
      <c r="D600" s="97"/>
      <c r="E600" s="97"/>
      <c r="F600" s="97"/>
      <c r="G600" s="97"/>
      <c r="H600" s="129"/>
      <c r="I600" s="97"/>
      <c r="J600" s="97"/>
      <c r="K600" s="97"/>
      <c r="L600" s="97"/>
      <c r="M600" s="97"/>
      <c r="N600" s="97"/>
      <c r="O600" s="97"/>
      <c r="P600" s="97"/>
      <c r="Q600" s="97"/>
      <c r="R600" s="97"/>
      <c r="S600" s="97"/>
      <c r="T600" s="97"/>
      <c r="U600" s="97"/>
      <c r="V600" s="97"/>
      <c r="W600" s="97"/>
      <c r="X600" s="129"/>
      <c r="Y600" s="97"/>
      <c r="Z600" s="97"/>
      <c r="AA600" s="97"/>
      <c r="AB600" s="97"/>
      <c r="AC600" s="97"/>
      <c r="AD600" s="97"/>
      <c r="AE600" s="97"/>
      <c r="AF600" s="97"/>
      <c r="AG600" s="97"/>
      <c r="AH600" s="97"/>
      <c r="AI600" s="97"/>
      <c r="AJ600" s="97"/>
      <c r="AK600" s="97"/>
      <c r="AL600" s="97"/>
      <c r="AM600" s="97"/>
      <c r="AN600" s="97"/>
      <c r="AO600" s="97"/>
      <c r="AP600" s="97"/>
      <c r="AQ600" s="97"/>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c r="DF600" s="97"/>
      <c r="DG600" s="97"/>
      <c r="DH600" s="97"/>
      <c r="DI600" s="97"/>
      <c r="DJ600" s="97"/>
      <c r="DK600" s="97"/>
      <c r="DL600" s="97"/>
      <c r="DM600" s="97"/>
      <c r="DN600" s="97"/>
      <c r="DO600" s="97"/>
      <c r="DP600" s="97"/>
      <c r="DQ600" s="97"/>
      <c r="DR600" s="97"/>
      <c r="DS600" s="97"/>
      <c r="DT600" s="97"/>
      <c r="DU600" s="97"/>
      <c r="DV600" s="97"/>
      <c r="DW600" s="97"/>
      <c r="DX600" s="97"/>
      <c r="DY600" s="97"/>
      <c r="DZ600" s="97"/>
      <c r="EA600" s="97"/>
      <c r="EB600" s="97"/>
      <c r="EC600" s="97"/>
      <c r="ED600" s="97"/>
      <c r="EE600" s="97"/>
      <c r="EF600" s="97"/>
      <c r="EG600" s="97"/>
      <c r="EH600" s="97"/>
      <c r="EI600" s="97"/>
      <c r="EJ600" s="97"/>
      <c r="EK600" s="97"/>
      <c r="EL600" s="97"/>
      <c r="EM600" s="97"/>
      <c r="EN600" s="97"/>
      <c r="EO600" s="97"/>
      <c r="EP600" s="97"/>
      <c r="EQ600" s="97"/>
      <c r="ER600" s="97"/>
      <c r="ES600" s="97"/>
      <c r="ET600" s="97"/>
    </row>
    <row r="601" spans="1:150" ht="15.75" customHeight="1">
      <c r="A601" s="97"/>
      <c r="B601" s="97"/>
      <c r="C601" s="97"/>
      <c r="D601" s="97"/>
      <c r="E601" s="97"/>
      <c r="F601" s="97"/>
      <c r="G601" s="97"/>
      <c r="H601" s="129"/>
      <c r="I601" s="97"/>
      <c r="J601" s="97"/>
      <c r="K601" s="97"/>
      <c r="L601" s="97"/>
      <c r="M601" s="97"/>
      <c r="N601" s="97"/>
      <c r="O601" s="97"/>
      <c r="P601" s="97"/>
      <c r="Q601" s="97"/>
      <c r="R601" s="97"/>
      <c r="S601" s="97"/>
      <c r="T601" s="97"/>
      <c r="U601" s="97"/>
      <c r="V601" s="97"/>
      <c r="W601" s="97"/>
      <c r="X601" s="129"/>
      <c r="Y601" s="97"/>
      <c r="Z601" s="97"/>
      <c r="AA601" s="97"/>
      <c r="AB601" s="97"/>
      <c r="AC601" s="97"/>
      <c r="AD601" s="97"/>
      <c r="AE601" s="97"/>
      <c r="AF601" s="97"/>
      <c r="AG601" s="97"/>
      <c r="AH601" s="97"/>
      <c r="AI601" s="97"/>
      <c r="AJ601" s="97"/>
      <c r="AK601" s="97"/>
      <c r="AL601" s="97"/>
      <c r="AM601" s="97"/>
      <c r="AN601" s="97"/>
      <c r="AO601" s="97"/>
      <c r="AP601" s="97"/>
      <c r="AQ601" s="97"/>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c r="DF601" s="97"/>
      <c r="DG601" s="97"/>
      <c r="DH601" s="97"/>
      <c r="DI601" s="97"/>
      <c r="DJ601" s="97"/>
      <c r="DK601" s="97"/>
      <c r="DL601" s="97"/>
      <c r="DM601" s="97"/>
      <c r="DN601" s="97"/>
      <c r="DO601" s="97"/>
      <c r="DP601" s="97"/>
      <c r="DQ601" s="97"/>
      <c r="DR601" s="97"/>
      <c r="DS601" s="97"/>
      <c r="DT601" s="97"/>
      <c r="DU601" s="97"/>
      <c r="DV601" s="97"/>
      <c r="DW601" s="97"/>
      <c r="DX601" s="97"/>
      <c r="DY601" s="97"/>
      <c r="DZ601" s="97"/>
      <c r="EA601" s="97"/>
      <c r="EB601" s="97"/>
      <c r="EC601" s="97"/>
      <c r="ED601" s="97"/>
      <c r="EE601" s="97"/>
      <c r="EF601" s="97"/>
      <c r="EG601" s="97"/>
      <c r="EH601" s="97"/>
      <c r="EI601" s="97"/>
      <c r="EJ601" s="97"/>
      <c r="EK601" s="97"/>
      <c r="EL601" s="97"/>
      <c r="EM601" s="97"/>
      <c r="EN601" s="97"/>
      <c r="EO601" s="97"/>
      <c r="EP601" s="97"/>
      <c r="EQ601" s="97"/>
      <c r="ER601" s="97"/>
      <c r="ES601" s="97"/>
      <c r="ET601" s="97"/>
    </row>
    <row r="602" spans="1:150" ht="15.75" customHeight="1">
      <c r="A602" s="97"/>
      <c r="B602" s="97"/>
      <c r="C602" s="97"/>
      <c r="D602" s="97"/>
      <c r="E602" s="97"/>
      <c r="F602" s="97"/>
      <c r="G602" s="97"/>
      <c r="H602" s="129"/>
      <c r="I602" s="97"/>
      <c r="J602" s="97"/>
      <c r="K602" s="97"/>
      <c r="L602" s="97"/>
      <c r="M602" s="97"/>
      <c r="N602" s="97"/>
      <c r="O602" s="97"/>
      <c r="P602" s="97"/>
      <c r="Q602" s="97"/>
      <c r="R602" s="97"/>
      <c r="S602" s="97"/>
      <c r="T602" s="97"/>
      <c r="U602" s="97"/>
      <c r="V602" s="97"/>
      <c r="W602" s="97"/>
      <c r="X602" s="129"/>
      <c r="Y602" s="97"/>
      <c r="Z602" s="97"/>
      <c r="AA602" s="97"/>
      <c r="AB602" s="97"/>
      <c r="AC602" s="97"/>
      <c r="AD602" s="97"/>
      <c r="AE602" s="97"/>
      <c r="AF602" s="97"/>
      <c r="AG602" s="97"/>
      <c r="AH602" s="97"/>
      <c r="AI602" s="97"/>
      <c r="AJ602" s="97"/>
      <c r="AK602" s="97"/>
      <c r="AL602" s="97"/>
      <c r="AM602" s="97"/>
      <c r="AN602" s="97"/>
      <c r="AO602" s="97"/>
      <c r="AP602" s="97"/>
      <c r="AQ602" s="97"/>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c r="DF602" s="97"/>
      <c r="DG602" s="97"/>
      <c r="DH602" s="97"/>
      <c r="DI602" s="97"/>
      <c r="DJ602" s="97"/>
      <c r="DK602" s="97"/>
      <c r="DL602" s="97"/>
      <c r="DM602" s="97"/>
      <c r="DN602" s="97"/>
      <c r="DO602" s="97"/>
      <c r="DP602" s="97"/>
      <c r="DQ602" s="97"/>
      <c r="DR602" s="97"/>
      <c r="DS602" s="97"/>
      <c r="DT602" s="97"/>
      <c r="DU602" s="97"/>
      <c r="DV602" s="97"/>
      <c r="DW602" s="97"/>
      <c r="DX602" s="97"/>
      <c r="DY602" s="97"/>
      <c r="DZ602" s="97"/>
      <c r="EA602" s="97"/>
      <c r="EB602" s="97"/>
      <c r="EC602" s="97"/>
      <c r="ED602" s="97"/>
      <c r="EE602" s="97"/>
      <c r="EF602" s="97"/>
      <c r="EG602" s="97"/>
      <c r="EH602" s="97"/>
      <c r="EI602" s="97"/>
      <c r="EJ602" s="97"/>
      <c r="EK602" s="97"/>
      <c r="EL602" s="97"/>
      <c r="EM602" s="97"/>
      <c r="EN602" s="97"/>
      <c r="EO602" s="97"/>
      <c r="EP602" s="97"/>
      <c r="EQ602" s="97"/>
      <c r="ER602" s="97"/>
      <c r="ES602" s="97"/>
      <c r="ET602" s="97"/>
    </row>
    <row r="603" spans="1:150" ht="15.75" customHeight="1">
      <c r="A603" s="97"/>
      <c r="B603" s="97"/>
      <c r="C603" s="97"/>
      <c r="D603" s="97"/>
      <c r="E603" s="97"/>
      <c r="F603" s="97"/>
      <c r="G603" s="97"/>
      <c r="H603" s="129"/>
      <c r="I603" s="97"/>
      <c r="J603" s="97"/>
      <c r="K603" s="97"/>
      <c r="L603" s="97"/>
      <c r="M603" s="97"/>
      <c r="N603" s="97"/>
      <c r="O603" s="97"/>
      <c r="P603" s="97"/>
      <c r="Q603" s="97"/>
      <c r="R603" s="97"/>
      <c r="S603" s="97"/>
      <c r="T603" s="97"/>
      <c r="U603" s="97"/>
      <c r="V603" s="97"/>
      <c r="W603" s="97"/>
      <c r="X603" s="129"/>
      <c r="Y603" s="97"/>
      <c r="Z603" s="97"/>
      <c r="AA603" s="97"/>
      <c r="AB603" s="97"/>
      <c r="AC603" s="97"/>
      <c r="AD603" s="97"/>
      <c r="AE603" s="97"/>
      <c r="AF603" s="97"/>
      <c r="AG603" s="97"/>
      <c r="AH603" s="97"/>
      <c r="AI603" s="97"/>
      <c r="AJ603" s="97"/>
      <c r="AK603" s="97"/>
      <c r="AL603" s="97"/>
      <c r="AM603" s="97"/>
      <c r="AN603" s="97"/>
      <c r="AO603" s="97"/>
      <c r="AP603" s="97"/>
      <c r="AQ603" s="97"/>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c r="DF603" s="97"/>
      <c r="DG603" s="97"/>
      <c r="DH603" s="97"/>
      <c r="DI603" s="97"/>
      <c r="DJ603" s="97"/>
      <c r="DK603" s="97"/>
      <c r="DL603" s="97"/>
      <c r="DM603" s="97"/>
      <c r="DN603" s="97"/>
      <c r="DO603" s="97"/>
      <c r="DP603" s="97"/>
      <c r="DQ603" s="97"/>
      <c r="DR603" s="97"/>
      <c r="DS603" s="97"/>
      <c r="DT603" s="97"/>
      <c r="DU603" s="97"/>
      <c r="DV603" s="97"/>
      <c r="DW603" s="97"/>
      <c r="DX603" s="97"/>
      <c r="DY603" s="97"/>
      <c r="DZ603" s="97"/>
      <c r="EA603" s="97"/>
      <c r="EB603" s="97"/>
      <c r="EC603" s="97"/>
      <c r="ED603" s="97"/>
      <c r="EE603" s="97"/>
      <c r="EF603" s="97"/>
      <c r="EG603" s="97"/>
      <c r="EH603" s="97"/>
      <c r="EI603" s="97"/>
      <c r="EJ603" s="97"/>
      <c r="EK603" s="97"/>
      <c r="EL603" s="97"/>
      <c r="EM603" s="97"/>
      <c r="EN603" s="97"/>
      <c r="EO603" s="97"/>
      <c r="EP603" s="97"/>
      <c r="EQ603" s="97"/>
      <c r="ER603" s="97"/>
      <c r="ES603" s="97"/>
      <c r="ET603" s="97"/>
    </row>
    <row r="604" spans="1:150" ht="15.75" customHeight="1">
      <c r="A604" s="97"/>
      <c r="B604" s="97"/>
      <c r="C604" s="97"/>
      <c r="D604" s="97"/>
      <c r="E604" s="97"/>
      <c r="F604" s="97"/>
      <c r="G604" s="97"/>
      <c r="H604" s="129"/>
      <c r="I604" s="97"/>
      <c r="J604" s="97"/>
      <c r="K604" s="97"/>
      <c r="L604" s="97"/>
      <c r="M604" s="97"/>
      <c r="N604" s="97"/>
      <c r="O604" s="97"/>
      <c r="P604" s="97"/>
      <c r="Q604" s="97"/>
      <c r="R604" s="97"/>
      <c r="S604" s="97"/>
      <c r="T604" s="97"/>
      <c r="U604" s="97"/>
      <c r="V604" s="97"/>
      <c r="W604" s="97"/>
      <c r="X604" s="129"/>
      <c r="Y604" s="97"/>
      <c r="Z604" s="97"/>
      <c r="AA604" s="97"/>
      <c r="AB604" s="97"/>
      <c r="AC604" s="97"/>
      <c r="AD604" s="97"/>
      <c r="AE604" s="97"/>
      <c r="AF604" s="97"/>
      <c r="AG604" s="97"/>
      <c r="AH604" s="97"/>
      <c r="AI604" s="97"/>
      <c r="AJ604" s="97"/>
      <c r="AK604" s="97"/>
      <c r="AL604" s="97"/>
      <c r="AM604" s="97"/>
      <c r="AN604" s="97"/>
      <c r="AO604" s="97"/>
      <c r="AP604" s="97"/>
      <c r="AQ604" s="97"/>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c r="DF604" s="97"/>
      <c r="DG604" s="97"/>
      <c r="DH604" s="97"/>
      <c r="DI604" s="97"/>
      <c r="DJ604" s="97"/>
      <c r="DK604" s="97"/>
      <c r="DL604" s="97"/>
      <c r="DM604" s="97"/>
      <c r="DN604" s="97"/>
      <c r="DO604" s="97"/>
      <c r="DP604" s="97"/>
      <c r="DQ604" s="97"/>
      <c r="DR604" s="97"/>
      <c r="DS604" s="97"/>
      <c r="DT604" s="97"/>
      <c r="DU604" s="97"/>
      <c r="DV604" s="97"/>
      <c r="DW604" s="97"/>
      <c r="DX604" s="97"/>
      <c r="DY604" s="97"/>
      <c r="DZ604" s="97"/>
      <c r="EA604" s="97"/>
      <c r="EB604" s="97"/>
      <c r="EC604" s="97"/>
      <c r="ED604" s="97"/>
      <c r="EE604" s="97"/>
      <c r="EF604" s="97"/>
      <c r="EG604" s="97"/>
      <c r="EH604" s="97"/>
      <c r="EI604" s="97"/>
      <c r="EJ604" s="97"/>
      <c r="EK604" s="97"/>
      <c r="EL604" s="97"/>
      <c r="EM604" s="97"/>
      <c r="EN604" s="97"/>
      <c r="EO604" s="97"/>
      <c r="EP604" s="97"/>
      <c r="EQ604" s="97"/>
      <c r="ER604" s="97"/>
      <c r="ES604" s="97"/>
      <c r="ET604" s="97"/>
    </row>
    <row r="605" spans="1:150" ht="15.75" customHeight="1">
      <c r="A605" s="97"/>
      <c r="B605" s="97"/>
      <c r="C605" s="97"/>
      <c r="D605" s="97"/>
      <c r="E605" s="97"/>
      <c r="F605" s="97"/>
      <c r="G605" s="97"/>
      <c r="H605" s="129"/>
      <c r="I605" s="97"/>
      <c r="J605" s="97"/>
      <c r="K605" s="97"/>
      <c r="L605" s="97"/>
      <c r="M605" s="97"/>
      <c r="N605" s="97"/>
      <c r="O605" s="97"/>
      <c r="P605" s="97"/>
      <c r="Q605" s="97"/>
      <c r="R605" s="97"/>
      <c r="S605" s="97"/>
      <c r="T605" s="97"/>
      <c r="U605" s="97"/>
      <c r="V605" s="97"/>
      <c r="W605" s="97"/>
      <c r="X605" s="129"/>
      <c r="Y605" s="97"/>
      <c r="Z605" s="97"/>
      <c r="AA605" s="97"/>
      <c r="AB605" s="97"/>
      <c r="AC605" s="97"/>
      <c r="AD605" s="97"/>
      <c r="AE605" s="97"/>
      <c r="AF605" s="97"/>
      <c r="AG605" s="97"/>
      <c r="AH605" s="97"/>
      <c r="AI605" s="97"/>
      <c r="AJ605" s="97"/>
      <c r="AK605" s="97"/>
      <c r="AL605" s="97"/>
      <c r="AM605" s="97"/>
      <c r="AN605" s="97"/>
      <c r="AO605" s="97"/>
      <c r="AP605" s="97"/>
      <c r="AQ605" s="97"/>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c r="DF605" s="97"/>
      <c r="DG605" s="97"/>
      <c r="DH605" s="97"/>
      <c r="DI605" s="97"/>
      <c r="DJ605" s="97"/>
      <c r="DK605" s="97"/>
      <c r="DL605" s="97"/>
      <c r="DM605" s="97"/>
      <c r="DN605" s="97"/>
      <c r="DO605" s="97"/>
      <c r="DP605" s="97"/>
      <c r="DQ605" s="97"/>
      <c r="DR605" s="97"/>
      <c r="DS605" s="97"/>
      <c r="DT605" s="97"/>
      <c r="DU605" s="97"/>
      <c r="DV605" s="97"/>
      <c r="DW605" s="97"/>
      <c r="DX605" s="97"/>
      <c r="DY605" s="97"/>
      <c r="DZ605" s="97"/>
      <c r="EA605" s="97"/>
      <c r="EB605" s="97"/>
      <c r="EC605" s="97"/>
      <c r="ED605" s="97"/>
      <c r="EE605" s="97"/>
      <c r="EF605" s="97"/>
      <c r="EG605" s="97"/>
      <c r="EH605" s="97"/>
      <c r="EI605" s="97"/>
      <c r="EJ605" s="97"/>
      <c r="EK605" s="97"/>
      <c r="EL605" s="97"/>
      <c r="EM605" s="97"/>
      <c r="EN605" s="97"/>
      <c r="EO605" s="97"/>
      <c r="EP605" s="97"/>
      <c r="EQ605" s="97"/>
      <c r="ER605" s="97"/>
      <c r="ES605" s="97"/>
      <c r="ET605" s="97"/>
    </row>
    <row r="606" spans="1:150" ht="15.75" customHeight="1">
      <c r="A606" s="97"/>
      <c r="B606" s="97"/>
      <c r="C606" s="97"/>
      <c r="D606" s="97"/>
      <c r="E606" s="97"/>
      <c r="F606" s="97"/>
      <c r="G606" s="97"/>
      <c r="H606" s="129"/>
      <c r="I606" s="97"/>
      <c r="J606" s="97"/>
      <c r="K606" s="97"/>
      <c r="L606" s="97"/>
      <c r="M606" s="97"/>
      <c r="N606" s="97"/>
      <c r="O606" s="97"/>
      <c r="P606" s="97"/>
      <c r="Q606" s="97"/>
      <c r="R606" s="97"/>
      <c r="S606" s="97"/>
      <c r="T606" s="97"/>
      <c r="U606" s="97"/>
      <c r="V606" s="97"/>
      <c r="W606" s="97"/>
      <c r="X606" s="129"/>
      <c r="Y606" s="97"/>
      <c r="Z606" s="97"/>
      <c r="AA606" s="97"/>
      <c r="AB606" s="97"/>
      <c r="AC606" s="97"/>
      <c r="AD606" s="97"/>
      <c r="AE606" s="97"/>
      <c r="AF606" s="97"/>
      <c r="AG606" s="97"/>
      <c r="AH606" s="97"/>
      <c r="AI606" s="97"/>
      <c r="AJ606" s="97"/>
      <c r="AK606" s="97"/>
      <c r="AL606" s="97"/>
      <c r="AM606" s="97"/>
      <c r="AN606" s="97"/>
      <c r="AO606" s="97"/>
      <c r="AP606" s="97"/>
      <c r="AQ606" s="97"/>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c r="DF606" s="97"/>
      <c r="DG606" s="97"/>
      <c r="DH606" s="97"/>
      <c r="DI606" s="97"/>
      <c r="DJ606" s="97"/>
      <c r="DK606" s="97"/>
      <c r="DL606" s="97"/>
      <c r="DM606" s="97"/>
      <c r="DN606" s="97"/>
      <c r="DO606" s="97"/>
      <c r="DP606" s="97"/>
      <c r="DQ606" s="97"/>
      <c r="DR606" s="97"/>
      <c r="DS606" s="97"/>
      <c r="DT606" s="97"/>
      <c r="DU606" s="97"/>
      <c r="DV606" s="97"/>
      <c r="DW606" s="97"/>
      <c r="DX606" s="97"/>
      <c r="DY606" s="97"/>
      <c r="DZ606" s="97"/>
      <c r="EA606" s="97"/>
      <c r="EB606" s="97"/>
      <c r="EC606" s="97"/>
      <c r="ED606" s="97"/>
      <c r="EE606" s="97"/>
      <c r="EF606" s="97"/>
      <c r="EG606" s="97"/>
      <c r="EH606" s="97"/>
      <c r="EI606" s="97"/>
      <c r="EJ606" s="97"/>
      <c r="EK606" s="97"/>
      <c r="EL606" s="97"/>
      <c r="EM606" s="97"/>
      <c r="EN606" s="97"/>
      <c r="EO606" s="97"/>
      <c r="EP606" s="97"/>
      <c r="EQ606" s="97"/>
      <c r="ER606" s="97"/>
      <c r="ES606" s="97"/>
      <c r="ET606" s="97"/>
    </row>
    <row r="607" spans="1:150" ht="15.75" customHeight="1">
      <c r="A607" s="97"/>
      <c r="B607" s="97"/>
      <c r="C607" s="97"/>
      <c r="D607" s="97"/>
      <c r="E607" s="97"/>
      <c r="F607" s="97"/>
      <c r="G607" s="97"/>
      <c r="H607" s="129"/>
      <c r="I607" s="97"/>
      <c r="J607" s="97"/>
      <c r="K607" s="97"/>
      <c r="L607" s="97"/>
      <c r="M607" s="97"/>
      <c r="N607" s="97"/>
      <c r="O607" s="97"/>
      <c r="P607" s="97"/>
      <c r="Q607" s="97"/>
      <c r="R607" s="97"/>
      <c r="S607" s="97"/>
      <c r="T607" s="97"/>
      <c r="U607" s="97"/>
      <c r="V607" s="97"/>
      <c r="W607" s="97"/>
      <c r="X607" s="129"/>
      <c r="Y607" s="97"/>
      <c r="Z607" s="97"/>
      <c r="AA607" s="97"/>
      <c r="AB607" s="97"/>
      <c r="AC607" s="97"/>
      <c r="AD607" s="97"/>
      <c r="AE607" s="97"/>
      <c r="AF607" s="97"/>
      <c r="AG607" s="97"/>
      <c r="AH607" s="97"/>
      <c r="AI607" s="97"/>
      <c r="AJ607" s="97"/>
      <c r="AK607" s="97"/>
      <c r="AL607" s="97"/>
      <c r="AM607" s="97"/>
      <c r="AN607" s="97"/>
      <c r="AO607" s="97"/>
      <c r="AP607" s="97"/>
      <c r="AQ607" s="97"/>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c r="DF607" s="97"/>
      <c r="DG607" s="97"/>
      <c r="DH607" s="97"/>
      <c r="DI607" s="97"/>
      <c r="DJ607" s="97"/>
      <c r="DK607" s="97"/>
      <c r="DL607" s="97"/>
      <c r="DM607" s="97"/>
      <c r="DN607" s="97"/>
      <c r="DO607" s="97"/>
      <c r="DP607" s="97"/>
      <c r="DQ607" s="97"/>
      <c r="DR607" s="97"/>
      <c r="DS607" s="97"/>
      <c r="DT607" s="97"/>
      <c r="DU607" s="97"/>
      <c r="DV607" s="97"/>
      <c r="DW607" s="97"/>
      <c r="DX607" s="97"/>
      <c r="DY607" s="97"/>
      <c r="DZ607" s="97"/>
      <c r="EA607" s="97"/>
      <c r="EB607" s="97"/>
      <c r="EC607" s="97"/>
      <c r="ED607" s="97"/>
      <c r="EE607" s="97"/>
      <c r="EF607" s="97"/>
      <c r="EG607" s="97"/>
      <c r="EH607" s="97"/>
      <c r="EI607" s="97"/>
      <c r="EJ607" s="97"/>
      <c r="EK607" s="97"/>
      <c r="EL607" s="97"/>
      <c r="EM607" s="97"/>
      <c r="EN607" s="97"/>
      <c r="EO607" s="97"/>
      <c r="EP607" s="97"/>
      <c r="EQ607" s="97"/>
      <c r="ER607" s="97"/>
      <c r="ES607" s="97"/>
      <c r="ET607" s="97"/>
    </row>
    <row r="608" spans="1:150" ht="15.75" customHeight="1">
      <c r="A608" s="97"/>
      <c r="B608" s="97"/>
      <c r="C608" s="97"/>
      <c r="D608" s="97"/>
      <c r="E608" s="97"/>
      <c r="F608" s="97"/>
      <c r="G608" s="97"/>
      <c r="H608" s="129"/>
      <c r="I608" s="97"/>
      <c r="J608" s="97"/>
      <c r="K608" s="97"/>
      <c r="L608" s="97"/>
      <c r="M608" s="97"/>
      <c r="N608" s="97"/>
      <c r="O608" s="97"/>
      <c r="P608" s="97"/>
      <c r="Q608" s="97"/>
      <c r="R608" s="97"/>
      <c r="S608" s="97"/>
      <c r="T608" s="97"/>
      <c r="U608" s="97"/>
      <c r="V608" s="97"/>
      <c r="W608" s="97"/>
      <c r="X608" s="129"/>
      <c r="Y608" s="97"/>
      <c r="Z608" s="97"/>
      <c r="AA608" s="97"/>
      <c r="AB608" s="97"/>
      <c r="AC608" s="97"/>
      <c r="AD608" s="97"/>
      <c r="AE608" s="97"/>
      <c r="AF608" s="97"/>
      <c r="AG608" s="97"/>
      <c r="AH608" s="97"/>
      <c r="AI608" s="97"/>
      <c r="AJ608" s="97"/>
      <c r="AK608" s="97"/>
      <c r="AL608" s="97"/>
      <c r="AM608" s="97"/>
      <c r="AN608" s="97"/>
      <c r="AO608" s="97"/>
      <c r="AP608" s="97"/>
      <c r="AQ608" s="97"/>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c r="DF608" s="97"/>
      <c r="DG608" s="97"/>
      <c r="DH608" s="97"/>
      <c r="DI608" s="97"/>
      <c r="DJ608" s="97"/>
      <c r="DK608" s="97"/>
      <c r="DL608" s="97"/>
      <c r="DM608" s="97"/>
      <c r="DN608" s="97"/>
      <c r="DO608" s="97"/>
      <c r="DP608" s="97"/>
      <c r="DQ608" s="97"/>
      <c r="DR608" s="97"/>
      <c r="DS608" s="97"/>
      <c r="DT608" s="97"/>
      <c r="DU608" s="97"/>
      <c r="DV608" s="97"/>
      <c r="DW608" s="97"/>
      <c r="DX608" s="97"/>
      <c r="DY608" s="97"/>
      <c r="DZ608" s="97"/>
      <c r="EA608" s="97"/>
      <c r="EB608" s="97"/>
      <c r="EC608" s="97"/>
      <c r="ED608" s="97"/>
      <c r="EE608" s="97"/>
      <c r="EF608" s="97"/>
      <c r="EG608" s="97"/>
      <c r="EH608" s="97"/>
      <c r="EI608" s="97"/>
      <c r="EJ608" s="97"/>
      <c r="EK608" s="97"/>
      <c r="EL608" s="97"/>
      <c r="EM608" s="97"/>
      <c r="EN608" s="97"/>
      <c r="EO608" s="97"/>
      <c r="EP608" s="97"/>
      <c r="EQ608" s="97"/>
      <c r="ER608" s="97"/>
      <c r="ES608" s="97"/>
      <c r="ET608" s="97"/>
    </row>
    <row r="609" spans="1:150" ht="15.75" customHeight="1">
      <c r="A609" s="97"/>
      <c r="B609" s="97"/>
      <c r="C609" s="97"/>
      <c r="D609" s="97"/>
      <c r="E609" s="97"/>
      <c r="F609" s="97"/>
      <c r="G609" s="97"/>
      <c r="H609" s="129"/>
      <c r="I609" s="97"/>
      <c r="J609" s="97"/>
      <c r="K609" s="97"/>
      <c r="L609" s="97"/>
      <c r="M609" s="97"/>
      <c r="N609" s="97"/>
      <c r="O609" s="97"/>
      <c r="P609" s="97"/>
      <c r="Q609" s="97"/>
      <c r="R609" s="97"/>
      <c r="S609" s="97"/>
      <c r="T609" s="97"/>
      <c r="U609" s="97"/>
      <c r="V609" s="97"/>
      <c r="W609" s="97"/>
      <c r="X609" s="129"/>
      <c r="Y609" s="97"/>
      <c r="Z609" s="97"/>
      <c r="AA609" s="97"/>
      <c r="AB609" s="97"/>
      <c r="AC609" s="97"/>
      <c r="AD609" s="97"/>
      <c r="AE609" s="97"/>
      <c r="AF609" s="97"/>
      <c r="AG609" s="97"/>
      <c r="AH609" s="97"/>
      <c r="AI609" s="97"/>
      <c r="AJ609" s="97"/>
      <c r="AK609" s="97"/>
      <c r="AL609" s="97"/>
      <c r="AM609" s="97"/>
      <c r="AN609" s="97"/>
      <c r="AO609" s="97"/>
      <c r="AP609" s="97"/>
      <c r="AQ609" s="97"/>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c r="DF609" s="97"/>
      <c r="DG609" s="97"/>
      <c r="DH609" s="97"/>
      <c r="DI609" s="97"/>
      <c r="DJ609" s="97"/>
      <c r="DK609" s="97"/>
      <c r="DL609" s="97"/>
      <c r="DM609" s="97"/>
      <c r="DN609" s="97"/>
      <c r="DO609" s="97"/>
      <c r="DP609" s="97"/>
      <c r="DQ609" s="97"/>
      <c r="DR609" s="97"/>
      <c r="DS609" s="97"/>
      <c r="DT609" s="97"/>
      <c r="DU609" s="97"/>
      <c r="DV609" s="97"/>
      <c r="DW609" s="97"/>
      <c r="DX609" s="97"/>
      <c r="DY609" s="97"/>
      <c r="DZ609" s="97"/>
      <c r="EA609" s="97"/>
      <c r="EB609" s="97"/>
      <c r="EC609" s="97"/>
      <c r="ED609" s="97"/>
      <c r="EE609" s="97"/>
      <c r="EF609" s="97"/>
      <c r="EG609" s="97"/>
      <c r="EH609" s="97"/>
      <c r="EI609" s="97"/>
      <c r="EJ609" s="97"/>
      <c r="EK609" s="97"/>
      <c r="EL609" s="97"/>
      <c r="EM609" s="97"/>
      <c r="EN609" s="97"/>
      <c r="EO609" s="97"/>
      <c r="EP609" s="97"/>
      <c r="EQ609" s="97"/>
      <c r="ER609" s="97"/>
      <c r="ES609" s="97"/>
      <c r="ET609" s="97"/>
    </row>
    <row r="610" spans="1:150" ht="15.75" customHeight="1">
      <c r="A610" s="97"/>
      <c r="B610" s="97"/>
      <c r="C610" s="97"/>
      <c r="D610" s="97"/>
      <c r="E610" s="97"/>
      <c r="F610" s="97"/>
      <c r="G610" s="97"/>
      <c r="H610" s="129"/>
      <c r="I610" s="97"/>
      <c r="J610" s="97"/>
      <c r="K610" s="97"/>
      <c r="L610" s="97"/>
      <c r="M610" s="97"/>
      <c r="N610" s="97"/>
      <c r="O610" s="97"/>
      <c r="P610" s="97"/>
      <c r="Q610" s="97"/>
      <c r="R610" s="97"/>
      <c r="S610" s="97"/>
      <c r="T610" s="97"/>
      <c r="U610" s="97"/>
      <c r="V610" s="97"/>
      <c r="W610" s="97"/>
      <c r="X610" s="129"/>
      <c r="Y610" s="97"/>
      <c r="Z610" s="97"/>
      <c r="AA610" s="97"/>
      <c r="AB610" s="97"/>
      <c r="AC610" s="97"/>
      <c r="AD610" s="97"/>
      <c r="AE610" s="97"/>
      <c r="AF610" s="97"/>
      <c r="AG610" s="97"/>
      <c r="AH610" s="97"/>
      <c r="AI610" s="97"/>
      <c r="AJ610" s="97"/>
      <c r="AK610" s="97"/>
      <c r="AL610" s="97"/>
      <c r="AM610" s="97"/>
      <c r="AN610" s="97"/>
      <c r="AO610" s="97"/>
      <c r="AP610" s="97"/>
      <c r="AQ610" s="97"/>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c r="DF610" s="97"/>
      <c r="DG610" s="97"/>
      <c r="DH610" s="97"/>
      <c r="DI610" s="97"/>
      <c r="DJ610" s="97"/>
      <c r="DK610" s="97"/>
      <c r="DL610" s="97"/>
      <c r="DM610" s="97"/>
      <c r="DN610" s="97"/>
      <c r="DO610" s="97"/>
      <c r="DP610" s="97"/>
      <c r="DQ610" s="97"/>
      <c r="DR610" s="97"/>
      <c r="DS610" s="97"/>
      <c r="DT610" s="97"/>
      <c r="DU610" s="97"/>
      <c r="DV610" s="97"/>
      <c r="DW610" s="97"/>
      <c r="DX610" s="97"/>
      <c r="DY610" s="97"/>
      <c r="DZ610" s="97"/>
      <c r="EA610" s="97"/>
      <c r="EB610" s="97"/>
      <c r="EC610" s="97"/>
      <c r="ED610" s="97"/>
      <c r="EE610" s="97"/>
      <c r="EF610" s="97"/>
      <c r="EG610" s="97"/>
      <c r="EH610" s="97"/>
      <c r="EI610" s="97"/>
      <c r="EJ610" s="97"/>
      <c r="EK610" s="97"/>
      <c r="EL610" s="97"/>
      <c r="EM610" s="97"/>
      <c r="EN610" s="97"/>
      <c r="EO610" s="97"/>
      <c r="EP610" s="97"/>
      <c r="EQ610" s="97"/>
      <c r="ER610" s="97"/>
      <c r="ES610" s="97"/>
      <c r="ET610" s="97"/>
    </row>
    <row r="611" spans="1:150" ht="15.75" customHeight="1">
      <c r="A611" s="97"/>
      <c r="B611" s="97"/>
      <c r="C611" s="97"/>
      <c r="D611" s="97"/>
      <c r="E611" s="97"/>
      <c r="F611" s="97"/>
      <c r="G611" s="97"/>
      <c r="H611" s="129"/>
      <c r="I611" s="97"/>
      <c r="J611" s="97"/>
      <c r="K611" s="97"/>
      <c r="L611" s="97"/>
      <c r="M611" s="97"/>
      <c r="N611" s="97"/>
      <c r="O611" s="97"/>
      <c r="P611" s="97"/>
      <c r="Q611" s="97"/>
      <c r="R611" s="97"/>
      <c r="S611" s="97"/>
      <c r="T611" s="97"/>
      <c r="U611" s="97"/>
      <c r="V611" s="97"/>
      <c r="W611" s="97"/>
      <c r="X611" s="129"/>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c r="DF611" s="97"/>
      <c r="DG611" s="97"/>
      <c r="DH611" s="97"/>
      <c r="DI611" s="97"/>
      <c r="DJ611" s="97"/>
      <c r="DK611" s="97"/>
      <c r="DL611" s="97"/>
      <c r="DM611" s="97"/>
      <c r="DN611" s="97"/>
      <c r="DO611" s="97"/>
      <c r="DP611" s="97"/>
      <c r="DQ611" s="97"/>
      <c r="DR611" s="97"/>
      <c r="DS611" s="97"/>
      <c r="DT611" s="97"/>
      <c r="DU611" s="97"/>
      <c r="DV611" s="97"/>
      <c r="DW611" s="97"/>
      <c r="DX611" s="97"/>
      <c r="DY611" s="97"/>
      <c r="DZ611" s="97"/>
      <c r="EA611" s="97"/>
      <c r="EB611" s="97"/>
      <c r="EC611" s="97"/>
      <c r="ED611" s="97"/>
      <c r="EE611" s="97"/>
      <c r="EF611" s="97"/>
      <c r="EG611" s="97"/>
      <c r="EH611" s="97"/>
      <c r="EI611" s="97"/>
      <c r="EJ611" s="97"/>
      <c r="EK611" s="97"/>
      <c r="EL611" s="97"/>
      <c r="EM611" s="97"/>
      <c r="EN611" s="97"/>
      <c r="EO611" s="97"/>
      <c r="EP611" s="97"/>
      <c r="EQ611" s="97"/>
      <c r="ER611" s="97"/>
      <c r="ES611" s="97"/>
      <c r="ET611" s="97"/>
    </row>
    <row r="612" spans="1:150" ht="15.75" customHeight="1">
      <c r="A612" s="97"/>
      <c r="B612" s="97"/>
      <c r="C612" s="97"/>
      <c r="D612" s="97"/>
      <c r="E612" s="97"/>
      <c r="F612" s="97"/>
      <c r="G612" s="97"/>
      <c r="H612" s="129"/>
      <c r="I612" s="97"/>
      <c r="J612" s="97"/>
      <c r="K612" s="97"/>
      <c r="L612" s="97"/>
      <c r="M612" s="97"/>
      <c r="N612" s="97"/>
      <c r="O612" s="97"/>
      <c r="P612" s="97"/>
      <c r="Q612" s="97"/>
      <c r="R612" s="97"/>
      <c r="S612" s="97"/>
      <c r="T612" s="97"/>
      <c r="U612" s="97"/>
      <c r="V612" s="97"/>
      <c r="W612" s="97"/>
      <c r="X612" s="129"/>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c r="DF612" s="97"/>
      <c r="DG612" s="97"/>
      <c r="DH612" s="97"/>
      <c r="DI612" s="97"/>
      <c r="DJ612" s="97"/>
      <c r="DK612" s="97"/>
      <c r="DL612" s="97"/>
      <c r="DM612" s="97"/>
      <c r="DN612" s="97"/>
      <c r="DO612" s="97"/>
      <c r="DP612" s="97"/>
      <c r="DQ612" s="97"/>
      <c r="DR612" s="97"/>
      <c r="DS612" s="97"/>
      <c r="DT612" s="97"/>
      <c r="DU612" s="97"/>
      <c r="DV612" s="97"/>
      <c r="DW612" s="97"/>
      <c r="DX612" s="97"/>
      <c r="DY612" s="97"/>
      <c r="DZ612" s="97"/>
      <c r="EA612" s="97"/>
      <c r="EB612" s="97"/>
      <c r="EC612" s="97"/>
      <c r="ED612" s="97"/>
      <c r="EE612" s="97"/>
      <c r="EF612" s="97"/>
      <c r="EG612" s="97"/>
      <c r="EH612" s="97"/>
      <c r="EI612" s="97"/>
      <c r="EJ612" s="97"/>
      <c r="EK612" s="97"/>
      <c r="EL612" s="97"/>
      <c r="EM612" s="97"/>
      <c r="EN612" s="97"/>
      <c r="EO612" s="97"/>
      <c r="EP612" s="97"/>
      <c r="EQ612" s="97"/>
      <c r="ER612" s="97"/>
      <c r="ES612" s="97"/>
      <c r="ET612" s="97"/>
    </row>
    <row r="613" spans="1:150" ht="15.75" customHeight="1">
      <c r="A613" s="97"/>
      <c r="B613" s="97"/>
      <c r="C613" s="97"/>
      <c r="D613" s="97"/>
      <c r="E613" s="97"/>
      <c r="F613" s="97"/>
      <c r="G613" s="97"/>
      <c r="H613" s="129"/>
      <c r="I613" s="97"/>
      <c r="J613" s="97"/>
      <c r="K613" s="97"/>
      <c r="L613" s="97"/>
      <c r="M613" s="97"/>
      <c r="N613" s="97"/>
      <c r="O613" s="97"/>
      <c r="P613" s="97"/>
      <c r="Q613" s="97"/>
      <c r="R613" s="97"/>
      <c r="S613" s="97"/>
      <c r="T613" s="97"/>
      <c r="U613" s="97"/>
      <c r="V613" s="97"/>
      <c r="W613" s="97"/>
      <c r="X613" s="129"/>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c r="DF613" s="97"/>
      <c r="DG613" s="97"/>
      <c r="DH613" s="97"/>
      <c r="DI613" s="97"/>
      <c r="DJ613" s="97"/>
      <c r="DK613" s="97"/>
      <c r="DL613" s="97"/>
      <c r="DM613" s="97"/>
      <c r="DN613" s="97"/>
      <c r="DO613" s="97"/>
      <c r="DP613" s="97"/>
      <c r="DQ613" s="97"/>
      <c r="DR613" s="97"/>
      <c r="DS613" s="97"/>
      <c r="DT613" s="97"/>
      <c r="DU613" s="97"/>
      <c r="DV613" s="97"/>
      <c r="DW613" s="97"/>
      <c r="DX613" s="97"/>
      <c r="DY613" s="97"/>
      <c r="DZ613" s="97"/>
      <c r="EA613" s="97"/>
      <c r="EB613" s="97"/>
      <c r="EC613" s="97"/>
      <c r="ED613" s="97"/>
      <c r="EE613" s="97"/>
      <c r="EF613" s="97"/>
      <c r="EG613" s="97"/>
      <c r="EH613" s="97"/>
      <c r="EI613" s="97"/>
      <c r="EJ613" s="97"/>
      <c r="EK613" s="97"/>
      <c r="EL613" s="97"/>
      <c r="EM613" s="97"/>
      <c r="EN613" s="97"/>
      <c r="EO613" s="97"/>
      <c r="EP613" s="97"/>
      <c r="EQ613" s="97"/>
      <c r="ER613" s="97"/>
      <c r="ES613" s="97"/>
      <c r="ET613" s="97"/>
    </row>
    <row r="614" spans="1:150" ht="15.75" customHeight="1">
      <c r="A614" s="97"/>
      <c r="B614" s="97"/>
      <c r="C614" s="97"/>
      <c r="D614" s="97"/>
      <c r="E614" s="97"/>
      <c r="F614" s="97"/>
      <c r="G614" s="97"/>
      <c r="H614" s="129"/>
      <c r="I614" s="97"/>
      <c r="J614" s="97"/>
      <c r="K614" s="97"/>
      <c r="L614" s="97"/>
      <c r="M614" s="97"/>
      <c r="N614" s="97"/>
      <c r="O614" s="97"/>
      <c r="P614" s="97"/>
      <c r="Q614" s="97"/>
      <c r="R614" s="97"/>
      <c r="S614" s="97"/>
      <c r="T614" s="97"/>
      <c r="U614" s="97"/>
      <c r="V614" s="97"/>
      <c r="W614" s="97"/>
      <c r="X614" s="129"/>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c r="DF614" s="97"/>
      <c r="DG614" s="97"/>
      <c r="DH614" s="97"/>
      <c r="DI614" s="97"/>
      <c r="DJ614" s="97"/>
      <c r="DK614" s="97"/>
      <c r="DL614" s="97"/>
      <c r="DM614" s="97"/>
      <c r="DN614" s="97"/>
      <c r="DO614" s="97"/>
      <c r="DP614" s="97"/>
      <c r="DQ614" s="97"/>
      <c r="DR614" s="97"/>
      <c r="DS614" s="97"/>
      <c r="DT614" s="97"/>
      <c r="DU614" s="97"/>
      <c r="DV614" s="97"/>
      <c r="DW614" s="97"/>
      <c r="DX614" s="97"/>
      <c r="DY614" s="97"/>
      <c r="DZ614" s="97"/>
      <c r="EA614" s="97"/>
      <c r="EB614" s="97"/>
      <c r="EC614" s="97"/>
      <c r="ED614" s="97"/>
      <c r="EE614" s="97"/>
      <c r="EF614" s="97"/>
      <c r="EG614" s="97"/>
      <c r="EH614" s="97"/>
      <c r="EI614" s="97"/>
      <c r="EJ614" s="97"/>
      <c r="EK614" s="97"/>
      <c r="EL614" s="97"/>
      <c r="EM614" s="97"/>
      <c r="EN614" s="97"/>
      <c r="EO614" s="97"/>
      <c r="EP614" s="97"/>
      <c r="EQ614" s="97"/>
      <c r="ER614" s="97"/>
      <c r="ES614" s="97"/>
      <c r="ET614" s="97"/>
    </row>
    <row r="615" spans="1:150" ht="15.75" customHeight="1">
      <c r="A615" s="97"/>
      <c r="B615" s="97"/>
      <c r="C615" s="97"/>
      <c r="D615" s="97"/>
      <c r="E615" s="97"/>
      <c r="F615" s="97"/>
      <c r="G615" s="97"/>
      <c r="H615" s="129"/>
      <c r="I615" s="97"/>
      <c r="J615" s="97"/>
      <c r="K615" s="97"/>
      <c r="L615" s="97"/>
      <c r="M615" s="97"/>
      <c r="N615" s="97"/>
      <c r="O615" s="97"/>
      <c r="P615" s="97"/>
      <c r="Q615" s="97"/>
      <c r="R615" s="97"/>
      <c r="S615" s="97"/>
      <c r="T615" s="97"/>
      <c r="U615" s="97"/>
      <c r="V615" s="97"/>
      <c r="W615" s="97"/>
      <c r="X615" s="129"/>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c r="DF615" s="97"/>
      <c r="DG615" s="97"/>
      <c r="DH615" s="97"/>
      <c r="DI615" s="97"/>
      <c r="DJ615" s="97"/>
      <c r="DK615" s="97"/>
      <c r="DL615" s="97"/>
      <c r="DM615" s="97"/>
      <c r="DN615" s="97"/>
      <c r="DO615" s="97"/>
      <c r="DP615" s="97"/>
      <c r="DQ615" s="97"/>
      <c r="DR615" s="97"/>
      <c r="DS615" s="97"/>
      <c r="DT615" s="97"/>
      <c r="DU615" s="97"/>
      <c r="DV615" s="97"/>
      <c r="DW615" s="97"/>
      <c r="DX615" s="97"/>
      <c r="DY615" s="97"/>
      <c r="DZ615" s="97"/>
      <c r="EA615" s="97"/>
      <c r="EB615" s="97"/>
      <c r="EC615" s="97"/>
      <c r="ED615" s="97"/>
      <c r="EE615" s="97"/>
      <c r="EF615" s="97"/>
      <c r="EG615" s="97"/>
      <c r="EH615" s="97"/>
      <c r="EI615" s="97"/>
      <c r="EJ615" s="97"/>
      <c r="EK615" s="97"/>
      <c r="EL615" s="97"/>
      <c r="EM615" s="97"/>
      <c r="EN615" s="97"/>
      <c r="EO615" s="97"/>
      <c r="EP615" s="97"/>
      <c r="EQ615" s="97"/>
      <c r="ER615" s="97"/>
      <c r="ES615" s="97"/>
      <c r="ET615" s="97"/>
    </row>
    <row r="616" spans="1:150" ht="15.75" customHeight="1">
      <c r="A616" s="97"/>
      <c r="B616" s="97"/>
      <c r="C616" s="97"/>
      <c r="D616" s="97"/>
      <c r="E616" s="97"/>
      <c r="F616" s="97"/>
      <c r="G616" s="97"/>
      <c r="H616" s="129"/>
      <c r="I616" s="97"/>
      <c r="J616" s="97"/>
      <c r="K616" s="97"/>
      <c r="L616" s="97"/>
      <c r="M616" s="97"/>
      <c r="N616" s="97"/>
      <c r="O616" s="97"/>
      <c r="P616" s="97"/>
      <c r="Q616" s="97"/>
      <c r="R616" s="97"/>
      <c r="S616" s="97"/>
      <c r="T616" s="97"/>
      <c r="U616" s="97"/>
      <c r="V616" s="97"/>
      <c r="W616" s="97"/>
      <c r="X616" s="129"/>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c r="DF616" s="97"/>
      <c r="DG616" s="97"/>
      <c r="DH616" s="97"/>
      <c r="DI616" s="97"/>
      <c r="DJ616" s="97"/>
      <c r="DK616" s="97"/>
      <c r="DL616" s="97"/>
      <c r="DM616" s="97"/>
      <c r="DN616" s="97"/>
      <c r="DO616" s="97"/>
      <c r="DP616" s="97"/>
      <c r="DQ616" s="97"/>
      <c r="DR616" s="97"/>
      <c r="DS616" s="97"/>
      <c r="DT616" s="97"/>
      <c r="DU616" s="97"/>
      <c r="DV616" s="97"/>
      <c r="DW616" s="97"/>
      <c r="DX616" s="97"/>
      <c r="DY616" s="97"/>
      <c r="DZ616" s="97"/>
      <c r="EA616" s="97"/>
      <c r="EB616" s="97"/>
      <c r="EC616" s="97"/>
      <c r="ED616" s="97"/>
      <c r="EE616" s="97"/>
      <c r="EF616" s="97"/>
      <c r="EG616" s="97"/>
      <c r="EH616" s="97"/>
      <c r="EI616" s="97"/>
      <c r="EJ616" s="97"/>
      <c r="EK616" s="97"/>
      <c r="EL616" s="97"/>
      <c r="EM616" s="97"/>
      <c r="EN616" s="97"/>
      <c r="EO616" s="97"/>
      <c r="EP616" s="97"/>
      <c r="EQ616" s="97"/>
      <c r="ER616" s="97"/>
      <c r="ES616" s="97"/>
      <c r="ET616" s="97"/>
    </row>
    <row r="617" spans="1:150" ht="15.75" customHeight="1">
      <c r="A617" s="97"/>
      <c r="B617" s="97"/>
      <c r="C617" s="97"/>
      <c r="D617" s="97"/>
      <c r="E617" s="97"/>
      <c r="F617" s="97"/>
      <c r="G617" s="97"/>
      <c r="H617" s="129"/>
      <c r="I617" s="97"/>
      <c r="J617" s="97"/>
      <c r="K617" s="97"/>
      <c r="L617" s="97"/>
      <c r="M617" s="97"/>
      <c r="N617" s="97"/>
      <c r="O617" s="97"/>
      <c r="P617" s="97"/>
      <c r="Q617" s="97"/>
      <c r="R617" s="97"/>
      <c r="S617" s="97"/>
      <c r="T617" s="97"/>
      <c r="U617" s="97"/>
      <c r="V617" s="97"/>
      <c r="W617" s="97"/>
      <c r="X617" s="129"/>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c r="DF617" s="97"/>
      <c r="DG617" s="97"/>
      <c r="DH617" s="97"/>
      <c r="DI617" s="97"/>
      <c r="DJ617" s="97"/>
      <c r="DK617" s="97"/>
      <c r="DL617" s="97"/>
      <c r="DM617" s="97"/>
      <c r="DN617" s="97"/>
      <c r="DO617" s="97"/>
      <c r="DP617" s="97"/>
      <c r="DQ617" s="97"/>
      <c r="DR617" s="97"/>
      <c r="DS617" s="97"/>
      <c r="DT617" s="97"/>
      <c r="DU617" s="97"/>
      <c r="DV617" s="97"/>
      <c r="DW617" s="97"/>
      <c r="DX617" s="97"/>
      <c r="DY617" s="97"/>
      <c r="DZ617" s="97"/>
      <c r="EA617" s="97"/>
      <c r="EB617" s="97"/>
      <c r="EC617" s="97"/>
      <c r="ED617" s="97"/>
      <c r="EE617" s="97"/>
      <c r="EF617" s="97"/>
      <c r="EG617" s="97"/>
      <c r="EH617" s="97"/>
      <c r="EI617" s="97"/>
      <c r="EJ617" s="97"/>
      <c r="EK617" s="97"/>
      <c r="EL617" s="97"/>
      <c r="EM617" s="97"/>
      <c r="EN617" s="97"/>
      <c r="EO617" s="97"/>
      <c r="EP617" s="97"/>
      <c r="EQ617" s="97"/>
      <c r="ER617" s="97"/>
      <c r="ES617" s="97"/>
      <c r="ET617" s="97"/>
    </row>
    <row r="618" spans="1:150" ht="15.75" customHeight="1">
      <c r="A618" s="97"/>
      <c r="B618" s="97"/>
      <c r="C618" s="97"/>
      <c r="D618" s="97"/>
      <c r="E618" s="97"/>
      <c r="F618" s="97"/>
      <c r="G618" s="97"/>
      <c r="H618" s="129"/>
      <c r="I618" s="97"/>
      <c r="J618" s="97"/>
      <c r="K618" s="97"/>
      <c r="L618" s="97"/>
      <c r="M618" s="97"/>
      <c r="N618" s="97"/>
      <c r="O618" s="97"/>
      <c r="P618" s="97"/>
      <c r="Q618" s="97"/>
      <c r="R618" s="97"/>
      <c r="S618" s="97"/>
      <c r="T618" s="97"/>
      <c r="U618" s="97"/>
      <c r="V618" s="97"/>
      <c r="W618" s="97"/>
      <c r="X618" s="129"/>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c r="DF618" s="97"/>
      <c r="DG618" s="97"/>
      <c r="DH618" s="97"/>
      <c r="DI618" s="97"/>
      <c r="DJ618" s="97"/>
      <c r="DK618" s="97"/>
      <c r="DL618" s="97"/>
      <c r="DM618" s="97"/>
      <c r="DN618" s="97"/>
      <c r="DO618" s="97"/>
      <c r="DP618" s="97"/>
      <c r="DQ618" s="97"/>
      <c r="DR618" s="97"/>
      <c r="DS618" s="97"/>
      <c r="DT618" s="97"/>
      <c r="DU618" s="97"/>
      <c r="DV618" s="97"/>
      <c r="DW618" s="97"/>
      <c r="DX618" s="97"/>
      <c r="DY618" s="97"/>
      <c r="DZ618" s="97"/>
      <c r="EA618" s="97"/>
      <c r="EB618" s="97"/>
      <c r="EC618" s="97"/>
      <c r="ED618" s="97"/>
      <c r="EE618" s="97"/>
      <c r="EF618" s="97"/>
      <c r="EG618" s="97"/>
      <c r="EH618" s="97"/>
      <c r="EI618" s="97"/>
      <c r="EJ618" s="97"/>
      <c r="EK618" s="97"/>
      <c r="EL618" s="97"/>
      <c r="EM618" s="97"/>
      <c r="EN618" s="97"/>
      <c r="EO618" s="97"/>
      <c r="EP618" s="97"/>
      <c r="EQ618" s="97"/>
      <c r="ER618" s="97"/>
      <c r="ES618" s="97"/>
      <c r="ET618" s="97"/>
    </row>
    <row r="619" spans="1:150" ht="15.75" customHeight="1">
      <c r="A619" s="97"/>
      <c r="B619" s="97"/>
      <c r="C619" s="97"/>
      <c r="D619" s="97"/>
      <c r="E619" s="97"/>
      <c r="F619" s="97"/>
      <c r="G619" s="97"/>
      <c r="H619" s="129"/>
      <c r="I619" s="97"/>
      <c r="J619" s="97"/>
      <c r="K619" s="97"/>
      <c r="L619" s="97"/>
      <c r="M619" s="97"/>
      <c r="N619" s="97"/>
      <c r="O619" s="97"/>
      <c r="P619" s="97"/>
      <c r="Q619" s="97"/>
      <c r="R619" s="97"/>
      <c r="S619" s="97"/>
      <c r="T619" s="97"/>
      <c r="U619" s="97"/>
      <c r="V619" s="97"/>
      <c r="W619" s="97"/>
      <c r="X619" s="129"/>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c r="DF619" s="97"/>
      <c r="DG619" s="97"/>
      <c r="DH619" s="97"/>
      <c r="DI619" s="97"/>
      <c r="DJ619" s="97"/>
      <c r="DK619" s="97"/>
      <c r="DL619" s="97"/>
      <c r="DM619" s="97"/>
      <c r="DN619" s="97"/>
      <c r="DO619" s="97"/>
      <c r="DP619" s="97"/>
      <c r="DQ619" s="97"/>
      <c r="DR619" s="97"/>
      <c r="DS619" s="97"/>
      <c r="DT619" s="97"/>
      <c r="DU619" s="97"/>
      <c r="DV619" s="97"/>
      <c r="DW619" s="97"/>
      <c r="DX619" s="97"/>
      <c r="DY619" s="97"/>
      <c r="DZ619" s="97"/>
      <c r="EA619" s="97"/>
      <c r="EB619" s="97"/>
      <c r="EC619" s="97"/>
      <c r="ED619" s="97"/>
      <c r="EE619" s="97"/>
      <c r="EF619" s="97"/>
      <c r="EG619" s="97"/>
      <c r="EH619" s="97"/>
      <c r="EI619" s="97"/>
      <c r="EJ619" s="97"/>
      <c r="EK619" s="97"/>
      <c r="EL619" s="97"/>
      <c r="EM619" s="97"/>
      <c r="EN619" s="97"/>
      <c r="EO619" s="97"/>
      <c r="EP619" s="97"/>
      <c r="EQ619" s="97"/>
      <c r="ER619" s="97"/>
      <c r="ES619" s="97"/>
      <c r="ET619" s="97"/>
    </row>
    <row r="620" spans="1:150" ht="15.75" customHeight="1">
      <c r="A620" s="97"/>
      <c r="B620" s="97"/>
      <c r="C620" s="97"/>
      <c r="D620" s="97"/>
      <c r="E620" s="97"/>
      <c r="F620" s="97"/>
      <c r="G620" s="97"/>
      <c r="H620" s="129"/>
      <c r="I620" s="97"/>
      <c r="J620" s="97"/>
      <c r="K620" s="97"/>
      <c r="L620" s="97"/>
      <c r="M620" s="97"/>
      <c r="N620" s="97"/>
      <c r="O620" s="97"/>
      <c r="P620" s="97"/>
      <c r="Q620" s="97"/>
      <c r="R620" s="97"/>
      <c r="S620" s="97"/>
      <c r="T620" s="97"/>
      <c r="U620" s="97"/>
      <c r="V620" s="97"/>
      <c r="W620" s="97"/>
      <c r="X620" s="129"/>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c r="DF620" s="97"/>
      <c r="DG620" s="97"/>
      <c r="DH620" s="97"/>
      <c r="DI620" s="97"/>
      <c r="DJ620" s="97"/>
      <c r="DK620" s="97"/>
      <c r="DL620" s="97"/>
      <c r="DM620" s="97"/>
      <c r="DN620" s="97"/>
      <c r="DO620" s="97"/>
      <c r="DP620" s="97"/>
      <c r="DQ620" s="97"/>
      <c r="DR620" s="97"/>
      <c r="DS620" s="97"/>
      <c r="DT620" s="97"/>
      <c r="DU620" s="97"/>
      <c r="DV620" s="97"/>
      <c r="DW620" s="97"/>
      <c r="DX620" s="97"/>
      <c r="DY620" s="97"/>
      <c r="DZ620" s="97"/>
      <c r="EA620" s="97"/>
      <c r="EB620" s="97"/>
      <c r="EC620" s="97"/>
      <c r="ED620" s="97"/>
      <c r="EE620" s="97"/>
      <c r="EF620" s="97"/>
      <c r="EG620" s="97"/>
      <c r="EH620" s="97"/>
      <c r="EI620" s="97"/>
      <c r="EJ620" s="97"/>
      <c r="EK620" s="97"/>
      <c r="EL620" s="97"/>
      <c r="EM620" s="97"/>
      <c r="EN620" s="97"/>
      <c r="EO620" s="97"/>
      <c r="EP620" s="97"/>
      <c r="EQ620" s="97"/>
      <c r="ER620" s="97"/>
      <c r="ES620" s="97"/>
      <c r="ET620" s="97"/>
    </row>
    <row r="621" spans="1:150" ht="15.75" customHeight="1">
      <c r="A621" s="97"/>
      <c r="B621" s="97"/>
      <c r="C621" s="97"/>
      <c r="D621" s="97"/>
      <c r="E621" s="97"/>
      <c r="F621" s="97"/>
      <c r="G621" s="97"/>
      <c r="H621" s="129"/>
      <c r="I621" s="97"/>
      <c r="J621" s="97"/>
      <c r="K621" s="97"/>
      <c r="L621" s="97"/>
      <c r="M621" s="97"/>
      <c r="N621" s="97"/>
      <c r="O621" s="97"/>
      <c r="P621" s="97"/>
      <c r="Q621" s="97"/>
      <c r="R621" s="97"/>
      <c r="S621" s="97"/>
      <c r="T621" s="97"/>
      <c r="U621" s="97"/>
      <c r="V621" s="97"/>
      <c r="W621" s="97"/>
      <c r="X621" s="129"/>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c r="DF621" s="97"/>
      <c r="DG621" s="97"/>
      <c r="DH621" s="97"/>
      <c r="DI621" s="97"/>
      <c r="DJ621" s="97"/>
      <c r="DK621" s="97"/>
      <c r="DL621" s="97"/>
      <c r="DM621" s="97"/>
      <c r="DN621" s="97"/>
      <c r="DO621" s="97"/>
      <c r="DP621" s="97"/>
      <c r="DQ621" s="97"/>
      <c r="DR621" s="97"/>
      <c r="DS621" s="97"/>
      <c r="DT621" s="97"/>
      <c r="DU621" s="97"/>
      <c r="DV621" s="97"/>
      <c r="DW621" s="97"/>
      <c r="DX621" s="97"/>
      <c r="DY621" s="97"/>
      <c r="DZ621" s="97"/>
      <c r="EA621" s="97"/>
      <c r="EB621" s="97"/>
      <c r="EC621" s="97"/>
      <c r="ED621" s="97"/>
      <c r="EE621" s="97"/>
      <c r="EF621" s="97"/>
      <c r="EG621" s="97"/>
      <c r="EH621" s="97"/>
      <c r="EI621" s="97"/>
      <c r="EJ621" s="97"/>
      <c r="EK621" s="97"/>
      <c r="EL621" s="97"/>
      <c r="EM621" s="97"/>
      <c r="EN621" s="97"/>
      <c r="EO621" s="97"/>
      <c r="EP621" s="97"/>
      <c r="EQ621" s="97"/>
      <c r="ER621" s="97"/>
      <c r="ES621" s="97"/>
      <c r="ET621" s="97"/>
    </row>
    <row r="622" spans="1:150" ht="15.75" customHeight="1">
      <c r="A622" s="97"/>
      <c r="B622" s="97"/>
      <c r="C622" s="97"/>
      <c r="D622" s="97"/>
      <c r="E622" s="97"/>
      <c r="F622" s="97"/>
      <c r="G622" s="97"/>
      <c r="H622" s="129"/>
      <c r="I622" s="97"/>
      <c r="J622" s="97"/>
      <c r="K622" s="97"/>
      <c r="L622" s="97"/>
      <c r="M622" s="97"/>
      <c r="N622" s="97"/>
      <c r="O622" s="97"/>
      <c r="P622" s="97"/>
      <c r="Q622" s="97"/>
      <c r="R622" s="97"/>
      <c r="S622" s="97"/>
      <c r="T622" s="97"/>
      <c r="U622" s="97"/>
      <c r="V622" s="97"/>
      <c r="W622" s="97"/>
      <c r="X622" s="129"/>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c r="DF622" s="97"/>
      <c r="DG622" s="97"/>
      <c r="DH622" s="97"/>
      <c r="DI622" s="97"/>
      <c r="DJ622" s="97"/>
      <c r="DK622" s="97"/>
      <c r="DL622" s="97"/>
      <c r="DM622" s="97"/>
      <c r="DN622" s="97"/>
      <c r="DO622" s="97"/>
      <c r="DP622" s="97"/>
      <c r="DQ622" s="97"/>
      <c r="DR622" s="97"/>
      <c r="DS622" s="97"/>
      <c r="DT622" s="97"/>
      <c r="DU622" s="97"/>
      <c r="DV622" s="97"/>
      <c r="DW622" s="97"/>
      <c r="DX622" s="97"/>
      <c r="DY622" s="97"/>
      <c r="DZ622" s="97"/>
      <c r="EA622" s="97"/>
      <c r="EB622" s="97"/>
      <c r="EC622" s="97"/>
      <c r="ED622" s="97"/>
      <c r="EE622" s="97"/>
      <c r="EF622" s="97"/>
      <c r="EG622" s="97"/>
      <c r="EH622" s="97"/>
      <c r="EI622" s="97"/>
      <c r="EJ622" s="97"/>
      <c r="EK622" s="97"/>
      <c r="EL622" s="97"/>
      <c r="EM622" s="97"/>
      <c r="EN622" s="97"/>
      <c r="EO622" s="97"/>
      <c r="EP622" s="97"/>
      <c r="EQ622" s="97"/>
      <c r="ER622" s="97"/>
      <c r="ES622" s="97"/>
      <c r="ET622" s="97"/>
    </row>
    <row r="623" spans="1:150" ht="15.75" customHeight="1">
      <c r="A623" s="97"/>
      <c r="B623" s="97"/>
      <c r="C623" s="97"/>
      <c r="D623" s="97"/>
      <c r="E623" s="97"/>
      <c r="F623" s="97"/>
      <c r="G623" s="97"/>
      <c r="H623" s="129"/>
      <c r="I623" s="97"/>
      <c r="J623" s="97"/>
      <c r="K623" s="97"/>
      <c r="L623" s="97"/>
      <c r="M623" s="97"/>
      <c r="N623" s="97"/>
      <c r="O623" s="97"/>
      <c r="P623" s="97"/>
      <c r="Q623" s="97"/>
      <c r="R623" s="97"/>
      <c r="S623" s="97"/>
      <c r="T623" s="97"/>
      <c r="U623" s="97"/>
      <c r="V623" s="97"/>
      <c r="W623" s="97"/>
      <c r="X623" s="129"/>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c r="DF623" s="97"/>
      <c r="DG623" s="97"/>
      <c r="DH623" s="97"/>
      <c r="DI623" s="97"/>
      <c r="DJ623" s="97"/>
      <c r="DK623" s="97"/>
      <c r="DL623" s="97"/>
      <c r="DM623" s="97"/>
      <c r="DN623" s="97"/>
      <c r="DO623" s="97"/>
      <c r="DP623" s="97"/>
      <c r="DQ623" s="97"/>
      <c r="DR623" s="97"/>
      <c r="DS623" s="97"/>
      <c r="DT623" s="97"/>
      <c r="DU623" s="97"/>
      <c r="DV623" s="97"/>
      <c r="DW623" s="97"/>
      <c r="DX623" s="97"/>
      <c r="DY623" s="97"/>
      <c r="DZ623" s="97"/>
      <c r="EA623" s="97"/>
      <c r="EB623" s="97"/>
      <c r="EC623" s="97"/>
      <c r="ED623" s="97"/>
      <c r="EE623" s="97"/>
      <c r="EF623" s="97"/>
      <c r="EG623" s="97"/>
      <c r="EH623" s="97"/>
      <c r="EI623" s="97"/>
      <c r="EJ623" s="97"/>
      <c r="EK623" s="97"/>
      <c r="EL623" s="97"/>
      <c r="EM623" s="97"/>
      <c r="EN623" s="97"/>
      <c r="EO623" s="97"/>
      <c r="EP623" s="97"/>
      <c r="EQ623" s="97"/>
      <c r="ER623" s="97"/>
      <c r="ES623" s="97"/>
      <c r="ET623" s="97"/>
    </row>
    <row r="624" spans="1:150" ht="15.75" customHeight="1">
      <c r="A624" s="97"/>
      <c r="B624" s="97"/>
      <c r="C624" s="97"/>
      <c r="D624" s="97"/>
      <c r="E624" s="97"/>
      <c r="F624" s="97"/>
      <c r="G624" s="97"/>
      <c r="H624" s="129"/>
      <c r="I624" s="97"/>
      <c r="J624" s="97"/>
      <c r="K624" s="97"/>
      <c r="L624" s="97"/>
      <c r="M624" s="97"/>
      <c r="N624" s="97"/>
      <c r="O624" s="97"/>
      <c r="P624" s="97"/>
      <c r="Q624" s="97"/>
      <c r="R624" s="97"/>
      <c r="S624" s="97"/>
      <c r="T624" s="97"/>
      <c r="U624" s="97"/>
      <c r="V624" s="97"/>
      <c r="W624" s="97"/>
      <c r="X624" s="129"/>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c r="DF624" s="97"/>
      <c r="DG624" s="97"/>
      <c r="DH624" s="97"/>
      <c r="DI624" s="97"/>
      <c r="DJ624" s="97"/>
      <c r="DK624" s="97"/>
      <c r="DL624" s="97"/>
      <c r="DM624" s="97"/>
      <c r="DN624" s="97"/>
      <c r="DO624" s="97"/>
      <c r="DP624" s="97"/>
      <c r="DQ624" s="97"/>
      <c r="DR624" s="97"/>
      <c r="DS624" s="97"/>
      <c r="DT624" s="97"/>
      <c r="DU624" s="97"/>
      <c r="DV624" s="97"/>
      <c r="DW624" s="97"/>
      <c r="DX624" s="97"/>
      <c r="DY624" s="97"/>
      <c r="DZ624" s="97"/>
      <c r="EA624" s="97"/>
      <c r="EB624" s="97"/>
      <c r="EC624" s="97"/>
      <c r="ED624" s="97"/>
      <c r="EE624" s="97"/>
      <c r="EF624" s="97"/>
      <c r="EG624" s="97"/>
      <c r="EH624" s="97"/>
      <c r="EI624" s="97"/>
      <c r="EJ624" s="97"/>
      <c r="EK624" s="97"/>
      <c r="EL624" s="97"/>
      <c r="EM624" s="97"/>
      <c r="EN624" s="97"/>
      <c r="EO624" s="97"/>
      <c r="EP624" s="97"/>
      <c r="EQ624" s="97"/>
      <c r="ER624" s="97"/>
      <c r="ES624" s="97"/>
      <c r="ET624" s="97"/>
    </row>
    <row r="625" spans="1:150" ht="15.75" customHeight="1">
      <c r="A625" s="97"/>
      <c r="B625" s="97"/>
      <c r="C625" s="97"/>
      <c r="D625" s="97"/>
      <c r="E625" s="97"/>
      <c r="F625" s="97"/>
      <c r="G625" s="97"/>
      <c r="H625" s="129"/>
      <c r="I625" s="97"/>
      <c r="J625" s="97"/>
      <c r="K625" s="97"/>
      <c r="L625" s="97"/>
      <c r="M625" s="97"/>
      <c r="N625" s="97"/>
      <c r="O625" s="97"/>
      <c r="P625" s="97"/>
      <c r="Q625" s="97"/>
      <c r="R625" s="97"/>
      <c r="S625" s="97"/>
      <c r="T625" s="97"/>
      <c r="U625" s="97"/>
      <c r="V625" s="97"/>
      <c r="W625" s="97"/>
      <c r="X625" s="129"/>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c r="DF625" s="97"/>
      <c r="DG625" s="97"/>
      <c r="DH625" s="97"/>
      <c r="DI625" s="97"/>
      <c r="DJ625" s="97"/>
      <c r="DK625" s="97"/>
      <c r="DL625" s="97"/>
      <c r="DM625" s="97"/>
      <c r="DN625" s="97"/>
      <c r="DO625" s="97"/>
      <c r="DP625" s="97"/>
      <c r="DQ625" s="97"/>
      <c r="DR625" s="97"/>
      <c r="DS625" s="97"/>
      <c r="DT625" s="97"/>
      <c r="DU625" s="97"/>
      <c r="DV625" s="97"/>
      <c r="DW625" s="97"/>
      <c r="DX625" s="97"/>
      <c r="DY625" s="97"/>
      <c r="DZ625" s="97"/>
      <c r="EA625" s="97"/>
      <c r="EB625" s="97"/>
      <c r="EC625" s="97"/>
      <c r="ED625" s="97"/>
      <c r="EE625" s="97"/>
      <c r="EF625" s="97"/>
      <c r="EG625" s="97"/>
      <c r="EH625" s="97"/>
      <c r="EI625" s="97"/>
      <c r="EJ625" s="97"/>
      <c r="EK625" s="97"/>
      <c r="EL625" s="97"/>
      <c r="EM625" s="97"/>
      <c r="EN625" s="97"/>
      <c r="EO625" s="97"/>
      <c r="EP625" s="97"/>
      <c r="EQ625" s="97"/>
      <c r="ER625" s="97"/>
      <c r="ES625" s="97"/>
      <c r="ET625" s="97"/>
    </row>
    <row r="626" spans="1:150" ht="15.75" customHeight="1">
      <c r="A626" s="97"/>
      <c r="B626" s="97"/>
      <c r="C626" s="97"/>
      <c r="D626" s="97"/>
      <c r="E626" s="97"/>
      <c r="F626" s="97"/>
      <c r="G626" s="97"/>
      <c r="H626" s="129"/>
      <c r="I626" s="97"/>
      <c r="J626" s="97"/>
      <c r="K626" s="97"/>
      <c r="L626" s="97"/>
      <c r="M626" s="97"/>
      <c r="N626" s="97"/>
      <c r="O626" s="97"/>
      <c r="P626" s="97"/>
      <c r="Q626" s="97"/>
      <c r="R626" s="97"/>
      <c r="S626" s="97"/>
      <c r="T626" s="97"/>
      <c r="U626" s="97"/>
      <c r="V626" s="97"/>
      <c r="W626" s="97"/>
      <c r="X626" s="129"/>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c r="DF626" s="97"/>
      <c r="DG626" s="97"/>
      <c r="DH626" s="97"/>
      <c r="DI626" s="97"/>
      <c r="DJ626" s="97"/>
      <c r="DK626" s="97"/>
      <c r="DL626" s="97"/>
      <c r="DM626" s="97"/>
      <c r="DN626" s="97"/>
      <c r="DO626" s="97"/>
      <c r="DP626" s="97"/>
      <c r="DQ626" s="97"/>
      <c r="DR626" s="97"/>
      <c r="DS626" s="97"/>
      <c r="DT626" s="97"/>
      <c r="DU626" s="97"/>
      <c r="DV626" s="97"/>
      <c r="DW626" s="97"/>
      <c r="DX626" s="97"/>
      <c r="DY626" s="97"/>
      <c r="DZ626" s="97"/>
      <c r="EA626" s="97"/>
      <c r="EB626" s="97"/>
      <c r="EC626" s="97"/>
      <c r="ED626" s="97"/>
      <c r="EE626" s="97"/>
      <c r="EF626" s="97"/>
      <c r="EG626" s="97"/>
      <c r="EH626" s="97"/>
      <c r="EI626" s="97"/>
      <c r="EJ626" s="97"/>
      <c r="EK626" s="97"/>
      <c r="EL626" s="97"/>
      <c r="EM626" s="97"/>
      <c r="EN626" s="97"/>
      <c r="EO626" s="97"/>
      <c r="EP626" s="97"/>
      <c r="EQ626" s="97"/>
      <c r="ER626" s="97"/>
      <c r="ES626" s="97"/>
      <c r="ET626" s="97"/>
    </row>
    <row r="627" spans="1:150" ht="15.75" customHeight="1">
      <c r="A627" s="97"/>
      <c r="B627" s="97"/>
      <c r="C627" s="97"/>
      <c r="D627" s="97"/>
      <c r="E627" s="97"/>
      <c r="F627" s="97"/>
      <c r="G627" s="97"/>
      <c r="H627" s="129"/>
      <c r="I627" s="97"/>
      <c r="J627" s="97"/>
      <c r="K627" s="97"/>
      <c r="L627" s="97"/>
      <c r="M627" s="97"/>
      <c r="N627" s="97"/>
      <c r="O627" s="97"/>
      <c r="P627" s="97"/>
      <c r="Q627" s="97"/>
      <c r="R627" s="97"/>
      <c r="S627" s="97"/>
      <c r="T627" s="97"/>
      <c r="U627" s="97"/>
      <c r="V627" s="97"/>
      <c r="W627" s="97"/>
      <c r="X627" s="129"/>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c r="DF627" s="97"/>
      <c r="DG627" s="97"/>
      <c r="DH627" s="97"/>
      <c r="DI627" s="97"/>
      <c r="DJ627" s="97"/>
      <c r="DK627" s="97"/>
      <c r="DL627" s="97"/>
      <c r="DM627" s="97"/>
      <c r="DN627" s="97"/>
      <c r="DO627" s="97"/>
      <c r="DP627" s="97"/>
      <c r="DQ627" s="97"/>
      <c r="DR627" s="97"/>
      <c r="DS627" s="97"/>
      <c r="DT627" s="97"/>
      <c r="DU627" s="97"/>
      <c r="DV627" s="97"/>
      <c r="DW627" s="97"/>
      <c r="DX627" s="97"/>
      <c r="DY627" s="97"/>
      <c r="DZ627" s="97"/>
      <c r="EA627" s="97"/>
      <c r="EB627" s="97"/>
      <c r="EC627" s="97"/>
      <c r="ED627" s="97"/>
      <c r="EE627" s="97"/>
      <c r="EF627" s="97"/>
      <c r="EG627" s="97"/>
      <c r="EH627" s="97"/>
      <c r="EI627" s="97"/>
      <c r="EJ627" s="97"/>
      <c r="EK627" s="97"/>
      <c r="EL627" s="97"/>
      <c r="EM627" s="97"/>
      <c r="EN627" s="97"/>
      <c r="EO627" s="97"/>
      <c r="EP627" s="97"/>
      <c r="EQ627" s="97"/>
      <c r="ER627" s="97"/>
      <c r="ES627" s="97"/>
      <c r="ET627" s="97"/>
    </row>
    <row r="628" spans="1:150" ht="15.75" customHeight="1">
      <c r="A628" s="97"/>
      <c r="B628" s="97"/>
      <c r="C628" s="97"/>
      <c r="D628" s="97"/>
      <c r="E628" s="97"/>
      <c r="F628" s="97"/>
      <c r="G628" s="97"/>
      <c r="H628" s="129"/>
      <c r="I628" s="97"/>
      <c r="J628" s="97"/>
      <c r="K628" s="97"/>
      <c r="L628" s="97"/>
      <c r="M628" s="97"/>
      <c r="N628" s="97"/>
      <c r="O628" s="97"/>
      <c r="P628" s="97"/>
      <c r="Q628" s="97"/>
      <c r="R628" s="97"/>
      <c r="S628" s="97"/>
      <c r="T628" s="97"/>
      <c r="U628" s="97"/>
      <c r="V628" s="97"/>
      <c r="W628" s="97"/>
      <c r="X628" s="129"/>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c r="DF628" s="97"/>
      <c r="DG628" s="97"/>
      <c r="DH628" s="97"/>
      <c r="DI628" s="97"/>
      <c r="DJ628" s="97"/>
      <c r="DK628" s="97"/>
      <c r="DL628" s="97"/>
      <c r="DM628" s="97"/>
      <c r="DN628" s="97"/>
      <c r="DO628" s="97"/>
      <c r="DP628" s="97"/>
      <c r="DQ628" s="97"/>
      <c r="DR628" s="97"/>
      <c r="DS628" s="97"/>
      <c r="DT628" s="97"/>
      <c r="DU628" s="97"/>
      <c r="DV628" s="97"/>
      <c r="DW628" s="97"/>
      <c r="DX628" s="97"/>
      <c r="DY628" s="97"/>
      <c r="DZ628" s="97"/>
      <c r="EA628" s="97"/>
      <c r="EB628" s="97"/>
      <c r="EC628" s="97"/>
      <c r="ED628" s="97"/>
      <c r="EE628" s="97"/>
      <c r="EF628" s="97"/>
      <c r="EG628" s="97"/>
      <c r="EH628" s="97"/>
      <c r="EI628" s="97"/>
      <c r="EJ628" s="97"/>
      <c r="EK628" s="97"/>
      <c r="EL628" s="97"/>
      <c r="EM628" s="97"/>
      <c r="EN628" s="97"/>
      <c r="EO628" s="97"/>
      <c r="EP628" s="97"/>
      <c r="EQ628" s="97"/>
      <c r="ER628" s="97"/>
      <c r="ES628" s="97"/>
      <c r="ET628" s="97"/>
    </row>
    <row r="629" spans="1:150" ht="15.75" customHeight="1">
      <c r="A629" s="97"/>
      <c r="B629" s="97"/>
      <c r="C629" s="97"/>
      <c r="D629" s="97"/>
      <c r="E629" s="97"/>
      <c r="F629" s="97"/>
      <c r="G629" s="97"/>
      <c r="H629" s="129"/>
      <c r="I629" s="97"/>
      <c r="J629" s="97"/>
      <c r="K629" s="97"/>
      <c r="L629" s="97"/>
      <c r="M629" s="97"/>
      <c r="N629" s="97"/>
      <c r="O629" s="97"/>
      <c r="P629" s="97"/>
      <c r="Q629" s="97"/>
      <c r="R629" s="97"/>
      <c r="S629" s="97"/>
      <c r="T629" s="97"/>
      <c r="U629" s="97"/>
      <c r="V629" s="97"/>
      <c r="W629" s="97"/>
      <c r="X629" s="129"/>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c r="DF629" s="97"/>
      <c r="DG629" s="97"/>
      <c r="DH629" s="97"/>
      <c r="DI629" s="97"/>
      <c r="DJ629" s="97"/>
      <c r="DK629" s="97"/>
      <c r="DL629" s="97"/>
      <c r="DM629" s="97"/>
      <c r="DN629" s="97"/>
      <c r="DO629" s="97"/>
      <c r="DP629" s="97"/>
      <c r="DQ629" s="97"/>
      <c r="DR629" s="97"/>
      <c r="DS629" s="97"/>
      <c r="DT629" s="97"/>
      <c r="DU629" s="97"/>
      <c r="DV629" s="97"/>
      <c r="DW629" s="97"/>
      <c r="DX629" s="97"/>
      <c r="DY629" s="97"/>
      <c r="DZ629" s="97"/>
      <c r="EA629" s="97"/>
      <c r="EB629" s="97"/>
      <c r="EC629" s="97"/>
      <c r="ED629" s="97"/>
      <c r="EE629" s="97"/>
      <c r="EF629" s="97"/>
      <c r="EG629" s="97"/>
      <c r="EH629" s="97"/>
      <c r="EI629" s="97"/>
      <c r="EJ629" s="97"/>
      <c r="EK629" s="97"/>
      <c r="EL629" s="97"/>
      <c r="EM629" s="97"/>
      <c r="EN629" s="97"/>
      <c r="EO629" s="97"/>
      <c r="EP629" s="97"/>
      <c r="EQ629" s="97"/>
      <c r="ER629" s="97"/>
      <c r="ES629" s="97"/>
      <c r="ET629" s="97"/>
    </row>
    <row r="630" spans="1:150" ht="15.75" customHeight="1">
      <c r="A630" s="97"/>
      <c r="B630" s="97"/>
      <c r="C630" s="97"/>
      <c r="D630" s="97"/>
      <c r="E630" s="97"/>
      <c r="F630" s="97"/>
      <c r="G630" s="97"/>
      <c r="H630" s="129"/>
      <c r="I630" s="97"/>
      <c r="J630" s="97"/>
      <c r="K630" s="97"/>
      <c r="L630" s="97"/>
      <c r="M630" s="97"/>
      <c r="N630" s="97"/>
      <c r="O630" s="97"/>
      <c r="P630" s="97"/>
      <c r="Q630" s="97"/>
      <c r="R630" s="97"/>
      <c r="S630" s="97"/>
      <c r="T630" s="97"/>
      <c r="U630" s="97"/>
      <c r="V630" s="97"/>
      <c r="W630" s="97"/>
      <c r="X630" s="129"/>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c r="DF630" s="97"/>
      <c r="DG630" s="97"/>
      <c r="DH630" s="97"/>
      <c r="DI630" s="97"/>
      <c r="DJ630" s="97"/>
      <c r="DK630" s="97"/>
      <c r="DL630" s="97"/>
      <c r="DM630" s="97"/>
      <c r="DN630" s="97"/>
      <c r="DO630" s="97"/>
      <c r="DP630" s="97"/>
      <c r="DQ630" s="97"/>
      <c r="DR630" s="97"/>
      <c r="DS630" s="97"/>
      <c r="DT630" s="97"/>
      <c r="DU630" s="97"/>
      <c r="DV630" s="97"/>
      <c r="DW630" s="97"/>
      <c r="DX630" s="97"/>
      <c r="DY630" s="97"/>
      <c r="DZ630" s="97"/>
      <c r="EA630" s="97"/>
      <c r="EB630" s="97"/>
      <c r="EC630" s="97"/>
      <c r="ED630" s="97"/>
      <c r="EE630" s="97"/>
      <c r="EF630" s="97"/>
      <c r="EG630" s="97"/>
      <c r="EH630" s="97"/>
      <c r="EI630" s="97"/>
      <c r="EJ630" s="97"/>
      <c r="EK630" s="97"/>
      <c r="EL630" s="97"/>
      <c r="EM630" s="97"/>
      <c r="EN630" s="97"/>
      <c r="EO630" s="97"/>
      <c r="EP630" s="97"/>
      <c r="EQ630" s="97"/>
      <c r="ER630" s="97"/>
      <c r="ES630" s="97"/>
      <c r="ET630" s="97"/>
    </row>
    <row r="631" spans="1:150" ht="15.75" customHeight="1">
      <c r="A631" s="97"/>
      <c r="B631" s="97"/>
      <c r="C631" s="97"/>
      <c r="D631" s="97"/>
      <c r="E631" s="97"/>
      <c r="F631" s="97"/>
      <c r="G631" s="97"/>
      <c r="H631" s="129"/>
      <c r="I631" s="97"/>
      <c r="J631" s="97"/>
      <c r="K631" s="97"/>
      <c r="L631" s="97"/>
      <c r="M631" s="97"/>
      <c r="N631" s="97"/>
      <c r="O631" s="97"/>
      <c r="P631" s="97"/>
      <c r="Q631" s="97"/>
      <c r="R631" s="97"/>
      <c r="S631" s="97"/>
      <c r="T631" s="97"/>
      <c r="U631" s="97"/>
      <c r="V631" s="97"/>
      <c r="W631" s="97"/>
      <c r="X631" s="129"/>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c r="DF631" s="97"/>
      <c r="DG631" s="97"/>
      <c r="DH631" s="97"/>
      <c r="DI631" s="97"/>
      <c r="DJ631" s="97"/>
      <c r="DK631" s="97"/>
      <c r="DL631" s="97"/>
      <c r="DM631" s="97"/>
      <c r="DN631" s="97"/>
      <c r="DO631" s="97"/>
      <c r="DP631" s="97"/>
      <c r="DQ631" s="97"/>
      <c r="DR631" s="97"/>
      <c r="DS631" s="97"/>
      <c r="DT631" s="97"/>
      <c r="DU631" s="97"/>
      <c r="DV631" s="97"/>
      <c r="DW631" s="97"/>
      <c r="DX631" s="97"/>
      <c r="DY631" s="97"/>
      <c r="DZ631" s="97"/>
      <c r="EA631" s="97"/>
      <c r="EB631" s="97"/>
      <c r="EC631" s="97"/>
      <c r="ED631" s="97"/>
      <c r="EE631" s="97"/>
      <c r="EF631" s="97"/>
      <c r="EG631" s="97"/>
      <c r="EH631" s="97"/>
      <c r="EI631" s="97"/>
      <c r="EJ631" s="97"/>
      <c r="EK631" s="97"/>
      <c r="EL631" s="97"/>
      <c r="EM631" s="97"/>
      <c r="EN631" s="97"/>
      <c r="EO631" s="97"/>
      <c r="EP631" s="97"/>
      <c r="EQ631" s="97"/>
      <c r="ER631" s="97"/>
      <c r="ES631" s="97"/>
      <c r="ET631" s="97"/>
    </row>
    <row r="632" spans="1:150" ht="15.75" customHeight="1">
      <c r="A632" s="97"/>
      <c r="B632" s="97"/>
      <c r="C632" s="97"/>
      <c r="D632" s="97"/>
      <c r="E632" s="97"/>
      <c r="F632" s="97"/>
      <c r="G632" s="97"/>
      <c r="H632" s="129"/>
      <c r="I632" s="97"/>
      <c r="J632" s="97"/>
      <c r="K632" s="97"/>
      <c r="L632" s="97"/>
      <c r="M632" s="97"/>
      <c r="N632" s="97"/>
      <c r="O632" s="97"/>
      <c r="P632" s="97"/>
      <c r="Q632" s="97"/>
      <c r="R632" s="97"/>
      <c r="S632" s="97"/>
      <c r="T632" s="97"/>
      <c r="U632" s="97"/>
      <c r="V632" s="97"/>
      <c r="W632" s="97"/>
      <c r="X632" s="129"/>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c r="DF632" s="97"/>
      <c r="DG632" s="97"/>
      <c r="DH632" s="97"/>
      <c r="DI632" s="97"/>
      <c r="DJ632" s="97"/>
      <c r="DK632" s="97"/>
      <c r="DL632" s="97"/>
      <c r="DM632" s="97"/>
      <c r="DN632" s="97"/>
      <c r="DO632" s="97"/>
      <c r="DP632" s="97"/>
      <c r="DQ632" s="97"/>
      <c r="DR632" s="97"/>
      <c r="DS632" s="97"/>
      <c r="DT632" s="97"/>
      <c r="DU632" s="97"/>
      <c r="DV632" s="97"/>
      <c r="DW632" s="97"/>
      <c r="DX632" s="97"/>
      <c r="DY632" s="97"/>
      <c r="DZ632" s="97"/>
      <c r="EA632" s="97"/>
      <c r="EB632" s="97"/>
      <c r="EC632" s="97"/>
      <c r="ED632" s="97"/>
      <c r="EE632" s="97"/>
      <c r="EF632" s="97"/>
      <c r="EG632" s="97"/>
      <c r="EH632" s="97"/>
      <c r="EI632" s="97"/>
      <c r="EJ632" s="97"/>
      <c r="EK632" s="97"/>
      <c r="EL632" s="97"/>
      <c r="EM632" s="97"/>
      <c r="EN632" s="97"/>
      <c r="EO632" s="97"/>
      <c r="EP632" s="97"/>
      <c r="EQ632" s="97"/>
      <c r="ER632" s="97"/>
      <c r="ES632" s="97"/>
      <c r="ET632" s="97"/>
    </row>
    <row r="633" spans="1:150" ht="15.75" customHeight="1">
      <c r="A633" s="97"/>
      <c r="B633" s="97"/>
      <c r="C633" s="97"/>
      <c r="D633" s="97"/>
      <c r="E633" s="97"/>
      <c r="F633" s="97"/>
      <c r="G633" s="97"/>
      <c r="H633" s="129"/>
      <c r="I633" s="97"/>
      <c r="J633" s="97"/>
      <c r="K633" s="97"/>
      <c r="L633" s="97"/>
      <c r="M633" s="97"/>
      <c r="N633" s="97"/>
      <c r="O633" s="97"/>
      <c r="P633" s="97"/>
      <c r="Q633" s="97"/>
      <c r="R633" s="97"/>
      <c r="S633" s="97"/>
      <c r="T633" s="97"/>
      <c r="U633" s="97"/>
      <c r="V633" s="97"/>
      <c r="W633" s="97"/>
      <c r="X633" s="129"/>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c r="DF633" s="97"/>
      <c r="DG633" s="97"/>
      <c r="DH633" s="97"/>
      <c r="DI633" s="97"/>
      <c r="DJ633" s="97"/>
      <c r="DK633" s="97"/>
      <c r="DL633" s="97"/>
      <c r="DM633" s="97"/>
      <c r="DN633" s="97"/>
      <c r="DO633" s="97"/>
      <c r="DP633" s="97"/>
      <c r="DQ633" s="97"/>
      <c r="DR633" s="97"/>
      <c r="DS633" s="97"/>
      <c r="DT633" s="97"/>
      <c r="DU633" s="97"/>
      <c r="DV633" s="97"/>
      <c r="DW633" s="97"/>
      <c r="DX633" s="97"/>
      <c r="DY633" s="97"/>
      <c r="DZ633" s="97"/>
      <c r="EA633" s="97"/>
      <c r="EB633" s="97"/>
      <c r="EC633" s="97"/>
      <c r="ED633" s="97"/>
      <c r="EE633" s="97"/>
      <c r="EF633" s="97"/>
      <c r="EG633" s="97"/>
      <c r="EH633" s="97"/>
      <c r="EI633" s="97"/>
      <c r="EJ633" s="97"/>
      <c r="EK633" s="97"/>
      <c r="EL633" s="97"/>
      <c r="EM633" s="97"/>
      <c r="EN633" s="97"/>
      <c r="EO633" s="97"/>
      <c r="EP633" s="97"/>
      <c r="EQ633" s="97"/>
      <c r="ER633" s="97"/>
      <c r="ES633" s="97"/>
      <c r="ET633" s="97"/>
    </row>
    <row r="634" spans="1:150" ht="15.75" customHeight="1">
      <c r="A634" s="97"/>
      <c r="B634" s="97"/>
      <c r="C634" s="97"/>
      <c r="D634" s="97"/>
      <c r="E634" s="97"/>
      <c r="F634" s="97"/>
      <c r="G634" s="97"/>
      <c r="H634" s="129"/>
      <c r="I634" s="97"/>
      <c r="J634" s="97"/>
      <c r="K634" s="97"/>
      <c r="L634" s="97"/>
      <c r="M634" s="97"/>
      <c r="N634" s="97"/>
      <c r="O634" s="97"/>
      <c r="P634" s="97"/>
      <c r="Q634" s="97"/>
      <c r="R634" s="97"/>
      <c r="S634" s="97"/>
      <c r="T634" s="97"/>
      <c r="U634" s="97"/>
      <c r="V634" s="97"/>
      <c r="W634" s="97"/>
      <c r="X634" s="129"/>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c r="DF634" s="97"/>
      <c r="DG634" s="97"/>
      <c r="DH634" s="97"/>
      <c r="DI634" s="97"/>
      <c r="DJ634" s="97"/>
      <c r="DK634" s="97"/>
      <c r="DL634" s="97"/>
      <c r="DM634" s="97"/>
      <c r="DN634" s="97"/>
      <c r="DO634" s="97"/>
      <c r="DP634" s="97"/>
      <c r="DQ634" s="97"/>
      <c r="DR634" s="97"/>
      <c r="DS634" s="97"/>
      <c r="DT634" s="97"/>
      <c r="DU634" s="97"/>
      <c r="DV634" s="97"/>
      <c r="DW634" s="97"/>
      <c r="DX634" s="97"/>
      <c r="DY634" s="97"/>
      <c r="DZ634" s="97"/>
      <c r="EA634" s="97"/>
      <c r="EB634" s="97"/>
      <c r="EC634" s="97"/>
      <c r="ED634" s="97"/>
      <c r="EE634" s="97"/>
      <c r="EF634" s="97"/>
      <c r="EG634" s="97"/>
      <c r="EH634" s="97"/>
      <c r="EI634" s="97"/>
      <c r="EJ634" s="97"/>
      <c r="EK634" s="97"/>
      <c r="EL634" s="97"/>
      <c r="EM634" s="97"/>
      <c r="EN634" s="97"/>
      <c r="EO634" s="97"/>
      <c r="EP634" s="97"/>
      <c r="EQ634" s="97"/>
      <c r="ER634" s="97"/>
      <c r="ES634" s="97"/>
      <c r="ET634" s="97"/>
    </row>
    <row r="635" spans="1:150" ht="15.75" customHeight="1">
      <c r="A635" s="97"/>
      <c r="B635" s="97"/>
      <c r="C635" s="97"/>
      <c r="D635" s="97"/>
      <c r="E635" s="97"/>
      <c r="F635" s="97"/>
      <c r="G635" s="97"/>
      <c r="H635" s="129"/>
      <c r="I635" s="97"/>
      <c r="J635" s="97"/>
      <c r="K635" s="97"/>
      <c r="L635" s="97"/>
      <c r="M635" s="97"/>
      <c r="N635" s="97"/>
      <c r="O635" s="97"/>
      <c r="P635" s="97"/>
      <c r="Q635" s="97"/>
      <c r="R635" s="97"/>
      <c r="S635" s="97"/>
      <c r="T635" s="97"/>
      <c r="U635" s="97"/>
      <c r="V635" s="97"/>
      <c r="W635" s="97"/>
      <c r="X635" s="129"/>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c r="DF635" s="97"/>
      <c r="DG635" s="97"/>
      <c r="DH635" s="97"/>
      <c r="DI635" s="97"/>
      <c r="DJ635" s="97"/>
      <c r="DK635" s="97"/>
      <c r="DL635" s="97"/>
      <c r="DM635" s="97"/>
      <c r="DN635" s="97"/>
      <c r="DO635" s="97"/>
      <c r="DP635" s="97"/>
      <c r="DQ635" s="97"/>
      <c r="DR635" s="97"/>
      <c r="DS635" s="97"/>
      <c r="DT635" s="97"/>
      <c r="DU635" s="97"/>
      <c r="DV635" s="97"/>
      <c r="DW635" s="97"/>
      <c r="DX635" s="97"/>
      <c r="DY635" s="97"/>
      <c r="DZ635" s="97"/>
      <c r="EA635" s="97"/>
      <c r="EB635" s="97"/>
      <c r="EC635" s="97"/>
      <c r="ED635" s="97"/>
      <c r="EE635" s="97"/>
      <c r="EF635" s="97"/>
      <c r="EG635" s="97"/>
      <c r="EH635" s="97"/>
      <c r="EI635" s="97"/>
      <c r="EJ635" s="97"/>
      <c r="EK635" s="97"/>
      <c r="EL635" s="97"/>
      <c r="EM635" s="97"/>
      <c r="EN635" s="97"/>
      <c r="EO635" s="97"/>
      <c r="EP635" s="97"/>
      <c r="EQ635" s="97"/>
      <c r="ER635" s="97"/>
      <c r="ES635" s="97"/>
      <c r="ET635" s="97"/>
    </row>
    <row r="636" spans="1:150" ht="15.75" customHeight="1">
      <c r="A636" s="97"/>
      <c r="B636" s="97"/>
      <c r="C636" s="97"/>
      <c r="D636" s="97"/>
      <c r="E636" s="97"/>
      <c r="F636" s="97"/>
      <c r="G636" s="97"/>
      <c r="H636" s="129"/>
      <c r="I636" s="97"/>
      <c r="J636" s="97"/>
      <c r="K636" s="97"/>
      <c r="L636" s="97"/>
      <c r="M636" s="97"/>
      <c r="N636" s="97"/>
      <c r="O636" s="97"/>
      <c r="P636" s="97"/>
      <c r="Q636" s="97"/>
      <c r="R636" s="97"/>
      <c r="S636" s="97"/>
      <c r="T636" s="97"/>
      <c r="U636" s="97"/>
      <c r="V636" s="97"/>
      <c r="W636" s="97"/>
      <c r="X636" s="129"/>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c r="DF636" s="97"/>
      <c r="DG636" s="97"/>
      <c r="DH636" s="97"/>
      <c r="DI636" s="97"/>
      <c r="DJ636" s="97"/>
      <c r="DK636" s="97"/>
      <c r="DL636" s="97"/>
      <c r="DM636" s="97"/>
      <c r="DN636" s="97"/>
      <c r="DO636" s="97"/>
      <c r="DP636" s="97"/>
      <c r="DQ636" s="97"/>
      <c r="DR636" s="97"/>
      <c r="DS636" s="97"/>
      <c r="DT636" s="97"/>
      <c r="DU636" s="97"/>
      <c r="DV636" s="97"/>
      <c r="DW636" s="97"/>
      <c r="DX636" s="97"/>
      <c r="DY636" s="97"/>
      <c r="DZ636" s="97"/>
      <c r="EA636" s="97"/>
      <c r="EB636" s="97"/>
      <c r="EC636" s="97"/>
      <c r="ED636" s="97"/>
      <c r="EE636" s="97"/>
      <c r="EF636" s="97"/>
      <c r="EG636" s="97"/>
      <c r="EH636" s="97"/>
      <c r="EI636" s="97"/>
      <c r="EJ636" s="97"/>
      <c r="EK636" s="97"/>
      <c r="EL636" s="97"/>
      <c r="EM636" s="97"/>
      <c r="EN636" s="97"/>
      <c r="EO636" s="97"/>
      <c r="EP636" s="97"/>
      <c r="EQ636" s="97"/>
      <c r="ER636" s="97"/>
      <c r="ES636" s="97"/>
      <c r="ET636" s="97"/>
    </row>
    <row r="637" spans="1:150" ht="15.75" customHeight="1">
      <c r="A637" s="97"/>
      <c r="B637" s="97"/>
      <c r="C637" s="97"/>
      <c r="D637" s="97"/>
      <c r="E637" s="97"/>
      <c r="F637" s="97"/>
      <c r="G637" s="97"/>
      <c r="H637" s="129"/>
      <c r="I637" s="97"/>
      <c r="J637" s="97"/>
      <c r="K637" s="97"/>
      <c r="L637" s="97"/>
      <c r="M637" s="97"/>
      <c r="N637" s="97"/>
      <c r="O637" s="97"/>
      <c r="P637" s="97"/>
      <c r="Q637" s="97"/>
      <c r="R637" s="97"/>
      <c r="S637" s="97"/>
      <c r="T637" s="97"/>
      <c r="U637" s="97"/>
      <c r="V637" s="97"/>
      <c r="W637" s="97"/>
      <c r="X637" s="129"/>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c r="DF637" s="97"/>
      <c r="DG637" s="97"/>
      <c r="DH637" s="97"/>
      <c r="DI637" s="97"/>
      <c r="DJ637" s="97"/>
      <c r="DK637" s="97"/>
      <c r="DL637" s="97"/>
      <c r="DM637" s="97"/>
      <c r="DN637" s="97"/>
      <c r="DO637" s="97"/>
      <c r="DP637" s="97"/>
      <c r="DQ637" s="97"/>
      <c r="DR637" s="97"/>
      <c r="DS637" s="97"/>
      <c r="DT637" s="97"/>
      <c r="DU637" s="97"/>
      <c r="DV637" s="97"/>
      <c r="DW637" s="97"/>
      <c r="DX637" s="97"/>
      <c r="DY637" s="97"/>
      <c r="DZ637" s="97"/>
      <c r="EA637" s="97"/>
      <c r="EB637" s="97"/>
      <c r="EC637" s="97"/>
      <c r="ED637" s="97"/>
      <c r="EE637" s="97"/>
      <c r="EF637" s="97"/>
      <c r="EG637" s="97"/>
      <c r="EH637" s="97"/>
      <c r="EI637" s="97"/>
      <c r="EJ637" s="97"/>
      <c r="EK637" s="97"/>
      <c r="EL637" s="97"/>
      <c r="EM637" s="97"/>
      <c r="EN637" s="97"/>
      <c r="EO637" s="97"/>
      <c r="EP637" s="97"/>
      <c r="EQ637" s="97"/>
      <c r="ER637" s="97"/>
      <c r="ES637" s="97"/>
      <c r="ET637" s="97"/>
    </row>
    <row r="638" spans="1:150" ht="15.75" customHeight="1">
      <c r="A638" s="97"/>
      <c r="B638" s="97"/>
      <c r="C638" s="97"/>
      <c r="D638" s="97"/>
      <c r="E638" s="97"/>
      <c r="F638" s="97"/>
      <c r="G638" s="97"/>
      <c r="H638" s="129"/>
      <c r="I638" s="97"/>
      <c r="J638" s="97"/>
      <c r="K638" s="97"/>
      <c r="L638" s="97"/>
      <c r="M638" s="97"/>
      <c r="N638" s="97"/>
      <c r="O638" s="97"/>
      <c r="P638" s="97"/>
      <c r="Q638" s="97"/>
      <c r="R638" s="97"/>
      <c r="S638" s="97"/>
      <c r="T638" s="97"/>
      <c r="U638" s="97"/>
      <c r="V638" s="97"/>
      <c r="W638" s="97"/>
      <c r="X638" s="129"/>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c r="DF638" s="97"/>
      <c r="DG638" s="97"/>
      <c r="DH638" s="97"/>
      <c r="DI638" s="97"/>
      <c r="DJ638" s="97"/>
      <c r="DK638" s="97"/>
      <c r="DL638" s="97"/>
      <c r="DM638" s="97"/>
      <c r="DN638" s="97"/>
      <c r="DO638" s="97"/>
      <c r="DP638" s="97"/>
      <c r="DQ638" s="97"/>
      <c r="DR638" s="97"/>
      <c r="DS638" s="97"/>
      <c r="DT638" s="97"/>
      <c r="DU638" s="97"/>
      <c r="DV638" s="97"/>
      <c r="DW638" s="97"/>
      <c r="DX638" s="97"/>
      <c r="DY638" s="97"/>
      <c r="DZ638" s="97"/>
      <c r="EA638" s="97"/>
      <c r="EB638" s="97"/>
      <c r="EC638" s="97"/>
      <c r="ED638" s="97"/>
      <c r="EE638" s="97"/>
      <c r="EF638" s="97"/>
      <c r="EG638" s="97"/>
      <c r="EH638" s="97"/>
      <c r="EI638" s="97"/>
      <c r="EJ638" s="97"/>
      <c r="EK638" s="97"/>
      <c r="EL638" s="97"/>
      <c r="EM638" s="97"/>
      <c r="EN638" s="97"/>
      <c r="EO638" s="97"/>
      <c r="EP638" s="97"/>
      <c r="EQ638" s="97"/>
      <c r="ER638" s="97"/>
      <c r="ES638" s="97"/>
      <c r="ET638" s="97"/>
    </row>
    <row r="639" spans="1:150" ht="15.75" customHeight="1">
      <c r="A639" s="97"/>
      <c r="B639" s="97"/>
      <c r="C639" s="97"/>
      <c r="D639" s="97"/>
      <c r="E639" s="97"/>
      <c r="F639" s="97"/>
      <c r="G639" s="97"/>
      <c r="H639" s="129"/>
      <c r="I639" s="97"/>
      <c r="J639" s="97"/>
      <c r="K639" s="97"/>
      <c r="L639" s="97"/>
      <c r="M639" s="97"/>
      <c r="N639" s="97"/>
      <c r="O639" s="97"/>
      <c r="P639" s="97"/>
      <c r="Q639" s="97"/>
      <c r="R639" s="97"/>
      <c r="S639" s="97"/>
      <c r="T639" s="97"/>
      <c r="U639" s="97"/>
      <c r="V639" s="97"/>
      <c r="W639" s="97"/>
      <c r="X639" s="129"/>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c r="DF639" s="97"/>
      <c r="DG639" s="97"/>
      <c r="DH639" s="97"/>
      <c r="DI639" s="97"/>
      <c r="DJ639" s="97"/>
      <c r="DK639" s="97"/>
      <c r="DL639" s="97"/>
      <c r="DM639" s="97"/>
      <c r="DN639" s="97"/>
      <c r="DO639" s="97"/>
      <c r="DP639" s="97"/>
      <c r="DQ639" s="97"/>
      <c r="DR639" s="97"/>
      <c r="DS639" s="97"/>
      <c r="DT639" s="97"/>
      <c r="DU639" s="97"/>
      <c r="DV639" s="97"/>
      <c r="DW639" s="97"/>
      <c r="DX639" s="97"/>
      <c r="DY639" s="97"/>
      <c r="DZ639" s="97"/>
      <c r="EA639" s="97"/>
      <c r="EB639" s="97"/>
      <c r="EC639" s="97"/>
      <c r="ED639" s="97"/>
      <c r="EE639" s="97"/>
      <c r="EF639" s="97"/>
      <c r="EG639" s="97"/>
      <c r="EH639" s="97"/>
      <c r="EI639" s="97"/>
      <c r="EJ639" s="97"/>
      <c r="EK639" s="97"/>
      <c r="EL639" s="97"/>
      <c r="EM639" s="97"/>
      <c r="EN639" s="97"/>
      <c r="EO639" s="97"/>
      <c r="EP639" s="97"/>
      <c r="EQ639" s="97"/>
      <c r="ER639" s="97"/>
      <c r="ES639" s="97"/>
      <c r="ET639" s="97"/>
    </row>
    <row r="640" spans="1:150" ht="15.75" customHeight="1">
      <c r="A640" s="97"/>
      <c r="B640" s="97"/>
      <c r="C640" s="97"/>
      <c r="D640" s="97"/>
      <c r="E640" s="97"/>
      <c r="F640" s="97"/>
      <c r="G640" s="97"/>
      <c r="H640" s="129"/>
      <c r="I640" s="97"/>
      <c r="J640" s="97"/>
      <c r="K640" s="97"/>
      <c r="L640" s="97"/>
      <c r="M640" s="97"/>
      <c r="N640" s="97"/>
      <c r="O640" s="97"/>
      <c r="P640" s="97"/>
      <c r="Q640" s="97"/>
      <c r="R640" s="97"/>
      <c r="S640" s="97"/>
      <c r="T640" s="97"/>
      <c r="U640" s="97"/>
      <c r="V640" s="97"/>
      <c r="W640" s="97"/>
      <c r="X640" s="129"/>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c r="DF640" s="97"/>
      <c r="DG640" s="97"/>
      <c r="DH640" s="97"/>
      <c r="DI640" s="97"/>
      <c r="DJ640" s="97"/>
      <c r="DK640" s="97"/>
      <c r="DL640" s="97"/>
      <c r="DM640" s="97"/>
      <c r="DN640" s="97"/>
      <c r="DO640" s="97"/>
      <c r="DP640" s="97"/>
      <c r="DQ640" s="97"/>
      <c r="DR640" s="97"/>
      <c r="DS640" s="97"/>
      <c r="DT640" s="97"/>
      <c r="DU640" s="97"/>
      <c r="DV640" s="97"/>
      <c r="DW640" s="97"/>
      <c r="DX640" s="97"/>
      <c r="DY640" s="97"/>
      <c r="DZ640" s="97"/>
      <c r="EA640" s="97"/>
      <c r="EB640" s="97"/>
      <c r="EC640" s="97"/>
      <c r="ED640" s="97"/>
      <c r="EE640" s="97"/>
      <c r="EF640" s="97"/>
      <c r="EG640" s="97"/>
      <c r="EH640" s="97"/>
      <c r="EI640" s="97"/>
      <c r="EJ640" s="97"/>
      <c r="EK640" s="97"/>
      <c r="EL640" s="97"/>
      <c r="EM640" s="97"/>
      <c r="EN640" s="97"/>
      <c r="EO640" s="97"/>
      <c r="EP640" s="97"/>
      <c r="EQ640" s="97"/>
      <c r="ER640" s="97"/>
      <c r="ES640" s="97"/>
      <c r="ET640" s="97"/>
    </row>
    <row r="641" spans="1:150" ht="15.75" customHeight="1">
      <c r="A641" s="97"/>
      <c r="B641" s="97"/>
      <c r="C641" s="97"/>
      <c r="D641" s="97"/>
      <c r="E641" s="97"/>
      <c r="F641" s="97"/>
      <c r="G641" s="97"/>
      <c r="H641" s="129"/>
      <c r="I641" s="97"/>
      <c r="J641" s="97"/>
      <c r="K641" s="97"/>
      <c r="L641" s="97"/>
      <c r="M641" s="97"/>
      <c r="N641" s="97"/>
      <c r="O641" s="97"/>
      <c r="P641" s="97"/>
      <c r="Q641" s="97"/>
      <c r="R641" s="97"/>
      <c r="S641" s="97"/>
      <c r="T641" s="97"/>
      <c r="U641" s="97"/>
      <c r="V641" s="97"/>
      <c r="W641" s="97"/>
      <c r="X641" s="129"/>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c r="DF641" s="97"/>
      <c r="DG641" s="97"/>
      <c r="DH641" s="97"/>
      <c r="DI641" s="97"/>
      <c r="DJ641" s="97"/>
      <c r="DK641" s="97"/>
      <c r="DL641" s="97"/>
      <c r="DM641" s="97"/>
      <c r="DN641" s="97"/>
      <c r="DO641" s="97"/>
      <c r="DP641" s="97"/>
      <c r="DQ641" s="97"/>
      <c r="DR641" s="97"/>
      <c r="DS641" s="97"/>
      <c r="DT641" s="97"/>
      <c r="DU641" s="97"/>
      <c r="DV641" s="97"/>
      <c r="DW641" s="97"/>
      <c r="DX641" s="97"/>
      <c r="DY641" s="97"/>
      <c r="DZ641" s="97"/>
      <c r="EA641" s="97"/>
      <c r="EB641" s="97"/>
      <c r="EC641" s="97"/>
      <c r="ED641" s="97"/>
      <c r="EE641" s="97"/>
      <c r="EF641" s="97"/>
      <c r="EG641" s="97"/>
      <c r="EH641" s="97"/>
      <c r="EI641" s="97"/>
      <c r="EJ641" s="97"/>
      <c r="EK641" s="97"/>
      <c r="EL641" s="97"/>
      <c r="EM641" s="97"/>
      <c r="EN641" s="97"/>
      <c r="EO641" s="97"/>
      <c r="EP641" s="97"/>
      <c r="EQ641" s="97"/>
      <c r="ER641" s="97"/>
      <c r="ES641" s="97"/>
      <c r="ET641" s="97"/>
    </row>
    <row r="642" spans="1:150" ht="15.75" customHeight="1">
      <c r="A642" s="97"/>
      <c r="B642" s="97"/>
      <c r="C642" s="97"/>
      <c r="D642" s="97"/>
      <c r="E642" s="97"/>
      <c r="F642" s="97"/>
      <c r="G642" s="97"/>
      <c r="H642" s="129"/>
      <c r="I642" s="97"/>
      <c r="J642" s="97"/>
      <c r="K642" s="97"/>
      <c r="L642" s="97"/>
      <c r="M642" s="97"/>
      <c r="N642" s="97"/>
      <c r="O642" s="97"/>
      <c r="P642" s="97"/>
      <c r="Q642" s="97"/>
      <c r="R642" s="97"/>
      <c r="S642" s="97"/>
      <c r="T642" s="97"/>
      <c r="U642" s="97"/>
      <c r="V642" s="97"/>
      <c r="W642" s="97"/>
      <c r="X642" s="129"/>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c r="DF642" s="97"/>
      <c r="DG642" s="97"/>
      <c r="DH642" s="97"/>
      <c r="DI642" s="97"/>
      <c r="DJ642" s="97"/>
      <c r="DK642" s="97"/>
      <c r="DL642" s="97"/>
      <c r="DM642" s="97"/>
      <c r="DN642" s="97"/>
      <c r="DO642" s="97"/>
      <c r="DP642" s="97"/>
      <c r="DQ642" s="97"/>
      <c r="DR642" s="97"/>
      <c r="DS642" s="97"/>
      <c r="DT642" s="97"/>
      <c r="DU642" s="97"/>
      <c r="DV642" s="97"/>
      <c r="DW642" s="97"/>
      <c r="DX642" s="97"/>
      <c r="DY642" s="97"/>
      <c r="DZ642" s="97"/>
      <c r="EA642" s="97"/>
      <c r="EB642" s="97"/>
      <c r="EC642" s="97"/>
      <c r="ED642" s="97"/>
      <c r="EE642" s="97"/>
      <c r="EF642" s="97"/>
      <c r="EG642" s="97"/>
      <c r="EH642" s="97"/>
      <c r="EI642" s="97"/>
      <c r="EJ642" s="97"/>
      <c r="EK642" s="97"/>
      <c r="EL642" s="97"/>
      <c r="EM642" s="97"/>
      <c r="EN642" s="97"/>
      <c r="EO642" s="97"/>
      <c r="EP642" s="97"/>
      <c r="EQ642" s="97"/>
      <c r="ER642" s="97"/>
      <c r="ES642" s="97"/>
      <c r="ET642" s="97"/>
    </row>
    <row r="643" spans="1:150" ht="15.75" customHeight="1">
      <c r="A643" s="97"/>
      <c r="B643" s="97"/>
      <c r="C643" s="97"/>
      <c r="D643" s="97"/>
      <c r="E643" s="97"/>
      <c r="F643" s="97"/>
      <c r="G643" s="97"/>
      <c r="H643" s="129"/>
      <c r="I643" s="97"/>
      <c r="J643" s="97"/>
      <c r="K643" s="97"/>
      <c r="L643" s="97"/>
      <c r="M643" s="97"/>
      <c r="N643" s="97"/>
      <c r="O643" s="97"/>
      <c r="P643" s="97"/>
      <c r="Q643" s="97"/>
      <c r="R643" s="97"/>
      <c r="S643" s="97"/>
      <c r="T643" s="97"/>
      <c r="U643" s="97"/>
      <c r="V643" s="97"/>
      <c r="W643" s="97"/>
      <c r="X643" s="129"/>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c r="DF643" s="97"/>
      <c r="DG643" s="97"/>
      <c r="DH643" s="97"/>
      <c r="DI643" s="97"/>
      <c r="DJ643" s="97"/>
      <c r="DK643" s="97"/>
      <c r="DL643" s="97"/>
      <c r="DM643" s="97"/>
      <c r="DN643" s="97"/>
      <c r="DO643" s="97"/>
      <c r="DP643" s="97"/>
      <c r="DQ643" s="97"/>
      <c r="DR643" s="97"/>
      <c r="DS643" s="97"/>
      <c r="DT643" s="97"/>
      <c r="DU643" s="97"/>
      <c r="DV643" s="97"/>
      <c r="DW643" s="97"/>
      <c r="DX643" s="97"/>
      <c r="DY643" s="97"/>
      <c r="DZ643" s="97"/>
      <c r="EA643" s="97"/>
      <c r="EB643" s="97"/>
      <c r="EC643" s="97"/>
      <c r="ED643" s="97"/>
      <c r="EE643" s="97"/>
      <c r="EF643" s="97"/>
      <c r="EG643" s="97"/>
      <c r="EH643" s="97"/>
      <c r="EI643" s="97"/>
      <c r="EJ643" s="97"/>
      <c r="EK643" s="97"/>
      <c r="EL643" s="97"/>
      <c r="EM643" s="97"/>
      <c r="EN643" s="97"/>
      <c r="EO643" s="97"/>
      <c r="EP643" s="97"/>
      <c r="EQ643" s="97"/>
      <c r="ER643" s="97"/>
      <c r="ES643" s="97"/>
      <c r="ET643" s="97"/>
    </row>
    <row r="644" spans="1:150" ht="15.75" customHeight="1">
      <c r="A644" s="97"/>
      <c r="B644" s="97"/>
      <c r="C644" s="97"/>
      <c r="D644" s="97"/>
      <c r="E644" s="97"/>
      <c r="F644" s="97"/>
      <c r="G644" s="97"/>
      <c r="H644" s="129"/>
      <c r="I644" s="97"/>
      <c r="J644" s="97"/>
      <c r="K644" s="97"/>
      <c r="L644" s="97"/>
      <c r="M644" s="97"/>
      <c r="N644" s="97"/>
      <c r="O644" s="97"/>
      <c r="P644" s="97"/>
      <c r="Q644" s="97"/>
      <c r="R644" s="97"/>
      <c r="S644" s="97"/>
      <c r="T644" s="97"/>
      <c r="U644" s="97"/>
      <c r="V644" s="97"/>
      <c r="W644" s="97"/>
      <c r="X644" s="129"/>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c r="DF644" s="97"/>
      <c r="DG644" s="97"/>
      <c r="DH644" s="97"/>
      <c r="DI644" s="97"/>
      <c r="DJ644" s="97"/>
      <c r="DK644" s="97"/>
      <c r="DL644" s="97"/>
      <c r="DM644" s="97"/>
      <c r="DN644" s="97"/>
      <c r="DO644" s="97"/>
      <c r="DP644" s="97"/>
      <c r="DQ644" s="97"/>
      <c r="DR644" s="97"/>
      <c r="DS644" s="97"/>
      <c r="DT644" s="97"/>
      <c r="DU644" s="97"/>
      <c r="DV644" s="97"/>
      <c r="DW644" s="97"/>
      <c r="DX644" s="97"/>
      <c r="DY644" s="97"/>
      <c r="DZ644" s="97"/>
      <c r="EA644" s="97"/>
      <c r="EB644" s="97"/>
      <c r="EC644" s="97"/>
      <c r="ED644" s="97"/>
      <c r="EE644" s="97"/>
      <c r="EF644" s="97"/>
      <c r="EG644" s="97"/>
      <c r="EH644" s="97"/>
      <c r="EI644" s="97"/>
      <c r="EJ644" s="97"/>
      <c r="EK644" s="97"/>
      <c r="EL644" s="97"/>
      <c r="EM644" s="97"/>
      <c r="EN644" s="97"/>
      <c r="EO644" s="97"/>
      <c r="EP644" s="97"/>
      <c r="EQ644" s="97"/>
      <c r="ER644" s="97"/>
      <c r="ES644" s="97"/>
      <c r="ET644" s="97"/>
    </row>
    <row r="645" spans="1:150" ht="15.75" customHeight="1">
      <c r="A645" s="97"/>
      <c r="B645" s="97"/>
      <c r="C645" s="97"/>
      <c r="D645" s="97"/>
      <c r="E645" s="97"/>
      <c r="F645" s="97"/>
      <c r="G645" s="97"/>
      <c r="H645" s="129"/>
      <c r="I645" s="97"/>
      <c r="J645" s="97"/>
      <c r="K645" s="97"/>
      <c r="L645" s="97"/>
      <c r="M645" s="97"/>
      <c r="N645" s="97"/>
      <c r="O645" s="97"/>
      <c r="P645" s="97"/>
      <c r="Q645" s="97"/>
      <c r="R645" s="97"/>
      <c r="S645" s="97"/>
      <c r="T645" s="97"/>
      <c r="U645" s="97"/>
      <c r="V645" s="97"/>
      <c r="W645" s="97"/>
      <c r="X645" s="129"/>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c r="DF645" s="97"/>
      <c r="DG645" s="97"/>
      <c r="DH645" s="97"/>
      <c r="DI645" s="97"/>
      <c r="DJ645" s="97"/>
      <c r="DK645" s="97"/>
      <c r="DL645" s="97"/>
      <c r="DM645" s="97"/>
      <c r="DN645" s="97"/>
      <c r="DO645" s="97"/>
      <c r="DP645" s="97"/>
      <c r="DQ645" s="97"/>
      <c r="DR645" s="97"/>
      <c r="DS645" s="97"/>
      <c r="DT645" s="97"/>
      <c r="DU645" s="97"/>
      <c r="DV645" s="97"/>
      <c r="DW645" s="97"/>
      <c r="DX645" s="97"/>
      <c r="DY645" s="97"/>
      <c r="DZ645" s="97"/>
      <c r="EA645" s="97"/>
      <c r="EB645" s="97"/>
      <c r="EC645" s="97"/>
      <c r="ED645" s="97"/>
      <c r="EE645" s="97"/>
      <c r="EF645" s="97"/>
      <c r="EG645" s="97"/>
      <c r="EH645" s="97"/>
      <c r="EI645" s="97"/>
      <c r="EJ645" s="97"/>
      <c r="EK645" s="97"/>
      <c r="EL645" s="97"/>
      <c r="EM645" s="97"/>
      <c r="EN645" s="97"/>
      <c r="EO645" s="97"/>
      <c r="EP645" s="97"/>
      <c r="EQ645" s="97"/>
      <c r="ER645" s="97"/>
      <c r="ES645" s="97"/>
      <c r="ET645" s="97"/>
    </row>
    <row r="646" spans="1:150" ht="15.75" customHeight="1">
      <c r="A646" s="97"/>
      <c r="B646" s="97"/>
      <c r="C646" s="97"/>
      <c r="D646" s="97"/>
      <c r="E646" s="97"/>
      <c r="F646" s="97"/>
      <c r="G646" s="97"/>
      <c r="H646" s="129"/>
      <c r="I646" s="97"/>
      <c r="J646" s="97"/>
      <c r="K646" s="97"/>
      <c r="L646" s="97"/>
      <c r="M646" s="97"/>
      <c r="N646" s="97"/>
      <c r="O646" s="97"/>
      <c r="P646" s="97"/>
      <c r="Q646" s="97"/>
      <c r="R646" s="97"/>
      <c r="S646" s="97"/>
      <c r="T646" s="97"/>
      <c r="U646" s="97"/>
      <c r="V646" s="97"/>
      <c r="W646" s="97"/>
      <c r="X646" s="129"/>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c r="DF646" s="97"/>
      <c r="DG646" s="97"/>
      <c r="DH646" s="97"/>
      <c r="DI646" s="97"/>
      <c r="DJ646" s="97"/>
      <c r="DK646" s="97"/>
      <c r="DL646" s="97"/>
      <c r="DM646" s="97"/>
      <c r="DN646" s="97"/>
      <c r="DO646" s="97"/>
      <c r="DP646" s="97"/>
      <c r="DQ646" s="97"/>
      <c r="DR646" s="97"/>
      <c r="DS646" s="97"/>
      <c r="DT646" s="97"/>
      <c r="DU646" s="97"/>
      <c r="DV646" s="97"/>
      <c r="DW646" s="97"/>
      <c r="DX646" s="97"/>
      <c r="DY646" s="97"/>
      <c r="DZ646" s="97"/>
      <c r="EA646" s="97"/>
      <c r="EB646" s="97"/>
      <c r="EC646" s="97"/>
      <c r="ED646" s="97"/>
      <c r="EE646" s="97"/>
      <c r="EF646" s="97"/>
      <c r="EG646" s="97"/>
      <c r="EH646" s="97"/>
      <c r="EI646" s="97"/>
      <c r="EJ646" s="97"/>
      <c r="EK646" s="97"/>
      <c r="EL646" s="97"/>
      <c r="EM646" s="97"/>
      <c r="EN646" s="97"/>
      <c r="EO646" s="97"/>
      <c r="EP646" s="97"/>
      <c r="EQ646" s="97"/>
      <c r="ER646" s="97"/>
      <c r="ES646" s="97"/>
      <c r="ET646" s="97"/>
    </row>
    <row r="647" spans="1:150" ht="15.75" customHeight="1">
      <c r="A647" s="97"/>
      <c r="B647" s="97"/>
      <c r="C647" s="97"/>
      <c r="D647" s="97"/>
      <c r="E647" s="97"/>
      <c r="F647" s="97"/>
      <c r="G647" s="97"/>
      <c r="H647" s="129"/>
      <c r="I647" s="97"/>
      <c r="J647" s="97"/>
      <c r="K647" s="97"/>
      <c r="L647" s="97"/>
      <c r="M647" s="97"/>
      <c r="N647" s="97"/>
      <c r="O647" s="97"/>
      <c r="P647" s="97"/>
      <c r="Q647" s="97"/>
      <c r="R647" s="97"/>
      <c r="S647" s="97"/>
      <c r="T647" s="97"/>
      <c r="U647" s="97"/>
      <c r="V647" s="97"/>
      <c r="W647" s="97"/>
      <c r="X647" s="129"/>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c r="DF647" s="97"/>
      <c r="DG647" s="97"/>
      <c r="DH647" s="97"/>
      <c r="DI647" s="97"/>
      <c r="DJ647" s="97"/>
      <c r="DK647" s="97"/>
      <c r="DL647" s="97"/>
      <c r="DM647" s="97"/>
      <c r="DN647" s="97"/>
      <c r="DO647" s="97"/>
      <c r="DP647" s="97"/>
      <c r="DQ647" s="97"/>
      <c r="DR647" s="97"/>
      <c r="DS647" s="97"/>
      <c r="DT647" s="97"/>
      <c r="DU647" s="97"/>
      <c r="DV647" s="97"/>
      <c r="DW647" s="97"/>
      <c r="DX647" s="97"/>
      <c r="DY647" s="97"/>
      <c r="DZ647" s="97"/>
      <c r="EA647" s="97"/>
      <c r="EB647" s="97"/>
      <c r="EC647" s="97"/>
      <c r="ED647" s="97"/>
      <c r="EE647" s="97"/>
      <c r="EF647" s="97"/>
      <c r="EG647" s="97"/>
      <c r="EH647" s="97"/>
      <c r="EI647" s="97"/>
      <c r="EJ647" s="97"/>
      <c r="EK647" s="97"/>
      <c r="EL647" s="97"/>
      <c r="EM647" s="97"/>
      <c r="EN647" s="97"/>
      <c r="EO647" s="97"/>
      <c r="EP647" s="97"/>
      <c r="EQ647" s="97"/>
      <c r="ER647" s="97"/>
      <c r="ES647" s="97"/>
      <c r="ET647" s="97"/>
    </row>
    <row r="648" spans="1:150" ht="15.75" customHeight="1">
      <c r="A648" s="97"/>
      <c r="B648" s="97"/>
      <c r="C648" s="97"/>
      <c r="D648" s="97"/>
      <c r="E648" s="97"/>
      <c r="F648" s="97"/>
      <c r="G648" s="97"/>
      <c r="H648" s="129"/>
      <c r="I648" s="97"/>
      <c r="J648" s="97"/>
      <c r="K648" s="97"/>
      <c r="L648" s="97"/>
      <c r="M648" s="97"/>
      <c r="N648" s="97"/>
      <c r="O648" s="97"/>
      <c r="P648" s="97"/>
      <c r="Q648" s="97"/>
      <c r="R648" s="97"/>
      <c r="S648" s="97"/>
      <c r="T648" s="97"/>
      <c r="U648" s="97"/>
      <c r="V648" s="97"/>
      <c r="W648" s="97"/>
      <c r="X648" s="129"/>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c r="DF648" s="97"/>
      <c r="DG648" s="97"/>
      <c r="DH648" s="97"/>
      <c r="DI648" s="97"/>
      <c r="DJ648" s="97"/>
      <c r="DK648" s="97"/>
      <c r="DL648" s="97"/>
      <c r="DM648" s="97"/>
      <c r="DN648" s="97"/>
      <c r="DO648" s="97"/>
      <c r="DP648" s="97"/>
      <c r="DQ648" s="97"/>
      <c r="DR648" s="97"/>
      <c r="DS648" s="97"/>
      <c r="DT648" s="97"/>
      <c r="DU648" s="97"/>
      <c r="DV648" s="97"/>
      <c r="DW648" s="97"/>
      <c r="DX648" s="97"/>
      <c r="DY648" s="97"/>
      <c r="DZ648" s="97"/>
      <c r="EA648" s="97"/>
      <c r="EB648" s="97"/>
      <c r="EC648" s="97"/>
      <c r="ED648" s="97"/>
      <c r="EE648" s="97"/>
      <c r="EF648" s="97"/>
      <c r="EG648" s="97"/>
      <c r="EH648" s="97"/>
      <c r="EI648" s="97"/>
      <c r="EJ648" s="97"/>
      <c r="EK648" s="97"/>
      <c r="EL648" s="97"/>
      <c r="EM648" s="97"/>
      <c r="EN648" s="97"/>
      <c r="EO648" s="97"/>
      <c r="EP648" s="97"/>
      <c r="EQ648" s="97"/>
      <c r="ER648" s="97"/>
      <c r="ES648" s="97"/>
      <c r="ET648" s="97"/>
    </row>
    <row r="649" spans="1:150" ht="15.75" customHeight="1">
      <c r="A649" s="97"/>
      <c r="B649" s="97"/>
      <c r="C649" s="97"/>
      <c r="D649" s="97"/>
      <c r="E649" s="97"/>
      <c r="F649" s="97"/>
      <c r="G649" s="97"/>
      <c r="H649" s="129"/>
      <c r="I649" s="97"/>
      <c r="J649" s="97"/>
      <c r="K649" s="97"/>
      <c r="L649" s="97"/>
      <c r="M649" s="97"/>
      <c r="N649" s="97"/>
      <c r="O649" s="97"/>
      <c r="P649" s="97"/>
      <c r="Q649" s="97"/>
      <c r="R649" s="97"/>
      <c r="S649" s="97"/>
      <c r="T649" s="97"/>
      <c r="U649" s="97"/>
      <c r="V649" s="97"/>
      <c r="W649" s="97"/>
      <c r="X649" s="129"/>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c r="DF649" s="97"/>
      <c r="DG649" s="97"/>
      <c r="DH649" s="97"/>
      <c r="DI649" s="97"/>
      <c r="DJ649" s="97"/>
      <c r="DK649" s="97"/>
      <c r="DL649" s="97"/>
      <c r="DM649" s="97"/>
      <c r="DN649" s="97"/>
      <c r="DO649" s="97"/>
      <c r="DP649" s="97"/>
      <c r="DQ649" s="97"/>
      <c r="DR649" s="97"/>
      <c r="DS649" s="97"/>
      <c r="DT649" s="97"/>
      <c r="DU649" s="97"/>
      <c r="DV649" s="97"/>
      <c r="DW649" s="97"/>
      <c r="DX649" s="97"/>
      <c r="DY649" s="97"/>
      <c r="DZ649" s="97"/>
      <c r="EA649" s="97"/>
      <c r="EB649" s="97"/>
      <c r="EC649" s="97"/>
      <c r="ED649" s="97"/>
      <c r="EE649" s="97"/>
      <c r="EF649" s="97"/>
      <c r="EG649" s="97"/>
      <c r="EH649" s="97"/>
      <c r="EI649" s="97"/>
      <c r="EJ649" s="97"/>
      <c r="EK649" s="97"/>
      <c r="EL649" s="97"/>
      <c r="EM649" s="97"/>
      <c r="EN649" s="97"/>
      <c r="EO649" s="97"/>
      <c r="EP649" s="97"/>
      <c r="EQ649" s="97"/>
      <c r="ER649" s="97"/>
      <c r="ES649" s="97"/>
      <c r="ET649" s="97"/>
    </row>
    <row r="650" spans="1:150" ht="15.75" customHeight="1">
      <c r="A650" s="97"/>
      <c r="B650" s="97"/>
      <c r="C650" s="97"/>
      <c r="D650" s="97"/>
      <c r="E650" s="97"/>
      <c r="F650" s="97"/>
      <c r="G650" s="97"/>
      <c r="H650" s="129"/>
      <c r="I650" s="97"/>
      <c r="J650" s="97"/>
      <c r="K650" s="97"/>
      <c r="L650" s="97"/>
      <c r="M650" s="97"/>
      <c r="N650" s="97"/>
      <c r="O650" s="97"/>
      <c r="P650" s="97"/>
      <c r="Q650" s="97"/>
      <c r="R650" s="97"/>
      <c r="S650" s="97"/>
      <c r="T650" s="97"/>
      <c r="U650" s="97"/>
      <c r="V650" s="97"/>
      <c r="W650" s="97"/>
      <c r="X650" s="129"/>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c r="DF650" s="97"/>
      <c r="DG650" s="97"/>
      <c r="DH650" s="97"/>
      <c r="DI650" s="97"/>
      <c r="DJ650" s="97"/>
      <c r="DK650" s="97"/>
      <c r="DL650" s="97"/>
      <c r="DM650" s="97"/>
      <c r="DN650" s="97"/>
      <c r="DO650" s="97"/>
      <c r="DP650" s="97"/>
      <c r="DQ650" s="97"/>
      <c r="DR650" s="97"/>
      <c r="DS650" s="97"/>
      <c r="DT650" s="97"/>
      <c r="DU650" s="97"/>
      <c r="DV650" s="97"/>
      <c r="DW650" s="97"/>
      <c r="DX650" s="97"/>
      <c r="DY650" s="97"/>
      <c r="DZ650" s="97"/>
      <c r="EA650" s="97"/>
      <c r="EB650" s="97"/>
      <c r="EC650" s="97"/>
      <c r="ED650" s="97"/>
      <c r="EE650" s="97"/>
      <c r="EF650" s="97"/>
      <c r="EG650" s="97"/>
      <c r="EH650" s="97"/>
      <c r="EI650" s="97"/>
      <c r="EJ650" s="97"/>
      <c r="EK650" s="97"/>
      <c r="EL650" s="97"/>
      <c r="EM650" s="97"/>
      <c r="EN650" s="97"/>
      <c r="EO650" s="97"/>
      <c r="EP650" s="97"/>
      <c r="EQ650" s="97"/>
      <c r="ER650" s="97"/>
      <c r="ES650" s="97"/>
      <c r="ET650" s="97"/>
    </row>
    <row r="651" spans="1:150" ht="15.75" customHeight="1">
      <c r="A651" s="97"/>
      <c r="B651" s="97"/>
      <c r="C651" s="97"/>
      <c r="D651" s="97"/>
      <c r="E651" s="97"/>
      <c r="F651" s="97"/>
      <c r="G651" s="97"/>
      <c r="H651" s="129"/>
      <c r="I651" s="97"/>
      <c r="J651" s="97"/>
      <c r="K651" s="97"/>
      <c r="L651" s="97"/>
      <c r="M651" s="97"/>
      <c r="N651" s="97"/>
      <c r="O651" s="97"/>
      <c r="P651" s="97"/>
      <c r="Q651" s="97"/>
      <c r="R651" s="97"/>
      <c r="S651" s="97"/>
      <c r="T651" s="97"/>
      <c r="U651" s="97"/>
      <c r="V651" s="97"/>
      <c r="W651" s="97"/>
      <c r="X651" s="129"/>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c r="DF651" s="97"/>
      <c r="DG651" s="97"/>
      <c r="DH651" s="97"/>
      <c r="DI651" s="97"/>
      <c r="DJ651" s="97"/>
      <c r="DK651" s="97"/>
      <c r="DL651" s="97"/>
      <c r="DM651" s="97"/>
      <c r="DN651" s="97"/>
      <c r="DO651" s="97"/>
      <c r="DP651" s="97"/>
      <c r="DQ651" s="97"/>
      <c r="DR651" s="97"/>
      <c r="DS651" s="97"/>
      <c r="DT651" s="97"/>
      <c r="DU651" s="97"/>
      <c r="DV651" s="97"/>
      <c r="DW651" s="97"/>
      <c r="DX651" s="97"/>
      <c r="DY651" s="97"/>
      <c r="DZ651" s="97"/>
      <c r="EA651" s="97"/>
      <c r="EB651" s="97"/>
      <c r="EC651" s="97"/>
      <c r="ED651" s="97"/>
      <c r="EE651" s="97"/>
      <c r="EF651" s="97"/>
      <c r="EG651" s="97"/>
      <c r="EH651" s="97"/>
      <c r="EI651" s="97"/>
      <c r="EJ651" s="97"/>
      <c r="EK651" s="97"/>
      <c r="EL651" s="97"/>
      <c r="EM651" s="97"/>
      <c r="EN651" s="97"/>
      <c r="EO651" s="97"/>
      <c r="EP651" s="97"/>
      <c r="EQ651" s="97"/>
      <c r="ER651" s="97"/>
      <c r="ES651" s="97"/>
      <c r="ET651" s="97"/>
    </row>
    <row r="652" spans="1:150" ht="15.75" customHeight="1">
      <c r="A652" s="97"/>
      <c r="B652" s="97"/>
      <c r="C652" s="97"/>
      <c r="D652" s="97"/>
      <c r="E652" s="97"/>
      <c r="F652" s="97"/>
      <c r="G652" s="97"/>
      <c r="H652" s="129"/>
      <c r="I652" s="97"/>
      <c r="J652" s="97"/>
      <c r="K652" s="97"/>
      <c r="L652" s="97"/>
      <c r="M652" s="97"/>
      <c r="N652" s="97"/>
      <c r="O652" s="97"/>
      <c r="P652" s="97"/>
      <c r="Q652" s="97"/>
      <c r="R652" s="97"/>
      <c r="S652" s="97"/>
      <c r="T652" s="97"/>
      <c r="U652" s="97"/>
      <c r="V652" s="97"/>
      <c r="W652" s="97"/>
      <c r="X652" s="129"/>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c r="DF652" s="97"/>
      <c r="DG652" s="97"/>
      <c r="DH652" s="97"/>
      <c r="DI652" s="97"/>
      <c r="DJ652" s="97"/>
      <c r="DK652" s="97"/>
      <c r="DL652" s="97"/>
      <c r="DM652" s="97"/>
      <c r="DN652" s="97"/>
      <c r="DO652" s="97"/>
      <c r="DP652" s="97"/>
      <c r="DQ652" s="97"/>
      <c r="DR652" s="97"/>
      <c r="DS652" s="97"/>
      <c r="DT652" s="97"/>
      <c r="DU652" s="97"/>
      <c r="DV652" s="97"/>
      <c r="DW652" s="97"/>
      <c r="DX652" s="97"/>
      <c r="DY652" s="97"/>
      <c r="DZ652" s="97"/>
      <c r="EA652" s="97"/>
      <c r="EB652" s="97"/>
      <c r="EC652" s="97"/>
      <c r="ED652" s="97"/>
      <c r="EE652" s="97"/>
      <c r="EF652" s="97"/>
      <c r="EG652" s="97"/>
      <c r="EH652" s="97"/>
      <c r="EI652" s="97"/>
      <c r="EJ652" s="97"/>
      <c r="EK652" s="97"/>
      <c r="EL652" s="97"/>
      <c r="EM652" s="97"/>
      <c r="EN652" s="97"/>
      <c r="EO652" s="97"/>
      <c r="EP652" s="97"/>
      <c r="EQ652" s="97"/>
      <c r="ER652" s="97"/>
      <c r="ES652" s="97"/>
      <c r="ET652" s="97"/>
    </row>
    <row r="653" spans="1:150" ht="15.75" customHeight="1">
      <c r="A653" s="97"/>
      <c r="B653" s="97"/>
      <c r="C653" s="97"/>
      <c r="D653" s="97"/>
      <c r="E653" s="97"/>
      <c r="F653" s="97"/>
      <c r="G653" s="97"/>
      <c r="H653" s="129"/>
      <c r="I653" s="97"/>
      <c r="J653" s="97"/>
      <c r="K653" s="97"/>
      <c r="L653" s="97"/>
      <c r="M653" s="97"/>
      <c r="N653" s="97"/>
      <c r="O653" s="97"/>
      <c r="P653" s="97"/>
      <c r="Q653" s="97"/>
      <c r="R653" s="97"/>
      <c r="S653" s="97"/>
      <c r="T653" s="97"/>
      <c r="U653" s="97"/>
      <c r="V653" s="97"/>
      <c r="W653" s="97"/>
      <c r="X653" s="129"/>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c r="DF653" s="97"/>
      <c r="DG653" s="97"/>
      <c r="DH653" s="97"/>
      <c r="DI653" s="97"/>
      <c r="DJ653" s="97"/>
      <c r="DK653" s="97"/>
      <c r="DL653" s="97"/>
      <c r="DM653" s="97"/>
      <c r="DN653" s="97"/>
      <c r="DO653" s="97"/>
      <c r="DP653" s="97"/>
      <c r="DQ653" s="97"/>
      <c r="DR653" s="97"/>
      <c r="DS653" s="97"/>
      <c r="DT653" s="97"/>
      <c r="DU653" s="97"/>
      <c r="DV653" s="97"/>
      <c r="DW653" s="97"/>
      <c r="DX653" s="97"/>
      <c r="DY653" s="97"/>
      <c r="DZ653" s="97"/>
      <c r="EA653" s="97"/>
      <c r="EB653" s="97"/>
      <c r="EC653" s="97"/>
      <c r="ED653" s="97"/>
      <c r="EE653" s="97"/>
      <c r="EF653" s="97"/>
      <c r="EG653" s="97"/>
      <c r="EH653" s="97"/>
      <c r="EI653" s="97"/>
      <c r="EJ653" s="97"/>
      <c r="EK653" s="97"/>
      <c r="EL653" s="97"/>
      <c r="EM653" s="97"/>
      <c r="EN653" s="97"/>
      <c r="EO653" s="97"/>
      <c r="EP653" s="97"/>
      <c r="EQ653" s="97"/>
      <c r="ER653" s="97"/>
      <c r="ES653" s="97"/>
      <c r="ET653" s="97"/>
    </row>
    <row r="654" spans="1:150" ht="15.75" customHeight="1">
      <c r="A654" s="97"/>
      <c r="B654" s="97"/>
      <c r="C654" s="97"/>
      <c r="D654" s="97"/>
      <c r="E654" s="97"/>
      <c r="F654" s="97"/>
      <c r="G654" s="97"/>
      <c r="H654" s="129"/>
      <c r="I654" s="97"/>
      <c r="J654" s="97"/>
      <c r="K654" s="97"/>
      <c r="L654" s="97"/>
      <c r="M654" s="97"/>
      <c r="N654" s="97"/>
      <c r="O654" s="97"/>
      <c r="P654" s="97"/>
      <c r="Q654" s="97"/>
      <c r="R654" s="97"/>
      <c r="S654" s="97"/>
      <c r="T654" s="97"/>
      <c r="U654" s="97"/>
      <c r="V654" s="97"/>
      <c r="W654" s="97"/>
      <c r="X654" s="129"/>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c r="DF654" s="97"/>
      <c r="DG654" s="97"/>
      <c r="DH654" s="97"/>
      <c r="DI654" s="97"/>
      <c r="DJ654" s="97"/>
      <c r="DK654" s="97"/>
      <c r="DL654" s="97"/>
      <c r="DM654" s="97"/>
      <c r="DN654" s="97"/>
      <c r="DO654" s="97"/>
      <c r="DP654" s="97"/>
      <c r="DQ654" s="97"/>
      <c r="DR654" s="97"/>
      <c r="DS654" s="97"/>
      <c r="DT654" s="97"/>
      <c r="DU654" s="97"/>
      <c r="DV654" s="97"/>
      <c r="DW654" s="97"/>
      <c r="DX654" s="97"/>
      <c r="DY654" s="97"/>
      <c r="DZ654" s="97"/>
      <c r="EA654" s="97"/>
      <c r="EB654" s="97"/>
      <c r="EC654" s="97"/>
      <c r="ED654" s="97"/>
      <c r="EE654" s="97"/>
      <c r="EF654" s="97"/>
      <c r="EG654" s="97"/>
      <c r="EH654" s="97"/>
      <c r="EI654" s="97"/>
      <c r="EJ654" s="97"/>
      <c r="EK654" s="97"/>
      <c r="EL654" s="97"/>
      <c r="EM654" s="97"/>
      <c r="EN654" s="97"/>
      <c r="EO654" s="97"/>
      <c r="EP654" s="97"/>
      <c r="EQ654" s="97"/>
      <c r="ER654" s="97"/>
      <c r="ES654" s="97"/>
      <c r="ET654" s="97"/>
    </row>
    <row r="655" spans="1:150" ht="15.75" customHeight="1">
      <c r="A655" s="97"/>
      <c r="B655" s="97"/>
      <c r="C655" s="97"/>
      <c r="D655" s="97"/>
      <c r="E655" s="97"/>
      <c r="F655" s="97"/>
      <c r="G655" s="97"/>
      <c r="H655" s="129"/>
      <c r="I655" s="97"/>
      <c r="J655" s="97"/>
      <c r="K655" s="97"/>
      <c r="L655" s="97"/>
      <c r="M655" s="97"/>
      <c r="N655" s="97"/>
      <c r="O655" s="97"/>
      <c r="P655" s="97"/>
      <c r="Q655" s="97"/>
      <c r="R655" s="97"/>
      <c r="S655" s="97"/>
      <c r="T655" s="97"/>
      <c r="U655" s="97"/>
      <c r="V655" s="97"/>
      <c r="W655" s="97"/>
      <c r="X655" s="129"/>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c r="DF655" s="97"/>
      <c r="DG655" s="97"/>
      <c r="DH655" s="97"/>
      <c r="DI655" s="97"/>
      <c r="DJ655" s="97"/>
      <c r="DK655" s="97"/>
      <c r="DL655" s="97"/>
      <c r="DM655" s="97"/>
      <c r="DN655" s="97"/>
      <c r="DO655" s="97"/>
      <c r="DP655" s="97"/>
      <c r="DQ655" s="97"/>
      <c r="DR655" s="97"/>
      <c r="DS655" s="97"/>
      <c r="DT655" s="97"/>
      <c r="DU655" s="97"/>
      <c r="DV655" s="97"/>
      <c r="DW655" s="97"/>
      <c r="DX655" s="97"/>
      <c r="DY655" s="97"/>
      <c r="DZ655" s="97"/>
      <c r="EA655" s="97"/>
      <c r="EB655" s="97"/>
      <c r="EC655" s="97"/>
      <c r="ED655" s="97"/>
      <c r="EE655" s="97"/>
      <c r="EF655" s="97"/>
      <c r="EG655" s="97"/>
      <c r="EH655" s="97"/>
      <c r="EI655" s="97"/>
      <c r="EJ655" s="97"/>
      <c r="EK655" s="97"/>
      <c r="EL655" s="97"/>
      <c r="EM655" s="97"/>
      <c r="EN655" s="97"/>
      <c r="EO655" s="97"/>
      <c r="EP655" s="97"/>
      <c r="EQ655" s="97"/>
      <c r="ER655" s="97"/>
      <c r="ES655" s="97"/>
      <c r="ET655" s="97"/>
    </row>
    <row r="656" spans="1:150" ht="15.75" customHeight="1">
      <c r="A656" s="97"/>
      <c r="B656" s="97"/>
      <c r="C656" s="97"/>
      <c r="D656" s="97"/>
      <c r="E656" s="97"/>
      <c r="F656" s="97"/>
      <c r="G656" s="97"/>
      <c r="H656" s="129"/>
      <c r="I656" s="97"/>
      <c r="J656" s="97"/>
      <c r="K656" s="97"/>
      <c r="L656" s="97"/>
      <c r="M656" s="97"/>
      <c r="N656" s="97"/>
      <c r="O656" s="97"/>
      <c r="P656" s="97"/>
      <c r="Q656" s="97"/>
      <c r="R656" s="97"/>
      <c r="S656" s="97"/>
      <c r="T656" s="97"/>
      <c r="U656" s="97"/>
      <c r="V656" s="97"/>
      <c r="W656" s="97"/>
      <c r="X656" s="129"/>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c r="DF656" s="97"/>
      <c r="DG656" s="97"/>
      <c r="DH656" s="97"/>
      <c r="DI656" s="97"/>
      <c r="DJ656" s="97"/>
      <c r="DK656" s="97"/>
      <c r="DL656" s="97"/>
      <c r="DM656" s="97"/>
      <c r="DN656" s="97"/>
      <c r="DO656" s="97"/>
      <c r="DP656" s="97"/>
      <c r="DQ656" s="97"/>
      <c r="DR656" s="97"/>
      <c r="DS656" s="97"/>
      <c r="DT656" s="97"/>
      <c r="DU656" s="97"/>
      <c r="DV656" s="97"/>
      <c r="DW656" s="97"/>
      <c r="DX656" s="97"/>
      <c r="DY656" s="97"/>
      <c r="DZ656" s="97"/>
      <c r="EA656" s="97"/>
      <c r="EB656" s="97"/>
      <c r="EC656" s="97"/>
      <c r="ED656" s="97"/>
      <c r="EE656" s="97"/>
      <c r="EF656" s="97"/>
      <c r="EG656" s="97"/>
      <c r="EH656" s="97"/>
      <c r="EI656" s="97"/>
      <c r="EJ656" s="97"/>
      <c r="EK656" s="97"/>
      <c r="EL656" s="97"/>
      <c r="EM656" s="97"/>
      <c r="EN656" s="97"/>
      <c r="EO656" s="97"/>
      <c r="EP656" s="97"/>
      <c r="EQ656" s="97"/>
      <c r="ER656" s="97"/>
      <c r="ES656" s="97"/>
      <c r="ET656" s="97"/>
    </row>
    <row r="657" spans="1:150" ht="15.75" customHeight="1">
      <c r="A657" s="97"/>
      <c r="B657" s="97"/>
      <c r="C657" s="97"/>
      <c r="D657" s="97"/>
      <c r="E657" s="97"/>
      <c r="F657" s="97"/>
      <c r="G657" s="97"/>
      <c r="H657" s="129"/>
      <c r="I657" s="97"/>
      <c r="J657" s="97"/>
      <c r="K657" s="97"/>
      <c r="L657" s="97"/>
      <c r="M657" s="97"/>
      <c r="N657" s="97"/>
      <c r="O657" s="97"/>
      <c r="P657" s="97"/>
      <c r="Q657" s="97"/>
      <c r="R657" s="97"/>
      <c r="S657" s="97"/>
      <c r="T657" s="97"/>
      <c r="U657" s="97"/>
      <c r="V657" s="97"/>
      <c r="W657" s="97"/>
      <c r="X657" s="129"/>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c r="DF657" s="97"/>
      <c r="DG657" s="97"/>
      <c r="DH657" s="97"/>
      <c r="DI657" s="97"/>
      <c r="DJ657" s="97"/>
      <c r="DK657" s="97"/>
      <c r="DL657" s="97"/>
      <c r="DM657" s="97"/>
      <c r="DN657" s="97"/>
      <c r="DO657" s="97"/>
      <c r="DP657" s="97"/>
      <c r="DQ657" s="97"/>
      <c r="DR657" s="97"/>
      <c r="DS657" s="97"/>
      <c r="DT657" s="97"/>
      <c r="DU657" s="97"/>
      <c r="DV657" s="97"/>
      <c r="DW657" s="97"/>
      <c r="DX657" s="97"/>
      <c r="DY657" s="97"/>
      <c r="DZ657" s="97"/>
      <c r="EA657" s="97"/>
      <c r="EB657" s="97"/>
      <c r="EC657" s="97"/>
      <c r="ED657" s="97"/>
      <c r="EE657" s="97"/>
      <c r="EF657" s="97"/>
      <c r="EG657" s="97"/>
      <c r="EH657" s="97"/>
      <c r="EI657" s="97"/>
      <c r="EJ657" s="97"/>
      <c r="EK657" s="97"/>
      <c r="EL657" s="97"/>
      <c r="EM657" s="97"/>
      <c r="EN657" s="97"/>
      <c r="EO657" s="97"/>
      <c r="EP657" s="97"/>
      <c r="EQ657" s="97"/>
      <c r="ER657" s="97"/>
      <c r="ES657" s="97"/>
      <c r="ET657" s="97"/>
    </row>
    <row r="658" spans="1:150" ht="15.75" customHeight="1">
      <c r="A658" s="97"/>
      <c r="B658" s="97"/>
      <c r="C658" s="97"/>
      <c r="D658" s="97"/>
      <c r="E658" s="97"/>
      <c r="F658" s="97"/>
      <c r="G658" s="97"/>
      <c r="H658" s="129"/>
      <c r="I658" s="97"/>
      <c r="J658" s="97"/>
      <c r="K658" s="97"/>
      <c r="L658" s="97"/>
      <c r="M658" s="97"/>
      <c r="N658" s="97"/>
      <c r="O658" s="97"/>
      <c r="P658" s="97"/>
      <c r="Q658" s="97"/>
      <c r="R658" s="97"/>
      <c r="S658" s="97"/>
      <c r="T658" s="97"/>
      <c r="U658" s="97"/>
      <c r="V658" s="97"/>
      <c r="W658" s="97"/>
      <c r="X658" s="129"/>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c r="DF658" s="97"/>
      <c r="DG658" s="97"/>
      <c r="DH658" s="97"/>
      <c r="DI658" s="97"/>
      <c r="DJ658" s="97"/>
      <c r="DK658" s="97"/>
      <c r="DL658" s="97"/>
      <c r="DM658" s="97"/>
      <c r="DN658" s="97"/>
      <c r="DO658" s="97"/>
      <c r="DP658" s="97"/>
      <c r="DQ658" s="97"/>
      <c r="DR658" s="97"/>
      <c r="DS658" s="97"/>
      <c r="DT658" s="97"/>
      <c r="DU658" s="97"/>
      <c r="DV658" s="97"/>
      <c r="DW658" s="97"/>
      <c r="DX658" s="97"/>
      <c r="DY658" s="97"/>
      <c r="DZ658" s="97"/>
      <c r="EA658" s="97"/>
      <c r="EB658" s="97"/>
      <c r="EC658" s="97"/>
      <c r="ED658" s="97"/>
      <c r="EE658" s="97"/>
      <c r="EF658" s="97"/>
      <c r="EG658" s="97"/>
      <c r="EH658" s="97"/>
      <c r="EI658" s="97"/>
      <c r="EJ658" s="97"/>
      <c r="EK658" s="97"/>
      <c r="EL658" s="97"/>
      <c r="EM658" s="97"/>
      <c r="EN658" s="97"/>
      <c r="EO658" s="97"/>
      <c r="EP658" s="97"/>
      <c r="EQ658" s="97"/>
      <c r="ER658" s="97"/>
      <c r="ES658" s="97"/>
      <c r="ET658" s="97"/>
    </row>
    <row r="659" spans="1:150" ht="15.75" customHeight="1">
      <c r="A659" s="97"/>
      <c r="B659" s="97"/>
      <c r="C659" s="97"/>
      <c r="D659" s="97"/>
      <c r="E659" s="97"/>
      <c r="F659" s="97"/>
      <c r="G659" s="97"/>
      <c r="H659" s="129"/>
      <c r="I659" s="97"/>
      <c r="J659" s="97"/>
      <c r="K659" s="97"/>
      <c r="L659" s="97"/>
      <c r="M659" s="97"/>
      <c r="N659" s="97"/>
      <c r="O659" s="97"/>
      <c r="P659" s="97"/>
      <c r="Q659" s="97"/>
      <c r="R659" s="97"/>
      <c r="S659" s="97"/>
      <c r="T659" s="97"/>
      <c r="U659" s="97"/>
      <c r="V659" s="97"/>
      <c r="W659" s="97"/>
      <c r="X659" s="129"/>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c r="DF659" s="97"/>
      <c r="DG659" s="97"/>
      <c r="DH659" s="97"/>
      <c r="DI659" s="97"/>
      <c r="DJ659" s="97"/>
      <c r="DK659" s="97"/>
      <c r="DL659" s="97"/>
      <c r="DM659" s="97"/>
      <c r="DN659" s="97"/>
      <c r="DO659" s="97"/>
      <c r="DP659" s="97"/>
      <c r="DQ659" s="97"/>
      <c r="DR659" s="97"/>
      <c r="DS659" s="97"/>
      <c r="DT659" s="97"/>
      <c r="DU659" s="97"/>
      <c r="DV659" s="97"/>
      <c r="DW659" s="97"/>
      <c r="DX659" s="97"/>
      <c r="DY659" s="97"/>
      <c r="DZ659" s="97"/>
      <c r="EA659" s="97"/>
      <c r="EB659" s="97"/>
      <c r="EC659" s="97"/>
      <c r="ED659" s="97"/>
      <c r="EE659" s="97"/>
      <c r="EF659" s="97"/>
      <c r="EG659" s="97"/>
      <c r="EH659" s="97"/>
      <c r="EI659" s="97"/>
      <c r="EJ659" s="97"/>
      <c r="EK659" s="97"/>
      <c r="EL659" s="97"/>
      <c r="EM659" s="97"/>
      <c r="EN659" s="97"/>
      <c r="EO659" s="97"/>
      <c r="EP659" s="97"/>
      <c r="EQ659" s="97"/>
      <c r="ER659" s="97"/>
      <c r="ES659" s="97"/>
      <c r="ET659" s="97"/>
    </row>
    <row r="660" spans="1:150" ht="15.75" customHeight="1">
      <c r="A660" s="97"/>
      <c r="B660" s="97"/>
      <c r="C660" s="97"/>
      <c r="D660" s="97"/>
      <c r="E660" s="97"/>
      <c r="F660" s="97"/>
      <c r="G660" s="97"/>
      <c r="H660" s="129"/>
      <c r="I660" s="97"/>
      <c r="J660" s="97"/>
      <c r="K660" s="97"/>
      <c r="L660" s="97"/>
      <c r="M660" s="97"/>
      <c r="N660" s="97"/>
      <c r="O660" s="97"/>
      <c r="P660" s="97"/>
      <c r="Q660" s="97"/>
      <c r="R660" s="97"/>
      <c r="S660" s="97"/>
      <c r="T660" s="97"/>
      <c r="U660" s="97"/>
      <c r="V660" s="97"/>
      <c r="W660" s="97"/>
      <c r="X660" s="129"/>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c r="DF660" s="97"/>
      <c r="DG660" s="97"/>
      <c r="DH660" s="97"/>
      <c r="DI660" s="97"/>
      <c r="DJ660" s="97"/>
      <c r="DK660" s="97"/>
      <c r="DL660" s="97"/>
      <c r="DM660" s="97"/>
      <c r="DN660" s="97"/>
      <c r="DO660" s="97"/>
      <c r="DP660" s="97"/>
      <c r="DQ660" s="97"/>
      <c r="DR660" s="97"/>
      <c r="DS660" s="97"/>
      <c r="DT660" s="97"/>
      <c r="DU660" s="97"/>
      <c r="DV660" s="97"/>
      <c r="DW660" s="97"/>
      <c r="DX660" s="97"/>
      <c r="DY660" s="97"/>
      <c r="DZ660" s="97"/>
      <c r="EA660" s="97"/>
      <c r="EB660" s="97"/>
      <c r="EC660" s="97"/>
      <c r="ED660" s="97"/>
      <c r="EE660" s="97"/>
      <c r="EF660" s="97"/>
      <c r="EG660" s="97"/>
      <c r="EH660" s="97"/>
      <c r="EI660" s="97"/>
      <c r="EJ660" s="97"/>
      <c r="EK660" s="97"/>
      <c r="EL660" s="97"/>
      <c r="EM660" s="97"/>
      <c r="EN660" s="97"/>
      <c r="EO660" s="97"/>
      <c r="EP660" s="97"/>
      <c r="EQ660" s="97"/>
      <c r="ER660" s="97"/>
      <c r="ES660" s="97"/>
      <c r="ET660" s="97"/>
    </row>
    <row r="661" spans="1:150" ht="15.75" customHeight="1">
      <c r="A661" s="97"/>
      <c r="B661" s="97"/>
      <c r="C661" s="97"/>
      <c r="D661" s="97"/>
      <c r="E661" s="97"/>
      <c r="F661" s="97"/>
      <c r="G661" s="97"/>
      <c r="H661" s="129"/>
      <c r="I661" s="97"/>
      <c r="J661" s="97"/>
      <c r="K661" s="97"/>
      <c r="L661" s="97"/>
      <c r="M661" s="97"/>
      <c r="N661" s="97"/>
      <c r="O661" s="97"/>
      <c r="P661" s="97"/>
      <c r="Q661" s="97"/>
      <c r="R661" s="97"/>
      <c r="S661" s="97"/>
      <c r="T661" s="97"/>
      <c r="U661" s="97"/>
      <c r="V661" s="97"/>
      <c r="W661" s="97"/>
      <c r="X661" s="129"/>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c r="DF661" s="97"/>
      <c r="DG661" s="97"/>
      <c r="DH661" s="97"/>
      <c r="DI661" s="97"/>
      <c r="DJ661" s="97"/>
      <c r="DK661" s="97"/>
      <c r="DL661" s="97"/>
      <c r="DM661" s="97"/>
      <c r="DN661" s="97"/>
      <c r="DO661" s="97"/>
      <c r="DP661" s="97"/>
      <c r="DQ661" s="97"/>
      <c r="DR661" s="97"/>
      <c r="DS661" s="97"/>
      <c r="DT661" s="97"/>
      <c r="DU661" s="97"/>
      <c r="DV661" s="97"/>
      <c r="DW661" s="97"/>
      <c r="DX661" s="97"/>
      <c r="DY661" s="97"/>
      <c r="DZ661" s="97"/>
      <c r="EA661" s="97"/>
      <c r="EB661" s="97"/>
      <c r="EC661" s="97"/>
      <c r="ED661" s="97"/>
      <c r="EE661" s="97"/>
      <c r="EF661" s="97"/>
      <c r="EG661" s="97"/>
      <c r="EH661" s="97"/>
      <c r="EI661" s="97"/>
      <c r="EJ661" s="97"/>
      <c r="EK661" s="97"/>
      <c r="EL661" s="97"/>
      <c r="EM661" s="97"/>
      <c r="EN661" s="97"/>
      <c r="EO661" s="97"/>
      <c r="EP661" s="97"/>
      <c r="EQ661" s="97"/>
      <c r="ER661" s="97"/>
      <c r="ES661" s="97"/>
      <c r="ET661" s="97"/>
    </row>
    <row r="662" spans="1:150" ht="15.75" customHeight="1">
      <c r="A662" s="97"/>
      <c r="B662" s="97"/>
      <c r="C662" s="97"/>
      <c r="D662" s="97"/>
      <c r="E662" s="97"/>
      <c r="F662" s="97"/>
      <c r="G662" s="97"/>
      <c r="H662" s="129"/>
      <c r="I662" s="97"/>
      <c r="J662" s="97"/>
      <c r="K662" s="97"/>
      <c r="L662" s="97"/>
      <c r="M662" s="97"/>
      <c r="N662" s="97"/>
      <c r="O662" s="97"/>
      <c r="P662" s="97"/>
      <c r="Q662" s="97"/>
      <c r="R662" s="97"/>
      <c r="S662" s="97"/>
      <c r="T662" s="97"/>
      <c r="U662" s="97"/>
      <c r="V662" s="97"/>
      <c r="W662" s="97"/>
      <c r="X662" s="129"/>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c r="DF662" s="97"/>
      <c r="DG662" s="97"/>
      <c r="DH662" s="97"/>
      <c r="DI662" s="97"/>
      <c r="DJ662" s="97"/>
      <c r="DK662" s="97"/>
      <c r="DL662" s="97"/>
      <c r="DM662" s="97"/>
      <c r="DN662" s="97"/>
      <c r="DO662" s="97"/>
      <c r="DP662" s="97"/>
      <c r="DQ662" s="97"/>
      <c r="DR662" s="97"/>
      <c r="DS662" s="97"/>
      <c r="DT662" s="97"/>
      <c r="DU662" s="97"/>
      <c r="DV662" s="97"/>
      <c r="DW662" s="97"/>
      <c r="DX662" s="97"/>
      <c r="DY662" s="97"/>
      <c r="DZ662" s="97"/>
      <c r="EA662" s="97"/>
      <c r="EB662" s="97"/>
      <c r="EC662" s="97"/>
      <c r="ED662" s="97"/>
      <c r="EE662" s="97"/>
      <c r="EF662" s="97"/>
      <c r="EG662" s="97"/>
      <c r="EH662" s="97"/>
      <c r="EI662" s="97"/>
      <c r="EJ662" s="97"/>
      <c r="EK662" s="97"/>
      <c r="EL662" s="97"/>
      <c r="EM662" s="97"/>
      <c r="EN662" s="97"/>
      <c r="EO662" s="97"/>
      <c r="EP662" s="97"/>
      <c r="EQ662" s="97"/>
      <c r="ER662" s="97"/>
      <c r="ES662" s="97"/>
      <c r="ET662" s="97"/>
    </row>
    <row r="663" spans="1:150" ht="15.75" customHeight="1">
      <c r="A663" s="97"/>
      <c r="B663" s="97"/>
      <c r="C663" s="97"/>
      <c r="D663" s="97"/>
      <c r="E663" s="97"/>
      <c r="F663" s="97"/>
      <c r="G663" s="97"/>
      <c r="H663" s="129"/>
      <c r="I663" s="97"/>
      <c r="J663" s="97"/>
      <c r="K663" s="97"/>
      <c r="L663" s="97"/>
      <c r="M663" s="97"/>
      <c r="N663" s="97"/>
      <c r="O663" s="97"/>
      <c r="P663" s="97"/>
      <c r="Q663" s="97"/>
      <c r="R663" s="97"/>
      <c r="S663" s="97"/>
      <c r="T663" s="97"/>
      <c r="U663" s="97"/>
      <c r="V663" s="97"/>
      <c r="W663" s="97"/>
      <c r="X663" s="129"/>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c r="DF663" s="97"/>
      <c r="DG663" s="97"/>
      <c r="DH663" s="97"/>
      <c r="DI663" s="97"/>
      <c r="DJ663" s="97"/>
      <c r="DK663" s="97"/>
      <c r="DL663" s="97"/>
      <c r="DM663" s="97"/>
      <c r="DN663" s="97"/>
      <c r="DO663" s="97"/>
      <c r="DP663" s="97"/>
      <c r="DQ663" s="97"/>
      <c r="DR663" s="97"/>
      <c r="DS663" s="97"/>
      <c r="DT663" s="97"/>
      <c r="DU663" s="97"/>
      <c r="DV663" s="97"/>
      <c r="DW663" s="97"/>
      <c r="DX663" s="97"/>
      <c r="DY663" s="97"/>
      <c r="DZ663" s="97"/>
      <c r="EA663" s="97"/>
      <c r="EB663" s="97"/>
      <c r="EC663" s="97"/>
      <c r="ED663" s="97"/>
      <c r="EE663" s="97"/>
      <c r="EF663" s="97"/>
      <c r="EG663" s="97"/>
      <c r="EH663" s="97"/>
      <c r="EI663" s="97"/>
      <c r="EJ663" s="97"/>
      <c r="EK663" s="97"/>
      <c r="EL663" s="97"/>
      <c r="EM663" s="97"/>
      <c r="EN663" s="97"/>
      <c r="EO663" s="97"/>
      <c r="EP663" s="97"/>
      <c r="EQ663" s="97"/>
      <c r="ER663" s="97"/>
      <c r="ES663" s="97"/>
      <c r="ET663" s="97"/>
    </row>
    <row r="664" spans="1:150" ht="15.75" customHeight="1">
      <c r="A664" s="97"/>
      <c r="B664" s="97"/>
      <c r="C664" s="97"/>
      <c r="D664" s="97"/>
      <c r="E664" s="97"/>
      <c r="F664" s="97"/>
      <c r="G664" s="97"/>
      <c r="H664" s="129"/>
      <c r="I664" s="97"/>
      <c r="J664" s="97"/>
      <c r="K664" s="97"/>
      <c r="L664" s="97"/>
      <c r="M664" s="97"/>
      <c r="N664" s="97"/>
      <c r="O664" s="97"/>
      <c r="P664" s="97"/>
      <c r="Q664" s="97"/>
      <c r="R664" s="97"/>
      <c r="S664" s="97"/>
      <c r="T664" s="97"/>
      <c r="U664" s="97"/>
      <c r="V664" s="97"/>
      <c r="W664" s="97"/>
      <c r="X664" s="129"/>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c r="DF664" s="97"/>
      <c r="DG664" s="97"/>
      <c r="DH664" s="97"/>
      <c r="DI664" s="97"/>
      <c r="DJ664" s="97"/>
      <c r="DK664" s="97"/>
      <c r="DL664" s="97"/>
      <c r="DM664" s="97"/>
      <c r="DN664" s="97"/>
      <c r="DO664" s="97"/>
      <c r="DP664" s="97"/>
      <c r="DQ664" s="97"/>
      <c r="DR664" s="97"/>
      <c r="DS664" s="97"/>
      <c r="DT664" s="97"/>
      <c r="DU664" s="97"/>
      <c r="DV664" s="97"/>
      <c r="DW664" s="97"/>
      <c r="DX664" s="97"/>
      <c r="DY664" s="97"/>
      <c r="DZ664" s="97"/>
      <c r="EA664" s="97"/>
      <c r="EB664" s="97"/>
      <c r="EC664" s="97"/>
      <c r="ED664" s="97"/>
      <c r="EE664" s="97"/>
      <c r="EF664" s="97"/>
      <c r="EG664" s="97"/>
      <c r="EH664" s="97"/>
      <c r="EI664" s="97"/>
      <c r="EJ664" s="97"/>
      <c r="EK664" s="97"/>
      <c r="EL664" s="97"/>
      <c r="EM664" s="97"/>
      <c r="EN664" s="97"/>
      <c r="EO664" s="97"/>
      <c r="EP664" s="97"/>
      <c r="EQ664" s="97"/>
      <c r="ER664" s="97"/>
      <c r="ES664" s="97"/>
      <c r="ET664" s="97"/>
    </row>
    <row r="665" spans="1:150" ht="15.75" customHeight="1">
      <c r="A665" s="97"/>
      <c r="B665" s="97"/>
      <c r="C665" s="97"/>
      <c r="D665" s="97"/>
      <c r="E665" s="97"/>
      <c r="F665" s="97"/>
      <c r="G665" s="97"/>
      <c r="H665" s="129"/>
      <c r="I665" s="97"/>
      <c r="J665" s="97"/>
      <c r="K665" s="97"/>
      <c r="L665" s="97"/>
      <c r="M665" s="97"/>
      <c r="N665" s="97"/>
      <c r="O665" s="97"/>
      <c r="P665" s="97"/>
      <c r="Q665" s="97"/>
      <c r="R665" s="97"/>
      <c r="S665" s="97"/>
      <c r="T665" s="97"/>
      <c r="U665" s="97"/>
      <c r="V665" s="97"/>
      <c r="W665" s="97"/>
      <c r="X665" s="129"/>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c r="DF665" s="97"/>
      <c r="DG665" s="97"/>
      <c r="DH665" s="97"/>
      <c r="DI665" s="97"/>
      <c r="DJ665" s="97"/>
      <c r="DK665" s="97"/>
      <c r="DL665" s="97"/>
      <c r="DM665" s="97"/>
      <c r="DN665" s="97"/>
      <c r="DO665" s="97"/>
      <c r="DP665" s="97"/>
      <c r="DQ665" s="97"/>
      <c r="DR665" s="97"/>
      <c r="DS665" s="97"/>
      <c r="DT665" s="97"/>
      <c r="DU665" s="97"/>
      <c r="DV665" s="97"/>
      <c r="DW665" s="97"/>
      <c r="DX665" s="97"/>
      <c r="DY665" s="97"/>
      <c r="DZ665" s="97"/>
      <c r="EA665" s="97"/>
      <c r="EB665" s="97"/>
      <c r="EC665" s="97"/>
      <c r="ED665" s="97"/>
      <c r="EE665" s="97"/>
      <c r="EF665" s="97"/>
      <c r="EG665" s="97"/>
      <c r="EH665" s="97"/>
      <c r="EI665" s="97"/>
      <c r="EJ665" s="97"/>
      <c r="EK665" s="97"/>
      <c r="EL665" s="97"/>
      <c r="EM665" s="97"/>
      <c r="EN665" s="97"/>
      <c r="EO665" s="97"/>
      <c r="EP665" s="97"/>
      <c r="EQ665" s="97"/>
      <c r="ER665" s="97"/>
      <c r="ES665" s="97"/>
      <c r="ET665" s="97"/>
    </row>
    <row r="666" spans="1:150" ht="15.75" customHeight="1">
      <c r="A666" s="97"/>
      <c r="B666" s="97"/>
      <c r="C666" s="97"/>
      <c r="D666" s="97"/>
      <c r="E666" s="97"/>
      <c r="F666" s="97"/>
      <c r="G666" s="97"/>
      <c r="H666" s="129"/>
      <c r="I666" s="97"/>
      <c r="J666" s="97"/>
      <c r="K666" s="97"/>
      <c r="L666" s="97"/>
      <c r="M666" s="97"/>
      <c r="N666" s="97"/>
      <c r="O666" s="97"/>
      <c r="P666" s="97"/>
      <c r="Q666" s="97"/>
      <c r="R666" s="97"/>
      <c r="S666" s="97"/>
      <c r="T666" s="97"/>
      <c r="U666" s="97"/>
      <c r="V666" s="97"/>
      <c r="W666" s="97"/>
      <c r="X666" s="129"/>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c r="DF666" s="97"/>
      <c r="DG666" s="97"/>
      <c r="DH666" s="97"/>
      <c r="DI666" s="97"/>
      <c r="DJ666" s="97"/>
      <c r="DK666" s="97"/>
      <c r="DL666" s="97"/>
      <c r="DM666" s="97"/>
      <c r="DN666" s="97"/>
      <c r="DO666" s="97"/>
      <c r="DP666" s="97"/>
      <c r="DQ666" s="97"/>
      <c r="DR666" s="97"/>
      <c r="DS666" s="97"/>
      <c r="DT666" s="97"/>
      <c r="DU666" s="97"/>
      <c r="DV666" s="97"/>
      <c r="DW666" s="97"/>
      <c r="DX666" s="97"/>
      <c r="DY666" s="97"/>
      <c r="DZ666" s="97"/>
      <c r="EA666" s="97"/>
      <c r="EB666" s="97"/>
      <c r="EC666" s="97"/>
      <c r="ED666" s="97"/>
      <c r="EE666" s="97"/>
      <c r="EF666" s="97"/>
      <c r="EG666" s="97"/>
      <c r="EH666" s="97"/>
      <c r="EI666" s="97"/>
      <c r="EJ666" s="97"/>
      <c r="EK666" s="97"/>
      <c r="EL666" s="97"/>
      <c r="EM666" s="97"/>
      <c r="EN666" s="97"/>
      <c r="EO666" s="97"/>
      <c r="EP666" s="97"/>
      <c r="EQ666" s="97"/>
      <c r="ER666" s="97"/>
      <c r="ES666" s="97"/>
      <c r="ET666" s="97"/>
    </row>
    <row r="667" spans="1:150" ht="15.75" customHeight="1">
      <c r="A667" s="97"/>
      <c r="B667" s="97"/>
      <c r="C667" s="97"/>
      <c r="D667" s="97"/>
      <c r="E667" s="97"/>
      <c r="F667" s="97"/>
      <c r="G667" s="97"/>
      <c r="H667" s="129"/>
      <c r="I667" s="97"/>
      <c r="J667" s="97"/>
      <c r="K667" s="97"/>
      <c r="L667" s="97"/>
      <c r="M667" s="97"/>
      <c r="N667" s="97"/>
      <c r="O667" s="97"/>
      <c r="P667" s="97"/>
      <c r="Q667" s="97"/>
      <c r="R667" s="97"/>
      <c r="S667" s="97"/>
      <c r="T667" s="97"/>
      <c r="U667" s="97"/>
      <c r="V667" s="97"/>
      <c r="W667" s="97"/>
      <c r="X667" s="129"/>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c r="DF667" s="97"/>
      <c r="DG667" s="97"/>
      <c r="DH667" s="97"/>
      <c r="DI667" s="97"/>
      <c r="DJ667" s="97"/>
      <c r="DK667" s="97"/>
      <c r="DL667" s="97"/>
      <c r="DM667" s="97"/>
      <c r="DN667" s="97"/>
      <c r="DO667" s="97"/>
      <c r="DP667" s="97"/>
      <c r="DQ667" s="97"/>
      <c r="DR667" s="97"/>
      <c r="DS667" s="97"/>
      <c r="DT667" s="97"/>
      <c r="DU667" s="97"/>
      <c r="DV667" s="97"/>
      <c r="DW667" s="97"/>
      <c r="DX667" s="97"/>
      <c r="DY667" s="97"/>
      <c r="DZ667" s="97"/>
      <c r="EA667" s="97"/>
      <c r="EB667" s="97"/>
      <c r="EC667" s="97"/>
      <c r="ED667" s="97"/>
      <c r="EE667" s="97"/>
      <c r="EF667" s="97"/>
      <c r="EG667" s="97"/>
      <c r="EH667" s="97"/>
      <c r="EI667" s="97"/>
      <c r="EJ667" s="97"/>
      <c r="EK667" s="97"/>
      <c r="EL667" s="97"/>
      <c r="EM667" s="97"/>
      <c r="EN667" s="97"/>
      <c r="EO667" s="97"/>
      <c r="EP667" s="97"/>
      <c r="EQ667" s="97"/>
      <c r="ER667" s="97"/>
      <c r="ES667" s="97"/>
      <c r="ET667" s="97"/>
    </row>
    <row r="668" spans="1:150" ht="15.75" customHeight="1">
      <c r="A668" s="97"/>
      <c r="B668" s="97"/>
      <c r="C668" s="97"/>
      <c r="D668" s="97"/>
      <c r="E668" s="97"/>
      <c r="F668" s="97"/>
      <c r="G668" s="97"/>
      <c r="H668" s="129"/>
      <c r="I668" s="97"/>
      <c r="J668" s="97"/>
      <c r="K668" s="97"/>
      <c r="L668" s="97"/>
      <c r="M668" s="97"/>
      <c r="N668" s="97"/>
      <c r="O668" s="97"/>
      <c r="P668" s="97"/>
      <c r="Q668" s="97"/>
      <c r="R668" s="97"/>
      <c r="S668" s="97"/>
      <c r="T668" s="97"/>
      <c r="U668" s="97"/>
      <c r="V668" s="97"/>
      <c r="W668" s="97"/>
      <c r="X668" s="129"/>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c r="DF668" s="97"/>
      <c r="DG668" s="97"/>
      <c r="DH668" s="97"/>
      <c r="DI668" s="97"/>
      <c r="DJ668" s="97"/>
      <c r="DK668" s="97"/>
      <c r="DL668" s="97"/>
      <c r="DM668" s="97"/>
      <c r="DN668" s="97"/>
      <c r="DO668" s="97"/>
      <c r="DP668" s="97"/>
      <c r="DQ668" s="97"/>
      <c r="DR668" s="97"/>
      <c r="DS668" s="97"/>
      <c r="DT668" s="97"/>
      <c r="DU668" s="97"/>
      <c r="DV668" s="97"/>
      <c r="DW668" s="97"/>
      <c r="DX668" s="97"/>
      <c r="DY668" s="97"/>
      <c r="DZ668" s="97"/>
      <c r="EA668" s="97"/>
      <c r="EB668" s="97"/>
      <c r="EC668" s="97"/>
      <c r="ED668" s="97"/>
      <c r="EE668" s="97"/>
      <c r="EF668" s="97"/>
      <c r="EG668" s="97"/>
      <c r="EH668" s="97"/>
      <c r="EI668" s="97"/>
      <c r="EJ668" s="97"/>
      <c r="EK668" s="97"/>
      <c r="EL668" s="97"/>
      <c r="EM668" s="97"/>
      <c r="EN668" s="97"/>
      <c r="EO668" s="97"/>
      <c r="EP668" s="97"/>
      <c r="EQ668" s="97"/>
      <c r="ER668" s="97"/>
      <c r="ES668" s="97"/>
      <c r="ET668" s="97"/>
    </row>
    <row r="669" spans="1:150" ht="15.75" customHeight="1">
      <c r="A669" s="97"/>
      <c r="B669" s="97"/>
      <c r="C669" s="97"/>
      <c r="D669" s="97"/>
      <c r="E669" s="97"/>
      <c r="F669" s="97"/>
      <c r="G669" s="97"/>
      <c r="H669" s="129"/>
      <c r="I669" s="97"/>
      <c r="J669" s="97"/>
      <c r="K669" s="97"/>
      <c r="L669" s="97"/>
      <c r="M669" s="97"/>
      <c r="N669" s="97"/>
      <c r="O669" s="97"/>
      <c r="P669" s="97"/>
      <c r="Q669" s="97"/>
      <c r="R669" s="97"/>
      <c r="S669" s="97"/>
      <c r="T669" s="97"/>
      <c r="U669" s="97"/>
      <c r="V669" s="97"/>
      <c r="W669" s="97"/>
      <c r="X669" s="129"/>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c r="DF669" s="97"/>
      <c r="DG669" s="97"/>
      <c r="DH669" s="97"/>
      <c r="DI669" s="97"/>
      <c r="DJ669" s="97"/>
      <c r="DK669" s="97"/>
      <c r="DL669" s="97"/>
      <c r="DM669" s="97"/>
      <c r="DN669" s="97"/>
      <c r="DO669" s="97"/>
      <c r="DP669" s="97"/>
      <c r="DQ669" s="97"/>
      <c r="DR669" s="97"/>
      <c r="DS669" s="97"/>
      <c r="DT669" s="97"/>
      <c r="DU669" s="97"/>
      <c r="DV669" s="97"/>
      <c r="DW669" s="97"/>
      <c r="DX669" s="97"/>
      <c r="DY669" s="97"/>
      <c r="DZ669" s="97"/>
      <c r="EA669" s="97"/>
      <c r="EB669" s="97"/>
      <c r="EC669" s="97"/>
      <c r="ED669" s="97"/>
      <c r="EE669" s="97"/>
      <c r="EF669" s="97"/>
      <c r="EG669" s="97"/>
      <c r="EH669" s="97"/>
      <c r="EI669" s="97"/>
      <c r="EJ669" s="97"/>
      <c r="EK669" s="97"/>
      <c r="EL669" s="97"/>
      <c r="EM669" s="97"/>
      <c r="EN669" s="97"/>
      <c r="EO669" s="97"/>
      <c r="EP669" s="97"/>
      <c r="EQ669" s="97"/>
      <c r="ER669" s="97"/>
      <c r="ES669" s="97"/>
      <c r="ET669" s="97"/>
    </row>
    <row r="670" spans="1:150" ht="15.75" customHeight="1">
      <c r="A670" s="97"/>
      <c r="B670" s="97"/>
      <c r="C670" s="97"/>
      <c r="D670" s="97"/>
      <c r="E670" s="97"/>
      <c r="F670" s="97"/>
      <c r="G670" s="97"/>
      <c r="H670" s="129"/>
      <c r="I670" s="97"/>
      <c r="J670" s="97"/>
      <c r="K670" s="97"/>
      <c r="L670" s="97"/>
      <c r="M670" s="97"/>
      <c r="N670" s="97"/>
      <c r="O670" s="97"/>
      <c r="P670" s="97"/>
      <c r="Q670" s="97"/>
      <c r="R670" s="97"/>
      <c r="S670" s="97"/>
      <c r="T670" s="97"/>
      <c r="U670" s="97"/>
      <c r="V670" s="97"/>
      <c r="W670" s="97"/>
      <c r="X670" s="129"/>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c r="DF670" s="97"/>
      <c r="DG670" s="97"/>
      <c r="DH670" s="97"/>
      <c r="DI670" s="97"/>
      <c r="DJ670" s="97"/>
      <c r="DK670" s="97"/>
      <c r="DL670" s="97"/>
      <c r="DM670" s="97"/>
      <c r="DN670" s="97"/>
      <c r="DO670" s="97"/>
      <c r="DP670" s="97"/>
      <c r="DQ670" s="97"/>
      <c r="DR670" s="97"/>
      <c r="DS670" s="97"/>
      <c r="DT670" s="97"/>
      <c r="DU670" s="97"/>
      <c r="DV670" s="97"/>
      <c r="DW670" s="97"/>
      <c r="DX670" s="97"/>
      <c r="DY670" s="97"/>
      <c r="DZ670" s="97"/>
      <c r="EA670" s="97"/>
      <c r="EB670" s="97"/>
      <c r="EC670" s="97"/>
      <c r="ED670" s="97"/>
      <c r="EE670" s="97"/>
      <c r="EF670" s="97"/>
      <c r="EG670" s="97"/>
      <c r="EH670" s="97"/>
      <c r="EI670" s="97"/>
      <c r="EJ670" s="97"/>
      <c r="EK670" s="97"/>
      <c r="EL670" s="97"/>
      <c r="EM670" s="97"/>
      <c r="EN670" s="97"/>
      <c r="EO670" s="97"/>
      <c r="EP670" s="97"/>
      <c r="EQ670" s="97"/>
      <c r="ER670" s="97"/>
      <c r="ES670" s="97"/>
      <c r="ET670" s="97"/>
    </row>
    <row r="671" spans="1:150" ht="15.75" customHeight="1">
      <c r="A671" s="97"/>
      <c r="B671" s="97"/>
      <c r="C671" s="97"/>
      <c r="D671" s="97"/>
      <c r="E671" s="97"/>
      <c r="F671" s="97"/>
      <c r="G671" s="97"/>
      <c r="H671" s="129"/>
      <c r="I671" s="97"/>
      <c r="J671" s="97"/>
      <c r="K671" s="97"/>
      <c r="L671" s="97"/>
      <c r="M671" s="97"/>
      <c r="N671" s="97"/>
      <c r="O671" s="97"/>
      <c r="P671" s="97"/>
      <c r="Q671" s="97"/>
      <c r="R671" s="97"/>
      <c r="S671" s="97"/>
      <c r="T671" s="97"/>
      <c r="U671" s="97"/>
      <c r="V671" s="97"/>
      <c r="W671" s="97"/>
      <c r="X671" s="129"/>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c r="DF671" s="97"/>
      <c r="DG671" s="97"/>
      <c r="DH671" s="97"/>
      <c r="DI671" s="97"/>
      <c r="DJ671" s="97"/>
      <c r="DK671" s="97"/>
      <c r="DL671" s="97"/>
      <c r="DM671" s="97"/>
      <c r="DN671" s="97"/>
      <c r="DO671" s="97"/>
      <c r="DP671" s="97"/>
      <c r="DQ671" s="97"/>
      <c r="DR671" s="97"/>
      <c r="DS671" s="97"/>
      <c r="DT671" s="97"/>
      <c r="DU671" s="97"/>
      <c r="DV671" s="97"/>
      <c r="DW671" s="97"/>
      <c r="DX671" s="97"/>
      <c r="DY671" s="97"/>
      <c r="DZ671" s="97"/>
      <c r="EA671" s="97"/>
      <c r="EB671" s="97"/>
      <c r="EC671" s="97"/>
      <c r="ED671" s="97"/>
      <c r="EE671" s="97"/>
      <c r="EF671" s="97"/>
      <c r="EG671" s="97"/>
      <c r="EH671" s="97"/>
      <c r="EI671" s="97"/>
      <c r="EJ671" s="97"/>
      <c r="EK671" s="97"/>
      <c r="EL671" s="97"/>
      <c r="EM671" s="97"/>
      <c r="EN671" s="97"/>
      <c r="EO671" s="97"/>
      <c r="EP671" s="97"/>
      <c r="EQ671" s="97"/>
      <c r="ER671" s="97"/>
      <c r="ES671" s="97"/>
      <c r="ET671" s="97"/>
    </row>
    <row r="672" spans="1:150" ht="15.75" customHeight="1">
      <c r="A672" s="97"/>
      <c r="B672" s="97"/>
      <c r="C672" s="97"/>
      <c r="D672" s="97"/>
      <c r="E672" s="97"/>
      <c r="F672" s="97"/>
      <c r="G672" s="97"/>
      <c r="H672" s="129"/>
      <c r="I672" s="97"/>
      <c r="J672" s="97"/>
      <c r="K672" s="97"/>
      <c r="L672" s="97"/>
      <c r="M672" s="97"/>
      <c r="N672" s="97"/>
      <c r="O672" s="97"/>
      <c r="P672" s="97"/>
      <c r="Q672" s="97"/>
      <c r="R672" s="97"/>
      <c r="S672" s="97"/>
      <c r="T672" s="97"/>
      <c r="U672" s="97"/>
      <c r="V672" s="97"/>
      <c r="W672" s="97"/>
      <c r="X672" s="129"/>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c r="DF672" s="97"/>
      <c r="DG672" s="97"/>
      <c r="DH672" s="97"/>
      <c r="DI672" s="97"/>
      <c r="DJ672" s="97"/>
      <c r="DK672" s="97"/>
      <c r="DL672" s="97"/>
      <c r="DM672" s="97"/>
      <c r="DN672" s="97"/>
      <c r="DO672" s="97"/>
      <c r="DP672" s="97"/>
      <c r="DQ672" s="97"/>
      <c r="DR672" s="97"/>
      <c r="DS672" s="97"/>
      <c r="DT672" s="97"/>
      <c r="DU672" s="97"/>
      <c r="DV672" s="97"/>
      <c r="DW672" s="97"/>
      <c r="DX672" s="97"/>
      <c r="DY672" s="97"/>
      <c r="DZ672" s="97"/>
      <c r="EA672" s="97"/>
      <c r="EB672" s="97"/>
      <c r="EC672" s="97"/>
      <c r="ED672" s="97"/>
      <c r="EE672" s="97"/>
      <c r="EF672" s="97"/>
      <c r="EG672" s="97"/>
      <c r="EH672" s="97"/>
      <c r="EI672" s="97"/>
      <c r="EJ672" s="97"/>
      <c r="EK672" s="97"/>
      <c r="EL672" s="97"/>
      <c r="EM672" s="97"/>
      <c r="EN672" s="97"/>
      <c r="EO672" s="97"/>
      <c r="EP672" s="97"/>
      <c r="EQ672" s="97"/>
      <c r="ER672" s="97"/>
      <c r="ES672" s="97"/>
      <c r="ET672" s="97"/>
    </row>
    <row r="673" spans="1:150" ht="15.75" customHeight="1">
      <c r="A673" s="97"/>
      <c r="B673" s="97"/>
      <c r="C673" s="97"/>
      <c r="D673" s="97"/>
      <c r="E673" s="97"/>
      <c r="F673" s="97"/>
      <c r="G673" s="97"/>
      <c r="H673" s="129"/>
      <c r="I673" s="97"/>
      <c r="J673" s="97"/>
      <c r="K673" s="97"/>
      <c r="L673" s="97"/>
      <c r="M673" s="97"/>
      <c r="N673" s="97"/>
      <c r="O673" s="97"/>
      <c r="P673" s="97"/>
      <c r="Q673" s="97"/>
      <c r="R673" s="97"/>
      <c r="S673" s="97"/>
      <c r="T673" s="97"/>
      <c r="U673" s="97"/>
      <c r="V673" s="97"/>
      <c r="W673" s="97"/>
      <c r="X673" s="129"/>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c r="DF673" s="97"/>
      <c r="DG673" s="97"/>
      <c r="DH673" s="97"/>
      <c r="DI673" s="97"/>
      <c r="DJ673" s="97"/>
      <c r="DK673" s="97"/>
      <c r="DL673" s="97"/>
      <c r="DM673" s="97"/>
      <c r="DN673" s="97"/>
      <c r="DO673" s="97"/>
      <c r="DP673" s="97"/>
      <c r="DQ673" s="97"/>
      <c r="DR673" s="97"/>
      <c r="DS673" s="97"/>
      <c r="DT673" s="97"/>
      <c r="DU673" s="97"/>
      <c r="DV673" s="97"/>
      <c r="DW673" s="97"/>
      <c r="DX673" s="97"/>
      <c r="DY673" s="97"/>
      <c r="DZ673" s="97"/>
      <c r="EA673" s="97"/>
      <c r="EB673" s="97"/>
      <c r="EC673" s="97"/>
      <c r="ED673" s="97"/>
      <c r="EE673" s="97"/>
      <c r="EF673" s="97"/>
      <c r="EG673" s="97"/>
      <c r="EH673" s="97"/>
      <c r="EI673" s="97"/>
      <c r="EJ673" s="97"/>
      <c r="EK673" s="97"/>
      <c r="EL673" s="97"/>
      <c r="EM673" s="97"/>
      <c r="EN673" s="97"/>
      <c r="EO673" s="97"/>
      <c r="EP673" s="97"/>
      <c r="EQ673" s="97"/>
      <c r="ER673" s="97"/>
      <c r="ES673" s="97"/>
      <c r="ET673" s="97"/>
    </row>
    <row r="674" spans="1:150" ht="15.75" customHeight="1">
      <c r="A674" s="97"/>
      <c r="B674" s="97"/>
      <c r="C674" s="97"/>
      <c r="D674" s="97"/>
      <c r="E674" s="97"/>
      <c r="F674" s="97"/>
      <c r="G674" s="97"/>
      <c r="H674" s="129"/>
      <c r="I674" s="97"/>
      <c r="J674" s="97"/>
      <c r="K674" s="97"/>
      <c r="L674" s="97"/>
      <c r="M674" s="97"/>
      <c r="N674" s="97"/>
      <c r="O674" s="97"/>
      <c r="P674" s="97"/>
      <c r="Q674" s="97"/>
      <c r="R674" s="97"/>
      <c r="S674" s="97"/>
      <c r="T674" s="97"/>
      <c r="U674" s="97"/>
      <c r="V674" s="97"/>
      <c r="W674" s="97"/>
      <c r="X674" s="129"/>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c r="DF674" s="97"/>
      <c r="DG674" s="97"/>
      <c r="DH674" s="97"/>
      <c r="DI674" s="97"/>
      <c r="DJ674" s="97"/>
      <c r="DK674" s="97"/>
      <c r="DL674" s="97"/>
      <c r="DM674" s="97"/>
      <c r="DN674" s="97"/>
      <c r="DO674" s="97"/>
      <c r="DP674" s="97"/>
      <c r="DQ674" s="97"/>
      <c r="DR674" s="97"/>
      <c r="DS674" s="97"/>
      <c r="DT674" s="97"/>
      <c r="DU674" s="97"/>
      <c r="DV674" s="97"/>
      <c r="DW674" s="97"/>
      <c r="DX674" s="97"/>
      <c r="DY674" s="97"/>
      <c r="DZ674" s="97"/>
      <c r="EA674" s="97"/>
      <c r="EB674" s="97"/>
      <c r="EC674" s="97"/>
      <c r="ED674" s="97"/>
      <c r="EE674" s="97"/>
      <c r="EF674" s="97"/>
      <c r="EG674" s="97"/>
      <c r="EH674" s="97"/>
      <c r="EI674" s="97"/>
      <c r="EJ674" s="97"/>
      <c r="EK674" s="97"/>
      <c r="EL674" s="97"/>
      <c r="EM674" s="97"/>
      <c r="EN674" s="97"/>
      <c r="EO674" s="97"/>
      <c r="EP674" s="97"/>
      <c r="EQ674" s="97"/>
      <c r="ER674" s="97"/>
      <c r="ES674" s="97"/>
      <c r="ET674" s="97"/>
    </row>
    <row r="675" spans="1:150" ht="15.75" customHeight="1">
      <c r="A675" s="97"/>
      <c r="B675" s="97"/>
      <c r="C675" s="97"/>
      <c r="D675" s="97"/>
      <c r="E675" s="97"/>
      <c r="F675" s="97"/>
      <c r="G675" s="97"/>
      <c r="H675" s="129"/>
      <c r="I675" s="97"/>
      <c r="J675" s="97"/>
      <c r="K675" s="97"/>
      <c r="L675" s="97"/>
      <c r="M675" s="97"/>
      <c r="N675" s="97"/>
      <c r="O675" s="97"/>
      <c r="P675" s="97"/>
      <c r="Q675" s="97"/>
      <c r="R675" s="97"/>
      <c r="S675" s="97"/>
      <c r="T675" s="97"/>
      <c r="U675" s="97"/>
      <c r="V675" s="97"/>
      <c r="W675" s="97"/>
      <c r="X675" s="129"/>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c r="DF675" s="97"/>
      <c r="DG675" s="97"/>
      <c r="DH675" s="97"/>
      <c r="DI675" s="97"/>
      <c r="DJ675" s="97"/>
      <c r="DK675" s="97"/>
      <c r="DL675" s="97"/>
      <c r="DM675" s="97"/>
      <c r="DN675" s="97"/>
      <c r="DO675" s="97"/>
      <c r="DP675" s="97"/>
      <c r="DQ675" s="97"/>
      <c r="DR675" s="97"/>
      <c r="DS675" s="97"/>
      <c r="DT675" s="97"/>
      <c r="DU675" s="97"/>
      <c r="DV675" s="97"/>
      <c r="DW675" s="97"/>
      <c r="DX675" s="97"/>
      <c r="DY675" s="97"/>
      <c r="DZ675" s="97"/>
      <c r="EA675" s="97"/>
      <c r="EB675" s="97"/>
      <c r="EC675" s="97"/>
      <c r="ED675" s="97"/>
      <c r="EE675" s="97"/>
      <c r="EF675" s="97"/>
      <c r="EG675" s="97"/>
      <c r="EH675" s="97"/>
      <c r="EI675" s="97"/>
      <c r="EJ675" s="97"/>
      <c r="EK675" s="97"/>
      <c r="EL675" s="97"/>
      <c r="EM675" s="97"/>
      <c r="EN675" s="97"/>
      <c r="EO675" s="97"/>
      <c r="EP675" s="97"/>
      <c r="EQ675" s="97"/>
      <c r="ER675" s="97"/>
      <c r="ES675" s="97"/>
      <c r="ET675" s="97"/>
    </row>
    <row r="676" spans="1:150" ht="15.75" customHeight="1">
      <c r="A676" s="97"/>
      <c r="B676" s="97"/>
      <c r="C676" s="97"/>
      <c r="D676" s="97"/>
      <c r="E676" s="97"/>
      <c r="F676" s="97"/>
      <c r="G676" s="97"/>
      <c r="H676" s="129"/>
      <c r="I676" s="97"/>
      <c r="J676" s="97"/>
      <c r="K676" s="97"/>
      <c r="L676" s="97"/>
      <c r="M676" s="97"/>
      <c r="N676" s="97"/>
      <c r="O676" s="97"/>
      <c r="P676" s="97"/>
      <c r="Q676" s="97"/>
      <c r="R676" s="97"/>
      <c r="S676" s="97"/>
      <c r="T676" s="97"/>
      <c r="U676" s="97"/>
      <c r="V676" s="97"/>
      <c r="W676" s="97"/>
      <c r="X676" s="129"/>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c r="DF676" s="97"/>
      <c r="DG676" s="97"/>
      <c r="DH676" s="97"/>
      <c r="DI676" s="97"/>
      <c r="DJ676" s="97"/>
      <c r="DK676" s="97"/>
      <c r="DL676" s="97"/>
      <c r="DM676" s="97"/>
      <c r="DN676" s="97"/>
      <c r="DO676" s="97"/>
      <c r="DP676" s="97"/>
      <c r="DQ676" s="97"/>
      <c r="DR676" s="97"/>
      <c r="DS676" s="97"/>
      <c r="DT676" s="97"/>
      <c r="DU676" s="97"/>
      <c r="DV676" s="97"/>
      <c r="DW676" s="97"/>
      <c r="DX676" s="97"/>
      <c r="DY676" s="97"/>
      <c r="DZ676" s="97"/>
      <c r="EA676" s="97"/>
      <c r="EB676" s="97"/>
      <c r="EC676" s="97"/>
      <c r="ED676" s="97"/>
      <c r="EE676" s="97"/>
      <c r="EF676" s="97"/>
      <c r="EG676" s="97"/>
      <c r="EH676" s="97"/>
      <c r="EI676" s="97"/>
      <c r="EJ676" s="97"/>
      <c r="EK676" s="97"/>
      <c r="EL676" s="97"/>
      <c r="EM676" s="97"/>
      <c r="EN676" s="97"/>
      <c r="EO676" s="97"/>
      <c r="EP676" s="97"/>
      <c r="EQ676" s="97"/>
      <c r="ER676" s="97"/>
      <c r="ES676" s="97"/>
      <c r="ET676" s="97"/>
    </row>
    <row r="677" spans="1:150" ht="15.75" customHeight="1">
      <c r="A677" s="97"/>
      <c r="B677" s="97"/>
      <c r="C677" s="97"/>
      <c r="D677" s="97"/>
      <c r="E677" s="97"/>
      <c r="F677" s="97"/>
      <c r="G677" s="97"/>
      <c r="H677" s="129"/>
      <c r="I677" s="97"/>
      <c r="J677" s="97"/>
      <c r="K677" s="97"/>
      <c r="L677" s="97"/>
      <c r="M677" s="97"/>
      <c r="N677" s="97"/>
      <c r="O677" s="97"/>
      <c r="P677" s="97"/>
      <c r="Q677" s="97"/>
      <c r="R677" s="97"/>
      <c r="S677" s="97"/>
      <c r="T677" s="97"/>
      <c r="U677" s="97"/>
      <c r="V677" s="97"/>
      <c r="W677" s="97"/>
      <c r="X677" s="129"/>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c r="DF677" s="97"/>
      <c r="DG677" s="97"/>
      <c r="DH677" s="97"/>
      <c r="DI677" s="97"/>
      <c r="DJ677" s="97"/>
      <c r="DK677" s="97"/>
      <c r="DL677" s="97"/>
      <c r="DM677" s="97"/>
      <c r="DN677" s="97"/>
      <c r="DO677" s="97"/>
      <c r="DP677" s="97"/>
      <c r="DQ677" s="97"/>
      <c r="DR677" s="97"/>
      <c r="DS677" s="97"/>
      <c r="DT677" s="97"/>
      <c r="DU677" s="97"/>
      <c r="DV677" s="97"/>
      <c r="DW677" s="97"/>
      <c r="DX677" s="97"/>
      <c r="DY677" s="97"/>
      <c r="DZ677" s="97"/>
      <c r="EA677" s="97"/>
      <c r="EB677" s="97"/>
      <c r="EC677" s="97"/>
      <c r="ED677" s="97"/>
      <c r="EE677" s="97"/>
      <c r="EF677" s="97"/>
      <c r="EG677" s="97"/>
      <c r="EH677" s="97"/>
      <c r="EI677" s="97"/>
      <c r="EJ677" s="97"/>
      <c r="EK677" s="97"/>
      <c r="EL677" s="97"/>
      <c r="EM677" s="97"/>
      <c r="EN677" s="97"/>
      <c r="EO677" s="97"/>
      <c r="EP677" s="97"/>
      <c r="EQ677" s="97"/>
      <c r="ER677" s="97"/>
      <c r="ES677" s="97"/>
      <c r="ET677" s="97"/>
    </row>
    <row r="678" spans="1:150" ht="15.75" customHeight="1">
      <c r="A678" s="97"/>
      <c r="B678" s="97"/>
      <c r="C678" s="97"/>
      <c r="D678" s="97"/>
      <c r="E678" s="97"/>
      <c r="F678" s="97"/>
      <c r="G678" s="97"/>
      <c r="H678" s="129"/>
      <c r="I678" s="97"/>
      <c r="J678" s="97"/>
      <c r="K678" s="97"/>
      <c r="L678" s="97"/>
      <c r="M678" s="97"/>
      <c r="N678" s="97"/>
      <c r="O678" s="97"/>
      <c r="P678" s="97"/>
      <c r="Q678" s="97"/>
      <c r="R678" s="97"/>
      <c r="S678" s="97"/>
      <c r="T678" s="97"/>
      <c r="U678" s="97"/>
      <c r="V678" s="97"/>
      <c r="W678" s="97"/>
      <c r="X678" s="129"/>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c r="DF678" s="97"/>
      <c r="DG678" s="97"/>
      <c r="DH678" s="97"/>
      <c r="DI678" s="97"/>
      <c r="DJ678" s="97"/>
      <c r="DK678" s="97"/>
      <c r="DL678" s="97"/>
      <c r="DM678" s="97"/>
      <c r="DN678" s="97"/>
      <c r="DO678" s="97"/>
      <c r="DP678" s="97"/>
      <c r="DQ678" s="97"/>
      <c r="DR678" s="97"/>
      <c r="DS678" s="97"/>
      <c r="DT678" s="97"/>
      <c r="DU678" s="97"/>
      <c r="DV678" s="97"/>
      <c r="DW678" s="97"/>
      <c r="DX678" s="97"/>
      <c r="DY678" s="97"/>
      <c r="DZ678" s="97"/>
      <c r="EA678" s="97"/>
      <c r="EB678" s="97"/>
      <c r="EC678" s="97"/>
      <c r="ED678" s="97"/>
      <c r="EE678" s="97"/>
      <c r="EF678" s="97"/>
      <c r="EG678" s="97"/>
      <c r="EH678" s="97"/>
      <c r="EI678" s="97"/>
      <c r="EJ678" s="97"/>
      <c r="EK678" s="97"/>
      <c r="EL678" s="97"/>
      <c r="EM678" s="97"/>
      <c r="EN678" s="97"/>
      <c r="EO678" s="97"/>
      <c r="EP678" s="97"/>
      <c r="EQ678" s="97"/>
      <c r="ER678" s="97"/>
      <c r="ES678" s="97"/>
      <c r="ET678" s="97"/>
    </row>
    <row r="679" spans="1:150" ht="15.75" customHeight="1">
      <c r="A679" s="97"/>
      <c r="B679" s="97"/>
      <c r="C679" s="97"/>
      <c r="D679" s="97"/>
      <c r="E679" s="97"/>
      <c r="F679" s="97"/>
      <c r="G679" s="97"/>
      <c r="H679" s="129"/>
      <c r="I679" s="97"/>
      <c r="J679" s="97"/>
      <c r="K679" s="97"/>
      <c r="L679" s="97"/>
      <c r="M679" s="97"/>
      <c r="N679" s="97"/>
      <c r="O679" s="97"/>
      <c r="P679" s="97"/>
      <c r="Q679" s="97"/>
      <c r="R679" s="97"/>
      <c r="S679" s="97"/>
      <c r="T679" s="97"/>
      <c r="U679" s="97"/>
      <c r="V679" s="97"/>
      <c r="W679" s="97"/>
      <c r="X679" s="129"/>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c r="DF679" s="97"/>
      <c r="DG679" s="97"/>
      <c r="DH679" s="97"/>
      <c r="DI679" s="97"/>
      <c r="DJ679" s="97"/>
      <c r="DK679" s="97"/>
      <c r="DL679" s="97"/>
      <c r="DM679" s="97"/>
      <c r="DN679" s="97"/>
      <c r="DO679" s="97"/>
      <c r="DP679" s="97"/>
      <c r="DQ679" s="97"/>
      <c r="DR679" s="97"/>
      <c r="DS679" s="97"/>
      <c r="DT679" s="97"/>
      <c r="DU679" s="97"/>
      <c r="DV679" s="97"/>
      <c r="DW679" s="97"/>
      <c r="DX679" s="97"/>
      <c r="DY679" s="97"/>
      <c r="DZ679" s="97"/>
      <c r="EA679" s="97"/>
      <c r="EB679" s="97"/>
      <c r="EC679" s="97"/>
      <c r="ED679" s="97"/>
      <c r="EE679" s="97"/>
      <c r="EF679" s="97"/>
      <c r="EG679" s="97"/>
      <c r="EH679" s="97"/>
      <c r="EI679" s="97"/>
      <c r="EJ679" s="97"/>
      <c r="EK679" s="97"/>
      <c r="EL679" s="97"/>
      <c r="EM679" s="97"/>
      <c r="EN679" s="97"/>
      <c r="EO679" s="97"/>
      <c r="EP679" s="97"/>
      <c r="EQ679" s="97"/>
      <c r="ER679" s="97"/>
      <c r="ES679" s="97"/>
      <c r="ET679" s="97"/>
    </row>
    <row r="680" spans="1:150" ht="15.75" customHeight="1">
      <c r="A680" s="97"/>
      <c r="B680" s="97"/>
      <c r="C680" s="97"/>
      <c r="D680" s="97"/>
      <c r="E680" s="97"/>
      <c r="F680" s="97"/>
      <c r="G680" s="97"/>
      <c r="H680" s="129"/>
      <c r="I680" s="97"/>
      <c r="J680" s="97"/>
      <c r="K680" s="97"/>
      <c r="L680" s="97"/>
      <c r="M680" s="97"/>
      <c r="N680" s="97"/>
      <c r="O680" s="97"/>
      <c r="P680" s="97"/>
      <c r="Q680" s="97"/>
      <c r="R680" s="97"/>
      <c r="S680" s="97"/>
      <c r="T680" s="97"/>
      <c r="U680" s="97"/>
      <c r="V680" s="97"/>
      <c r="W680" s="97"/>
      <c r="X680" s="129"/>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c r="DF680" s="97"/>
      <c r="DG680" s="97"/>
      <c r="DH680" s="97"/>
      <c r="DI680" s="97"/>
      <c r="DJ680" s="97"/>
      <c r="DK680" s="97"/>
      <c r="DL680" s="97"/>
      <c r="DM680" s="97"/>
      <c r="DN680" s="97"/>
      <c r="DO680" s="97"/>
      <c r="DP680" s="97"/>
      <c r="DQ680" s="97"/>
      <c r="DR680" s="97"/>
      <c r="DS680" s="97"/>
      <c r="DT680" s="97"/>
      <c r="DU680" s="97"/>
      <c r="DV680" s="97"/>
      <c r="DW680" s="97"/>
      <c r="DX680" s="97"/>
      <c r="DY680" s="97"/>
      <c r="DZ680" s="97"/>
      <c r="EA680" s="97"/>
      <c r="EB680" s="97"/>
      <c r="EC680" s="97"/>
      <c r="ED680" s="97"/>
      <c r="EE680" s="97"/>
      <c r="EF680" s="97"/>
      <c r="EG680" s="97"/>
      <c r="EH680" s="97"/>
      <c r="EI680" s="97"/>
      <c r="EJ680" s="97"/>
      <c r="EK680" s="97"/>
      <c r="EL680" s="97"/>
      <c r="EM680" s="97"/>
      <c r="EN680" s="97"/>
      <c r="EO680" s="97"/>
      <c r="EP680" s="97"/>
      <c r="EQ680" s="97"/>
      <c r="ER680" s="97"/>
      <c r="ES680" s="97"/>
      <c r="ET680" s="97"/>
    </row>
    <row r="681" spans="1:150" ht="15.75" customHeight="1">
      <c r="A681" s="97"/>
      <c r="B681" s="97"/>
      <c r="C681" s="97"/>
      <c r="D681" s="97"/>
      <c r="E681" s="97"/>
      <c r="F681" s="97"/>
      <c r="G681" s="97"/>
      <c r="H681" s="129"/>
      <c r="I681" s="97"/>
      <c r="J681" s="97"/>
      <c r="K681" s="97"/>
      <c r="L681" s="97"/>
      <c r="M681" s="97"/>
      <c r="N681" s="97"/>
      <c r="O681" s="97"/>
      <c r="P681" s="97"/>
      <c r="Q681" s="97"/>
      <c r="R681" s="97"/>
      <c r="S681" s="97"/>
      <c r="T681" s="97"/>
      <c r="U681" s="97"/>
      <c r="V681" s="97"/>
      <c r="W681" s="97"/>
      <c r="X681" s="129"/>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c r="DF681" s="97"/>
      <c r="DG681" s="97"/>
      <c r="DH681" s="97"/>
      <c r="DI681" s="97"/>
      <c r="DJ681" s="97"/>
      <c r="DK681" s="97"/>
      <c r="DL681" s="97"/>
      <c r="DM681" s="97"/>
      <c r="DN681" s="97"/>
      <c r="DO681" s="97"/>
      <c r="DP681" s="97"/>
      <c r="DQ681" s="97"/>
      <c r="DR681" s="97"/>
      <c r="DS681" s="97"/>
      <c r="DT681" s="97"/>
      <c r="DU681" s="97"/>
      <c r="DV681" s="97"/>
      <c r="DW681" s="97"/>
      <c r="DX681" s="97"/>
      <c r="DY681" s="97"/>
      <c r="DZ681" s="97"/>
      <c r="EA681" s="97"/>
      <c r="EB681" s="97"/>
      <c r="EC681" s="97"/>
      <c r="ED681" s="97"/>
      <c r="EE681" s="97"/>
      <c r="EF681" s="97"/>
      <c r="EG681" s="97"/>
      <c r="EH681" s="97"/>
      <c r="EI681" s="97"/>
      <c r="EJ681" s="97"/>
      <c r="EK681" s="97"/>
      <c r="EL681" s="97"/>
      <c r="EM681" s="97"/>
      <c r="EN681" s="97"/>
      <c r="EO681" s="97"/>
      <c r="EP681" s="97"/>
      <c r="EQ681" s="97"/>
      <c r="ER681" s="97"/>
      <c r="ES681" s="97"/>
      <c r="ET681" s="97"/>
    </row>
    <row r="682" spans="1:150" ht="15.75" customHeight="1">
      <c r="A682" s="97"/>
      <c r="B682" s="97"/>
      <c r="C682" s="97"/>
      <c r="D682" s="97"/>
      <c r="E682" s="97"/>
      <c r="F682" s="97"/>
      <c r="G682" s="97"/>
      <c r="H682" s="129"/>
      <c r="I682" s="97"/>
      <c r="J682" s="97"/>
      <c r="K682" s="97"/>
      <c r="L682" s="97"/>
      <c r="M682" s="97"/>
      <c r="N682" s="97"/>
      <c r="O682" s="97"/>
      <c r="P682" s="97"/>
      <c r="Q682" s="97"/>
      <c r="R682" s="97"/>
      <c r="S682" s="97"/>
      <c r="T682" s="97"/>
      <c r="U682" s="97"/>
      <c r="V682" s="97"/>
      <c r="W682" s="97"/>
      <c r="X682" s="129"/>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c r="DF682" s="97"/>
      <c r="DG682" s="97"/>
      <c r="DH682" s="97"/>
      <c r="DI682" s="97"/>
      <c r="DJ682" s="97"/>
      <c r="DK682" s="97"/>
      <c r="DL682" s="97"/>
      <c r="DM682" s="97"/>
      <c r="DN682" s="97"/>
      <c r="DO682" s="97"/>
      <c r="DP682" s="97"/>
      <c r="DQ682" s="97"/>
      <c r="DR682" s="97"/>
      <c r="DS682" s="97"/>
      <c r="DT682" s="97"/>
      <c r="DU682" s="97"/>
      <c r="DV682" s="97"/>
      <c r="DW682" s="97"/>
      <c r="DX682" s="97"/>
      <c r="DY682" s="97"/>
      <c r="DZ682" s="97"/>
      <c r="EA682" s="97"/>
      <c r="EB682" s="97"/>
      <c r="EC682" s="97"/>
      <c r="ED682" s="97"/>
      <c r="EE682" s="97"/>
      <c r="EF682" s="97"/>
      <c r="EG682" s="97"/>
      <c r="EH682" s="97"/>
      <c r="EI682" s="97"/>
      <c r="EJ682" s="97"/>
      <c r="EK682" s="97"/>
      <c r="EL682" s="97"/>
      <c r="EM682" s="97"/>
      <c r="EN682" s="97"/>
      <c r="EO682" s="97"/>
      <c r="EP682" s="97"/>
      <c r="EQ682" s="97"/>
      <c r="ER682" s="97"/>
      <c r="ES682" s="97"/>
      <c r="ET682" s="97"/>
    </row>
    <row r="683" spans="1:150" ht="15.75" customHeight="1">
      <c r="A683" s="97"/>
      <c r="B683" s="97"/>
      <c r="C683" s="97"/>
      <c r="D683" s="97"/>
      <c r="E683" s="97"/>
      <c r="F683" s="97"/>
      <c r="G683" s="97"/>
      <c r="H683" s="129"/>
      <c r="I683" s="97"/>
      <c r="J683" s="97"/>
      <c r="K683" s="97"/>
      <c r="L683" s="97"/>
      <c r="M683" s="97"/>
      <c r="N683" s="97"/>
      <c r="O683" s="97"/>
      <c r="P683" s="97"/>
      <c r="Q683" s="97"/>
      <c r="R683" s="97"/>
      <c r="S683" s="97"/>
      <c r="T683" s="97"/>
      <c r="U683" s="97"/>
      <c r="V683" s="97"/>
      <c r="W683" s="97"/>
      <c r="X683" s="129"/>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c r="DF683" s="97"/>
      <c r="DG683" s="97"/>
      <c r="DH683" s="97"/>
      <c r="DI683" s="97"/>
      <c r="DJ683" s="97"/>
      <c r="DK683" s="97"/>
      <c r="DL683" s="97"/>
      <c r="DM683" s="97"/>
      <c r="DN683" s="97"/>
      <c r="DO683" s="97"/>
      <c r="DP683" s="97"/>
      <c r="DQ683" s="97"/>
      <c r="DR683" s="97"/>
      <c r="DS683" s="97"/>
      <c r="DT683" s="97"/>
      <c r="DU683" s="97"/>
      <c r="DV683" s="97"/>
      <c r="DW683" s="97"/>
      <c r="DX683" s="97"/>
      <c r="DY683" s="97"/>
      <c r="DZ683" s="97"/>
      <c r="EA683" s="97"/>
      <c r="EB683" s="97"/>
      <c r="EC683" s="97"/>
      <c r="ED683" s="97"/>
      <c r="EE683" s="97"/>
      <c r="EF683" s="97"/>
      <c r="EG683" s="97"/>
      <c r="EH683" s="97"/>
      <c r="EI683" s="97"/>
      <c r="EJ683" s="97"/>
      <c r="EK683" s="97"/>
      <c r="EL683" s="97"/>
      <c r="EM683" s="97"/>
      <c r="EN683" s="97"/>
      <c r="EO683" s="97"/>
      <c r="EP683" s="97"/>
      <c r="EQ683" s="97"/>
      <c r="ER683" s="97"/>
      <c r="ES683" s="97"/>
      <c r="ET683" s="97"/>
    </row>
    <row r="684" spans="1:150" ht="15.75" customHeight="1">
      <c r="A684" s="97"/>
      <c r="B684" s="97"/>
      <c r="C684" s="97"/>
      <c r="D684" s="97"/>
      <c r="E684" s="97"/>
      <c r="F684" s="97"/>
      <c r="G684" s="97"/>
      <c r="H684" s="129"/>
      <c r="I684" s="97"/>
      <c r="J684" s="97"/>
      <c r="K684" s="97"/>
      <c r="L684" s="97"/>
      <c r="M684" s="97"/>
      <c r="N684" s="97"/>
      <c r="O684" s="97"/>
      <c r="P684" s="97"/>
      <c r="Q684" s="97"/>
      <c r="R684" s="97"/>
      <c r="S684" s="97"/>
      <c r="T684" s="97"/>
      <c r="U684" s="97"/>
      <c r="V684" s="97"/>
      <c r="W684" s="97"/>
      <c r="X684" s="129"/>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c r="DF684" s="97"/>
      <c r="DG684" s="97"/>
      <c r="DH684" s="97"/>
      <c r="DI684" s="97"/>
      <c r="DJ684" s="97"/>
      <c r="DK684" s="97"/>
      <c r="DL684" s="97"/>
      <c r="DM684" s="97"/>
      <c r="DN684" s="97"/>
      <c r="DO684" s="97"/>
      <c r="DP684" s="97"/>
      <c r="DQ684" s="97"/>
      <c r="DR684" s="97"/>
      <c r="DS684" s="97"/>
      <c r="DT684" s="97"/>
      <c r="DU684" s="97"/>
      <c r="DV684" s="97"/>
      <c r="DW684" s="97"/>
      <c r="DX684" s="97"/>
      <c r="DY684" s="97"/>
      <c r="DZ684" s="97"/>
      <c r="EA684" s="97"/>
      <c r="EB684" s="97"/>
      <c r="EC684" s="97"/>
      <c r="ED684" s="97"/>
      <c r="EE684" s="97"/>
      <c r="EF684" s="97"/>
      <c r="EG684" s="97"/>
      <c r="EH684" s="97"/>
      <c r="EI684" s="97"/>
      <c r="EJ684" s="97"/>
      <c r="EK684" s="97"/>
      <c r="EL684" s="97"/>
      <c r="EM684" s="97"/>
      <c r="EN684" s="97"/>
      <c r="EO684" s="97"/>
      <c r="EP684" s="97"/>
      <c r="EQ684" s="97"/>
      <c r="ER684" s="97"/>
      <c r="ES684" s="97"/>
      <c r="ET684" s="97"/>
    </row>
    <row r="685" spans="1:150" ht="15.75" customHeight="1">
      <c r="A685" s="97"/>
      <c r="B685" s="97"/>
      <c r="C685" s="97"/>
      <c r="D685" s="97"/>
      <c r="E685" s="97"/>
      <c r="F685" s="97"/>
      <c r="G685" s="97"/>
      <c r="H685" s="129"/>
      <c r="I685" s="97"/>
      <c r="J685" s="97"/>
      <c r="K685" s="97"/>
      <c r="L685" s="97"/>
      <c r="M685" s="97"/>
      <c r="N685" s="97"/>
      <c r="O685" s="97"/>
      <c r="P685" s="97"/>
      <c r="Q685" s="97"/>
      <c r="R685" s="97"/>
      <c r="S685" s="97"/>
      <c r="T685" s="97"/>
      <c r="U685" s="97"/>
      <c r="V685" s="97"/>
      <c r="W685" s="97"/>
      <c r="X685" s="129"/>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c r="DF685" s="97"/>
      <c r="DG685" s="97"/>
      <c r="DH685" s="97"/>
      <c r="DI685" s="97"/>
      <c r="DJ685" s="97"/>
      <c r="DK685" s="97"/>
      <c r="DL685" s="97"/>
      <c r="DM685" s="97"/>
      <c r="DN685" s="97"/>
      <c r="DO685" s="97"/>
      <c r="DP685" s="97"/>
      <c r="DQ685" s="97"/>
      <c r="DR685" s="97"/>
      <c r="DS685" s="97"/>
      <c r="DT685" s="97"/>
      <c r="DU685" s="97"/>
      <c r="DV685" s="97"/>
      <c r="DW685" s="97"/>
      <c r="DX685" s="97"/>
      <c r="DY685" s="97"/>
      <c r="DZ685" s="97"/>
      <c r="EA685" s="97"/>
      <c r="EB685" s="97"/>
      <c r="EC685" s="97"/>
      <c r="ED685" s="97"/>
      <c r="EE685" s="97"/>
      <c r="EF685" s="97"/>
      <c r="EG685" s="97"/>
      <c r="EH685" s="97"/>
      <c r="EI685" s="97"/>
      <c r="EJ685" s="97"/>
      <c r="EK685" s="97"/>
      <c r="EL685" s="97"/>
      <c r="EM685" s="97"/>
      <c r="EN685" s="97"/>
      <c r="EO685" s="97"/>
      <c r="EP685" s="97"/>
      <c r="EQ685" s="97"/>
      <c r="ER685" s="97"/>
      <c r="ES685" s="97"/>
      <c r="ET685" s="97"/>
    </row>
    <row r="686" spans="1:150" ht="15.75" customHeight="1">
      <c r="A686" s="97"/>
      <c r="B686" s="97"/>
      <c r="C686" s="97"/>
      <c r="D686" s="97"/>
      <c r="E686" s="97"/>
      <c r="F686" s="97"/>
      <c r="G686" s="97"/>
      <c r="H686" s="129"/>
      <c r="I686" s="97"/>
      <c r="J686" s="97"/>
      <c r="K686" s="97"/>
      <c r="L686" s="97"/>
      <c r="M686" s="97"/>
      <c r="N686" s="97"/>
      <c r="O686" s="97"/>
      <c r="P686" s="97"/>
      <c r="Q686" s="97"/>
      <c r="R686" s="97"/>
      <c r="S686" s="97"/>
      <c r="T686" s="97"/>
      <c r="U686" s="97"/>
      <c r="V686" s="97"/>
      <c r="W686" s="97"/>
      <c r="X686" s="129"/>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c r="DF686" s="97"/>
      <c r="DG686" s="97"/>
      <c r="DH686" s="97"/>
      <c r="DI686" s="97"/>
      <c r="DJ686" s="97"/>
      <c r="DK686" s="97"/>
      <c r="DL686" s="97"/>
      <c r="DM686" s="97"/>
      <c r="DN686" s="97"/>
      <c r="DO686" s="97"/>
      <c r="DP686" s="97"/>
      <c r="DQ686" s="97"/>
      <c r="DR686" s="97"/>
      <c r="DS686" s="97"/>
      <c r="DT686" s="97"/>
      <c r="DU686" s="97"/>
      <c r="DV686" s="97"/>
      <c r="DW686" s="97"/>
      <c r="DX686" s="97"/>
      <c r="DY686" s="97"/>
      <c r="DZ686" s="97"/>
      <c r="EA686" s="97"/>
      <c r="EB686" s="97"/>
      <c r="EC686" s="97"/>
      <c r="ED686" s="97"/>
      <c r="EE686" s="97"/>
      <c r="EF686" s="97"/>
      <c r="EG686" s="97"/>
      <c r="EH686" s="97"/>
      <c r="EI686" s="97"/>
      <c r="EJ686" s="97"/>
      <c r="EK686" s="97"/>
      <c r="EL686" s="97"/>
      <c r="EM686" s="97"/>
      <c r="EN686" s="97"/>
      <c r="EO686" s="97"/>
      <c r="EP686" s="97"/>
      <c r="EQ686" s="97"/>
      <c r="ER686" s="97"/>
      <c r="ES686" s="97"/>
      <c r="ET686" s="97"/>
    </row>
    <row r="687" spans="1:150" ht="15.75" customHeight="1">
      <c r="A687" s="97"/>
      <c r="B687" s="97"/>
      <c r="C687" s="97"/>
      <c r="D687" s="97"/>
      <c r="E687" s="97"/>
      <c r="F687" s="97"/>
      <c r="G687" s="97"/>
      <c r="H687" s="129"/>
      <c r="I687" s="97"/>
      <c r="J687" s="97"/>
      <c r="K687" s="97"/>
      <c r="L687" s="97"/>
      <c r="M687" s="97"/>
      <c r="N687" s="97"/>
      <c r="O687" s="97"/>
      <c r="P687" s="97"/>
      <c r="Q687" s="97"/>
      <c r="R687" s="97"/>
      <c r="S687" s="97"/>
      <c r="T687" s="97"/>
      <c r="U687" s="97"/>
      <c r="V687" s="97"/>
      <c r="W687" s="97"/>
      <c r="X687" s="129"/>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c r="DF687" s="97"/>
      <c r="DG687" s="97"/>
      <c r="DH687" s="97"/>
      <c r="DI687" s="97"/>
      <c r="DJ687" s="97"/>
      <c r="DK687" s="97"/>
      <c r="DL687" s="97"/>
      <c r="DM687" s="97"/>
      <c r="DN687" s="97"/>
      <c r="DO687" s="97"/>
      <c r="DP687" s="97"/>
      <c r="DQ687" s="97"/>
      <c r="DR687" s="97"/>
      <c r="DS687" s="97"/>
      <c r="DT687" s="97"/>
      <c r="DU687" s="97"/>
      <c r="DV687" s="97"/>
      <c r="DW687" s="97"/>
      <c r="DX687" s="97"/>
      <c r="DY687" s="97"/>
      <c r="DZ687" s="97"/>
      <c r="EA687" s="97"/>
      <c r="EB687" s="97"/>
      <c r="EC687" s="97"/>
      <c r="ED687" s="97"/>
      <c r="EE687" s="97"/>
      <c r="EF687" s="97"/>
      <c r="EG687" s="97"/>
      <c r="EH687" s="97"/>
      <c r="EI687" s="97"/>
      <c r="EJ687" s="97"/>
      <c r="EK687" s="97"/>
      <c r="EL687" s="97"/>
      <c r="EM687" s="97"/>
      <c r="EN687" s="97"/>
      <c r="EO687" s="97"/>
      <c r="EP687" s="97"/>
      <c r="EQ687" s="97"/>
      <c r="ER687" s="97"/>
      <c r="ES687" s="97"/>
      <c r="ET687" s="97"/>
    </row>
    <row r="688" spans="1:150" ht="15.75" customHeight="1">
      <c r="A688" s="97"/>
      <c r="B688" s="97"/>
      <c r="C688" s="97"/>
      <c r="D688" s="97"/>
      <c r="E688" s="97"/>
      <c r="F688" s="97"/>
      <c r="G688" s="97"/>
      <c r="H688" s="129"/>
      <c r="I688" s="97"/>
      <c r="J688" s="97"/>
      <c r="K688" s="97"/>
      <c r="L688" s="97"/>
      <c r="M688" s="97"/>
      <c r="N688" s="97"/>
      <c r="O688" s="97"/>
      <c r="P688" s="97"/>
      <c r="Q688" s="97"/>
      <c r="R688" s="97"/>
      <c r="S688" s="97"/>
      <c r="T688" s="97"/>
      <c r="U688" s="97"/>
      <c r="V688" s="97"/>
      <c r="W688" s="97"/>
      <c r="X688" s="129"/>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c r="DF688" s="97"/>
      <c r="DG688" s="97"/>
      <c r="DH688" s="97"/>
      <c r="DI688" s="97"/>
      <c r="DJ688" s="97"/>
      <c r="DK688" s="97"/>
      <c r="DL688" s="97"/>
      <c r="DM688" s="97"/>
      <c r="DN688" s="97"/>
      <c r="DO688" s="97"/>
      <c r="DP688" s="97"/>
      <c r="DQ688" s="97"/>
      <c r="DR688" s="97"/>
      <c r="DS688" s="97"/>
      <c r="DT688" s="97"/>
      <c r="DU688" s="97"/>
      <c r="DV688" s="97"/>
      <c r="DW688" s="97"/>
      <c r="DX688" s="97"/>
      <c r="DY688" s="97"/>
      <c r="DZ688" s="97"/>
      <c r="EA688" s="97"/>
      <c r="EB688" s="97"/>
      <c r="EC688" s="97"/>
      <c r="ED688" s="97"/>
      <c r="EE688" s="97"/>
      <c r="EF688" s="97"/>
      <c r="EG688" s="97"/>
      <c r="EH688" s="97"/>
      <c r="EI688" s="97"/>
      <c r="EJ688" s="97"/>
      <c r="EK688" s="97"/>
      <c r="EL688" s="97"/>
      <c r="EM688" s="97"/>
      <c r="EN688" s="97"/>
      <c r="EO688" s="97"/>
      <c r="EP688" s="97"/>
      <c r="EQ688" s="97"/>
      <c r="ER688" s="97"/>
      <c r="ES688" s="97"/>
      <c r="ET688" s="97"/>
    </row>
    <row r="689" spans="1:150" ht="15.75" customHeight="1">
      <c r="A689" s="97"/>
      <c r="B689" s="97"/>
      <c r="C689" s="97"/>
      <c r="D689" s="97"/>
      <c r="E689" s="97"/>
      <c r="F689" s="97"/>
      <c r="G689" s="97"/>
      <c r="H689" s="129"/>
      <c r="I689" s="97"/>
      <c r="J689" s="97"/>
      <c r="K689" s="97"/>
      <c r="L689" s="97"/>
      <c r="M689" s="97"/>
      <c r="N689" s="97"/>
      <c r="O689" s="97"/>
      <c r="P689" s="97"/>
      <c r="Q689" s="97"/>
      <c r="R689" s="97"/>
      <c r="S689" s="97"/>
      <c r="T689" s="97"/>
      <c r="U689" s="97"/>
      <c r="V689" s="97"/>
      <c r="W689" s="97"/>
      <c r="X689" s="129"/>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c r="DF689" s="97"/>
      <c r="DG689" s="97"/>
      <c r="DH689" s="97"/>
      <c r="DI689" s="97"/>
      <c r="DJ689" s="97"/>
      <c r="DK689" s="97"/>
      <c r="DL689" s="97"/>
      <c r="DM689" s="97"/>
      <c r="DN689" s="97"/>
      <c r="DO689" s="97"/>
      <c r="DP689" s="97"/>
      <c r="DQ689" s="97"/>
      <c r="DR689" s="97"/>
      <c r="DS689" s="97"/>
      <c r="DT689" s="97"/>
      <c r="DU689" s="97"/>
      <c r="DV689" s="97"/>
      <c r="DW689" s="97"/>
      <c r="DX689" s="97"/>
      <c r="DY689" s="97"/>
      <c r="DZ689" s="97"/>
      <c r="EA689" s="97"/>
      <c r="EB689" s="97"/>
      <c r="EC689" s="97"/>
      <c r="ED689" s="97"/>
      <c r="EE689" s="97"/>
      <c r="EF689" s="97"/>
      <c r="EG689" s="97"/>
      <c r="EH689" s="97"/>
      <c r="EI689" s="97"/>
      <c r="EJ689" s="97"/>
      <c r="EK689" s="97"/>
      <c r="EL689" s="97"/>
      <c r="EM689" s="97"/>
      <c r="EN689" s="97"/>
      <c r="EO689" s="97"/>
      <c r="EP689" s="97"/>
      <c r="EQ689" s="97"/>
      <c r="ER689" s="97"/>
      <c r="ES689" s="97"/>
      <c r="ET689" s="97"/>
    </row>
    <row r="690" spans="1:150" ht="15.75" customHeight="1">
      <c r="A690" s="97"/>
      <c r="B690" s="97"/>
      <c r="C690" s="97"/>
      <c r="D690" s="97"/>
      <c r="E690" s="97"/>
      <c r="F690" s="97"/>
      <c r="G690" s="97"/>
      <c r="H690" s="129"/>
      <c r="I690" s="97"/>
      <c r="J690" s="97"/>
      <c r="K690" s="97"/>
      <c r="L690" s="97"/>
      <c r="M690" s="97"/>
      <c r="N690" s="97"/>
      <c r="O690" s="97"/>
      <c r="P690" s="97"/>
      <c r="Q690" s="97"/>
      <c r="R690" s="97"/>
      <c r="S690" s="97"/>
      <c r="T690" s="97"/>
      <c r="U690" s="97"/>
      <c r="V690" s="97"/>
      <c r="W690" s="97"/>
      <c r="X690" s="129"/>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c r="DF690" s="97"/>
      <c r="DG690" s="97"/>
      <c r="DH690" s="97"/>
      <c r="DI690" s="97"/>
      <c r="DJ690" s="97"/>
      <c r="DK690" s="97"/>
      <c r="DL690" s="97"/>
      <c r="DM690" s="97"/>
      <c r="DN690" s="97"/>
      <c r="DO690" s="97"/>
      <c r="DP690" s="97"/>
      <c r="DQ690" s="97"/>
      <c r="DR690" s="97"/>
      <c r="DS690" s="97"/>
      <c r="DT690" s="97"/>
      <c r="DU690" s="97"/>
      <c r="DV690" s="97"/>
      <c r="DW690" s="97"/>
      <c r="DX690" s="97"/>
      <c r="DY690" s="97"/>
      <c r="DZ690" s="97"/>
      <c r="EA690" s="97"/>
      <c r="EB690" s="97"/>
      <c r="EC690" s="97"/>
      <c r="ED690" s="97"/>
      <c r="EE690" s="97"/>
      <c r="EF690" s="97"/>
      <c r="EG690" s="97"/>
      <c r="EH690" s="97"/>
      <c r="EI690" s="97"/>
      <c r="EJ690" s="97"/>
      <c r="EK690" s="97"/>
      <c r="EL690" s="97"/>
      <c r="EM690" s="97"/>
      <c r="EN690" s="97"/>
      <c r="EO690" s="97"/>
      <c r="EP690" s="97"/>
      <c r="EQ690" s="97"/>
      <c r="ER690" s="97"/>
      <c r="ES690" s="97"/>
      <c r="ET690" s="97"/>
    </row>
    <row r="691" spans="1:150" ht="15.75" customHeight="1">
      <c r="A691" s="97"/>
      <c r="B691" s="97"/>
      <c r="C691" s="97"/>
      <c r="D691" s="97"/>
      <c r="E691" s="97"/>
      <c r="F691" s="97"/>
      <c r="G691" s="97"/>
      <c r="H691" s="129"/>
      <c r="I691" s="97"/>
      <c r="J691" s="97"/>
      <c r="K691" s="97"/>
      <c r="L691" s="97"/>
      <c r="M691" s="97"/>
      <c r="N691" s="97"/>
      <c r="O691" s="97"/>
      <c r="P691" s="97"/>
      <c r="Q691" s="97"/>
      <c r="R691" s="97"/>
      <c r="S691" s="97"/>
      <c r="T691" s="97"/>
      <c r="U691" s="97"/>
      <c r="V691" s="97"/>
      <c r="W691" s="97"/>
      <c r="X691" s="129"/>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c r="DF691" s="97"/>
      <c r="DG691" s="97"/>
      <c r="DH691" s="97"/>
      <c r="DI691" s="97"/>
      <c r="DJ691" s="97"/>
      <c r="DK691" s="97"/>
      <c r="DL691" s="97"/>
      <c r="DM691" s="97"/>
      <c r="DN691" s="97"/>
      <c r="DO691" s="97"/>
      <c r="DP691" s="97"/>
      <c r="DQ691" s="97"/>
      <c r="DR691" s="97"/>
      <c r="DS691" s="97"/>
      <c r="DT691" s="97"/>
      <c r="DU691" s="97"/>
      <c r="DV691" s="97"/>
      <c r="DW691" s="97"/>
      <c r="DX691" s="97"/>
      <c r="DY691" s="97"/>
      <c r="DZ691" s="97"/>
      <c r="EA691" s="97"/>
      <c r="EB691" s="97"/>
      <c r="EC691" s="97"/>
      <c r="ED691" s="97"/>
      <c r="EE691" s="97"/>
      <c r="EF691" s="97"/>
      <c r="EG691" s="97"/>
      <c r="EH691" s="97"/>
      <c r="EI691" s="97"/>
      <c r="EJ691" s="97"/>
      <c r="EK691" s="97"/>
      <c r="EL691" s="97"/>
      <c r="EM691" s="97"/>
      <c r="EN691" s="97"/>
      <c r="EO691" s="97"/>
      <c r="EP691" s="97"/>
      <c r="EQ691" s="97"/>
      <c r="ER691" s="97"/>
      <c r="ES691" s="97"/>
      <c r="ET691" s="97"/>
    </row>
    <row r="692" spans="1:150" ht="15.75" customHeight="1">
      <c r="A692" s="97"/>
      <c r="B692" s="97"/>
      <c r="C692" s="97"/>
      <c r="D692" s="97"/>
      <c r="E692" s="97"/>
      <c r="F692" s="97"/>
      <c r="G692" s="97"/>
      <c r="H692" s="129"/>
      <c r="I692" s="97"/>
      <c r="J692" s="97"/>
      <c r="K692" s="97"/>
      <c r="L692" s="97"/>
      <c r="M692" s="97"/>
      <c r="N692" s="97"/>
      <c r="O692" s="97"/>
      <c r="P692" s="97"/>
      <c r="Q692" s="97"/>
      <c r="R692" s="97"/>
      <c r="S692" s="97"/>
      <c r="T692" s="97"/>
      <c r="U692" s="97"/>
      <c r="V692" s="97"/>
      <c r="W692" s="97"/>
      <c r="X692" s="129"/>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c r="DF692" s="97"/>
      <c r="DG692" s="97"/>
      <c r="DH692" s="97"/>
      <c r="DI692" s="97"/>
      <c r="DJ692" s="97"/>
      <c r="DK692" s="97"/>
      <c r="DL692" s="97"/>
      <c r="DM692" s="97"/>
      <c r="DN692" s="97"/>
      <c r="DO692" s="97"/>
      <c r="DP692" s="97"/>
      <c r="DQ692" s="97"/>
      <c r="DR692" s="97"/>
      <c r="DS692" s="97"/>
      <c r="DT692" s="97"/>
      <c r="DU692" s="97"/>
      <c r="DV692" s="97"/>
      <c r="DW692" s="97"/>
      <c r="DX692" s="97"/>
      <c r="DY692" s="97"/>
      <c r="DZ692" s="97"/>
      <c r="EA692" s="97"/>
      <c r="EB692" s="97"/>
      <c r="EC692" s="97"/>
      <c r="ED692" s="97"/>
      <c r="EE692" s="97"/>
      <c r="EF692" s="97"/>
      <c r="EG692" s="97"/>
      <c r="EH692" s="97"/>
      <c r="EI692" s="97"/>
      <c r="EJ692" s="97"/>
      <c r="EK692" s="97"/>
      <c r="EL692" s="97"/>
      <c r="EM692" s="97"/>
      <c r="EN692" s="97"/>
      <c r="EO692" s="97"/>
      <c r="EP692" s="97"/>
      <c r="EQ692" s="97"/>
      <c r="ER692" s="97"/>
      <c r="ES692" s="97"/>
      <c r="ET692" s="97"/>
    </row>
    <row r="693" spans="1:150" ht="15.75" customHeight="1">
      <c r="A693" s="97"/>
      <c r="B693" s="97"/>
      <c r="C693" s="97"/>
      <c r="D693" s="97"/>
      <c r="E693" s="97"/>
      <c r="F693" s="97"/>
      <c r="G693" s="97"/>
      <c r="H693" s="129"/>
      <c r="I693" s="97"/>
      <c r="J693" s="97"/>
      <c r="K693" s="97"/>
      <c r="L693" s="97"/>
      <c r="M693" s="97"/>
      <c r="N693" s="97"/>
      <c r="O693" s="97"/>
      <c r="P693" s="97"/>
      <c r="Q693" s="97"/>
      <c r="R693" s="97"/>
      <c r="S693" s="97"/>
      <c r="T693" s="97"/>
      <c r="U693" s="97"/>
      <c r="V693" s="97"/>
      <c r="W693" s="97"/>
      <c r="X693" s="129"/>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c r="DF693" s="97"/>
      <c r="DG693" s="97"/>
      <c r="DH693" s="97"/>
      <c r="DI693" s="97"/>
      <c r="DJ693" s="97"/>
      <c r="DK693" s="97"/>
      <c r="DL693" s="97"/>
      <c r="DM693" s="97"/>
      <c r="DN693" s="97"/>
      <c r="DO693" s="97"/>
      <c r="DP693" s="97"/>
      <c r="DQ693" s="97"/>
      <c r="DR693" s="97"/>
      <c r="DS693" s="97"/>
      <c r="DT693" s="97"/>
      <c r="DU693" s="97"/>
      <c r="DV693" s="97"/>
      <c r="DW693" s="97"/>
      <c r="DX693" s="97"/>
      <c r="DY693" s="97"/>
      <c r="DZ693" s="97"/>
      <c r="EA693" s="97"/>
      <c r="EB693" s="97"/>
      <c r="EC693" s="97"/>
      <c r="ED693" s="97"/>
      <c r="EE693" s="97"/>
      <c r="EF693" s="97"/>
      <c r="EG693" s="97"/>
      <c r="EH693" s="97"/>
      <c r="EI693" s="97"/>
      <c r="EJ693" s="97"/>
      <c r="EK693" s="97"/>
      <c r="EL693" s="97"/>
      <c r="EM693" s="97"/>
      <c r="EN693" s="97"/>
      <c r="EO693" s="97"/>
      <c r="EP693" s="97"/>
      <c r="EQ693" s="97"/>
      <c r="ER693" s="97"/>
      <c r="ES693" s="97"/>
      <c r="ET693" s="97"/>
    </row>
    <row r="694" spans="1:150" ht="15.75" customHeight="1">
      <c r="A694" s="97"/>
      <c r="B694" s="97"/>
      <c r="C694" s="97"/>
      <c r="D694" s="97"/>
      <c r="E694" s="97"/>
      <c r="F694" s="97"/>
      <c r="G694" s="97"/>
      <c r="H694" s="129"/>
      <c r="I694" s="97"/>
      <c r="J694" s="97"/>
      <c r="K694" s="97"/>
      <c r="L694" s="97"/>
      <c r="M694" s="97"/>
      <c r="N694" s="97"/>
      <c r="O694" s="97"/>
      <c r="P694" s="97"/>
      <c r="Q694" s="97"/>
      <c r="R694" s="97"/>
      <c r="S694" s="97"/>
      <c r="T694" s="97"/>
      <c r="U694" s="97"/>
      <c r="V694" s="97"/>
      <c r="W694" s="97"/>
      <c r="X694" s="129"/>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c r="DF694" s="97"/>
      <c r="DG694" s="97"/>
      <c r="DH694" s="97"/>
      <c r="DI694" s="97"/>
      <c r="DJ694" s="97"/>
      <c r="DK694" s="97"/>
      <c r="DL694" s="97"/>
      <c r="DM694" s="97"/>
      <c r="DN694" s="97"/>
      <c r="DO694" s="97"/>
      <c r="DP694" s="97"/>
      <c r="DQ694" s="97"/>
      <c r="DR694" s="97"/>
      <c r="DS694" s="97"/>
      <c r="DT694" s="97"/>
      <c r="DU694" s="97"/>
      <c r="DV694" s="97"/>
      <c r="DW694" s="97"/>
      <c r="DX694" s="97"/>
      <c r="DY694" s="97"/>
      <c r="DZ694" s="97"/>
      <c r="EA694" s="97"/>
      <c r="EB694" s="97"/>
      <c r="EC694" s="97"/>
      <c r="ED694" s="97"/>
      <c r="EE694" s="97"/>
      <c r="EF694" s="97"/>
      <c r="EG694" s="97"/>
      <c r="EH694" s="97"/>
      <c r="EI694" s="97"/>
      <c r="EJ694" s="97"/>
      <c r="EK694" s="97"/>
      <c r="EL694" s="97"/>
      <c r="EM694" s="97"/>
      <c r="EN694" s="97"/>
      <c r="EO694" s="97"/>
      <c r="EP694" s="97"/>
      <c r="EQ694" s="97"/>
      <c r="ER694" s="97"/>
      <c r="ES694" s="97"/>
      <c r="ET694" s="97"/>
    </row>
    <row r="695" spans="1:150" ht="15.75" customHeight="1">
      <c r="A695" s="97"/>
      <c r="B695" s="97"/>
      <c r="C695" s="97"/>
      <c r="D695" s="97"/>
      <c r="E695" s="97"/>
      <c r="F695" s="97"/>
      <c r="G695" s="97"/>
      <c r="H695" s="129"/>
      <c r="I695" s="97"/>
      <c r="J695" s="97"/>
      <c r="K695" s="97"/>
      <c r="L695" s="97"/>
      <c r="M695" s="97"/>
      <c r="N695" s="97"/>
      <c r="O695" s="97"/>
      <c r="P695" s="97"/>
      <c r="Q695" s="97"/>
      <c r="R695" s="97"/>
      <c r="S695" s="97"/>
      <c r="T695" s="97"/>
      <c r="U695" s="97"/>
      <c r="V695" s="97"/>
      <c r="W695" s="97"/>
      <c r="X695" s="129"/>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c r="DF695" s="97"/>
      <c r="DG695" s="97"/>
      <c r="DH695" s="97"/>
      <c r="DI695" s="97"/>
      <c r="DJ695" s="97"/>
      <c r="DK695" s="97"/>
      <c r="DL695" s="97"/>
      <c r="DM695" s="97"/>
      <c r="DN695" s="97"/>
      <c r="DO695" s="97"/>
      <c r="DP695" s="97"/>
      <c r="DQ695" s="97"/>
      <c r="DR695" s="97"/>
      <c r="DS695" s="97"/>
      <c r="DT695" s="97"/>
      <c r="DU695" s="97"/>
      <c r="DV695" s="97"/>
      <c r="DW695" s="97"/>
      <c r="DX695" s="97"/>
      <c r="DY695" s="97"/>
      <c r="DZ695" s="97"/>
      <c r="EA695" s="97"/>
      <c r="EB695" s="97"/>
      <c r="EC695" s="97"/>
      <c r="ED695" s="97"/>
      <c r="EE695" s="97"/>
      <c r="EF695" s="97"/>
      <c r="EG695" s="97"/>
      <c r="EH695" s="97"/>
      <c r="EI695" s="97"/>
      <c r="EJ695" s="97"/>
      <c r="EK695" s="97"/>
      <c r="EL695" s="97"/>
      <c r="EM695" s="97"/>
      <c r="EN695" s="97"/>
      <c r="EO695" s="97"/>
      <c r="EP695" s="97"/>
      <c r="EQ695" s="97"/>
      <c r="ER695" s="97"/>
      <c r="ES695" s="97"/>
      <c r="ET695" s="97"/>
    </row>
    <row r="696" spans="1:150" ht="15.75" customHeight="1">
      <c r="A696" s="97"/>
      <c r="B696" s="97"/>
      <c r="C696" s="97"/>
      <c r="D696" s="97"/>
      <c r="E696" s="97"/>
      <c r="F696" s="97"/>
      <c r="G696" s="97"/>
      <c r="H696" s="129"/>
      <c r="I696" s="97"/>
      <c r="J696" s="97"/>
      <c r="K696" s="97"/>
      <c r="L696" s="97"/>
      <c r="M696" s="97"/>
      <c r="N696" s="97"/>
      <c r="O696" s="97"/>
      <c r="P696" s="97"/>
      <c r="Q696" s="97"/>
      <c r="R696" s="97"/>
      <c r="S696" s="97"/>
      <c r="T696" s="97"/>
      <c r="U696" s="97"/>
      <c r="V696" s="97"/>
      <c r="W696" s="97"/>
      <c r="X696" s="129"/>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c r="DF696" s="97"/>
      <c r="DG696" s="97"/>
      <c r="DH696" s="97"/>
      <c r="DI696" s="97"/>
      <c r="DJ696" s="97"/>
      <c r="DK696" s="97"/>
      <c r="DL696" s="97"/>
      <c r="DM696" s="97"/>
      <c r="DN696" s="97"/>
      <c r="DO696" s="97"/>
      <c r="DP696" s="97"/>
      <c r="DQ696" s="97"/>
      <c r="DR696" s="97"/>
      <c r="DS696" s="97"/>
      <c r="DT696" s="97"/>
      <c r="DU696" s="97"/>
      <c r="DV696" s="97"/>
      <c r="DW696" s="97"/>
      <c r="DX696" s="97"/>
      <c r="DY696" s="97"/>
      <c r="DZ696" s="97"/>
      <c r="EA696" s="97"/>
      <c r="EB696" s="97"/>
      <c r="EC696" s="97"/>
      <c r="ED696" s="97"/>
      <c r="EE696" s="97"/>
      <c r="EF696" s="97"/>
      <c r="EG696" s="97"/>
      <c r="EH696" s="97"/>
      <c r="EI696" s="97"/>
      <c r="EJ696" s="97"/>
      <c r="EK696" s="97"/>
      <c r="EL696" s="97"/>
      <c r="EM696" s="97"/>
      <c r="EN696" s="97"/>
      <c r="EO696" s="97"/>
      <c r="EP696" s="97"/>
      <c r="EQ696" s="97"/>
      <c r="ER696" s="97"/>
      <c r="ES696" s="97"/>
      <c r="ET696" s="97"/>
    </row>
    <row r="697" spans="1:150" ht="15.75" customHeight="1">
      <c r="A697" s="97"/>
      <c r="B697" s="97"/>
      <c r="C697" s="97"/>
      <c r="D697" s="97"/>
      <c r="E697" s="97"/>
      <c r="F697" s="97"/>
      <c r="G697" s="97"/>
      <c r="H697" s="129"/>
      <c r="I697" s="97"/>
      <c r="J697" s="97"/>
      <c r="K697" s="97"/>
      <c r="L697" s="97"/>
      <c r="M697" s="97"/>
      <c r="N697" s="97"/>
      <c r="O697" s="97"/>
      <c r="P697" s="97"/>
      <c r="Q697" s="97"/>
      <c r="R697" s="97"/>
      <c r="S697" s="97"/>
      <c r="T697" s="97"/>
      <c r="U697" s="97"/>
      <c r="V697" s="97"/>
      <c r="W697" s="97"/>
      <c r="X697" s="129"/>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c r="DF697" s="97"/>
      <c r="DG697" s="97"/>
      <c r="DH697" s="97"/>
      <c r="DI697" s="97"/>
      <c r="DJ697" s="97"/>
      <c r="DK697" s="97"/>
      <c r="DL697" s="97"/>
      <c r="DM697" s="97"/>
      <c r="DN697" s="97"/>
      <c r="DO697" s="97"/>
      <c r="DP697" s="97"/>
      <c r="DQ697" s="97"/>
      <c r="DR697" s="97"/>
      <c r="DS697" s="97"/>
      <c r="DT697" s="97"/>
      <c r="DU697" s="97"/>
      <c r="DV697" s="97"/>
      <c r="DW697" s="97"/>
      <c r="DX697" s="97"/>
      <c r="DY697" s="97"/>
      <c r="DZ697" s="97"/>
      <c r="EA697" s="97"/>
      <c r="EB697" s="97"/>
      <c r="EC697" s="97"/>
      <c r="ED697" s="97"/>
      <c r="EE697" s="97"/>
      <c r="EF697" s="97"/>
      <c r="EG697" s="97"/>
      <c r="EH697" s="97"/>
      <c r="EI697" s="97"/>
      <c r="EJ697" s="97"/>
      <c r="EK697" s="97"/>
      <c r="EL697" s="97"/>
      <c r="EM697" s="97"/>
      <c r="EN697" s="97"/>
      <c r="EO697" s="97"/>
      <c r="EP697" s="97"/>
      <c r="EQ697" s="97"/>
      <c r="ER697" s="97"/>
      <c r="ES697" s="97"/>
      <c r="ET697" s="97"/>
    </row>
    <row r="698" spans="1:150" ht="15.75" customHeight="1">
      <c r="A698" s="97"/>
      <c r="B698" s="97"/>
      <c r="C698" s="97"/>
      <c r="D698" s="97"/>
      <c r="E698" s="97"/>
      <c r="F698" s="97"/>
      <c r="G698" s="97"/>
      <c r="H698" s="129"/>
      <c r="I698" s="97"/>
      <c r="J698" s="97"/>
      <c r="K698" s="97"/>
      <c r="L698" s="97"/>
      <c r="M698" s="97"/>
      <c r="N698" s="97"/>
      <c r="O698" s="97"/>
      <c r="P698" s="97"/>
      <c r="Q698" s="97"/>
      <c r="R698" s="97"/>
      <c r="S698" s="97"/>
      <c r="T698" s="97"/>
      <c r="U698" s="97"/>
      <c r="V698" s="97"/>
      <c r="W698" s="97"/>
      <c r="X698" s="129"/>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c r="DF698" s="97"/>
      <c r="DG698" s="97"/>
      <c r="DH698" s="97"/>
      <c r="DI698" s="97"/>
      <c r="DJ698" s="97"/>
      <c r="DK698" s="97"/>
      <c r="DL698" s="97"/>
      <c r="DM698" s="97"/>
      <c r="DN698" s="97"/>
      <c r="DO698" s="97"/>
      <c r="DP698" s="97"/>
      <c r="DQ698" s="97"/>
      <c r="DR698" s="97"/>
      <c r="DS698" s="97"/>
      <c r="DT698" s="97"/>
      <c r="DU698" s="97"/>
      <c r="DV698" s="97"/>
      <c r="DW698" s="97"/>
      <c r="DX698" s="97"/>
      <c r="DY698" s="97"/>
      <c r="DZ698" s="97"/>
      <c r="EA698" s="97"/>
      <c r="EB698" s="97"/>
      <c r="EC698" s="97"/>
      <c r="ED698" s="97"/>
      <c r="EE698" s="97"/>
      <c r="EF698" s="97"/>
      <c r="EG698" s="97"/>
      <c r="EH698" s="97"/>
      <c r="EI698" s="97"/>
      <c r="EJ698" s="97"/>
      <c r="EK698" s="97"/>
      <c r="EL698" s="97"/>
      <c r="EM698" s="97"/>
      <c r="EN698" s="97"/>
      <c r="EO698" s="97"/>
      <c r="EP698" s="97"/>
      <c r="EQ698" s="97"/>
      <c r="ER698" s="97"/>
      <c r="ES698" s="97"/>
      <c r="ET698" s="97"/>
    </row>
    <row r="699" spans="1:150" ht="15.75" customHeight="1">
      <c r="A699" s="97"/>
      <c r="B699" s="97"/>
      <c r="C699" s="97"/>
      <c r="D699" s="97"/>
      <c r="E699" s="97"/>
      <c r="F699" s="97"/>
      <c r="G699" s="97"/>
      <c r="H699" s="129"/>
      <c r="I699" s="97"/>
      <c r="J699" s="97"/>
      <c r="K699" s="97"/>
      <c r="L699" s="97"/>
      <c r="M699" s="97"/>
      <c r="N699" s="97"/>
      <c r="O699" s="97"/>
      <c r="P699" s="97"/>
      <c r="Q699" s="97"/>
      <c r="R699" s="97"/>
      <c r="S699" s="97"/>
      <c r="T699" s="97"/>
      <c r="U699" s="97"/>
      <c r="V699" s="97"/>
      <c r="W699" s="97"/>
      <c r="X699" s="129"/>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c r="DF699" s="97"/>
      <c r="DG699" s="97"/>
      <c r="DH699" s="97"/>
      <c r="DI699" s="97"/>
      <c r="DJ699" s="97"/>
      <c r="DK699" s="97"/>
      <c r="DL699" s="97"/>
      <c r="DM699" s="97"/>
      <c r="DN699" s="97"/>
      <c r="DO699" s="97"/>
      <c r="DP699" s="97"/>
      <c r="DQ699" s="97"/>
      <c r="DR699" s="97"/>
      <c r="DS699" s="97"/>
      <c r="DT699" s="97"/>
      <c r="DU699" s="97"/>
      <c r="DV699" s="97"/>
      <c r="DW699" s="97"/>
      <c r="DX699" s="97"/>
      <c r="DY699" s="97"/>
      <c r="DZ699" s="97"/>
      <c r="EA699" s="97"/>
      <c r="EB699" s="97"/>
      <c r="EC699" s="97"/>
      <c r="ED699" s="97"/>
      <c r="EE699" s="97"/>
      <c r="EF699" s="97"/>
      <c r="EG699" s="97"/>
      <c r="EH699" s="97"/>
      <c r="EI699" s="97"/>
      <c r="EJ699" s="97"/>
      <c r="EK699" s="97"/>
      <c r="EL699" s="97"/>
      <c r="EM699" s="97"/>
      <c r="EN699" s="97"/>
      <c r="EO699" s="97"/>
      <c r="EP699" s="97"/>
      <c r="EQ699" s="97"/>
      <c r="ER699" s="97"/>
      <c r="ES699" s="97"/>
      <c r="ET699" s="97"/>
    </row>
    <row r="700" spans="1:150" ht="15.75" customHeight="1">
      <c r="A700" s="97"/>
      <c r="B700" s="97"/>
      <c r="C700" s="97"/>
      <c r="D700" s="97"/>
      <c r="E700" s="97"/>
      <c r="F700" s="97"/>
      <c r="G700" s="97"/>
      <c r="H700" s="129"/>
      <c r="I700" s="97"/>
      <c r="J700" s="97"/>
      <c r="K700" s="97"/>
      <c r="L700" s="97"/>
      <c r="M700" s="97"/>
      <c r="N700" s="97"/>
      <c r="O700" s="97"/>
      <c r="P700" s="97"/>
      <c r="Q700" s="97"/>
      <c r="R700" s="97"/>
      <c r="S700" s="97"/>
      <c r="T700" s="97"/>
      <c r="U700" s="97"/>
      <c r="V700" s="97"/>
      <c r="W700" s="97"/>
      <c r="X700" s="129"/>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c r="DF700" s="97"/>
      <c r="DG700" s="97"/>
      <c r="DH700" s="97"/>
      <c r="DI700" s="97"/>
      <c r="DJ700" s="97"/>
      <c r="DK700" s="97"/>
      <c r="DL700" s="97"/>
      <c r="DM700" s="97"/>
      <c r="DN700" s="97"/>
      <c r="DO700" s="97"/>
      <c r="DP700" s="97"/>
      <c r="DQ700" s="97"/>
      <c r="DR700" s="97"/>
      <c r="DS700" s="97"/>
      <c r="DT700" s="97"/>
      <c r="DU700" s="97"/>
      <c r="DV700" s="97"/>
      <c r="DW700" s="97"/>
      <c r="DX700" s="97"/>
      <c r="DY700" s="97"/>
      <c r="DZ700" s="97"/>
      <c r="EA700" s="97"/>
      <c r="EB700" s="97"/>
      <c r="EC700" s="97"/>
      <c r="ED700" s="97"/>
      <c r="EE700" s="97"/>
      <c r="EF700" s="97"/>
      <c r="EG700" s="97"/>
      <c r="EH700" s="97"/>
      <c r="EI700" s="97"/>
      <c r="EJ700" s="97"/>
      <c r="EK700" s="97"/>
      <c r="EL700" s="97"/>
      <c r="EM700" s="97"/>
      <c r="EN700" s="97"/>
      <c r="EO700" s="97"/>
      <c r="EP700" s="97"/>
      <c r="EQ700" s="97"/>
      <c r="ER700" s="97"/>
      <c r="ES700" s="97"/>
      <c r="ET700" s="97"/>
    </row>
    <row r="701" spans="1:150" ht="15.75" customHeight="1">
      <c r="A701" s="97"/>
      <c r="B701" s="97"/>
      <c r="C701" s="97"/>
      <c r="D701" s="97"/>
      <c r="E701" s="97"/>
      <c r="F701" s="97"/>
      <c r="G701" s="97"/>
      <c r="H701" s="129"/>
      <c r="I701" s="97"/>
      <c r="J701" s="97"/>
      <c r="K701" s="97"/>
      <c r="L701" s="97"/>
      <c r="M701" s="97"/>
      <c r="N701" s="97"/>
      <c r="O701" s="97"/>
      <c r="P701" s="97"/>
      <c r="Q701" s="97"/>
      <c r="R701" s="97"/>
      <c r="S701" s="97"/>
      <c r="T701" s="97"/>
      <c r="U701" s="97"/>
      <c r="V701" s="97"/>
      <c r="W701" s="97"/>
      <c r="X701" s="129"/>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c r="DF701" s="97"/>
      <c r="DG701" s="97"/>
      <c r="DH701" s="97"/>
      <c r="DI701" s="97"/>
      <c r="DJ701" s="97"/>
      <c r="DK701" s="97"/>
      <c r="DL701" s="97"/>
      <c r="DM701" s="97"/>
      <c r="DN701" s="97"/>
      <c r="DO701" s="97"/>
      <c r="DP701" s="97"/>
      <c r="DQ701" s="97"/>
      <c r="DR701" s="97"/>
      <c r="DS701" s="97"/>
      <c r="DT701" s="97"/>
      <c r="DU701" s="97"/>
      <c r="DV701" s="97"/>
      <c r="DW701" s="97"/>
      <c r="DX701" s="97"/>
      <c r="DY701" s="97"/>
      <c r="DZ701" s="97"/>
      <c r="EA701" s="97"/>
      <c r="EB701" s="97"/>
      <c r="EC701" s="97"/>
      <c r="ED701" s="97"/>
      <c r="EE701" s="97"/>
      <c r="EF701" s="97"/>
      <c r="EG701" s="97"/>
      <c r="EH701" s="97"/>
      <c r="EI701" s="97"/>
      <c r="EJ701" s="97"/>
      <c r="EK701" s="97"/>
      <c r="EL701" s="97"/>
      <c r="EM701" s="97"/>
      <c r="EN701" s="97"/>
      <c r="EO701" s="97"/>
      <c r="EP701" s="97"/>
      <c r="EQ701" s="97"/>
      <c r="ER701" s="97"/>
      <c r="ES701" s="97"/>
      <c r="ET701" s="97"/>
    </row>
    <row r="702" spans="1:150" ht="15.75" customHeight="1">
      <c r="A702" s="97"/>
      <c r="B702" s="97"/>
      <c r="C702" s="97"/>
      <c r="D702" s="97"/>
      <c r="E702" s="97"/>
      <c r="F702" s="97"/>
      <c r="G702" s="97"/>
      <c r="H702" s="129"/>
      <c r="I702" s="97"/>
      <c r="J702" s="97"/>
      <c r="K702" s="97"/>
      <c r="L702" s="97"/>
      <c r="M702" s="97"/>
      <c r="N702" s="97"/>
      <c r="O702" s="97"/>
      <c r="P702" s="97"/>
      <c r="Q702" s="97"/>
      <c r="R702" s="97"/>
      <c r="S702" s="97"/>
      <c r="T702" s="97"/>
      <c r="U702" s="97"/>
      <c r="V702" s="97"/>
      <c r="W702" s="97"/>
      <c r="X702" s="129"/>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c r="DF702" s="97"/>
      <c r="DG702" s="97"/>
      <c r="DH702" s="97"/>
      <c r="DI702" s="97"/>
      <c r="DJ702" s="97"/>
      <c r="DK702" s="97"/>
      <c r="DL702" s="97"/>
      <c r="DM702" s="97"/>
      <c r="DN702" s="97"/>
      <c r="DO702" s="97"/>
      <c r="DP702" s="97"/>
      <c r="DQ702" s="97"/>
      <c r="DR702" s="97"/>
      <c r="DS702" s="97"/>
      <c r="DT702" s="97"/>
      <c r="DU702" s="97"/>
      <c r="DV702" s="97"/>
      <c r="DW702" s="97"/>
      <c r="DX702" s="97"/>
      <c r="DY702" s="97"/>
      <c r="DZ702" s="97"/>
      <c r="EA702" s="97"/>
      <c r="EB702" s="97"/>
      <c r="EC702" s="97"/>
      <c r="ED702" s="97"/>
      <c r="EE702" s="97"/>
      <c r="EF702" s="97"/>
      <c r="EG702" s="97"/>
      <c r="EH702" s="97"/>
      <c r="EI702" s="97"/>
      <c r="EJ702" s="97"/>
      <c r="EK702" s="97"/>
      <c r="EL702" s="97"/>
      <c r="EM702" s="97"/>
      <c r="EN702" s="97"/>
      <c r="EO702" s="97"/>
      <c r="EP702" s="97"/>
      <c r="EQ702" s="97"/>
      <c r="ER702" s="97"/>
      <c r="ES702" s="97"/>
      <c r="ET702" s="97"/>
    </row>
    <row r="703" spans="1:150" ht="15.75" customHeight="1">
      <c r="A703" s="97"/>
      <c r="B703" s="97"/>
      <c r="C703" s="97"/>
      <c r="D703" s="97"/>
      <c r="E703" s="97"/>
      <c r="F703" s="97"/>
      <c r="G703" s="97"/>
      <c r="H703" s="129"/>
      <c r="I703" s="97"/>
      <c r="J703" s="97"/>
      <c r="K703" s="97"/>
      <c r="L703" s="97"/>
      <c r="M703" s="97"/>
      <c r="N703" s="97"/>
      <c r="O703" s="97"/>
      <c r="P703" s="97"/>
      <c r="Q703" s="97"/>
      <c r="R703" s="97"/>
      <c r="S703" s="97"/>
      <c r="T703" s="97"/>
      <c r="U703" s="97"/>
      <c r="V703" s="97"/>
      <c r="W703" s="97"/>
      <c r="X703" s="129"/>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c r="DF703" s="97"/>
      <c r="DG703" s="97"/>
      <c r="DH703" s="97"/>
      <c r="DI703" s="97"/>
      <c r="DJ703" s="97"/>
      <c r="DK703" s="97"/>
      <c r="DL703" s="97"/>
      <c r="DM703" s="97"/>
      <c r="DN703" s="97"/>
      <c r="DO703" s="97"/>
      <c r="DP703" s="97"/>
      <c r="DQ703" s="97"/>
      <c r="DR703" s="97"/>
      <c r="DS703" s="97"/>
      <c r="DT703" s="97"/>
      <c r="DU703" s="97"/>
      <c r="DV703" s="97"/>
      <c r="DW703" s="97"/>
      <c r="DX703" s="97"/>
      <c r="DY703" s="97"/>
      <c r="DZ703" s="97"/>
      <c r="EA703" s="97"/>
      <c r="EB703" s="97"/>
      <c r="EC703" s="97"/>
      <c r="ED703" s="97"/>
      <c r="EE703" s="97"/>
      <c r="EF703" s="97"/>
      <c r="EG703" s="97"/>
      <c r="EH703" s="97"/>
      <c r="EI703" s="97"/>
      <c r="EJ703" s="97"/>
      <c r="EK703" s="97"/>
      <c r="EL703" s="97"/>
      <c r="EM703" s="97"/>
      <c r="EN703" s="97"/>
      <c r="EO703" s="97"/>
      <c r="EP703" s="97"/>
      <c r="EQ703" s="97"/>
      <c r="ER703" s="97"/>
      <c r="ES703" s="97"/>
      <c r="ET703" s="97"/>
    </row>
    <row r="704" spans="1:150" ht="15.75" customHeight="1">
      <c r="A704" s="97"/>
      <c r="B704" s="97"/>
      <c r="C704" s="97"/>
      <c r="D704" s="97"/>
      <c r="E704" s="97"/>
      <c r="F704" s="97"/>
      <c r="G704" s="97"/>
      <c r="H704" s="129"/>
      <c r="I704" s="97"/>
      <c r="J704" s="97"/>
      <c r="K704" s="97"/>
      <c r="L704" s="97"/>
      <c r="M704" s="97"/>
      <c r="N704" s="97"/>
      <c r="O704" s="97"/>
      <c r="P704" s="97"/>
      <c r="Q704" s="97"/>
      <c r="R704" s="97"/>
      <c r="S704" s="97"/>
      <c r="T704" s="97"/>
      <c r="U704" s="97"/>
      <c r="V704" s="97"/>
      <c r="W704" s="97"/>
      <c r="X704" s="129"/>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c r="DF704" s="97"/>
      <c r="DG704" s="97"/>
      <c r="DH704" s="97"/>
      <c r="DI704" s="97"/>
      <c r="DJ704" s="97"/>
      <c r="DK704" s="97"/>
      <c r="DL704" s="97"/>
      <c r="DM704" s="97"/>
      <c r="DN704" s="97"/>
      <c r="DO704" s="97"/>
      <c r="DP704" s="97"/>
      <c r="DQ704" s="97"/>
      <c r="DR704" s="97"/>
      <c r="DS704" s="97"/>
      <c r="DT704" s="97"/>
      <c r="DU704" s="97"/>
      <c r="DV704" s="97"/>
      <c r="DW704" s="97"/>
      <c r="DX704" s="97"/>
      <c r="DY704" s="97"/>
      <c r="DZ704" s="97"/>
      <c r="EA704" s="97"/>
      <c r="EB704" s="97"/>
      <c r="EC704" s="97"/>
      <c r="ED704" s="97"/>
      <c r="EE704" s="97"/>
      <c r="EF704" s="97"/>
      <c r="EG704" s="97"/>
      <c r="EH704" s="97"/>
      <c r="EI704" s="97"/>
      <c r="EJ704" s="97"/>
      <c r="EK704" s="97"/>
      <c r="EL704" s="97"/>
      <c r="EM704" s="97"/>
      <c r="EN704" s="97"/>
      <c r="EO704" s="97"/>
      <c r="EP704" s="97"/>
      <c r="EQ704" s="97"/>
      <c r="ER704" s="97"/>
      <c r="ES704" s="97"/>
      <c r="ET704" s="97"/>
    </row>
    <row r="705" spans="1:150" ht="15.75" customHeight="1">
      <c r="A705" s="97"/>
      <c r="B705" s="97"/>
      <c r="C705" s="97"/>
      <c r="D705" s="97"/>
      <c r="E705" s="97"/>
      <c r="F705" s="97"/>
      <c r="G705" s="97"/>
      <c r="H705" s="129"/>
      <c r="I705" s="97"/>
      <c r="J705" s="97"/>
      <c r="K705" s="97"/>
      <c r="L705" s="97"/>
      <c r="M705" s="97"/>
      <c r="N705" s="97"/>
      <c r="O705" s="97"/>
      <c r="P705" s="97"/>
      <c r="Q705" s="97"/>
      <c r="R705" s="97"/>
      <c r="S705" s="97"/>
      <c r="T705" s="97"/>
      <c r="U705" s="97"/>
      <c r="V705" s="97"/>
      <c r="W705" s="97"/>
      <c r="X705" s="129"/>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c r="DF705" s="97"/>
      <c r="DG705" s="97"/>
      <c r="DH705" s="97"/>
      <c r="DI705" s="97"/>
      <c r="DJ705" s="97"/>
      <c r="DK705" s="97"/>
      <c r="DL705" s="97"/>
      <c r="DM705" s="97"/>
      <c r="DN705" s="97"/>
      <c r="DO705" s="97"/>
      <c r="DP705" s="97"/>
      <c r="DQ705" s="97"/>
      <c r="DR705" s="97"/>
      <c r="DS705" s="97"/>
      <c r="DT705" s="97"/>
      <c r="DU705" s="97"/>
      <c r="DV705" s="97"/>
      <c r="DW705" s="97"/>
      <c r="DX705" s="97"/>
      <c r="DY705" s="97"/>
      <c r="DZ705" s="97"/>
      <c r="EA705" s="97"/>
      <c r="EB705" s="97"/>
      <c r="EC705" s="97"/>
      <c r="ED705" s="97"/>
      <c r="EE705" s="97"/>
      <c r="EF705" s="97"/>
      <c r="EG705" s="97"/>
      <c r="EH705" s="97"/>
      <c r="EI705" s="97"/>
      <c r="EJ705" s="97"/>
      <c r="EK705" s="97"/>
      <c r="EL705" s="97"/>
      <c r="EM705" s="97"/>
      <c r="EN705" s="97"/>
      <c r="EO705" s="97"/>
      <c r="EP705" s="97"/>
      <c r="EQ705" s="97"/>
      <c r="ER705" s="97"/>
      <c r="ES705" s="97"/>
      <c r="ET705" s="97"/>
    </row>
    <row r="706" spans="1:150" ht="15.75" customHeight="1">
      <c r="A706" s="97"/>
      <c r="B706" s="97"/>
      <c r="C706" s="97"/>
      <c r="D706" s="97"/>
      <c r="E706" s="97"/>
      <c r="F706" s="97"/>
      <c r="G706" s="97"/>
      <c r="H706" s="129"/>
      <c r="I706" s="97"/>
      <c r="J706" s="97"/>
      <c r="K706" s="97"/>
      <c r="L706" s="97"/>
      <c r="M706" s="97"/>
      <c r="N706" s="97"/>
      <c r="O706" s="97"/>
      <c r="P706" s="97"/>
      <c r="Q706" s="97"/>
      <c r="R706" s="97"/>
      <c r="S706" s="97"/>
      <c r="T706" s="97"/>
      <c r="U706" s="97"/>
      <c r="V706" s="97"/>
      <c r="W706" s="97"/>
      <c r="X706" s="129"/>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c r="DF706" s="97"/>
      <c r="DG706" s="97"/>
      <c r="DH706" s="97"/>
      <c r="DI706" s="97"/>
      <c r="DJ706" s="97"/>
      <c r="DK706" s="97"/>
      <c r="DL706" s="97"/>
      <c r="DM706" s="97"/>
      <c r="DN706" s="97"/>
      <c r="DO706" s="97"/>
      <c r="DP706" s="97"/>
      <c r="DQ706" s="97"/>
      <c r="DR706" s="97"/>
      <c r="DS706" s="97"/>
      <c r="DT706" s="97"/>
      <c r="DU706" s="97"/>
      <c r="DV706" s="97"/>
      <c r="DW706" s="97"/>
      <c r="DX706" s="97"/>
      <c r="DY706" s="97"/>
      <c r="DZ706" s="97"/>
      <c r="EA706" s="97"/>
      <c r="EB706" s="97"/>
      <c r="EC706" s="97"/>
      <c r="ED706" s="97"/>
      <c r="EE706" s="97"/>
      <c r="EF706" s="97"/>
      <c r="EG706" s="97"/>
      <c r="EH706" s="97"/>
      <c r="EI706" s="97"/>
      <c r="EJ706" s="97"/>
      <c r="EK706" s="97"/>
      <c r="EL706" s="97"/>
      <c r="EM706" s="97"/>
      <c r="EN706" s="97"/>
      <c r="EO706" s="97"/>
      <c r="EP706" s="97"/>
      <c r="EQ706" s="97"/>
      <c r="ER706" s="97"/>
      <c r="ES706" s="97"/>
      <c r="ET706" s="97"/>
    </row>
    <row r="707" spans="1:150" ht="15.75" customHeight="1">
      <c r="A707" s="97"/>
      <c r="B707" s="97"/>
      <c r="C707" s="97"/>
      <c r="D707" s="97"/>
      <c r="E707" s="97"/>
      <c r="F707" s="97"/>
      <c r="G707" s="97"/>
      <c r="H707" s="129"/>
      <c r="I707" s="97"/>
      <c r="J707" s="97"/>
      <c r="K707" s="97"/>
      <c r="L707" s="97"/>
      <c r="M707" s="97"/>
      <c r="N707" s="97"/>
      <c r="O707" s="97"/>
      <c r="P707" s="97"/>
      <c r="Q707" s="97"/>
      <c r="R707" s="97"/>
      <c r="S707" s="97"/>
      <c r="T707" s="97"/>
      <c r="U707" s="97"/>
      <c r="V707" s="97"/>
      <c r="W707" s="97"/>
      <c r="X707" s="129"/>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c r="DF707" s="97"/>
      <c r="DG707" s="97"/>
      <c r="DH707" s="97"/>
      <c r="DI707" s="97"/>
      <c r="DJ707" s="97"/>
      <c r="DK707" s="97"/>
      <c r="DL707" s="97"/>
      <c r="DM707" s="97"/>
      <c r="DN707" s="97"/>
      <c r="DO707" s="97"/>
      <c r="DP707" s="97"/>
      <c r="DQ707" s="97"/>
      <c r="DR707" s="97"/>
      <c r="DS707" s="97"/>
      <c r="DT707" s="97"/>
      <c r="DU707" s="97"/>
      <c r="DV707" s="97"/>
      <c r="DW707" s="97"/>
      <c r="DX707" s="97"/>
      <c r="DY707" s="97"/>
      <c r="DZ707" s="97"/>
      <c r="EA707" s="97"/>
      <c r="EB707" s="97"/>
      <c r="EC707" s="97"/>
      <c r="ED707" s="97"/>
      <c r="EE707" s="97"/>
      <c r="EF707" s="97"/>
      <c r="EG707" s="97"/>
      <c r="EH707" s="97"/>
      <c r="EI707" s="97"/>
      <c r="EJ707" s="97"/>
      <c r="EK707" s="97"/>
      <c r="EL707" s="97"/>
      <c r="EM707" s="97"/>
      <c r="EN707" s="97"/>
      <c r="EO707" s="97"/>
      <c r="EP707" s="97"/>
      <c r="EQ707" s="97"/>
      <c r="ER707" s="97"/>
      <c r="ES707" s="97"/>
      <c r="ET707" s="97"/>
    </row>
    <row r="708" spans="1:150" ht="15.75" customHeight="1">
      <c r="A708" s="97"/>
      <c r="B708" s="97"/>
      <c r="C708" s="97"/>
      <c r="D708" s="97"/>
      <c r="E708" s="97"/>
      <c r="F708" s="97"/>
      <c r="G708" s="97"/>
      <c r="H708" s="129"/>
      <c r="I708" s="97"/>
      <c r="J708" s="97"/>
      <c r="K708" s="97"/>
      <c r="L708" s="97"/>
      <c r="M708" s="97"/>
      <c r="N708" s="97"/>
      <c r="O708" s="97"/>
      <c r="P708" s="97"/>
      <c r="Q708" s="97"/>
      <c r="R708" s="97"/>
      <c r="S708" s="97"/>
      <c r="T708" s="97"/>
      <c r="U708" s="97"/>
      <c r="V708" s="97"/>
      <c r="W708" s="97"/>
      <c r="X708" s="129"/>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c r="DF708" s="97"/>
      <c r="DG708" s="97"/>
      <c r="DH708" s="97"/>
      <c r="DI708" s="97"/>
      <c r="DJ708" s="97"/>
      <c r="DK708" s="97"/>
      <c r="DL708" s="97"/>
      <c r="DM708" s="97"/>
      <c r="DN708" s="97"/>
      <c r="DO708" s="97"/>
      <c r="DP708" s="97"/>
      <c r="DQ708" s="97"/>
      <c r="DR708" s="97"/>
      <c r="DS708" s="97"/>
      <c r="DT708" s="97"/>
      <c r="DU708" s="97"/>
      <c r="DV708" s="97"/>
      <c r="DW708" s="97"/>
      <c r="DX708" s="97"/>
      <c r="DY708" s="97"/>
      <c r="DZ708" s="97"/>
      <c r="EA708" s="97"/>
      <c r="EB708" s="97"/>
      <c r="EC708" s="97"/>
      <c r="ED708" s="97"/>
      <c r="EE708" s="97"/>
      <c r="EF708" s="97"/>
      <c r="EG708" s="97"/>
      <c r="EH708" s="97"/>
      <c r="EI708" s="97"/>
      <c r="EJ708" s="97"/>
      <c r="EK708" s="97"/>
      <c r="EL708" s="97"/>
      <c r="EM708" s="97"/>
      <c r="EN708" s="97"/>
      <c r="EO708" s="97"/>
      <c r="EP708" s="97"/>
      <c r="EQ708" s="97"/>
      <c r="ER708" s="97"/>
      <c r="ES708" s="97"/>
      <c r="ET708" s="97"/>
    </row>
    <row r="709" spans="1:150" ht="15.75" customHeight="1">
      <c r="A709" s="97"/>
      <c r="B709" s="97"/>
      <c r="C709" s="97"/>
      <c r="D709" s="97"/>
      <c r="E709" s="97"/>
      <c r="F709" s="97"/>
      <c r="G709" s="97"/>
      <c r="H709" s="129"/>
      <c r="I709" s="97"/>
      <c r="J709" s="97"/>
      <c r="K709" s="97"/>
      <c r="L709" s="97"/>
      <c r="M709" s="97"/>
      <c r="N709" s="97"/>
      <c r="O709" s="97"/>
      <c r="P709" s="97"/>
      <c r="Q709" s="97"/>
      <c r="R709" s="97"/>
      <c r="S709" s="97"/>
      <c r="T709" s="97"/>
      <c r="U709" s="97"/>
      <c r="V709" s="97"/>
      <c r="W709" s="97"/>
      <c r="X709" s="129"/>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c r="DF709" s="97"/>
      <c r="DG709" s="97"/>
      <c r="DH709" s="97"/>
      <c r="DI709" s="97"/>
      <c r="DJ709" s="97"/>
      <c r="DK709" s="97"/>
      <c r="DL709" s="97"/>
      <c r="DM709" s="97"/>
      <c r="DN709" s="97"/>
      <c r="DO709" s="97"/>
      <c r="DP709" s="97"/>
      <c r="DQ709" s="97"/>
      <c r="DR709" s="97"/>
      <c r="DS709" s="97"/>
      <c r="DT709" s="97"/>
      <c r="DU709" s="97"/>
      <c r="DV709" s="97"/>
      <c r="DW709" s="97"/>
      <c r="DX709" s="97"/>
      <c r="DY709" s="97"/>
      <c r="DZ709" s="97"/>
      <c r="EA709" s="97"/>
      <c r="EB709" s="97"/>
      <c r="EC709" s="97"/>
      <c r="ED709" s="97"/>
      <c r="EE709" s="97"/>
      <c r="EF709" s="97"/>
      <c r="EG709" s="97"/>
      <c r="EH709" s="97"/>
      <c r="EI709" s="97"/>
      <c r="EJ709" s="97"/>
      <c r="EK709" s="97"/>
      <c r="EL709" s="97"/>
      <c r="EM709" s="97"/>
      <c r="EN709" s="97"/>
      <c r="EO709" s="97"/>
      <c r="EP709" s="97"/>
      <c r="EQ709" s="97"/>
      <c r="ER709" s="97"/>
      <c r="ES709" s="97"/>
      <c r="ET709" s="97"/>
    </row>
    <row r="710" spans="1:150" ht="15.75" customHeight="1">
      <c r="A710" s="97"/>
      <c r="B710" s="97"/>
      <c r="C710" s="97"/>
      <c r="D710" s="97"/>
      <c r="E710" s="97"/>
      <c r="F710" s="97"/>
      <c r="G710" s="97"/>
      <c r="H710" s="129"/>
      <c r="I710" s="97"/>
      <c r="J710" s="97"/>
      <c r="K710" s="97"/>
      <c r="L710" s="97"/>
      <c r="M710" s="97"/>
      <c r="N710" s="97"/>
      <c r="O710" s="97"/>
      <c r="P710" s="97"/>
      <c r="Q710" s="97"/>
      <c r="R710" s="97"/>
      <c r="S710" s="97"/>
      <c r="T710" s="97"/>
      <c r="U710" s="97"/>
      <c r="V710" s="97"/>
      <c r="W710" s="97"/>
      <c r="X710" s="129"/>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c r="DF710" s="97"/>
      <c r="DG710" s="97"/>
      <c r="DH710" s="97"/>
      <c r="DI710" s="97"/>
      <c r="DJ710" s="97"/>
      <c r="DK710" s="97"/>
      <c r="DL710" s="97"/>
      <c r="DM710" s="97"/>
      <c r="DN710" s="97"/>
      <c r="DO710" s="97"/>
      <c r="DP710" s="97"/>
      <c r="DQ710" s="97"/>
      <c r="DR710" s="97"/>
      <c r="DS710" s="97"/>
      <c r="DT710" s="97"/>
      <c r="DU710" s="97"/>
      <c r="DV710" s="97"/>
      <c r="DW710" s="97"/>
      <c r="DX710" s="97"/>
      <c r="DY710" s="97"/>
      <c r="DZ710" s="97"/>
      <c r="EA710" s="97"/>
      <c r="EB710" s="97"/>
      <c r="EC710" s="97"/>
      <c r="ED710" s="97"/>
      <c r="EE710" s="97"/>
      <c r="EF710" s="97"/>
      <c r="EG710" s="97"/>
      <c r="EH710" s="97"/>
      <c r="EI710" s="97"/>
      <c r="EJ710" s="97"/>
      <c r="EK710" s="97"/>
      <c r="EL710" s="97"/>
      <c r="EM710" s="97"/>
      <c r="EN710" s="97"/>
      <c r="EO710" s="97"/>
      <c r="EP710" s="97"/>
      <c r="EQ710" s="97"/>
      <c r="ER710" s="97"/>
      <c r="ES710" s="97"/>
      <c r="ET710" s="97"/>
    </row>
    <row r="711" spans="1:150" ht="15.75" customHeight="1">
      <c r="A711" s="97"/>
      <c r="B711" s="97"/>
      <c r="C711" s="97"/>
      <c r="D711" s="97"/>
      <c r="E711" s="97"/>
      <c r="F711" s="97"/>
      <c r="G711" s="97"/>
      <c r="H711" s="129"/>
      <c r="I711" s="97"/>
      <c r="J711" s="97"/>
      <c r="K711" s="97"/>
      <c r="L711" s="97"/>
      <c r="M711" s="97"/>
      <c r="N711" s="97"/>
      <c r="O711" s="97"/>
      <c r="P711" s="97"/>
      <c r="Q711" s="97"/>
      <c r="R711" s="97"/>
      <c r="S711" s="97"/>
      <c r="T711" s="97"/>
      <c r="U711" s="97"/>
      <c r="V711" s="97"/>
      <c r="W711" s="97"/>
      <c r="X711" s="129"/>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c r="DF711" s="97"/>
      <c r="DG711" s="97"/>
      <c r="DH711" s="97"/>
      <c r="DI711" s="97"/>
      <c r="DJ711" s="97"/>
      <c r="DK711" s="97"/>
      <c r="DL711" s="97"/>
      <c r="DM711" s="97"/>
      <c r="DN711" s="97"/>
      <c r="DO711" s="97"/>
      <c r="DP711" s="97"/>
      <c r="DQ711" s="97"/>
      <c r="DR711" s="97"/>
      <c r="DS711" s="97"/>
      <c r="DT711" s="97"/>
      <c r="DU711" s="97"/>
      <c r="DV711" s="97"/>
      <c r="DW711" s="97"/>
      <c r="DX711" s="97"/>
      <c r="DY711" s="97"/>
      <c r="DZ711" s="97"/>
      <c r="EA711" s="97"/>
      <c r="EB711" s="97"/>
      <c r="EC711" s="97"/>
      <c r="ED711" s="97"/>
      <c r="EE711" s="97"/>
      <c r="EF711" s="97"/>
      <c r="EG711" s="97"/>
      <c r="EH711" s="97"/>
      <c r="EI711" s="97"/>
      <c r="EJ711" s="97"/>
      <c r="EK711" s="97"/>
      <c r="EL711" s="97"/>
      <c r="EM711" s="97"/>
      <c r="EN711" s="97"/>
      <c r="EO711" s="97"/>
      <c r="EP711" s="97"/>
      <c r="EQ711" s="97"/>
      <c r="ER711" s="97"/>
      <c r="ES711" s="97"/>
      <c r="ET711" s="97"/>
    </row>
    <row r="712" spans="1:150" ht="15.75" customHeight="1">
      <c r="A712" s="97"/>
      <c r="B712" s="97"/>
      <c r="C712" s="97"/>
      <c r="D712" s="97"/>
      <c r="E712" s="97"/>
      <c r="F712" s="97"/>
      <c r="G712" s="97"/>
      <c r="H712" s="129"/>
      <c r="I712" s="97"/>
      <c r="J712" s="97"/>
      <c r="K712" s="97"/>
      <c r="L712" s="97"/>
      <c r="M712" s="97"/>
      <c r="N712" s="97"/>
      <c r="O712" s="97"/>
      <c r="P712" s="97"/>
      <c r="Q712" s="97"/>
      <c r="R712" s="97"/>
      <c r="S712" s="97"/>
      <c r="T712" s="97"/>
      <c r="U712" s="97"/>
      <c r="V712" s="97"/>
      <c r="W712" s="97"/>
      <c r="X712" s="129"/>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c r="DF712" s="97"/>
      <c r="DG712" s="97"/>
      <c r="DH712" s="97"/>
      <c r="DI712" s="97"/>
      <c r="DJ712" s="97"/>
      <c r="DK712" s="97"/>
      <c r="DL712" s="97"/>
      <c r="DM712" s="97"/>
      <c r="DN712" s="97"/>
      <c r="DO712" s="97"/>
      <c r="DP712" s="97"/>
      <c r="DQ712" s="97"/>
      <c r="DR712" s="97"/>
      <c r="DS712" s="97"/>
      <c r="DT712" s="97"/>
      <c r="DU712" s="97"/>
      <c r="DV712" s="97"/>
      <c r="DW712" s="97"/>
      <c r="DX712" s="97"/>
      <c r="DY712" s="97"/>
      <c r="DZ712" s="97"/>
      <c r="EA712" s="97"/>
      <c r="EB712" s="97"/>
      <c r="EC712" s="97"/>
      <c r="ED712" s="97"/>
      <c r="EE712" s="97"/>
      <c r="EF712" s="97"/>
      <c r="EG712" s="97"/>
      <c r="EH712" s="97"/>
      <c r="EI712" s="97"/>
      <c r="EJ712" s="97"/>
      <c r="EK712" s="97"/>
      <c r="EL712" s="97"/>
      <c r="EM712" s="97"/>
      <c r="EN712" s="97"/>
      <c r="EO712" s="97"/>
      <c r="EP712" s="97"/>
      <c r="EQ712" s="97"/>
      <c r="ER712" s="97"/>
      <c r="ES712" s="97"/>
      <c r="ET712" s="97"/>
    </row>
    <row r="713" spans="1:150" ht="15.75" customHeight="1">
      <c r="A713" s="97"/>
      <c r="B713" s="97"/>
      <c r="C713" s="97"/>
      <c r="D713" s="97"/>
      <c r="E713" s="97"/>
      <c r="F713" s="97"/>
      <c r="G713" s="97"/>
      <c r="H713" s="129"/>
      <c r="I713" s="97"/>
      <c r="J713" s="97"/>
      <c r="K713" s="97"/>
      <c r="L713" s="97"/>
      <c r="M713" s="97"/>
      <c r="N713" s="97"/>
      <c r="O713" s="97"/>
      <c r="P713" s="97"/>
      <c r="Q713" s="97"/>
      <c r="R713" s="97"/>
      <c r="S713" s="97"/>
      <c r="T713" s="97"/>
      <c r="U713" s="97"/>
      <c r="V713" s="97"/>
      <c r="W713" s="97"/>
      <c r="X713" s="129"/>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c r="DF713" s="97"/>
      <c r="DG713" s="97"/>
      <c r="DH713" s="97"/>
      <c r="DI713" s="97"/>
      <c r="DJ713" s="97"/>
      <c r="DK713" s="97"/>
      <c r="DL713" s="97"/>
      <c r="DM713" s="97"/>
      <c r="DN713" s="97"/>
      <c r="DO713" s="97"/>
      <c r="DP713" s="97"/>
      <c r="DQ713" s="97"/>
      <c r="DR713" s="97"/>
      <c r="DS713" s="97"/>
      <c r="DT713" s="97"/>
      <c r="DU713" s="97"/>
      <c r="DV713" s="97"/>
      <c r="DW713" s="97"/>
      <c r="DX713" s="97"/>
      <c r="DY713" s="97"/>
      <c r="DZ713" s="97"/>
      <c r="EA713" s="97"/>
      <c r="EB713" s="97"/>
      <c r="EC713" s="97"/>
      <c r="ED713" s="97"/>
      <c r="EE713" s="97"/>
      <c r="EF713" s="97"/>
      <c r="EG713" s="97"/>
      <c r="EH713" s="97"/>
      <c r="EI713" s="97"/>
      <c r="EJ713" s="97"/>
      <c r="EK713" s="97"/>
      <c r="EL713" s="97"/>
      <c r="EM713" s="97"/>
      <c r="EN713" s="97"/>
      <c r="EO713" s="97"/>
      <c r="EP713" s="97"/>
      <c r="EQ713" s="97"/>
      <c r="ER713" s="97"/>
      <c r="ES713" s="97"/>
      <c r="ET713" s="97"/>
    </row>
    <row r="714" spans="1:150" ht="15.75" customHeight="1">
      <c r="A714" s="97"/>
      <c r="B714" s="97"/>
      <c r="C714" s="97"/>
      <c r="D714" s="97"/>
      <c r="E714" s="97"/>
      <c r="F714" s="97"/>
      <c r="G714" s="97"/>
      <c r="H714" s="129"/>
      <c r="I714" s="97"/>
      <c r="J714" s="97"/>
      <c r="K714" s="97"/>
      <c r="L714" s="97"/>
      <c r="M714" s="97"/>
      <c r="N714" s="97"/>
      <c r="O714" s="97"/>
      <c r="P714" s="97"/>
      <c r="Q714" s="97"/>
      <c r="R714" s="97"/>
      <c r="S714" s="97"/>
      <c r="T714" s="97"/>
      <c r="U714" s="97"/>
      <c r="V714" s="97"/>
      <c r="W714" s="97"/>
      <c r="X714" s="129"/>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c r="DF714" s="97"/>
      <c r="DG714" s="97"/>
      <c r="DH714" s="97"/>
      <c r="DI714" s="97"/>
      <c r="DJ714" s="97"/>
      <c r="DK714" s="97"/>
      <c r="DL714" s="97"/>
      <c r="DM714" s="97"/>
      <c r="DN714" s="97"/>
      <c r="DO714" s="97"/>
      <c r="DP714" s="97"/>
      <c r="DQ714" s="97"/>
      <c r="DR714" s="97"/>
      <c r="DS714" s="97"/>
      <c r="DT714" s="97"/>
      <c r="DU714" s="97"/>
      <c r="DV714" s="97"/>
      <c r="DW714" s="97"/>
      <c r="DX714" s="97"/>
      <c r="DY714" s="97"/>
      <c r="DZ714" s="97"/>
      <c r="EA714" s="97"/>
      <c r="EB714" s="97"/>
      <c r="EC714" s="97"/>
      <c r="ED714" s="97"/>
      <c r="EE714" s="97"/>
      <c r="EF714" s="97"/>
      <c r="EG714" s="97"/>
      <c r="EH714" s="97"/>
      <c r="EI714" s="97"/>
      <c r="EJ714" s="97"/>
      <c r="EK714" s="97"/>
      <c r="EL714" s="97"/>
      <c r="EM714" s="97"/>
      <c r="EN714" s="97"/>
      <c r="EO714" s="97"/>
      <c r="EP714" s="97"/>
      <c r="EQ714" s="97"/>
      <c r="ER714" s="97"/>
      <c r="ES714" s="97"/>
      <c r="ET714" s="97"/>
    </row>
    <row r="715" spans="1:150" ht="15.75" customHeight="1">
      <c r="A715" s="97"/>
      <c r="B715" s="97"/>
      <c r="C715" s="97"/>
      <c r="D715" s="97"/>
      <c r="E715" s="97"/>
      <c r="F715" s="97"/>
      <c r="G715" s="97"/>
      <c r="H715" s="129"/>
      <c r="I715" s="97"/>
      <c r="J715" s="97"/>
      <c r="K715" s="97"/>
      <c r="L715" s="97"/>
      <c r="M715" s="97"/>
      <c r="N715" s="97"/>
      <c r="O715" s="97"/>
      <c r="P715" s="97"/>
      <c r="Q715" s="97"/>
      <c r="R715" s="97"/>
      <c r="S715" s="97"/>
      <c r="T715" s="97"/>
      <c r="U715" s="97"/>
      <c r="V715" s="97"/>
      <c r="W715" s="97"/>
      <c r="X715" s="129"/>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c r="DF715" s="97"/>
      <c r="DG715" s="97"/>
      <c r="DH715" s="97"/>
      <c r="DI715" s="97"/>
      <c r="DJ715" s="97"/>
      <c r="DK715" s="97"/>
      <c r="DL715" s="97"/>
      <c r="DM715" s="97"/>
      <c r="DN715" s="97"/>
      <c r="DO715" s="97"/>
      <c r="DP715" s="97"/>
      <c r="DQ715" s="97"/>
      <c r="DR715" s="97"/>
      <c r="DS715" s="97"/>
      <c r="DT715" s="97"/>
      <c r="DU715" s="97"/>
      <c r="DV715" s="97"/>
      <c r="DW715" s="97"/>
      <c r="DX715" s="97"/>
      <c r="DY715" s="97"/>
      <c r="DZ715" s="97"/>
      <c r="EA715" s="97"/>
      <c r="EB715" s="97"/>
      <c r="EC715" s="97"/>
      <c r="ED715" s="97"/>
      <c r="EE715" s="97"/>
      <c r="EF715" s="97"/>
      <c r="EG715" s="97"/>
      <c r="EH715" s="97"/>
      <c r="EI715" s="97"/>
      <c r="EJ715" s="97"/>
      <c r="EK715" s="97"/>
      <c r="EL715" s="97"/>
      <c r="EM715" s="97"/>
      <c r="EN715" s="97"/>
      <c r="EO715" s="97"/>
      <c r="EP715" s="97"/>
      <c r="EQ715" s="97"/>
      <c r="ER715" s="97"/>
      <c r="ES715" s="97"/>
      <c r="ET715" s="97"/>
    </row>
    <row r="716" spans="1:150" ht="15.75" customHeight="1">
      <c r="A716" s="97"/>
      <c r="B716" s="97"/>
      <c r="C716" s="97"/>
      <c r="D716" s="97"/>
      <c r="E716" s="97"/>
      <c r="F716" s="97"/>
      <c r="G716" s="97"/>
      <c r="H716" s="129"/>
      <c r="I716" s="97"/>
      <c r="J716" s="97"/>
      <c r="K716" s="97"/>
      <c r="L716" s="97"/>
      <c r="M716" s="97"/>
      <c r="N716" s="97"/>
      <c r="O716" s="97"/>
      <c r="P716" s="97"/>
      <c r="Q716" s="97"/>
      <c r="R716" s="97"/>
      <c r="S716" s="97"/>
      <c r="T716" s="97"/>
      <c r="U716" s="97"/>
      <c r="V716" s="97"/>
      <c r="W716" s="97"/>
      <c r="X716" s="129"/>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c r="DF716" s="97"/>
      <c r="DG716" s="97"/>
      <c r="DH716" s="97"/>
      <c r="DI716" s="97"/>
      <c r="DJ716" s="97"/>
      <c r="DK716" s="97"/>
      <c r="DL716" s="97"/>
      <c r="DM716" s="97"/>
      <c r="DN716" s="97"/>
      <c r="DO716" s="97"/>
      <c r="DP716" s="97"/>
      <c r="DQ716" s="97"/>
      <c r="DR716" s="97"/>
      <c r="DS716" s="97"/>
      <c r="DT716" s="97"/>
      <c r="DU716" s="97"/>
      <c r="DV716" s="97"/>
      <c r="DW716" s="97"/>
      <c r="DX716" s="97"/>
      <c r="DY716" s="97"/>
      <c r="DZ716" s="97"/>
      <c r="EA716" s="97"/>
      <c r="EB716" s="97"/>
      <c r="EC716" s="97"/>
      <c r="ED716" s="97"/>
      <c r="EE716" s="97"/>
      <c r="EF716" s="97"/>
      <c r="EG716" s="97"/>
      <c r="EH716" s="97"/>
      <c r="EI716" s="97"/>
      <c r="EJ716" s="97"/>
      <c r="EK716" s="97"/>
      <c r="EL716" s="97"/>
      <c r="EM716" s="97"/>
      <c r="EN716" s="97"/>
      <c r="EO716" s="97"/>
      <c r="EP716" s="97"/>
      <c r="EQ716" s="97"/>
      <c r="ER716" s="97"/>
      <c r="ES716" s="97"/>
      <c r="ET716" s="97"/>
    </row>
    <row r="717" spans="1:150" ht="15.75" customHeight="1">
      <c r="A717" s="97"/>
      <c r="B717" s="97"/>
      <c r="C717" s="97"/>
      <c r="D717" s="97"/>
      <c r="E717" s="97"/>
      <c r="F717" s="97"/>
      <c r="G717" s="97"/>
      <c r="H717" s="129"/>
      <c r="I717" s="97"/>
      <c r="J717" s="97"/>
      <c r="K717" s="97"/>
      <c r="L717" s="97"/>
      <c r="M717" s="97"/>
      <c r="N717" s="97"/>
      <c r="O717" s="97"/>
      <c r="P717" s="97"/>
      <c r="Q717" s="97"/>
      <c r="R717" s="97"/>
      <c r="S717" s="97"/>
      <c r="T717" s="97"/>
      <c r="U717" s="97"/>
      <c r="V717" s="97"/>
      <c r="W717" s="97"/>
      <c r="X717" s="129"/>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c r="DF717" s="97"/>
      <c r="DG717" s="97"/>
      <c r="DH717" s="97"/>
      <c r="DI717" s="97"/>
      <c r="DJ717" s="97"/>
      <c r="DK717" s="97"/>
      <c r="DL717" s="97"/>
      <c r="DM717" s="97"/>
      <c r="DN717" s="97"/>
      <c r="DO717" s="97"/>
      <c r="DP717" s="97"/>
      <c r="DQ717" s="97"/>
      <c r="DR717" s="97"/>
      <c r="DS717" s="97"/>
      <c r="DT717" s="97"/>
      <c r="DU717" s="97"/>
      <c r="DV717" s="97"/>
      <c r="DW717" s="97"/>
      <c r="DX717" s="97"/>
      <c r="DY717" s="97"/>
      <c r="DZ717" s="97"/>
      <c r="EA717" s="97"/>
      <c r="EB717" s="97"/>
      <c r="EC717" s="97"/>
      <c r="ED717" s="97"/>
      <c r="EE717" s="97"/>
      <c r="EF717" s="97"/>
      <c r="EG717" s="97"/>
      <c r="EH717" s="97"/>
      <c r="EI717" s="97"/>
      <c r="EJ717" s="97"/>
      <c r="EK717" s="97"/>
      <c r="EL717" s="97"/>
      <c r="EM717" s="97"/>
      <c r="EN717" s="97"/>
      <c r="EO717" s="97"/>
      <c r="EP717" s="97"/>
      <c r="EQ717" s="97"/>
      <c r="ER717" s="97"/>
      <c r="ES717" s="97"/>
      <c r="ET717" s="97"/>
    </row>
    <row r="718" spans="1:150" ht="15.75" customHeight="1">
      <c r="A718" s="97"/>
      <c r="B718" s="97"/>
      <c r="C718" s="97"/>
      <c r="D718" s="97"/>
      <c r="E718" s="97"/>
      <c r="F718" s="97"/>
      <c r="G718" s="97"/>
      <c r="H718" s="129"/>
      <c r="I718" s="97"/>
      <c r="J718" s="97"/>
      <c r="K718" s="97"/>
      <c r="L718" s="97"/>
      <c r="M718" s="97"/>
      <c r="N718" s="97"/>
      <c r="O718" s="97"/>
      <c r="P718" s="97"/>
      <c r="Q718" s="97"/>
      <c r="R718" s="97"/>
      <c r="S718" s="97"/>
      <c r="T718" s="97"/>
      <c r="U718" s="97"/>
      <c r="V718" s="97"/>
      <c r="W718" s="97"/>
      <c r="X718" s="129"/>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c r="DF718" s="97"/>
      <c r="DG718" s="97"/>
      <c r="DH718" s="97"/>
      <c r="DI718" s="97"/>
      <c r="DJ718" s="97"/>
      <c r="DK718" s="97"/>
      <c r="DL718" s="97"/>
      <c r="DM718" s="97"/>
      <c r="DN718" s="97"/>
      <c r="DO718" s="97"/>
      <c r="DP718" s="97"/>
      <c r="DQ718" s="97"/>
      <c r="DR718" s="97"/>
      <c r="DS718" s="97"/>
      <c r="DT718" s="97"/>
      <c r="DU718" s="97"/>
      <c r="DV718" s="97"/>
      <c r="DW718" s="97"/>
      <c r="DX718" s="97"/>
      <c r="DY718" s="97"/>
      <c r="DZ718" s="97"/>
      <c r="EA718" s="97"/>
      <c r="EB718" s="97"/>
      <c r="EC718" s="97"/>
      <c r="ED718" s="97"/>
      <c r="EE718" s="97"/>
      <c r="EF718" s="97"/>
      <c r="EG718" s="97"/>
      <c r="EH718" s="97"/>
      <c r="EI718" s="97"/>
      <c r="EJ718" s="97"/>
      <c r="EK718" s="97"/>
      <c r="EL718" s="97"/>
      <c r="EM718" s="97"/>
      <c r="EN718" s="97"/>
      <c r="EO718" s="97"/>
      <c r="EP718" s="97"/>
      <c r="EQ718" s="97"/>
      <c r="ER718" s="97"/>
      <c r="ES718" s="97"/>
      <c r="ET718" s="97"/>
    </row>
    <row r="719" spans="1:150" ht="15.75" customHeight="1">
      <c r="A719" s="97"/>
      <c r="B719" s="97"/>
      <c r="C719" s="97"/>
      <c r="D719" s="97"/>
      <c r="E719" s="97"/>
      <c r="F719" s="97"/>
      <c r="G719" s="97"/>
      <c r="H719" s="129"/>
      <c r="I719" s="97"/>
      <c r="J719" s="97"/>
      <c r="K719" s="97"/>
      <c r="L719" s="97"/>
      <c r="M719" s="97"/>
      <c r="N719" s="97"/>
      <c r="O719" s="97"/>
      <c r="P719" s="97"/>
      <c r="Q719" s="97"/>
      <c r="R719" s="97"/>
      <c r="S719" s="97"/>
      <c r="T719" s="97"/>
      <c r="U719" s="97"/>
      <c r="V719" s="97"/>
      <c r="W719" s="97"/>
      <c r="X719" s="129"/>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c r="DF719" s="97"/>
      <c r="DG719" s="97"/>
      <c r="DH719" s="97"/>
      <c r="DI719" s="97"/>
      <c r="DJ719" s="97"/>
      <c r="DK719" s="97"/>
      <c r="DL719" s="97"/>
      <c r="DM719" s="97"/>
      <c r="DN719" s="97"/>
      <c r="DO719" s="97"/>
      <c r="DP719" s="97"/>
      <c r="DQ719" s="97"/>
      <c r="DR719" s="97"/>
      <c r="DS719" s="97"/>
      <c r="DT719" s="97"/>
      <c r="DU719" s="97"/>
      <c r="DV719" s="97"/>
      <c r="DW719" s="97"/>
      <c r="DX719" s="97"/>
      <c r="DY719" s="97"/>
      <c r="DZ719" s="97"/>
      <c r="EA719" s="97"/>
      <c r="EB719" s="97"/>
      <c r="EC719" s="97"/>
      <c r="ED719" s="97"/>
      <c r="EE719" s="97"/>
      <c r="EF719" s="97"/>
      <c r="EG719" s="97"/>
      <c r="EH719" s="97"/>
      <c r="EI719" s="97"/>
      <c r="EJ719" s="97"/>
      <c r="EK719" s="97"/>
      <c r="EL719" s="97"/>
      <c r="EM719" s="97"/>
      <c r="EN719" s="97"/>
      <c r="EO719" s="97"/>
      <c r="EP719" s="97"/>
      <c r="EQ719" s="97"/>
      <c r="ER719" s="97"/>
      <c r="ES719" s="97"/>
      <c r="ET719" s="97"/>
    </row>
    <row r="720" spans="1:150" ht="15.75" customHeight="1">
      <c r="A720" s="97"/>
      <c r="B720" s="97"/>
      <c r="C720" s="97"/>
      <c r="D720" s="97"/>
      <c r="E720" s="97"/>
      <c r="F720" s="97"/>
      <c r="G720" s="97"/>
      <c r="H720" s="129"/>
      <c r="I720" s="97"/>
      <c r="J720" s="97"/>
      <c r="K720" s="97"/>
      <c r="L720" s="97"/>
      <c r="M720" s="97"/>
      <c r="N720" s="97"/>
      <c r="O720" s="97"/>
      <c r="P720" s="97"/>
      <c r="Q720" s="97"/>
      <c r="R720" s="97"/>
      <c r="S720" s="97"/>
      <c r="T720" s="97"/>
      <c r="U720" s="97"/>
      <c r="V720" s="97"/>
      <c r="W720" s="97"/>
      <c r="X720" s="129"/>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c r="DF720" s="97"/>
      <c r="DG720" s="97"/>
      <c r="DH720" s="97"/>
      <c r="DI720" s="97"/>
      <c r="DJ720" s="97"/>
      <c r="DK720" s="97"/>
      <c r="DL720" s="97"/>
      <c r="DM720" s="97"/>
      <c r="DN720" s="97"/>
      <c r="DO720" s="97"/>
      <c r="DP720" s="97"/>
      <c r="DQ720" s="97"/>
      <c r="DR720" s="97"/>
      <c r="DS720" s="97"/>
      <c r="DT720" s="97"/>
      <c r="DU720" s="97"/>
      <c r="DV720" s="97"/>
      <c r="DW720" s="97"/>
      <c r="DX720" s="97"/>
      <c r="DY720" s="97"/>
      <c r="DZ720" s="97"/>
      <c r="EA720" s="97"/>
      <c r="EB720" s="97"/>
      <c r="EC720" s="97"/>
      <c r="ED720" s="97"/>
      <c r="EE720" s="97"/>
      <c r="EF720" s="97"/>
      <c r="EG720" s="97"/>
      <c r="EH720" s="97"/>
      <c r="EI720" s="97"/>
      <c r="EJ720" s="97"/>
      <c r="EK720" s="97"/>
      <c r="EL720" s="97"/>
      <c r="EM720" s="97"/>
      <c r="EN720" s="97"/>
      <c r="EO720" s="97"/>
      <c r="EP720" s="97"/>
      <c r="EQ720" s="97"/>
      <c r="ER720" s="97"/>
      <c r="ES720" s="97"/>
      <c r="ET720" s="97"/>
    </row>
    <row r="721" spans="1:150" ht="15.75" customHeight="1">
      <c r="A721" s="97"/>
      <c r="B721" s="97"/>
      <c r="C721" s="97"/>
      <c r="D721" s="97"/>
      <c r="E721" s="97"/>
      <c r="F721" s="97"/>
      <c r="G721" s="97"/>
      <c r="H721" s="129"/>
      <c r="I721" s="97"/>
      <c r="J721" s="97"/>
      <c r="K721" s="97"/>
      <c r="L721" s="97"/>
      <c r="M721" s="97"/>
      <c r="N721" s="97"/>
      <c r="O721" s="97"/>
      <c r="P721" s="97"/>
      <c r="Q721" s="97"/>
      <c r="R721" s="97"/>
      <c r="S721" s="97"/>
      <c r="T721" s="97"/>
      <c r="U721" s="97"/>
      <c r="V721" s="97"/>
      <c r="W721" s="97"/>
      <c r="X721" s="129"/>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c r="DF721" s="97"/>
      <c r="DG721" s="97"/>
      <c r="DH721" s="97"/>
      <c r="DI721" s="97"/>
      <c r="DJ721" s="97"/>
      <c r="DK721" s="97"/>
      <c r="DL721" s="97"/>
      <c r="DM721" s="97"/>
      <c r="DN721" s="97"/>
      <c r="DO721" s="97"/>
      <c r="DP721" s="97"/>
      <c r="DQ721" s="97"/>
      <c r="DR721" s="97"/>
      <c r="DS721" s="97"/>
      <c r="DT721" s="97"/>
      <c r="DU721" s="97"/>
      <c r="DV721" s="97"/>
      <c r="DW721" s="97"/>
      <c r="DX721" s="97"/>
      <c r="DY721" s="97"/>
      <c r="DZ721" s="97"/>
      <c r="EA721" s="97"/>
      <c r="EB721" s="97"/>
      <c r="EC721" s="97"/>
      <c r="ED721" s="97"/>
      <c r="EE721" s="97"/>
      <c r="EF721" s="97"/>
      <c r="EG721" s="97"/>
      <c r="EH721" s="97"/>
      <c r="EI721" s="97"/>
      <c r="EJ721" s="97"/>
      <c r="EK721" s="97"/>
      <c r="EL721" s="97"/>
      <c r="EM721" s="97"/>
      <c r="EN721" s="97"/>
      <c r="EO721" s="97"/>
      <c r="EP721" s="97"/>
      <c r="EQ721" s="97"/>
      <c r="ER721" s="97"/>
      <c r="ES721" s="97"/>
      <c r="ET721" s="97"/>
    </row>
    <row r="722" spans="1:150" ht="15.75" customHeight="1">
      <c r="A722" s="97"/>
      <c r="B722" s="97"/>
      <c r="C722" s="97"/>
      <c r="D722" s="97"/>
      <c r="E722" s="97"/>
      <c r="F722" s="97"/>
      <c r="G722" s="97"/>
      <c r="H722" s="129"/>
      <c r="I722" s="97"/>
      <c r="J722" s="97"/>
      <c r="K722" s="97"/>
      <c r="L722" s="97"/>
      <c r="M722" s="97"/>
      <c r="N722" s="97"/>
      <c r="O722" s="97"/>
      <c r="P722" s="97"/>
      <c r="Q722" s="97"/>
      <c r="R722" s="97"/>
      <c r="S722" s="97"/>
      <c r="T722" s="97"/>
      <c r="U722" s="97"/>
      <c r="V722" s="97"/>
      <c r="W722" s="97"/>
      <c r="X722" s="129"/>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c r="DF722" s="97"/>
      <c r="DG722" s="97"/>
      <c r="DH722" s="97"/>
      <c r="DI722" s="97"/>
      <c r="DJ722" s="97"/>
      <c r="DK722" s="97"/>
      <c r="DL722" s="97"/>
      <c r="DM722" s="97"/>
      <c r="DN722" s="97"/>
      <c r="DO722" s="97"/>
      <c r="DP722" s="97"/>
      <c r="DQ722" s="97"/>
      <c r="DR722" s="97"/>
      <c r="DS722" s="97"/>
      <c r="DT722" s="97"/>
      <c r="DU722" s="97"/>
      <c r="DV722" s="97"/>
      <c r="DW722" s="97"/>
      <c r="DX722" s="97"/>
      <c r="DY722" s="97"/>
      <c r="DZ722" s="97"/>
      <c r="EA722" s="97"/>
      <c r="EB722" s="97"/>
      <c r="EC722" s="97"/>
      <c r="ED722" s="97"/>
      <c r="EE722" s="97"/>
      <c r="EF722" s="97"/>
      <c r="EG722" s="97"/>
      <c r="EH722" s="97"/>
      <c r="EI722" s="97"/>
      <c r="EJ722" s="97"/>
      <c r="EK722" s="97"/>
      <c r="EL722" s="97"/>
      <c r="EM722" s="97"/>
      <c r="EN722" s="97"/>
      <c r="EO722" s="97"/>
      <c r="EP722" s="97"/>
      <c r="EQ722" s="97"/>
      <c r="ER722" s="97"/>
      <c r="ES722" s="97"/>
      <c r="ET722" s="97"/>
    </row>
    <row r="723" spans="1:150" ht="15.75" customHeight="1">
      <c r="A723" s="97"/>
      <c r="B723" s="97"/>
      <c r="C723" s="97"/>
      <c r="D723" s="97"/>
      <c r="E723" s="97"/>
      <c r="F723" s="97"/>
      <c r="G723" s="97"/>
      <c r="H723" s="129"/>
      <c r="I723" s="97"/>
      <c r="J723" s="97"/>
      <c r="K723" s="97"/>
      <c r="L723" s="97"/>
      <c r="M723" s="97"/>
      <c r="N723" s="97"/>
      <c r="O723" s="97"/>
      <c r="P723" s="97"/>
      <c r="Q723" s="97"/>
      <c r="R723" s="97"/>
      <c r="S723" s="97"/>
      <c r="T723" s="97"/>
      <c r="U723" s="97"/>
      <c r="V723" s="97"/>
      <c r="W723" s="97"/>
      <c r="X723" s="129"/>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c r="DF723" s="97"/>
      <c r="DG723" s="97"/>
      <c r="DH723" s="97"/>
      <c r="DI723" s="97"/>
      <c r="DJ723" s="97"/>
      <c r="DK723" s="97"/>
      <c r="DL723" s="97"/>
      <c r="DM723" s="97"/>
      <c r="DN723" s="97"/>
      <c r="DO723" s="97"/>
      <c r="DP723" s="97"/>
      <c r="DQ723" s="97"/>
      <c r="DR723" s="97"/>
      <c r="DS723" s="97"/>
      <c r="DT723" s="97"/>
      <c r="DU723" s="97"/>
      <c r="DV723" s="97"/>
      <c r="DW723" s="97"/>
      <c r="DX723" s="97"/>
      <c r="DY723" s="97"/>
      <c r="DZ723" s="97"/>
      <c r="EA723" s="97"/>
      <c r="EB723" s="97"/>
      <c r="EC723" s="97"/>
      <c r="ED723" s="97"/>
      <c r="EE723" s="97"/>
      <c r="EF723" s="97"/>
      <c r="EG723" s="97"/>
      <c r="EH723" s="97"/>
      <c r="EI723" s="97"/>
      <c r="EJ723" s="97"/>
      <c r="EK723" s="97"/>
      <c r="EL723" s="97"/>
      <c r="EM723" s="97"/>
      <c r="EN723" s="97"/>
      <c r="EO723" s="97"/>
      <c r="EP723" s="97"/>
      <c r="EQ723" s="97"/>
      <c r="ER723" s="97"/>
      <c r="ES723" s="97"/>
      <c r="ET723" s="97"/>
    </row>
    <row r="724" spans="1:150" ht="15.75" customHeight="1">
      <c r="A724" s="97"/>
      <c r="B724" s="97"/>
      <c r="C724" s="97"/>
      <c r="D724" s="97"/>
      <c r="E724" s="97"/>
      <c r="F724" s="97"/>
      <c r="G724" s="97"/>
      <c r="H724" s="129"/>
      <c r="I724" s="97"/>
      <c r="J724" s="97"/>
      <c r="K724" s="97"/>
      <c r="L724" s="97"/>
      <c r="M724" s="97"/>
      <c r="N724" s="97"/>
      <c r="O724" s="97"/>
      <c r="P724" s="97"/>
      <c r="Q724" s="97"/>
      <c r="R724" s="97"/>
      <c r="S724" s="97"/>
      <c r="T724" s="97"/>
      <c r="U724" s="97"/>
      <c r="V724" s="97"/>
      <c r="W724" s="97"/>
      <c r="X724" s="129"/>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c r="DF724" s="97"/>
      <c r="DG724" s="97"/>
      <c r="DH724" s="97"/>
      <c r="DI724" s="97"/>
      <c r="DJ724" s="97"/>
      <c r="DK724" s="97"/>
      <c r="DL724" s="97"/>
      <c r="DM724" s="97"/>
      <c r="DN724" s="97"/>
      <c r="DO724" s="97"/>
      <c r="DP724" s="97"/>
      <c r="DQ724" s="97"/>
      <c r="DR724" s="97"/>
      <c r="DS724" s="97"/>
      <c r="DT724" s="97"/>
      <c r="DU724" s="97"/>
      <c r="DV724" s="97"/>
      <c r="DW724" s="97"/>
      <c r="DX724" s="97"/>
      <c r="DY724" s="97"/>
      <c r="DZ724" s="97"/>
      <c r="EA724" s="97"/>
      <c r="EB724" s="97"/>
      <c r="EC724" s="97"/>
      <c r="ED724" s="97"/>
      <c r="EE724" s="97"/>
      <c r="EF724" s="97"/>
      <c r="EG724" s="97"/>
      <c r="EH724" s="97"/>
      <c r="EI724" s="97"/>
      <c r="EJ724" s="97"/>
      <c r="EK724" s="97"/>
      <c r="EL724" s="97"/>
      <c r="EM724" s="97"/>
      <c r="EN724" s="97"/>
      <c r="EO724" s="97"/>
      <c r="EP724" s="97"/>
      <c r="EQ724" s="97"/>
      <c r="ER724" s="97"/>
      <c r="ES724" s="97"/>
      <c r="ET724" s="97"/>
    </row>
    <row r="725" spans="1:150" ht="15.75" customHeight="1">
      <c r="A725" s="97"/>
      <c r="B725" s="97"/>
      <c r="C725" s="97"/>
      <c r="D725" s="97"/>
      <c r="E725" s="97"/>
      <c r="F725" s="97"/>
      <c r="G725" s="97"/>
      <c r="H725" s="129"/>
      <c r="I725" s="97"/>
      <c r="J725" s="97"/>
      <c r="K725" s="97"/>
      <c r="L725" s="97"/>
      <c r="M725" s="97"/>
      <c r="N725" s="97"/>
      <c r="O725" s="97"/>
      <c r="P725" s="97"/>
      <c r="Q725" s="97"/>
      <c r="R725" s="97"/>
      <c r="S725" s="97"/>
      <c r="T725" s="97"/>
      <c r="U725" s="97"/>
      <c r="V725" s="97"/>
      <c r="W725" s="97"/>
      <c r="X725" s="129"/>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c r="DF725" s="97"/>
      <c r="DG725" s="97"/>
      <c r="DH725" s="97"/>
      <c r="DI725" s="97"/>
      <c r="DJ725" s="97"/>
      <c r="DK725" s="97"/>
      <c r="DL725" s="97"/>
      <c r="DM725" s="97"/>
      <c r="DN725" s="97"/>
      <c r="DO725" s="97"/>
      <c r="DP725" s="97"/>
      <c r="DQ725" s="97"/>
      <c r="DR725" s="97"/>
      <c r="DS725" s="97"/>
      <c r="DT725" s="97"/>
      <c r="DU725" s="97"/>
      <c r="DV725" s="97"/>
      <c r="DW725" s="97"/>
      <c r="DX725" s="97"/>
      <c r="DY725" s="97"/>
      <c r="DZ725" s="97"/>
      <c r="EA725" s="97"/>
      <c r="EB725" s="97"/>
      <c r="EC725" s="97"/>
      <c r="ED725" s="97"/>
      <c r="EE725" s="97"/>
      <c r="EF725" s="97"/>
      <c r="EG725" s="97"/>
      <c r="EH725" s="97"/>
      <c r="EI725" s="97"/>
      <c r="EJ725" s="97"/>
      <c r="EK725" s="97"/>
      <c r="EL725" s="97"/>
      <c r="EM725" s="97"/>
      <c r="EN725" s="97"/>
      <c r="EO725" s="97"/>
      <c r="EP725" s="97"/>
      <c r="EQ725" s="97"/>
      <c r="ER725" s="97"/>
      <c r="ES725" s="97"/>
      <c r="ET725" s="97"/>
    </row>
    <row r="726" spans="1:150" ht="15.75" customHeight="1">
      <c r="A726" s="97"/>
      <c r="B726" s="97"/>
      <c r="C726" s="97"/>
      <c r="D726" s="97"/>
      <c r="E726" s="97"/>
      <c r="F726" s="97"/>
      <c r="G726" s="97"/>
      <c r="H726" s="129"/>
      <c r="I726" s="97"/>
      <c r="J726" s="97"/>
      <c r="K726" s="97"/>
      <c r="L726" s="97"/>
      <c r="M726" s="97"/>
      <c r="N726" s="97"/>
      <c r="O726" s="97"/>
      <c r="P726" s="97"/>
      <c r="Q726" s="97"/>
      <c r="R726" s="97"/>
      <c r="S726" s="97"/>
      <c r="T726" s="97"/>
      <c r="U726" s="97"/>
      <c r="V726" s="97"/>
      <c r="W726" s="97"/>
      <c r="X726" s="129"/>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c r="DF726" s="97"/>
      <c r="DG726" s="97"/>
      <c r="DH726" s="97"/>
      <c r="DI726" s="97"/>
      <c r="DJ726" s="97"/>
      <c r="DK726" s="97"/>
      <c r="DL726" s="97"/>
      <c r="DM726" s="97"/>
      <c r="DN726" s="97"/>
      <c r="DO726" s="97"/>
      <c r="DP726" s="97"/>
      <c r="DQ726" s="97"/>
      <c r="DR726" s="97"/>
      <c r="DS726" s="97"/>
      <c r="DT726" s="97"/>
      <c r="DU726" s="97"/>
      <c r="DV726" s="97"/>
      <c r="DW726" s="97"/>
      <c r="DX726" s="97"/>
      <c r="DY726" s="97"/>
      <c r="DZ726" s="97"/>
      <c r="EA726" s="97"/>
      <c r="EB726" s="97"/>
      <c r="EC726" s="97"/>
      <c r="ED726" s="97"/>
      <c r="EE726" s="97"/>
      <c r="EF726" s="97"/>
      <c r="EG726" s="97"/>
      <c r="EH726" s="97"/>
      <c r="EI726" s="97"/>
      <c r="EJ726" s="97"/>
      <c r="EK726" s="97"/>
      <c r="EL726" s="97"/>
      <c r="EM726" s="97"/>
      <c r="EN726" s="97"/>
      <c r="EO726" s="97"/>
      <c r="EP726" s="97"/>
      <c r="EQ726" s="97"/>
      <c r="ER726" s="97"/>
      <c r="ES726" s="97"/>
      <c r="ET726" s="97"/>
    </row>
    <row r="727" spans="1:150" ht="15.75" customHeight="1">
      <c r="A727" s="97"/>
      <c r="B727" s="97"/>
      <c r="C727" s="97"/>
      <c r="D727" s="97"/>
      <c r="E727" s="97"/>
      <c r="F727" s="97"/>
      <c r="G727" s="97"/>
      <c r="H727" s="129"/>
      <c r="I727" s="97"/>
      <c r="J727" s="97"/>
      <c r="K727" s="97"/>
      <c r="L727" s="97"/>
      <c r="M727" s="97"/>
      <c r="N727" s="97"/>
      <c r="O727" s="97"/>
      <c r="P727" s="97"/>
      <c r="Q727" s="97"/>
      <c r="R727" s="97"/>
      <c r="S727" s="97"/>
      <c r="T727" s="97"/>
      <c r="U727" s="97"/>
      <c r="V727" s="97"/>
      <c r="W727" s="97"/>
      <c r="X727" s="129"/>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c r="DF727" s="97"/>
      <c r="DG727" s="97"/>
      <c r="DH727" s="97"/>
      <c r="DI727" s="97"/>
      <c r="DJ727" s="97"/>
      <c r="DK727" s="97"/>
      <c r="DL727" s="97"/>
      <c r="DM727" s="97"/>
      <c r="DN727" s="97"/>
      <c r="DO727" s="97"/>
      <c r="DP727" s="97"/>
      <c r="DQ727" s="97"/>
      <c r="DR727" s="97"/>
      <c r="DS727" s="97"/>
      <c r="DT727" s="97"/>
      <c r="DU727" s="97"/>
      <c r="DV727" s="97"/>
      <c r="DW727" s="97"/>
      <c r="DX727" s="97"/>
      <c r="DY727" s="97"/>
      <c r="DZ727" s="97"/>
      <c r="EA727" s="97"/>
      <c r="EB727" s="97"/>
      <c r="EC727" s="97"/>
      <c r="ED727" s="97"/>
      <c r="EE727" s="97"/>
      <c r="EF727" s="97"/>
      <c r="EG727" s="97"/>
      <c r="EH727" s="97"/>
      <c r="EI727" s="97"/>
      <c r="EJ727" s="97"/>
      <c r="EK727" s="97"/>
      <c r="EL727" s="97"/>
      <c r="EM727" s="97"/>
      <c r="EN727" s="97"/>
      <c r="EO727" s="97"/>
      <c r="EP727" s="97"/>
      <c r="EQ727" s="97"/>
      <c r="ER727" s="97"/>
      <c r="ES727" s="97"/>
      <c r="ET727" s="97"/>
    </row>
    <row r="728" spans="1:150" ht="15.75" customHeight="1">
      <c r="A728" s="97"/>
      <c r="B728" s="97"/>
      <c r="C728" s="97"/>
      <c r="D728" s="97"/>
      <c r="E728" s="97"/>
      <c r="F728" s="97"/>
      <c r="G728" s="97"/>
      <c r="H728" s="129"/>
      <c r="I728" s="97"/>
      <c r="J728" s="97"/>
      <c r="K728" s="97"/>
      <c r="L728" s="97"/>
      <c r="M728" s="97"/>
      <c r="N728" s="97"/>
      <c r="O728" s="97"/>
      <c r="P728" s="97"/>
      <c r="Q728" s="97"/>
      <c r="R728" s="97"/>
      <c r="S728" s="97"/>
      <c r="T728" s="97"/>
      <c r="U728" s="97"/>
      <c r="V728" s="97"/>
      <c r="W728" s="97"/>
      <c r="X728" s="129"/>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c r="DF728" s="97"/>
      <c r="DG728" s="97"/>
      <c r="DH728" s="97"/>
      <c r="DI728" s="97"/>
      <c r="DJ728" s="97"/>
      <c r="DK728" s="97"/>
      <c r="DL728" s="97"/>
      <c r="DM728" s="97"/>
      <c r="DN728" s="97"/>
      <c r="DO728" s="97"/>
      <c r="DP728" s="97"/>
      <c r="DQ728" s="97"/>
      <c r="DR728" s="97"/>
      <c r="DS728" s="97"/>
      <c r="DT728" s="97"/>
      <c r="DU728" s="97"/>
      <c r="DV728" s="97"/>
      <c r="DW728" s="97"/>
      <c r="DX728" s="97"/>
      <c r="DY728" s="97"/>
      <c r="DZ728" s="97"/>
      <c r="EA728" s="97"/>
      <c r="EB728" s="97"/>
      <c r="EC728" s="97"/>
      <c r="ED728" s="97"/>
      <c r="EE728" s="97"/>
      <c r="EF728" s="97"/>
      <c r="EG728" s="97"/>
      <c r="EH728" s="97"/>
      <c r="EI728" s="97"/>
      <c r="EJ728" s="97"/>
      <c r="EK728" s="97"/>
      <c r="EL728" s="97"/>
      <c r="EM728" s="97"/>
      <c r="EN728" s="97"/>
      <c r="EO728" s="97"/>
      <c r="EP728" s="97"/>
      <c r="EQ728" s="97"/>
      <c r="ER728" s="97"/>
      <c r="ES728" s="97"/>
      <c r="ET728" s="97"/>
    </row>
    <row r="729" spans="1:150" ht="15.75" customHeight="1">
      <c r="A729" s="97"/>
      <c r="B729" s="97"/>
      <c r="C729" s="97"/>
      <c r="D729" s="97"/>
      <c r="E729" s="97"/>
      <c r="F729" s="97"/>
      <c r="G729" s="97"/>
      <c r="H729" s="129"/>
      <c r="I729" s="97"/>
      <c r="J729" s="97"/>
      <c r="K729" s="97"/>
      <c r="L729" s="97"/>
      <c r="M729" s="97"/>
      <c r="N729" s="97"/>
      <c r="O729" s="97"/>
      <c r="P729" s="97"/>
      <c r="Q729" s="97"/>
      <c r="R729" s="97"/>
      <c r="S729" s="97"/>
      <c r="T729" s="97"/>
      <c r="U729" s="97"/>
      <c r="V729" s="97"/>
      <c r="W729" s="97"/>
      <c r="X729" s="129"/>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c r="DF729" s="97"/>
      <c r="DG729" s="97"/>
      <c r="DH729" s="97"/>
      <c r="DI729" s="97"/>
      <c r="DJ729" s="97"/>
      <c r="DK729" s="97"/>
      <c r="DL729" s="97"/>
      <c r="DM729" s="97"/>
      <c r="DN729" s="97"/>
      <c r="DO729" s="97"/>
      <c r="DP729" s="97"/>
      <c r="DQ729" s="97"/>
      <c r="DR729" s="97"/>
      <c r="DS729" s="97"/>
      <c r="DT729" s="97"/>
      <c r="DU729" s="97"/>
      <c r="DV729" s="97"/>
      <c r="DW729" s="97"/>
      <c r="DX729" s="97"/>
      <c r="DY729" s="97"/>
      <c r="DZ729" s="97"/>
      <c r="EA729" s="97"/>
      <c r="EB729" s="97"/>
      <c r="EC729" s="97"/>
      <c r="ED729" s="97"/>
      <c r="EE729" s="97"/>
      <c r="EF729" s="97"/>
      <c r="EG729" s="97"/>
      <c r="EH729" s="97"/>
      <c r="EI729" s="97"/>
      <c r="EJ729" s="97"/>
      <c r="EK729" s="97"/>
      <c r="EL729" s="97"/>
      <c r="EM729" s="97"/>
      <c r="EN729" s="97"/>
      <c r="EO729" s="97"/>
      <c r="EP729" s="97"/>
      <c r="EQ729" s="97"/>
      <c r="ER729" s="97"/>
      <c r="ES729" s="97"/>
      <c r="ET729" s="97"/>
    </row>
    <row r="730" spans="1:150" ht="15.75" customHeight="1">
      <c r="A730" s="97"/>
      <c r="B730" s="97"/>
      <c r="C730" s="97"/>
      <c r="D730" s="97"/>
      <c r="E730" s="97"/>
      <c r="F730" s="97"/>
      <c r="G730" s="97"/>
      <c r="H730" s="129"/>
      <c r="I730" s="97"/>
      <c r="J730" s="97"/>
      <c r="K730" s="97"/>
      <c r="L730" s="97"/>
      <c r="M730" s="97"/>
      <c r="N730" s="97"/>
      <c r="O730" s="97"/>
      <c r="P730" s="97"/>
      <c r="Q730" s="97"/>
      <c r="R730" s="97"/>
      <c r="S730" s="97"/>
      <c r="T730" s="97"/>
      <c r="U730" s="97"/>
      <c r="V730" s="97"/>
      <c r="W730" s="97"/>
      <c r="X730" s="129"/>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c r="DF730" s="97"/>
      <c r="DG730" s="97"/>
      <c r="DH730" s="97"/>
      <c r="DI730" s="97"/>
      <c r="DJ730" s="97"/>
      <c r="DK730" s="97"/>
      <c r="DL730" s="97"/>
      <c r="DM730" s="97"/>
      <c r="DN730" s="97"/>
      <c r="DO730" s="97"/>
      <c r="DP730" s="97"/>
      <c r="DQ730" s="97"/>
      <c r="DR730" s="97"/>
      <c r="DS730" s="97"/>
      <c r="DT730" s="97"/>
      <c r="DU730" s="97"/>
      <c r="DV730" s="97"/>
      <c r="DW730" s="97"/>
      <c r="DX730" s="97"/>
      <c r="DY730" s="97"/>
      <c r="DZ730" s="97"/>
      <c r="EA730" s="97"/>
      <c r="EB730" s="97"/>
      <c r="EC730" s="97"/>
      <c r="ED730" s="97"/>
      <c r="EE730" s="97"/>
      <c r="EF730" s="97"/>
      <c r="EG730" s="97"/>
      <c r="EH730" s="97"/>
      <c r="EI730" s="97"/>
      <c r="EJ730" s="97"/>
      <c r="EK730" s="97"/>
      <c r="EL730" s="97"/>
      <c r="EM730" s="97"/>
      <c r="EN730" s="97"/>
      <c r="EO730" s="97"/>
      <c r="EP730" s="97"/>
      <c r="EQ730" s="97"/>
      <c r="ER730" s="97"/>
      <c r="ES730" s="97"/>
      <c r="ET730" s="97"/>
    </row>
    <row r="731" spans="1:150" ht="15.75" customHeight="1">
      <c r="A731" s="97"/>
      <c r="B731" s="97"/>
      <c r="C731" s="97"/>
      <c r="D731" s="97"/>
      <c r="E731" s="97"/>
      <c r="F731" s="97"/>
      <c r="G731" s="97"/>
      <c r="H731" s="129"/>
      <c r="I731" s="97"/>
      <c r="J731" s="97"/>
      <c r="K731" s="97"/>
      <c r="L731" s="97"/>
      <c r="M731" s="97"/>
      <c r="N731" s="97"/>
      <c r="O731" s="97"/>
      <c r="P731" s="97"/>
      <c r="Q731" s="97"/>
      <c r="R731" s="97"/>
      <c r="S731" s="97"/>
      <c r="T731" s="97"/>
      <c r="U731" s="97"/>
      <c r="V731" s="97"/>
      <c r="W731" s="97"/>
      <c r="X731" s="129"/>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c r="DF731" s="97"/>
      <c r="DG731" s="97"/>
      <c r="DH731" s="97"/>
      <c r="DI731" s="97"/>
      <c r="DJ731" s="97"/>
      <c r="DK731" s="97"/>
      <c r="DL731" s="97"/>
      <c r="DM731" s="97"/>
      <c r="DN731" s="97"/>
      <c r="DO731" s="97"/>
      <c r="DP731" s="97"/>
      <c r="DQ731" s="97"/>
      <c r="DR731" s="97"/>
      <c r="DS731" s="97"/>
      <c r="DT731" s="97"/>
      <c r="DU731" s="97"/>
      <c r="DV731" s="97"/>
      <c r="DW731" s="97"/>
      <c r="DX731" s="97"/>
      <c r="DY731" s="97"/>
      <c r="DZ731" s="97"/>
      <c r="EA731" s="97"/>
      <c r="EB731" s="97"/>
      <c r="EC731" s="97"/>
      <c r="ED731" s="97"/>
      <c r="EE731" s="97"/>
      <c r="EF731" s="97"/>
      <c r="EG731" s="97"/>
      <c r="EH731" s="97"/>
      <c r="EI731" s="97"/>
      <c r="EJ731" s="97"/>
      <c r="EK731" s="97"/>
      <c r="EL731" s="97"/>
      <c r="EM731" s="97"/>
      <c r="EN731" s="97"/>
      <c r="EO731" s="97"/>
      <c r="EP731" s="97"/>
      <c r="EQ731" s="97"/>
      <c r="ER731" s="97"/>
      <c r="ES731" s="97"/>
      <c r="ET731" s="97"/>
    </row>
    <row r="732" spans="1:150" ht="15.75" customHeight="1">
      <c r="A732" s="97"/>
      <c r="B732" s="97"/>
      <c r="C732" s="97"/>
      <c r="D732" s="97"/>
      <c r="E732" s="97"/>
      <c r="F732" s="97"/>
      <c r="G732" s="97"/>
      <c r="H732" s="129"/>
      <c r="I732" s="97"/>
      <c r="J732" s="97"/>
      <c r="K732" s="97"/>
      <c r="L732" s="97"/>
      <c r="M732" s="97"/>
      <c r="N732" s="97"/>
      <c r="O732" s="97"/>
      <c r="P732" s="97"/>
      <c r="Q732" s="97"/>
      <c r="R732" s="97"/>
      <c r="S732" s="97"/>
      <c r="T732" s="97"/>
      <c r="U732" s="97"/>
      <c r="V732" s="97"/>
      <c r="W732" s="97"/>
      <c r="X732" s="129"/>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c r="DF732" s="97"/>
      <c r="DG732" s="97"/>
      <c r="DH732" s="97"/>
      <c r="DI732" s="97"/>
      <c r="DJ732" s="97"/>
      <c r="DK732" s="97"/>
      <c r="DL732" s="97"/>
      <c r="DM732" s="97"/>
      <c r="DN732" s="97"/>
      <c r="DO732" s="97"/>
      <c r="DP732" s="97"/>
      <c r="DQ732" s="97"/>
      <c r="DR732" s="97"/>
      <c r="DS732" s="97"/>
      <c r="DT732" s="97"/>
      <c r="DU732" s="97"/>
      <c r="DV732" s="97"/>
      <c r="DW732" s="97"/>
      <c r="DX732" s="97"/>
      <c r="DY732" s="97"/>
      <c r="DZ732" s="97"/>
      <c r="EA732" s="97"/>
      <c r="EB732" s="97"/>
      <c r="EC732" s="97"/>
      <c r="ED732" s="97"/>
      <c r="EE732" s="97"/>
      <c r="EF732" s="97"/>
      <c r="EG732" s="97"/>
      <c r="EH732" s="97"/>
      <c r="EI732" s="97"/>
      <c r="EJ732" s="97"/>
      <c r="EK732" s="97"/>
      <c r="EL732" s="97"/>
      <c r="EM732" s="97"/>
      <c r="EN732" s="97"/>
      <c r="EO732" s="97"/>
      <c r="EP732" s="97"/>
      <c r="EQ732" s="97"/>
      <c r="ER732" s="97"/>
      <c r="ES732" s="97"/>
      <c r="ET732" s="97"/>
    </row>
    <row r="733" spans="1:150" ht="15.75" customHeight="1">
      <c r="A733" s="97"/>
      <c r="B733" s="97"/>
      <c r="C733" s="97"/>
      <c r="D733" s="97"/>
      <c r="E733" s="97"/>
      <c r="F733" s="97"/>
      <c r="G733" s="97"/>
      <c r="H733" s="129"/>
      <c r="I733" s="97"/>
      <c r="J733" s="97"/>
      <c r="K733" s="97"/>
      <c r="L733" s="97"/>
      <c r="M733" s="97"/>
      <c r="N733" s="97"/>
      <c r="O733" s="97"/>
      <c r="P733" s="97"/>
      <c r="Q733" s="97"/>
      <c r="R733" s="97"/>
      <c r="S733" s="97"/>
      <c r="T733" s="97"/>
      <c r="U733" s="97"/>
      <c r="V733" s="97"/>
      <c r="W733" s="97"/>
      <c r="X733" s="129"/>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c r="DF733" s="97"/>
      <c r="DG733" s="97"/>
      <c r="DH733" s="97"/>
      <c r="DI733" s="97"/>
      <c r="DJ733" s="97"/>
      <c r="DK733" s="97"/>
      <c r="DL733" s="97"/>
      <c r="DM733" s="97"/>
      <c r="DN733" s="97"/>
      <c r="DO733" s="97"/>
      <c r="DP733" s="97"/>
      <c r="DQ733" s="97"/>
      <c r="DR733" s="97"/>
      <c r="DS733" s="97"/>
      <c r="DT733" s="97"/>
      <c r="DU733" s="97"/>
      <c r="DV733" s="97"/>
      <c r="DW733" s="97"/>
      <c r="DX733" s="97"/>
      <c r="DY733" s="97"/>
      <c r="DZ733" s="97"/>
      <c r="EA733" s="97"/>
      <c r="EB733" s="97"/>
      <c r="EC733" s="97"/>
      <c r="ED733" s="97"/>
      <c r="EE733" s="97"/>
      <c r="EF733" s="97"/>
      <c r="EG733" s="97"/>
      <c r="EH733" s="97"/>
      <c r="EI733" s="97"/>
      <c r="EJ733" s="97"/>
      <c r="EK733" s="97"/>
      <c r="EL733" s="97"/>
      <c r="EM733" s="97"/>
      <c r="EN733" s="97"/>
      <c r="EO733" s="97"/>
      <c r="EP733" s="97"/>
      <c r="EQ733" s="97"/>
      <c r="ER733" s="97"/>
      <c r="ES733" s="97"/>
      <c r="ET733" s="97"/>
    </row>
    <row r="734" spans="1:150" ht="15.75" customHeight="1">
      <c r="A734" s="97"/>
      <c r="B734" s="97"/>
      <c r="C734" s="97"/>
      <c r="D734" s="97"/>
      <c r="E734" s="97"/>
      <c r="F734" s="97"/>
      <c r="G734" s="97"/>
      <c r="H734" s="129"/>
      <c r="I734" s="97"/>
      <c r="J734" s="97"/>
      <c r="K734" s="97"/>
      <c r="L734" s="97"/>
      <c r="M734" s="97"/>
      <c r="N734" s="97"/>
      <c r="O734" s="97"/>
      <c r="P734" s="97"/>
      <c r="Q734" s="97"/>
      <c r="R734" s="97"/>
      <c r="S734" s="97"/>
      <c r="T734" s="97"/>
      <c r="U734" s="97"/>
      <c r="V734" s="97"/>
      <c r="W734" s="97"/>
      <c r="X734" s="129"/>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c r="DF734" s="97"/>
      <c r="DG734" s="97"/>
      <c r="DH734" s="97"/>
      <c r="DI734" s="97"/>
      <c r="DJ734" s="97"/>
      <c r="DK734" s="97"/>
      <c r="DL734" s="97"/>
      <c r="DM734" s="97"/>
      <c r="DN734" s="97"/>
      <c r="DO734" s="97"/>
      <c r="DP734" s="97"/>
      <c r="DQ734" s="97"/>
      <c r="DR734" s="97"/>
      <c r="DS734" s="97"/>
      <c r="DT734" s="97"/>
      <c r="DU734" s="97"/>
      <c r="DV734" s="97"/>
      <c r="DW734" s="97"/>
      <c r="DX734" s="97"/>
      <c r="DY734" s="97"/>
      <c r="DZ734" s="97"/>
      <c r="EA734" s="97"/>
      <c r="EB734" s="97"/>
      <c r="EC734" s="97"/>
      <c r="ED734" s="97"/>
      <c r="EE734" s="97"/>
      <c r="EF734" s="97"/>
      <c r="EG734" s="97"/>
      <c r="EH734" s="97"/>
      <c r="EI734" s="97"/>
      <c r="EJ734" s="97"/>
      <c r="EK734" s="97"/>
      <c r="EL734" s="97"/>
      <c r="EM734" s="97"/>
      <c r="EN734" s="97"/>
      <c r="EO734" s="97"/>
      <c r="EP734" s="97"/>
      <c r="EQ734" s="97"/>
      <c r="ER734" s="97"/>
      <c r="ES734" s="97"/>
      <c r="ET734" s="97"/>
    </row>
    <row r="735" spans="1:150" ht="15.75" customHeight="1">
      <c r="A735" s="97"/>
      <c r="B735" s="97"/>
      <c r="C735" s="97"/>
      <c r="D735" s="97"/>
      <c r="E735" s="97"/>
      <c r="F735" s="97"/>
      <c r="G735" s="97"/>
      <c r="H735" s="129"/>
      <c r="I735" s="97"/>
      <c r="J735" s="97"/>
      <c r="K735" s="97"/>
      <c r="L735" s="97"/>
      <c r="M735" s="97"/>
      <c r="N735" s="97"/>
      <c r="O735" s="97"/>
      <c r="P735" s="97"/>
      <c r="Q735" s="97"/>
      <c r="R735" s="97"/>
      <c r="S735" s="97"/>
      <c r="T735" s="97"/>
      <c r="U735" s="97"/>
      <c r="V735" s="97"/>
      <c r="W735" s="97"/>
      <c r="X735" s="129"/>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c r="DF735" s="97"/>
      <c r="DG735" s="97"/>
      <c r="DH735" s="97"/>
      <c r="DI735" s="97"/>
      <c r="DJ735" s="97"/>
      <c r="DK735" s="97"/>
      <c r="DL735" s="97"/>
      <c r="DM735" s="97"/>
      <c r="DN735" s="97"/>
      <c r="DO735" s="97"/>
      <c r="DP735" s="97"/>
      <c r="DQ735" s="97"/>
      <c r="DR735" s="97"/>
      <c r="DS735" s="97"/>
      <c r="DT735" s="97"/>
      <c r="DU735" s="97"/>
      <c r="DV735" s="97"/>
      <c r="DW735" s="97"/>
      <c r="DX735" s="97"/>
      <c r="DY735" s="97"/>
      <c r="DZ735" s="97"/>
      <c r="EA735" s="97"/>
      <c r="EB735" s="97"/>
      <c r="EC735" s="97"/>
      <c r="ED735" s="97"/>
      <c r="EE735" s="97"/>
      <c r="EF735" s="97"/>
      <c r="EG735" s="97"/>
      <c r="EH735" s="97"/>
      <c r="EI735" s="97"/>
      <c r="EJ735" s="97"/>
      <c r="EK735" s="97"/>
      <c r="EL735" s="97"/>
      <c r="EM735" s="97"/>
      <c r="EN735" s="97"/>
      <c r="EO735" s="97"/>
      <c r="EP735" s="97"/>
      <c r="EQ735" s="97"/>
      <c r="ER735" s="97"/>
      <c r="ES735" s="97"/>
      <c r="ET735" s="97"/>
    </row>
    <row r="736" spans="1:150" ht="15.75" customHeight="1">
      <c r="A736" s="97"/>
      <c r="B736" s="97"/>
      <c r="C736" s="97"/>
      <c r="D736" s="97"/>
      <c r="E736" s="97"/>
      <c r="F736" s="97"/>
      <c r="G736" s="97"/>
      <c r="H736" s="129"/>
      <c r="I736" s="97"/>
      <c r="J736" s="97"/>
      <c r="K736" s="97"/>
      <c r="L736" s="97"/>
      <c r="M736" s="97"/>
      <c r="N736" s="97"/>
      <c r="O736" s="97"/>
      <c r="P736" s="97"/>
      <c r="Q736" s="97"/>
      <c r="R736" s="97"/>
      <c r="S736" s="97"/>
      <c r="T736" s="97"/>
      <c r="U736" s="97"/>
      <c r="V736" s="97"/>
      <c r="W736" s="97"/>
      <c r="X736" s="129"/>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c r="DF736" s="97"/>
      <c r="DG736" s="97"/>
      <c r="DH736" s="97"/>
      <c r="DI736" s="97"/>
      <c r="DJ736" s="97"/>
      <c r="DK736" s="97"/>
      <c r="DL736" s="97"/>
      <c r="DM736" s="97"/>
      <c r="DN736" s="97"/>
      <c r="DO736" s="97"/>
      <c r="DP736" s="97"/>
      <c r="DQ736" s="97"/>
      <c r="DR736" s="97"/>
      <c r="DS736" s="97"/>
      <c r="DT736" s="97"/>
      <c r="DU736" s="97"/>
      <c r="DV736" s="97"/>
      <c r="DW736" s="97"/>
      <c r="DX736" s="97"/>
      <c r="DY736" s="97"/>
      <c r="DZ736" s="97"/>
      <c r="EA736" s="97"/>
      <c r="EB736" s="97"/>
      <c r="EC736" s="97"/>
      <c r="ED736" s="97"/>
      <c r="EE736" s="97"/>
      <c r="EF736" s="97"/>
      <c r="EG736" s="97"/>
      <c r="EH736" s="97"/>
      <c r="EI736" s="97"/>
      <c r="EJ736" s="97"/>
      <c r="EK736" s="97"/>
      <c r="EL736" s="97"/>
      <c r="EM736" s="97"/>
      <c r="EN736" s="97"/>
      <c r="EO736" s="97"/>
      <c r="EP736" s="97"/>
      <c r="EQ736" s="97"/>
      <c r="ER736" s="97"/>
      <c r="ES736" s="97"/>
      <c r="ET736" s="97"/>
    </row>
    <row r="737" spans="1:150" ht="15.75" customHeight="1">
      <c r="A737" s="97"/>
      <c r="B737" s="97"/>
      <c r="C737" s="97"/>
      <c r="D737" s="97"/>
      <c r="E737" s="97"/>
      <c r="F737" s="97"/>
      <c r="G737" s="97"/>
      <c r="H737" s="129"/>
      <c r="I737" s="97"/>
      <c r="J737" s="97"/>
      <c r="K737" s="97"/>
      <c r="L737" s="97"/>
      <c r="M737" s="97"/>
      <c r="N737" s="97"/>
      <c r="O737" s="97"/>
      <c r="P737" s="97"/>
      <c r="Q737" s="97"/>
      <c r="R737" s="97"/>
      <c r="S737" s="97"/>
      <c r="T737" s="97"/>
      <c r="U737" s="97"/>
      <c r="V737" s="97"/>
      <c r="W737" s="97"/>
      <c r="X737" s="129"/>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c r="DF737" s="97"/>
      <c r="DG737" s="97"/>
      <c r="DH737" s="97"/>
      <c r="DI737" s="97"/>
      <c r="DJ737" s="97"/>
      <c r="DK737" s="97"/>
      <c r="DL737" s="97"/>
      <c r="DM737" s="97"/>
      <c r="DN737" s="97"/>
      <c r="DO737" s="97"/>
      <c r="DP737" s="97"/>
      <c r="DQ737" s="97"/>
      <c r="DR737" s="97"/>
      <c r="DS737" s="97"/>
      <c r="DT737" s="97"/>
      <c r="DU737" s="97"/>
      <c r="DV737" s="97"/>
      <c r="DW737" s="97"/>
      <c r="DX737" s="97"/>
      <c r="DY737" s="97"/>
      <c r="DZ737" s="97"/>
      <c r="EA737" s="97"/>
      <c r="EB737" s="97"/>
      <c r="EC737" s="97"/>
      <c r="ED737" s="97"/>
      <c r="EE737" s="97"/>
      <c r="EF737" s="97"/>
      <c r="EG737" s="97"/>
      <c r="EH737" s="97"/>
      <c r="EI737" s="97"/>
      <c r="EJ737" s="97"/>
      <c r="EK737" s="97"/>
      <c r="EL737" s="97"/>
      <c r="EM737" s="97"/>
      <c r="EN737" s="97"/>
      <c r="EO737" s="97"/>
      <c r="EP737" s="97"/>
      <c r="EQ737" s="97"/>
      <c r="ER737" s="97"/>
      <c r="ES737" s="97"/>
      <c r="ET737" s="97"/>
    </row>
    <row r="738" spans="1:150" ht="15.75" customHeight="1">
      <c r="A738" s="97"/>
      <c r="B738" s="97"/>
      <c r="C738" s="97"/>
      <c r="D738" s="97"/>
      <c r="E738" s="97"/>
      <c r="F738" s="97"/>
      <c r="G738" s="97"/>
      <c r="H738" s="129"/>
      <c r="I738" s="97"/>
      <c r="J738" s="97"/>
      <c r="K738" s="97"/>
      <c r="L738" s="97"/>
      <c r="M738" s="97"/>
      <c r="N738" s="97"/>
      <c r="O738" s="97"/>
      <c r="P738" s="97"/>
      <c r="Q738" s="97"/>
      <c r="R738" s="97"/>
      <c r="S738" s="97"/>
      <c r="T738" s="97"/>
      <c r="U738" s="97"/>
      <c r="V738" s="97"/>
      <c r="W738" s="97"/>
      <c r="X738" s="129"/>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c r="DF738" s="97"/>
      <c r="DG738" s="97"/>
      <c r="DH738" s="97"/>
      <c r="DI738" s="97"/>
      <c r="DJ738" s="97"/>
      <c r="DK738" s="97"/>
      <c r="DL738" s="97"/>
      <c r="DM738" s="97"/>
      <c r="DN738" s="97"/>
      <c r="DO738" s="97"/>
      <c r="DP738" s="97"/>
      <c r="DQ738" s="97"/>
      <c r="DR738" s="97"/>
      <c r="DS738" s="97"/>
      <c r="DT738" s="97"/>
      <c r="DU738" s="97"/>
      <c r="DV738" s="97"/>
      <c r="DW738" s="97"/>
      <c r="DX738" s="97"/>
      <c r="DY738" s="97"/>
      <c r="DZ738" s="97"/>
      <c r="EA738" s="97"/>
      <c r="EB738" s="97"/>
      <c r="EC738" s="97"/>
      <c r="ED738" s="97"/>
      <c r="EE738" s="97"/>
      <c r="EF738" s="97"/>
      <c r="EG738" s="97"/>
      <c r="EH738" s="97"/>
      <c r="EI738" s="97"/>
      <c r="EJ738" s="97"/>
      <c r="EK738" s="97"/>
      <c r="EL738" s="97"/>
      <c r="EM738" s="97"/>
      <c r="EN738" s="97"/>
      <c r="EO738" s="97"/>
      <c r="EP738" s="97"/>
      <c r="EQ738" s="97"/>
      <c r="ER738" s="97"/>
      <c r="ES738" s="97"/>
      <c r="ET738" s="97"/>
    </row>
    <row r="739" spans="1:150" ht="15.75" customHeight="1">
      <c r="A739" s="97"/>
      <c r="B739" s="97"/>
      <c r="C739" s="97"/>
      <c r="D739" s="97"/>
      <c r="E739" s="97"/>
      <c r="F739" s="97"/>
      <c r="G739" s="97"/>
      <c r="H739" s="129"/>
      <c r="I739" s="97"/>
      <c r="J739" s="97"/>
      <c r="K739" s="97"/>
      <c r="L739" s="97"/>
      <c r="M739" s="97"/>
      <c r="N739" s="97"/>
      <c r="O739" s="97"/>
      <c r="P739" s="97"/>
      <c r="Q739" s="97"/>
      <c r="R739" s="97"/>
      <c r="S739" s="97"/>
      <c r="T739" s="97"/>
      <c r="U739" s="97"/>
      <c r="V739" s="97"/>
      <c r="W739" s="97"/>
      <c r="X739" s="129"/>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c r="DF739" s="97"/>
      <c r="DG739" s="97"/>
      <c r="DH739" s="97"/>
      <c r="DI739" s="97"/>
      <c r="DJ739" s="97"/>
      <c r="DK739" s="97"/>
      <c r="DL739" s="97"/>
      <c r="DM739" s="97"/>
      <c r="DN739" s="97"/>
      <c r="DO739" s="97"/>
      <c r="DP739" s="97"/>
      <c r="DQ739" s="97"/>
      <c r="DR739" s="97"/>
      <c r="DS739" s="97"/>
      <c r="DT739" s="97"/>
      <c r="DU739" s="97"/>
      <c r="DV739" s="97"/>
      <c r="DW739" s="97"/>
      <c r="DX739" s="97"/>
      <c r="DY739" s="97"/>
      <c r="DZ739" s="97"/>
      <c r="EA739" s="97"/>
      <c r="EB739" s="97"/>
      <c r="EC739" s="97"/>
      <c r="ED739" s="97"/>
      <c r="EE739" s="97"/>
      <c r="EF739" s="97"/>
      <c r="EG739" s="97"/>
      <c r="EH739" s="97"/>
      <c r="EI739" s="97"/>
      <c r="EJ739" s="97"/>
      <c r="EK739" s="97"/>
      <c r="EL739" s="97"/>
      <c r="EM739" s="97"/>
      <c r="EN739" s="97"/>
      <c r="EO739" s="97"/>
      <c r="EP739" s="97"/>
      <c r="EQ739" s="97"/>
      <c r="ER739" s="97"/>
      <c r="ES739" s="97"/>
      <c r="ET739" s="97"/>
    </row>
    <row r="740" spans="1:150" ht="15.75" customHeight="1">
      <c r="A740" s="97"/>
      <c r="B740" s="97"/>
      <c r="C740" s="97"/>
      <c r="D740" s="97"/>
      <c r="E740" s="97"/>
      <c r="F740" s="97"/>
      <c r="G740" s="97"/>
      <c r="H740" s="129"/>
      <c r="I740" s="97"/>
      <c r="J740" s="97"/>
      <c r="K740" s="97"/>
      <c r="L740" s="97"/>
      <c r="M740" s="97"/>
      <c r="N740" s="97"/>
      <c r="O740" s="97"/>
      <c r="P740" s="97"/>
      <c r="Q740" s="97"/>
      <c r="R740" s="97"/>
      <c r="S740" s="97"/>
      <c r="T740" s="97"/>
      <c r="U740" s="97"/>
      <c r="V740" s="97"/>
      <c r="W740" s="97"/>
      <c r="X740" s="129"/>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c r="DF740" s="97"/>
      <c r="DG740" s="97"/>
      <c r="DH740" s="97"/>
      <c r="DI740" s="97"/>
      <c r="DJ740" s="97"/>
      <c r="DK740" s="97"/>
      <c r="DL740" s="97"/>
      <c r="DM740" s="97"/>
      <c r="DN740" s="97"/>
      <c r="DO740" s="97"/>
      <c r="DP740" s="97"/>
      <c r="DQ740" s="97"/>
      <c r="DR740" s="97"/>
      <c r="DS740" s="97"/>
      <c r="DT740" s="97"/>
      <c r="DU740" s="97"/>
      <c r="DV740" s="97"/>
      <c r="DW740" s="97"/>
      <c r="DX740" s="97"/>
      <c r="DY740" s="97"/>
      <c r="DZ740" s="97"/>
      <c r="EA740" s="97"/>
      <c r="EB740" s="97"/>
      <c r="EC740" s="97"/>
      <c r="ED740" s="97"/>
      <c r="EE740" s="97"/>
      <c r="EF740" s="97"/>
      <c r="EG740" s="97"/>
      <c r="EH740" s="97"/>
      <c r="EI740" s="97"/>
      <c r="EJ740" s="97"/>
      <c r="EK740" s="97"/>
      <c r="EL740" s="97"/>
      <c r="EM740" s="97"/>
      <c r="EN740" s="97"/>
      <c r="EO740" s="97"/>
      <c r="EP740" s="97"/>
      <c r="EQ740" s="97"/>
      <c r="ER740" s="97"/>
      <c r="ES740" s="97"/>
      <c r="ET740" s="97"/>
    </row>
    <row r="741" spans="1:150" ht="15.75" customHeight="1">
      <c r="A741" s="97"/>
      <c r="B741" s="97"/>
      <c r="C741" s="97"/>
      <c r="D741" s="97"/>
      <c r="E741" s="97"/>
      <c r="F741" s="97"/>
      <c r="G741" s="97"/>
      <c r="H741" s="129"/>
      <c r="I741" s="97"/>
      <c r="J741" s="97"/>
      <c r="K741" s="97"/>
      <c r="L741" s="97"/>
      <c r="M741" s="97"/>
      <c r="N741" s="97"/>
      <c r="O741" s="97"/>
      <c r="P741" s="97"/>
      <c r="Q741" s="97"/>
      <c r="R741" s="97"/>
      <c r="S741" s="97"/>
      <c r="T741" s="97"/>
      <c r="U741" s="97"/>
      <c r="V741" s="97"/>
      <c r="W741" s="97"/>
      <c r="X741" s="129"/>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c r="DF741" s="97"/>
      <c r="DG741" s="97"/>
      <c r="DH741" s="97"/>
      <c r="DI741" s="97"/>
      <c r="DJ741" s="97"/>
      <c r="DK741" s="97"/>
      <c r="DL741" s="97"/>
      <c r="DM741" s="97"/>
      <c r="DN741" s="97"/>
      <c r="DO741" s="97"/>
      <c r="DP741" s="97"/>
      <c r="DQ741" s="97"/>
      <c r="DR741" s="97"/>
      <c r="DS741" s="97"/>
      <c r="DT741" s="97"/>
      <c r="DU741" s="97"/>
      <c r="DV741" s="97"/>
      <c r="DW741" s="97"/>
      <c r="DX741" s="97"/>
      <c r="DY741" s="97"/>
      <c r="DZ741" s="97"/>
      <c r="EA741" s="97"/>
      <c r="EB741" s="97"/>
      <c r="EC741" s="97"/>
      <c r="ED741" s="97"/>
      <c r="EE741" s="97"/>
      <c r="EF741" s="97"/>
      <c r="EG741" s="97"/>
      <c r="EH741" s="97"/>
      <c r="EI741" s="97"/>
      <c r="EJ741" s="97"/>
      <c r="EK741" s="97"/>
      <c r="EL741" s="97"/>
      <c r="EM741" s="97"/>
      <c r="EN741" s="97"/>
      <c r="EO741" s="97"/>
      <c r="EP741" s="97"/>
      <c r="EQ741" s="97"/>
      <c r="ER741" s="97"/>
      <c r="ES741" s="97"/>
      <c r="ET741" s="97"/>
    </row>
    <row r="742" spans="1:150" ht="15.75" customHeight="1">
      <c r="A742" s="97"/>
      <c r="B742" s="97"/>
      <c r="C742" s="97"/>
      <c r="D742" s="97"/>
      <c r="E742" s="97"/>
      <c r="F742" s="97"/>
      <c r="G742" s="97"/>
      <c r="H742" s="129"/>
      <c r="I742" s="97"/>
      <c r="J742" s="97"/>
      <c r="K742" s="97"/>
      <c r="L742" s="97"/>
      <c r="M742" s="97"/>
      <c r="N742" s="97"/>
      <c r="O742" s="97"/>
      <c r="P742" s="97"/>
      <c r="Q742" s="97"/>
      <c r="R742" s="97"/>
      <c r="S742" s="97"/>
      <c r="T742" s="97"/>
      <c r="U742" s="97"/>
      <c r="V742" s="97"/>
      <c r="W742" s="97"/>
      <c r="X742" s="129"/>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c r="DF742" s="97"/>
      <c r="DG742" s="97"/>
      <c r="DH742" s="97"/>
      <c r="DI742" s="97"/>
      <c r="DJ742" s="97"/>
      <c r="DK742" s="97"/>
      <c r="DL742" s="97"/>
      <c r="DM742" s="97"/>
      <c r="DN742" s="97"/>
      <c r="DO742" s="97"/>
      <c r="DP742" s="97"/>
      <c r="DQ742" s="97"/>
      <c r="DR742" s="97"/>
      <c r="DS742" s="97"/>
      <c r="DT742" s="97"/>
      <c r="DU742" s="97"/>
      <c r="DV742" s="97"/>
      <c r="DW742" s="97"/>
      <c r="DX742" s="97"/>
      <c r="DY742" s="97"/>
      <c r="DZ742" s="97"/>
      <c r="EA742" s="97"/>
      <c r="EB742" s="97"/>
      <c r="EC742" s="97"/>
      <c r="ED742" s="97"/>
      <c r="EE742" s="97"/>
      <c r="EF742" s="97"/>
      <c r="EG742" s="97"/>
      <c r="EH742" s="97"/>
      <c r="EI742" s="97"/>
      <c r="EJ742" s="97"/>
      <c r="EK742" s="97"/>
      <c r="EL742" s="97"/>
      <c r="EM742" s="97"/>
      <c r="EN742" s="97"/>
      <c r="EO742" s="97"/>
      <c r="EP742" s="97"/>
      <c r="EQ742" s="97"/>
      <c r="ER742" s="97"/>
      <c r="ES742" s="97"/>
      <c r="ET742" s="97"/>
    </row>
    <row r="743" spans="1:150" ht="15.75" customHeight="1">
      <c r="A743" s="97"/>
      <c r="B743" s="97"/>
      <c r="C743" s="97"/>
      <c r="D743" s="97"/>
      <c r="E743" s="97"/>
      <c r="F743" s="97"/>
      <c r="G743" s="97"/>
      <c r="H743" s="129"/>
      <c r="I743" s="97"/>
      <c r="J743" s="97"/>
      <c r="K743" s="97"/>
      <c r="L743" s="97"/>
      <c r="M743" s="97"/>
      <c r="N743" s="97"/>
      <c r="O743" s="97"/>
      <c r="P743" s="97"/>
      <c r="Q743" s="97"/>
      <c r="R743" s="97"/>
      <c r="S743" s="97"/>
      <c r="T743" s="97"/>
      <c r="U743" s="97"/>
      <c r="V743" s="97"/>
      <c r="W743" s="97"/>
      <c r="X743" s="129"/>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c r="DF743" s="97"/>
      <c r="DG743" s="97"/>
      <c r="DH743" s="97"/>
      <c r="DI743" s="97"/>
      <c r="DJ743" s="97"/>
      <c r="DK743" s="97"/>
      <c r="DL743" s="97"/>
      <c r="DM743" s="97"/>
      <c r="DN743" s="97"/>
      <c r="DO743" s="97"/>
      <c r="DP743" s="97"/>
      <c r="DQ743" s="97"/>
      <c r="DR743" s="97"/>
      <c r="DS743" s="97"/>
      <c r="DT743" s="97"/>
      <c r="DU743" s="97"/>
      <c r="DV743" s="97"/>
      <c r="DW743" s="97"/>
      <c r="DX743" s="97"/>
      <c r="DY743" s="97"/>
      <c r="DZ743" s="97"/>
      <c r="EA743" s="97"/>
      <c r="EB743" s="97"/>
      <c r="EC743" s="97"/>
      <c r="ED743" s="97"/>
      <c r="EE743" s="97"/>
      <c r="EF743" s="97"/>
      <c r="EG743" s="97"/>
      <c r="EH743" s="97"/>
      <c r="EI743" s="97"/>
      <c r="EJ743" s="97"/>
      <c r="EK743" s="97"/>
      <c r="EL743" s="97"/>
      <c r="EM743" s="97"/>
      <c r="EN743" s="97"/>
      <c r="EO743" s="97"/>
      <c r="EP743" s="97"/>
      <c r="EQ743" s="97"/>
      <c r="ER743" s="97"/>
      <c r="ES743" s="97"/>
      <c r="ET743" s="97"/>
    </row>
    <row r="744" spans="1:150" ht="15.75" customHeight="1">
      <c r="A744" s="97"/>
      <c r="B744" s="97"/>
      <c r="C744" s="97"/>
      <c r="D744" s="97"/>
      <c r="E744" s="97"/>
      <c r="F744" s="97"/>
      <c r="G744" s="97"/>
      <c r="H744" s="129"/>
      <c r="I744" s="97"/>
      <c r="J744" s="97"/>
      <c r="K744" s="97"/>
      <c r="L744" s="97"/>
      <c r="M744" s="97"/>
      <c r="N744" s="97"/>
      <c r="O744" s="97"/>
      <c r="P744" s="97"/>
      <c r="Q744" s="97"/>
      <c r="R744" s="97"/>
      <c r="S744" s="97"/>
      <c r="T744" s="97"/>
      <c r="U744" s="97"/>
      <c r="V744" s="97"/>
      <c r="W744" s="97"/>
      <c r="X744" s="129"/>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c r="DF744" s="97"/>
      <c r="DG744" s="97"/>
      <c r="DH744" s="97"/>
      <c r="DI744" s="97"/>
      <c r="DJ744" s="97"/>
      <c r="DK744" s="97"/>
      <c r="DL744" s="97"/>
      <c r="DM744" s="97"/>
      <c r="DN744" s="97"/>
      <c r="DO744" s="97"/>
      <c r="DP744" s="97"/>
      <c r="DQ744" s="97"/>
      <c r="DR744" s="97"/>
      <c r="DS744" s="97"/>
      <c r="DT744" s="97"/>
      <c r="DU744" s="97"/>
      <c r="DV744" s="97"/>
      <c r="DW744" s="97"/>
      <c r="DX744" s="97"/>
      <c r="DY744" s="97"/>
      <c r="DZ744" s="97"/>
      <c r="EA744" s="97"/>
      <c r="EB744" s="97"/>
      <c r="EC744" s="97"/>
      <c r="ED744" s="97"/>
      <c r="EE744" s="97"/>
      <c r="EF744" s="97"/>
      <c r="EG744" s="97"/>
      <c r="EH744" s="97"/>
      <c r="EI744" s="97"/>
      <c r="EJ744" s="97"/>
      <c r="EK744" s="97"/>
      <c r="EL744" s="97"/>
      <c r="EM744" s="97"/>
      <c r="EN744" s="97"/>
      <c r="EO744" s="97"/>
      <c r="EP744" s="97"/>
      <c r="EQ744" s="97"/>
      <c r="ER744" s="97"/>
      <c r="ES744" s="97"/>
      <c r="ET744" s="97"/>
    </row>
    <row r="745" spans="1:150" ht="15.75" customHeight="1">
      <c r="A745" s="97"/>
      <c r="B745" s="97"/>
      <c r="C745" s="97"/>
      <c r="D745" s="97"/>
      <c r="E745" s="97"/>
      <c r="F745" s="97"/>
      <c r="G745" s="97"/>
      <c r="H745" s="129"/>
      <c r="I745" s="97"/>
      <c r="J745" s="97"/>
      <c r="K745" s="97"/>
      <c r="L745" s="97"/>
      <c r="M745" s="97"/>
      <c r="N745" s="97"/>
      <c r="O745" s="97"/>
      <c r="P745" s="97"/>
      <c r="Q745" s="97"/>
      <c r="R745" s="97"/>
      <c r="S745" s="97"/>
      <c r="T745" s="97"/>
      <c r="U745" s="97"/>
      <c r="V745" s="97"/>
      <c r="W745" s="97"/>
      <c r="X745" s="129"/>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c r="DF745" s="97"/>
      <c r="DG745" s="97"/>
      <c r="DH745" s="97"/>
      <c r="DI745" s="97"/>
      <c r="DJ745" s="97"/>
      <c r="DK745" s="97"/>
      <c r="DL745" s="97"/>
      <c r="DM745" s="97"/>
      <c r="DN745" s="97"/>
      <c r="DO745" s="97"/>
      <c r="DP745" s="97"/>
      <c r="DQ745" s="97"/>
      <c r="DR745" s="97"/>
      <c r="DS745" s="97"/>
      <c r="DT745" s="97"/>
      <c r="DU745" s="97"/>
      <c r="DV745" s="97"/>
      <c r="DW745" s="97"/>
      <c r="DX745" s="97"/>
      <c r="DY745" s="97"/>
      <c r="DZ745" s="97"/>
      <c r="EA745" s="97"/>
      <c r="EB745" s="97"/>
      <c r="EC745" s="97"/>
      <c r="ED745" s="97"/>
      <c r="EE745" s="97"/>
      <c r="EF745" s="97"/>
      <c r="EG745" s="97"/>
      <c r="EH745" s="97"/>
      <c r="EI745" s="97"/>
      <c r="EJ745" s="97"/>
      <c r="EK745" s="97"/>
      <c r="EL745" s="97"/>
      <c r="EM745" s="97"/>
      <c r="EN745" s="97"/>
      <c r="EO745" s="97"/>
      <c r="EP745" s="97"/>
      <c r="EQ745" s="97"/>
      <c r="ER745" s="97"/>
      <c r="ES745" s="97"/>
      <c r="ET745" s="97"/>
    </row>
    <row r="746" spans="1:150" ht="15.75" customHeight="1">
      <c r="A746" s="97"/>
      <c r="B746" s="97"/>
      <c r="C746" s="97"/>
      <c r="D746" s="97"/>
      <c r="E746" s="97"/>
      <c r="F746" s="97"/>
      <c r="G746" s="97"/>
      <c r="H746" s="129"/>
      <c r="I746" s="97"/>
      <c r="J746" s="97"/>
      <c r="K746" s="97"/>
      <c r="L746" s="97"/>
      <c r="M746" s="97"/>
      <c r="N746" s="97"/>
      <c r="O746" s="97"/>
      <c r="P746" s="97"/>
      <c r="Q746" s="97"/>
      <c r="R746" s="97"/>
      <c r="S746" s="97"/>
      <c r="T746" s="97"/>
      <c r="U746" s="97"/>
      <c r="V746" s="97"/>
      <c r="W746" s="97"/>
      <c r="X746" s="129"/>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c r="DF746" s="97"/>
      <c r="DG746" s="97"/>
      <c r="DH746" s="97"/>
      <c r="DI746" s="97"/>
      <c r="DJ746" s="97"/>
      <c r="DK746" s="97"/>
      <c r="DL746" s="97"/>
      <c r="DM746" s="97"/>
      <c r="DN746" s="97"/>
      <c r="DO746" s="97"/>
      <c r="DP746" s="97"/>
      <c r="DQ746" s="97"/>
      <c r="DR746" s="97"/>
      <c r="DS746" s="97"/>
      <c r="DT746" s="97"/>
      <c r="DU746" s="97"/>
      <c r="DV746" s="97"/>
      <c r="DW746" s="97"/>
      <c r="DX746" s="97"/>
      <c r="DY746" s="97"/>
      <c r="DZ746" s="97"/>
      <c r="EA746" s="97"/>
      <c r="EB746" s="97"/>
      <c r="EC746" s="97"/>
      <c r="ED746" s="97"/>
      <c r="EE746" s="97"/>
      <c r="EF746" s="97"/>
      <c r="EG746" s="97"/>
      <c r="EH746" s="97"/>
      <c r="EI746" s="97"/>
      <c r="EJ746" s="97"/>
      <c r="EK746" s="97"/>
      <c r="EL746" s="97"/>
      <c r="EM746" s="97"/>
      <c r="EN746" s="97"/>
      <c r="EO746" s="97"/>
      <c r="EP746" s="97"/>
      <c r="EQ746" s="97"/>
      <c r="ER746" s="97"/>
      <c r="ES746" s="97"/>
      <c r="ET746" s="97"/>
    </row>
    <row r="747" spans="1:150" ht="15.75" customHeight="1">
      <c r="A747" s="97"/>
      <c r="B747" s="97"/>
      <c r="C747" s="97"/>
      <c r="D747" s="97"/>
      <c r="E747" s="97"/>
      <c r="F747" s="97"/>
      <c r="G747" s="97"/>
      <c r="H747" s="129"/>
      <c r="I747" s="97"/>
      <c r="J747" s="97"/>
      <c r="K747" s="97"/>
      <c r="L747" s="97"/>
      <c r="M747" s="97"/>
      <c r="N747" s="97"/>
      <c r="O747" s="97"/>
      <c r="P747" s="97"/>
      <c r="Q747" s="97"/>
      <c r="R747" s="97"/>
      <c r="S747" s="97"/>
      <c r="T747" s="97"/>
      <c r="U747" s="97"/>
      <c r="V747" s="97"/>
      <c r="W747" s="97"/>
      <c r="X747" s="129"/>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c r="DF747" s="97"/>
      <c r="DG747" s="97"/>
      <c r="DH747" s="97"/>
      <c r="DI747" s="97"/>
      <c r="DJ747" s="97"/>
      <c r="DK747" s="97"/>
      <c r="DL747" s="97"/>
      <c r="DM747" s="97"/>
      <c r="DN747" s="97"/>
      <c r="DO747" s="97"/>
      <c r="DP747" s="97"/>
      <c r="DQ747" s="97"/>
      <c r="DR747" s="97"/>
      <c r="DS747" s="97"/>
      <c r="DT747" s="97"/>
      <c r="DU747" s="97"/>
      <c r="DV747" s="97"/>
      <c r="DW747" s="97"/>
      <c r="DX747" s="97"/>
      <c r="DY747" s="97"/>
      <c r="DZ747" s="97"/>
      <c r="EA747" s="97"/>
      <c r="EB747" s="97"/>
      <c r="EC747" s="97"/>
      <c r="ED747" s="97"/>
      <c r="EE747" s="97"/>
      <c r="EF747" s="97"/>
      <c r="EG747" s="97"/>
      <c r="EH747" s="97"/>
      <c r="EI747" s="97"/>
      <c r="EJ747" s="97"/>
      <c r="EK747" s="97"/>
      <c r="EL747" s="97"/>
      <c r="EM747" s="97"/>
      <c r="EN747" s="97"/>
      <c r="EO747" s="97"/>
      <c r="EP747" s="97"/>
      <c r="EQ747" s="97"/>
      <c r="ER747" s="97"/>
      <c r="ES747" s="97"/>
      <c r="ET747" s="97"/>
    </row>
    <row r="748" spans="1:150" ht="15.75" customHeight="1">
      <c r="A748" s="97"/>
      <c r="B748" s="97"/>
      <c r="C748" s="97"/>
      <c r="D748" s="97"/>
      <c r="E748" s="97"/>
      <c r="F748" s="97"/>
      <c r="G748" s="97"/>
      <c r="H748" s="129"/>
      <c r="I748" s="97"/>
      <c r="J748" s="97"/>
      <c r="K748" s="97"/>
      <c r="L748" s="97"/>
      <c r="M748" s="97"/>
      <c r="N748" s="97"/>
      <c r="O748" s="97"/>
      <c r="P748" s="97"/>
      <c r="Q748" s="97"/>
      <c r="R748" s="97"/>
      <c r="S748" s="97"/>
      <c r="T748" s="97"/>
      <c r="U748" s="97"/>
      <c r="V748" s="97"/>
      <c r="W748" s="97"/>
      <c r="X748" s="129"/>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c r="DF748" s="97"/>
      <c r="DG748" s="97"/>
      <c r="DH748" s="97"/>
      <c r="DI748" s="97"/>
      <c r="DJ748" s="97"/>
      <c r="DK748" s="97"/>
      <c r="DL748" s="97"/>
      <c r="DM748" s="97"/>
      <c r="DN748" s="97"/>
      <c r="DO748" s="97"/>
      <c r="DP748" s="97"/>
      <c r="DQ748" s="97"/>
      <c r="DR748" s="97"/>
      <c r="DS748" s="97"/>
      <c r="DT748" s="97"/>
      <c r="DU748" s="97"/>
      <c r="DV748" s="97"/>
      <c r="DW748" s="97"/>
      <c r="DX748" s="97"/>
      <c r="DY748" s="97"/>
      <c r="DZ748" s="97"/>
      <c r="EA748" s="97"/>
      <c r="EB748" s="97"/>
      <c r="EC748" s="97"/>
      <c r="ED748" s="97"/>
      <c r="EE748" s="97"/>
      <c r="EF748" s="97"/>
      <c r="EG748" s="97"/>
      <c r="EH748" s="97"/>
      <c r="EI748" s="97"/>
      <c r="EJ748" s="97"/>
      <c r="EK748" s="97"/>
      <c r="EL748" s="97"/>
      <c r="EM748" s="97"/>
      <c r="EN748" s="97"/>
      <c r="EO748" s="97"/>
      <c r="EP748" s="97"/>
      <c r="EQ748" s="97"/>
      <c r="ER748" s="97"/>
      <c r="ES748" s="97"/>
      <c r="ET748" s="97"/>
    </row>
    <row r="749" spans="1:150" ht="15.75" customHeight="1">
      <c r="A749" s="97"/>
      <c r="B749" s="97"/>
      <c r="C749" s="97"/>
      <c r="D749" s="97"/>
      <c r="E749" s="97"/>
      <c r="F749" s="97"/>
      <c r="G749" s="97"/>
      <c r="H749" s="129"/>
      <c r="I749" s="97"/>
      <c r="J749" s="97"/>
      <c r="K749" s="97"/>
      <c r="L749" s="97"/>
      <c r="M749" s="97"/>
      <c r="N749" s="97"/>
      <c r="O749" s="97"/>
      <c r="P749" s="97"/>
      <c r="Q749" s="97"/>
      <c r="R749" s="97"/>
      <c r="S749" s="97"/>
      <c r="T749" s="97"/>
      <c r="U749" s="97"/>
      <c r="V749" s="97"/>
      <c r="W749" s="97"/>
      <c r="X749" s="129"/>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c r="DF749" s="97"/>
      <c r="DG749" s="97"/>
      <c r="DH749" s="97"/>
      <c r="DI749" s="97"/>
      <c r="DJ749" s="97"/>
      <c r="DK749" s="97"/>
      <c r="DL749" s="97"/>
      <c r="DM749" s="97"/>
      <c r="DN749" s="97"/>
      <c r="DO749" s="97"/>
      <c r="DP749" s="97"/>
      <c r="DQ749" s="97"/>
      <c r="DR749" s="97"/>
      <c r="DS749" s="97"/>
      <c r="DT749" s="97"/>
      <c r="DU749" s="97"/>
      <c r="DV749" s="97"/>
      <c r="DW749" s="97"/>
      <c r="DX749" s="97"/>
      <c r="DY749" s="97"/>
      <c r="DZ749" s="97"/>
      <c r="EA749" s="97"/>
      <c r="EB749" s="97"/>
      <c r="EC749" s="97"/>
      <c r="ED749" s="97"/>
      <c r="EE749" s="97"/>
      <c r="EF749" s="97"/>
      <c r="EG749" s="97"/>
      <c r="EH749" s="97"/>
      <c r="EI749" s="97"/>
      <c r="EJ749" s="97"/>
      <c r="EK749" s="97"/>
      <c r="EL749" s="97"/>
      <c r="EM749" s="97"/>
      <c r="EN749" s="97"/>
      <c r="EO749" s="97"/>
      <c r="EP749" s="97"/>
      <c r="EQ749" s="97"/>
      <c r="ER749" s="97"/>
      <c r="ES749" s="97"/>
      <c r="ET749" s="97"/>
    </row>
    <row r="750" spans="1:150" ht="15.75" customHeight="1">
      <c r="A750" s="97"/>
      <c r="B750" s="97"/>
      <c r="C750" s="97"/>
      <c r="D750" s="97"/>
      <c r="E750" s="97"/>
      <c r="F750" s="97"/>
      <c r="G750" s="97"/>
      <c r="H750" s="129"/>
      <c r="I750" s="97"/>
      <c r="J750" s="97"/>
      <c r="K750" s="97"/>
      <c r="L750" s="97"/>
      <c r="M750" s="97"/>
      <c r="N750" s="97"/>
      <c r="O750" s="97"/>
      <c r="P750" s="97"/>
      <c r="Q750" s="97"/>
      <c r="R750" s="97"/>
      <c r="S750" s="97"/>
      <c r="T750" s="97"/>
      <c r="U750" s="97"/>
      <c r="V750" s="97"/>
      <c r="W750" s="97"/>
      <c r="X750" s="129"/>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c r="DF750" s="97"/>
      <c r="DG750" s="97"/>
      <c r="DH750" s="97"/>
      <c r="DI750" s="97"/>
      <c r="DJ750" s="97"/>
      <c r="DK750" s="97"/>
      <c r="DL750" s="97"/>
      <c r="DM750" s="97"/>
      <c r="DN750" s="97"/>
      <c r="DO750" s="97"/>
      <c r="DP750" s="97"/>
      <c r="DQ750" s="97"/>
      <c r="DR750" s="97"/>
      <c r="DS750" s="97"/>
      <c r="DT750" s="97"/>
      <c r="DU750" s="97"/>
      <c r="DV750" s="97"/>
      <c r="DW750" s="97"/>
      <c r="DX750" s="97"/>
      <c r="DY750" s="97"/>
      <c r="DZ750" s="97"/>
      <c r="EA750" s="97"/>
      <c r="EB750" s="97"/>
      <c r="EC750" s="97"/>
      <c r="ED750" s="97"/>
      <c r="EE750" s="97"/>
      <c r="EF750" s="97"/>
      <c r="EG750" s="97"/>
      <c r="EH750" s="97"/>
      <c r="EI750" s="97"/>
      <c r="EJ750" s="97"/>
      <c r="EK750" s="97"/>
      <c r="EL750" s="97"/>
      <c r="EM750" s="97"/>
      <c r="EN750" s="97"/>
      <c r="EO750" s="97"/>
      <c r="EP750" s="97"/>
      <c r="EQ750" s="97"/>
      <c r="ER750" s="97"/>
      <c r="ES750" s="97"/>
      <c r="ET750" s="97"/>
    </row>
    <row r="751" spans="1:150" ht="15.75" customHeight="1">
      <c r="A751" s="97"/>
      <c r="B751" s="97"/>
      <c r="C751" s="97"/>
      <c r="D751" s="97"/>
      <c r="E751" s="97"/>
      <c r="F751" s="97"/>
      <c r="G751" s="97"/>
      <c r="H751" s="129"/>
      <c r="I751" s="97"/>
      <c r="J751" s="97"/>
      <c r="K751" s="97"/>
      <c r="L751" s="97"/>
      <c r="M751" s="97"/>
      <c r="N751" s="97"/>
      <c r="O751" s="97"/>
      <c r="P751" s="97"/>
      <c r="Q751" s="97"/>
      <c r="R751" s="97"/>
      <c r="S751" s="97"/>
      <c r="T751" s="97"/>
      <c r="U751" s="97"/>
      <c r="V751" s="97"/>
      <c r="W751" s="97"/>
      <c r="X751" s="129"/>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c r="DF751" s="97"/>
      <c r="DG751" s="97"/>
      <c r="DH751" s="97"/>
      <c r="DI751" s="97"/>
      <c r="DJ751" s="97"/>
      <c r="DK751" s="97"/>
      <c r="DL751" s="97"/>
      <c r="DM751" s="97"/>
      <c r="DN751" s="97"/>
      <c r="DO751" s="97"/>
      <c r="DP751" s="97"/>
      <c r="DQ751" s="97"/>
      <c r="DR751" s="97"/>
      <c r="DS751" s="97"/>
      <c r="DT751" s="97"/>
      <c r="DU751" s="97"/>
      <c r="DV751" s="97"/>
      <c r="DW751" s="97"/>
      <c r="DX751" s="97"/>
      <c r="DY751" s="97"/>
      <c r="DZ751" s="97"/>
      <c r="EA751" s="97"/>
      <c r="EB751" s="97"/>
      <c r="EC751" s="97"/>
      <c r="ED751" s="97"/>
      <c r="EE751" s="97"/>
      <c r="EF751" s="97"/>
      <c r="EG751" s="97"/>
      <c r="EH751" s="97"/>
      <c r="EI751" s="97"/>
      <c r="EJ751" s="97"/>
      <c r="EK751" s="97"/>
      <c r="EL751" s="97"/>
      <c r="EM751" s="97"/>
      <c r="EN751" s="97"/>
      <c r="EO751" s="97"/>
      <c r="EP751" s="97"/>
      <c r="EQ751" s="97"/>
      <c r="ER751" s="97"/>
      <c r="ES751" s="97"/>
      <c r="ET751" s="97"/>
    </row>
    <row r="752" spans="1:150" ht="15.75" customHeight="1">
      <c r="A752" s="97"/>
      <c r="B752" s="97"/>
      <c r="C752" s="97"/>
      <c r="D752" s="97"/>
      <c r="E752" s="97"/>
      <c r="F752" s="97"/>
      <c r="G752" s="97"/>
      <c r="H752" s="129"/>
      <c r="I752" s="97"/>
      <c r="J752" s="97"/>
      <c r="K752" s="97"/>
      <c r="L752" s="97"/>
      <c r="M752" s="97"/>
      <c r="N752" s="97"/>
      <c r="O752" s="97"/>
      <c r="P752" s="97"/>
      <c r="Q752" s="97"/>
      <c r="R752" s="97"/>
      <c r="S752" s="97"/>
      <c r="T752" s="97"/>
      <c r="U752" s="97"/>
      <c r="V752" s="97"/>
      <c r="W752" s="97"/>
      <c r="X752" s="129"/>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c r="DF752" s="97"/>
      <c r="DG752" s="97"/>
      <c r="DH752" s="97"/>
      <c r="DI752" s="97"/>
      <c r="DJ752" s="97"/>
      <c r="DK752" s="97"/>
      <c r="DL752" s="97"/>
      <c r="DM752" s="97"/>
      <c r="DN752" s="97"/>
      <c r="DO752" s="97"/>
      <c r="DP752" s="97"/>
      <c r="DQ752" s="97"/>
      <c r="DR752" s="97"/>
      <c r="DS752" s="97"/>
      <c r="DT752" s="97"/>
      <c r="DU752" s="97"/>
      <c r="DV752" s="97"/>
      <c r="DW752" s="97"/>
      <c r="DX752" s="97"/>
      <c r="DY752" s="97"/>
      <c r="DZ752" s="97"/>
      <c r="EA752" s="97"/>
      <c r="EB752" s="97"/>
      <c r="EC752" s="97"/>
      <c r="ED752" s="97"/>
      <c r="EE752" s="97"/>
      <c r="EF752" s="97"/>
      <c r="EG752" s="97"/>
      <c r="EH752" s="97"/>
      <c r="EI752" s="97"/>
      <c r="EJ752" s="97"/>
      <c r="EK752" s="97"/>
      <c r="EL752" s="97"/>
      <c r="EM752" s="97"/>
      <c r="EN752" s="97"/>
      <c r="EO752" s="97"/>
      <c r="EP752" s="97"/>
      <c r="EQ752" s="97"/>
      <c r="ER752" s="97"/>
      <c r="ES752" s="97"/>
      <c r="ET752" s="97"/>
    </row>
    <row r="753" spans="1:150" ht="15.75" customHeight="1">
      <c r="A753" s="97"/>
      <c r="B753" s="97"/>
      <c r="C753" s="97"/>
      <c r="D753" s="97"/>
      <c r="E753" s="97"/>
      <c r="F753" s="97"/>
      <c r="G753" s="97"/>
      <c r="H753" s="129"/>
      <c r="I753" s="97"/>
      <c r="J753" s="97"/>
      <c r="K753" s="97"/>
      <c r="L753" s="97"/>
      <c r="M753" s="97"/>
      <c r="N753" s="97"/>
      <c r="O753" s="97"/>
      <c r="P753" s="97"/>
      <c r="Q753" s="97"/>
      <c r="R753" s="97"/>
      <c r="S753" s="97"/>
      <c r="T753" s="97"/>
      <c r="U753" s="97"/>
      <c r="V753" s="97"/>
      <c r="W753" s="97"/>
      <c r="X753" s="129"/>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c r="DF753" s="97"/>
      <c r="DG753" s="97"/>
      <c r="DH753" s="97"/>
      <c r="DI753" s="97"/>
      <c r="DJ753" s="97"/>
      <c r="DK753" s="97"/>
      <c r="DL753" s="97"/>
      <c r="DM753" s="97"/>
      <c r="DN753" s="97"/>
      <c r="DO753" s="97"/>
      <c r="DP753" s="97"/>
      <c r="DQ753" s="97"/>
      <c r="DR753" s="97"/>
      <c r="DS753" s="97"/>
      <c r="DT753" s="97"/>
      <c r="DU753" s="97"/>
      <c r="DV753" s="97"/>
      <c r="DW753" s="97"/>
      <c r="DX753" s="97"/>
      <c r="DY753" s="97"/>
      <c r="DZ753" s="97"/>
      <c r="EA753" s="97"/>
      <c r="EB753" s="97"/>
      <c r="EC753" s="97"/>
      <c r="ED753" s="97"/>
      <c r="EE753" s="97"/>
      <c r="EF753" s="97"/>
      <c r="EG753" s="97"/>
      <c r="EH753" s="97"/>
      <c r="EI753" s="97"/>
      <c r="EJ753" s="97"/>
      <c r="EK753" s="97"/>
      <c r="EL753" s="97"/>
      <c r="EM753" s="97"/>
      <c r="EN753" s="97"/>
      <c r="EO753" s="97"/>
      <c r="EP753" s="97"/>
      <c r="EQ753" s="97"/>
      <c r="ER753" s="97"/>
      <c r="ES753" s="97"/>
      <c r="ET753" s="97"/>
    </row>
    <row r="754" spans="1:150" ht="15.75" customHeight="1">
      <c r="A754" s="97"/>
      <c r="B754" s="97"/>
      <c r="C754" s="97"/>
      <c r="D754" s="97"/>
      <c r="E754" s="97"/>
      <c r="F754" s="97"/>
      <c r="G754" s="97"/>
      <c r="H754" s="129"/>
      <c r="I754" s="97"/>
      <c r="J754" s="97"/>
      <c r="K754" s="97"/>
      <c r="L754" s="97"/>
      <c r="M754" s="97"/>
      <c r="N754" s="97"/>
      <c r="O754" s="97"/>
      <c r="P754" s="97"/>
      <c r="Q754" s="97"/>
      <c r="R754" s="97"/>
      <c r="S754" s="97"/>
      <c r="T754" s="97"/>
      <c r="U754" s="97"/>
      <c r="V754" s="97"/>
      <c r="W754" s="97"/>
      <c r="X754" s="129"/>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c r="DF754" s="97"/>
      <c r="DG754" s="97"/>
      <c r="DH754" s="97"/>
      <c r="DI754" s="97"/>
      <c r="DJ754" s="97"/>
      <c r="DK754" s="97"/>
      <c r="DL754" s="97"/>
      <c r="DM754" s="97"/>
      <c r="DN754" s="97"/>
      <c r="DO754" s="97"/>
      <c r="DP754" s="97"/>
      <c r="DQ754" s="97"/>
      <c r="DR754" s="97"/>
      <c r="DS754" s="97"/>
      <c r="DT754" s="97"/>
      <c r="DU754" s="97"/>
      <c r="DV754" s="97"/>
      <c r="DW754" s="97"/>
      <c r="DX754" s="97"/>
      <c r="DY754" s="97"/>
      <c r="DZ754" s="97"/>
      <c r="EA754" s="97"/>
      <c r="EB754" s="97"/>
      <c r="EC754" s="97"/>
      <c r="ED754" s="97"/>
      <c r="EE754" s="97"/>
      <c r="EF754" s="97"/>
      <c r="EG754" s="97"/>
      <c r="EH754" s="97"/>
      <c r="EI754" s="97"/>
      <c r="EJ754" s="97"/>
      <c r="EK754" s="97"/>
      <c r="EL754" s="97"/>
      <c r="EM754" s="97"/>
      <c r="EN754" s="97"/>
      <c r="EO754" s="97"/>
      <c r="EP754" s="97"/>
      <c r="EQ754" s="97"/>
      <c r="ER754" s="97"/>
      <c r="ES754" s="97"/>
      <c r="ET754" s="97"/>
    </row>
    <row r="755" spans="1:150" ht="15.75" customHeight="1">
      <c r="A755" s="97"/>
      <c r="B755" s="97"/>
      <c r="C755" s="97"/>
      <c r="D755" s="97"/>
      <c r="E755" s="97"/>
      <c r="F755" s="97"/>
      <c r="G755" s="97"/>
      <c r="H755" s="129"/>
      <c r="I755" s="97"/>
      <c r="J755" s="97"/>
      <c r="K755" s="97"/>
      <c r="L755" s="97"/>
      <c r="M755" s="97"/>
      <c r="N755" s="97"/>
      <c r="O755" s="97"/>
      <c r="P755" s="97"/>
      <c r="Q755" s="97"/>
      <c r="R755" s="97"/>
      <c r="S755" s="97"/>
      <c r="T755" s="97"/>
      <c r="U755" s="97"/>
      <c r="V755" s="97"/>
      <c r="W755" s="97"/>
      <c r="X755" s="129"/>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c r="DF755" s="97"/>
      <c r="DG755" s="97"/>
      <c r="DH755" s="97"/>
      <c r="DI755" s="97"/>
      <c r="DJ755" s="97"/>
      <c r="DK755" s="97"/>
      <c r="DL755" s="97"/>
      <c r="DM755" s="97"/>
      <c r="DN755" s="97"/>
      <c r="DO755" s="97"/>
      <c r="DP755" s="97"/>
      <c r="DQ755" s="97"/>
      <c r="DR755" s="97"/>
      <c r="DS755" s="97"/>
      <c r="DT755" s="97"/>
      <c r="DU755" s="97"/>
      <c r="DV755" s="97"/>
      <c r="DW755" s="97"/>
      <c r="DX755" s="97"/>
      <c r="DY755" s="97"/>
      <c r="DZ755" s="97"/>
      <c r="EA755" s="97"/>
      <c r="EB755" s="97"/>
      <c r="EC755" s="97"/>
      <c r="ED755" s="97"/>
      <c r="EE755" s="97"/>
      <c r="EF755" s="97"/>
      <c r="EG755" s="97"/>
      <c r="EH755" s="97"/>
      <c r="EI755" s="97"/>
      <c r="EJ755" s="97"/>
      <c r="EK755" s="97"/>
      <c r="EL755" s="97"/>
      <c r="EM755" s="97"/>
      <c r="EN755" s="97"/>
      <c r="EO755" s="97"/>
      <c r="EP755" s="97"/>
      <c r="EQ755" s="97"/>
      <c r="ER755" s="97"/>
      <c r="ES755" s="97"/>
      <c r="ET755" s="97"/>
    </row>
    <row r="756" spans="1:150" ht="15.75" customHeight="1">
      <c r="A756" s="97"/>
      <c r="B756" s="97"/>
      <c r="C756" s="97"/>
      <c r="D756" s="97"/>
      <c r="E756" s="97"/>
      <c r="F756" s="97"/>
      <c r="G756" s="97"/>
      <c r="H756" s="129"/>
      <c r="I756" s="97"/>
      <c r="J756" s="97"/>
      <c r="K756" s="97"/>
      <c r="L756" s="97"/>
      <c r="M756" s="97"/>
      <c r="N756" s="97"/>
      <c r="O756" s="97"/>
      <c r="P756" s="97"/>
      <c r="Q756" s="97"/>
      <c r="R756" s="97"/>
      <c r="S756" s="97"/>
      <c r="T756" s="97"/>
      <c r="U756" s="97"/>
      <c r="V756" s="97"/>
      <c r="W756" s="97"/>
      <c r="X756" s="129"/>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c r="DF756" s="97"/>
      <c r="DG756" s="97"/>
      <c r="DH756" s="97"/>
      <c r="DI756" s="97"/>
      <c r="DJ756" s="97"/>
      <c r="DK756" s="97"/>
      <c r="DL756" s="97"/>
      <c r="DM756" s="97"/>
      <c r="DN756" s="97"/>
      <c r="DO756" s="97"/>
      <c r="DP756" s="97"/>
      <c r="DQ756" s="97"/>
      <c r="DR756" s="97"/>
      <c r="DS756" s="97"/>
      <c r="DT756" s="97"/>
      <c r="DU756" s="97"/>
      <c r="DV756" s="97"/>
      <c r="DW756" s="97"/>
      <c r="DX756" s="97"/>
      <c r="DY756" s="97"/>
      <c r="DZ756" s="97"/>
      <c r="EA756" s="97"/>
      <c r="EB756" s="97"/>
      <c r="EC756" s="97"/>
      <c r="ED756" s="97"/>
      <c r="EE756" s="97"/>
      <c r="EF756" s="97"/>
      <c r="EG756" s="97"/>
      <c r="EH756" s="97"/>
      <c r="EI756" s="97"/>
      <c r="EJ756" s="97"/>
      <c r="EK756" s="97"/>
      <c r="EL756" s="97"/>
      <c r="EM756" s="97"/>
      <c r="EN756" s="97"/>
      <c r="EO756" s="97"/>
      <c r="EP756" s="97"/>
      <c r="EQ756" s="97"/>
      <c r="ER756" s="97"/>
      <c r="ES756" s="97"/>
      <c r="ET756" s="97"/>
    </row>
    <row r="757" spans="1:150" ht="15.75" customHeight="1">
      <c r="A757" s="97"/>
      <c r="B757" s="97"/>
      <c r="C757" s="97"/>
      <c r="D757" s="97"/>
      <c r="E757" s="97"/>
      <c r="F757" s="97"/>
      <c r="G757" s="97"/>
      <c r="H757" s="129"/>
      <c r="I757" s="97"/>
      <c r="J757" s="97"/>
      <c r="K757" s="97"/>
      <c r="L757" s="97"/>
      <c r="M757" s="97"/>
      <c r="N757" s="97"/>
      <c r="O757" s="97"/>
      <c r="P757" s="97"/>
      <c r="Q757" s="97"/>
      <c r="R757" s="97"/>
      <c r="S757" s="97"/>
      <c r="T757" s="97"/>
      <c r="U757" s="97"/>
      <c r="V757" s="97"/>
      <c r="W757" s="97"/>
      <c r="X757" s="129"/>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c r="DF757" s="97"/>
      <c r="DG757" s="97"/>
      <c r="DH757" s="97"/>
      <c r="DI757" s="97"/>
      <c r="DJ757" s="97"/>
      <c r="DK757" s="97"/>
      <c r="DL757" s="97"/>
      <c r="DM757" s="97"/>
      <c r="DN757" s="97"/>
      <c r="DO757" s="97"/>
      <c r="DP757" s="97"/>
      <c r="DQ757" s="97"/>
      <c r="DR757" s="97"/>
      <c r="DS757" s="97"/>
      <c r="DT757" s="97"/>
      <c r="DU757" s="97"/>
      <c r="DV757" s="97"/>
      <c r="DW757" s="97"/>
      <c r="DX757" s="97"/>
      <c r="DY757" s="97"/>
      <c r="DZ757" s="97"/>
      <c r="EA757" s="97"/>
      <c r="EB757" s="97"/>
      <c r="EC757" s="97"/>
      <c r="ED757" s="97"/>
      <c r="EE757" s="97"/>
      <c r="EF757" s="97"/>
      <c r="EG757" s="97"/>
      <c r="EH757" s="97"/>
      <c r="EI757" s="97"/>
      <c r="EJ757" s="97"/>
      <c r="EK757" s="97"/>
      <c r="EL757" s="97"/>
      <c r="EM757" s="97"/>
      <c r="EN757" s="97"/>
      <c r="EO757" s="97"/>
      <c r="EP757" s="97"/>
      <c r="EQ757" s="97"/>
      <c r="ER757" s="97"/>
      <c r="ES757" s="97"/>
      <c r="ET757" s="97"/>
    </row>
    <row r="758" spans="1:150" ht="15.75" customHeight="1">
      <c r="A758" s="97"/>
      <c r="B758" s="97"/>
      <c r="C758" s="97"/>
      <c r="D758" s="97"/>
      <c r="E758" s="97"/>
      <c r="F758" s="97"/>
      <c r="G758" s="97"/>
      <c r="H758" s="129"/>
      <c r="I758" s="97"/>
      <c r="J758" s="97"/>
      <c r="K758" s="97"/>
      <c r="L758" s="97"/>
      <c r="M758" s="97"/>
      <c r="N758" s="97"/>
      <c r="O758" s="97"/>
      <c r="P758" s="97"/>
      <c r="Q758" s="97"/>
      <c r="R758" s="97"/>
      <c r="S758" s="97"/>
      <c r="T758" s="97"/>
      <c r="U758" s="97"/>
      <c r="V758" s="97"/>
      <c r="W758" s="97"/>
      <c r="X758" s="129"/>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c r="DF758" s="97"/>
      <c r="DG758" s="97"/>
      <c r="DH758" s="97"/>
      <c r="DI758" s="97"/>
      <c r="DJ758" s="97"/>
      <c r="DK758" s="97"/>
      <c r="DL758" s="97"/>
      <c r="DM758" s="97"/>
      <c r="DN758" s="97"/>
      <c r="DO758" s="97"/>
      <c r="DP758" s="97"/>
      <c r="DQ758" s="97"/>
      <c r="DR758" s="97"/>
      <c r="DS758" s="97"/>
      <c r="DT758" s="97"/>
      <c r="DU758" s="97"/>
      <c r="DV758" s="97"/>
      <c r="DW758" s="97"/>
      <c r="DX758" s="97"/>
      <c r="DY758" s="97"/>
      <c r="DZ758" s="97"/>
      <c r="EA758" s="97"/>
      <c r="EB758" s="97"/>
      <c r="EC758" s="97"/>
      <c r="ED758" s="97"/>
      <c r="EE758" s="97"/>
      <c r="EF758" s="97"/>
      <c r="EG758" s="97"/>
      <c r="EH758" s="97"/>
      <c r="EI758" s="97"/>
      <c r="EJ758" s="97"/>
      <c r="EK758" s="97"/>
      <c r="EL758" s="97"/>
      <c r="EM758" s="97"/>
      <c r="EN758" s="97"/>
      <c r="EO758" s="97"/>
      <c r="EP758" s="97"/>
      <c r="EQ758" s="97"/>
      <c r="ER758" s="97"/>
      <c r="ES758" s="97"/>
      <c r="ET758" s="97"/>
    </row>
    <row r="759" spans="1:150" ht="15.75" customHeight="1">
      <c r="A759" s="97"/>
      <c r="B759" s="97"/>
      <c r="C759" s="97"/>
      <c r="D759" s="97"/>
      <c r="E759" s="97"/>
      <c r="F759" s="97"/>
      <c r="G759" s="97"/>
      <c r="H759" s="129"/>
      <c r="I759" s="97"/>
      <c r="J759" s="97"/>
      <c r="K759" s="97"/>
      <c r="L759" s="97"/>
      <c r="M759" s="97"/>
      <c r="N759" s="97"/>
      <c r="O759" s="97"/>
      <c r="P759" s="97"/>
      <c r="Q759" s="97"/>
      <c r="R759" s="97"/>
      <c r="S759" s="97"/>
      <c r="T759" s="97"/>
      <c r="U759" s="97"/>
      <c r="V759" s="97"/>
      <c r="W759" s="97"/>
      <c r="X759" s="129"/>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c r="DF759" s="97"/>
      <c r="DG759" s="97"/>
      <c r="DH759" s="97"/>
      <c r="DI759" s="97"/>
      <c r="DJ759" s="97"/>
      <c r="DK759" s="97"/>
      <c r="DL759" s="97"/>
      <c r="DM759" s="97"/>
      <c r="DN759" s="97"/>
      <c r="DO759" s="97"/>
      <c r="DP759" s="97"/>
      <c r="DQ759" s="97"/>
      <c r="DR759" s="97"/>
      <c r="DS759" s="97"/>
      <c r="DT759" s="97"/>
      <c r="DU759" s="97"/>
      <c r="DV759" s="97"/>
      <c r="DW759" s="97"/>
      <c r="DX759" s="97"/>
      <c r="DY759" s="97"/>
      <c r="DZ759" s="97"/>
      <c r="EA759" s="97"/>
      <c r="EB759" s="97"/>
      <c r="EC759" s="97"/>
      <c r="ED759" s="97"/>
      <c r="EE759" s="97"/>
      <c r="EF759" s="97"/>
      <c r="EG759" s="97"/>
      <c r="EH759" s="97"/>
      <c r="EI759" s="97"/>
      <c r="EJ759" s="97"/>
      <c r="EK759" s="97"/>
      <c r="EL759" s="97"/>
      <c r="EM759" s="97"/>
      <c r="EN759" s="97"/>
      <c r="EO759" s="97"/>
      <c r="EP759" s="97"/>
      <c r="EQ759" s="97"/>
      <c r="ER759" s="97"/>
      <c r="ES759" s="97"/>
      <c r="ET759" s="97"/>
    </row>
    <row r="760" spans="1:150" ht="15.75" customHeight="1">
      <c r="A760" s="97"/>
      <c r="B760" s="97"/>
      <c r="C760" s="97"/>
      <c r="D760" s="97"/>
      <c r="E760" s="97"/>
      <c r="F760" s="97"/>
      <c r="G760" s="97"/>
      <c r="H760" s="129"/>
      <c r="I760" s="97"/>
      <c r="J760" s="97"/>
      <c r="K760" s="97"/>
      <c r="L760" s="97"/>
      <c r="M760" s="97"/>
      <c r="N760" s="97"/>
      <c r="O760" s="97"/>
      <c r="P760" s="97"/>
      <c r="Q760" s="97"/>
      <c r="R760" s="97"/>
      <c r="S760" s="97"/>
      <c r="T760" s="97"/>
      <c r="U760" s="97"/>
      <c r="V760" s="97"/>
      <c r="W760" s="97"/>
      <c r="X760" s="129"/>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c r="DF760" s="97"/>
      <c r="DG760" s="97"/>
      <c r="DH760" s="97"/>
      <c r="DI760" s="97"/>
      <c r="DJ760" s="97"/>
      <c r="DK760" s="97"/>
      <c r="DL760" s="97"/>
      <c r="DM760" s="97"/>
      <c r="DN760" s="97"/>
      <c r="DO760" s="97"/>
      <c r="DP760" s="97"/>
      <c r="DQ760" s="97"/>
      <c r="DR760" s="97"/>
      <c r="DS760" s="97"/>
      <c r="DT760" s="97"/>
      <c r="DU760" s="97"/>
      <c r="DV760" s="97"/>
      <c r="DW760" s="97"/>
      <c r="DX760" s="97"/>
      <c r="DY760" s="97"/>
      <c r="DZ760" s="97"/>
      <c r="EA760" s="97"/>
      <c r="EB760" s="97"/>
      <c r="EC760" s="97"/>
      <c r="ED760" s="97"/>
      <c r="EE760" s="97"/>
      <c r="EF760" s="97"/>
      <c r="EG760" s="97"/>
      <c r="EH760" s="97"/>
      <c r="EI760" s="97"/>
      <c r="EJ760" s="97"/>
      <c r="EK760" s="97"/>
      <c r="EL760" s="97"/>
      <c r="EM760" s="97"/>
      <c r="EN760" s="97"/>
      <c r="EO760" s="97"/>
      <c r="EP760" s="97"/>
      <c r="EQ760" s="97"/>
      <c r="ER760" s="97"/>
      <c r="ES760" s="97"/>
      <c r="ET760" s="97"/>
    </row>
    <row r="761" spans="1:150" ht="15.75" customHeight="1">
      <c r="A761" s="97"/>
      <c r="B761" s="97"/>
      <c r="C761" s="97"/>
      <c r="D761" s="97"/>
      <c r="E761" s="97"/>
      <c r="F761" s="97"/>
      <c r="G761" s="97"/>
      <c r="H761" s="129"/>
      <c r="I761" s="97"/>
      <c r="J761" s="97"/>
      <c r="K761" s="97"/>
      <c r="L761" s="97"/>
      <c r="M761" s="97"/>
      <c r="N761" s="97"/>
      <c r="O761" s="97"/>
      <c r="P761" s="97"/>
      <c r="Q761" s="97"/>
      <c r="R761" s="97"/>
      <c r="S761" s="97"/>
      <c r="T761" s="97"/>
      <c r="U761" s="97"/>
      <c r="V761" s="97"/>
      <c r="W761" s="97"/>
      <c r="X761" s="129"/>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c r="DF761" s="97"/>
      <c r="DG761" s="97"/>
      <c r="DH761" s="97"/>
      <c r="DI761" s="97"/>
      <c r="DJ761" s="97"/>
      <c r="DK761" s="97"/>
      <c r="DL761" s="97"/>
      <c r="DM761" s="97"/>
      <c r="DN761" s="97"/>
      <c r="DO761" s="97"/>
      <c r="DP761" s="97"/>
      <c r="DQ761" s="97"/>
      <c r="DR761" s="97"/>
      <c r="DS761" s="97"/>
      <c r="DT761" s="97"/>
      <c r="DU761" s="97"/>
      <c r="DV761" s="97"/>
      <c r="DW761" s="97"/>
      <c r="DX761" s="97"/>
      <c r="DY761" s="97"/>
      <c r="DZ761" s="97"/>
      <c r="EA761" s="97"/>
      <c r="EB761" s="97"/>
      <c r="EC761" s="97"/>
      <c r="ED761" s="97"/>
      <c r="EE761" s="97"/>
      <c r="EF761" s="97"/>
      <c r="EG761" s="97"/>
      <c r="EH761" s="97"/>
      <c r="EI761" s="97"/>
      <c r="EJ761" s="97"/>
      <c r="EK761" s="97"/>
      <c r="EL761" s="97"/>
      <c r="EM761" s="97"/>
      <c r="EN761" s="97"/>
      <c r="EO761" s="97"/>
      <c r="EP761" s="97"/>
      <c r="EQ761" s="97"/>
      <c r="ER761" s="97"/>
      <c r="ES761" s="97"/>
      <c r="ET761" s="97"/>
    </row>
    <row r="762" spans="1:150" ht="15.75" customHeight="1">
      <c r="A762" s="97"/>
      <c r="B762" s="97"/>
      <c r="C762" s="97"/>
      <c r="D762" s="97"/>
      <c r="E762" s="97"/>
      <c r="F762" s="97"/>
      <c r="G762" s="97"/>
      <c r="H762" s="129"/>
      <c r="I762" s="97"/>
      <c r="J762" s="97"/>
      <c r="K762" s="97"/>
      <c r="L762" s="97"/>
      <c r="M762" s="97"/>
      <c r="N762" s="97"/>
      <c r="O762" s="97"/>
      <c r="P762" s="97"/>
      <c r="Q762" s="97"/>
      <c r="R762" s="97"/>
      <c r="S762" s="97"/>
      <c r="T762" s="97"/>
      <c r="U762" s="97"/>
      <c r="V762" s="97"/>
      <c r="W762" s="97"/>
      <c r="X762" s="129"/>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c r="DF762" s="97"/>
      <c r="DG762" s="97"/>
      <c r="DH762" s="97"/>
      <c r="DI762" s="97"/>
      <c r="DJ762" s="97"/>
      <c r="DK762" s="97"/>
      <c r="DL762" s="97"/>
      <c r="DM762" s="97"/>
      <c r="DN762" s="97"/>
      <c r="DO762" s="97"/>
      <c r="DP762" s="97"/>
      <c r="DQ762" s="97"/>
      <c r="DR762" s="97"/>
      <c r="DS762" s="97"/>
      <c r="DT762" s="97"/>
      <c r="DU762" s="97"/>
      <c r="DV762" s="97"/>
      <c r="DW762" s="97"/>
      <c r="DX762" s="97"/>
      <c r="DY762" s="97"/>
      <c r="DZ762" s="97"/>
      <c r="EA762" s="97"/>
      <c r="EB762" s="97"/>
      <c r="EC762" s="97"/>
      <c r="ED762" s="97"/>
      <c r="EE762" s="97"/>
      <c r="EF762" s="97"/>
      <c r="EG762" s="97"/>
      <c r="EH762" s="97"/>
      <c r="EI762" s="97"/>
      <c r="EJ762" s="97"/>
      <c r="EK762" s="97"/>
      <c r="EL762" s="97"/>
      <c r="EM762" s="97"/>
      <c r="EN762" s="97"/>
      <c r="EO762" s="97"/>
      <c r="EP762" s="97"/>
      <c r="EQ762" s="97"/>
      <c r="ER762" s="97"/>
      <c r="ES762" s="97"/>
      <c r="ET762" s="97"/>
    </row>
    <row r="763" spans="1:150" ht="15.75" customHeight="1">
      <c r="A763" s="97"/>
      <c r="B763" s="97"/>
      <c r="C763" s="97"/>
      <c r="D763" s="97"/>
      <c r="E763" s="97"/>
      <c r="F763" s="97"/>
      <c r="G763" s="97"/>
      <c r="H763" s="129"/>
      <c r="I763" s="97"/>
      <c r="J763" s="97"/>
      <c r="K763" s="97"/>
      <c r="L763" s="97"/>
      <c r="M763" s="97"/>
      <c r="N763" s="97"/>
      <c r="O763" s="97"/>
      <c r="P763" s="97"/>
      <c r="Q763" s="97"/>
      <c r="R763" s="97"/>
      <c r="S763" s="97"/>
      <c r="T763" s="97"/>
      <c r="U763" s="97"/>
      <c r="V763" s="97"/>
      <c r="W763" s="97"/>
      <c r="X763" s="129"/>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c r="DF763" s="97"/>
      <c r="DG763" s="97"/>
      <c r="DH763" s="97"/>
      <c r="DI763" s="97"/>
      <c r="DJ763" s="97"/>
      <c r="DK763" s="97"/>
      <c r="DL763" s="97"/>
      <c r="DM763" s="97"/>
      <c r="DN763" s="97"/>
      <c r="DO763" s="97"/>
      <c r="DP763" s="97"/>
      <c r="DQ763" s="97"/>
      <c r="DR763" s="97"/>
      <c r="DS763" s="97"/>
      <c r="DT763" s="97"/>
      <c r="DU763" s="97"/>
      <c r="DV763" s="97"/>
      <c r="DW763" s="97"/>
      <c r="DX763" s="97"/>
      <c r="DY763" s="97"/>
      <c r="DZ763" s="97"/>
      <c r="EA763" s="97"/>
      <c r="EB763" s="97"/>
      <c r="EC763" s="97"/>
      <c r="ED763" s="97"/>
      <c r="EE763" s="97"/>
      <c r="EF763" s="97"/>
      <c r="EG763" s="97"/>
      <c r="EH763" s="97"/>
      <c r="EI763" s="97"/>
      <c r="EJ763" s="97"/>
      <c r="EK763" s="97"/>
      <c r="EL763" s="97"/>
      <c r="EM763" s="97"/>
      <c r="EN763" s="97"/>
      <c r="EO763" s="97"/>
      <c r="EP763" s="97"/>
      <c r="EQ763" s="97"/>
      <c r="ER763" s="97"/>
      <c r="ES763" s="97"/>
      <c r="ET763" s="97"/>
    </row>
    <row r="764" spans="1:150" ht="15.75" customHeight="1">
      <c r="A764" s="97"/>
      <c r="B764" s="97"/>
      <c r="C764" s="97"/>
      <c r="D764" s="97"/>
      <c r="E764" s="97"/>
      <c r="F764" s="97"/>
      <c r="G764" s="97"/>
      <c r="H764" s="129"/>
      <c r="I764" s="97"/>
      <c r="J764" s="97"/>
      <c r="K764" s="97"/>
      <c r="L764" s="97"/>
      <c r="M764" s="97"/>
      <c r="N764" s="97"/>
      <c r="O764" s="97"/>
      <c r="P764" s="97"/>
      <c r="Q764" s="97"/>
      <c r="R764" s="97"/>
      <c r="S764" s="97"/>
      <c r="T764" s="97"/>
      <c r="U764" s="97"/>
      <c r="V764" s="97"/>
      <c r="W764" s="97"/>
      <c r="X764" s="129"/>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c r="DF764" s="97"/>
      <c r="DG764" s="97"/>
      <c r="DH764" s="97"/>
      <c r="DI764" s="97"/>
      <c r="DJ764" s="97"/>
      <c r="DK764" s="97"/>
      <c r="DL764" s="97"/>
      <c r="DM764" s="97"/>
      <c r="DN764" s="97"/>
      <c r="DO764" s="97"/>
      <c r="DP764" s="97"/>
      <c r="DQ764" s="97"/>
      <c r="DR764" s="97"/>
      <c r="DS764" s="97"/>
      <c r="DT764" s="97"/>
      <c r="DU764" s="97"/>
      <c r="DV764" s="97"/>
      <c r="DW764" s="97"/>
      <c r="DX764" s="97"/>
      <c r="DY764" s="97"/>
      <c r="DZ764" s="97"/>
      <c r="EA764" s="97"/>
      <c r="EB764" s="97"/>
      <c r="EC764" s="97"/>
      <c r="ED764" s="97"/>
      <c r="EE764" s="97"/>
      <c r="EF764" s="97"/>
      <c r="EG764" s="97"/>
      <c r="EH764" s="97"/>
      <c r="EI764" s="97"/>
      <c r="EJ764" s="97"/>
      <c r="EK764" s="97"/>
      <c r="EL764" s="97"/>
      <c r="EM764" s="97"/>
      <c r="EN764" s="97"/>
      <c r="EO764" s="97"/>
      <c r="EP764" s="97"/>
      <c r="EQ764" s="97"/>
      <c r="ER764" s="97"/>
      <c r="ES764" s="97"/>
      <c r="ET764" s="97"/>
    </row>
    <row r="765" spans="1:150" ht="15.75" customHeight="1">
      <c r="A765" s="97"/>
      <c r="B765" s="97"/>
      <c r="C765" s="97"/>
      <c r="D765" s="97"/>
      <c r="E765" s="97"/>
      <c r="F765" s="97"/>
      <c r="G765" s="97"/>
      <c r="H765" s="129"/>
      <c r="I765" s="97"/>
      <c r="J765" s="97"/>
      <c r="K765" s="97"/>
      <c r="L765" s="97"/>
      <c r="M765" s="97"/>
      <c r="N765" s="97"/>
      <c r="O765" s="97"/>
      <c r="P765" s="97"/>
      <c r="Q765" s="97"/>
      <c r="R765" s="97"/>
      <c r="S765" s="97"/>
      <c r="T765" s="97"/>
      <c r="U765" s="97"/>
      <c r="V765" s="97"/>
      <c r="W765" s="97"/>
      <c r="X765" s="129"/>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c r="DF765" s="97"/>
      <c r="DG765" s="97"/>
      <c r="DH765" s="97"/>
      <c r="DI765" s="97"/>
      <c r="DJ765" s="97"/>
      <c r="DK765" s="97"/>
      <c r="DL765" s="97"/>
      <c r="DM765" s="97"/>
      <c r="DN765" s="97"/>
      <c r="DO765" s="97"/>
      <c r="DP765" s="97"/>
      <c r="DQ765" s="97"/>
      <c r="DR765" s="97"/>
      <c r="DS765" s="97"/>
      <c r="DT765" s="97"/>
      <c r="DU765" s="97"/>
      <c r="DV765" s="97"/>
      <c r="DW765" s="97"/>
      <c r="DX765" s="97"/>
      <c r="DY765" s="97"/>
      <c r="DZ765" s="97"/>
      <c r="EA765" s="97"/>
      <c r="EB765" s="97"/>
      <c r="EC765" s="97"/>
      <c r="ED765" s="97"/>
      <c r="EE765" s="97"/>
      <c r="EF765" s="97"/>
      <c r="EG765" s="97"/>
      <c r="EH765" s="97"/>
      <c r="EI765" s="97"/>
      <c r="EJ765" s="97"/>
      <c r="EK765" s="97"/>
      <c r="EL765" s="97"/>
      <c r="EM765" s="97"/>
      <c r="EN765" s="97"/>
      <c r="EO765" s="97"/>
      <c r="EP765" s="97"/>
      <c r="EQ765" s="97"/>
      <c r="ER765" s="97"/>
      <c r="ES765" s="97"/>
      <c r="ET765" s="97"/>
    </row>
    <row r="766" spans="1:150" ht="15.75" customHeight="1">
      <c r="A766" s="97"/>
      <c r="B766" s="97"/>
      <c r="C766" s="97"/>
      <c r="D766" s="97"/>
      <c r="E766" s="97"/>
      <c r="F766" s="97"/>
      <c r="G766" s="97"/>
      <c r="H766" s="129"/>
      <c r="I766" s="97"/>
      <c r="J766" s="97"/>
      <c r="K766" s="97"/>
      <c r="L766" s="97"/>
      <c r="M766" s="97"/>
      <c r="N766" s="97"/>
      <c r="O766" s="97"/>
      <c r="P766" s="97"/>
      <c r="Q766" s="97"/>
      <c r="R766" s="97"/>
      <c r="S766" s="97"/>
      <c r="T766" s="97"/>
      <c r="U766" s="97"/>
      <c r="V766" s="97"/>
      <c r="W766" s="97"/>
      <c r="X766" s="129"/>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c r="DF766" s="97"/>
      <c r="DG766" s="97"/>
      <c r="DH766" s="97"/>
      <c r="DI766" s="97"/>
      <c r="DJ766" s="97"/>
      <c r="DK766" s="97"/>
      <c r="DL766" s="97"/>
      <c r="DM766" s="97"/>
      <c r="DN766" s="97"/>
      <c r="DO766" s="97"/>
      <c r="DP766" s="97"/>
      <c r="DQ766" s="97"/>
      <c r="DR766" s="97"/>
      <c r="DS766" s="97"/>
      <c r="DT766" s="97"/>
      <c r="DU766" s="97"/>
      <c r="DV766" s="97"/>
      <c r="DW766" s="97"/>
      <c r="DX766" s="97"/>
      <c r="DY766" s="97"/>
      <c r="DZ766" s="97"/>
      <c r="EA766" s="97"/>
      <c r="EB766" s="97"/>
      <c r="EC766" s="97"/>
      <c r="ED766" s="97"/>
      <c r="EE766" s="97"/>
      <c r="EF766" s="97"/>
      <c r="EG766" s="97"/>
      <c r="EH766" s="97"/>
      <c r="EI766" s="97"/>
      <c r="EJ766" s="97"/>
      <c r="EK766" s="97"/>
      <c r="EL766" s="97"/>
      <c r="EM766" s="97"/>
      <c r="EN766" s="97"/>
      <c r="EO766" s="97"/>
      <c r="EP766" s="97"/>
      <c r="EQ766" s="97"/>
      <c r="ER766" s="97"/>
      <c r="ES766" s="97"/>
      <c r="ET766" s="97"/>
    </row>
    <row r="767" spans="1:150" ht="15.75" customHeight="1">
      <c r="A767" s="97"/>
      <c r="B767" s="97"/>
      <c r="C767" s="97"/>
      <c r="D767" s="97"/>
      <c r="E767" s="97"/>
      <c r="F767" s="97"/>
      <c r="G767" s="97"/>
      <c r="H767" s="129"/>
      <c r="I767" s="97"/>
      <c r="J767" s="97"/>
      <c r="K767" s="97"/>
      <c r="L767" s="97"/>
      <c r="M767" s="97"/>
      <c r="N767" s="97"/>
      <c r="O767" s="97"/>
      <c r="P767" s="97"/>
      <c r="Q767" s="97"/>
      <c r="R767" s="97"/>
      <c r="S767" s="97"/>
      <c r="T767" s="97"/>
      <c r="U767" s="97"/>
      <c r="V767" s="97"/>
      <c r="W767" s="97"/>
      <c r="X767" s="129"/>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c r="DF767" s="97"/>
      <c r="DG767" s="97"/>
      <c r="DH767" s="97"/>
      <c r="DI767" s="97"/>
      <c r="DJ767" s="97"/>
      <c r="DK767" s="97"/>
      <c r="DL767" s="97"/>
      <c r="DM767" s="97"/>
      <c r="DN767" s="97"/>
      <c r="DO767" s="97"/>
      <c r="DP767" s="97"/>
      <c r="DQ767" s="97"/>
      <c r="DR767" s="97"/>
      <c r="DS767" s="97"/>
      <c r="DT767" s="97"/>
      <c r="DU767" s="97"/>
      <c r="DV767" s="97"/>
      <c r="DW767" s="97"/>
      <c r="DX767" s="97"/>
      <c r="DY767" s="97"/>
      <c r="DZ767" s="97"/>
      <c r="EA767" s="97"/>
      <c r="EB767" s="97"/>
      <c r="EC767" s="97"/>
      <c r="ED767" s="97"/>
      <c r="EE767" s="97"/>
      <c r="EF767" s="97"/>
      <c r="EG767" s="97"/>
      <c r="EH767" s="97"/>
      <c r="EI767" s="97"/>
      <c r="EJ767" s="97"/>
      <c r="EK767" s="97"/>
      <c r="EL767" s="97"/>
      <c r="EM767" s="97"/>
      <c r="EN767" s="97"/>
      <c r="EO767" s="97"/>
      <c r="EP767" s="97"/>
      <c r="EQ767" s="97"/>
      <c r="ER767" s="97"/>
      <c r="ES767" s="97"/>
      <c r="ET767" s="97"/>
    </row>
    <row r="768" spans="1:150" ht="15.75" customHeight="1">
      <c r="A768" s="97"/>
      <c r="B768" s="97"/>
      <c r="C768" s="97"/>
      <c r="D768" s="97"/>
      <c r="E768" s="97"/>
      <c r="F768" s="97"/>
      <c r="G768" s="97"/>
      <c r="H768" s="129"/>
      <c r="I768" s="97"/>
      <c r="J768" s="97"/>
      <c r="K768" s="97"/>
      <c r="L768" s="97"/>
      <c r="M768" s="97"/>
      <c r="N768" s="97"/>
      <c r="O768" s="97"/>
      <c r="P768" s="97"/>
      <c r="Q768" s="97"/>
      <c r="R768" s="97"/>
      <c r="S768" s="97"/>
      <c r="T768" s="97"/>
      <c r="U768" s="97"/>
      <c r="V768" s="97"/>
      <c r="W768" s="97"/>
      <c r="X768" s="129"/>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c r="DF768" s="97"/>
      <c r="DG768" s="97"/>
      <c r="DH768" s="97"/>
      <c r="DI768" s="97"/>
      <c r="DJ768" s="97"/>
      <c r="DK768" s="97"/>
      <c r="DL768" s="97"/>
      <c r="DM768" s="97"/>
      <c r="DN768" s="97"/>
      <c r="DO768" s="97"/>
      <c r="DP768" s="97"/>
      <c r="DQ768" s="97"/>
      <c r="DR768" s="97"/>
      <c r="DS768" s="97"/>
      <c r="DT768" s="97"/>
      <c r="DU768" s="97"/>
      <c r="DV768" s="97"/>
      <c r="DW768" s="97"/>
      <c r="DX768" s="97"/>
      <c r="DY768" s="97"/>
      <c r="DZ768" s="97"/>
      <c r="EA768" s="97"/>
      <c r="EB768" s="97"/>
      <c r="EC768" s="97"/>
      <c r="ED768" s="97"/>
      <c r="EE768" s="97"/>
      <c r="EF768" s="97"/>
      <c r="EG768" s="97"/>
      <c r="EH768" s="97"/>
      <c r="EI768" s="97"/>
      <c r="EJ768" s="97"/>
      <c r="EK768" s="97"/>
      <c r="EL768" s="97"/>
      <c r="EM768" s="97"/>
      <c r="EN768" s="97"/>
      <c r="EO768" s="97"/>
      <c r="EP768" s="97"/>
      <c r="EQ768" s="97"/>
      <c r="ER768" s="97"/>
      <c r="ES768" s="97"/>
      <c r="ET768" s="97"/>
    </row>
    <row r="769" spans="1:150" ht="15.75" customHeight="1">
      <c r="A769" s="97"/>
      <c r="B769" s="97"/>
      <c r="C769" s="97"/>
      <c r="D769" s="97"/>
      <c r="E769" s="97"/>
      <c r="F769" s="97"/>
      <c r="G769" s="97"/>
      <c r="H769" s="129"/>
      <c r="I769" s="97"/>
      <c r="J769" s="97"/>
      <c r="K769" s="97"/>
      <c r="L769" s="97"/>
      <c r="M769" s="97"/>
      <c r="N769" s="97"/>
      <c r="O769" s="97"/>
      <c r="P769" s="97"/>
      <c r="Q769" s="97"/>
      <c r="R769" s="97"/>
      <c r="S769" s="97"/>
      <c r="T769" s="97"/>
      <c r="U769" s="97"/>
      <c r="V769" s="97"/>
      <c r="W769" s="97"/>
      <c r="X769" s="129"/>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c r="DF769" s="97"/>
      <c r="DG769" s="97"/>
      <c r="DH769" s="97"/>
      <c r="DI769" s="97"/>
      <c r="DJ769" s="97"/>
      <c r="DK769" s="97"/>
      <c r="DL769" s="97"/>
      <c r="DM769" s="97"/>
      <c r="DN769" s="97"/>
      <c r="DO769" s="97"/>
      <c r="DP769" s="97"/>
      <c r="DQ769" s="97"/>
      <c r="DR769" s="97"/>
      <c r="DS769" s="97"/>
      <c r="DT769" s="97"/>
      <c r="DU769" s="97"/>
      <c r="DV769" s="97"/>
      <c r="DW769" s="97"/>
      <c r="DX769" s="97"/>
      <c r="DY769" s="97"/>
      <c r="DZ769" s="97"/>
      <c r="EA769" s="97"/>
      <c r="EB769" s="97"/>
      <c r="EC769" s="97"/>
      <c r="ED769" s="97"/>
      <c r="EE769" s="97"/>
      <c r="EF769" s="97"/>
      <c r="EG769" s="97"/>
      <c r="EH769" s="97"/>
      <c r="EI769" s="97"/>
      <c r="EJ769" s="97"/>
      <c r="EK769" s="97"/>
      <c r="EL769" s="97"/>
      <c r="EM769" s="97"/>
      <c r="EN769" s="97"/>
      <c r="EO769" s="97"/>
      <c r="EP769" s="97"/>
      <c r="EQ769" s="97"/>
      <c r="ER769" s="97"/>
      <c r="ES769" s="97"/>
      <c r="ET769" s="97"/>
    </row>
    <row r="770" spans="1:150" ht="15.75" customHeight="1">
      <c r="A770" s="97"/>
      <c r="B770" s="97"/>
      <c r="C770" s="97"/>
      <c r="D770" s="97"/>
      <c r="E770" s="97"/>
      <c r="F770" s="97"/>
      <c r="G770" s="97"/>
      <c r="H770" s="129"/>
      <c r="I770" s="97"/>
      <c r="J770" s="97"/>
      <c r="K770" s="97"/>
      <c r="L770" s="97"/>
      <c r="M770" s="97"/>
      <c r="N770" s="97"/>
      <c r="O770" s="97"/>
      <c r="P770" s="97"/>
      <c r="Q770" s="97"/>
      <c r="R770" s="97"/>
      <c r="S770" s="97"/>
      <c r="T770" s="97"/>
      <c r="U770" s="97"/>
      <c r="V770" s="97"/>
      <c r="W770" s="97"/>
      <c r="X770" s="129"/>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c r="DF770" s="97"/>
      <c r="DG770" s="97"/>
      <c r="DH770" s="97"/>
      <c r="DI770" s="97"/>
      <c r="DJ770" s="97"/>
      <c r="DK770" s="97"/>
      <c r="DL770" s="97"/>
      <c r="DM770" s="97"/>
      <c r="DN770" s="97"/>
      <c r="DO770" s="97"/>
      <c r="DP770" s="97"/>
      <c r="DQ770" s="97"/>
      <c r="DR770" s="97"/>
      <c r="DS770" s="97"/>
      <c r="DT770" s="97"/>
      <c r="DU770" s="97"/>
      <c r="DV770" s="97"/>
      <c r="DW770" s="97"/>
      <c r="DX770" s="97"/>
      <c r="DY770" s="97"/>
      <c r="DZ770" s="97"/>
      <c r="EA770" s="97"/>
      <c r="EB770" s="97"/>
      <c r="EC770" s="97"/>
      <c r="ED770" s="97"/>
      <c r="EE770" s="97"/>
      <c r="EF770" s="97"/>
      <c r="EG770" s="97"/>
      <c r="EH770" s="97"/>
      <c r="EI770" s="97"/>
      <c r="EJ770" s="97"/>
      <c r="EK770" s="97"/>
      <c r="EL770" s="97"/>
      <c r="EM770" s="97"/>
      <c r="EN770" s="97"/>
      <c r="EO770" s="97"/>
      <c r="EP770" s="97"/>
      <c r="EQ770" s="97"/>
      <c r="ER770" s="97"/>
      <c r="ES770" s="97"/>
      <c r="ET770" s="97"/>
    </row>
    <row r="771" spans="1:150" ht="15.75" customHeight="1">
      <c r="A771" s="97"/>
      <c r="B771" s="97"/>
      <c r="C771" s="97"/>
      <c r="D771" s="97"/>
      <c r="E771" s="97"/>
      <c r="F771" s="97"/>
      <c r="G771" s="97"/>
      <c r="H771" s="129"/>
      <c r="I771" s="97"/>
      <c r="J771" s="97"/>
      <c r="K771" s="97"/>
      <c r="L771" s="97"/>
      <c r="M771" s="97"/>
      <c r="N771" s="97"/>
      <c r="O771" s="97"/>
      <c r="P771" s="97"/>
      <c r="Q771" s="97"/>
      <c r="R771" s="97"/>
      <c r="S771" s="97"/>
      <c r="T771" s="97"/>
      <c r="U771" s="97"/>
      <c r="V771" s="97"/>
      <c r="W771" s="97"/>
      <c r="X771" s="129"/>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c r="DF771" s="97"/>
      <c r="DG771" s="97"/>
      <c r="DH771" s="97"/>
      <c r="DI771" s="97"/>
      <c r="DJ771" s="97"/>
      <c r="DK771" s="97"/>
      <c r="DL771" s="97"/>
      <c r="DM771" s="97"/>
      <c r="DN771" s="97"/>
      <c r="DO771" s="97"/>
      <c r="DP771" s="97"/>
      <c r="DQ771" s="97"/>
      <c r="DR771" s="97"/>
      <c r="DS771" s="97"/>
      <c r="DT771" s="97"/>
      <c r="DU771" s="97"/>
      <c r="DV771" s="97"/>
      <c r="DW771" s="97"/>
      <c r="DX771" s="97"/>
      <c r="DY771" s="97"/>
      <c r="DZ771" s="97"/>
      <c r="EA771" s="97"/>
      <c r="EB771" s="97"/>
      <c r="EC771" s="97"/>
      <c r="ED771" s="97"/>
      <c r="EE771" s="97"/>
      <c r="EF771" s="97"/>
      <c r="EG771" s="97"/>
      <c r="EH771" s="97"/>
      <c r="EI771" s="97"/>
      <c r="EJ771" s="97"/>
      <c r="EK771" s="97"/>
      <c r="EL771" s="97"/>
      <c r="EM771" s="97"/>
      <c r="EN771" s="97"/>
      <c r="EO771" s="97"/>
      <c r="EP771" s="97"/>
      <c r="EQ771" s="97"/>
      <c r="ER771" s="97"/>
      <c r="ES771" s="97"/>
      <c r="ET771" s="97"/>
    </row>
    <row r="772" spans="1:150" ht="15.75" customHeight="1">
      <c r="A772" s="97"/>
      <c r="B772" s="97"/>
      <c r="C772" s="97"/>
      <c r="D772" s="97"/>
      <c r="E772" s="97"/>
      <c r="F772" s="97"/>
      <c r="G772" s="97"/>
      <c r="H772" s="129"/>
      <c r="I772" s="97"/>
      <c r="J772" s="97"/>
      <c r="K772" s="97"/>
      <c r="L772" s="97"/>
      <c r="M772" s="97"/>
      <c r="N772" s="97"/>
      <c r="O772" s="97"/>
      <c r="P772" s="97"/>
      <c r="Q772" s="97"/>
      <c r="R772" s="97"/>
      <c r="S772" s="97"/>
      <c r="T772" s="97"/>
      <c r="U772" s="97"/>
      <c r="V772" s="97"/>
      <c r="W772" s="97"/>
      <c r="X772" s="129"/>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c r="DF772" s="97"/>
      <c r="DG772" s="97"/>
      <c r="DH772" s="97"/>
      <c r="DI772" s="97"/>
      <c r="DJ772" s="97"/>
      <c r="DK772" s="97"/>
      <c r="DL772" s="97"/>
      <c r="DM772" s="97"/>
      <c r="DN772" s="97"/>
      <c r="DO772" s="97"/>
      <c r="DP772" s="97"/>
      <c r="DQ772" s="97"/>
      <c r="DR772" s="97"/>
      <c r="DS772" s="97"/>
      <c r="DT772" s="97"/>
      <c r="DU772" s="97"/>
      <c r="DV772" s="97"/>
      <c r="DW772" s="97"/>
      <c r="DX772" s="97"/>
      <c r="DY772" s="97"/>
      <c r="DZ772" s="97"/>
      <c r="EA772" s="97"/>
      <c r="EB772" s="97"/>
      <c r="EC772" s="97"/>
      <c r="ED772" s="97"/>
      <c r="EE772" s="97"/>
      <c r="EF772" s="97"/>
      <c r="EG772" s="97"/>
      <c r="EH772" s="97"/>
      <c r="EI772" s="97"/>
      <c r="EJ772" s="97"/>
      <c r="EK772" s="97"/>
      <c r="EL772" s="97"/>
      <c r="EM772" s="97"/>
      <c r="EN772" s="97"/>
      <c r="EO772" s="97"/>
      <c r="EP772" s="97"/>
      <c r="EQ772" s="97"/>
      <c r="ER772" s="97"/>
      <c r="ES772" s="97"/>
      <c r="ET772" s="97"/>
    </row>
    <row r="773" spans="1:150" ht="15.75" customHeight="1">
      <c r="A773" s="97"/>
      <c r="B773" s="97"/>
      <c r="C773" s="97"/>
      <c r="D773" s="97"/>
      <c r="E773" s="97"/>
      <c r="F773" s="97"/>
      <c r="G773" s="97"/>
      <c r="H773" s="129"/>
      <c r="I773" s="97"/>
      <c r="J773" s="97"/>
      <c r="K773" s="97"/>
      <c r="L773" s="97"/>
      <c r="M773" s="97"/>
      <c r="N773" s="97"/>
      <c r="O773" s="97"/>
      <c r="P773" s="97"/>
      <c r="Q773" s="97"/>
      <c r="R773" s="97"/>
      <c r="S773" s="97"/>
      <c r="T773" s="97"/>
      <c r="U773" s="97"/>
      <c r="V773" s="97"/>
      <c r="W773" s="97"/>
      <c r="X773" s="129"/>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c r="DF773" s="97"/>
      <c r="DG773" s="97"/>
      <c r="DH773" s="97"/>
      <c r="DI773" s="97"/>
      <c r="DJ773" s="97"/>
      <c r="DK773" s="97"/>
      <c r="DL773" s="97"/>
      <c r="DM773" s="97"/>
      <c r="DN773" s="97"/>
      <c r="DO773" s="97"/>
      <c r="DP773" s="97"/>
      <c r="DQ773" s="97"/>
      <c r="DR773" s="97"/>
      <c r="DS773" s="97"/>
      <c r="DT773" s="97"/>
      <c r="DU773" s="97"/>
      <c r="DV773" s="97"/>
      <c r="DW773" s="97"/>
      <c r="DX773" s="97"/>
      <c r="DY773" s="97"/>
      <c r="DZ773" s="97"/>
      <c r="EA773" s="97"/>
      <c r="EB773" s="97"/>
      <c r="EC773" s="97"/>
      <c r="ED773" s="97"/>
      <c r="EE773" s="97"/>
      <c r="EF773" s="97"/>
      <c r="EG773" s="97"/>
      <c r="EH773" s="97"/>
      <c r="EI773" s="97"/>
      <c r="EJ773" s="97"/>
      <c r="EK773" s="97"/>
      <c r="EL773" s="97"/>
      <c r="EM773" s="97"/>
      <c r="EN773" s="97"/>
      <c r="EO773" s="97"/>
      <c r="EP773" s="97"/>
      <c r="EQ773" s="97"/>
      <c r="ER773" s="97"/>
      <c r="ES773" s="97"/>
      <c r="ET773" s="97"/>
    </row>
    <row r="774" spans="1:150" ht="15.75" customHeight="1">
      <c r="A774" s="97"/>
      <c r="B774" s="97"/>
      <c r="C774" s="97"/>
      <c r="D774" s="97"/>
      <c r="E774" s="97"/>
      <c r="F774" s="97"/>
      <c r="G774" s="97"/>
      <c r="H774" s="129"/>
      <c r="I774" s="97"/>
      <c r="J774" s="97"/>
      <c r="K774" s="97"/>
      <c r="L774" s="97"/>
      <c r="M774" s="97"/>
      <c r="N774" s="97"/>
      <c r="O774" s="97"/>
      <c r="P774" s="97"/>
      <c r="Q774" s="97"/>
      <c r="R774" s="97"/>
      <c r="S774" s="97"/>
      <c r="T774" s="97"/>
      <c r="U774" s="97"/>
      <c r="V774" s="97"/>
      <c r="W774" s="97"/>
      <c r="X774" s="129"/>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c r="DF774" s="97"/>
      <c r="DG774" s="97"/>
      <c r="DH774" s="97"/>
      <c r="DI774" s="97"/>
      <c r="DJ774" s="97"/>
      <c r="DK774" s="97"/>
      <c r="DL774" s="97"/>
      <c r="DM774" s="97"/>
      <c r="DN774" s="97"/>
      <c r="DO774" s="97"/>
      <c r="DP774" s="97"/>
      <c r="DQ774" s="97"/>
      <c r="DR774" s="97"/>
      <c r="DS774" s="97"/>
      <c r="DT774" s="97"/>
      <c r="DU774" s="97"/>
      <c r="DV774" s="97"/>
      <c r="DW774" s="97"/>
      <c r="DX774" s="97"/>
      <c r="DY774" s="97"/>
      <c r="DZ774" s="97"/>
      <c r="EA774" s="97"/>
      <c r="EB774" s="97"/>
      <c r="EC774" s="97"/>
      <c r="ED774" s="97"/>
      <c r="EE774" s="97"/>
      <c r="EF774" s="97"/>
      <c r="EG774" s="97"/>
      <c r="EH774" s="97"/>
      <c r="EI774" s="97"/>
      <c r="EJ774" s="97"/>
      <c r="EK774" s="97"/>
      <c r="EL774" s="97"/>
      <c r="EM774" s="97"/>
      <c r="EN774" s="97"/>
      <c r="EO774" s="97"/>
      <c r="EP774" s="97"/>
      <c r="EQ774" s="97"/>
      <c r="ER774" s="97"/>
      <c r="ES774" s="97"/>
      <c r="ET774" s="97"/>
    </row>
    <row r="775" spans="1:150" ht="15.75" customHeight="1">
      <c r="A775" s="97"/>
      <c r="B775" s="97"/>
      <c r="C775" s="97"/>
      <c r="D775" s="97"/>
      <c r="E775" s="97"/>
      <c r="F775" s="97"/>
      <c r="G775" s="97"/>
      <c r="H775" s="129"/>
      <c r="I775" s="97"/>
      <c r="J775" s="97"/>
      <c r="K775" s="97"/>
      <c r="L775" s="97"/>
      <c r="M775" s="97"/>
      <c r="N775" s="97"/>
      <c r="O775" s="97"/>
      <c r="P775" s="97"/>
      <c r="Q775" s="97"/>
      <c r="R775" s="97"/>
      <c r="S775" s="97"/>
      <c r="T775" s="97"/>
      <c r="U775" s="97"/>
      <c r="V775" s="97"/>
      <c r="W775" s="97"/>
      <c r="X775" s="129"/>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c r="DF775" s="97"/>
      <c r="DG775" s="97"/>
      <c r="DH775" s="97"/>
      <c r="DI775" s="97"/>
      <c r="DJ775" s="97"/>
      <c r="DK775" s="97"/>
      <c r="DL775" s="97"/>
      <c r="DM775" s="97"/>
      <c r="DN775" s="97"/>
      <c r="DO775" s="97"/>
      <c r="DP775" s="97"/>
      <c r="DQ775" s="97"/>
      <c r="DR775" s="97"/>
      <c r="DS775" s="97"/>
      <c r="DT775" s="97"/>
      <c r="DU775" s="97"/>
      <c r="DV775" s="97"/>
      <c r="DW775" s="97"/>
      <c r="DX775" s="97"/>
      <c r="DY775" s="97"/>
      <c r="DZ775" s="97"/>
      <c r="EA775" s="97"/>
      <c r="EB775" s="97"/>
      <c r="EC775" s="97"/>
      <c r="ED775" s="97"/>
      <c r="EE775" s="97"/>
      <c r="EF775" s="97"/>
      <c r="EG775" s="97"/>
      <c r="EH775" s="97"/>
      <c r="EI775" s="97"/>
      <c r="EJ775" s="97"/>
      <c r="EK775" s="97"/>
      <c r="EL775" s="97"/>
      <c r="EM775" s="97"/>
      <c r="EN775" s="97"/>
      <c r="EO775" s="97"/>
      <c r="EP775" s="97"/>
      <c r="EQ775" s="97"/>
      <c r="ER775" s="97"/>
      <c r="ES775" s="97"/>
      <c r="ET775" s="97"/>
    </row>
    <row r="776" spans="1:150" ht="15.75" customHeight="1">
      <c r="A776" s="97"/>
      <c r="B776" s="97"/>
      <c r="C776" s="97"/>
      <c r="D776" s="97"/>
      <c r="E776" s="97"/>
      <c r="F776" s="97"/>
      <c r="G776" s="97"/>
      <c r="H776" s="129"/>
      <c r="I776" s="97"/>
      <c r="J776" s="97"/>
      <c r="K776" s="97"/>
      <c r="L776" s="97"/>
      <c r="M776" s="97"/>
      <c r="N776" s="97"/>
      <c r="O776" s="97"/>
      <c r="P776" s="97"/>
      <c r="Q776" s="97"/>
      <c r="R776" s="97"/>
      <c r="S776" s="97"/>
      <c r="T776" s="97"/>
      <c r="U776" s="97"/>
      <c r="V776" s="97"/>
      <c r="W776" s="97"/>
      <c r="X776" s="129"/>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c r="DF776" s="97"/>
      <c r="DG776" s="97"/>
      <c r="DH776" s="97"/>
      <c r="DI776" s="97"/>
      <c r="DJ776" s="97"/>
      <c r="DK776" s="97"/>
      <c r="DL776" s="97"/>
      <c r="DM776" s="97"/>
      <c r="DN776" s="97"/>
      <c r="DO776" s="97"/>
      <c r="DP776" s="97"/>
      <c r="DQ776" s="97"/>
      <c r="DR776" s="97"/>
      <c r="DS776" s="97"/>
      <c r="DT776" s="97"/>
      <c r="DU776" s="97"/>
      <c r="DV776" s="97"/>
      <c r="DW776" s="97"/>
      <c r="DX776" s="97"/>
      <c r="DY776" s="97"/>
      <c r="DZ776" s="97"/>
      <c r="EA776" s="97"/>
      <c r="EB776" s="97"/>
      <c r="EC776" s="97"/>
      <c r="ED776" s="97"/>
      <c r="EE776" s="97"/>
      <c r="EF776" s="97"/>
      <c r="EG776" s="97"/>
      <c r="EH776" s="97"/>
      <c r="EI776" s="97"/>
      <c r="EJ776" s="97"/>
      <c r="EK776" s="97"/>
      <c r="EL776" s="97"/>
      <c r="EM776" s="97"/>
      <c r="EN776" s="97"/>
      <c r="EO776" s="97"/>
      <c r="EP776" s="97"/>
      <c r="EQ776" s="97"/>
      <c r="ER776" s="97"/>
      <c r="ES776" s="97"/>
      <c r="ET776" s="97"/>
    </row>
    <row r="777" spans="1:150" ht="15.75" customHeight="1">
      <c r="A777" s="97"/>
      <c r="B777" s="97"/>
      <c r="C777" s="97"/>
      <c r="D777" s="97"/>
      <c r="E777" s="97"/>
      <c r="F777" s="97"/>
      <c r="G777" s="97"/>
      <c r="H777" s="129"/>
      <c r="I777" s="97"/>
      <c r="J777" s="97"/>
      <c r="K777" s="97"/>
      <c r="L777" s="97"/>
      <c r="M777" s="97"/>
      <c r="N777" s="97"/>
      <c r="O777" s="97"/>
      <c r="P777" s="97"/>
      <c r="Q777" s="97"/>
      <c r="R777" s="97"/>
      <c r="S777" s="97"/>
      <c r="T777" s="97"/>
      <c r="U777" s="97"/>
      <c r="V777" s="97"/>
      <c r="W777" s="97"/>
      <c r="X777" s="129"/>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c r="DF777" s="97"/>
      <c r="DG777" s="97"/>
      <c r="DH777" s="97"/>
      <c r="DI777" s="97"/>
      <c r="DJ777" s="97"/>
      <c r="DK777" s="97"/>
      <c r="DL777" s="97"/>
      <c r="DM777" s="97"/>
      <c r="DN777" s="97"/>
      <c r="DO777" s="97"/>
      <c r="DP777" s="97"/>
      <c r="DQ777" s="97"/>
      <c r="DR777" s="97"/>
      <c r="DS777" s="97"/>
      <c r="DT777" s="97"/>
      <c r="DU777" s="97"/>
      <c r="DV777" s="97"/>
      <c r="DW777" s="97"/>
      <c r="DX777" s="97"/>
      <c r="DY777" s="97"/>
      <c r="DZ777" s="97"/>
      <c r="EA777" s="97"/>
      <c r="EB777" s="97"/>
      <c r="EC777" s="97"/>
      <c r="ED777" s="97"/>
      <c r="EE777" s="97"/>
      <c r="EF777" s="97"/>
      <c r="EG777" s="97"/>
      <c r="EH777" s="97"/>
      <c r="EI777" s="97"/>
      <c r="EJ777" s="97"/>
      <c r="EK777" s="97"/>
      <c r="EL777" s="97"/>
      <c r="EM777" s="97"/>
      <c r="EN777" s="97"/>
      <c r="EO777" s="97"/>
      <c r="EP777" s="97"/>
      <c r="EQ777" s="97"/>
      <c r="ER777" s="97"/>
      <c r="ES777" s="97"/>
      <c r="ET777" s="97"/>
    </row>
    <row r="778" spans="1:150" ht="15.75" customHeight="1">
      <c r="A778" s="97"/>
      <c r="B778" s="97"/>
      <c r="C778" s="97"/>
      <c r="D778" s="97"/>
      <c r="E778" s="97"/>
      <c r="F778" s="97"/>
      <c r="G778" s="97"/>
      <c r="H778" s="129"/>
      <c r="I778" s="97"/>
      <c r="J778" s="97"/>
      <c r="K778" s="97"/>
      <c r="L778" s="97"/>
      <c r="M778" s="97"/>
      <c r="N778" s="97"/>
      <c r="O778" s="97"/>
      <c r="P778" s="97"/>
      <c r="Q778" s="97"/>
      <c r="R778" s="97"/>
      <c r="S778" s="97"/>
      <c r="T778" s="97"/>
      <c r="U778" s="97"/>
      <c r="V778" s="97"/>
      <c r="W778" s="97"/>
      <c r="X778" s="129"/>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c r="DF778" s="97"/>
      <c r="DG778" s="97"/>
      <c r="DH778" s="97"/>
      <c r="DI778" s="97"/>
      <c r="DJ778" s="97"/>
      <c r="DK778" s="97"/>
      <c r="DL778" s="97"/>
      <c r="DM778" s="97"/>
      <c r="DN778" s="97"/>
      <c r="DO778" s="97"/>
      <c r="DP778" s="97"/>
      <c r="DQ778" s="97"/>
      <c r="DR778" s="97"/>
      <c r="DS778" s="97"/>
      <c r="DT778" s="97"/>
      <c r="DU778" s="97"/>
      <c r="DV778" s="97"/>
      <c r="DW778" s="97"/>
      <c r="DX778" s="97"/>
      <c r="DY778" s="97"/>
      <c r="DZ778" s="97"/>
      <c r="EA778" s="97"/>
      <c r="EB778" s="97"/>
      <c r="EC778" s="97"/>
      <c r="ED778" s="97"/>
      <c r="EE778" s="97"/>
      <c r="EF778" s="97"/>
      <c r="EG778" s="97"/>
      <c r="EH778" s="97"/>
      <c r="EI778" s="97"/>
      <c r="EJ778" s="97"/>
      <c r="EK778" s="97"/>
      <c r="EL778" s="97"/>
      <c r="EM778" s="97"/>
      <c r="EN778" s="97"/>
      <c r="EO778" s="97"/>
      <c r="EP778" s="97"/>
      <c r="EQ778" s="97"/>
      <c r="ER778" s="97"/>
      <c r="ES778" s="97"/>
      <c r="ET778" s="97"/>
    </row>
    <row r="779" spans="1:150" ht="15.75" customHeight="1">
      <c r="A779" s="97"/>
      <c r="B779" s="97"/>
      <c r="C779" s="97"/>
      <c r="D779" s="97"/>
      <c r="E779" s="97"/>
      <c r="F779" s="97"/>
      <c r="G779" s="97"/>
      <c r="H779" s="129"/>
      <c r="I779" s="97"/>
      <c r="J779" s="97"/>
      <c r="K779" s="97"/>
      <c r="L779" s="97"/>
      <c r="M779" s="97"/>
      <c r="N779" s="97"/>
      <c r="O779" s="97"/>
      <c r="P779" s="97"/>
      <c r="Q779" s="97"/>
      <c r="R779" s="97"/>
      <c r="S779" s="97"/>
      <c r="T779" s="97"/>
      <c r="U779" s="97"/>
      <c r="V779" s="97"/>
      <c r="W779" s="97"/>
      <c r="X779" s="129"/>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c r="DF779" s="97"/>
      <c r="DG779" s="97"/>
      <c r="DH779" s="97"/>
      <c r="DI779" s="97"/>
      <c r="DJ779" s="97"/>
      <c r="DK779" s="97"/>
      <c r="DL779" s="97"/>
      <c r="DM779" s="97"/>
      <c r="DN779" s="97"/>
      <c r="DO779" s="97"/>
      <c r="DP779" s="97"/>
      <c r="DQ779" s="97"/>
      <c r="DR779" s="97"/>
      <c r="DS779" s="97"/>
      <c r="DT779" s="97"/>
      <c r="DU779" s="97"/>
      <c r="DV779" s="97"/>
      <c r="DW779" s="97"/>
      <c r="DX779" s="97"/>
      <c r="DY779" s="97"/>
      <c r="DZ779" s="97"/>
      <c r="EA779" s="97"/>
      <c r="EB779" s="97"/>
      <c r="EC779" s="97"/>
      <c r="ED779" s="97"/>
      <c r="EE779" s="97"/>
      <c r="EF779" s="97"/>
      <c r="EG779" s="97"/>
      <c r="EH779" s="97"/>
      <c r="EI779" s="97"/>
      <c r="EJ779" s="97"/>
      <c r="EK779" s="97"/>
      <c r="EL779" s="97"/>
      <c r="EM779" s="97"/>
      <c r="EN779" s="97"/>
      <c r="EO779" s="97"/>
      <c r="EP779" s="97"/>
      <c r="EQ779" s="97"/>
      <c r="ER779" s="97"/>
      <c r="ES779" s="97"/>
      <c r="ET779" s="97"/>
    </row>
    <row r="780" spans="1:150" ht="15.75" customHeight="1">
      <c r="A780" s="97"/>
      <c r="B780" s="97"/>
      <c r="C780" s="97"/>
      <c r="D780" s="97"/>
      <c r="E780" s="97"/>
      <c r="F780" s="97"/>
      <c r="G780" s="97"/>
      <c r="H780" s="129"/>
      <c r="I780" s="97"/>
      <c r="J780" s="97"/>
      <c r="K780" s="97"/>
      <c r="L780" s="97"/>
      <c r="M780" s="97"/>
      <c r="N780" s="97"/>
      <c r="O780" s="97"/>
      <c r="P780" s="97"/>
      <c r="Q780" s="97"/>
      <c r="R780" s="97"/>
      <c r="S780" s="97"/>
      <c r="T780" s="97"/>
      <c r="U780" s="97"/>
      <c r="V780" s="97"/>
      <c r="W780" s="97"/>
      <c r="X780" s="129"/>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c r="DF780" s="97"/>
      <c r="DG780" s="97"/>
      <c r="DH780" s="97"/>
      <c r="DI780" s="97"/>
      <c r="DJ780" s="97"/>
      <c r="DK780" s="97"/>
      <c r="DL780" s="97"/>
      <c r="DM780" s="97"/>
      <c r="DN780" s="97"/>
      <c r="DO780" s="97"/>
      <c r="DP780" s="97"/>
      <c r="DQ780" s="97"/>
      <c r="DR780" s="97"/>
      <c r="DS780" s="97"/>
      <c r="DT780" s="97"/>
      <c r="DU780" s="97"/>
      <c r="DV780" s="97"/>
      <c r="DW780" s="97"/>
      <c r="DX780" s="97"/>
      <c r="DY780" s="97"/>
      <c r="DZ780" s="97"/>
      <c r="EA780" s="97"/>
      <c r="EB780" s="97"/>
      <c r="EC780" s="97"/>
      <c r="ED780" s="97"/>
      <c r="EE780" s="97"/>
      <c r="EF780" s="97"/>
      <c r="EG780" s="97"/>
      <c r="EH780" s="97"/>
      <c r="EI780" s="97"/>
      <c r="EJ780" s="97"/>
      <c r="EK780" s="97"/>
      <c r="EL780" s="97"/>
      <c r="EM780" s="97"/>
      <c r="EN780" s="97"/>
      <c r="EO780" s="97"/>
      <c r="EP780" s="97"/>
      <c r="EQ780" s="97"/>
      <c r="ER780" s="97"/>
      <c r="ES780" s="97"/>
      <c r="ET780" s="97"/>
    </row>
    <row r="781" spans="1:150" ht="15.75" customHeight="1">
      <c r="A781" s="97"/>
      <c r="B781" s="97"/>
      <c r="C781" s="97"/>
      <c r="D781" s="97"/>
      <c r="E781" s="97"/>
      <c r="F781" s="97"/>
      <c r="G781" s="97"/>
      <c r="H781" s="129"/>
      <c r="I781" s="97"/>
      <c r="J781" s="97"/>
      <c r="K781" s="97"/>
      <c r="L781" s="97"/>
      <c r="M781" s="97"/>
      <c r="N781" s="97"/>
      <c r="O781" s="97"/>
      <c r="P781" s="97"/>
      <c r="Q781" s="97"/>
      <c r="R781" s="97"/>
      <c r="S781" s="97"/>
      <c r="T781" s="97"/>
      <c r="U781" s="97"/>
      <c r="V781" s="97"/>
      <c r="W781" s="97"/>
      <c r="X781" s="129"/>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c r="DF781" s="97"/>
      <c r="DG781" s="97"/>
      <c r="DH781" s="97"/>
      <c r="DI781" s="97"/>
      <c r="DJ781" s="97"/>
      <c r="DK781" s="97"/>
      <c r="DL781" s="97"/>
      <c r="DM781" s="97"/>
      <c r="DN781" s="97"/>
      <c r="DO781" s="97"/>
      <c r="DP781" s="97"/>
      <c r="DQ781" s="97"/>
      <c r="DR781" s="97"/>
      <c r="DS781" s="97"/>
      <c r="DT781" s="97"/>
      <c r="DU781" s="97"/>
      <c r="DV781" s="97"/>
      <c r="DW781" s="97"/>
      <c r="DX781" s="97"/>
      <c r="DY781" s="97"/>
      <c r="DZ781" s="97"/>
      <c r="EA781" s="97"/>
      <c r="EB781" s="97"/>
      <c r="EC781" s="97"/>
      <c r="ED781" s="97"/>
      <c r="EE781" s="97"/>
      <c r="EF781" s="97"/>
      <c r="EG781" s="97"/>
      <c r="EH781" s="97"/>
      <c r="EI781" s="97"/>
      <c r="EJ781" s="97"/>
      <c r="EK781" s="97"/>
      <c r="EL781" s="97"/>
      <c r="EM781" s="97"/>
      <c r="EN781" s="97"/>
      <c r="EO781" s="97"/>
      <c r="EP781" s="97"/>
      <c r="EQ781" s="97"/>
      <c r="ER781" s="97"/>
      <c r="ES781" s="97"/>
      <c r="ET781" s="97"/>
    </row>
    <row r="782" spans="1:150" ht="15.75" customHeight="1">
      <c r="A782" s="97"/>
      <c r="B782" s="97"/>
      <c r="C782" s="97"/>
      <c r="D782" s="97"/>
      <c r="E782" s="97"/>
      <c r="F782" s="97"/>
      <c r="G782" s="97"/>
      <c r="H782" s="129"/>
      <c r="I782" s="97"/>
      <c r="J782" s="97"/>
      <c r="K782" s="97"/>
      <c r="L782" s="97"/>
      <c r="M782" s="97"/>
      <c r="N782" s="97"/>
      <c r="O782" s="97"/>
      <c r="P782" s="97"/>
      <c r="Q782" s="97"/>
      <c r="R782" s="97"/>
      <c r="S782" s="97"/>
      <c r="T782" s="97"/>
      <c r="U782" s="97"/>
      <c r="V782" s="97"/>
      <c r="W782" s="97"/>
      <c r="X782" s="129"/>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c r="DF782" s="97"/>
      <c r="DG782" s="97"/>
      <c r="DH782" s="97"/>
      <c r="DI782" s="97"/>
      <c r="DJ782" s="97"/>
      <c r="DK782" s="97"/>
      <c r="DL782" s="97"/>
      <c r="DM782" s="97"/>
      <c r="DN782" s="97"/>
      <c r="DO782" s="97"/>
      <c r="DP782" s="97"/>
      <c r="DQ782" s="97"/>
      <c r="DR782" s="97"/>
      <c r="DS782" s="97"/>
      <c r="DT782" s="97"/>
      <c r="DU782" s="97"/>
      <c r="DV782" s="97"/>
      <c r="DW782" s="97"/>
      <c r="DX782" s="97"/>
      <c r="DY782" s="97"/>
      <c r="DZ782" s="97"/>
      <c r="EA782" s="97"/>
      <c r="EB782" s="97"/>
      <c r="EC782" s="97"/>
      <c r="ED782" s="97"/>
      <c r="EE782" s="97"/>
      <c r="EF782" s="97"/>
      <c r="EG782" s="97"/>
      <c r="EH782" s="97"/>
      <c r="EI782" s="97"/>
      <c r="EJ782" s="97"/>
      <c r="EK782" s="97"/>
      <c r="EL782" s="97"/>
      <c r="EM782" s="97"/>
      <c r="EN782" s="97"/>
      <c r="EO782" s="97"/>
      <c r="EP782" s="97"/>
      <c r="EQ782" s="97"/>
      <c r="ER782" s="97"/>
      <c r="ES782" s="97"/>
      <c r="ET782" s="97"/>
    </row>
    <row r="783" spans="1:150" ht="15.75" customHeight="1">
      <c r="A783" s="97"/>
      <c r="B783" s="97"/>
      <c r="C783" s="97"/>
      <c r="D783" s="97"/>
      <c r="E783" s="97"/>
      <c r="F783" s="97"/>
      <c r="G783" s="97"/>
      <c r="H783" s="129"/>
      <c r="I783" s="97"/>
      <c r="J783" s="97"/>
      <c r="K783" s="97"/>
      <c r="L783" s="97"/>
      <c r="M783" s="97"/>
      <c r="N783" s="97"/>
      <c r="O783" s="97"/>
      <c r="P783" s="97"/>
      <c r="Q783" s="97"/>
      <c r="R783" s="97"/>
      <c r="S783" s="97"/>
      <c r="T783" s="97"/>
      <c r="U783" s="97"/>
      <c r="V783" s="97"/>
      <c r="W783" s="97"/>
      <c r="X783" s="129"/>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c r="DF783" s="97"/>
      <c r="DG783" s="97"/>
      <c r="DH783" s="97"/>
      <c r="DI783" s="97"/>
      <c r="DJ783" s="97"/>
      <c r="DK783" s="97"/>
      <c r="DL783" s="97"/>
      <c r="DM783" s="97"/>
      <c r="DN783" s="97"/>
      <c r="DO783" s="97"/>
      <c r="DP783" s="97"/>
      <c r="DQ783" s="97"/>
      <c r="DR783" s="97"/>
      <c r="DS783" s="97"/>
      <c r="DT783" s="97"/>
      <c r="DU783" s="97"/>
      <c r="DV783" s="97"/>
      <c r="DW783" s="97"/>
      <c r="DX783" s="97"/>
      <c r="DY783" s="97"/>
      <c r="DZ783" s="97"/>
      <c r="EA783" s="97"/>
      <c r="EB783" s="97"/>
      <c r="EC783" s="97"/>
      <c r="ED783" s="97"/>
      <c r="EE783" s="97"/>
      <c r="EF783" s="97"/>
      <c r="EG783" s="97"/>
      <c r="EH783" s="97"/>
      <c r="EI783" s="97"/>
      <c r="EJ783" s="97"/>
      <c r="EK783" s="97"/>
      <c r="EL783" s="97"/>
      <c r="EM783" s="97"/>
      <c r="EN783" s="97"/>
      <c r="EO783" s="97"/>
      <c r="EP783" s="97"/>
      <c r="EQ783" s="97"/>
      <c r="ER783" s="97"/>
      <c r="ES783" s="97"/>
      <c r="ET783" s="97"/>
    </row>
    <row r="784" spans="1:150" ht="15.75" customHeight="1">
      <c r="A784" s="97"/>
      <c r="B784" s="97"/>
      <c r="C784" s="97"/>
      <c r="D784" s="97"/>
      <c r="E784" s="97"/>
      <c r="F784" s="97"/>
      <c r="G784" s="97"/>
      <c r="H784" s="129"/>
      <c r="I784" s="97"/>
      <c r="J784" s="97"/>
      <c r="K784" s="97"/>
      <c r="L784" s="97"/>
      <c r="M784" s="97"/>
      <c r="N784" s="97"/>
      <c r="O784" s="97"/>
      <c r="P784" s="97"/>
      <c r="Q784" s="97"/>
      <c r="R784" s="97"/>
      <c r="S784" s="97"/>
      <c r="T784" s="97"/>
      <c r="U784" s="97"/>
      <c r="V784" s="97"/>
      <c r="W784" s="97"/>
      <c r="X784" s="129"/>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c r="DF784" s="97"/>
      <c r="DG784" s="97"/>
      <c r="DH784" s="97"/>
      <c r="DI784" s="97"/>
      <c r="DJ784" s="97"/>
      <c r="DK784" s="97"/>
      <c r="DL784" s="97"/>
      <c r="DM784" s="97"/>
      <c r="DN784" s="97"/>
      <c r="DO784" s="97"/>
      <c r="DP784" s="97"/>
      <c r="DQ784" s="97"/>
      <c r="DR784" s="97"/>
      <c r="DS784" s="97"/>
      <c r="DT784" s="97"/>
      <c r="DU784" s="97"/>
      <c r="DV784" s="97"/>
      <c r="DW784" s="97"/>
      <c r="DX784" s="97"/>
      <c r="DY784" s="97"/>
      <c r="DZ784" s="97"/>
      <c r="EA784" s="97"/>
      <c r="EB784" s="97"/>
      <c r="EC784" s="97"/>
      <c r="ED784" s="97"/>
      <c r="EE784" s="97"/>
      <c r="EF784" s="97"/>
      <c r="EG784" s="97"/>
      <c r="EH784" s="97"/>
      <c r="EI784" s="97"/>
      <c r="EJ784" s="97"/>
      <c r="EK784" s="97"/>
      <c r="EL784" s="97"/>
      <c r="EM784" s="97"/>
      <c r="EN784" s="97"/>
      <c r="EO784" s="97"/>
      <c r="EP784" s="97"/>
      <c r="EQ784" s="97"/>
      <c r="ER784" s="97"/>
      <c r="ES784" s="97"/>
      <c r="ET784" s="97"/>
    </row>
    <row r="785" spans="1:150" ht="15.75" customHeight="1">
      <c r="A785" s="97"/>
      <c r="B785" s="97"/>
      <c r="C785" s="97"/>
      <c r="D785" s="97"/>
      <c r="E785" s="97"/>
      <c r="F785" s="97"/>
      <c r="G785" s="97"/>
      <c r="H785" s="129"/>
      <c r="I785" s="97"/>
      <c r="J785" s="97"/>
      <c r="K785" s="97"/>
      <c r="L785" s="97"/>
      <c r="M785" s="97"/>
      <c r="N785" s="97"/>
      <c r="O785" s="97"/>
      <c r="P785" s="97"/>
      <c r="Q785" s="97"/>
      <c r="R785" s="97"/>
      <c r="S785" s="97"/>
      <c r="T785" s="97"/>
      <c r="U785" s="97"/>
      <c r="V785" s="97"/>
      <c r="W785" s="97"/>
      <c r="X785" s="129"/>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c r="DF785" s="97"/>
      <c r="DG785" s="97"/>
      <c r="DH785" s="97"/>
      <c r="DI785" s="97"/>
      <c r="DJ785" s="97"/>
      <c r="DK785" s="97"/>
      <c r="DL785" s="97"/>
      <c r="DM785" s="97"/>
      <c r="DN785" s="97"/>
      <c r="DO785" s="97"/>
      <c r="DP785" s="97"/>
      <c r="DQ785" s="97"/>
      <c r="DR785" s="97"/>
      <c r="DS785" s="97"/>
      <c r="DT785" s="97"/>
      <c r="DU785" s="97"/>
      <c r="DV785" s="97"/>
      <c r="DW785" s="97"/>
      <c r="DX785" s="97"/>
      <c r="DY785" s="97"/>
      <c r="DZ785" s="97"/>
      <c r="EA785" s="97"/>
      <c r="EB785" s="97"/>
      <c r="EC785" s="97"/>
      <c r="ED785" s="97"/>
      <c r="EE785" s="97"/>
      <c r="EF785" s="97"/>
      <c r="EG785" s="97"/>
      <c r="EH785" s="97"/>
      <c r="EI785" s="97"/>
      <c r="EJ785" s="97"/>
      <c r="EK785" s="97"/>
      <c r="EL785" s="97"/>
      <c r="EM785" s="97"/>
      <c r="EN785" s="97"/>
      <c r="EO785" s="97"/>
      <c r="EP785" s="97"/>
      <c r="EQ785" s="97"/>
      <c r="ER785" s="97"/>
      <c r="ES785" s="97"/>
      <c r="ET785" s="97"/>
    </row>
    <row r="786" spans="1:150" ht="15.75" customHeight="1">
      <c r="A786" s="97"/>
      <c r="B786" s="97"/>
      <c r="C786" s="97"/>
      <c r="D786" s="97"/>
      <c r="E786" s="97"/>
      <c r="F786" s="97"/>
      <c r="G786" s="97"/>
      <c r="H786" s="129"/>
      <c r="I786" s="97"/>
      <c r="J786" s="97"/>
      <c r="K786" s="97"/>
      <c r="L786" s="97"/>
      <c r="M786" s="97"/>
      <c r="N786" s="97"/>
      <c r="O786" s="97"/>
      <c r="P786" s="97"/>
      <c r="Q786" s="97"/>
      <c r="R786" s="97"/>
      <c r="S786" s="97"/>
      <c r="T786" s="97"/>
      <c r="U786" s="97"/>
      <c r="V786" s="97"/>
      <c r="W786" s="97"/>
      <c r="X786" s="129"/>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c r="DF786" s="97"/>
      <c r="DG786" s="97"/>
      <c r="DH786" s="97"/>
      <c r="DI786" s="97"/>
      <c r="DJ786" s="97"/>
      <c r="DK786" s="97"/>
      <c r="DL786" s="97"/>
      <c r="DM786" s="97"/>
      <c r="DN786" s="97"/>
      <c r="DO786" s="97"/>
      <c r="DP786" s="97"/>
      <c r="DQ786" s="97"/>
      <c r="DR786" s="97"/>
      <c r="DS786" s="97"/>
      <c r="DT786" s="97"/>
      <c r="DU786" s="97"/>
      <c r="DV786" s="97"/>
      <c r="DW786" s="97"/>
      <c r="DX786" s="97"/>
      <c r="DY786" s="97"/>
      <c r="DZ786" s="97"/>
      <c r="EA786" s="97"/>
      <c r="EB786" s="97"/>
      <c r="EC786" s="97"/>
      <c r="ED786" s="97"/>
      <c r="EE786" s="97"/>
      <c r="EF786" s="97"/>
      <c r="EG786" s="97"/>
      <c r="EH786" s="97"/>
      <c r="EI786" s="97"/>
      <c r="EJ786" s="97"/>
      <c r="EK786" s="97"/>
      <c r="EL786" s="97"/>
      <c r="EM786" s="97"/>
      <c r="EN786" s="97"/>
      <c r="EO786" s="97"/>
      <c r="EP786" s="97"/>
      <c r="EQ786" s="97"/>
      <c r="ER786" s="97"/>
      <c r="ES786" s="97"/>
      <c r="ET786" s="97"/>
    </row>
    <row r="787" spans="1:150" ht="15.75" customHeight="1">
      <c r="A787" s="97"/>
      <c r="B787" s="97"/>
      <c r="C787" s="97"/>
      <c r="D787" s="97"/>
      <c r="E787" s="97"/>
      <c r="F787" s="97"/>
      <c r="G787" s="97"/>
      <c r="H787" s="129"/>
      <c r="I787" s="97"/>
      <c r="J787" s="97"/>
      <c r="K787" s="97"/>
      <c r="L787" s="97"/>
      <c r="M787" s="97"/>
      <c r="N787" s="97"/>
      <c r="O787" s="97"/>
      <c r="P787" s="97"/>
      <c r="Q787" s="97"/>
      <c r="R787" s="97"/>
      <c r="S787" s="97"/>
      <c r="T787" s="97"/>
      <c r="U787" s="97"/>
      <c r="V787" s="97"/>
      <c r="W787" s="97"/>
      <c r="X787" s="129"/>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c r="DF787" s="97"/>
      <c r="DG787" s="97"/>
      <c r="DH787" s="97"/>
      <c r="DI787" s="97"/>
      <c r="DJ787" s="97"/>
      <c r="DK787" s="97"/>
      <c r="DL787" s="97"/>
      <c r="DM787" s="97"/>
      <c r="DN787" s="97"/>
      <c r="DO787" s="97"/>
      <c r="DP787" s="97"/>
      <c r="DQ787" s="97"/>
      <c r="DR787" s="97"/>
      <c r="DS787" s="97"/>
      <c r="DT787" s="97"/>
      <c r="DU787" s="97"/>
      <c r="DV787" s="97"/>
      <c r="DW787" s="97"/>
      <c r="DX787" s="97"/>
      <c r="DY787" s="97"/>
      <c r="DZ787" s="97"/>
      <c r="EA787" s="97"/>
      <c r="EB787" s="97"/>
      <c r="EC787" s="97"/>
      <c r="ED787" s="97"/>
      <c r="EE787" s="97"/>
      <c r="EF787" s="97"/>
      <c r="EG787" s="97"/>
      <c r="EH787" s="97"/>
      <c r="EI787" s="97"/>
      <c r="EJ787" s="97"/>
      <c r="EK787" s="97"/>
      <c r="EL787" s="97"/>
      <c r="EM787" s="97"/>
      <c r="EN787" s="97"/>
      <c r="EO787" s="97"/>
      <c r="EP787" s="97"/>
      <c r="EQ787" s="97"/>
      <c r="ER787" s="97"/>
      <c r="ES787" s="97"/>
      <c r="ET787" s="97"/>
    </row>
    <row r="788" spans="1:150" ht="15.75" customHeight="1">
      <c r="A788" s="97"/>
      <c r="B788" s="97"/>
      <c r="C788" s="97"/>
      <c r="D788" s="97"/>
      <c r="E788" s="97"/>
      <c r="F788" s="97"/>
      <c r="G788" s="97"/>
      <c r="H788" s="129"/>
      <c r="I788" s="97"/>
      <c r="J788" s="97"/>
      <c r="K788" s="97"/>
      <c r="L788" s="97"/>
      <c r="M788" s="97"/>
      <c r="N788" s="97"/>
      <c r="O788" s="97"/>
      <c r="P788" s="97"/>
      <c r="Q788" s="97"/>
      <c r="R788" s="97"/>
      <c r="S788" s="97"/>
      <c r="T788" s="97"/>
      <c r="U788" s="97"/>
      <c r="V788" s="97"/>
      <c r="W788" s="97"/>
      <c r="X788" s="129"/>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c r="DF788" s="97"/>
      <c r="DG788" s="97"/>
      <c r="DH788" s="97"/>
      <c r="DI788" s="97"/>
      <c r="DJ788" s="97"/>
      <c r="DK788" s="97"/>
      <c r="DL788" s="97"/>
      <c r="DM788" s="97"/>
      <c r="DN788" s="97"/>
      <c r="DO788" s="97"/>
      <c r="DP788" s="97"/>
      <c r="DQ788" s="97"/>
      <c r="DR788" s="97"/>
      <c r="DS788" s="97"/>
      <c r="DT788" s="97"/>
      <c r="DU788" s="97"/>
      <c r="DV788" s="97"/>
      <c r="DW788" s="97"/>
      <c r="DX788" s="97"/>
      <c r="DY788" s="97"/>
      <c r="DZ788" s="97"/>
      <c r="EA788" s="97"/>
      <c r="EB788" s="97"/>
      <c r="EC788" s="97"/>
      <c r="ED788" s="97"/>
      <c r="EE788" s="97"/>
      <c r="EF788" s="97"/>
      <c r="EG788" s="97"/>
      <c r="EH788" s="97"/>
      <c r="EI788" s="97"/>
      <c r="EJ788" s="97"/>
      <c r="EK788" s="97"/>
      <c r="EL788" s="97"/>
      <c r="EM788" s="97"/>
      <c r="EN788" s="97"/>
      <c r="EO788" s="97"/>
      <c r="EP788" s="97"/>
      <c r="EQ788" s="97"/>
      <c r="ER788" s="97"/>
      <c r="ES788" s="97"/>
      <c r="ET788" s="97"/>
    </row>
    <row r="789" spans="1:150" ht="15.75" customHeight="1">
      <c r="A789" s="97"/>
      <c r="B789" s="97"/>
      <c r="C789" s="97"/>
      <c r="D789" s="97"/>
      <c r="E789" s="97"/>
      <c r="F789" s="97"/>
      <c r="G789" s="97"/>
      <c r="H789" s="129"/>
      <c r="I789" s="97"/>
      <c r="J789" s="97"/>
      <c r="K789" s="97"/>
      <c r="L789" s="97"/>
      <c r="M789" s="97"/>
      <c r="N789" s="97"/>
      <c r="O789" s="97"/>
      <c r="P789" s="97"/>
      <c r="Q789" s="97"/>
      <c r="R789" s="97"/>
      <c r="S789" s="97"/>
      <c r="T789" s="97"/>
      <c r="U789" s="97"/>
      <c r="V789" s="97"/>
      <c r="W789" s="97"/>
      <c r="X789" s="129"/>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c r="DF789" s="97"/>
      <c r="DG789" s="97"/>
      <c r="DH789" s="97"/>
      <c r="DI789" s="97"/>
      <c r="DJ789" s="97"/>
      <c r="DK789" s="97"/>
      <c r="DL789" s="97"/>
      <c r="DM789" s="97"/>
      <c r="DN789" s="97"/>
      <c r="DO789" s="97"/>
      <c r="DP789" s="97"/>
      <c r="DQ789" s="97"/>
      <c r="DR789" s="97"/>
      <c r="DS789" s="97"/>
      <c r="DT789" s="97"/>
      <c r="DU789" s="97"/>
      <c r="DV789" s="97"/>
      <c r="DW789" s="97"/>
      <c r="DX789" s="97"/>
      <c r="DY789" s="97"/>
      <c r="DZ789" s="97"/>
      <c r="EA789" s="97"/>
      <c r="EB789" s="97"/>
      <c r="EC789" s="97"/>
      <c r="ED789" s="97"/>
      <c r="EE789" s="97"/>
      <c r="EF789" s="97"/>
      <c r="EG789" s="97"/>
      <c r="EH789" s="97"/>
      <c r="EI789" s="97"/>
      <c r="EJ789" s="97"/>
      <c r="EK789" s="97"/>
      <c r="EL789" s="97"/>
      <c r="EM789" s="97"/>
      <c r="EN789" s="97"/>
      <c r="EO789" s="97"/>
      <c r="EP789" s="97"/>
      <c r="EQ789" s="97"/>
      <c r="ER789" s="97"/>
      <c r="ES789" s="97"/>
      <c r="ET789" s="97"/>
    </row>
    <row r="790" spans="1:150" ht="15.75" customHeight="1">
      <c r="A790" s="97"/>
      <c r="B790" s="97"/>
      <c r="C790" s="97"/>
      <c r="D790" s="97"/>
      <c r="E790" s="97"/>
      <c r="F790" s="97"/>
      <c r="G790" s="97"/>
      <c r="H790" s="129"/>
      <c r="I790" s="97"/>
      <c r="J790" s="97"/>
      <c r="K790" s="97"/>
      <c r="L790" s="97"/>
      <c r="M790" s="97"/>
      <c r="N790" s="97"/>
      <c r="O790" s="97"/>
      <c r="P790" s="97"/>
      <c r="Q790" s="97"/>
      <c r="R790" s="97"/>
      <c r="S790" s="97"/>
      <c r="T790" s="97"/>
      <c r="U790" s="97"/>
      <c r="V790" s="97"/>
      <c r="W790" s="97"/>
      <c r="X790" s="129"/>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c r="DF790" s="97"/>
      <c r="DG790" s="97"/>
      <c r="DH790" s="97"/>
      <c r="DI790" s="97"/>
      <c r="DJ790" s="97"/>
      <c r="DK790" s="97"/>
      <c r="DL790" s="97"/>
      <c r="DM790" s="97"/>
      <c r="DN790" s="97"/>
      <c r="DO790" s="97"/>
      <c r="DP790" s="97"/>
      <c r="DQ790" s="97"/>
      <c r="DR790" s="97"/>
      <c r="DS790" s="97"/>
      <c r="DT790" s="97"/>
      <c r="DU790" s="97"/>
      <c r="DV790" s="97"/>
      <c r="DW790" s="97"/>
      <c r="DX790" s="97"/>
      <c r="DY790" s="97"/>
      <c r="DZ790" s="97"/>
      <c r="EA790" s="97"/>
      <c r="EB790" s="97"/>
      <c r="EC790" s="97"/>
      <c r="ED790" s="97"/>
      <c r="EE790" s="97"/>
      <c r="EF790" s="97"/>
      <c r="EG790" s="97"/>
      <c r="EH790" s="97"/>
      <c r="EI790" s="97"/>
      <c r="EJ790" s="97"/>
      <c r="EK790" s="97"/>
      <c r="EL790" s="97"/>
      <c r="EM790" s="97"/>
      <c r="EN790" s="97"/>
      <c r="EO790" s="97"/>
      <c r="EP790" s="97"/>
      <c r="EQ790" s="97"/>
      <c r="ER790" s="97"/>
      <c r="ES790" s="97"/>
      <c r="ET790" s="97"/>
    </row>
    <row r="791" spans="1:150" ht="15.75" customHeight="1">
      <c r="A791" s="97"/>
      <c r="B791" s="97"/>
      <c r="C791" s="97"/>
      <c r="D791" s="97"/>
      <c r="E791" s="97"/>
      <c r="F791" s="97"/>
      <c r="G791" s="97"/>
      <c r="H791" s="129"/>
      <c r="I791" s="97"/>
      <c r="J791" s="97"/>
      <c r="K791" s="97"/>
      <c r="L791" s="97"/>
      <c r="M791" s="97"/>
      <c r="N791" s="97"/>
      <c r="O791" s="97"/>
      <c r="P791" s="97"/>
      <c r="Q791" s="97"/>
      <c r="R791" s="97"/>
      <c r="S791" s="97"/>
      <c r="T791" s="97"/>
      <c r="U791" s="97"/>
      <c r="V791" s="97"/>
      <c r="W791" s="97"/>
      <c r="X791" s="129"/>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c r="DF791" s="97"/>
      <c r="DG791" s="97"/>
      <c r="DH791" s="97"/>
      <c r="DI791" s="97"/>
      <c r="DJ791" s="97"/>
      <c r="DK791" s="97"/>
      <c r="DL791" s="97"/>
      <c r="DM791" s="97"/>
      <c r="DN791" s="97"/>
      <c r="DO791" s="97"/>
      <c r="DP791" s="97"/>
      <c r="DQ791" s="97"/>
      <c r="DR791" s="97"/>
      <c r="DS791" s="97"/>
      <c r="DT791" s="97"/>
      <c r="DU791" s="97"/>
      <c r="DV791" s="97"/>
      <c r="DW791" s="97"/>
      <c r="DX791" s="97"/>
      <c r="DY791" s="97"/>
      <c r="DZ791" s="97"/>
      <c r="EA791" s="97"/>
      <c r="EB791" s="97"/>
      <c r="EC791" s="97"/>
      <c r="ED791" s="97"/>
      <c r="EE791" s="97"/>
      <c r="EF791" s="97"/>
      <c r="EG791" s="97"/>
      <c r="EH791" s="97"/>
      <c r="EI791" s="97"/>
      <c r="EJ791" s="97"/>
      <c r="EK791" s="97"/>
      <c r="EL791" s="97"/>
      <c r="EM791" s="97"/>
      <c r="EN791" s="97"/>
      <c r="EO791" s="97"/>
      <c r="EP791" s="97"/>
      <c r="EQ791" s="97"/>
      <c r="ER791" s="97"/>
      <c r="ES791" s="97"/>
      <c r="ET791" s="97"/>
    </row>
    <row r="792" spans="1:150" ht="15.75" customHeight="1">
      <c r="A792" s="97"/>
      <c r="B792" s="97"/>
      <c r="C792" s="97"/>
      <c r="D792" s="97"/>
      <c r="E792" s="97"/>
      <c r="F792" s="97"/>
      <c r="G792" s="97"/>
      <c r="H792" s="129"/>
      <c r="I792" s="97"/>
      <c r="J792" s="97"/>
      <c r="K792" s="97"/>
      <c r="L792" s="97"/>
      <c r="M792" s="97"/>
      <c r="N792" s="97"/>
      <c r="O792" s="97"/>
      <c r="P792" s="97"/>
      <c r="Q792" s="97"/>
      <c r="R792" s="97"/>
      <c r="S792" s="97"/>
      <c r="T792" s="97"/>
      <c r="U792" s="97"/>
      <c r="V792" s="97"/>
      <c r="W792" s="97"/>
      <c r="X792" s="129"/>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c r="DF792" s="97"/>
      <c r="DG792" s="97"/>
      <c r="DH792" s="97"/>
      <c r="DI792" s="97"/>
      <c r="DJ792" s="97"/>
      <c r="DK792" s="97"/>
      <c r="DL792" s="97"/>
      <c r="DM792" s="97"/>
      <c r="DN792" s="97"/>
      <c r="DO792" s="97"/>
      <c r="DP792" s="97"/>
      <c r="DQ792" s="97"/>
      <c r="DR792" s="97"/>
      <c r="DS792" s="97"/>
      <c r="DT792" s="97"/>
      <c r="DU792" s="97"/>
      <c r="DV792" s="97"/>
      <c r="DW792" s="97"/>
      <c r="DX792" s="97"/>
      <c r="DY792" s="97"/>
      <c r="DZ792" s="97"/>
      <c r="EA792" s="97"/>
      <c r="EB792" s="97"/>
      <c r="EC792" s="97"/>
      <c r="ED792" s="97"/>
      <c r="EE792" s="97"/>
      <c r="EF792" s="97"/>
      <c r="EG792" s="97"/>
      <c r="EH792" s="97"/>
      <c r="EI792" s="97"/>
      <c r="EJ792" s="97"/>
      <c r="EK792" s="97"/>
      <c r="EL792" s="97"/>
      <c r="EM792" s="97"/>
      <c r="EN792" s="97"/>
      <c r="EO792" s="97"/>
      <c r="EP792" s="97"/>
      <c r="EQ792" s="97"/>
      <c r="ER792" s="97"/>
      <c r="ES792" s="97"/>
      <c r="ET792" s="97"/>
    </row>
    <row r="793" spans="1:150" ht="15.75" customHeight="1">
      <c r="A793" s="97"/>
      <c r="B793" s="97"/>
      <c r="C793" s="97"/>
      <c r="D793" s="97"/>
      <c r="E793" s="97"/>
      <c r="F793" s="97"/>
      <c r="G793" s="97"/>
      <c r="H793" s="129"/>
      <c r="I793" s="97"/>
      <c r="J793" s="97"/>
      <c r="K793" s="97"/>
      <c r="L793" s="97"/>
      <c r="M793" s="97"/>
      <c r="N793" s="97"/>
      <c r="O793" s="97"/>
      <c r="P793" s="97"/>
      <c r="Q793" s="97"/>
      <c r="R793" s="97"/>
      <c r="S793" s="97"/>
      <c r="T793" s="97"/>
      <c r="U793" s="97"/>
      <c r="V793" s="97"/>
      <c r="W793" s="97"/>
      <c r="X793" s="129"/>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c r="DF793" s="97"/>
      <c r="DG793" s="97"/>
      <c r="DH793" s="97"/>
      <c r="DI793" s="97"/>
      <c r="DJ793" s="97"/>
      <c r="DK793" s="97"/>
      <c r="DL793" s="97"/>
      <c r="DM793" s="97"/>
      <c r="DN793" s="97"/>
      <c r="DO793" s="97"/>
      <c r="DP793" s="97"/>
      <c r="DQ793" s="97"/>
      <c r="DR793" s="97"/>
      <c r="DS793" s="97"/>
      <c r="DT793" s="97"/>
      <c r="DU793" s="97"/>
      <c r="DV793" s="97"/>
      <c r="DW793" s="97"/>
      <c r="DX793" s="97"/>
      <c r="DY793" s="97"/>
      <c r="DZ793" s="97"/>
      <c r="EA793" s="97"/>
      <c r="EB793" s="97"/>
      <c r="EC793" s="97"/>
      <c r="ED793" s="97"/>
      <c r="EE793" s="97"/>
      <c r="EF793" s="97"/>
      <c r="EG793" s="97"/>
      <c r="EH793" s="97"/>
      <c r="EI793" s="97"/>
      <c r="EJ793" s="97"/>
      <c r="EK793" s="97"/>
      <c r="EL793" s="97"/>
      <c r="EM793" s="97"/>
      <c r="EN793" s="97"/>
      <c r="EO793" s="97"/>
      <c r="EP793" s="97"/>
      <c r="EQ793" s="97"/>
      <c r="ER793" s="97"/>
      <c r="ES793" s="97"/>
      <c r="ET793" s="97"/>
    </row>
    <row r="794" spans="1:150" ht="15.75" customHeight="1">
      <c r="A794" s="97"/>
      <c r="B794" s="97"/>
      <c r="C794" s="97"/>
      <c r="D794" s="97"/>
      <c r="E794" s="97"/>
      <c r="F794" s="97"/>
      <c r="G794" s="97"/>
      <c r="H794" s="129"/>
      <c r="I794" s="97"/>
      <c r="J794" s="97"/>
      <c r="K794" s="97"/>
      <c r="L794" s="97"/>
      <c r="M794" s="97"/>
      <c r="N794" s="97"/>
      <c r="O794" s="97"/>
      <c r="P794" s="97"/>
      <c r="Q794" s="97"/>
      <c r="R794" s="97"/>
      <c r="S794" s="97"/>
      <c r="T794" s="97"/>
      <c r="U794" s="97"/>
      <c r="V794" s="97"/>
      <c r="W794" s="97"/>
      <c r="X794" s="129"/>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c r="DF794" s="97"/>
      <c r="DG794" s="97"/>
      <c r="DH794" s="97"/>
      <c r="DI794" s="97"/>
      <c r="DJ794" s="97"/>
      <c r="DK794" s="97"/>
      <c r="DL794" s="97"/>
      <c r="DM794" s="97"/>
      <c r="DN794" s="97"/>
      <c r="DO794" s="97"/>
      <c r="DP794" s="97"/>
      <c r="DQ794" s="97"/>
      <c r="DR794" s="97"/>
      <c r="DS794" s="97"/>
      <c r="DT794" s="97"/>
      <c r="DU794" s="97"/>
      <c r="DV794" s="97"/>
      <c r="DW794" s="97"/>
      <c r="DX794" s="97"/>
      <c r="DY794" s="97"/>
      <c r="DZ794" s="97"/>
      <c r="EA794" s="97"/>
      <c r="EB794" s="97"/>
      <c r="EC794" s="97"/>
      <c r="ED794" s="97"/>
      <c r="EE794" s="97"/>
      <c r="EF794" s="97"/>
      <c r="EG794" s="97"/>
      <c r="EH794" s="97"/>
      <c r="EI794" s="97"/>
      <c r="EJ794" s="97"/>
      <c r="EK794" s="97"/>
      <c r="EL794" s="97"/>
      <c r="EM794" s="97"/>
      <c r="EN794" s="97"/>
      <c r="EO794" s="97"/>
      <c r="EP794" s="97"/>
      <c r="EQ794" s="97"/>
      <c r="ER794" s="97"/>
      <c r="ES794" s="97"/>
      <c r="ET794" s="97"/>
    </row>
    <row r="795" spans="1:150" ht="15.75" customHeight="1">
      <c r="A795" s="97"/>
      <c r="B795" s="97"/>
      <c r="C795" s="97"/>
      <c r="D795" s="97"/>
      <c r="E795" s="97"/>
      <c r="F795" s="97"/>
      <c r="G795" s="97"/>
      <c r="H795" s="129"/>
      <c r="I795" s="97"/>
      <c r="J795" s="97"/>
      <c r="K795" s="97"/>
      <c r="L795" s="97"/>
      <c r="M795" s="97"/>
      <c r="N795" s="97"/>
      <c r="O795" s="97"/>
      <c r="P795" s="97"/>
      <c r="Q795" s="97"/>
      <c r="R795" s="97"/>
      <c r="S795" s="97"/>
      <c r="T795" s="97"/>
      <c r="U795" s="97"/>
      <c r="V795" s="97"/>
      <c r="W795" s="97"/>
      <c r="X795" s="129"/>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c r="DF795" s="97"/>
      <c r="DG795" s="97"/>
      <c r="DH795" s="97"/>
      <c r="DI795" s="97"/>
      <c r="DJ795" s="97"/>
      <c r="DK795" s="97"/>
      <c r="DL795" s="97"/>
      <c r="DM795" s="97"/>
      <c r="DN795" s="97"/>
      <c r="DO795" s="97"/>
      <c r="DP795" s="97"/>
      <c r="DQ795" s="97"/>
      <c r="DR795" s="97"/>
      <c r="DS795" s="97"/>
      <c r="DT795" s="97"/>
      <c r="DU795" s="97"/>
      <c r="DV795" s="97"/>
      <c r="DW795" s="97"/>
      <c r="DX795" s="97"/>
      <c r="DY795" s="97"/>
      <c r="DZ795" s="97"/>
      <c r="EA795" s="97"/>
      <c r="EB795" s="97"/>
      <c r="EC795" s="97"/>
      <c r="ED795" s="97"/>
      <c r="EE795" s="97"/>
      <c r="EF795" s="97"/>
      <c r="EG795" s="97"/>
      <c r="EH795" s="97"/>
      <c r="EI795" s="97"/>
      <c r="EJ795" s="97"/>
      <c r="EK795" s="97"/>
      <c r="EL795" s="97"/>
      <c r="EM795" s="97"/>
      <c r="EN795" s="97"/>
      <c r="EO795" s="97"/>
      <c r="EP795" s="97"/>
      <c r="EQ795" s="97"/>
      <c r="ER795" s="97"/>
      <c r="ES795" s="97"/>
      <c r="ET795" s="97"/>
    </row>
    <row r="796" spans="1:150" ht="15.75" customHeight="1">
      <c r="A796" s="97"/>
      <c r="B796" s="97"/>
      <c r="C796" s="97"/>
      <c r="D796" s="97"/>
      <c r="E796" s="97"/>
      <c r="F796" s="97"/>
      <c r="G796" s="97"/>
      <c r="H796" s="129"/>
      <c r="I796" s="97"/>
      <c r="J796" s="97"/>
      <c r="K796" s="97"/>
      <c r="L796" s="97"/>
      <c r="M796" s="97"/>
      <c r="N796" s="97"/>
      <c r="O796" s="97"/>
      <c r="P796" s="97"/>
      <c r="Q796" s="97"/>
      <c r="R796" s="97"/>
      <c r="S796" s="97"/>
      <c r="T796" s="97"/>
      <c r="U796" s="97"/>
      <c r="V796" s="97"/>
      <c r="W796" s="97"/>
      <c r="X796" s="129"/>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c r="DF796" s="97"/>
      <c r="DG796" s="97"/>
      <c r="DH796" s="97"/>
      <c r="DI796" s="97"/>
      <c r="DJ796" s="97"/>
      <c r="DK796" s="97"/>
      <c r="DL796" s="97"/>
      <c r="DM796" s="97"/>
      <c r="DN796" s="97"/>
      <c r="DO796" s="97"/>
      <c r="DP796" s="97"/>
      <c r="DQ796" s="97"/>
      <c r="DR796" s="97"/>
      <c r="DS796" s="97"/>
      <c r="DT796" s="97"/>
      <c r="DU796" s="97"/>
      <c r="DV796" s="97"/>
      <c r="DW796" s="97"/>
      <c r="DX796" s="97"/>
      <c r="DY796" s="97"/>
      <c r="DZ796" s="97"/>
      <c r="EA796" s="97"/>
      <c r="EB796" s="97"/>
      <c r="EC796" s="97"/>
      <c r="ED796" s="97"/>
      <c r="EE796" s="97"/>
      <c r="EF796" s="97"/>
      <c r="EG796" s="97"/>
      <c r="EH796" s="97"/>
      <c r="EI796" s="97"/>
      <c r="EJ796" s="97"/>
      <c r="EK796" s="97"/>
      <c r="EL796" s="97"/>
      <c r="EM796" s="97"/>
      <c r="EN796" s="97"/>
      <c r="EO796" s="97"/>
      <c r="EP796" s="97"/>
      <c r="EQ796" s="97"/>
      <c r="ER796" s="97"/>
      <c r="ES796" s="97"/>
      <c r="ET796" s="97"/>
    </row>
    <row r="797" spans="1:150" ht="15.75" customHeight="1">
      <c r="A797" s="97"/>
      <c r="B797" s="97"/>
      <c r="C797" s="97"/>
      <c r="D797" s="97"/>
      <c r="E797" s="97"/>
      <c r="F797" s="97"/>
      <c r="G797" s="97"/>
      <c r="H797" s="129"/>
      <c r="I797" s="97"/>
      <c r="J797" s="97"/>
      <c r="K797" s="97"/>
      <c r="L797" s="97"/>
      <c r="M797" s="97"/>
      <c r="N797" s="97"/>
      <c r="O797" s="97"/>
      <c r="P797" s="97"/>
      <c r="Q797" s="97"/>
      <c r="R797" s="97"/>
      <c r="S797" s="97"/>
      <c r="T797" s="97"/>
      <c r="U797" s="97"/>
      <c r="V797" s="97"/>
      <c r="W797" s="97"/>
      <c r="X797" s="129"/>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c r="DF797" s="97"/>
      <c r="DG797" s="97"/>
      <c r="DH797" s="97"/>
      <c r="DI797" s="97"/>
      <c r="DJ797" s="97"/>
      <c r="DK797" s="97"/>
      <c r="DL797" s="97"/>
      <c r="DM797" s="97"/>
      <c r="DN797" s="97"/>
      <c r="DO797" s="97"/>
      <c r="DP797" s="97"/>
      <c r="DQ797" s="97"/>
      <c r="DR797" s="97"/>
      <c r="DS797" s="97"/>
      <c r="DT797" s="97"/>
      <c r="DU797" s="97"/>
      <c r="DV797" s="97"/>
      <c r="DW797" s="97"/>
      <c r="DX797" s="97"/>
      <c r="DY797" s="97"/>
      <c r="DZ797" s="97"/>
      <c r="EA797" s="97"/>
      <c r="EB797" s="97"/>
      <c r="EC797" s="97"/>
      <c r="ED797" s="97"/>
      <c r="EE797" s="97"/>
      <c r="EF797" s="97"/>
      <c r="EG797" s="97"/>
      <c r="EH797" s="97"/>
      <c r="EI797" s="97"/>
      <c r="EJ797" s="97"/>
      <c r="EK797" s="97"/>
      <c r="EL797" s="97"/>
      <c r="EM797" s="97"/>
      <c r="EN797" s="97"/>
      <c r="EO797" s="97"/>
      <c r="EP797" s="97"/>
      <c r="EQ797" s="97"/>
      <c r="ER797" s="97"/>
      <c r="ES797" s="97"/>
      <c r="ET797" s="97"/>
    </row>
    <row r="798" spans="1:150" ht="15.75" customHeight="1">
      <c r="A798" s="97"/>
      <c r="B798" s="97"/>
      <c r="C798" s="97"/>
      <c r="D798" s="97"/>
      <c r="E798" s="97"/>
      <c r="F798" s="97"/>
      <c r="G798" s="97"/>
      <c r="H798" s="129"/>
      <c r="I798" s="97"/>
      <c r="J798" s="97"/>
      <c r="K798" s="97"/>
      <c r="L798" s="97"/>
      <c r="M798" s="97"/>
      <c r="N798" s="97"/>
      <c r="O798" s="97"/>
      <c r="P798" s="97"/>
      <c r="Q798" s="97"/>
      <c r="R798" s="97"/>
      <c r="S798" s="97"/>
      <c r="T798" s="97"/>
      <c r="U798" s="97"/>
      <c r="V798" s="97"/>
      <c r="W798" s="97"/>
      <c r="X798" s="129"/>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c r="DF798" s="97"/>
      <c r="DG798" s="97"/>
      <c r="DH798" s="97"/>
      <c r="DI798" s="97"/>
      <c r="DJ798" s="97"/>
      <c r="DK798" s="97"/>
      <c r="DL798" s="97"/>
      <c r="DM798" s="97"/>
      <c r="DN798" s="97"/>
      <c r="DO798" s="97"/>
      <c r="DP798" s="97"/>
      <c r="DQ798" s="97"/>
      <c r="DR798" s="97"/>
      <c r="DS798" s="97"/>
      <c r="DT798" s="97"/>
      <c r="DU798" s="97"/>
      <c r="DV798" s="97"/>
      <c r="DW798" s="97"/>
      <c r="DX798" s="97"/>
      <c r="DY798" s="97"/>
      <c r="DZ798" s="97"/>
      <c r="EA798" s="97"/>
      <c r="EB798" s="97"/>
      <c r="EC798" s="97"/>
      <c r="ED798" s="97"/>
      <c r="EE798" s="97"/>
      <c r="EF798" s="97"/>
      <c r="EG798" s="97"/>
      <c r="EH798" s="97"/>
      <c r="EI798" s="97"/>
      <c r="EJ798" s="97"/>
      <c r="EK798" s="97"/>
      <c r="EL798" s="97"/>
      <c r="EM798" s="97"/>
      <c r="EN798" s="97"/>
      <c r="EO798" s="97"/>
      <c r="EP798" s="97"/>
      <c r="EQ798" s="97"/>
      <c r="ER798" s="97"/>
      <c r="ES798" s="97"/>
      <c r="ET798" s="97"/>
    </row>
    <row r="799" spans="1:150" ht="15.75" customHeight="1">
      <c r="A799" s="97"/>
      <c r="B799" s="97"/>
      <c r="C799" s="97"/>
      <c r="D799" s="97"/>
      <c r="E799" s="97"/>
      <c r="F799" s="97"/>
      <c r="G799" s="97"/>
      <c r="H799" s="129"/>
      <c r="I799" s="97"/>
      <c r="J799" s="97"/>
      <c r="K799" s="97"/>
      <c r="L799" s="97"/>
      <c r="M799" s="97"/>
      <c r="N799" s="97"/>
      <c r="O799" s="97"/>
      <c r="P799" s="97"/>
      <c r="Q799" s="97"/>
      <c r="R799" s="97"/>
      <c r="S799" s="97"/>
      <c r="T799" s="97"/>
      <c r="U799" s="97"/>
      <c r="V799" s="97"/>
      <c r="W799" s="97"/>
      <c r="X799" s="129"/>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c r="DF799" s="97"/>
      <c r="DG799" s="97"/>
      <c r="DH799" s="97"/>
      <c r="DI799" s="97"/>
      <c r="DJ799" s="97"/>
      <c r="DK799" s="97"/>
      <c r="DL799" s="97"/>
      <c r="DM799" s="97"/>
      <c r="DN799" s="97"/>
      <c r="DO799" s="97"/>
      <c r="DP799" s="97"/>
      <c r="DQ799" s="97"/>
      <c r="DR799" s="97"/>
      <c r="DS799" s="97"/>
      <c r="DT799" s="97"/>
      <c r="DU799" s="97"/>
      <c r="DV799" s="97"/>
      <c r="DW799" s="97"/>
      <c r="DX799" s="97"/>
      <c r="DY799" s="97"/>
      <c r="DZ799" s="97"/>
      <c r="EA799" s="97"/>
      <c r="EB799" s="97"/>
      <c r="EC799" s="97"/>
      <c r="ED799" s="97"/>
      <c r="EE799" s="97"/>
      <c r="EF799" s="97"/>
      <c r="EG799" s="97"/>
      <c r="EH799" s="97"/>
      <c r="EI799" s="97"/>
      <c r="EJ799" s="97"/>
      <c r="EK799" s="97"/>
      <c r="EL799" s="97"/>
      <c r="EM799" s="97"/>
      <c r="EN799" s="97"/>
      <c r="EO799" s="97"/>
      <c r="EP799" s="97"/>
      <c r="EQ799" s="97"/>
      <c r="ER799" s="97"/>
      <c r="ES799" s="97"/>
      <c r="ET799" s="97"/>
    </row>
    <row r="800" spans="1:150" ht="15.75" customHeight="1">
      <c r="A800" s="97"/>
      <c r="B800" s="97"/>
      <c r="C800" s="97"/>
      <c r="D800" s="97"/>
      <c r="E800" s="97"/>
      <c r="F800" s="97"/>
      <c r="G800" s="97"/>
      <c r="H800" s="129"/>
      <c r="I800" s="97"/>
      <c r="J800" s="97"/>
      <c r="K800" s="97"/>
      <c r="L800" s="97"/>
      <c r="M800" s="97"/>
      <c r="N800" s="97"/>
      <c r="O800" s="97"/>
      <c r="P800" s="97"/>
      <c r="Q800" s="97"/>
      <c r="R800" s="97"/>
      <c r="S800" s="97"/>
      <c r="T800" s="97"/>
      <c r="U800" s="97"/>
      <c r="V800" s="97"/>
      <c r="W800" s="97"/>
      <c r="X800" s="129"/>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c r="DF800" s="97"/>
      <c r="DG800" s="97"/>
      <c r="DH800" s="97"/>
      <c r="DI800" s="97"/>
      <c r="DJ800" s="97"/>
      <c r="DK800" s="97"/>
      <c r="DL800" s="97"/>
      <c r="DM800" s="97"/>
      <c r="DN800" s="97"/>
      <c r="DO800" s="97"/>
      <c r="DP800" s="97"/>
      <c r="DQ800" s="97"/>
      <c r="DR800" s="97"/>
      <c r="DS800" s="97"/>
      <c r="DT800" s="97"/>
      <c r="DU800" s="97"/>
      <c r="DV800" s="97"/>
      <c r="DW800" s="97"/>
      <c r="DX800" s="97"/>
      <c r="DY800" s="97"/>
      <c r="DZ800" s="97"/>
      <c r="EA800" s="97"/>
      <c r="EB800" s="97"/>
      <c r="EC800" s="97"/>
      <c r="ED800" s="97"/>
      <c r="EE800" s="97"/>
      <c r="EF800" s="97"/>
      <c r="EG800" s="97"/>
      <c r="EH800" s="97"/>
      <c r="EI800" s="97"/>
      <c r="EJ800" s="97"/>
      <c r="EK800" s="97"/>
      <c r="EL800" s="97"/>
      <c r="EM800" s="97"/>
      <c r="EN800" s="97"/>
      <c r="EO800" s="97"/>
      <c r="EP800" s="97"/>
      <c r="EQ800" s="97"/>
      <c r="ER800" s="97"/>
      <c r="ES800" s="97"/>
      <c r="ET800" s="97"/>
    </row>
    <row r="801" spans="1:150" ht="15.75" customHeight="1">
      <c r="A801" s="97"/>
      <c r="B801" s="97"/>
      <c r="C801" s="97"/>
      <c r="D801" s="97"/>
      <c r="E801" s="97"/>
      <c r="F801" s="97"/>
      <c r="G801" s="97"/>
      <c r="H801" s="129"/>
      <c r="I801" s="97"/>
      <c r="J801" s="97"/>
      <c r="K801" s="97"/>
      <c r="L801" s="97"/>
      <c r="M801" s="97"/>
      <c r="N801" s="97"/>
      <c r="O801" s="97"/>
      <c r="P801" s="97"/>
      <c r="Q801" s="97"/>
      <c r="R801" s="97"/>
      <c r="S801" s="97"/>
      <c r="T801" s="97"/>
      <c r="U801" s="97"/>
      <c r="V801" s="97"/>
      <c r="W801" s="97"/>
      <c r="X801" s="129"/>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c r="DF801" s="97"/>
      <c r="DG801" s="97"/>
      <c r="DH801" s="97"/>
      <c r="DI801" s="97"/>
      <c r="DJ801" s="97"/>
      <c r="DK801" s="97"/>
      <c r="DL801" s="97"/>
      <c r="DM801" s="97"/>
      <c r="DN801" s="97"/>
      <c r="DO801" s="97"/>
      <c r="DP801" s="97"/>
      <c r="DQ801" s="97"/>
      <c r="DR801" s="97"/>
      <c r="DS801" s="97"/>
      <c r="DT801" s="97"/>
      <c r="DU801" s="97"/>
      <c r="DV801" s="97"/>
      <c r="DW801" s="97"/>
      <c r="DX801" s="97"/>
      <c r="DY801" s="97"/>
      <c r="DZ801" s="97"/>
      <c r="EA801" s="97"/>
      <c r="EB801" s="97"/>
      <c r="EC801" s="97"/>
      <c r="ED801" s="97"/>
      <c r="EE801" s="97"/>
      <c r="EF801" s="97"/>
      <c r="EG801" s="97"/>
      <c r="EH801" s="97"/>
      <c r="EI801" s="97"/>
      <c r="EJ801" s="97"/>
      <c r="EK801" s="97"/>
      <c r="EL801" s="97"/>
      <c r="EM801" s="97"/>
      <c r="EN801" s="97"/>
      <c r="EO801" s="97"/>
      <c r="EP801" s="97"/>
      <c r="EQ801" s="97"/>
      <c r="ER801" s="97"/>
      <c r="ES801" s="97"/>
      <c r="ET801" s="97"/>
    </row>
    <row r="802" spans="1:150" ht="15.75" customHeight="1">
      <c r="A802" s="97"/>
      <c r="B802" s="97"/>
      <c r="C802" s="97"/>
      <c r="D802" s="97"/>
      <c r="E802" s="97"/>
      <c r="F802" s="97"/>
      <c r="G802" s="97"/>
      <c r="H802" s="129"/>
      <c r="I802" s="97"/>
      <c r="J802" s="97"/>
      <c r="K802" s="97"/>
      <c r="L802" s="97"/>
      <c r="M802" s="97"/>
      <c r="N802" s="97"/>
      <c r="O802" s="97"/>
      <c r="P802" s="97"/>
      <c r="Q802" s="97"/>
      <c r="R802" s="97"/>
      <c r="S802" s="97"/>
      <c r="T802" s="97"/>
      <c r="U802" s="97"/>
      <c r="V802" s="97"/>
      <c r="W802" s="97"/>
      <c r="X802" s="129"/>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c r="DF802" s="97"/>
      <c r="DG802" s="97"/>
      <c r="DH802" s="97"/>
      <c r="DI802" s="97"/>
      <c r="DJ802" s="97"/>
      <c r="DK802" s="97"/>
      <c r="DL802" s="97"/>
      <c r="DM802" s="97"/>
      <c r="DN802" s="97"/>
      <c r="DO802" s="97"/>
      <c r="DP802" s="97"/>
      <c r="DQ802" s="97"/>
      <c r="DR802" s="97"/>
      <c r="DS802" s="97"/>
      <c r="DT802" s="97"/>
      <c r="DU802" s="97"/>
      <c r="DV802" s="97"/>
      <c r="DW802" s="97"/>
      <c r="DX802" s="97"/>
      <c r="DY802" s="97"/>
      <c r="DZ802" s="97"/>
      <c r="EA802" s="97"/>
      <c r="EB802" s="97"/>
      <c r="EC802" s="97"/>
      <c r="ED802" s="97"/>
      <c r="EE802" s="97"/>
      <c r="EF802" s="97"/>
      <c r="EG802" s="97"/>
      <c r="EH802" s="97"/>
      <c r="EI802" s="97"/>
      <c r="EJ802" s="97"/>
      <c r="EK802" s="97"/>
      <c r="EL802" s="97"/>
      <c r="EM802" s="97"/>
      <c r="EN802" s="97"/>
      <c r="EO802" s="97"/>
      <c r="EP802" s="97"/>
      <c r="EQ802" s="97"/>
      <c r="ER802" s="97"/>
      <c r="ES802" s="97"/>
      <c r="ET802" s="97"/>
    </row>
    <row r="803" spans="1:150" ht="15.75" customHeight="1">
      <c r="A803" s="97"/>
      <c r="B803" s="97"/>
      <c r="C803" s="97"/>
      <c r="D803" s="97"/>
      <c r="E803" s="97"/>
      <c r="F803" s="97"/>
      <c r="G803" s="97"/>
      <c r="H803" s="129"/>
      <c r="I803" s="97"/>
      <c r="J803" s="97"/>
      <c r="K803" s="97"/>
      <c r="L803" s="97"/>
      <c r="M803" s="97"/>
      <c r="N803" s="97"/>
      <c r="O803" s="97"/>
      <c r="P803" s="97"/>
      <c r="Q803" s="97"/>
      <c r="R803" s="97"/>
      <c r="S803" s="97"/>
      <c r="T803" s="97"/>
      <c r="U803" s="97"/>
      <c r="V803" s="97"/>
      <c r="W803" s="97"/>
      <c r="X803" s="129"/>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c r="DF803" s="97"/>
      <c r="DG803" s="97"/>
      <c r="DH803" s="97"/>
      <c r="DI803" s="97"/>
      <c r="DJ803" s="97"/>
      <c r="DK803" s="97"/>
      <c r="DL803" s="97"/>
      <c r="DM803" s="97"/>
      <c r="DN803" s="97"/>
      <c r="DO803" s="97"/>
      <c r="DP803" s="97"/>
      <c r="DQ803" s="97"/>
      <c r="DR803" s="97"/>
      <c r="DS803" s="97"/>
      <c r="DT803" s="97"/>
      <c r="DU803" s="97"/>
      <c r="DV803" s="97"/>
      <c r="DW803" s="97"/>
      <c r="DX803" s="97"/>
      <c r="DY803" s="97"/>
      <c r="DZ803" s="97"/>
      <c r="EA803" s="97"/>
      <c r="EB803" s="97"/>
      <c r="EC803" s="97"/>
      <c r="ED803" s="97"/>
      <c r="EE803" s="97"/>
      <c r="EF803" s="97"/>
      <c r="EG803" s="97"/>
      <c r="EH803" s="97"/>
      <c r="EI803" s="97"/>
      <c r="EJ803" s="97"/>
      <c r="EK803" s="97"/>
      <c r="EL803" s="97"/>
      <c r="EM803" s="97"/>
      <c r="EN803" s="97"/>
      <c r="EO803" s="97"/>
      <c r="EP803" s="97"/>
      <c r="EQ803" s="97"/>
      <c r="ER803" s="97"/>
      <c r="ES803" s="97"/>
      <c r="ET803" s="97"/>
    </row>
    <row r="804" spans="1:150" ht="15.75" customHeight="1">
      <c r="A804" s="97"/>
      <c r="B804" s="97"/>
      <c r="C804" s="97"/>
      <c r="D804" s="97"/>
      <c r="E804" s="97"/>
      <c r="F804" s="97"/>
      <c r="G804" s="97"/>
      <c r="H804" s="129"/>
      <c r="I804" s="97"/>
      <c r="J804" s="97"/>
      <c r="K804" s="97"/>
      <c r="L804" s="97"/>
      <c r="M804" s="97"/>
      <c r="N804" s="97"/>
      <c r="O804" s="97"/>
      <c r="P804" s="97"/>
      <c r="Q804" s="97"/>
      <c r="R804" s="97"/>
      <c r="S804" s="97"/>
      <c r="T804" s="97"/>
      <c r="U804" s="97"/>
      <c r="V804" s="97"/>
      <c r="W804" s="97"/>
      <c r="X804" s="129"/>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c r="DF804" s="97"/>
      <c r="DG804" s="97"/>
      <c r="DH804" s="97"/>
      <c r="DI804" s="97"/>
      <c r="DJ804" s="97"/>
      <c r="DK804" s="97"/>
      <c r="DL804" s="97"/>
      <c r="DM804" s="97"/>
      <c r="DN804" s="97"/>
      <c r="DO804" s="97"/>
      <c r="DP804" s="97"/>
      <c r="DQ804" s="97"/>
      <c r="DR804" s="97"/>
      <c r="DS804" s="97"/>
      <c r="DT804" s="97"/>
      <c r="DU804" s="97"/>
      <c r="DV804" s="97"/>
      <c r="DW804" s="97"/>
      <c r="DX804" s="97"/>
      <c r="DY804" s="97"/>
      <c r="DZ804" s="97"/>
      <c r="EA804" s="97"/>
      <c r="EB804" s="97"/>
      <c r="EC804" s="97"/>
      <c r="ED804" s="97"/>
      <c r="EE804" s="97"/>
      <c r="EF804" s="97"/>
      <c r="EG804" s="97"/>
      <c r="EH804" s="97"/>
      <c r="EI804" s="97"/>
      <c r="EJ804" s="97"/>
      <c r="EK804" s="97"/>
      <c r="EL804" s="97"/>
      <c r="EM804" s="97"/>
      <c r="EN804" s="97"/>
      <c r="EO804" s="97"/>
      <c r="EP804" s="97"/>
      <c r="EQ804" s="97"/>
      <c r="ER804" s="97"/>
      <c r="ES804" s="97"/>
      <c r="ET804" s="97"/>
    </row>
    <row r="805" spans="1:150" ht="15.75" customHeight="1">
      <c r="A805" s="97"/>
      <c r="B805" s="97"/>
      <c r="C805" s="97"/>
      <c r="D805" s="97"/>
      <c r="E805" s="97"/>
      <c r="F805" s="97"/>
      <c r="G805" s="97"/>
      <c r="H805" s="129"/>
      <c r="I805" s="97"/>
      <c r="J805" s="97"/>
      <c r="K805" s="97"/>
      <c r="L805" s="97"/>
      <c r="M805" s="97"/>
      <c r="N805" s="97"/>
      <c r="O805" s="97"/>
      <c r="P805" s="97"/>
      <c r="Q805" s="97"/>
      <c r="R805" s="97"/>
      <c r="S805" s="97"/>
      <c r="T805" s="97"/>
      <c r="U805" s="97"/>
      <c r="V805" s="97"/>
      <c r="W805" s="97"/>
      <c r="X805" s="129"/>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c r="DF805" s="97"/>
      <c r="DG805" s="97"/>
      <c r="DH805" s="97"/>
      <c r="DI805" s="97"/>
      <c r="DJ805" s="97"/>
      <c r="DK805" s="97"/>
      <c r="DL805" s="97"/>
      <c r="DM805" s="97"/>
      <c r="DN805" s="97"/>
      <c r="DO805" s="97"/>
      <c r="DP805" s="97"/>
      <c r="DQ805" s="97"/>
      <c r="DR805" s="97"/>
      <c r="DS805" s="97"/>
      <c r="DT805" s="97"/>
      <c r="DU805" s="97"/>
      <c r="DV805" s="97"/>
      <c r="DW805" s="97"/>
      <c r="DX805" s="97"/>
      <c r="DY805" s="97"/>
      <c r="DZ805" s="97"/>
      <c r="EA805" s="97"/>
      <c r="EB805" s="97"/>
      <c r="EC805" s="97"/>
      <c r="ED805" s="97"/>
      <c r="EE805" s="97"/>
      <c r="EF805" s="97"/>
      <c r="EG805" s="97"/>
      <c r="EH805" s="97"/>
      <c r="EI805" s="97"/>
      <c r="EJ805" s="97"/>
      <c r="EK805" s="97"/>
      <c r="EL805" s="97"/>
      <c r="EM805" s="97"/>
      <c r="EN805" s="97"/>
      <c r="EO805" s="97"/>
      <c r="EP805" s="97"/>
      <c r="EQ805" s="97"/>
      <c r="ER805" s="97"/>
      <c r="ES805" s="97"/>
      <c r="ET805" s="97"/>
    </row>
    <row r="806" spans="1:150" ht="15.75" customHeight="1">
      <c r="A806" s="97"/>
      <c r="B806" s="97"/>
      <c r="C806" s="97"/>
      <c r="D806" s="97"/>
      <c r="E806" s="97"/>
      <c r="F806" s="97"/>
      <c r="G806" s="97"/>
      <c r="H806" s="129"/>
      <c r="I806" s="97"/>
      <c r="J806" s="97"/>
      <c r="K806" s="97"/>
      <c r="L806" s="97"/>
      <c r="M806" s="97"/>
      <c r="N806" s="97"/>
      <c r="O806" s="97"/>
      <c r="P806" s="97"/>
      <c r="Q806" s="97"/>
      <c r="R806" s="97"/>
      <c r="S806" s="97"/>
      <c r="T806" s="97"/>
      <c r="U806" s="97"/>
      <c r="V806" s="97"/>
      <c r="W806" s="97"/>
      <c r="X806" s="129"/>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c r="DF806" s="97"/>
      <c r="DG806" s="97"/>
      <c r="DH806" s="97"/>
      <c r="DI806" s="97"/>
      <c r="DJ806" s="97"/>
      <c r="DK806" s="97"/>
      <c r="DL806" s="97"/>
      <c r="DM806" s="97"/>
      <c r="DN806" s="97"/>
      <c r="DO806" s="97"/>
      <c r="DP806" s="97"/>
      <c r="DQ806" s="97"/>
      <c r="DR806" s="97"/>
      <c r="DS806" s="97"/>
      <c r="DT806" s="97"/>
      <c r="DU806" s="97"/>
      <c r="DV806" s="97"/>
      <c r="DW806" s="97"/>
      <c r="DX806" s="97"/>
      <c r="DY806" s="97"/>
      <c r="DZ806" s="97"/>
      <c r="EA806" s="97"/>
      <c r="EB806" s="97"/>
      <c r="EC806" s="97"/>
      <c r="ED806" s="97"/>
      <c r="EE806" s="97"/>
      <c r="EF806" s="97"/>
      <c r="EG806" s="97"/>
      <c r="EH806" s="97"/>
      <c r="EI806" s="97"/>
      <c r="EJ806" s="97"/>
      <c r="EK806" s="97"/>
      <c r="EL806" s="97"/>
      <c r="EM806" s="97"/>
      <c r="EN806" s="97"/>
      <c r="EO806" s="97"/>
      <c r="EP806" s="97"/>
      <c r="EQ806" s="97"/>
      <c r="ER806" s="97"/>
      <c r="ES806" s="97"/>
      <c r="ET806" s="97"/>
    </row>
    <row r="807" spans="1:150" ht="15.75" customHeight="1">
      <c r="A807" s="97"/>
      <c r="B807" s="97"/>
      <c r="C807" s="97"/>
      <c r="D807" s="97"/>
      <c r="E807" s="97"/>
      <c r="F807" s="97"/>
      <c r="G807" s="97"/>
      <c r="H807" s="129"/>
      <c r="I807" s="97"/>
      <c r="J807" s="97"/>
      <c r="K807" s="97"/>
      <c r="L807" s="97"/>
      <c r="M807" s="97"/>
      <c r="N807" s="97"/>
      <c r="O807" s="97"/>
      <c r="P807" s="97"/>
      <c r="Q807" s="97"/>
      <c r="R807" s="97"/>
      <c r="S807" s="97"/>
      <c r="T807" s="97"/>
      <c r="U807" s="97"/>
      <c r="V807" s="97"/>
      <c r="W807" s="97"/>
      <c r="X807" s="129"/>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c r="DF807" s="97"/>
      <c r="DG807" s="97"/>
      <c r="DH807" s="97"/>
      <c r="DI807" s="97"/>
      <c r="DJ807" s="97"/>
      <c r="DK807" s="97"/>
      <c r="DL807" s="97"/>
      <c r="DM807" s="97"/>
      <c r="DN807" s="97"/>
      <c r="DO807" s="97"/>
      <c r="DP807" s="97"/>
      <c r="DQ807" s="97"/>
      <c r="DR807" s="97"/>
      <c r="DS807" s="97"/>
      <c r="DT807" s="97"/>
      <c r="DU807" s="97"/>
      <c r="DV807" s="97"/>
      <c r="DW807" s="97"/>
      <c r="DX807" s="97"/>
      <c r="DY807" s="97"/>
      <c r="DZ807" s="97"/>
      <c r="EA807" s="97"/>
      <c r="EB807" s="97"/>
      <c r="EC807" s="97"/>
      <c r="ED807" s="97"/>
      <c r="EE807" s="97"/>
      <c r="EF807" s="97"/>
      <c r="EG807" s="97"/>
      <c r="EH807" s="97"/>
      <c r="EI807" s="97"/>
      <c r="EJ807" s="97"/>
      <c r="EK807" s="97"/>
      <c r="EL807" s="97"/>
      <c r="EM807" s="97"/>
      <c r="EN807" s="97"/>
      <c r="EO807" s="97"/>
      <c r="EP807" s="97"/>
      <c r="EQ807" s="97"/>
      <c r="ER807" s="97"/>
      <c r="ES807" s="97"/>
      <c r="ET807" s="97"/>
    </row>
    <row r="808" spans="1:150" ht="15.75" customHeight="1">
      <c r="A808" s="97"/>
      <c r="B808" s="97"/>
      <c r="C808" s="97"/>
      <c r="D808" s="97"/>
      <c r="E808" s="97"/>
      <c r="F808" s="97"/>
      <c r="G808" s="97"/>
      <c r="H808" s="129"/>
      <c r="I808" s="97"/>
      <c r="J808" s="97"/>
      <c r="K808" s="97"/>
      <c r="L808" s="97"/>
      <c r="M808" s="97"/>
      <c r="N808" s="97"/>
      <c r="O808" s="97"/>
      <c r="P808" s="97"/>
      <c r="Q808" s="97"/>
      <c r="R808" s="97"/>
      <c r="S808" s="97"/>
      <c r="T808" s="97"/>
      <c r="U808" s="97"/>
      <c r="V808" s="97"/>
      <c r="W808" s="97"/>
      <c r="X808" s="129"/>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c r="DF808" s="97"/>
      <c r="DG808" s="97"/>
      <c r="DH808" s="97"/>
      <c r="DI808" s="97"/>
      <c r="DJ808" s="97"/>
      <c r="DK808" s="97"/>
      <c r="DL808" s="97"/>
      <c r="DM808" s="97"/>
      <c r="DN808" s="97"/>
      <c r="DO808" s="97"/>
      <c r="DP808" s="97"/>
      <c r="DQ808" s="97"/>
      <c r="DR808" s="97"/>
      <c r="DS808" s="97"/>
      <c r="DT808" s="97"/>
      <c r="DU808" s="97"/>
      <c r="DV808" s="97"/>
      <c r="DW808" s="97"/>
      <c r="DX808" s="97"/>
      <c r="DY808" s="97"/>
      <c r="DZ808" s="97"/>
      <c r="EA808" s="97"/>
      <c r="EB808" s="97"/>
      <c r="EC808" s="97"/>
      <c r="ED808" s="97"/>
      <c r="EE808" s="97"/>
      <c r="EF808" s="97"/>
      <c r="EG808" s="97"/>
      <c r="EH808" s="97"/>
      <c r="EI808" s="97"/>
      <c r="EJ808" s="97"/>
      <c r="EK808" s="97"/>
      <c r="EL808" s="97"/>
      <c r="EM808" s="97"/>
      <c r="EN808" s="97"/>
      <c r="EO808" s="97"/>
      <c r="EP808" s="97"/>
      <c r="EQ808" s="97"/>
      <c r="ER808" s="97"/>
      <c r="ES808" s="97"/>
      <c r="ET808" s="97"/>
    </row>
    <row r="809" spans="1:150" ht="15.75" customHeight="1">
      <c r="A809" s="97"/>
      <c r="B809" s="97"/>
      <c r="C809" s="97"/>
      <c r="D809" s="97"/>
      <c r="E809" s="97"/>
      <c r="F809" s="97"/>
      <c r="G809" s="97"/>
      <c r="H809" s="129"/>
      <c r="I809" s="97"/>
      <c r="J809" s="97"/>
      <c r="K809" s="97"/>
      <c r="L809" s="97"/>
      <c r="M809" s="97"/>
      <c r="N809" s="97"/>
      <c r="O809" s="97"/>
      <c r="P809" s="97"/>
      <c r="Q809" s="97"/>
      <c r="R809" s="97"/>
      <c r="S809" s="97"/>
      <c r="T809" s="97"/>
      <c r="U809" s="97"/>
      <c r="V809" s="97"/>
      <c r="W809" s="97"/>
      <c r="X809" s="129"/>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c r="DF809" s="97"/>
      <c r="DG809" s="97"/>
      <c r="DH809" s="97"/>
      <c r="DI809" s="97"/>
      <c r="DJ809" s="97"/>
      <c r="DK809" s="97"/>
      <c r="DL809" s="97"/>
      <c r="DM809" s="97"/>
      <c r="DN809" s="97"/>
      <c r="DO809" s="97"/>
      <c r="DP809" s="97"/>
      <c r="DQ809" s="97"/>
      <c r="DR809" s="97"/>
      <c r="DS809" s="97"/>
      <c r="DT809" s="97"/>
      <c r="DU809" s="97"/>
      <c r="DV809" s="97"/>
      <c r="DW809" s="97"/>
      <c r="DX809" s="97"/>
      <c r="DY809" s="97"/>
      <c r="DZ809" s="97"/>
      <c r="EA809" s="97"/>
      <c r="EB809" s="97"/>
      <c r="EC809" s="97"/>
      <c r="ED809" s="97"/>
      <c r="EE809" s="97"/>
      <c r="EF809" s="97"/>
      <c r="EG809" s="97"/>
      <c r="EH809" s="97"/>
      <c r="EI809" s="97"/>
      <c r="EJ809" s="97"/>
      <c r="EK809" s="97"/>
      <c r="EL809" s="97"/>
      <c r="EM809" s="97"/>
      <c r="EN809" s="97"/>
      <c r="EO809" s="97"/>
      <c r="EP809" s="97"/>
      <c r="EQ809" s="97"/>
      <c r="ER809" s="97"/>
      <c r="ES809" s="97"/>
      <c r="ET809" s="97"/>
    </row>
    <row r="810" spans="1:150" ht="15.75" customHeight="1">
      <c r="A810" s="97"/>
      <c r="B810" s="97"/>
      <c r="C810" s="97"/>
      <c r="D810" s="97"/>
      <c r="E810" s="97"/>
      <c r="F810" s="97"/>
      <c r="G810" s="97"/>
      <c r="H810" s="129"/>
      <c r="I810" s="97"/>
      <c r="J810" s="97"/>
      <c r="K810" s="97"/>
      <c r="L810" s="97"/>
      <c r="M810" s="97"/>
      <c r="N810" s="97"/>
      <c r="O810" s="97"/>
      <c r="P810" s="97"/>
      <c r="Q810" s="97"/>
      <c r="R810" s="97"/>
      <c r="S810" s="97"/>
      <c r="T810" s="97"/>
      <c r="U810" s="97"/>
      <c r="V810" s="97"/>
      <c r="W810" s="97"/>
      <c r="X810" s="129"/>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c r="DF810" s="97"/>
      <c r="DG810" s="97"/>
      <c r="DH810" s="97"/>
      <c r="DI810" s="97"/>
      <c r="DJ810" s="97"/>
      <c r="DK810" s="97"/>
      <c r="DL810" s="97"/>
      <c r="DM810" s="97"/>
      <c r="DN810" s="97"/>
      <c r="DO810" s="97"/>
      <c r="DP810" s="97"/>
      <c r="DQ810" s="97"/>
      <c r="DR810" s="97"/>
      <c r="DS810" s="97"/>
      <c r="DT810" s="97"/>
      <c r="DU810" s="97"/>
      <c r="DV810" s="97"/>
      <c r="DW810" s="97"/>
      <c r="DX810" s="97"/>
      <c r="DY810" s="97"/>
      <c r="DZ810" s="97"/>
      <c r="EA810" s="97"/>
      <c r="EB810" s="97"/>
      <c r="EC810" s="97"/>
      <c r="ED810" s="97"/>
      <c r="EE810" s="97"/>
      <c r="EF810" s="97"/>
      <c r="EG810" s="97"/>
      <c r="EH810" s="97"/>
      <c r="EI810" s="97"/>
      <c r="EJ810" s="97"/>
      <c r="EK810" s="97"/>
      <c r="EL810" s="97"/>
      <c r="EM810" s="97"/>
      <c r="EN810" s="97"/>
      <c r="EO810" s="97"/>
      <c r="EP810" s="97"/>
      <c r="EQ810" s="97"/>
      <c r="ER810" s="97"/>
      <c r="ES810" s="97"/>
      <c r="ET810" s="97"/>
    </row>
    <row r="811" spans="1:150" ht="15.75" customHeight="1">
      <c r="A811" s="97"/>
      <c r="B811" s="97"/>
      <c r="C811" s="97"/>
      <c r="D811" s="97"/>
      <c r="E811" s="97"/>
      <c r="F811" s="97"/>
      <c r="G811" s="97"/>
      <c r="H811" s="129"/>
      <c r="I811" s="97"/>
      <c r="J811" s="97"/>
      <c r="K811" s="97"/>
      <c r="L811" s="97"/>
      <c r="M811" s="97"/>
      <c r="N811" s="97"/>
      <c r="O811" s="97"/>
      <c r="P811" s="97"/>
      <c r="Q811" s="97"/>
      <c r="R811" s="97"/>
      <c r="S811" s="97"/>
      <c r="T811" s="97"/>
      <c r="U811" s="97"/>
      <c r="V811" s="97"/>
      <c r="W811" s="97"/>
      <c r="X811" s="129"/>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c r="DF811" s="97"/>
      <c r="DG811" s="97"/>
      <c r="DH811" s="97"/>
      <c r="DI811" s="97"/>
      <c r="DJ811" s="97"/>
      <c r="DK811" s="97"/>
      <c r="DL811" s="97"/>
      <c r="DM811" s="97"/>
      <c r="DN811" s="97"/>
      <c r="DO811" s="97"/>
      <c r="DP811" s="97"/>
      <c r="DQ811" s="97"/>
      <c r="DR811" s="97"/>
      <c r="DS811" s="97"/>
      <c r="DT811" s="97"/>
      <c r="DU811" s="97"/>
      <c r="DV811" s="97"/>
      <c r="DW811" s="97"/>
      <c r="DX811" s="97"/>
      <c r="DY811" s="97"/>
      <c r="DZ811" s="97"/>
      <c r="EA811" s="97"/>
      <c r="EB811" s="97"/>
      <c r="EC811" s="97"/>
      <c r="ED811" s="97"/>
      <c r="EE811" s="97"/>
      <c r="EF811" s="97"/>
      <c r="EG811" s="97"/>
      <c r="EH811" s="97"/>
      <c r="EI811" s="97"/>
      <c r="EJ811" s="97"/>
      <c r="EK811" s="97"/>
      <c r="EL811" s="97"/>
      <c r="EM811" s="97"/>
      <c r="EN811" s="97"/>
      <c r="EO811" s="97"/>
      <c r="EP811" s="97"/>
      <c r="EQ811" s="97"/>
      <c r="ER811" s="97"/>
      <c r="ES811" s="97"/>
      <c r="ET811" s="97"/>
    </row>
    <row r="812" spans="1:150" ht="15.75" customHeight="1">
      <c r="A812" s="97"/>
      <c r="B812" s="97"/>
      <c r="C812" s="97"/>
      <c r="D812" s="97"/>
      <c r="E812" s="97"/>
      <c r="F812" s="97"/>
      <c r="G812" s="97"/>
      <c r="H812" s="129"/>
      <c r="I812" s="97"/>
      <c r="J812" s="97"/>
      <c r="K812" s="97"/>
      <c r="L812" s="97"/>
      <c r="M812" s="97"/>
      <c r="N812" s="97"/>
      <c r="O812" s="97"/>
      <c r="P812" s="97"/>
      <c r="Q812" s="97"/>
      <c r="R812" s="97"/>
      <c r="S812" s="97"/>
      <c r="T812" s="97"/>
      <c r="U812" s="97"/>
      <c r="V812" s="97"/>
      <c r="W812" s="97"/>
      <c r="X812" s="129"/>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c r="DF812" s="97"/>
      <c r="DG812" s="97"/>
      <c r="DH812" s="97"/>
      <c r="DI812" s="97"/>
      <c r="DJ812" s="97"/>
      <c r="DK812" s="97"/>
      <c r="DL812" s="97"/>
      <c r="DM812" s="97"/>
      <c r="DN812" s="97"/>
      <c r="DO812" s="97"/>
      <c r="DP812" s="97"/>
      <c r="DQ812" s="97"/>
      <c r="DR812" s="97"/>
      <c r="DS812" s="97"/>
      <c r="DT812" s="97"/>
      <c r="DU812" s="97"/>
      <c r="DV812" s="97"/>
      <c r="DW812" s="97"/>
      <c r="DX812" s="97"/>
      <c r="DY812" s="97"/>
      <c r="DZ812" s="97"/>
      <c r="EA812" s="97"/>
      <c r="EB812" s="97"/>
      <c r="EC812" s="97"/>
      <c r="ED812" s="97"/>
      <c r="EE812" s="97"/>
      <c r="EF812" s="97"/>
      <c r="EG812" s="97"/>
      <c r="EH812" s="97"/>
      <c r="EI812" s="97"/>
      <c r="EJ812" s="97"/>
      <c r="EK812" s="97"/>
      <c r="EL812" s="97"/>
      <c r="EM812" s="97"/>
      <c r="EN812" s="97"/>
      <c r="EO812" s="97"/>
      <c r="EP812" s="97"/>
      <c r="EQ812" s="97"/>
      <c r="ER812" s="97"/>
      <c r="ES812" s="97"/>
      <c r="ET812" s="97"/>
    </row>
    <row r="813" spans="1:150" ht="15.75" customHeight="1">
      <c r="A813" s="97"/>
      <c r="B813" s="97"/>
      <c r="C813" s="97"/>
      <c r="D813" s="97"/>
      <c r="E813" s="97"/>
      <c r="F813" s="97"/>
      <c r="G813" s="97"/>
      <c r="H813" s="129"/>
      <c r="I813" s="97"/>
      <c r="J813" s="97"/>
      <c r="K813" s="97"/>
      <c r="L813" s="97"/>
      <c r="M813" s="97"/>
      <c r="N813" s="97"/>
      <c r="O813" s="97"/>
      <c r="P813" s="97"/>
      <c r="Q813" s="97"/>
      <c r="R813" s="97"/>
      <c r="S813" s="97"/>
      <c r="T813" s="97"/>
      <c r="U813" s="97"/>
      <c r="V813" s="97"/>
      <c r="W813" s="97"/>
      <c r="X813" s="129"/>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c r="DF813" s="97"/>
      <c r="DG813" s="97"/>
      <c r="DH813" s="97"/>
      <c r="DI813" s="97"/>
      <c r="DJ813" s="97"/>
      <c r="DK813" s="97"/>
      <c r="DL813" s="97"/>
      <c r="DM813" s="97"/>
      <c r="DN813" s="97"/>
      <c r="DO813" s="97"/>
      <c r="DP813" s="97"/>
      <c r="DQ813" s="97"/>
      <c r="DR813" s="97"/>
      <c r="DS813" s="97"/>
      <c r="DT813" s="97"/>
      <c r="DU813" s="97"/>
      <c r="DV813" s="97"/>
      <c r="DW813" s="97"/>
      <c r="DX813" s="97"/>
      <c r="DY813" s="97"/>
      <c r="DZ813" s="97"/>
      <c r="EA813" s="97"/>
      <c r="EB813" s="97"/>
      <c r="EC813" s="97"/>
      <c r="ED813" s="97"/>
      <c r="EE813" s="97"/>
      <c r="EF813" s="97"/>
      <c r="EG813" s="97"/>
      <c r="EH813" s="97"/>
      <c r="EI813" s="97"/>
      <c r="EJ813" s="97"/>
      <c r="EK813" s="97"/>
      <c r="EL813" s="97"/>
      <c r="EM813" s="97"/>
      <c r="EN813" s="97"/>
      <c r="EO813" s="97"/>
      <c r="EP813" s="97"/>
      <c r="EQ813" s="97"/>
      <c r="ER813" s="97"/>
      <c r="ES813" s="97"/>
      <c r="ET813" s="97"/>
    </row>
    <row r="814" spans="1:150" ht="15.75" customHeight="1">
      <c r="A814" s="97"/>
      <c r="B814" s="97"/>
      <c r="C814" s="97"/>
      <c r="D814" s="97"/>
      <c r="E814" s="97"/>
      <c r="F814" s="97"/>
      <c r="G814" s="97"/>
      <c r="H814" s="129"/>
      <c r="I814" s="97"/>
      <c r="J814" s="97"/>
      <c r="K814" s="97"/>
      <c r="L814" s="97"/>
      <c r="M814" s="97"/>
      <c r="N814" s="97"/>
      <c r="O814" s="97"/>
      <c r="P814" s="97"/>
      <c r="Q814" s="97"/>
      <c r="R814" s="97"/>
      <c r="S814" s="97"/>
      <c r="T814" s="97"/>
      <c r="U814" s="97"/>
      <c r="V814" s="97"/>
      <c r="W814" s="97"/>
      <c r="X814" s="129"/>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c r="DF814" s="97"/>
      <c r="DG814" s="97"/>
      <c r="DH814" s="97"/>
      <c r="DI814" s="97"/>
      <c r="DJ814" s="97"/>
      <c r="DK814" s="97"/>
      <c r="DL814" s="97"/>
      <c r="DM814" s="97"/>
      <c r="DN814" s="97"/>
      <c r="DO814" s="97"/>
      <c r="DP814" s="97"/>
      <c r="DQ814" s="97"/>
      <c r="DR814" s="97"/>
      <c r="DS814" s="97"/>
      <c r="DT814" s="97"/>
      <c r="DU814" s="97"/>
      <c r="DV814" s="97"/>
      <c r="DW814" s="97"/>
      <c r="DX814" s="97"/>
      <c r="DY814" s="97"/>
      <c r="DZ814" s="97"/>
      <c r="EA814" s="97"/>
      <c r="EB814" s="97"/>
      <c r="EC814" s="97"/>
      <c r="ED814" s="97"/>
      <c r="EE814" s="97"/>
      <c r="EF814" s="97"/>
      <c r="EG814" s="97"/>
      <c r="EH814" s="97"/>
      <c r="EI814" s="97"/>
      <c r="EJ814" s="97"/>
      <c r="EK814" s="97"/>
      <c r="EL814" s="97"/>
      <c r="EM814" s="97"/>
      <c r="EN814" s="97"/>
      <c r="EO814" s="97"/>
      <c r="EP814" s="97"/>
      <c r="EQ814" s="97"/>
      <c r="ER814" s="97"/>
      <c r="ES814" s="97"/>
      <c r="ET814" s="97"/>
    </row>
    <row r="815" spans="1:150" ht="15.75" customHeight="1">
      <c r="A815" s="97"/>
      <c r="B815" s="97"/>
      <c r="C815" s="97"/>
      <c r="D815" s="97"/>
      <c r="E815" s="97"/>
      <c r="F815" s="97"/>
      <c r="G815" s="97"/>
      <c r="H815" s="129"/>
      <c r="I815" s="97"/>
      <c r="J815" s="97"/>
      <c r="K815" s="97"/>
      <c r="L815" s="97"/>
      <c r="M815" s="97"/>
      <c r="N815" s="97"/>
      <c r="O815" s="97"/>
      <c r="P815" s="97"/>
      <c r="Q815" s="97"/>
      <c r="R815" s="97"/>
      <c r="S815" s="97"/>
      <c r="T815" s="97"/>
      <c r="U815" s="97"/>
      <c r="V815" s="97"/>
      <c r="W815" s="97"/>
      <c r="X815" s="129"/>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c r="DF815" s="97"/>
      <c r="DG815" s="97"/>
      <c r="DH815" s="97"/>
      <c r="DI815" s="97"/>
      <c r="DJ815" s="97"/>
      <c r="DK815" s="97"/>
      <c r="DL815" s="97"/>
      <c r="DM815" s="97"/>
      <c r="DN815" s="97"/>
      <c r="DO815" s="97"/>
      <c r="DP815" s="97"/>
      <c r="DQ815" s="97"/>
      <c r="DR815" s="97"/>
      <c r="DS815" s="97"/>
      <c r="DT815" s="97"/>
      <c r="DU815" s="97"/>
      <c r="DV815" s="97"/>
      <c r="DW815" s="97"/>
      <c r="DX815" s="97"/>
      <c r="DY815" s="97"/>
      <c r="DZ815" s="97"/>
      <c r="EA815" s="97"/>
      <c r="EB815" s="97"/>
      <c r="EC815" s="97"/>
      <c r="ED815" s="97"/>
      <c r="EE815" s="97"/>
      <c r="EF815" s="97"/>
      <c r="EG815" s="97"/>
      <c r="EH815" s="97"/>
      <c r="EI815" s="97"/>
      <c r="EJ815" s="97"/>
      <c r="EK815" s="97"/>
      <c r="EL815" s="97"/>
      <c r="EM815" s="97"/>
      <c r="EN815" s="97"/>
      <c r="EO815" s="97"/>
      <c r="EP815" s="97"/>
      <c r="EQ815" s="97"/>
      <c r="ER815" s="97"/>
      <c r="ES815" s="97"/>
      <c r="ET815" s="97"/>
    </row>
    <row r="816" spans="1:150" ht="15.75" customHeight="1">
      <c r="A816" s="97"/>
      <c r="B816" s="97"/>
      <c r="C816" s="97"/>
      <c r="D816" s="97"/>
      <c r="E816" s="97"/>
      <c r="F816" s="97"/>
      <c r="G816" s="97"/>
      <c r="H816" s="129"/>
      <c r="I816" s="97"/>
      <c r="J816" s="97"/>
      <c r="K816" s="97"/>
      <c r="L816" s="97"/>
      <c r="M816" s="97"/>
      <c r="N816" s="97"/>
      <c r="O816" s="97"/>
      <c r="P816" s="97"/>
      <c r="Q816" s="97"/>
      <c r="R816" s="97"/>
      <c r="S816" s="97"/>
      <c r="T816" s="97"/>
      <c r="U816" s="97"/>
      <c r="V816" s="97"/>
      <c r="W816" s="97"/>
      <c r="X816" s="129"/>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c r="DF816" s="97"/>
      <c r="DG816" s="97"/>
      <c r="DH816" s="97"/>
      <c r="DI816" s="97"/>
      <c r="DJ816" s="97"/>
      <c r="DK816" s="97"/>
      <c r="DL816" s="97"/>
      <c r="DM816" s="97"/>
      <c r="DN816" s="97"/>
      <c r="DO816" s="97"/>
      <c r="DP816" s="97"/>
      <c r="DQ816" s="97"/>
      <c r="DR816" s="97"/>
      <c r="DS816" s="97"/>
      <c r="DT816" s="97"/>
      <c r="DU816" s="97"/>
      <c r="DV816" s="97"/>
      <c r="DW816" s="97"/>
      <c r="DX816" s="97"/>
      <c r="DY816" s="97"/>
      <c r="DZ816" s="97"/>
      <c r="EA816" s="97"/>
      <c r="EB816" s="97"/>
      <c r="EC816" s="97"/>
      <c r="ED816" s="97"/>
      <c r="EE816" s="97"/>
      <c r="EF816" s="97"/>
      <c r="EG816" s="97"/>
      <c r="EH816" s="97"/>
      <c r="EI816" s="97"/>
      <c r="EJ816" s="97"/>
      <c r="EK816" s="97"/>
      <c r="EL816" s="97"/>
      <c r="EM816" s="97"/>
      <c r="EN816" s="97"/>
      <c r="EO816" s="97"/>
      <c r="EP816" s="97"/>
      <c r="EQ816" s="97"/>
      <c r="ER816" s="97"/>
      <c r="ES816" s="97"/>
      <c r="ET816" s="97"/>
    </row>
    <row r="817" spans="1:150" ht="15.75" customHeight="1">
      <c r="A817" s="97"/>
      <c r="B817" s="97"/>
      <c r="C817" s="97"/>
      <c r="D817" s="97"/>
      <c r="E817" s="97"/>
      <c r="F817" s="97"/>
      <c r="G817" s="97"/>
      <c r="H817" s="129"/>
      <c r="I817" s="97"/>
      <c r="J817" s="97"/>
      <c r="K817" s="97"/>
      <c r="L817" s="97"/>
      <c r="M817" s="97"/>
      <c r="N817" s="97"/>
      <c r="O817" s="97"/>
      <c r="P817" s="97"/>
      <c r="Q817" s="97"/>
      <c r="R817" s="97"/>
      <c r="S817" s="97"/>
      <c r="T817" s="97"/>
      <c r="U817" s="97"/>
      <c r="V817" s="97"/>
      <c r="W817" s="97"/>
      <c r="X817" s="129"/>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c r="DF817" s="97"/>
      <c r="DG817" s="97"/>
      <c r="DH817" s="97"/>
      <c r="DI817" s="97"/>
      <c r="DJ817" s="97"/>
      <c r="DK817" s="97"/>
      <c r="DL817" s="97"/>
      <c r="DM817" s="97"/>
      <c r="DN817" s="97"/>
      <c r="DO817" s="97"/>
      <c r="DP817" s="97"/>
      <c r="DQ817" s="97"/>
      <c r="DR817" s="97"/>
      <c r="DS817" s="97"/>
      <c r="DT817" s="97"/>
      <c r="DU817" s="97"/>
      <c r="DV817" s="97"/>
      <c r="DW817" s="97"/>
      <c r="DX817" s="97"/>
      <c r="DY817" s="97"/>
      <c r="DZ817" s="97"/>
      <c r="EA817" s="97"/>
      <c r="EB817" s="97"/>
      <c r="EC817" s="97"/>
      <c r="ED817" s="97"/>
      <c r="EE817" s="97"/>
      <c r="EF817" s="97"/>
      <c r="EG817" s="97"/>
      <c r="EH817" s="97"/>
      <c r="EI817" s="97"/>
      <c r="EJ817" s="97"/>
      <c r="EK817" s="97"/>
      <c r="EL817" s="97"/>
      <c r="EM817" s="97"/>
      <c r="EN817" s="97"/>
      <c r="EO817" s="97"/>
      <c r="EP817" s="97"/>
      <c r="EQ817" s="97"/>
      <c r="ER817" s="97"/>
      <c r="ES817" s="97"/>
      <c r="ET817" s="97"/>
    </row>
    <row r="818" spans="1:150" ht="15.75" customHeight="1">
      <c r="A818" s="97"/>
      <c r="B818" s="97"/>
      <c r="C818" s="97"/>
      <c r="D818" s="97"/>
      <c r="E818" s="97"/>
      <c r="F818" s="97"/>
      <c r="G818" s="97"/>
      <c r="H818" s="129"/>
      <c r="I818" s="97"/>
      <c r="J818" s="97"/>
      <c r="K818" s="97"/>
      <c r="L818" s="97"/>
      <c r="M818" s="97"/>
      <c r="N818" s="97"/>
      <c r="O818" s="97"/>
      <c r="P818" s="97"/>
      <c r="Q818" s="97"/>
      <c r="R818" s="97"/>
      <c r="S818" s="97"/>
      <c r="T818" s="97"/>
      <c r="U818" s="97"/>
      <c r="V818" s="97"/>
      <c r="W818" s="97"/>
      <c r="X818" s="129"/>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c r="DF818" s="97"/>
      <c r="DG818" s="97"/>
      <c r="DH818" s="97"/>
      <c r="DI818" s="97"/>
      <c r="DJ818" s="97"/>
      <c r="DK818" s="97"/>
      <c r="DL818" s="97"/>
      <c r="DM818" s="97"/>
      <c r="DN818" s="97"/>
      <c r="DO818" s="97"/>
      <c r="DP818" s="97"/>
      <c r="DQ818" s="97"/>
      <c r="DR818" s="97"/>
      <c r="DS818" s="97"/>
      <c r="DT818" s="97"/>
      <c r="DU818" s="97"/>
      <c r="DV818" s="97"/>
      <c r="DW818" s="97"/>
      <c r="DX818" s="97"/>
      <c r="DY818" s="97"/>
      <c r="DZ818" s="97"/>
      <c r="EA818" s="97"/>
      <c r="EB818" s="97"/>
      <c r="EC818" s="97"/>
      <c r="ED818" s="97"/>
      <c r="EE818" s="97"/>
      <c r="EF818" s="97"/>
      <c r="EG818" s="97"/>
      <c r="EH818" s="97"/>
      <c r="EI818" s="97"/>
      <c r="EJ818" s="97"/>
      <c r="EK818" s="97"/>
      <c r="EL818" s="97"/>
      <c r="EM818" s="97"/>
      <c r="EN818" s="97"/>
      <c r="EO818" s="97"/>
      <c r="EP818" s="97"/>
      <c r="EQ818" s="97"/>
      <c r="ER818" s="97"/>
      <c r="ES818" s="97"/>
      <c r="ET818" s="97"/>
    </row>
    <row r="819" spans="1:150" ht="15.75" customHeight="1">
      <c r="A819" s="97"/>
      <c r="B819" s="97"/>
      <c r="C819" s="97"/>
      <c r="D819" s="97"/>
      <c r="E819" s="97"/>
      <c r="F819" s="97"/>
      <c r="G819" s="97"/>
      <c r="H819" s="129"/>
      <c r="I819" s="97"/>
      <c r="J819" s="97"/>
      <c r="K819" s="97"/>
      <c r="L819" s="97"/>
      <c r="M819" s="97"/>
      <c r="N819" s="97"/>
      <c r="O819" s="97"/>
      <c r="P819" s="97"/>
      <c r="Q819" s="97"/>
      <c r="R819" s="97"/>
      <c r="S819" s="97"/>
      <c r="T819" s="97"/>
      <c r="U819" s="97"/>
      <c r="V819" s="97"/>
      <c r="W819" s="97"/>
      <c r="X819" s="129"/>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c r="DF819" s="97"/>
      <c r="DG819" s="97"/>
      <c r="DH819" s="97"/>
      <c r="DI819" s="97"/>
      <c r="DJ819" s="97"/>
      <c r="DK819" s="97"/>
      <c r="DL819" s="97"/>
      <c r="DM819" s="97"/>
      <c r="DN819" s="97"/>
      <c r="DO819" s="97"/>
      <c r="DP819" s="97"/>
      <c r="DQ819" s="97"/>
      <c r="DR819" s="97"/>
      <c r="DS819" s="97"/>
      <c r="DT819" s="97"/>
      <c r="DU819" s="97"/>
      <c r="DV819" s="97"/>
      <c r="DW819" s="97"/>
      <c r="DX819" s="97"/>
      <c r="DY819" s="97"/>
      <c r="DZ819" s="97"/>
      <c r="EA819" s="97"/>
      <c r="EB819" s="97"/>
      <c r="EC819" s="97"/>
      <c r="ED819" s="97"/>
      <c r="EE819" s="97"/>
      <c r="EF819" s="97"/>
      <c r="EG819" s="97"/>
      <c r="EH819" s="97"/>
      <c r="EI819" s="97"/>
      <c r="EJ819" s="97"/>
      <c r="EK819" s="97"/>
      <c r="EL819" s="97"/>
      <c r="EM819" s="97"/>
      <c r="EN819" s="97"/>
      <c r="EO819" s="97"/>
      <c r="EP819" s="97"/>
      <c r="EQ819" s="97"/>
      <c r="ER819" s="97"/>
      <c r="ES819" s="97"/>
      <c r="ET819" s="97"/>
    </row>
    <row r="820" spans="1:150" ht="15.75" customHeight="1">
      <c r="A820" s="97"/>
      <c r="B820" s="97"/>
      <c r="C820" s="97"/>
      <c r="D820" s="97"/>
      <c r="E820" s="97"/>
      <c r="F820" s="97"/>
      <c r="G820" s="97"/>
      <c r="H820" s="129"/>
      <c r="I820" s="97"/>
      <c r="J820" s="97"/>
      <c r="K820" s="97"/>
      <c r="L820" s="97"/>
      <c r="M820" s="97"/>
      <c r="N820" s="97"/>
      <c r="O820" s="97"/>
      <c r="P820" s="97"/>
      <c r="Q820" s="97"/>
      <c r="R820" s="97"/>
      <c r="S820" s="97"/>
      <c r="T820" s="97"/>
      <c r="U820" s="97"/>
      <c r="V820" s="97"/>
      <c r="W820" s="97"/>
      <c r="X820" s="129"/>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c r="DF820" s="97"/>
      <c r="DG820" s="97"/>
      <c r="DH820" s="97"/>
      <c r="DI820" s="97"/>
      <c r="DJ820" s="97"/>
      <c r="DK820" s="97"/>
      <c r="DL820" s="97"/>
      <c r="DM820" s="97"/>
      <c r="DN820" s="97"/>
      <c r="DO820" s="97"/>
      <c r="DP820" s="97"/>
      <c r="DQ820" s="97"/>
      <c r="DR820" s="97"/>
      <c r="DS820" s="97"/>
      <c r="DT820" s="97"/>
      <c r="DU820" s="97"/>
      <c r="DV820" s="97"/>
      <c r="DW820" s="97"/>
      <c r="DX820" s="97"/>
      <c r="DY820" s="97"/>
      <c r="DZ820" s="97"/>
      <c r="EA820" s="97"/>
      <c r="EB820" s="97"/>
      <c r="EC820" s="97"/>
      <c r="ED820" s="97"/>
      <c r="EE820" s="97"/>
      <c r="EF820" s="97"/>
      <c r="EG820" s="97"/>
      <c r="EH820" s="97"/>
      <c r="EI820" s="97"/>
      <c r="EJ820" s="97"/>
      <c r="EK820" s="97"/>
      <c r="EL820" s="97"/>
      <c r="EM820" s="97"/>
      <c r="EN820" s="97"/>
      <c r="EO820" s="97"/>
      <c r="EP820" s="97"/>
      <c r="EQ820" s="97"/>
      <c r="ER820" s="97"/>
      <c r="ES820" s="97"/>
      <c r="ET820" s="97"/>
    </row>
    <row r="821" spans="1:150" ht="15.75" customHeight="1">
      <c r="A821" s="97"/>
      <c r="B821" s="97"/>
      <c r="C821" s="97"/>
      <c r="D821" s="97"/>
      <c r="E821" s="97"/>
      <c r="F821" s="97"/>
      <c r="G821" s="97"/>
      <c r="H821" s="129"/>
      <c r="I821" s="97"/>
      <c r="J821" s="97"/>
      <c r="K821" s="97"/>
      <c r="L821" s="97"/>
      <c r="M821" s="97"/>
      <c r="N821" s="97"/>
      <c r="O821" s="97"/>
      <c r="P821" s="97"/>
      <c r="Q821" s="97"/>
      <c r="R821" s="97"/>
      <c r="S821" s="97"/>
      <c r="T821" s="97"/>
      <c r="U821" s="97"/>
      <c r="V821" s="97"/>
      <c r="W821" s="97"/>
      <c r="X821" s="129"/>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c r="DF821" s="97"/>
      <c r="DG821" s="97"/>
      <c r="DH821" s="97"/>
      <c r="DI821" s="97"/>
      <c r="DJ821" s="97"/>
      <c r="DK821" s="97"/>
      <c r="DL821" s="97"/>
      <c r="DM821" s="97"/>
      <c r="DN821" s="97"/>
      <c r="DO821" s="97"/>
      <c r="DP821" s="97"/>
      <c r="DQ821" s="97"/>
      <c r="DR821" s="97"/>
      <c r="DS821" s="97"/>
      <c r="DT821" s="97"/>
      <c r="DU821" s="97"/>
      <c r="DV821" s="97"/>
      <c r="DW821" s="97"/>
      <c r="DX821" s="97"/>
      <c r="DY821" s="97"/>
      <c r="DZ821" s="97"/>
      <c r="EA821" s="97"/>
      <c r="EB821" s="97"/>
      <c r="EC821" s="97"/>
      <c r="ED821" s="97"/>
      <c r="EE821" s="97"/>
      <c r="EF821" s="97"/>
      <c r="EG821" s="97"/>
      <c r="EH821" s="97"/>
      <c r="EI821" s="97"/>
      <c r="EJ821" s="97"/>
      <c r="EK821" s="97"/>
      <c r="EL821" s="97"/>
      <c r="EM821" s="97"/>
      <c r="EN821" s="97"/>
      <c r="EO821" s="97"/>
      <c r="EP821" s="97"/>
      <c r="EQ821" s="97"/>
      <c r="ER821" s="97"/>
      <c r="ES821" s="97"/>
      <c r="ET821" s="97"/>
    </row>
    <row r="822" spans="1:150" ht="15.75" customHeight="1">
      <c r="A822" s="97"/>
      <c r="B822" s="97"/>
      <c r="C822" s="97"/>
      <c r="D822" s="97"/>
      <c r="E822" s="97"/>
      <c r="F822" s="97"/>
      <c r="G822" s="97"/>
      <c r="H822" s="129"/>
      <c r="I822" s="97"/>
      <c r="J822" s="97"/>
      <c r="K822" s="97"/>
      <c r="L822" s="97"/>
      <c r="M822" s="97"/>
      <c r="N822" s="97"/>
      <c r="O822" s="97"/>
      <c r="P822" s="97"/>
      <c r="Q822" s="97"/>
      <c r="R822" s="97"/>
      <c r="S822" s="97"/>
      <c r="T822" s="97"/>
      <c r="U822" s="97"/>
      <c r="V822" s="97"/>
      <c r="W822" s="97"/>
      <c r="X822" s="129"/>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c r="DF822" s="97"/>
      <c r="DG822" s="97"/>
      <c r="DH822" s="97"/>
      <c r="DI822" s="97"/>
      <c r="DJ822" s="97"/>
      <c r="DK822" s="97"/>
      <c r="DL822" s="97"/>
      <c r="DM822" s="97"/>
      <c r="DN822" s="97"/>
      <c r="DO822" s="97"/>
      <c r="DP822" s="97"/>
      <c r="DQ822" s="97"/>
      <c r="DR822" s="97"/>
      <c r="DS822" s="97"/>
      <c r="DT822" s="97"/>
      <c r="DU822" s="97"/>
      <c r="DV822" s="97"/>
      <c r="DW822" s="97"/>
      <c r="DX822" s="97"/>
      <c r="DY822" s="97"/>
      <c r="DZ822" s="97"/>
      <c r="EA822" s="97"/>
      <c r="EB822" s="97"/>
      <c r="EC822" s="97"/>
      <c r="ED822" s="97"/>
      <c r="EE822" s="97"/>
      <c r="EF822" s="97"/>
      <c r="EG822" s="97"/>
      <c r="EH822" s="97"/>
      <c r="EI822" s="97"/>
      <c r="EJ822" s="97"/>
      <c r="EK822" s="97"/>
      <c r="EL822" s="97"/>
      <c r="EM822" s="97"/>
      <c r="EN822" s="97"/>
      <c r="EO822" s="97"/>
      <c r="EP822" s="97"/>
      <c r="EQ822" s="97"/>
      <c r="ER822" s="97"/>
      <c r="ES822" s="97"/>
      <c r="ET822" s="97"/>
    </row>
    <row r="823" spans="1:150" ht="15.75" customHeight="1">
      <c r="A823" s="97"/>
      <c r="B823" s="97"/>
      <c r="C823" s="97"/>
      <c r="D823" s="97"/>
      <c r="E823" s="97"/>
      <c r="F823" s="97"/>
      <c r="G823" s="97"/>
      <c r="H823" s="129"/>
      <c r="I823" s="97"/>
      <c r="J823" s="97"/>
      <c r="K823" s="97"/>
      <c r="L823" s="97"/>
      <c r="M823" s="97"/>
      <c r="N823" s="97"/>
      <c r="O823" s="97"/>
      <c r="P823" s="97"/>
      <c r="Q823" s="97"/>
      <c r="R823" s="97"/>
      <c r="S823" s="97"/>
      <c r="T823" s="97"/>
      <c r="U823" s="97"/>
      <c r="V823" s="97"/>
      <c r="W823" s="97"/>
      <c r="X823" s="129"/>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c r="DF823" s="97"/>
      <c r="DG823" s="97"/>
      <c r="DH823" s="97"/>
      <c r="DI823" s="97"/>
      <c r="DJ823" s="97"/>
      <c r="DK823" s="97"/>
      <c r="DL823" s="97"/>
      <c r="DM823" s="97"/>
      <c r="DN823" s="97"/>
      <c r="DO823" s="97"/>
      <c r="DP823" s="97"/>
      <c r="DQ823" s="97"/>
      <c r="DR823" s="97"/>
      <c r="DS823" s="97"/>
      <c r="DT823" s="97"/>
      <c r="DU823" s="97"/>
      <c r="DV823" s="97"/>
      <c r="DW823" s="97"/>
      <c r="DX823" s="97"/>
      <c r="DY823" s="97"/>
      <c r="DZ823" s="97"/>
      <c r="EA823" s="97"/>
      <c r="EB823" s="97"/>
      <c r="EC823" s="97"/>
      <c r="ED823" s="97"/>
      <c r="EE823" s="97"/>
      <c r="EF823" s="97"/>
      <c r="EG823" s="97"/>
      <c r="EH823" s="97"/>
      <c r="EI823" s="97"/>
      <c r="EJ823" s="97"/>
      <c r="EK823" s="97"/>
      <c r="EL823" s="97"/>
      <c r="EM823" s="97"/>
      <c r="EN823" s="97"/>
      <c r="EO823" s="97"/>
      <c r="EP823" s="97"/>
      <c r="EQ823" s="97"/>
      <c r="ER823" s="97"/>
      <c r="ES823" s="97"/>
      <c r="ET823" s="97"/>
    </row>
    <row r="824" spans="1:150" ht="15.75" customHeight="1">
      <c r="A824" s="97"/>
      <c r="B824" s="97"/>
      <c r="C824" s="97"/>
      <c r="D824" s="97"/>
      <c r="E824" s="97"/>
      <c r="F824" s="97"/>
      <c r="G824" s="97"/>
      <c r="H824" s="129"/>
      <c r="I824" s="97"/>
      <c r="J824" s="97"/>
      <c r="K824" s="97"/>
      <c r="L824" s="97"/>
      <c r="M824" s="97"/>
      <c r="N824" s="97"/>
      <c r="O824" s="97"/>
      <c r="P824" s="97"/>
      <c r="Q824" s="97"/>
      <c r="R824" s="97"/>
      <c r="S824" s="97"/>
      <c r="T824" s="97"/>
      <c r="U824" s="97"/>
      <c r="V824" s="97"/>
      <c r="W824" s="97"/>
      <c r="X824" s="129"/>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c r="DF824" s="97"/>
      <c r="DG824" s="97"/>
      <c r="DH824" s="97"/>
      <c r="DI824" s="97"/>
      <c r="DJ824" s="97"/>
      <c r="DK824" s="97"/>
      <c r="DL824" s="97"/>
      <c r="DM824" s="97"/>
      <c r="DN824" s="97"/>
      <c r="DO824" s="97"/>
      <c r="DP824" s="97"/>
      <c r="DQ824" s="97"/>
      <c r="DR824" s="97"/>
      <c r="DS824" s="97"/>
      <c r="DT824" s="97"/>
      <c r="DU824" s="97"/>
      <c r="DV824" s="97"/>
      <c r="DW824" s="97"/>
      <c r="DX824" s="97"/>
      <c r="DY824" s="97"/>
      <c r="DZ824" s="97"/>
      <c r="EA824" s="97"/>
      <c r="EB824" s="97"/>
      <c r="EC824" s="97"/>
      <c r="ED824" s="97"/>
      <c r="EE824" s="97"/>
      <c r="EF824" s="97"/>
      <c r="EG824" s="97"/>
      <c r="EH824" s="97"/>
      <c r="EI824" s="97"/>
      <c r="EJ824" s="97"/>
      <c r="EK824" s="97"/>
      <c r="EL824" s="97"/>
      <c r="EM824" s="97"/>
      <c r="EN824" s="97"/>
      <c r="EO824" s="97"/>
      <c r="EP824" s="97"/>
      <c r="EQ824" s="97"/>
      <c r="ER824" s="97"/>
      <c r="ES824" s="97"/>
      <c r="ET824" s="97"/>
    </row>
    <row r="825" spans="1:150" ht="15.75" customHeight="1">
      <c r="A825" s="97"/>
      <c r="B825" s="97"/>
      <c r="C825" s="97"/>
      <c r="D825" s="97"/>
      <c r="E825" s="97"/>
      <c r="F825" s="97"/>
      <c r="G825" s="97"/>
      <c r="H825" s="129"/>
      <c r="I825" s="97"/>
      <c r="J825" s="97"/>
      <c r="K825" s="97"/>
      <c r="L825" s="97"/>
      <c r="M825" s="97"/>
      <c r="N825" s="97"/>
      <c r="O825" s="97"/>
      <c r="P825" s="97"/>
      <c r="Q825" s="97"/>
      <c r="R825" s="97"/>
      <c r="S825" s="97"/>
      <c r="T825" s="97"/>
      <c r="U825" s="97"/>
      <c r="V825" s="97"/>
      <c r="W825" s="97"/>
      <c r="X825" s="129"/>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c r="DF825" s="97"/>
      <c r="DG825" s="97"/>
      <c r="DH825" s="97"/>
      <c r="DI825" s="97"/>
      <c r="DJ825" s="97"/>
      <c r="DK825" s="97"/>
      <c r="DL825" s="97"/>
      <c r="DM825" s="97"/>
      <c r="DN825" s="97"/>
      <c r="DO825" s="97"/>
      <c r="DP825" s="97"/>
      <c r="DQ825" s="97"/>
      <c r="DR825" s="97"/>
      <c r="DS825" s="97"/>
      <c r="DT825" s="97"/>
      <c r="DU825" s="97"/>
      <c r="DV825" s="97"/>
      <c r="DW825" s="97"/>
      <c r="DX825" s="97"/>
      <c r="DY825" s="97"/>
      <c r="DZ825" s="97"/>
      <c r="EA825" s="97"/>
      <c r="EB825" s="97"/>
      <c r="EC825" s="97"/>
      <c r="ED825" s="97"/>
      <c r="EE825" s="97"/>
      <c r="EF825" s="97"/>
      <c r="EG825" s="97"/>
      <c r="EH825" s="97"/>
      <c r="EI825" s="97"/>
      <c r="EJ825" s="97"/>
      <c r="EK825" s="97"/>
      <c r="EL825" s="97"/>
      <c r="EM825" s="97"/>
      <c r="EN825" s="97"/>
      <c r="EO825" s="97"/>
      <c r="EP825" s="97"/>
      <c r="EQ825" s="97"/>
      <c r="ER825" s="97"/>
      <c r="ES825" s="97"/>
      <c r="ET825" s="97"/>
    </row>
    <row r="826" spans="1:150" ht="15.75" customHeight="1">
      <c r="A826" s="97"/>
      <c r="B826" s="97"/>
      <c r="C826" s="97"/>
      <c r="D826" s="97"/>
      <c r="E826" s="97"/>
      <c r="F826" s="97"/>
      <c r="G826" s="97"/>
      <c r="H826" s="129"/>
      <c r="I826" s="97"/>
      <c r="J826" s="97"/>
      <c r="K826" s="97"/>
      <c r="L826" s="97"/>
      <c r="M826" s="97"/>
      <c r="N826" s="97"/>
      <c r="O826" s="97"/>
      <c r="P826" s="97"/>
      <c r="Q826" s="97"/>
      <c r="R826" s="97"/>
      <c r="S826" s="97"/>
      <c r="T826" s="97"/>
      <c r="U826" s="97"/>
      <c r="V826" s="97"/>
      <c r="W826" s="97"/>
      <c r="X826" s="129"/>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c r="DF826" s="97"/>
      <c r="DG826" s="97"/>
      <c r="DH826" s="97"/>
      <c r="DI826" s="97"/>
      <c r="DJ826" s="97"/>
      <c r="DK826" s="97"/>
      <c r="DL826" s="97"/>
      <c r="DM826" s="97"/>
      <c r="DN826" s="97"/>
      <c r="DO826" s="97"/>
      <c r="DP826" s="97"/>
      <c r="DQ826" s="97"/>
      <c r="DR826" s="97"/>
      <c r="DS826" s="97"/>
      <c r="DT826" s="97"/>
      <c r="DU826" s="97"/>
      <c r="DV826" s="97"/>
      <c r="DW826" s="97"/>
      <c r="DX826" s="97"/>
      <c r="DY826" s="97"/>
      <c r="DZ826" s="97"/>
      <c r="EA826" s="97"/>
      <c r="EB826" s="97"/>
      <c r="EC826" s="97"/>
      <c r="ED826" s="97"/>
      <c r="EE826" s="97"/>
      <c r="EF826" s="97"/>
      <c r="EG826" s="97"/>
      <c r="EH826" s="97"/>
      <c r="EI826" s="97"/>
      <c r="EJ826" s="97"/>
      <c r="EK826" s="97"/>
      <c r="EL826" s="97"/>
      <c r="EM826" s="97"/>
      <c r="EN826" s="97"/>
      <c r="EO826" s="97"/>
      <c r="EP826" s="97"/>
      <c r="EQ826" s="97"/>
      <c r="ER826" s="97"/>
      <c r="ES826" s="97"/>
      <c r="ET826" s="97"/>
    </row>
    <row r="827" spans="1:150" ht="15.75" customHeight="1">
      <c r="A827" s="97"/>
      <c r="B827" s="97"/>
      <c r="C827" s="97"/>
      <c r="D827" s="97"/>
      <c r="E827" s="97"/>
      <c r="F827" s="97"/>
      <c r="G827" s="97"/>
      <c r="H827" s="129"/>
      <c r="I827" s="97"/>
      <c r="J827" s="97"/>
      <c r="K827" s="97"/>
      <c r="L827" s="97"/>
      <c r="M827" s="97"/>
      <c r="N827" s="97"/>
      <c r="O827" s="97"/>
      <c r="P827" s="97"/>
      <c r="Q827" s="97"/>
      <c r="R827" s="97"/>
      <c r="S827" s="97"/>
      <c r="T827" s="97"/>
      <c r="U827" s="97"/>
      <c r="V827" s="97"/>
      <c r="W827" s="97"/>
      <c r="X827" s="129"/>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c r="DF827" s="97"/>
      <c r="DG827" s="97"/>
      <c r="DH827" s="97"/>
      <c r="DI827" s="97"/>
      <c r="DJ827" s="97"/>
      <c r="DK827" s="97"/>
      <c r="DL827" s="97"/>
      <c r="DM827" s="97"/>
      <c r="DN827" s="97"/>
      <c r="DO827" s="97"/>
      <c r="DP827" s="97"/>
      <c r="DQ827" s="97"/>
      <c r="DR827" s="97"/>
      <c r="DS827" s="97"/>
      <c r="DT827" s="97"/>
      <c r="DU827" s="97"/>
      <c r="DV827" s="97"/>
      <c r="DW827" s="97"/>
      <c r="DX827" s="97"/>
      <c r="DY827" s="97"/>
      <c r="DZ827" s="97"/>
      <c r="EA827" s="97"/>
      <c r="EB827" s="97"/>
      <c r="EC827" s="97"/>
      <c r="ED827" s="97"/>
      <c r="EE827" s="97"/>
      <c r="EF827" s="97"/>
      <c r="EG827" s="97"/>
      <c r="EH827" s="97"/>
      <c r="EI827" s="97"/>
      <c r="EJ827" s="97"/>
      <c r="EK827" s="97"/>
      <c r="EL827" s="97"/>
      <c r="EM827" s="97"/>
      <c r="EN827" s="97"/>
      <c r="EO827" s="97"/>
      <c r="EP827" s="97"/>
      <c r="EQ827" s="97"/>
      <c r="ER827" s="97"/>
      <c r="ES827" s="97"/>
      <c r="ET827" s="97"/>
    </row>
    <row r="828" spans="1:150" ht="15.75" customHeight="1">
      <c r="A828" s="97"/>
      <c r="B828" s="97"/>
      <c r="C828" s="97"/>
      <c r="D828" s="97"/>
      <c r="E828" s="97"/>
      <c r="F828" s="97"/>
      <c r="G828" s="97"/>
      <c r="H828" s="129"/>
      <c r="I828" s="97"/>
      <c r="J828" s="97"/>
      <c r="K828" s="97"/>
      <c r="L828" s="97"/>
      <c r="M828" s="97"/>
      <c r="N828" s="97"/>
      <c r="O828" s="97"/>
      <c r="P828" s="97"/>
      <c r="Q828" s="97"/>
      <c r="R828" s="97"/>
      <c r="S828" s="97"/>
      <c r="T828" s="97"/>
      <c r="U828" s="97"/>
      <c r="V828" s="97"/>
      <c r="W828" s="97"/>
      <c r="X828" s="129"/>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c r="DF828" s="97"/>
      <c r="DG828" s="97"/>
      <c r="DH828" s="97"/>
      <c r="DI828" s="97"/>
      <c r="DJ828" s="97"/>
      <c r="DK828" s="97"/>
      <c r="DL828" s="97"/>
      <c r="DM828" s="97"/>
      <c r="DN828" s="97"/>
      <c r="DO828" s="97"/>
      <c r="DP828" s="97"/>
      <c r="DQ828" s="97"/>
      <c r="DR828" s="97"/>
      <c r="DS828" s="97"/>
      <c r="DT828" s="97"/>
      <c r="DU828" s="97"/>
      <c r="DV828" s="97"/>
      <c r="DW828" s="97"/>
      <c r="DX828" s="97"/>
      <c r="DY828" s="97"/>
      <c r="DZ828" s="97"/>
      <c r="EA828" s="97"/>
      <c r="EB828" s="97"/>
      <c r="EC828" s="97"/>
      <c r="ED828" s="97"/>
      <c r="EE828" s="97"/>
      <c r="EF828" s="97"/>
      <c r="EG828" s="97"/>
      <c r="EH828" s="97"/>
      <c r="EI828" s="97"/>
      <c r="EJ828" s="97"/>
      <c r="EK828" s="97"/>
      <c r="EL828" s="97"/>
      <c r="EM828" s="97"/>
      <c r="EN828" s="97"/>
      <c r="EO828" s="97"/>
      <c r="EP828" s="97"/>
      <c r="EQ828" s="97"/>
      <c r="ER828" s="97"/>
      <c r="ES828" s="97"/>
      <c r="ET828" s="97"/>
    </row>
    <row r="829" spans="1:150" ht="15.75" customHeight="1">
      <c r="A829" s="97"/>
      <c r="B829" s="97"/>
      <c r="C829" s="97"/>
      <c r="D829" s="97"/>
      <c r="E829" s="97"/>
      <c r="F829" s="97"/>
      <c r="G829" s="97"/>
      <c r="H829" s="129"/>
      <c r="I829" s="97"/>
      <c r="J829" s="97"/>
      <c r="K829" s="97"/>
      <c r="L829" s="97"/>
      <c r="M829" s="97"/>
      <c r="N829" s="97"/>
      <c r="O829" s="97"/>
      <c r="P829" s="97"/>
      <c r="Q829" s="97"/>
      <c r="R829" s="97"/>
      <c r="S829" s="97"/>
      <c r="T829" s="97"/>
      <c r="U829" s="97"/>
      <c r="V829" s="97"/>
      <c r="W829" s="97"/>
      <c r="X829" s="129"/>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c r="DF829" s="97"/>
      <c r="DG829" s="97"/>
      <c r="DH829" s="97"/>
      <c r="DI829" s="97"/>
      <c r="DJ829" s="97"/>
      <c r="DK829" s="97"/>
      <c r="DL829" s="97"/>
      <c r="DM829" s="97"/>
      <c r="DN829" s="97"/>
      <c r="DO829" s="97"/>
      <c r="DP829" s="97"/>
      <c r="DQ829" s="97"/>
      <c r="DR829" s="97"/>
      <c r="DS829" s="97"/>
      <c r="DT829" s="97"/>
      <c r="DU829" s="97"/>
      <c r="DV829" s="97"/>
      <c r="DW829" s="97"/>
      <c r="DX829" s="97"/>
      <c r="DY829" s="97"/>
      <c r="DZ829" s="97"/>
      <c r="EA829" s="97"/>
      <c r="EB829" s="97"/>
      <c r="EC829" s="97"/>
      <c r="ED829" s="97"/>
      <c r="EE829" s="97"/>
      <c r="EF829" s="97"/>
      <c r="EG829" s="97"/>
      <c r="EH829" s="97"/>
      <c r="EI829" s="97"/>
      <c r="EJ829" s="97"/>
      <c r="EK829" s="97"/>
      <c r="EL829" s="97"/>
      <c r="EM829" s="97"/>
      <c r="EN829" s="97"/>
      <c r="EO829" s="97"/>
      <c r="EP829" s="97"/>
      <c r="EQ829" s="97"/>
      <c r="ER829" s="97"/>
      <c r="ES829" s="97"/>
      <c r="ET829" s="97"/>
    </row>
    <row r="830" spans="1:150" ht="15.75" customHeight="1">
      <c r="A830" s="97"/>
      <c r="B830" s="97"/>
      <c r="C830" s="97"/>
      <c r="D830" s="97"/>
      <c r="E830" s="97"/>
      <c r="F830" s="97"/>
      <c r="G830" s="97"/>
      <c r="H830" s="129"/>
      <c r="I830" s="97"/>
      <c r="J830" s="97"/>
      <c r="K830" s="97"/>
      <c r="L830" s="97"/>
      <c r="M830" s="97"/>
      <c r="N830" s="97"/>
      <c r="O830" s="97"/>
      <c r="P830" s="97"/>
      <c r="Q830" s="97"/>
      <c r="R830" s="97"/>
      <c r="S830" s="97"/>
      <c r="T830" s="97"/>
      <c r="U830" s="97"/>
      <c r="V830" s="97"/>
      <c r="W830" s="97"/>
      <c r="X830" s="129"/>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c r="DF830" s="97"/>
      <c r="DG830" s="97"/>
      <c r="DH830" s="97"/>
      <c r="DI830" s="97"/>
      <c r="DJ830" s="97"/>
      <c r="DK830" s="97"/>
      <c r="DL830" s="97"/>
      <c r="DM830" s="97"/>
      <c r="DN830" s="97"/>
      <c r="DO830" s="97"/>
      <c r="DP830" s="97"/>
      <c r="DQ830" s="97"/>
      <c r="DR830" s="97"/>
      <c r="DS830" s="97"/>
      <c r="DT830" s="97"/>
      <c r="DU830" s="97"/>
      <c r="DV830" s="97"/>
      <c r="DW830" s="97"/>
      <c r="DX830" s="97"/>
      <c r="DY830" s="97"/>
      <c r="DZ830" s="97"/>
      <c r="EA830" s="97"/>
      <c r="EB830" s="97"/>
      <c r="EC830" s="97"/>
      <c r="ED830" s="97"/>
      <c r="EE830" s="97"/>
      <c r="EF830" s="97"/>
      <c r="EG830" s="97"/>
      <c r="EH830" s="97"/>
      <c r="EI830" s="97"/>
      <c r="EJ830" s="97"/>
      <c r="EK830" s="97"/>
      <c r="EL830" s="97"/>
      <c r="EM830" s="97"/>
      <c r="EN830" s="97"/>
      <c r="EO830" s="97"/>
      <c r="EP830" s="97"/>
      <c r="EQ830" s="97"/>
      <c r="ER830" s="97"/>
      <c r="ES830" s="97"/>
      <c r="ET830" s="97"/>
    </row>
    <row r="831" spans="1:150" ht="15.75" customHeight="1">
      <c r="A831" s="97"/>
      <c r="B831" s="97"/>
      <c r="C831" s="97"/>
      <c r="D831" s="97"/>
      <c r="E831" s="97"/>
      <c r="F831" s="97"/>
      <c r="G831" s="97"/>
      <c r="H831" s="129"/>
      <c r="I831" s="97"/>
      <c r="J831" s="97"/>
      <c r="K831" s="97"/>
      <c r="L831" s="97"/>
      <c r="M831" s="97"/>
      <c r="N831" s="97"/>
      <c r="O831" s="97"/>
      <c r="P831" s="97"/>
      <c r="Q831" s="97"/>
      <c r="R831" s="97"/>
      <c r="S831" s="97"/>
      <c r="T831" s="97"/>
      <c r="U831" s="97"/>
      <c r="V831" s="97"/>
      <c r="W831" s="97"/>
      <c r="X831" s="129"/>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c r="DF831" s="97"/>
      <c r="DG831" s="97"/>
      <c r="DH831" s="97"/>
      <c r="DI831" s="97"/>
      <c r="DJ831" s="97"/>
      <c r="DK831" s="97"/>
      <c r="DL831" s="97"/>
      <c r="DM831" s="97"/>
      <c r="DN831" s="97"/>
      <c r="DO831" s="97"/>
      <c r="DP831" s="97"/>
      <c r="DQ831" s="97"/>
      <c r="DR831" s="97"/>
      <c r="DS831" s="97"/>
      <c r="DT831" s="97"/>
      <c r="DU831" s="97"/>
      <c r="DV831" s="97"/>
      <c r="DW831" s="97"/>
      <c r="DX831" s="97"/>
      <c r="DY831" s="97"/>
      <c r="DZ831" s="97"/>
      <c r="EA831" s="97"/>
      <c r="EB831" s="97"/>
      <c r="EC831" s="97"/>
      <c r="ED831" s="97"/>
      <c r="EE831" s="97"/>
      <c r="EF831" s="97"/>
      <c r="EG831" s="97"/>
      <c r="EH831" s="97"/>
      <c r="EI831" s="97"/>
      <c r="EJ831" s="97"/>
      <c r="EK831" s="97"/>
      <c r="EL831" s="97"/>
      <c r="EM831" s="97"/>
      <c r="EN831" s="97"/>
      <c r="EO831" s="97"/>
      <c r="EP831" s="97"/>
      <c r="EQ831" s="97"/>
      <c r="ER831" s="97"/>
      <c r="ES831" s="97"/>
      <c r="ET831" s="97"/>
    </row>
    <row r="832" spans="1:150" ht="15.75" customHeight="1">
      <c r="A832" s="97"/>
      <c r="B832" s="97"/>
      <c r="C832" s="97"/>
      <c r="D832" s="97"/>
      <c r="E832" s="97"/>
      <c r="F832" s="97"/>
      <c r="G832" s="97"/>
      <c r="H832" s="129"/>
      <c r="I832" s="97"/>
      <c r="J832" s="97"/>
      <c r="K832" s="97"/>
      <c r="L832" s="97"/>
      <c r="M832" s="97"/>
      <c r="N832" s="97"/>
      <c r="O832" s="97"/>
      <c r="P832" s="97"/>
      <c r="Q832" s="97"/>
      <c r="R832" s="97"/>
      <c r="S832" s="97"/>
      <c r="T832" s="97"/>
      <c r="U832" s="97"/>
      <c r="V832" s="97"/>
      <c r="W832" s="97"/>
      <c r="X832" s="129"/>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c r="DF832" s="97"/>
      <c r="DG832" s="97"/>
      <c r="DH832" s="97"/>
      <c r="DI832" s="97"/>
      <c r="DJ832" s="97"/>
      <c r="DK832" s="97"/>
      <c r="DL832" s="97"/>
      <c r="DM832" s="97"/>
      <c r="DN832" s="97"/>
      <c r="DO832" s="97"/>
      <c r="DP832" s="97"/>
      <c r="DQ832" s="97"/>
      <c r="DR832" s="97"/>
      <c r="DS832" s="97"/>
      <c r="DT832" s="97"/>
      <c r="DU832" s="97"/>
      <c r="DV832" s="97"/>
      <c r="DW832" s="97"/>
      <c r="DX832" s="97"/>
      <c r="DY832" s="97"/>
      <c r="DZ832" s="97"/>
      <c r="EA832" s="97"/>
      <c r="EB832" s="97"/>
      <c r="EC832" s="97"/>
      <c r="ED832" s="97"/>
      <c r="EE832" s="97"/>
      <c r="EF832" s="97"/>
      <c r="EG832" s="97"/>
      <c r="EH832" s="97"/>
      <c r="EI832" s="97"/>
      <c r="EJ832" s="97"/>
      <c r="EK832" s="97"/>
      <c r="EL832" s="97"/>
      <c r="EM832" s="97"/>
      <c r="EN832" s="97"/>
      <c r="EO832" s="97"/>
      <c r="EP832" s="97"/>
      <c r="EQ832" s="97"/>
      <c r="ER832" s="97"/>
      <c r="ES832" s="97"/>
      <c r="ET832" s="97"/>
    </row>
    <row r="833" spans="1:150" ht="15.75" customHeight="1">
      <c r="A833" s="97"/>
      <c r="B833" s="97"/>
      <c r="C833" s="97"/>
      <c r="D833" s="97"/>
      <c r="E833" s="97"/>
      <c r="F833" s="97"/>
      <c r="G833" s="97"/>
      <c r="H833" s="129"/>
      <c r="I833" s="97"/>
      <c r="J833" s="97"/>
      <c r="K833" s="97"/>
      <c r="L833" s="97"/>
      <c r="M833" s="97"/>
      <c r="N833" s="97"/>
      <c r="O833" s="97"/>
      <c r="P833" s="97"/>
      <c r="Q833" s="97"/>
      <c r="R833" s="97"/>
      <c r="S833" s="97"/>
      <c r="T833" s="97"/>
      <c r="U833" s="97"/>
      <c r="V833" s="97"/>
      <c r="W833" s="97"/>
      <c r="X833" s="129"/>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c r="DF833" s="97"/>
      <c r="DG833" s="97"/>
      <c r="DH833" s="97"/>
      <c r="DI833" s="97"/>
      <c r="DJ833" s="97"/>
      <c r="DK833" s="97"/>
      <c r="DL833" s="97"/>
      <c r="DM833" s="97"/>
      <c r="DN833" s="97"/>
      <c r="DO833" s="97"/>
      <c r="DP833" s="97"/>
      <c r="DQ833" s="97"/>
      <c r="DR833" s="97"/>
      <c r="DS833" s="97"/>
      <c r="DT833" s="97"/>
      <c r="DU833" s="97"/>
      <c r="DV833" s="97"/>
      <c r="DW833" s="97"/>
      <c r="DX833" s="97"/>
      <c r="DY833" s="97"/>
      <c r="DZ833" s="97"/>
      <c r="EA833" s="97"/>
      <c r="EB833" s="97"/>
      <c r="EC833" s="97"/>
      <c r="ED833" s="97"/>
      <c r="EE833" s="97"/>
      <c r="EF833" s="97"/>
      <c r="EG833" s="97"/>
      <c r="EH833" s="97"/>
      <c r="EI833" s="97"/>
      <c r="EJ833" s="97"/>
      <c r="EK833" s="97"/>
      <c r="EL833" s="97"/>
      <c r="EM833" s="97"/>
      <c r="EN833" s="97"/>
      <c r="EO833" s="97"/>
      <c r="EP833" s="97"/>
      <c r="EQ833" s="97"/>
      <c r="ER833" s="97"/>
      <c r="ES833" s="97"/>
      <c r="ET833" s="97"/>
    </row>
    <row r="834" spans="1:150" ht="15.75" customHeight="1">
      <c r="A834" s="97"/>
      <c r="B834" s="97"/>
      <c r="C834" s="97"/>
      <c r="D834" s="97"/>
      <c r="E834" s="97"/>
      <c r="F834" s="97"/>
      <c r="G834" s="97"/>
      <c r="H834" s="129"/>
      <c r="I834" s="97"/>
      <c r="J834" s="97"/>
      <c r="K834" s="97"/>
      <c r="L834" s="97"/>
      <c r="M834" s="97"/>
      <c r="N834" s="97"/>
      <c r="O834" s="97"/>
      <c r="P834" s="97"/>
      <c r="Q834" s="97"/>
      <c r="R834" s="97"/>
      <c r="S834" s="97"/>
      <c r="T834" s="97"/>
      <c r="U834" s="97"/>
      <c r="V834" s="97"/>
      <c r="W834" s="97"/>
      <c r="X834" s="129"/>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c r="DF834" s="97"/>
      <c r="DG834" s="97"/>
      <c r="DH834" s="97"/>
      <c r="DI834" s="97"/>
      <c r="DJ834" s="97"/>
      <c r="DK834" s="97"/>
      <c r="DL834" s="97"/>
      <c r="DM834" s="97"/>
      <c r="DN834" s="97"/>
      <c r="DO834" s="97"/>
      <c r="DP834" s="97"/>
      <c r="DQ834" s="97"/>
      <c r="DR834" s="97"/>
      <c r="DS834" s="97"/>
      <c r="DT834" s="97"/>
      <c r="DU834" s="97"/>
      <c r="DV834" s="97"/>
      <c r="DW834" s="97"/>
      <c r="DX834" s="97"/>
      <c r="DY834" s="97"/>
      <c r="DZ834" s="97"/>
      <c r="EA834" s="97"/>
      <c r="EB834" s="97"/>
      <c r="EC834" s="97"/>
      <c r="ED834" s="97"/>
      <c r="EE834" s="97"/>
      <c r="EF834" s="97"/>
      <c r="EG834" s="97"/>
      <c r="EH834" s="97"/>
      <c r="EI834" s="97"/>
      <c r="EJ834" s="97"/>
      <c r="EK834" s="97"/>
      <c r="EL834" s="97"/>
      <c r="EM834" s="97"/>
      <c r="EN834" s="97"/>
      <c r="EO834" s="97"/>
      <c r="EP834" s="97"/>
      <c r="EQ834" s="97"/>
      <c r="ER834" s="97"/>
      <c r="ES834" s="97"/>
      <c r="ET834" s="97"/>
    </row>
    <row r="835" spans="1:150" ht="15.75" customHeight="1">
      <c r="A835" s="97"/>
      <c r="B835" s="97"/>
      <c r="C835" s="97"/>
      <c r="D835" s="97"/>
      <c r="E835" s="97"/>
      <c r="F835" s="97"/>
      <c r="G835" s="97"/>
      <c r="H835" s="129"/>
      <c r="I835" s="97"/>
      <c r="J835" s="97"/>
      <c r="K835" s="97"/>
      <c r="L835" s="97"/>
      <c r="M835" s="97"/>
      <c r="N835" s="97"/>
      <c r="O835" s="97"/>
      <c r="P835" s="97"/>
      <c r="Q835" s="97"/>
      <c r="R835" s="97"/>
      <c r="S835" s="97"/>
      <c r="T835" s="97"/>
      <c r="U835" s="97"/>
      <c r="V835" s="97"/>
      <c r="W835" s="97"/>
      <c r="X835" s="129"/>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c r="DF835" s="97"/>
      <c r="DG835" s="97"/>
      <c r="DH835" s="97"/>
      <c r="DI835" s="97"/>
      <c r="DJ835" s="97"/>
      <c r="DK835" s="97"/>
      <c r="DL835" s="97"/>
      <c r="DM835" s="97"/>
      <c r="DN835" s="97"/>
      <c r="DO835" s="97"/>
      <c r="DP835" s="97"/>
      <c r="DQ835" s="97"/>
      <c r="DR835" s="97"/>
      <c r="DS835" s="97"/>
      <c r="DT835" s="97"/>
      <c r="DU835" s="97"/>
      <c r="DV835" s="97"/>
      <c r="DW835" s="97"/>
      <c r="DX835" s="97"/>
      <c r="DY835" s="97"/>
      <c r="DZ835" s="97"/>
      <c r="EA835" s="97"/>
      <c r="EB835" s="97"/>
      <c r="EC835" s="97"/>
      <c r="ED835" s="97"/>
      <c r="EE835" s="97"/>
      <c r="EF835" s="97"/>
      <c r="EG835" s="97"/>
      <c r="EH835" s="97"/>
      <c r="EI835" s="97"/>
      <c r="EJ835" s="97"/>
      <c r="EK835" s="97"/>
      <c r="EL835" s="97"/>
      <c r="EM835" s="97"/>
      <c r="EN835" s="97"/>
      <c r="EO835" s="97"/>
      <c r="EP835" s="97"/>
      <c r="EQ835" s="97"/>
      <c r="ER835" s="97"/>
      <c r="ES835" s="97"/>
      <c r="ET835" s="97"/>
    </row>
    <row r="836" spans="1:150" ht="15.75" customHeight="1">
      <c r="A836" s="97"/>
      <c r="B836" s="97"/>
      <c r="C836" s="97"/>
      <c r="D836" s="97"/>
      <c r="E836" s="97"/>
      <c r="F836" s="97"/>
      <c r="G836" s="97"/>
      <c r="H836" s="129"/>
      <c r="I836" s="97"/>
      <c r="J836" s="97"/>
      <c r="K836" s="97"/>
      <c r="L836" s="97"/>
      <c r="M836" s="97"/>
      <c r="N836" s="97"/>
      <c r="O836" s="97"/>
      <c r="P836" s="97"/>
      <c r="Q836" s="97"/>
      <c r="R836" s="97"/>
      <c r="S836" s="97"/>
      <c r="T836" s="97"/>
      <c r="U836" s="97"/>
      <c r="V836" s="97"/>
      <c r="W836" s="97"/>
      <c r="X836" s="129"/>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c r="DF836" s="97"/>
      <c r="DG836" s="97"/>
      <c r="DH836" s="97"/>
      <c r="DI836" s="97"/>
      <c r="DJ836" s="97"/>
      <c r="DK836" s="97"/>
      <c r="DL836" s="97"/>
      <c r="DM836" s="97"/>
      <c r="DN836" s="97"/>
      <c r="DO836" s="97"/>
      <c r="DP836" s="97"/>
      <c r="DQ836" s="97"/>
      <c r="DR836" s="97"/>
      <c r="DS836" s="97"/>
      <c r="DT836" s="97"/>
      <c r="DU836" s="97"/>
      <c r="DV836" s="97"/>
      <c r="DW836" s="97"/>
      <c r="DX836" s="97"/>
      <c r="DY836" s="97"/>
      <c r="DZ836" s="97"/>
      <c r="EA836" s="97"/>
      <c r="EB836" s="97"/>
      <c r="EC836" s="97"/>
      <c r="ED836" s="97"/>
      <c r="EE836" s="97"/>
      <c r="EF836" s="97"/>
      <c r="EG836" s="97"/>
      <c r="EH836" s="97"/>
      <c r="EI836" s="97"/>
      <c r="EJ836" s="97"/>
      <c r="EK836" s="97"/>
      <c r="EL836" s="97"/>
      <c r="EM836" s="97"/>
      <c r="EN836" s="97"/>
      <c r="EO836" s="97"/>
      <c r="EP836" s="97"/>
      <c r="EQ836" s="97"/>
      <c r="ER836" s="97"/>
      <c r="ES836" s="97"/>
      <c r="ET836" s="97"/>
    </row>
    <row r="837" spans="1:150" ht="15.75" customHeight="1">
      <c r="A837" s="97"/>
      <c r="B837" s="97"/>
      <c r="C837" s="97"/>
      <c r="D837" s="97"/>
      <c r="E837" s="97"/>
      <c r="F837" s="97"/>
      <c r="G837" s="97"/>
      <c r="H837" s="129"/>
      <c r="I837" s="97"/>
      <c r="J837" s="97"/>
      <c r="K837" s="97"/>
      <c r="L837" s="97"/>
      <c r="M837" s="97"/>
      <c r="N837" s="97"/>
      <c r="O837" s="97"/>
      <c r="P837" s="97"/>
      <c r="Q837" s="97"/>
      <c r="R837" s="97"/>
      <c r="S837" s="97"/>
      <c r="T837" s="97"/>
      <c r="U837" s="97"/>
      <c r="V837" s="97"/>
      <c r="W837" s="97"/>
      <c r="X837" s="129"/>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c r="DF837" s="97"/>
      <c r="DG837" s="97"/>
      <c r="DH837" s="97"/>
      <c r="DI837" s="97"/>
      <c r="DJ837" s="97"/>
      <c r="DK837" s="97"/>
      <c r="DL837" s="97"/>
      <c r="DM837" s="97"/>
      <c r="DN837" s="97"/>
      <c r="DO837" s="97"/>
      <c r="DP837" s="97"/>
      <c r="DQ837" s="97"/>
      <c r="DR837" s="97"/>
      <c r="DS837" s="97"/>
      <c r="DT837" s="97"/>
      <c r="DU837" s="97"/>
      <c r="DV837" s="97"/>
      <c r="DW837" s="97"/>
      <c r="DX837" s="97"/>
      <c r="DY837" s="97"/>
      <c r="DZ837" s="97"/>
      <c r="EA837" s="97"/>
      <c r="EB837" s="97"/>
      <c r="EC837" s="97"/>
      <c r="ED837" s="97"/>
      <c r="EE837" s="97"/>
      <c r="EF837" s="97"/>
      <c r="EG837" s="97"/>
      <c r="EH837" s="97"/>
      <c r="EI837" s="97"/>
      <c r="EJ837" s="97"/>
      <c r="EK837" s="97"/>
      <c r="EL837" s="97"/>
      <c r="EM837" s="97"/>
      <c r="EN837" s="97"/>
      <c r="EO837" s="97"/>
      <c r="EP837" s="97"/>
      <c r="EQ837" s="97"/>
      <c r="ER837" s="97"/>
      <c r="ES837" s="97"/>
      <c r="ET837" s="97"/>
    </row>
    <row r="838" spans="1:150" ht="15.75" customHeight="1">
      <c r="A838" s="97"/>
      <c r="B838" s="97"/>
      <c r="C838" s="97"/>
      <c r="D838" s="97"/>
      <c r="E838" s="97"/>
      <c r="F838" s="97"/>
      <c r="G838" s="97"/>
      <c r="H838" s="129"/>
      <c r="I838" s="97"/>
      <c r="J838" s="97"/>
      <c r="K838" s="97"/>
      <c r="L838" s="97"/>
      <c r="M838" s="97"/>
      <c r="N838" s="97"/>
      <c r="O838" s="97"/>
      <c r="P838" s="97"/>
      <c r="Q838" s="97"/>
      <c r="R838" s="97"/>
      <c r="S838" s="97"/>
      <c r="T838" s="97"/>
      <c r="U838" s="97"/>
      <c r="V838" s="97"/>
      <c r="W838" s="97"/>
      <c r="X838" s="129"/>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c r="DF838" s="97"/>
      <c r="DG838" s="97"/>
      <c r="DH838" s="97"/>
      <c r="DI838" s="97"/>
      <c r="DJ838" s="97"/>
      <c r="DK838" s="97"/>
      <c r="DL838" s="97"/>
      <c r="DM838" s="97"/>
      <c r="DN838" s="97"/>
      <c r="DO838" s="97"/>
      <c r="DP838" s="97"/>
      <c r="DQ838" s="97"/>
      <c r="DR838" s="97"/>
      <c r="DS838" s="97"/>
      <c r="DT838" s="97"/>
      <c r="DU838" s="97"/>
      <c r="DV838" s="97"/>
      <c r="DW838" s="97"/>
      <c r="DX838" s="97"/>
      <c r="DY838" s="97"/>
      <c r="DZ838" s="97"/>
      <c r="EA838" s="97"/>
      <c r="EB838" s="97"/>
      <c r="EC838" s="97"/>
      <c r="ED838" s="97"/>
      <c r="EE838" s="97"/>
      <c r="EF838" s="97"/>
      <c r="EG838" s="97"/>
      <c r="EH838" s="97"/>
      <c r="EI838" s="97"/>
      <c r="EJ838" s="97"/>
      <c r="EK838" s="97"/>
      <c r="EL838" s="97"/>
      <c r="EM838" s="97"/>
      <c r="EN838" s="97"/>
      <c r="EO838" s="97"/>
      <c r="EP838" s="97"/>
      <c r="EQ838" s="97"/>
      <c r="ER838" s="97"/>
      <c r="ES838" s="97"/>
      <c r="ET838" s="97"/>
    </row>
    <row r="839" spans="1:150" ht="15.75" customHeight="1">
      <c r="A839" s="97"/>
      <c r="B839" s="97"/>
      <c r="C839" s="97"/>
      <c r="D839" s="97"/>
      <c r="E839" s="97"/>
      <c r="F839" s="97"/>
      <c r="G839" s="97"/>
      <c r="H839" s="129"/>
      <c r="I839" s="97"/>
      <c r="J839" s="97"/>
      <c r="K839" s="97"/>
      <c r="L839" s="97"/>
      <c r="M839" s="97"/>
      <c r="N839" s="97"/>
      <c r="O839" s="97"/>
      <c r="P839" s="97"/>
      <c r="Q839" s="97"/>
      <c r="R839" s="97"/>
      <c r="S839" s="97"/>
      <c r="T839" s="97"/>
      <c r="U839" s="97"/>
      <c r="V839" s="97"/>
      <c r="W839" s="97"/>
      <c r="X839" s="129"/>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c r="DF839" s="97"/>
      <c r="DG839" s="97"/>
      <c r="DH839" s="97"/>
      <c r="DI839" s="97"/>
      <c r="DJ839" s="97"/>
      <c r="DK839" s="97"/>
      <c r="DL839" s="97"/>
      <c r="DM839" s="97"/>
      <c r="DN839" s="97"/>
      <c r="DO839" s="97"/>
      <c r="DP839" s="97"/>
      <c r="DQ839" s="97"/>
      <c r="DR839" s="97"/>
      <c r="DS839" s="97"/>
      <c r="DT839" s="97"/>
      <c r="DU839" s="97"/>
      <c r="DV839" s="97"/>
      <c r="DW839" s="97"/>
      <c r="DX839" s="97"/>
      <c r="DY839" s="97"/>
      <c r="DZ839" s="97"/>
      <c r="EA839" s="97"/>
      <c r="EB839" s="97"/>
      <c r="EC839" s="97"/>
      <c r="ED839" s="97"/>
      <c r="EE839" s="97"/>
      <c r="EF839" s="97"/>
      <c r="EG839" s="97"/>
      <c r="EH839" s="97"/>
      <c r="EI839" s="97"/>
      <c r="EJ839" s="97"/>
      <c r="EK839" s="97"/>
      <c r="EL839" s="97"/>
      <c r="EM839" s="97"/>
      <c r="EN839" s="97"/>
      <c r="EO839" s="97"/>
      <c r="EP839" s="97"/>
      <c r="EQ839" s="97"/>
      <c r="ER839" s="97"/>
      <c r="ES839" s="97"/>
      <c r="ET839" s="97"/>
    </row>
    <row r="840" spans="1:150" ht="15.75" customHeight="1">
      <c r="A840" s="97"/>
      <c r="B840" s="97"/>
      <c r="C840" s="97"/>
      <c r="D840" s="97"/>
      <c r="E840" s="97"/>
      <c r="F840" s="97"/>
      <c r="G840" s="97"/>
      <c r="H840" s="129"/>
      <c r="I840" s="97"/>
      <c r="J840" s="97"/>
      <c r="K840" s="97"/>
      <c r="L840" s="97"/>
      <c r="M840" s="97"/>
      <c r="N840" s="97"/>
      <c r="O840" s="97"/>
      <c r="P840" s="97"/>
      <c r="Q840" s="97"/>
      <c r="R840" s="97"/>
      <c r="S840" s="97"/>
      <c r="T840" s="97"/>
      <c r="U840" s="97"/>
      <c r="V840" s="97"/>
      <c r="W840" s="97"/>
      <c r="X840" s="129"/>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c r="DF840" s="97"/>
      <c r="DG840" s="97"/>
      <c r="DH840" s="97"/>
      <c r="DI840" s="97"/>
      <c r="DJ840" s="97"/>
      <c r="DK840" s="97"/>
      <c r="DL840" s="97"/>
      <c r="DM840" s="97"/>
      <c r="DN840" s="97"/>
      <c r="DO840" s="97"/>
      <c r="DP840" s="97"/>
      <c r="DQ840" s="97"/>
      <c r="DR840" s="97"/>
      <c r="DS840" s="97"/>
      <c r="DT840" s="97"/>
      <c r="DU840" s="97"/>
      <c r="DV840" s="97"/>
      <c r="DW840" s="97"/>
      <c r="DX840" s="97"/>
      <c r="DY840" s="97"/>
      <c r="DZ840" s="97"/>
      <c r="EA840" s="97"/>
      <c r="EB840" s="97"/>
      <c r="EC840" s="97"/>
      <c r="ED840" s="97"/>
      <c r="EE840" s="97"/>
      <c r="EF840" s="97"/>
      <c r="EG840" s="97"/>
      <c r="EH840" s="97"/>
      <c r="EI840" s="97"/>
      <c r="EJ840" s="97"/>
      <c r="EK840" s="97"/>
      <c r="EL840" s="97"/>
      <c r="EM840" s="97"/>
      <c r="EN840" s="97"/>
      <c r="EO840" s="97"/>
      <c r="EP840" s="97"/>
      <c r="EQ840" s="97"/>
      <c r="ER840" s="97"/>
      <c r="ES840" s="97"/>
      <c r="ET840" s="97"/>
    </row>
    <row r="841" spans="1:150" ht="15.75" customHeight="1">
      <c r="A841" s="97"/>
      <c r="B841" s="97"/>
      <c r="C841" s="97"/>
      <c r="D841" s="97"/>
      <c r="E841" s="97"/>
      <c r="F841" s="97"/>
      <c r="G841" s="97"/>
      <c r="H841" s="129"/>
      <c r="I841" s="97"/>
      <c r="J841" s="97"/>
      <c r="K841" s="97"/>
      <c r="L841" s="97"/>
      <c r="M841" s="97"/>
      <c r="N841" s="97"/>
      <c r="O841" s="97"/>
      <c r="P841" s="97"/>
      <c r="Q841" s="97"/>
      <c r="R841" s="97"/>
      <c r="S841" s="97"/>
      <c r="T841" s="97"/>
      <c r="U841" s="97"/>
      <c r="V841" s="97"/>
      <c r="W841" s="97"/>
      <c r="X841" s="129"/>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c r="DF841" s="97"/>
      <c r="DG841" s="97"/>
      <c r="DH841" s="97"/>
      <c r="DI841" s="97"/>
      <c r="DJ841" s="97"/>
      <c r="DK841" s="97"/>
      <c r="DL841" s="97"/>
      <c r="DM841" s="97"/>
      <c r="DN841" s="97"/>
      <c r="DO841" s="97"/>
      <c r="DP841" s="97"/>
      <c r="DQ841" s="97"/>
      <c r="DR841" s="97"/>
      <c r="DS841" s="97"/>
      <c r="DT841" s="97"/>
      <c r="DU841" s="97"/>
      <c r="DV841" s="97"/>
      <c r="DW841" s="97"/>
      <c r="DX841" s="97"/>
      <c r="DY841" s="97"/>
      <c r="DZ841" s="97"/>
      <c r="EA841" s="97"/>
      <c r="EB841" s="97"/>
      <c r="EC841" s="97"/>
      <c r="ED841" s="97"/>
      <c r="EE841" s="97"/>
      <c r="EF841" s="97"/>
      <c r="EG841" s="97"/>
      <c r="EH841" s="97"/>
      <c r="EI841" s="97"/>
      <c r="EJ841" s="97"/>
      <c r="EK841" s="97"/>
      <c r="EL841" s="97"/>
      <c r="EM841" s="97"/>
      <c r="EN841" s="97"/>
      <c r="EO841" s="97"/>
      <c r="EP841" s="97"/>
      <c r="EQ841" s="97"/>
      <c r="ER841" s="97"/>
      <c r="ES841" s="97"/>
      <c r="ET841" s="97"/>
    </row>
    <row r="842" spans="1:150" ht="15.75" customHeight="1">
      <c r="A842" s="97"/>
      <c r="B842" s="97"/>
      <c r="C842" s="97"/>
      <c r="D842" s="97"/>
      <c r="E842" s="97"/>
      <c r="F842" s="97"/>
      <c r="G842" s="97"/>
      <c r="H842" s="129"/>
      <c r="I842" s="97"/>
      <c r="J842" s="97"/>
      <c r="K842" s="97"/>
      <c r="L842" s="97"/>
      <c r="M842" s="97"/>
      <c r="N842" s="97"/>
      <c r="O842" s="97"/>
      <c r="P842" s="97"/>
      <c r="Q842" s="97"/>
      <c r="R842" s="97"/>
      <c r="S842" s="97"/>
      <c r="T842" s="97"/>
      <c r="U842" s="97"/>
      <c r="V842" s="97"/>
      <c r="W842" s="97"/>
      <c r="X842" s="129"/>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c r="DF842" s="97"/>
      <c r="DG842" s="97"/>
      <c r="DH842" s="97"/>
      <c r="DI842" s="97"/>
      <c r="DJ842" s="97"/>
      <c r="DK842" s="97"/>
      <c r="DL842" s="97"/>
      <c r="DM842" s="97"/>
      <c r="DN842" s="97"/>
      <c r="DO842" s="97"/>
      <c r="DP842" s="97"/>
      <c r="DQ842" s="97"/>
      <c r="DR842" s="97"/>
      <c r="DS842" s="97"/>
      <c r="DT842" s="97"/>
      <c r="DU842" s="97"/>
      <c r="DV842" s="97"/>
      <c r="DW842" s="97"/>
      <c r="DX842" s="97"/>
      <c r="DY842" s="97"/>
      <c r="DZ842" s="97"/>
      <c r="EA842" s="97"/>
      <c r="EB842" s="97"/>
      <c r="EC842" s="97"/>
      <c r="ED842" s="97"/>
      <c r="EE842" s="97"/>
      <c r="EF842" s="97"/>
      <c r="EG842" s="97"/>
      <c r="EH842" s="97"/>
      <c r="EI842" s="97"/>
      <c r="EJ842" s="97"/>
      <c r="EK842" s="97"/>
      <c r="EL842" s="97"/>
      <c r="EM842" s="97"/>
      <c r="EN842" s="97"/>
      <c r="EO842" s="97"/>
      <c r="EP842" s="97"/>
      <c r="EQ842" s="97"/>
      <c r="ER842" s="97"/>
      <c r="ES842" s="97"/>
      <c r="ET842" s="97"/>
    </row>
    <row r="843" spans="1:150" ht="15.75" customHeight="1">
      <c r="A843" s="97"/>
      <c r="B843" s="97"/>
      <c r="C843" s="97"/>
      <c r="D843" s="97"/>
      <c r="E843" s="97"/>
      <c r="F843" s="97"/>
      <c r="G843" s="97"/>
      <c r="H843" s="129"/>
      <c r="I843" s="97"/>
      <c r="J843" s="97"/>
      <c r="K843" s="97"/>
      <c r="L843" s="97"/>
      <c r="M843" s="97"/>
      <c r="N843" s="97"/>
      <c r="O843" s="97"/>
      <c r="P843" s="97"/>
      <c r="Q843" s="97"/>
      <c r="R843" s="97"/>
      <c r="S843" s="97"/>
      <c r="T843" s="97"/>
      <c r="U843" s="97"/>
      <c r="V843" s="97"/>
      <c r="W843" s="97"/>
      <c r="X843" s="129"/>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c r="DF843" s="97"/>
      <c r="DG843" s="97"/>
      <c r="DH843" s="97"/>
      <c r="DI843" s="97"/>
      <c r="DJ843" s="97"/>
      <c r="DK843" s="97"/>
      <c r="DL843" s="97"/>
      <c r="DM843" s="97"/>
      <c r="DN843" s="97"/>
      <c r="DO843" s="97"/>
      <c r="DP843" s="97"/>
      <c r="DQ843" s="97"/>
      <c r="DR843" s="97"/>
      <c r="DS843" s="97"/>
      <c r="DT843" s="97"/>
      <c r="DU843" s="97"/>
      <c r="DV843" s="97"/>
      <c r="DW843" s="97"/>
      <c r="DX843" s="97"/>
      <c r="DY843" s="97"/>
      <c r="DZ843" s="97"/>
      <c r="EA843" s="97"/>
      <c r="EB843" s="97"/>
      <c r="EC843" s="97"/>
      <c r="ED843" s="97"/>
      <c r="EE843" s="97"/>
      <c r="EF843" s="97"/>
      <c r="EG843" s="97"/>
      <c r="EH843" s="97"/>
      <c r="EI843" s="97"/>
      <c r="EJ843" s="97"/>
      <c r="EK843" s="97"/>
      <c r="EL843" s="97"/>
      <c r="EM843" s="97"/>
      <c r="EN843" s="97"/>
      <c r="EO843" s="97"/>
      <c r="EP843" s="97"/>
      <c r="EQ843" s="97"/>
      <c r="ER843" s="97"/>
      <c r="ES843" s="97"/>
      <c r="ET843" s="97"/>
    </row>
    <row r="844" spans="1:150" ht="15.75" customHeight="1">
      <c r="A844" s="97"/>
      <c r="B844" s="97"/>
      <c r="C844" s="97"/>
      <c r="D844" s="97"/>
      <c r="E844" s="97"/>
      <c r="F844" s="97"/>
      <c r="G844" s="97"/>
      <c r="H844" s="129"/>
      <c r="I844" s="97"/>
      <c r="J844" s="97"/>
      <c r="K844" s="97"/>
      <c r="L844" s="97"/>
      <c r="M844" s="97"/>
      <c r="N844" s="97"/>
      <c r="O844" s="97"/>
      <c r="P844" s="97"/>
      <c r="Q844" s="97"/>
      <c r="R844" s="97"/>
      <c r="S844" s="97"/>
      <c r="T844" s="97"/>
      <c r="U844" s="97"/>
      <c r="V844" s="97"/>
      <c r="W844" s="97"/>
      <c r="X844" s="129"/>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c r="DF844" s="97"/>
      <c r="DG844" s="97"/>
      <c r="DH844" s="97"/>
      <c r="DI844" s="97"/>
      <c r="DJ844" s="97"/>
      <c r="DK844" s="97"/>
      <c r="DL844" s="97"/>
      <c r="DM844" s="97"/>
      <c r="DN844" s="97"/>
      <c r="DO844" s="97"/>
      <c r="DP844" s="97"/>
      <c r="DQ844" s="97"/>
      <c r="DR844" s="97"/>
      <c r="DS844" s="97"/>
      <c r="DT844" s="97"/>
      <c r="DU844" s="97"/>
      <c r="DV844" s="97"/>
      <c r="DW844" s="97"/>
      <c r="DX844" s="97"/>
      <c r="DY844" s="97"/>
      <c r="DZ844" s="97"/>
      <c r="EA844" s="97"/>
      <c r="EB844" s="97"/>
      <c r="EC844" s="97"/>
      <c r="ED844" s="97"/>
      <c r="EE844" s="97"/>
      <c r="EF844" s="97"/>
      <c r="EG844" s="97"/>
      <c r="EH844" s="97"/>
      <c r="EI844" s="97"/>
      <c r="EJ844" s="97"/>
      <c r="EK844" s="97"/>
      <c r="EL844" s="97"/>
      <c r="EM844" s="97"/>
      <c r="EN844" s="97"/>
      <c r="EO844" s="97"/>
      <c r="EP844" s="97"/>
      <c r="EQ844" s="97"/>
      <c r="ER844" s="97"/>
      <c r="ES844" s="97"/>
      <c r="ET844" s="97"/>
    </row>
    <row r="845" spans="1:150" ht="15.75" customHeight="1">
      <c r="A845" s="97"/>
      <c r="B845" s="97"/>
      <c r="C845" s="97"/>
      <c r="D845" s="97"/>
      <c r="E845" s="97"/>
      <c r="F845" s="97"/>
      <c r="G845" s="97"/>
      <c r="H845" s="129"/>
      <c r="I845" s="97"/>
      <c r="J845" s="97"/>
      <c r="K845" s="97"/>
      <c r="L845" s="97"/>
      <c r="M845" s="97"/>
      <c r="N845" s="97"/>
      <c r="O845" s="97"/>
      <c r="P845" s="97"/>
      <c r="Q845" s="97"/>
      <c r="R845" s="97"/>
      <c r="S845" s="97"/>
      <c r="T845" s="97"/>
      <c r="U845" s="97"/>
      <c r="V845" s="97"/>
      <c r="W845" s="97"/>
      <c r="X845" s="129"/>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c r="DF845" s="97"/>
      <c r="DG845" s="97"/>
      <c r="DH845" s="97"/>
      <c r="DI845" s="97"/>
      <c r="DJ845" s="97"/>
      <c r="DK845" s="97"/>
      <c r="DL845" s="97"/>
      <c r="DM845" s="97"/>
      <c r="DN845" s="97"/>
      <c r="DO845" s="97"/>
      <c r="DP845" s="97"/>
      <c r="DQ845" s="97"/>
      <c r="DR845" s="97"/>
      <c r="DS845" s="97"/>
      <c r="DT845" s="97"/>
      <c r="DU845" s="97"/>
      <c r="DV845" s="97"/>
      <c r="DW845" s="97"/>
      <c r="DX845" s="97"/>
      <c r="DY845" s="97"/>
      <c r="DZ845" s="97"/>
      <c r="EA845" s="97"/>
      <c r="EB845" s="97"/>
      <c r="EC845" s="97"/>
      <c r="ED845" s="97"/>
      <c r="EE845" s="97"/>
      <c r="EF845" s="97"/>
      <c r="EG845" s="97"/>
      <c r="EH845" s="97"/>
      <c r="EI845" s="97"/>
      <c r="EJ845" s="97"/>
      <c r="EK845" s="97"/>
      <c r="EL845" s="97"/>
      <c r="EM845" s="97"/>
      <c r="EN845" s="97"/>
      <c r="EO845" s="97"/>
      <c r="EP845" s="97"/>
      <c r="EQ845" s="97"/>
      <c r="ER845" s="97"/>
      <c r="ES845" s="97"/>
      <c r="ET845" s="97"/>
    </row>
    <row r="846" spans="1:150" ht="15.75" customHeight="1">
      <c r="A846" s="97"/>
      <c r="B846" s="97"/>
      <c r="C846" s="97"/>
      <c r="D846" s="97"/>
      <c r="E846" s="97"/>
      <c r="F846" s="97"/>
      <c r="G846" s="97"/>
      <c r="H846" s="129"/>
      <c r="I846" s="97"/>
      <c r="J846" s="97"/>
      <c r="K846" s="97"/>
      <c r="L846" s="97"/>
      <c r="M846" s="97"/>
      <c r="N846" s="97"/>
      <c r="O846" s="97"/>
      <c r="P846" s="97"/>
      <c r="Q846" s="97"/>
      <c r="R846" s="97"/>
      <c r="S846" s="97"/>
      <c r="T846" s="97"/>
      <c r="U846" s="97"/>
      <c r="V846" s="97"/>
      <c r="W846" s="97"/>
      <c r="X846" s="129"/>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c r="DF846" s="97"/>
      <c r="DG846" s="97"/>
      <c r="DH846" s="97"/>
      <c r="DI846" s="97"/>
      <c r="DJ846" s="97"/>
      <c r="DK846" s="97"/>
      <c r="DL846" s="97"/>
      <c r="DM846" s="97"/>
      <c r="DN846" s="97"/>
      <c r="DO846" s="97"/>
      <c r="DP846" s="97"/>
      <c r="DQ846" s="97"/>
      <c r="DR846" s="97"/>
      <c r="DS846" s="97"/>
      <c r="DT846" s="97"/>
      <c r="DU846" s="97"/>
      <c r="DV846" s="97"/>
      <c r="DW846" s="97"/>
      <c r="DX846" s="97"/>
      <c r="DY846" s="97"/>
      <c r="DZ846" s="97"/>
      <c r="EA846" s="97"/>
      <c r="EB846" s="97"/>
      <c r="EC846" s="97"/>
      <c r="ED846" s="97"/>
      <c r="EE846" s="97"/>
      <c r="EF846" s="97"/>
      <c r="EG846" s="97"/>
      <c r="EH846" s="97"/>
      <c r="EI846" s="97"/>
      <c r="EJ846" s="97"/>
      <c r="EK846" s="97"/>
      <c r="EL846" s="97"/>
      <c r="EM846" s="97"/>
      <c r="EN846" s="97"/>
      <c r="EO846" s="97"/>
      <c r="EP846" s="97"/>
      <c r="EQ846" s="97"/>
      <c r="ER846" s="97"/>
      <c r="ES846" s="97"/>
      <c r="ET846" s="97"/>
    </row>
    <row r="847" spans="1:150" ht="15.75" customHeight="1">
      <c r="A847" s="97"/>
      <c r="B847" s="97"/>
      <c r="C847" s="97"/>
      <c r="D847" s="97"/>
      <c r="E847" s="97"/>
      <c r="F847" s="97"/>
      <c r="G847" s="97"/>
      <c r="H847" s="129"/>
      <c r="I847" s="97"/>
      <c r="J847" s="97"/>
      <c r="K847" s="97"/>
      <c r="L847" s="97"/>
      <c r="M847" s="97"/>
      <c r="N847" s="97"/>
      <c r="O847" s="97"/>
      <c r="P847" s="97"/>
      <c r="Q847" s="97"/>
      <c r="R847" s="97"/>
      <c r="S847" s="97"/>
      <c r="T847" s="97"/>
      <c r="U847" s="97"/>
      <c r="V847" s="97"/>
      <c r="W847" s="97"/>
      <c r="X847" s="129"/>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c r="DF847" s="97"/>
      <c r="DG847" s="97"/>
      <c r="DH847" s="97"/>
      <c r="DI847" s="97"/>
      <c r="DJ847" s="97"/>
      <c r="DK847" s="97"/>
      <c r="DL847" s="97"/>
      <c r="DM847" s="97"/>
      <c r="DN847" s="97"/>
      <c r="DO847" s="97"/>
      <c r="DP847" s="97"/>
      <c r="DQ847" s="97"/>
      <c r="DR847" s="97"/>
      <c r="DS847" s="97"/>
      <c r="DT847" s="97"/>
      <c r="DU847" s="97"/>
      <c r="DV847" s="97"/>
      <c r="DW847" s="97"/>
      <c r="DX847" s="97"/>
      <c r="DY847" s="97"/>
      <c r="DZ847" s="97"/>
      <c r="EA847" s="97"/>
      <c r="EB847" s="97"/>
      <c r="EC847" s="97"/>
      <c r="ED847" s="97"/>
      <c r="EE847" s="97"/>
      <c r="EF847" s="97"/>
      <c r="EG847" s="97"/>
      <c r="EH847" s="97"/>
      <c r="EI847" s="97"/>
      <c r="EJ847" s="97"/>
      <c r="EK847" s="97"/>
      <c r="EL847" s="97"/>
      <c r="EM847" s="97"/>
      <c r="EN847" s="97"/>
      <c r="EO847" s="97"/>
      <c r="EP847" s="97"/>
      <c r="EQ847" s="97"/>
      <c r="ER847" s="97"/>
      <c r="ES847" s="97"/>
      <c r="ET847" s="97"/>
    </row>
    <row r="848" spans="1:150" ht="15.75" customHeight="1">
      <c r="A848" s="97"/>
      <c r="B848" s="97"/>
      <c r="C848" s="97"/>
      <c r="D848" s="97"/>
      <c r="E848" s="97"/>
      <c r="F848" s="97"/>
      <c r="G848" s="97"/>
      <c r="H848" s="129"/>
      <c r="I848" s="97"/>
      <c r="J848" s="97"/>
      <c r="K848" s="97"/>
      <c r="L848" s="97"/>
      <c r="M848" s="97"/>
      <c r="N848" s="97"/>
      <c r="O848" s="97"/>
      <c r="P848" s="97"/>
      <c r="Q848" s="97"/>
      <c r="R848" s="97"/>
      <c r="S848" s="97"/>
      <c r="T848" s="97"/>
      <c r="U848" s="97"/>
      <c r="V848" s="97"/>
      <c r="W848" s="97"/>
      <c r="X848" s="129"/>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c r="DF848" s="97"/>
      <c r="DG848" s="97"/>
      <c r="DH848" s="97"/>
      <c r="DI848" s="97"/>
      <c r="DJ848" s="97"/>
      <c r="DK848" s="97"/>
      <c r="DL848" s="97"/>
      <c r="DM848" s="97"/>
      <c r="DN848" s="97"/>
      <c r="DO848" s="97"/>
      <c r="DP848" s="97"/>
      <c r="DQ848" s="97"/>
      <c r="DR848" s="97"/>
      <c r="DS848" s="97"/>
      <c r="DT848" s="97"/>
      <c r="DU848" s="97"/>
      <c r="DV848" s="97"/>
      <c r="DW848" s="97"/>
      <c r="DX848" s="97"/>
      <c r="DY848" s="97"/>
      <c r="DZ848" s="97"/>
      <c r="EA848" s="97"/>
      <c r="EB848" s="97"/>
      <c r="EC848" s="97"/>
      <c r="ED848" s="97"/>
      <c r="EE848" s="97"/>
      <c r="EF848" s="97"/>
      <c r="EG848" s="97"/>
      <c r="EH848" s="97"/>
      <c r="EI848" s="97"/>
      <c r="EJ848" s="97"/>
      <c r="EK848" s="97"/>
      <c r="EL848" s="97"/>
      <c r="EM848" s="97"/>
      <c r="EN848" s="97"/>
      <c r="EO848" s="97"/>
      <c r="EP848" s="97"/>
      <c r="EQ848" s="97"/>
      <c r="ER848" s="97"/>
      <c r="ES848" s="97"/>
      <c r="ET848" s="97"/>
    </row>
    <row r="849" spans="1:150" ht="15.75" customHeight="1">
      <c r="A849" s="97"/>
      <c r="B849" s="97"/>
      <c r="C849" s="97"/>
      <c r="D849" s="97"/>
      <c r="E849" s="97"/>
      <c r="F849" s="97"/>
      <c r="G849" s="97"/>
      <c r="H849" s="129"/>
      <c r="I849" s="97"/>
      <c r="J849" s="97"/>
      <c r="K849" s="97"/>
      <c r="L849" s="97"/>
      <c r="M849" s="97"/>
      <c r="N849" s="97"/>
      <c r="O849" s="97"/>
      <c r="P849" s="97"/>
      <c r="Q849" s="97"/>
      <c r="R849" s="97"/>
      <c r="S849" s="97"/>
      <c r="T849" s="97"/>
      <c r="U849" s="97"/>
      <c r="V849" s="97"/>
      <c r="W849" s="97"/>
      <c r="X849" s="129"/>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c r="DF849" s="97"/>
      <c r="DG849" s="97"/>
      <c r="DH849" s="97"/>
      <c r="DI849" s="97"/>
      <c r="DJ849" s="97"/>
      <c r="DK849" s="97"/>
      <c r="DL849" s="97"/>
      <c r="DM849" s="97"/>
      <c r="DN849" s="97"/>
      <c r="DO849" s="97"/>
      <c r="DP849" s="97"/>
      <c r="DQ849" s="97"/>
      <c r="DR849" s="97"/>
      <c r="DS849" s="97"/>
      <c r="DT849" s="97"/>
      <c r="DU849" s="97"/>
      <c r="DV849" s="97"/>
      <c r="DW849" s="97"/>
      <c r="DX849" s="97"/>
      <c r="DY849" s="97"/>
      <c r="DZ849" s="97"/>
      <c r="EA849" s="97"/>
      <c r="EB849" s="97"/>
      <c r="EC849" s="97"/>
      <c r="ED849" s="97"/>
      <c r="EE849" s="97"/>
      <c r="EF849" s="97"/>
      <c r="EG849" s="97"/>
      <c r="EH849" s="97"/>
      <c r="EI849" s="97"/>
      <c r="EJ849" s="97"/>
      <c r="EK849" s="97"/>
      <c r="EL849" s="97"/>
      <c r="EM849" s="97"/>
      <c r="EN849" s="97"/>
      <c r="EO849" s="97"/>
      <c r="EP849" s="97"/>
      <c r="EQ849" s="97"/>
      <c r="ER849" s="97"/>
      <c r="ES849" s="97"/>
      <c r="ET849" s="97"/>
    </row>
    <row r="850" spans="1:150" ht="15.75" customHeight="1">
      <c r="A850" s="97"/>
      <c r="B850" s="97"/>
      <c r="C850" s="97"/>
      <c r="D850" s="97"/>
      <c r="E850" s="97"/>
      <c r="F850" s="97"/>
      <c r="G850" s="97"/>
      <c r="H850" s="129"/>
      <c r="I850" s="97"/>
      <c r="J850" s="97"/>
      <c r="K850" s="97"/>
      <c r="L850" s="97"/>
      <c r="M850" s="97"/>
      <c r="N850" s="97"/>
      <c r="O850" s="97"/>
      <c r="P850" s="97"/>
      <c r="Q850" s="97"/>
      <c r="R850" s="97"/>
      <c r="S850" s="97"/>
      <c r="T850" s="97"/>
      <c r="U850" s="97"/>
      <c r="V850" s="97"/>
      <c r="W850" s="97"/>
      <c r="X850" s="129"/>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c r="DF850" s="97"/>
      <c r="DG850" s="97"/>
      <c r="DH850" s="97"/>
      <c r="DI850" s="97"/>
      <c r="DJ850" s="97"/>
      <c r="DK850" s="97"/>
      <c r="DL850" s="97"/>
      <c r="DM850" s="97"/>
      <c r="DN850" s="97"/>
      <c r="DO850" s="97"/>
      <c r="DP850" s="97"/>
      <c r="DQ850" s="97"/>
      <c r="DR850" s="97"/>
      <c r="DS850" s="97"/>
      <c r="DT850" s="97"/>
      <c r="DU850" s="97"/>
      <c r="DV850" s="97"/>
      <c r="DW850" s="97"/>
      <c r="DX850" s="97"/>
      <c r="DY850" s="97"/>
      <c r="DZ850" s="97"/>
      <c r="EA850" s="97"/>
      <c r="EB850" s="97"/>
      <c r="EC850" s="97"/>
      <c r="ED850" s="97"/>
      <c r="EE850" s="97"/>
      <c r="EF850" s="97"/>
      <c r="EG850" s="97"/>
      <c r="EH850" s="97"/>
      <c r="EI850" s="97"/>
      <c r="EJ850" s="97"/>
      <c r="EK850" s="97"/>
      <c r="EL850" s="97"/>
      <c r="EM850" s="97"/>
      <c r="EN850" s="97"/>
      <c r="EO850" s="97"/>
      <c r="EP850" s="97"/>
      <c r="EQ850" s="97"/>
      <c r="ER850" s="97"/>
      <c r="ES850" s="97"/>
      <c r="ET850" s="97"/>
    </row>
    <row r="851" spans="1:150" ht="15.75" customHeight="1">
      <c r="A851" s="97"/>
      <c r="B851" s="97"/>
      <c r="C851" s="97"/>
      <c r="D851" s="97"/>
      <c r="E851" s="97"/>
      <c r="F851" s="97"/>
      <c r="G851" s="97"/>
      <c r="H851" s="129"/>
      <c r="I851" s="97"/>
      <c r="J851" s="97"/>
      <c r="K851" s="97"/>
      <c r="L851" s="97"/>
      <c r="M851" s="97"/>
      <c r="N851" s="97"/>
      <c r="O851" s="97"/>
      <c r="P851" s="97"/>
      <c r="Q851" s="97"/>
      <c r="R851" s="97"/>
      <c r="S851" s="97"/>
      <c r="T851" s="97"/>
      <c r="U851" s="97"/>
      <c r="V851" s="97"/>
      <c r="W851" s="97"/>
      <c r="X851" s="129"/>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c r="DF851" s="97"/>
      <c r="DG851" s="97"/>
      <c r="DH851" s="97"/>
      <c r="DI851" s="97"/>
      <c r="DJ851" s="97"/>
      <c r="DK851" s="97"/>
      <c r="DL851" s="97"/>
      <c r="DM851" s="97"/>
      <c r="DN851" s="97"/>
      <c r="DO851" s="97"/>
      <c r="DP851" s="97"/>
      <c r="DQ851" s="97"/>
      <c r="DR851" s="97"/>
      <c r="DS851" s="97"/>
      <c r="DT851" s="97"/>
      <c r="DU851" s="97"/>
      <c r="DV851" s="97"/>
      <c r="DW851" s="97"/>
      <c r="DX851" s="97"/>
      <c r="DY851" s="97"/>
      <c r="DZ851" s="97"/>
      <c r="EA851" s="97"/>
      <c r="EB851" s="97"/>
      <c r="EC851" s="97"/>
      <c r="ED851" s="97"/>
      <c r="EE851" s="97"/>
      <c r="EF851" s="97"/>
      <c r="EG851" s="97"/>
      <c r="EH851" s="97"/>
      <c r="EI851" s="97"/>
      <c r="EJ851" s="97"/>
      <c r="EK851" s="97"/>
      <c r="EL851" s="97"/>
      <c r="EM851" s="97"/>
      <c r="EN851" s="97"/>
      <c r="EO851" s="97"/>
      <c r="EP851" s="97"/>
      <c r="EQ851" s="97"/>
      <c r="ER851" s="97"/>
      <c r="ES851" s="97"/>
      <c r="ET851" s="97"/>
    </row>
    <row r="852" spans="1:150" ht="15.75" customHeight="1">
      <c r="A852" s="97"/>
      <c r="B852" s="97"/>
      <c r="C852" s="97"/>
      <c r="D852" s="97"/>
      <c r="E852" s="97"/>
      <c r="F852" s="97"/>
      <c r="G852" s="97"/>
      <c r="H852" s="129"/>
      <c r="I852" s="97"/>
      <c r="J852" s="97"/>
      <c r="K852" s="97"/>
      <c r="L852" s="97"/>
      <c r="M852" s="97"/>
      <c r="N852" s="97"/>
      <c r="O852" s="97"/>
      <c r="P852" s="97"/>
      <c r="Q852" s="97"/>
      <c r="R852" s="97"/>
      <c r="S852" s="97"/>
      <c r="T852" s="97"/>
      <c r="U852" s="97"/>
      <c r="V852" s="97"/>
      <c r="W852" s="97"/>
      <c r="X852" s="129"/>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c r="DF852" s="97"/>
      <c r="DG852" s="97"/>
      <c r="DH852" s="97"/>
      <c r="DI852" s="97"/>
      <c r="DJ852" s="97"/>
      <c r="DK852" s="97"/>
      <c r="DL852" s="97"/>
      <c r="DM852" s="97"/>
      <c r="DN852" s="97"/>
      <c r="DO852" s="97"/>
      <c r="DP852" s="97"/>
      <c r="DQ852" s="97"/>
      <c r="DR852" s="97"/>
      <c r="DS852" s="97"/>
      <c r="DT852" s="97"/>
      <c r="DU852" s="97"/>
      <c r="DV852" s="97"/>
      <c r="DW852" s="97"/>
      <c r="DX852" s="97"/>
      <c r="DY852" s="97"/>
      <c r="DZ852" s="97"/>
      <c r="EA852" s="97"/>
      <c r="EB852" s="97"/>
      <c r="EC852" s="97"/>
      <c r="ED852" s="97"/>
      <c r="EE852" s="97"/>
      <c r="EF852" s="97"/>
      <c r="EG852" s="97"/>
      <c r="EH852" s="97"/>
      <c r="EI852" s="97"/>
      <c r="EJ852" s="97"/>
      <c r="EK852" s="97"/>
      <c r="EL852" s="97"/>
      <c r="EM852" s="97"/>
      <c r="EN852" s="97"/>
      <c r="EO852" s="97"/>
      <c r="EP852" s="97"/>
      <c r="EQ852" s="97"/>
      <c r="ER852" s="97"/>
      <c r="ES852" s="97"/>
      <c r="ET852" s="97"/>
    </row>
    <row r="853" spans="1:150" ht="15.75" customHeight="1">
      <c r="A853" s="97"/>
      <c r="B853" s="97"/>
      <c r="C853" s="97"/>
      <c r="D853" s="97"/>
      <c r="E853" s="97"/>
      <c r="F853" s="97"/>
      <c r="G853" s="97"/>
      <c r="H853" s="129"/>
      <c r="I853" s="97"/>
      <c r="J853" s="97"/>
      <c r="K853" s="97"/>
      <c r="L853" s="97"/>
      <c r="M853" s="97"/>
      <c r="N853" s="97"/>
      <c r="O853" s="97"/>
      <c r="P853" s="97"/>
      <c r="Q853" s="97"/>
      <c r="R853" s="97"/>
      <c r="S853" s="97"/>
      <c r="T853" s="97"/>
      <c r="U853" s="97"/>
      <c r="V853" s="97"/>
      <c r="W853" s="97"/>
      <c r="X853" s="129"/>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c r="DF853" s="97"/>
      <c r="DG853" s="97"/>
      <c r="DH853" s="97"/>
      <c r="DI853" s="97"/>
      <c r="DJ853" s="97"/>
      <c r="DK853" s="97"/>
      <c r="DL853" s="97"/>
      <c r="DM853" s="97"/>
      <c r="DN853" s="97"/>
      <c r="DO853" s="97"/>
      <c r="DP853" s="97"/>
      <c r="DQ853" s="97"/>
      <c r="DR853" s="97"/>
      <c r="DS853" s="97"/>
      <c r="DT853" s="97"/>
      <c r="DU853" s="97"/>
      <c r="DV853" s="97"/>
      <c r="DW853" s="97"/>
      <c r="DX853" s="97"/>
      <c r="DY853" s="97"/>
      <c r="DZ853" s="97"/>
      <c r="EA853" s="97"/>
      <c r="EB853" s="97"/>
      <c r="EC853" s="97"/>
      <c r="ED853" s="97"/>
      <c r="EE853" s="97"/>
      <c r="EF853" s="97"/>
      <c r="EG853" s="97"/>
      <c r="EH853" s="97"/>
      <c r="EI853" s="97"/>
      <c r="EJ853" s="97"/>
      <c r="EK853" s="97"/>
      <c r="EL853" s="97"/>
      <c r="EM853" s="97"/>
      <c r="EN853" s="97"/>
      <c r="EO853" s="97"/>
      <c r="EP853" s="97"/>
      <c r="EQ853" s="97"/>
      <c r="ER853" s="97"/>
      <c r="ES853" s="97"/>
      <c r="ET853" s="97"/>
    </row>
    <row r="854" spans="1:150" ht="15.75" customHeight="1">
      <c r="A854" s="97"/>
      <c r="B854" s="97"/>
      <c r="C854" s="97"/>
      <c r="D854" s="97"/>
      <c r="E854" s="97"/>
      <c r="F854" s="97"/>
      <c r="G854" s="97"/>
      <c r="H854" s="129"/>
      <c r="I854" s="97"/>
      <c r="J854" s="97"/>
      <c r="K854" s="97"/>
      <c r="L854" s="97"/>
      <c r="M854" s="97"/>
      <c r="N854" s="97"/>
      <c r="O854" s="97"/>
      <c r="P854" s="97"/>
      <c r="Q854" s="97"/>
      <c r="R854" s="97"/>
      <c r="S854" s="97"/>
      <c r="T854" s="97"/>
      <c r="U854" s="97"/>
      <c r="V854" s="97"/>
      <c r="W854" s="97"/>
      <c r="X854" s="129"/>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c r="DF854" s="97"/>
      <c r="DG854" s="97"/>
      <c r="DH854" s="97"/>
      <c r="DI854" s="97"/>
      <c r="DJ854" s="97"/>
      <c r="DK854" s="97"/>
      <c r="DL854" s="97"/>
      <c r="DM854" s="97"/>
      <c r="DN854" s="97"/>
      <c r="DO854" s="97"/>
      <c r="DP854" s="97"/>
      <c r="DQ854" s="97"/>
      <c r="DR854" s="97"/>
      <c r="DS854" s="97"/>
      <c r="DT854" s="97"/>
      <c r="DU854" s="97"/>
      <c r="DV854" s="97"/>
      <c r="DW854" s="97"/>
      <c r="DX854" s="97"/>
      <c r="DY854" s="97"/>
      <c r="DZ854" s="97"/>
      <c r="EA854" s="97"/>
      <c r="EB854" s="97"/>
      <c r="EC854" s="97"/>
      <c r="ED854" s="97"/>
      <c r="EE854" s="97"/>
      <c r="EF854" s="97"/>
      <c r="EG854" s="97"/>
      <c r="EH854" s="97"/>
      <c r="EI854" s="97"/>
      <c r="EJ854" s="97"/>
      <c r="EK854" s="97"/>
      <c r="EL854" s="97"/>
      <c r="EM854" s="97"/>
      <c r="EN854" s="97"/>
      <c r="EO854" s="97"/>
      <c r="EP854" s="97"/>
      <c r="EQ854" s="97"/>
      <c r="ER854" s="97"/>
      <c r="ES854" s="97"/>
      <c r="ET854" s="97"/>
    </row>
    <row r="855" spans="1:150" ht="15.75" customHeight="1">
      <c r="A855" s="97"/>
      <c r="B855" s="97"/>
      <c r="C855" s="97"/>
      <c r="D855" s="97"/>
      <c r="E855" s="97"/>
      <c r="F855" s="97"/>
      <c r="G855" s="97"/>
      <c r="H855" s="129"/>
      <c r="I855" s="97"/>
      <c r="J855" s="97"/>
      <c r="K855" s="97"/>
      <c r="L855" s="97"/>
      <c r="M855" s="97"/>
      <c r="N855" s="97"/>
      <c r="O855" s="97"/>
      <c r="P855" s="97"/>
      <c r="Q855" s="97"/>
      <c r="R855" s="97"/>
      <c r="S855" s="97"/>
      <c r="T855" s="97"/>
      <c r="U855" s="97"/>
      <c r="V855" s="97"/>
      <c r="W855" s="97"/>
      <c r="X855" s="129"/>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c r="DF855" s="97"/>
      <c r="DG855" s="97"/>
      <c r="DH855" s="97"/>
      <c r="DI855" s="97"/>
      <c r="DJ855" s="97"/>
      <c r="DK855" s="97"/>
      <c r="DL855" s="97"/>
      <c r="DM855" s="97"/>
      <c r="DN855" s="97"/>
      <c r="DO855" s="97"/>
      <c r="DP855" s="97"/>
      <c r="DQ855" s="97"/>
      <c r="DR855" s="97"/>
      <c r="DS855" s="97"/>
      <c r="DT855" s="97"/>
      <c r="DU855" s="97"/>
      <c r="DV855" s="97"/>
      <c r="DW855" s="97"/>
      <c r="DX855" s="97"/>
      <c r="DY855" s="97"/>
      <c r="DZ855" s="97"/>
      <c r="EA855" s="97"/>
      <c r="EB855" s="97"/>
      <c r="EC855" s="97"/>
      <c r="ED855" s="97"/>
      <c r="EE855" s="97"/>
      <c r="EF855" s="97"/>
      <c r="EG855" s="97"/>
      <c r="EH855" s="97"/>
      <c r="EI855" s="97"/>
      <c r="EJ855" s="97"/>
      <c r="EK855" s="97"/>
      <c r="EL855" s="97"/>
      <c r="EM855" s="97"/>
      <c r="EN855" s="97"/>
      <c r="EO855" s="97"/>
      <c r="EP855" s="97"/>
      <c r="EQ855" s="97"/>
      <c r="ER855" s="97"/>
      <c r="ES855" s="97"/>
      <c r="ET855" s="97"/>
    </row>
    <row r="856" spans="1:150" ht="15.75" customHeight="1">
      <c r="A856" s="97"/>
      <c r="B856" s="97"/>
      <c r="C856" s="97"/>
      <c r="D856" s="97"/>
      <c r="E856" s="97"/>
      <c r="F856" s="97"/>
      <c r="G856" s="97"/>
      <c r="H856" s="129"/>
      <c r="I856" s="97"/>
      <c r="J856" s="97"/>
      <c r="K856" s="97"/>
      <c r="L856" s="97"/>
      <c r="M856" s="97"/>
      <c r="N856" s="97"/>
      <c r="O856" s="97"/>
      <c r="P856" s="97"/>
      <c r="Q856" s="97"/>
      <c r="R856" s="97"/>
      <c r="S856" s="97"/>
      <c r="T856" s="97"/>
      <c r="U856" s="97"/>
      <c r="V856" s="97"/>
      <c r="W856" s="97"/>
      <c r="X856" s="129"/>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c r="DF856" s="97"/>
      <c r="DG856" s="97"/>
      <c r="DH856" s="97"/>
      <c r="DI856" s="97"/>
      <c r="DJ856" s="97"/>
      <c r="DK856" s="97"/>
      <c r="DL856" s="97"/>
      <c r="DM856" s="97"/>
      <c r="DN856" s="97"/>
      <c r="DO856" s="97"/>
      <c r="DP856" s="97"/>
      <c r="DQ856" s="97"/>
      <c r="DR856" s="97"/>
      <c r="DS856" s="97"/>
      <c r="DT856" s="97"/>
      <c r="DU856" s="97"/>
      <c r="DV856" s="97"/>
      <c r="DW856" s="97"/>
      <c r="DX856" s="97"/>
      <c r="DY856" s="97"/>
      <c r="DZ856" s="97"/>
      <c r="EA856" s="97"/>
      <c r="EB856" s="97"/>
      <c r="EC856" s="97"/>
      <c r="ED856" s="97"/>
      <c r="EE856" s="97"/>
      <c r="EF856" s="97"/>
      <c r="EG856" s="97"/>
      <c r="EH856" s="97"/>
      <c r="EI856" s="97"/>
      <c r="EJ856" s="97"/>
      <c r="EK856" s="97"/>
      <c r="EL856" s="97"/>
      <c r="EM856" s="97"/>
      <c r="EN856" s="97"/>
      <c r="EO856" s="97"/>
      <c r="EP856" s="97"/>
      <c r="EQ856" s="97"/>
      <c r="ER856" s="97"/>
      <c r="ES856" s="97"/>
      <c r="ET856" s="97"/>
    </row>
    <row r="857" spans="1:150" ht="15.75" customHeight="1">
      <c r="A857" s="97"/>
      <c r="B857" s="97"/>
      <c r="C857" s="97"/>
      <c r="D857" s="97"/>
      <c r="E857" s="97"/>
      <c r="F857" s="97"/>
      <c r="G857" s="97"/>
      <c r="H857" s="129"/>
      <c r="I857" s="97"/>
      <c r="J857" s="97"/>
      <c r="K857" s="97"/>
      <c r="L857" s="97"/>
      <c r="M857" s="97"/>
      <c r="N857" s="97"/>
      <c r="O857" s="97"/>
      <c r="P857" s="97"/>
      <c r="Q857" s="97"/>
      <c r="R857" s="97"/>
      <c r="S857" s="97"/>
      <c r="T857" s="97"/>
      <c r="U857" s="97"/>
      <c r="V857" s="97"/>
      <c r="W857" s="97"/>
      <c r="X857" s="129"/>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c r="DF857" s="97"/>
      <c r="DG857" s="97"/>
      <c r="DH857" s="97"/>
      <c r="DI857" s="97"/>
      <c r="DJ857" s="97"/>
      <c r="DK857" s="97"/>
      <c r="DL857" s="97"/>
      <c r="DM857" s="97"/>
      <c r="DN857" s="97"/>
      <c r="DO857" s="97"/>
      <c r="DP857" s="97"/>
      <c r="DQ857" s="97"/>
      <c r="DR857" s="97"/>
      <c r="DS857" s="97"/>
      <c r="DT857" s="97"/>
      <c r="DU857" s="97"/>
      <c r="DV857" s="97"/>
      <c r="DW857" s="97"/>
      <c r="DX857" s="97"/>
      <c r="DY857" s="97"/>
      <c r="DZ857" s="97"/>
      <c r="EA857" s="97"/>
      <c r="EB857" s="97"/>
      <c r="EC857" s="97"/>
      <c r="ED857" s="97"/>
      <c r="EE857" s="97"/>
      <c r="EF857" s="97"/>
      <c r="EG857" s="97"/>
      <c r="EH857" s="97"/>
      <c r="EI857" s="97"/>
      <c r="EJ857" s="97"/>
      <c r="EK857" s="97"/>
      <c r="EL857" s="97"/>
      <c r="EM857" s="97"/>
      <c r="EN857" s="97"/>
      <c r="EO857" s="97"/>
      <c r="EP857" s="97"/>
      <c r="EQ857" s="97"/>
      <c r="ER857" s="97"/>
      <c r="ES857" s="97"/>
      <c r="ET857" s="97"/>
    </row>
    <row r="858" spans="1:150" ht="15.75" customHeight="1">
      <c r="A858" s="97"/>
      <c r="B858" s="97"/>
      <c r="C858" s="97"/>
      <c r="D858" s="97"/>
      <c r="E858" s="97"/>
      <c r="F858" s="97"/>
      <c r="G858" s="97"/>
      <c r="H858" s="129"/>
      <c r="I858" s="97"/>
      <c r="J858" s="97"/>
      <c r="K858" s="97"/>
      <c r="L858" s="97"/>
      <c r="M858" s="97"/>
      <c r="N858" s="97"/>
      <c r="O858" s="97"/>
      <c r="P858" s="97"/>
      <c r="Q858" s="97"/>
      <c r="R858" s="97"/>
      <c r="S858" s="97"/>
      <c r="T858" s="97"/>
      <c r="U858" s="97"/>
      <c r="V858" s="97"/>
      <c r="W858" s="97"/>
      <c r="X858" s="129"/>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c r="DF858" s="97"/>
      <c r="DG858" s="97"/>
      <c r="DH858" s="97"/>
      <c r="DI858" s="97"/>
      <c r="DJ858" s="97"/>
      <c r="DK858" s="97"/>
      <c r="DL858" s="97"/>
      <c r="DM858" s="97"/>
      <c r="DN858" s="97"/>
      <c r="DO858" s="97"/>
      <c r="DP858" s="97"/>
      <c r="DQ858" s="97"/>
      <c r="DR858" s="97"/>
      <c r="DS858" s="97"/>
      <c r="DT858" s="97"/>
      <c r="DU858" s="97"/>
      <c r="DV858" s="97"/>
      <c r="DW858" s="97"/>
      <c r="DX858" s="97"/>
      <c r="DY858" s="97"/>
      <c r="DZ858" s="97"/>
      <c r="EA858" s="97"/>
      <c r="EB858" s="97"/>
      <c r="EC858" s="97"/>
      <c r="ED858" s="97"/>
      <c r="EE858" s="97"/>
      <c r="EF858" s="97"/>
      <c r="EG858" s="97"/>
      <c r="EH858" s="97"/>
      <c r="EI858" s="97"/>
      <c r="EJ858" s="97"/>
      <c r="EK858" s="97"/>
      <c r="EL858" s="97"/>
      <c r="EM858" s="97"/>
      <c r="EN858" s="97"/>
      <c r="EO858" s="97"/>
      <c r="EP858" s="97"/>
      <c r="EQ858" s="97"/>
      <c r="ER858" s="97"/>
      <c r="ES858" s="97"/>
      <c r="ET858" s="97"/>
    </row>
    <row r="859" spans="1:150" ht="15.75" customHeight="1">
      <c r="A859" s="97"/>
      <c r="B859" s="97"/>
      <c r="C859" s="97"/>
      <c r="D859" s="97"/>
      <c r="E859" s="97"/>
      <c r="F859" s="97"/>
      <c r="G859" s="97"/>
      <c r="H859" s="129"/>
      <c r="I859" s="97"/>
      <c r="J859" s="97"/>
      <c r="K859" s="97"/>
      <c r="L859" s="97"/>
      <c r="M859" s="97"/>
      <c r="N859" s="97"/>
      <c r="O859" s="97"/>
      <c r="P859" s="97"/>
      <c r="Q859" s="97"/>
      <c r="R859" s="97"/>
      <c r="S859" s="97"/>
      <c r="T859" s="97"/>
      <c r="U859" s="97"/>
      <c r="V859" s="97"/>
      <c r="W859" s="97"/>
      <c r="X859" s="129"/>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c r="DF859" s="97"/>
      <c r="DG859" s="97"/>
      <c r="DH859" s="97"/>
      <c r="DI859" s="97"/>
      <c r="DJ859" s="97"/>
      <c r="DK859" s="97"/>
      <c r="DL859" s="97"/>
      <c r="DM859" s="97"/>
      <c r="DN859" s="97"/>
      <c r="DO859" s="97"/>
      <c r="DP859" s="97"/>
      <c r="DQ859" s="97"/>
      <c r="DR859" s="97"/>
      <c r="DS859" s="97"/>
      <c r="DT859" s="97"/>
      <c r="DU859" s="97"/>
      <c r="DV859" s="97"/>
      <c r="DW859" s="97"/>
      <c r="DX859" s="97"/>
      <c r="DY859" s="97"/>
      <c r="DZ859" s="97"/>
      <c r="EA859" s="97"/>
      <c r="EB859" s="97"/>
      <c r="EC859" s="97"/>
      <c r="ED859" s="97"/>
      <c r="EE859" s="97"/>
      <c r="EF859" s="97"/>
      <c r="EG859" s="97"/>
      <c r="EH859" s="97"/>
      <c r="EI859" s="97"/>
      <c r="EJ859" s="97"/>
      <c r="EK859" s="97"/>
      <c r="EL859" s="97"/>
      <c r="EM859" s="97"/>
      <c r="EN859" s="97"/>
      <c r="EO859" s="97"/>
      <c r="EP859" s="97"/>
      <c r="EQ859" s="97"/>
      <c r="ER859" s="97"/>
      <c r="ES859" s="97"/>
      <c r="ET859" s="97"/>
    </row>
    <row r="860" spans="1:150" ht="15.75" customHeight="1">
      <c r="A860" s="97"/>
      <c r="B860" s="97"/>
      <c r="C860" s="97"/>
      <c r="D860" s="97"/>
      <c r="E860" s="97"/>
      <c r="F860" s="97"/>
      <c r="G860" s="97"/>
      <c r="H860" s="129"/>
      <c r="I860" s="97"/>
      <c r="J860" s="97"/>
      <c r="K860" s="97"/>
      <c r="L860" s="97"/>
      <c r="M860" s="97"/>
      <c r="N860" s="97"/>
      <c r="O860" s="97"/>
      <c r="P860" s="97"/>
      <c r="Q860" s="97"/>
      <c r="R860" s="97"/>
      <c r="S860" s="97"/>
      <c r="T860" s="97"/>
      <c r="U860" s="97"/>
      <c r="V860" s="97"/>
      <c r="W860" s="97"/>
      <c r="X860" s="129"/>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c r="DF860" s="97"/>
      <c r="DG860" s="97"/>
      <c r="DH860" s="97"/>
      <c r="DI860" s="97"/>
      <c r="DJ860" s="97"/>
      <c r="DK860" s="97"/>
      <c r="DL860" s="97"/>
      <c r="DM860" s="97"/>
      <c r="DN860" s="97"/>
      <c r="DO860" s="97"/>
      <c r="DP860" s="97"/>
      <c r="DQ860" s="97"/>
      <c r="DR860" s="97"/>
      <c r="DS860" s="97"/>
      <c r="DT860" s="97"/>
      <c r="DU860" s="97"/>
      <c r="DV860" s="97"/>
      <c r="DW860" s="97"/>
      <c r="DX860" s="97"/>
      <c r="DY860" s="97"/>
      <c r="DZ860" s="97"/>
      <c r="EA860" s="97"/>
      <c r="EB860" s="97"/>
      <c r="EC860" s="97"/>
      <c r="ED860" s="97"/>
      <c r="EE860" s="97"/>
      <c r="EF860" s="97"/>
      <c r="EG860" s="97"/>
      <c r="EH860" s="97"/>
      <c r="EI860" s="97"/>
      <c r="EJ860" s="97"/>
      <c r="EK860" s="97"/>
      <c r="EL860" s="97"/>
      <c r="EM860" s="97"/>
      <c r="EN860" s="97"/>
      <c r="EO860" s="97"/>
      <c r="EP860" s="97"/>
      <c r="EQ860" s="97"/>
      <c r="ER860" s="97"/>
      <c r="ES860" s="97"/>
      <c r="ET860" s="97"/>
    </row>
    <row r="861" spans="1:150" ht="15.75" customHeight="1">
      <c r="A861" s="97"/>
      <c r="B861" s="97"/>
      <c r="C861" s="97"/>
      <c r="D861" s="97"/>
      <c r="E861" s="97"/>
      <c r="F861" s="97"/>
      <c r="G861" s="97"/>
      <c r="H861" s="129"/>
      <c r="I861" s="97"/>
      <c r="J861" s="97"/>
      <c r="K861" s="97"/>
      <c r="L861" s="97"/>
      <c r="M861" s="97"/>
      <c r="N861" s="97"/>
      <c r="O861" s="97"/>
      <c r="P861" s="97"/>
      <c r="Q861" s="97"/>
      <c r="R861" s="97"/>
      <c r="S861" s="97"/>
      <c r="T861" s="97"/>
      <c r="U861" s="97"/>
      <c r="V861" s="97"/>
      <c r="W861" s="97"/>
      <c r="X861" s="129"/>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c r="DF861" s="97"/>
      <c r="DG861" s="97"/>
      <c r="DH861" s="97"/>
      <c r="DI861" s="97"/>
      <c r="DJ861" s="97"/>
      <c r="DK861" s="97"/>
      <c r="DL861" s="97"/>
      <c r="DM861" s="97"/>
      <c r="DN861" s="97"/>
      <c r="DO861" s="97"/>
      <c r="DP861" s="97"/>
      <c r="DQ861" s="97"/>
      <c r="DR861" s="97"/>
      <c r="DS861" s="97"/>
      <c r="DT861" s="97"/>
      <c r="DU861" s="97"/>
      <c r="DV861" s="97"/>
      <c r="DW861" s="97"/>
      <c r="DX861" s="97"/>
      <c r="DY861" s="97"/>
      <c r="DZ861" s="97"/>
      <c r="EA861" s="97"/>
      <c r="EB861" s="97"/>
      <c r="EC861" s="97"/>
      <c r="ED861" s="97"/>
      <c r="EE861" s="97"/>
      <c r="EF861" s="97"/>
      <c r="EG861" s="97"/>
      <c r="EH861" s="97"/>
      <c r="EI861" s="97"/>
      <c r="EJ861" s="97"/>
      <c r="EK861" s="97"/>
      <c r="EL861" s="97"/>
      <c r="EM861" s="97"/>
      <c r="EN861" s="97"/>
      <c r="EO861" s="97"/>
      <c r="EP861" s="97"/>
      <c r="EQ861" s="97"/>
      <c r="ER861" s="97"/>
      <c r="ES861" s="97"/>
      <c r="ET861" s="97"/>
    </row>
    <row r="862" spans="1:150" ht="15.75" customHeight="1">
      <c r="A862" s="97"/>
      <c r="B862" s="97"/>
      <c r="C862" s="97"/>
      <c r="D862" s="97"/>
      <c r="E862" s="97"/>
      <c r="F862" s="97"/>
      <c r="G862" s="97"/>
      <c r="H862" s="129"/>
      <c r="I862" s="97"/>
      <c r="J862" s="97"/>
      <c r="K862" s="97"/>
      <c r="L862" s="97"/>
      <c r="M862" s="97"/>
      <c r="N862" s="97"/>
      <c r="O862" s="97"/>
      <c r="P862" s="97"/>
      <c r="Q862" s="97"/>
      <c r="R862" s="97"/>
      <c r="S862" s="97"/>
      <c r="T862" s="97"/>
      <c r="U862" s="97"/>
      <c r="V862" s="97"/>
      <c r="W862" s="97"/>
      <c r="X862" s="129"/>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c r="DF862" s="97"/>
      <c r="DG862" s="97"/>
      <c r="DH862" s="97"/>
      <c r="DI862" s="97"/>
      <c r="DJ862" s="97"/>
      <c r="DK862" s="97"/>
      <c r="DL862" s="97"/>
      <c r="DM862" s="97"/>
      <c r="DN862" s="97"/>
      <c r="DO862" s="97"/>
      <c r="DP862" s="97"/>
      <c r="DQ862" s="97"/>
      <c r="DR862" s="97"/>
      <c r="DS862" s="97"/>
      <c r="DT862" s="97"/>
      <c r="DU862" s="97"/>
      <c r="DV862" s="97"/>
      <c r="DW862" s="97"/>
      <c r="DX862" s="97"/>
      <c r="DY862" s="97"/>
      <c r="DZ862" s="97"/>
      <c r="EA862" s="97"/>
      <c r="EB862" s="97"/>
      <c r="EC862" s="97"/>
      <c r="ED862" s="97"/>
      <c r="EE862" s="97"/>
      <c r="EF862" s="97"/>
      <c r="EG862" s="97"/>
      <c r="EH862" s="97"/>
      <c r="EI862" s="97"/>
      <c r="EJ862" s="97"/>
      <c r="EK862" s="97"/>
      <c r="EL862" s="97"/>
      <c r="EM862" s="97"/>
      <c r="EN862" s="97"/>
      <c r="EO862" s="97"/>
      <c r="EP862" s="97"/>
      <c r="EQ862" s="97"/>
      <c r="ER862" s="97"/>
      <c r="ES862" s="97"/>
      <c r="ET862" s="97"/>
    </row>
    <row r="863" spans="1:150" ht="15.75" customHeight="1">
      <c r="A863" s="97"/>
      <c r="B863" s="97"/>
      <c r="C863" s="97"/>
      <c r="D863" s="97"/>
      <c r="E863" s="97"/>
      <c r="F863" s="97"/>
      <c r="G863" s="97"/>
      <c r="H863" s="129"/>
      <c r="I863" s="97"/>
      <c r="J863" s="97"/>
      <c r="K863" s="97"/>
      <c r="L863" s="97"/>
      <c r="M863" s="97"/>
      <c r="N863" s="97"/>
      <c r="O863" s="97"/>
      <c r="P863" s="97"/>
      <c r="Q863" s="97"/>
      <c r="R863" s="97"/>
      <c r="S863" s="97"/>
      <c r="T863" s="97"/>
      <c r="U863" s="97"/>
      <c r="V863" s="97"/>
      <c r="W863" s="97"/>
      <c r="X863" s="129"/>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c r="DF863" s="97"/>
      <c r="DG863" s="97"/>
      <c r="DH863" s="97"/>
      <c r="DI863" s="97"/>
      <c r="DJ863" s="97"/>
      <c r="DK863" s="97"/>
      <c r="DL863" s="97"/>
      <c r="DM863" s="97"/>
      <c r="DN863" s="97"/>
      <c r="DO863" s="97"/>
      <c r="DP863" s="97"/>
      <c r="DQ863" s="97"/>
      <c r="DR863" s="97"/>
      <c r="DS863" s="97"/>
      <c r="DT863" s="97"/>
      <c r="DU863" s="97"/>
      <c r="DV863" s="97"/>
      <c r="DW863" s="97"/>
      <c r="DX863" s="97"/>
      <c r="DY863" s="97"/>
      <c r="DZ863" s="97"/>
      <c r="EA863" s="97"/>
      <c r="EB863" s="97"/>
      <c r="EC863" s="97"/>
      <c r="ED863" s="97"/>
      <c r="EE863" s="97"/>
      <c r="EF863" s="97"/>
      <c r="EG863" s="97"/>
      <c r="EH863" s="97"/>
      <c r="EI863" s="97"/>
      <c r="EJ863" s="97"/>
      <c r="EK863" s="97"/>
      <c r="EL863" s="97"/>
      <c r="EM863" s="97"/>
      <c r="EN863" s="97"/>
      <c r="EO863" s="97"/>
      <c r="EP863" s="97"/>
      <c r="EQ863" s="97"/>
      <c r="ER863" s="97"/>
      <c r="ES863" s="97"/>
      <c r="ET863" s="97"/>
    </row>
    <row r="864" spans="1:150" ht="15.75" customHeight="1">
      <c r="A864" s="97"/>
      <c r="B864" s="97"/>
      <c r="C864" s="97"/>
      <c r="D864" s="97"/>
      <c r="E864" s="97"/>
      <c r="F864" s="97"/>
      <c r="G864" s="97"/>
      <c r="H864" s="129"/>
      <c r="I864" s="97"/>
      <c r="J864" s="97"/>
      <c r="K864" s="97"/>
      <c r="L864" s="97"/>
      <c r="M864" s="97"/>
      <c r="N864" s="97"/>
      <c r="O864" s="97"/>
      <c r="P864" s="97"/>
      <c r="Q864" s="97"/>
      <c r="R864" s="97"/>
      <c r="S864" s="97"/>
      <c r="T864" s="97"/>
      <c r="U864" s="97"/>
      <c r="V864" s="97"/>
      <c r="W864" s="97"/>
      <c r="X864" s="129"/>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c r="DF864" s="97"/>
      <c r="DG864" s="97"/>
      <c r="DH864" s="97"/>
      <c r="DI864" s="97"/>
      <c r="DJ864" s="97"/>
      <c r="DK864" s="97"/>
      <c r="DL864" s="97"/>
      <c r="DM864" s="97"/>
      <c r="DN864" s="97"/>
      <c r="DO864" s="97"/>
      <c r="DP864" s="97"/>
      <c r="DQ864" s="97"/>
      <c r="DR864" s="97"/>
      <c r="DS864" s="97"/>
      <c r="DT864" s="97"/>
      <c r="DU864" s="97"/>
      <c r="DV864" s="97"/>
      <c r="DW864" s="97"/>
      <c r="DX864" s="97"/>
      <c r="DY864" s="97"/>
      <c r="DZ864" s="97"/>
      <c r="EA864" s="97"/>
      <c r="EB864" s="97"/>
      <c r="EC864" s="97"/>
      <c r="ED864" s="97"/>
      <c r="EE864" s="97"/>
      <c r="EF864" s="97"/>
      <c r="EG864" s="97"/>
      <c r="EH864" s="97"/>
      <c r="EI864" s="97"/>
      <c r="EJ864" s="97"/>
      <c r="EK864" s="97"/>
      <c r="EL864" s="97"/>
      <c r="EM864" s="97"/>
      <c r="EN864" s="97"/>
      <c r="EO864" s="97"/>
      <c r="EP864" s="97"/>
      <c r="EQ864" s="97"/>
      <c r="ER864" s="97"/>
      <c r="ES864" s="97"/>
      <c r="ET864" s="97"/>
    </row>
    <row r="865" spans="1:150" ht="15.75" customHeight="1">
      <c r="A865" s="97"/>
      <c r="B865" s="97"/>
      <c r="C865" s="97"/>
      <c r="D865" s="97"/>
      <c r="E865" s="97"/>
      <c r="F865" s="97"/>
      <c r="G865" s="97"/>
      <c r="H865" s="129"/>
      <c r="I865" s="97"/>
      <c r="J865" s="97"/>
      <c r="K865" s="97"/>
      <c r="L865" s="97"/>
      <c r="M865" s="97"/>
      <c r="N865" s="97"/>
      <c r="O865" s="97"/>
      <c r="P865" s="97"/>
      <c r="Q865" s="97"/>
      <c r="R865" s="97"/>
      <c r="S865" s="97"/>
      <c r="T865" s="97"/>
      <c r="U865" s="97"/>
      <c r="V865" s="97"/>
      <c r="W865" s="97"/>
      <c r="X865" s="129"/>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c r="DF865" s="97"/>
      <c r="DG865" s="97"/>
      <c r="DH865" s="97"/>
      <c r="DI865" s="97"/>
      <c r="DJ865" s="97"/>
      <c r="DK865" s="97"/>
      <c r="DL865" s="97"/>
      <c r="DM865" s="97"/>
      <c r="DN865" s="97"/>
      <c r="DO865" s="97"/>
      <c r="DP865" s="97"/>
      <c r="DQ865" s="97"/>
      <c r="DR865" s="97"/>
      <c r="DS865" s="97"/>
      <c r="DT865" s="97"/>
      <c r="DU865" s="97"/>
      <c r="DV865" s="97"/>
      <c r="DW865" s="97"/>
      <c r="DX865" s="97"/>
      <c r="DY865" s="97"/>
      <c r="DZ865" s="97"/>
      <c r="EA865" s="97"/>
      <c r="EB865" s="97"/>
      <c r="EC865" s="97"/>
      <c r="ED865" s="97"/>
      <c r="EE865" s="97"/>
      <c r="EF865" s="97"/>
      <c r="EG865" s="97"/>
      <c r="EH865" s="97"/>
      <c r="EI865" s="97"/>
      <c r="EJ865" s="97"/>
      <c r="EK865" s="97"/>
      <c r="EL865" s="97"/>
      <c r="EM865" s="97"/>
      <c r="EN865" s="97"/>
      <c r="EO865" s="97"/>
      <c r="EP865" s="97"/>
      <c r="EQ865" s="97"/>
      <c r="ER865" s="97"/>
      <c r="ES865" s="97"/>
      <c r="ET865" s="97"/>
    </row>
    <row r="866" spans="1:150" ht="15.75" customHeight="1">
      <c r="A866" s="97"/>
      <c r="B866" s="97"/>
      <c r="C866" s="97"/>
      <c r="D866" s="97"/>
      <c r="E866" s="97"/>
      <c r="F866" s="97"/>
      <c r="G866" s="97"/>
      <c r="H866" s="129"/>
      <c r="I866" s="97"/>
      <c r="J866" s="97"/>
      <c r="K866" s="97"/>
      <c r="L866" s="97"/>
      <c r="M866" s="97"/>
      <c r="N866" s="97"/>
      <c r="O866" s="97"/>
      <c r="P866" s="97"/>
      <c r="Q866" s="97"/>
      <c r="R866" s="97"/>
      <c r="S866" s="97"/>
      <c r="T866" s="97"/>
      <c r="U866" s="97"/>
      <c r="V866" s="97"/>
      <c r="W866" s="97"/>
      <c r="X866" s="129"/>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c r="DF866" s="97"/>
      <c r="DG866" s="97"/>
      <c r="DH866" s="97"/>
      <c r="DI866" s="97"/>
      <c r="DJ866" s="97"/>
      <c r="DK866" s="97"/>
      <c r="DL866" s="97"/>
      <c r="DM866" s="97"/>
      <c r="DN866" s="97"/>
      <c r="DO866" s="97"/>
      <c r="DP866" s="97"/>
      <c r="DQ866" s="97"/>
      <c r="DR866" s="97"/>
      <c r="DS866" s="97"/>
      <c r="DT866" s="97"/>
      <c r="DU866" s="97"/>
      <c r="DV866" s="97"/>
      <c r="DW866" s="97"/>
      <c r="DX866" s="97"/>
      <c r="DY866" s="97"/>
      <c r="DZ866" s="97"/>
      <c r="EA866" s="97"/>
      <c r="EB866" s="97"/>
      <c r="EC866" s="97"/>
      <c r="ED866" s="97"/>
      <c r="EE866" s="97"/>
      <c r="EF866" s="97"/>
      <c r="EG866" s="97"/>
      <c r="EH866" s="97"/>
      <c r="EI866" s="97"/>
      <c r="EJ866" s="97"/>
      <c r="EK866" s="97"/>
      <c r="EL866" s="97"/>
      <c r="EM866" s="97"/>
      <c r="EN866" s="97"/>
      <c r="EO866" s="97"/>
      <c r="EP866" s="97"/>
      <c r="EQ866" s="97"/>
      <c r="ER866" s="97"/>
      <c r="ES866" s="97"/>
      <c r="ET866" s="97"/>
    </row>
    <row r="867" spans="1:150" ht="15.75" customHeight="1">
      <c r="A867" s="97"/>
      <c r="B867" s="97"/>
      <c r="C867" s="97"/>
      <c r="D867" s="97"/>
      <c r="E867" s="97"/>
      <c r="F867" s="97"/>
      <c r="G867" s="97"/>
      <c r="H867" s="129"/>
      <c r="I867" s="97"/>
      <c r="J867" s="97"/>
      <c r="K867" s="97"/>
      <c r="L867" s="97"/>
      <c r="M867" s="97"/>
      <c r="N867" s="97"/>
      <c r="O867" s="97"/>
      <c r="P867" s="97"/>
      <c r="Q867" s="97"/>
      <c r="R867" s="97"/>
      <c r="S867" s="97"/>
      <c r="T867" s="97"/>
      <c r="U867" s="97"/>
      <c r="V867" s="97"/>
      <c r="W867" s="97"/>
      <c r="X867" s="129"/>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c r="DF867" s="97"/>
      <c r="DG867" s="97"/>
      <c r="DH867" s="97"/>
      <c r="DI867" s="97"/>
      <c r="DJ867" s="97"/>
      <c r="DK867" s="97"/>
      <c r="DL867" s="97"/>
      <c r="DM867" s="97"/>
      <c r="DN867" s="97"/>
      <c r="DO867" s="97"/>
      <c r="DP867" s="97"/>
      <c r="DQ867" s="97"/>
      <c r="DR867" s="97"/>
      <c r="DS867" s="97"/>
      <c r="DT867" s="97"/>
      <c r="DU867" s="97"/>
      <c r="DV867" s="97"/>
      <c r="DW867" s="97"/>
      <c r="DX867" s="97"/>
      <c r="DY867" s="97"/>
      <c r="DZ867" s="97"/>
      <c r="EA867" s="97"/>
      <c r="EB867" s="97"/>
      <c r="EC867" s="97"/>
      <c r="ED867" s="97"/>
      <c r="EE867" s="97"/>
      <c r="EF867" s="97"/>
      <c r="EG867" s="97"/>
      <c r="EH867" s="97"/>
      <c r="EI867" s="97"/>
      <c r="EJ867" s="97"/>
      <c r="EK867" s="97"/>
      <c r="EL867" s="97"/>
      <c r="EM867" s="97"/>
      <c r="EN867" s="97"/>
      <c r="EO867" s="97"/>
      <c r="EP867" s="97"/>
      <c r="EQ867" s="97"/>
      <c r="ER867" s="97"/>
      <c r="ES867" s="97"/>
      <c r="ET867" s="97"/>
    </row>
    <row r="868" spans="1:150" ht="15.75" customHeight="1">
      <c r="A868" s="97"/>
      <c r="B868" s="97"/>
      <c r="C868" s="97"/>
      <c r="D868" s="97"/>
      <c r="E868" s="97"/>
      <c r="F868" s="97"/>
      <c r="G868" s="97"/>
      <c r="H868" s="129"/>
      <c r="I868" s="97"/>
      <c r="J868" s="97"/>
      <c r="K868" s="97"/>
      <c r="L868" s="97"/>
      <c r="M868" s="97"/>
      <c r="N868" s="97"/>
      <c r="O868" s="97"/>
      <c r="P868" s="97"/>
      <c r="Q868" s="97"/>
      <c r="R868" s="97"/>
      <c r="S868" s="97"/>
      <c r="T868" s="97"/>
      <c r="U868" s="97"/>
      <c r="V868" s="97"/>
      <c r="W868" s="97"/>
      <c r="X868" s="129"/>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c r="DF868" s="97"/>
      <c r="DG868" s="97"/>
      <c r="DH868" s="97"/>
      <c r="DI868" s="97"/>
      <c r="DJ868" s="97"/>
      <c r="DK868" s="97"/>
      <c r="DL868" s="97"/>
      <c r="DM868" s="97"/>
      <c r="DN868" s="97"/>
      <c r="DO868" s="97"/>
      <c r="DP868" s="97"/>
      <c r="DQ868" s="97"/>
      <c r="DR868" s="97"/>
      <c r="DS868" s="97"/>
      <c r="DT868" s="97"/>
      <c r="DU868" s="97"/>
      <c r="DV868" s="97"/>
      <c r="DW868" s="97"/>
      <c r="DX868" s="97"/>
      <c r="DY868" s="97"/>
      <c r="DZ868" s="97"/>
      <c r="EA868" s="97"/>
      <c r="EB868" s="97"/>
      <c r="EC868" s="97"/>
      <c r="ED868" s="97"/>
      <c r="EE868" s="97"/>
      <c r="EF868" s="97"/>
      <c r="EG868" s="97"/>
      <c r="EH868" s="97"/>
      <c r="EI868" s="97"/>
      <c r="EJ868" s="97"/>
      <c r="EK868" s="97"/>
      <c r="EL868" s="97"/>
      <c r="EM868" s="97"/>
      <c r="EN868" s="97"/>
      <c r="EO868" s="97"/>
      <c r="EP868" s="97"/>
      <c r="EQ868" s="97"/>
      <c r="ER868" s="97"/>
      <c r="ES868" s="97"/>
      <c r="ET868" s="97"/>
    </row>
    <row r="869" spans="1:150" ht="15.75" customHeight="1">
      <c r="A869" s="97"/>
      <c r="B869" s="97"/>
      <c r="C869" s="97"/>
      <c r="D869" s="97"/>
      <c r="E869" s="97"/>
      <c r="F869" s="97"/>
      <c r="G869" s="97"/>
      <c r="H869" s="129"/>
      <c r="I869" s="97"/>
      <c r="J869" s="97"/>
      <c r="K869" s="97"/>
      <c r="L869" s="97"/>
      <c r="M869" s="97"/>
      <c r="N869" s="97"/>
      <c r="O869" s="97"/>
      <c r="P869" s="97"/>
      <c r="Q869" s="97"/>
      <c r="R869" s="97"/>
      <c r="S869" s="97"/>
      <c r="T869" s="97"/>
      <c r="U869" s="97"/>
      <c r="V869" s="97"/>
      <c r="W869" s="97"/>
      <c r="X869" s="129"/>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c r="DF869" s="97"/>
      <c r="DG869" s="97"/>
      <c r="DH869" s="97"/>
      <c r="DI869" s="97"/>
      <c r="DJ869" s="97"/>
      <c r="DK869" s="97"/>
      <c r="DL869" s="97"/>
      <c r="DM869" s="97"/>
      <c r="DN869" s="97"/>
      <c r="DO869" s="97"/>
      <c r="DP869" s="97"/>
      <c r="DQ869" s="97"/>
      <c r="DR869" s="97"/>
      <c r="DS869" s="97"/>
      <c r="DT869" s="97"/>
      <c r="DU869" s="97"/>
      <c r="DV869" s="97"/>
      <c r="DW869" s="97"/>
      <c r="DX869" s="97"/>
      <c r="DY869" s="97"/>
      <c r="DZ869" s="97"/>
      <c r="EA869" s="97"/>
      <c r="EB869" s="97"/>
      <c r="EC869" s="97"/>
      <c r="ED869" s="97"/>
      <c r="EE869" s="97"/>
      <c r="EF869" s="97"/>
      <c r="EG869" s="97"/>
      <c r="EH869" s="97"/>
      <c r="EI869" s="97"/>
      <c r="EJ869" s="97"/>
      <c r="EK869" s="97"/>
      <c r="EL869" s="97"/>
      <c r="EM869" s="97"/>
      <c r="EN869" s="97"/>
      <c r="EO869" s="97"/>
      <c r="EP869" s="97"/>
      <c r="EQ869" s="97"/>
      <c r="ER869" s="97"/>
      <c r="ES869" s="97"/>
      <c r="ET869" s="97"/>
    </row>
    <row r="870" spans="1:150" ht="15.75" customHeight="1">
      <c r="A870" s="97"/>
      <c r="B870" s="97"/>
      <c r="C870" s="97"/>
      <c r="D870" s="97"/>
      <c r="E870" s="97"/>
      <c r="F870" s="97"/>
      <c r="G870" s="97"/>
      <c r="H870" s="129"/>
      <c r="I870" s="97"/>
      <c r="J870" s="97"/>
      <c r="K870" s="97"/>
      <c r="L870" s="97"/>
      <c r="M870" s="97"/>
      <c r="N870" s="97"/>
      <c r="O870" s="97"/>
      <c r="P870" s="97"/>
      <c r="Q870" s="97"/>
      <c r="R870" s="97"/>
      <c r="S870" s="97"/>
      <c r="T870" s="97"/>
      <c r="U870" s="97"/>
      <c r="V870" s="97"/>
      <c r="W870" s="97"/>
      <c r="X870" s="129"/>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c r="DF870" s="97"/>
      <c r="DG870" s="97"/>
      <c r="DH870" s="97"/>
      <c r="DI870" s="97"/>
      <c r="DJ870" s="97"/>
      <c r="DK870" s="97"/>
      <c r="DL870" s="97"/>
      <c r="DM870" s="97"/>
      <c r="DN870" s="97"/>
      <c r="DO870" s="97"/>
      <c r="DP870" s="97"/>
      <c r="DQ870" s="97"/>
      <c r="DR870" s="97"/>
      <c r="DS870" s="97"/>
      <c r="DT870" s="97"/>
      <c r="DU870" s="97"/>
      <c r="DV870" s="97"/>
      <c r="DW870" s="97"/>
      <c r="DX870" s="97"/>
      <c r="DY870" s="97"/>
      <c r="DZ870" s="97"/>
      <c r="EA870" s="97"/>
      <c r="EB870" s="97"/>
      <c r="EC870" s="97"/>
      <c r="ED870" s="97"/>
      <c r="EE870" s="97"/>
      <c r="EF870" s="97"/>
      <c r="EG870" s="97"/>
      <c r="EH870" s="97"/>
      <c r="EI870" s="97"/>
      <c r="EJ870" s="97"/>
      <c r="EK870" s="97"/>
      <c r="EL870" s="97"/>
      <c r="EM870" s="97"/>
      <c r="EN870" s="97"/>
      <c r="EO870" s="97"/>
      <c r="EP870" s="97"/>
      <c r="EQ870" s="97"/>
      <c r="ER870" s="97"/>
      <c r="ES870" s="97"/>
      <c r="ET870" s="97"/>
    </row>
    <row r="871" spans="1:150" ht="15.75" customHeight="1">
      <c r="A871" s="97"/>
      <c r="B871" s="97"/>
      <c r="C871" s="97"/>
      <c r="D871" s="97"/>
      <c r="E871" s="97"/>
      <c r="F871" s="97"/>
      <c r="G871" s="97"/>
      <c r="H871" s="129"/>
      <c r="I871" s="97"/>
      <c r="J871" s="97"/>
      <c r="K871" s="97"/>
      <c r="L871" s="97"/>
      <c r="M871" s="97"/>
      <c r="N871" s="97"/>
      <c r="O871" s="97"/>
      <c r="P871" s="97"/>
      <c r="Q871" s="97"/>
      <c r="R871" s="97"/>
      <c r="S871" s="97"/>
      <c r="T871" s="97"/>
      <c r="U871" s="97"/>
      <c r="V871" s="97"/>
      <c r="W871" s="97"/>
      <c r="X871" s="129"/>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c r="DF871" s="97"/>
      <c r="DG871" s="97"/>
      <c r="DH871" s="97"/>
      <c r="DI871" s="97"/>
      <c r="DJ871" s="97"/>
      <c r="DK871" s="97"/>
      <c r="DL871" s="97"/>
      <c r="DM871" s="97"/>
      <c r="DN871" s="97"/>
      <c r="DO871" s="97"/>
      <c r="DP871" s="97"/>
      <c r="DQ871" s="97"/>
      <c r="DR871" s="97"/>
      <c r="DS871" s="97"/>
      <c r="DT871" s="97"/>
      <c r="DU871" s="97"/>
      <c r="DV871" s="97"/>
      <c r="DW871" s="97"/>
      <c r="DX871" s="97"/>
      <c r="DY871" s="97"/>
      <c r="DZ871" s="97"/>
      <c r="EA871" s="97"/>
      <c r="EB871" s="97"/>
      <c r="EC871" s="97"/>
      <c r="ED871" s="97"/>
      <c r="EE871" s="97"/>
      <c r="EF871" s="97"/>
      <c r="EG871" s="97"/>
      <c r="EH871" s="97"/>
      <c r="EI871" s="97"/>
      <c r="EJ871" s="97"/>
      <c r="EK871" s="97"/>
      <c r="EL871" s="97"/>
      <c r="EM871" s="97"/>
      <c r="EN871" s="97"/>
      <c r="EO871" s="97"/>
      <c r="EP871" s="97"/>
      <c r="EQ871" s="97"/>
      <c r="ER871" s="97"/>
      <c r="ES871" s="97"/>
      <c r="ET871" s="97"/>
    </row>
    <row r="872" spans="1:150" ht="15.75" customHeight="1">
      <c r="A872" s="97"/>
      <c r="B872" s="97"/>
      <c r="C872" s="97"/>
      <c r="D872" s="97"/>
      <c r="E872" s="97"/>
      <c r="F872" s="97"/>
      <c r="G872" s="97"/>
      <c r="H872" s="129"/>
      <c r="I872" s="97"/>
      <c r="J872" s="97"/>
      <c r="K872" s="97"/>
      <c r="L872" s="97"/>
      <c r="M872" s="97"/>
      <c r="N872" s="97"/>
      <c r="O872" s="97"/>
      <c r="P872" s="97"/>
      <c r="Q872" s="97"/>
      <c r="R872" s="97"/>
      <c r="S872" s="97"/>
      <c r="T872" s="97"/>
      <c r="U872" s="97"/>
      <c r="V872" s="97"/>
      <c r="W872" s="97"/>
      <c r="X872" s="129"/>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c r="DF872" s="97"/>
      <c r="DG872" s="97"/>
      <c r="DH872" s="97"/>
      <c r="DI872" s="97"/>
      <c r="DJ872" s="97"/>
      <c r="DK872" s="97"/>
      <c r="DL872" s="97"/>
      <c r="DM872" s="97"/>
      <c r="DN872" s="97"/>
      <c r="DO872" s="97"/>
      <c r="DP872" s="97"/>
      <c r="DQ872" s="97"/>
      <c r="DR872" s="97"/>
      <c r="DS872" s="97"/>
      <c r="DT872" s="97"/>
      <c r="DU872" s="97"/>
      <c r="DV872" s="97"/>
      <c r="DW872" s="97"/>
      <c r="DX872" s="97"/>
      <c r="DY872" s="97"/>
      <c r="DZ872" s="97"/>
      <c r="EA872" s="97"/>
      <c r="EB872" s="97"/>
      <c r="EC872" s="97"/>
      <c r="ED872" s="97"/>
      <c r="EE872" s="97"/>
      <c r="EF872" s="97"/>
      <c r="EG872" s="97"/>
      <c r="EH872" s="97"/>
      <c r="EI872" s="97"/>
      <c r="EJ872" s="97"/>
      <c r="EK872" s="97"/>
      <c r="EL872" s="97"/>
      <c r="EM872" s="97"/>
      <c r="EN872" s="97"/>
      <c r="EO872" s="97"/>
      <c r="EP872" s="97"/>
      <c r="EQ872" s="97"/>
      <c r="ER872" s="97"/>
      <c r="ES872" s="97"/>
      <c r="ET872" s="97"/>
    </row>
    <row r="873" spans="1:150" ht="15.75" customHeight="1">
      <c r="A873" s="97"/>
      <c r="B873" s="97"/>
      <c r="C873" s="97"/>
      <c r="D873" s="97"/>
      <c r="E873" s="97"/>
      <c r="F873" s="97"/>
      <c r="G873" s="97"/>
      <c r="H873" s="129"/>
      <c r="I873" s="97"/>
      <c r="J873" s="97"/>
      <c r="K873" s="97"/>
      <c r="L873" s="97"/>
      <c r="M873" s="97"/>
      <c r="N873" s="97"/>
      <c r="O873" s="97"/>
      <c r="P873" s="97"/>
      <c r="Q873" s="97"/>
      <c r="R873" s="97"/>
      <c r="S873" s="97"/>
      <c r="T873" s="97"/>
      <c r="U873" s="97"/>
      <c r="V873" s="97"/>
      <c r="W873" s="97"/>
      <c r="X873" s="129"/>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c r="DF873" s="97"/>
      <c r="DG873" s="97"/>
      <c r="DH873" s="97"/>
      <c r="DI873" s="97"/>
      <c r="DJ873" s="97"/>
      <c r="DK873" s="97"/>
      <c r="DL873" s="97"/>
      <c r="DM873" s="97"/>
      <c r="DN873" s="97"/>
      <c r="DO873" s="97"/>
      <c r="DP873" s="97"/>
      <c r="DQ873" s="97"/>
      <c r="DR873" s="97"/>
      <c r="DS873" s="97"/>
      <c r="DT873" s="97"/>
      <c r="DU873" s="97"/>
      <c r="DV873" s="97"/>
      <c r="DW873" s="97"/>
      <c r="DX873" s="97"/>
      <c r="DY873" s="97"/>
      <c r="DZ873" s="97"/>
      <c r="EA873" s="97"/>
      <c r="EB873" s="97"/>
      <c r="EC873" s="97"/>
      <c r="ED873" s="97"/>
      <c r="EE873" s="97"/>
      <c r="EF873" s="97"/>
      <c r="EG873" s="97"/>
      <c r="EH873" s="97"/>
      <c r="EI873" s="97"/>
      <c r="EJ873" s="97"/>
      <c r="EK873" s="97"/>
      <c r="EL873" s="97"/>
      <c r="EM873" s="97"/>
      <c r="EN873" s="97"/>
      <c r="EO873" s="97"/>
      <c r="EP873" s="97"/>
      <c r="EQ873" s="97"/>
      <c r="ER873" s="97"/>
      <c r="ES873" s="97"/>
      <c r="ET873" s="97"/>
    </row>
    <row r="874" spans="1:150" ht="15.75" customHeight="1">
      <c r="A874" s="97"/>
      <c r="B874" s="97"/>
      <c r="C874" s="97"/>
      <c r="D874" s="97"/>
      <c r="E874" s="97"/>
      <c r="F874" s="97"/>
      <c r="G874" s="97"/>
      <c r="H874" s="129"/>
      <c r="I874" s="97"/>
      <c r="J874" s="97"/>
      <c r="K874" s="97"/>
      <c r="L874" s="97"/>
      <c r="M874" s="97"/>
      <c r="N874" s="97"/>
      <c r="O874" s="97"/>
      <c r="P874" s="97"/>
      <c r="Q874" s="97"/>
      <c r="R874" s="97"/>
      <c r="S874" s="97"/>
      <c r="T874" s="97"/>
      <c r="U874" s="97"/>
      <c r="V874" s="97"/>
      <c r="W874" s="97"/>
      <c r="X874" s="129"/>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c r="DF874" s="97"/>
      <c r="DG874" s="97"/>
      <c r="DH874" s="97"/>
      <c r="DI874" s="97"/>
      <c r="DJ874" s="97"/>
      <c r="DK874" s="97"/>
      <c r="DL874" s="97"/>
      <c r="DM874" s="97"/>
      <c r="DN874" s="97"/>
      <c r="DO874" s="97"/>
      <c r="DP874" s="97"/>
      <c r="DQ874" s="97"/>
      <c r="DR874" s="97"/>
      <c r="DS874" s="97"/>
      <c r="DT874" s="97"/>
      <c r="DU874" s="97"/>
      <c r="DV874" s="97"/>
      <c r="DW874" s="97"/>
      <c r="DX874" s="97"/>
      <c r="DY874" s="97"/>
      <c r="DZ874" s="97"/>
      <c r="EA874" s="97"/>
      <c r="EB874" s="97"/>
      <c r="EC874" s="97"/>
      <c r="ED874" s="97"/>
      <c r="EE874" s="97"/>
      <c r="EF874" s="97"/>
      <c r="EG874" s="97"/>
      <c r="EH874" s="97"/>
      <c r="EI874" s="97"/>
      <c r="EJ874" s="97"/>
      <c r="EK874" s="97"/>
      <c r="EL874" s="97"/>
      <c r="EM874" s="97"/>
      <c r="EN874" s="97"/>
      <c r="EO874" s="97"/>
      <c r="EP874" s="97"/>
      <c r="EQ874" s="97"/>
      <c r="ER874" s="97"/>
      <c r="ES874" s="97"/>
      <c r="ET874" s="97"/>
    </row>
    <row r="875" spans="1:150" ht="15.75" customHeight="1">
      <c r="A875" s="97"/>
      <c r="B875" s="97"/>
      <c r="C875" s="97"/>
      <c r="D875" s="97"/>
      <c r="E875" s="97"/>
      <c r="F875" s="97"/>
      <c r="G875" s="97"/>
      <c r="H875" s="129"/>
      <c r="I875" s="97"/>
      <c r="J875" s="97"/>
      <c r="K875" s="97"/>
      <c r="L875" s="97"/>
      <c r="M875" s="97"/>
      <c r="N875" s="97"/>
      <c r="O875" s="97"/>
      <c r="P875" s="97"/>
      <c r="Q875" s="97"/>
      <c r="R875" s="97"/>
      <c r="S875" s="97"/>
      <c r="T875" s="97"/>
      <c r="U875" s="97"/>
      <c r="V875" s="97"/>
      <c r="W875" s="97"/>
      <c r="X875" s="129"/>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c r="DF875" s="97"/>
      <c r="DG875" s="97"/>
      <c r="DH875" s="97"/>
      <c r="DI875" s="97"/>
      <c r="DJ875" s="97"/>
      <c r="DK875" s="97"/>
      <c r="DL875" s="97"/>
      <c r="DM875" s="97"/>
      <c r="DN875" s="97"/>
      <c r="DO875" s="97"/>
      <c r="DP875" s="97"/>
      <c r="DQ875" s="97"/>
      <c r="DR875" s="97"/>
      <c r="DS875" s="97"/>
      <c r="DT875" s="97"/>
      <c r="DU875" s="97"/>
      <c r="DV875" s="97"/>
      <c r="DW875" s="97"/>
      <c r="DX875" s="97"/>
      <c r="DY875" s="97"/>
      <c r="DZ875" s="97"/>
      <c r="EA875" s="97"/>
      <c r="EB875" s="97"/>
      <c r="EC875" s="97"/>
      <c r="ED875" s="97"/>
      <c r="EE875" s="97"/>
      <c r="EF875" s="97"/>
      <c r="EG875" s="97"/>
      <c r="EH875" s="97"/>
      <c r="EI875" s="97"/>
      <c r="EJ875" s="97"/>
      <c r="EK875" s="97"/>
      <c r="EL875" s="97"/>
      <c r="EM875" s="97"/>
      <c r="EN875" s="97"/>
      <c r="EO875" s="97"/>
      <c r="EP875" s="97"/>
      <c r="EQ875" s="97"/>
      <c r="ER875" s="97"/>
      <c r="ES875" s="97"/>
      <c r="ET875" s="97"/>
    </row>
    <row r="876" spans="1:150" ht="15.75" customHeight="1">
      <c r="A876" s="97"/>
      <c r="B876" s="97"/>
      <c r="C876" s="97"/>
      <c r="D876" s="97"/>
      <c r="E876" s="97"/>
      <c r="F876" s="97"/>
      <c r="G876" s="97"/>
      <c r="H876" s="129"/>
      <c r="I876" s="97"/>
      <c r="J876" s="97"/>
      <c r="K876" s="97"/>
      <c r="L876" s="97"/>
      <c r="M876" s="97"/>
      <c r="N876" s="97"/>
      <c r="O876" s="97"/>
      <c r="P876" s="97"/>
      <c r="Q876" s="97"/>
      <c r="R876" s="97"/>
      <c r="S876" s="97"/>
      <c r="T876" s="97"/>
      <c r="U876" s="97"/>
      <c r="V876" s="97"/>
      <c r="W876" s="97"/>
      <c r="X876" s="129"/>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c r="DF876" s="97"/>
      <c r="DG876" s="97"/>
      <c r="DH876" s="97"/>
      <c r="DI876" s="97"/>
      <c r="DJ876" s="97"/>
      <c r="DK876" s="97"/>
      <c r="DL876" s="97"/>
      <c r="DM876" s="97"/>
      <c r="DN876" s="97"/>
      <c r="DO876" s="97"/>
      <c r="DP876" s="97"/>
      <c r="DQ876" s="97"/>
      <c r="DR876" s="97"/>
      <c r="DS876" s="97"/>
      <c r="DT876" s="97"/>
      <c r="DU876" s="97"/>
      <c r="DV876" s="97"/>
      <c r="DW876" s="97"/>
      <c r="DX876" s="97"/>
      <c r="DY876" s="97"/>
      <c r="DZ876" s="97"/>
      <c r="EA876" s="97"/>
      <c r="EB876" s="97"/>
      <c r="EC876" s="97"/>
      <c r="ED876" s="97"/>
      <c r="EE876" s="97"/>
      <c r="EF876" s="97"/>
      <c r="EG876" s="97"/>
      <c r="EH876" s="97"/>
      <c r="EI876" s="97"/>
      <c r="EJ876" s="97"/>
      <c r="EK876" s="97"/>
      <c r="EL876" s="97"/>
      <c r="EM876" s="97"/>
      <c r="EN876" s="97"/>
      <c r="EO876" s="97"/>
      <c r="EP876" s="97"/>
      <c r="EQ876" s="97"/>
      <c r="ER876" s="97"/>
      <c r="ES876" s="97"/>
      <c r="ET876" s="97"/>
    </row>
    <row r="877" spans="1:150" ht="15.75" customHeight="1">
      <c r="A877" s="97"/>
      <c r="B877" s="97"/>
      <c r="C877" s="97"/>
      <c r="D877" s="97"/>
      <c r="E877" s="97"/>
      <c r="F877" s="97"/>
      <c r="G877" s="97"/>
      <c r="H877" s="129"/>
      <c r="I877" s="97"/>
      <c r="J877" s="97"/>
      <c r="K877" s="97"/>
      <c r="L877" s="97"/>
      <c r="M877" s="97"/>
      <c r="N877" s="97"/>
      <c r="O877" s="97"/>
      <c r="P877" s="97"/>
      <c r="Q877" s="97"/>
      <c r="R877" s="97"/>
      <c r="S877" s="97"/>
      <c r="T877" s="97"/>
      <c r="U877" s="97"/>
      <c r="V877" s="97"/>
      <c r="W877" s="97"/>
      <c r="X877" s="129"/>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c r="DF877" s="97"/>
      <c r="DG877" s="97"/>
      <c r="DH877" s="97"/>
      <c r="DI877" s="97"/>
      <c r="DJ877" s="97"/>
      <c r="DK877" s="97"/>
      <c r="DL877" s="97"/>
      <c r="DM877" s="97"/>
      <c r="DN877" s="97"/>
      <c r="DO877" s="97"/>
      <c r="DP877" s="97"/>
      <c r="DQ877" s="97"/>
      <c r="DR877" s="97"/>
      <c r="DS877" s="97"/>
      <c r="DT877" s="97"/>
      <c r="DU877" s="97"/>
      <c r="DV877" s="97"/>
      <c r="DW877" s="97"/>
      <c r="DX877" s="97"/>
      <c r="DY877" s="97"/>
      <c r="DZ877" s="97"/>
      <c r="EA877" s="97"/>
      <c r="EB877" s="97"/>
      <c r="EC877" s="97"/>
      <c r="ED877" s="97"/>
      <c r="EE877" s="97"/>
      <c r="EF877" s="97"/>
      <c r="EG877" s="97"/>
      <c r="EH877" s="97"/>
      <c r="EI877" s="97"/>
      <c r="EJ877" s="97"/>
      <c r="EK877" s="97"/>
      <c r="EL877" s="97"/>
      <c r="EM877" s="97"/>
      <c r="EN877" s="97"/>
      <c r="EO877" s="97"/>
      <c r="EP877" s="97"/>
      <c r="EQ877" s="97"/>
      <c r="ER877" s="97"/>
      <c r="ES877" s="97"/>
      <c r="ET877" s="97"/>
    </row>
    <row r="878" spans="1:150" ht="15.75" customHeight="1">
      <c r="A878" s="97"/>
      <c r="B878" s="97"/>
      <c r="C878" s="97"/>
      <c r="D878" s="97"/>
      <c r="E878" s="97"/>
      <c r="F878" s="97"/>
      <c r="G878" s="97"/>
      <c r="H878" s="129"/>
      <c r="I878" s="97"/>
      <c r="J878" s="97"/>
      <c r="K878" s="97"/>
      <c r="L878" s="97"/>
      <c r="M878" s="97"/>
      <c r="N878" s="97"/>
      <c r="O878" s="97"/>
      <c r="P878" s="97"/>
      <c r="Q878" s="97"/>
      <c r="R878" s="97"/>
      <c r="S878" s="97"/>
      <c r="T878" s="97"/>
      <c r="U878" s="97"/>
      <c r="V878" s="97"/>
      <c r="W878" s="97"/>
      <c r="X878" s="129"/>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c r="DF878" s="97"/>
      <c r="DG878" s="97"/>
      <c r="DH878" s="97"/>
      <c r="DI878" s="97"/>
      <c r="DJ878" s="97"/>
      <c r="DK878" s="97"/>
      <c r="DL878" s="97"/>
      <c r="DM878" s="97"/>
      <c r="DN878" s="97"/>
      <c r="DO878" s="97"/>
      <c r="DP878" s="97"/>
      <c r="DQ878" s="97"/>
      <c r="DR878" s="97"/>
      <c r="DS878" s="97"/>
      <c r="DT878" s="97"/>
      <c r="DU878" s="97"/>
      <c r="DV878" s="97"/>
      <c r="DW878" s="97"/>
      <c r="DX878" s="97"/>
      <c r="DY878" s="97"/>
      <c r="DZ878" s="97"/>
      <c r="EA878" s="97"/>
      <c r="EB878" s="97"/>
      <c r="EC878" s="97"/>
      <c r="ED878" s="97"/>
      <c r="EE878" s="97"/>
      <c r="EF878" s="97"/>
      <c r="EG878" s="97"/>
      <c r="EH878" s="97"/>
      <c r="EI878" s="97"/>
      <c r="EJ878" s="97"/>
      <c r="EK878" s="97"/>
      <c r="EL878" s="97"/>
      <c r="EM878" s="97"/>
      <c r="EN878" s="97"/>
      <c r="EO878" s="97"/>
      <c r="EP878" s="97"/>
      <c r="EQ878" s="97"/>
      <c r="ER878" s="97"/>
      <c r="ES878" s="97"/>
      <c r="ET878" s="97"/>
    </row>
    <row r="879" spans="1:150" ht="15.75" customHeight="1">
      <c r="A879" s="97"/>
      <c r="B879" s="97"/>
      <c r="C879" s="97"/>
      <c r="D879" s="97"/>
      <c r="E879" s="97"/>
      <c r="F879" s="97"/>
      <c r="G879" s="97"/>
      <c r="H879" s="129"/>
      <c r="I879" s="97"/>
      <c r="J879" s="97"/>
      <c r="K879" s="97"/>
      <c r="L879" s="97"/>
      <c r="M879" s="97"/>
      <c r="N879" s="97"/>
      <c r="O879" s="97"/>
      <c r="P879" s="97"/>
      <c r="Q879" s="97"/>
      <c r="R879" s="97"/>
      <c r="S879" s="97"/>
      <c r="T879" s="97"/>
      <c r="U879" s="97"/>
      <c r="V879" s="97"/>
      <c r="W879" s="97"/>
      <c r="X879" s="129"/>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c r="DF879" s="97"/>
      <c r="DG879" s="97"/>
      <c r="DH879" s="97"/>
      <c r="DI879" s="97"/>
      <c r="DJ879" s="97"/>
      <c r="DK879" s="97"/>
      <c r="DL879" s="97"/>
      <c r="DM879" s="97"/>
      <c r="DN879" s="97"/>
      <c r="DO879" s="97"/>
      <c r="DP879" s="97"/>
      <c r="DQ879" s="97"/>
      <c r="DR879" s="97"/>
      <c r="DS879" s="97"/>
      <c r="DT879" s="97"/>
      <c r="DU879" s="97"/>
      <c r="DV879" s="97"/>
      <c r="DW879" s="97"/>
      <c r="DX879" s="97"/>
      <c r="DY879" s="97"/>
      <c r="DZ879" s="97"/>
      <c r="EA879" s="97"/>
      <c r="EB879" s="97"/>
      <c r="EC879" s="97"/>
      <c r="ED879" s="97"/>
      <c r="EE879" s="97"/>
      <c r="EF879" s="97"/>
      <c r="EG879" s="97"/>
      <c r="EH879" s="97"/>
      <c r="EI879" s="97"/>
      <c r="EJ879" s="97"/>
      <c r="EK879" s="97"/>
      <c r="EL879" s="97"/>
      <c r="EM879" s="97"/>
      <c r="EN879" s="97"/>
      <c r="EO879" s="97"/>
      <c r="EP879" s="97"/>
      <c r="EQ879" s="97"/>
      <c r="ER879" s="97"/>
      <c r="ES879" s="97"/>
      <c r="ET879" s="97"/>
    </row>
    <row r="880" spans="1:150" ht="15.75" customHeight="1">
      <c r="A880" s="97"/>
      <c r="B880" s="97"/>
      <c r="C880" s="97"/>
      <c r="D880" s="97"/>
      <c r="E880" s="97"/>
      <c r="F880" s="97"/>
      <c r="G880" s="97"/>
      <c r="H880" s="129"/>
      <c r="I880" s="97"/>
      <c r="J880" s="97"/>
      <c r="K880" s="97"/>
      <c r="L880" s="97"/>
      <c r="M880" s="97"/>
      <c r="N880" s="97"/>
      <c r="O880" s="97"/>
      <c r="P880" s="97"/>
      <c r="Q880" s="97"/>
      <c r="R880" s="97"/>
      <c r="S880" s="97"/>
      <c r="T880" s="97"/>
      <c r="U880" s="97"/>
      <c r="V880" s="97"/>
      <c r="W880" s="97"/>
      <c r="X880" s="129"/>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c r="DF880" s="97"/>
      <c r="DG880" s="97"/>
      <c r="DH880" s="97"/>
      <c r="DI880" s="97"/>
      <c r="DJ880" s="97"/>
      <c r="DK880" s="97"/>
      <c r="DL880" s="97"/>
      <c r="DM880" s="97"/>
      <c r="DN880" s="97"/>
      <c r="DO880" s="97"/>
      <c r="DP880" s="97"/>
      <c r="DQ880" s="97"/>
      <c r="DR880" s="97"/>
      <c r="DS880" s="97"/>
      <c r="DT880" s="97"/>
      <c r="DU880" s="97"/>
      <c r="DV880" s="97"/>
      <c r="DW880" s="97"/>
      <c r="DX880" s="97"/>
      <c r="DY880" s="97"/>
      <c r="DZ880" s="97"/>
      <c r="EA880" s="97"/>
      <c r="EB880" s="97"/>
      <c r="EC880" s="97"/>
      <c r="ED880" s="97"/>
      <c r="EE880" s="97"/>
      <c r="EF880" s="97"/>
      <c r="EG880" s="97"/>
      <c r="EH880" s="97"/>
      <c r="EI880" s="97"/>
      <c r="EJ880" s="97"/>
      <c r="EK880" s="97"/>
      <c r="EL880" s="97"/>
      <c r="EM880" s="97"/>
      <c r="EN880" s="97"/>
      <c r="EO880" s="97"/>
      <c r="EP880" s="97"/>
      <c r="EQ880" s="97"/>
      <c r="ER880" s="97"/>
      <c r="ES880" s="97"/>
      <c r="ET880" s="97"/>
    </row>
    <row r="881" spans="1:150" ht="15.75" customHeight="1">
      <c r="A881" s="97"/>
      <c r="B881" s="97"/>
      <c r="C881" s="97"/>
      <c r="D881" s="97"/>
      <c r="E881" s="97"/>
      <c r="F881" s="97"/>
      <c r="G881" s="97"/>
      <c r="H881" s="129"/>
      <c r="I881" s="97"/>
      <c r="J881" s="97"/>
      <c r="K881" s="97"/>
      <c r="L881" s="97"/>
      <c r="M881" s="97"/>
      <c r="N881" s="97"/>
      <c r="O881" s="97"/>
      <c r="P881" s="97"/>
      <c r="Q881" s="97"/>
      <c r="R881" s="97"/>
      <c r="S881" s="97"/>
      <c r="T881" s="97"/>
      <c r="U881" s="97"/>
      <c r="V881" s="97"/>
      <c r="W881" s="97"/>
      <c r="X881" s="129"/>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c r="DF881" s="97"/>
      <c r="DG881" s="97"/>
      <c r="DH881" s="97"/>
      <c r="DI881" s="97"/>
      <c r="DJ881" s="97"/>
      <c r="DK881" s="97"/>
      <c r="DL881" s="97"/>
      <c r="DM881" s="97"/>
      <c r="DN881" s="97"/>
      <c r="DO881" s="97"/>
      <c r="DP881" s="97"/>
      <c r="DQ881" s="97"/>
      <c r="DR881" s="97"/>
      <c r="DS881" s="97"/>
      <c r="DT881" s="97"/>
      <c r="DU881" s="97"/>
      <c r="DV881" s="97"/>
      <c r="DW881" s="97"/>
      <c r="DX881" s="97"/>
      <c r="DY881" s="97"/>
      <c r="DZ881" s="97"/>
      <c r="EA881" s="97"/>
      <c r="EB881" s="97"/>
      <c r="EC881" s="97"/>
      <c r="ED881" s="97"/>
      <c r="EE881" s="97"/>
      <c r="EF881" s="97"/>
      <c r="EG881" s="97"/>
      <c r="EH881" s="97"/>
      <c r="EI881" s="97"/>
      <c r="EJ881" s="97"/>
      <c r="EK881" s="97"/>
      <c r="EL881" s="97"/>
      <c r="EM881" s="97"/>
      <c r="EN881" s="97"/>
      <c r="EO881" s="97"/>
      <c r="EP881" s="97"/>
      <c r="EQ881" s="97"/>
      <c r="ER881" s="97"/>
      <c r="ES881" s="97"/>
      <c r="ET881" s="97"/>
    </row>
    <row r="882" spans="1:150" ht="15.75" customHeight="1">
      <c r="A882" s="97"/>
      <c r="B882" s="97"/>
      <c r="C882" s="97"/>
      <c r="D882" s="97"/>
      <c r="E882" s="97"/>
      <c r="F882" s="97"/>
      <c r="G882" s="97"/>
      <c r="H882" s="129"/>
      <c r="I882" s="97"/>
      <c r="J882" s="97"/>
      <c r="K882" s="97"/>
      <c r="L882" s="97"/>
      <c r="M882" s="97"/>
      <c r="N882" s="97"/>
      <c r="O882" s="97"/>
      <c r="P882" s="97"/>
      <c r="Q882" s="97"/>
      <c r="R882" s="97"/>
      <c r="S882" s="97"/>
      <c r="T882" s="97"/>
      <c r="U882" s="97"/>
      <c r="V882" s="97"/>
      <c r="W882" s="97"/>
      <c r="X882" s="129"/>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c r="DF882" s="97"/>
      <c r="DG882" s="97"/>
      <c r="DH882" s="97"/>
      <c r="DI882" s="97"/>
      <c r="DJ882" s="97"/>
      <c r="DK882" s="97"/>
      <c r="DL882" s="97"/>
      <c r="DM882" s="97"/>
      <c r="DN882" s="97"/>
      <c r="DO882" s="97"/>
      <c r="DP882" s="97"/>
      <c r="DQ882" s="97"/>
      <c r="DR882" s="97"/>
      <c r="DS882" s="97"/>
      <c r="DT882" s="97"/>
      <c r="DU882" s="97"/>
      <c r="DV882" s="97"/>
      <c r="DW882" s="97"/>
      <c r="DX882" s="97"/>
      <c r="DY882" s="97"/>
      <c r="DZ882" s="97"/>
      <c r="EA882" s="97"/>
      <c r="EB882" s="97"/>
      <c r="EC882" s="97"/>
      <c r="ED882" s="97"/>
      <c r="EE882" s="97"/>
      <c r="EF882" s="97"/>
      <c r="EG882" s="97"/>
      <c r="EH882" s="97"/>
      <c r="EI882" s="97"/>
      <c r="EJ882" s="97"/>
      <c r="EK882" s="97"/>
      <c r="EL882" s="97"/>
      <c r="EM882" s="97"/>
      <c r="EN882" s="97"/>
      <c r="EO882" s="97"/>
      <c r="EP882" s="97"/>
      <c r="EQ882" s="97"/>
      <c r="ER882" s="97"/>
      <c r="ES882" s="97"/>
      <c r="ET882" s="97"/>
    </row>
    <row r="883" spans="1:150" ht="15.75" customHeight="1">
      <c r="A883" s="97"/>
      <c r="B883" s="97"/>
      <c r="C883" s="97"/>
      <c r="D883" s="97"/>
      <c r="E883" s="97"/>
      <c r="F883" s="97"/>
      <c r="G883" s="97"/>
      <c r="H883" s="129"/>
      <c r="I883" s="97"/>
      <c r="J883" s="97"/>
      <c r="K883" s="97"/>
      <c r="L883" s="97"/>
      <c r="M883" s="97"/>
      <c r="N883" s="97"/>
      <c r="O883" s="97"/>
      <c r="P883" s="97"/>
      <c r="Q883" s="97"/>
      <c r="R883" s="97"/>
      <c r="S883" s="97"/>
      <c r="T883" s="97"/>
      <c r="U883" s="97"/>
      <c r="V883" s="97"/>
      <c r="W883" s="97"/>
      <c r="X883" s="129"/>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c r="DF883" s="97"/>
      <c r="DG883" s="97"/>
      <c r="DH883" s="97"/>
      <c r="DI883" s="97"/>
      <c r="DJ883" s="97"/>
      <c r="DK883" s="97"/>
      <c r="DL883" s="97"/>
      <c r="DM883" s="97"/>
      <c r="DN883" s="97"/>
      <c r="DO883" s="97"/>
      <c r="DP883" s="97"/>
      <c r="DQ883" s="97"/>
      <c r="DR883" s="97"/>
      <c r="DS883" s="97"/>
      <c r="DT883" s="97"/>
      <c r="DU883" s="97"/>
      <c r="DV883" s="97"/>
      <c r="DW883" s="97"/>
      <c r="DX883" s="97"/>
      <c r="DY883" s="97"/>
      <c r="DZ883" s="97"/>
      <c r="EA883" s="97"/>
      <c r="EB883" s="97"/>
      <c r="EC883" s="97"/>
      <c r="ED883" s="97"/>
      <c r="EE883" s="97"/>
      <c r="EF883" s="97"/>
      <c r="EG883" s="97"/>
      <c r="EH883" s="97"/>
      <c r="EI883" s="97"/>
      <c r="EJ883" s="97"/>
      <c r="EK883" s="97"/>
      <c r="EL883" s="97"/>
      <c r="EM883" s="97"/>
      <c r="EN883" s="97"/>
      <c r="EO883" s="97"/>
      <c r="EP883" s="97"/>
      <c r="EQ883" s="97"/>
      <c r="ER883" s="97"/>
      <c r="ES883" s="97"/>
      <c r="ET883" s="97"/>
    </row>
    <row r="884" spans="1:150" ht="15.75" customHeight="1">
      <c r="A884" s="97"/>
      <c r="B884" s="97"/>
      <c r="C884" s="97"/>
      <c r="D884" s="97"/>
      <c r="E884" s="97"/>
      <c r="F884" s="97"/>
      <c r="G884" s="97"/>
      <c r="H884" s="129"/>
      <c r="I884" s="97"/>
      <c r="J884" s="97"/>
      <c r="K884" s="97"/>
      <c r="L884" s="97"/>
      <c r="M884" s="97"/>
      <c r="N884" s="97"/>
      <c r="O884" s="97"/>
      <c r="P884" s="97"/>
      <c r="Q884" s="97"/>
      <c r="R884" s="97"/>
      <c r="S884" s="97"/>
      <c r="T884" s="97"/>
      <c r="U884" s="97"/>
      <c r="V884" s="97"/>
      <c r="W884" s="97"/>
      <c r="X884" s="129"/>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c r="DF884" s="97"/>
      <c r="DG884" s="97"/>
      <c r="DH884" s="97"/>
      <c r="DI884" s="97"/>
      <c r="DJ884" s="97"/>
      <c r="DK884" s="97"/>
      <c r="DL884" s="97"/>
      <c r="DM884" s="97"/>
      <c r="DN884" s="97"/>
      <c r="DO884" s="97"/>
      <c r="DP884" s="97"/>
      <c r="DQ884" s="97"/>
      <c r="DR884" s="97"/>
      <c r="DS884" s="97"/>
      <c r="DT884" s="97"/>
      <c r="DU884" s="97"/>
      <c r="DV884" s="97"/>
      <c r="DW884" s="97"/>
      <c r="DX884" s="97"/>
      <c r="DY884" s="97"/>
      <c r="DZ884" s="97"/>
      <c r="EA884" s="97"/>
      <c r="EB884" s="97"/>
      <c r="EC884" s="97"/>
      <c r="ED884" s="97"/>
      <c r="EE884" s="97"/>
      <c r="EF884" s="97"/>
      <c r="EG884" s="97"/>
      <c r="EH884" s="97"/>
      <c r="EI884" s="97"/>
      <c r="EJ884" s="97"/>
      <c r="EK884" s="97"/>
      <c r="EL884" s="97"/>
      <c r="EM884" s="97"/>
      <c r="EN884" s="97"/>
      <c r="EO884" s="97"/>
      <c r="EP884" s="97"/>
      <c r="EQ884" s="97"/>
      <c r="ER884" s="97"/>
      <c r="ES884" s="97"/>
      <c r="ET884" s="97"/>
    </row>
    <row r="885" spans="1:150" ht="15.75" customHeight="1">
      <c r="A885" s="97"/>
      <c r="B885" s="97"/>
      <c r="C885" s="97"/>
      <c r="D885" s="97"/>
      <c r="E885" s="97"/>
      <c r="F885" s="97"/>
      <c r="G885" s="97"/>
      <c r="H885" s="129"/>
      <c r="I885" s="97"/>
      <c r="J885" s="97"/>
      <c r="K885" s="97"/>
      <c r="L885" s="97"/>
      <c r="M885" s="97"/>
      <c r="N885" s="97"/>
      <c r="O885" s="97"/>
      <c r="P885" s="97"/>
      <c r="Q885" s="97"/>
      <c r="R885" s="97"/>
      <c r="S885" s="97"/>
      <c r="T885" s="97"/>
      <c r="U885" s="97"/>
      <c r="V885" s="97"/>
      <c r="W885" s="97"/>
      <c r="X885" s="129"/>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c r="DF885" s="97"/>
      <c r="DG885" s="97"/>
      <c r="DH885" s="97"/>
      <c r="DI885" s="97"/>
      <c r="DJ885" s="97"/>
      <c r="DK885" s="97"/>
      <c r="DL885" s="97"/>
      <c r="DM885" s="97"/>
      <c r="DN885" s="97"/>
      <c r="DO885" s="97"/>
      <c r="DP885" s="97"/>
      <c r="DQ885" s="97"/>
      <c r="DR885" s="97"/>
      <c r="DS885" s="97"/>
      <c r="DT885" s="97"/>
      <c r="DU885" s="97"/>
      <c r="DV885" s="97"/>
      <c r="DW885" s="97"/>
      <c r="DX885" s="97"/>
      <c r="DY885" s="97"/>
      <c r="DZ885" s="97"/>
      <c r="EA885" s="97"/>
      <c r="EB885" s="97"/>
      <c r="EC885" s="97"/>
      <c r="ED885" s="97"/>
      <c r="EE885" s="97"/>
      <c r="EF885" s="97"/>
      <c r="EG885" s="97"/>
      <c r="EH885" s="97"/>
      <c r="EI885" s="97"/>
      <c r="EJ885" s="97"/>
      <c r="EK885" s="97"/>
      <c r="EL885" s="97"/>
      <c r="EM885" s="97"/>
      <c r="EN885" s="97"/>
      <c r="EO885" s="97"/>
      <c r="EP885" s="97"/>
      <c r="EQ885" s="97"/>
      <c r="ER885" s="97"/>
      <c r="ES885" s="97"/>
      <c r="ET885" s="97"/>
    </row>
    <row r="886" spans="1:150" ht="15.75" customHeight="1">
      <c r="A886" s="97"/>
      <c r="B886" s="97"/>
      <c r="C886" s="97"/>
      <c r="D886" s="97"/>
      <c r="E886" s="97"/>
      <c r="F886" s="97"/>
      <c r="G886" s="97"/>
      <c r="H886" s="129"/>
      <c r="I886" s="97"/>
      <c r="J886" s="97"/>
      <c r="K886" s="97"/>
      <c r="L886" s="97"/>
      <c r="M886" s="97"/>
      <c r="N886" s="97"/>
      <c r="O886" s="97"/>
      <c r="P886" s="97"/>
      <c r="Q886" s="97"/>
      <c r="R886" s="97"/>
      <c r="S886" s="97"/>
      <c r="T886" s="97"/>
      <c r="U886" s="97"/>
      <c r="V886" s="97"/>
      <c r="W886" s="97"/>
      <c r="X886" s="129"/>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c r="DF886" s="97"/>
      <c r="DG886" s="97"/>
      <c r="DH886" s="97"/>
      <c r="DI886" s="97"/>
      <c r="DJ886" s="97"/>
      <c r="DK886" s="97"/>
      <c r="DL886" s="97"/>
      <c r="DM886" s="97"/>
      <c r="DN886" s="97"/>
      <c r="DO886" s="97"/>
      <c r="DP886" s="97"/>
      <c r="DQ886" s="97"/>
      <c r="DR886" s="97"/>
      <c r="DS886" s="97"/>
      <c r="DT886" s="97"/>
      <c r="DU886" s="97"/>
      <c r="DV886" s="97"/>
      <c r="DW886" s="97"/>
      <c r="DX886" s="97"/>
      <c r="DY886" s="97"/>
      <c r="DZ886" s="97"/>
      <c r="EA886" s="97"/>
      <c r="EB886" s="97"/>
      <c r="EC886" s="97"/>
      <c r="ED886" s="97"/>
      <c r="EE886" s="97"/>
      <c r="EF886" s="97"/>
      <c r="EG886" s="97"/>
      <c r="EH886" s="97"/>
      <c r="EI886" s="97"/>
      <c r="EJ886" s="97"/>
      <c r="EK886" s="97"/>
      <c r="EL886" s="97"/>
      <c r="EM886" s="97"/>
      <c r="EN886" s="97"/>
      <c r="EO886" s="97"/>
      <c r="EP886" s="97"/>
      <c r="EQ886" s="97"/>
      <c r="ER886" s="97"/>
      <c r="ES886" s="97"/>
      <c r="ET886" s="97"/>
    </row>
    <row r="887" spans="1:150" ht="15.75" customHeight="1">
      <c r="A887" s="97"/>
      <c r="B887" s="97"/>
      <c r="C887" s="97"/>
      <c r="D887" s="97"/>
      <c r="E887" s="97"/>
      <c r="F887" s="97"/>
      <c r="G887" s="97"/>
      <c r="H887" s="129"/>
      <c r="I887" s="97"/>
      <c r="J887" s="97"/>
      <c r="K887" s="97"/>
      <c r="L887" s="97"/>
      <c r="M887" s="97"/>
      <c r="N887" s="97"/>
      <c r="O887" s="97"/>
      <c r="P887" s="97"/>
      <c r="Q887" s="97"/>
      <c r="R887" s="97"/>
      <c r="S887" s="97"/>
      <c r="T887" s="97"/>
      <c r="U887" s="97"/>
      <c r="V887" s="97"/>
      <c r="W887" s="97"/>
      <c r="X887" s="129"/>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c r="DF887" s="97"/>
      <c r="DG887" s="97"/>
      <c r="DH887" s="97"/>
      <c r="DI887" s="97"/>
      <c r="DJ887" s="97"/>
      <c r="DK887" s="97"/>
      <c r="DL887" s="97"/>
      <c r="DM887" s="97"/>
      <c r="DN887" s="97"/>
      <c r="DO887" s="97"/>
      <c r="DP887" s="97"/>
      <c r="DQ887" s="97"/>
      <c r="DR887" s="97"/>
      <c r="DS887" s="97"/>
      <c r="DT887" s="97"/>
      <c r="DU887" s="97"/>
      <c r="DV887" s="97"/>
      <c r="DW887" s="97"/>
      <c r="DX887" s="97"/>
      <c r="DY887" s="97"/>
      <c r="DZ887" s="97"/>
      <c r="EA887" s="97"/>
      <c r="EB887" s="97"/>
      <c r="EC887" s="97"/>
      <c r="ED887" s="97"/>
      <c r="EE887" s="97"/>
      <c r="EF887" s="97"/>
      <c r="EG887" s="97"/>
      <c r="EH887" s="97"/>
      <c r="EI887" s="97"/>
      <c r="EJ887" s="97"/>
      <c r="EK887" s="97"/>
      <c r="EL887" s="97"/>
      <c r="EM887" s="97"/>
      <c r="EN887" s="97"/>
      <c r="EO887" s="97"/>
      <c r="EP887" s="97"/>
      <c r="EQ887" s="97"/>
      <c r="ER887" s="97"/>
      <c r="ES887" s="97"/>
      <c r="ET887" s="97"/>
    </row>
    <row r="888" spans="1:150" ht="15.75" customHeight="1">
      <c r="A888" s="97"/>
      <c r="B888" s="97"/>
      <c r="C888" s="97"/>
      <c r="D888" s="97"/>
      <c r="E888" s="97"/>
      <c r="F888" s="97"/>
      <c r="G888" s="97"/>
      <c r="H888" s="129"/>
      <c r="I888" s="97"/>
      <c r="J888" s="97"/>
      <c r="K888" s="97"/>
      <c r="L888" s="97"/>
      <c r="M888" s="97"/>
      <c r="N888" s="97"/>
      <c r="O888" s="97"/>
      <c r="P888" s="97"/>
      <c r="Q888" s="97"/>
      <c r="R888" s="97"/>
      <c r="S888" s="97"/>
      <c r="T888" s="97"/>
      <c r="U888" s="97"/>
      <c r="V888" s="97"/>
      <c r="W888" s="97"/>
      <c r="X888" s="129"/>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c r="DF888" s="97"/>
      <c r="DG888" s="97"/>
      <c r="DH888" s="97"/>
      <c r="DI888" s="97"/>
      <c r="DJ888" s="97"/>
      <c r="DK888" s="97"/>
      <c r="DL888" s="97"/>
      <c r="DM888" s="97"/>
      <c r="DN888" s="97"/>
      <c r="DO888" s="97"/>
      <c r="DP888" s="97"/>
      <c r="DQ888" s="97"/>
      <c r="DR888" s="97"/>
      <c r="DS888" s="97"/>
      <c r="DT888" s="97"/>
      <c r="DU888" s="97"/>
      <c r="DV888" s="97"/>
      <c r="DW888" s="97"/>
      <c r="DX888" s="97"/>
      <c r="DY888" s="97"/>
      <c r="DZ888" s="97"/>
      <c r="EA888" s="97"/>
      <c r="EB888" s="97"/>
      <c r="EC888" s="97"/>
      <c r="ED888" s="97"/>
      <c r="EE888" s="97"/>
      <c r="EF888" s="97"/>
      <c r="EG888" s="97"/>
      <c r="EH888" s="97"/>
      <c r="EI888" s="97"/>
      <c r="EJ888" s="97"/>
      <c r="EK888" s="97"/>
      <c r="EL888" s="97"/>
      <c r="EM888" s="97"/>
      <c r="EN888" s="97"/>
      <c r="EO888" s="97"/>
      <c r="EP888" s="97"/>
      <c r="EQ888" s="97"/>
      <c r="ER888" s="97"/>
      <c r="ES888" s="97"/>
      <c r="ET888" s="97"/>
    </row>
    <row r="889" spans="1:150" ht="15.75" customHeight="1">
      <c r="A889" s="97"/>
      <c r="B889" s="97"/>
      <c r="C889" s="97"/>
      <c r="D889" s="97"/>
      <c r="E889" s="97"/>
      <c r="F889" s="97"/>
      <c r="G889" s="97"/>
      <c r="H889" s="129"/>
      <c r="I889" s="97"/>
      <c r="J889" s="97"/>
      <c r="K889" s="97"/>
      <c r="L889" s="97"/>
      <c r="M889" s="97"/>
      <c r="N889" s="97"/>
      <c r="O889" s="97"/>
      <c r="P889" s="97"/>
      <c r="Q889" s="97"/>
      <c r="R889" s="97"/>
      <c r="S889" s="97"/>
      <c r="T889" s="97"/>
      <c r="U889" s="97"/>
      <c r="V889" s="97"/>
      <c r="W889" s="97"/>
      <c r="X889" s="129"/>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c r="DF889" s="97"/>
      <c r="DG889" s="97"/>
      <c r="DH889" s="97"/>
      <c r="DI889" s="97"/>
      <c r="DJ889" s="97"/>
      <c r="DK889" s="97"/>
      <c r="DL889" s="97"/>
      <c r="DM889" s="97"/>
      <c r="DN889" s="97"/>
      <c r="DO889" s="97"/>
      <c r="DP889" s="97"/>
      <c r="DQ889" s="97"/>
      <c r="DR889" s="97"/>
      <c r="DS889" s="97"/>
      <c r="DT889" s="97"/>
      <c r="DU889" s="97"/>
      <c r="DV889" s="97"/>
      <c r="DW889" s="97"/>
      <c r="DX889" s="97"/>
      <c r="DY889" s="97"/>
      <c r="DZ889" s="97"/>
      <c r="EA889" s="97"/>
      <c r="EB889" s="97"/>
      <c r="EC889" s="97"/>
      <c r="ED889" s="97"/>
      <c r="EE889" s="97"/>
      <c r="EF889" s="97"/>
      <c r="EG889" s="97"/>
      <c r="EH889" s="97"/>
      <c r="EI889" s="97"/>
      <c r="EJ889" s="97"/>
      <c r="EK889" s="97"/>
      <c r="EL889" s="97"/>
      <c r="EM889" s="97"/>
      <c r="EN889" s="97"/>
      <c r="EO889" s="97"/>
      <c r="EP889" s="97"/>
      <c r="EQ889" s="97"/>
      <c r="ER889" s="97"/>
      <c r="ES889" s="97"/>
      <c r="ET889" s="97"/>
    </row>
    <row r="890" spans="1:150" ht="15.75" customHeight="1">
      <c r="A890" s="97"/>
      <c r="B890" s="97"/>
      <c r="C890" s="97"/>
      <c r="D890" s="97"/>
      <c r="E890" s="97"/>
      <c r="F890" s="97"/>
      <c r="G890" s="97"/>
      <c r="H890" s="129"/>
      <c r="I890" s="97"/>
      <c r="J890" s="97"/>
      <c r="K890" s="97"/>
      <c r="L890" s="97"/>
      <c r="M890" s="97"/>
      <c r="N890" s="97"/>
      <c r="O890" s="97"/>
      <c r="P890" s="97"/>
      <c r="Q890" s="97"/>
      <c r="R890" s="97"/>
      <c r="S890" s="97"/>
      <c r="T890" s="97"/>
      <c r="U890" s="97"/>
      <c r="V890" s="97"/>
      <c r="W890" s="97"/>
      <c r="X890" s="129"/>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c r="DF890" s="97"/>
      <c r="DG890" s="97"/>
      <c r="DH890" s="97"/>
      <c r="DI890" s="97"/>
      <c r="DJ890" s="97"/>
      <c r="DK890" s="97"/>
      <c r="DL890" s="97"/>
      <c r="DM890" s="97"/>
      <c r="DN890" s="97"/>
      <c r="DO890" s="97"/>
      <c r="DP890" s="97"/>
      <c r="DQ890" s="97"/>
      <c r="DR890" s="97"/>
      <c r="DS890" s="97"/>
      <c r="DT890" s="97"/>
      <c r="DU890" s="97"/>
      <c r="DV890" s="97"/>
      <c r="DW890" s="97"/>
      <c r="DX890" s="97"/>
      <c r="DY890" s="97"/>
      <c r="DZ890" s="97"/>
      <c r="EA890" s="97"/>
      <c r="EB890" s="97"/>
      <c r="EC890" s="97"/>
      <c r="ED890" s="97"/>
      <c r="EE890" s="97"/>
      <c r="EF890" s="97"/>
      <c r="EG890" s="97"/>
      <c r="EH890" s="97"/>
      <c r="EI890" s="97"/>
      <c r="EJ890" s="97"/>
      <c r="EK890" s="97"/>
      <c r="EL890" s="97"/>
      <c r="EM890" s="97"/>
      <c r="EN890" s="97"/>
      <c r="EO890" s="97"/>
      <c r="EP890" s="97"/>
      <c r="EQ890" s="97"/>
      <c r="ER890" s="97"/>
      <c r="ES890" s="97"/>
      <c r="ET890" s="97"/>
    </row>
    <row r="891" spans="1:150" ht="15.75" customHeight="1">
      <c r="A891" s="97"/>
      <c r="B891" s="97"/>
      <c r="C891" s="97"/>
      <c r="D891" s="97"/>
      <c r="E891" s="97"/>
      <c r="F891" s="97"/>
      <c r="G891" s="97"/>
      <c r="H891" s="129"/>
      <c r="I891" s="97"/>
      <c r="J891" s="97"/>
      <c r="K891" s="97"/>
      <c r="L891" s="97"/>
      <c r="M891" s="97"/>
      <c r="N891" s="97"/>
      <c r="O891" s="97"/>
      <c r="P891" s="97"/>
      <c r="Q891" s="97"/>
      <c r="R891" s="97"/>
      <c r="S891" s="97"/>
      <c r="T891" s="97"/>
      <c r="U891" s="97"/>
      <c r="V891" s="97"/>
      <c r="W891" s="97"/>
      <c r="X891" s="129"/>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c r="DF891" s="97"/>
      <c r="DG891" s="97"/>
      <c r="DH891" s="97"/>
      <c r="DI891" s="97"/>
      <c r="DJ891" s="97"/>
      <c r="DK891" s="97"/>
      <c r="DL891" s="97"/>
      <c r="DM891" s="97"/>
      <c r="DN891" s="97"/>
      <c r="DO891" s="97"/>
      <c r="DP891" s="97"/>
      <c r="DQ891" s="97"/>
      <c r="DR891" s="97"/>
      <c r="DS891" s="97"/>
      <c r="DT891" s="97"/>
      <c r="DU891" s="97"/>
      <c r="DV891" s="97"/>
      <c r="DW891" s="97"/>
      <c r="DX891" s="97"/>
      <c r="DY891" s="97"/>
      <c r="DZ891" s="97"/>
      <c r="EA891" s="97"/>
      <c r="EB891" s="97"/>
      <c r="EC891" s="97"/>
      <c r="ED891" s="97"/>
      <c r="EE891" s="97"/>
      <c r="EF891" s="97"/>
      <c r="EG891" s="97"/>
      <c r="EH891" s="97"/>
      <c r="EI891" s="97"/>
      <c r="EJ891" s="97"/>
      <c r="EK891" s="97"/>
      <c r="EL891" s="97"/>
      <c r="EM891" s="97"/>
      <c r="EN891" s="97"/>
      <c r="EO891" s="97"/>
      <c r="EP891" s="97"/>
      <c r="EQ891" s="97"/>
      <c r="ER891" s="97"/>
      <c r="ES891" s="97"/>
      <c r="ET891" s="97"/>
    </row>
    <row r="892" spans="1:150" ht="15.75" customHeight="1">
      <c r="A892" s="97"/>
      <c r="B892" s="97"/>
      <c r="C892" s="97"/>
      <c r="D892" s="97"/>
      <c r="E892" s="97"/>
      <c r="F892" s="97"/>
      <c r="G892" s="97"/>
      <c r="H892" s="129"/>
      <c r="I892" s="97"/>
      <c r="J892" s="97"/>
      <c r="K892" s="97"/>
      <c r="L892" s="97"/>
      <c r="M892" s="97"/>
      <c r="N892" s="97"/>
      <c r="O892" s="97"/>
      <c r="P892" s="97"/>
      <c r="Q892" s="97"/>
      <c r="R892" s="97"/>
      <c r="S892" s="97"/>
      <c r="T892" s="97"/>
      <c r="U892" s="97"/>
      <c r="V892" s="97"/>
      <c r="W892" s="97"/>
      <c r="X892" s="129"/>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c r="DF892" s="97"/>
      <c r="DG892" s="97"/>
      <c r="DH892" s="97"/>
      <c r="DI892" s="97"/>
      <c r="DJ892" s="97"/>
      <c r="DK892" s="97"/>
      <c r="DL892" s="97"/>
      <c r="DM892" s="97"/>
      <c r="DN892" s="97"/>
      <c r="DO892" s="97"/>
      <c r="DP892" s="97"/>
      <c r="DQ892" s="97"/>
      <c r="DR892" s="97"/>
      <c r="DS892" s="97"/>
      <c r="DT892" s="97"/>
      <c r="DU892" s="97"/>
      <c r="DV892" s="97"/>
      <c r="DW892" s="97"/>
      <c r="DX892" s="97"/>
      <c r="DY892" s="97"/>
      <c r="DZ892" s="97"/>
      <c r="EA892" s="97"/>
      <c r="EB892" s="97"/>
      <c r="EC892" s="97"/>
      <c r="ED892" s="97"/>
      <c r="EE892" s="97"/>
      <c r="EF892" s="97"/>
      <c r="EG892" s="97"/>
      <c r="EH892" s="97"/>
      <c r="EI892" s="97"/>
      <c r="EJ892" s="97"/>
      <c r="EK892" s="97"/>
      <c r="EL892" s="97"/>
      <c r="EM892" s="97"/>
      <c r="EN892" s="97"/>
      <c r="EO892" s="97"/>
      <c r="EP892" s="97"/>
      <c r="EQ892" s="97"/>
      <c r="ER892" s="97"/>
      <c r="ES892" s="97"/>
      <c r="ET892" s="97"/>
    </row>
    <row r="893" spans="1:150" ht="15.75" customHeight="1">
      <c r="A893" s="97"/>
      <c r="B893" s="97"/>
      <c r="C893" s="97"/>
      <c r="D893" s="97"/>
      <c r="E893" s="97"/>
      <c r="F893" s="97"/>
      <c r="G893" s="97"/>
      <c r="H893" s="129"/>
      <c r="I893" s="97"/>
      <c r="J893" s="97"/>
      <c r="K893" s="97"/>
      <c r="L893" s="97"/>
      <c r="M893" s="97"/>
      <c r="N893" s="97"/>
      <c r="O893" s="97"/>
      <c r="P893" s="97"/>
      <c r="Q893" s="97"/>
      <c r="R893" s="97"/>
      <c r="S893" s="97"/>
      <c r="T893" s="97"/>
      <c r="U893" s="97"/>
      <c r="V893" s="97"/>
      <c r="W893" s="97"/>
      <c r="X893" s="129"/>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c r="DF893" s="97"/>
      <c r="DG893" s="97"/>
      <c r="DH893" s="97"/>
      <c r="DI893" s="97"/>
      <c r="DJ893" s="97"/>
      <c r="DK893" s="97"/>
      <c r="DL893" s="97"/>
      <c r="DM893" s="97"/>
      <c r="DN893" s="97"/>
      <c r="DO893" s="97"/>
      <c r="DP893" s="97"/>
      <c r="DQ893" s="97"/>
      <c r="DR893" s="97"/>
      <c r="DS893" s="97"/>
      <c r="DT893" s="97"/>
      <c r="DU893" s="97"/>
      <c r="DV893" s="97"/>
      <c r="DW893" s="97"/>
      <c r="DX893" s="97"/>
      <c r="DY893" s="97"/>
      <c r="DZ893" s="97"/>
      <c r="EA893" s="97"/>
      <c r="EB893" s="97"/>
      <c r="EC893" s="97"/>
      <c r="ED893" s="97"/>
      <c r="EE893" s="97"/>
      <c r="EF893" s="97"/>
      <c r="EG893" s="97"/>
      <c r="EH893" s="97"/>
      <c r="EI893" s="97"/>
      <c r="EJ893" s="97"/>
      <c r="EK893" s="97"/>
      <c r="EL893" s="97"/>
      <c r="EM893" s="97"/>
      <c r="EN893" s="97"/>
      <c r="EO893" s="97"/>
      <c r="EP893" s="97"/>
      <c r="EQ893" s="97"/>
      <c r="ER893" s="97"/>
      <c r="ES893" s="97"/>
      <c r="ET893" s="97"/>
    </row>
    <row r="894" spans="1:150" ht="15.75" customHeight="1">
      <c r="A894" s="97"/>
      <c r="B894" s="97"/>
      <c r="C894" s="97"/>
      <c r="D894" s="97"/>
      <c r="E894" s="97"/>
      <c r="F894" s="97"/>
      <c r="G894" s="97"/>
      <c r="H894" s="129"/>
      <c r="I894" s="97"/>
      <c r="J894" s="97"/>
      <c r="K894" s="97"/>
      <c r="L894" s="97"/>
      <c r="M894" s="97"/>
      <c r="N894" s="97"/>
      <c r="O894" s="97"/>
      <c r="P894" s="97"/>
      <c r="Q894" s="97"/>
      <c r="R894" s="97"/>
      <c r="S894" s="97"/>
      <c r="T894" s="97"/>
      <c r="U894" s="97"/>
      <c r="V894" s="97"/>
      <c r="W894" s="97"/>
      <c r="X894" s="129"/>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c r="DF894" s="97"/>
      <c r="DG894" s="97"/>
      <c r="DH894" s="97"/>
      <c r="DI894" s="97"/>
      <c r="DJ894" s="97"/>
      <c r="DK894" s="97"/>
      <c r="DL894" s="97"/>
      <c r="DM894" s="97"/>
      <c r="DN894" s="97"/>
      <c r="DO894" s="97"/>
      <c r="DP894" s="97"/>
      <c r="DQ894" s="97"/>
      <c r="DR894" s="97"/>
      <c r="DS894" s="97"/>
      <c r="DT894" s="97"/>
      <c r="DU894" s="97"/>
      <c r="DV894" s="97"/>
      <c r="DW894" s="97"/>
      <c r="DX894" s="97"/>
      <c r="DY894" s="97"/>
      <c r="DZ894" s="97"/>
      <c r="EA894" s="97"/>
      <c r="EB894" s="97"/>
      <c r="EC894" s="97"/>
      <c r="ED894" s="97"/>
      <c r="EE894" s="97"/>
      <c r="EF894" s="97"/>
      <c r="EG894" s="97"/>
      <c r="EH894" s="97"/>
      <c r="EI894" s="97"/>
      <c r="EJ894" s="97"/>
      <c r="EK894" s="97"/>
      <c r="EL894" s="97"/>
      <c r="EM894" s="97"/>
      <c r="EN894" s="97"/>
      <c r="EO894" s="97"/>
      <c r="EP894" s="97"/>
      <c r="EQ894" s="97"/>
      <c r="ER894" s="97"/>
      <c r="ES894" s="97"/>
      <c r="ET894" s="97"/>
    </row>
    <row r="895" spans="1:150" ht="15.75" customHeight="1">
      <c r="A895" s="97"/>
      <c r="B895" s="97"/>
      <c r="C895" s="97"/>
      <c r="D895" s="97"/>
      <c r="E895" s="97"/>
      <c r="F895" s="97"/>
      <c r="G895" s="97"/>
      <c r="H895" s="129"/>
      <c r="I895" s="97"/>
      <c r="J895" s="97"/>
      <c r="K895" s="97"/>
      <c r="L895" s="97"/>
      <c r="M895" s="97"/>
      <c r="N895" s="97"/>
      <c r="O895" s="97"/>
      <c r="P895" s="97"/>
      <c r="Q895" s="97"/>
      <c r="R895" s="97"/>
      <c r="S895" s="97"/>
      <c r="T895" s="97"/>
      <c r="U895" s="97"/>
      <c r="V895" s="97"/>
      <c r="W895" s="97"/>
      <c r="X895" s="129"/>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c r="DF895" s="97"/>
      <c r="DG895" s="97"/>
      <c r="DH895" s="97"/>
      <c r="DI895" s="97"/>
      <c r="DJ895" s="97"/>
      <c r="DK895" s="97"/>
      <c r="DL895" s="97"/>
      <c r="DM895" s="97"/>
      <c r="DN895" s="97"/>
      <c r="DO895" s="97"/>
      <c r="DP895" s="97"/>
      <c r="DQ895" s="97"/>
      <c r="DR895" s="97"/>
      <c r="DS895" s="97"/>
      <c r="DT895" s="97"/>
      <c r="DU895" s="97"/>
      <c r="DV895" s="97"/>
      <c r="DW895" s="97"/>
      <c r="DX895" s="97"/>
      <c r="DY895" s="97"/>
      <c r="DZ895" s="97"/>
      <c r="EA895" s="97"/>
      <c r="EB895" s="97"/>
      <c r="EC895" s="97"/>
      <c r="ED895" s="97"/>
      <c r="EE895" s="97"/>
      <c r="EF895" s="97"/>
      <c r="EG895" s="97"/>
      <c r="EH895" s="97"/>
      <c r="EI895" s="97"/>
      <c r="EJ895" s="97"/>
      <c r="EK895" s="97"/>
      <c r="EL895" s="97"/>
      <c r="EM895" s="97"/>
      <c r="EN895" s="97"/>
      <c r="EO895" s="97"/>
      <c r="EP895" s="97"/>
      <c r="EQ895" s="97"/>
      <c r="ER895" s="97"/>
      <c r="ES895" s="97"/>
      <c r="ET895" s="97"/>
    </row>
    <row r="896" spans="1:150" ht="15.75" customHeight="1">
      <c r="A896" s="97"/>
      <c r="B896" s="97"/>
      <c r="C896" s="97"/>
      <c r="D896" s="97"/>
      <c r="E896" s="97"/>
      <c r="F896" s="97"/>
      <c r="G896" s="97"/>
      <c r="H896" s="129"/>
      <c r="I896" s="97"/>
      <c r="J896" s="97"/>
      <c r="K896" s="97"/>
      <c r="L896" s="97"/>
      <c r="M896" s="97"/>
      <c r="N896" s="97"/>
      <c r="O896" s="97"/>
      <c r="P896" s="97"/>
      <c r="Q896" s="97"/>
      <c r="R896" s="97"/>
      <c r="S896" s="97"/>
      <c r="T896" s="97"/>
      <c r="U896" s="97"/>
      <c r="V896" s="97"/>
      <c r="W896" s="97"/>
      <c r="X896" s="129"/>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c r="DF896" s="97"/>
      <c r="DG896" s="97"/>
      <c r="DH896" s="97"/>
      <c r="DI896" s="97"/>
      <c r="DJ896" s="97"/>
      <c r="DK896" s="97"/>
      <c r="DL896" s="97"/>
      <c r="DM896" s="97"/>
      <c r="DN896" s="97"/>
      <c r="DO896" s="97"/>
      <c r="DP896" s="97"/>
      <c r="DQ896" s="97"/>
      <c r="DR896" s="97"/>
      <c r="DS896" s="97"/>
      <c r="DT896" s="97"/>
      <c r="DU896" s="97"/>
      <c r="DV896" s="97"/>
      <c r="DW896" s="97"/>
      <c r="DX896" s="97"/>
      <c r="DY896" s="97"/>
      <c r="DZ896" s="97"/>
      <c r="EA896" s="97"/>
      <c r="EB896" s="97"/>
      <c r="EC896" s="97"/>
      <c r="ED896" s="97"/>
      <c r="EE896" s="97"/>
      <c r="EF896" s="97"/>
      <c r="EG896" s="97"/>
      <c r="EH896" s="97"/>
      <c r="EI896" s="97"/>
      <c r="EJ896" s="97"/>
      <c r="EK896" s="97"/>
      <c r="EL896" s="97"/>
      <c r="EM896" s="97"/>
      <c r="EN896" s="97"/>
      <c r="EO896" s="97"/>
      <c r="EP896" s="97"/>
      <c r="EQ896" s="97"/>
      <c r="ER896" s="97"/>
      <c r="ES896" s="97"/>
      <c r="ET896" s="97"/>
    </row>
    <row r="897" spans="1:150" ht="15.75" customHeight="1">
      <c r="A897" s="97"/>
      <c r="B897" s="97"/>
      <c r="C897" s="97"/>
      <c r="D897" s="97"/>
      <c r="E897" s="97"/>
      <c r="F897" s="97"/>
      <c r="G897" s="97"/>
      <c r="H897" s="129"/>
      <c r="I897" s="97"/>
      <c r="J897" s="97"/>
      <c r="K897" s="97"/>
      <c r="L897" s="97"/>
      <c r="M897" s="97"/>
      <c r="N897" s="97"/>
      <c r="O897" s="97"/>
      <c r="P897" s="97"/>
      <c r="Q897" s="97"/>
      <c r="R897" s="97"/>
      <c r="S897" s="97"/>
      <c r="T897" s="97"/>
      <c r="U897" s="97"/>
      <c r="V897" s="97"/>
      <c r="W897" s="97"/>
      <c r="X897" s="129"/>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c r="DF897" s="97"/>
      <c r="DG897" s="97"/>
      <c r="DH897" s="97"/>
      <c r="DI897" s="97"/>
      <c r="DJ897" s="97"/>
      <c r="DK897" s="97"/>
      <c r="DL897" s="97"/>
      <c r="DM897" s="97"/>
      <c r="DN897" s="97"/>
      <c r="DO897" s="97"/>
      <c r="DP897" s="97"/>
      <c r="DQ897" s="97"/>
      <c r="DR897" s="97"/>
      <c r="DS897" s="97"/>
      <c r="DT897" s="97"/>
      <c r="DU897" s="97"/>
      <c r="DV897" s="97"/>
      <c r="DW897" s="97"/>
      <c r="DX897" s="97"/>
      <c r="DY897" s="97"/>
      <c r="DZ897" s="97"/>
      <c r="EA897" s="97"/>
      <c r="EB897" s="97"/>
      <c r="EC897" s="97"/>
      <c r="ED897" s="97"/>
      <c r="EE897" s="97"/>
      <c r="EF897" s="97"/>
      <c r="EG897" s="97"/>
      <c r="EH897" s="97"/>
      <c r="EI897" s="97"/>
      <c r="EJ897" s="97"/>
      <c r="EK897" s="97"/>
      <c r="EL897" s="97"/>
      <c r="EM897" s="97"/>
      <c r="EN897" s="97"/>
      <c r="EO897" s="97"/>
      <c r="EP897" s="97"/>
      <c r="EQ897" s="97"/>
      <c r="ER897" s="97"/>
      <c r="ES897" s="97"/>
      <c r="ET897" s="97"/>
    </row>
    <row r="898" spans="1:150" ht="15.75" customHeight="1">
      <c r="A898" s="97"/>
      <c r="B898" s="97"/>
      <c r="C898" s="97"/>
      <c r="D898" s="97"/>
      <c r="E898" s="97"/>
      <c r="F898" s="97"/>
      <c r="G898" s="97"/>
      <c r="H898" s="129"/>
      <c r="I898" s="97"/>
      <c r="J898" s="97"/>
      <c r="K898" s="97"/>
      <c r="L898" s="97"/>
      <c r="M898" s="97"/>
      <c r="N898" s="97"/>
      <c r="O898" s="97"/>
      <c r="P898" s="97"/>
      <c r="Q898" s="97"/>
      <c r="R898" s="97"/>
      <c r="S898" s="97"/>
      <c r="T898" s="97"/>
      <c r="U898" s="97"/>
      <c r="V898" s="97"/>
      <c r="W898" s="97"/>
      <c r="X898" s="129"/>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c r="DF898" s="97"/>
      <c r="DG898" s="97"/>
      <c r="DH898" s="97"/>
      <c r="DI898" s="97"/>
      <c r="DJ898" s="97"/>
      <c r="DK898" s="97"/>
      <c r="DL898" s="97"/>
      <c r="DM898" s="97"/>
      <c r="DN898" s="97"/>
      <c r="DO898" s="97"/>
      <c r="DP898" s="97"/>
      <c r="DQ898" s="97"/>
      <c r="DR898" s="97"/>
      <c r="DS898" s="97"/>
      <c r="DT898" s="97"/>
      <c r="DU898" s="97"/>
      <c r="DV898" s="97"/>
      <c r="DW898" s="97"/>
      <c r="DX898" s="97"/>
      <c r="DY898" s="97"/>
      <c r="DZ898" s="97"/>
      <c r="EA898" s="97"/>
      <c r="EB898" s="97"/>
      <c r="EC898" s="97"/>
      <c r="ED898" s="97"/>
      <c r="EE898" s="97"/>
      <c r="EF898" s="97"/>
      <c r="EG898" s="97"/>
      <c r="EH898" s="97"/>
      <c r="EI898" s="97"/>
      <c r="EJ898" s="97"/>
      <c r="EK898" s="97"/>
      <c r="EL898" s="97"/>
      <c r="EM898" s="97"/>
      <c r="EN898" s="97"/>
      <c r="EO898" s="97"/>
      <c r="EP898" s="97"/>
      <c r="EQ898" s="97"/>
      <c r="ER898" s="97"/>
      <c r="ES898" s="97"/>
      <c r="ET898" s="97"/>
    </row>
    <row r="899" spans="1:150" ht="15.75" customHeight="1">
      <c r="A899" s="97"/>
      <c r="B899" s="97"/>
      <c r="C899" s="97"/>
      <c r="D899" s="97"/>
      <c r="E899" s="97"/>
      <c r="F899" s="97"/>
      <c r="G899" s="97"/>
      <c r="H899" s="129"/>
      <c r="I899" s="97"/>
      <c r="J899" s="97"/>
      <c r="K899" s="97"/>
      <c r="L899" s="97"/>
      <c r="M899" s="97"/>
      <c r="N899" s="97"/>
      <c r="O899" s="97"/>
      <c r="P899" s="97"/>
      <c r="Q899" s="97"/>
      <c r="R899" s="97"/>
      <c r="S899" s="97"/>
      <c r="T899" s="97"/>
      <c r="U899" s="97"/>
      <c r="V899" s="97"/>
      <c r="W899" s="97"/>
      <c r="X899" s="129"/>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c r="DF899" s="97"/>
      <c r="DG899" s="97"/>
      <c r="DH899" s="97"/>
      <c r="DI899" s="97"/>
      <c r="DJ899" s="97"/>
      <c r="DK899" s="97"/>
      <c r="DL899" s="97"/>
      <c r="DM899" s="97"/>
      <c r="DN899" s="97"/>
      <c r="DO899" s="97"/>
      <c r="DP899" s="97"/>
      <c r="DQ899" s="97"/>
      <c r="DR899" s="97"/>
      <c r="DS899" s="97"/>
      <c r="DT899" s="97"/>
      <c r="DU899" s="97"/>
      <c r="DV899" s="97"/>
      <c r="DW899" s="97"/>
      <c r="DX899" s="97"/>
      <c r="DY899" s="97"/>
      <c r="DZ899" s="97"/>
      <c r="EA899" s="97"/>
      <c r="EB899" s="97"/>
      <c r="EC899" s="97"/>
      <c r="ED899" s="97"/>
      <c r="EE899" s="97"/>
      <c r="EF899" s="97"/>
      <c r="EG899" s="97"/>
      <c r="EH899" s="97"/>
      <c r="EI899" s="97"/>
      <c r="EJ899" s="97"/>
      <c r="EK899" s="97"/>
      <c r="EL899" s="97"/>
      <c r="EM899" s="97"/>
      <c r="EN899" s="97"/>
      <c r="EO899" s="97"/>
      <c r="EP899" s="97"/>
      <c r="EQ899" s="97"/>
      <c r="ER899" s="97"/>
      <c r="ES899" s="97"/>
      <c r="ET899" s="97"/>
    </row>
    <row r="900" spans="1:150" ht="15.75" customHeight="1">
      <c r="A900" s="97"/>
      <c r="B900" s="97"/>
      <c r="C900" s="97"/>
      <c r="D900" s="97"/>
      <c r="E900" s="97"/>
      <c r="F900" s="97"/>
      <c r="G900" s="97"/>
      <c r="H900" s="129"/>
      <c r="I900" s="97"/>
      <c r="J900" s="97"/>
      <c r="K900" s="97"/>
      <c r="L900" s="97"/>
      <c r="M900" s="97"/>
      <c r="N900" s="97"/>
      <c r="O900" s="97"/>
      <c r="P900" s="97"/>
      <c r="Q900" s="97"/>
      <c r="R900" s="97"/>
      <c r="S900" s="97"/>
      <c r="T900" s="97"/>
      <c r="U900" s="97"/>
      <c r="V900" s="97"/>
      <c r="W900" s="97"/>
      <c r="X900" s="129"/>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c r="DF900" s="97"/>
      <c r="DG900" s="97"/>
      <c r="DH900" s="97"/>
      <c r="DI900" s="97"/>
      <c r="DJ900" s="97"/>
      <c r="DK900" s="97"/>
      <c r="DL900" s="97"/>
      <c r="DM900" s="97"/>
      <c r="DN900" s="97"/>
      <c r="DO900" s="97"/>
      <c r="DP900" s="97"/>
      <c r="DQ900" s="97"/>
      <c r="DR900" s="97"/>
      <c r="DS900" s="97"/>
      <c r="DT900" s="97"/>
      <c r="DU900" s="97"/>
      <c r="DV900" s="97"/>
      <c r="DW900" s="97"/>
      <c r="DX900" s="97"/>
      <c r="DY900" s="97"/>
      <c r="DZ900" s="97"/>
      <c r="EA900" s="97"/>
      <c r="EB900" s="97"/>
      <c r="EC900" s="97"/>
      <c r="ED900" s="97"/>
      <c r="EE900" s="97"/>
      <c r="EF900" s="97"/>
      <c r="EG900" s="97"/>
      <c r="EH900" s="97"/>
      <c r="EI900" s="97"/>
      <c r="EJ900" s="97"/>
      <c r="EK900" s="97"/>
      <c r="EL900" s="97"/>
      <c r="EM900" s="97"/>
      <c r="EN900" s="97"/>
      <c r="EO900" s="97"/>
      <c r="EP900" s="97"/>
      <c r="EQ900" s="97"/>
      <c r="ER900" s="97"/>
      <c r="ES900" s="97"/>
      <c r="ET900" s="97"/>
    </row>
    <row r="901" spans="1:150" ht="15.75" customHeight="1">
      <c r="A901" s="97"/>
      <c r="B901" s="97"/>
      <c r="C901" s="97"/>
      <c r="D901" s="97"/>
      <c r="E901" s="97"/>
      <c r="F901" s="97"/>
      <c r="G901" s="97"/>
      <c r="H901" s="129"/>
      <c r="I901" s="97"/>
      <c r="J901" s="97"/>
      <c r="K901" s="97"/>
      <c r="L901" s="97"/>
      <c r="M901" s="97"/>
      <c r="N901" s="97"/>
      <c r="O901" s="97"/>
      <c r="P901" s="97"/>
      <c r="Q901" s="97"/>
      <c r="R901" s="97"/>
      <c r="S901" s="97"/>
      <c r="T901" s="97"/>
      <c r="U901" s="97"/>
      <c r="V901" s="97"/>
      <c r="W901" s="97"/>
      <c r="X901" s="129"/>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c r="DF901" s="97"/>
      <c r="DG901" s="97"/>
      <c r="DH901" s="97"/>
      <c r="DI901" s="97"/>
      <c r="DJ901" s="97"/>
      <c r="DK901" s="97"/>
      <c r="DL901" s="97"/>
      <c r="DM901" s="97"/>
      <c r="DN901" s="97"/>
      <c r="DO901" s="97"/>
      <c r="DP901" s="97"/>
      <c r="DQ901" s="97"/>
      <c r="DR901" s="97"/>
      <c r="DS901" s="97"/>
      <c r="DT901" s="97"/>
      <c r="DU901" s="97"/>
      <c r="DV901" s="97"/>
      <c r="DW901" s="97"/>
      <c r="DX901" s="97"/>
      <c r="DY901" s="97"/>
      <c r="DZ901" s="97"/>
      <c r="EA901" s="97"/>
      <c r="EB901" s="97"/>
      <c r="EC901" s="97"/>
      <c r="ED901" s="97"/>
      <c r="EE901" s="97"/>
      <c r="EF901" s="97"/>
      <c r="EG901" s="97"/>
      <c r="EH901" s="97"/>
      <c r="EI901" s="97"/>
      <c r="EJ901" s="97"/>
      <c r="EK901" s="97"/>
      <c r="EL901" s="97"/>
      <c r="EM901" s="97"/>
      <c r="EN901" s="97"/>
      <c r="EO901" s="97"/>
      <c r="EP901" s="97"/>
      <c r="EQ901" s="97"/>
      <c r="ER901" s="97"/>
      <c r="ES901" s="97"/>
      <c r="ET901" s="97"/>
    </row>
    <row r="902" spans="1:150" ht="15.75" customHeight="1">
      <c r="A902" s="97"/>
      <c r="B902" s="97"/>
      <c r="C902" s="97"/>
      <c r="D902" s="97"/>
      <c r="E902" s="97"/>
      <c r="F902" s="97"/>
      <c r="G902" s="97"/>
      <c r="H902" s="129"/>
      <c r="I902" s="97"/>
      <c r="J902" s="97"/>
      <c r="K902" s="97"/>
      <c r="L902" s="97"/>
      <c r="M902" s="97"/>
      <c r="N902" s="97"/>
      <c r="O902" s="97"/>
      <c r="P902" s="97"/>
      <c r="Q902" s="97"/>
      <c r="R902" s="97"/>
      <c r="S902" s="97"/>
      <c r="T902" s="97"/>
      <c r="U902" s="97"/>
      <c r="V902" s="97"/>
      <c r="W902" s="97"/>
      <c r="X902" s="129"/>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c r="DF902" s="97"/>
      <c r="DG902" s="97"/>
      <c r="DH902" s="97"/>
      <c r="DI902" s="97"/>
      <c r="DJ902" s="97"/>
      <c r="DK902" s="97"/>
      <c r="DL902" s="97"/>
      <c r="DM902" s="97"/>
      <c r="DN902" s="97"/>
      <c r="DO902" s="97"/>
      <c r="DP902" s="97"/>
      <c r="DQ902" s="97"/>
      <c r="DR902" s="97"/>
      <c r="DS902" s="97"/>
      <c r="DT902" s="97"/>
      <c r="DU902" s="97"/>
      <c r="DV902" s="97"/>
      <c r="DW902" s="97"/>
      <c r="DX902" s="97"/>
      <c r="DY902" s="97"/>
      <c r="DZ902" s="97"/>
      <c r="EA902" s="97"/>
      <c r="EB902" s="97"/>
      <c r="EC902" s="97"/>
      <c r="ED902" s="97"/>
      <c r="EE902" s="97"/>
      <c r="EF902" s="97"/>
      <c r="EG902" s="97"/>
      <c r="EH902" s="97"/>
      <c r="EI902" s="97"/>
      <c r="EJ902" s="97"/>
      <c r="EK902" s="97"/>
      <c r="EL902" s="97"/>
      <c r="EM902" s="97"/>
      <c r="EN902" s="97"/>
      <c r="EO902" s="97"/>
      <c r="EP902" s="97"/>
      <c r="EQ902" s="97"/>
      <c r="ER902" s="97"/>
      <c r="ES902" s="97"/>
      <c r="ET902" s="97"/>
    </row>
    <row r="903" spans="1:150" ht="15.75" customHeight="1">
      <c r="A903" s="97"/>
      <c r="B903" s="97"/>
      <c r="C903" s="97"/>
      <c r="D903" s="97"/>
      <c r="E903" s="97"/>
      <c r="F903" s="97"/>
      <c r="G903" s="97"/>
      <c r="H903" s="129"/>
      <c r="I903" s="97"/>
      <c r="J903" s="97"/>
      <c r="K903" s="97"/>
      <c r="L903" s="97"/>
      <c r="M903" s="97"/>
      <c r="N903" s="97"/>
      <c r="O903" s="97"/>
      <c r="P903" s="97"/>
      <c r="Q903" s="97"/>
      <c r="R903" s="97"/>
      <c r="S903" s="97"/>
      <c r="T903" s="97"/>
      <c r="U903" s="97"/>
      <c r="V903" s="97"/>
      <c r="W903" s="97"/>
      <c r="X903" s="129"/>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c r="DF903" s="97"/>
      <c r="DG903" s="97"/>
      <c r="DH903" s="97"/>
      <c r="DI903" s="97"/>
      <c r="DJ903" s="97"/>
      <c r="DK903" s="97"/>
      <c r="DL903" s="97"/>
      <c r="DM903" s="97"/>
      <c r="DN903" s="97"/>
      <c r="DO903" s="97"/>
      <c r="DP903" s="97"/>
      <c r="DQ903" s="97"/>
      <c r="DR903" s="97"/>
      <c r="DS903" s="97"/>
      <c r="DT903" s="97"/>
      <c r="DU903" s="97"/>
      <c r="DV903" s="97"/>
      <c r="DW903" s="97"/>
      <c r="DX903" s="97"/>
      <c r="DY903" s="97"/>
      <c r="DZ903" s="97"/>
      <c r="EA903" s="97"/>
      <c r="EB903" s="97"/>
      <c r="EC903" s="97"/>
      <c r="ED903" s="97"/>
      <c r="EE903" s="97"/>
      <c r="EF903" s="97"/>
      <c r="EG903" s="97"/>
      <c r="EH903" s="97"/>
      <c r="EI903" s="97"/>
      <c r="EJ903" s="97"/>
      <c r="EK903" s="97"/>
      <c r="EL903" s="97"/>
      <c r="EM903" s="97"/>
      <c r="EN903" s="97"/>
      <c r="EO903" s="97"/>
      <c r="EP903" s="97"/>
      <c r="EQ903" s="97"/>
      <c r="ER903" s="97"/>
      <c r="ES903" s="97"/>
      <c r="ET903" s="97"/>
    </row>
    <row r="904" spans="1:150" ht="15.75" customHeight="1">
      <c r="A904" s="97"/>
      <c r="B904" s="97"/>
      <c r="C904" s="97"/>
      <c r="D904" s="97"/>
      <c r="E904" s="97"/>
      <c r="F904" s="97"/>
      <c r="G904" s="97"/>
      <c r="H904" s="129"/>
      <c r="I904" s="97"/>
      <c r="J904" s="97"/>
      <c r="K904" s="97"/>
      <c r="L904" s="97"/>
      <c r="M904" s="97"/>
      <c r="N904" s="97"/>
      <c r="O904" s="97"/>
      <c r="P904" s="97"/>
      <c r="Q904" s="97"/>
      <c r="R904" s="97"/>
      <c r="S904" s="97"/>
      <c r="T904" s="97"/>
      <c r="U904" s="97"/>
      <c r="V904" s="97"/>
      <c r="W904" s="97"/>
      <c r="X904" s="129"/>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c r="DF904" s="97"/>
      <c r="DG904" s="97"/>
      <c r="DH904" s="97"/>
      <c r="DI904" s="97"/>
      <c r="DJ904" s="97"/>
      <c r="DK904" s="97"/>
      <c r="DL904" s="97"/>
      <c r="DM904" s="97"/>
      <c r="DN904" s="97"/>
      <c r="DO904" s="97"/>
      <c r="DP904" s="97"/>
      <c r="DQ904" s="97"/>
      <c r="DR904" s="97"/>
      <c r="DS904" s="97"/>
      <c r="DT904" s="97"/>
      <c r="DU904" s="97"/>
      <c r="DV904" s="97"/>
      <c r="DW904" s="97"/>
      <c r="DX904" s="97"/>
      <c r="DY904" s="97"/>
      <c r="DZ904" s="97"/>
      <c r="EA904" s="97"/>
      <c r="EB904" s="97"/>
      <c r="EC904" s="97"/>
      <c r="ED904" s="97"/>
      <c r="EE904" s="97"/>
      <c r="EF904" s="97"/>
      <c r="EG904" s="97"/>
      <c r="EH904" s="97"/>
      <c r="EI904" s="97"/>
      <c r="EJ904" s="97"/>
      <c r="EK904" s="97"/>
      <c r="EL904" s="97"/>
      <c r="EM904" s="97"/>
      <c r="EN904" s="97"/>
      <c r="EO904" s="97"/>
      <c r="EP904" s="97"/>
      <c r="EQ904" s="97"/>
      <c r="ER904" s="97"/>
      <c r="ES904" s="97"/>
      <c r="ET904" s="97"/>
    </row>
    <row r="905" spans="1:150" ht="15.75" customHeight="1">
      <c r="A905" s="97"/>
      <c r="B905" s="97"/>
      <c r="C905" s="97"/>
      <c r="D905" s="97"/>
      <c r="E905" s="97"/>
      <c r="F905" s="97"/>
      <c r="G905" s="97"/>
      <c r="H905" s="129"/>
      <c r="I905" s="97"/>
      <c r="J905" s="97"/>
      <c r="K905" s="97"/>
      <c r="L905" s="97"/>
      <c r="M905" s="97"/>
      <c r="N905" s="97"/>
      <c r="O905" s="97"/>
      <c r="P905" s="97"/>
      <c r="Q905" s="97"/>
      <c r="R905" s="97"/>
      <c r="S905" s="97"/>
      <c r="T905" s="97"/>
      <c r="U905" s="97"/>
      <c r="V905" s="97"/>
      <c r="W905" s="97"/>
      <c r="X905" s="129"/>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c r="DF905" s="97"/>
      <c r="DG905" s="97"/>
      <c r="DH905" s="97"/>
      <c r="DI905" s="97"/>
      <c r="DJ905" s="97"/>
      <c r="DK905" s="97"/>
      <c r="DL905" s="97"/>
      <c r="DM905" s="97"/>
      <c r="DN905" s="97"/>
      <c r="DO905" s="97"/>
      <c r="DP905" s="97"/>
      <c r="DQ905" s="97"/>
      <c r="DR905" s="97"/>
      <c r="DS905" s="97"/>
      <c r="DT905" s="97"/>
      <c r="DU905" s="97"/>
      <c r="DV905" s="97"/>
      <c r="DW905" s="97"/>
      <c r="DX905" s="97"/>
      <c r="DY905" s="97"/>
      <c r="DZ905" s="97"/>
      <c r="EA905" s="97"/>
      <c r="EB905" s="97"/>
      <c r="EC905" s="97"/>
      <c r="ED905" s="97"/>
      <c r="EE905" s="97"/>
      <c r="EF905" s="97"/>
      <c r="EG905" s="97"/>
      <c r="EH905" s="97"/>
      <c r="EI905" s="97"/>
      <c r="EJ905" s="97"/>
      <c r="EK905" s="97"/>
      <c r="EL905" s="97"/>
      <c r="EM905" s="97"/>
      <c r="EN905" s="97"/>
      <c r="EO905" s="97"/>
      <c r="EP905" s="97"/>
      <c r="EQ905" s="97"/>
      <c r="ER905" s="97"/>
      <c r="ES905" s="97"/>
      <c r="ET905" s="97"/>
    </row>
    <row r="906" spans="1:150" ht="15.75" customHeight="1">
      <c r="A906" s="97"/>
      <c r="B906" s="97"/>
      <c r="C906" s="97"/>
      <c r="D906" s="97"/>
      <c r="E906" s="97"/>
      <c r="F906" s="97"/>
      <c r="G906" s="97"/>
      <c r="H906" s="129"/>
      <c r="I906" s="97"/>
      <c r="J906" s="97"/>
      <c r="K906" s="97"/>
      <c r="L906" s="97"/>
      <c r="M906" s="97"/>
      <c r="N906" s="97"/>
      <c r="O906" s="97"/>
      <c r="P906" s="97"/>
      <c r="Q906" s="97"/>
      <c r="R906" s="97"/>
      <c r="S906" s="97"/>
      <c r="T906" s="97"/>
      <c r="U906" s="97"/>
      <c r="V906" s="97"/>
      <c r="W906" s="97"/>
      <c r="X906" s="129"/>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c r="DF906" s="97"/>
      <c r="DG906" s="97"/>
      <c r="DH906" s="97"/>
      <c r="DI906" s="97"/>
      <c r="DJ906" s="97"/>
      <c r="DK906" s="97"/>
      <c r="DL906" s="97"/>
      <c r="DM906" s="97"/>
      <c r="DN906" s="97"/>
      <c r="DO906" s="97"/>
      <c r="DP906" s="97"/>
      <c r="DQ906" s="97"/>
      <c r="DR906" s="97"/>
      <c r="DS906" s="97"/>
      <c r="DT906" s="97"/>
      <c r="DU906" s="97"/>
      <c r="DV906" s="97"/>
      <c r="DW906" s="97"/>
      <c r="DX906" s="97"/>
      <c r="DY906" s="97"/>
      <c r="DZ906" s="97"/>
      <c r="EA906" s="97"/>
      <c r="EB906" s="97"/>
      <c r="EC906" s="97"/>
      <c r="ED906" s="97"/>
      <c r="EE906" s="97"/>
      <c r="EF906" s="97"/>
      <c r="EG906" s="97"/>
      <c r="EH906" s="97"/>
      <c r="EI906" s="97"/>
      <c r="EJ906" s="97"/>
      <c r="EK906" s="97"/>
      <c r="EL906" s="97"/>
      <c r="EM906" s="97"/>
      <c r="EN906" s="97"/>
      <c r="EO906" s="97"/>
      <c r="EP906" s="97"/>
      <c r="EQ906" s="97"/>
      <c r="ER906" s="97"/>
      <c r="ES906" s="97"/>
      <c r="ET906" s="97"/>
    </row>
    <row r="907" spans="1:150" ht="15.75" customHeight="1">
      <c r="A907" s="97"/>
      <c r="B907" s="97"/>
      <c r="C907" s="97"/>
      <c r="D907" s="97"/>
      <c r="E907" s="97"/>
      <c r="F907" s="97"/>
      <c r="G907" s="97"/>
      <c r="H907" s="129"/>
      <c r="I907" s="97"/>
      <c r="J907" s="97"/>
      <c r="K907" s="97"/>
      <c r="L907" s="97"/>
      <c r="M907" s="97"/>
      <c r="N907" s="97"/>
      <c r="O907" s="97"/>
      <c r="P907" s="97"/>
      <c r="Q907" s="97"/>
      <c r="R907" s="97"/>
      <c r="S907" s="97"/>
      <c r="T907" s="97"/>
      <c r="U907" s="97"/>
      <c r="V907" s="97"/>
      <c r="W907" s="97"/>
      <c r="X907" s="129"/>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c r="DF907" s="97"/>
      <c r="DG907" s="97"/>
      <c r="DH907" s="97"/>
      <c r="DI907" s="97"/>
      <c r="DJ907" s="97"/>
      <c r="DK907" s="97"/>
      <c r="DL907" s="97"/>
      <c r="DM907" s="97"/>
      <c r="DN907" s="97"/>
      <c r="DO907" s="97"/>
      <c r="DP907" s="97"/>
      <c r="DQ907" s="97"/>
      <c r="DR907" s="97"/>
      <c r="DS907" s="97"/>
      <c r="DT907" s="97"/>
      <c r="DU907" s="97"/>
      <c r="DV907" s="97"/>
      <c r="DW907" s="97"/>
      <c r="DX907" s="97"/>
      <c r="DY907" s="97"/>
      <c r="DZ907" s="97"/>
      <c r="EA907" s="97"/>
      <c r="EB907" s="97"/>
      <c r="EC907" s="97"/>
      <c r="ED907" s="97"/>
      <c r="EE907" s="97"/>
      <c r="EF907" s="97"/>
      <c r="EG907" s="97"/>
      <c r="EH907" s="97"/>
      <c r="EI907" s="97"/>
      <c r="EJ907" s="97"/>
      <c r="EK907" s="97"/>
      <c r="EL907" s="97"/>
      <c r="EM907" s="97"/>
      <c r="EN907" s="97"/>
      <c r="EO907" s="97"/>
      <c r="EP907" s="97"/>
      <c r="EQ907" s="97"/>
      <c r="ER907" s="97"/>
      <c r="ES907" s="97"/>
      <c r="ET907" s="97"/>
    </row>
    <row r="908" spans="1:150" ht="15.75" customHeight="1">
      <c r="A908" s="97"/>
      <c r="B908" s="97"/>
      <c r="C908" s="97"/>
      <c r="D908" s="97"/>
      <c r="E908" s="97"/>
      <c r="F908" s="97"/>
      <c r="G908" s="97"/>
      <c r="H908" s="129"/>
      <c r="I908" s="97"/>
      <c r="J908" s="97"/>
      <c r="K908" s="97"/>
      <c r="L908" s="97"/>
      <c r="M908" s="97"/>
      <c r="N908" s="97"/>
      <c r="O908" s="97"/>
      <c r="P908" s="97"/>
      <c r="Q908" s="97"/>
      <c r="R908" s="97"/>
      <c r="S908" s="97"/>
      <c r="T908" s="97"/>
      <c r="U908" s="97"/>
      <c r="V908" s="97"/>
      <c r="W908" s="97"/>
      <c r="X908" s="129"/>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c r="DF908" s="97"/>
      <c r="DG908" s="97"/>
      <c r="DH908" s="97"/>
      <c r="DI908" s="97"/>
      <c r="DJ908" s="97"/>
      <c r="DK908" s="97"/>
      <c r="DL908" s="97"/>
      <c r="DM908" s="97"/>
      <c r="DN908" s="97"/>
      <c r="DO908" s="97"/>
      <c r="DP908" s="97"/>
      <c r="DQ908" s="97"/>
      <c r="DR908" s="97"/>
      <c r="DS908" s="97"/>
      <c r="DT908" s="97"/>
      <c r="DU908" s="97"/>
      <c r="DV908" s="97"/>
      <c r="DW908" s="97"/>
      <c r="DX908" s="97"/>
      <c r="DY908" s="97"/>
      <c r="DZ908" s="97"/>
      <c r="EA908" s="97"/>
      <c r="EB908" s="97"/>
      <c r="EC908" s="97"/>
      <c r="ED908" s="97"/>
      <c r="EE908" s="97"/>
      <c r="EF908" s="97"/>
      <c r="EG908" s="97"/>
      <c r="EH908" s="97"/>
      <c r="EI908" s="97"/>
      <c r="EJ908" s="97"/>
      <c r="EK908" s="97"/>
      <c r="EL908" s="97"/>
      <c r="EM908" s="97"/>
      <c r="EN908" s="97"/>
      <c r="EO908" s="97"/>
      <c r="EP908" s="97"/>
      <c r="EQ908" s="97"/>
      <c r="ER908" s="97"/>
      <c r="ES908" s="97"/>
      <c r="ET908" s="97"/>
    </row>
    <row r="909" spans="1:150" ht="15.75" customHeight="1">
      <c r="A909" s="97"/>
      <c r="B909" s="97"/>
      <c r="C909" s="97"/>
      <c r="D909" s="97"/>
      <c r="E909" s="97"/>
      <c r="F909" s="97"/>
      <c r="G909" s="97"/>
      <c r="H909" s="129"/>
      <c r="I909" s="97"/>
      <c r="J909" s="97"/>
      <c r="K909" s="97"/>
      <c r="L909" s="97"/>
      <c r="M909" s="97"/>
      <c r="N909" s="97"/>
      <c r="O909" s="97"/>
      <c r="P909" s="97"/>
      <c r="Q909" s="97"/>
      <c r="R909" s="97"/>
      <c r="S909" s="97"/>
      <c r="T909" s="97"/>
      <c r="U909" s="97"/>
      <c r="V909" s="97"/>
      <c r="W909" s="97"/>
      <c r="X909" s="129"/>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c r="DF909" s="97"/>
      <c r="DG909" s="97"/>
      <c r="DH909" s="97"/>
      <c r="DI909" s="97"/>
      <c r="DJ909" s="97"/>
      <c r="DK909" s="97"/>
      <c r="DL909" s="97"/>
      <c r="DM909" s="97"/>
      <c r="DN909" s="97"/>
      <c r="DO909" s="97"/>
      <c r="DP909" s="97"/>
      <c r="DQ909" s="97"/>
      <c r="DR909" s="97"/>
      <c r="DS909" s="97"/>
      <c r="DT909" s="97"/>
      <c r="DU909" s="97"/>
      <c r="DV909" s="97"/>
      <c r="DW909" s="97"/>
      <c r="DX909" s="97"/>
      <c r="DY909" s="97"/>
      <c r="DZ909" s="97"/>
      <c r="EA909" s="97"/>
      <c r="EB909" s="97"/>
      <c r="EC909" s="97"/>
      <c r="ED909" s="97"/>
      <c r="EE909" s="97"/>
      <c r="EF909" s="97"/>
      <c r="EG909" s="97"/>
      <c r="EH909" s="97"/>
      <c r="EI909" s="97"/>
      <c r="EJ909" s="97"/>
      <c r="EK909" s="97"/>
      <c r="EL909" s="97"/>
      <c r="EM909" s="97"/>
      <c r="EN909" s="97"/>
      <c r="EO909" s="97"/>
      <c r="EP909" s="97"/>
      <c r="EQ909" s="97"/>
      <c r="ER909" s="97"/>
      <c r="ES909" s="97"/>
      <c r="ET909" s="97"/>
    </row>
    <row r="910" spans="1:150" ht="15.75" customHeight="1">
      <c r="A910" s="97"/>
      <c r="B910" s="97"/>
      <c r="C910" s="97"/>
      <c r="D910" s="97"/>
      <c r="E910" s="97"/>
      <c r="F910" s="97"/>
      <c r="G910" s="97"/>
      <c r="H910" s="129"/>
      <c r="I910" s="97"/>
      <c r="J910" s="97"/>
      <c r="K910" s="97"/>
      <c r="L910" s="97"/>
      <c r="M910" s="97"/>
      <c r="N910" s="97"/>
      <c r="O910" s="97"/>
      <c r="P910" s="97"/>
      <c r="Q910" s="97"/>
      <c r="R910" s="97"/>
      <c r="S910" s="97"/>
      <c r="T910" s="97"/>
      <c r="U910" s="97"/>
      <c r="V910" s="97"/>
      <c r="W910" s="97"/>
      <c r="X910" s="129"/>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c r="DF910" s="97"/>
      <c r="DG910" s="97"/>
      <c r="DH910" s="97"/>
      <c r="DI910" s="97"/>
      <c r="DJ910" s="97"/>
      <c r="DK910" s="97"/>
      <c r="DL910" s="97"/>
      <c r="DM910" s="97"/>
      <c r="DN910" s="97"/>
      <c r="DO910" s="97"/>
      <c r="DP910" s="97"/>
      <c r="DQ910" s="97"/>
      <c r="DR910" s="97"/>
      <c r="DS910" s="97"/>
      <c r="DT910" s="97"/>
      <c r="DU910" s="97"/>
      <c r="DV910" s="97"/>
      <c r="DW910" s="97"/>
      <c r="DX910" s="97"/>
      <c r="DY910" s="97"/>
      <c r="DZ910" s="97"/>
      <c r="EA910" s="97"/>
      <c r="EB910" s="97"/>
      <c r="EC910" s="97"/>
      <c r="ED910" s="97"/>
      <c r="EE910" s="97"/>
      <c r="EF910" s="97"/>
      <c r="EG910" s="97"/>
      <c r="EH910" s="97"/>
      <c r="EI910" s="97"/>
      <c r="EJ910" s="97"/>
      <c r="EK910" s="97"/>
      <c r="EL910" s="97"/>
      <c r="EM910" s="97"/>
      <c r="EN910" s="97"/>
      <c r="EO910" s="97"/>
      <c r="EP910" s="97"/>
      <c r="EQ910" s="97"/>
      <c r="ER910" s="97"/>
      <c r="ES910" s="97"/>
      <c r="ET910" s="97"/>
    </row>
    <row r="911" spans="1:150" ht="15.75" customHeight="1">
      <c r="A911" s="97"/>
      <c r="B911" s="97"/>
      <c r="C911" s="97"/>
      <c r="D911" s="97"/>
      <c r="E911" s="97"/>
      <c r="F911" s="97"/>
      <c r="G911" s="97"/>
      <c r="H911" s="129"/>
      <c r="I911" s="97"/>
      <c r="J911" s="97"/>
      <c r="K911" s="97"/>
      <c r="L911" s="97"/>
      <c r="M911" s="97"/>
      <c r="N911" s="97"/>
      <c r="O911" s="97"/>
      <c r="P911" s="97"/>
      <c r="Q911" s="97"/>
      <c r="R911" s="97"/>
      <c r="S911" s="97"/>
      <c r="T911" s="97"/>
      <c r="U911" s="97"/>
      <c r="V911" s="97"/>
      <c r="W911" s="97"/>
      <c r="X911" s="129"/>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c r="DF911" s="97"/>
      <c r="DG911" s="97"/>
      <c r="DH911" s="97"/>
      <c r="DI911" s="97"/>
      <c r="DJ911" s="97"/>
      <c r="DK911" s="97"/>
      <c r="DL911" s="97"/>
      <c r="DM911" s="97"/>
      <c r="DN911" s="97"/>
      <c r="DO911" s="97"/>
      <c r="DP911" s="97"/>
      <c r="DQ911" s="97"/>
      <c r="DR911" s="97"/>
      <c r="DS911" s="97"/>
      <c r="DT911" s="97"/>
      <c r="DU911" s="97"/>
      <c r="DV911" s="97"/>
      <c r="DW911" s="97"/>
      <c r="DX911" s="97"/>
      <c r="DY911" s="97"/>
      <c r="DZ911" s="97"/>
      <c r="EA911" s="97"/>
      <c r="EB911" s="97"/>
      <c r="EC911" s="97"/>
      <c r="ED911" s="97"/>
      <c r="EE911" s="97"/>
      <c r="EF911" s="97"/>
      <c r="EG911" s="97"/>
      <c r="EH911" s="97"/>
      <c r="EI911" s="97"/>
      <c r="EJ911" s="97"/>
      <c r="EK911" s="97"/>
      <c r="EL911" s="97"/>
      <c r="EM911" s="97"/>
      <c r="EN911" s="97"/>
      <c r="EO911" s="97"/>
      <c r="EP911" s="97"/>
      <c r="EQ911" s="97"/>
      <c r="ER911" s="97"/>
      <c r="ES911" s="97"/>
      <c r="ET911" s="97"/>
    </row>
    <row r="912" spans="1:150" ht="15.75" customHeight="1">
      <c r="A912" s="97"/>
      <c r="B912" s="97"/>
      <c r="C912" s="97"/>
      <c r="D912" s="97"/>
      <c r="E912" s="97"/>
      <c r="F912" s="97"/>
      <c r="G912" s="97"/>
      <c r="H912" s="129"/>
      <c r="I912" s="97"/>
      <c r="J912" s="97"/>
      <c r="K912" s="97"/>
      <c r="L912" s="97"/>
      <c r="M912" s="97"/>
      <c r="N912" s="97"/>
      <c r="O912" s="97"/>
      <c r="P912" s="97"/>
      <c r="Q912" s="97"/>
      <c r="R912" s="97"/>
      <c r="S912" s="97"/>
      <c r="T912" s="97"/>
      <c r="U912" s="97"/>
      <c r="V912" s="97"/>
      <c r="W912" s="97"/>
      <c r="X912" s="129"/>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c r="DF912" s="97"/>
      <c r="DG912" s="97"/>
      <c r="DH912" s="97"/>
      <c r="DI912" s="97"/>
      <c r="DJ912" s="97"/>
      <c r="DK912" s="97"/>
      <c r="DL912" s="97"/>
      <c r="DM912" s="97"/>
      <c r="DN912" s="97"/>
      <c r="DO912" s="97"/>
      <c r="DP912" s="97"/>
      <c r="DQ912" s="97"/>
      <c r="DR912" s="97"/>
      <c r="DS912" s="97"/>
      <c r="DT912" s="97"/>
      <c r="DU912" s="97"/>
      <c r="DV912" s="97"/>
      <c r="DW912" s="97"/>
      <c r="DX912" s="97"/>
      <c r="DY912" s="97"/>
      <c r="DZ912" s="97"/>
      <c r="EA912" s="97"/>
      <c r="EB912" s="97"/>
      <c r="EC912" s="97"/>
      <c r="ED912" s="97"/>
      <c r="EE912" s="97"/>
      <c r="EF912" s="97"/>
      <c r="EG912" s="97"/>
      <c r="EH912" s="97"/>
      <c r="EI912" s="97"/>
      <c r="EJ912" s="97"/>
      <c r="EK912" s="97"/>
      <c r="EL912" s="97"/>
      <c r="EM912" s="97"/>
      <c r="EN912" s="97"/>
      <c r="EO912" s="97"/>
      <c r="EP912" s="97"/>
      <c r="EQ912" s="97"/>
      <c r="ER912" s="97"/>
      <c r="ES912" s="97"/>
      <c r="ET912" s="97"/>
    </row>
    <row r="913" spans="1:150" ht="15.75" customHeight="1">
      <c r="A913" s="97"/>
      <c r="B913" s="97"/>
      <c r="C913" s="97"/>
      <c r="D913" s="97"/>
      <c r="E913" s="97"/>
      <c r="F913" s="97"/>
      <c r="G913" s="97"/>
      <c r="H913" s="129"/>
      <c r="I913" s="97"/>
      <c r="J913" s="97"/>
      <c r="K913" s="97"/>
      <c r="L913" s="97"/>
      <c r="M913" s="97"/>
      <c r="N913" s="97"/>
      <c r="O913" s="97"/>
      <c r="P913" s="97"/>
      <c r="Q913" s="97"/>
      <c r="R913" s="97"/>
      <c r="S913" s="97"/>
      <c r="T913" s="97"/>
      <c r="U913" s="97"/>
      <c r="V913" s="97"/>
      <c r="W913" s="97"/>
      <c r="X913" s="129"/>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c r="DF913" s="97"/>
      <c r="DG913" s="97"/>
      <c r="DH913" s="97"/>
      <c r="DI913" s="97"/>
      <c r="DJ913" s="97"/>
      <c r="DK913" s="97"/>
      <c r="DL913" s="97"/>
      <c r="DM913" s="97"/>
      <c r="DN913" s="97"/>
      <c r="DO913" s="97"/>
      <c r="DP913" s="97"/>
      <c r="DQ913" s="97"/>
      <c r="DR913" s="97"/>
      <c r="DS913" s="97"/>
      <c r="DT913" s="97"/>
      <c r="DU913" s="97"/>
      <c r="DV913" s="97"/>
      <c r="DW913" s="97"/>
      <c r="DX913" s="97"/>
      <c r="DY913" s="97"/>
      <c r="DZ913" s="97"/>
      <c r="EA913" s="97"/>
      <c r="EB913" s="97"/>
      <c r="EC913" s="97"/>
      <c r="ED913" s="97"/>
      <c r="EE913" s="97"/>
      <c r="EF913" s="97"/>
      <c r="EG913" s="97"/>
      <c r="EH913" s="97"/>
      <c r="EI913" s="97"/>
      <c r="EJ913" s="97"/>
      <c r="EK913" s="97"/>
      <c r="EL913" s="97"/>
      <c r="EM913" s="97"/>
      <c r="EN913" s="97"/>
      <c r="EO913" s="97"/>
      <c r="EP913" s="97"/>
      <c r="EQ913" s="97"/>
      <c r="ER913" s="97"/>
      <c r="ES913" s="97"/>
      <c r="ET913" s="97"/>
    </row>
    <row r="914" spans="1:150" ht="15.75" customHeight="1">
      <c r="A914" s="97"/>
      <c r="B914" s="97"/>
      <c r="C914" s="97"/>
      <c r="D914" s="97"/>
      <c r="E914" s="97"/>
      <c r="F914" s="97"/>
      <c r="G914" s="97"/>
      <c r="H914" s="129"/>
      <c r="I914" s="97"/>
      <c r="J914" s="97"/>
      <c r="K914" s="97"/>
      <c r="L914" s="97"/>
      <c r="M914" s="97"/>
      <c r="N914" s="97"/>
      <c r="O914" s="97"/>
      <c r="P914" s="97"/>
      <c r="Q914" s="97"/>
      <c r="R914" s="97"/>
      <c r="S914" s="97"/>
      <c r="T914" s="97"/>
      <c r="U914" s="97"/>
      <c r="V914" s="97"/>
      <c r="W914" s="97"/>
      <c r="X914" s="129"/>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c r="DF914" s="97"/>
      <c r="DG914" s="97"/>
      <c r="DH914" s="97"/>
      <c r="DI914" s="97"/>
      <c r="DJ914" s="97"/>
      <c r="DK914" s="97"/>
      <c r="DL914" s="97"/>
      <c r="DM914" s="97"/>
      <c r="DN914" s="97"/>
      <c r="DO914" s="97"/>
      <c r="DP914" s="97"/>
      <c r="DQ914" s="97"/>
      <c r="DR914" s="97"/>
      <c r="DS914" s="97"/>
      <c r="DT914" s="97"/>
      <c r="DU914" s="97"/>
      <c r="DV914" s="97"/>
      <c r="DW914" s="97"/>
      <c r="DX914" s="97"/>
      <c r="DY914" s="97"/>
      <c r="DZ914" s="97"/>
      <c r="EA914" s="97"/>
      <c r="EB914" s="97"/>
      <c r="EC914" s="97"/>
      <c r="ED914" s="97"/>
      <c r="EE914" s="97"/>
      <c r="EF914" s="97"/>
      <c r="EG914" s="97"/>
      <c r="EH914" s="97"/>
      <c r="EI914" s="97"/>
      <c r="EJ914" s="97"/>
      <c r="EK914" s="97"/>
      <c r="EL914" s="97"/>
      <c r="EM914" s="97"/>
      <c r="EN914" s="97"/>
      <c r="EO914" s="97"/>
      <c r="EP914" s="97"/>
      <c r="EQ914" s="97"/>
      <c r="ER914" s="97"/>
      <c r="ES914" s="97"/>
      <c r="ET914" s="97"/>
    </row>
    <row r="915" spans="1:150" ht="15.75" customHeight="1">
      <c r="A915" s="97"/>
      <c r="B915" s="97"/>
      <c r="C915" s="97"/>
      <c r="D915" s="97"/>
      <c r="E915" s="97"/>
      <c r="F915" s="97"/>
      <c r="G915" s="97"/>
      <c r="H915" s="129"/>
      <c r="I915" s="97"/>
      <c r="J915" s="97"/>
      <c r="K915" s="97"/>
      <c r="L915" s="97"/>
      <c r="M915" s="97"/>
      <c r="N915" s="97"/>
      <c r="O915" s="97"/>
      <c r="P915" s="97"/>
      <c r="Q915" s="97"/>
      <c r="R915" s="97"/>
      <c r="S915" s="97"/>
      <c r="T915" s="97"/>
      <c r="U915" s="97"/>
      <c r="V915" s="97"/>
      <c r="W915" s="97"/>
      <c r="X915" s="129"/>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c r="DF915" s="97"/>
      <c r="DG915" s="97"/>
      <c r="DH915" s="97"/>
      <c r="DI915" s="97"/>
      <c r="DJ915" s="97"/>
      <c r="DK915" s="97"/>
      <c r="DL915" s="97"/>
      <c r="DM915" s="97"/>
      <c r="DN915" s="97"/>
      <c r="DO915" s="97"/>
      <c r="DP915" s="97"/>
      <c r="DQ915" s="97"/>
      <c r="DR915" s="97"/>
      <c r="DS915" s="97"/>
      <c r="DT915" s="97"/>
      <c r="DU915" s="97"/>
      <c r="DV915" s="97"/>
      <c r="DW915" s="97"/>
      <c r="DX915" s="97"/>
      <c r="DY915" s="97"/>
      <c r="DZ915" s="97"/>
      <c r="EA915" s="97"/>
      <c r="EB915" s="97"/>
      <c r="EC915" s="97"/>
      <c r="ED915" s="97"/>
      <c r="EE915" s="97"/>
      <c r="EF915" s="97"/>
      <c r="EG915" s="97"/>
      <c r="EH915" s="97"/>
      <c r="EI915" s="97"/>
      <c r="EJ915" s="97"/>
      <c r="EK915" s="97"/>
      <c r="EL915" s="97"/>
      <c r="EM915" s="97"/>
      <c r="EN915" s="97"/>
      <c r="EO915" s="97"/>
      <c r="EP915" s="97"/>
      <c r="EQ915" s="97"/>
      <c r="ER915" s="97"/>
      <c r="ES915" s="97"/>
      <c r="ET915" s="97"/>
    </row>
    <row r="916" spans="1:150" ht="15.75" customHeight="1">
      <c r="A916" s="97"/>
      <c r="B916" s="97"/>
      <c r="C916" s="97"/>
      <c r="D916" s="97"/>
      <c r="E916" s="97"/>
      <c r="F916" s="97"/>
      <c r="G916" s="97"/>
      <c r="H916" s="129"/>
      <c r="I916" s="97"/>
      <c r="J916" s="97"/>
      <c r="K916" s="97"/>
      <c r="L916" s="97"/>
      <c r="M916" s="97"/>
      <c r="N916" s="97"/>
      <c r="O916" s="97"/>
      <c r="P916" s="97"/>
      <c r="Q916" s="97"/>
      <c r="R916" s="97"/>
      <c r="S916" s="97"/>
      <c r="T916" s="97"/>
      <c r="U916" s="97"/>
      <c r="V916" s="97"/>
      <c r="W916" s="97"/>
      <c r="X916" s="129"/>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c r="DF916" s="97"/>
      <c r="DG916" s="97"/>
      <c r="DH916" s="97"/>
      <c r="DI916" s="97"/>
      <c r="DJ916" s="97"/>
      <c r="DK916" s="97"/>
      <c r="DL916" s="97"/>
      <c r="DM916" s="97"/>
      <c r="DN916" s="97"/>
      <c r="DO916" s="97"/>
      <c r="DP916" s="97"/>
      <c r="DQ916" s="97"/>
      <c r="DR916" s="97"/>
      <c r="DS916" s="97"/>
      <c r="DT916" s="97"/>
      <c r="DU916" s="97"/>
      <c r="DV916" s="97"/>
      <c r="DW916" s="97"/>
      <c r="DX916" s="97"/>
      <c r="DY916" s="97"/>
      <c r="DZ916" s="97"/>
      <c r="EA916" s="97"/>
      <c r="EB916" s="97"/>
      <c r="EC916" s="97"/>
      <c r="ED916" s="97"/>
      <c r="EE916" s="97"/>
      <c r="EF916" s="97"/>
      <c r="EG916" s="97"/>
      <c r="EH916" s="97"/>
      <c r="EI916" s="97"/>
      <c r="EJ916" s="97"/>
      <c r="EK916" s="97"/>
      <c r="EL916" s="97"/>
      <c r="EM916" s="97"/>
      <c r="EN916" s="97"/>
      <c r="EO916" s="97"/>
      <c r="EP916" s="97"/>
      <c r="EQ916" s="97"/>
      <c r="ER916" s="97"/>
      <c r="ES916" s="97"/>
      <c r="ET916" s="97"/>
    </row>
    <row r="917" spans="1:150" ht="15.75" customHeight="1">
      <c r="A917" s="97"/>
      <c r="B917" s="97"/>
      <c r="C917" s="97"/>
      <c r="D917" s="97"/>
      <c r="E917" s="97"/>
      <c r="F917" s="97"/>
      <c r="G917" s="97"/>
      <c r="H917" s="129"/>
      <c r="I917" s="97"/>
      <c r="J917" s="97"/>
      <c r="K917" s="97"/>
      <c r="L917" s="97"/>
      <c r="M917" s="97"/>
      <c r="N917" s="97"/>
      <c r="O917" s="97"/>
      <c r="P917" s="97"/>
      <c r="Q917" s="97"/>
      <c r="R917" s="97"/>
      <c r="S917" s="97"/>
      <c r="T917" s="97"/>
      <c r="U917" s="97"/>
      <c r="V917" s="97"/>
      <c r="W917" s="97"/>
      <c r="X917" s="129"/>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c r="DF917" s="97"/>
      <c r="DG917" s="97"/>
      <c r="DH917" s="97"/>
      <c r="DI917" s="97"/>
      <c r="DJ917" s="97"/>
      <c r="DK917" s="97"/>
      <c r="DL917" s="97"/>
      <c r="DM917" s="97"/>
      <c r="DN917" s="97"/>
      <c r="DO917" s="97"/>
      <c r="DP917" s="97"/>
      <c r="DQ917" s="97"/>
      <c r="DR917" s="97"/>
      <c r="DS917" s="97"/>
      <c r="DT917" s="97"/>
      <c r="DU917" s="97"/>
      <c r="DV917" s="97"/>
      <c r="DW917" s="97"/>
      <c r="DX917" s="97"/>
      <c r="DY917" s="97"/>
      <c r="DZ917" s="97"/>
      <c r="EA917" s="97"/>
      <c r="EB917" s="97"/>
      <c r="EC917" s="97"/>
      <c r="ED917" s="97"/>
      <c r="EE917" s="97"/>
      <c r="EF917" s="97"/>
      <c r="EG917" s="97"/>
      <c r="EH917" s="97"/>
      <c r="EI917" s="97"/>
      <c r="EJ917" s="97"/>
      <c r="EK917" s="97"/>
      <c r="EL917" s="97"/>
      <c r="EM917" s="97"/>
      <c r="EN917" s="97"/>
      <c r="EO917" s="97"/>
      <c r="EP917" s="97"/>
      <c r="EQ917" s="97"/>
      <c r="ER917" s="97"/>
      <c r="ES917" s="97"/>
      <c r="ET917" s="97"/>
    </row>
    <row r="918" spans="1:150" ht="15.75" customHeight="1">
      <c r="A918" s="97"/>
      <c r="B918" s="97"/>
      <c r="C918" s="97"/>
      <c r="D918" s="97"/>
      <c r="E918" s="97"/>
      <c r="F918" s="97"/>
      <c r="G918" s="97"/>
      <c r="H918" s="129"/>
      <c r="I918" s="97"/>
      <c r="J918" s="97"/>
      <c r="K918" s="97"/>
      <c r="L918" s="97"/>
      <c r="M918" s="97"/>
      <c r="N918" s="97"/>
      <c r="O918" s="97"/>
      <c r="P918" s="97"/>
      <c r="Q918" s="97"/>
      <c r="R918" s="97"/>
      <c r="S918" s="97"/>
      <c r="T918" s="97"/>
      <c r="U918" s="97"/>
      <c r="V918" s="97"/>
      <c r="W918" s="97"/>
      <c r="X918" s="129"/>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c r="DF918" s="97"/>
      <c r="DG918" s="97"/>
      <c r="DH918" s="97"/>
      <c r="DI918" s="97"/>
      <c r="DJ918" s="97"/>
      <c r="DK918" s="97"/>
      <c r="DL918" s="97"/>
      <c r="DM918" s="97"/>
      <c r="DN918" s="97"/>
      <c r="DO918" s="97"/>
      <c r="DP918" s="97"/>
      <c r="DQ918" s="97"/>
      <c r="DR918" s="97"/>
      <c r="DS918" s="97"/>
      <c r="DT918" s="97"/>
      <c r="DU918" s="97"/>
      <c r="DV918" s="97"/>
      <c r="DW918" s="97"/>
      <c r="DX918" s="97"/>
      <c r="DY918" s="97"/>
      <c r="DZ918" s="97"/>
      <c r="EA918" s="97"/>
      <c r="EB918" s="97"/>
      <c r="EC918" s="97"/>
      <c r="ED918" s="97"/>
      <c r="EE918" s="97"/>
      <c r="EF918" s="97"/>
      <c r="EG918" s="97"/>
      <c r="EH918" s="97"/>
      <c r="EI918" s="97"/>
      <c r="EJ918" s="97"/>
      <c r="EK918" s="97"/>
      <c r="EL918" s="97"/>
      <c r="EM918" s="97"/>
      <c r="EN918" s="97"/>
      <c r="EO918" s="97"/>
      <c r="EP918" s="97"/>
      <c r="EQ918" s="97"/>
      <c r="ER918" s="97"/>
      <c r="ES918" s="97"/>
      <c r="ET918" s="97"/>
    </row>
    <row r="919" spans="1:150" ht="15.75" customHeight="1">
      <c r="A919" s="97"/>
      <c r="B919" s="97"/>
      <c r="C919" s="97"/>
      <c r="D919" s="97"/>
      <c r="E919" s="97"/>
      <c r="F919" s="97"/>
      <c r="G919" s="97"/>
      <c r="H919" s="129"/>
      <c r="I919" s="97"/>
      <c r="J919" s="97"/>
      <c r="K919" s="97"/>
      <c r="L919" s="97"/>
      <c r="M919" s="97"/>
      <c r="N919" s="97"/>
      <c r="O919" s="97"/>
      <c r="P919" s="97"/>
      <c r="Q919" s="97"/>
      <c r="R919" s="97"/>
      <c r="S919" s="97"/>
      <c r="T919" s="97"/>
      <c r="U919" s="97"/>
      <c r="V919" s="97"/>
      <c r="W919" s="97"/>
      <c r="X919" s="129"/>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c r="DF919" s="97"/>
      <c r="DG919" s="97"/>
      <c r="DH919" s="97"/>
      <c r="DI919" s="97"/>
      <c r="DJ919" s="97"/>
      <c r="DK919" s="97"/>
      <c r="DL919" s="97"/>
      <c r="DM919" s="97"/>
      <c r="DN919" s="97"/>
      <c r="DO919" s="97"/>
      <c r="DP919" s="97"/>
      <c r="DQ919" s="97"/>
      <c r="DR919" s="97"/>
      <c r="DS919" s="97"/>
      <c r="DT919" s="97"/>
      <c r="DU919" s="97"/>
      <c r="DV919" s="97"/>
      <c r="DW919" s="97"/>
      <c r="DX919" s="97"/>
      <c r="DY919" s="97"/>
      <c r="DZ919" s="97"/>
      <c r="EA919" s="97"/>
      <c r="EB919" s="97"/>
      <c r="EC919" s="97"/>
      <c r="ED919" s="97"/>
      <c r="EE919" s="97"/>
      <c r="EF919" s="97"/>
      <c r="EG919" s="97"/>
      <c r="EH919" s="97"/>
      <c r="EI919" s="97"/>
      <c r="EJ919" s="97"/>
      <c r="EK919" s="97"/>
      <c r="EL919" s="97"/>
      <c r="EM919" s="97"/>
      <c r="EN919" s="97"/>
      <c r="EO919" s="97"/>
      <c r="EP919" s="97"/>
      <c r="EQ919" s="97"/>
      <c r="ER919" s="97"/>
      <c r="ES919" s="97"/>
      <c r="ET919" s="97"/>
    </row>
    <row r="920" spans="1:150" ht="15.75" customHeight="1">
      <c r="A920" s="97"/>
      <c r="B920" s="97"/>
      <c r="C920" s="97"/>
      <c r="D920" s="97"/>
      <c r="E920" s="97"/>
      <c r="F920" s="97"/>
      <c r="G920" s="97"/>
      <c r="H920" s="129"/>
      <c r="I920" s="97"/>
      <c r="J920" s="97"/>
      <c r="K920" s="97"/>
      <c r="L920" s="97"/>
      <c r="M920" s="97"/>
      <c r="N920" s="97"/>
      <c r="O920" s="97"/>
      <c r="P920" s="97"/>
      <c r="Q920" s="97"/>
      <c r="R920" s="97"/>
      <c r="S920" s="97"/>
      <c r="T920" s="97"/>
      <c r="U920" s="97"/>
      <c r="V920" s="97"/>
      <c r="W920" s="97"/>
      <c r="X920" s="129"/>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c r="DF920" s="97"/>
      <c r="DG920" s="97"/>
      <c r="DH920" s="97"/>
      <c r="DI920" s="97"/>
      <c r="DJ920" s="97"/>
      <c r="DK920" s="97"/>
      <c r="DL920" s="97"/>
      <c r="DM920" s="97"/>
      <c r="DN920" s="97"/>
      <c r="DO920" s="97"/>
      <c r="DP920" s="97"/>
      <c r="DQ920" s="97"/>
      <c r="DR920" s="97"/>
      <c r="DS920" s="97"/>
      <c r="DT920" s="97"/>
      <c r="DU920" s="97"/>
      <c r="DV920" s="97"/>
      <c r="DW920" s="97"/>
      <c r="DX920" s="97"/>
      <c r="DY920" s="97"/>
      <c r="DZ920" s="97"/>
      <c r="EA920" s="97"/>
      <c r="EB920" s="97"/>
      <c r="EC920" s="97"/>
      <c r="ED920" s="97"/>
      <c r="EE920" s="97"/>
      <c r="EF920" s="97"/>
      <c r="EG920" s="97"/>
      <c r="EH920" s="97"/>
      <c r="EI920" s="97"/>
      <c r="EJ920" s="97"/>
      <c r="EK920" s="97"/>
      <c r="EL920" s="97"/>
      <c r="EM920" s="97"/>
      <c r="EN920" s="97"/>
      <c r="EO920" s="97"/>
      <c r="EP920" s="97"/>
      <c r="EQ920" s="97"/>
      <c r="ER920" s="97"/>
      <c r="ES920" s="97"/>
      <c r="ET920" s="97"/>
    </row>
    <row r="921" spans="1:150" ht="15.75" customHeight="1">
      <c r="A921" s="97"/>
      <c r="B921" s="97"/>
      <c r="C921" s="97"/>
      <c r="D921" s="97"/>
      <c r="E921" s="97"/>
      <c r="F921" s="97"/>
      <c r="G921" s="97"/>
      <c r="H921" s="129"/>
      <c r="I921" s="97"/>
      <c r="J921" s="97"/>
      <c r="K921" s="97"/>
      <c r="L921" s="97"/>
      <c r="M921" s="97"/>
      <c r="N921" s="97"/>
      <c r="O921" s="97"/>
      <c r="P921" s="97"/>
      <c r="Q921" s="97"/>
      <c r="R921" s="97"/>
      <c r="S921" s="97"/>
      <c r="T921" s="97"/>
      <c r="U921" s="97"/>
      <c r="V921" s="97"/>
      <c r="W921" s="97"/>
      <c r="X921" s="129"/>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c r="DF921" s="97"/>
      <c r="DG921" s="97"/>
      <c r="DH921" s="97"/>
      <c r="DI921" s="97"/>
      <c r="DJ921" s="97"/>
      <c r="DK921" s="97"/>
      <c r="DL921" s="97"/>
      <c r="DM921" s="97"/>
      <c r="DN921" s="97"/>
      <c r="DO921" s="97"/>
      <c r="DP921" s="97"/>
      <c r="DQ921" s="97"/>
      <c r="DR921" s="97"/>
      <c r="DS921" s="97"/>
      <c r="DT921" s="97"/>
      <c r="DU921" s="97"/>
      <c r="DV921" s="97"/>
      <c r="DW921" s="97"/>
      <c r="DX921" s="97"/>
      <c r="DY921" s="97"/>
      <c r="DZ921" s="97"/>
      <c r="EA921" s="97"/>
      <c r="EB921" s="97"/>
      <c r="EC921" s="97"/>
      <c r="ED921" s="97"/>
      <c r="EE921" s="97"/>
      <c r="EF921" s="97"/>
      <c r="EG921" s="97"/>
      <c r="EH921" s="97"/>
      <c r="EI921" s="97"/>
      <c r="EJ921" s="97"/>
      <c r="EK921" s="97"/>
      <c r="EL921" s="97"/>
      <c r="EM921" s="97"/>
      <c r="EN921" s="97"/>
      <c r="EO921" s="97"/>
      <c r="EP921" s="97"/>
      <c r="EQ921" s="97"/>
      <c r="ER921" s="97"/>
      <c r="ES921" s="97"/>
      <c r="ET921" s="97"/>
    </row>
    <row r="922" spans="1:150" ht="15.75" customHeight="1">
      <c r="A922" s="97"/>
      <c r="B922" s="97"/>
      <c r="C922" s="97"/>
      <c r="D922" s="97"/>
      <c r="E922" s="97"/>
      <c r="F922" s="97"/>
      <c r="G922" s="97"/>
      <c r="H922" s="129"/>
      <c r="I922" s="97"/>
      <c r="J922" s="97"/>
      <c r="K922" s="97"/>
      <c r="L922" s="97"/>
      <c r="M922" s="97"/>
      <c r="N922" s="97"/>
      <c r="O922" s="97"/>
      <c r="P922" s="97"/>
      <c r="Q922" s="97"/>
      <c r="R922" s="97"/>
      <c r="S922" s="97"/>
      <c r="T922" s="97"/>
      <c r="U922" s="97"/>
      <c r="V922" s="97"/>
      <c r="W922" s="97"/>
      <c r="X922" s="129"/>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c r="DF922" s="97"/>
      <c r="DG922" s="97"/>
      <c r="DH922" s="97"/>
      <c r="DI922" s="97"/>
      <c r="DJ922" s="97"/>
      <c r="DK922" s="97"/>
      <c r="DL922" s="97"/>
      <c r="DM922" s="97"/>
      <c r="DN922" s="97"/>
      <c r="DO922" s="97"/>
      <c r="DP922" s="97"/>
      <c r="DQ922" s="97"/>
      <c r="DR922" s="97"/>
      <c r="DS922" s="97"/>
      <c r="DT922" s="97"/>
      <c r="DU922" s="97"/>
      <c r="DV922" s="97"/>
      <c r="DW922" s="97"/>
      <c r="DX922" s="97"/>
      <c r="DY922" s="97"/>
      <c r="DZ922" s="97"/>
      <c r="EA922" s="97"/>
      <c r="EB922" s="97"/>
      <c r="EC922" s="97"/>
      <c r="ED922" s="97"/>
      <c r="EE922" s="97"/>
      <c r="EF922" s="97"/>
      <c r="EG922" s="97"/>
      <c r="EH922" s="97"/>
      <c r="EI922" s="97"/>
      <c r="EJ922" s="97"/>
      <c r="EK922" s="97"/>
      <c r="EL922" s="97"/>
      <c r="EM922" s="97"/>
      <c r="EN922" s="97"/>
      <c r="EO922" s="97"/>
      <c r="EP922" s="97"/>
      <c r="EQ922" s="97"/>
      <c r="ER922" s="97"/>
      <c r="ES922" s="97"/>
      <c r="ET922" s="97"/>
    </row>
    <row r="923" spans="1:150" ht="15.75" customHeight="1">
      <c r="A923" s="97"/>
      <c r="B923" s="97"/>
      <c r="C923" s="97"/>
      <c r="D923" s="97"/>
      <c r="E923" s="97"/>
      <c r="F923" s="97"/>
      <c r="G923" s="97"/>
      <c r="H923" s="129"/>
      <c r="I923" s="97"/>
      <c r="J923" s="97"/>
      <c r="K923" s="97"/>
      <c r="L923" s="97"/>
      <c r="M923" s="97"/>
      <c r="N923" s="97"/>
      <c r="O923" s="97"/>
      <c r="P923" s="97"/>
      <c r="Q923" s="97"/>
      <c r="R923" s="97"/>
      <c r="S923" s="97"/>
      <c r="T923" s="97"/>
      <c r="U923" s="97"/>
      <c r="V923" s="97"/>
      <c r="W923" s="97"/>
      <c r="X923" s="129"/>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c r="DF923" s="97"/>
      <c r="DG923" s="97"/>
      <c r="DH923" s="97"/>
      <c r="DI923" s="97"/>
      <c r="DJ923" s="97"/>
      <c r="DK923" s="97"/>
      <c r="DL923" s="97"/>
      <c r="DM923" s="97"/>
      <c r="DN923" s="97"/>
      <c r="DO923" s="97"/>
      <c r="DP923" s="97"/>
      <c r="DQ923" s="97"/>
      <c r="DR923" s="97"/>
      <c r="DS923" s="97"/>
      <c r="DT923" s="97"/>
      <c r="DU923" s="97"/>
      <c r="DV923" s="97"/>
      <c r="DW923" s="97"/>
      <c r="DX923" s="97"/>
      <c r="DY923" s="97"/>
      <c r="DZ923" s="97"/>
      <c r="EA923" s="97"/>
      <c r="EB923" s="97"/>
      <c r="EC923" s="97"/>
      <c r="ED923" s="97"/>
      <c r="EE923" s="97"/>
      <c r="EF923" s="97"/>
      <c r="EG923" s="97"/>
      <c r="EH923" s="97"/>
      <c r="EI923" s="97"/>
      <c r="EJ923" s="97"/>
      <c r="EK923" s="97"/>
      <c r="EL923" s="97"/>
      <c r="EM923" s="97"/>
      <c r="EN923" s="97"/>
      <c r="EO923" s="97"/>
      <c r="EP923" s="97"/>
      <c r="EQ923" s="97"/>
      <c r="ER923" s="97"/>
      <c r="ES923" s="97"/>
      <c r="ET923" s="97"/>
    </row>
    <row r="924" spans="1:150" ht="15.75" customHeight="1">
      <c r="A924" s="97"/>
      <c r="B924" s="97"/>
      <c r="C924" s="97"/>
      <c r="D924" s="97"/>
      <c r="E924" s="97"/>
      <c r="F924" s="97"/>
      <c r="G924" s="97"/>
      <c r="H924" s="129"/>
      <c r="I924" s="97"/>
      <c r="J924" s="97"/>
      <c r="K924" s="97"/>
      <c r="L924" s="97"/>
      <c r="M924" s="97"/>
      <c r="N924" s="97"/>
      <c r="O924" s="97"/>
      <c r="P924" s="97"/>
      <c r="Q924" s="97"/>
      <c r="R924" s="97"/>
      <c r="S924" s="97"/>
      <c r="T924" s="97"/>
      <c r="U924" s="97"/>
      <c r="V924" s="97"/>
      <c r="W924" s="97"/>
      <c r="X924" s="129"/>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c r="DF924" s="97"/>
      <c r="DG924" s="97"/>
      <c r="DH924" s="97"/>
      <c r="DI924" s="97"/>
      <c r="DJ924" s="97"/>
      <c r="DK924" s="97"/>
      <c r="DL924" s="97"/>
      <c r="DM924" s="97"/>
      <c r="DN924" s="97"/>
      <c r="DO924" s="97"/>
      <c r="DP924" s="97"/>
      <c r="DQ924" s="97"/>
      <c r="DR924" s="97"/>
      <c r="DS924" s="97"/>
      <c r="DT924" s="97"/>
      <c r="DU924" s="97"/>
      <c r="DV924" s="97"/>
      <c r="DW924" s="97"/>
      <c r="DX924" s="97"/>
      <c r="DY924" s="97"/>
      <c r="DZ924" s="97"/>
      <c r="EA924" s="97"/>
      <c r="EB924" s="97"/>
      <c r="EC924" s="97"/>
      <c r="ED924" s="97"/>
      <c r="EE924" s="97"/>
      <c r="EF924" s="97"/>
      <c r="EG924" s="97"/>
      <c r="EH924" s="97"/>
      <c r="EI924" s="97"/>
      <c r="EJ924" s="97"/>
      <c r="EK924" s="97"/>
      <c r="EL924" s="97"/>
      <c r="EM924" s="97"/>
      <c r="EN924" s="97"/>
      <c r="EO924" s="97"/>
      <c r="EP924" s="97"/>
      <c r="EQ924" s="97"/>
      <c r="ER924" s="97"/>
      <c r="ES924" s="97"/>
      <c r="ET924" s="97"/>
    </row>
    <row r="925" spans="1:150" ht="15.75" customHeight="1">
      <c r="A925" s="97"/>
      <c r="B925" s="97"/>
      <c r="C925" s="97"/>
      <c r="D925" s="97"/>
      <c r="E925" s="97"/>
      <c r="F925" s="97"/>
      <c r="G925" s="97"/>
      <c r="H925" s="129"/>
      <c r="I925" s="97"/>
      <c r="J925" s="97"/>
      <c r="K925" s="97"/>
      <c r="L925" s="97"/>
      <c r="M925" s="97"/>
      <c r="N925" s="97"/>
      <c r="O925" s="97"/>
      <c r="P925" s="97"/>
      <c r="Q925" s="97"/>
      <c r="R925" s="97"/>
      <c r="S925" s="97"/>
      <c r="T925" s="97"/>
      <c r="U925" s="97"/>
      <c r="V925" s="97"/>
      <c r="W925" s="97"/>
      <c r="X925" s="129"/>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c r="DF925" s="97"/>
      <c r="DG925" s="97"/>
      <c r="DH925" s="97"/>
      <c r="DI925" s="97"/>
      <c r="DJ925" s="97"/>
      <c r="DK925" s="97"/>
      <c r="DL925" s="97"/>
      <c r="DM925" s="97"/>
      <c r="DN925" s="97"/>
      <c r="DO925" s="97"/>
      <c r="DP925" s="97"/>
      <c r="DQ925" s="97"/>
      <c r="DR925" s="97"/>
      <c r="DS925" s="97"/>
      <c r="DT925" s="97"/>
      <c r="DU925" s="97"/>
      <c r="DV925" s="97"/>
      <c r="DW925" s="97"/>
      <c r="DX925" s="97"/>
      <c r="DY925" s="97"/>
      <c r="DZ925" s="97"/>
      <c r="EA925" s="97"/>
      <c r="EB925" s="97"/>
      <c r="EC925" s="97"/>
      <c r="ED925" s="97"/>
      <c r="EE925" s="97"/>
      <c r="EF925" s="97"/>
      <c r="EG925" s="97"/>
      <c r="EH925" s="97"/>
      <c r="EI925" s="97"/>
      <c r="EJ925" s="97"/>
      <c r="EK925" s="97"/>
      <c r="EL925" s="97"/>
      <c r="EM925" s="97"/>
      <c r="EN925" s="97"/>
      <c r="EO925" s="97"/>
      <c r="EP925" s="97"/>
      <c r="EQ925" s="97"/>
      <c r="ER925" s="97"/>
      <c r="ES925" s="97"/>
      <c r="ET925" s="97"/>
    </row>
    <row r="926" spans="1:150" ht="15.75" customHeight="1">
      <c r="A926" s="97"/>
      <c r="B926" s="97"/>
      <c r="C926" s="97"/>
      <c r="D926" s="97"/>
      <c r="E926" s="97"/>
      <c r="F926" s="97"/>
      <c r="G926" s="97"/>
      <c r="H926" s="129"/>
      <c r="I926" s="97"/>
      <c r="J926" s="97"/>
      <c r="K926" s="97"/>
      <c r="L926" s="97"/>
      <c r="M926" s="97"/>
      <c r="N926" s="97"/>
      <c r="O926" s="97"/>
      <c r="P926" s="97"/>
      <c r="Q926" s="97"/>
      <c r="R926" s="97"/>
      <c r="S926" s="97"/>
      <c r="T926" s="97"/>
      <c r="U926" s="97"/>
      <c r="V926" s="97"/>
      <c r="W926" s="97"/>
      <c r="X926" s="129"/>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c r="DF926" s="97"/>
      <c r="DG926" s="97"/>
      <c r="DH926" s="97"/>
      <c r="DI926" s="97"/>
      <c r="DJ926" s="97"/>
      <c r="DK926" s="97"/>
      <c r="DL926" s="97"/>
      <c r="DM926" s="97"/>
      <c r="DN926" s="97"/>
      <c r="DO926" s="97"/>
      <c r="DP926" s="97"/>
      <c r="DQ926" s="97"/>
      <c r="DR926" s="97"/>
      <c r="DS926" s="97"/>
      <c r="DT926" s="97"/>
      <c r="DU926" s="97"/>
      <c r="DV926" s="97"/>
      <c r="DW926" s="97"/>
      <c r="DX926" s="97"/>
      <c r="DY926" s="97"/>
      <c r="DZ926" s="97"/>
      <c r="EA926" s="97"/>
      <c r="EB926" s="97"/>
      <c r="EC926" s="97"/>
      <c r="ED926" s="97"/>
      <c r="EE926" s="97"/>
      <c r="EF926" s="97"/>
      <c r="EG926" s="97"/>
      <c r="EH926" s="97"/>
      <c r="EI926" s="97"/>
      <c r="EJ926" s="97"/>
      <c r="EK926" s="97"/>
      <c r="EL926" s="97"/>
      <c r="EM926" s="97"/>
      <c r="EN926" s="97"/>
      <c r="EO926" s="97"/>
      <c r="EP926" s="97"/>
      <c r="EQ926" s="97"/>
      <c r="ER926" s="97"/>
      <c r="ES926" s="97"/>
      <c r="ET926" s="97"/>
    </row>
    <row r="927" spans="1:150" ht="15.75" customHeight="1">
      <c r="A927" s="97"/>
      <c r="B927" s="97"/>
      <c r="C927" s="97"/>
      <c r="D927" s="97"/>
      <c r="E927" s="97"/>
      <c r="F927" s="97"/>
      <c r="G927" s="97"/>
      <c r="H927" s="129"/>
      <c r="I927" s="97"/>
      <c r="J927" s="97"/>
      <c r="K927" s="97"/>
      <c r="L927" s="97"/>
      <c r="M927" s="97"/>
      <c r="N927" s="97"/>
      <c r="O927" s="97"/>
      <c r="P927" s="97"/>
      <c r="Q927" s="97"/>
      <c r="R927" s="97"/>
      <c r="S927" s="97"/>
      <c r="T927" s="97"/>
      <c r="U927" s="97"/>
      <c r="V927" s="97"/>
      <c r="W927" s="97"/>
      <c r="X927" s="129"/>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c r="DF927" s="97"/>
      <c r="DG927" s="97"/>
      <c r="DH927" s="97"/>
      <c r="DI927" s="97"/>
      <c r="DJ927" s="97"/>
      <c r="DK927" s="97"/>
      <c r="DL927" s="97"/>
      <c r="DM927" s="97"/>
      <c r="DN927" s="97"/>
      <c r="DO927" s="97"/>
      <c r="DP927" s="97"/>
      <c r="DQ927" s="97"/>
      <c r="DR927" s="97"/>
      <c r="DS927" s="97"/>
      <c r="DT927" s="97"/>
      <c r="DU927" s="97"/>
      <c r="DV927" s="97"/>
      <c r="DW927" s="97"/>
      <c r="DX927" s="97"/>
      <c r="DY927" s="97"/>
      <c r="DZ927" s="97"/>
      <c r="EA927" s="97"/>
      <c r="EB927" s="97"/>
      <c r="EC927" s="97"/>
      <c r="ED927" s="97"/>
      <c r="EE927" s="97"/>
      <c r="EF927" s="97"/>
      <c r="EG927" s="97"/>
      <c r="EH927" s="97"/>
      <c r="EI927" s="97"/>
      <c r="EJ927" s="97"/>
      <c r="EK927" s="97"/>
      <c r="EL927" s="97"/>
      <c r="EM927" s="97"/>
      <c r="EN927" s="97"/>
      <c r="EO927" s="97"/>
      <c r="EP927" s="97"/>
      <c r="EQ927" s="97"/>
      <c r="ER927" s="97"/>
      <c r="ES927" s="97"/>
      <c r="ET927" s="97"/>
    </row>
    <row r="928" spans="1:150" ht="15.75" customHeight="1">
      <c r="A928" s="97"/>
      <c r="B928" s="97"/>
      <c r="C928" s="97"/>
      <c r="D928" s="97"/>
      <c r="E928" s="97"/>
      <c r="F928" s="97"/>
      <c r="G928" s="97"/>
      <c r="H928" s="129"/>
      <c r="I928" s="97"/>
      <c r="J928" s="97"/>
      <c r="K928" s="97"/>
      <c r="L928" s="97"/>
      <c r="M928" s="97"/>
      <c r="N928" s="97"/>
      <c r="O928" s="97"/>
      <c r="P928" s="97"/>
      <c r="Q928" s="97"/>
      <c r="R928" s="97"/>
      <c r="S928" s="97"/>
      <c r="T928" s="97"/>
      <c r="U928" s="97"/>
      <c r="V928" s="97"/>
      <c r="W928" s="97"/>
      <c r="X928" s="129"/>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c r="DF928" s="97"/>
      <c r="DG928" s="97"/>
      <c r="DH928" s="97"/>
      <c r="DI928" s="97"/>
      <c r="DJ928" s="97"/>
      <c r="DK928" s="97"/>
      <c r="DL928" s="97"/>
      <c r="DM928" s="97"/>
      <c r="DN928" s="97"/>
      <c r="DO928" s="97"/>
      <c r="DP928" s="97"/>
      <c r="DQ928" s="97"/>
      <c r="DR928" s="97"/>
      <c r="DS928" s="97"/>
      <c r="DT928" s="97"/>
      <c r="DU928" s="97"/>
      <c r="DV928" s="97"/>
      <c r="DW928" s="97"/>
      <c r="DX928" s="97"/>
      <c r="DY928" s="97"/>
      <c r="DZ928" s="97"/>
      <c r="EA928" s="97"/>
      <c r="EB928" s="97"/>
      <c r="EC928" s="97"/>
      <c r="ED928" s="97"/>
      <c r="EE928" s="97"/>
      <c r="EF928" s="97"/>
      <c r="EG928" s="97"/>
      <c r="EH928" s="97"/>
      <c r="EI928" s="97"/>
      <c r="EJ928" s="97"/>
      <c r="EK928" s="97"/>
      <c r="EL928" s="97"/>
      <c r="EM928" s="97"/>
      <c r="EN928" s="97"/>
      <c r="EO928" s="97"/>
      <c r="EP928" s="97"/>
      <c r="EQ928" s="97"/>
      <c r="ER928" s="97"/>
      <c r="ES928" s="97"/>
      <c r="ET928" s="97"/>
    </row>
    <row r="929" spans="1:150" ht="15.75" customHeight="1">
      <c r="A929" s="97"/>
      <c r="B929" s="97"/>
      <c r="C929" s="97"/>
      <c r="D929" s="97"/>
      <c r="E929" s="97"/>
      <c r="F929" s="97"/>
      <c r="G929" s="97"/>
      <c r="H929" s="129"/>
      <c r="I929" s="97"/>
      <c r="J929" s="97"/>
      <c r="K929" s="97"/>
      <c r="L929" s="97"/>
      <c r="M929" s="97"/>
      <c r="N929" s="97"/>
      <c r="O929" s="97"/>
      <c r="P929" s="97"/>
      <c r="Q929" s="97"/>
      <c r="R929" s="97"/>
      <c r="S929" s="97"/>
      <c r="T929" s="97"/>
      <c r="U929" s="97"/>
      <c r="V929" s="97"/>
      <c r="W929" s="97"/>
      <c r="X929" s="129"/>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c r="DF929" s="97"/>
      <c r="DG929" s="97"/>
      <c r="DH929" s="97"/>
      <c r="DI929" s="97"/>
      <c r="DJ929" s="97"/>
      <c r="DK929" s="97"/>
      <c r="DL929" s="97"/>
      <c r="DM929" s="97"/>
      <c r="DN929" s="97"/>
      <c r="DO929" s="97"/>
      <c r="DP929" s="97"/>
      <c r="DQ929" s="97"/>
      <c r="DR929" s="97"/>
      <c r="DS929" s="97"/>
      <c r="DT929" s="97"/>
      <c r="DU929" s="97"/>
      <c r="DV929" s="97"/>
      <c r="DW929" s="97"/>
      <c r="DX929" s="97"/>
      <c r="DY929" s="97"/>
      <c r="DZ929" s="97"/>
      <c r="EA929" s="97"/>
      <c r="EB929" s="97"/>
      <c r="EC929" s="97"/>
      <c r="ED929" s="97"/>
      <c r="EE929" s="97"/>
      <c r="EF929" s="97"/>
      <c r="EG929" s="97"/>
      <c r="EH929" s="97"/>
      <c r="EI929" s="97"/>
      <c r="EJ929" s="97"/>
      <c r="EK929" s="97"/>
      <c r="EL929" s="97"/>
      <c r="EM929" s="97"/>
      <c r="EN929" s="97"/>
      <c r="EO929" s="97"/>
      <c r="EP929" s="97"/>
      <c r="EQ929" s="97"/>
      <c r="ER929" s="97"/>
      <c r="ES929" s="97"/>
      <c r="ET929" s="97"/>
    </row>
    <row r="930" spans="1:150" ht="15.75" customHeight="1">
      <c r="A930" s="97"/>
      <c r="B930" s="97"/>
      <c r="C930" s="97"/>
      <c r="D930" s="97"/>
      <c r="E930" s="97"/>
      <c r="F930" s="97"/>
      <c r="G930" s="97"/>
      <c r="H930" s="129"/>
      <c r="I930" s="97"/>
      <c r="J930" s="97"/>
      <c r="K930" s="97"/>
      <c r="L930" s="97"/>
      <c r="M930" s="97"/>
      <c r="N930" s="97"/>
      <c r="O930" s="97"/>
      <c r="P930" s="97"/>
      <c r="Q930" s="97"/>
      <c r="R930" s="97"/>
      <c r="S930" s="97"/>
      <c r="T930" s="97"/>
      <c r="U930" s="97"/>
      <c r="V930" s="97"/>
      <c r="W930" s="97"/>
      <c r="X930" s="129"/>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c r="DF930" s="97"/>
      <c r="DG930" s="97"/>
      <c r="DH930" s="97"/>
      <c r="DI930" s="97"/>
      <c r="DJ930" s="97"/>
      <c r="DK930" s="97"/>
      <c r="DL930" s="97"/>
      <c r="DM930" s="97"/>
      <c r="DN930" s="97"/>
      <c r="DO930" s="97"/>
      <c r="DP930" s="97"/>
      <c r="DQ930" s="97"/>
      <c r="DR930" s="97"/>
      <c r="DS930" s="97"/>
      <c r="DT930" s="97"/>
      <c r="DU930" s="97"/>
      <c r="DV930" s="97"/>
      <c r="DW930" s="97"/>
      <c r="DX930" s="97"/>
      <c r="DY930" s="97"/>
      <c r="DZ930" s="97"/>
      <c r="EA930" s="97"/>
      <c r="EB930" s="97"/>
      <c r="EC930" s="97"/>
      <c r="ED930" s="97"/>
      <c r="EE930" s="97"/>
      <c r="EF930" s="97"/>
      <c r="EG930" s="97"/>
      <c r="EH930" s="97"/>
      <c r="EI930" s="97"/>
      <c r="EJ930" s="97"/>
      <c r="EK930" s="97"/>
      <c r="EL930" s="97"/>
      <c r="EM930" s="97"/>
      <c r="EN930" s="97"/>
      <c r="EO930" s="97"/>
      <c r="EP930" s="97"/>
      <c r="EQ930" s="97"/>
      <c r="ER930" s="97"/>
      <c r="ES930" s="97"/>
      <c r="ET930" s="97"/>
    </row>
    <row r="931" spans="1:150" ht="15.75" customHeight="1">
      <c r="A931" s="97"/>
      <c r="B931" s="97"/>
      <c r="C931" s="97"/>
      <c r="D931" s="97"/>
      <c r="E931" s="97"/>
      <c r="F931" s="97"/>
      <c r="G931" s="97"/>
      <c r="H931" s="129"/>
      <c r="I931" s="97"/>
      <c r="J931" s="97"/>
      <c r="K931" s="97"/>
      <c r="L931" s="97"/>
      <c r="M931" s="97"/>
      <c r="N931" s="97"/>
      <c r="O931" s="97"/>
      <c r="P931" s="97"/>
      <c r="Q931" s="97"/>
      <c r="R931" s="97"/>
      <c r="S931" s="97"/>
      <c r="T931" s="97"/>
      <c r="U931" s="97"/>
      <c r="V931" s="97"/>
      <c r="W931" s="97"/>
      <c r="X931" s="129"/>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c r="DF931" s="97"/>
      <c r="DG931" s="97"/>
      <c r="DH931" s="97"/>
      <c r="DI931" s="97"/>
      <c r="DJ931" s="97"/>
      <c r="DK931" s="97"/>
      <c r="DL931" s="97"/>
      <c r="DM931" s="97"/>
      <c r="DN931" s="97"/>
      <c r="DO931" s="97"/>
      <c r="DP931" s="97"/>
      <c r="DQ931" s="97"/>
      <c r="DR931" s="97"/>
      <c r="DS931" s="97"/>
      <c r="DT931" s="97"/>
      <c r="DU931" s="97"/>
      <c r="DV931" s="97"/>
      <c r="DW931" s="97"/>
      <c r="DX931" s="97"/>
      <c r="DY931" s="97"/>
      <c r="DZ931" s="97"/>
      <c r="EA931" s="97"/>
      <c r="EB931" s="97"/>
      <c r="EC931" s="97"/>
      <c r="ED931" s="97"/>
      <c r="EE931" s="97"/>
      <c r="EF931" s="97"/>
      <c r="EG931" s="97"/>
      <c r="EH931" s="97"/>
      <c r="EI931" s="97"/>
      <c r="EJ931" s="97"/>
      <c r="EK931" s="97"/>
      <c r="EL931" s="97"/>
      <c r="EM931" s="97"/>
      <c r="EN931" s="97"/>
      <c r="EO931" s="97"/>
      <c r="EP931" s="97"/>
      <c r="EQ931" s="97"/>
      <c r="ER931" s="97"/>
      <c r="ES931" s="97"/>
      <c r="ET931" s="97"/>
    </row>
    <row r="932" spans="1:150" ht="15.75" customHeight="1">
      <c r="A932" s="97"/>
      <c r="B932" s="97"/>
      <c r="C932" s="97"/>
      <c r="D932" s="97"/>
      <c r="E932" s="97"/>
      <c r="F932" s="97"/>
      <c r="G932" s="97"/>
      <c r="H932" s="129"/>
      <c r="I932" s="97"/>
      <c r="J932" s="97"/>
      <c r="K932" s="97"/>
      <c r="L932" s="97"/>
      <c r="M932" s="97"/>
      <c r="N932" s="97"/>
      <c r="O932" s="97"/>
      <c r="P932" s="97"/>
      <c r="Q932" s="97"/>
      <c r="R932" s="97"/>
      <c r="S932" s="97"/>
      <c r="T932" s="97"/>
      <c r="U932" s="97"/>
      <c r="V932" s="97"/>
      <c r="W932" s="97"/>
      <c r="X932" s="129"/>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c r="DF932" s="97"/>
      <c r="DG932" s="97"/>
      <c r="DH932" s="97"/>
      <c r="DI932" s="97"/>
      <c r="DJ932" s="97"/>
      <c r="DK932" s="97"/>
      <c r="DL932" s="97"/>
      <c r="DM932" s="97"/>
      <c r="DN932" s="97"/>
      <c r="DO932" s="97"/>
      <c r="DP932" s="97"/>
      <c r="DQ932" s="97"/>
      <c r="DR932" s="97"/>
      <c r="DS932" s="97"/>
      <c r="DT932" s="97"/>
      <c r="DU932" s="97"/>
      <c r="DV932" s="97"/>
      <c r="DW932" s="97"/>
      <c r="DX932" s="97"/>
      <c r="DY932" s="97"/>
      <c r="DZ932" s="97"/>
      <c r="EA932" s="97"/>
      <c r="EB932" s="97"/>
      <c r="EC932" s="97"/>
      <c r="ED932" s="97"/>
      <c r="EE932" s="97"/>
      <c r="EF932" s="97"/>
      <c r="EG932" s="97"/>
      <c r="EH932" s="97"/>
      <c r="EI932" s="97"/>
      <c r="EJ932" s="97"/>
      <c r="EK932" s="97"/>
      <c r="EL932" s="97"/>
      <c r="EM932" s="97"/>
      <c r="EN932" s="97"/>
      <c r="EO932" s="97"/>
      <c r="EP932" s="97"/>
      <c r="EQ932" s="97"/>
      <c r="ER932" s="97"/>
      <c r="ES932" s="97"/>
      <c r="ET932" s="97"/>
    </row>
    <row r="933" spans="1:150" ht="15.75" customHeight="1">
      <c r="A933" s="97"/>
      <c r="B933" s="97"/>
      <c r="C933" s="97"/>
      <c r="D933" s="97"/>
      <c r="E933" s="97"/>
      <c r="F933" s="97"/>
      <c r="G933" s="97"/>
      <c r="H933" s="129"/>
      <c r="I933" s="97"/>
      <c r="J933" s="97"/>
      <c r="K933" s="97"/>
      <c r="L933" s="97"/>
      <c r="M933" s="97"/>
      <c r="N933" s="97"/>
      <c r="O933" s="97"/>
      <c r="P933" s="97"/>
      <c r="Q933" s="97"/>
      <c r="R933" s="97"/>
      <c r="S933" s="97"/>
      <c r="T933" s="97"/>
      <c r="U933" s="97"/>
      <c r="V933" s="97"/>
      <c r="W933" s="97"/>
      <c r="X933" s="129"/>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c r="DF933" s="97"/>
      <c r="DG933" s="97"/>
      <c r="DH933" s="97"/>
      <c r="DI933" s="97"/>
      <c r="DJ933" s="97"/>
      <c r="DK933" s="97"/>
      <c r="DL933" s="97"/>
      <c r="DM933" s="97"/>
      <c r="DN933" s="97"/>
      <c r="DO933" s="97"/>
      <c r="DP933" s="97"/>
      <c r="DQ933" s="97"/>
      <c r="DR933" s="97"/>
      <c r="DS933" s="97"/>
      <c r="DT933" s="97"/>
      <c r="DU933" s="97"/>
      <c r="DV933" s="97"/>
      <c r="DW933" s="97"/>
      <c r="DX933" s="97"/>
      <c r="DY933" s="97"/>
      <c r="DZ933" s="97"/>
      <c r="EA933" s="97"/>
      <c r="EB933" s="97"/>
      <c r="EC933" s="97"/>
      <c r="ED933" s="97"/>
      <c r="EE933" s="97"/>
      <c r="EF933" s="97"/>
      <c r="EG933" s="97"/>
      <c r="EH933" s="97"/>
      <c r="EI933" s="97"/>
      <c r="EJ933" s="97"/>
      <c r="EK933" s="97"/>
      <c r="EL933" s="97"/>
      <c r="EM933" s="97"/>
      <c r="EN933" s="97"/>
      <c r="EO933" s="97"/>
      <c r="EP933" s="97"/>
      <c r="EQ933" s="97"/>
      <c r="ER933" s="97"/>
      <c r="ES933" s="97"/>
      <c r="ET933" s="97"/>
    </row>
    <row r="934" spans="1:150" ht="15.75" customHeight="1">
      <c r="A934" s="97"/>
      <c r="B934" s="97"/>
      <c r="C934" s="97"/>
      <c r="D934" s="97"/>
      <c r="E934" s="97"/>
      <c r="F934" s="97"/>
      <c r="G934" s="97"/>
      <c r="H934" s="129"/>
      <c r="I934" s="97"/>
      <c r="J934" s="97"/>
      <c r="K934" s="97"/>
      <c r="L934" s="97"/>
      <c r="M934" s="97"/>
      <c r="N934" s="97"/>
      <c r="O934" s="97"/>
      <c r="P934" s="97"/>
      <c r="Q934" s="97"/>
      <c r="R934" s="97"/>
      <c r="S934" s="97"/>
      <c r="T934" s="97"/>
      <c r="U934" s="97"/>
      <c r="V934" s="97"/>
      <c r="W934" s="97"/>
      <c r="X934" s="129"/>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c r="DF934" s="97"/>
      <c r="DG934" s="97"/>
      <c r="DH934" s="97"/>
      <c r="DI934" s="97"/>
      <c r="DJ934" s="97"/>
      <c r="DK934" s="97"/>
      <c r="DL934" s="97"/>
      <c r="DM934" s="97"/>
      <c r="DN934" s="97"/>
      <c r="DO934" s="97"/>
      <c r="DP934" s="97"/>
      <c r="DQ934" s="97"/>
      <c r="DR934" s="97"/>
      <c r="DS934" s="97"/>
      <c r="DT934" s="97"/>
      <c r="DU934" s="97"/>
      <c r="DV934" s="97"/>
      <c r="DW934" s="97"/>
      <c r="DX934" s="97"/>
      <c r="DY934" s="97"/>
      <c r="DZ934" s="97"/>
      <c r="EA934" s="97"/>
      <c r="EB934" s="97"/>
      <c r="EC934" s="97"/>
      <c r="ED934" s="97"/>
      <c r="EE934" s="97"/>
      <c r="EF934" s="97"/>
      <c r="EG934" s="97"/>
      <c r="EH934" s="97"/>
      <c r="EI934" s="97"/>
      <c r="EJ934" s="97"/>
      <c r="EK934" s="97"/>
      <c r="EL934" s="97"/>
      <c r="EM934" s="97"/>
      <c r="EN934" s="97"/>
      <c r="EO934" s="97"/>
      <c r="EP934" s="97"/>
      <c r="EQ934" s="97"/>
      <c r="ER934" s="97"/>
      <c r="ES934" s="97"/>
      <c r="ET934" s="97"/>
    </row>
    <row r="935" spans="1:150" ht="15.75" customHeight="1">
      <c r="A935" s="97"/>
      <c r="B935" s="97"/>
      <c r="C935" s="97"/>
      <c r="D935" s="97"/>
      <c r="E935" s="97"/>
      <c r="F935" s="97"/>
      <c r="G935" s="97"/>
      <c r="H935" s="129"/>
      <c r="I935" s="97"/>
      <c r="J935" s="97"/>
      <c r="K935" s="97"/>
      <c r="L935" s="97"/>
      <c r="M935" s="97"/>
      <c r="N935" s="97"/>
      <c r="O935" s="97"/>
      <c r="P935" s="97"/>
      <c r="Q935" s="97"/>
      <c r="R935" s="97"/>
      <c r="S935" s="97"/>
      <c r="T935" s="97"/>
      <c r="U935" s="97"/>
      <c r="V935" s="97"/>
      <c r="W935" s="97"/>
      <c r="X935" s="129"/>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c r="DF935" s="97"/>
      <c r="DG935" s="97"/>
      <c r="DH935" s="97"/>
      <c r="DI935" s="97"/>
      <c r="DJ935" s="97"/>
      <c r="DK935" s="97"/>
      <c r="DL935" s="97"/>
      <c r="DM935" s="97"/>
      <c r="DN935" s="97"/>
      <c r="DO935" s="97"/>
      <c r="DP935" s="97"/>
      <c r="DQ935" s="97"/>
      <c r="DR935" s="97"/>
      <c r="DS935" s="97"/>
      <c r="DT935" s="97"/>
      <c r="DU935" s="97"/>
      <c r="DV935" s="97"/>
      <c r="DW935" s="97"/>
      <c r="DX935" s="97"/>
      <c r="DY935" s="97"/>
      <c r="DZ935" s="97"/>
      <c r="EA935" s="97"/>
      <c r="EB935" s="97"/>
      <c r="EC935" s="97"/>
      <c r="ED935" s="97"/>
      <c r="EE935" s="97"/>
      <c r="EF935" s="97"/>
      <c r="EG935" s="97"/>
      <c r="EH935" s="97"/>
      <c r="EI935" s="97"/>
      <c r="EJ935" s="97"/>
      <c r="EK935" s="97"/>
      <c r="EL935" s="97"/>
      <c r="EM935" s="97"/>
      <c r="EN935" s="97"/>
      <c r="EO935" s="97"/>
      <c r="EP935" s="97"/>
      <c r="EQ935" s="97"/>
      <c r="ER935" s="97"/>
      <c r="ES935" s="97"/>
      <c r="ET935" s="97"/>
    </row>
    <row r="936" spans="1:150" ht="15.75" customHeight="1">
      <c r="A936" s="97"/>
      <c r="B936" s="97"/>
      <c r="C936" s="97"/>
      <c r="D936" s="97"/>
      <c r="E936" s="97"/>
      <c r="F936" s="97"/>
      <c r="G936" s="97"/>
      <c r="H936" s="129"/>
      <c r="I936" s="97"/>
      <c r="J936" s="97"/>
      <c r="K936" s="97"/>
      <c r="L936" s="97"/>
      <c r="M936" s="97"/>
      <c r="N936" s="97"/>
      <c r="O936" s="97"/>
      <c r="P936" s="97"/>
      <c r="Q936" s="97"/>
      <c r="R936" s="97"/>
      <c r="S936" s="97"/>
      <c r="T936" s="97"/>
      <c r="U936" s="97"/>
      <c r="V936" s="97"/>
      <c r="W936" s="97"/>
      <c r="X936" s="129"/>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c r="DF936" s="97"/>
      <c r="DG936" s="97"/>
      <c r="DH936" s="97"/>
      <c r="DI936" s="97"/>
      <c r="DJ936" s="97"/>
      <c r="DK936" s="97"/>
      <c r="DL936" s="97"/>
      <c r="DM936" s="97"/>
      <c r="DN936" s="97"/>
      <c r="DO936" s="97"/>
      <c r="DP936" s="97"/>
      <c r="DQ936" s="97"/>
      <c r="DR936" s="97"/>
      <c r="DS936" s="97"/>
      <c r="DT936" s="97"/>
      <c r="DU936" s="97"/>
      <c r="DV936" s="97"/>
      <c r="DW936" s="97"/>
      <c r="DX936" s="97"/>
      <c r="DY936" s="97"/>
      <c r="DZ936" s="97"/>
      <c r="EA936" s="97"/>
      <c r="EB936" s="97"/>
      <c r="EC936" s="97"/>
      <c r="ED936" s="97"/>
      <c r="EE936" s="97"/>
      <c r="EF936" s="97"/>
      <c r="EG936" s="97"/>
      <c r="EH936" s="97"/>
      <c r="EI936" s="97"/>
      <c r="EJ936" s="97"/>
      <c r="EK936" s="97"/>
      <c r="EL936" s="97"/>
      <c r="EM936" s="97"/>
      <c r="EN936" s="97"/>
      <c r="EO936" s="97"/>
      <c r="EP936" s="97"/>
      <c r="EQ936" s="97"/>
      <c r="ER936" s="97"/>
      <c r="ES936" s="97"/>
      <c r="ET936" s="97"/>
    </row>
    <row r="937" spans="1:150" ht="15.75" customHeight="1">
      <c r="A937" s="97"/>
      <c r="B937" s="97"/>
      <c r="C937" s="97"/>
      <c r="D937" s="97"/>
      <c r="E937" s="97"/>
      <c r="F937" s="97"/>
      <c r="G937" s="97"/>
      <c r="H937" s="129"/>
      <c r="I937" s="97"/>
      <c r="J937" s="97"/>
      <c r="K937" s="97"/>
      <c r="L937" s="97"/>
      <c r="M937" s="97"/>
      <c r="N937" s="97"/>
      <c r="O937" s="97"/>
      <c r="P937" s="97"/>
      <c r="Q937" s="97"/>
      <c r="R937" s="97"/>
      <c r="S937" s="97"/>
      <c r="T937" s="97"/>
      <c r="U937" s="97"/>
      <c r="V937" s="97"/>
      <c r="W937" s="97"/>
      <c r="X937" s="129"/>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c r="DF937" s="97"/>
      <c r="DG937" s="97"/>
      <c r="DH937" s="97"/>
      <c r="DI937" s="97"/>
      <c r="DJ937" s="97"/>
      <c r="DK937" s="97"/>
      <c r="DL937" s="97"/>
      <c r="DM937" s="97"/>
      <c r="DN937" s="97"/>
      <c r="DO937" s="97"/>
      <c r="DP937" s="97"/>
      <c r="DQ937" s="97"/>
      <c r="DR937" s="97"/>
      <c r="DS937" s="97"/>
      <c r="DT937" s="97"/>
      <c r="DU937" s="97"/>
      <c r="DV937" s="97"/>
      <c r="DW937" s="97"/>
      <c r="DX937" s="97"/>
      <c r="DY937" s="97"/>
      <c r="DZ937" s="97"/>
      <c r="EA937" s="97"/>
      <c r="EB937" s="97"/>
      <c r="EC937" s="97"/>
      <c r="ED937" s="97"/>
      <c r="EE937" s="97"/>
      <c r="EF937" s="97"/>
      <c r="EG937" s="97"/>
      <c r="EH937" s="97"/>
      <c r="EI937" s="97"/>
      <c r="EJ937" s="97"/>
      <c r="EK937" s="97"/>
      <c r="EL937" s="97"/>
      <c r="EM937" s="97"/>
      <c r="EN937" s="97"/>
      <c r="EO937" s="97"/>
      <c r="EP937" s="97"/>
      <c r="EQ937" s="97"/>
      <c r="ER937" s="97"/>
      <c r="ES937" s="97"/>
      <c r="ET937" s="97"/>
    </row>
    <row r="938" spans="1:150" ht="15.75" customHeight="1">
      <c r="A938" s="97"/>
      <c r="B938" s="97"/>
      <c r="C938" s="97"/>
      <c r="D938" s="97"/>
      <c r="E938" s="97"/>
      <c r="F938" s="97"/>
      <c r="G938" s="97"/>
      <c r="H938" s="129"/>
      <c r="I938" s="97"/>
      <c r="J938" s="97"/>
      <c r="K938" s="97"/>
      <c r="L938" s="97"/>
      <c r="M938" s="97"/>
      <c r="N938" s="97"/>
      <c r="O938" s="97"/>
      <c r="P938" s="97"/>
      <c r="Q938" s="97"/>
      <c r="R938" s="97"/>
      <c r="S938" s="97"/>
      <c r="T938" s="97"/>
      <c r="U938" s="97"/>
      <c r="V938" s="97"/>
      <c r="W938" s="97"/>
      <c r="X938" s="129"/>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c r="DF938" s="97"/>
      <c r="DG938" s="97"/>
      <c r="DH938" s="97"/>
      <c r="DI938" s="97"/>
      <c r="DJ938" s="97"/>
      <c r="DK938" s="97"/>
      <c r="DL938" s="97"/>
      <c r="DM938" s="97"/>
      <c r="DN938" s="97"/>
      <c r="DO938" s="97"/>
      <c r="DP938" s="97"/>
      <c r="DQ938" s="97"/>
      <c r="DR938" s="97"/>
      <c r="DS938" s="97"/>
      <c r="DT938" s="97"/>
      <c r="DU938" s="97"/>
      <c r="DV938" s="97"/>
      <c r="DW938" s="97"/>
      <c r="DX938" s="97"/>
      <c r="DY938" s="97"/>
      <c r="DZ938" s="97"/>
      <c r="EA938" s="97"/>
      <c r="EB938" s="97"/>
      <c r="EC938" s="97"/>
      <c r="ED938" s="97"/>
      <c r="EE938" s="97"/>
      <c r="EF938" s="97"/>
      <c r="EG938" s="97"/>
      <c r="EH938" s="97"/>
      <c r="EI938" s="97"/>
      <c r="EJ938" s="97"/>
      <c r="EK938" s="97"/>
      <c r="EL938" s="97"/>
      <c r="EM938" s="97"/>
      <c r="EN938" s="97"/>
      <c r="EO938" s="97"/>
      <c r="EP938" s="97"/>
      <c r="EQ938" s="97"/>
      <c r="ER938" s="97"/>
      <c r="ES938" s="97"/>
      <c r="ET938" s="97"/>
    </row>
    <row r="939" spans="1:150" ht="15.75" customHeight="1">
      <c r="A939" s="97"/>
      <c r="B939" s="97"/>
      <c r="C939" s="97"/>
      <c r="D939" s="97"/>
      <c r="E939" s="97"/>
      <c r="F939" s="97"/>
      <c r="G939" s="97"/>
      <c r="H939" s="129"/>
      <c r="I939" s="97"/>
      <c r="J939" s="97"/>
      <c r="K939" s="97"/>
      <c r="L939" s="97"/>
      <c r="M939" s="97"/>
      <c r="N939" s="97"/>
      <c r="O939" s="97"/>
      <c r="P939" s="97"/>
      <c r="Q939" s="97"/>
      <c r="R939" s="97"/>
      <c r="S939" s="97"/>
      <c r="T939" s="97"/>
      <c r="U939" s="97"/>
      <c r="V939" s="97"/>
      <c r="W939" s="97"/>
      <c r="X939" s="129"/>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c r="DF939" s="97"/>
      <c r="DG939" s="97"/>
      <c r="DH939" s="97"/>
      <c r="DI939" s="97"/>
      <c r="DJ939" s="97"/>
      <c r="DK939" s="97"/>
      <c r="DL939" s="97"/>
      <c r="DM939" s="97"/>
      <c r="DN939" s="97"/>
      <c r="DO939" s="97"/>
      <c r="DP939" s="97"/>
      <c r="DQ939" s="97"/>
      <c r="DR939" s="97"/>
      <c r="DS939" s="97"/>
      <c r="DT939" s="97"/>
      <c r="DU939" s="97"/>
      <c r="DV939" s="97"/>
      <c r="DW939" s="97"/>
      <c r="DX939" s="97"/>
      <c r="DY939" s="97"/>
      <c r="DZ939" s="97"/>
      <c r="EA939" s="97"/>
      <c r="EB939" s="97"/>
      <c r="EC939" s="97"/>
      <c r="ED939" s="97"/>
      <c r="EE939" s="97"/>
      <c r="EF939" s="97"/>
      <c r="EG939" s="97"/>
      <c r="EH939" s="97"/>
      <c r="EI939" s="97"/>
      <c r="EJ939" s="97"/>
      <c r="EK939" s="97"/>
      <c r="EL939" s="97"/>
      <c r="EM939" s="97"/>
      <c r="EN939" s="97"/>
      <c r="EO939" s="97"/>
      <c r="EP939" s="97"/>
      <c r="EQ939" s="97"/>
      <c r="ER939" s="97"/>
      <c r="ES939" s="97"/>
      <c r="ET939" s="97"/>
    </row>
    <row r="940" spans="1:150" ht="15.75" customHeight="1">
      <c r="A940" s="97"/>
      <c r="B940" s="97"/>
      <c r="C940" s="97"/>
      <c r="D940" s="97"/>
      <c r="E940" s="97"/>
      <c r="F940" s="97"/>
      <c r="G940" s="97"/>
      <c r="H940" s="129"/>
      <c r="I940" s="97"/>
      <c r="J940" s="97"/>
      <c r="K940" s="97"/>
      <c r="L940" s="97"/>
      <c r="M940" s="97"/>
      <c r="N940" s="97"/>
      <c r="O940" s="97"/>
      <c r="P940" s="97"/>
      <c r="Q940" s="97"/>
      <c r="R940" s="97"/>
      <c r="S940" s="97"/>
      <c r="T940" s="97"/>
      <c r="U940" s="97"/>
      <c r="V940" s="97"/>
      <c r="W940" s="97"/>
      <c r="X940" s="129"/>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c r="DF940" s="97"/>
      <c r="DG940" s="97"/>
      <c r="DH940" s="97"/>
      <c r="DI940" s="97"/>
      <c r="DJ940" s="97"/>
      <c r="DK940" s="97"/>
      <c r="DL940" s="97"/>
      <c r="DM940" s="97"/>
      <c r="DN940" s="97"/>
      <c r="DO940" s="97"/>
      <c r="DP940" s="97"/>
      <c r="DQ940" s="97"/>
      <c r="DR940" s="97"/>
      <c r="DS940" s="97"/>
      <c r="DT940" s="97"/>
      <c r="DU940" s="97"/>
      <c r="DV940" s="97"/>
      <c r="DW940" s="97"/>
      <c r="DX940" s="97"/>
      <c r="DY940" s="97"/>
      <c r="DZ940" s="97"/>
      <c r="EA940" s="97"/>
      <c r="EB940" s="97"/>
      <c r="EC940" s="97"/>
      <c r="ED940" s="97"/>
      <c r="EE940" s="97"/>
      <c r="EF940" s="97"/>
      <c r="EG940" s="97"/>
      <c r="EH940" s="97"/>
      <c r="EI940" s="97"/>
      <c r="EJ940" s="97"/>
      <c r="EK940" s="97"/>
      <c r="EL940" s="97"/>
      <c r="EM940" s="97"/>
      <c r="EN940" s="97"/>
      <c r="EO940" s="97"/>
      <c r="EP940" s="97"/>
      <c r="EQ940" s="97"/>
      <c r="ER940" s="97"/>
      <c r="ES940" s="97"/>
      <c r="ET940" s="97"/>
    </row>
    <row r="941" spans="1:150" ht="15.75" customHeight="1">
      <c r="A941" s="97"/>
      <c r="B941" s="97"/>
      <c r="C941" s="97"/>
      <c r="D941" s="97"/>
      <c r="E941" s="97"/>
      <c r="F941" s="97"/>
      <c r="G941" s="97"/>
      <c r="H941" s="129"/>
      <c r="I941" s="97"/>
      <c r="J941" s="97"/>
      <c r="K941" s="97"/>
      <c r="L941" s="97"/>
      <c r="M941" s="97"/>
      <c r="N941" s="97"/>
      <c r="O941" s="97"/>
      <c r="P941" s="97"/>
      <c r="Q941" s="97"/>
      <c r="R941" s="97"/>
      <c r="S941" s="97"/>
      <c r="T941" s="97"/>
      <c r="U941" s="97"/>
      <c r="V941" s="97"/>
      <c r="W941" s="97"/>
      <c r="X941" s="129"/>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c r="DF941" s="97"/>
      <c r="DG941" s="97"/>
      <c r="DH941" s="97"/>
      <c r="DI941" s="97"/>
      <c r="DJ941" s="97"/>
      <c r="DK941" s="97"/>
      <c r="DL941" s="97"/>
      <c r="DM941" s="97"/>
      <c r="DN941" s="97"/>
      <c r="DO941" s="97"/>
      <c r="DP941" s="97"/>
      <c r="DQ941" s="97"/>
      <c r="DR941" s="97"/>
      <c r="DS941" s="97"/>
      <c r="DT941" s="97"/>
      <c r="DU941" s="97"/>
      <c r="DV941" s="97"/>
      <c r="DW941" s="97"/>
      <c r="DX941" s="97"/>
      <c r="DY941" s="97"/>
      <c r="DZ941" s="97"/>
      <c r="EA941" s="97"/>
      <c r="EB941" s="97"/>
      <c r="EC941" s="97"/>
      <c r="ED941" s="97"/>
      <c r="EE941" s="97"/>
      <c r="EF941" s="97"/>
      <c r="EG941" s="97"/>
      <c r="EH941" s="97"/>
      <c r="EI941" s="97"/>
      <c r="EJ941" s="97"/>
      <c r="EK941" s="97"/>
      <c r="EL941" s="97"/>
      <c r="EM941" s="97"/>
      <c r="EN941" s="97"/>
      <c r="EO941" s="97"/>
      <c r="EP941" s="97"/>
      <c r="EQ941" s="97"/>
      <c r="ER941" s="97"/>
      <c r="ES941" s="97"/>
      <c r="ET941" s="97"/>
    </row>
    <row r="942" spans="1:150" ht="15.75" customHeight="1">
      <c r="A942" s="97"/>
      <c r="B942" s="97"/>
      <c r="C942" s="97"/>
      <c r="D942" s="97"/>
      <c r="E942" s="97"/>
      <c r="F942" s="97"/>
      <c r="G942" s="97"/>
      <c r="H942" s="129"/>
      <c r="I942" s="97"/>
      <c r="J942" s="97"/>
      <c r="K942" s="97"/>
      <c r="L942" s="97"/>
      <c r="M942" s="97"/>
      <c r="N942" s="97"/>
      <c r="O942" s="97"/>
      <c r="P942" s="97"/>
      <c r="Q942" s="97"/>
      <c r="R942" s="97"/>
      <c r="S942" s="97"/>
      <c r="T942" s="97"/>
      <c r="U942" s="97"/>
      <c r="V942" s="97"/>
      <c r="W942" s="97"/>
      <c r="X942" s="129"/>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c r="DF942" s="97"/>
      <c r="DG942" s="97"/>
      <c r="DH942" s="97"/>
      <c r="DI942" s="97"/>
      <c r="DJ942" s="97"/>
      <c r="DK942" s="97"/>
      <c r="DL942" s="97"/>
      <c r="DM942" s="97"/>
      <c r="DN942" s="97"/>
      <c r="DO942" s="97"/>
      <c r="DP942" s="97"/>
      <c r="DQ942" s="97"/>
      <c r="DR942" s="97"/>
      <c r="DS942" s="97"/>
      <c r="DT942" s="97"/>
      <c r="DU942" s="97"/>
      <c r="DV942" s="97"/>
      <c r="DW942" s="97"/>
      <c r="DX942" s="97"/>
      <c r="DY942" s="97"/>
      <c r="DZ942" s="97"/>
      <c r="EA942" s="97"/>
      <c r="EB942" s="97"/>
      <c r="EC942" s="97"/>
      <c r="ED942" s="97"/>
      <c r="EE942" s="97"/>
      <c r="EF942" s="97"/>
      <c r="EG942" s="97"/>
      <c r="EH942" s="97"/>
      <c r="EI942" s="97"/>
      <c r="EJ942" s="97"/>
      <c r="EK942" s="97"/>
      <c r="EL942" s="97"/>
      <c r="EM942" s="97"/>
      <c r="EN942" s="97"/>
      <c r="EO942" s="97"/>
      <c r="EP942" s="97"/>
      <c r="EQ942" s="97"/>
      <c r="ER942" s="97"/>
      <c r="ES942" s="97"/>
      <c r="ET942" s="97"/>
    </row>
    <row r="943" spans="1:150" ht="15.75" customHeight="1">
      <c r="A943" s="97"/>
      <c r="B943" s="97"/>
      <c r="C943" s="97"/>
      <c r="D943" s="97"/>
      <c r="E943" s="97"/>
      <c r="F943" s="97"/>
      <c r="G943" s="97"/>
      <c r="H943" s="129"/>
      <c r="I943" s="97"/>
      <c r="J943" s="97"/>
      <c r="K943" s="97"/>
      <c r="L943" s="97"/>
      <c r="M943" s="97"/>
      <c r="N943" s="97"/>
      <c r="O943" s="97"/>
      <c r="P943" s="97"/>
      <c r="Q943" s="97"/>
      <c r="R943" s="97"/>
      <c r="S943" s="97"/>
      <c r="T943" s="97"/>
      <c r="U943" s="97"/>
      <c r="V943" s="97"/>
      <c r="W943" s="97"/>
      <c r="X943" s="129"/>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c r="DF943" s="97"/>
      <c r="DG943" s="97"/>
      <c r="DH943" s="97"/>
      <c r="DI943" s="97"/>
      <c r="DJ943" s="97"/>
      <c r="DK943" s="97"/>
      <c r="DL943" s="97"/>
      <c r="DM943" s="97"/>
      <c r="DN943" s="97"/>
      <c r="DO943" s="97"/>
      <c r="DP943" s="97"/>
      <c r="DQ943" s="97"/>
      <c r="DR943" s="97"/>
      <c r="DS943" s="97"/>
      <c r="DT943" s="97"/>
      <c r="DU943" s="97"/>
      <c r="DV943" s="97"/>
      <c r="DW943" s="97"/>
      <c r="DX943" s="97"/>
      <c r="DY943" s="97"/>
      <c r="DZ943" s="97"/>
      <c r="EA943" s="97"/>
      <c r="EB943" s="97"/>
      <c r="EC943" s="97"/>
      <c r="ED943" s="97"/>
      <c r="EE943" s="97"/>
      <c r="EF943" s="97"/>
      <c r="EG943" s="97"/>
      <c r="EH943" s="97"/>
      <c r="EI943" s="97"/>
      <c r="EJ943" s="97"/>
      <c r="EK943" s="97"/>
      <c r="EL943" s="97"/>
      <c r="EM943" s="97"/>
      <c r="EN943" s="97"/>
      <c r="EO943" s="97"/>
      <c r="EP943" s="97"/>
      <c r="EQ943" s="97"/>
      <c r="ER943" s="97"/>
      <c r="ES943" s="97"/>
      <c r="ET943" s="97"/>
    </row>
    <row r="944" spans="1:150" ht="15.75" customHeight="1">
      <c r="A944" s="97"/>
      <c r="B944" s="97"/>
      <c r="C944" s="97"/>
      <c r="D944" s="97"/>
      <c r="E944" s="97"/>
      <c r="F944" s="97"/>
      <c r="G944" s="97"/>
      <c r="H944" s="129"/>
      <c r="I944" s="97"/>
      <c r="J944" s="97"/>
      <c r="K944" s="97"/>
      <c r="L944" s="97"/>
      <c r="M944" s="97"/>
      <c r="N944" s="97"/>
      <c r="O944" s="97"/>
      <c r="P944" s="97"/>
      <c r="Q944" s="97"/>
      <c r="R944" s="97"/>
      <c r="S944" s="97"/>
      <c r="T944" s="97"/>
      <c r="U944" s="97"/>
      <c r="V944" s="97"/>
      <c r="W944" s="97"/>
      <c r="X944" s="129"/>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c r="DF944" s="97"/>
      <c r="DG944" s="97"/>
      <c r="DH944" s="97"/>
      <c r="DI944" s="97"/>
      <c r="DJ944" s="97"/>
      <c r="DK944" s="97"/>
      <c r="DL944" s="97"/>
      <c r="DM944" s="97"/>
      <c r="DN944" s="97"/>
      <c r="DO944" s="97"/>
      <c r="DP944" s="97"/>
      <c r="DQ944" s="97"/>
      <c r="DR944" s="97"/>
      <c r="DS944" s="97"/>
      <c r="DT944" s="97"/>
      <c r="DU944" s="97"/>
      <c r="DV944" s="97"/>
      <c r="DW944" s="97"/>
      <c r="DX944" s="97"/>
      <c r="DY944" s="97"/>
      <c r="DZ944" s="97"/>
      <c r="EA944" s="97"/>
      <c r="EB944" s="97"/>
      <c r="EC944" s="97"/>
      <c r="ED944" s="97"/>
      <c r="EE944" s="97"/>
      <c r="EF944" s="97"/>
      <c r="EG944" s="97"/>
      <c r="EH944" s="97"/>
      <c r="EI944" s="97"/>
      <c r="EJ944" s="97"/>
      <c r="EK944" s="97"/>
      <c r="EL944" s="97"/>
      <c r="EM944" s="97"/>
      <c r="EN944" s="97"/>
      <c r="EO944" s="97"/>
      <c r="EP944" s="97"/>
      <c r="EQ944" s="97"/>
      <c r="ER944" s="97"/>
      <c r="ES944" s="97"/>
      <c r="ET944" s="97"/>
    </row>
    <row r="945" spans="1:150" ht="15.75" customHeight="1">
      <c r="A945" s="97"/>
      <c r="B945" s="97"/>
      <c r="C945" s="97"/>
      <c r="D945" s="97"/>
      <c r="E945" s="97"/>
      <c r="F945" s="97"/>
      <c r="G945" s="97"/>
      <c r="H945" s="129"/>
      <c r="I945" s="97"/>
      <c r="J945" s="97"/>
      <c r="K945" s="97"/>
      <c r="L945" s="97"/>
      <c r="M945" s="97"/>
      <c r="N945" s="97"/>
      <c r="O945" s="97"/>
      <c r="P945" s="97"/>
      <c r="Q945" s="97"/>
      <c r="R945" s="97"/>
      <c r="S945" s="97"/>
      <c r="T945" s="97"/>
      <c r="U945" s="97"/>
      <c r="V945" s="97"/>
      <c r="W945" s="97"/>
      <c r="X945" s="129"/>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c r="DF945" s="97"/>
      <c r="DG945" s="97"/>
      <c r="DH945" s="97"/>
      <c r="DI945" s="97"/>
      <c r="DJ945" s="97"/>
      <c r="DK945" s="97"/>
      <c r="DL945" s="97"/>
      <c r="DM945" s="97"/>
      <c r="DN945" s="97"/>
      <c r="DO945" s="97"/>
      <c r="DP945" s="97"/>
      <c r="DQ945" s="97"/>
      <c r="DR945" s="97"/>
      <c r="DS945" s="97"/>
      <c r="DT945" s="97"/>
      <c r="DU945" s="97"/>
      <c r="DV945" s="97"/>
      <c r="DW945" s="97"/>
      <c r="DX945" s="97"/>
      <c r="DY945" s="97"/>
      <c r="DZ945" s="97"/>
      <c r="EA945" s="97"/>
      <c r="EB945" s="97"/>
      <c r="EC945" s="97"/>
      <c r="ED945" s="97"/>
      <c r="EE945" s="97"/>
      <c r="EF945" s="97"/>
      <c r="EG945" s="97"/>
      <c r="EH945" s="97"/>
      <c r="EI945" s="97"/>
      <c r="EJ945" s="97"/>
      <c r="EK945" s="97"/>
      <c r="EL945" s="97"/>
      <c r="EM945" s="97"/>
      <c r="EN945" s="97"/>
      <c r="EO945" s="97"/>
      <c r="EP945" s="97"/>
      <c r="EQ945" s="97"/>
      <c r="ER945" s="97"/>
      <c r="ES945" s="97"/>
      <c r="ET945" s="97"/>
    </row>
    <row r="946" spans="1:150" ht="15.75" customHeight="1">
      <c r="A946" s="97"/>
      <c r="B946" s="97"/>
      <c r="C946" s="97"/>
      <c r="D946" s="97"/>
      <c r="E946" s="97"/>
      <c r="F946" s="97"/>
      <c r="G946" s="97"/>
      <c r="H946" s="129"/>
      <c r="I946" s="97"/>
      <c r="J946" s="97"/>
      <c r="K946" s="97"/>
      <c r="L946" s="97"/>
      <c r="M946" s="97"/>
      <c r="N946" s="97"/>
      <c r="O946" s="97"/>
      <c r="P946" s="97"/>
      <c r="Q946" s="97"/>
      <c r="R946" s="97"/>
      <c r="S946" s="97"/>
      <c r="T946" s="97"/>
      <c r="U946" s="97"/>
      <c r="V946" s="97"/>
      <c r="W946" s="97"/>
      <c r="X946" s="129"/>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c r="DF946" s="97"/>
      <c r="DG946" s="97"/>
      <c r="DH946" s="97"/>
      <c r="DI946" s="97"/>
      <c r="DJ946" s="97"/>
      <c r="DK946" s="97"/>
      <c r="DL946" s="97"/>
      <c r="DM946" s="97"/>
      <c r="DN946" s="97"/>
      <c r="DO946" s="97"/>
      <c r="DP946" s="97"/>
      <c r="DQ946" s="97"/>
      <c r="DR946" s="97"/>
      <c r="DS946" s="97"/>
      <c r="DT946" s="97"/>
      <c r="DU946" s="97"/>
      <c r="DV946" s="97"/>
      <c r="DW946" s="97"/>
      <c r="DX946" s="97"/>
      <c r="DY946" s="97"/>
      <c r="DZ946" s="97"/>
      <c r="EA946" s="97"/>
      <c r="EB946" s="97"/>
      <c r="EC946" s="97"/>
      <c r="ED946" s="97"/>
      <c r="EE946" s="97"/>
      <c r="EF946" s="97"/>
      <c r="EG946" s="97"/>
      <c r="EH946" s="97"/>
      <c r="EI946" s="97"/>
      <c r="EJ946" s="97"/>
      <c r="EK946" s="97"/>
      <c r="EL946" s="97"/>
      <c r="EM946" s="97"/>
      <c r="EN946" s="97"/>
      <c r="EO946" s="97"/>
      <c r="EP946" s="97"/>
      <c r="EQ946" s="97"/>
      <c r="ER946" s="97"/>
      <c r="ES946" s="97"/>
      <c r="ET946" s="97"/>
    </row>
    <row r="947" spans="1:150" ht="15.75" customHeight="1">
      <c r="A947" s="97"/>
      <c r="B947" s="97"/>
      <c r="C947" s="97"/>
      <c r="D947" s="97"/>
      <c r="E947" s="97"/>
      <c r="F947" s="97"/>
      <c r="G947" s="97"/>
      <c r="H947" s="129"/>
      <c r="I947" s="97"/>
      <c r="J947" s="97"/>
      <c r="K947" s="97"/>
      <c r="L947" s="97"/>
      <c r="M947" s="97"/>
      <c r="N947" s="97"/>
      <c r="O947" s="97"/>
      <c r="P947" s="97"/>
      <c r="Q947" s="97"/>
      <c r="R947" s="97"/>
      <c r="S947" s="97"/>
      <c r="T947" s="97"/>
      <c r="U947" s="97"/>
      <c r="V947" s="97"/>
      <c r="W947" s="97"/>
      <c r="X947" s="129"/>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c r="DF947" s="97"/>
      <c r="DG947" s="97"/>
      <c r="DH947" s="97"/>
      <c r="DI947" s="97"/>
      <c r="DJ947" s="97"/>
      <c r="DK947" s="97"/>
      <c r="DL947" s="97"/>
      <c r="DM947" s="97"/>
      <c r="DN947" s="97"/>
      <c r="DO947" s="97"/>
      <c r="DP947" s="97"/>
      <c r="DQ947" s="97"/>
      <c r="DR947" s="97"/>
      <c r="DS947" s="97"/>
      <c r="DT947" s="97"/>
      <c r="DU947" s="97"/>
      <c r="DV947" s="97"/>
      <c r="DW947" s="97"/>
      <c r="DX947" s="97"/>
      <c r="DY947" s="97"/>
      <c r="DZ947" s="97"/>
      <c r="EA947" s="97"/>
      <c r="EB947" s="97"/>
      <c r="EC947" s="97"/>
      <c r="ED947" s="97"/>
      <c r="EE947" s="97"/>
      <c r="EF947" s="97"/>
      <c r="EG947" s="97"/>
      <c r="EH947" s="97"/>
      <c r="EI947" s="97"/>
      <c r="EJ947" s="97"/>
      <c r="EK947" s="97"/>
      <c r="EL947" s="97"/>
      <c r="EM947" s="97"/>
      <c r="EN947" s="97"/>
      <c r="EO947" s="97"/>
      <c r="EP947" s="97"/>
      <c r="EQ947" s="97"/>
      <c r="ER947" s="97"/>
      <c r="ES947" s="97"/>
      <c r="ET947" s="97"/>
    </row>
    <row r="948" spans="1:150" ht="15.75" customHeight="1">
      <c r="A948" s="97"/>
      <c r="B948" s="97"/>
      <c r="C948" s="97"/>
      <c r="D948" s="97"/>
      <c r="E948" s="97"/>
      <c r="F948" s="97"/>
      <c r="G948" s="97"/>
      <c r="H948" s="129"/>
      <c r="I948" s="97"/>
      <c r="J948" s="97"/>
      <c r="K948" s="97"/>
      <c r="L948" s="97"/>
      <c r="M948" s="97"/>
      <c r="N948" s="97"/>
      <c r="O948" s="97"/>
      <c r="P948" s="97"/>
      <c r="Q948" s="97"/>
      <c r="R948" s="97"/>
      <c r="S948" s="97"/>
      <c r="T948" s="97"/>
      <c r="U948" s="97"/>
      <c r="V948" s="97"/>
      <c r="W948" s="97"/>
      <c r="X948" s="129"/>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c r="DF948" s="97"/>
      <c r="DG948" s="97"/>
      <c r="DH948" s="97"/>
      <c r="DI948" s="97"/>
      <c r="DJ948" s="97"/>
      <c r="DK948" s="97"/>
      <c r="DL948" s="97"/>
      <c r="DM948" s="97"/>
      <c r="DN948" s="97"/>
      <c r="DO948" s="97"/>
      <c r="DP948" s="97"/>
      <c r="DQ948" s="97"/>
      <c r="DR948" s="97"/>
      <c r="DS948" s="97"/>
      <c r="DT948" s="97"/>
      <c r="DU948" s="97"/>
      <c r="DV948" s="97"/>
      <c r="DW948" s="97"/>
      <c r="DX948" s="97"/>
      <c r="DY948" s="97"/>
      <c r="DZ948" s="97"/>
      <c r="EA948" s="97"/>
      <c r="EB948" s="97"/>
      <c r="EC948" s="97"/>
      <c r="ED948" s="97"/>
      <c r="EE948" s="97"/>
      <c r="EF948" s="97"/>
      <c r="EG948" s="97"/>
      <c r="EH948" s="97"/>
      <c r="EI948" s="97"/>
      <c r="EJ948" s="97"/>
      <c r="EK948" s="97"/>
      <c r="EL948" s="97"/>
      <c r="EM948" s="97"/>
      <c r="EN948" s="97"/>
      <c r="EO948" s="97"/>
      <c r="EP948" s="97"/>
      <c r="EQ948" s="97"/>
      <c r="ER948" s="97"/>
      <c r="ES948" s="97"/>
      <c r="ET948" s="97"/>
    </row>
    <row r="949" spans="1:150" ht="15.75" customHeight="1">
      <c r="A949" s="97"/>
      <c r="B949" s="97"/>
      <c r="C949" s="97"/>
      <c r="D949" s="97"/>
      <c r="E949" s="97"/>
      <c r="F949" s="97"/>
      <c r="G949" s="97"/>
      <c r="H949" s="129"/>
      <c r="I949" s="97"/>
      <c r="J949" s="97"/>
      <c r="K949" s="97"/>
      <c r="L949" s="97"/>
      <c r="M949" s="97"/>
      <c r="N949" s="97"/>
      <c r="O949" s="97"/>
      <c r="P949" s="97"/>
      <c r="Q949" s="97"/>
      <c r="R949" s="97"/>
      <c r="S949" s="97"/>
      <c r="T949" s="97"/>
      <c r="U949" s="97"/>
      <c r="V949" s="97"/>
      <c r="W949" s="97"/>
      <c r="X949" s="129"/>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c r="DF949" s="97"/>
      <c r="DG949" s="97"/>
      <c r="DH949" s="97"/>
      <c r="DI949" s="97"/>
      <c r="DJ949" s="97"/>
      <c r="DK949" s="97"/>
      <c r="DL949" s="97"/>
      <c r="DM949" s="97"/>
      <c r="DN949" s="97"/>
      <c r="DO949" s="97"/>
      <c r="DP949" s="97"/>
      <c r="DQ949" s="97"/>
      <c r="DR949" s="97"/>
      <c r="DS949" s="97"/>
      <c r="DT949" s="97"/>
      <c r="DU949" s="97"/>
      <c r="DV949" s="97"/>
      <c r="DW949" s="97"/>
      <c r="DX949" s="97"/>
      <c r="DY949" s="97"/>
      <c r="DZ949" s="97"/>
      <c r="EA949" s="97"/>
      <c r="EB949" s="97"/>
      <c r="EC949" s="97"/>
      <c r="ED949" s="97"/>
      <c r="EE949" s="97"/>
      <c r="EF949" s="97"/>
      <c r="EG949" s="97"/>
      <c r="EH949" s="97"/>
      <c r="EI949" s="97"/>
      <c r="EJ949" s="97"/>
      <c r="EK949" s="97"/>
      <c r="EL949" s="97"/>
      <c r="EM949" s="97"/>
      <c r="EN949" s="97"/>
      <c r="EO949" s="97"/>
      <c r="EP949" s="97"/>
      <c r="EQ949" s="97"/>
      <c r="ER949" s="97"/>
      <c r="ES949" s="97"/>
      <c r="ET949" s="97"/>
    </row>
    <row r="950" spans="1:150" ht="15.75" customHeight="1">
      <c r="A950" s="97"/>
      <c r="B950" s="97"/>
      <c r="C950" s="97"/>
      <c r="D950" s="97"/>
      <c r="E950" s="97"/>
      <c r="F950" s="97"/>
      <c r="G950" s="97"/>
      <c r="H950" s="129"/>
      <c r="I950" s="97"/>
      <c r="J950" s="97"/>
      <c r="K950" s="97"/>
      <c r="L950" s="97"/>
      <c r="M950" s="97"/>
      <c r="N950" s="97"/>
      <c r="O950" s="97"/>
      <c r="P950" s="97"/>
      <c r="Q950" s="97"/>
      <c r="R950" s="97"/>
      <c r="S950" s="97"/>
      <c r="T950" s="97"/>
      <c r="U950" s="97"/>
      <c r="V950" s="97"/>
      <c r="W950" s="97"/>
      <c r="X950" s="129"/>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c r="DF950" s="97"/>
      <c r="DG950" s="97"/>
      <c r="DH950" s="97"/>
      <c r="DI950" s="97"/>
      <c r="DJ950" s="97"/>
      <c r="DK950" s="97"/>
      <c r="DL950" s="97"/>
      <c r="DM950" s="97"/>
      <c r="DN950" s="97"/>
      <c r="DO950" s="97"/>
      <c r="DP950" s="97"/>
      <c r="DQ950" s="97"/>
      <c r="DR950" s="97"/>
      <c r="DS950" s="97"/>
      <c r="DT950" s="97"/>
      <c r="DU950" s="97"/>
      <c r="DV950" s="97"/>
      <c r="DW950" s="97"/>
      <c r="DX950" s="97"/>
      <c r="DY950" s="97"/>
      <c r="DZ950" s="97"/>
      <c r="EA950" s="97"/>
      <c r="EB950" s="97"/>
      <c r="EC950" s="97"/>
      <c r="ED950" s="97"/>
      <c r="EE950" s="97"/>
      <c r="EF950" s="97"/>
      <c r="EG950" s="97"/>
      <c r="EH950" s="97"/>
      <c r="EI950" s="97"/>
      <c r="EJ950" s="97"/>
      <c r="EK950" s="97"/>
      <c r="EL950" s="97"/>
      <c r="EM950" s="97"/>
      <c r="EN950" s="97"/>
      <c r="EO950" s="97"/>
      <c r="EP950" s="97"/>
      <c r="EQ950" s="97"/>
      <c r="ER950" s="97"/>
      <c r="ES950" s="97"/>
      <c r="ET950" s="97"/>
    </row>
    <row r="951" spans="1:150" ht="15.75" customHeight="1">
      <c r="A951" s="97"/>
      <c r="B951" s="97"/>
      <c r="C951" s="97"/>
      <c r="D951" s="97"/>
      <c r="E951" s="97"/>
      <c r="F951" s="97"/>
      <c r="G951" s="97"/>
      <c r="H951" s="129"/>
      <c r="I951" s="97"/>
      <c r="J951" s="97"/>
      <c r="K951" s="97"/>
      <c r="L951" s="97"/>
      <c r="M951" s="97"/>
      <c r="N951" s="97"/>
      <c r="O951" s="97"/>
      <c r="P951" s="97"/>
      <c r="Q951" s="97"/>
      <c r="R951" s="97"/>
      <c r="S951" s="97"/>
      <c r="T951" s="97"/>
      <c r="U951" s="97"/>
      <c r="V951" s="97"/>
      <c r="W951" s="97"/>
      <c r="X951" s="129"/>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c r="DF951" s="97"/>
      <c r="DG951" s="97"/>
      <c r="DH951" s="97"/>
      <c r="DI951" s="97"/>
      <c r="DJ951" s="97"/>
      <c r="DK951" s="97"/>
      <c r="DL951" s="97"/>
      <c r="DM951" s="97"/>
      <c r="DN951" s="97"/>
      <c r="DO951" s="97"/>
      <c r="DP951" s="97"/>
      <c r="DQ951" s="97"/>
      <c r="DR951" s="97"/>
      <c r="DS951" s="97"/>
      <c r="DT951" s="97"/>
      <c r="DU951" s="97"/>
      <c r="DV951" s="97"/>
      <c r="DW951" s="97"/>
      <c r="DX951" s="97"/>
      <c r="DY951" s="97"/>
      <c r="DZ951" s="97"/>
      <c r="EA951" s="97"/>
      <c r="EB951" s="97"/>
      <c r="EC951" s="97"/>
      <c r="ED951" s="97"/>
      <c r="EE951" s="97"/>
      <c r="EF951" s="97"/>
      <c r="EG951" s="97"/>
      <c r="EH951" s="97"/>
      <c r="EI951" s="97"/>
      <c r="EJ951" s="97"/>
      <c r="EK951" s="97"/>
      <c r="EL951" s="97"/>
      <c r="EM951" s="97"/>
      <c r="EN951" s="97"/>
      <c r="EO951" s="97"/>
      <c r="EP951" s="97"/>
      <c r="EQ951" s="97"/>
      <c r="ER951" s="97"/>
      <c r="ES951" s="97"/>
      <c r="ET951" s="97"/>
    </row>
    <row r="952" spans="1:150" ht="15.75" customHeight="1">
      <c r="A952" s="97"/>
      <c r="B952" s="97"/>
      <c r="C952" s="97"/>
      <c r="D952" s="97"/>
      <c r="E952" s="97"/>
      <c r="F952" s="97"/>
      <c r="G952" s="97"/>
      <c r="H952" s="129"/>
      <c r="I952" s="97"/>
      <c r="J952" s="97"/>
      <c r="K952" s="97"/>
      <c r="L952" s="97"/>
      <c r="M952" s="97"/>
      <c r="N952" s="97"/>
      <c r="O952" s="97"/>
      <c r="P952" s="97"/>
      <c r="Q952" s="97"/>
      <c r="R952" s="97"/>
      <c r="S952" s="97"/>
      <c r="T952" s="97"/>
      <c r="U952" s="97"/>
      <c r="V952" s="97"/>
      <c r="W952" s="97"/>
      <c r="X952" s="129"/>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c r="DF952" s="97"/>
      <c r="DG952" s="97"/>
      <c r="DH952" s="97"/>
      <c r="DI952" s="97"/>
      <c r="DJ952" s="97"/>
      <c r="DK952" s="97"/>
      <c r="DL952" s="97"/>
      <c r="DM952" s="97"/>
      <c r="DN952" s="97"/>
      <c r="DO952" s="97"/>
      <c r="DP952" s="97"/>
      <c r="DQ952" s="97"/>
      <c r="DR952" s="97"/>
      <c r="DS952" s="97"/>
      <c r="DT952" s="97"/>
      <c r="DU952" s="97"/>
      <c r="DV952" s="97"/>
      <c r="DW952" s="97"/>
      <c r="DX952" s="97"/>
      <c r="DY952" s="97"/>
      <c r="DZ952" s="97"/>
      <c r="EA952" s="97"/>
      <c r="EB952" s="97"/>
      <c r="EC952" s="97"/>
      <c r="ED952" s="97"/>
      <c r="EE952" s="97"/>
      <c r="EF952" s="97"/>
      <c r="EG952" s="97"/>
      <c r="EH952" s="97"/>
      <c r="EI952" s="97"/>
      <c r="EJ952" s="97"/>
      <c r="EK952" s="97"/>
      <c r="EL952" s="97"/>
      <c r="EM952" s="97"/>
      <c r="EN952" s="97"/>
      <c r="EO952" s="97"/>
      <c r="EP952" s="97"/>
      <c r="EQ952" s="97"/>
      <c r="ER952" s="97"/>
      <c r="ES952" s="97"/>
      <c r="ET952" s="97"/>
    </row>
    <row r="953" spans="1:150" ht="15.75" customHeight="1">
      <c r="A953" s="97"/>
      <c r="B953" s="97"/>
      <c r="C953" s="97"/>
      <c r="D953" s="97"/>
      <c r="E953" s="97"/>
      <c r="F953" s="97"/>
      <c r="G953" s="97"/>
      <c r="H953" s="129"/>
      <c r="I953" s="97"/>
      <c r="J953" s="97"/>
      <c r="K953" s="97"/>
      <c r="L953" s="97"/>
      <c r="M953" s="97"/>
      <c r="N953" s="97"/>
      <c r="O953" s="97"/>
      <c r="P953" s="97"/>
      <c r="Q953" s="97"/>
      <c r="R953" s="97"/>
      <c r="S953" s="97"/>
      <c r="T953" s="97"/>
      <c r="U953" s="97"/>
      <c r="V953" s="97"/>
      <c r="W953" s="97"/>
      <c r="X953" s="129"/>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c r="DF953" s="97"/>
      <c r="DG953" s="97"/>
      <c r="DH953" s="97"/>
      <c r="DI953" s="97"/>
      <c r="DJ953" s="97"/>
      <c r="DK953" s="97"/>
      <c r="DL953" s="97"/>
      <c r="DM953" s="97"/>
      <c r="DN953" s="97"/>
      <c r="DO953" s="97"/>
      <c r="DP953" s="97"/>
      <c r="DQ953" s="97"/>
      <c r="DR953" s="97"/>
      <c r="DS953" s="97"/>
      <c r="DT953" s="97"/>
      <c r="DU953" s="97"/>
      <c r="DV953" s="97"/>
      <c r="DW953" s="97"/>
      <c r="DX953" s="97"/>
      <c r="DY953" s="97"/>
      <c r="DZ953" s="97"/>
      <c r="EA953" s="97"/>
      <c r="EB953" s="97"/>
      <c r="EC953" s="97"/>
      <c r="ED953" s="97"/>
      <c r="EE953" s="97"/>
      <c r="EF953" s="97"/>
      <c r="EG953" s="97"/>
      <c r="EH953" s="97"/>
      <c r="EI953" s="97"/>
      <c r="EJ953" s="97"/>
      <c r="EK953" s="97"/>
      <c r="EL953" s="97"/>
      <c r="EM953" s="97"/>
      <c r="EN953" s="97"/>
      <c r="EO953" s="97"/>
      <c r="EP953" s="97"/>
      <c r="EQ953" s="97"/>
      <c r="ER953" s="97"/>
      <c r="ES953" s="97"/>
      <c r="ET953" s="97"/>
    </row>
    <row r="954" spans="1:150" ht="15.75" customHeight="1">
      <c r="A954" s="97"/>
      <c r="B954" s="97"/>
      <c r="C954" s="97"/>
      <c r="D954" s="97"/>
      <c r="E954" s="97"/>
      <c r="F954" s="97"/>
      <c r="G954" s="97"/>
      <c r="H954" s="129"/>
      <c r="I954" s="97"/>
      <c r="J954" s="97"/>
      <c r="K954" s="97"/>
      <c r="L954" s="97"/>
      <c r="M954" s="97"/>
      <c r="N954" s="97"/>
      <c r="O954" s="97"/>
      <c r="P954" s="97"/>
      <c r="Q954" s="97"/>
      <c r="R954" s="97"/>
      <c r="S954" s="97"/>
      <c r="T954" s="97"/>
      <c r="U954" s="97"/>
      <c r="V954" s="97"/>
      <c r="W954" s="97"/>
      <c r="X954" s="129"/>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c r="DF954" s="97"/>
      <c r="DG954" s="97"/>
      <c r="DH954" s="97"/>
      <c r="DI954" s="97"/>
      <c r="DJ954" s="97"/>
      <c r="DK954" s="97"/>
      <c r="DL954" s="97"/>
      <c r="DM954" s="97"/>
      <c r="DN954" s="97"/>
      <c r="DO954" s="97"/>
      <c r="DP954" s="97"/>
      <c r="DQ954" s="97"/>
      <c r="DR954" s="97"/>
      <c r="DS954" s="97"/>
      <c r="DT954" s="97"/>
      <c r="DU954" s="97"/>
      <c r="DV954" s="97"/>
      <c r="DW954" s="97"/>
      <c r="DX954" s="97"/>
      <c r="DY954" s="97"/>
      <c r="DZ954" s="97"/>
      <c r="EA954" s="97"/>
      <c r="EB954" s="97"/>
      <c r="EC954" s="97"/>
      <c r="ED954" s="97"/>
      <c r="EE954" s="97"/>
      <c r="EF954" s="97"/>
      <c r="EG954" s="97"/>
      <c r="EH954" s="97"/>
      <c r="EI954" s="97"/>
      <c r="EJ954" s="97"/>
      <c r="EK954" s="97"/>
      <c r="EL954" s="97"/>
      <c r="EM954" s="97"/>
      <c r="EN954" s="97"/>
      <c r="EO954" s="97"/>
      <c r="EP954" s="97"/>
      <c r="EQ954" s="97"/>
      <c r="ER954" s="97"/>
      <c r="ES954" s="97"/>
      <c r="ET954" s="97"/>
    </row>
    <row r="955" spans="1:150" ht="15.75" customHeight="1">
      <c r="A955" s="97"/>
      <c r="B955" s="97"/>
      <c r="C955" s="97"/>
      <c r="D955" s="97"/>
      <c r="E955" s="97"/>
      <c r="F955" s="97"/>
      <c r="G955" s="97"/>
      <c r="H955" s="129"/>
      <c r="I955" s="97"/>
      <c r="J955" s="97"/>
      <c r="K955" s="97"/>
      <c r="L955" s="97"/>
      <c r="M955" s="97"/>
      <c r="N955" s="97"/>
      <c r="O955" s="97"/>
      <c r="P955" s="97"/>
      <c r="Q955" s="97"/>
      <c r="R955" s="97"/>
      <c r="S955" s="97"/>
      <c r="T955" s="97"/>
      <c r="U955" s="97"/>
      <c r="V955" s="97"/>
      <c r="W955" s="97"/>
      <c r="X955" s="129"/>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c r="DF955" s="97"/>
      <c r="DG955" s="97"/>
      <c r="DH955" s="97"/>
      <c r="DI955" s="97"/>
      <c r="DJ955" s="97"/>
      <c r="DK955" s="97"/>
      <c r="DL955" s="97"/>
      <c r="DM955" s="97"/>
      <c r="DN955" s="97"/>
      <c r="DO955" s="97"/>
      <c r="DP955" s="97"/>
      <c r="DQ955" s="97"/>
      <c r="DR955" s="97"/>
      <c r="DS955" s="97"/>
      <c r="DT955" s="97"/>
      <c r="DU955" s="97"/>
      <c r="DV955" s="97"/>
      <c r="DW955" s="97"/>
      <c r="DX955" s="97"/>
      <c r="DY955" s="97"/>
      <c r="DZ955" s="97"/>
      <c r="EA955" s="97"/>
      <c r="EB955" s="97"/>
      <c r="EC955" s="97"/>
      <c r="ED955" s="97"/>
      <c r="EE955" s="97"/>
      <c r="EF955" s="97"/>
      <c r="EG955" s="97"/>
      <c r="EH955" s="97"/>
      <c r="EI955" s="97"/>
      <c r="EJ955" s="97"/>
      <c r="EK955" s="97"/>
      <c r="EL955" s="97"/>
      <c r="EM955" s="97"/>
      <c r="EN955" s="97"/>
      <c r="EO955" s="97"/>
      <c r="EP955" s="97"/>
      <c r="EQ955" s="97"/>
      <c r="ER955" s="97"/>
      <c r="ES955" s="97"/>
      <c r="ET955" s="97"/>
    </row>
    <row r="956" spans="1:150" ht="15.75" customHeight="1">
      <c r="A956" s="97"/>
      <c r="B956" s="97"/>
      <c r="C956" s="97"/>
      <c r="D956" s="97"/>
      <c r="E956" s="97"/>
      <c r="F956" s="97"/>
      <c r="G956" s="97"/>
      <c r="H956" s="129"/>
      <c r="I956" s="97"/>
      <c r="J956" s="97"/>
      <c r="K956" s="97"/>
      <c r="L956" s="97"/>
      <c r="M956" s="97"/>
      <c r="N956" s="97"/>
      <c r="O956" s="97"/>
      <c r="P956" s="97"/>
      <c r="Q956" s="97"/>
      <c r="R956" s="97"/>
      <c r="S956" s="97"/>
      <c r="T956" s="97"/>
      <c r="U956" s="97"/>
      <c r="V956" s="97"/>
      <c r="W956" s="97"/>
      <c r="X956" s="129"/>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c r="DF956" s="97"/>
      <c r="DG956" s="97"/>
      <c r="DH956" s="97"/>
      <c r="DI956" s="97"/>
      <c r="DJ956" s="97"/>
      <c r="DK956" s="97"/>
      <c r="DL956" s="97"/>
      <c r="DM956" s="97"/>
      <c r="DN956" s="97"/>
      <c r="DO956" s="97"/>
      <c r="DP956" s="97"/>
      <c r="DQ956" s="97"/>
      <c r="DR956" s="97"/>
      <c r="DS956" s="97"/>
      <c r="DT956" s="97"/>
      <c r="DU956" s="97"/>
      <c r="DV956" s="97"/>
      <c r="DW956" s="97"/>
      <c r="DX956" s="97"/>
      <c r="DY956" s="97"/>
      <c r="DZ956" s="97"/>
      <c r="EA956" s="97"/>
      <c r="EB956" s="97"/>
      <c r="EC956" s="97"/>
      <c r="ED956" s="97"/>
      <c r="EE956" s="97"/>
      <c r="EF956" s="97"/>
      <c r="EG956" s="97"/>
      <c r="EH956" s="97"/>
      <c r="EI956" s="97"/>
      <c r="EJ956" s="97"/>
      <c r="EK956" s="97"/>
      <c r="EL956" s="97"/>
      <c r="EM956" s="97"/>
      <c r="EN956" s="97"/>
      <c r="EO956" s="97"/>
      <c r="EP956" s="97"/>
      <c r="EQ956" s="97"/>
      <c r="ER956" s="97"/>
      <c r="ES956" s="97"/>
      <c r="ET956" s="97"/>
    </row>
    <row r="957" spans="1:150" ht="15.75" customHeight="1">
      <c r="A957" s="97"/>
      <c r="B957" s="97"/>
      <c r="C957" s="97"/>
      <c r="D957" s="97"/>
      <c r="E957" s="97"/>
      <c r="F957" s="97"/>
      <c r="G957" s="97"/>
      <c r="H957" s="129"/>
      <c r="I957" s="97"/>
      <c r="J957" s="97"/>
      <c r="K957" s="97"/>
      <c r="L957" s="97"/>
      <c r="M957" s="97"/>
      <c r="N957" s="97"/>
      <c r="O957" s="97"/>
      <c r="P957" s="97"/>
      <c r="Q957" s="97"/>
      <c r="R957" s="97"/>
      <c r="S957" s="97"/>
      <c r="T957" s="97"/>
      <c r="U957" s="97"/>
      <c r="V957" s="97"/>
      <c r="W957" s="97"/>
      <c r="X957" s="129"/>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c r="DF957" s="97"/>
      <c r="DG957" s="97"/>
      <c r="DH957" s="97"/>
      <c r="DI957" s="97"/>
      <c r="DJ957" s="97"/>
      <c r="DK957" s="97"/>
      <c r="DL957" s="97"/>
      <c r="DM957" s="97"/>
      <c r="DN957" s="97"/>
      <c r="DO957" s="97"/>
      <c r="DP957" s="97"/>
      <c r="DQ957" s="97"/>
      <c r="DR957" s="97"/>
      <c r="DS957" s="97"/>
      <c r="DT957" s="97"/>
      <c r="DU957" s="97"/>
      <c r="DV957" s="97"/>
      <c r="DW957" s="97"/>
      <c r="DX957" s="97"/>
      <c r="DY957" s="97"/>
      <c r="DZ957" s="97"/>
      <c r="EA957" s="97"/>
      <c r="EB957" s="97"/>
      <c r="EC957" s="97"/>
      <c r="ED957" s="97"/>
      <c r="EE957" s="97"/>
      <c r="EF957" s="97"/>
      <c r="EG957" s="97"/>
      <c r="EH957" s="97"/>
      <c r="EI957" s="97"/>
      <c r="EJ957" s="97"/>
      <c r="EK957" s="97"/>
      <c r="EL957" s="97"/>
      <c r="EM957" s="97"/>
      <c r="EN957" s="97"/>
      <c r="EO957" s="97"/>
      <c r="EP957" s="97"/>
      <c r="EQ957" s="97"/>
      <c r="ER957" s="97"/>
      <c r="ES957" s="97"/>
      <c r="ET957" s="97"/>
    </row>
    <row r="958" spans="1:150" ht="15.75" customHeight="1">
      <c r="A958" s="97"/>
      <c r="B958" s="97"/>
      <c r="C958" s="97"/>
      <c r="D958" s="97"/>
      <c r="E958" s="97"/>
      <c r="F958" s="97"/>
      <c r="G958" s="97"/>
      <c r="H958" s="129"/>
      <c r="I958" s="97"/>
      <c r="J958" s="97"/>
      <c r="K958" s="97"/>
      <c r="L958" s="97"/>
      <c r="M958" s="97"/>
      <c r="N958" s="97"/>
      <c r="O958" s="97"/>
      <c r="P958" s="97"/>
      <c r="Q958" s="97"/>
      <c r="R958" s="97"/>
      <c r="S958" s="97"/>
      <c r="T958" s="97"/>
      <c r="U958" s="97"/>
      <c r="V958" s="97"/>
      <c r="W958" s="97"/>
      <c r="X958" s="129"/>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c r="DF958" s="97"/>
      <c r="DG958" s="97"/>
      <c r="DH958" s="97"/>
      <c r="DI958" s="97"/>
      <c r="DJ958" s="97"/>
      <c r="DK958" s="97"/>
      <c r="DL958" s="97"/>
      <c r="DM958" s="97"/>
      <c r="DN958" s="97"/>
      <c r="DO958" s="97"/>
      <c r="DP958" s="97"/>
      <c r="DQ958" s="97"/>
      <c r="DR958" s="97"/>
      <c r="DS958" s="97"/>
      <c r="DT958" s="97"/>
      <c r="DU958" s="97"/>
      <c r="DV958" s="97"/>
      <c r="DW958" s="97"/>
      <c r="DX958" s="97"/>
      <c r="DY958" s="97"/>
      <c r="DZ958" s="97"/>
      <c r="EA958" s="97"/>
      <c r="EB958" s="97"/>
      <c r="EC958" s="97"/>
      <c r="ED958" s="97"/>
      <c r="EE958" s="97"/>
      <c r="EF958" s="97"/>
      <c r="EG958" s="97"/>
      <c r="EH958" s="97"/>
      <c r="EI958" s="97"/>
      <c r="EJ958" s="97"/>
      <c r="EK958" s="97"/>
      <c r="EL958" s="97"/>
      <c r="EM958" s="97"/>
      <c r="EN958" s="97"/>
      <c r="EO958" s="97"/>
      <c r="EP958" s="97"/>
      <c r="EQ958" s="97"/>
      <c r="ER958" s="97"/>
      <c r="ES958" s="97"/>
      <c r="ET958" s="97"/>
    </row>
    <row r="959" spans="1:150" ht="15.75" customHeight="1">
      <c r="A959" s="97"/>
      <c r="B959" s="97"/>
      <c r="C959" s="97"/>
      <c r="D959" s="97"/>
      <c r="E959" s="97"/>
      <c r="F959" s="97"/>
      <c r="G959" s="97"/>
      <c r="H959" s="129"/>
      <c r="I959" s="97"/>
      <c r="J959" s="97"/>
      <c r="K959" s="97"/>
      <c r="L959" s="97"/>
      <c r="M959" s="97"/>
      <c r="N959" s="97"/>
      <c r="O959" s="97"/>
      <c r="P959" s="97"/>
      <c r="Q959" s="97"/>
      <c r="R959" s="97"/>
      <c r="S959" s="97"/>
      <c r="T959" s="97"/>
      <c r="U959" s="97"/>
      <c r="V959" s="97"/>
      <c r="W959" s="97"/>
      <c r="X959" s="129"/>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c r="DF959" s="97"/>
      <c r="DG959" s="97"/>
      <c r="DH959" s="97"/>
      <c r="DI959" s="97"/>
      <c r="DJ959" s="97"/>
      <c r="DK959" s="97"/>
      <c r="DL959" s="97"/>
      <c r="DM959" s="97"/>
      <c r="DN959" s="97"/>
      <c r="DO959" s="97"/>
      <c r="DP959" s="97"/>
      <c r="DQ959" s="97"/>
      <c r="DR959" s="97"/>
      <c r="DS959" s="97"/>
      <c r="DT959" s="97"/>
      <c r="DU959" s="97"/>
      <c r="DV959" s="97"/>
      <c r="DW959" s="97"/>
      <c r="DX959" s="97"/>
      <c r="DY959" s="97"/>
      <c r="DZ959" s="97"/>
      <c r="EA959" s="97"/>
      <c r="EB959" s="97"/>
      <c r="EC959" s="97"/>
      <c r="ED959" s="97"/>
      <c r="EE959" s="97"/>
      <c r="EF959" s="97"/>
      <c r="EG959" s="97"/>
      <c r="EH959" s="97"/>
      <c r="EI959" s="97"/>
      <c r="EJ959" s="97"/>
      <c r="EK959" s="97"/>
      <c r="EL959" s="97"/>
      <c r="EM959" s="97"/>
      <c r="EN959" s="97"/>
      <c r="EO959" s="97"/>
      <c r="EP959" s="97"/>
      <c r="EQ959" s="97"/>
      <c r="ER959" s="97"/>
      <c r="ES959" s="97"/>
      <c r="ET959" s="97"/>
    </row>
    <row r="960" spans="1:150" ht="15.75" customHeight="1">
      <c r="A960" s="97"/>
      <c r="B960" s="97"/>
      <c r="C960" s="97"/>
      <c r="D960" s="97"/>
      <c r="E960" s="97"/>
      <c r="F960" s="97"/>
      <c r="G960" s="97"/>
      <c r="H960" s="129"/>
      <c r="I960" s="97"/>
      <c r="J960" s="97"/>
      <c r="K960" s="97"/>
      <c r="L960" s="97"/>
      <c r="M960" s="97"/>
      <c r="N960" s="97"/>
      <c r="O960" s="97"/>
      <c r="P960" s="97"/>
      <c r="Q960" s="97"/>
      <c r="R960" s="97"/>
      <c r="S960" s="97"/>
      <c r="T960" s="97"/>
      <c r="U960" s="97"/>
      <c r="V960" s="97"/>
      <c r="W960" s="97"/>
      <c r="X960" s="129"/>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c r="DF960" s="97"/>
      <c r="DG960" s="97"/>
      <c r="DH960" s="97"/>
      <c r="DI960" s="97"/>
      <c r="DJ960" s="97"/>
      <c r="DK960" s="97"/>
      <c r="DL960" s="97"/>
      <c r="DM960" s="97"/>
      <c r="DN960" s="97"/>
      <c r="DO960" s="97"/>
      <c r="DP960" s="97"/>
      <c r="DQ960" s="97"/>
      <c r="DR960" s="97"/>
      <c r="DS960" s="97"/>
      <c r="DT960" s="97"/>
      <c r="DU960" s="97"/>
      <c r="DV960" s="97"/>
      <c r="DW960" s="97"/>
      <c r="DX960" s="97"/>
      <c r="DY960" s="97"/>
      <c r="DZ960" s="97"/>
      <c r="EA960" s="97"/>
      <c r="EB960" s="97"/>
      <c r="EC960" s="97"/>
      <c r="ED960" s="97"/>
      <c r="EE960" s="97"/>
      <c r="EF960" s="97"/>
      <c r="EG960" s="97"/>
      <c r="EH960" s="97"/>
      <c r="EI960" s="97"/>
      <c r="EJ960" s="97"/>
      <c r="EK960" s="97"/>
      <c r="EL960" s="97"/>
      <c r="EM960" s="97"/>
      <c r="EN960" s="97"/>
      <c r="EO960" s="97"/>
      <c r="EP960" s="97"/>
      <c r="EQ960" s="97"/>
      <c r="ER960" s="97"/>
      <c r="ES960" s="97"/>
      <c r="ET960" s="97"/>
    </row>
    <row r="961" spans="1:150" ht="15.75" customHeight="1">
      <c r="A961" s="97"/>
      <c r="B961" s="97"/>
      <c r="C961" s="97"/>
      <c r="D961" s="97"/>
      <c r="E961" s="97"/>
      <c r="F961" s="97"/>
      <c r="G961" s="97"/>
      <c r="H961" s="129"/>
      <c r="I961" s="97"/>
      <c r="J961" s="97"/>
      <c r="K961" s="97"/>
      <c r="L961" s="97"/>
      <c r="M961" s="97"/>
      <c r="N961" s="97"/>
      <c r="O961" s="97"/>
      <c r="P961" s="97"/>
      <c r="Q961" s="97"/>
      <c r="R961" s="97"/>
      <c r="S961" s="97"/>
      <c r="T961" s="97"/>
      <c r="U961" s="97"/>
      <c r="V961" s="97"/>
      <c r="W961" s="97"/>
      <c r="X961" s="129"/>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c r="DF961" s="97"/>
      <c r="DG961" s="97"/>
      <c r="DH961" s="97"/>
      <c r="DI961" s="97"/>
      <c r="DJ961" s="97"/>
      <c r="DK961" s="97"/>
      <c r="DL961" s="97"/>
      <c r="DM961" s="97"/>
      <c r="DN961" s="97"/>
      <c r="DO961" s="97"/>
      <c r="DP961" s="97"/>
      <c r="DQ961" s="97"/>
      <c r="DR961" s="97"/>
      <c r="DS961" s="97"/>
      <c r="DT961" s="97"/>
      <c r="DU961" s="97"/>
      <c r="DV961" s="97"/>
      <c r="DW961" s="97"/>
      <c r="DX961" s="97"/>
      <c r="DY961" s="97"/>
      <c r="DZ961" s="97"/>
      <c r="EA961" s="97"/>
      <c r="EB961" s="97"/>
      <c r="EC961" s="97"/>
      <c r="ED961" s="97"/>
      <c r="EE961" s="97"/>
      <c r="EF961" s="97"/>
      <c r="EG961" s="97"/>
      <c r="EH961" s="97"/>
      <c r="EI961" s="97"/>
      <c r="EJ961" s="97"/>
      <c r="EK961" s="97"/>
      <c r="EL961" s="97"/>
      <c r="EM961" s="97"/>
      <c r="EN961" s="97"/>
      <c r="EO961" s="97"/>
      <c r="EP961" s="97"/>
      <c r="EQ961" s="97"/>
      <c r="ER961" s="97"/>
      <c r="ES961" s="97"/>
      <c r="ET961" s="97"/>
    </row>
    <row r="962" spans="1:150" ht="15.75" customHeight="1">
      <c r="A962" s="97"/>
      <c r="B962" s="97"/>
      <c r="C962" s="97"/>
      <c r="D962" s="97"/>
      <c r="E962" s="97"/>
      <c r="F962" s="97"/>
      <c r="G962" s="97"/>
      <c r="H962" s="129"/>
      <c r="I962" s="97"/>
      <c r="J962" s="97"/>
      <c r="K962" s="97"/>
      <c r="L962" s="97"/>
      <c r="M962" s="97"/>
      <c r="N962" s="97"/>
      <c r="O962" s="97"/>
      <c r="P962" s="97"/>
      <c r="Q962" s="97"/>
      <c r="R962" s="97"/>
      <c r="S962" s="97"/>
      <c r="T962" s="97"/>
      <c r="U962" s="97"/>
      <c r="V962" s="97"/>
      <c r="W962" s="97"/>
      <c r="X962" s="129"/>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c r="DF962" s="97"/>
      <c r="DG962" s="97"/>
      <c r="DH962" s="97"/>
      <c r="DI962" s="97"/>
      <c r="DJ962" s="97"/>
      <c r="DK962" s="97"/>
      <c r="DL962" s="97"/>
      <c r="DM962" s="97"/>
      <c r="DN962" s="97"/>
      <c r="DO962" s="97"/>
      <c r="DP962" s="97"/>
      <c r="DQ962" s="97"/>
      <c r="DR962" s="97"/>
      <c r="DS962" s="97"/>
      <c r="DT962" s="97"/>
      <c r="DU962" s="97"/>
      <c r="DV962" s="97"/>
      <c r="DW962" s="97"/>
      <c r="DX962" s="97"/>
      <c r="DY962" s="97"/>
      <c r="DZ962" s="97"/>
      <c r="EA962" s="97"/>
      <c r="EB962" s="97"/>
      <c r="EC962" s="97"/>
      <c r="ED962" s="97"/>
      <c r="EE962" s="97"/>
      <c r="EF962" s="97"/>
      <c r="EG962" s="97"/>
      <c r="EH962" s="97"/>
      <c r="EI962" s="97"/>
      <c r="EJ962" s="97"/>
      <c r="EK962" s="97"/>
      <c r="EL962" s="97"/>
      <c r="EM962" s="97"/>
      <c r="EN962" s="97"/>
      <c r="EO962" s="97"/>
      <c r="EP962" s="97"/>
      <c r="EQ962" s="97"/>
      <c r="ER962" s="97"/>
      <c r="ES962" s="97"/>
      <c r="ET962" s="97"/>
    </row>
    <row r="963" spans="1:150" ht="15.75" customHeight="1">
      <c r="A963" s="97"/>
      <c r="B963" s="97"/>
      <c r="C963" s="97"/>
      <c r="D963" s="97"/>
      <c r="E963" s="97"/>
      <c r="F963" s="97"/>
      <c r="G963" s="97"/>
      <c r="H963" s="129"/>
      <c r="I963" s="97"/>
      <c r="J963" s="97"/>
      <c r="K963" s="97"/>
      <c r="L963" s="97"/>
      <c r="M963" s="97"/>
      <c r="N963" s="97"/>
      <c r="O963" s="97"/>
      <c r="P963" s="97"/>
      <c r="Q963" s="97"/>
      <c r="R963" s="97"/>
      <c r="S963" s="97"/>
      <c r="T963" s="97"/>
      <c r="U963" s="97"/>
      <c r="V963" s="97"/>
      <c r="W963" s="97"/>
      <c r="X963" s="129"/>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c r="DF963" s="97"/>
      <c r="DG963" s="97"/>
      <c r="DH963" s="97"/>
      <c r="DI963" s="97"/>
      <c r="DJ963" s="97"/>
      <c r="DK963" s="97"/>
      <c r="DL963" s="97"/>
      <c r="DM963" s="97"/>
      <c r="DN963" s="97"/>
      <c r="DO963" s="97"/>
      <c r="DP963" s="97"/>
      <c r="DQ963" s="97"/>
      <c r="DR963" s="97"/>
      <c r="DS963" s="97"/>
      <c r="DT963" s="97"/>
      <c r="DU963" s="97"/>
      <c r="DV963" s="97"/>
      <c r="DW963" s="97"/>
      <c r="DX963" s="97"/>
      <c r="DY963" s="97"/>
      <c r="DZ963" s="97"/>
      <c r="EA963" s="97"/>
      <c r="EB963" s="97"/>
      <c r="EC963" s="97"/>
      <c r="ED963" s="97"/>
      <c r="EE963" s="97"/>
      <c r="EF963" s="97"/>
      <c r="EG963" s="97"/>
      <c r="EH963" s="97"/>
      <c r="EI963" s="97"/>
      <c r="EJ963" s="97"/>
      <c r="EK963" s="97"/>
      <c r="EL963" s="97"/>
      <c r="EM963" s="97"/>
      <c r="EN963" s="97"/>
      <c r="EO963" s="97"/>
      <c r="EP963" s="97"/>
      <c r="EQ963" s="97"/>
      <c r="ER963" s="97"/>
      <c r="ES963" s="97"/>
      <c r="ET963" s="97"/>
    </row>
    <row r="964" spans="1:150" ht="15.75" customHeight="1">
      <c r="A964" s="97"/>
      <c r="B964" s="97"/>
      <c r="C964" s="97"/>
      <c r="D964" s="97"/>
      <c r="E964" s="97"/>
      <c r="F964" s="97"/>
      <c r="G964" s="97"/>
      <c r="H964" s="129"/>
      <c r="I964" s="97"/>
      <c r="J964" s="97"/>
      <c r="K964" s="97"/>
      <c r="L964" s="97"/>
      <c r="M964" s="97"/>
      <c r="N964" s="97"/>
      <c r="O964" s="97"/>
      <c r="P964" s="97"/>
      <c r="Q964" s="97"/>
      <c r="R964" s="97"/>
      <c r="S964" s="97"/>
      <c r="T964" s="97"/>
      <c r="U964" s="97"/>
      <c r="V964" s="97"/>
      <c r="W964" s="97"/>
      <c r="X964" s="129"/>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c r="DF964" s="97"/>
      <c r="DG964" s="97"/>
      <c r="DH964" s="97"/>
      <c r="DI964" s="97"/>
      <c r="DJ964" s="97"/>
      <c r="DK964" s="97"/>
      <c r="DL964" s="97"/>
      <c r="DM964" s="97"/>
      <c r="DN964" s="97"/>
      <c r="DO964" s="97"/>
      <c r="DP964" s="97"/>
      <c r="DQ964" s="97"/>
      <c r="DR964" s="97"/>
      <c r="DS964" s="97"/>
      <c r="DT964" s="97"/>
      <c r="DU964" s="97"/>
      <c r="DV964" s="97"/>
      <c r="DW964" s="97"/>
      <c r="DX964" s="97"/>
      <c r="DY964" s="97"/>
      <c r="DZ964" s="97"/>
      <c r="EA964" s="97"/>
      <c r="EB964" s="97"/>
      <c r="EC964" s="97"/>
      <c r="ED964" s="97"/>
      <c r="EE964" s="97"/>
      <c r="EF964" s="97"/>
      <c r="EG964" s="97"/>
      <c r="EH964" s="97"/>
      <c r="EI964" s="97"/>
      <c r="EJ964" s="97"/>
      <c r="EK964" s="97"/>
      <c r="EL964" s="97"/>
      <c r="EM964" s="97"/>
      <c r="EN964" s="97"/>
      <c r="EO964" s="97"/>
      <c r="EP964" s="97"/>
      <c r="EQ964" s="97"/>
      <c r="ER964" s="97"/>
      <c r="ES964" s="97"/>
      <c r="ET964" s="97"/>
    </row>
    <row r="965" spans="1:150" ht="15.75" customHeight="1">
      <c r="A965" s="97"/>
      <c r="B965" s="97"/>
      <c r="C965" s="97"/>
      <c r="D965" s="97"/>
      <c r="E965" s="97"/>
      <c r="F965" s="97"/>
      <c r="G965" s="97"/>
      <c r="H965" s="129"/>
      <c r="I965" s="97"/>
      <c r="J965" s="97"/>
      <c r="K965" s="97"/>
      <c r="L965" s="97"/>
      <c r="M965" s="97"/>
      <c r="N965" s="97"/>
      <c r="O965" s="97"/>
      <c r="P965" s="97"/>
      <c r="Q965" s="97"/>
      <c r="R965" s="97"/>
      <c r="S965" s="97"/>
      <c r="T965" s="97"/>
      <c r="U965" s="97"/>
      <c r="V965" s="97"/>
      <c r="W965" s="97"/>
      <c r="X965" s="129"/>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c r="DF965" s="97"/>
      <c r="DG965" s="97"/>
      <c r="DH965" s="97"/>
      <c r="DI965" s="97"/>
      <c r="DJ965" s="97"/>
      <c r="DK965" s="97"/>
      <c r="DL965" s="97"/>
      <c r="DM965" s="97"/>
      <c r="DN965" s="97"/>
      <c r="DO965" s="97"/>
      <c r="DP965" s="97"/>
      <c r="DQ965" s="97"/>
      <c r="DR965" s="97"/>
      <c r="DS965" s="97"/>
      <c r="DT965" s="97"/>
      <c r="DU965" s="97"/>
      <c r="DV965" s="97"/>
      <c r="DW965" s="97"/>
      <c r="DX965" s="97"/>
      <c r="DY965" s="97"/>
      <c r="DZ965" s="97"/>
      <c r="EA965" s="97"/>
      <c r="EB965" s="97"/>
      <c r="EC965" s="97"/>
      <c r="ED965" s="97"/>
      <c r="EE965" s="97"/>
      <c r="EF965" s="97"/>
      <c r="EG965" s="97"/>
      <c r="EH965" s="97"/>
      <c r="EI965" s="97"/>
      <c r="EJ965" s="97"/>
      <c r="EK965" s="97"/>
      <c r="EL965" s="97"/>
      <c r="EM965" s="97"/>
      <c r="EN965" s="97"/>
      <c r="EO965" s="97"/>
      <c r="EP965" s="97"/>
      <c r="EQ965" s="97"/>
      <c r="ER965" s="97"/>
      <c r="ES965" s="97"/>
      <c r="ET965" s="97"/>
    </row>
    <row r="966" spans="1:150" ht="15.75" customHeight="1">
      <c r="A966" s="97"/>
      <c r="B966" s="97"/>
      <c r="C966" s="97"/>
      <c r="D966" s="97"/>
      <c r="E966" s="97"/>
      <c r="F966" s="97"/>
      <c r="G966" s="97"/>
      <c r="H966" s="129"/>
      <c r="I966" s="97"/>
      <c r="J966" s="97"/>
      <c r="K966" s="97"/>
      <c r="L966" s="97"/>
      <c r="M966" s="97"/>
      <c r="N966" s="97"/>
      <c r="O966" s="97"/>
      <c r="P966" s="97"/>
      <c r="Q966" s="97"/>
      <c r="R966" s="97"/>
      <c r="S966" s="97"/>
      <c r="T966" s="97"/>
      <c r="U966" s="97"/>
      <c r="V966" s="97"/>
      <c r="W966" s="97"/>
      <c r="X966" s="129"/>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c r="DF966" s="97"/>
      <c r="DG966" s="97"/>
      <c r="DH966" s="97"/>
      <c r="DI966" s="97"/>
      <c r="DJ966" s="97"/>
      <c r="DK966" s="97"/>
      <c r="DL966" s="97"/>
      <c r="DM966" s="97"/>
      <c r="DN966" s="97"/>
      <c r="DO966" s="97"/>
      <c r="DP966" s="97"/>
      <c r="DQ966" s="97"/>
      <c r="DR966" s="97"/>
      <c r="DS966" s="97"/>
      <c r="DT966" s="97"/>
      <c r="DU966" s="97"/>
      <c r="DV966" s="97"/>
      <c r="DW966" s="97"/>
      <c r="DX966" s="97"/>
      <c r="DY966" s="97"/>
      <c r="DZ966" s="97"/>
      <c r="EA966" s="97"/>
      <c r="EB966" s="97"/>
      <c r="EC966" s="97"/>
      <c r="ED966" s="97"/>
      <c r="EE966" s="97"/>
      <c r="EF966" s="97"/>
      <c r="EG966" s="97"/>
      <c r="EH966" s="97"/>
      <c r="EI966" s="97"/>
      <c r="EJ966" s="97"/>
      <c r="EK966" s="97"/>
      <c r="EL966" s="97"/>
      <c r="EM966" s="97"/>
      <c r="EN966" s="97"/>
      <c r="EO966" s="97"/>
      <c r="EP966" s="97"/>
      <c r="EQ966" s="97"/>
      <c r="ER966" s="97"/>
      <c r="ES966" s="97"/>
      <c r="ET966" s="97"/>
    </row>
    <row r="967" spans="1:150" ht="15.75" customHeight="1">
      <c r="A967" s="97"/>
      <c r="B967" s="97"/>
      <c r="C967" s="97"/>
      <c r="D967" s="97"/>
      <c r="E967" s="97"/>
      <c r="F967" s="97"/>
      <c r="G967" s="97"/>
      <c r="H967" s="129"/>
      <c r="I967" s="97"/>
      <c r="J967" s="97"/>
      <c r="K967" s="97"/>
      <c r="L967" s="97"/>
      <c r="M967" s="97"/>
      <c r="N967" s="97"/>
      <c r="O967" s="97"/>
      <c r="P967" s="97"/>
      <c r="Q967" s="97"/>
      <c r="R967" s="97"/>
      <c r="S967" s="97"/>
      <c r="T967" s="97"/>
      <c r="U967" s="97"/>
      <c r="V967" s="97"/>
      <c r="W967" s="97"/>
      <c r="X967" s="129"/>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c r="DF967" s="97"/>
      <c r="DG967" s="97"/>
      <c r="DH967" s="97"/>
      <c r="DI967" s="97"/>
      <c r="DJ967" s="97"/>
      <c r="DK967" s="97"/>
      <c r="DL967" s="97"/>
      <c r="DM967" s="97"/>
      <c r="DN967" s="97"/>
      <c r="DO967" s="97"/>
      <c r="DP967" s="97"/>
      <c r="DQ967" s="97"/>
      <c r="DR967" s="97"/>
      <c r="DS967" s="97"/>
      <c r="DT967" s="97"/>
      <c r="DU967" s="97"/>
      <c r="DV967" s="97"/>
      <c r="DW967" s="97"/>
      <c r="DX967" s="97"/>
      <c r="DY967" s="97"/>
      <c r="DZ967" s="97"/>
      <c r="EA967" s="97"/>
      <c r="EB967" s="97"/>
      <c r="EC967" s="97"/>
      <c r="ED967" s="97"/>
      <c r="EE967" s="97"/>
      <c r="EF967" s="97"/>
      <c r="EG967" s="97"/>
      <c r="EH967" s="97"/>
      <c r="EI967" s="97"/>
      <c r="EJ967" s="97"/>
      <c r="EK967" s="97"/>
      <c r="EL967" s="97"/>
      <c r="EM967" s="97"/>
      <c r="EN967" s="97"/>
      <c r="EO967" s="97"/>
      <c r="EP967" s="97"/>
      <c r="EQ967" s="97"/>
      <c r="ER967" s="97"/>
      <c r="ES967" s="97"/>
      <c r="ET967" s="97"/>
    </row>
    <row r="968" spans="1:150" ht="15.75" customHeight="1">
      <c r="A968" s="97"/>
      <c r="B968" s="97"/>
      <c r="C968" s="97"/>
      <c r="D968" s="97"/>
      <c r="E968" s="97"/>
      <c r="F968" s="97"/>
      <c r="G968" s="97"/>
      <c r="H968" s="129"/>
      <c r="I968" s="97"/>
      <c r="J968" s="97"/>
      <c r="K968" s="97"/>
      <c r="L968" s="97"/>
      <c r="M968" s="97"/>
      <c r="N968" s="97"/>
      <c r="O968" s="97"/>
      <c r="P968" s="97"/>
      <c r="Q968" s="97"/>
      <c r="R968" s="97"/>
      <c r="S968" s="97"/>
      <c r="T968" s="97"/>
      <c r="U968" s="97"/>
      <c r="V968" s="97"/>
      <c r="W968" s="97"/>
      <c r="X968" s="129"/>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c r="DF968" s="97"/>
      <c r="DG968" s="97"/>
      <c r="DH968" s="97"/>
      <c r="DI968" s="97"/>
      <c r="DJ968" s="97"/>
      <c r="DK968" s="97"/>
      <c r="DL968" s="97"/>
      <c r="DM968" s="97"/>
      <c r="DN968" s="97"/>
      <c r="DO968" s="97"/>
      <c r="DP968" s="97"/>
      <c r="DQ968" s="97"/>
      <c r="DR968" s="97"/>
      <c r="DS968" s="97"/>
      <c r="DT968" s="97"/>
      <c r="DU968" s="97"/>
      <c r="DV968" s="97"/>
      <c r="DW968" s="97"/>
      <c r="DX968" s="97"/>
      <c r="DY968" s="97"/>
      <c r="DZ968" s="97"/>
      <c r="EA968" s="97"/>
      <c r="EB968" s="97"/>
      <c r="EC968" s="97"/>
      <c r="ED968" s="97"/>
      <c r="EE968" s="97"/>
      <c r="EF968" s="97"/>
      <c r="EG968" s="97"/>
      <c r="EH968" s="97"/>
      <c r="EI968" s="97"/>
      <c r="EJ968" s="97"/>
      <c r="EK968" s="97"/>
      <c r="EL968" s="97"/>
      <c r="EM968" s="97"/>
      <c r="EN968" s="97"/>
      <c r="EO968" s="97"/>
      <c r="EP968" s="97"/>
      <c r="EQ968" s="97"/>
      <c r="ER968" s="97"/>
      <c r="ES968" s="97"/>
      <c r="ET968" s="97"/>
    </row>
    <row r="969" spans="1:150" ht="15.75" customHeight="1">
      <c r="A969" s="97"/>
      <c r="B969" s="97"/>
      <c r="C969" s="97"/>
      <c r="D969" s="97"/>
      <c r="E969" s="97"/>
      <c r="F969" s="97"/>
      <c r="G969" s="97"/>
      <c r="H969" s="129"/>
      <c r="I969" s="97"/>
      <c r="J969" s="97"/>
      <c r="K969" s="97"/>
      <c r="L969" s="97"/>
      <c r="M969" s="97"/>
      <c r="N969" s="97"/>
      <c r="O969" s="97"/>
      <c r="P969" s="97"/>
      <c r="Q969" s="97"/>
      <c r="R969" s="97"/>
      <c r="S969" s="97"/>
      <c r="T969" s="97"/>
      <c r="U969" s="97"/>
      <c r="V969" s="97"/>
      <c r="W969" s="97"/>
      <c r="X969" s="129"/>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c r="DF969" s="97"/>
      <c r="DG969" s="97"/>
      <c r="DH969" s="97"/>
      <c r="DI969" s="97"/>
      <c r="DJ969" s="97"/>
      <c r="DK969" s="97"/>
      <c r="DL969" s="97"/>
      <c r="DM969" s="97"/>
      <c r="DN969" s="97"/>
      <c r="DO969" s="97"/>
      <c r="DP969" s="97"/>
      <c r="DQ969" s="97"/>
      <c r="DR969" s="97"/>
      <c r="DS969" s="97"/>
      <c r="DT969" s="97"/>
      <c r="DU969" s="97"/>
      <c r="DV969" s="97"/>
      <c r="DW969" s="97"/>
      <c r="DX969" s="97"/>
      <c r="DY969" s="97"/>
      <c r="DZ969" s="97"/>
      <c r="EA969" s="97"/>
      <c r="EB969" s="97"/>
      <c r="EC969" s="97"/>
      <c r="ED969" s="97"/>
      <c r="EE969" s="97"/>
      <c r="EF969" s="97"/>
      <c r="EG969" s="97"/>
      <c r="EH969" s="97"/>
      <c r="EI969" s="97"/>
      <c r="EJ969" s="97"/>
      <c r="EK969" s="97"/>
      <c r="EL969" s="97"/>
      <c r="EM969" s="97"/>
      <c r="EN969" s="97"/>
      <c r="EO969" s="97"/>
      <c r="EP969" s="97"/>
      <c r="EQ969" s="97"/>
      <c r="ER969" s="97"/>
      <c r="ES969" s="97"/>
      <c r="ET969" s="97"/>
    </row>
    <row r="970" spans="1:150" ht="15.75" customHeight="1">
      <c r="A970" s="97"/>
      <c r="B970" s="97"/>
      <c r="C970" s="97"/>
      <c r="D970" s="97"/>
      <c r="E970" s="97"/>
      <c r="F970" s="97"/>
      <c r="G970" s="97"/>
      <c r="H970" s="129"/>
      <c r="I970" s="97"/>
      <c r="J970" s="97"/>
      <c r="K970" s="97"/>
      <c r="L970" s="97"/>
      <c r="M970" s="97"/>
      <c r="N970" s="97"/>
      <c r="O970" s="97"/>
      <c r="P970" s="97"/>
      <c r="Q970" s="97"/>
      <c r="R970" s="97"/>
      <c r="S970" s="97"/>
      <c r="T970" s="97"/>
      <c r="U970" s="97"/>
      <c r="V970" s="97"/>
      <c r="W970" s="97"/>
      <c r="X970" s="129"/>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c r="DF970" s="97"/>
      <c r="DG970" s="97"/>
      <c r="DH970" s="97"/>
      <c r="DI970" s="97"/>
      <c r="DJ970" s="97"/>
      <c r="DK970" s="97"/>
      <c r="DL970" s="97"/>
      <c r="DM970" s="97"/>
      <c r="DN970" s="97"/>
      <c r="DO970" s="97"/>
      <c r="DP970" s="97"/>
      <c r="DQ970" s="97"/>
      <c r="DR970" s="97"/>
      <c r="DS970" s="97"/>
      <c r="DT970" s="97"/>
      <c r="DU970" s="97"/>
      <c r="DV970" s="97"/>
      <c r="DW970" s="97"/>
      <c r="DX970" s="97"/>
      <c r="DY970" s="97"/>
      <c r="DZ970" s="97"/>
      <c r="EA970" s="97"/>
      <c r="EB970" s="97"/>
      <c r="EC970" s="97"/>
      <c r="ED970" s="97"/>
      <c r="EE970" s="97"/>
      <c r="EF970" s="97"/>
      <c r="EG970" s="97"/>
      <c r="EH970" s="97"/>
      <c r="EI970" s="97"/>
      <c r="EJ970" s="97"/>
      <c r="EK970" s="97"/>
      <c r="EL970" s="97"/>
      <c r="EM970" s="97"/>
      <c r="EN970" s="97"/>
      <c r="EO970" s="97"/>
      <c r="EP970" s="97"/>
      <c r="EQ970" s="97"/>
      <c r="ER970" s="97"/>
      <c r="ES970" s="97"/>
      <c r="ET970" s="97"/>
    </row>
    <row r="971" spans="1:150" ht="15.75" customHeight="1">
      <c r="A971" s="97"/>
      <c r="B971" s="97"/>
      <c r="C971" s="97"/>
      <c r="D971" s="97"/>
      <c r="E971" s="97"/>
      <c r="F971" s="97"/>
      <c r="G971" s="97"/>
      <c r="H971" s="129"/>
      <c r="I971" s="97"/>
      <c r="J971" s="97"/>
      <c r="K971" s="97"/>
      <c r="L971" s="97"/>
      <c r="M971" s="97"/>
      <c r="N971" s="97"/>
      <c r="O971" s="97"/>
      <c r="P971" s="97"/>
      <c r="Q971" s="97"/>
      <c r="R971" s="97"/>
      <c r="S971" s="97"/>
      <c r="T971" s="97"/>
      <c r="U971" s="97"/>
      <c r="V971" s="97"/>
      <c r="W971" s="97"/>
      <c r="X971" s="129"/>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c r="DF971" s="97"/>
      <c r="DG971" s="97"/>
      <c r="DH971" s="97"/>
      <c r="DI971" s="97"/>
      <c r="DJ971" s="97"/>
      <c r="DK971" s="97"/>
      <c r="DL971" s="97"/>
      <c r="DM971" s="97"/>
      <c r="DN971" s="97"/>
      <c r="DO971" s="97"/>
      <c r="DP971" s="97"/>
      <c r="DQ971" s="97"/>
      <c r="DR971" s="97"/>
      <c r="DS971" s="97"/>
      <c r="DT971" s="97"/>
      <c r="DU971" s="97"/>
      <c r="DV971" s="97"/>
      <c r="DW971" s="97"/>
      <c r="DX971" s="97"/>
      <c r="DY971" s="97"/>
      <c r="DZ971" s="97"/>
      <c r="EA971" s="97"/>
      <c r="EB971" s="97"/>
      <c r="EC971" s="97"/>
      <c r="ED971" s="97"/>
      <c r="EE971" s="97"/>
      <c r="EF971" s="97"/>
      <c r="EG971" s="97"/>
      <c r="EH971" s="97"/>
      <c r="EI971" s="97"/>
      <c r="EJ971" s="97"/>
      <c r="EK971" s="97"/>
      <c r="EL971" s="97"/>
      <c r="EM971" s="97"/>
      <c r="EN971" s="97"/>
      <c r="EO971" s="97"/>
      <c r="EP971" s="97"/>
      <c r="EQ971" s="97"/>
      <c r="ER971" s="97"/>
      <c r="ES971" s="97"/>
      <c r="ET971" s="97"/>
    </row>
    <row r="972" spans="1:150" ht="15.75" customHeight="1">
      <c r="A972" s="97"/>
      <c r="B972" s="97"/>
      <c r="C972" s="97"/>
      <c r="D972" s="97"/>
      <c r="E972" s="97"/>
      <c r="F972" s="97"/>
      <c r="G972" s="97"/>
      <c r="H972" s="129"/>
      <c r="I972" s="97"/>
      <c r="J972" s="97"/>
      <c r="K972" s="97"/>
      <c r="L972" s="97"/>
      <c r="M972" s="97"/>
      <c r="N972" s="97"/>
      <c r="O972" s="97"/>
      <c r="P972" s="97"/>
      <c r="Q972" s="97"/>
      <c r="R972" s="97"/>
      <c r="S972" s="97"/>
      <c r="T972" s="97"/>
      <c r="U972" s="97"/>
      <c r="V972" s="97"/>
      <c r="W972" s="97"/>
      <c r="X972" s="129"/>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c r="DF972" s="97"/>
      <c r="DG972" s="97"/>
      <c r="DH972" s="97"/>
      <c r="DI972" s="97"/>
      <c r="DJ972" s="97"/>
      <c r="DK972" s="97"/>
      <c r="DL972" s="97"/>
      <c r="DM972" s="97"/>
      <c r="DN972" s="97"/>
      <c r="DO972" s="97"/>
      <c r="DP972" s="97"/>
      <c r="DQ972" s="97"/>
      <c r="DR972" s="97"/>
      <c r="DS972" s="97"/>
      <c r="DT972" s="97"/>
      <c r="DU972" s="97"/>
      <c r="DV972" s="97"/>
      <c r="DW972" s="97"/>
      <c r="DX972" s="97"/>
      <c r="DY972" s="97"/>
      <c r="DZ972" s="97"/>
      <c r="EA972" s="97"/>
      <c r="EB972" s="97"/>
      <c r="EC972" s="97"/>
      <c r="ED972" s="97"/>
      <c r="EE972" s="97"/>
      <c r="EF972" s="97"/>
      <c r="EG972" s="97"/>
      <c r="EH972" s="97"/>
      <c r="EI972" s="97"/>
      <c r="EJ972" s="97"/>
      <c r="EK972" s="97"/>
      <c r="EL972" s="97"/>
      <c r="EM972" s="97"/>
      <c r="EN972" s="97"/>
      <c r="EO972" s="97"/>
      <c r="EP972" s="97"/>
      <c r="EQ972" s="97"/>
      <c r="ER972" s="97"/>
      <c r="ES972" s="97"/>
      <c r="ET972" s="97"/>
    </row>
    <row r="973" spans="1:150" ht="15.75" customHeight="1">
      <c r="A973" s="97"/>
      <c r="B973" s="97"/>
      <c r="C973" s="97"/>
      <c r="D973" s="97"/>
      <c r="E973" s="97"/>
      <c r="F973" s="97"/>
      <c r="G973" s="97"/>
      <c r="H973" s="129"/>
      <c r="I973" s="97"/>
      <c r="J973" s="97"/>
      <c r="K973" s="97"/>
      <c r="L973" s="97"/>
      <c r="M973" s="97"/>
      <c r="N973" s="97"/>
      <c r="O973" s="97"/>
      <c r="P973" s="97"/>
      <c r="Q973" s="97"/>
      <c r="R973" s="97"/>
      <c r="S973" s="97"/>
      <c r="T973" s="97"/>
      <c r="U973" s="97"/>
      <c r="V973" s="97"/>
      <c r="W973" s="97"/>
      <c r="X973" s="129"/>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c r="DF973" s="97"/>
      <c r="DG973" s="97"/>
      <c r="DH973" s="97"/>
      <c r="DI973" s="97"/>
      <c r="DJ973" s="97"/>
      <c r="DK973" s="97"/>
      <c r="DL973" s="97"/>
      <c r="DM973" s="97"/>
      <c r="DN973" s="97"/>
      <c r="DO973" s="97"/>
      <c r="DP973" s="97"/>
      <c r="DQ973" s="97"/>
      <c r="DR973" s="97"/>
      <c r="DS973" s="97"/>
      <c r="DT973" s="97"/>
      <c r="DU973" s="97"/>
      <c r="DV973" s="97"/>
      <c r="DW973" s="97"/>
      <c r="DX973" s="97"/>
      <c r="DY973" s="97"/>
      <c r="DZ973" s="97"/>
      <c r="EA973" s="97"/>
      <c r="EB973" s="97"/>
      <c r="EC973" s="97"/>
      <c r="ED973" s="97"/>
      <c r="EE973" s="97"/>
      <c r="EF973" s="97"/>
      <c r="EG973" s="97"/>
      <c r="EH973" s="97"/>
      <c r="EI973" s="97"/>
      <c r="EJ973" s="97"/>
      <c r="EK973" s="97"/>
      <c r="EL973" s="97"/>
      <c r="EM973" s="97"/>
      <c r="EN973" s="97"/>
      <c r="EO973" s="97"/>
      <c r="EP973" s="97"/>
      <c r="EQ973" s="97"/>
      <c r="ER973" s="97"/>
      <c r="ES973" s="97"/>
      <c r="ET973" s="97"/>
    </row>
    <row r="974" spans="1:150" ht="15.75" customHeight="1">
      <c r="A974" s="97"/>
      <c r="B974" s="97"/>
      <c r="C974" s="97"/>
      <c r="D974" s="97"/>
      <c r="E974" s="97"/>
      <c r="F974" s="97"/>
      <c r="G974" s="97"/>
      <c r="H974" s="129"/>
      <c r="I974" s="97"/>
      <c r="J974" s="97"/>
      <c r="K974" s="97"/>
      <c r="L974" s="97"/>
      <c r="M974" s="97"/>
      <c r="N974" s="97"/>
      <c r="O974" s="97"/>
      <c r="P974" s="97"/>
      <c r="Q974" s="97"/>
      <c r="R974" s="97"/>
      <c r="S974" s="97"/>
      <c r="T974" s="97"/>
      <c r="U974" s="97"/>
      <c r="V974" s="97"/>
      <c r="W974" s="97"/>
      <c r="X974" s="129"/>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c r="DF974" s="97"/>
      <c r="DG974" s="97"/>
      <c r="DH974" s="97"/>
      <c r="DI974" s="97"/>
      <c r="DJ974" s="97"/>
      <c r="DK974" s="97"/>
      <c r="DL974" s="97"/>
      <c r="DM974" s="97"/>
      <c r="DN974" s="97"/>
      <c r="DO974" s="97"/>
      <c r="DP974" s="97"/>
      <c r="DQ974" s="97"/>
      <c r="DR974" s="97"/>
      <c r="DS974" s="97"/>
      <c r="DT974" s="97"/>
      <c r="DU974" s="97"/>
      <c r="DV974" s="97"/>
      <c r="DW974" s="97"/>
      <c r="DX974" s="97"/>
      <c r="DY974" s="97"/>
      <c r="DZ974" s="97"/>
      <c r="EA974" s="97"/>
      <c r="EB974" s="97"/>
      <c r="EC974" s="97"/>
      <c r="ED974" s="97"/>
      <c r="EE974" s="97"/>
      <c r="EF974" s="97"/>
      <c r="EG974" s="97"/>
      <c r="EH974" s="97"/>
      <c r="EI974" s="97"/>
      <c r="EJ974" s="97"/>
      <c r="EK974" s="97"/>
      <c r="EL974" s="97"/>
      <c r="EM974" s="97"/>
      <c r="EN974" s="97"/>
      <c r="EO974" s="97"/>
      <c r="EP974" s="97"/>
      <c r="EQ974" s="97"/>
      <c r="ER974" s="97"/>
      <c r="ES974" s="97"/>
      <c r="ET974" s="97"/>
    </row>
    <row r="975" spans="1:150" ht="15.75" customHeight="1">
      <c r="A975" s="97"/>
      <c r="B975" s="97"/>
      <c r="C975" s="97"/>
      <c r="D975" s="97"/>
      <c r="E975" s="97"/>
      <c r="F975" s="97"/>
      <c r="G975" s="97"/>
      <c r="H975" s="129"/>
      <c r="I975" s="97"/>
      <c r="J975" s="97"/>
      <c r="K975" s="97"/>
      <c r="L975" s="97"/>
      <c r="M975" s="97"/>
      <c r="N975" s="97"/>
      <c r="O975" s="97"/>
      <c r="P975" s="97"/>
      <c r="Q975" s="97"/>
      <c r="R975" s="97"/>
      <c r="S975" s="97"/>
      <c r="T975" s="97"/>
      <c r="U975" s="97"/>
      <c r="V975" s="97"/>
      <c r="W975" s="97"/>
      <c r="X975" s="129"/>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c r="DF975" s="97"/>
      <c r="DG975" s="97"/>
      <c r="DH975" s="97"/>
      <c r="DI975" s="97"/>
      <c r="DJ975" s="97"/>
      <c r="DK975" s="97"/>
      <c r="DL975" s="97"/>
      <c r="DM975" s="97"/>
      <c r="DN975" s="97"/>
      <c r="DO975" s="97"/>
      <c r="DP975" s="97"/>
      <c r="DQ975" s="97"/>
      <c r="DR975" s="97"/>
      <c r="DS975" s="97"/>
      <c r="DT975" s="97"/>
      <c r="DU975" s="97"/>
      <c r="DV975" s="97"/>
      <c r="DW975" s="97"/>
      <c r="DX975" s="97"/>
      <c r="DY975" s="97"/>
      <c r="DZ975" s="97"/>
      <c r="EA975" s="97"/>
      <c r="EB975" s="97"/>
      <c r="EC975" s="97"/>
      <c r="ED975" s="97"/>
      <c r="EE975" s="97"/>
      <c r="EF975" s="97"/>
      <c r="EG975" s="97"/>
      <c r="EH975" s="97"/>
      <c r="EI975" s="97"/>
      <c r="EJ975" s="97"/>
      <c r="EK975" s="97"/>
      <c r="EL975" s="97"/>
      <c r="EM975" s="97"/>
      <c r="EN975" s="97"/>
      <c r="EO975" s="97"/>
      <c r="EP975" s="97"/>
      <c r="EQ975" s="97"/>
      <c r="ER975" s="97"/>
      <c r="ES975" s="97"/>
      <c r="ET975" s="97"/>
    </row>
    <row r="976" spans="1:150" ht="15.75" customHeight="1">
      <c r="A976" s="97"/>
      <c r="B976" s="97"/>
      <c r="C976" s="97"/>
      <c r="D976" s="97"/>
      <c r="E976" s="97"/>
      <c r="F976" s="97"/>
      <c r="G976" s="97"/>
      <c r="H976" s="129"/>
      <c r="I976" s="97"/>
      <c r="J976" s="97"/>
      <c r="K976" s="97"/>
      <c r="L976" s="97"/>
      <c r="M976" s="97"/>
      <c r="N976" s="97"/>
      <c r="O976" s="97"/>
      <c r="P976" s="97"/>
      <c r="Q976" s="97"/>
      <c r="R976" s="97"/>
      <c r="S976" s="97"/>
      <c r="T976" s="97"/>
      <c r="U976" s="97"/>
      <c r="V976" s="97"/>
      <c r="W976" s="97"/>
      <c r="X976" s="129"/>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c r="DF976" s="97"/>
      <c r="DG976" s="97"/>
      <c r="DH976" s="97"/>
      <c r="DI976" s="97"/>
      <c r="DJ976" s="97"/>
      <c r="DK976" s="97"/>
      <c r="DL976" s="97"/>
      <c r="DM976" s="97"/>
      <c r="DN976" s="97"/>
      <c r="DO976" s="97"/>
      <c r="DP976" s="97"/>
      <c r="DQ976" s="97"/>
      <c r="DR976" s="97"/>
      <c r="DS976" s="97"/>
      <c r="DT976" s="97"/>
      <c r="DU976" s="97"/>
      <c r="DV976" s="97"/>
      <c r="DW976" s="97"/>
      <c r="DX976" s="97"/>
      <c r="DY976" s="97"/>
      <c r="DZ976" s="97"/>
      <c r="EA976" s="97"/>
      <c r="EB976" s="97"/>
      <c r="EC976" s="97"/>
      <c r="ED976" s="97"/>
      <c r="EE976" s="97"/>
      <c r="EF976" s="97"/>
      <c r="EG976" s="97"/>
      <c r="EH976" s="97"/>
      <c r="EI976" s="97"/>
      <c r="EJ976" s="97"/>
      <c r="EK976" s="97"/>
      <c r="EL976" s="97"/>
      <c r="EM976" s="97"/>
      <c r="EN976" s="97"/>
      <c r="EO976" s="97"/>
      <c r="EP976" s="97"/>
      <c r="EQ976" s="97"/>
      <c r="ER976" s="97"/>
      <c r="ES976" s="97"/>
      <c r="ET976" s="97"/>
    </row>
    <row r="977" spans="1:150" ht="15.75" customHeight="1">
      <c r="A977" s="97"/>
      <c r="B977" s="97"/>
      <c r="C977" s="97"/>
      <c r="D977" s="97"/>
      <c r="E977" s="97"/>
      <c r="F977" s="97"/>
      <c r="G977" s="97"/>
      <c r="H977" s="129"/>
      <c r="I977" s="97"/>
      <c r="J977" s="97"/>
      <c r="K977" s="97"/>
      <c r="L977" s="97"/>
      <c r="M977" s="97"/>
      <c r="N977" s="97"/>
      <c r="O977" s="97"/>
      <c r="P977" s="97"/>
      <c r="Q977" s="97"/>
      <c r="R977" s="97"/>
      <c r="S977" s="97"/>
      <c r="T977" s="97"/>
      <c r="U977" s="97"/>
      <c r="V977" s="97"/>
      <c r="W977" s="97"/>
      <c r="X977" s="129"/>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c r="DF977" s="97"/>
      <c r="DG977" s="97"/>
      <c r="DH977" s="97"/>
      <c r="DI977" s="97"/>
      <c r="DJ977" s="97"/>
      <c r="DK977" s="97"/>
      <c r="DL977" s="97"/>
      <c r="DM977" s="97"/>
      <c r="DN977" s="97"/>
      <c r="DO977" s="97"/>
      <c r="DP977" s="97"/>
      <c r="DQ977" s="97"/>
      <c r="DR977" s="97"/>
      <c r="DS977" s="97"/>
      <c r="DT977" s="97"/>
      <c r="DU977" s="97"/>
      <c r="DV977" s="97"/>
      <c r="DW977" s="97"/>
      <c r="DX977" s="97"/>
      <c r="DY977" s="97"/>
      <c r="DZ977" s="97"/>
      <c r="EA977" s="97"/>
      <c r="EB977" s="97"/>
      <c r="EC977" s="97"/>
      <c r="ED977" s="97"/>
      <c r="EE977" s="97"/>
      <c r="EF977" s="97"/>
      <c r="EG977" s="97"/>
      <c r="EH977" s="97"/>
      <c r="EI977" s="97"/>
      <c r="EJ977" s="97"/>
      <c r="EK977" s="97"/>
      <c r="EL977" s="97"/>
      <c r="EM977" s="97"/>
      <c r="EN977" s="97"/>
      <c r="EO977" s="97"/>
      <c r="EP977" s="97"/>
      <c r="EQ977" s="97"/>
      <c r="ER977" s="97"/>
      <c r="ES977" s="97"/>
      <c r="ET977" s="97"/>
    </row>
    <row r="978" spans="1:150" ht="15.75" customHeight="1">
      <c r="A978" s="97"/>
      <c r="B978" s="97"/>
      <c r="C978" s="97"/>
      <c r="D978" s="97"/>
      <c r="E978" s="97"/>
      <c r="F978" s="97"/>
      <c r="G978" s="97"/>
      <c r="H978" s="129"/>
      <c r="I978" s="97"/>
      <c r="J978" s="97"/>
      <c r="K978" s="97"/>
      <c r="L978" s="97"/>
      <c r="M978" s="97"/>
      <c r="N978" s="97"/>
      <c r="O978" s="97"/>
      <c r="P978" s="97"/>
      <c r="Q978" s="97"/>
      <c r="R978" s="97"/>
      <c r="S978" s="97"/>
      <c r="T978" s="97"/>
      <c r="U978" s="97"/>
      <c r="V978" s="97"/>
      <c r="W978" s="97"/>
      <c r="X978" s="129"/>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c r="DF978" s="97"/>
      <c r="DG978" s="97"/>
      <c r="DH978" s="97"/>
      <c r="DI978" s="97"/>
      <c r="DJ978" s="97"/>
      <c r="DK978" s="97"/>
      <c r="DL978" s="97"/>
      <c r="DM978" s="97"/>
      <c r="DN978" s="97"/>
      <c r="DO978" s="97"/>
      <c r="DP978" s="97"/>
      <c r="DQ978" s="97"/>
      <c r="DR978" s="97"/>
      <c r="DS978" s="97"/>
      <c r="DT978" s="97"/>
      <c r="DU978" s="97"/>
      <c r="DV978" s="97"/>
      <c r="DW978" s="97"/>
      <c r="DX978" s="97"/>
      <c r="DY978" s="97"/>
      <c r="DZ978" s="97"/>
      <c r="EA978" s="97"/>
      <c r="EB978" s="97"/>
      <c r="EC978" s="97"/>
      <c r="ED978" s="97"/>
      <c r="EE978" s="97"/>
      <c r="EF978" s="97"/>
      <c r="EG978" s="97"/>
      <c r="EH978" s="97"/>
      <c r="EI978" s="97"/>
      <c r="EJ978" s="97"/>
      <c r="EK978" s="97"/>
      <c r="EL978" s="97"/>
      <c r="EM978" s="97"/>
      <c r="EN978" s="97"/>
      <c r="EO978" s="97"/>
      <c r="EP978" s="97"/>
      <c r="EQ978" s="97"/>
      <c r="ER978" s="97"/>
      <c r="ES978" s="97"/>
      <c r="ET978" s="97"/>
    </row>
    <row r="979" spans="1:150" ht="15.75" customHeight="1">
      <c r="A979" s="97"/>
      <c r="B979" s="97"/>
      <c r="C979" s="97"/>
      <c r="D979" s="97"/>
      <c r="E979" s="97"/>
      <c r="F979" s="97"/>
      <c r="G979" s="97"/>
      <c r="H979" s="129"/>
      <c r="I979" s="97"/>
      <c r="J979" s="97"/>
      <c r="K979" s="97"/>
      <c r="L979" s="97"/>
      <c r="M979" s="97"/>
      <c r="N979" s="97"/>
      <c r="O979" s="97"/>
      <c r="P979" s="97"/>
      <c r="Q979" s="97"/>
      <c r="R979" s="97"/>
      <c r="S979" s="97"/>
      <c r="T979" s="97"/>
      <c r="U979" s="97"/>
      <c r="V979" s="97"/>
      <c r="W979" s="97"/>
      <c r="X979" s="129"/>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c r="DF979" s="97"/>
      <c r="DG979" s="97"/>
      <c r="DH979" s="97"/>
      <c r="DI979" s="97"/>
      <c r="DJ979" s="97"/>
      <c r="DK979" s="97"/>
      <c r="DL979" s="97"/>
      <c r="DM979" s="97"/>
      <c r="DN979" s="97"/>
      <c r="DO979" s="97"/>
      <c r="DP979" s="97"/>
      <c r="DQ979" s="97"/>
      <c r="DR979" s="97"/>
      <c r="DS979" s="97"/>
      <c r="DT979" s="97"/>
      <c r="DU979" s="97"/>
      <c r="DV979" s="97"/>
      <c r="DW979" s="97"/>
      <c r="DX979" s="97"/>
      <c r="DY979" s="97"/>
      <c r="DZ979" s="97"/>
      <c r="EA979" s="97"/>
      <c r="EB979" s="97"/>
      <c r="EC979" s="97"/>
      <c r="ED979" s="97"/>
      <c r="EE979" s="97"/>
      <c r="EF979" s="97"/>
      <c r="EG979" s="97"/>
      <c r="EH979" s="97"/>
      <c r="EI979" s="97"/>
      <c r="EJ979" s="97"/>
      <c r="EK979" s="97"/>
      <c r="EL979" s="97"/>
      <c r="EM979" s="97"/>
      <c r="EN979" s="97"/>
      <c r="EO979" s="97"/>
      <c r="EP979" s="97"/>
      <c r="EQ979" s="97"/>
      <c r="ER979" s="97"/>
      <c r="ES979" s="97"/>
      <c r="ET979" s="97"/>
    </row>
    <row r="980" spans="1:150" ht="15.75" customHeight="1">
      <c r="A980" s="97"/>
      <c r="B980" s="97"/>
      <c r="C980" s="97"/>
      <c r="D980" s="97"/>
      <c r="E980" s="97"/>
      <c r="F980" s="97"/>
      <c r="G980" s="97"/>
      <c r="H980" s="129"/>
      <c r="I980" s="97"/>
      <c r="J980" s="97"/>
      <c r="K980" s="97"/>
      <c r="L980" s="97"/>
      <c r="M980" s="97"/>
      <c r="N980" s="97"/>
      <c r="O980" s="97"/>
      <c r="P980" s="97"/>
      <c r="Q980" s="97"/>
      <c r="R980" s="97"/>
      <c r="S980" s="97"/>
      <c r="T980" s="97"/>
      <c r="U980" s="97"/>
      <c r="V980" s="97"/>
      <c r="W980" s="97"/>
      <c r="X980" s="129"/>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c r="DF980" s="97"/>
      <c r="DG980" s="97"/>
      <c r="DH980" s="97"/>
      <c r="DI980" s="97"/>
      <c r="DJ980" s="97"/>
      <c r="DK980" s="97"/>
      <c r="DL980" s="97"/>
      <c r="DM980" s="97"/>
      <c r="DN980" s="97"/>
      <c r="DO980" s="97"/>
      <c r="DP980" s="97"/>
      <c r="DQ980" s="97"/>
      <c r="DR980" s="97"/>
      <c r="DS980" s="97"/>
      <c r="DT980" s="97"/>
      <c r="DU980" s="97"/>
      <c r="DV980" s="97"/>
      <c r="DW980" s="97"/>
      <c r="DX980" s="97"/>
      <c r="DY980" s="97"/>
      <c r="DZ980" s="97"/>
      <c r="EA980" s="97"/>
      <c r="EB980" s="97"/>
      <c r="EC980" s="97"/>
      <c r="ED980" s="97"/>
      <c r="EE980" s="97"/>
      <c r="EF980" s="97"/>
      <c r="EG980" s="97"/>
      <c r="EH980" s="97"/>
      <c r="EI980" s="97"/>
      <c r="EJ980" s="97"/>
      <c r="EK980" s="97"/>
      <c r="EL980" s="97"/>
      <c r="EM980" s="97"/>
      <c r="EN980" s="97"/>
      <c r="EO980" s="97"/>
      <c r="EP980" s="97"/>
      <c r="EQ980" s="97"/>
      <c r="ER980" s="97"/>
      <c r="ES980" s="97"/>
      <c r="ET980" s="97"/>
    </row>
    <row r="981" spans="1:150" ht="15.75" customHeight="1">
      <c r="A981" s="97"/>
      <c r="B981" s="97"/>
      <c r="C981" s="97"/>
      <c r="D981" s="97"/>
      <c r="E981" s="97"/>
      <c r="F981" s="97"/>
      <c r="G981" s="97"/>
      <c r="H981" s="129"/>
      <c r="I981" s="97"/>
      <c r="J981" s="97"/>
      <c r="K981" s="97"/>
      <c r="L981" s="97"/>
      <c r="M981" s="97"/>
      <c r="N981" s="97"/>
      <c r="O981" s="97"/>
      <c r="P981" s="97"/>
      <c r="Q981" s="97"/>
      <c r="R981" s="97"/>
      <c r="S981" s="97"/>
      <c r="T981" s="97"/>
      <c r="U981" s="97"/>
      <c r="V981" s="97"/>
      <c r="W981" s="97"/>
      <c r="X981" s="129"/>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c r="DF981" s="97"/>
      <c r="DG981" s="97"/>
      <c r="DH981" s="97"/>
      <c r="DI981" s="97"/>
      <c r="DJ981" s="97"/>
      <c r="DK981" s="97"/>
      <c r="DL981" s="97"/>
      <c r="DM981" s="97"/>
      <c r="DN981" s="97"/>
      <c r="DO981" s="97"/>
      <c r="DP981" s="97"/>
      <c r="DQ981" s="97"/>
      <c r="DR981" s="97"/>
      <c r="DS981" s="97"/>
      <c r="DT981" s="97"/>
      <c r="DU981" s="97"/>
      <c r="DV981" s="97"/>
      <c r="DW981" s="97"/>
      <c r="DX981" s="97"/>
      <c r="DY981" s="97"/>
      <c r="DZ981" s="97"/>
      <c r="EA981" s="97"/>
      <c r="EB981" s="97"/>
      <c r="EC981" s="97"/>
      <c r="ED981" s="97"/>
      <c r="EE981" s="97"/>
      <c r="EF981" s="97"/>
      <c r="EG981" s="97"/>
      <c r="EH981" s="97"/>
      <c r="EI981" s="97"/>
      <c r="EJ981" s="97"/>
      <c r="EK981" s="97"/>
      <c r="EL981" s="97"/>
      <c r="EM981" s="97"/>
      <c r="EN981" s="97"/>
      <c r="EO981" s="97"/>
      <c r="EP981" s="97"/>
      <c r="EQ981" s="97"/>
      <c r="ER981" s="97"/>
      <c r="ES981" s="97"/>
      <c r="ET981" s="97"/>
    </row>
    <row r="982" spans="1:150" ht="15.75" customHeight="1">
      <c r="A982" s="97"/>
      <c r="B982" s="97"/>
      <c r="C982" s="97"/>
      <c r="D982" s="97"/>
      <c r="E982" s="97"/>
      <c r="F982" s="97"/>
      <c r="G982" s="97"/>
      <c r="H982" s="129"/>
      <c r="I982" s="97"/>
      <c r="J982" s="97"/>
      <c r="K982" s="97"/>
      <c r="L982" s="97"/>
      <c r="M982" s="97"/>
      <c r="N982" s="97"/>
      <c r="O982" s="97"/>
      <c r="P982" s="97"/>
      <c r="Q982" s="97"/>
      <c r="R982" s="97"/>
      <c r="S982" s="97"/>
      <c r="T982" s="97"/>
      <c r="U982" s="97"/>
      <c r="V982" s="97"/>
      <c r="W982" s="97"/>
      <c r="X982" s="129"/>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c r="DF982" s="97"/>
      <c r="DG982" s="97"/>
      <c r="DH982" s="97"/>
      <c r="DI982" s="97"/>
      <c r="DJ982" s="97"/>
      <c r="DK982" s="97"/>
      <c r="DL982" s="97"/>
      <c r="DM982" s="97"/>
      <c r="DN982" s="97"/>
      <c r="DO982" s="97"/>
      <c r="DP982" s="97"/>
      <c r="DQ982" s="97"/>
      <c r="DR982" s="97"/>
      <c r="DS982" s="97"/>
      <c r="DT982" s="97"/>
      <c r="DU982" s="97"/>
      <c r="DV982" s="97"/>
      <c r="DW982" s="97"/>
      <c r="DX982" s="97"/>
      <c r="DY982" s="97"/>
      <c r="DZ982" s="97"/>
      <c r="EA982" s="97"/>
      <c r="EB982" s="97"/>
      <c r="EC982" s="97"/>
      <c r="ED982" s="97"/>
      <c r="EE982" s="97"/>
      <c r="EF982" s="97"/>
      <c r="EG982" s="97"/>
      <c r="EH982" s="97"/>
      <c r="EI982" s="97"/>
      <c r="EJ982" s="97"/>
      <c r="EK982" s="97"/>
      <c r="EL982" s="97"/>
      <c r="EM982" s="97"/>
      <c r="EN982" s="97"/>
      <c r="EO982" s="97"/>
      <c r="EP982" s="97"/>
      <c r="EQ982" s="97"/>
      <c r="ER982" s="97"/>
      <c r="ES982" s="97"/>
      <c r="ET982" s="97"/>
    </row>
    <row r="983" spans="1:150" ht="15.75" customHeight="1">
      <c r="A983" s="97"/>
      <c r="B983" s="97"/>
      <c r="C983" s="97"/>
      <c r="D983" s="97"/>
      <c r="E983" s="97"/>
      <c r="F983" s="97"/>
      <c r="G983" s="97"/>
      <c r="H983" s="129"/>
      <c r="I983" s="97"/>
      <c r="J983" s="97"/>
      <c r="K983" s="97"/>
      <c r="L983" s="97"/>
      <c r="M983" s="97"/>
      <c r="N983" s="97"/>
      <c r="O983" s="97"/>
      <c r="P983" s="97"/>
      <c r="Q983" s="97"/>
      <c r="R983" s="97"/>
      <c r="S983" s="97"/>
      <c r="T983" s="97"/>
      <c r="U983" s="97"/>
      <c r="V983" s="97"/>
      <c r="W983" s="97"/>
      <c r="X983" s="129"/>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c r="DF983" s="97"/>
      <c r="DG983" s="97"/>
      <c r="DH983" s="97"/>
      <c r="DI983" s="97"/>
      <c r="DJ983" s="97"/>
      <c r="DK983" s="97"/>
      <c r="DL983" s="97"/>
      <c r="DM983" s="97"/>
      <c r="DN983" s="97"/>
      <c r="DO983" s="97"/>
      <c r="DP983" s="97"/>
      <c r="DQ983" s="97"/>
      <c r="DR983" s="97"/>
      <c r="DS983" s="97"/>
      <c r="DT983" s="97"/>
      <c r="DU983" s="97"/>
      <c r="DV983" s="97"/>
      <c r="DW983" s="97"/>
      <c r="DX983" s="97"/>
      <c r="DY983" s="97"/>
      <c r="DZ983" s="97"/>
      <c r="EA983" s="97"/>
      <c r="EB983" s="97"/>
      <c r="EC983" s="97"/>
      <c r="ED983" s="97"/>
      <c r="EE983" s="97"/>
      <c r="EF983" s="97"/>
      <c r="EG983" s="97"/>
      <c r="EH983" s="97"/>
      <c r="EI983" s="97"/>
      <c r="EJ983" s="97"/>
      <c r="EK983" s="97"/>
      <c r="EL983" s="97"/>
      <c r="EM983" s="97"/>
      <c r="EN983" s="97"/>
      <c r="EO983" s="97"/>
      <c r="EP983" s="97"/>
      <c r="EQ983" s="97"/>
      <c r="ER983" s="97"/>
      <c r="ES983" s="97"/>
      <c r="ET983" s="97"/>
    </row>
    <row r="984" spans="1:150" ht="15.75" customHeight="1">
      <c r="A984" s="97"/>
      <c r="B984" s="97"/>
      <c r="C984" s="97"/>
      <c r="D984" s="97"/>
      <c r="E984" s="97"/>
      <c r="F984" s="97"/>
      <c r="G984" s="97"/>
      <c r="H984" s="129"/>
      <c r="I984" s="97"/>
      <c r="J984" s="97"/>
      <c r="K984" s="97"/>
      <c r="L984" s="97"/>
      <c r="M984" s="97"/>
      <c r="N984" s="97"/>
      <c r="O984" s="97"/>
      <c r="P984" s="97"/>
      <c r="Q984" s="97"/>
      <c r="R984" s="97"/>
      <c r="S984" s="97"/>
      <c r="T984" s="97"/>
      <c r="U984" s="97"/>
      <c r="V984" s="97"/>
      <c r="W984" s="97"/>
      <c r="X984" s="129"/>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c r="DF984" s="97"/>
      <c r="DG984" s="97"/>
      <c r="DH984" s="97"/>
      <c r="DI984" s="97"/>
      <c r="DJ984" s="97"/>
      <c r="DK984" s="97"/>
      <c r="DL984" s="97"/>
      <c r="DM984" s="97"/>
      <c r="DN984" s="97"/>
      <c r="DO984" s="97"/>
      <c r="DP984" s="97"/>
      <c r="DQ984" s="97"/>
      <c r="DR984" s="97"/>
      <c r="DS984" s="97"/>
      <c r="DT984" s="97"/>
      <c r="DU984" s="97"/>
      <c r="DV984" s="97"/>
      <c r="DW984" s="97"/>
      <c r="DX984" s="97"/>
      <c r="DY984" s="97"/>
      <c r="DZ984" s="97"/>
      <c r="EA984" s="97"/>
      <c r="EB984" s="97"/>
      <c r="EC984" s="97"/>
      <c r="ED984" s="97"/>
      <c r="EE984" s="97"/>
      <c r="EF984" s="97"/>
      <c r="EG984" s="97"/>
      <c r="EH984" s="97"/>
      <c r="EI984" s="97"/>
      <c r="EJ984" s="97"/>
      <c r="EK984" s="97"/>
      <c r="EL984" s="97"/>
      <c r="EM984" s="97"/>
      <c r="EN984" s="97"/>
      <c r="EO984" s="97"/>
      <c r="EP984" s="97"/>
      <c r="EQ984" s="97"/>
      <c r="ER984" s="97"/>
      <c r="ES984" s="97"/>
      <c r="ET984" s="97"/>
    </row>
    <row r="985" spans="1:150" ht="15.75" customHeight="1">
      <c r="A985" s="97"/>
      <c r="B985" s="97"/>
      <c r="C985" s="97"/>
      <c r="D985" s="97"/>
      <c r="E985" s="97"/>
      <c r="F985" s="97"/>
      <c r="G985" s="97"/>
      <c r="H985" s="129"/>
      <c r="I985" s="97"/>
      <c r="J985" s="97"/>
      <c r="K985" s="97"/>
      <c r="L985" s="97"/>
      <c r="M985" s="97"/>
      <c r="N985" s="97"/>
      <c r="O985" s="97"/>
      <c r="P985" s="97"/>
      <c r="Q985" s="97"/>
      <c r="R985" s="97"/>
      <c r="S985" s="97"/>
      <c r="T985" s="97"/>
      <c r="U985" s="97"/>
      <c r="V985" s="97"/>
      <c r="W985" s="97"/>
      <c r="X985" s="129"/>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c r="DF985" s="97"/>
      <c r="DG985" s="97"/>
      <c r="DH985" s="97"/>
      <c r="DI985" s="97"/>
      <c r="DJ985" s="97"/>
      <c r="DK985" s="97"/>
      <c r="DL985" s="97"/>
      <c r="DM985" s="97"/>
      <c r="DN985" s="97"/>
      <c r="DO985" s="97"/>
      <c r="DP985" s="97"/>
      <c r="DQ985" s="97"/>
      <c r="DR985" s="97"/>
      <c r="DS985" s="97"/>
      <c r="DT985" s="97"/>
      <c r="DU985" s="97"/>
      <c r="DV985" s="97"/>
      <c r="DW985" s="97"/>
      <c r="DX985" s="97"/>
      <c r="DY985" s="97"/>
      <c r="DZ985" s="97"/>
      <c r="EA985" s="97"/>
      <c r="EB985" s="97"/>
      <c r="EC985" s="97"/>
      <c r="ED985" s="97"/>
      <c r="EE985" s="97"/>
      <c r="EF985" s="97"/>
      <c r="EG985" s="97"/>
      <c r="EH985" s="97"/>
      <c r="EI985" s="97"/>
      <c r="EJ985" s="97"/>
      <c r="EK985" s="97"/>
      <c r="EL985" s="97"/>
      <c r="EM985" s="97"/>
      <c r="EN985" s="97"/>
      <c r="EO985" s="97"/>
      <c r="EP985" s="97"/>
      <c r="EQ985" s="97"/>
      <c r="ER985" s="97"/>
      <c r="ES985" s="97"/>
      <c r="ET985" s="97"/>
    </row>
    <row r="986" spans="1:150" ht="15.75" customHeight="1">
      <c r="A986" s="97"/>
      <c r="B986" s="97"/>
      <c r="C986" s="97"/>
      <c r="D986" s="97"/>
      <c r="E986" s="97"/>
      <c r="F986" s="97"/>
      <c r="G986" s="97"/>
      <c r="H986" s="129"/>
      <c r="I986" s="97"/>
      <c r="J986" s="97"/>
      <c r="K986" s="97"/>
      <c r="L986" s="97"/>
      <c r="M986" s="97"/>
      <c r="N986" s="97"/>
      <c r="O986" s="97"/>
      <c r="P986" s="97"/>
      <c r="Q986" s="97"/>
      <c r="R986" s="97"/>
      <c r="S986" s="97"/>
      <c r="T986" s="97"/>
      <c r="U986" s="97"/>
      <c r="V986" s="97"/>
      <c r="W986" s="97"/>
      <c r="X986" s="129"/>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c r="DF986" s="97"/>
      <c r="DG986" s="97"/>
      <c r="DH986" s="97"/>
      <c r="DI986" s="97"/>
      <c r="DJ986" s="97"/>
      <c r="DK986" s="97"/>
      <c r="DL986" s="97"/>
      <c r="DM986" s="97"/>
      <c r="DN986" s="97"/>
      <c r="DO986" s="97"/>
      <c r="DP986" s="97"/>
      <c r="DQ986" s="97"/>
      <c r="DR986" s="97"/>
      <c r="DS986" s="97"/>
      <c r="DT986" s="97"/>
      <c r="DU986" s="97"/>
      <c r="DV986" s="97"/>
      <c r="DW986" s="97"/>
      <c r="DX986" s="97"/>
      <c r="DY986" s="97"/>
      <c r="DZ986" s="97"/>
      <c r="EA986" s="97"/>
      <c r="EB986" s="97"/>
      <c r="EC986" s="97"/>
      <c r="ED986" s="97"/>
      <c r="EE986" s="97"/>
      <c r="EF986" s="97"/>
      <c r="EG986" s="97"/>
      <c r="EH986" s="97"/>
      <c r="EI986" s="97"/>
      <c r="EJ986" s="97"/>
      <c r="EK986" s="97"/>
      <c r="EL986" s="97"/>
      <c r="EM986" s="97"/>
      <c r="EN986" s="97"/>
      <c r="EO986" s="97"/>
      <c r="EP986" s="97"/>
      <c r="EQ986" s="97"/>
      <c r="ER986" s="97"/>
      <c r="ES986" s="97"/>
      <c r="ET986" s="97"/>
    </row>
    <row r="987" spans="1:150" ht="15.75" customHeight="1">
      <c r="A987" s="97"/>
      <c r="B987" s="97"/>
      <c r="C987" s="97"/>
      <c r="D987" s="97"/>
      <c r="E987" s="97"/>
      <c r="F987" s="97"/>
      <c r="G987" s="97"/>
      <c r="H987" s="129"/>
      <c r="I987" s="97"/>
      <c r="J987" s="97"/>
      <c r="K987" s="97"/>
      <c r="L987" s="97"/>
      <c r="M987" s="97"/>
      <c r="N987" s="97"/>
      <c r="O987" s="97"/>
      <c r="P987" s="97"/>
      <c r="Q987" s="97"/>
      <c r="R987" s="97"/>
      <c r="S987" s="97"/>
      <c r="T987" s="97"/>
      <c r="U987" s="97"/>
      <c r="V987" s="97"/>
      <c r="W987" s="97"/>
      <c r="X987" s="129"/>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c r="DF987" s="97"/>
      <c r="DG987" s="97"/>
      <c r="DH987" s="97"/>
      <c r="DI987" s="97"/>
      <c r="DJ987" s="97"/>
      <c r="DK987" s="97"/>
      <c r="DL987" s="97"/>
      <c r="DM987" s="97"/>
      <c r="DN987" s="97"/>
      <c r="DO987" s="97"/>
      <c r="DP987" s="97"/>
      <c r="DQ987" s="97"/>
      <c r="DR987" s="97"/>
      <c r="DS987" s="97"/>
      <c r="DT987" s="97"/>
      <c r="DU987" s="97"/>
      <c r="DV987" s="97"/>
      <c r="DW987" s="97"/>
      <c r="DX987" s="97"/>
      <c r="DY987" s="97"/>
      <c r="DZ987" s="97"/>
      <c r="EA987" s="97"/>
      <c r="EB987" s="97"/>
      <c r="EC987" s="97"/>
      <c r="ED987" s="97"/>
      <c r="EE987" s="97"/>
      <c r="EF987" s="97"/>
      <c r="EG987" s="97"/>
      <c r="EH987" s="97"/>
      <c r="EI987" s="97"/>
      <c r="EJ987" s="97"/>
      <c r="EK987" s="97"/>
      <c r="EL987" s="97"/>
      <c r="EM987" s="97"/>
      <c r="EN987" s="97"/>
      <c r="EO987" s="97"/>
      <c r="EP987" s="97"/>
      <c r="EQ987" s="97"/>
      <c r="ER987" s="97"/>
      <c r="ES987" s="97"/>
      <c r="ET987" s="97"/>
    </row>
    <row r="988" spans="1:150" ht="15.75" customHeight="1">
      <c r="A988" s="97"/>
      <c r="B988" s="97"/>
      <c r="C988" s="97"/>
      <c r="D988" s="97"/>
      <c r="E988" s="97"/>
      <c r="F988" s="97"/>
      <c r="G988" s="97"/>
      <c r="H988" s="129"/>
      <c r="I988" s="97"/>
      <c r="J988" s="97"/>
      <c r="K988" s="97"/>
      <c r="L988" s="97"/>
      <c r="M988" s="97"/>
      <c r="N988" s="97"/>
      <c r="O988" s="97"/>
      <c r="P988" s="97"/>
      <c r="Q988" s="97"/>
      <c r="R988" s="97"/>
      <c r="S988" s="97"/>
      <c r="T988" s="97"/>
      <c r="U988" s="97"/>
      <c r="V988" s="97"/>
      <c r="W988" s="97"/>
      <c r="X988" s="129"/>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c r="DF988" s="97"/>
      <c r="DG988" s="97"/>
      <c r="DH988" s="97"/>
      <c r="DI988" s="97"/>
      <c r="DJ988" s="97"/>
      <c r="DK988" s="97"/>
      <c r="DL988" s="97"/>
      <c r="DM988" s="97"/>
      <c r="DN988" s="97"/>
      <c r="DO988" s="97"/>
      <c r="DP988" s="97"/>
      <c r="DQ988" s="97"/>
      <c r="DR988" s="97"/>
      <c r="DS988" s="97"/>
      <c r="DT988" s="97"/>
      <c r="DU988" s="97"/>
      <c r="DV988" s="97"/>
      <c r="DW988" s="97"/>
      <c r="DX988" s="97"/>
      <c r="DY988" s="97"/>
      <c r="DZ988" s="97"/>
      <c r="EA988" s="97"/>
      <c r="EB988" s="97"/>
      <c r="EC988" s="97"/>
      <c r="ED988" s="97"/>
      <c r="EE988" s="97"/>
      <c r="EF988" s="97"/>
      <c r="EG988" s="97"/>
      <c r="EH988" s="97"/>
      <c r="EI988" s="97"/>
      <c r="EJ988" s="97"/>
      <c r="EK988" s="97"/>
      <c r="EL988" s="97"/>
      <c r="EM988" s="97"/>
      <c r="EN988" s="97"/>
      <c r="EO988" s="97"/>
      <c r="EP988" s="97"/>
      <c r="EQ988" s="97"/>
      <c r="ER988" s="97"/>
      <c r="ES988" s="97"/>
      <c r="ET988" s="97"/>
    </row>
    <row r="989" spans="1:150" ht="15.75" customHeight="1">
      <c r="A989" s="97"/>
      <c r="B989" s="97"/>
      <c r="C989" s="97"/>
      <c r="D989" s="97"/>
      <c r="E989" s="97"/>
      <c r="F989" s="97"/>
      <c r="G989" s="97"/>
      <c r="H989" s="129"/>
      <c r="I989" s="97"/>
      <c r="J989" s="97"/>
      <c r="K989" s="97"/>
      <c r="L989" s="97"/>
      <c r="M989" s="97"/>
      <c r="N989" s="97"/>
      <c r="O989" s="97"/>
      <c r="P989" s="97"/>
      <c r="Q989" s="97"/>
      <c r="R989" s="97"/>
      <c r="S989" s="97"/>
      <c r="T989" s="97"/>
      <c r="U989" s="97"/>
      <c r="V989" s="97"/>
      <c r="W989" s="97"/>
      <c r="X989" s="129"/>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c r="DF989" s="97"/>
      <c r="DG989" s="97"/>
      <c r="DH989" s="97"/>
      <c r="DI989" s="97"/>
      <c r="DJ989" s="97"/>
      <c r="DK989" s="97"/>
      <c r="DL989" s="97"/>
      <c r="DM989" s="97"/>
      <c r="DN989" s="97"/>
      <c r="DO989" s="97"/>
      <c r="DP989" s="97"/>
      <c r="DQ989" s="97"/>
      <c r="DR989" s="97"/>
      <c r="DS989" s="97"/>
      <c r="DT989" s="97"/>
      <c r="DU989" s="97"/>
      <c r="DV989" s="97"/>
      <c r="DW989" s="97"/>
      <c r="DX989" s="97"/>
      <c r="DY989" s="97"/>
      <c r="DZ989" s="97"/>
      <c r="EA989" s="97"/>
      <c r="EB989" s="97"/>
      <c r="EC989" s="97"/>
      <c r="ED989" s="97"/>
      <c r="EE989" s="97"/>
      <c r="EF989" s="97"/>
      <c r="EG989" s="97"/>
      <c r="EH989" s="97"/>
      <c r="EI989" s="97"/>
      <c r="EJ989" s="97"/>
      <c r="EK989" s="97"/>
      <c r="EL989" s="97"/>
      <c r="EM989" s="97"/>
      <c r="EN989" s="97"/>
      <c r="EO989" s="97"/>
      <c r="EP989" s="97"/>
      <c r="EQ989" s="97"/>
      <c r="ER989" s="97"/>
      <c r="ES989" s="97"/>
      <c r="ET989" s="97"/>
    </row>
    <row r="990" spans="1:150" ht="15.75" customHeight="1">
      <c r="A990" s="97"/>
      <c r="B990" s="97"/>
      <c r="C990" s="97"/>
      <c r="D990" s="97"/>
      <c r="E990" s="97"/>
      <c r="F990" s="97"/>
      <c r="G990" s="97"/>
      <c r="H990" s="129"/>
      <c r="I990" s="97"/>
      <c r="J990" s="97"/>
      <c r="K990" s="97"/>
      <c r="L990" s="97"/>
      <c r="M990" s="97"/>
      <c r="N990" s="97"/>
      <c r="O990" s="97"/>
      <c r="P990" s="97"/>
      <c r="Q990" s="97"/>
      <c r="R990" s="97"/>
      <c r="S990" s="97"/>
      <c r="T990" s="97"/>
      <c r="U990" s="97"/>
      <c r="V990" s="97"/>
      <c r="W990" s="97"/>
      <c r="X990" s="129"/>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c r="DF990" s="97"/>
      <c r="DG990" s="97"/>
      <c r="DH990" s="97"/>
      <c r="DI990" s="97"/>
      <c r="DJ990" s="97"/>
      <c r="DK990" s="97"/>
      <c r="DL990" s="97"/>
      <c r="DM990" s="97"/>
      <c r="DN990" s="97"/>
      <c r="DO990" s="97"/>
      <c r="DP990" s="97"/>
      <c r="DQ990" s="97"/>
      <c r="DR990" s="97"/>
      <c r="DS990" s="97"/>
      <c r="DT990" s="97"/>
      <c r="DU990" s="97"/>
      <c r="DV990" s="97"/>
      <c r="DW990" s="97"/>
      <c r="DX990" s="97"/>
      <c r="DY990" s="97"/>
      <c r="DZ990" s="97"/>
      <c r="EA990" s="97"/>
      <c r="EB990" s="97"/>
      <c r="EC990" s="97"/>
      <c r="ED990" s="97"/>
      <c r="EE990" s="97"/>
      <c r="EF990" s="97"/>
      <c r="EG990" s="97"/>
      <c r="EH990" s="97"/>
      <c r="EI990" s="97"/>
      <c r="EJ990" s="97"/>
      <c r="EK990" s="97"/>
      <c r="EL990" s="97"/>
      <c r="EM990" s="97"/>
      <c r="EN990" s="97"/>
      <c r="EO990" s="97"/>
      <c r="EP990" s="97"/>
      <c r="EQ990" s="97"/>
      <c r="ER990" s="97"/>
      <c r="ES990" s="97"/>
      <c r="ET990" s="97"/>
    </row>
    <row r="991" spans="1:150" ht="15.75" customHeight="1">
      <c r="A991" s="97"/>
      <c r="B991" s="97"/>
      <c r="C991" s="97"/>
      <c r="D991" s="97"/>
      <c r="E991" s="97"/>
      <c r="F991" s="97"/>
      <c r="G991" s="97"/>
      <c r="H991" s="129"/>
      <c r="I991" s="97"/>
      <c r="J991" s="97"/>
      <c r="K991" s="97"/>
      <c r="L991" s="97"/>
      <c r="M991" s="97"/>
      <c r="N991" s="97"/>
      <c r="O991" s="97"/>
      <c r="P991" s="97"/>
      <c r="Q991" s="97"/>
      <c r="R991" s="97"/>
      <c r="S991" s="97"/>
      <c r="T991" s="97"/>
      <c r="U991" s="97"/>
      <c r="V991" s="97"/>
      <c r="W991" s="97"/>
      <c r="X991" s="129"/>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c r="DF991" s="97"/>
      <c r="DG991" s="97"/>
      <c r="DH991" s="97"/>
      <c r="DI991" s="97"/>
      <c r="DJ991" s="97"/>
      <c r="DK991" s="97"/>
      <c r="DL991" s="97"/>
      <c r="DM991" s="97"/>
      <c r="DN991" s="97"/>
      <c r="DO991" s="97"/>
      <c r="DP991" s="97"/>
      <c r="DQ991" s="97"/>
      <c r="DR991" s="97"/>
      <c r="DS991" s="97"/>
      <c r="DT991" s="97"/>
      <c r="DU991" s="97"/>
      <c r="DV991" s="97"/>
      <c r="DW991" s="97"/>
      <c r="DX991" s="97"/>
      <c r="DY991" s="97"/>
      <c r="DZ991" s="97"/>
      <c r="EA991" s="97"/>
      <c r="EB991" s="97"/>
      <c r="EC991" s="97"/>
      <c r="ED991" s="97"/>
      <c r="EE991" s="97"/>
      <c r="EF991" s="97"/>
      <c r="EG991" s="97"/>
      <c r="EH991" s="97"/>
      <c r="EI991" s="97"/>
      <c r="EJ991" s="97"/>
      <c r="EK991" s="97"/>
      <c r="EL991" s="97"/>
      <c r="EM991" s="97"/>
      <c r="EN991" s="97"/>
      <c r="EO991" s="97"/>
      <c r="EP991" s="97"/>
      <c r="EQ991" s="97"/>
      <c r="ER991" s="97"/>
      <c r="ES991" s="97"/>
      <c r="ET991" s="97"/>
    </row>
    <row r="992" spans="1:150" ht="15.75" customHeight="1">
      <c r="A992" s="97"/>
      <c r="B992" s="97"/>
      <c r="C992" s="97"/>
      <c r="D992" s="97"/>
      <c r="E992" s="97"/>
      <c r="F992" s="97"/>
      <c r="G992" s="97"/>
      <c r="H992" s="129"/>
      <c r="I992" s="97"/>
      <c r="J992" s="97"/>
      <c r="K992" s="97"/>
      <c r="L992" s="97"/>
      <c r="M992" s="97"/>
      <c r="N992" s="97"/>
      <c r="O992" s="97"/>
      <c r="P992" s="97"/>
      <c r="Q992" s="97"/>
      <c r="R992" s="97"/>
      <c r="S992" s="97"/>
      <c r="T992" s="97"/>
      <c r="U992" s="97"/>
      <c r="V992" s="97"/>
      <c r="W992" s="97"/>
      <c r="X992" s="129"/>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c r="DF992" s="97"/>
      <c r="DG992" s="97"/>
      <c r="DH992" s="97"/>
      <c r="DI992" s="97"/>
      <c r="DJ992" s="97"/>
      <c r="DK992" s="97"/>
      <c r="DL992" s="97"/>
      <c r="DM992" s="97"/>
      <c r="DN992" s="97"/>
      <c r="DO992" s="97"/>
      <c r="DP992" s="97"/>
      <c r="DQ992" s="97"/>
      <c r="DR992" s="97"/>
      <c r="DS992" s="97"/>
      <c r="DT992" s="97"/>
      <c r="DU992" s="97"/>
      <c r="DV992" s="97"/>
      <c r="DW992" s="97"/>
      <c r="DX992" s="97"/>
      <c r="DY992" s="97"/>
      <c r="DZ992" s="97"/>
      <c r="EA992" s="97"/>
      <c r="EB992" s="97"/>
      <c r="EC992" s="97"/>
      <c r="ED992" s="97"/>
      <c r="EE992" s="97"/>
      <c r="EF992" s="97"/>
      <c r="EG992" s="97"/>
      <c r="EH992" s="97"/>
      <c r="EI992" s="97"/>
      <c r="EJ992" s="97"/>
      <c r="EK992" s="97"/>
      <c r="EL992" s="97"/>
      <c r="EM992" s="97"/>
      <c r="EN992" s="97"/>
      <c r="EO992" s="97"/>
      <c r="EP992" s="97"/>
      <c r="EQ992" s="97"/>
      <c r="ER992" s="97"/>
      <c r="ES992" s="97"/>
      <c r="ET992" s="97"/>
    </row>
    <row r="993" spans="1:150" ht="15.75" customHeight="1">
      <c r="A993" s="97"/>
      <c r="B993" s="97"/>
      <c r="C993" s="97"/>
      <c r="D993" s="97"/>
      <c r="E993" s="97"/>
      <c r="F993" s="97"/>
      <c r="G993" s="97"/>
      <c r="H993" s="129"/>
      <c r="I993" s="97"/>
      <c r="J993" s="97"/>
      <c r="K993" s="97"/>
      <c r="L993" s="97"/>
      <c r="M993" s="97"/>
      <c r="N993" s="97"/>
      <c r="O993" s="97"/>
      <c r="P993" s="97"/>
      <c r="Q993" s="97"/>
      <c r="R993" s="97"/>
      <c r="S993" s="97"/>
      <c r="T993" s="97"/>
      <c r="U993" s="97"/>
      <c r="V993" s="97"/>
      <c r="W993" s="97"/>
      <c r="X993" s="129"/>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c r="DF993" s="97"/>
      <c r="DG993" s="97"/>
      <c r="DH993" s="97"/>
      <c r="DI993" s="97"/>
      <c r="DJ993" s="97"/>
      <c r="DK993" s="97"/>
      <c r="DL993" s="97"/>
      <c r="DM993" s="97"/>
      <c r="DN993" s="97"/>
      <c r="DO993" s="97"/>
      <c r="DP993" s="97"/>
      <c r="DQ993" s="97"/>
      <c r="DR993" s="97"/>
      <c r="DS993" s="97"/>
      <c r="DT993" s="97"/>
      <c r="DU993" s="97"/>
      <c r="DV993" s="97"/>
      <c r="DW993" s="97"/>
      <c r="DX993" s="97"/>
      <c r="DY993" s="97"/>
      <c r="DZ993" s="97"/>
      <c r="EA993" s="97"/>
      <c r="EB993" s="97"/>
      <c r="EC993" s="97"/>
      <c r="ED993" s="97"/>
      <c r="EE993" s="97"/>
      <c r="EF993" s="97"/>
      <c r="EG993" s="97"/>
      <c r="EH993" s="97"/>
      <c r="EI993" s="97"/>
      <c r="EJ993" s="97"/>
      <c r="EK993" s="97"/>
      <c r="EL993" s="97"/>
      <c r="EM993" s="97"/>
      <c r="EN993" s="97"/>
      <c r="EO993" s="97"/>
      <c r="EP993" s="97"/>
      <c r="EQ993" s="97"/>
      <c r="ER993" s="97"/>
      <c r="ES993" s="97"/>
      <c r="ET993" s="97"/>
    </row>
    <row r="994" spans="1:150" ht="15.75" customHeight="1">
      <c r="A994" s="97"/>
      <c r="B994" s="97"/>
      <c r="C994" s="97"/>
      <c r="D994" s="97"/>
      <c r="E994" s="97"/>
      <c r="F994" s="97"/>
      <c r="G994" s="97"/>
      <c r="H994" s="129"/>
      <c r="I994" s="97"/>
      <c r="J994" s="97"/>
      <c r="K994" s="97"/>
      <c r="L994" s="97"/>
      <c r="M994" s="97"/>
      <c r="N994" s="97"/>
      <c r="O994" s="97"/>
      <c r="P994" s="97"/>
      <c r="Q994" s="97"/>
      <c r="R994" s="97"/>
      <c r="S994" s="97"/>
      <c r="T994" s="97"/>
      <c r="U994" s="97"/>
      <c r="V994" s="97"/>
      <c r="W994" s="97"/>
      <c r="X994" s="129"/>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c r="DF994" s="97"/>
      <c r="DG994" s="97"/>
      <c r="DH994" s="97"/>
      <c r="DI994" s="97"/>
      <c r="DJ994" s="97"/>
      <c r="DK994" s="97"/>
      <c r="DL994" s="97"/>
      <c r="DM994" s="97"/>
      <c r="DN994" s="97"/>
      <c r="DO994" s="97"/>
      <c r="DP994" s="97"/>
      <c r="DQ994" s="97"/>
      <c r="DR994" s="97"/>
      <c r="DS994" s="97"/>
      <c r="DT994" s="97"/>
      <c r="DU994" s="97"/>
      <c r="DV994" s="97"/>
      <c r="DW994" s="97"/>
      <c r="DX994" s="97"/>
      <c r="DY994" s="97"/>
      <c r="DZ994" s="97"/>
      <c r="EA994" s="97"/>
      <c r="EB994" s="97"/>
      <c r="EC994" s="97"/>
      <c r="ED994" s="97"/>
      <c r="EE994" s="97"/>
      <c r="EF994" s="97"/>
      <c r="EG994" s="97"/>
      <c r="EH994" s="97"/>
      <c r="EI994" s="97"/>
      <c r="EJ994" s="97"/>
      <c r="EK994" s="97"/>
      <c r="EL994" s="97"/>
      <c r="EM994" s="97"/>
      <c r="EN994" s="97"/>
      <c r="EO994" s="97"/>
      <c r="EP994" s="97"/>
      <c r="EQ994" s="97"/>
      <c r="ER994" s="97"/>
      <c r="ES994" s="97"/>
      <c r="ET994" s="97"/>
    </row>
    <row r="995" spans="1:150" ht="15.75" customHeight="1">
      <c r="A995" s="97"/>
      <c r="B995" s="97"/>
      <c r="C995" s="97"/>
      <c r="D995" s="97"/>
      <c r="E995" s="97"/>
      <c r="F995" s="97"/>
      <c r="G995" s="97"/>
      <c r="H995" s="129"/>
      <c r="I995" s="97"/>
      <c r="J995" s="97"/>
      <c r="K995" s="97"/>
      <c r="L995" s="97"/>
      <c r="M995" s="97"/>
      <c r="N995" s="97"/>
      <c r="O995" s="97"/>
      <c r="P995" s="97"/>
      <c r="Q995" s="97"/>
      <c r="R995" s="97"/>
      <c r="S995" s="97"/>
      <c r="T995" s="97"/>
      <c r="U995" s="97"/>
      <c r="V995" s="97"/>
      <c r="W995" s="97"/>
      <c r="X995" s="129"/>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c r="DF995" s="97"/>
      <c r="DG995" s="97"/>
      <c r="DH995" s="97"/>
      <c r="DI995" s="97"/>
      <c r="DJ995" s="97"/>
      <c r="DK995" s="97"/>
      <c r="DL995" s="97"/>
      <c r="DM995" s="97"/>
      <c r="DN995" s="97"/>
      <c r="DO995" s="97"/>
      <c r="DP995" s="97"/>
      <c r="DQ995" s="97"/>
      <c r="DR995" s="97"/>
      <c r="DS995" s="97"/>
      <c r="DT995" s="97"/>
      <c r="DU995" s="97"/>
      <c r="DV995" s="97"/>
      <c r="DW995" s="97"/>
      <c r="DX995" s="97"/>
      <c r="DY995" s="97"/>
      <c r="DZ995" s="97"/>
      <c r="EA995" s="97"/>
      <c r="EB995" s="97"/>
      <c r="EC995" s="97"/>
      <c r="ED995" s="97"/>
      <c r="EE995" s="97"/>
      <c r="EF995" s="97"/>
      <c r="EG995" s="97"/>
      <c r="EH995" s="97"/>
      <c r="EI995" s="97"/>
      <c r="EJ995" s="97"/>
      <c r="EK995" s="97"/>
      <c r="EL995" s="97"/>
      <c r="EM995" s="97"/>
      <c r="EN995" s="97"/>
      <c r="EO995" s="97"/>
      <c r="EP995" s="97"/>
      <c r="EQ995" s="97"/>
      <c r="ER995" s="97"/>
      <c r="ES995" s="97"/>
      <c r="ET995" s="97"/>
    </row>
    <row r="996" spans="1:150" ht="15.75" customHeight="1">
      <c r="A996" s="97"/>
      <c r="B996" s="97"/>
      <c r="C996" s="97"/>
      <c r="D996" s="97"/>
      <c r="E996" s="97"/>
      <c r="F996" s="97"/>
      <c r="G996" s="97"/>
      <c r="H996" s="129"/>
      <c r="I996" s="97"/>
      <c r="J996" s="97"/>
      <c r="K996" s="97"/>
      <c r="L996" s="97"/>
      <c r="M996" s="97"/>
      <c r="N996" s="97"/>
      <c r="O996" s="97"/>
      <c r="P996" s="97"/>
      <c r="Q996" s="97"/>
      <c r="R996" s="97"/>
      <c r="S996" s="97"/>
      <c r="T996" s="97"/>
      <c r="U996" s="97"/>
      <c r="V996" s="97"/>
      <c r="W996" s="97"/>
      <c r="X996" s="129"/>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c r="DF996" s="97"/>
      <c r="DG996" s="97"/>
      <c r="DH996" s="97"/>
      <c r="DI996" s="97"/>
      <c r="DJ996" s="97"/>
      <c r="DK996" s="97"/>
      <c r="DL996" s="97"/>
      <c r="DM996" s="97"/>
      <c r="DN996" s="97"/>
      <c r="DO996" s="97"/>
      <c r="DP996" s="97"/>
      <c r="DQ996" s="97"/>
      <c r="DR996" s="97"/>
      <c r="DS996" s="97"/>
      <c r="DT996" s="97"/>
      <c r="DU996" s="97"/>
      <c r="DV996" s="97"/>
      <c r="DW996" s="97"/>
      <c r="DX996" s="97"/>
      <c r="DY996" s="97"/>
      <c r="DZ996" s="97"/>
      <c r="EA996" s="97"/>
      <c r="EB996" s="97"/>
      <c r="EC996" s="97"/>
      <c r="ED996" s="97"/>
      <c r="EE996" s="97"/>
      <c r="EF996" s="97"/>
      <c r="EG996" s="97"/>
      <c r="EH996" s="97"/>
      <c r="EI996" s="97"/>
      <c r="EJ996" s="97"/>
      <c r="EK996" s="97"/>
      <c r="EL996" s="97"/>
      <c r="EM996" s="97"/>
      <c r="EN996" s="97"/>
      <c r="EO996" s="97"/>
      <c r="EP996" s="97"/>
      <c r="EQ996" s="97"/>
      <c r="ER996" s="97"/>
      <c r="ES996" s="97"/>
      <c r="ET996" s="97"/>
    </row>
    <row r="997" spans="1:150" ht="15.75" customHeight="1">
      <c r="A997" s="97"/>
      <c r="B997" s="97"/>
      <c r="C997" s="97"/>
      <c r="D997" s="97"/>
      <c r="E997" s="97"/>
      <c r="F997" s="97"/>
      <c r="G997" s="97"/>
      <c r="H997" s="129"/>
      <c r="I997" s="97"/>
      <c r="J997" s="97"/>
      <c r="K997" s="97"/>
      <c r="L997" s="97"/>
      <c r="M997" s="97"/>
      <c r="N997" s="97"/>
      <c r="O997" s="97"/>
      <c r="P997" s="97"/>
      <c r="Q997" s="97"/>
      <c r="R997" s="97"/>
      <c r="S997" s="97"/>
      <c r="T997" s="97"/>
      <c r="U997" s="97"/>
      <c r="V997" s="97"/>
      <c r="W997" s="97"/>
      <c r="X997" s="129"/>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c r="DF997" s="97"/>
      <c r="DG997" s="97"/>
      <c r="DH997" s="97"/>
      <c r="DI997" s="97"/>
      <c r="DJ997" s="97"/>
      <c r="DK997" s="97"/>
      <c r="DL997" s="97"/>
      <c r="DM997" s="97"/>
      <c r="DN997" s="97"/>
      <c r="DO997" s="97"/>
      <c r="DP997" s="97"/>
      <c r="DQ997" s="97"/>
      <c r="DR997" s="97"/>
      <c r="DS997" s="97"/>
      <c r="DT997" s="97"/>
      <c r="DU997" s="97"/>
      <c r="DV997" s="97"/>
      <c r="DW997" s="97"/>
      <c r="DX997" s="97"/>
      <c r="DY997" s="97"/>
      <c r="DZ997" s="97"/>
      <c r="EA997" s="97"/>
      <c r="EB997" s="97"/>
      <c r="EC997" s="97"/>
      <c r="ED997" s="97"/>
      <c r="EE997" s="97"/>
      <c r="EF997" s="97"/>
      <c r="EG997" s="97"/>
      <c r="EH997" s="97"/>
      <c r="EI997" s="97"/>
      <c r="EJ997" s="97"/>
      <c r="EK997" s="97"/>
      <c r="EL997" s="97"/>
      <c r="EM997" s="97"/>
      <c r="EN997" s="97"/>
      <c r="EO997" s="97"/>
      <c r="EP997" s="97"/>
      <c r="EQ997" s="97"/>
      <c r="ER997" s="97"/>
      <c r="ES997" s="97"/>
      <c r="ET997" s="97"/>
    </row>
    <row r="998" spans="1:150" ht="15.75" customHeight="1">
      <c r="A998" s="97"/>
      <c r="B998" s="97"/>
      <c r="C998" s="97"/>
      <c r="D998" s="97"/>
      <c r="E998" s="97"/>
      <c r="F998" s="97"/>
      <c r="G998" s="97"/>
      <c r="H998" s="129"/>
      <c r="I998" s="97"/>
      <c r="J998" s="97"/>
      <c r="K998" s="97"/>
      <c r="L998" s="97"/>
      <c r="M998" s="97"/>
      <c r="N998" s="97"/>
      <c r="O998" s="97"/>
      <c r="P998" s="97"/>
      <c r="Q998" s="97"/>
      <c r="R998" s="97"/>
      <c r="S998" s="97"/>
      <c r="T998" s="97"/>
      <c r="U998" s="97"/>
      <c r="V998" s="97"/>
      <c r="W998" s="97"/>
      <c r="X998" s="129"/>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c r="DF998" s="97"/>
      <c r="DG998" s="97"/>
      <c r="DH998" s="97"/>
      <c r="DI998" s="97"/>
      <c r="DJ998" s="97"/>
      <c r="DK998" s="97"/>
      <c r="DL998" s="97"/>
      <c r="DM998" s="97"/>
      <c r="DN998" s="97"/>
      <c r="DO998" s="97"/>
      <c r="DP998" s="97"/>
      <c r="DQ998" s="97"/>
      <c r="DR998" s="97"/>
      <c r="DS998" s="97"/>
      <c r="DT998" s="97"/>
      <c r="DU998" s="97"/>
      <c r="DV998" s="97"/>
      <c r="DW998" s="97"/>
      <c r="DX998" s="97"/>
      <c r="DY998" s="97"/>
      <c r="DZ998" s="97"/>
      <c r="EA998" s="97"/>
      <c r="EB998" s="97"/>
      <c r="EC998" s="97"/>
      <c r="ED998" s="97"/>
      <c r="EE998" s="97"/>
      <c r="EF998" s="97"/>
      <c r="EG998" s="97"/>
      <c r="EH998" s="97"/>
      <c r="EI998" s="97"/>
      <c r="EJ998" s="97"/>
      <c r="EK998" s="97"/>
      <c r="EL998" s="97"/>
      <c r="EM998" s="97"/>
      <c r="EN998" s="97"/>
      <c r="EO998" s="97"/>
      <c r="EP998" s="97"/>
      <c r="EQ998" s="97"/>
      <c r="ER998" s="97"/>
      <c r="ES998" s="97"/>
      <c r="ET998" s="97"/>
    </row>
    <row r="999" spans="1:150" ht="15.75" customHeight="1">
      <c r="A999" s="97"/>
      <c r="B999" s="97"/>
      <c r="C999" s="97"/>
      <c r="D999" s="97"/>
      <c r="E999" s="97"/>
      <c r="F999" s="97"/>
      <c r="G999" s="97"/>
      <c r="H999" s="129"/>
      <c r="I999" s="97"/>
      <c r="J999" s="97"/>
      <c r="K999" s="97"/>
      <c r="L999" s="97"/>
      <c r="M999" s="97"/>
      <c r="N999" s="97"/>
      <c r="O999" s="97"/>
      <c r="P999" s="97"/>
      <c r="Q999" s="97"/>
      <c r="R999" s="97"/>
      <c r="S999" s="97"/>
      <c r="T999" s="97"/>
      <c r="U999" s="97"/>
      <c r="V999" s="97"/>
      <c r="W999" s="97"/>
      <c r="X999" s="129"/>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c r="DF999" s="97"/>
      <c r="DG999" s="97"/>
      <c r="DH999" s="97"/>
      <c r="DI999" s="97"/>
      <c r="DJ999" s="97"/>
      <c r="DK999" s="97"/>
      <c r="DL999" s="97"/>
      <c r="DM999" s="97"/>
      <c r="DN999" s="97"/>
      <c r="DO999" s="97"/>
      <c r="DP999" s="97"/>
      <c r="DQ999" s="97"/>
      <c r="DR999" s="97"/>
      <c r="DS999" s="97"/>
      <c r="DT999" s="97"/>
      <c r="DU999" s="97"/>
      <c r="DV999" s="97"/>
      <c r="DW999" s="97"/>
      <c r="DX999" s="97"/>
      <c r="DY999" s="97"/>
      <c r="DZ999" s="97"/>
      <c r="EA999" s="97"/>
      <c r="EB999" s="97"/>
      <c r="EC999" s="97"/>
      <c r="ED999" s="97"/>
      <c r="EE999" s="97"/>
      <c r="EF999" s="97"/>
      <c r="EG999" s="97"/>
      <c r="EH999" s="97"/>
      <c r="EI999" s="97"/>
      <c r="EJ999" s="97"/>
      <c r="EK999" s="97"/>
      <c r="EL999" s="97"/>
      <c r="EM999" s="97"/>
      <c r="EN999" s="97"/>
      <c r="EO999" s="97"/>
      <c r="EP999" s="97"/>
      <c r="EQ999" s="97"/>
      <c r="ER999" s="97"/>
      <c r="ES999" s="97"/>
      <c r="ET999" s="97"/>
    </row>
    <row r="1000" spans="1:150" ht="15.75" customHeight="1">
      <c r="A1000" s="97"/>
      <c r="B1000" s="97"/>
      <c r="C1000" s="97"/>
      <c r="D1000" s="97"/>
      <c r="E1000" s="97"/>
      <c r="F1000" s="97"/>
      <c r="G1000" s="97"/>
      <c r="H1000" s="129"/>
      <c r="I1000" s="97"/>
      <c r="J1000" s="97"/>
      <c r="K1000" s="97"/>
      <c r="L1000" s="97"/>
      <c r="M1000" s="97"/>
      <c r="N1000" s="97"/>
      <c r="O1000" s="97"/>
      <c r="P1000" s="97"/>
      <c r="Q1000" s="97"/>
      <c r="R1000" s="97"/>
      <c r="S1000" s="97"/>
      <c r="T1000" s="97"/>
      <c r="U1000" s="97"/>
      <c r="V1000" s="97"/>
      <c r="W1000" s="97"/>
      <c r="X1000" s="129"/>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c r="DF1000" s="97"/>
      <c r="DG1000" s="97"/>
      <c r="DH1000" s="97"/>
      <c r="DI1000" s="97"/>
      <c r="DJ1000" s="97"/>
      <c r="DK1000" s="97"/>
      <c r="DL1000" s="97"/>
      <c r="DM1000" s="97"/>
      <c r="DN1000" s="97"/>
      <c r="DO1000" s="97"/>
      <c r="DP1000" s="97"/>
      <c r="DQ1000" s="97"/>
      <c r="DR1000" s="97"/>
      <c r="DS1000" s="97"/>
      <c r="DT1000" s="97"/>
      <c r="DU1000" s="97"/>
      <c r="DV1000" s="97"/>
      <c r="DW1000" s="97"/>
      <c r="DX1000" s="97"/>
      <c r="DY1000" s="97"/>
      <c r="DZ1000" s="97"/>
      <c r="EA1000" s="97"/>
      <c r="EB1000" s="97"/>
      <c r="EC1000" s="97"/>
      <c r="ED1000" s="97"/>
      <c r="EE1000" s="97"/>
      <c r="EF1000" s="97"/>
      <c r="EG1000" s="97"/>
      <c r="EH1000" s="97"/>
      <c r="EI1000" s="97"/>
      <c r="EJ1000" s="97"/>
      <c r="EK1000" s="97"/>
      <c r="EL1000" s="97"/>
      <c r="EM1000" s="97"/>
      <c r="EN1000" s="97"/>
      <c r="EO1000" s="97"/>
      <c r="EP1000" s="97"/>
      <c r="EQ1000" s="97"/>
      <c r="ER1000" s="97"/>
      <c r="ES1000" s="97"/>
      <c r="ET1000" s="97"/>
    </row>
  </sheetData>
  <mergeCells count="237">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 ref="DM2:DO2"/>
    <mergeCell ref="EN2:EN3"/>
    <mergeCell ref="EO2:EO3"/>
    <mergeCell ref="DZ1:DZ3"/>
    <mergeCell ref="EA1:EA3"/>
    <mergeCell ref="EB1:EE1"/>
    <mergeCell ref="EF1:EF3"/>
    <mergeCell ref="EG1:EJ1"/>
    <mergeCell ref="EK1:EK3"/>
    <mergeCell ref="DP2:DR2"/>
    <mergeCell ref="DS2:DS3"/>
    <mergeCell ref="DT2:DT3"/>
    <mergeCell ref="EP1:EP3"/>
    <mergeCell ref="EL1:EO1"/>
    <mergeCell ref="ED2:ED3"/>
    <mergeCell ref="EE2:EE3"/>
    <mergeCell ref="EG2:EG3"/>
    <mergeCell ref="EH2:EH3"/>
    <mergeCell ref="EI2:EI3"/>
    <mergeCell ref="EJ2:EJ3"/>
    <mergeCell ref="EL2:EL3"/>
    <mergeCell ref="EM2:EM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A1:A3"/>
    <mergeCell ref="B1:B3"/>
    <mergeCell ref="V13:V14"/>
    <mergeCell ref="W13:AC13"/>
    <mergeCell ref="O13:O14"/>
    <mergeCell ref="P13:P14"/>
    <mergeCell ref="Q13:Q14"/>
    <mergeCell ref="R13:R14"/>
    <mergeCell ref="S13:S14"/>
    <mergeCell ref="T13:T14"/>
    <mergeCell ref="U13:U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DY4:DY6"/>
    <mergeCell ref="DZ4:DZ6"/>
    <mergeCell ref="EA4:EA6"/>
    <mergeCell ref="EB4:EB6"/>
    <mergeCell ref="EC4:EC6"/>
    <mergeCell ref="ED4:ED6"/>
    <mergeCell ref="DY1:DY3"/>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2DF39-2643-4143-B1F4-2C687ABF6ED3}">
  <sheetPr>
    <tabColor rgb="FFFFFF00"/>
  </sheetPr>
  <dimension ref="A1:AD1101"/>
  <sheetViews>
    <sheetView showGridLines="0" zoomScaleNormal="100" zoomScaleSheetLayoutView="112" workbookViewId="0">
      <selection activeCell="A31" sqref="A31"/>
    </sheetView>
  </sheetViews>
  <sheetFormatPr baseColWidth="10" defaultColWidth="9.1640625" defaultRowHeight="14"/>
  <cols>
    <col min="1" max="1" width="20.83203125" style="136" customWidth="1"/>
    <col min="2" max="21" width="8" style="136" customWidth="1"/>
    <col min="22" max="22" width="8.33203125" style="136" customWidth="1"/>
    <col min="23" max="23" width="11.6640625" style="136" bestFit="1" customWidth="1"/>
    <col min="24" max="24" width="10.33203125" style="136" customWidth="1"/>
    <col min="25" max="28" width="9.1640625" style="136"/>
    <col min="29" max="29" width="13.33203125" style="136" customWidth="1"/>
    <col min="30" max="31" width="9.1640625" style="136"/>
    <col min="32" max="34" width="25.33203125" style="136" bestFit="1" customWidth="1"/>
    <col min="35" max="35" width="25.6640625" style="136" bestFit="1" customWidth="1"/>
    <col min="36" max="37" width="24.83203125" style="136" bestFit="1" customWidth="1"/>
    <col min="38" max="38" width="25.1640625" style="136" bestFit="1" customWidth="1"/>
    <col min="39" max="41" width="24.83203125" style="136" bestFit="1" customWidth="1"/>
    <col min="42" max="43" width="24.33203125" style="136" bestFit="1" customWidth="1"/>
    <col min="44" max="46" width="26.6640625" style="136" bestFit="1" customWidth="1"/>
    <col min="47" max="47" width="27" style="136" bestFit="1" customWidth="1"/>
    <col min="48" max="49" width="26" style="136" bestFit="1" customWidth="1"/>
    <col min="50" max="50" width="26.33203125" style="136" bestFit="1" customWidth="1"/>
    <col min="51" max="53" width="26" style="136" bestFit="1" customWidth="1"/>
    <col min="54" max="55" width="25.5" style="136" bestFit="1" customWidth="1"/>
    <col min="56" max="16384" width="9.1640625" style="136"/>
  </cols>
  <sheetData>
    <row r="1" spans="1:29" ht="13.75" customHeight="1">
      <c r="A1" s="396" t="s">
        <v>0</v>
      </c>
      <c r="B1" s="396"/>
      <c r="C1" s="396"/>
      <c r="D1" s="396"/>
      <c r="E1" s="396"/>
      <c r="F1" s="396"/>
      <c r="G1" s="396"/>
      <c r="H1" s="396"/>
      <c r="I1" s="396"/>
      <c r="J1" s="396"/>
      <c r="K1" s="396"/>
      <c r="L1" s="396"/>
      <c r="M1" s="396"/>
      <c r="N1" s="396"/>
      <c r="O1" s="396"/>
      <c r="P1" s="396"/>
      <c r="Q1" s="396"/>
      <c r="R1" s="396"/>
      <c r="S1" s="134" t="s">
        <v>889</v>
      </c>
      <c r="T1" s="134"/>
      <c r="U1" s="134"/>
      <c r="V1" s="135"/>
      <c r="W1" s="134"/>
      <c r="X1" s="134"/>
    </row>
    <row r="2" spans="1:29" ht="13.75" customHeight="1">
      <c r="A2" s="396" t="s">
        <v>2</v>
      </c>
      <c r="B2" s="396"/>
      <c r="C2" s="396"/>
      <c r="D2" s="396"/>
      <c r="E2" s="396"/>
      <c r="F2" s="396"/>
      <c r="G2" s="396"/>
      <c r="H2" s="396"/>
      <c r="I2" s="396"/>
      <c r="J2" s="396"/>
      <c r="K2" s="396"/>
      <c r="L2" s="396"/>
      <c r="M2" s="396"/>
      <c r="N2" s="396"/>
      <c r="O2" s="396"/>
      <c r="P2" s="396"/>
      <c r="Q2" s="396"/>
      <c r="R2" s="396"/>
      <c r="S2" s="396"/>
      <c r="T2" s="396"/>
      <c r="U2" s="396"/>
      <c r="V2" s="137"/>
      <c r="W2" s="134"/>
      <c r="X2" s="134"/>
    </row>
    <row r="3" spans="1:29" ht="13.75" customHeight="1">
      <c r="A3" s="396" t="s">
        <v>3</v>
      </c>
      <c r="B3" s="396"/>
      <c r="C3" s="396"/>
      <c r="D3" s="396"/>
      <c r="E3" s="396"/>
      <c r="F3" s="396"/>
      <c r="G3" s="396"/>
      <c r="H3" s="396"/>
      <c r="I3" s="396"/>
      <c r="J3" s="396"/>
      <c r="K3" s="396"/>
      <c r="L3" s="396"/>
      <c r="M3" s="396"/>
      <c r="N3" s="396"/>
      <c r="O3" s="396"/>
      <c r="P3" s="396"/>
      <c r="Q3" s="396"/>
      <c r="R3" s="396"/>
      <c r="S3" s="133"/>
      <c r="T3" s="133"/>
      <c r="U3" s="133"/>
      <c r="V3" s="137"/>
      <c r="W3" s="134"/>
      <c r="X3" s="134"/>
    </row>
    <row r="4" spans="1:29" ht="22.5" customHeight="1">
      <c r="A4" s="397" t="s">
        <v>4</v>
      </c>
      <c r="B4" s="397"/>
      <c r="C4" s="397"/>
      <c r="D4" s="397"/>
      <c r="E4" s="397"/>
      <c r="F4" s="397"/>
      <c r="G4" s="397"/>
      <c r="H4" s="397"/>
      <c r="I4" s="397"/>
      <c r="J4" s="397"/>
      <c r="K4" s="397"/>
      <c r="L4" s="397"/>
      <c r="M4" s="397"/>
      <c r="N4" s="397"/>
      <c r="O4" s="397"/>
      <c r="P4" s="397"/>
      <c r="Q4" s="397"/>
      <c r="R4" s="397"/>
      <c r="S4" s="397"/>
      <c r="T4" s="397"/>
      <c r="U4" s="397"/>
      <c r="V4" s="138"/>
      <c r="W4" s="139"/>
      <c r="X4" s="139"/>
    </row>
    <row r="5" spans="1:29" ht="18" customHeight="1">
      <c r="A5" s="139"/>
      <c r="B5" s="139"/>
      <c r="C5" s="397"/>
      <c r="D5" s="397"/>
      <c r="E5" s="397"/>
      <c r="F5" s="397"/>
      <c r="G5" s="397"/>
      <c r="H5" s="139"/>
      <c r="I5" s="139"/>
      <c r="J5" s="139"/>
      <c r="K5" s="139"/>
      <c r="L5" s="139"/>
      <c r="M5" s="139"/>
      <c r="N5" s="139"/>
      <c r="O5" s="139"/>
      <c r="P5" s="139"/>
      <c r="Q5" s="139"/>
      <c r="R5" s="139"/>
      <c r="S5" s="139"/>
      <c r="T5" s="139"/>
      <c r="U5" s="139"/>
      <c r="V5" s="138"/>
      <c r="W5" s="139"/>
      <c r="X5" s="139"/>
    </row>
    <row r="6" spans="1:29" ht="15.75" customHeight="1">
      <c r="A6" s="140" t="s">
        <v>5</v>
      </c>
      <c r="B6" s="140"/>
      <c r="C6" s="175">
        <f>'DR-TB 10A (Sputum &amp; EP Sample)'!C6</f>
        <v>0</v>
      </c>
      <c r="D6" s="175"/>
      <c r="E6" s="175"/>
      <c r="F6" s="175"/>
      <c r="G6" s="175"/>
      <c r="P6" s="134"/>
      <c r="Q6" s="141" t="s">
        <v>6</v>
      </c>
      <c r="S6" s="398" t="str">
        <f>'DR-TB 10A (Sputum &amp; EP Sample)'!L6</f>
        <v>&lt;Dates&gt;</v>
      </c>
      <c r="T6" s="398"/>
      <c r="U6" s="398"/>
      <c r="V6" s="398"/>
      <c r="W6" s="398"/>
      <c r="X6" s="398"/>
      <c r="AC6" s="135"/>
    </row>
    <row r="7" spans="1:29" ht="15.75" customHeight="1">
      <c r="A7" s="140" t="s">
        <v>8</v>
      </c>
      <c r="B7" s="140"/>
      <c r="C7" s="175">
        <f>'DR-TB 10A (Sputum &amp; EP Sample)'!C7</f>
        <v>0</v>
      </c>
      <c r="D7" s="175"/>
      <c r="E7" s="175"/>
      <c r="F7" s="175"/>
      <c r="G7" s="175"/>
      <c r="P7" s="142"/>
      <c r="Q7" s="143" t="s">
        <v>9</v>
      </c>
      <c r="R7" s="143"/>
      <c r="S7" s="143"/>
      <c r="T7" s="143"/>
      <c r="U7" s="393"/>
      <c r="V7" s="393"/>
      <c r="W7" s="393"/>
      <c r="X7" s="393"/>
      <c r="Y7" s="393"/>
      <c r="Z7" s="393"/>
      <c r="AC7" s="135"/>
    </row>
    <row r="8" spans="1:29" ht="15.75" customHeight="1">
      <c r="A8" s="140" t="s">
        <v>10</v>
      </c>
      <c r="B8" s="140"/>
      <c r="C8" s="175">
        <f>'DR-TB 10A (Sputum &amp; EP Sample)'!C8</f>
        <v>0</v>
      </c>
      <c r="D8" s="175"/>
      <c r="E8" s="175"/>
      <c r="F8" s="175"/>
      <c r="G8" s="175"/>
      <c r="P8" s="142"/>
      <c r="Q8" s="143" t="s">
        <v>11</v>
      </c>
      <c r="R8" s="143"/>
      <c r="S8" s="143"/>
      <c r="T8" s="393"/>
      <c r="U8" s="393"/>
      <c r="V8" s="393"/>
      <c r="W8" s="393"/>
      <c r="X8" s="393"/>
      <c r="Y8" s="393"/>
      <c r="Z8" s="393"/>
      <c r="AC8" s="135"/>
    </row>
    <row r="9" spans="1:29" ht="15.75" customHeight="1">
      <c r="A9" s="140" t="s">
        <v>12</v>
      </c>
      <c r="C9" s="175" t="str">
        <f>'DR-TB 10A (Sputum &amp; EP Sample)'!C9</f>
        <v>GeneXpert (Sputum &amp; EP)</v>
      </c>
      <c r="D9" s="175"/>
      <c r="E9" s="175"/>
      <c r="F9" s="175"/>
      <c r="G9" s="175"/>
      <c r="Q9" s="143" t="s">
        <v>14</v>
      </c>
      <c r="R9" s="143"/>
      <c r="S9" s="143"/>
      <c r="T9" s="394">
        <f>'DR-TB 10A (Sputum &amp; EP Sample)'!M9</f>
        <v>0</v>
      </c>
      <c r="U9" s="395"/>
      <c r="V9" s="144"/>
      <c r="W9" s="145"/>
      <c r="AC9" s="135"/>
    </row>
    <row r="10" spans="1:29" ht="15.75" customHeight="1">
      <c r="A10" s="140"/>
      <c r="C10" s="146"/>
      <c r="D10" s="146"/>
      <c r="E10" s="146"/>
      <c r="F10" s="146"/>
      <c r="G10" s="146"/>
      <c r="Q10" s="143"/>
      <c r="R10" s="143"/>
      <c r="S10" s="143"/>
      <c r="T10" s="147"/>
      <c r="U10" s="147"/>
      <c r="V10" s="140"/>
      <c r="W10" s="148"/>
      <c r="AC10" s="135"/>
    </row>
    <row r="11" spans="1:29" ht="41.25" customHeight="1">
      <c r="A11" s="140"/>
      <c r="B11" s="140"/>
      <c r="C11" s="140"/>
      <c r="D11" s="140"/>
      <c r="E11" s="140"/>
      <c r="F11" s="140"/>
      <c r="G11" s="140"/>
      <c r="H11" s="140"/>
      <c r="I11" s="140"/>
      <c r="J11" s="140"/>
      <c r="K11" s="140"/>
      <c r="L11" s="140"/>
      <c r="M11" s="140"/>
      <c r="N11" s="140"/>
      <c r="O11" s="140"/>
      <c r="P11" s="140"/>
      <c r="Q11" s="382" t="s">
        <v>890</v>
      </c>
      <c r="R11" s="384" t="s">
        <v>917</v>
      </c>
      <c r="S11" s="385"/>
      <c r="T11" s="386"/>
      <c r="U11" s="387" t="s">
        <v>891</v>
      </c>
      <c r="V11" s="388"/>
      <c r="W11" s="389"/>
      <c r="X11" s="390" t="s">
        <v>26</v>
      </c>
      <c r="AC11" s="135"/>
    </row>
    <row r="12" spans="1:29" ht="15.75" customHeight="1">
      <c r="A12" s="140"/>
      <c r="B12" s="140"/>
      <c r="C12" s="140"/>
      <c r="D12" s="140"/>
      <c r="E12" s="140"/>
      <c r="F12" s="140"/>
      <c r="G12" s="140"/>
      <c r="H12" s="140"/>
      <c r="I12" s="140"/>
      <c r="J12" s="140"/>
      <c r="K12" s="140"/>
      <c r="L12" s="140"/>
      <c r="M12" s="140"/>
      <c r="N12" s="140"/>
      <c r="O12" s="140"/>
      <c r="P12" s="140"/>
      <c r="Q12" s="383"/>
      <c r="R12" s="149" t="s">
        <v>41</v>
      </c>
      <c r="S12" s="149" t="s">
        <v>42</v>
      </c>
      <c r="T12" s="149" t="s">
        <v>43</v>
      </c>
      <c r="U12" s="149" t="s">
        <v>41</v>
      </c>
      <c r="V12" s="149" t="s">
        <v>42</v>
      </c>
      <c r="W12" s="149" t="s">
        <v>43</v>
      </c>
      <c r="X12" s="391"/>
      <c r="AC12" s="135"/>
    </row>
    <row r="13" spans="1:29" ht="34.5" customHeight="1">
      <c r="A13" s="140"/>
      <c r="B13" s="140"/>
      <c r="C13" s="140"/>
      <c r="D13" s="140"/>
      <c r="E13" s="140"/>
      <c r="F13" s="140"/>
      <c r="G13" s="140"/>
      <c r="H13" s="140"/>
      <c r="I13" s="140"/>
      <c r="J13" s="140"/>
      <c r="K13" s="140"/>
      <c r="L13" s="140"/>
      <c r="M13" s="140"/>
      <c r="N13" s="140"/>
      <c r="O13" s="140"/>
      <c r="P13" s="140"/>
      <c r="Q13" s="150" t="s">
        <v>892</v>
      </c>
      <c r="R13" s="176"/>
      <c r="S13" s="176"/>
      <c r="T13" s="176"/>
      <c r="U13" s="176"/>
      <c r="V13" s="176"/>
      <c r="W13" s="176"/>
      <c r="X13" s="151">
        <f>SUM(R13:W13)</f>
        <v>0</v>
      </c>
      <c r="AC13" s="135"/>
    </row>
    <row r="14" spans="1:29" ht="15.75" customHeight="1">
      <c r="A14" s="140"/>
      <c r="Z14" s="135"/>
    </row>
    <row r="15" spans="1:29" ht="15.75" customHeight="1">
      <c r="A15" s="392" t="s">
        <v>893</v>
      </c>
      <c r="B15" s="376" t="s">
        <v>894</v>
      </c>
      <c r="C15" s="377"/>
      <c r="D15" s="377"/>
      <c r="E15" s="377"/>
      <c r="F15" s="377"/>
      <c r="G15" s="377"/>
      <c r="H15" s="377"/>
      <c r="I15" s="377"/>
      <c r="J15" s="377"/>
      <c r="K15" s="377"/>
      <c r="L15" s="377"/>
      <c r="M15" s="378"/>
      <c r="N15" s="376" t="s">
        <v>895</v>
      </c>
      <c r="O15" s="377"/>
      <c r="P15" s="377"/>
      <c r="Q15" s="377"/>
      <c r="R15" s="377"/>
      <c r="S15" s="377"/>
      <c r="T15" s="377"/>
      <c r="U15" s="377"/>
      <c r="V15" s="377"/>
      <c r="W15" s="377"/>
      <c r="X15" s="377"/>
      <c r="Y15" s="378"/>
      <c r="Z15" s="375" t="s">
        <v>896</v>
      </c>
    </row>
    <row r="16" spans="1:29" ht="39" customHeight="1">
      <c r="A16" s="392"/>
      <c r="B16" s="376" t="s">
        <v>897</v>
      </c>
      <c r="C16" s="377"/>
      <c r="D16" s="377"/>
      <c r="E16" s="377"/>
      <c r="F16" s="377"/>
      <c r="G16" s="377"/>
      <c r="H16" s="378"/>
      <c r="I16" s="376" t="s">
        <v>898</v>
      </c>
      <c r="J16" s="377"/>
      <c r="K16" s="377"/>
      <c r="L16" s="377"/>
      <c r="M16" s="378"/>
      <c r="N16" s="376" t="s">
        <v>897</v>
      </c>
      <c r="O16" s="377"/>
      <c r="P16" s="377"/>
      <c r="Q16" s="377"/>
      <c r="R16" s="377"/>
      <c r="S16" s="377"/>
      <c r="T16" s="378"/>
      <c r="U16" s="376" t="s">
        <v>898</v>
      </c>
      <c r="V16" s="377"/>
      <c r="W16" s="377"/>
      <c r="X16" s="377"/>
      <c r="Y16" s="378"/>
      <c r="Z16" s="375"/>
      <c r="AB16" s="135"/>
    </row>
    <row r="17" spans="1:30" ht="79.5" customHeight="1">
      <c r="A17" s="392"/>
      <c r="B17" s="379" t="s">
        <v>917</v>
      </c>
      <c r="C17" s="380"/>
      <c r="D17" s="380"/>
      <c r="E17" s="381"/>
      <c r="F17" s="376" t="s">
        <v>891</v>
      </c>
      <c r="G17" s="377"/>
      <c r="H17" s="378"/>
      <c r="I17" s="376" t="s">
        <v>918</v>
      </c>
      <c r="J17" s="377"/>
      <c r="K17" s="378"/>
      <c r="L17" s="376" t="s">
        <v>891</v>
      </c>
      <c r="M17" s="378"/>
      <c r="N17" s="379" t="s">
        <v>918</v>
      </c>
      <c r="O17" s="380"/>
      <c r="P17" s="380"/>
      <c r="Q17" s="381"/>
      <c r="R17" s="376" t="s">
        <v>891</v>
      </c>
      <c r="S17" s="377"/>
      <c r="T17" s="378"/>
      <c r="U17" s="376" t="s">
        <v>918</v>
      </c>
      <c r="V17" s="377"/>
      <c r="W17" s="378"/>
      <c r="X17" s="376" t="s">
        <v>891</v>
      </c>
      <c r="Y17" s="378"/>
      <c r="Z17" s="375"/>
      <c r="AD17" s="135"/>
    </row>
    <row r="18" spans="1:30" ht="32">
      <c r="A18" s="152" t="s">
        <v>899</v>
      </c>
      <c r="B18" s="153" t="s">
        <v>900</v>
      </c>
      <c r="C18" s="153" t="s">
        <v>901</v>
      </c>
      <c r="D18" s="153" t="s">
        <v>902</v>
      </c>
      <c r="E18" s="153" t="s">
        <v>903</v>
      </c>
      <c r="F18" s="153" t="s">
        <v>900</v>
      </c>
      <c r="G18" s="153" t="s">
        <v>902</v>
      </c>
      <c r="H18" s="153" t="s">
        <v>903</v>
      </c>
      <c r="I18" s="153" t="s">
        <v>900</v>
      </c>
      <c r="J18" s="153" t="s">
        <v>901</v>
      </c>
      <c r="K18" s="153" t="s">
        <v>902</v>
      </c>
      <c r="L18" s="153" t="s">
        <v>900</v>
      </c>
      <c r="M18" s="153" t="s">
        <v>902</v>
      </c>
      <c r="N18" s="153" t="s">
        <v>900</v>
      </c>
      <c r="O18" s="153" t="s">
        <v>901</v>
      </c>
      <c r="P18" s="153" t="s">
        <v>902</v>
      </c>
      <c r="Q18" s="153" t="s">
        <v>903</v>
      </c>
      <c r="R18" s="153" t="s">
        <v>900</v>
      </c>
      <c r="S18" s="153" t="s">
        <v>902</v>
      </c>
      <c r="T18" s="153" t="s">
        <v>903</v>
      </c>
      <c r="U18" s="153" t="s">
        <v>900</v>
      </c>
      <c r="V18" s="153" t="s">
        <v>901</v>
      </c>
      <c r="W18" s="153" t="s">
        <v>902</v>
      </c>
      <c r="X18" s="153" t="s">
        <v>900</v>
      </c>
      <c r="Y18" s="153" t="s">
        <v>902</v>
      </c>
      <c r="Z18" s="375"/>
      <c r="AD18" s="135"/>
    </row>
    <row r="19" spans="1:30" ht="16">
      <c r="A19" s="154" t="s">
        <v>904</v>
      </c>
      <c r="B19" s="155"/>
      <c r="C19" s="155"/>
      <c r="D19" s="155"/>
      <c r="E19" s="155"/>
      <c r="F19" s="155"/>
      <c r="G19" s="155"/>
      <c r="H19" s="155"/>
      <c r="I19" s="155"/>
      <c r="J19" s="155"/>
      <c r="K19" s="155"/>
      <c r="L19" s="155"/>
      <c r="M19" s="155"/>
      <c r="N19" s="155"/>
      <c r="O19" s="155"/>
      <c r="P19" s="155"/>
      <c r="Q19" s="155"/>
      <c r="R19" s="155"/>
      <c r="S19" s="155"/>
      <c r="T19" s="155"/>
      <c r="U19" s="155"/>
      <c r="V19" s="155"/>
      <c r="W19" s="155"/>
      <c r="X19" s="155"/>
      <c r="Y19" s="155"/>
      <c r="Z19" s="156">
        <f>SUM(B19:Y19)</f>
        <v>0</v>
      </c>
      <c r="AD19" s="135"/>
    </row>
    <row r="20" spans="1:30" ht="16">
      <c r="A20" s="154" t="s">
        <v>102</v>
      </c>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6">
        <f t="shared" ref="Z20:Z31" si="0">SUM(B20:Y20)</f>
        <v>0</v>
      </c>
      <c r="AD20" s="135"/>
    </row>
    <row r="21" spans="1:30" ht="16">
      <c r="A21" s="157" t="s">
        <v>905</v>
      </c>
      <c r="B21" s="155"/>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6">
        <f t="shared" si="0"/>
        <v>0</v>
      </c>
      <c r="AD21" s="135"/>
    </row>
    <row r="22" spans="1:30" ht="16">
      <c r="A22" s="157" t="s">
        <v>906</v>
      </c>
      <c r="B22" s="155"/>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6">
        <f t="shared" si="0"/>
        <v>0</v>
      </c>
      <c r="AD22" s="135"/>
    </row>
    <row r="23" spans="1:30" ht="16">
      <c r="A23" s="157" t="s">
        <v>907</v>
      </c>
      <c r="B23" s="155"/>
      <c r="C23" s="155"/>
      <c r="D23" s="155"/>
      <c r="E23" s="155"/>
      <c r="F23" s="155"/>
      <c r="G23" s="155"/>
      <c r="H23" s="155"/>
      <c r="I23" s="155"/>
      <c r="J23" s="155"/>
      <c r="K23" s="155"/>
      <c r="L23" s="155"/>
      <c r="M23" s="155"/>
      <c r="N23" s="155"/>
      <c r="O23" s="155"/>
      <c r="P23" s="155"/>
      <c r="Q23" s="155"/>
      <c r="R23" s="155"/>
      <c r="S23" s="155"/>
      <c r="T23" s="155"/>
      <c r="U23" s="155"/>
      <c r="V23" s="155"/>
      <c r="W23" s="155"/>
      <c r="X23" s="155"/>
      <c r="Y23" s="155"/>
      <c r="Z23" s="156">
        <f t="shared" si="0"/>
        <v>0</v>
      </c>
      <c r="AD23" s="135"/>
    </row>
    <row r="24" spans="1:30" ht="16">
      <c r="A24" s="157" t="s">
        <v>908</v>
      </c>
      <c r="B24" s="155"/>
      <c r="C24" s="155"/>
      <c r="D24" s="155"/>
      <c r="E24" s="155"/>
      <c r="F24" s="155"/>
      <c r="G24" s="155"/>
      <c r="H24" s="155"/>
      <c r="I24" s="155"/>
      <c r="J24" s="155"/>
      <c r="K24" s="155"/>
      <c r="L24" s="155"/>
      <c r="M24" s="155"/>
      <c r="N24" s="155"/>
      <c r="O24" s="155"/>
      <c r="P24" s="155"/>
      <c r="Q24" s="155"/>
      <c r="R24" s="155"/>
      <c r="S24" s="155"/>
      <c r="T24" s="155"/>
      <c r="U24" s="155"/>
      <c r="V24" s="155"/>
      <c r="W24" s="155"/>
      <c r="X24" s="155"/>
      <c r="Y24" s="155"/>
      <c r="Z24" s="156">
        <f t="shared" si="0"/>
        <v>0</v>
      </c>
      <c r="AD24" s="135"/>
    </row>
    <row r="25" spans="1:30" ht="16">
      <c r="A25" s="157" t="s">
        <v>909</v>
      </c>
      <c r="B25" s="155"/>
      <c r="C25" s="155"/>
      <c r="D25" s="155"/>
      <c r="E25" s="155"/>
      <c r="F25" s="155"/>
      <c r="G25" s="155"/>
      <c r="H25" s="155"/>
      <c r="I25" s="155"/>
      <c r="J25" s="155"/>
      <c r="K25" s="155"/>
      <c r="L25" s="155"/>
      <c r="M25" s="155"/>
      <c r="N25" s="155"/>
      <c r="O25" s="155"/>
      <c r="P25" s="155"/>
      <c r="Q25" s="155"/>
      <c r="R25" s="155"/>
      <c r="S25" s="155"/>
      <c r="T25" s="155"/>
      <c r="U25" s="155"/>
      <c r="V25" s="155"/>
      <c r="W25" s="155"/>
      <c r="X25" s="155"/>
      <c r="Y25" s="155"/>
      <c r="Z25" s="156">
        <f t="shared" si="0"/>
        <v>0</v>
      </c>
      <c r="AD25" s="135"/>
    </row>
    <row r="26" spans="1:30" ht="16">
      <c r="A26" s="157" t="s">
        <v>910</v>
      </c>
      <c r="B26" s="155"/>
      <c r="C26" s="155"/>
      <c r="D26" s="155"/>
      <c r="E26" s="155"/>
      <c r="F26" s="155"/>
      <c r="G26" s="155"/>
      <c r="H26" s="155"/>
      <c r="I26" s="155"/>
      <c r="J26" s="155"/>
      <c r="K26" s="155"/>
      <c r="L26" s="155"/>
      <c r="M26" s="155"/>
      <c r="N26" s="155"/>
      <c r="O26" s="155"/>
      <c r="P26" s="155"/>
      <c r="Q26" s="155"/>
      <c r="R26" s="155"/>
      <c r="S26" s="155"/>
      <c r="T26" s="155"/>
      <c r="U26" s="155"/>
      <c r="V26" s="155"/>
      <c r="W26" s="155"/>
      <c r="X26" s="155"/>
      <c r="Y26" s="155"/>
      <c r="Z26" s="156">
        <f t="shared" si="0"/>
        <v>0</v>
      </c>
      <c r="AD26" s="135"/>
    </row>
    <row r="27" spans="1:30" ht="15.75" customHeight="1">
      <c r="A27" s="157" t="s">
        <v>911</v>
      </c>
      <c r="B27" s="155"/>
      <c r="C27" s="155"/>
      <c r="D27" s="155"/>
      <c r="E27" s="155"/>
      <c r="F27" s="155"/>
      <c r="G27" s="155"/>
      <c r="H27" s="155"/>
      <c r="I27" s="155"/>
      <c r="J27" s="155"/>
      <c r="K27" s="155"/>
      <c r="L27" s="155"/>
      <c r="M27" s="155"/>
      <c r="N27" s="155"/>
      <c r="O27" s="155"/>
      <c r="P27" s="155"/>
      <c r="Q27" s="155"/>
      <c r="R27" s="155"/>
      <c r="S27" s="155"/>
      <c r="T27" s="155"/>
      <c r="U27" s="155"/>
      <c r="V27" s="155"/>
      <c r="W27" s="155"/>
      <c r="X27" s="155"/>
      <c r="Y27" s="155"/>
      <c r="Z27" s="156">
        <f t="shared" si="0"/>
        <v>0</v>
      </c>
    </row>
    <row r="28" spans="1:30" ht="15.75" customHeight="1">
      <c r="A28" s="157" t="s">
        <v>912</v>
      </c>
      <c r="B28" s="155"/>
      <c r="C28" s="155"/>
      <c r="D28" s="155"/>
      <c r="E28" s="155"/>
      <c r="F28" s="155"/>
      <c r="G28" s="155"/>
      <c r="H28" s="155"/>
      <c r="I28" s="155"/>
      <c r="J28" s="155"/>
      <c r="K28" s="155"/>
      <c r="L28" s="155"/>
      <c r="M28" s="155"/>
      <c r="N28" s="155"/>
      <c r="O28" s="155"/>
      <c r="P28" s="155"/>
      <c r="Q28" s="155"/>
      <c r="R28" s="155"/>
      <c r="S28" s="155"/>
      <c r="T28" s="155"/>
      <c r="U28" s="155"/>
      <c r="V28" s="155"/>
      <c r="W28" s="155"/>
      <c r="X28" s="155"/>
      <c r="Y28" s="155"/>
      <c r="Z28" s="156">
        <f t="shared" si="0"/>
        <v>0</v>
      </c>
    </row>
    <row r="29" spans="1:30" ht="15.75" customHeight="1">
      <c r="A29" s="157" t="s">
        <v>913</v>
      </c>
      <c r="B29" s="155"/>
      <c r="C29" s="155"/>
      <c r="D29" s="155"/>
      <c r="E29" s="155"/>
      <c r="F29" s="155"/>
      <c r="G29" s="155"/>
      <c r="H29" s="155"/>
      <c r="I29" s="155"/>
      <c r="J29" s="155"/>
      <c r="K29" s="155"/>
      <c r="L29" s="155"/>
      <c r="M29" s="155"/>
      <c r="N29" s="155"/>
      <c r="O29" s="155"/>
      <c r="P29" s="155"/>
      <c r="Q29" s="155"/>
      <c r="R29" s="155"/>
      <c r="S29" s="155"/>
      <c r="T29" s="155"/>
      <c r="U29" s="155"/>
      <c r="V29" s="155"/>
      <c r="W29" s="155"/>
      <c r="X29" s="155"/>
      <c r="Y29" s="155"/>
      <c r="Z29" s="156">
        <f t="shared" si="0"/>
        <v>0</v>
      </c>
    </row>
    <row r="30" spans="1:30" ht="16">
      <c r="A30" s="157" t="s">
        <v>914</v>
      </c>
      <c r="B30" s="155"/>
      <c r="C30" s="155"/>
      <c r="D30" s="155"/>
      <c r="E30" s="155"/>
      <c r="F30" s="155"/>
      <c r="G30" s="155"/>
      <c r="H30" s="155"/>
      <c r="I30" s="155"/>
      <c r="J30" s="155"/>
      <c r="K30" s="155"/>
      <c r="L30" s="155"/>
      <c r="M30" s="155"/>
      <c r="N30" s="155"/>
      <c r="O30" s="155"/>
      <c r="P30" s="155"/>
      <c r="Q30" s="155"/>
      <c r="R30" s="155"/>
      <c r="S30" s="155"/>
      <c r="T30" s="155"/>
      <c r="U30" s="155"/>
      <c r="V30" s="155"/>
      <c r="W30" s="155"/>
      <c r="X30" s="155"/>
      <c r="Y30" s="155"/>
      <c r="Z30" s="156">
        <f t="shared" si="0"/>
        <v>0</v>
      </c>
    </row>
    <row r="31" spans="1:30" ht="15" customHeight="1">
      <c r="A31" s="157" t="s">
        <v>915</v>
      </c>
      <c r="B31" s="158">
        <f>B19-B20</f>
        <v>0</v>
      </c>
      <c r="C31" s="158">
        <f t="shared" ref="C31:Y31" si="1">C19-C20</f>
        <v>0</v>
      </c>
      <c r="D31" s="158">
        <f t="shared" si="1"/>
        <v>0</v>
      </c>
      <c r="E31" s="158">
        <f t="shared" si="1"/>
        <v>0</v>
      </c>
      <c r="F31" s="158">
        <f t="shared" si="1"/>
        <v>0</v>
      </c>
      <c r="G31" s="158">
        <f t="shared" si="1"/>
        <v>0</v>
      </c>
      <c r="H31" s="158">
        <f t="shared" si="1"/>
        <v>0</v>
      </c>
      <c r="I31" s="158">
        <f t="shared" si="1"/>
        <v>0</v>
      </c>
      <c r="J31" s="158">
        <f t="shared" si="1"/>
        <v>0</v>
      </c>
      <c r="K31" s="158">
        <f t="shared" si="1"/>
        <v>0</v>
      </c>
      <c r="L31" s="158">
        <f t="shared" si="1"/>
        <v>0</v>
      </c>
      <c r="M31" s="158">
        <f t="shared" si="1"/>
        <v>0</v>
      </c>
      <c r="N31" s="158">
        <f t="shared" si="1"/>
        <v>0</v>
      </c>
      <c r="O31" s="158">
        <f t="shared" si="1"/>
        <v>0</v>
      </c>
      <c r="P31" s="158">
        <f t="shared" si="1"/>
        <v>0</v>
      </c>
      <c r="Q31" s="158">
        <f t="shared" si="1"/>
        <v>0</v>
      </c>
      <c r="R31" s="158">
        <f t="shared" si="1"/>
        <v>0</v>
      </c>
      <c r="S31" s="158">
        <f t="shared" si="1"/>
        <v>0</v>
      </c>
      <c r="T31" s="158">
        <f t="shared" si="1"/>
        <v>0</v>
      </c>
      <c r="U31" s="158">
        <f t="shared" si="1"/>
        <v>0</v>
      </c>
      <c r="V31" s="158">
        <f t="shared" si="1"/>
        <v>0</v>
      </c>
      <c r="W31" s="158">
        <f t="shared" si="1"/>
        <v>0</v>
      </c>
      <c r="X31" s="158">
        <f t="shared" si="1"/>
        <v>0</v>
      </c>
      <c r="Y31" s="158">
        <f t="shared" si="1"/>
        <v>0</v>
      </c>
      <c r="Z31" s="156">
        <f t="shared" si="0"/>
        <v>0</v>
      </c>
    </row>
    <row r="32" spans="1:30" ht="15" customHeight="1">
      <c r="A32" s="159"/>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1"/>
    </row>
    <row r="33" spans="1:30" ht="15" customHeight="1">
      <c r="A33" s="159"/>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c r="AA33" s="160"/>
      <c r="AB33" s="160"/>
      <c r="AC33" s="160"/>
      <c r="AD33" s="160"/>
    </row>
    <row r="34" spans="1:30" ht="13.75" customHeight="1">
      <c r="A34" s="369"/>
      <c r="B34" s="162"/>
      <c r="C34" s="162"/>
      <c r="D34" s="162"/>
      <c r="E34" s="162"/>
      <c r="F34" s="162"/>
      <c r="G34" s="162"/>
      <c r="H34" s="162"/>
      <c r="I34" s="162"/>
      <c r="J34" s="162"/>
      <c r="K34" s="370"/>
      <c r="L34" s="370"/>
      <c r="M34" s="370"/>
      <c r="N34" s="370"/>
      <c r="O34" s="370"/>
      <c r="P34" s="370"/>
      <c r="Q34" s="163"/>
      <c r="R34" s="163" t="s">
        <v>111</v>
      </c>
      <c r="S34" s="371"/>
      <c r="T34" s="371"/>
      <c r="U34" s="371"/>
      <c r="V34" s="371"/>
      <c r="W34" s="163"/>
      <c r="X34" s="163"/>
      <c r="AB34" s="135"/>
    </row>
    <row r="35" spans="1:30" ht="13.75" customHeight="1">
      <c r="A35" s="369"/>
      <c r="B35" s="162"/>
      <c r="C35" s="162"/>
      <c r="D35" s="162"/>
      <c r="E35" s="162"/>
      <c r="F35" s="162"/>
      <c r="G35" s="162"/>
      <c r="H35" s="162"/>
      <c r="I35" s="162"/>
      <c r="J35" s="162"/>
      <c r="K35" s="370"/>
      <c r="L35" s="370"/>
      <c r="M35" s="370"/>
      <c r="N35" s="370"/>
      <c r="O35" s="370"/>
      <c r="P35" s="370"/>
      <c r="Q35" s="163"/>
      <c r="R35" s="163" t="s">
        <v>112</v>
      </c>
      <c r="S35" s="164"/>
      <c r="T35" s="164"/>
      <c r="U35" s="164"/>
      <c r="V35" s="164"/>
      <c r="W35" s="165" t="s">
        <v>113</v>
      </c>
      <c r="X35" s="372"/>
      <c r="Y35" s="372"/>
      <c r="Z35" s="372"/>
      <c r="AB35" s="135"/>
    </row>
    <row r="36" spans="1:30" ht="13.75" customHeight="1">
      <c r="A36" s="373"/>
      <c r="B36" s="166"/>
      <c r="C36" s="166"/>
      <c r="D36" s="166"/>
      <c r="E36" s="166"/>
      <c r="F36" s="166"/>
      <c r="G36" s="166"/>
      <c r="H36" s="166"/>
      <c r="I36" s="166"/>
      <c r="J36" s="166"/>
      <c r="K36" s="370"/>
      <c r="L36" s="370"/>
      <c r="M36" s="370"/>
      <c r="N36" s="370"/>
      <c r="O36" s="370"/>
      <c r="P36" s="370"/>
      <c r="Q36" s="163"/>
      <c r="R36" s="163" t="s">
        <v>114</v>
      </c>
      <c r="S36" s="374"/>
      <c r="T36" s="374"/>
      <c r="U36" s="374"/>
      <c r="V36" s="374"/>
      <c r="W36" s="163"/>
      <c r="AB36" s="135"/>
    </row>
    <row r="37" spans="1:30" ht="13.75" customHeight="1">
      <c r="A37" s="373"/>
      <c r="B37" s="166"/>
      <c r="C37" s="166"/>
      <c r="D37" s="166"/>
      <c r="E37" s="166"/>
      <c r="F37" s="166"/>
      <c r="G37" s="166"/>
      <c r="H37" s="166"/>
      <c r="I37" s="166"/>
      <c r="J37" s="166"/>
      <c r="K37" s="370"/>
      <c r="L37" s="370"/>
      <c r="M37" s="370"/>
      <c r="N37" s="370"/>
      <c r="O37" s="370"/>
      <c r="P37" s="370"/>
      <c r="Q37" s="163"/>
      <c r="AB37" s="135"/>
    </row>
    <row r="86" spans="1:8" ht="16.5" hidden="1" customHeight="1"/>
    <row r="87" spans="1:8" ht="16.5" hidden="1" customHeight="1"/>
    <row r="88" spans="1:8" s="167" customFormat="1" ht="25.5" hidden="1" customHeight="1">
      <c r="E88" s="167" t="s">
        <v>115</v>
      </c>
      <c r="F88" s="167" t="s">
        <v>116</v>
      </c>
      <c r="G88" s="167" t="s">
        <v>117</v>
      </c>
    </row>
    <row r="89" spans="1:8" s="167" customFormat="1" ht="25.5" hidden="1" customHeight="1">
      <c r="A89" s="167" t="s">
        <v>118</v>
      </c>
      <c r="B89" s="167" t="s">
        <v>119</v>
      </c>
      <c r="C89" s="167" t="s">
        <v>120</v>
      </c>
      <c r="D89" s="167" t="s">
        <v>121</v>
      </c>
      <c r="E89" s="168" t="s">
        <v>120</v>
      </c>
      <c r="F89" s="168" t="s">
        <v>121</v>
      </c>
      <c r="G89" s="168" t="s">
        <v>122</v>
      </c>
      <c r="H89" s="169"/>
    </row>
    <row r="90" spans="1:8" s="167" customFormat="1" ht="25.5" hidden="1" customHeight="1">
      <c r="A90" s="167" t="s">
        <v>123</v>
      </c>
      <c r="B90" s="167" t="s">
        <v>119</v>
      </c>
      <c r="C90" s="167" t="s">
        <v>120</v>
      </c>
      <c r="D90" s="167" t="s">
        <v>120</v>
      </c>
      <c r="E90" s="168" t="s">
        <v>120</v>
      </c>
      <c r="F90" s="168" t="s">
        <v>121</v>
      </c>
      <c r="G90" s="168" t="s">
        <v>124</v>
      </c>
      <c r="H90" s="169"/>
    </row>
    <row r="91" spans="1:8" s="167" customFormat="1" ht="25.5" hidden="1" customHeight="1">
      <c r="A91" s="167" t="s">
        <v>125</v>
      </c>
      <c r="B91" s="167" t="s">
        <v>119</v>
      </c>
      <c r="C91" s="167" t="s">
        <v>120</v>
      </c>
      <c r="D91" s="167" t="s">
        <v>126</v>
      </c>
      <c r="E91" s="168" t="s">
        <v>120</v>
      </c>
      <c r="F91" s="168" t="s">
        <v>121</v>
      </c>
      <c r="G91" s="168" t="s">
        <v>127</v>
      </c>
      <c r="H91" s="169"/>
    </row>
    <row r="92" spans="1:8" s="167" customFormat="1" ht="25.5" hidden="1" customHeight="1">
      <c r="A92" s="167" t="s">
        <v>128</v>
      </c>
      <c r="B92" s="167" t="s">
        <v>129</v>
      </c>
      <c r="C92" s="167" t="s">
        <v>120</v>
      </c>
      <c r="D92" s="167" t="s">
        <v>130</v>
      </c>
      <c r="E92" s="168" t="s">
        <v>120</v>
      </c>
      <c r="F92" s="168" t="s">
        <v>121</v>
      </c>
      <c r="G92" s="168" t="s">
        <v>131</v>
      </c>
      <c r="H92" s="169"/>
    </row>
    <row r="93" spans="1:8" s="167" customFormat="1" ht="25.5" hidden="1" customHeight="1">
      <c r="A93" s="167" t="s">
        <v>132</v>
      </c>
      <c r="B93" s="167" t="s">
        <v>129</v>
      </c>
      <c r="C93" s="167" t="s">
        <v>120</v>
      </c>
      <c r="D93" s="167" t="s">
        <v>133</v>
      </c>
      <c r="E93" s="168" t="s">
        <v>120</v>
      </c>
      <c r="F93" s="168" t="s">
        <v>121</v>
      </c>
      <c r="G93" s="168" t="s">
        <v>134</v>
      </c>
      <c r="H93" s="169"/>
    </row>
    <row r="94" spans="1:8" s="167" customFormat="1" ht="25.5" hidden="1" customHeight="1">
      <c r="A94" s="167" t="s">
        <v>135</v>
      </c>
      <c r="B94" s="167" t="s">
        <v>129</v>
      </c>
      <c r="C94" s="167" t="s">
        <v>120</v>
      </c>
      <c r="D94" s="167" t="s">
        <v>136</v>
      </c>
      <c r="E94" s="168" t="s">
        <v>120</v>
      </c>
      <c r="F94" s="168" t="s">
        <v>120</v>
      </c>
      <c r="G94" s="168" t="s">
        <v>137</v>
      </c>
      <c r="H94" s="169"/>
    </row>
    <row r="95" spans="1:8" s="167" customFormat="1" ht="25.5" hidden="1" customHeight="1">
      <c r="A95" s="167" t="s">
        <v>138</v>
      </c>
      <c r="B95" s="167" t="s">
        <v>139</v>
      </c>
      <c r="C95" s="168" t="s">
        <v>140</v>
      </c>
      <c r="D95" s="167" t="s">
        <v>141</v>
      </c>
      <c r="E95" s="168" t="s">
        <v>120</v>
      </c>
      <c r="F95" s="168" t="s">
        <v>120</v>
      </c>
      <c r="G95" s="168" t="s">
        <v>142</v>
      </c>
      <c r="H95" s="169"/>
    </row>
    <row r="96" spans="1:8" s="167" customFormat="1" ht="25.5" hidden="1" customHeight="1">
      <c r="A96" s="167" t="s">
        <v>143</v>
      </c>
      <c r="B96" s="167" t="s">
        <v>139</v>
      </c>
      <c r="C96" s="168" t="s">
        <v>140</v>
      </c>
      <c r="D96" s="167" t="s">
        <v>144</v>
      </c>
      <c r="E96" s="168" t="s">
        <v>120</v>
      </c>
      <c r="F96" s="168" t="s">
        <v>120</v>
      </c>
      <c r="G96" s="168" t="s">
        <v>145</v>
      </c>
      <c r="H96" s="169"/>
    </row>
    <row r="97" spans="1:8" s="167" customFormat="1" ht="25.5" hidden="1" customHeight="1">
      <c r="A97" s="167" t="s">
        <v>146</v>
      </c>
      <c r="B97" s="167" t="s">
        <v>139</v>
      </c>
      <c r="C97" s="168" t="s">
        <v>140</v>
      </c>
      <c r="D97" s="167" t="s">
        <v>147</v>
      </c>
      <c r="E97" s="168" t="s">
        <v>120</v>
      </c>
      <c r="F97" s="168" t="s">
        <v>120</v>
      </c>
      <c r="G97" s="168" t="s">
        <v>148</v>
      </c>
      <c r="H97" s="169"/>
    </row>
    <row r="98" spans="1:8" s="167" customFormat="1" ht="25.5" hidden="1" customHeight="1">
      <c r="A98" s="167" t="s">
        <v>149</v>
      </c>
      <c r="B98" s="167" t="s">
        <v>150</v>
      </c>
      <c r="C98" s="168" t="s">
        <v>140</v>
      </c>
      <c r="D98" s="168" t="s">
        <v>140</v>
      </c>
      <c r="E98" s="168" t="s">
        <v>120</v>
      </c>
      <c r="F98" s="168" t="s">
        <v>120</v>
      </c>
      <c r="G98" s="168" t="s">
        <v>151</v>
      </c>
      <c r="H98" s="169"/>
    </row>
    <row r="99" spans="1:8" s="167" customFormat="1" ht="25.5" hidden="1" customHeight="1">
      <c r="A99" s="167" t="s">
        <v>152</v>
      </c>
      <c r="B99" s="167" t="s">
        <v>150</v>
      </c>
      <c r="C99" s="168" t="s">
        <v>140</v>
      </c>
      <c r="D99" s="167" t="s">
        <v>153</v>
      </c>
      <c r="E99" s="168" t="s">
        <v>120</v>
      </c>
      <c r="F99" s="168" t="s">
        <v>120</v>
      </c>
      <c r="G99" s="168" t="s">
        <v>154</v>
      </c>
      <c r="H99" s="169"/>
    </row>
    <row r="100" spans="1:8" s="167" customFormat="1" ht="25.5" hidden="1" customHeight="1">
      <c r="A100" s="167" t="s">
        <v>155</v>
      </c>
      <c r="B100" s="167" t="s">
        <v>150</v>
      </c>
      <c r="C100" s="168" t="s">
        <v>140</v>
      </c>
      <c r="D100" s="170" t="s">
        <v>156</v>
      </c>
      <c r="E100" s="168" t="s">
        <v>120</v>
      </c>
      <c r="F100" s="168" t="s">
        <v>120</v>
      </c>
      <c r="G100" s="168" t="s">
        <v>157</v>
      </c>
      <c r="H100" s="169"/>
    </row>
    <row r="101" spans="1:8" s="167" customFormat="1" ht="25.5" hidden="1" customHeight="1">
      <c r="C101" s="168" t="s">
        <v>140</v>
      </c>
      <c r="D101" s="170" t="s">
        <v>158</v>
      </c>
      <c r="E101" s="168" t="s">
        <v>120</v>
      </c>
      <c r="F101" s="168" t="s">
        <v>120</v>
      </c>
      <c r="G101" s="168" t="s">
        <v>159</v>
      </c>
      <c r="H101" s="169"/>
    </row>
    <row r="102" spans="1:8" s="167" customFormat="1" ht="25.5" hidden="1" customHeight="1">
      <c r="A102" s="170"/>
      <c r="B102" s="170"/>
      <c r="C102" s="168" t="s">
        <v>140</v>
      </c>
      <c r="D102" s="170" t="s">
        <v>160</v>
      </c>
      <c r="E102" s="168" t="s">
        <v>120</v>
      </c>
      <c r="F102" s="168" t="s">
        <v>120</v>
      </c>
      <c r="G102" s="168" t="s">
        <v>161</v>
      </c>
      <c r="H102" s="169"/>
    </row>
    <row r="103" spans="1:8" s="167" customFormat="1" ht="25.5" hidden="1" customHeight="1">
      <c r="A103" s="170"/>
      <c r="B103" s="170"/>
      <c r="C103" s="168" t="s">
        <v>140</v>
      </c>
      <c r="D103" s="170" t="s">
        <v>162</v>
      </c>
      <c r="E103" s="168" t="s">
        <v>120</v>
      </c>
      <c r="F103" s="168" t="s">
        <v>120</v>
      </c>
      <c r="G103" s="168" t="s">
        <v>163</v>
      </c>
      <c r="H103" s="169"/>
    </row>
    <row r="104" spans="1:8" s="167" customFormat="1" ht="25.5" hidden="1" customHeight="1">
      <c r="A104" s="170"/>
      <c r="B104" s="170"/>
      <c r="C104" s="168" t="s">
        <v>140</v>
      </c>
      <c r="D104" s="170" t="s">
        <v>164</v>
      </c>
      <c r="E104" s="168" t="s">
        <v>120</v>
      </c>
      <c r="F104" s="168" t="s">
        <v>120</v>
      </c>
      <c r="G104" s="168" t="s">
        <v>165</v>
      </c>
      <c r="H104" s="169"/>
    </row>
    <row r="105" spans="1:8" s="167" customFormat="1" ht="25.5" hidden="1" customHeight="1">
      <c r="A105" s="170"/>
      <c r="B105" s="170"/>
      <c r="C105" s="168" t="s">
        <v>140</v>
      </c>
      <c r="D105" s="170" t="s">
        <v>166</v>
      </c>
      <c r="E105" s="168" t="s">
        <v>120</v>
      </c>
      <c r="F105" s="168" t="s">
        <v>120</v>
      </c>
      <c r="G105" s="168" t="s">
        <v>167</v>
      </c>
      <c r="H105" s="169"/>
    </row>
    <row r="106" spans="1:8" s="167" customFormat="1" ht="25.5" hidden="1" customHeight="1">
      <c r="A106" s="170"/>
      <c r="B106" s="170"/>
      <c r="C106" s="170" t="s">
        <v>168</v>
      </c>
      <c r="D106" s="170" t="s">
        <v>168</v>
      </c>
      <c r="E106" s="168"/>
      <c r="F106" s="168"/>
      <c r="G106" s="168"/>
      <c r="H106" s="169"/>
    </row>
    <row r="107" spans="1:8" s="167" customFormat="1" ht="25.5" hidden="1" customHeight="1">
      <c r="A107" s="170"/>
      <c r="B107" s="170"/>
      <c r="C107" s="170" t="s">
        <v>168</v>
      </c>
      <c r="D107" s="170" t="s">
        <v>169</v>
      </c>
      <c r="E107" s="168" t="s">
        <v>120</v>
      </c>
      <c r="F107" s="168" t="s">
        <v>126</v>
      </c>
      <c r="G107" s="168" t="s">
        <v>170</v>
      </c>
      <c r="H107" s="169"/>
    </row>
    <row r="108" spans="1:8" s="167" customFormat="1" ht="25.5" hidden="1" customHeight="1">
      <c r="A108" s="170"/>
      <c r="B108" s="170"/>
      <c r="C108" s="170" t="s">
        <v>168</v>
      </c>
      <c r="D108" s="170" t="s">
        <v>171</v>
      </c>
      <c r="E108" s="168" t="s">
        <v>120</v>
      </c>
      <c r="F108" s="168" t="s">
        <v>172</v>
      </c>
      <c r="G108" s="168" t="s">
        <v>173</v>
      </c>
      <c r="H108" s="169"/>
    </row>
    <row r="109" spans="1:8" s="167" customFormat="1" ht="25.5" hidden="1" customHeight="1">
      <c r="A109" s="170"/>
      <c r="B109" s="170"/>
      <c r="C109" s="170" t="s">
        <v>168</v>
      </c>
      <c r="D109" s="170" t="s">
        <v>174</v>
      </c>
      <c r="E109" s="168" t="s">
        <v>120</v>
      </c>
      <c r="F109" s="168" t="s">
        <v>172</v>
      </c>
      <c r="G109" s="168" t="s">
        <v>175</v>
      </c>
      <c r="H109" s="169"/>
    </row>
    <row r="110" spans="1:8" s="167" customFormat="1" ht="25.5" hidden="1" customHeight="1">
      <c r="A110" s="170"/>
      <c r="B110" s="170"/>
      <c r="C110" s="170" t="s">
        <v>168</v>
      </c>
      <c r="D110" s="170" t="s">
        <v>176</v>
      </c>
      <c r="E110" s="168" t="s">
        <v>120</v>
      </c>
      <c r="F110" s="168" t="s">
        <v>126</v>
      </c>
      <c r="G110" s="168" t="s">
        <v>177</v>
      </c>
      <c r="H110" s="169"/>
    </row>
    <row r="111" spans="1:8" s="167" customFormat="1" ht="25.5" hidden="1" customHeight="1">
      <c r="A111" s="170"/>
      <c r="B111" s="170"/>
      <c r="C111" s="170" t="s">
        <v>168</v>
      </c>
      <c r="D111" s="170" t="s">
        <v>178</v>
      </c>
      <c r="E111" s="168" t="s">
        <v>120</v>
      </c>
      <c r="F111" s="168" t="s">
        <v>126</v>
      </c>
      <c r="G111" s="168" t="s">
        <v>179</v>
      </c>
      <c r="H111" s="169"/>
    </row>
    <row r="112" spans="1:8" s="167" customFormat="1" ht="25.5" hidden="1" customHeight="1">
      <c r="A112" s="170"/>
      <c r="B112" s="170"/>
      <c r="C112" s="170" t="s">
        <v>168</v>
      </c>
      <c r="D112" s="170" t="s">
        <v>180</v>
      </c>
      <c r="E112" s="168" t="s">
        <v>120</v>
      </c>
      <c r="F112" s="168" t="s">
        <v>126</v>
      </c>
      <c r="G112" s="168" t="s">
        <v>181</v>
      </c>
      <c r="H112" s="169"/>
    </row>
    <row r="113" spans="1:8" s="167" customFormat="1" ht="25.5" hidden="1" customHeight="1">
      <c r="A113" s="170"/>
      <c r="B113" s="170"/>
      <c r="C113" s="170" t="s">
        <v>168</v>
      </c>
      <c r="D113" s="170" t="s">
        <v>182</v>
      </c>
      <c r="E113" s="168" t="s">
        <v>120</v>
      </c>
      <c r="F113" s="168" t="s">
        <v>126</v>
      </c>
      <c r="G113" s="168" t="s">
        <v>183</v>
      </c>
      <c r="H113" s="169"/>
    </row>
    <row r="114" spans="1:8" s="167" customFormat="1" ht="25.5" hidden="1" customHeight="1">
      <c r="A114" s="170"/>
      <c r="B114" s="170"/>
      <c r="C114" s="170" t="s">
        <v>168</v>
      </c>
      <c r="D114" s="170" t="s">
        <v>184</v>
      </c>
      <c r="H114" s="169"/>
    </row>
    <row r="115" spans="1:8" s="167" customFormat="1" ht="25.5" hidden="1" customHeight="1">
      <c r="A115" s="170"/>
      <c r="B115" s="170"/>
      <c r="C115" s="170" t="s">
        <v>168</v>
      </c>
      <c r="D115" s="170" t="s">
        <v>185</v>
      </c>
      <c r="H115" s="169"/>
    </row>
    <row r="116" spans="1:8" s="167" customFormat="1" ht="25.5" hidden="1" customHeight="1">
      <c r="A116" s="170"/>
      <c r="B116" s="170"/>
      <c r="C116" s="170" t="s">
        <v>168</v>
      </c>
      <c r="D116" s="170" t="s">
        <v>186</v>
      </c>
      <c r="E116" s="168"/>
      <c r="F116" s="168"/>
      <c r="G116" s="168"/>
      <c r="H116" s="169"/>
    </row>
    <row r="117" spans="1:8" s="167" customFormat="1" ht="25.5" hidden="1" customHeight="1">
      <c r="A117" s="170"/>
      <c r="B117" s="170"/>
      <c r="C117" s="170" t="s">
        <v>168</v>
      </c>
      <c r="D117" s="170" t="s">
        <v>187</v>
      </c>
      <c r="E117" s="168"/>
      <c r="F117" s="168"/>
      <c r="G117" s="168"/>
      <c r="H117" s="169"/>
    </row>
    <row r="118" spans="1:8" s="167" customFormat="1" ht="25.5" hidden="1" customHeight="1">
      <c r="A118" s="170"/>
      <c r="B118" s="170"/>
      <c r="C118" s="170" t="s">
        <v>168</v>
      </c>
      <c r="D118" s="170" t="s">
        <v>188</v>
      </c>
      <c r="E118" s="168"/>
      <c r="F118" s="168"/>
      <c r="G118" s="168"/>
      <c r="H118" s="169"/>
    </row>
    <row r="119" spans="1:8" s="167" customFormat="1" ht="25.5" hidden="1" customHeight="1">
      <c r="A119" s="170"/>
      <c r="B119" s="170"/>
      <c r="C119" s="170" t="s">
        <v>189</v>
      </c>
      <c r="D119" s="170" t="s">
        <v>190</v>
      </c>
      <c r="E119" s="168" t="s">
        <v>120</v>
      </c>
      <c r="F119" s="168" t="s">
        <v>130</v>
      </c>
      <c r="G119" s="168" t="s">
        <v>191</v>
      </c>
      <c r="H119" s="169"/>
    </row>
    <row r="120" spans="1:8" s="167" customFormat="1" ht="25.5" hidden="1" customHeight="1">
      <c r="A120" s="170"/>
      <c r="B120" s="170"/>
      <c r="C120" s="170" t="s">
        <v>189</v>
      </c>
      <c r="D120" s="170" t="s">
        <v>192</v>
      </c>
      <c r="E120" s="168" t="s">
        <v>120</v>
      </c>
      <c r="F120" s="168" t="s">
        <v>130</v>
      </c>
      <c r="G120" s="168" t="s">
        <v>193</v>
      </c>
      <c r="H120" s="169"/>
    </row>
    <row r="121" spans="1:8" s="167" customFormat="1" ht="25.5" hidden="1" customHeight="1">
      <c r="A121" s="170"/>
      <c r="B121" s="170"/>
      <c r="C121" s="170" t="s">
        <v>189</v>
      </c>
      <c r="D121" s="170" t="s">
        <v>194</v>
      </c>
      <c r="E121" s="168" t="s">
        <v>120</v>
      </c>
      <c r="F121" s="168" t="s">
        <v>130</v>
      </c>
      <c r="G121" s="168" t="s">
        <v>195</v>
      </c>
      <c r="H121" s="169"/>
    </row>
    <row r="122" spans="1:8" s="167" customFormat="1" ht="25.5" hidden="1" customHeight="1">
      <c r="A122" s="170"/>
      <c r="B122" s="170"/>
      <c r="C122" s="170" t="s">
        <v>189</v>
      </c>
      <c r="D122" s="170" t="s">
        <v>196</v>
      </c>
      <c r="E122" s="168" t="s">
        <v>120</v>
      </c>
      <c r="F122" s="168" t="s">
        <v>130</v>
      </c>
      <c r="G122" s="168" t="s">
        <v>197</v>
      </c>
      <c r="H122" s="169"/>
    </row>
    <row r="123" spans="1:8" s="167" customFormat="1" ht="25.5" hidden="1" customHeight="1">
      <c r="A123" s="170"/>
      <c r="B123" s="170"/>
      <c r="C123" s="170" t="s">
        <v>189</v>
      </c>
      <c r="D123" s="170" t="s">
        <v>189</v>
      </c>
      <c r="E123" s="168" t="s">
        <v>120</v>
      </c>
      <c r="F123" s="168" t="s">
        <v>133</v>
      </c>
      <c r="G123" s="168" t="s">
        <v>198</v>
      </c>
      <c r="H123" s="169"/>
    </row>
    <row r="124" spans="1:8" s="167" customFormat="1" ht="25.5" hidden="1" customHeight="1">
      <c r="A124" s="170"/>
      <c r="B124" s="170"/>
      <c r="C124" s="170" t="s">
        <v>189</v>
      </c>
      <c r="D124" s="170" t="s">
        <v>199</v>
      </c>
      <c r="E124" s="168" t="s">
        <v>120</v>
      </c>
      <c r="F124" s="168" t="s">
        <v>200</v>
      </c>
      <c r="G124" s="168" t="s">
        <v>201</v>
      </c>
      <c r="H124" s="169"/>
    </row>
    <row r="125" spans="1:8" s="167" customFormat="1" ht="25.5" hidden="1" customHeight="1">
      <c r="A125" s="170"/>
      <c r="B125" s="170"/>
      <c r="C125" s="170" t="s">
        <v>189</v>
      </c>
      <c r="D125" s="170" t="s">
        <v>202</v>
      </c>
      <c r="E125" s="168" t="s">
        <v>120</v>
      </c>
      <c r="F125" s="168" t="s">
        <v>200</v>
      </c>
      <c r="G125" s="168" t="s">
        <v>203</v>
      </c>
      <c r="H125" s="169"/>
    </row>
    <row r="126" spans="1:8" s="167" customFormat="1" ht="25.5" hidden="1" customHeight="1">
      <c r="A126" s="170"/>
      <c r="B126" s="170"/>
      <c r="C126" s="170" t="s">
        <v>189</v>
      </c>
      <c r="D126" s="170" t="s">
        <v>204</v>
      </c>
      <c r="E126" s="168" t="s">
        <v>120</v>
      </c>
      <c r="F126" s="168" t="s">
        <v>200</v>
      </c>
      <c r="G126" s="168" t="s">
        <v>205</v>
      </c>
      <c r="H126" s="169"/>
    </row>
    <row r="127" spans="1:8" s="167" customFormat="1" ht="25.5" hidden="1" customHeight="1">
      <c r="A127" s="170"/>
      <c r="B127" s="170"/>
      <c r="C127" s="170" t="s">
        <v>189</v>
      </c>
      <c r="D127" s="170" t="s">
        <v>206</v>
      </c>
      <c r="E127" s="168" t="s">
        <v>120</v>
      </c>
      <c r="F127" s="168" t="s">
        <v>200</v>
      </c>
      <c r="G127" s="168" t="s">
        <v>207</v>
      </c>
      <c r="H127" s="169"/>
    </row>
    <row r="128" spans="1:8" s="167" customFormat="1" ht="25.5" hidden="1" customHeight="1">
      <c r="A128" s="170"/>
      <c r="B128" s="170"/>
      <c r="C128" s="170" t="s">
        <v>189</v>
      </c>
      <c r="D128" s="170" t="s">
        <v>208</v>
      </c>
      <c r="E128" s="168" t="s">
        <v>120</v>
      </c>
      <c r="F128" s="168" t="s">
        <v>200</v>
      </c>
      <c r="G128" s="168" t="s">
        <v>209</v>
      </c>
      <c r="H128" s="169"/>
    </row>
    <row r="129" spans="1:8" s="167" customFormat="1" ht="25.5" hidden="1" customHeight="1">
      <c r="A129" s="170"/>
      <c r="B129" s="170"/>
      <c r="C129" s="170" t="s">
        <v>210</v>
      </c>
      <c r="D129" s="170" t="s">
        <v>211</v>
      </c>
      <c r="E129" s="168" t="s">
        <v>120</v>
      </c>
      <c r="F129" s="168" t="s">
        <v>200</v>
      </c>
      <c r="G129" s="168" t="s">
        <v>212</v>
      </c>
      <c r="H129" s="169"/>
    </row>
    <row r="130" spans="1:8" s="167" customFormat="1" ht="25.5" hidden="1" customHeight="1">
      <c r="A130" s="170"/>
      <c r="B130" s="170"/>
      <c r="C130" s="170" t="s">
        <v>210</v>
      </c>
      <c r="D130" s="170" t="s">
        <v>210</v>
      </c>
      <c r="E130" s="168" t="s">
        <v>120</v>
      </c>
      <c r="F130" s="168" t="s">
        <v>136</v>
      </c>
      <c r="G130" s="168" t="s">
        <v>213</v>
      </c>
      <c r="H130" s="169"/>
    </row>
    <row r="131" spans="1:8" s="167" customFormat="1" ht="25.5" hidden="1" customHeight="1">
      <c r="A131" s="170"/>
      <c r="B131" s="170"/>
      <c r="C131" s="170" t="s">
        <v>210</v>
      </c>
      <c r="D131" s="170" t="s">
        <v>214</v>
      </c>
      <c r="E131" s="168" t="s">
        <v>120</v>
      </c>
      <c r="F131" s="168" t="s">
        <v>136</v>
      </c>
      <c r="G131" s="168" t="s">
        <v>215</v>
      </c>
      <c r="H131" s="169"/>
    </row>
    <row r="132" spans="1:8" s="167" customFormat="1" ht="25.5" hidden="1" customHeight="1">
      <c r="A132" s="170"/>
      <c r="B132" s="170"/>
      <c r="C132" s="170" t="s">
        <v>210</v>
      </c>
      <c r="D132" s="170" t="s">
        <v>216</v>
      </c>
      <c r="E132" s="168" t="s">
        <v>120</v>
      </c>
      <c r="F132" s="168" t="s">
        <v>136</v>
      </c>
      <c r="G132" s="168" t="s">
        <v>217</v>
      </c>
      <c r="H132" s="169"/>
    </row>
    <row r="133" spans="1:8" s="167" customFormat="1" ht="25.5" hidden="1" customHeight="1">
      <c r="A133" s="170"/>
      <c r="B133" s="170"/>
      <c r="C133" s="167" t="s">
        <v>218</v>
      </c>
      <c r="D133" s="170" t="s">
        <v>219</v>
      </c>
      <c r="E133" s="168" t="s">
        <v>120</v>
      </c>
      <c r="F133" s="168" t="s">
        <v>136</v>
      </c>
      <c r="G133" s="168" t="s">
        <v>220</v>
      </c>
      <c r="H133" s="169"/>
    </row>
    <row r="134" spans="1:8" s="167" customFormat="1" ht="25.5" hidden="1" customHeight="1">
      <c r="A134" s="170"/>
      <c r="B134" s="170"/>
      <c r="C134" s="167" t="s">
        <v>218</v>
      </c>
      <c r="D134" s="170" t="s">
        <v>221</v>
      </c>
      <c r="E134" s="168" t="s">
        <v>120</v>
      </c>
      <c r="F134" s="168" t="s">
        <v>136</v>
      </c>
      <c r="G134" s="168" t="s">
        <v>222</v>
      </c>
      <c r="H134" s="169"/>
    </row>
    <row r="135" spans="1:8" s="167" customFormat="1" ht="25.5" hidden="1" customHeight="1">
      <c r="A135" s="170"/>
      <c r="B135" s="170"/>
      <c r="C135" s="167" t="s">
        <v>218</v>
      </c>
      <c r="D135" s="170" t="s">
        <v>223</v>
      </c>
      <c r="E135" s="168" t="s">
        <v>120</v>
      </c>
      <c r="F135" s="168" t="s">
        <v>136</v>
      </c>
      <c r="G135" s="168" t="s">
        <v>224</v>
      </c>
      <c r="H135" s="169"/>
    </row>
    <row r="136" spans="1:8" s="167" customFormat="1" ht="25.5" hidden="1" customHeight="1">
      <c r="A136" s="170"/>
      <c r="B136" s="170"/>
      <c r="C136" s="167" t="s">
        <v>218</v>
      </c>
      <c r="D136" s="167" t="s">
        <v>225</v>
      </c>
      <c r="E136" s="168"/>
      <c r="F136" s="168"/>
      <c r="G136" s="168"/>
      <c r="H136" s="169"/>
    </row>
    <row r="137" spans="1:8" s="167" customFormat="1" ht="25.5" hidden="1" customHeight="1">
      <c r="A137" s="170"/>
      <c r="B137" s="170"/>
      <c r="C137" s="167" t="s">
        <v>218</v>
      </c>
      <c r="D137" s="167" t="s">
        <v>226</v>
      </c>
      <c r="E137" s="168" t="s">
        <v>140</v>
      </c>
      <c r="F137" s="171" t="s">
        <v>227</v>
      </c>
      <c r="G137" s="171" t="s">
        <v>228</v>
      </c>
      <c r="H137" s="169"/>
    </row>
    <row r="138" spans="1:8" s="167" customFormat="1" ht="25.5" hidden="1" customHeight="1">
      <c r="A138" s="170"/>
      <c r="B138" s="170"/>
      <c r="C138" s="167" t="s">
        <v>218</v>
      </c>
      <c r="D138" s="167" t="s">
        <v>229</v>
      </c>
      <c r="E138" s="168" t="s">
        <v>140</v>
      </c>
      <c r="F138" s="171" t="s">
        <v>227</v>
      </c>
      <c r="G138" s="171" t="s">
        <v>230</v>
      </c>
      <c r="H138" s="169"/>
    </row>
    <row r="139" spans="1:8" s="167" customFormat="1" ht="25.5" hidden="1" customHeight="1">
      <c r="A139" s="170"/>
      <c r="B139" s="170"/>
      <c r="C139" s="167" t="s">
        <v>218</v>
      </c>
      <c r="D139" s="167" t="s">
        <v>218</v>
      </c>
      <c r="E139" s="171"/>
      <c r="F139" s="171"/>
      <c r="G139" s="171"/>
      <c r="H139" s="169"/>
    </row>
    <row r="140" spans="1:8" s="167" customFormat="1" ht="25.5" hidden="1" customHeight="1">
      <c r="A140" s="170"/>
      <c r="B140" s="170"/>
      <c r="C140" s="167" t="s">
        <v>218</v>
      </c>
      <c r="D140" s="167" t="s">
        <v>231</v>
      </c>
      <c r="E140" s="171"/>
      <c r="F140" s="171"/>
      <c r="G140" s="171"/>
      <c r="H140" s="169"/>
    </row>
    <row r="141" spans="1:8" s="167" customFormat="1" ht="25.5" hidden="1" customHeight="1">
      <c r="A141" s="170"/>
      <c r="B141" s="170"/>
      <c r="C141" s="167" t="s">
        <v>232</v>
      </c>
      <c r="D141" s="167" t="s">
        <v>233</v>
      </c>
      <c r="E141" s="168" t="s">
        <v>140</v>
      </c>
      <c r="F141" s="168" t="s">
        <v>234</v>
      </c>
      <c r="G141" s="168" t="s">
        <v>235</v>
      </c>
      <c r="H141" s="169"/>
    </row>
    <row r="142" spans="1:8" s="167" customFormat="1" ht="25.5" hidden="1" customHeight="1">
      <c r="A142" s="170"/>
      <c r="B142" s="170"/>
      <c r="C142" s="167" t="s">
        <v>232</v>
      </c>
      <c r="D142" s="167" t="s">
        <v>236</v>
      </c>
      <c r="E142" s="168" t="s">
        <v>140</v>
      </c>
      <c r="F142" s="168" t="s">
        <v>237</v>
      </c>
      <c r="G142" s="168" t="s">
        <v>238</v>
      </c>
      <c r="H142" s="169"/>
    </row>
    <row r="143" spans="1:8" s="167" customFormat="1" ht="25.5" hidden="1" customHeight="1">
      <c r="A143" s="170"/>
      <c r="B143" s="170"/>
      <c r="C143" s="167" t="s">
        <v>232</v>
      </c>
      <c r="D143" s="167" t="s">
        <v>239</v>
      </c>
      <c r="E143" s="168" t="s">
        <v>140</v>
      </c>
      <c r="F143" s="168" t="s">
        <v>237</v>
      </c>
      <c r="G143" s="168" t="s">
        <v>240</v>
      </c>
      <c r="H143" s="169"/>
    </row>
    <row r="144" spans="1:8" s="167" customFormat="1" ht="25.5" hidden="1" customHeight="1">
      <c r="A144" s="170"/>
      <c r="B144" s="170"/>
      <c r="C144" s="167" t="s">
        <v>232</v>
      </c>
      <c r="D144" s="167" t="s">
        <v>241</v>
      </c>
      <c r="E144" s="168" t="s">
        <v>140</v>
      </c>
      <c r="F144" s="168" t="s">
        <v>237</v>
      </c>
      <c r="G144" s="168" t="s">
        <v>242</v>
      </c>
      <c r="H144" s="169"/>
    </row>
    <row r="145" spans="1:8" s="167" customFormat="1" ht="25.5" hidden="1" customHeight="1">
      <c r="A145" s="170"/>
      <c r="B145" s="170"/>
      <c r="C145" s="167" t="s">
        <v>232</v>
      </c>
      <c r="D145" s="167" t="s">
        <v>243</v>
      </c>
      <c r="E145" s="168" t="s">
        <v>140</v>
      </c>
      <c r="F145" s="168" t="s">
        <v>237</v>
      </c>
      <c r="G145" s="168" t="s">
        <v>244</v>
      </c>
      <c r="H145" s="169"/>
    </row>
    <row r="146" spans="1:8" s="167" customFormat="1" ht="25.5" hidden="1" customHeight="1">
      <c r="A146" s="170"/>
      <c r="B146" s="170"/>
      <c r="C146" s="167" t="s">
        <v>232</v>
      </c>
      <c r="D146" s="167" t="s">
        <v>245</v>
      </c>
      <c r="E146" s="168" t="s">
        <v>140</v>
      </c>
      <c r="F146" s="168" t="s">
        <v>237</v>
      </c>
      <c r="G146" s="168" t="s">
        <v>246</v>
      </c>
      <c r="H146" s="169"/>
    </row>
    <row r="147" spans="1:8" s="167" customFormat="1" ht="25.5" hidden="1" customHeight="1">
      <c r="A147" s="170"/>
      <c r="B147" s="170"/>
      <c r="C147" s="167" t="s">
        <v>232</v>
      </c>
      <c r="D147" s="167" t="s">
        <v>232</v>
      </c>
      <c r="E147" s="168" t="s">
        <v>140</v>
      </c>
      <c r="F147" s="168" t="s">
        <v>237</v>
      </c>
      <c r="G147" s="168" t="s">
        <v>247</v>
      </c>
      <c r="H147" s="169"/>
    </row>
    <row r="148" spans="1:8" s="167" customFormat="1" ht="25.5" hidden="1" customHeight="1">
      <c r="A148" s="170"/>
      <c r="B148" s="170"/>
      <c r="C148" s="167" t="s">
        <v>232</v>
      </c>
      <c r="D148" s="167" t="s">
        <v>248</v>
      </c>
      <c r="E148" s="168" t="s">
        <v>140</v>
      </c>
      <c r="F148" s="168" t="s">
        <v>237</v>
      </c>
      <c r="G148" s="168" t="s">
        <v>249</v>
      </c>
      <c r="H148" s="169"/>
    </row>
    <row r="149" spans="1:8" s="167" customFormat="1" ht="25.5" hidden="1" customHeight="1">
      <c r="A149" s="170"/>
      <c r="B149" s="170"/>
      <c r="C149" s="167" t="s">
        <v>250</v>
      </c>
      <c r="D149" s="167" t="s">
        <v>251</v>
      </c>
      <c r="E149" s="168"/>
      <c r="F149" s="168"/>
      <c r="G149" s="168"/>
      <c r="H149" s="169"/>
    </row>
    <row r="150" spans="1:8" s="167" customFormat="1" ht="25.5" hidden="1" customHeight="1">
      <c r="C150" s="167" t="s">
        <v>250</v>
      </c>
      <c r="D150" s="167" t="s">
        <v>252</v>
      </c>
      <c r="E150" s="168" t="s">
        <v>140</v>
      </c>
      <c r="F150" s="168" t="s">
        <v>147</v>
      </c>
      <c r="G150" s="168" t="s">
        <v>253</v>
      </c>
    </row>
    <row r="151" spans="1:8" s="167" customFormat="1" ht="25.5" hidden="1" customHeight="1">
      <c r="C151" s="167" t="s">
        <v>250</v>
      </c>
      <c r="D151" s="167" t="s">
        <v>254</v>
      </c>
      <c r="E151" s="168" t="s">
        <v>140</v>
      </c>
      <c r="F151" s="168" t="s">
        <v>255</v>
      </c>
      <c r="G151" s="168" t="s">
        <v>256</v>
      </c>
    </row>
    <row r="152" spans="1:8" s="167" customFormat="1" ht="25.5" hidden="1" customHeight="1">
      <c r="C152" s="167" t="s">
        <v>250</v>
      </c>
      <c r="D152" s="167" t="s">
        <v>250</v>
      </c>
      <c r="E152" s="168" t="s">
        <v>140</v>
      </c>
      <c r="F152" s="168" t="s">
        <v>255</v>
      </c>
      <c r="G152" s="168" t="s">
        <v>257</v>
      </c>
    </row>
    <row r="153" spans="1:8" s="167" customFormat="1" ht="25.5" hidden="1" customHeight="1">
      <c r="E153" s="168" t="s">
        <v>140</v>
      </c>
      <c r="F153" s="168" t="s">
        <v>255</v>
      </c>
      <c r="G153" s="168" t="s">
        <v>258</v>
      </c>
    </row>
    <row r="154" spans="1:8" s="167" customFormat="1" ht="25.5" hidden="1" customHeight="1">
      <c r="E154" s="168" t="s">
        <v>140</v>
      </c>
      <c r="F154" s="168" t="s">
        <v>255</v>
      </c>
      <c r="G154" s="168" t="s">
        <v>259</v>
      </c>
    </row>
    <row r="155" spans="1:8" s="167" customFormat="1" ht="25.5" hidden="1" customHeight="1">
      <c r="E155" s="168" t="s">
        <v>140</v>
      </c>
      <c r="F155" s="168" t="s">
        <v>255</v>
      </c>
      <c r="G155" s="168" t="s">
        <v>260</v>
      </c>
    </row>
    <row r="156" spans="1:8" s="167" customFormat="1" ht="25.5" hidden="1" customHeight="1">
      <c r="E156" s="168" t="s">
        <v>140</v>
      </c>
      <c r="F156" s="168" t="s">
        <v>140</v>
      </c>
      <c r="G156" s="168" t="s">
        <v>261</v>
      </c>
    </row>
    <row r="157" spans="1:8" s="167" customFormat="1" ht="25.5" hidden="1" customHeight="1">
      <c r="E157" s="168" t="s">
        <v>140</v>
      </c>
      <c r="F157" s="168" t="s">
        <v>140</v>
      </c>
      <c r="G157" s="168" t="s">
        <v>262</v>
      </c>
    </row>
    <row r="158" spans="1:8" s="167" customFormat="1" ht="25.5" hidden="1" customHeight="1">
      <c r="E158" s="168" t="s">
        <v>140</v>
      </c>
      <c r="F158" s="168" t="s">
        <v>140</v>
      </c>
      <c r="G158" s="168" t="s">
        <v>263</v>
      </c>
    </row>
    <row r="159" spans="1:8" s="167" customFormat="1" ht="25.5" hidden="1" customHeight="1">
      <c r="E159" s="168" t="s">
        <v>140</v>
      </c>
      <c r="F159" s="168" t="s">
        <v>140</v>
      </c>
      <c r="G159" s="168" t="s">
        <v>264</v>
      </c>
    </row>
    <row r="160" spans="1:8" s="167" customFormat="1" ht="25.5" hidden="1" customHeight="1">
      <c r="E160" s="168" t="s">
        <v>140</v>
      </c>
      <c r="F160" s="168" t="s">
        <v>140</v>
      </c>
      <c r="G160" s="168" t="s">
        <v>265</v>
      </c>
    </row>
    <row r="161" spans="5:7" s="167" customFormat="1" ht="25.5" hidden="1" customHeight="1">
      <c r="E161" s="168" t="s">
        <v>140</v>
      </c>
      <c r="F161" s="168" t="s">
        <v>140</v>
      </c>
      <c r="G161" s="168" t="s">
        <v>266</v>
      </c>
    </row>
    <row r="162" spans="5:7" s="167" customFormat="1" ht="25.5" hidden="1" customHeight="1">
      <c r="E162" s="168" t="s">
        <v>140</v>
      </c>
      <c r="F162" s="168" t="s">
        <v>140</v>
      </c>
      <c r="G162" s="168" t="s">
        <v>267</v>
      </c>
    </row>
    <row r="163" spans="5:7" s="167" customFormat="1" ht="25.5" hidden="1" customHeight="1">
      <c r="E163" s="168" t="s">
        <v>140</v>
      </c>
      <c r="F163" s="168" t="s">
        <v>140</v>
      </c>
      <c r="G163" s="168" t="s">
        <v>268</v>
      </c>
    </row>
    <row r="164" spans="5:7" s="167" customFormat="1" ht="25.5" hidden="1" customHeight="1">
      <c r="E164" s="168" t="s">
        <v>140</v>
      </c>
      <c r="F164" s="168" t="s">
        <v>140</v>
      </c>
      <c r="G164" s="168" t="s">
        <v>269</v>
      </c>
    </row>
    <row r="165" spans="5:7" s="167" customFormat="1" ht="25.5" hidden="1" customHeight="1">
      <c r="E165" s="168" t="s">
        <v>140</v>
      </c>
      <c r="F165" s="168" t="s">
        <v>140</v>
      </c>
      <c r="G165" s="168" t="s">
        <v>270</v>
      </c>
    </row>
    <row r="166" spans="5:7" s="167" customFormat="1" ht="25.5" hidden="1" customHeight="1">
      <c r="E166" s="168" t="s">
        <v>140</v>
      </c>
      <c r="F166" s="168" t="s">
        <v>140</v>
      </c>
      <c r="G166" s="168" t="s">
        <v>271</v>
      </c>
    </row>
    <row r="167" spans="5:7" s="167" customFormat="1" ht="25.5" hidden="1" customHeight="1">
      <c r="E167" s="168" t="s">
        <v>140</v>
      </c>
      <c r="F167" s="168" t="s">
        <v>140</v>
      </c>
      <c r="G167" s="168" t="s">
        <v>272</v>
      </c>
    </row>
    <row r="168" spans="5:7" s="167" customFormat="1" ht="25.5" hidden="1" customHeight="1">
      <c r="E168" s="168" t="s">
        <v>140</v>
      </c>
      <c r="F168" s="168" t="s">
        <v>140</v>
      </c>
      <c r="G168" s="168" t="s">
        <v>273</v>
      </c>
    </row>
    <row r="169" spans="5:7" s="167" customFormat="1" ht="25.5" hidden="1" customHeight="1">
      <c r="E169" s="168" t="s">
        <v>140</v>
      </c>
      <c r="F169" s="168" t="s">
        <v>140</v>
      </c>
      <c r="G169" s="168" t="s">
        <v>274</v>
      </c>
    </row>
    <row r="170" spans="5:7" s="167" customFormat="1" ht="25.5" hidden="1" customHeight="1">
      <c r="E170" s="168" t="s">
        <v>140</v>
      </c>
      <c r="F170" s="168" t="s">
        <v>140</v>
      </c>
      <c r="G170" s="168" t="s">
        <v>275</v>
      </c>
    </row>
    <row r="171" spans="5:7" s="167" customFormat="1" ht="25.5" hidden="1" customHeight="1">
      <c r="E171" s="168" t="s">
        <v>140</v>
      </c>
      <c r="F171" s="168" t="s">
        <v>140</v>
      </c>
      <c r="G171" s="168" t="s">
        <v>276</v>
      </c>
    </row>
    <row r="172" spans="5:7" s="167" customFormat="1" ht="25.5" hidden="1" customHeight="1">
      <c r="E172" s="168" t="s">
        <v>140</v>
      </c>
      <c r="F172" s="168" t="s">
        <v>140</v>
      </c>
      <c r="G172" s="168" t="s">
        <v>277</v>
      </c>
    </row>
    <row r="173" spans="5:7" s="167" customFormat="1" ht="25.5" hidden="1" customHeight="1">
      <c r="E173" s="168" t="s">
        <v>140</v>
      </c>
      <c r="F173" s="168" t="s">
        <v>140</v>
      </c>
      <c r="G173" s="168" t="s">
        <v>278</v>
      </c>
    </row>
    <row r="174" spans="5:7" s="167" customFormat="1" ht="25.5" hidden="1" customHeight="1">
      <c r="E174" s="168" t="s">
        <v>140</v>
      </c>
      <c r="F174" s="168" t="s">
        <v>140</v>
      </c>
      <c r="G174" s="168" t="s">
        <v>279</v>
      </c>
    </row>
    <row r="175" spans="5:7" s="167" customFormat="1" ht="25.5" hidden="1" customHeight="1">
      <c r="E175" s="168" t="s">
        <v>140</v>
      </c>
      <c r="F175" s="168" t="s">
        <v>140</v>
      </c>
      <c r="G175" s="168" t="s">
        <v>280</v>
      </c>
    </row>
    <row r="176" spans="5:7" s="167" customFormat="1" ht="25.5" hidden="1" customHeight="1">
      <c r="E176" s="168" t="s">
        <v>140</v>
      </c>
      <c r="F176" s="168" t="s">
        <v>140</v>
      </c>
      <c r="G176" s="168" t="s">
        <v>281</v>
      </c>
    </row>
    <row r="177" spans="5:7" s="167" customFormat="1" ht="25.5" hidden="1" customHeight="1">
      <c r="E177" s="168" t="s">
        <v>140</v>
      </c>
      <c r="F177" s="168" t="s">
        <v>140</v>
      </c>
      <c r="G177" s="168" t="s">
        <v>282</v>
      </c>
    </row>
    <row r="178" spans="5:7" s="167" customFormat="1" ht="25.5" hidden="1" customHeight="1">
      <c r="E178" s="168"/>
      <c r="F178" s="168"/>
      <c r="G178" s="168"/>
    </row>
    <row r="179" spans="5:7" s="167" customFormat="1" ht="25.5" hidden="1" customHeight="1">
      <c r="E179" s="168"/>
      <c r="F179" s="168"/>
      <c r="G179" s="168"/>
    </row>
    <row r="180" spans="5:7" s="167" customFormat="1" ht="25.5" hidden="1" customHeight="1">
      <c r="E180" s="168"/>
      <c r="F180" s="168"/>
      <c r="G180" s="168"/>
    </row>
    <row r="181" spans="5:7" s="167" customFormat="1" ht="25.5" hidden="1" customHeight="1">
      <c r="E181" s="168"/>
      <c r="F181" s="168"/>
      <c r="G181" s="168"/>
    </row>
    <row r="182" spans="5:7" s="167" customFormat="1" ht="25.5" hidden="1" customHeight="1">
      <c r="E182" s="168"/>
      <c r="F182" s="168"/>
      <c r="G182" s="168"/>
    </row>
    <row r="183" spans="5:7" s="167" customFormat="1" ht="25.5" hidden="1" customHeight="1">
      <c r="E183" s="168"/>
      <c r="F183" s="168"/>
      <c r="G183" s="168"/>
    </row>
    <row r="184" spans="5:7" s="167" customFormat="1" ht="25.5" hidden="1" customHeight="1">
      <c r="E184" s="168" t="s">
        <v>140</v>
      </c>
      <c r="F184" s="168" t="s">
        <v>153</v>
      </c>
      <c r="G184" s="168" t="s">
        <v>283</v>
      </c>
    </row>
    <row r="185" spans="5:7" s="167" customFormat="1" ht="25.5" hidden="1" customHeight="1">
      <c r="E185" s="168" t="s">
        <v>140</v>
      </c>
      <c r="F185" s="168" t="s">
        <v>153</v>
      </c>
      <c r="G185" s="168" t="s">
        <v>284</v>
      </c>
    </row>
    <row r="186" spans="5:7" s="167" customFormat="1" ht="25.5" hidden="1" customHeight="1">
      <c r="E186" s="168" t="s">
        <v>140</v>
      </c>
      <c r="F186" s="168" t="s">
        <v>153</v>
      </c>
      <c r="G186" s="168" t="s">
        <v>285</v>
      </c>
    </row>
    <row r="187" spans="5:7" s="167" customFormat="1" ht="25.5" hidden="1" customHeight="1">
      <c r="E187" s="168" t="s">
        <v>140</v>
      </c>
      <c r="F187" s="168" t="s">
        <v>286</v>
      </c>
      <c r="G187" s="168" t="s">
        <v>287</v>
      </c>
    </row>
    <row r="188" spans="5:7" s="167" customFormat="1" ht="25.5" hidden="1" customHeight="1">
      <c r="E188" s="168" t="s">
        <v>140</v>
      </c>
      <c r="F188" s="168" t="s">
        <v>286</v>
      </c>
      <c r="G188" s="169" t="s">
        <v>288</v>
      </c>
    </row>
    <row r="189" spans="5:7" s="167" customFormat="1" ht="25.5" hidden="1" customHeight="1">
      <c r="E189" s="168" t="s">
        <v>140</v>
      </c>
      <c r="F189" s="168" t="s">
        <v>153</v>
      </c>
      <c r="G189" s="168" t="s">
        <v>289</v>
      </c>
    </row>
    <row r="190" spans="5:7" s="167" customFormat="1" ht="25.5" hidden="1" customHeight="1">
      <c r="E190" s="168" t="s">
        <v>140</v>
      </c>
      <c r="F190" s="168" t="s">
        <v>153</v>
      </c>
      <c r="G190" s="168" t="s">
        <v>290</v>
      </c>
    </row>
    <row r="191" spans="5:7" s="167" customFormat="1" ht="25.5" hidden="1" customHeight="1">
      <c r="E191" s="168" t="s">
        <v>140</v>
      </c>
      <c r="F191" s="168" t="s">
        <v>153</v>
      </c>
      <c r="G191" s="168" t="s">
        <v>291</v>
      </c>
    </row>
    <row r="192" spans="5:7" s="167" customFormat="1" ht="25.5" hidden="1" customHeight="1">
      <c r="E192" s="168" t="s">
        <v>140</v>
      </c>
      <c r="F192" s="168" t="s">
        <v>153</v>
      </c>
      <c r="G192" s="168" t="s">
        <v>292</v>
      </c>
    </row>
    <row r="193" spans="5:7" s="167" customFormat="1" ht="25.5" hidden="1" customHeight="1">
      <c r="E193" s="168" t="s">
        <v>140</v>
      </c>
      <c r="F193" s="168" t="s">
        <v>153</v>
      </c>
      <c r="G193" s="168" t="s">
        <v>293</v>
      </c>
    </row>
    <row r="194" spans="5:7" s="167" customFormat="1" ht="25.5" hidden="1" customHeight="1">
      <c r="E194" s="168" t="s">
        <v>140</v>
      </c>
      <c r="F194" s="168" t="s">
        <v>153</v>
      </c>
      <c r="G194" s="168" t="s">
        <v>294</v>
      </c>
    </row>
    <row r="195" spans="5:7" s="167" customFormat="1" ht="25.5" hidden="1" customHeight="1">
      <c r="E195" s="168" t="s">
        <v>140</v>
      </c>
      <c r="F195" s="168" t="s">
        <v>153</v>
      </c>
      <c r="G195" s="168" t="s">
        <v>295</v>
      </c>
    </row>
    <row r="196" spans="5:7" s="167" customFormat="1" ht="25.5" hidden="1" customHeight="1">
      <c r="E196" s="168" t="s">
        <v>140</v>
      </c>
      <c r="F196" s="168" t="s">
        <v>153</v>
      </c>
      <c r="G196" s="168" t="s">
        <v>296</v>
      </c>
    </row>
    <row r="197" spans="5:7" s="167" customFormat="1" ht="25.5" hidden="1" customHeight="1">
      <c r="E197" s="168" t="s">
        <v>140</v>
      </c>
      <c r="F197" s="168" t="s">
        <v>153</v>
      </c>
      <c r="G197" s="168" t="s">
        <v>297</v>
      </c>
    </row>
    <row r="198" spans="5:7" s="167" customFormat="1" ht="25.5" hidden="1" customHeight="1">
      <c r="E198" s="168" t="s">
        <v>140</v>
      </c>
      <c r="F198" s="168" t="s">
        <v>153</v>
      </c>
      <c r="G198" s="168" t="s">
        <v>298</v>
      </c>
    </row>
    <row r="199" spans="5:7" s="167" customFormat="1" ht="25.5" hidden="1" customHeight="1">
      <c r="E199" s="168"/>
      <c r="F199" s="168"/>
      <c r="G199" s="168"/>
    </row>
    <row r="200" spans="5:7" s="167" customFormat="1" ht="25.5" hidden="1" customHeight="1">
      <c r="E200" s="168" t="s">
        <v>140</v>
      </c>
      <c r="F200" s="168" t="s">
        <v>299</v>
      </c>
      <c r="G200" s="168" t="s">
        <v>300</v>
      </c>
    </row>
    <row r="201" spans="5:7" s="167" customFormat="1" ht="25.5" hidden="1" customHeight="1">
      <c r="E201" s="168" t="s">
        <v>140</v>
      </c>
      <c r="F201" s="168" t="s">
        <v>299</v>
      </c>
      <c r="G201" s="168" t="s">
        <v>301</v>
      </c>
    </row>
    <row r="202" spans="5:7" s="167" customFormat="1" ht="25.5" hidden="1" customHeight="1">
      <c r="E202" s="168" t="s">
        <v>140</v>
      </c>
      <c r="F202" s="168" t="s">
        <v>302</v>
      </c>
      <c r="G202" s="168" t="s">
        <v>303</v>
      </c>
    </row>
    <row r="203" spans="5:7" s="167" customFormat="1" ht="25.5" hidden="1" customHeight="1">
      <c r="E203" s="168" t="s">
        <v>140</v>
      </c>
      <c r="F203" s="168" t="s">
        <v>304</v>
      </c>
      <c r="G203" s="168" t="s">
        <v>305</v>
      </c>
    </row>
    <row r="204" spans="5:7" s="167" customFormat="1" ht="25.5" hidden="1" customHeight="1">
      <c r="E204" s="168" t="s">
        <v>140</v>
      </c>
      <c r="F204" s="168" t="s">
        <v>304</v>
      </c>
      <c r="G204" s="168" t="s">
        <v>306</v>
      </c>
    </row>
    <row r="205" spans="5:7" s="167" customFormat="1" ht="25.5" hidden="1" customHeight="1">
      <c r="E205" s="168" t="s">
        <v>140</v>
      </c>
      <c r="F205" s="168" t="s">
        <v>304</v>
      </c>
      <c r="G205" s="168" t="s">
        <v>307</v>
      </c>
    </row>
    <row r="206" spans="5:7" s="167" customFormat="1" ht="25.5" hidden="1" customHeight="1">
      <c r="E206" s="168" t="s">
        <v>140</v>
      </c>
      <c r="F206" s="168" t="s">
        <v>304</v>
      </c>
      <c r="G206" s="172" t="s">
        <v>308</v>
      </c>
    </row>
    <row r="207" spans="5:7" s="167" customFormat="1" ht="25.5" hidden="1" customHeight="1">
      <c r="E207" s="168" t="s">
        <v>140</v>
      </c>
      <c r="F207" s="168" t="s">
        <v>304</v>
      </c>
      <c r="G207" s="172" t="s">
        <v>309</v>
      </c>
    </row>
    <row r="208" spans="5:7" s="167" customFormat="1" ht="25.5" hidden="1" customHeight="1">
      <c r="E208" s="168" t="s">
        <v>140</v>
      </c>
      <c r="F208" s="168" t="s">
        <v>299</v>
      </c>
      <c r="G208" s="169" t="s">
        <v>310</v>
      </c>
    </row>
    <row r="209" spans="5:7" s="167" customFormat="1" ht="25.5" hidden="1" customHeight="1">
      <c r="E209" s="168"/>
      <c r="F209" s="168"/>
      <c r="G209" s="169"/>
    </row>
    <row r="210" spans="5:7" s="167" customFormat="1" ht="25.5" hidden="1" customHeight="1">
      <c r="E210" s="168"/>
      <c r="F210" s="168"/>
      <c r="G210" s="172"/>
    </row>
    <row r="211" spans="5:7" s="167" customFormat="1" ht="25.5" hidden="1" customHeight="1">
      <c r="E211" s="168"/>
      <c r="F211" s="168"/>
      <c r="G211" s="168"/>
    </row>
    <row r="212" spans="5:7" s="167" customFormat="1" ht="25.5" hidden="1" customHeight="1">
      <c r="E212" s="168" t="s">
        <v>140</v>
      </c>
      <c r="F212" s="168" t="s">
        <v>158</v>
      </c>
      <c r="G212" s="168" t="s">
        <v>311</v>
      </c>
    </row>
    <row r="213" spans="5:7" s="167" customFormat="1" ht="25.5" hidden="1" customHeight="1">
      <c r="E213" s="168" t="s">
        <v>140</v>
      </c>
      <c r="F213" s="168" t="s">
        <v>158</v>
      </c>
      <c r="G213" s="168" t="s">
        <v>312</v>
      </c>
    </row>
    <row r="214" spans="5:7" s="167" customFormat="1" ht="25.5" hidden="1" customHeight="1">
      <c r="E214" s="168" t="s">
        <v>140</v>
      </c>
      <c r="F214" s="168" t="s">
        <v>158</v>
      </c>
      <c r="G214" s="168" t="s">
        <v>313</v>
      </c>
    </row>
    <row r="215" spans="5:7" s="167" customFormat="1" ht="25.5" hidden="1" customHeight="1">
      <c r="E215" s="168" t="s">
        <v>140</v>
      </c>
      <c r="F215" s="168" t="s">
        <v>158</v>
      </c>
      <c r="G215" s="168" t="s">
        <v>314</v>
      </c>
    </row>
    <row r="216" spans="5:7" s="167" customFormat="1" ht="25.5" hidden="1" customHeight="1">
      <c r="E216" s="168" t="s">
        <v>140</v>
      </c>
      <c r="F216" s="168" t="s">
        <v>158</v>
      </c>
      <c r="G216" s="168" t="s">
        <v>315</v>
      </c>
    </row>
    <row r="217" spans="5:7" s="167" customFormat="1" ht="25.5" hidden="1" customHeight="1">
      <c r="E217" s="168"/>
      <c r="F217" s="168"/>
      <c r="G217" s="168"/>
    </row>
    <row r="218" spans="5:7" s="167" customFormat="1" ht="25.5" hidden="1" customHeight="1">
      <c r="E218" s="168" t="s">
        <v>140</v>
      </c>
      <c r="F218" s="168" t="s">
        <v>160</v>
      </c>
      <c r="G218" s="168" t="s">
        <v>316</v>
      </c>
    </row>
    <row r="219" spans="5:7" s="167" customFormat="1" ht="25.5" hidden="1" customHeight="1">
      <c r="E219" s="168" t="s">
        <v>140</v>
      </c>
      <c r="F219" s="168" t="s">
        <v>160</v>
      </c>
      <c r="G219" s="168" t="s">
        <v>317</v>
      </c>
    </row>
    <row r="220" spans="5:7" s="167" customFormat="1" ht="25.5" hidden="1" customHeight="1">
      <c r="E220" s="168" t="s">
        <v>140</v>
      </c>
      <c r="F220" s="168" t="s">
        <v>160</v>
      </c>
      <c r="G220" s="168" t="s">
        <v>318</v>
      </c>
    </row>
    <row r="221" spans="5:7" s="167" customFormat="1" ht="25.5" hidden="1" customHeight="1">
      <c r="E221" s="168"/>
      <c r="F221" s="168"/>
      <c r="G221" s="168"/>
    </row>
    <row r="222" spans="5:7" s="167" customFormat="1" ht="25.5" hidden="1" customHeight="1">
      <c r="E222" s="168" t="s">
        <v>140</v>
      </c>
      <c r="F222" s="168" t="s">
        <v>162</v>
      </c>
      <c r="G222" s="168" t="s">
        <v>319</v>
      </c>
    </row>
    <row r="223" spans="5:7" s="167" customFormat="1" ht="25.5" hidden="1" customHeight="1">
      <c r="E223" s="168" t="s">
        <v>140</v>
      </c>
      <c r="F223" s="168" t="s">
        <v>162</v>
      </c>
      <c r="G223" s="168" t="s">
        <v>320</v>
      </c>
    </row>
    <row r="224" spans="5:7" s="167" customFormat="1" ht="25.5" hidden="1" customHeight="1">
      <c r="E224" s="168" t="s">
        <v>140</v>
      </c>
      <c r="F224" s="168" t="s">
        <v>162</v>
      </c>
      <c r="G224" s="168" t="s">
        <v>321</v>
      </c>
    </row>
    <row r="225" spans="5:7" s="167" customFormat="1" ht="25.5" hidden="1" customHeight="1">
      <c r="E225" s="168" t="s">
        <v>140</v>
      </c>
      <c r="F225" s="168" t="s">
        <v>162</v>
      </c>
      <c r="G225" s="168" t="s">
        <v>322</v>
      </c>
    </row>
    <row r="226" spans="5:7" s="167" customFormat="1" ht="25.5" hidden="1" customHeight="1">
      <c r="E226" s="168" t="s">
        <v>140</v>
      </c>
      <c r="F226" s="168" t="s">
        <v>162</v>
      </c>
      <c r="G226" s="168" t="s">
        <v>323</v>
      </c>
    </row>
    <row r="227" spans="5:7" s="167" customFormat="1" ht="25.5" hidden="1" customHeight="1">
      <c r="E227" s="168" t="s">
        <v>140</v>
      </c>
      <c r="F227" s="168" t="s">
        <v>162</v>
      </c>
      <c r="G227" s="168" t="s">
        <v>324</v>
      </c>
    </row>
    <row r="228" spans="5:7" s="167" customFormat="1" ht="25.5" hidden="1" customHeight="1">
      <c r="E228" s="168" t="s">
        <v>140</v>
      </c>
      <c r="F228" s="168" t="s">
        <v>325</v>
      </c>
      <c r="G228" s="168" t="s">
        <v>326</v>
      </c>
    </row>
    <row r="229" spans="5:7" s="167" customFormat="1" ht="25.5" hidden="1" customHeight="1">
      <c r="E229" s="168" t="s">
        <v>140</v>
      </c>
      <c r="F229" s="168" t="s">
        <v>327</v>
      </c>
      <c r="G229" s="168" t="s">
        <v>328</v>
      </c>
    </row>
    <row r="230" spans="5:7" s="167" customFormat="1" ht="25.5" hidden="1" customHeight="1">
      <c r="E230" s="168" t="s">
        <v>140</v>
      </c>
      <c r="F230" s="168" t="s">
        <v>327</v>
      </c>
      <c r="G230" s="168" t="s">
        <v>329</v>
      </c>
    </row>
    <row r="231" spans="5:7" s="167" customFormat="1" ht="25.5" hidden="1" customHeight="1">
      <c r="E231" s="168" t="s">
        <v>140</v>
      </c>
      <c r="F231" s="168" t="s">
        <v>327</v>
      </c>
      <c r="G231" s="168" t="s">
        <v>330</v>
      </c>
    </row>
    <row r="232" spans="5:7" s="167" customFormat="1" ht="25.5" hidden="1" customHeight="1">
      <c r="E232" s="168" t="s">
        <v>140</v>
      </c>
      <c r="F232" s="168" t="s">
        <v>327</v>
      </c>
      <c r="G232" s="168" t="s">
        <v>331</v>
      </c>
    </row>
    <row r="233" spans="5:7" s="167" customFormat="1" ht="25.5" hidden="1" customHeight="1">
      <c r="E233" s="168" t="s">
        <v>140</v>
      </c>
      <c r="F233" s="168" t="s">
        <v>327</v>
      </c>
      <c r="G233" s="168" t="s">
        <v>332</v>
      </c>
    </row>
    <row r="234" spans="5:7" s="167" customFormat="1" ht="25.5" hidden="1" customHeight="1">
      <c r="E234" s="168" t="s">
        <v>140</v>
      </c>
      <c r="F234" s="168" t="s">
        <v>327</v>
      </c>
      <c r="G234" s="168" t="s">
        <v>333</v>
      </c>
    </row>
    <row r="235" spans="5:7" s="167" customFormat="1" ht="25.5" hidden="1" customHeight="1">
      <c r="E235" s="168" t="s">
        <v>140</v>
      </c>
      <c r="F235" s="168" t="s">
        <v>327</v>
      </c>
      <c r="G235" s="168" t="s">
        <v>334</v>
      </c>
    </row>
    <row r="236" spans="5:7" s="167" customFormat="1" ht="25.5" hidden="1" customHeight="1">
      <c r="E236" s="168"/>
      <c r="F236" s="168"/>
      <c r="G236" s="168"/>
    </row>
    <row r="237" spans="5:7" s="167" customFormat="1" ht="25.5" hidden="1" customHeight="1">
      <c r="E237" s="168" t="s">
        <v>140</v>
      </c>
      <c r="F237" s="168" t="s">
        <v>335</v>
      </c>
      <c r="G237" s="168" t="s">
        <v>336</v>
      </c>
    </row>
    <row r="238" spans="5:7" s="167" customFormat="1" ht="25.5" hidden="1" customHeight="1">
      <c r="E238" s="168" t="s">
        <v>140</v>
      </c>
      <c r="F238" s="168" t="s">
        <v>335</v>
      </c>
      <c r="G238" s="168" t="s">
        <v>337</v>
      </c>
    </row>
    <row r="239" spans="5:7" s="167" customFormat="1" ht="25.5" hidden="1" customHeight="1">
      <c r="E239" s="168"/>
      <c r="F239" s="168"/>
      <c r="G239" s="168"/>
    </row>
    <row r="240" spans="5:7" s="167" customFormat="1" ht="25.5" hidden="1" customHeight="1">
      <c r="E240" s="168"/>
      <c r="F240" s="168"/>
      <c r="G240" s="168"/>
    </row>
    <row r="241" spans="5:7" s="167" customFormat="1" ht="25.5" hidden="1" customHeight="1">
      <c r="E241" s="168" t="s">
        <v>168</v>
      </c>
      <c r="F241" s="168" t="s">
        <v>338</v>
      </c>
      <c r="G241" s="168" t="s">
        <v>339</v>
      </c>
    </row>
    <row r="242" spans="5:7" s="167" customFormat="1" ht="25.5" hidden="1" customHeight="1">
      <c r="E242" s="168" t="s">
        <v>168</v>
      </c>
      <c r="F242" s="168" t="s">
        <v>338</v>
      </c>
      <c r="G242" s="168" t="s">
        <v>340</v>
      </c>
    </row>
    <row r="243" spans="5:7" s="167" customFormat="1" ht="25.5" hidden="1" customHeight="1">
      <c r="E243" s="168" t="s">
        <v>168</v>
      </c>
      <c r="F243" s="168" t="s">
        <v>338</v>
      </c>
      <c r="G243" s="168" t="s">
        <v>341</v>
      </c>
    </row>
    <row r="244" spans="5:7" s="167" customFormat="1" ht="25.5" hidden="1" customHeight="1">
      <c r="E244" s="168" t="s">
        <v>168</v>
      </c>
      <c r="F244" s="168" t="s">
        <v>168</v>
      </c>
      <c r="G244" s="168" t="s">
        <v>342</v>
      </c>
    </row>
    <row r="245" spans="5:7" s="167" customFormat="1" ht="25.5" hidden="1" customHeight="1">
      <c r="E245" s="168" t="s">
        <v>168</v>
      </c>
      <c r="F245" s="168" t="s">
        <v>168</v>
      </c>
      <c r="G245" s="168" t="s">
        <v>343</v>
      </c>
    </row>
    <row r="246" spans="5:7" s="167" customFormat="1" ht="25.5" hidden="1" customHeight="1">
      <c r="E246" s="168" t="s">
        <v>168</v>
      </c>
      <c r="F246" s="168" t="s">
        <v>168</v>
      </c>
      <c r="G246" s="168" t="s">
        <v>344</v>
      </c>
    </row>
    <row r="247" spans="5:7" s="167" customFormat="1" ht="25.5" hidden="1" customHeight="1">
      <c r="E247" s="168" t="s">
        <v>168</v>
      </c>
      <c r="F247" s="168" t="s">
        <v>168</v>
      </c>
      <c r="G247" s="168" t="s">
        <v>345</v>
      </c>
    </row>
    <row r="248" spans="5:7" s="167" customFormat="1" ht="25.5" hidden="1" customHeight="1">
      <c r="E248" s="168" t="s">
        <v>168</v>
      </c>
      <c r="F248" s="168" t="s">
        <v>168</v>
      </c>
      <c r="G248" s="168" t="s">
        <v>346</v>
      </c>
    </row>
    <row r="249" spans="5:7" s="167" customFormat="1" ht="25.5" hidden="1" customHeight="1">
      <c r="E249" s="168" t="s">
        <v>168</v>
      </c>
      <c r="F249" s="168" t="s">
        <v>168</v>
      </c>
      <c r="G249" s="168" t="s">
        <v>347</v>
      </c>
    </row>
    <row r="250" spans="5:7" s="167" customFormat="1" ht="25.5" hidden="1" customHeight="1">
      <c r="E250" s="168" t="s">
        <v>168</v>
      </c>
      <c r="F250" s="168" t="s">
        <v>168</v>
      </c>
      <c r="G250" s="168" t="s">
        <v>348</v>
      </c>
    </row>
    <row r="251" spans="5:7" s="167" customFormat="1" ht="25.5" hidden="1" customHeight="1">
      <c r="E251" s="168" t="s">
        <v>168</v>
      </c>
      <c r="F251" s="168" t="s">
        <v>338</v>
      </c>
      <c r="G251" s="168" t="s">
        <v>349</v>
      </c>
    </row>
    <row r="252" spans="5:7" s="167" customFormat="1" ht="25.5" hidden="1" customHeight="1">
      <c r="E252" s="168" t="s">
        <v>168</v>
      </c>
      <c r="F252" s="168" t="s">
        <v>338</v>
      </c>
      <c r="G252" s="168" t="s">
        <v>350</v>
      </c>
    </row>
    <row r="253" spans="5:7" s="167" customFormat="1" ht="25.5" hidden="1" customHeight="1">
      <c r="E253" s="168" t="s">
        <v>168</v>
      </c>
      <c r="F253" s="168" t="s">
        <v>338</v>
      </c>
      <c r="G253" s="168" t="s">
        <v>351</v>
      </c>
    </row>
    <row r="254" spans="5:7" s="167" customFormat="1" ht="25.5" hidden="1" customHeight="1">
      <c r="E254" s="168" t="s">
        <v>168</v>
      </c>
      <c r="F254" s="168" t="s">
        <v>352</v>
      </c>
      <c r="G254" s="168" t="s">
        <v>353</v>
      </c>
    </row>
    <row r="255" spans="5:7" s="167" customFormat="1" ht="25.5" hidden="1" customHeight="1">
      <c r="E255" s="167" t="s">
        <v>168</v>
      </c>
      <c r="F255" s="167" t="s">
        <v>352</v>
      </c>
      <c r="G255" s="167" t="s">
        <v>354</v>
      </c>
    </row>
    <row r="256" spans="5:7" s="167" customFormat="1" ht="25.5" hidden="1" customHeight="1">
      <c r="E256" s="167" t="s">
        <v>168</v>
      </c>
      <c r="F256" s="167" t="s">
        <v>352</v>
      </c>
      <c r="G256" s="167" t="s">
        <v>355</v>
      </c>
    </row>
    <row r="257" spans="5:7" s="167" customFormat="1" ht="25.5" hidden="1" customHeight="1">
      <c r="E257" s="167" t="s">
        <v>168</v>
      </c>
      <c r="F257" s="167" t="s">
        <v>352</v>
      </c>
      <c r="G257" s="167" t="s">
        <v>356</v>
      </c>
    </row>
    <row r="258" spans="5:7" s="167" customFormat="1" ht="25.5" hidden="1" customHeight="1">
      <c r="E258" s="167" t="s">
        <v>168</v>
      </c>
      <c r="F258" s="167" t="s">
        <v>352</v>
      </c>
      <c r="G258" s="167" t="s">
        <v>357</v>
      </c>
    </row>
    <row r="259" spans="5:7" s="167" customFormat="1" ht="25.5" hidden="1" customHeight="1">
      <c r="E259" s="167" t="s">
        <v>168</v>
      </c>
      <c r="F259" s="167" t="s">
        <v>352</v>
      </c>
      <c r="G259" s="167" t="s">
        <v>358</v>
      </c>
    </row>
    <row r="260" spans="5:7" s="167" customFormat="1" ht="25.5" hidden="1" customHeight="1">
      <c r="E260" s="167" t="s">
        <v>168</v>
      </c>
      <c r="F260" s="167" t="s">
        <v>352</v>
      </c>
      <c r="G260" s="167" t="s">
        <v>359</v>
      </c>
    </row>
    <row r="261" spans="5:7" s="167" customFormat="1" ht="25.5" hidden="1" customHeight="1">
      <c r="E261" s="167" t="s">
        <v>168</v>
      </c>
      <c r="F261" s="167" t="s">
        <v>352</v>
      </c>
      <c r="G261" s="167" t="s">
        <v>360</v>
      </c>
    </row>
    <row r="262" spans="5:7" s="167" customFormat="1" ht="25.5" hidden="1" customHeight="1">
      <c r="E262" s="167" t="s">
        <v>168</v>
      </c>
      <c r="F262" s="167" t="s">
        <v>352</v>
      </c>
      <c r="G262" s="168" t="s">
        <v>361</v>
      </c>
    </row>
    <row r="263" spans="5:7" s="167" customFormat="1" ht="25.5" hidden="1" customHeight="1">
      <c r="E263" s="167" t="s">
        <v>168</v>
      </c>
      <c r="F263" s="167" t="s">
        <v>168</v>
      </c>
      <c r="G263" s="167" t="s">
        <v>362</v>
      </c>
    </row>
    <row r="264" spans="5:7" s="167" customFormat="1" ht="25.5" hidden="1" customHeight="1">
      <c r="E264" s="167" t="s">
        <v>168</v>
      </c>
      <c r="F264" s="167" t="s">
        <v>168</v>
      </c>
      <c r="G264" s="167" t="s">
        <v>363</v>
      </c>
    </row>
    <row r="265" spans="5:7" s="167" customFormat="1" ht="25.5" hidden="1" customHeight="1">
      <c r="E265" s="167" t="s">
        <v>168</v>
      </c>
      <c r="F265" s="167" t="s">
        <v>168</v>
      </c>
      <c r="G265" s="167" t="s">
        <v>364</v>
      </c>
    </row>
    <row r="266" spans="5:7" s="167" customFormat="1" ht="25.5" hidden="1" customHeight="1">
      <c r="E266" s="167" t="s">
        <v>168</v>
      </c>
      <c r="F266" s="167" t="s">
        <v>168</v>
      </c>
      <c r="G266" s="167" t="s">
        <v>365</v>
      </c>
    </row>
    <row r="267" spans="5:7" s="167" customFormat="1" ht="25.5" hidden="1" customHeight="1">
      <c r="E267" s="167" t="s">
        <v>168</v>
      </c>
      <c r="F267" s="167" t="s">
        <v>168</v>
      </c>
      <c r="G267" s="167" t="s">
        <v>366</v>
      </c>
    </row>
    <row r="268" spans="5:7" s="167" customFormat="1" ht="25.5" hidden="1" customHeight="1">
      <c r="E268" s="167" t="s">
        <v>168</v>
      </c>
      <c r="F268" s="167" t="s">
        <v>168</v>
      </c>
      <c r="G268" s="167" t="s">
        <v>367</v>
      </c>
    </row>
    <row r="269" spans="5:7" s="167" customFormat="1" ht="25.5" hidden="1" customHeight="1">
      <c r="E269" s="167" t="s">
        <v>168</v>
      </c>
      <c r="F269" s="167" t="s">
        <v>168</v>
      </c>
      <c r="G269" s="167" t="s">
        <v>368</v>
      </c>
    </row>
    <row r="270" spans="5:7" s="167" customFormat="1" ht="25.5" hidden="1" customHeight="1">
      <c r="E270" s="167" t="s">
        <v>168</v>
      </c>
      <c r="F270" s="167" t="s">
        <v>168</v>
      </c>
      <c r="G270" s="167" t="s">
        <v>369</v>
      </c>
    </row>
    <row r="271" spans="5:7" s="167" customFormat="1" ht="25.5" hidden="1" customHeight="1">
      <c r="E271" s="167" t="s">
        <v>168</v>
      </c>
      <c r="F271" s="167" t="s">
        <v>168</v>
      </c>
      <c r="G271" s="167" t="s">
        <v>370</v>
      </c>
    </row>
    <row r="272" spans="5:7" s="167" customFormat="1" ht="25.5" hidden="1" customHeight="1">
      <c r="E272" s="167" t="s">
        <v>168</v>
      </c>
      <c r="F272" s="167" t="s">
        <v>168</v>
      </c>
      <c r="G272" s="167" t="s">
        <v>371</v>
      </c>
    </row>
    <row r="273" spans="5:7" s="167" customFormat="1" ht="25.5" hidden="1" customHeight="1">
      <c r="E273" s="167" t="s">
        <v>168</v>
      </c>
      <c r="F273" s="167" t="s">
        <v>168</v>
      </c>
      <c r="G273" s="172" t="s">
        <v>372</v>
      </c>
    </row>
    <row r="274" spans="5:7" s="167" customFormat="1" ht="25.5" hidden="1" customHeight="1">
      <c r="E274" s="167" t="s">
        <v>168</v>
      </c>
      <c r="F274" s="167" t="s">
        <v>168</v>
      </c>
      <c r="G274" s="172" t="s">
        <v>373</v>
      </c>
    </row>
    <row r="275" spans="5:7" s="167" customFormat="1" ht="25.5" hidden="1" customHeight="1">
      <c r="E275" s="167" t="s">
        <v>168</v>
      </c>
      <c r="F275" s="167" t="s">
        <v>168</v>
      </c>
      <c r="G275" s="169" t="s">
        <v>374</v>
      </c>
    </row>
    <row r="276" spans="5:7" s="167" customFormat="1" ht="25.5" hidden="1" customHeight="1">
      <c r="E276" s="167" t="s">
        <v>168</v>
      </c>
      <c r="F276" s="167" t="s">
        <v>168</v>
      </c>
      <c r="G276" s="169" t="s">
        <v>375</v>
      </c>
    </row>
    <row r="277" spans="5:7" s="167" customFormat="1" ht="25.5" hidden="1" customHeight="1">
      <c r="E277" s="167" t="s">
        <v>168</v>
      </c>
      <c r="F277" s="167" t="s">
        <v>168</v>
      </c>
      <c r="G277" s="167" t="s">
        <v>376</v>
      </c>
    </row>
    <row r="278" spans="5:7" s="167" customFormat="1" ht="25.5" hidden="1" customHeight="1">
      <c r="E278" s="167" t="s">
        <v>168</v>
      </c>
      <c r="F278" s="167" t="s">
        <v>168</v>
      </c>
      <c r="G278" s="167" t="s">
        <v>377</v>
      </c>
    </row>
    <row r="279" spans="5:7" s="167" customFormat="1" ht="25.5" hidden="1" customHeight="1">
      <c r="E279" s="167" t="s">
        <v>168</v>
      </c>
      <c r="F279" s="167" t="s">
        <v>168</v>
      </c>
      <c r="G279" s="173" t="s">
        <v>378</v>
      </c>
    </row>
    <row r="280" spans="5:7" s="167" customFormat="1" ht="25.5" hidden="1" customHeight="1">
      <c r="E280" s="167" t="s">
        <v>168</v>
      </c>
      <c r="F280" s="167" t="s">
        <v>168</v>
      </c>
      <c r="G280" s="167" t="s">
        <v>379</v>
      </c>
    </row>
    <row r="281" spans="5:7" s="167" customFormat="1" ht="25.5" hidden="1" customHeight="1">
      <c r="E281" s="167" t="s">
        <v>168</v>
      </c>
      <c r="F281" s="167" t="s">
        <v>168</v>
      </c>
      <c r="G281" s="173" t="s">
        <v>380</v>
      </c>
    </row>
    <row r="282" spans="5:7" s="167" customFormat="1" ht="25.5" hidden="1" customHeight="1">
      <c r="E282" s="167" t="s">
        <v>168</v>
      </c>
      <c r="F282" s="167" t="s">
        <v>168</v>
      </c>
      <c r="G282" s="173" t="s">
        <v>381</v>
      </c>
    </row>
    <row r="283" spans="5:7" s="167" customFormat="1" ht="25.5" hidden="1" customHeight="1">
      <c r="E283" s="167" t="s">
        <v>168</v>
      </c>
      <c r="F283" s="167" t="s">
        <v>168</v>
      </c>
      <c r="G283" s="174" t="s">
        <v>382</v>
      </c>
    </row>
    <row r="284" spans="5:7" s="167" customFormat="1" ht="25.5" hidden="1" customHeight="1">
      <c r="E284" s="167" t="s">
        <v>168</v>
      </c>
      <c r="F284" s="167" t="s">
        <v>168</v>
      </c>
      <c r="G284" s="167" t="s">
        <v>916</v>
      </c>
    </row>
    <row r="285" spans="5:7" s="167" customFormat="1" ht="25.5" hidden="1" customHeight="1">
      <c r="E285" s="167" t="s">
        <v>168</v>
      </c>
      <c r="F285" s="167" t="s">
        <v>168</v>
      </c>
    </row>
    <row r="286" spans="5:7" s="167" customFormat="1" ht="25.5" hidden="1" customHeight="1">
      <c r="E286" s="167" t="s">
        <v>168</v>
      </c>
      <c r="F286" s="167" t="s">
        <v>168</v>
      </c>
    </row>
    <row r="287" spans="5:7" s="167" customFormat="1" ht="25.5" hidden="1" customHeight="1">
      <c r="E287" s="167" t="s">
        <v>168</v>
      </c>
      <c r="F287" s="167" t="s">
        <v>168</v>
      </c>
    </row>
    <row r="288" spans="5:7" s="167" customFormat="1" ht="25.5" hidden="1" customHeight="1">
      <c r="E288" s="167" t="s">
        <v>168</v>
      </c>
      <c r="F288" s="167" t="s">
        <v>169</v>
      </c>
      <c r="G288" s="167" t="s">
        <v>383</v>
      </c>
    </row>
    <row r="289" spans="5:7" s="167" customFormat="1" ht="25.5" hidden="1" customHeight="1">
      <c r="E289" s="167" t="s">
        <v>168</v>
      </c>
      <c r="F289" s="167" t="s">
        <v>384</v>
      </c>
      <c r="G289" s="167" t="s">
        <v>385</v>
      </c>
    </row>
    <row r="290" spans="5:7" s="167" customFormat="1" ht="25.5" hidden="1" customHeight="1">
      <c r="E290" s="167" t="s">
        <v>168</v>
      </c>
      <c r="F290" s="167" t="s">
        <v>384</v>
      </c>
      <c r="G290" s="167" t="s">
        <v>386</v>
      </c>
    </row>
    <row r="291" spans="5:7" s="167" customFormat="1" ht="25.5" hidden="1" customHeight="1">
      <c r="E291" s="167" t="s">
        <v>168</v>
      </c>
      <c r="F291" s="167" t="s">
        <v>384</v>
      </c>
      <c r="G291" s="167" t="s">
        <v>387</v>
      </c>
    </row>
    <row r="292" spans="5:7" s="167" customFormat="1" ht="25.5" hidden="1" customHeight="1">
      <c r="E292" s="167" t="s">
        <v>168</v>
      </c>
      <c r="F292" s="167" t="s">
        <v>384</v>
      </c>
      <c r="G292" s="167" t="s">
        <v>388</v>
      </c>
    </row>
    <row r="293" spans="5:7" s="167" customFormat="1" ht="25.5" hidden="1" customHeight="1">
      <c r="E293" s="167" t="s">
        <v>168</v>
      </c>
      <c r="F293" s="167" t="s">
        <v>384</v>
      </c>
      <c r="G293" s="167" t="s">
        <v>389</v>
      </c>
    </row>
    <row r="294" spans="5:7" s="167" customFormat="1" ht="25.5" hidden="1" customHeight="1"/>
    <row r="295" spans="5:7" s="167" customFormat="1" ht="25.5" hidden="1" customHeight="1">
      <c r="E295" s="167" t="s">
        <v>168</v>
      </c>
      <c r="F295" s="167" t="s">
        <v>171</v>
      </c>
      <c r="G295" s="167" t="s">
        <v>390</v>
      </c>
    </row>
    <row r="296" spans="5:7" s="167" customFormat="1" ht="25.5" hidden="1" customHeight="1">
      <c r="E296" s="167" t="s">
        <v>168</v>
      </c>
      <c r="F296" s="167" t="s">
        <v>391</v>
      </c>
      <c r="G296" s="167" t="s">
        <v>392</v>
      </c>
    </row>
    <row r="297" spans="5:7" s="167" customFormat="1" ht="25.5" hidden="1" customHeight="1">
      <c r="E297" s="167" t="s">
        <v>168</v>
      </c>
      <c r="F297" s="167" t="s">
        <v>391</v>
      </c>
      <c r="G297" s="167" t="s">
        <v>393</v>
      </c>
    </row>
    <row r="298" spans="5:7" s="167" customFormat="1" ht="25.5" hidden="1" customHeight="1">
      <c r="E298" s="167" t="s">
        <v>168</v>
      </c>
      <c r="F298" s="167" t="s">
        <v>394</v>
      </c>
      <c r="G298" s="167" t="s">
        <v>395</v>
      </c>
    </row>
    <row r="299" spans="5:7" s="167" customFormat="1" ht="25.5" hidden="1" customHeight="1">
      <c r="E299" s="167" t="s">
        <v>168</v>
      </c>
      <c r="F299" s="167" t="s">
        <v>171</v>
      </c>
      <c r="G299" s="167" t="s">
        <v>396</v>
      </c>
    </row>
    <row r="300" spans="5:7" s="167" customFormat="1" ht="25.5" hidden="1" customHeight="1">
      <c r="E300" s="167" t="s">
        <v>168</v>
      </c>
      <c r="F300" s="167" t="s">
        <v>171</v>
      </c>
      <c r="G300" s="169" t="s">
        <v>397</v>
      </c>
    </row>
    <row r="301" spans="5:7" s="167" customFormat="1" ht="25.5" hidden="1" customHeight="1">
      <c r="E301" s="167" t="s">
        <v>168</v>
      </c>
      <c r="F301" s="167" t="s">
        <v>171</v>
      </c>
      <c r="G301" s="169" t="s">
        <v>398</v>
      </c>
    </row>
    <row r="302" spans="5:7" s="167" customFormat="1" ht="25.5" hidden="1" customHeight="1">
      <c r="E302" s="167" t="s">
        <v>168</v>
      </c>
      <c r="F302" s="167" t="s">
        <v>171</v>
      </c>
      <c r="G302" s="167" t="s">
        <v>399</v>
      </c>
    </row>
    <row r="303" spans="5:7" s="167" customFormat="1" ht="25.5" hidden="1" customHeight="1"/>
    <row r="304" spans="5:7" s="167" customFormat="1" ht="25.5" hidden="1" customHeight="1">
      <c r="E304" s="167" t="s">
        <v>168</v>
      </c>
      <c r="F304" s="167" t="s">
        <v>174</v>
      </c>
      <c r="G304" s="167" t="s">
        <v>400</v>
      </c>
    </row>
    <row r="305" spans="5:7" s="167" customFormat="1" ht="25.5" hidden="1" customHeight="1">
      <c r="E305" s="167" t="s">
        <v>168</v>
      </c>
      <c r="F305" s="167" t="s">
        <v>401</v>
      </c>
      <c r="G305" s="167" t="s">
        <v>402</v>
      </c>
    </row>
    <row r="306" spans="5:7" s="167" customFormat="1" ht="25.5" hidden="1" customHeight="1">
      <c r="E306" s="167" t="s">
        <v>168</v>
      </c>
      <c r="F306" s="167" t="s">
        <v>174</v>
      </c>
      <c r="G306" s="167" t="s">
        <v>403</v>
      </c>
    </row>
    <row r="307" spans="5:7" s="167" customFormat="1" ht="25.5" hidden="1" customHeight="1">
      <c r="E307" s="167" t="s">
        <v>168</v>
      </c>
      <c r="F307" s="167" t="s">
        <v>174</v>
      </c>
      <c r="G307" s="167" t="s">
        <v>404</v>
      </c>
    </row>
    <row r="308" spans="5:7" s="167" customFormat="1" ht="25.5" hidden="1" customHeight="1">
      <c r="E308" s="167" t="s">
        <v>168</v>
      </c>
      <c r="F308" s="167" t="s">
        <v>174</v>
      </c>
      <c r="G308" s="167" t="s">
        <v>405</v>
      </c>
    </row>
    <row r="309" spans="5:7" s="167" customFormat="1" ht="25.5" hidden="1" customHeight="1">
      <c r="E309" s="167" t="s">
        <v>168</v>
      </c>
      <c r="F309" s="167" t="s">
        <v>176</v>
      </c>
      <c r="G309" s="167" t="s">
        <v>406</v>
      </c>
    </row>
    <row r="310" spans="5:7" s="167" customFormat="1" ht="25.5" hidden="1" customHeight="1">
      <c r="E310" s="167" t="s">
        <v>168</v>
      </c>
      <c r="F310" s="167" t="s">
        <v>176</v>
      </c>
      <c r="G310" s="167" t="s">
        <v>407</v>
      </c>
    </row>
    <row r="311" spans="5:7" s="167" customFormat="1" ht="25.5" hidden="1" customHeight="1">
      <c r="E311" s="167" t="s">
        <v>168</v>
      </c>
      <c r="F311" s="167" t="s">
        <v>176</v>
      </c>
      <c r="G311" s="167" t="s">
        <v>408</v>
      </c>
    </row>
    <row r="312" spans="5:7" s="167" customFormat="1" ht="25.5" hidden="1" customHeight="1">
      <c r="E312" s="167" t="s">
        <v>168</v>
      </c>
      <c r="F312" s="167" t="s">
        <v>176</v>
      </c>
      <c r="G312" s="167" t="s">
        <v>409</v>
      </c>
    </row>
    <row r="313" spans="5:7" s="167" customFormat="1" ht="25.5" hidden="1" customHeight="1">
      <c r="E313" s="167" t="s">
        <v>168</v>
      </c>
      <c r="F313" s="167" t="s">
        <v>176</v>
      </c>
      <c r="G313" s="167" t="s">
        <v>410</v>
      </c>
    </row>
    <row r="314" spans="5:7" s="167" customFormat="1" ht="25.5" hidden="1" customHeight="1">
      <c r="E314" s="167" t="s">
        <v>168</v>
      </c>
      <c r="F314" s="167" t="s">
        <v>411</v>
      </c>
      <c r="G314" s="167" t="s">
        <v>412</v>
      </c>
    </row>
    <row r="315" spans="5:7" s="167" customFormat="1" ht="25.5" hidden="1" customHeight="1">
      <c r="E315" s="167" t="s">
        <v>168</v>
      </c>
      <c r="F315" s="167" t="s">
        <v>411</v>
      </c>
      <c r="G315" s="167" t="s">
        <v>413</v>
      </c>
    </row>
    <row r="316" spans="5:7" s="167" customFormat="1" ht="25.5" hidden="1" customHeight="1">
      <c r="E316" s="167" t="s">
        <v>168</v>
      </c>
      <c r="F316" s="167" t="s">
        <v>411</v>
      </c>
      <c r="G316" s="167" t="s">
        <v>414</v>
      </c>
    </row>
    <row r="317" spans="5:7" s="167" customFormat="1" ht="25.5" hidden="1" customHeight="1">
      <c r="E317" s="167" t="s">
        <v>168</v>
      </c>
      <c r="F317" s="167" t="s">
        <v>411</v>
      </c>
      <c r="G317" s="167" t="s">
        <v>415</v>
      </c>
    </row>
    <row r="318" spans="5:7" s="167" customFormat="1" ht="25.5" hidden="1" customHeight="1">
      <c r="E318" s="167" t="s">
        <v>168</v>
      </c>
      <c r="F318" s="167" t="s">
        <v>411</v>
      </c>
      <c r="G318" s="167" t="s">
        <v>416</v>
      </c>
    </row>
    <row r="319" spans="5:7" s="167" customFormat="1" ht="25.5" hidden="1" customHeight="1">
      <c r="E319" s="167" t="s">
        <v>168</v>
      </c>
      <c r="F319" s="167" t="s">
        <v>411</v>
      </c>
      <c r="G319" s="167" t="s">
        <v>417</v>
      </c>
    </row>
    <row r="320" spans="5:7" s="167" customFormat="1" ht="25.5" hidden="1" customHeight="1">
      <c r="E320" s="167" t="s">
        <v>168</v>
      </c>
      <c r="F320" s="167" t="s">
        <v>411</v>
      </c>
      <c r="G320" s="167" t="s">
        <v>418</v>
      </c>
    </row>
    <row r="321" spans="5:7" s="167" customFormat="1" ht="25.5" hidden="1" customHeight="1">
      <c r="E321" s="167" t="s">
        <v>168</v>
      </c>
      <c r="F321" s="167" t="s">
        <v>411</v>
      </c>
      <c r="G321" s="167" t="s">
        <v>419</v>
      </c>
    </row>
    <row r="322" spans="5:7" s="167" customFormat="1" ht="25.5" hidden="1" customHeight="1">
      <c r="E322" s="167" t="s">
        <v>168</v>
      </c>
      <c r="F322" s="167" t="s">
        <v>178</v>
      </c>
      <c r="G322" s="167" t="s">
        <v>420</v>
      </c>
    </row>
    <row r="323" spans="5:7" s="167" customFormat="1" ht="25.5" hidden="1" customHeight="1">
      <c r="E323" s="167" t="s">
        <v>168</v>
      </c>
      <c r="F323" s="167" t="s">
        <v>178</v>
      </c>
      <c r="G323" s="167" t="s">
        <v>421</v>
      </c>
    </row>
    <row r="324" spans="5:7" s="167" customFormat="1" ht="25.5" hidden="1" customHeight="1">
      <c r="E324" s="167" t="s">
        <v>168</v>
      </c>
      <c r="F324" s="167" t="s">
        <v>178</v>
      </c>
      <c r="G324" s="167" t="s">
        <v>422</v>
      </c>
    </row>
    <row r="325" spans="5:7" s="167" customFormat="1" ht="25.5" hidden="1" customHeight="1">
      <c r="E325" s="167" t="s">
        <v>168</v>
      </c>
      <c r="F325" s="167" t="s">
        <v>178</v>
      </c>
      <c r="G325" s="167" t="s">
        <v>423</v>
      </c>
    </row>
    <row r="326" spans="5:7" s="167" customFormat="1" ht="25.5" hidden="1" customHeight="1">
      <c r="E326" s="167" t="s">
        <v>168</v>
      </c>
      <c r="F326" s="167" t="s">
        <v>180</v>
      </c>
      <c r="G326" s="167" t="s">
        <v>424</v>
      </c>
    </row>
    <row r="327" spans="5:7" s="167" customFormat="1" ht="25.5" hidden="1" customHeight="1">
      <c r="E327" s="167" t="s">
        <v>168</v>
      </c>
      <c r="F327" s="167" t="s">
        <v>180</v>
      </c>
      <c r="G327" s="167" t="s">
        <v>425</v>
      </c>
    </row>
    <row r="328" spans="5:7" s="167" customFormat="1" ht="25.5" hidden="1" customHeight="1">
      <c r="E328" s="167" t="s">
        <v>168</v>
      </c>
      <c r="F328" s="167" t="s">
        <v>426</v>
      </c>
      <c r="G328" s="167" t="s">
        <v>427</v>
      </c>
    </row>
    <row r="329" spans="5:7" s="167" customFormat="1" ht="25.5" hidden="1" customHeight="1">
      <c r="E329" s="167" t="s">
        <v>168</v>
      </c>
      <c r="F329" s="167" t="s">
        <v>180</v>
      </c>
      <c r="G329" s="167" t="s">
        <v>428</v>
      </c>
    </row>
    <row r="330" spans="5:7" s="167" customFormat="1" ht="25.5" hidden="1" customHeight="1">
      <c r="E330" s="167" t="s">
        <v>168</v>
      </c>
      <c r="F330" s="167" t="s">
        <v>429</v>
      </c>
      <c r="G330" s="167" t="s">
        <v>430</v>
      </c>
    </row>
    <row r="331" spans="5:7" s="167" customFormat="1" ht="25.5" hidden="1" customHeight="1">
      <c r="E331" s="167" t="s">
        <v>168</v>
      </c>
      <c r="F331" s="167" t="s">
        <v>429</v>
      </c>
      <c r="G331" s="167" t="s">
        <v>431</v>
      </c>
    </row>
    <row r="332" spans="5:7" s="167" customFormat="1" ht="25.5" hidden="1" customHeight="1">
      <c r="E332" s="167" t="s">
        <v>168</v>
      </c>
      <c r="F332" s="167" t="s">
        <v>429</v>
      </c>
      <c r="G332" s="167" t="s">
        <v>432</v>
      </c>
    </row>
    <row r="333" spans="5:7" s="167" customFormat="1" ht="25.5" hidden="1" customHeight="1">
      <c r="E333" s="167" t="s">
        <v>168</v>
      </c>
      <c r="F333" s="167" t="s">
        <v>429</v>
      </c>
      <c r="G333" s="167" t="s">
        <v>433</v>
      </c>
    </row>
    <row r="334" spans="5:7" s="167" customFormat="1" ht="25.5" hidden="1" customHeight="1">
      <c r="E334" s="167" t="s">
        <v>168</v>
      </c>
      <c r="F334" s="167" t="s">
        <v>182</v>
      </c>
      <c r="G334" s="167" t="s">
        <v>434</v>
      </c>
    </row>
    <row r="335" spans="5:7" s="167" customFormat="1" ht="25.5" hidden="1" customHeight="1">
      <c r="E335" s="167" t="s">
        <v>168</v>
      </c>
      <c r="F335" s="167" t="s">
        <v>182</v>
      </c>
      <c r="G335" s="167" t="s">
        <v>435</v>
      </c>
    </row>
    <row r="336" spans="5:7" s="167" customFormat="1" ht="25.5" hidden="1" customHeight="1">
      <c r="E336" s="167" t="s">
        <v>168</v>
      </c>
      <c r="F336" s="167" t="s">
        <v>182</v>
      </c>
      <c r="G336" s="169" t="s">
        <v>436</v>
      </c>
    </row>
    <row r="337" spans="5:7" s="167" customFormat="1" ht="25.5" hidden="1" customHeight="1">
      <c r="E337" s="167" t="s">
        <v>168</v>
      </c>
      <c r="F337" s="167" t="s">
        <v>182</v>
      </c>
      <c r="G337" s="169" t="s">
        <v>437</v>
      </c>
    </row>
    <row r="338" spans="5:7" s="167" customFormat="1" ht="25.5" hidden="1" customHeight="1">
      <c r="E338" s="167" t="s">
        <v>168</v>
      </c>
      <c r="F338" s="167" t="s">
        <v>182</v>
      </c>
      <c r="G338" s="167" t="s">
        <v>438</v>
      </c>
    </row>
    <row r="339" spans="5:7" s="167" customFormat="1" ht="25.5" hidden="1" customHeight="1">
      <c r="E339" s="167" t="s">
        <v>168</v>
      </c>
      <c r="F339" s="167" t="s">
        <v>182</v>
      </c>
      <c r="G339" s="167" t="s">
        <v>439</v>
      </c>
    </row>
    <row r="340" spans="5:7" s="167" customFormat="1" ht="25.5" hidden="1" customHeight="1">
      <c r="E340" s="167" t="s">
        <v>168</v>
      </c>
      <c r="F340" s="167" t="s">
        <v>182</v>
      </c>
      <c r="G340" s="167" t="s">
        <v>440</v>
      </c>
    </row>
    <row r="341" spans="5:7" s="167" customFormat="1" ht="25.5" hidden="1" customHeight="1">
      <c r="E341" s="167" t="s">
        <v>168</v>
      </c>
      <c r="F341" s="167" t="s">
        <v>441</v>
      </c>
      <c r="G341" s="167" t="s">
        <v>442</v>
      </c>
    </row>
    <row r="342" spans="5:7" s="167" customFormat="1" ht="25.5" hidden="1" customHeight="1">
      <c r="E342" s="167" t="s">
        <v>168</v>
      </c>
      <c r="F342" s="167" t="s">
        <v>443</v>
      </c>
      <c r="G342" s="167" t="s">
        <v>444</v>
      </c>
    </row>
    <row r="343" spans="5:7" s="167" customFormat="1" ht="25.5" hidden="1" customHeight="1">
      <c r="E343" s="167" t="s">
        <v>168</v>
      </c>
      <c r="F343" s="167" t="s">
        <v>443</v>
      </c>
      <c r="G343" s="167" t="s">
        <v>445</v>
      </c>
    </row>
    <row r="344" spans="5:7" s="167" customFormat="1" ht="25.5" hidden="1" customHeight="1"/>
    <row r="345" spans="5:7" s="167" customFormat="1" ht="25.5" hidden="1" customHeight="1">
      <c r="E345" s="167" t="s">
        <v>168</v>
      </c>
      <c r="F345" s="167" t="s">
        <v>443</v>
      </c>
      <c r="G345" s="169" t="s">
        <v>446</v>
      </c>
    </row>
    <row r="346" spans="5:7" s="167" customFormat="1" ht="25.5" hidden="1" customHeight="1">
      <c r="E346" s="167" t="s">
        <v>168</v>
      </c>
      <c r="F346" s="167" t="s">
        <v>443</v>
      </c>
      <c r="G346" s="169" t="s">
        <v>447</v>
      </c>
    </row>
    <row r="347" spans="5:7" s="167" customFormat="1" ht="25.5" hidden="1" customHeight="1">
      <c r="E347" s="167" t="s">
        <v>168</v>
      </c>
      <c r="F347" s="167" t="s">
        <v>443</v>
      </c>
      <c r="G347" s="167" t="s">
        <v>448</v>
      </c>
    </row>
    <row r="348" spans="5:7" s="167" customFormat="1" ht="25.5" hidden="1" customHeight="1"/>
    <row r="349" spans="5:7" s="167" customFormat="1" ht="25.5" hidden="1" customHeight="1">
      <c r="E349" s="167" t="s">
        <v>168</v>
      </c>
      <c r="F349" s="167" t="s">
        <v>185</v>
      </c>
      <c r="G349" s="167" t="s">
        <v>449</v>
      </c>
    </row>
    <row r="350" spans="5:7" s="167" customFormat="1" ht="25.5" hidden="1" customHeight="1">
      <c r="E350" s="167" t="s">
        <v>168</v>
      </c>
      <c r="F350" s="167" t="s">
        <v>185</v>
      </c>
      <c r="G350" s="167" t="s">
        <v>450</v>
      </c>
    </row>
    <row r="351" spans="5:7" s="167" customFormat="1" ht="25.5" hidden="1" customHeight="1">
      <c r="E351" s="167" t="s">
        <v>168</v>
      </c>
      <c r="F351" s="167" t="s">
        <v>185</v>
      </c>
      <c r="G351" s="167" t="s">
        <v>451</v>
      </c>
    </row>
    <row r="352" spans="5:7" s="167" customFormat="1" ht="25.5" hidden="1" customHeight="1">
      <c r="E352" s="167" t="s">
        <v>168</v>
      </c>
      <c r="F352" s="167" t="s">
        <v>185</v>
      </c>
      <c r="G352" s="167" t="s">
        <v>452</v>
      </c>
    </row>
    <row r="353" spans="5:7" s="167" customFormat="1" ht="25.5" hidden="1" customHeight="1">
      <c r="E353" s="167" t="s">
        <v>168</v>
      </c>
      <c r="F353" s="167" t="s">
        <v>453</v>
      </c>
      <c r="G353" s="167" t="s">
        <v>454</v>
      </c>
    </row>
    <row r="354" spans="5:7" s="167" customFormat="1" ht="25.5" hidden="1" customHeight="1">
      <c r="E354" s="167" t="s">
        <v>168</v>
      </c>
      <c r="F354" s="167" t="s">
        <v>453</v>
      </c>
      <c r="G354" s="167" t="s">
        <v>455</v>
      </c>
    </row>
    <row r="355" spans="5:7" s="167" customFormat="1" ht="25.5" hidden="1" customHeight="1">
      <c r="E355" s="167" t="s">
        <v>168</v>
      </c>
      <c r="F355" s="167" t="s">
        <v>453</v>
      </c>
      <c r="G355" s="167" t="s">
        <v>456</v>
      </c>
    </row>
    <row r="356" spans="5:7" s="167" customFormat="1" ht="25.5" hidden="1" customHeight="1"/>
    <row r="357" spans="5:7" s="167" customFormat="1" ht="25.5" hidden="1" customHeight="1">
      <c r="E357" s="167" t="s">
        <v>168</v>
      </c>
      <c r="F357" s="167" t="s">
        <v>186</v>
      </c>
      <c r="G357" s="167" t="s">
        <v>457</v>
      </c>
    </row>
    <row r="358" spans="5:7" s="167" customFormat="1" ht="25.5" hidden="1" customHeight="1">
      <c r="E358" s="167" t="s">
        <v>168</v>
      </c>
      <c r="F358" s="167" t="s">
        <v>186</v>
      </c>
      <c r="G358" s="167" t="s">
        <v>458</v>
      </c>
    </row>
    <row r="359" spans="5:7" s="167" customFormat="1" ht="25.5" hidden="1" customHeight="1">
      <c r="E359" s="167" t="s">
        <v>168</v>
      </c>
      <c r="F359" s="167" t="s">
        <v>186</v>
      </c>
      <c r="G359" s="167" t="s">
        <v>459</v>
      </c>
    </row>
    <row r="360" spans="5:7" s="167" customFormat="1" ht="25.5" hidden="1" customHeight="1"/>
    <row r="361" spans="5:7" s="167" customFormat="1" ht="25.5" hidden="1" customHeight="1"/>
    <row r="362" spans="5:7" s="167" customFormat="1" ht="25.5" hidden="1" customHeight="1">
      <c r="E362" s="167" t="s">
        <v>168</v>
      </c>
      <c r="F362" s="167" t="s">
        <v>187</v>
      </c>
      <c r="G362" s="167" t="s">
        <v>460</v>
      </c>
    </row>
    <row r="363" spans="5:7" s="167" customFormat="1" ht="25.5" hidden="1" customHeight="1">
      <c r="E363" s="167" t="s">
        <v>168</v>
      </c>
      <c r="F363" s="167" t="s">
        <v>187</v>
      </c>
      <c r="G363" s="167" t="s">
        <v>461</v>
      </c>
    </row>
    <row r="364" spans="5:7" s="167" customFormat="1" ht="25.5" hidden="1" customHeight="1">
      <c r="E364" s="167" t="s">
        <v>168</v>
      </c>
      <c r="F364" s="167" t="s">
        <v>187</v>
      </c>
      <c r="G364" s="167" t="s">
        <v>462</v>
      </c>
    </row>
    <row r="365" spans="5:7" s="167" customFormat="1" ht="25.5" hidden="1" customHeight="1"/>
    <row r="366" spans="5:7" s="167" customFormat="1" ht="25.5" hidden="1" customHeight="1">
      <c r="E366" s="167" t="s">
        <v>168</v>
      </c>
      <c r="F366" s="167" t="s">
        <v>188</v>
      </c>
      <c r="G366" s="167" t="s">
        <v>463</v>
      </c>
    </row>
    <row r="367" spans="5:7" s="167" customFormat="1" ht="25.5" hidden="1" customHeight="1">
      <c r="E367" s="167" t="s">
        <v>168</v>
      </c>
      <c r="F367" s="167" t="s">
        <v>188</v>
      </c>
      <c r="G367" s="167" t="s">
        <v>464</v>
      </c>
    </row>
    <row r="368" spans="5:7" s="167" customFormat="1" ht="25.5" hidden="1" customHeight="1">
      <c r="E368" s="167" t="s">
        <v>168</v>
      </c>
      <c r="F368" s="167" t="s">
        <v>188</v>
      </c>
      <c r="G368" s="167" t="s">
        <v>465</v>
      </c>
    </row>
    <row r="369" spans="5:7" s="167" customFormat="1" ht="25.5" hidden="1" customHeight="1">
      <c r="E369" s="167" t="s">
        <v>168</v>
      </c>
      <c r="F369" s="167" t="s">
        <v>466</v>
      </c>
      <c r="G369" s="167" t="s">
        <v>467</v>
      </c>
    </row>
    <row r="370" spans="5:7" s="167" customFormat="1" ht="25.5" hidden="1" customHeight="1">
      <c r="E370" s="167" t="s">
        <v>168</v>
      </c>
      <c r="F370" s="167" t="s">
        <v>466</v>
      </c>
      <c r="G370" s="167" t="s">
        <v>468</v>
      </c>
    </row>
    <row r="371" spans="5:7" s="167" customFormat="1" ht="25.5" hidden="1" customHeight="1">
      <c r="E371" s="167" t="s">
        <v>168</v>
      </c>
      <c r="F371" s="167" t="s">
        <v>188</v>
      </c>
      <c r="G371" s="167" t="s">
        <v>469</v>
      </c>
    </row>
    <row r="372" spans="5:7" s="167" customFormat="1" ht="25.5" hidden="1" customHeight="1">
      <c r="E372" s="167" t="s">
        <v>168</v>
      </c>
      <c r="F372" s="167" t="s">
        <v>188</v>
      </c>
      <c r="G372" s="168" t="s">
        <v>470</v>
      </c>
    </row>
    <row r="373" spans="5:7" s="167" customFormat="1" ht="25.5" hidden="1" customHeight="1">
      <c r="E373" s="167" t="s">
        <v>168</v>
      </c>
      <c r="F373" s="167" t="s">
        <v>188</v>
      </c>
      <c r="G373" s="168" t="s">
        <v>471</v>
      </c>
    </row>
    <row r="374" spans="5:7" s="167" customFormat="1" ht="25.5" hidden="1" customHeight="1">
      <c r="E374" s="167" t="s">
        <v>168</v>
      </c>
      <c r="F374" s="167" t="s">
        <v>188</v>
      </c>
      <c r="G374" s="168" t="s">
        <v>472</v>
      </c>
    </row>
    <row r="375" spans="5:7" s="167" customFormat="1" ht="25.5" hidden="1" customHeight="1">
      <c r="E375" s="167" t="s">
        <v>168</v>
      </c>
      <c r="F375" s="167" t="s">
        <v>188</v>
      </c>
      <c r="G375" s="168" t="s">
        <v>473</v>
      </c>
    </row>
    <row r="376" spans="5:7" s="167" customFormat="1" ht="25.5" hidden="1" customHeight="1">
      <c r="E376" s="167" t="s">
        <v>168</v>
      </c>
      <c r="F376" s="167" t="s">
        <v>188</v>
      </c>
      <c r="G376" s="168" t="s">
        <v>474</v>
      </c>
    </row>
    <row r="377" spans="5:7" s="167" customFormat="1" ht="25.5" hidden="1" customHeight="1">
      <c r="E377" s="167" t="s">
        <v>168</v>
      </c>
      <c r="F377" s="167" t="s">
        <v>188</v>
      </c>
      <c r="G377" s="168" t="s">
        <v>475</v>
      </c>
    </row>
    <row r="378" spans="5:7" s="167" customFormat="1" ht="25.5" hidden="1" customHeight="1">
      <c r="E378" s="167" t="s">
        <v>168</v>
      </c>
      <c r="F378" s="167" t="s">
        <v>188</v>
      </c>
      <c r="G378" s="168" t="s">
        <v>476</v>
      </c>
    </row>
    <row r="379" spans="5:7" s="167" customFormat="1" ht="25.5" hidden="1" customHeight="1">
      <c r="E379" s="167" t="s">
        <v>168</v>
      </c>
      <c r="F379" s="167" t="s">
        <v>188</v>
      </c>
      <c r="G379" s="168" t="s">
        <v>477</v>
      </c>
    </row>
    <row r="380" spans="5:7" s="167" customFormat="1" ht="25.5" hidden="1" customHeight="1">
      <c r="E380" s="167" t="s">
        <v>168</v>
      </c>
      <c r="F380" s="167" t="s">
        <v>188</v>
      </c>
      <c r="G380" s="167" t="s">
        <v>478</v>
      </c>
    </row>
    <row r="381" spans="5:7" s="167" customFormat="1" ht="25.5" hidden="1" customHeight="1">
      <c r="E381" s="167" t="s">
        <v>189</v>
      </c>
      <c r="F381" s="167" t="s">
        <v>190</v>
      </c>
      <c r="G381" s="167" t="s">
        <v>479</v>
      </c>
    </row>
    <row r="382" spans="5:7" s="167" customFormat="1" ht="25.5" hidden="1" customHeight="1">
      <c r="E382" s="167" t="s">
        <v>189</v>
      </c>
      <c r="F382" s="167" t="s">
        <v>190</v>
      </c>
      <c r="G382" s="167" t="s">
        <v>480</v>
      </c>
    </row>
    <row r="383" spans="5:7" s="167" customFormat="1" ht="25.5" hidden="1" customHeight="1">
      <c r="E383" s="167" t="s">
        <v>189</v>
      </c>
      <c r="F383" s="167" t="s">
        <v>190</v>
      </c>
      <c r="G383" s="167" t="s">
        <v>481</v>
      </c>
    </row>
    <row r="384" spans="5:7" s="167" customFormat="1" ht="25.5" hidden="1" customHeight="1">
      <c r="E384" s="167" t="s">
        <v>189</v>
      </c>
      <c r="F384" s="167" t="s">
        <v>190</v>
      </c>
      <c r="G384" s="167" t="s">
        <v>482</v>
      </c>
    </row>
    <row r="385" spans="5:7" s="167" customFormat="1" ht="25.5" hidden="1" customHeight="1">
      <c r="E385" s="167" t="s">
        <v>189</v>
      </c>
      <c r="F385" s="167" t="s">
        <v>190</v>
      </c>
      <c r="G385" s="167" t="s">
        <v>483</v>
      </c>
    </row>
    <row r="386" spans="5:7" s="167" customFormat="1" ht="25.5" hidden="1" customHeight="1">
      <c r="E386" s="167" t="s">
        <v>189</v>
      </c>
      <c r="F386" s="167" t="s">
        <v>190</v>
      </c>
      <c r="G386" s="167" t="s">
        <v>484</v>
      </c>
    </row>
    <row r="387" spans="5:7" s="167" customFormat="1" ht="25.5" hidden="1" customHeight="1">
      <c r="E387" s="167" t="s">
        <v>189</v>
      </c>
      <c r="F387" s="167" t="s">
        <v>190</v>
      </c>
      <c r="G387" s="167" t="s">
        <v>485</v>
      </c>
    </row>
    <row r="388" spans="5:7" s="167" customFormat="1" ht="25.5" hidden="1" customHeight="1">
      <c r="E388" s="167" t="s">
        <v>189</v>
      </c>
      <c r="F388" s="167" t="s">
        <v>192</v>
      </c>
      <c r="G388" s="167" t="s">
        <v>486</v>
      </c>
    </row>
    <row r="389" spans="5:7" s="167" customFormat="1" ht="25.5" hidden="1" customHeight="1">
      <c r="E389" s="167" t="s">
        <v>189</v>
      </c>
      <c r="F389" s="167" t="s">
        <v>487</v>
      </c>
      <c r="G389" s="167" t="s">
        <v>488</v>
      </c>
    </row>
    <row r="390" spans="5:7" s="167" customFormat="1" ht="25.5" hidden="1" customHeight="1">
      <c r="E390" s="167" t="s">
        <v>189</v>
      </c>
      <c r="F390" s="167" t="s">
        <v>487</v>
      </c>
      <c r="G390" s="167" t="s">
        <v>489</v>
      </c>
    </row>
    <row r="391" spans="5:7" s="167" customFormat="1" ht="25.5" hidden="1" customHeight="1">
      <c r="E391" s="167" t="s">
        <v>189</v>
      </c>
      <c r="F391" s="167" t="s">
        <v>487</v>
      </c>
      <c r="G391" s="167" t="s">
        <v>490</v>
      </c>
    </row>
    <row r="392" spans="5:7" s="167" customFormat="1" ht="25.5" hidden="1" customHeight="1">
      <c r="E392" s="167" t="s">
        <v>189</v>
      </c>
      <c r="F392" s="167" t="s">
        <v>487</v>
      </c>
      <c r="G392" s="167" t="s">
        <v>491</v>
      </c>
    </row>
    <row r="393" spans="5:7" s="167" customFormat="1" ht="25.5" hidden="1" customHeight="1">
      <c r="E393" s="167" t="s">
        <v>189</v>
      </c>
      <c r="F393" s="167" t="s">
        <v>487</v>
      </c>
      <c r="G393" s="167" t="s">
        <v>492</v>
      </c>
    </row>
    <row r="394" spans="5:7" s="167" customFormat="1" ht="25.5" hidden="1" customHeight="1">
      <c r="E394" s="167" t="s">
        <v>189</v>
      </c>
      <c r="F394" s="167" t="s">
        <v>194</v>
      </c>
      <c r="G394" s="167" t="s">
        <v>493</v>
      </c>
    </row>
    <row r="395" spans="5:7" s="167" customFormat="1" ht="25.5" hidden="1" customHeight="1">
      <c r="E395" s="167" t="s">
        <v>189</v>
      </c>
      <c r="F395" s="167" t="s">
        <v>494</v>
      </c>
      <c r="G395" s="167" t="s">
        <v>495</v>
      </c>
    </row>
    <row r="396" spans="5:7" s="167" customFormat="1" ht="25.5" hidden="1" customHeight="1">
      <c r="E396" s="167" t="s">
        <v>189</v>
      </c>
      <c r="F396" s="167" t="s">
        <v>496</v>
      </c>
      <c r="G396" s="167" t="s">
        <v>497</v>
      </c>
    </row>
    <row r="397" spans="5:7" s="167" customFormat="1" ht="25.5" hidden="1" customHeight="1">
      <c r="E397" s="167" t="s">
        <v>189</v>
      </c>
      <c r="F397" s="167" t="s">
        <v>496</v>
      </c>
      <c r="G397" s="167" t="s">
        <v>498</v>
      </c>
    </row>
    <row r="398" spans="5:7" s="167" customFormat="1" ht="25.5" hidden="1" customHeight="1">
      <c r="E398" s="167" t="s">
        <v>189</v>
      </c>
      <c r="F398" s="167" t="s">
        <v>496</v>
      </c>
      <c r="G398" s="167" t="s">
        <v>499</v>
      </c>
    </row>
    <row r="399" spans="5:7" s="167" customFormat="1" ht="25.5" hidden="1" customHeight="1">
      <c r="E399" s="167" t="s">
        <v>189</v>
      </c>
      <c r="F399" s="167" t="s">
        <v>496</v>
      </c>
      <c r="G399" s="167" t="s">
        <v>500</v>
      </c>
    </row>
    <row r="400" spans="5:7" s="167" customFormat="1" ht="25.5" hidden="1" customHeight="1">
      <c r="E400" s="167" t="s">
        <v>189</v>
      </c>
      <c r="F400" s="167" t="s">
        <v>496</v>
      </c>
      <c r="G400" s="167" t="s">
        <v>501</v>
      </c>
    </row>
    <row r="401" spans="5:7" s="167" customFormat="1" ht="25.5" hidden="1" customHeight="1">
      <c r="E401" s="167" t="s">
        <v>189</v>
      </c>
      <c r="F401" s="167" t="s">
        <v>496</v>
      </c>
      <c r="G401" s="167" t="s">
        <v>502</v>
      </c>
    </row>
    <row r="402" spans="5:7" s="167" customFormat="1" ht="25.5" hidden="1" customHeight="1">
      <c r="E402" s="167" t="s">
        <v>189</v>
      </c>
      <c r="F402" s="167" t="s">
        <v>196</v>
      </c>
      <c r="G402" s="167" t="s">
        <v>503</v>
      </c>
    </row>
    <row r="403" spans="5:7" s="167" customFormat="1" ht="25.5" hidden="1" customHeight="1">
      <c r="E403" s="167" t="s">
        <v>189</v>
      </c>
      <c r="F403" s="167" t="s">
        <v>196</v>
      </c>
      <c r="G403" s="167" t="s">
        <v>504</v>
      </c>
    </row>
    <row r="404" spans="5:7" s="167" customFormat="1" ht="25.5" hidden="1" customHeight="1">
      <c r="E404" s="167" t="s">
        <v>189</v>
      </c>
      <c r="F404" s="167" t="s">
        <v>196</v>
      </c>
      <c r="G404" s="167" t="s">
        <v>505</v>
      </c>
    </row>
    <row r="405" spans="5:7" s="167" customFormat="1" ht="25.5" hidden="1" customHeight="1">
      <c r="E405" s="167" t="s">
        <v>189</v>
      </c>
      <c r="F405" s="167" t="s">
        <v>196</v>
      </c>
      <c r="G405" s="167" t="s">
        <v>506</v>
      </c>
    </row>
    <row r="406" spans="5:7" s="167" customFormat="1" ht="25.5" hidden="1" customHeight="1">
      <c r="E406" s="167" t="s">
        <v>189</v>
      </c>
      <c r="F406" s="167" t="s">
        <v>196</v>
      </c>
      <c r="G406" s="167" t="s">
        <v>507</v>
      </c>
    </row>
    <row r="407" spans="5:7" s="167" customFormat="1" ht="25.5" hidden="1" customHeight="1">
      <c r="E407" s="167" t="s">
        <v>189</v>
      </c>
      <c r="F407" s="167" t="s">
        <v>196</v>
      </c>
      <c r="G407" s="167" t="s">
        <v>508</v>
      </c>
    </row>
    <row r="408" spans="5:7" s="167" customFormat="1" ht="25.5" hidden="1" customHeight="1">
      <c r="E408" s="167" t="s">
        <v>189</v>
      </c>
      <c r="F408" s="167" t="s">
        <v>196</v>
      </c>
      <c r="G408" s="167" t="s">
        <v>509</v>
      </c>
    </row>
    <row r="409" spans="5:7" s="167" customFormat="1" ht="25.5" hidden="1" customHeight="1">
      <c r="E409" s="167" t="s">
        <v>189</v>
      </c>
      <c r="F409" s="167" t="s">
        <v>189</v>
      </c>
      <c r="G409" s="167" t="s">
        <v>510</v>
      </c>
    </row>
    <row r="410" spans="5:7" s="167" customFormat="1" ht="25.5" hidden="1" customHeight="1">
      <c r="E410" s="167" t="s">
        <v>189</v>
      </c>
      <c r="F410" s="167" t="s">
        <v>189</v>
      </c>
      <c r="G410" s="167" t="s">
        <v>511</v>
      </c>
    </row>
    <row r="411" spans="5:7" s="167" customFormat="1" ht="25.5" hidden="1" customHeight="1">
      <c r="E411" s="167" t="s">
        <v>189</v>
      </c>
      <c r="F411" s="167" t="s">
        <v>189</v>
      </c>
      <c r="G411" s="167" t="s">
        <v>512</v>
      </c>
    </row>
    <row r="412" spans="5:7" s="167" customFormat="1" ht="25.5" hidden="1" customHeight="1">
      <c r="E412" s="167" t="s">
        <v>189</v>
      </c>
      <c r="F412" s="167" t="s">
        <v>513</v>
      </c>
      <c r="G412" s="167" t="s">
        <v>514</v>
      </c>
    </row>
    <row r="413" spans="5:7" s="167" customFormat="1" ht="25.5" hidden="1" customHeight="1">
      <c r="E413" s="167" t="s">
        <v>189</v>
      </c>
      <c r="F413" s="167" t="s">
        <v>189</v>
      </c>
      <c r="G413" s="167" t="s">
        <v>515</v>
      </c>
    </row>
    <row r="414" spans="5:7" s="167" customFormat="1" ht="25.5" hidden="1" customHeight="1">
      <c r="E414" s="167" t="s">
        <v>189</v>
      </c>
      <c r="F414" s="167" t="s">
        <v>513</v>
      </c>
      <c r="G414" s="167" t="s">
        <v>516</v>
      </c>
    </row>
    <row r="415" spans="5:7" s="167" customFormat="1" ht="25.5" hidden="1" customHeight="1">
      <c r="E415" s="167" t="s">
        <v>189</v>
      </c>
      <c r="F415" s="167" t="s">
        <v>513</v>
      </c>
      <c r="G415" s="167" t="s">
        <v>517</v>
      </c>
    </row>
    <row r="416" spans="5:7" s="167" customFormat="1" ht="25.5" hidden="1" customHeight="1">
      <c r="E416" s="167" t="s">
        <v>189</v>
      </c>
      <c r="F416" s="167" t="s">
        <v>513</v>
      </c>
      <c r="G416" s="167" t="s">
        <v>518</v>
      </c>
    </row>
    <row r="417" spans="5:7" s="167" customFormat="1" ht="25.5" hidden="1" customHeight="1">
      <c r="E417" s="167" t="s">
        <v>189</v>
      </c>
      <c r="F417" s="167" t="s">
        <v>513</v>
      </c>
      <c r="G417" s="167" t="s">
        <v>519</v>
      </c>
    </row>
    <row r="418" spans="5:7" s="167" customFormat="1" ht="25.5" hidden="1" customHeight="1">
      <c r="E418" s="167" t="s">
        <v>189</v>
      </c>
      <c r="F418" s="167" t="s">
        <v>199</v>
      </c>
      <c r="G418" s="167" t="s">
        <v>520</v>
      </c>
    </row>
    <row r="419" spans="5:7" s="167" customFormat="1" ht="25.5" hidden="1" customHeight="1">
      <c r="E419" s="167" t="s">
        <v>189</v>
      </c>
      <c r="F419" s="167" t="s">
        <v>521</v>
      </c>
      <c r="G419" s="167" t="s">
        <v>522</v>
      </c>
    </row>
    <row r="420" spans="5:7" s="167" customFormat="1" ht="25.5" hidden="1" customHeight="1">
      <c r="E420" s="167" t="s">
        <v>189</v>
      </c>
      <c r="F420" s="167" t="s">
        <v>521</v>
      </c>
      <c r="G420" s="167" t="s">
        <v>523</v>
      </c>
    </row>
    <row r="421" spans="5:7" s="167" customFormat="1" ht="25.5" hidden="1" customHeight="1">
      <c r="E421" s="167" t="s">
        <v>189</v>
      </c>
      <c r="F421" s="167" t="s">
        <v>199</v>
      </c>
      <c r="G421" s="167" t="s">
        <v>524</v>
      </c>
    </row>
    <row r="422" spans="5:7" s="167" customFormat="1" ht="25.5" hidden="1" customHeight="1">
      <c r="E422" s="167" t="s">
        <v>189</v>
      </c>
      <c r="F422" s="167" t="s">
        <v>199</v>
      </c>
      <c r="G422" s="167" t="s">
        <v>525</v>
      </c>
    </row>
    <row r="423" spans="5:7" s="167" customFormat="1" ht="25.5" hidden="1" customHeight="1">
      <c r="E423" s="167" t="s">
        <v>189</v>
      </c>
      <c r="F423" s="167" t="s">
        <v>199</v>
      </c>
      <c r="G423" s="167" t="s">
        <v>526</v>
      </c>
    </row>
    <row r="424" spans="5:7" s="167" customFormat="1" ht="25.5" hidden="1" customHeight="1">
      <c r="E424" s="167" t="s">
        <v>189</v>
      </c>
      <c r="F424" s="167" t="s">
        <v>202</v>
      </c>
      <c r="G424" s="167" t="s">
        <v>527</v>
      </c>
    </row>
    <row r="425" spans="5:7" s="167" customFormat="1" ht="25.5" hidden="1" customHeight="1">
      <c r="E425" s="167" t="s">
        <v>189</v>
      </c>
      <c r="F425" s="167" t="s">
        <v>202</v>
      </c>
      <c r="G425" s="167" t="s">
        <v>528</v>
      </c>
    </row>
    <row r="426" spans="5:7" s="167" customFormat="1" ht="25.5" hidden="1" customHeight="1">
      <c r="E426" s="167" t="s">
        <v>189</v>
      </c>
      <c r="F426" s="167" t="s">
        <v>202</v>
      </c>
      <c r="G426" s="167" t="s">
        <v>529</v>
      </c>
    </row>
    <row r="427" spans="5:7" s="167" customFormat="1" ht="25.5" hidden="1" customHeight="1"/>
    <row r="428" spans="5:7" s="167" customFormat="1" ht="25.5" hidden="1" customHeight="1"/>
    <row r="429" spans="5:7" s="167" customFormat="1" ht="25.5" hidden="1" customHeight="1">
      <c r="E429" s="167" t="s">
        <v>189</v>
      </c>
      <c r="F429" s="167" t="s">
        <v>204</v>
      </c>
      <c r="G429" s="167" t="s">
        <v>530</v>
      </c>
    </row>
    <row r="430" spans="5:7" s="167" customFormat="1" ht="25.5" hidden="1" customHeight="1">
      <c r="E430" s="167" t="s">
        <v>189</v>
      </c>
      <c r="F430" s="167" t="s">
        <v>204</v>
      </c>
      <c r="G430" s="167" t="s">
        <v>531</v>
      </c>
    </row>
    <row r="431" spans="5:7" s="167" customFormat="1" ht="25.5" hidden="1" customHeight="1">
      <c r="E431" s="167" t="s">
        <v>189</v>
      </c>
      <c r="F431" s="167" t="s">
        <v>204</v>
      </c>
      <c r="G431" s="167" t="s">
        <v>532</v>
      </c>
    </row>
    <row r="432" spans="5:7" s="167" customFormat="1" ht="25.5" hidden="1" customHeight="1">
      <c r="E432" s="167" t="s">
        <v>189</v>
      </c>
      <c r="F432" s="167" t="s">
        <v>204</v>
      </c>
      <c r="G432" s="167" t="s">
        <v>533</v>
      </c>
    </row>
    <row r="433" spans="5:7" s="167" customFormat="1" ht="25.5" hidden="1" customHeight="1"/>
    <row r="434" spans="5:7" s="167" customFormat="1" ht="25.5" hidden="1" customHeight="1">
      <c r="E434" s="167" t="s">
        <v>189</v>
      </c>
      <c r="F434" s="167" t="s">
        <v>534</v>
      </c>
      <c r="G434" s="167" t="s">
        <v>535</v>
      </c>
    </row>
    <row r="435" spans="5:7" s="167" customFormat="1" ht="25.5" hidden="1" customHeight="1">
      <c r="E435" s="167" t="s">
        <v>189</v>
      </c>
      <c r="F435" s="167" t="s">
        <v>206</v>
      </c>
      <c r="G435" s="168" t="s">
        <v>536</v>
      </c>
    </row>
    <row r="436" spans="5:7" s="167" customFormat="1" ht="25.5" hidden="1" customHeight="1">
      <c r="E436" s="167" t="s">
        <v>189</v>
      </c>
      <c r="F436" s="167" t="s">
        <v>206</v>
      </c>
      <c r="G436" s="167" t="s">
        <v>537</v>
      </c>
    </row>
    <row r="437" spans="5:7" s="167" customFormat="1" ht="25.5" hidden="1" customHeight="1"/>
    <row r="438" spans="5:7" s="167" customFormat="1" ht="25.5" hidden="1" customHeight="1">
      <c r="E438" s="167" t="s">
        <v>189</v>
      </c>
      <c r="F438" s="167" t="s">
        <v>208</v>
      </c>
      <c r="G438" s="167" t="s">
        <v>538</v>
      </c>
    </row>
    <row r="439" spans="5:7" s="167" customFormat="1" ht="25.5" hidden="1" customHeight="1">
      <c r="E439" s="167" t="s">
        <v>189</v>
      </c>
      <c r="F439" s="167" t="s">
        <v>539</v>
      </c>
      <c r="G439" s="167" t="s">
        <v>540</v>
      </c>
    </row>
    <row r="440" spans="5:7" s="167" customFormat="1" ht="25.5" hidden="1" customHeight="1">
      <c r="E440" s="167" t="s">
        <v>189</v>
      </c>
      <c r="F440" s="167" t="s">
        <v>208</v>
      </c>
      <c r="G440" s="167" t="s">
        <v>541</v>
      </c>
    </row>
    <row r="441" spans="5:7" s="167" customFormat="1" ht="25.5" hidden="1" customHeight="1">
      <c r="E441" s="167" t="s">
        <v>189</v>
      </c>
      <c r="F441" s="167" t="s">
        <v>208</v>
      </c>
      <c r="G441" s="167" t="s">
        <v>542</v>
      </c>
    </row>
    <row r="442" spans="5:7" s="167" customFormat="1" ht="25.5" hidden="1" customHeight="1">
      <c r="E442" s="167" t="s">
        <v>189</v>
      </c>
      <c r="F442" s="167" t="s">
        <v>208</v>
      </c>
      <c r="G442" s="167" t="s">
        <v>543</v>
      </c>
    </row>
    <row r="443" spans="5:7" s="167" customFormat="1" ht="25.5" hidden="1" customHeight="1">
      <c r="E443" s="167" t="s">
        <v>189</v>
      </c>
      <c r="F443" s="167" t="s">
        <v>208</v>
      </c>
      <c r="G443" s="167" t="s">
        <v>544</v>
      </c>
    </row>
    <row r="444" spans="5:7" s="167" customFormat="1" ht="25.5" hidden="1" customHeight="1">
      <c r="E444" s="167" t="s">
        <v>189</v>
      </c>
      <c r="F444" s="167" t="s">
        <v>208</v>
      </c>
      <c r="G444" s="167" t="s">
        <v>545</v>
      </c>
    </row>
    <row r="445" spans="5:7" s="167" customFormat="1" ht="25.5" hidden="1" customHeight="1">
      <c r="E445" s="167" t="s">
        <v>189</v>
      </c>
      <c r="F445" s="167" t="s">
        <v>208</v>
      </c>
      <c r="G445" s="167" t="s">
        <v>546</v>
      </c>
    </row>
    <row r="446" spans="5:7" s="167" customFormat="1" ht="25.5" hidden="1" customHeight="1">
      <c r="E446" s="167" t="s">
        <v>210</v>
      </c>
      <c r="F446" s="167" t="s">
        <v>211</v>
      </c>
      <c r="G446" s="167" t="s">
        <v>547</v>
      </c>
    </row>
    <row r="447" spans="5:7" s="167" customFormat="1" ht="25.5" hidden="1" customHeight="1">
      <c r="E447" s="167" t="s">
        <v>210</v>
      </c>
      <c r="F447" s="167" t="s">
        <v>211</v>
      </c>
      <c r="G447" s="167" t="s">
        <v>548</v>
      </c>
    </row>
    <row r="448" spans="5:7" s="167" customFormat="1" ht="25.5" hidden="1" customHeight="1">
      <c r="E448" s="167" t="s">
        <v>210</v>
      </c>
      <c r="F448" s="167" t="s">
        <v>211</v>
      </c>
      <c r="G448" s="167" t="s">
        <v>549</v>
      </c>
    </row>
    <row r="449" spans="5:7" s="167" customFormat="1" ht="25.5" hidden="1" customHeight="1">
      <c r="E449" s="167" t="s">
        <v>210</v>
      </c>
      <c r="F449" s="167" t="s">
        <v>211</v>
      </c>
      <c r="G449" s="167" t="s">
        <v>550</v>
      </c>
    </row>
    <row r="450" spans="5:7" s="167" customFormat="1" ht="25.5" hidden="1" customHeight="1">
      <c r="E450" s="167" t="s">
        <v>210</v>
      </c>
      <c r="F450" s="167" t="s">
        <v>211</v>
      </c>
      <c r="G450" s="167" t="s">
        <v>551</v>
      </c>
    </row>
    <row r="451" spans="5:7" s="167" customFormat="1" ht="25.5" hidden="1" customHeight="1">
      <c r="E451" s="167" t="s">
        <v>210</v>
      </c>
      <c r="F451" s="167" t="s">
        <v>211</v>
      </c>
      <c r="G451" s="167" t="s">
        <v>552</v>
      </c>
    </row>
    <row r="452" spans="5:7" s="167" customFormat="1" ht="25.5" hidden="1" customHeight="1">
      <c r="E452" s="167" t="s">
        <v>210</v>
      </c>
      <c r="F452" s="167" t="s">
        <v>211</v>
      </c>
      <c r="G452" s="167" t="s">
        <v>553</v>
      </c>
    </row>
    <row r="453" spans="5:7" s="167" customFormat="1" ht="25.5" hidden="1" customHeight="1">
      <c r="E453" s="167" t="s">
        <v>210</v>
      </c>
      <c r="F453" s="167" t="s">
        <v>211</v>
      </c>
      <c r="G453" s="167" t="s">
        <v>554</v>
      </c>
    </row>
    <row r="454" spans="5:7" s="167" customFormat="1" ht="25.5" hidden="1" customHeight="1"/>
    <row r="455" spans="5:7" s="167" customFormat="1" ht="25.5" hidden="1" customHeight="1">
      <c r="E455" s="167" t="s">
        <v>555</v>
      </c>
      <c r="F455" s="167" t="s">
        <v>555</v>
      </c>
      <c r="G455" s="167" t="s">
        <v>556</v>
      </c>
    </row>
    <row r="456" spans="5:7" s="167" customFormat="1" ht="25.5" hidden="1" customHeight="1">
      <c r="E456" s="167" t="s">
        <v>210</v>
      </c>
      <c r="F456" s="167" t="s">
        <v>210</v>
      </c>
      <c r="G456" s="167" t="s">
        <v>557</v>
      </c>
    </row>
    <row r="457" spans="5:7" s="167" customFormat="1" ht="25.5" hidden="1" customHeight="1">
      <c r="E457" s="167" t="s">
        <v>210</v>
      </c>
      <c r="F457" s="167" t="s">
        <v>558</v>
      </c>
      <c r="G457" s="167" t="s">
        <v>559</v>
      </c>
    </row>
    <row r="458" spans="5:7" s="167" customFormat="1" ht="25.5" hidden="1" customHeight="1">
      <c r="E458" s="167" t="s">
        <v>210</v>
      </c>
      <c r="F458" s="167" t="s">
        <v>210</v>
      </c>
      <c r="G458" s="167" t="s">
        <v>560</v>
      </c>
    </row>
    <row r="459" spans="5:7" s="167" customFormat="1" ht="25.5" hidden="1" customHeight="1">
      <c r="E459" s="167" t="s">
        <v>210</v>
      </c>
      <c r="F459" s="167" t="s">
        <v>558</v>
      </c>
      <c r="G459" s="167" t="s">
        <v>561</v>
      </c>
    </row>
    <row r="460" spans="5:7" s="167" customFormat="1" ht="25.5" hidden="1" customHeight="1">
      <c r="E460" s="167" t="s">
        <v>210</v>
      </c>
      <c r="F460" s="167" t="s">
        <v>558</v>
      </c>
      <c r="G460" s="167" t="s">
        <v>562</v>
      </c>
    </row>
    <row r="461" spans="5:7" s="167" customFormat="1" ht="25.5" hidden="1" customHeight="1">
      <c r="E461" s="167" t="s">
        <v>210</v>
      </c>
      <c r="F461" s="167" t="s">
        <v>210</v>
      </c>
      <c r="G461" s="167" t="s">
        <v>563</v>
      </c>
    </row>
    <row r="462" spans="5:7" s="167" customFormat="1" ht="25.5" hidden="1" customHeight="1">
      <c r="E462" s="167" t="s">
        <v>210</v>
      </c>
      <c r="F462" s="167" t="s">
        <v>210</v>
      </c>
      <c r="G462" s="167" t="s">
        <v>564</v>
      </c>
    </row>
    <row r="463" spans="5:7" s="167" customFormat="1" ht="25.5" hidden="1" customHeight="1">
      <c r="E463" s="167" t="s">
        <v>210</v>
      </c>
      <c r="F463" s="167" t="s">
        <v>210</v>
      </c>
      <c r="G463" s="167" t="s">
        <v>565</v>
      </c>
    </row>
    <row r="464" spans="5:7" s="167" customFormat="1" ht="25.5" hidden="1" customHeight="1">
      <c r="E464" s="167" t="s">
        <v>210</v>
      </c>
      <c r="F464" s="167" t="s">
        <v>210</v>
      </c>
      <c r="G464" s="167" t="s">
        <v>566</v>
      </c>
    </row>
    <row r="465" spans="5:7" s="167" customFormat="1" ht="25.5" hidden="1" customHeight="1">
      <c r="E465" s="167" t="s">
        <v>210</v>
      </c>
      <c r="F465" s="167" t="s">
        <v>210</v>
      </c>
      <c r="G465" s="167" t="s">
        <v>567</v>
      </c>
    </row>
    <row r="466" spans="5:7" s="167" customFormat="1" ht="25.5" hidden="1" customHeight="1">
      <c r="E466" s="167" t="s">
        <v>210</v>
      </c>
      <c r="F466" s="167" t="s">
        <v>210</v>
      </c>
      <c r="G466" s="167" t="s">
        <v>568</v>
      </c>
    </row>
    <row r="467" spans="5:7" s="167" customFormat="1" ht="25.5" hidden="1" customHeight="1">
      <c r="E467" s="167" t="s">
        <v>210</v>
      </c>
      <c r="F467" s="167" t="s">
        <v>210</v>
      </c>
      <c r="G467" s="167" t="s">
        <v>569</v>
      </c>
    </row>
    <row r="468" spans="5:7" s="167" customFormat="1" ht="25.5" hidden="1" customHeight="1">
      <c r="E468" s="167" t="s">
        <v>210</v>
      </c>
      <c r="F468" s="167" t="s">
        <v>210</v>
      </c>
      <c r="G468" s="167" t="s">
        <v>570</v>
      </c>
    </row>
    <row r="469" spans="5:7" s="167" customFormat="1" ht="25.5" hidden="1" customHeight="1"/>
    <row r="470" spans="5:7" s="167" customFormat="1" ht="25.5" hidden="1" customHeight="1"/>
    <row r="471" spans="5:7" s="167" customFormat="1" ht="25.5" hidden="1" customHeight="1"/>
    <row r="472" spans="5:7" s="167" customFormat="1" ht="25.5" hidden="1" customHeight="1">
      <c r="E472" s="167" t="s">
        <v>210</v>
      </c>
      <c r="F472" s="167" t="s">
        <v>571</v>
      </c>
      <c r="G472" s="167" t="s">
        <v>572</v>
      </c>
    </row>
    <row r="473" spans="5:7" s="167" customFormat="1" ht="25.5" hidden="1" customHeight="1">
      <c r="E473" s="167" t="s">
        <v>210</v>
      </c>
      <c r="F473" s="167" t="s">
        <v>573</v>
      </c>
      <c r="G473" s="167" t="s">
        <v>574</v>
      </c>
    </row>
    <row r="474" spans="5:7" s="167" customFormat="1" ht="25.5" hidden="1" customHeight="1">
      <c r="E474" s="167" t="s">
        <v>210</v>
      </c>
      <c r="F474" s="167" t="s">
        <v>573</v>
      </c>
      <c r="G474" s="167" t="s">
        <v>575</v>
      </c>
    </row>
    <row r="475" spans="5:7" s="167" customFormat="1" ht="25.5" hidden="1" customHeight="1">
      <c r="E475" s="167" t="s">
        <v>210</v>
      </c>
      <c r="F475" s="167" t="s">
        <v>573</v>
      </c>
      <c r="G475" s="167" t="s">
        <v>576</v>
      </c>
    </row>
    <row r="476" spans="5:7" s="167" customFormat="1" ht="25.5" hidden="1" customHeight="1">
      <c r="E476" s="167" t="s">
        <v>210</v>
      </c>
      <c r="F476" s="167" t="s">
        <v>573</v>
      </c>
      <c r="G476" s="167" t="s">
        <v>577</v>
      </c>
    </row>
    <row r="477" spans="5:7" s="167" customFormat="1" ht="25.5" hidden="1" customHeight="1">
      <c r="E477" s="167" t="s">
        <v>210</v>
      </c>
      <c r="F477" s="167" t="s">
        <v>573</v>
      </c>
      <c r="G477" s="167" t="s">
        <v>578</v>
      </c>
    </row>
    <row r="478" spans="5:7" s="167" customFormat="1" ht="25.5" hidden="1" customHeight="1">
      <c r="E478" s="167" t="s">
        <v>210</v>
      </c>
      <c r="F478" s="167" t="s">
        <v>573</v>
      </c>
      <c r="G478" s="167" t="s">
        <v>579</v>
      </c>
    </row>
    <row r="479" spans="5:7" s="167" customFormat="1" ht="25.5" hidden="1" customHeight="1">
      <c r="E479" s="167" t="s">
        <v>210</v>
      </c>
      <c r="F479" s="167" t="s">
        <v>573</v>
      </c>
      <c r="G479" s="167" t="s">
        <v>580</v>
      </c>
    </row>
    <row r="480" spans="5:7" s="167" customFormat="1" ht="25.5" hidden="1" customHeight="1">
      <c r="E480" s="167" t="s">
        <v>210</v>
      </c>
      <c r="F480" s="167" t="s">
        <v>573</v>
      </c>
      <c r="G480" s="167" t="s">
        <v>581</v>
      </c>
    </row>
    <row r="481" spans="5:7" s="167" customFormat="1" ht="25.5" hidden="1" customHeight="1">
      <c r="E481" s="167" t="s">
        <v>210</v>
      </c>
      <c r="F481" s="167" t="s">
        <v>573</v>
      </c>
      <c r="G481" s="167" t="s">
        <v>582</v>
      </c>
    </row>
    <row r="482" spans="5:7" s="167" customFormat="1" ht="25.5" hidden="1" customHeight="1">
      <c r="E482" s="167" t="s">
        <v>210</v>
      </c>
      <c r="F482" s="167" t="s">
        <v>573</v>
      </c>
      <c r="G482" s="167" t="s">
        <v>583</v>
      </c>
    </row>
    <row r="483" spans="5:7" s="167" customFormat="1" ht="25.5" hidden="1" customHeight="1">
      <c r="E483" s="167" t="s">
        <v>210</v>
      </c>
      <c r="F483" s="167" t="s">
        <v>216</v>
      </c>
      <c r="G483" s="167" t="s">
        <v>584</v>
      </c>
    </row>
    <row r="484" spans="5:7" s="167" customFormat="1" ht="25.5" hidden="1" customHeight="1">
      <c r="E484" s="167" t="s">
        <v>210</v>
      </c>
      <c r="F484" s="167" t="s">
        <v>216</v>
      </c>
      <c r="G484" s="167" t="s">
        <v>585</v>
      </c>
    </row>
    <row r="485" spans="5:7" s="167" customFormat="1" ht="25.5" hidden="1" customHeight="1">
      <c r="E485" s="167" t="s">
        <v>210</v>
      </c>
      <c r="F485" s="167" t="s">
        <v>216</v>
      </c>
      <c r="G485" s="167" t="s">
        <v>586</v>
      </c>
    </row>
    <row r="486" spans="5:7" s="167" customFormat="1" ht="25.5" hidden="1" customHeight="1">
      <c r="E486" s="167" t="s">
        <v>210</v>
      </c>
      <c r="F486" s="167" t="s">
        <v>216</v>
      </c>
      <c r="G486" s="167" t="s">
        <v>587</v>
      </c>
    </row>
    <row r="487" spans="5:7" s="167" customFormat="1" ht="25.5" hidden="1" customHeight="1">
      <c r="E487" s="167" t="s">
        <v>210</v>
      </c>
      <c r="F487" s="167" t="s">
        <v>216</v>
      </c>
      <c r="G487" s="167" t="s">
        <v>588</v>
      </c>
    </row>
    <row r="488" spans="5:7" s="167" customFormat="1" ht="25.5" hidden="1" customHeight="1">
      <c r="E488" s="167" t="s">
        <v>210</v>
      </c>
      <c r="F488" s="167" t="s">
        <v>216</v>
      </c>
      <c r="G488" s="167" t="s">
        <v>589</v>
      </c>
    </row>
    <row r="489" spans="5:7" s="167" customFormat="1" ht="25.5" hidden="1" customHeight="1">
      <c r="E489" s="167" t="s">
        <v>218</v>
      </c>
      <c r="F489" s="167" t="s">
        <v>219</v>
      </c>
      <c r="G489" s="167" t="s">
        <v>590</v>
      </c>
    </row>
    <row r="490" spans="5:7" s="167" customFormat="1" ht="25.5" hidden="1" customHeight="1">
      <c r="E490" s="167" t="s">
        <v>218</v>
      </c>
      <c r="F490" s="167" t="s">
        <v>591</v>
      </c>
      <c r="G490" s="167" t="s">
        <v>592</v>
      </c>
    </row>
    <row r="491" spans="5:7" s="167" customFormat="1" ht="25.5" hidden="1" customHeight="1">
      <c r="E491" s="167" t="s">
        <v>218</v>
      </c>
      <c r="F491" s="167" t="s">
        <v>593</v>
      </c>
      <c r="G491" s="167" t="s">
        <v>594</v>
      </c>
    </row>
    <row r="492" spans="5:7" s="167" customFormat="1" ht="25.5" hidden="1" customHeight="1">
      <c r="E492" s="167" t="s">
        <v>218</v>
      </c>
      <c r="F492" s="167" t="s">
        <v>593</v>
      </c>
      <c r="G492" s="167" t="s">
        <v>595</v>
      </c>
    </row>
    <row r="493" spans="5:7" s="167" customFormat="1" ht="25.5" hidden="1" customHeight="1">
      <c r="E493" s="167" t="s">
        <v>218</v>
      </c>
      <c r="F493" s="167" t="s">
        <v>219</v>
      </c>
      <c r="G493" s="167" t="s">
        <v>596</v>
      </c>
    </row>
    <row r="494" spans="5:7" s="167" customFormat="1" ht="25.5" hidden="1" customHeight="1">
      <c r="E494" s="167" t="s">
        <v>218</v>
      </c>
      <c r="F494" s="167" t="s">
        <v>219</v>
      </c>
      <c r="G494" s="167" t="s">
        <v>597</v>
      </c>
    </row>
    <row r="495" spans="5:7" s="167" customFormat="1" ht="25.5" hidden="1" customHeight="1">
      <c r="E495" s="167" t="s">
        <v>218</v>
      </c>
      <c r="F495" s="167" t="s">
        <v>219</v>
      </c>
      <c r="G495" s="167" t="s">
        <v>598</v>
      </c>
    </row>
    <row r="496" spans="5:7" s="167" customFormat="1" ht="25.5" hidden="1" customHeight="1">
      <c r="E496" s="167" t="s">
        <v>218</v>
      </c>
      <c r="F496" s="167" t="s">
        <v>219</v>
      </c>
      <c r="G496" s="167" t="s">
        <v>599</v>
      </c>
    </row>
    <row r="497" spans="5:7" s="167" customFormat="1" ht="25.5" hidden="1" customHeight="1">
      <c r="E497" s="167" t="s">
        <v>218</v>
      </c>
      <c r="F497" s="167" t="s">
        <v>219</v>
      </c>
      <c r="G497" s="167" t="s">
        <v>600</v>
      </c>
    </row>
    <row r="498" spans="5:7" s="167" customFormat="1" ht="25.5" hidden="1" customHeight="1">
      <c r="E498" s="167" t="s">
        <v>218</v>
      </c>
      <c r="F498" s="167" t="s">
        <v>219</v>
      </c>
      <c r="G498" s="167" t="s">
        <v>601</v>
      </c>
    </row>
    <row r="499" spans="5:7" s="167" customFormat="1" ht="25.5" hidden="1" customHeight="1">
      <c r="E499" s="167" t="s">
        <v>218</v>
      </c>
      <c r="F499" s="167" t="s">
        <v>219</v>
      </c>
      <c r="G499" s="167" t="s">
        <v>602</v>
      </c>
    </row>
    <row r="500" spans="5:7" s="167" customFormat="1" ht="25.5" hidden="1" customHeight="1">
      <c r="E500" s="167" t="s">
        <v>218</v>
      </c>
      <c r="F500" s="167" t="s">
        <v>219</v>
      </c>
      <c r="G500" s="167" t="s">
        <v>603</v>
      </c>
    </row>
    <row r="501" spans="5:7" s="167" customFormat="1" ht="25.5" hidden="1" customHeight="1">
      <c r="E501" s="167" t="s">
        <v>218</v>
      </c>
      <c r="F501" s="167" t="s">
        <v>219</v>
      </c>
      <c r="G501" s="167" t="s">
        <v>604</v>
      </c>
    </row>
    <row r="502" spans="5:7" s="167" customFormat="1" ht="25.5" hidden="1" customHeight="1">
      <c r="E502" s="167" t="s">
        <v>218</v>
      </c>
      <c r="F502" s="167" t="s">
        <v>219</v>
      </c>
      <c r="G502" s="167" t="s">
        <v>605</v>
      </c>
    </row>
    <row r="503" spans="5:7" s="167" customFormat="1" ht="25.5" hidden="1" customHeight="1">
      <c r="E503" s="167" t="s">
        <v>218</v>
      </c>
      <c r="F503" s="167" t="s">
        <v>219</v>
      </c>
      <c r="G503" s="167" t="s">
        <v>606</v>
      </c>
    </row>
    <row r="504" spans="5:7" s="167" customFormat="1" ht="25.5" hidden="1" customHeight="1">
      <c r="E504" s="167" t="s">
        <v>218</v>
      </c>
      <c r="F504" s="167" t="s">
        <v>226</v>
      </c>
      <c r="G504" s="167" t="s">
        <v>607</v>
      </c>
    </row>
    <row r="505" spans="5:7" s="167" customFormat="1" ht="25.5" hidden="1" customHeight="1">
      <c r="E505" s="167" t="s">
        <v>218</v>
      </c>
      <c r="F505" s="167" t="s">
        <v>226</v>
      </c>
      <c r="G505" s="167" t="s">
        <v>608</v>
      </c>
    </row>
    <row r="506" spans="5:7" s="167" customFormat="1" ht="25.5" hidden="1" customHeight="1">
      <c r="E506" s="167" t="s">
        <v>218</v>
      </c>
      <c r="F506" s="167" t="s">
        <v>226</v>
      </c>
      <c r="G506" s="167" t="s">
        <v>609</v>
      </c>
    </row>
    <row r="507" spans="5:7" s="167" customFormat="1" ht="25.5" hidden="1" customHeight="1">
      <c r="E507" s="167" t="s">
        <v>218</v>
      </c>
      <c r="F507" s="167" t="s">
        <v>226</v>
      </c>
      <c r="G507" s="167" t="s">
        <v>610</v>
      </c>
    </row>
    <row r="508" spans="5:7" s="167" customFormat="1" ht="25.5" hidden="1" customHeight="1">
      <c r="E508" s="167" t="s">
        <v>218</v>
      </c>
      <c r="F508" s="167" t="s">
        <v>226</v>
      </c>
      <c r="G508" s="169" t="s">
        <v>611</v>
      </c>
    </row>
    <row r="509" spans="5:7" s="167" customFormat="1" ht="25.5" hidden="1" customHeight="1">
      <c r="E509" s="167" t="s">
        <v>218</v>
      </c>
      <c r="F509" s="167" t="s">
        <v>226</v>
      </c>
      <c r="G509" s="167" t="s">
        <v>612</v>
      </c>
    </row>
    <row r="510" spans="5:7" s="167" customFormat="1" ht="25.5" hidden="1" customHeight="1"/>
    <row r="511" spans="5:7" s="167" customFormat="1" ht="25.5" hidden="1" customHeight="1">
      <c r="E511" s="167" t="s">
        <v>218</v>
      </c>
      <c r="F511" s="167" t="s">
        <v>221</v>
      </c>
      <c r="G511" s="167" t="s">
        <v>613</v>
      </c>
    </row>
    <row r="512" spans="5:7" s="167" customFormat="1" ht="25.5" hidden="1" customHeight="1">
      <c r="E512" s="167" t="s">
        <v>218</v>
      </c>
      <c r="F512" s="167" t="s">
        <v>221</v>
      </c>
      <c r="G512" s="167" t="s">
        <v>614</v>
      </c>
    </row>
    <row r="513" spans="5:7" s="167" customFormat="1" ht="25.5" hidden="1" customHeight="1">
      <c r="E513" s="167" t="s">
        <v>218</v>
      </c>
      <c r="F513" s="167" t="s">
        <v>221</v>
      </c>
      <c r="G513" s="167" t="s">
        <v>615</v>
      </c>
    </row>
    <row r="514" spans="5:7" s="167" customFormat="1" ht="25.5" hidden="1" customHeight="1">
      <c r="E514" s="167" t="s">
        <v>218</v>
      </c>
      <c r="F514" s="167" t="s">
        <v>221</v>
      </c>
      <c r="G514" s="167" t="s">
        <v>616</v>
      </c>
    </row>
    <row r="515" spans="5:7" s="167" customFormat="1" ht="25.5" hidden="1" customHeight="1"/>
    <row r="516" spans="5:7" s="167" customFormat="1" ht="25.5" hidden="1" customHeight="1"/>
    <row r="517" spans="5:7" s="167" customFormat="1" ht="25.5" hidden="1" customHeight="1">
      <c r="E517" s="167" t="s">
        <v>218</v>
      </c>
      <c r="F517" s="167" t="s">
        <v>223</v>
      </c>
      <c r="G517" s="167" t="s">
        <v>617</v>
      </c>
    </row>
    <row r="518" spans="5:7" s="167" customFormat="1" ht="25.5" hidden="1" customHeight="1">
      <c r="E518" s="167" t="s">
        <v>218</v>
      </c>
      <c r="F518" s="167" t="s">
        <v>223</v>
      </c>
      <c r="G518" s="167" t="s">
        <v>618</v>
      </c>
    </row>
    <row r="519" spans="5:7" s="167" customFormat="1" ht="25.5" hidden="1" customHeight="1">
      <c r="E519" s="167" t="s">
        <v>218</v>
      </c>
      <c r="F519" s="167" t="s">
        <v>223</v>
      </c>
      <c r="G519" s="167" t="s">
        <v>619</v>
      </c>
    </row>
    <row r="520" spans="5:7" s="167" customFormat="1" ht="25.5" hidden="1" customHeight="1">
      <c r="E520" s="167" t="s">
        <v>218</v>
      </c>
      <c r="F520" s="167" t="s">
        <v>223</v>
      </c>
      <c r="G520" s="167" t="s">
        <v>620</v>
      </c>
    </row>
    <row r="521" spans="5:7" s="167" customFormat="1" ht="25.5" hidden="1" customHeight="1">
      <c r="E521" s="167" t="s">
        <v>218</v>
      </c>
      <c r="F521" s="167" t="s">
        <v>223</v>
      </c>
      <c r="G521" s="167" t="s">
        <v>621</v>
      </c>
    </row>
    <row r="522" spans="5:7" s="167" customFormat="1" ht="25.5" hidden="1" customHeight="1">
      <c r="E522" s="167" t="s">
        <v>218</v>
      </c>
      <c r="F522" s="167" t="s">
        <v>223</v>
      </c>
      <c r="G522" s="167" t="s">
        <v>622</v>
      </c>
    </row>
    <row r="523" spans="5:7" s="167" customFormat="1" ht="25.5" hidden="1" customHeight="1">
      <c r="E523" s="167" t="s">
        <v>218</v>
      </c>
      <c r="F523" s="167" t="s">
        <v>223</v>
      </c>
      <c r="G523" s="167" t="s">
        <v>623</v>
      </c>
    </row>
    <row r="524" spans="5:7" s="167" customFormat="1" ht="25.5" hidden="1" customHeight="1">
      <c r="E524" s="167" t="s">
        <v>218</v>
      </c>
      <c r="F524" s="167" t="s">
        <v>225</v>
      </c>
      <c r="G524" s="167" t="s">
        <v>624</v>
      </c>
    </row>
    <row r="525" spans="5:7" s="167" customFormat="1" ht="25.5" hidden="1" customHeight="1">
      <c r="E525" s="167" t="s">
        <v>218</v>
      </c>
      <c r="F525" s="167" t="s">
        <v>225</v>
      </c>
      <c r="G525" s="167" t="s">
        <v>625</v>
      </c>
    </row>
    <row r="526" spans="5:7" s="167" customFormat="1" ht="25.5" hidden="1" customHeight="1">
      <c r="E526" s="167" t="s">
        <v>218</v>
      </c>
      <c r="F526" s="167" t="s">
        <v>626</v>
      </c>
      <c r="G526" s="167" t="s">
        <v>627</v>
      </c>
    </row>
    <row r="527" spans="5:7" s="167" customFormat="1" ht="25.5" hidden="1" customHeight="1">
      <c r="E527" s="167" t="s">
        <v>218</v>
      </c>
      <c r="F527" s="167" t="s">
        <v>626</v>
      </c>
      <c r="G527" s="167" t="s">
        <v>628</v>
      </c>
    </row>
    <row r="528" spans="5:7" s="167" customFormat="1" ht="25.5" hidden="1" customHeight="1">
      <c r="E528" s="167" t="s">
        <v>218</v>
      </c>
      <c r="F528" s="167" t="s">
        <v>626</v>
      </c>
      <c r="G528" s="167" t="s">
        <v>629</v>
      </c>
    </row>
    <row r="529" spans="5:7" s="167" customFormat="1" ht="25.5" hidden="1" customHeight="1">
      <c r="E529" s="167" t="s">
        <v>218</v>
      </c>
      <c r="F529" s="167" t="s">
        <v>225</v>
      </c>
      <c r="G529" s="167" t="s">
        <v>630</v>
      </c>
    </row>
    <row r="530" spans="5:7" s="167" customFormat="1" ht="25.5" hidden="1" customHeight="1">
      <c r="E530" s="167" t="s">
        <v>218</v>
      </c>
      <c r="F530" s="167" t="s">
        <v>225</v>
      </c>
      <c r="G530" s="167" t="s">
        <v>631</v>
      </c>
    </row>
    <row r="531" spans="5:7" s="167" customFormat="1" ht="25.5" hidden="1" customHeight="1">
      <c r="E531" s="167" t="s">
        <v>218</v>
      </c>
      <c r="F531" s="167" t="s">
        <v>225</v>
      </c>
      <c r="G531" s="167" t="s">
        <v>632</v>
      </c>
    </row>
    <row r="532" spans="5:7" s="167" customFormat="1" ht="25.5" hidden="1" customHeight="1">
      <c r="E532" s="167" t="s">
        <v>218</v>
      </c>
      <c r="F532" s="167" t="s">
        <v>225</v>
      </c>
      <c r="G532" s="167" t="s">
        <v>633</v>
      </c>
    </row>
    <row r="533" spans="5:7" s="167" customFormat="1" ht="25.5" hidden="1" customHeight="1">
      <c r="E533" s="167" t="s">
        <v>218</v>
      </c>
      <c r="F533" s="167" t="s">
        <v>229</v>
      </c>
      <c r="G533" s="167" t="s">
        <v>634</v>
      </c>
    </row>
    <row r="534" spans="5:7" s="167" customFormat="1" ht="25.5" hidden="1" customHeight="1">
      <c r="E534" s="167" t="s">
        <v>218</v>
      </c>
      <c r="F534" s="167" t="s">
        <v>229</v>
      </c>
      <c r="G534" s="167" t="s">
        <v>635</v>
      </c>
    </row>
    <row r="535" spans="5:7" s="167" customFormat="1" ht="25.5" hidden="1" customHeight="1">
      <c r="E535" s="167" t="s">
        <v>218</v>
      </c>
      <c r="F535" s="167" t="s">
        <v>229</v>
      </c>
      <c r="G535" s="167" t="s">
        <v>636</v>
      </c>
    </row>
    <row r="536" spans="5:7" s="167" customFormat="1" ht="25.5" hidden="1" customHeight="1">
      <c r="E536" s="167" t="s">
        <v>218</v>
      </c>
      <c r="F536" s="167" t="s">
        <v>229</v>
      </c>
      <c r="G536" s="167" t="s">
        <v>637</v>
      </c>
    </row>
    <row r="537" spans="5:7" s="167" customFormat="1" ht="25.5" hidden="1" customHeight="1">
      <c r="E537" s="167" t="s">
        <v>218</v>
      </c>
      <c r="F537" s="167" t="s">
        <v>229</v>
      </c>
      <c r="G537" s="167" t="s">
        <v>638</v>
      </c>
    </row>
    <row r="538" spans="5:7" s="167" customFormat="1" ht="25.5" hidden="1" customHeight="1">
      <c r="E538" s="167" t="s">
        <v>218</v>
      </c>
      <c r="F538" s="167" t="s">
        <v>229</v>
      </c>
      <c r="G538" s="167" t="s">
        <v>639</v>
      </c>
    </row>
    <row r="539" spans="5:7" s="167" customFormat="1" ht="25.5" hidden="1" customHeight="1">
      <c r="E539" s="167" t="s">
        <v>218</v>
      </c>
      <c r="F539" s="167" t="s">
        <v>640</v>
      </c>
      <c r="G539" s="167" t="s">
        <v>641</v>
      </c>
    </row>
    <row r="540" spans="5:7" s="167" customFormat="1" ht="25.5" hidden="1" customHeight="1">
      <c r="E540" s="167" t="s">
        <v>218</v>
      </c>
      <c r="F540" s="167" t="s">
        <v>640</v>
      </c>
      <c r="G540" s="167" t="s">
        <v>642</v>
      </c>
    </row>
    <row r="541" spans="5:7" s="167" customFormat="1" ht="25.5" hidden="1" customHeight="1">
      <c r="E541" s="167" t="s">
        <v>218</v>
      </c>
      <c r="F541" s="167" t="s">
        <v>640</v>
      </c>
      <c r="G541" s="167" t="s">
        <v>643</v>
      </c>
    </row>
    <row r="542" spans="5:7" s="167" customFormat="1" ht="25.5" hidden="1" customHeight="1">
      <c r="E542" s="167" t="s">
        <v>218</v>
      </c>
      <c r="F542" s="167" t="s">
        <v>640</v>
      </c>
      <c r="G542" s="167" t="s">
        <v>644</v>
      </c>
    </row>
    <row r="543" spans="5:7" s="167" customFormat="1" ht="25.5" hidden="1" customHeight="1">
      <c r="E543" s="167" t="s">
        <v>218</v>
      </c>
      <c r="F543" s="167" t="s">
        <v>218</v>
      </c>
      <c r="G543" s="167" t="s">
        <v>645</v>
      </c>
    </row>
    <row r="544" spans="5:7" s="167" customFormat="1" ht="25.5" hidden="1" customHeight="1">
      <c r="E544" s="167" t="s">
        <v>218</v>
      </c>
      <c r="F544" s="167" t="s">
        <v>218</v>
      </c>
      <c r="G544" s="167" t="s">
        <v>646</v>
      </c>
    </row>
    <row r="545" spans="5:7" s="167" customFormat="1" ht="25.5" hidden="1" customHeight="1">
      <c r="E545" s="167" t="s">
        <v>218</v>
      </c>
      <c r="F545" s="167" t="s">
        <v>647</v>
      </c>
      <c r="G545" s="167" t="s">
        <v>648</v>
      </c>
    </row>
    <row r="546" spans="5:7" s="167" customFormat="1" ht="25.5" hidden="1" customHeight="1">
      <c r="E546" s="167" t="s">
        <v>218</v>
      </c>
      <c r="F546" s="167" t="s">
        <v>647</v>
      </c>
      <c r="G546" s="167" t="s">
        <v>649</v>
      </c>
    </row>
    <row r="547" spans="5:7" s="167" customFormat="1" ht="25.5" hidden="1" customHeight="1">
      <c r="E547" s="167" t="s">
        <v>218</v>
      </c>
      <c r="F547" s="167" t="s">
        <v>647</v>
      </c>
      <c r="G547" s="167" t="s">
        <v>650</v>
      </c>
    </row>
    <row r="548" spans="5:7" s="167" customFormat="1" ht="25.5" hidden="1" customHeight="1">
      <c r="E548" s="167" t="s">
        <v>218</v>
      </c>
      <c r="F548" s="167" t="s">
        <v>647</v>
      </c>
      <c r="G548" s="167" t="s">
        <v>651</v>
      </c>
    </row>
    <row r="549" spans="5:7" s="167" customFormat="1" ht="25.5" hidden="1" customHeight="1">
      <c r="E549" s="167" t="s">
        <v>218</v>
      </c>
      <c r="F549" s="167" t="s">
        <v>647</v>
      </c>
      <c r="G549" s="167" t="s">
        <v>652</v>
      </c>
    </row>
    <row r="550" spans="5:7" s="167" customFormat="1" ht="25.5" hidden="1" customHeight="1">
      <c r="E550" s="167" t="s">
        <v>218</v>
      </c>
      <c r="F550" s="167" t="s">
        <v>647</v>
      </c>
      <c r="G550" s="167" t="s">
        <v>653</v>
      </c>
    </row>
    <row r="551" spans="5:7" s="167" customFormat="1" ht="25.5" hidden="1" customHeight="1">
      <c r="E551" s="167" t="s">
        <v>218</v>
      </c>
      <c r="F551" s="167" t="s">
        <v>647</v>
      </c>
      <c r="G551" s="167" t="s">
        <v>654</v>
      </c>
    </row>
    <row r="552" spans="5:7" s="167" customFormat="1" ht="25.5" hidden="1" customHeight="1">
      <c r="E552" s="167" t="s">
        <v>218</v>
      </c>
      <c r="F552" s="167" t="s">
        <v>647</v>
      </c>
      <c r="G552" s="167" t="s">
        <v>655</v>
      </c>
    </row>
    <row r="553" spans="5:7" s="167" customFormat="1" ht="25.5" hidden="1" customHeight="1">
      <c r="E553" s="167" t="s">
        <v>218</v>
      </c>
      <c r="F553" s="167" t="s">
        <v>647</v>
      </c>
      <c r="G553" s="167" t="s">
        <v>656</v>
      </c>
    </row>
    <row r="554" spans="5:7" s="167" customFormat="1" ht="25.5" hidden="1" customHeight="1">
      <c r="E554" s="167" t="s">
        <v>218</v>
      </c>
      <c r="F554" s="167" t="s">
        <v>231</v>
      </c>
      <c r="G554" s="167" t="s">
        <v>657</v>
      </c>
    </row>
    <row r="555" spans="5:7" s="167" customFormat="1" ht="25.5" hidden="1" customHeight="1">
      <c r="E555" s="167" t="s">
        <v>218</v>
      </c>
      <c r="F555" s="167" t="s">
        <v>231</v>
      </c>
      <c r="G555" s="167" t="s">
        <v>658</v>
      </c>
    </row>
    <row r="556" spans="5:7" s="167" customFormat="1" ht="25.5" hidden="1" customHeight="1">
      <c r="E556" s="167" t="s">
        <v>218</v>
      </c>
      <c r="F556" s="167" t="s">
        <v>231</v>
      </c>
      <c r="G556" s="167" t="s">
        <v>659</v>
      </c>
    </row>
    <row r="557" spans="5:7" s="167" customFormat="1" ht="25.5" hidden="1" customHeight="1">
      <c r="E557" s="167" t="s">
        <v>218</v>
      </c>
      <c r="F557" s="167" t="s">
        <v>231</v>
      </c>
      <c r="G557" s="167" t="s">
        <v>660</v>
      </c>
    </row>
    <row r="558" spans="5:7" s="167" customFormat="1" ht="25.5" hidden="1" customHeight="1">
      <c r="E558" s="167" t="s">
        <v>218</v>
      </c>
      <c r="F558" s="167" t="s">
        <v>661</v>
      </c>
      <c r="G558" s="167" t="s">
        <v>662</v>
      </c>
    </row>
    <row r="559" spans="5:7" s="167" customFormat="1" ht="25.5" hidden="1" customHeight="1">
      <c r="E559" s="167" t="s">
        <v>218</v>
      </c>
      <c r="F559" s="167" t="s">
        <v>661</v>
      </c>
      <c r="G559" s="167" t="s">
        <v>663</v>
      </c>
    </row>
    <row r="560" spans="5:7" s="167" customFormat="1" ht="25.5" hidden="1" customHeight="1">
      <c r="E560" s="167" t="s">
        <v>218</v>
      </c>
      <c r="F560" s="167" t="s">
        <v>661</v>
      </c>
      <c r="G560" s="167" t="s">
        <v>664</v>
      </c>
    </row>
    <row r="561" spans="5:7" s="167" customFormat="1" ht="25.5" hidden="1" customHeight="1">
      <c r="E561" s="167" t="s">
        <v>218</v>
      </c>
      <c r="F561" s="167" t="s">
        <v>661</v>
      </c>
      <c r="G561" s="167" t="s">
        <v>665</v>
      </c>
    </row>
    <row r="562" spans="5:7" s="167" customFormat="1" ht="25.5" hidden="1" customHeight="1">
      <c r="E562" s="167" t="s">
        <v>218</v>
      </c>
      <c r="F562" s="167" t="s">
        <v>661</v>
      </c>
      <c r="G562" s="167" t="s">
        <v>666</v>
      </c>
    </row>
    <row r="563" spans="5:7" s="167" customFormat="1" ht="25.5" hidden="1" customHeight="1"/>
    <row r="564" spans="5:7" s="167" customFormat="1" ht="25.5" hidden="1" customHeight="1">
      <c r="E564" s="167" t="s">
        <v>232</v>
      </c>
      <c r="F564" s="167" t="s">
        <v>233</v>
      </c>
      <c r="G564" s="167" t="s">
        <v>667</v>
      </c>
    </row>
    <row r="565" spans="5:7" s="167" customFormat="1" ht="25.5" hidden="1" customHeight="1">
      <c r="E565" s="167" t="s">
        <v>232</v>
      </c>
      <c r="F565" s="167" t="s">
        <v>233</v>
      </c>
      <c r="G565" s="167" t="s">
        <v>668</v>
      </c>
    </row>
    <row r="566" spans="5:7" s="167" customFormat="1" ht="25.5" hidden="1" customHeight="1">
      <c r="E566" s="167" t="s">
        <v>232</v>
      </c>
      <c r="F566" s="167" t="s">
        <v>233</v>
      </c>
      <c r="G566" s="167" t="s">
        <v>669</v>
      </c>
    </row>
    <row r="567" spans="5:7" s="167" customFormat="1" ht="25.5" hidden="1" customHeight="1">
      <c r="E567" s="167" t="s">
        <v>232</v>
      </c>
      <c r="F567" s="167" t="s">
        <v>233</v>
      </c>
      <c r="G567" s="167" t="s">
        <v>670</v>
      </c>
    </row>
    <row r="568" spans="5:7" s="167" customFormat="1" ht="25.5" hidden="1" customHeight="1">
      <c r="E568" s="167" t="s">
        <v>232</v>
      </c>
      <c r="F568" s="167" t="s">
        <v>233</v>
      </c>
      <c r="G568" s="167" t="s">
        <v>671</v>
      </c>
    </row>
    <row r="569" spans="5:7" s="167" customFormat="1" ht="25.5" hidden="1" customHeight="1">
      <c r="E569" s="167" t="s">
        <v>232</v>
      </c>
      <c r="F569" s="167" t="s">
        <v>233</v>
      </c>
      <c r="G569" s="167" t="s">
        <v>672</v>
      </c>
    </row>
    <row r="570" spans="5:7" s="167" customFormat="1" ht="25.5" hidden="1" customHeight="1">
      <c r="E570" s="167" t="s">
        <v>232</v>
      </c>
      <c r="F570" s="167" t="s">
        <v>233</v>
      </c>
      <c r="G570" s="167" t="s">
        <v>673</v>
      </c>
    </row>
    <row r="571" spans="5:7" s="167" customFormat="1" ht="25.5" hidden="1" customHeight="1">
      <c r="E571" s="167" t="s">
        <v>232</v>
      </c>
      <c r="F571" s="167" t="s">
        <v>233</v>
      </c>
      <c r="G571" s="167" t="s">
        <v>674</v>
      </c>
    </row>
    <row r="572" spans="5:7" s="167" customFormat="1" ht="25.5" hidden="1" customHeight="1">
      <c r="E572" s="167" t="s">
        <v>232</v>
      </c>
      <c r="F572" s="167" t="s">
        <v>233</v>
      </c>
      <c r="G572" s="167" t="s">
        <v>675</v>
      </c>
    </row>
    <row r="573" spans="5:7" s="167" customFormat="1" ht="25.5" hidden="1" customHeight="1">
      <c r="E573" s="167" t="s">
        <v>232</v>
      </c>
      <c r="F573" s="167" t="s">
        <v>233</v>
      </c>
      <c r="G573" s="167" t="s">
        <v>676</v>
      </c>
    </row>
    <row r="574" spans="5:7" s="167" customFormat="1" ht="25.5" hidden="1" customHeight="1">
      <c r="E574" s="167" t="s">
        <v>232</v>
      </c>
      <c r="F574" s="167" t="s">
        <v>233</v>
      </c>
      <c r="G574" s="167" t="s">
        <v>677</v>
      </c>
    </row>
    <row r="575" spans="5:7" s="167" customFormat="1" ht="25.5" hidden="1" customHeight="1">
      <c r="E575" s="167" t="s">
        <v>232</v>
      </c>
      <c r="F575" s="167" t="s">
        <v>233</v>
      </c>
      <c r="G575" s="167" t="s">
        <v>678</v>
      </c>
    </row>
    <row r="576" spans="5:7" s="167" customFormat="1" ht="25.5" hidden="1" customHeight="1">
      <c r="E576" s="167" t="s">
        <v>232</v>
      </c>
      <c r="F576" s="167" t="s">
        <v>236</v>
      </c>
      <c r="G576" s="167" t="s">
        <v>679</v>
      </c>
    </row>
    <row r="577" spans="5:7" s="167" customFormat="1" ht="25.5" hidden="1" customHeight="1">
      <c r="E577" s="167" t="s">
        <v>232</v>
      </c>
      <c r="F577" s="167" t="s">
        <v>680</v>
      </c>
      <c r="G577" s="167" t="s">
        <v>681</v>
      </c>
    </row>
    <row r="578" spans="5:7" s="167" customFormat="1" ht="25.5" hidden="1" customHeight="1">
      <c r="E578" s="167" t="s">
        <v>232</v>
      </c>
      <c r="F578" s="167" t="s">
        <v>682</v>
      </c>
      <c r="G578" s="167" t="s">
        <v>683</v>
      </c>
    </row>
    <row r="579" spans="5:7" s="167" customFormat="1" ht="25.5" hidden="1" customHeight="1">
      <c r="E579" s="167" t="s">
        <v>232</v>
      </c>
      <c r="F579" s="167" t="s">
        <v>682</v>
      </c>
      <c r="G579" s="167" t="s">
        <v>684</v>
      </c>
    </row>
    <row r="580" spans="5:7" s="167" customFormat="1" ht="25.5" hidden="1" customHeight="1">
      <c r="E580" s="167" t="s">
        <v>232</v>
      </c>
      <c r="F580" s="167" t="s">
        <v>682</v>
      </c>
      <c r="G580" s="167" t="s">
        <v>685</v>
      </c>
    </row>
    <row r="581" spans="5:7" s="167" customFormat="1" ht="25.5" hidden="1" customHeight="1">
      <c r="E581" s="167" t="s">
        <v>232</v>
      </c>
      <c r="F581" s="167" t="s">
        <v>682</v>
      </c>
      <c r="G581" s="167" t="s">
        <v>686</v>
      </c>
    </row>
    <row r="582" spans="5:7" s="167" customFormat="1" ht="25.5" hidden="1" customHeight="1">
      <c r="E582" s="167" t="s">
        <v>232</v>
      </c>
      <c r="F582" s="167" t="s">
        <v>682</v>
      </c>
      <c r="G582" s="167" t="s">
        <v>687</v>
      </c>
    </row>
    <row r="583" spans="5:7" s="167" customFormat="1" ht="25.5" hidden="1" customHeight="1">
      <c r="E583" s="167" t="s">
        <v>232</v>
      </c>
      <c r="F583" s="167" t="s">
        <v>682</v>
      </c>
      <c r="G583" s="167" t="s">
        <v>688</v>
      </c>
    </row>
    <row r="584" spans="5:7" s="167" customFormat="1" ht="25.5" hidden="1" customHeight="1">
      <c r="E584" s="167" t="s">
        <v>232</v>
      </c>
      <c r="F584" s="167" t="s">
        <v>682</v>
      </c>
      <c r="G584" s="167" t="s">
        <v>689</v>
      </c>
    </row>
    <row r="585" spans="5:7" s="167" customFormat="1" ht="25.5" hidden="1" customHeight="1">
      <c r="E585" s="167" t="s">
        <v>232</v>
      </c>
      <c r="F585" s="167" t="s">
        <v>239</v>
      </c>
      <c r="G585" s="167" t="s">
        <v>690</v>
      </c>
    </row>
    <row r="586" spans="5:7" s="167" customFormat="1" ht="25.5" hidden="1" customHeight="1">
      <c r="E586" s="167" t="s">
        <v>232</v>
      </c>
      <c r="F586" s="167" t="s">
        <v>691</v>
      </c>
      <c r="G586" s="167" t="s">
        <v>692</v>
      </c>
    </row>
    <row r="587" spans="5:7" s="167" customFormat="1" ht="25.5" hidden="1" customHeight="1">
      <c r="E587" s="167" t="s">
        <v>232</v>
      </c>
      <c r="F587" s="167" t="s">
        <v>691</v>
      </c>
      <c r="G587" s="167" t="s">
        <v>693</v>
      </c>
    </row>
    <row r="588" spans="5:7" s="167" customFormat="1" ht="25.5" hidden="1" customHeight="1">
      <c r="E588" s="167" t="s">
        <v>232</v>
      </c>
      <c r="F588" s="167" t="s">
        <v>691</v>
      </c>
      <c r="G588" s="167" t="s">
        <v>694</v>
      </c>
    </row>
    <row r="589" spans="5:7" s="167" customFormat="1" ht="25.5" hidden="1" customHeight="1">
      <c r="E589" s="167" t="s">
        <v>232</v>
      </c>
      <c r="F589" s="167" t="s">
        <v>691</v>
      </c>
      <c r="G589" s="167" t="s">
        <v>695</v>
      </c>
    </row>
    <row r="590" spans="5:7" s="167" customFormat="1" ht="25.5" hidden="1" customHeight="1">
      <c r="E590" s="167" t="s">
        <v>232</v>
      </c>
      <c r="F590" s="167" t="s">
        <v>691</v>
      </c>
      <c r="G590" s="167" t="s">
        <v>696</v>
      </c>
    </row>
    <row r="591" spans="5:7" s="167" customFormat="1" ht="25.5" hidden="1" customHeight="1">
      <c r="E591" s="167" t="s">
        <v>232</v>
      </c>
      <c r="F591" s="167" t="s">
        <v>241</v>
      </c>
      <c r="G591" s="167" t="s">
        <v>697</v>
      </c>
    </row>
    <row r="592" spans="5:7" s="167" customFormat="1" ht="25.5" hidden="1" customHeight="1">
      <c r="E592" s="167" t="s">
        <v>232</v>
      </c>
      <c r="F592" s="167" t="s">
        <v>241</v>
      </c>
      <c r="G592" s="167" t="s">
        <v>698</v>
      </c>
    </row>
    <row r="593" spans="5:7" s="167" customFormat="1" ht="25.5" hidden="1" customHeight="1">
      <c r="E593" s="167" t="s">
        <v>232</v>
      </c>
      <c r="F593" s="167" t="s">
        <v>241</v>
      </c>
      <c r="G593" s="167" t="s">
        <v>699</v>
      </c>
    </row>
    <row r="594" spans="5:7" s="167" customFormat="1" ht="25.5" hidden="1" customHeight="1">
      <c r="E594" s="167" t="s">
        <v>232</v>
      </c>
      <c r="F594" s="167" t="s">
        <v>241</v>
      </c>
      <c r="G594" s="167" t="s">
        <v>700</v>
      </c>
    </row>
    <row r="595" spans="5:7" s="167" customFormat="1" ht="25.5" hidden="1" customHeight="1"/>
    <row r="596" spans="5:7" s="167" customFormat="1" ht="25.5" hidden="1" customHeight="1">
      <c r="E596" s="167" t="s">
        <v>232</v>
      </c>
      <c r="F596" s="167" t="s">
        <v>243</v>
      </c>
      <c r="G596" s="167" t="s">
        <v>701</v>
      </c>
    </row>
    <row r="597" spans="5:7" s="167" customFormat="1" ht="25.5" hidden="1" customHeight="1">
      <c r="E597" s="167" t="s">
        <v>232</v>
      </c>
      <c r="F597" s="167" t="s">
        <v>243</v>
      </c>
      <c r="G597" s="167" t="s">
        <v>702</v>
      </c>
    </row>
    <row r="598" spans="5:7" s="167" customFormat="1" ht="25.5" hidden="1" customHeight="1">
      <c r="E598" s="167" t="s">
        <v>232</v>
      </c>
      <c r="F598" s="167" t="s">
        <v>243</v>
      </c>
      <c r="G598" s="167" t="s">
        <v>703</v>
      </c>
    </row>
    <row r="599" spans="5:7" s="167" customFormat="1" ht="25.5" hidden="1" customHeight="1">
      <c r="E599" s="167" t="s">
        <v>232</v>
      </c>
      <c r="F599" s="167" t="s">
        <v>243</v>
      </c>
      <c r="G599" s="167" t="s">
        <v>704</v>
      </c>
    </row>
    <row r="600" spans="5:7" s="167" customFormat="1" ht="25.5" hidden="1" customHeight="1">
      <c r="E600" s="167" t="s">
        <v>232</v>
      </c>
      <c r="F600" s="167" t="s">
        <v>243</v>
      </c>
      <c r="G600" s="167" t="s">
        <v>705</v>
      </c>
    </row>
    <row r="601" spans="5:7" s="167" customFormat="1" ht="25.5" hidden="1" customHeight="1">
      <c r="E601" s="167" t="s">
        <v>232</v>
      </c>
      <c r="F601" s="167" t="s">
        <v>243</v>
      </c>
      <c r="G601" s="167" t="s">
        <v>706</v>
      </c>
    </row>
    <row r="602" spans="5:7" s="167" customFormat="1" ht="25.5" hidden="1" customHeight="1">
      <c r="E602" s="167" t="s">
        <v>232</v>
      </c>
      <c r="F602" s="167" t="s">
        <v>243</v>
      </c>
      <c r="G602" s="167" t="s">
        <v>707</v>
      </c>
    </row>
    <row r="603" spans="5:7" s="167" customFormat="1" ht="25.5" hidden="1" customHeight="1">
      <c r="E603" s="167" t="s">
        <v>232</v>
      </c>
      <c r="F603" s="167" t="s">
        <v>243</v>
      </c>
      <c r="G603" s="167" t="s">
        <v>708</v>
      </c>
    </row>
    <row r="604" spans="5:7" s="167" customFormat="1" ht="25.5" hidden="1" customHeight="1">
      <c r="E604" s="167" t="s">
        <v>232</v>
      </c>
      <c r="F604" s="167" t="s">
        <v>245</v>
      </c>
      <c r="G604" s="167" t="s">
        <v>709</v>
      </c>
    </row>
    <row r="605" spans="5:7" s="167" customFormat="1" ht="25.5" hidden="1" customHeight="1">
      <c r="E605" s="167" t="s">
        <v>232</v>
      </c>
      <c r="F605" s="167" t="s">
        <v>245</v>
      </c>
      <c r="G605" s="167" t="s">
        <v>710</v>
      </c>
    </row>
    <row r="606" spans="5:7" s="167" customFormat="1" ht="25.5" hidden="1" customHeight="1">
      <c r="E606" s="167" t="s">
        <v>232</v>
      </c>
      <c r="F606" s="167" t="s">
        <v>245</v>
      </c>
      <c r="G606" s="167" t="s">
        <v>711</v>
      </c>
    </row>
    <row r="607" spans="5:7" s="167" customFormat="1" ht="25.5" hidden="1" customHeight="1">
      <c r="E607" s="167" t="s">
        <v>232</v>
      </c>
      <c r="F607" s="167" t="s">
        <v>245</v>
      </c>
      <c r="G607" s="167" t="s">
        <v>712</v>
      </c>
    </row>
    <row r="608" spans="5:7" s="167" customFormat="1" ht="25.5" hidden="1" customHeight="1">
      <c r="E608" s="167" t="s">
        <v>232</v>
      </c>
      <c r="F608" s="167" t="s">
        <v>245</v>
      </c>
      <c r="G608" s="167" t="s">
        <v>713</v>
      </c>
    </row>
    <row r="609" spans="5:7" s="167" customFormat="1" ht="25.5" hidden="1" customHeight="1"/>
    <row r="610" spans="5:7" s="167" customFormat="1" ht="25.5" hidden="1" customHeight="1">
      <c r="E610" s="167" t="s">
        <v>232</v>
      </c>
      <c r="F610" s="167" t="s">
        <v>714</v>
      </c>
      <c r="G610" s="167" t="s">
        <v>715</v>
      </c>
    </row>
    <row r="611" spans="5:7" s="167" customFormat="1" ht="25.5" hidden="1" customHeight="1">
      <c r="E611" s="167" t="s">
        <v>232</v>
      </c>
      <c r="F611" s="167" t="s">
        <v>232</v>
      </c>
      <c r="G611" s="167" t="s">
        <v>716</v>
      </c>
    </row>
    <row r="612" spans="5:7" s="167" customFormat="1" ht="25.5" hidden="1" customHeight="1">
      <c r="E612" s="167" t="s">
        <v>232</v>
      </c>
      <c r="F612" s="167" t="s">
        <v>232</v>
      </c>
      <c r="G612" s="167" t="s">
        <v>717</v>
      </c>
    </row>
    <row r="613" spans="5:7" s="167" customFormat="1" ht="25.5" hidden="1" customHeight="1">
      <c r="E613" s="167" t="s">
        <v>232</v>
      </c>
      <c r="F613" s="167" t="s">
        <v>232</v>
      </c>
      <c r="G613" s="167" t="s">
        <v>718</v>
      </c>
    </row>
    <row r="614" spans="5:7" s="167" customFormat="1" ht="25.5" hidden="1" customHeight="1">
      <c r="E614" s="167" t="s">
        <v>232</v>
      </c>
      <c r="F614" s="167" t="s">
        <v>232</v>
      </c>
      <c r="G614" s="167" t="s">
        <v>719</v>
      </c>
    </row>
    <row r="615" spans="5:7" s="167" customFormat="1" ht="25.5" hidden="1" customHeight="1">
      <c r="E615" s="167" t="s">
        <v>232</v>
      </c>
      <c r="F615" s="167" t="s">
        <v>232</v>
      </c>
      <c r="G615" s="167" t="s">
        <v>720</v>
      </c>
    </row>
    <row r="616" spans="5:7" s="167" customFormat="1" ht="25.5" hidden="1" customHeight="1">
      <c r="E616" s="167" t="s">
        <v>232</v>
      </c>
      <c r="F616" s="167" t="s">
        <v>232</v>
      </c>
      <c r="G616" s="167" t="s">
        <v>721</v>
      </c>
    </row>
    <row r="617" spans="5:7" s="167" customFormat="1" ht="25.5" hidden="1" customHeight="1">
      <c r="E617" s="167" t="s">
        <v>232</v>
      </c>
      <c r="F617" s="167" t="s">
        <v>232</v>
      </c>
      <c r="G617" s="167" t="s">
        <v>722</v>
      </c>
    </row>
    <row r="618" spans="5:7" s="167" customFormat="1" ht="25.5" hidden="1" customHeight="1">
      <c r="E618" s="167" t="s">
        <v>232</v>
      </c>
      <c r="F618" s="167" t="s">
        <v>232</v>
      </c>
      <c r="G618" s="167" t="s">
        <v>723</v>
      </c>
    </row>
    <row r="619" spans="5:7" s="167" customFormat="1" ht="25.5" hidden="1" customHeight="1">
      <c r="E619" s="167" t="s">
        <v>232</v>
      </c>
      <c r="F619" s="167" t="s">
        <v>248</v>
      </c>
      <c r="G619" s="167" t="s">
        <v>724</v>
      </c>
    </row>
    <row r="620" spans="5:7" s="167" customFormat="1" ht="25.5" hidden="1" customHeight="1">
      <c r="E620" s="167" t="s">
        <v>232</v>
      </c>
      <c r="F620" s="167" t="s">
        <v>248</v>
      </c>
      <c r="G620" s="167" t="s">
        <v>725</v>
      </c>
    </row>
    <row r="621" spans="5:7" s="167" customFormat="1" ht="25.5" hidden="1" customHeight="1">
      <c r="E621" s="167" t="s">
        <v>232</v>
      </c>
      <c r="F621" s="167" t="s">
        <v>248</v>
      </c>
      <c r="G621" s="167" t="s">
        <v>726</v>
      </c>
    </row>
    <row r="622" spans="5:7" s="167" customFormat="1" ht="25.5" hidden="1" customHeight="1">
      <c r="E622" s="167" t="s">
        <v>232</v>
      </c>
      <c r="F622" s="167" t="s">
        <v>248</v>
      </c>
      <c r="G622" s="167" t="s">
        <v>727</v>
      </c>
    </row>
    <row r="623" spans="5:7" s="167" customFormat="1" ht="25.5" hidden="1" customHeight="1">
      <c r="E623" s="167" t="s">
        <v>232</v>
      </c>
      <c r="F623" s="167" t="s">
        <v>248</v>
      </c>
      <c r="G623" s="167" t="s">
        <v>728</v>
      </c>
    </row>
    <row r="624" spans="5:7" s="167" customFormat="1" ht="25.5" hidden="1" customHeight="1">
      <c r="E624" s="167" t="s">
        <v>232</v>
      </c>
      <c r="F624" s="167" t="s">
        <v>248</v>
      </c>
      <c r="G624" s="167" t="s">
        <v>729</v>
      </c>
    </row>
    <row r="625" spans="5:7" s="167" customFormat="1" ht="25.5" hidden="1" customHeight="1">
      <c r="E625" s="167" t="s">
        <v>250</v>
      </c>
      <c r="F625" s="167" t="s">
        <v>251</v>
      </c>
      <c r="G625" s="167" t="s">
        <v>730</v>
      </c>
    </row>
    <row r="626" spans="5:7" s="167" customFormat="1" ht="25.5" hidden="1" customHeight="1">
      <c r="E626" s="167" t="s">
        <v>250</v>
      </c>
      <c r="F626" s="167" t="s">
        <v>251</v>
      </c>
      <c r="G626" s="167" t="s">
        <v>731</v>
      </c>
    </row>
    <row r="627" spans="5:7" s="167" customFormat="1" ht="25.5" hidden="1" customHeight="1">
      <c r="E627" s="167" t="s">
        <v>250</v>
      </c>
      <c r="F627" s="167" t="s">
        <v>732</v>
      </c>
      <c r="G627" s="167" t="s">
        <v>733</v>
      </c>
    </row>
    <row r="628" spans="5:7" s="167" customFormat="1" ht="25.5" hidden="1" customHeight="1">
      <c r="E628" s="167" t="s">
        <v>250</v>
      </c>
      <c r="F628" s="167" t="s">
        <v>732</v>
      </c>
      <c r="G628" s="167" t="s">
        <v>734</v>
      </c>
    </row>
    <row r="629" spans="5:7" s="167" customFormat="1" ht="25.5" hidden="1" customHeight="1">
      <c r="E629" s="167" t="s">
        <v>250</v>
      </c>
      <c r="F629" s="167" t="s">
        <v>732</v>
      </c>
      <c r="G629" s="167" t="s">
        <v>735</v>
      </c>
    </row>
    <row r="630" spans="5:7" s="167" customFormat="1" ht="25.5" hidden="1" customHeight="1">
      <c r="E630" s="167" t="s">
        <v>250</v>
      </c>
      <c r="F630" s="167" t="s">
        <v>732</v>
      </c>
      <c r="G630" s="167" t="s">
        <v>736</v>
      </c>
    </row>
    <row r="631" spans="5:7" s="167" customFormat="1" ht="25.5" hidden="1" customHeight="1">
      <c r="E631" s="167" t="s">
        <v>250</v>
      </c>
      <c r="F631" s="167" t="s">
        <v>732</v>
      </c>
      <c r="G631" s="167" t="s">
        <v>737</v>
      </c>
    </row>
    <row r="632" spans="5:7" s="167" customFormat="1" ht="25.5" hidden="1" customHeight="1">
      <c r="E632" s="167" t="s">
        <v>250</v>
      </c>
      <c r="F632" s="167" t="s">
        <v>732</v>
      </c>
      <c r="G632" s="167" t="s">
        <v>738</v>
      </c>
    </row>
    <row r="633" spans="5:7" s="167" customFormat="1" ht="25.5" hidden="1" customHeight="1">
      <c r="E633" s="167" t="s">
        <v>250</v>
      </c>
      <c r="F633" s="167" t="s">
        <v>732</v>
      </c>
      <c r="G633" s="167" t="s">
        <v>739</v>
      </c>
    </row>
    <row r="634" spans="5:7" s="167" customFormat="1" ht="25.5" hidden="1" customHeight="1"/>
    <row r="635" spans="5:7" s="167" customFormat="1" ht="25.5" hidden="1" customHeight="1"/>
    <row r="636" spans="5:7" s="167" customFormat="1" ht="25.5" hidden="1" customHeight="1">
      <c r="E636" s="167" t="s">
        <v>250</v>
      </c>
      <c r="F636" s="167" t="s">
        <v>252</v>
      </c>
      <c r="G636" s="167" t="s">
        <v>740</v>
      </c>
    </row>
    <row r="637" spans="5:7" s="167" customFormat="1" ht="25.5" hidden="1" customHeight="1">
      <c r="E637" s="167" t="s">
        <v>250</v>
      </c>
      <c r="F637" s="167" t="s">
        <v>252</v>
      </c>
      <c r="G637" s="167" t="s">
        <v>741</v>
      </c>
    </row>
    <row r="638" spans="5:7" s="167" customFormat="1" ht="25.5" hidden="1" customHeight="1">
      <c r="E638" s="167" t="s">
        <v>250</v>
      </c>
      <c r="F638" s="167" t="s">
        <v>742</v>
      </c>
      <c r="G638" s="167" t="s">
        <v>743</v>
      </c>
    </row>
    <row r="639" spans="5:7" s="167" customFormat="1" ht="25.5" hidden="1" customHeight="1">
      <c r="E639" s="167" t="s">
        <v>250</v>
      </c>
      <c r="F639" s="167" t="s">
        <v>742</v>
      </c>
      <c r="G639" s="167" t="s">
        <v>744</v>
      </c>
    </row>
    <row r="640" spans="5:7" s="167" customFormat="1" ht="25.5" hidden="1" customHeight="1">
      <c r="E640" s="167" t="s">
        <v>250</v>
      </c>
      <c r="F640" s="167" t="s">
        <v>742</v>
      </c>
      <c r="G640" s="167" t="s">
        <v>745</v>
      </c>
    </row>
    <row r="641" spans="5:7" s="167" customFormat="1" ht="25.5" hidden="1" customHeight="1">
      <c r="E641" s="167" t="s">
        <v>250</v>
      </c>
      <c r="F641" s="167" t="s">
        <v>742</v>
      </c>
      <c r="G641" s="167" t="s">
        <v>746</v>
      </c>
    </row>
    <row r="642" spans="5:7" s="167" customFormat="1" ht="25.5" hidden="1" customHeight="1">
      <c r="E642" s="167" t="s">
        <v>250</v>
      </c>
      <c r="F642" s="167" t="s">
        <v>742</v>
      </c>
      <c r="G642" s="167" t="s">
        <v>747</v>
      </c>
    </row>
    <row r="643" spans="5:7" s="167" customFormat="1" ht="25.5" hidden="1" customHeight="1">
      <c r="E643" s="167" t="s">
        <v>250</v>
      </c>
      <c r="F643" s="167" t="s">
        <v>254</v>
      </c>
      <c r="G643" s="167" t="s">
        <v>748</v>
      </c>
    </row>
    <row r="644" spans="5:7" s="167" customFormat="1" ht="25.5" hidden="1" customHeight="1">
      <c r="E644" s="167" t="s">
        <v>250</v>
      </c>
      <c r="F644" s="167" t="s">
        <v>254</v>
      </c>
      <c r="G644" s="167" t="s">
        <v>749</v>
      </c>
    </row>
    <row r="645" spans="5:7" s="167" customFormat="1" ht="25.5" hidden="1" customHeight="1">
      <c r="E645" s="167" t="s">
        <v>250</v>
      </c>
      <c r="F645" s="167" t="s">
        <v>750</v>
      </c>
      <c r="G645" s="167" t="s">
        <v>751</v>
      </c>
    </row>
    <row r="646" spans="5:7" s="167" customFormat="1" ht="25.5" hidden="1" customHeight="1">
      <c r="E646" s="167" t="s">
        <v>250</v>
      </c>
      <c r="F646" s="167" t="s">
        <v>750</v>
      </c>
      <c r="G646" s="167" t="s">
        <v>752</v>
      </c>
    </row>
    <row r="647" spans="5:7" s="167" customFormat="1" ht="25.5" hidden="1" customHeight="1">
      <c r="E647" s="167" t="s">
        <v>250</v>
      </c>
      <c r="F647" s="167" t="s">
        <v>750</v>
      </c>
      <c r="G647" s="167" t="s">
        <v>753</v>
      </c>
    </row>
    <row r="648" spans="5:7" s="167" customFormat="1" ht="25.5" hidden="1" customHeight="1">
      <c r="E648" s="167" t="s">
        <v>250</v>
      </c>
      <c r="F648" s="167" t="s">
        <v>750</v>
      </c>
      <c r="G648" s="167" t="s">
        <v>754</v>
      </c>
    </row>
    <row r="649" spans="5:7" s="167" customFormat="1" ht="25.5" hidden="1" customHeight="1">
      <c r="E649" s="167" t="s">
        <v>250</v>
      </c>
      <c r="F649" s="167" t="s">
        <v>750</v>
      </c>
      <c r="G649" s="167" t="s">
        <v>755</v>
      </c>
    </row>
    <row r="650" spans="5:7" s="167" customFormat="1" ht="25.5" hidden="1" customHeight="1">
      <c r="E650" s="167" t="s">
        <v>250</v>
      </c>
      <c r="F650" s="167" t="s">
        <v>750</v>
      </c>
      <c r="G650" s="167" t="s">
        <v>756</v>
      </c>
    </row>
    <row r="651" spans="5:7" s="167" customFormat="1" ht="25.5" hidden="1" customHeight="1">
      <c r="E651" s="167" t="s">
        <v>250</v>
      </c>
      <c r="F651" s="167" t="s">
        <v>750</v>
      </c>
      <c r="G651" s="167" t="s">
        <v>757</v>
      </c>
    </row>
    <row r="652" spans="5:7" s="167" customFormat="1" ht="25.5" hidden="1" customHeight="1">
      <c r="E652" s="167" t="s">
        <v>250</v>
      </c>
      <c r="F652" s="167" t="s">
        <v>250</v>
      </c>
      <c r="G652" s="167" t="s">
        <v>758</v>
      </c>
    </row>
    <row r="653" spans="5:7" s="167" customFormat="1" ht="25.5" hidden="1" customHeight="1">
      <c r="E653" s="167" t="s">
        <v>250</v>
      </c>
      <c r="F653" s="167" t="s">
        <v>250</v>
      </c>
      <c r="G653" s="167" t="s">
        <v>759</v>
      </c>
    </row>
    <row r="654" spans="5:7" s="167" customFormat="1" ht="25.5" hidden="1" customHeight="1">
      <c r="E654" s="167" t="s">
        <v>250</v>
      </c>
      <c r="F654" s="167" t="s">
        <v>250</v>
      </c>
      <c r="G654" s="167" t="s">
        <v>760</v>
      </c>
    </row>
    <row r="655" spans="5:7" s="167" customFormat="1" ht="25.5" hidden="1" customHeight="1">
      <c r="E655" s="167" t="s">
        <v>250</v>
      </c>
      <c r="F655" s="167" t="s">
        <v>761</v>
      </c>
      <c r="G655" s="167" t="s">
        <v>762</v>
      </c>
    </row>
    <row r="656" spans="5:7" s="167" customFormat="1" ht="25.5" hidden="1" customHeight="1">
      <c r="E656" s="167" t="s">
        <v>250</v>
      </c>
      <c r="F656" s="167" t="s">
        <v>250</v>
      </c>
      <c r="G656" s="167" t="s">
        <v>763</v>
      </c>
    </row>
    <row r="657" spans="5:7" s="167" customFormat="1" ht="25.5" hidden="1" customHeight="1">
      <c r="E657" s="167" t="s">
        <v>250</v>
      </c>
      <c r="F657" s="167" t="s">
        <v>250</v>
      </c>
      <c r="G657" s="167" t="s">
        <v>764</v>
      </c>
    </row>
    <row r="658" spans="5:7" s="167" customFormat="1" ht="25.5" hidden="1" customHeight="1">
      <c r="E658" s="167" t="s">
        <v>250</v>
      </c>
      <c r="F658" s="167" t="s">
        <v>250</v>
      </c>
      <c r="G658" s="167" t="s">
        <v>765</v>
      </c>
    </row>
    <row r="659" spans="5:7" s="167" customFormat="1" ht="25.5" hidden="1" customHeight="1">
      <c r="E659" s="167" t="s">
        <v>250</v>
      </c>
      <c r="F659" s="167" t="s">
        <v>761</v>
      </c>
      <c r="G659" s="168" t="s">
        <v>766</v>
      </c>
    </row>
    <row r="660" spans="5:7" s="167" customFormat="1" ht="25.5" hidden="1" customHeight="1">
      <c r="E660" s="167" t="s">
        <v>250</v>
      </c>
      <c r="F660" s="167" t="s">
        <v>761</v>
      </c>
      <c r="G660" s="167" t="s">
        <v>767</v>
      </c>
    </row>
    <row r="661" spans="5:7" s="167" customFormat="1" ht="25.5" hidden="1" customHeight="1">
      <c r="E661" s="167" t="s">
        <v>250</v>
      </c>
      <c r="F661" s="167" t="s">
        <v>761</v>
      </c>
      <c r="G661" s="167" t="s">
        <v>768</v>
      </c>
    </row>
    <row r="662" spans="5:7" s="167" customFormat="1" ht="25.5" hidden="1" customHeight="1">
      <c r="E662" s="167" t="s">
        <v>250</v>
      </c>
      <c r="F662" s="167" t="s">
        <v>761</v>
      </c>
      <c r="G662" s="167" t="s">
        <v>769</v>
      </c>
    </row>
    <row r="663" spans="5:7" s="167" customFormat="1" ht="25.5" hidden="1" customHeight="1">
      <c r="E663" s="167" t="s">
        <v>250</v>
      </c>
      <c r="F663" s="167" t="s">
        <v>761</v>
      </c>
      <c r="G663" s="167" t="s">
        <v>770</v>
      </c>
    </row>
    <row r="664" spans="5:7" s="167" customFormat="1" ht="25.5" hidden="1" customHeight="1"/>
    <row r="665" spans="5:7" s="167" customFormat="1" ht="25.5" hidden="1" customHeight="1"/>
    <row r="666" spans="5:7" s="167" customFormat="1" ht="25.5" hidden="1" customHeight="1"/>
    <row r="667" spans="5:7" s="167" customFormat="1" ht="25.5" hidden="1" customHeight="1"/>
    <row r="668" spans="5:7" s="167" customFormat="1" ht="25.5" hidden="1" customHeight="1"/>
    <row r="669" spans="5:7" s="167" customFormat="1" ht="25.5" hidden="1" customHeight="1"/>
    <row r="670" spans="5:7" s="167" customFormat="1" ht="25.5" hidden="1" customHeight="1"/>
    <row r="671" spans="5:7" s="167" customFormat="1" ht="25.5" hidden="1" customHeight="1"/>
    <row r="672" spans="5:7" s="167" customFormat="1" ht="25.5" hidden="1" customHeight="1"/>
    <row r="673" s="167" customFormat="1" ht="25.5" hidden="1" customHeight="1"/>
    <row r="674" s="167" customFormat="1" ht="25.5" hidden="1" customHeight="1"/>
    <row r="675" s="167" customFormat="1" ht="25.5" hidden="1" customHeight="1"/>
    <row r="676" s="167" customFormat="1" ht="25.5" hidden="1" customHeight="1"/>
    <row r="677" s="167" customFormat="1" ht="25.5" hidden="1" customHeight="1"/>
    <row r="678" s="167" customFormat="1" ht="25.5" hidden="1" customHeight="1"/>
    <row r="679" s="167" customFormat="1" ht="25.5" hidden="1" customHeight="1"/>
    <row r="680" s="167" customFormat="1" ht="25.5" hidden="1" customHeight="1"/>
    <row r="681" s="167" customFormat="1" ht="25.5" hidden="1" customHeight="1"/>
    <row r="682" s="167" customFormat="1" ht="25.5" hidden="1" customHeight="1"/>
    <row r="683" s="167" customFormat="1" ht="25.5" hidden="1" customHeight="1"/>
    <row r="684" s="167" customFormat="1" ht="25.5" hidden="1" customHeight="1"/>
    <row r="685" s="167" customFormat="1" ht="25.5" hidden="1" customHeight="1"/>
    <row r="686" s="167" customFormat="1" ht="25.5" hidden="1" customHeight="1"/>
    <row r="687" s="167" customFormat="1" ht="25.5" hidden="1" customHeight="1"/>
    <row r="688" s="167" customFormat="1" ht="25.5" hidden="1" customHeight="1"/>
    <row r="689" s="167" customFormat="1" ht="25.5" hidden="1" customHeight="1"/>
    <row r="690" s="167" customFormat="1" ht="25.5" hidden="1" customHeight="1"/>
    <row r="691" s="167" customFormat="1" ht="25.5" hidden="1" customHeight="1"/>
    <row r="692" s="167" customFormat="1" ht="25.5" hidden="1" customHeight="1"/>
    <row r="693" s="167" customFormat="1" ht="25.5" hidden="1" customHeight="1"/>
    <row r="694" s="167" customFormat="1" ht="25.5" hidden="1" customHeight="1"/>
    <row r="695" s="167" customFormat="1" ht="25.5" hidden="1" customHeight="1"/>
    <row r="696" s="167" customFormat="1" ht="25.5" hidden="1" customHeight="1"/>
    <row r="697" s="167" customFormat="1" ht="25.5" hidden="1" customHeight="1"/>
    <row r="698" s="167" customFormat="1" ht="25.5" hidden="1" customHeight="1"/>
    <row r="699" s="167" customFormat="1" ht="25.5" hidden="1" customHeight="1"/>
    <row r="700" s="167" customFormat="1" ht="25.5" hidden="1" customHeight="1"/>
    <row r="701" s="167" customFormat="1" ht="25.5" hidden="1" customHeight="1"/>
    <row r="702" s="167" customFormat="1" ht="25.5" hidden="1" customHeight="1"/>
    <row r="703" s="167" customFormat="1" ht="25.5" hidden="1" customHeight="1"/>
    <row r="704" s="167" customFormat="1" ht="25.5" hidden="1" customHeight="1"/>
    <row r="705" s="167" customFormat="1" ht="25.5" hidden="1" customHeight="1"/>
    <row r="706" s="167" customFormat="1" ht="25.5" hidden="1" customHeight="1"/>
    <row r="707" s="167" customFormat="1" ht="25.5" hidden="1" customHeight="1"/>
    <row r="708" s="167" customFormat="1" ht="25.5" hidden="1" customHeight="1"/>
    <row r="709" s="167" customFormat="1" ht="25.5" hidden="1" customHeight="1"/>
    <row r="710" s="167" customFormat="1" ht="25.5" hidden="1" customHeight="1"/>
    <row r="711" s="167" customFormat="1" ht="25.5" hidden="1" customHeight="1"/>
    <row r="712" s="167" customFormat="1" ht="25.5" hidden="1" customHeight="1"/>
    <row r="713" s="167" customFormat="1" ht="25.5" hidden="1" customHeight="1"/>
    <row r="714" s="167" customFormat="1" ht="25.5" hidden="1" customHeight="1"/>
    <row r="715" s="167" customFormat="1" ht="25.5" hidden="1" customHeight="1"/>
    <row r="716" s="167" customFormat="1" ht="25.5" hidden="1" customHeight="1"/>
    <row r="717" s="167" customFormat="1" ht="25.5" hidden="1" customHeight="1"/>
    <row r="718" s="167" customFormat="1" ht="25.5" hidden="1" customHeight="1"/>
    <row r="719" s="167" customFormat="1" ht="25.5" hidden="1" customHeight="1"/>
    <row r="720" s="167" customFormat="1" ht="25.5" hidden="1" customHeight="1"/>
    <row r="721" s="167" customFormat="1" ht="25.5" hidden="1" customHeight="1"/>
    <row r="722" s="167" customFormat="1" ht="25.5" hidden="1" customHeight="1"/>
    <row r="723" s="167" customFormat="1" ht="25.5" hidden="1" customHeight="1"/>
    <row r="724" s="167" customFormat="1" ht="25.5" hidden="1" customHeight="1"/>
    <row r="725" s="167" customFormat="1" ht="25.5" hidden="1" customHeight="1"/>
    <row r="726" s="167" customFormat="1" ht="25.5" hidden="1" customHeight="1"/>
    <row r="727" s="167" customFormat="1" ht="25.5" hidden="1" customHeight="1"/>
    <row r="728" s="167" customFormat="1" ht="25.5" hidden="1" customHeight="1"/>
    <row r="729" s="167" customFormat="1" ht="25.5" hidden="1" customHeight="1"/>
    <row r="730" s="167" customFormat="1" ht="25.5" hidden="1" customHeight="1"/>
    <row r="731" s="167" customFormat="1" ht="25.5" hidden="1" customHeight="1"/>
    <row r="732" s="167" customFormat="1" ht="25.5" hidden="1" customHeight="1"/>
    <row r="733" s="167" customFormat="1" ht="25.5" hidden="1" customHeight="1"/>
    <row r="734" s="167" customFormat="1" ht="25.5" hidden="1" customHeight="1"/>
    <row r="735" s="167" customFormat="1" ht="25.5" hidden="1" customHeight="1"/>
    <row r="736" s="167" customFormat="1" ht="25.5" hidden="1" customHeight="1"/>
    <row r="737" s="167" customFormat="1" ht="25.5" hidden="1" customHeight="1"/>
    <row r="738" s="167" customFormat="1" ht="25.5" hidden="1" customHeight="1"/>
    <row r="739" s="167" customFormat="1" ht="25.5" hidden="1" customHeight="1"/>
    <row r="740" s="167" customFormat="1" ht="25.5" hidden="1" customHeight="1"/>
    <row r="741" s="167" customFormat="1" ht="25.5" hidden="1" customHeight="1"/>
    <row r="742" s="167" customFormat="1" ht="25.5" hidden="1" customHeight="1"/>
    <row r="743" s="167" customFormat="1" ht="25.5" hidden="1" customHeight="1"/>
    <row r="744" s="167" customFormat="1" ht="25.5" hidden="1" customHeight="1"/>
    <row r="745" s="167" customFormat="1" ht="25.5" hidden="1" customHeight="1"/>
    <row r="746" s="167" customFormat="1" ht="25.5" hidden="1" customHeight="1"/>
    <row r="747" s="167" customFormat="1" ht="25.5" hidden="1" customHeight="1"/>
    <row r="748" s="167" customFormat="1" ht="25.5" hidden="1" customHeight="1"/>
    <row r="749" s="167" customFormat="1" ht="25.5" hidden="1" customHeight="1"/>
    <row r="750" s="167" customFormat="1" ht="25.5" hidden="1" customHeight="1"/>
    <row r="751" s="167" customFormat="1" ht="25.5" hidden="1" customHeight="1"/>
    <row r="752" s="167" customFormat="1" ht="25.5" hidden="1" customHeight="1"/>
    <row r="753" s="167" customFormat="1" ht="25.5" hidden="1" customHeight="1"/>
    <row r="754" s="167" customFormat="1" ht="25.5" hidden="1" customHeight="1"/>
    <row r="755" s="167" customFormat="1" ht="25.5" hidden="1" customHeight="1"/>
    <row r="756" s="167" customFormat="1" ht="25.5" hidden="1" customHeight="1"/>
    <row r="757" s="167" customFormat="1" ht="25.5" hidden="1" customHeight="1"/>
    <row r="758" s="167" customFormat="1" ht="25.5" hidden="1" customHeight="1"/>
    <row r="759" s="167" customFormat="1" ht="25.5" hidden="1" customHeight="1"/>
    <row r="760" s="167" customFormat="1" ht="25.5" hidden="1" customHeight="1"/>
    <row r="761" s="167" customFormat="1" ht="25.5" hidden="1" customHeight="1"/>
    <row r="762" s="167" customFormat="1" ht="25.5" hidden="1" customHeight="1"/>
    <row r="763" s="167"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5">
    <mergeCell ref="U7:Z7"/>
    <mergeCell ref="T8:Z8"/>
    <mergeCell ref="T9:U9"/>
    <mergeCell ref="A1:R1"/>
    <mergeCell ref="A2:U2"/>
    <mergeCell ref="A3:R3"/>
    <mergeCell ref="A4:U4"/>
    <mergeCell ref="C5:G5"/>
    <mergeCell ref="S6:X6"/>
    <mergeCell ref="Q11:Q12"/>
    <mergeCell ref="R11:T11"/>
    <mergeCell ref="U11:W11"/>
    <mergeCell ref="X11:X12"/>
    <mergeCell ref="A15:A17"/>
    <mergeCell ref="B15:M15"/>
    <mergeCell ref="N15:Y15"/>
    <mergeCell ref="R17:T17"/>
    <mergeCell ref="U17:W17"/>
    <mergeCell ref="X17:Y17"/>
    <mergeCell ref="Z15:Z18"/>
    <mergeCell ref="B16:H16"/>
    <mergeCell ref="I16:M16"/>
    <mergeCell ref="N16:T16"/>
    <mergeCell ref="U16:Y16"/>
    <mergeCell ref="B17:E17"/>
    <mergeCell ref="F17:H17"/>
    <mergeCell ref="I17:K17"/>
    <mergeCell ref="L17:M17"/>
    <mergeCell ref="N17:Q17"/>
    <mergeCell ref="A34:A35"/>
    <mergeCell ref="K34:P37"/>
    <mergeCell ref="S34:V34"/>
    <mergeCell ref="X35:Z35"/>
    <mergeCell ref="A36:A37"/>
    <mergeCell ref="S36:V36"/>
  </mergeCells>
  <dataValidations count="3">
    <dataValidation type="whole" allowBlank="1" showInputMessage="1" showErrorMessage="1" sqref="B18:Q18 B19:Y30" xr:uid="{6CED1EF6-5ED5-AC44-A695-CB47F4492A64}">
      <formula1>0</formula1>
      <formula2>100000</formula2>
    </dataValidation>
    <dataValidation type="list" allowBlank="1" showInputMessage="1" showErrorMessage="1" prompt="Select from drop down list" sqref="C10:G10" xr:uid="{AA435DF7-53FF-BB41-990C-627158FD3E04}">
      <formula1>"GeneXpert (Sputum &amp; EP), GeneXpert (Stool), Truenat"</formula1>
    </dataValidation>
    <dataValidation allowBlank="1" showInputMessage="1" showErrorMessage="1" prompt="Date Format:_x000a_DD/MM/YYYY" sqref="X18 V16 W9:W13" xr:uid="{8E606AF7-DF7F-FB45-B87D-A9C28EAD2510}"/>
  </dataValidations>
  <pageMargins left="0.21" right="0.17" top="0.47" bottom="0.22" header="0.23" footer="0.16"/>
  <pageSetup paperSize="9" scale="60" orientation="landscape"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21340-3337-E34C-8835-A5456D04DFAB}">
  <dimension ref="A1:K3"/>
  <sheetViews>
    <sheetView showGridLines="0" tabSelected="1" workbookViewId="0">
      <selection activeCell="A3" sqref="A3"/>
    </sheetView>
  </sheetViews>
  <sheetFormatPr baseColWidth="10" defaultRowHeight="15"/>
  <cols>
    <col min="2" max="2" width="11.6640625" customWidth="1"/>
    <col min="5" max="5" width="11.5" customWidth="1"/>
  </cols>
  <sheetData>
    <row r="1" spans="1:11">
      <c r="A1" s="187" t="s">
        <v>782</v>
      </c>
      <c r="B1">
        <v>1</v>
      </c>
    </row>
    <row r="2" spans="1:11">
      <c r="A2" s="399" t="s">
        <v>115</v>
      </c>
      <c r="B2" s="188" t="s">
        <v>116</v>
      </c>
      <c r="C2" s="188" t="s">
        <v>927</v>
      </c>
      <c r="D2" s="188" t="s">
        <v>919</v>
      </c>
      <c r="E2" s="188" t="s">
        <v>920</v>
      </c>
      <c r="F2" s="188" t="s">
        <v>921</v>
      </c>
      <c r="G2" s="188" t="s">
        <v>922</v>
      </c>
      <c r="H2" s="188" t="s">
        <v>923</v>
      </c>
      <c r="I2" s="188" t="s">
        <v>924</v>
      </c>
      <c r="J2" s="188" t="s">
        <v>925</v>
      </c>
      <c r="K2" s="400" t="s">
        <v>926</v>
      </c>
    </row>
    <row r="3" spans="1:11">
      <c r="A3" s="401" t="s">
        <v>928</v>
      </c>
      <c r="B3" s="186" t="s">
        <v>929</v>
      </c>
      <c r="C3" s="186" t="s">
        <v>930</v>
      </c>
      <c r="D3" s="186" t="s">
        <v>931</v>
      </c>
      <c r="E3" s="186" t="s">
        <v>932</v>
      </c>
      <c r="F3" s="186" t="s">
        <v>933</v>
      </c>
      <c r="G3" s="186" t="s">
        <v>934</v>
      </c>
      <c r="H3" s="186" t="s">
        <v>935</v>
      </c>
      <c r="I3" s="186" t="s">
        <v>936</v>
      </c>
      <c r="J3" s="186" t="s">
        <v>937</v>
      </c>
      <c r="K3" s="402" t="s">
        <v>938</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217</vt:i4>
      </vt:variant>
    </vt:vector>
  </HeadingPairs>
  <TitlesOfParts>
    <vt:vector size="224" baseType="lpstr">
      <vt:lpstr>DR-TB 10A (Sputum &amp; EP Sample)</vt:lpstr>
      <vt:lpstr>DR-TB 10A (Stool)</vt:lpstr>
      <vt:lpstr>DR-TB 10B</vt:lpstr>
      <vt:lpstr>COVID19 Reporting Form</vt:lpstr>
      <vt:lpstr>For NTP Use</vt:lpstr>
      <vt:lpstr>XDR Cartridges Test Report</vt:lpstr>
      <vt:lpstr>XDR_DB</vt:lpstr>
      <vt:lpstr>'DR-TB 10A (Stool)'!Bagerhat</vt:lpstr>
      <vt:lpstr>'XDR Cartridges Test Report'!Bagerhat</vt:lpstr>
      <vt:lpstr>Bagerhat</vt:lpstr>
      <vt:lpstr>'DR-TB 10A (Stool)'!Bandarban</vt:lpstr>
      <vt:lpstr>'XDR Cartridges Test Report'!Bandarban</vt:lpstr>
      <vt:lpstr>Bandarban</vt:lpstr>
      <vt:lpstr>'DR-TB 10A (Stool)'!Barguna</vt:lpstr>
      <vt:lpstr>'XDR Cartridges Test Report'!Barguna</vt:lpstr>
      <vt:lpstr>Barguna</vt:lpstr>
      <vt:lpstr>'DR-TB 10A (Stool)'!Barisal</vt:lpstr>
      <vt:lpstr>'XDR Cartridges Test Report'!Barisal</vt:lpstr>
      <vt:lpstr>Barisal</vt:lpstr>
      <vt:lpstr>'DR-TB 10A (Stool)'!Barisal_Division</vt:lpstr>
      <vt:lpstr>'XDR Cartridges Test Report'!Barisal_Division</vt:lpstr>
      <vt:lpstr>Barisal_Division</vt:lpstr>
      <vt:lpstr>'DR-TB 10A (Stool)'!Bhola</vt:lpstr>
      <vt:lpstr>'XDR Cartridges Test Report'!Bhola</vt:lpstr>
      <vt:lpstr>Bhola</vt:lpstr>
      <vt:lpstr>'DR-TB 10A (Stool)'!Bogra</vt:lpstr>
      <vt:lpstr>'XDR Cartridges Test Report'!Bogra</vt:lpstr>
      <vt:lpstr>Bogra</vt:lpstr>
      <vt:lpstr>'DR-TB 10A (Stool)'!Brahmanbaria</vt:lpstr>
      <vt:lpstr>'XDR Cartridges Test Report'!Brahmanbaria</vt:lpstr>
      <vt:lpstr>Brahmanbaria</vt:lpstr>
      <vt:lpstr>'DR-TB 10A (Stool)'!Chandpur</vt:lpstr>
      <vt:lpstr>'XDR Cartridges Test Report'!Chandpur</vt:lpstr>
      <vt:lpstr>Chandpur</vt:lpstr>
      <vt:lpstr>'DR-TB 10A (Stool)'!Chattogram</vt:lpstr>
      <vt:lpstr>'XDR Cartridges Test Report'!Chattogram</vt:lpstr>
      <vt:lpstr>Chattogram</vt:lpstr>
      <vt:lpstr>'DR-TB 10A (Stool)'!Chattogram_Division</vt:lpstr>
      <vt:lpstr>'XDR Cartridges Test Report'!Chattogram_Division</vt:lpstr>
      <vt:lpstr>Chattogram_Division</vt:lpstr>
      <vt:lpstr>'DR-TB 10A (Stool)'!Chuadanga</vt:lpstr>
      <vt:lpstr>'XDR Cartridges Test Report'!Chuadanga</vt:lpstr>
      <vt:lpstr>Chuadanga</vt:lpstr>
      <vt:lpstr>'DR-TB 10A (Stool)'!Comilla</vt:lpstr>
      <vt:lpstr>'XDR Cartridges Test Report'!Comilla</vt:lpstr>
      <vt:lpstr>Comilla</vt:lpstr>
      <vt:lpstr>'DR-TB 10A (Stool)'!Coxs_Bazar</vt:lpstr>
      <vt:lpstr>'XDR Cartridges Test Report'!Coxs_Bazar</vt:lpstr>
      <vt:lpstr>Coxs_Bazar</vt:lpstr>
      <vt:lpstr>'DR-TB 10A (Stool)'!Dhaka</vt:lpstr>
      <vt:lpstr>'XDR Cartridges Test Report'!Dhaka</vt:lpstr>
      <vt:lpstr>Dhaka</vt:lpstr>
      <vt:lpstr>'DR-TB 10A (Stool)'!Dhaka_Division</vt:lpstr>
      <vt:lpstr>'XDR Cartridges Test Report'!Dhaka_Division</vt:lpstr>
      <vt:lpstr>Dhaka_Division</vt:lpstr>
      <vt:lpstr>'DR-TB 10A (Stool)'!Dinajpur</vt:lpstr>
      <vt:lpstr>'XDR Cartridges Test Report'!Dinajpur</vt:lpstr>
      <vt:lpstr>Dinajpur</vt:lpstr>
      <vt:lpstr>'DR-TB 10A (Stool)'!Faridpur</vt:lpstr>
      <vt:lpstr>'XDR Cartridges Test Report'!Faridpur</vt:lpstr>
      <vt:lpstr>Faridpur</vt:lpstr>
      <vt:lpstr>'DR-TB 10A (Stool)'!Feni</vt:lpstr>
      <vt:lpstr>'XDR Cartridges Test Report'!Feni</vt:lpstr>
      <vt:lpstr>Feni</vt:lpstr>
      <vt:lpstr>'DR-TB 10A (Stool)'!Gaibandha</vt:lpstr>
      <vt:lpstr>'XDR Cartridges Test Report'!Gaibandha</vt:lpstr>
      <vt:lpstr>Gaibandha</vt:lpstr>
      <vt:lpstr>'DR-TB 10A (Stool)'!Gazipur</vt:lpstr>
      <vt:lpstr>'XDR Cartridges Test Report'!Gazipur</vt:lpstr>
      <vt:lpstr>Gazipur</vt:lpstr>
      <vt:lpstr>'DR-TB 10A (Stool)'!Gopalganj</vt:lpstr>
      <vt:lpstr>'XDR Cartridges Test Report'!Gopalganj</vt:lpstr>
      <vt:lpstr>Gopalganj</vt:lpstr>
      <vt:lpstr>'DR-TB 10A (Stool)'!Habiganj</vt:lpstr>
      <vt:lpstr>'XDR Cartridges Test Report'!Habiganj</vt:lpstr>
      <vt:lpstr>Habiganj</vt:lpstr>
      <vt:lpstr>'DR-TB 10A (Stool)'!Jamalpur</vt:lpstr>
      <vt:lpstr>'XDR Cartridges Test Report'!Jamalpur</vt:lpstr>
      <vt:lpstr>Jamalpur</vt:lpstr>
      <vt:lpstr>'DR-TB 10A (Stool)'!Jessore</vt:lpstr>
      <vt:lpstr>'XDR Cartridges Test Report'!Jessore</vt:lpstr>
      <vt:lpstr>Jessore</vt:lpstr>
      <vt:lpstr>'DR-TB 10A (Stool)'!Jhalakathi</vt:lpstr>
      <vt:lpstr>'XDR Cartridges Test Report'!Jhalakathi</vt:lpstr>
      <vt:lpstr>Jhalakathi</vt:lpstr>
      <vt:lpstr>'DR-TB 10A (Stool)'!Jhenaidah</vt:lpstr>
      <vt:lpstr>'XDR Cartridges Test Report'!Jhenaidah</vt:lpstr>
      <vt:lpstr>Jhenaidah</vt:lpstr>
      <vt:lpstr>'DR-TB 10A (Stool)'!Joypurhat</vt:lpstr>
      <vt:lpstr>'XDR Cartridges Test Report'!Joypurhat</vt:lpstr>
      <vt:lpstr>Joypurhat</vt:lpstr>
      <vt:lpstr>'DR-TB 10A (Stool)'!Khagrachari</vt:lpstr>
      <vt:lpstr>'XDR Cartridges Test Report'!Khagrachari</vt:lpstr>
      <vt:lpstr>Khagrachari</vt:lpstr>
      <vt:lpstr>'DR-TB 10A (Stool)'!Khulna</vt:lpstr>
      <vt:lpstr>'XDR Cartridges Test Report'!Khulna</vt:lpstr>
      <vt:lpstr>Khulna</vt:lpstr>
      <vt:lpstr>'DR-TB 10A (Stool)'!Khulna_Division</vt:lpstr>
      <vt:lpstr>'XDR Cartridges Test Report'!Khulna_Division</vt:lpstr>
      <vt:lpstr>Khulna_Division</vt:lpstr>
      <vt:lpstr>'DR-TB 10A (Stool)'!Kishoreganj</vt:lpstr>
      <vt:lpstr>'XDR Cartridges Test Report'!Kishoreganj</vt:lpstr>
      <vt:lpstr>Kishoreganj</vt:lpstr>
      <vt:lpstr>'DR-TB 10A (Stool)'!Kurigram</vt:lpstr>
      <vt:lpstr>'XDR Cartridges Test Report'!Kurigram</vt:lpstr>
      <vt:lpstr>Kurigram</vt:lpstr>
      <vt:lpstr>'DR-TB 10A (Stool)'!Kushtia</vt:lpstr>
      <vt:lpstr>'XDR Cartridges Test Report'!Kushtia</vt:lpstr>
      <vt:lpstr>Kushtia</vt:lpstr>
      <vt:lpstr>'DR-TB 10A (Stool)'!Lalmonirhat</vt:lpstr>
      <vt:lpstr>'XDR Cartridges Test Report'!Lalmonirhat</vt:lpstr>
      <vt:lpstr>Lalmonirhat</vt:lpstr>
      <vt:lpstr>'DR-TB 10A (Stool)'!Laxmipur</vt:lpstr>
      <vt:lpstr>'XDR Cartridges Test Report'!Laxmipur</vt:lpstr>
      <vt:lpstr>Laxmipur</vt:lpstr>
      <vt:lpstr>'DR-TB 10A (Stool)'!Madaripur</vt:lpstr>
      <vt:lpstr>'XDR Cartridges Test Report'!Madaripur</vt:lpstr>
      <vt:lpstr>Madaripur</vt:lpstr>
      <vt:lpstr>'DR-TB 10A (Stool)'!Magura</vt:lpstr>
      <vt:lpstr>'XDR Cartridges Test Report'!Magura</vt:lpstr>
      <vt:lpstr>Magura</vt:lpstr>
      <vt:lpstr>'DR-TB 10A (Stool)'!Manikganj</vt:lpstr>
      <vt:lpstr>'XDR Cartridges Test Report'!Manikganj</vt:lpstr>
      <vt:lpstr>Manikganj</vt:lpstr>
      <vt:lpstr>'DR-TB 10A (Stool)'!Meherpur</vt:lpstr>
      <vt:lpstr>'XDR Cartridges Test Report'!Meherpur</vt:lpstr>
      <vt:lpstr>Meherpur</vt:lpstr>
      <vt:lpstr>'DR-TB 10A (Stool)'!Moulvibazar</vt:lpstr>
      <vt:lpstr>'XDR Cartridges Test Report'!Moulvibazar</vt:lpstr>
      <vt:lpstr>Moulvibazar</vt:lpstr>
      <vt:lpstr>'DR-TB 10A (Stool)'!Munshiganj</vt:lpstr>
      <vt:lpstr>'XDR Cartridges Test Report'!Munshiganj</vt:lpstr>
      <vt:lpstr>Munshiganj</vt:lpstr>
      <vt:lpstr>'DR-TB 10A (Stool)'!Mymensingh</vt:lpstr>
      <vt:lpstr>'XDR Cartridges Test Report'!Mymensingh</vt:lpstr>
      <vt:lpstr>Mymensingh</vt:lpstr>
      <vt:lpstr>'DR-TB 10A (Stool)'!Mymensingh_Division</vt:lpstr>
      <vt:lpstr>'XDR Cartridges Test Report'!Mymensingh_Division</vt:lpstr>
      <vt:lpstr>Mymensingh_Division</vt:lpstr>
      <vt:lpstr>'DR-TB 10A (Stool)'!Naogaon</vt:lpstr>
      <vt:lpstr>'XDR Cartridges Test Report'!Naogaon</vt:lpstr>
      <vt:lpstr>Naogaon</vt:lpstr>
      <vt:lpstr>'DR-TB 10A (Stool)'!Narail</vt:lpstr>
      <vt:lpstr>'XDR Cartridges Test Report'!Narail</vt:lpstr>
      <vt:lpstr>Narail</vt:lpstr>
      <vt:lpstr>'DR-TB 10A (Stool)'!Narayanganj</vt:lpstr>
      <vt:lpstr>'XDR Cartridges Test Report'!Narayanganj</vt:lpstr>
      <vt:lpstr>Narayanganj</vt:lpstr>
      <vt:lpstr>'DR-TB 10A (Stool)'!Narsingdi</vt:lpstr>
      <vt:lpstr>'XDR Cartridges Test Report'!Narsingdi</vt:lpstr>
      <vt:lpstr>Narsingdi</vt:lpstr>
      <vt:lpstr>'DR-TB 10A (Stool)'!Natore</vt:lpstr>
      <vt:lpstr>'XDR Cartridges Test Report'!Natore</vt:lpstr>
      <vt:lpstr>Natore</vt:lpstr>
      <vt:lpstr>'DR-TB 10A (Stool)'!Nawabganj</vt:lpstr>
      <vt:lpstr>'XDR Cartridges Test Report'!Nawabganj</vt:lpstr>
      <vt:lpstr>Nawabganj</vt:lpstr>
      <vt:lpstr>'DR-TB 10A (Stool)'!Netrakona</vt:lpstr>
      <vt:lpstr>'XDR Cartridges Test Report'!Netrakona</vt:lpstr>
      <vt:lpstr>Netrakona</vt:lpstr>
      <vt:lpstr>'DR-TB 10A (Stool)'!Nilphamari</vt:lpstr>
      <vt:lpstr>'XDR Cartridges Test Report'!Nilphamari</vt:lpstr>
      <vt:lpstr>Nilphamari</vt:lpstr>
      <vt:lpstr>'DR-TB 10A (Stool)'!Noakhali</vt:lpstr>
      <vt:lpstr>'XDR Cartridges Test Report'!Noakhali</vt:lpstr>
      <vt:lpstr>Noakhali</vt:lpstr>
      <vt:lpstr>'DR-TB 10A (Stool)'!Pabna</vt:lpstr>
      <vt:lpstr>'XDR Cartridges Test Report'!Pabna</vt:lpstr>
      <vt:lpstr>Pabna</vt:lpstr>
      <vt:lpstr>'DR-TB 10A (Stool)'!Panchagarh</vt:lpstr>
      <vt:lpstr>'XDR Cartridges Test Report'!Panchagarh</vt:lpstr>
      <vt:lpstr>Panchagarh</vt:lpstr>
      <vt:lpstr>'DR-TB 10A (Stool)'!Patuakhali</vt:lpstr>
      <vt:lpstr>'XDR Cartridges Test Report'!Patuakhali</vt:lpstr>
      <vt:lpstr>Patuakhali</vt:lpstr>
      <vt:lpstr>'DR-TB 10A (Stool)'!Pirojpur</vt:lpstr>
      <vt:lpstr>'XDR Cartridges Test Report'!Pirojpur</vt:lpstr>
      <vt:lpstr>Pirojpur</vt:lpstr>
      <vt:lpstr>'XDR Cartridges Test Report'!Print_Area</vt:lpstr>
      <vt:lpstr>'DR-TB 10A (Stool)'!Rajbari</vt:lpstr>
      <vt:lpstr>'XDR Cartridges Test Report'!Rajbari</vt:lpstr>
      <vt:lpstr>Rajbari</vt:lpstr>
      <vt:lpstr>'DR-TB 10A (Stool)'!Rajshahi</vt:lpstr>
      <vt:lpstr>'XDR Cartridges Test Report'!Rajshahi</vt:lpstr>
      <vt:lpstr>Rajshahi</vt:lpstr>
      <vt:lpstr>'DR-TB 10A (Stool)'!Rajshahi_Division</vt:lpstr>
      <vt:lpstr>'XDR Cartridges Test Report'!Rajshahi_Division</vt:lpstr>
      <vt:lpstr>Rajshahi_Division</vt:lpstr>
      <vt:lpstr>'DR-TB 10A (Stool)'!Rangamati</vt:lpstr>
      <vt:lpstr>'XDR Cartridges Test Report'!Rangamati</vt:lpstr>
      <vt:lpstr>Rangamati</vt:lpstr>
      <vt:lpstr>'DR-TB 10A (Stool)'!Rangpur</vt:lpstr>
      <vt:lpstr>'XDR Cartridges Test Report'!Rangpur</vt:lpstr>
      <vt:lpstr>Rangpur</vt:lpstr>
      <vt:lpstr>'DR-TB 10A (Stool)'!Rangpur_Division</vt:lpstr>
      <vt:lpstr>'XDR Cartridges Test Report'!Rangpur_Division</vt:lpstr>
      <vt:lpstr>Rangpur_Division</vt:lpstr>
      <vt:lpstr>'DR-TB 10A (Stool)'!Satkhira</vt:lpstr>
      <vt:lpstr>'XDR Cartridges Test Report'!Satkhira</vt:lpstr>
      <vt:lpstr>Satkhira</vt:lpstr>
      <vt:lpstr>'DR-TB 10A (Stool)'!Shariatpur</vt:lpstr>
      <vt:lpstr>'XDR Cartridges Test Report'!Shariatpur</vt:lpstr>
      <vt:lpstr>Shariatpur</vt:lpstr>
      <vt:lpstr>'DR-TB 10A (Stool)'!Sherpur</vt:lpstr>
      <vt:lpstr>'XDR Cartridges Test Report'!Sherpur</vt:lpstr>
      <vt:lpstr>Sherpur</vt:lpstr>
      <vt:lpstr>'DR-TB 10A (Stool)'!Sirajganj</vt:lpstr>
      <vt:lpstr>'XDR Cartridges Test Report'!Sirajganj</vt:lpstr>
      <vt:lpstr>Sirajganj</vt:lpstr>
      <vt:lpstr>'DR-TB 10A (Stool)'!Sunamganj</vt:lpstr>
      <vt:lpstr>'XDR Cartridges Test Report'!Sunamganj</vt:lpstr>
      <vt:lpstr>Sunamganj</vt:lpstr>
      <vt:lpstr>'DR-TB 10A (Stool)'!Sylhet</vt:lpstr>
      <vt:lpstr>'XDR Cartridges Test Report'!Sylhet</vt:lpstr>
      <vt:lpstr>Sylhet</vt:lpstr>
      <vt:lpstr>'DR-TB 10A (Stool)'!Sylhet_Division</vt:lpstr>
      <vt:lpstr>'XDR Cartridges Test Report'!Sylhet_Division</vt:lpstr>
      <vt:lpstr>Sylhet_Division</vt:lpstr>
      <vt:lpstr>'DR-TB 10A (Stool)'!Tangail</vt:lpstr>
      <vt:lpstr>'XDR Cartridges Test Report'!Tangail</vt:lpstr>
      <vt:lpstr>Tangail</vt:lpstr>
      <vt:lpstr>'DR-TB 10A (Stool)'!Thakurgaon</vt:lpstr>
      <vt:lpstr>'XDR Cartridges Test Report'!Thakurgaon</vt:lpstr>
      <vt:lpstr>Thakurgaon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Alejandro Hernández</cp:lastModifiedBy>
  <cp:revision/>
  <dcterms:created xsi:type="dcterms:W3CDTF">2024-08-28T10:18:40Z</dcterms:created>
  <dcterms:modified xsi:type="dcterms:W3CDTF">2026-05-04T02:08:30Z</dcterms:modified>
  <cp:category/>
  <cp:contentStatus/>
</cp:coreProperties>
</file>